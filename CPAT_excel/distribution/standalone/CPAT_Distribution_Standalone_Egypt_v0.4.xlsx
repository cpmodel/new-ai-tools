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wb547395\Repos\CPAT-AI-Local\cpat_excel\Distribution\standalone\"/>
    </mc:Choice>
  </mc:AlternateContent>
  <xr:revisionPtr revIDLastSave="0" documentId="13_ncr:1_{C3187AA1-396E-4C7B-99B1-66418FE46E7F}" xr6:coauthVersionLast="47" xr6:coauthVersionMax="47" xr10:uidLastSave="{00000000-0000-0000-0000-000000000000}"/>
  <bookViews>
    <workbookView xWindow="-120" yWindow="-120" windowWidth="29040" windowHeight="15720" activeTab="2" xr2:uid="{00000000-000D-0000-FFFF-FFFF00000000}"/>
  </bookViews>
  <sheets>
    <sheet name="ReadMe" sheetId="1" r:id="rId1"/>
    <sheet name="Distribution_Inputs" sheetId="2" r:id="rId2"/>
    <sheet name="Distribution_Outputs" sheetId="3" r:id="rId3"/>
    <sheet name="HHSurvey" sheetId="4" r:id="rId4"/>
    <sheet name="HH_Elast" sheetId="5" r:id="rId5"/>
    <sheet name="ASPIRE" sheetId="6" r:id="rId6"/>
    <sheet name="WHOCooking" sheetId="7" r:id="rId7"/>
    <sheet name="GDPRatios" sheetId="8" r:id="rId8"/>
    <sheet name="IO_GTAP" sheetId="9" r:id="rId9"/>
    <sheet name="Price_Changes" sheetId="10" r:id="rId10"/>
    <sheet name="Mapping" sheetId="11" r:id="rId11"/>
  </sheets>
  <definedNames>
    <definedName name="ADJ_CONS_PC">_xlfn.LAMBDA(_xlpm.decile,_xlpm.sample,BSHARE("cons_pc_acrent",_xlpm.decile,_xlpm.sample,"mean")*GDPDeflatorRatioSvy*HHConsAdjFactor)</definedName>
    <definedName name="ADJ_CONS_TOT">_xlfn.LAMBDA(_xlpm.decile,_xlpm.sample,ADJ_CONS_PC(_xlpm.decile,_xlpm.sample)*ADJ_POP(_xlpm.decile,_xlpm.sample))</definedName>
    <definedName name="ADJ_POP">_xlfn.LAMBDA(_xlpm.decile,_xlpm.sample,BSHARE("popw",_xlpm.decile,_xlpm.sample,"mean")*PopAdjFactor)</definedName>
    <definedName name="AdjustBehaviorSwitch">Distribution_Inputs!$I$56</definedName>
    <definedName name="AdjustDWLSwitch">Distribution_Inputs!$I$59</definedName>
    <definedName name="AMOUNT_RECYCLED">_xlfn.LAMBDA(_xlpm.decile,PIT_REDUCTION(_xlpm.decile)+TARGETED_TRANSFER(_xlpm.decile)+PUBLIC_INVESTMENT(_xlpm.decile)+CURRENT_SPENDING(_xlpm.decile))</definedName>
    <definedName name="ASPIRE_PC">_xlfn.LAMBDA(_xlpm.program,_xlpm.decile,_xlfn.LET(_xlpm.q,ROUNDUP(_xlpm.decile/2,0),_xlpm.r,MATCH(_xlpm.program,ASPIRE_Programs,0),_xlpm.row,INDEX(ASPIRE_Values,_xlpm.r,0),_xlfn.CHOOSECOLS(_xlpm.row,_xlpm.q)))</definedName>
    <definedName name="ASPIRE_Programs">ASPIRE!$A$36:$A$41</definedName>
    <definedName name="ASPIRE_Quintiles">ASPIRE!$C$35:$G$35</definedName>
    <definedName name="ASPIRE_SHARE">_xlfn.LAMBDA(_xlpm.program,_xlpm.decile,_xlfn.LET(_xlpm.pop,BSHARE("popw",_xlpm.decile,"Overall","mean"),_xlpm.pc,ASPIRE_PC(_xlpm.program,_xlpm.decile),(_xlpm.pc*_xlpm.pop)/ASPIRE_TOTAL(_xlpm.program)))</definedName>
    <definedName name="ASPIRE_TOTAL">_xlfn.LAMBDA(_xlpm.program,SUMPRODUCT(ASPIRE_PC(_xlpm.program,DECILE_ARRAY)*BSHARE("popw",DECILE_ARRAY,"Overall","mean")))</definedName>
    <definedName name="ASPIRE_Values">ASPIRE!$C$36:$G$41</definedName>
    <definedName name="BEHAVIOR_ADJ">_xlfn.LAMBDA(IF(AdjustBehaviorSwitch="Yes",BehaviorAdjFactor,1))</definedName>
    <definedName name="BehaviorAdjFactor">Distribution_Inputs!$I$58</definedName>
    <definedName name="BSHARE">_xlfn.LAMBDA(_xlpm.colname,_xlpm.decile,_xlpm.sample,_xlpm.stat,_xlfn.LET(_xlpm.qtype,IF(_xlpm.decile=0,"Basket","Deciles"),_xlpm.dnum,IF(_xlpm.decile=0,9999,_xlpm.decile),_xlpm.key,HHKEY(_xlpm.sample,_xlpm.qtype,_xlpm.stat,_xlpm.dnum),_xlpm.col,MATCH(_xlpm.colname,HHSurvey_Headers,0),_xlfn.XLOOKUP(_xlpm.key,HHSurvey_Key,INDEX(HHSurvey_Data,0,_xlpm.col))))</definedName>
    <definedName name="CURRENT_SPENDING">_xlfn.LAMBDA(_xlpm.decile,RevCurrentSpendLCU*ASPIRE_SHARE("allsp",_xlpm.decile))</definedName>
    <definedName name="CurrentSpendCode">Distribution_Inputs!$I$130</definedName>
    <definedName name="DECILE_ARRAY">{1,2,3,4,5,6,7,8,9,10}</definedName>
    <definedName name="DIRECT_EFFECT">_xlfn.LAMBDA(_xlpm.fuel,_xlpm.fuellabel,_xlpm.sharecol,_xlpm.elastcol,_xlpm.decile,_xlpm.sample,_xlpm.stat,_xlfn.LET(_xlpm.price,PCHANGE_DIRECT(_xlpm.fuel)*ELASTADJ(_xlpm.fuel,_xlpm.decile),_xlpm.bs,BSHARE(_xlpm.sharecol,_xlpm.decile,_xlpm.sample,_xlpm.stat),_xlpm.raw,(_xlpm.bs/100)*(_xlpm.price/100)*BEHAVIOR_ADJ()*100-DWL(_xlpm.sharecol,_xlpm.elastcol,_xlpm.decile,_xlpm.sample,_xlpm.stat,_xlpm.price),_xlpm.exempt,IF(AND(ExemptSwitch="Yes",_xlpm.fuellabel=ExemptFuelLabel,_xlpm.decile&lt;=ExemptDeciles,_xlpm.decile&gt;0),1-ExemptShare,1),_xlpm.raw*_xlpm.exempt))</definedName>
    <definedName name="DWL">_xlfn.LAMBDA(_xlpm.sharecol,_xlpm.elastcol,_xlpm.decile,_xlpm.sample,_xlpm.stat,_xlpm.pricepct,IF(AdjustDWLSwitch="Yes",0.5*ELAST(_xlpm.elastcol,_xlpm.decile,_xlpm.sample,_xlpm.stat)*(_xlpm.pricepct/100)^2*(BSHARE(_xlpm.sharecol,_xlpm.decile,_xlpm.sample,_xlpm.stat)/100)*100,0))</definedName>
    <definedName name="ELAST">_xlfn.LAMBDA(_xlpm.colname,_xlpm.decile,_xlpm.sample,_xlpm.stat,_xlfn.LET(_xlpm.qtype,IF(_xlpm.decile=0,"Basket","Deciles"),_xlpm.dnum,IF(_xlpm.decile=0,9999,_xlpm.decile),_xlpm.key,HHKEY(_xlpm.sample,_xlpm.qtype,_xlpm.stat,_xlpm.dnum),_xlpm.col,MATCH(_xlpm.colname,HH_Elast_Headers,0),_xlfn.XLOOKUP(_xlpm.key,HH_Elast_Key,INDEX(HH_Elast_Data,0,_xlpm.col))))</definedName>
    <definedName name="ELASTADJ">_xlfn.LAMBDA(_xlpm.item,_xlpm.decile,_xlfn.LET(_xlpm.r,MATCH(_xlpm.item,ElastAdj_Codes,0),_xlpm.row,INDEX(ElastAdj_Data,_xlpm.r,0),_xlfn.CHOOSECOLS(_xlpm.row,IF(_xlpm.decile=0,1,_xlpm.decile))))</definedName>
    <definedName name="ElastAdj_Codes">Price_Changes!$A$33:$A$54</definedName>
    <definedName name="ElastAdj_Data">Price_Changes!$B$33:$K$54</definedName>
    <definedName name="ExemptBottomDeciles_PIT">Distribution_Inputs!$I$81</definedName>
    <definedName name="ExemptDeciles">Distribution_Inputs!$I$141</definedName>
    <definedName name="ExemptFuelLabel">Distribution_Inputs!$I$139</definedName>
    <definedName name="ExemptShare">Distribution_Inputs!$I$140</definedName>
    <definedName name="ExemptSwitch">Distribution_Inputs!$I$138</definedName>
    <definedName name="GDPDeflatorRatioSvy">Distribution_Inputs!$I$156</definedName>
    <definedName name="HH_Elast_Data">HH_Elast!$A$2:$AF$12</definedName>
    <definedName name="HH_Elast_Headers">HH_Elast!$A$1:$AF$1</definedName>
    <definedName name="HH_Elast_Key">HH_Elast!$AF$2:$AF$12</definedName>
    <definedName name="HHConsAdjFactor">Distribution_Inputs!$I$162</definedName>
    <definedName name="HHKEY">_xlfn.LAMBDA(_xlpm.sample,_xlpm.qtype,_xlpm.stat,_xlpm.dnum, _xlpm.sample&amp;"|"&amp;_xlpm.qtype&amp;"|"&amp;_xlpm.stat&amp;"|"&amp;_xlpm.dnum)</definedName>
    <definedName name="HHSurvey_Data">HHSurvey!$A$2:$BQ$133</definedName>
    <definedName name="HHSurvey_Headers">HHSurvey!$A$1:$BQ$1</definedName>
    <definedName name="HHSurvey_Key">HHSurvey!$BQ$2:$BQ$133</definedName>
    <definedName name="INDIRECT_EFFECT">_xlfn.LAMBDA(_xlpm.cat,_xlpm.sharecol,_xlpm.elastcol,_xlpm.decile,_xlpm.sample,_xlpm.stat,_xlfn.LET(_xlpm.price,PCHANGE_INDIRECT(_xlpm.cat)*ELASTADJ(_xlpm.cat,_xlpm.decile),_xlpm.bs,BSHARE(_xlpm.sharecol,_xlpm.decile,_xlpm.sample,_xlpm.stat),(_xlpm.bs/100)*(_xlpm.price/100)*BEHAVIOR_ADJ()*100-DWL(_xlpm.sharecol,_xlpm.elastcol,_xlpm.decile,_xlpm.sample,_xlpm.stat,_xlpm.price)))</definedName>
    <definedName name="INFRA_SHARE">_xlfn.LAMBDA(_xlpm.decile,_xlfn.LET(_xlpm.pop,BSHARE("popw",_xlpm.decile,"Overall","mean"),_xlpm.access,BSHARE("all_acs_share",_xlpm.decile,"Overall","mean"),(_xlpm.pop*(1-_xlpm.access/100))/TOTAL_UNSERVED_POP()))</definedName>
    <definedName name="InfraAccessCode">Distribution_Inputs!$I$106</definedName>
    <definedName name="LaborTaxCutCoef">Distribution_Inputs!$I$82</definedName>
    <definedName name="LaborTaxMethod">Distribution_Inputs!$I$80</definedName>
    <definedName name="NET_EFFECT">_xlfn.LAMBDA(_xlpm.decile,_xlpm.sample,(TOTAL_EFFECT(_xlpm.decile,_xlpm.sample,"mean")/100-AMOUNT_RECYCLED(_xlpm.decile)/ADJ_CONS_TOT(_xlpm.decile,_xlpm.sample))*100)</definedName>
    <definedName name="PCHANGE_DIRECT">_xlfn.LAMBDA(_xlpm.fuel,_xlfn.XLOOKUP(_xlpm.fuel,PriceDirect_Codes,PriceDirect_Values))</definedName>
    <definedName name="PCHANGE_INDIRECT">_xlfn.LAMBDA(_xlpm.cat,_xlfn.XLOOKUP(_xlpm.cat,PriceIndirect_Codes,PriceIndirect_Values))</definedName>
    <definedName name="PIT_ADDITIONAL_PC">_xlfn.LAMBDA(PIT_SHORTFALL_TOTAL()/TOTAL_ADJ_POP())</definedName>
    <definedName name="PIT_LIABILITY">_xlfn.LAMBDA(_xlpm.decile,PIT_SHARE_RAW(_xlpm.decile)/PIT_SHARE_SUM()*PITBaselineLCU)</definedName>
    <definedName name="PIT_LIABILITY_TOTAL_EXEMPT">_xlfn.LAMBDA(SUM(IF(DECILE_ARRAY&lt;=ExemptBottomDeciles_PIT,PIT_LIABILITY(DECILE_ARRAY),0)))</definedName>
    <definedName name="PIT_MAX_TRANSFER_PC">_xlfn.LAMBDA(RevLaborTaxLCU/TOTAL_ADJ_POP())</definedName>
    <definedName name="PIT_REDUCTION">_xlfn.LAMBDA(_xlpm.decile,_xlfn.LET(_xlpm.liability,PIT_LIABILITY(_xlpm.decile),_xlpm.pop,ADJ_POP(_xlpm.decile,"Overall"),_xlpm.prop_amt,_xlpm.liability*LaborTaxCutCoef,_xlpm.liab_pc,_xlpm.liability/_xlpm.pop,_xlpm.capped_pc,IF(PIT_MAX_TRANSFER_PC()&lt;_xlpm.liab_pc,PIT_MAX_TRANSFER_PC(),_xlpm.liab_pc),_xlpm.pa_pc,_xlpm.capped_pc+PIT_ADDITIONAL_PC(),_xlpm.pa_amt,_xlpm.pa_pc*_xlpm.pop,_xlpm.te_scale,MIN(1,RevLaborTaxLCU/PIT_LIABILITY_TOTAL_EXEMPT()),_xlpm.te_amt,IF(_xlpm.decile&lt;=ExemptBottomDeciles_PIT,_xlpm.liability*_xlpm.te_scale,0),IF(LaborTaxMethod="Proportional Compensation",_xlpm.prop_amt,IF(LaborTaxMethod="Personal Allowance",_xlpm.pa_amt,_xlpm.te_amt))))</definedName>
    <definedName name="PIT_SHARE_RAW">_xlfn.LAMBDA(_xlpm.decile,BSHARE(IF(PITSourceSwitch="income","pit_share_income","pit_share_region"),_xlpm.decile,"Overall","mean"))</definedName>
    <definedName name="PIT_SHARE_SUM">_xlfn.LAMBDA(SUM(PIT_SHARE_RAW(DECILE_ARRAY)))</definedName>
    <definedName name="PIT_SHORTFALL_TOTAL">_xlfn.LAMBDA(_xlfn.LET(_xlpm.gap,PIT_MAX_TRANSFER_PC()-PIT_LIABILITY(DECILE_ARRAY)/ADJ_POP(DECILE_ARRAY,"Overall"),_xlpm.clipped,IF(_xlpm.gap&gt;0,_xlpm.gap,0),SUM(_xlpm.clipped*ADJ_POP(DECILE_ARRAY,"Overall"))))</definedName>
    <definedName name="PITBaselineLCU">Distribution_Inputs!$I$78</definedName>
    <definedName name="PITSourceSwitch">Distribution_Inputs!$I$79</definedName>
    <definedName name="PopAdjFactor">Distribution_Inputs!$I$146</definedName>
    <definedName name="PopAnalysisYear">Distribution_Inputs!$I$145</definedName>
    <definedName name="PopSurveyYear">Distribution_Inputs!$I$143</definedName>
    <definedName name="POST_CP_EXCL_RECYCLING">_xlfn.LAMBDA(_xlpm.decile,_xlpm.sample,ADJ_CONS_TOT(_xlpm.decile,_xlpm.sample)*(1-TOTAL_EFFECT(_xlpm.decile,_xlpm.sample,"mean")/100))</definedName>
    <definedName name="POST_CP_INCL_RECYCLING">_xlfn.LAMBDA(_xlpm.decile,_xlpm.sample,POST_CP_EXCL_RECYCLING(_xlpm.decile,_xlpm.sample)+AMOUNT_RECYCLED(_xlpm.decile))</definedName>
    <definedName name="PriceDirect_Codes">Price_Changes!$A$3:$A$10</definedName>
    <definedName name="PriceDirect_Values">Price_Changes!$C$3:$C$10</definedName>
    <definedName name="PriceIndirect_Codes">Price_Changes!$A$15:$A$28</definedName>
    <definedName name="PriceIndirect_Values">Price_Changes!$C$15:$C$28</definedName>
    <definedName name="PUBLIC_INVESTMENT">_xlfn.LAMBDA(_xlpm.decile,RevPublicInvestLCU*INFRA_SHARE(_xlpm.decile))</definedName>
    <definedName name="RevCurrentSpendLCU">Distribution_Inputs!$I$94</definedName>
    <definedName name="RevLaborTaxLCU">Distribution_Inputs!$I$76</definedName>
    <definedName name="RevPublicInvestLCU">Distribution_Inputs!$I$90</definedName>
    <definedName name="RevTargetedTransferLCU">Distribution_Inputs!$I$86</definedName>
    <definedName name="StatOutputs">Distribution_Inputs!$I$51</definedName>
    <definedName name="TARGETED_TRANSFER">_xlfn.LAMBDA(_xlpm.decile,RevTargetedTransferLCU*INFRA_SHARE(_xlpm.decile))</definedName>
    <definedName name="TargetedTransferASPIREUsed">Distribution_Inputs!$I$128</definedName>
    <definedName name="TargetedTransferCode">Distribution_Inputs!$I$129</definedName>
    <definedName name="TAX_BURDEN_PRE">_xlfn.LAMBDA(_xlpm.decile,_xlpm.sample,TOTAL_EFFECT(_xlpm.decile,_xlpm.sample,"mean")/100*ADJ_CONS_TOT(_xlpm.decile,_xlpm.sample))</definedName>
    <definedName name="TOTAL_ADJ_POP">_xlfn.LAMBDA(SUM(BSHARE("popw",DECILE_ARRAY,"Overall","mean"))*PopAdjFactor)</definedName>
    <definedName name="TOTAL_DIRECT_EFFECT">_xlfn.LAMBDA(_xlpm.decile,_xlpm.sample,_xlpm.stat,DIRECT_EFFECT("coa","Coal","coa_share","coa_elasticity",_xlpm.decile,_xlpm.sample,_xlpm.stat)+DIRECT_EFFECT("ely","Electricity","ely_share","ely_elasticity",_xlpm.decile,_xlpm.sample,_xlpm.stat)+DIRECT_EFFECT("nga","Natural Gas","nga_share","nga_elasticity",_xlpm.decile,_xlpm.sample,_xlpm.stat)+DIRECT_EFFECT("oil","Non-Road Oil","oil_share","oil_elasticity",_xlpm.decile,_xlpm.sample,_xlpm.stat)+DIRECT_EFFECT("gso","Gasoline","gso_share","gso_elasticity",_xlpm.decile,_xlpm.sample,_xlpm.stat)+DIRECT_EFFECT("die","Diesel","die_share","die_elasticity",_xlpm.decile,_xlpm.sample,_xlpm.stat)+DIRECT_EFFECT("ker","Kerosene","ker_share","ker_elasticity",_xlpm.decile,_xlpm.sample,_xlpm.stat)+DIRECT_EFFECT("lpg","LPG","lpg_share","lpg_elasticity",_xlpm.decile,_xlpm.sample,_xlpm.stat))</definedName>
    <definedName name="TOTAL_EFFECT">_xlfn.LAMBDA(_xlpm.decile,_xlpm.sample,_xlpm.stat,TOTAL_DIRECT_EFFECT(_xlpm.decile,_xlpm.sample,_xlpm.stat)+TOTAL_INDIRECT_EFFECT(_xlpm.decile,_xlpm.sample,_xlpm.stat))</definedName>
    <definedName name="TOTAL_INDIRECT_EFFECT">_xlfn.LAMBDA(_xlpm.decile,_xlpm.sample,_xlpm.stat,INDIRECT_EFFECT("app","appliances_share","appliances_elasticity",_xlpm.decile,_xlpm.sample,_xlpm.stat)+INDIRECT_EFFECT("che","chemicals_share","chemicals_elasticity",_xlpm.decile,_xlpm.sample,_xlpm.stat)+INDIRECT_EFFECT("clo","clothing_share","clothing_elasticity",_xlpm.decile,_xlpm.sample,_xlpm.stat)+INDIRECT_EFFECT("com","communications_share","communications_elasticity",_xlpm.decile,_xlpm.sample,_xlpm.stat)+INDIRECT_EFFECT("edu","education_share","education_elasticity",_xlpm.decile,_xlpm.sample,_xlpm.stat)+INDIRECT_EFFECT("food","food_share","food_elasticity",_xlpm.decile,_xlpm.sample,_xlpm.stat)+INDIRECT_EFFECT("hea","health_srv_share","health_srv_elasticity",_xlpm.decile,_xlpm.sample,_xlpm.stat)+INDIRECT_EFFECT("hou","housing_share","housing_elasticity",_xlpm.decile,_xlpm.sample,_xlpm.stat)+INDIRECT_EFFECT("oth","other_share","other_elasticity",_xlpm.decile,_xlpm.sample,_xlpm.stat)+INDIRECT_EFFECT("pap","paper_share","paper_elasticity",_xlpm.decile,_xlpm.sample,_xlpm.stat)+INDIRECT_EFFECT("pha","pharma_share","pharma_elasticity",_xlpm.decile,_xlpm.sample,_xlpm.stat)+INDIRECT_EFFECT("ret","rectourism_share","rectourism_elasticity",_xlpm.decile,_xlpm.sample,_xlpm.stat)+INDIRECT_EFFECT("teq","transp_eqt_share","transp_eqt_elasticity",_xlpm.decile,_xlpm.sample,_xlpm.stat)+INDIRECT_EFFECT("tpu","transp_pub_share","transp_pub_elasticity",_xlpm.decile,_xlpm.sample,_xlpm.stat))</definedName>
    <definedName name="TOTAL_RECYCLED">_xlfn.LAMBDA(SUM(AMOUNT_RECYCLED(DECILE_ARRAY)))</definedName>
    <definedName name="TOTAL_UNSERVED_POP">_xlfn.LAMBDA(SUM(BSHARE("popw",DECILE_ARRAY,"Overall","mean")*(1-BSHARE("all_acs_share",DECILE_ARRAY,"Overall","mean")/100)))</definedName>
    <definedName name="TotConsSurveyYear">Distribution_Inputs!$I$158</definedName>
    <definedName name="UseDecileElastSwitch">Distribution_Inputs!$I$60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87" i="3" l="1" a="1"/>
  <c r="P1487" i="3"/>
  <c r="P1486" i="3" a="1"/>
  <c r="P1486" i="3" s="1"/>
  <c r="P1485" i="3" a="1"/>
  <c r="P1485" i="3" s="1"/>
  <c r="P1484" i="3" a="1"/>
  <c r="P1484" i="3" s="1"/>
  <c r="P1483" i="3" a="1"/>
  <c r="P1483" i="3" s="1"/>
  <c r="P1482" i="3" a="1"/>
  <c r="P1482" i="3" s="1"/>
  <c r="P1481" i="3" a="1"/>
  <c r="P1481" i="3"/>
  <c r="P1480" i="3" a="1"/>
  <c r="P1480" i="3" s="1"/>
  <c r="P1479" i="3" a="1"/>
  <c r="P1479" i="3" s="1"/>
  <c r="P1478" i="3" a="1"/>
  <c r="P1478" i="3" s="1"/>
  <c r="P1477" i="3" a="1"/>
  <c r="P1477" i="3" s="1"/>
  <c r="P1476" i="3" a="1"/>
  <c r="P1476" i="3" s="1"/>
  <c r="P1475" i="3" a="1"/>
  <c r="P1475" i="3" s="1"/>
  <c r="P1474" i="3" a="1"/>
  <c r="P1474" i="3" s="1"/>
  <c r="P1471" i="3" a="1"/>
  <c r="P1471" i="3" s="1"/>
  <c r="P1470" i="3" a="1"/>
  <c r="P1470" i="3" s="1"/>
  <c r="P1469" i="3" a="1"/>
  <c r="P1469" i="3"/>
  <c r="P1468" i="3" a="1"/>
  <c r="P1468" i="3" s="1"/>
  <c r="P1467" i="3" a="1"/>
  <c r="P1467" i="3" s="1"/>
  <c r="P1466" i="3" a="1"/>
  <c r="P1466" i="3" s="1"/>
  <c r="P1465" i="3" a="1"/>
  <c r="P1465" i="3" s="1"/>
  <c r="P1464" i="3" a="1"/>
  <c r="P1464" i="3" s="1"/>
  <c r="P1427" i="3"/>
  <c r="Q1402" i="3" a="1"/>
  <c r="Q1402" i="3" s="1"/>
  <c r="P1402" i="3"/>
  <c r="Q1394" i="3" a="1"/>
  <c r="Q1394" i="3" s="1"/>
  <c r="P1394" i="3"/>
  <c r="Q1393" i="3" a="1"/>
  <c r="Q1393" i="3" s="1"/>
  <c r="P1393" i="3"/>
  <c r="Q1392" i="3" a="1"/>
  <c r="Q1392" i="3" s="1"/>
  <c r="P1392" i="3"/>
  <c r="Q1374" i="3" a="1"/>
  <c r="Q1374" i="3" s="1"/>
  <c r="P1374" i="3"/>
  <c r="P1373" i="3"/>
  <c r="P1372" i="3"/>
  <c r="P1371" i="3"/>
  <c r="Q1347" i="3" a="1"/>
  <c r="Q1347" i="3" s="1"/>
  <c r="P1346" i="3" a="1"/>
  <c r="P1346" i="3" s="1"/>
  <c r="Q1345" i="3" a="1"/>
  <c r="Q1345" i="3" s="1"/>
  <c r="P1344" i="3" a="1"/>
  <c r="P1344" i="3" s="1"/>
  <c r="Q1343" i="3" a="1"/>
  <c r="Q1343" i="3" s="1"/>
  <c r="P1342" i="3" a="1"/>
  <c r="P1342" i="3" s="1"/>
  <c r="Q1341" i="3" a="1"/>
  <c r="Q1341" i="3" s="1"/>
  <c r="P1340" i="3" a="1"/>
  <c r="P1340" i="3" s="1"/>
  <c r="Q1339" i="3" a="1"/>
  <c r="Q1339" i="3" s="1"/>
  <c r="P1338" i="3" a="1"/>
  <c r="P1338" i="3" s="1"/>
  <c r="Q1337" i="3" a="1"/>
  <c r="Q1337" i="3" s="1"/>
  <c r="P1336" i="3" a="1"/>
  <c r="P1336" i="3" s="1"/>
  <c r="Q1335" i="3" a="1"/>
  <c r="Q1335" i="3" s="1"/>
  <c r="P1334" i="3" a="1"/>
  <c r="P1334" i="3"/>
  <c r="Q1333" i="3" a="1"/>
  <c r="Q1333" i="3" s="1"/>
  <c r="P1332" i="3" a="1"/>
  <c r="P1332" i="3" s="1"/>
  <c r="Q1331" i="3" a="1"/>
  <c r="Q1331" i="3" s="1"/>
  <c r="P1330" i="3" a="1"/>
  <c r="P1330" i="3" s="1"/>
  <c r="Q1329" i="3" a="1"/>
  <c r="Q1329" i="3" s="1"/>
  <c r="P1328" i="3" a="1"/>
  <c r="P1328" i="3" s="1"/>
  <c r="Q1327" i="3" a="1"/>
  <c r="Q1327" i="3" s="1"/>
  <c r="P1326" i="3" a="1"/>
  <c r="P1326" i="3" s="1"/>
  <c r="Q1325" i="3" a="1"/>
  <c r="Q1325" i="3" s="1"/>
  <c r="P1324" i="3" a="1"/>
  <c r="P1324" i="3" s="1"/>
  <c r="Q1319" i="3" a="1"/>
  <c r="Q1319" i="3" s="1"/>
  <c r="P1318" i="3" a="1"/>
  <c r="P1318" i="3" s="1"/>
  <c r="Q1317" i="3" a="1"/>
  <c r="Q1317" i="3" s="1"/>
  <c r="P1316" i="3" a="1"/>
  <c r="P1316" i="3" s="1"/>
  <c r="Q1315" i="3" a="1"/>
  <c r="Q1315" i="3" s="1"/>
  <c r="P1314" i="3" a="1"/>
  <c r="P1314" i="3" s="1"/>
  <c r="Q1313" i="3" a="1"/>
  <c r="Q1313" i="3" s="1"/>
  <c r="P1312" i="3" a="1"/>
  <c r="P1312" i="3" s="1"/>
  <c r="Q1311" i="3" a="1"/>
  <c r="Q1311" i="3" s="1"/>
  <c r="P1310" i="3" a="1"/>
  <c r="P1310" i="3" s="1"/>
  <c r="Q1309" i="3" a="1"/>
  <c r="Q1309" i="3" s="1"/>
  <c r="P1308" i="3" a="1"/>
  <c r="P1308" i="3" s="1"/>
  <c r="Q1307" i="3" a="1"/>
  <c r="Q1307" i="3" s="1"/>
  <c r="P1306" i="3" a="1"/>
  <c r="P1306" i="3" s="1"/>
  <c r="Q1305" i="3" a="1"/>
  <c r="Q1305" i="3" s="1"/>
  <c r="P1304" i="3" a="1"/>
  <c r="P1304" i="3" s="1"/>
  <c r="Q1303" i="3" a="1"/>
  <c r="Q1303" i="3" s="1"/>
  <c r="P1302" i="3" a="1"/>
  <c r="P1302" i="3" s="1"/>
  <c r="Q1301" i="3" a="1"/>
  <c r="Q1301" i="3" s="1"/>
  <c r="P1300" i="3" a="1"/>
  <c r="P1300" i="3"/>
  <c r="Q1299" i="3" a="1"/>
  <c r="Q1299" i="3" s="1"/>
  <c r="P1298" i="3" a="1"/>
  <c r="P1298" i="3" s="1"/>
  <c r="Q1297" i="3" a="1"/>
  <c r="Q1297" i="3"/>
  <c r="P1296" i="3" a="1"/>
  <c r="P1296" i="3" s="1"/>
  <c r="Q1293" i="3" a="1"/>
  <c r="Q1293" i="3"/>
  <c r="P1292" i="3" a="1"/>
  <c r="P1292" i="3" s="1"/>
  <c r="Q1291" i="3" a="1"/>
  <c r="Q1291" i="3" s="1"/>
  <c r="P1290" i="3" a="1"/>
  <c r="P1290" i="3" s="1"/>
  <c r="Q1289" i="3" a="1"/>
  <c r="Q1289" i="3" s="1"/>
  <c r="P1288" i="3" a="1"/>
  <c r="P1288" i="3" s="1"/>
  <c r="Q1287" i="3" a="1"/>
  <c r="Q1287" i="3"/>
  <c r="P1286" i="3" a="1"/>
  <c r="P1286" i="3" s="1"/>
  <c r="Q1285" i="3" a="1"/>
  <c r="Q1285" i="3" s="1"/>
  <c r="P1284" i="3" a="1"/>
  <c r="P1284" i="3" s="1"/>
  <c r="Q1283" i="3" a="1"/>
  <c r="Q1283" i="3"/>
  <c r="P1282" i="3" a="1"/>
  <c r="P1282" i="3" s="1"/>
  <c r="Q1281" i="3" a="1"/>
  <c r="Q1281" i="3"/>
  <c r="P1280" i="3" a="1"/>
  <c r="P1280" i="3" s="1"/>
  <c r="Q1279" i="3" a="1"/>
  <c r="Q1279" i="3" s="1"/>
  <c r="P1278" i="3" a="1"/>
  <c r="P1278" i="3" s="1"/>
  <c r="Q1277" i="3" a="1"/>
  <c r="Q1277" i="3" s="1"/>
  <c r="P1276" i="3" a="1"/>
  <c r="P1276" i="3" s="1"/>
  <c r="Q1275" i="3" a="1"/>
  <c r="Q1275" i="3"/>
  <c r="P1274" i="3" a="1"/>
  <c r="P1274" i="3" s="1"/>
  <c r="Q1273" i="3" a="1"/>
  <c r="Q1273" i="3" s="1"/>
  <c r="P1272" i="3" a="1"/>
  <c r="P1272" i="3" s="1"/>
  <c r="Q1271" i="3" a="1"/>
  <c r="Q1271" i="3" s="1"/>
  <c r="P1270" i="3" a="1"/>
  <c r="P1270" i="3" s="1"/>
  <c r="Q1267" i="3" a="1"/>
  <c r="Q1267" i="3"/>
  <c r="P1266" i="3" a="1"/>
  <c r="P1266" i="3"/>
  <c r="Q1265" i="3" a="1"/>
  <c r="Q1265" i="3" s="1"/>
  <c r="P1264" i="3" a="1"/>
  <c r="P1264" i="3"/>
  <c r="Q1263" i="3" a="1"/>
  <c r="Q1263" i="3" s="1"/>
  <c r="P1262" i="3" a="1"/>
  <c r="P1262" i="3" s="1"/>
  <c r="Q1261" i="3" a="1"/>
  <c r="Q1261" i="3" s="1"/>
  <c r="P1260" i="3" a="1"/>
  <c r="P1260" i="3" s="1"/>
  <c r="Q1259" i="3" a="1"/>
  <c r="Q1259" i="3" s="1"/>
  <c r="P1258" i="3" a="1"/>
  <c r="P1258" i="3" s="1"/>
  <c r="Q1257" i="3" a="1"/>
  <c r="Q1257" i="3" s="1"/>
  <c r="P1256" i="3" a="1"/>
  <c r="P1256" i="3" s="1"/>
  <c r="Q1255" i="3" a="1"/>
  <c r="Q1255" i="3" s="1"/>
  <c r="P1254" i="3" a="1"/>
  <c r="P1254" i="3" s="1"/>
  <c r="Q1253" i="3" a="1"/>
  <c r="Q1253" i="3"/>
  <c r="P1252" i="3" a="1"/>
  <c r="P1252" i="3" s="1"/>
  <c r="Q1251" i="3" a="1"/>
  <c r="Q1251" i="3" s="1"/>
  <c r="P1250" i="3" a="1"/>
  <c r="P1250" i="3" s="1"/>
  <c r="Q1249" i="3" a="1"/>
  <c r="Q1249" i="3" s="1"/>
  <c r="P1248" i="3" a="1"/>
  <c r="P1248" i="3" s="1"/>
  <c r="Q1247" i="3" a="1"/>
  <c r="Q1247" i="3" s="1"/>
  <c r="P1246" i="3" a="1"/>
  <c r="P1246" i="3" s="1"/>
  <c r="Q1245" i="3" a="1"/>
  <c r="Q1245" i="3" s="1"/>
  <c r="P1244" i="3" a="1"/>
  <c r="P1244" i="3" s="1"/>
  <c r="Q1241" i="3" a="1"/>
  <c r="Q1241" i="3" s="1"/>
  <c r="P1240" i="3" a="1"/>
  <c r="P1240" i="3" s="1"/>
  <c r="Q1239" i="3" a="1"/>
  <c r="Q1239" i="3" s="1"/>
  <c r="P1238" i="3" a="1"/>
  <c r="P1238" i="3" s="1"/>
  <c r="Q1237" i="3" a="1"/>
  <c r="Q1237" i="3" s="1"/>
  <c r="P1236" i="3" a="1"/>
  <c r="P1236" i="3" s="1"/>
  <c r="Q1235" i="3" a="1"/>
  <c r="Q1235" i="3" s="1"/>
  <c r="P1234" i="3" a="1"/>
  <c r="P1234" i="3" s="1"/>
  <c r="Q1233" i="3" a="1"/>
  <c r="Q1233" i="3" s="1"/>
  <c r="P1232" i="3" a="1"/>
  <c r="P1232" i="3" s="1"/>
  <c r="Q1231" i="3" a="1"/>
  <c r="Q1231" i="3" s="1"/>
  <c r="P1230" i="3" a="1"/>
  <c r="P1230" i="3"/>
  <c r="Q1229" i="3" a="1"/>
  <c r="Q1229" i="3" s="1"/>
  <c r="P1228" i="3" a="1"/>
  <c r="P1228" i="3" s="1"/>
  <c r="Q1227" i="3" a="1"/>
  <c r="Q1227" i="3" s="1"/>
  <c r="P1226" i="3" a="1"/>
  <c r="P1226" i="3" s="1"/>
  <c r="Q1225" i="3" a="1"/>
  <c r="Q1225" i="3" s="1"/>
  <c r="P1224" i="3" a="1"/>
  <c r="P1224" i="3"/>
  <c r="Q1223" i="3" a="1"/>
  <c r="Q1223" i="3" s="1"/>
  <c r="P1222" i="3" a="1"/>
  <c r="P1222" i="3" s="1"/>
  <c r="Q1221" i="3" a="1"/>
  <c r="Q1221" i="3" s="1"/>
  <c r="P1220" i="3" a="1"/>
  <c r="P1220" i="3" s="1"/>
  <c r="Q1219" i="3" a="1"/>
  <c r="Q1219" i="3"/>
  <c r="P1218" i="3" a="1"/>
  <c r="P1218" i="3" s="1"/>
  <c r="Q1215" i="3" a="1"/>
  <c r="Q1215" i="3" s="1"/>
  <c r="P1214" i="3" a="1"/>
  <c r="P1214" i="3" s="1"/>
  <c r="Q1213" i="3" a="1"/>
  <c r="Q1213" i="3"/>
  <c r="P1212" i="3" a="1"/>
  <c r="P1212" i="3" s="1"/>
  <c r="Q1211" i="3" a="1"/>
  <c r="Q1211" i="3" s="1"/>
  <c r="P1210" i="3" a="1"/>
  <c r="P1210" i="3" s="1"/>
  <c r="Q1209" i="3" a="1"/>
  <c r="Q1209" i="3" s="1"/>
  <c r="P1208" i="3" a="1"/>
  <c r="P1208" i="3" s="1"/>
  <c r="Q1207" i="3" a="1"/>
  <c r="Q1207" i="3" s="1"/>
  <c r="P1206" i="3" a="1"/>
  <c r="P1206" i="3"/>
  <c r="Q1205" i="3" a="1"/>
  <c r="Q1205" i="3" s="1"/>
  <c r="P1204" i="3" a="1"/>
  <c r="P1204" i="3"/>
  <c r="Q1203" i="3" a="1"/>
  <c r="Q1203" i="3"/>
  <c r="P1202" i="3" a="1"/>
  <c r="P1202" i="3" s="1"/>
  <c r="Q1201" i="3" a="1"/>
  <c r="Q1201" i="3" s="1"/>
  <c r="P1200" i="3" a="1"/>
  <c r="P1200" i="3" s="1"/>
  <c r="Q1199" i="3" a="1"/>
  <c r="Q1199" i="3" s="1"/>
  <c r="P1198" i="3" a="1"/>
  <c r="P1198" i="3"/>
  <c r="Q1197" i="3" a="1"/>
  <c r="Q1197" i="3" s="1"/>
  <c r="P1196" i="3" a="1"/>
  <c r="P1196" i="3" s="1"/>
  <c r="Q1195" i="3" a="1"/>
  <c r="Q1195" i="3" s="1"/>
  <c r="P1194" i="3" a="1"/>
  <c r="P1194" i="3" s="1"/>
  <c r="Q1193" i="3" a="1"/>
  <c r="Q1193" i="3" s="1"/>
  <c r="P1192" i="3" a="1"/>
  <c r="P1192" i="3"/>
  <c r="Q1189" i="3" a="1"/>
  <c r="Q1189" i="3" s="1"/>
  <c r="P1188" i="3" a="1"/>
  <c r="P1188" i="3" s="1"/>
  <c r="Q1187" i="3" a="1"/>
  <c r="Q1187" i="3" s="1"/>
  <c r="P1186" i="3" a="1"/>
  <c r="P1186" i="3" s="1"/>
  <c r="Q1185" i="3" a="1"/>
  <c r="Q1185" i="3" s="1"/>
  <c r="P1184" i="3" a="1"/>
  <c r="P1184" i="3" s="1"/>
  <c r="Q1183" i="3" a="1"/>
  <c r="Q1183" i="3" s="1"/>
  <c r="P1182" i="3" a="1"/>
  <c r="P1182" i="3" s="1"/>
  <c r="Q1181" i="3" a="1"/>
  <c r="Q1181" i="3"/>
  <c r="P1180" i="3" a="1"/>
  <c r="P1180" i="3" s="1"/>
  <c r="Q1179" i="3" a="1"/>
  <c r="Q1179" i="3" s="1"/>
  <c r="P1178" i="3" a="1"/>
  <c r="P1178" i="3" s="1"/>
  <c r="Q1177" i="3" a="1"/>
  <c r="Q1177" i="3" s="1"/>
  <c r="P1176" i="3" a="1"/>
  <c r="P1176" i="3" s="1"/>
  <c r="Q1175" i="3" a="1"/>
  <c r="Q1175" i="3" s="1"/>
  <c r="P1174" i="3" a="1"/>
  <c r="P1174" i="3"/>
  <c r="Q1173" i="3" a="1"/>
  <c r="Q1173" i="3" s="1"/>
  <c r="P1172" i="3" a="1"/>
  <c r="P1172" i="3" s="1"/>
  <c r="Q1171" i="3" a="1"/>
  <c r="Q1171" i="3" s="1"/>
  <c r="P1170" i="3" a="1"/>
  <c r="P1170" i="3" s="1"/>
  <c r="Q1169" i="3" a="1"/>
  <c r="Q1169" i="3" s="1"/>
  <c r="P1168" i="3" a="1"/>
  <c r="P1168" i="3" s="1"/>
  <c r="Q1167" i="3" a="1"/>
  <c r="Q1167" i="3" s="1"/>
  <c r="P1166" i="3" a="1"/>
  <c r="P1166" i="3" s="1"/>
  <c r="Q1163" i="3" a="1"/>
  <c r="Q1163" i="3" s="1"/>
  <c r="P1162" i="3" a="1"/>
  <c r="P1162" i="3" s="1"/>
  <c r="Q1161" i="3" a="1"/>
  <c r="Q1161" i="3"/>
  <c r="P1160" i="3" a="1"/>
  <c r="P1160" i="3"/>
  <c r="Q1159" i="3" a="1"/>
  <c r="Q1159" i="3" s="1"/>
  <c r="P1158" i="3" a="1"/>
  <c r="P1158" i="3"/>
  <c r="Q1157" i="3" a="1"/>
  <c r="Q1157" i="3" s="1"/>
  <c r="P1156" i="3" a="1"/>
  <c r="P1156" i="3" s="1"/>
  <c r="Q1155" i="3" a="1"/>
  <c r="Q1155" i="3" s="1"/>
  <c r="P1154" i="3" a="1"/>
  <c r="P1154" i="3" s="1"/>
  <c r="Q1153" i="3" a="1"/>
  <c r="Q1153" i="3" s="1"/>
  <c r="P1152" i="3" a="1"/>
  <c r="P1152" i="3" s="1"/>
  <c r="Q1151" i="3" a="1"/>
  <c r="Q1151" i="3" s="1"/>
  <c r="P1150" i="3" a="1"/>
  <c r="P1150" i="3" s="1"/>
  <c r="Q1149" i="3" a="1"/>
  <c r="Q1149" i="3" s="1"/>
  <c r="P1148" i="3" a="1"/>
  <c r="P1148" i="3" s="1"/>
  <c r="Q1147" i="3" a="1"/>
  <c r="Q1147" i="3" s="1"/>
  <c r="P1146" i="3" a="1"/>
  <c r="P1146" i="3" s="1"/>
  <c r="Q1145" i="3" a="1"/>
  <c r="Q1145" i="3"/>
  <c r="P1144" i="3" a="1"/>
  <c r="P1144" i="3" s="1"/>
  <c r="Q1143" i="3" a="1"/>
  <c r="Q1143" i="3"/>
  <c r="P1142" i="3" a="1"/>
  <c r="P1142" i="3" s="1"/>
  <c r="Q1141" i="3" a="1"/>
  <c r="Q1141" i="3"/>
  <c r="P1140" i="3" a="1"/>
  <c r="P1140" i="3" s="1"/>
  <c r="Q1137" i="3" a="1"/>
  <c r="Q1137" i="3" s="1"/>
  <c r="P1136" i="3" a="1"/>
  <c r="P1136" i="3" s="1"/>
  <c r="Q1135" i="3" a="1"/>
  <c r="Q1135" i="3" s="1"/>
  <c r="P1134" i="3" a="1"/>
  <c r="P1134" i="3" s="1"/>
  <c r="Q1133" i="3" a="1"/>
  <c r="Q1133" i="3" s="1"/>
  <c r="P1132" i="3" a="1"/>
  <c r="P1132" i="3"/>
  <c r="Q1131" i="3" a="1"/>
  <c r="Q1131" i="3" s="1"/>
  <c r="P1130" i="3" a="1"/>
  <c r="P1130" i="3"/>
  <c r="Q1129" i="3" a="1"/>
  <c r="Q1129" i="3" s="1"/>
  <c r="P1128" i="3" a="1"/>
  <c r="P1128" i="3" s="1"/>
  <c r="Q1127" i="3" a="1"/>
  <c r="Q1127" i="3" s="1"/>
  <c r="P1126" i="3" a="1"/>
  <c r="P1126" i="3" s="1"/>
  <c r="Q1125" i="3" a="1"/>
  <c r="Q1125" i="3" s="1"/>
  <c r="P1124" i="3" a="1"/>
  <c r="P1124" i="3" s="1"/>
  <c r="Q1123" i="3" a="1"/>
  <c r="Q1123" i="3" s="1"/>
  <c r="P1122" i="3" a="1"/>
  <c r="P1122" i="3" s="1"/>
  <c r="Q1121" i="3" a="1"/>
  <c r="Q1121" i="3" s="1"/>
  <c r="P1120" i="3" a="1"/>
  <c r="P1120" i="3" s="1"/>
  <c r="Q1119" i="3" a="1"/>
  <c r="Q1119" i="3" s="1"/>
  <c r="P1118" i="3" a="1"/>
  <c r="P1118" i="3" s="1"/>
  <c r="Q1117" i="3" a="1"/>
  <c r="Q1117" i="3" s="1"/>
  <c r="P1116" i="3" a="1"/>
  <c r="P1116" i="3" s="1"/>
  <c r="Q1115" i="3" a="1"/>
  <c r="Q1115" i="3" s="1"/>
  <c r="P1114" i="3" a="1"/>
  <c r="P1114" i="3" s="1"/>
  <c r="Q1111" i="3" a="1"/>
  <c r="Q1111" i="3"/>
  <c r="P1110" i="3" a="1"/>
  <c r="P1110" i="3" s="1"/>
  <c r="Q1109" i="3" a="1"/>
  <c r="Q1109" i="3" s="1"/>
  <c r="P1108" i="3" a="1"/>
  <c r="P1108" i="3" s="1"/>
  <c r="Q1107" i="3" a="1"/>
  <c r="Q1107" i="3" s="1"/>
  <c r="P1106" i="3" a="1"/>
  <c r="P1106" i="3" s="1"/>
  <c r="Q1105" i="3" a="1"/>
  <c r="Q1105" i="3" s="1"/>
  <c r="P1104" i="3" a="1"/>
  <c r="P1104" i="3" s="1"/>
  <c r="Q1103" i="3" a="1"/>
  <c r="Q1103" i="3" s="1"/>
  <c r="P1102" i="3" a="1"/>
  <c r="P1102" i="3" s="1"/>
  <c r="Q1101" i="3" a="1"/>
  <c r="Q1101" i="3" s="1"/>
  <c r="P1100" i="3" a="1"/>
  <c r="P1100" i="3"/>
  <c r="Q1099" i="3" a="1"/>
  <c r="Q1099" i="3" s="1"/>
  <c r="P1098" i="3" a="1"/>
  <c r="P1098" i="3"/>
  <c r="Q1097" i="3" a="1"/>
  <c r="Q1097" i="3" s="1"/>
  <c r="P1096" i="3" a="1"/>
  <c r="P1096" i="3" s="1"/>
  <c r="Q1095" i="3" a="1"/>
  <c r="Q1095" i="3" s="1"/>
  <c r="P1094" i="3" a="1"/>
  <c r="P1094" i="3" s="1"/>
  <c r="Q1093" i="3" a="1"/>
  <c r="Q1093" i="3" s="1"/>
  <c r="P1092" i="3" a="1"/>
  <c r="P1092" i="3"/>
  <c r="Q1091" i="3" a="1"/>
  <c r="Q1091" i="3" s="1"/>
  <c r="P1090" i="3" a="1"/>
  <c r="P1090" i="3" s="1"/>
  <c r="Q1089" i="3" a="1"/>
  <c r="Q1089" i="3" s="1"/>
  <c r="P1088" i="3" a="1"/>
  <c r="P1088" i="3" s="1"/>
  <c r="Q1085" i="3" a="1"/>
  <c r="Q1085" i="3" s="1"/>
  <c r="P1084" i="3" a="1"/>
  <c r="P1084" i="3" s="1"/>
  <c r="Q1083" i="3" a="1"/>
  <c r="Q1083" i="3" s="1"/>
  <c r="P1082" i="3" a="1"/>
  <c r="P1082" i="3" s="1"/>
  <c r="Q1081" i="3" a="1"/>
  <c r="Q1081" i="3" s="1"/>
  <c r="P1080" i="3" a="1"/>
  <c r="P1080" i="3" s="1"/>
  <c r="Q1079" i="3" a="1"/>
  <c r="Q1079" i="3" s="1"/>
  <c r="P1078" i="3" a="1"/>
  <c r="P1078" i="3" s="1"/>
  <c r="Q1077" i="3" a="1"/>
  <c r="Q1077" i="3" s="1"/>
  <c r="P1076" i="3" a="1"/>
  <c r="P1076" i="3" s="1"/>
  <c r="Q1075" i="3" a="1"/>
  <c r="Q1075" i="3"/>
  <c r="P1074" i="3" a="1"/>
  <c r="P1074" i="3" s="1"/>
  <c r="Q1073" i="3" a="1"/>
  <c r="Q1073" i="3" s="1"/>
  <c r="P1072" i="3" a="1"/>
  <c r="P1072" i="3" s="1"/>
  <c r="Q1071" i="3" a="1"/>
  <c r="Q1071" i="3"/>
  <c r="P1070" i="3" a="1"/>
  <c r="P1070" i="3" s="1"/>
  <c r="Q1069" i="3" a="1"/>
  <c r="Q1069" i="3" s="1"/>
  <c r="P1068" i="3" a="1"/>
  <c r="P1068" i="3"/>
  <c r="Q1067" i="3" a="1"/>
  <c r="Q1067" i="3" s="1"/>
  <c r="P1066" i="3" a="1"/>
  <c r="P1066" i="3" s="1"/>
  <c r="Q1065" i="3" a="1"/>
  <c r="Q1065" i="3" s="1"/>
  <c r="P1064" i="3" a="1"/>
  <c r="P1064" i="3" s="1"/>
  <c r="Q1063" i="3" a="1"/>
  <c r="Q1063" i="3" s="1"/>
  <c r="P1062" i="3" a="1"/>
  <c r="P1062" i="3" s="1"/>
  <c r="Q1059" i="3" a="1"/>
  <c r="Q1059" i="3" s="1"/>
  <c r="P1058" i="3" a="1"/>
  <c r="P1058" i="3" s="1"/>
  <c r="Q1057" i="3" a="1"/>
  <c r="Q1057" i="3" s="1"/>
  <c r="P1056" i="3" a="1"/>
  <c r="P1056" i="3" s="1"/>
  <c r="Q1055" i="3" a="1"/>
  <c r="Q1055" i="3" s="1"/>
  <c r="P1054" i="3" a="1"/>
  <c r="P1054" i="3"/>
  <c r="Q1053" i="3" a="1"/>
  <c r="Q1053" i="3" s="1"/>
  <c r="P1052" i="3" a="1"/>
  <c r="P1052" i="3"/>
  <c r="Q1051" i="3" a="1"/>
  <c r="Q1051" i="3"/>
  <c r="P1050" i="3" a="1"/>
  <c r="P1050" i="3" s="1"/>
  <c r="Q1049" i="3" a="1"/>
  <c r="Q1049" i="3" s="1"/>
  <c r="P1048" i="3" a="1"/>
  <c r="P1048" i="3" s="1"/>
  <c r="Q1047" i="3" a="1"/>
  <c r="Q1047" i="3" s="1"/>
  <c r="P1046" i="3" a="1"/>
  <c r="P1046" i="3" s="1"/>
  <c r="Q1045" i="3" a="1"/>
  <c r="Q1045" i="3" s="1"/>
  <c r="P1044" i="3" a="1"/>
  <c r="P1044" i="3" s="1"/>
  <c r="Q1043" i="3" a="1"/>
  <c r="Q1043" i="3" s="1"/>
  <c r="P1042" i="3" a="1"/>
  <c r="P1042" i="3" s="1"/>
  <c r="Q1041" i="3" a="1"/>
  <c r="Q1041" i="3" s="1"/>
  <c r="P1040" i="3" a="1"/>
  <c r="P1040" i="3" s="1"/>
  <c r="Q1039" i="3" a="1"/>
  <c r="Q1039" i="3"/>
  <c r="P1038" i="3" a="1"/>
  <c r="P1038" i="3" s="1"/>
  <c r="Q1037" i="3" a="1"/>
  <c r="Q1037" i="3" s="1"/>
  <c r="P1036" i="3" a="1"/>
  <c r="P1036" i="3" s="1"/>
  <c r="Q1033" i="3" a="1"/>
  <c r="Q1033" i="3" s="1"/>
  <c r="P1032" i="3" a="1"/>
  <c r="P1032" i="3" s="1"/>
  <c r="Q1031" i="3" a="1"/>
  <c r="Q1031" i="3" s="1"/>
  <c r="P1030" i="3" a="1"/>
  <c r="P1030" i="3" s="1"/>
  <c r="Q1029" i="3" a="1"/>
  <c r="Q1029" i="3" s="1"/>
  <c r="P1028" i="3" a="1"/>
  <c r="P1028" i="3" s="1"/>
  <c r="Q1027" i="3" a="1"/>
  <c r="Q1027" i="3" s="1"/>
  <c r="P1026" i="3" a="1"/>
  <c r="P1026" i="3"/>
  <c r="Q1025" i="3" a="1"/>
  <c r="Q1025" i="3" s="1"/>
  <c r="P1024" i="3" a="1"/>
  <c r="P1024" i="3" s="1"/>
  <c r="Q1023" i="3" a="1"/>
  <c r="Q1023" i="3"/>
  <c r="P1022" i="3" a="1"/>
  <c r="P1022" i="3" s="1"/>
  <c r="Q1021" i="3" a="1"/>
  <c r="Q1021" i="3" s="1"/>
  <c r="P1020" i="3" a="1"/>
  <c r="P1020" i="3" s="1"/>
  <c r="Q1019" i="3" a="1"/>
  <c r="Q1019" i="3" s="1"/>
  <c r="P1018" i="3" a="1"/>
  <c r="P1018" i="3" s="1"/>
  <c r="Q1017" i="3" a="1"/>
  <c r="Q1017" i="3" s="1"/>
  <c r="P1016" i="3" a="1"/>
  <c r="P1016" i="3" s="1"/>
  <c r="Q1015" i="3" a="1"/>
  <c r="Q1015" i="3" s="1"/>
  <c r="P1014" i="3" a="1"/>
  <c r="P1014" i="3" s="1"/>
  <c r="Q1013" i="3" a="1"/>
  <c r="Q1013" i="3" s="1"/>
  <c r="P1012" i="3" a="1"/>
  <c r="P1012" i="3"/>
  <c r="Q1011" i="3" a="1"/>
  <c r="Q1011" i="3" s="1"/>
  <c r="P1010" i="3" a="1"/>
  <c r="P1010" i="3" s="1"/>
  <c r="Q1007" i="3" a="1"/>
  <c r="Q1007" i="3" s="1"/>
  <c r="P1006" i="3" a="1"/>
  <c r="P1006" i="3" s="1"/>
  <c r="Q1005" i="3" a="1"/>
  <c r="Q1005" i="3"/>
  <c r="P1004" i="3" a="1"/>
  <c r="P1004" i="3" s="1"/>
  <c r="Q1003" i="3" a="1"/>
  <c r="Q1003" i="3" s="1"/>
  <c r="P1002" i="3" a="1"/>
  <c r="P1002" i="3" s="1"/>
  <c r="Q1001" i="3" a="1"/>
  <c r="Q1001" i="3"/>
  <c r="P1000" i="3" a="1"/>
  <c r="P1000" i="3" s="1"/>
  <c r="Q999" i="3" a="1"/>
  <c r="Q999" i="3" s="1"/>
  <c r="P998" i="3" a="1"/>
  <c r="P998" i="3" s="1"/>
  <c r="Q997" i="3" a="1"/>
  <c r="Q997" i="3" s="1"/>
  <c r="P996" i="3" a="1"/>
  <c r="P996" i="3" s="1"/>
  <c r="Q995" i="3" a="1"/>
  <c r="Q995" i="3" s="1"/>
  <c r="P994" i="3" a="1"/>
  <c r="P994" i="3"/>
  <c r="Q993" i="3" a="1"/>
  <c r="Q993" i="3" s="1"/>
  <c r="P992" i="3" a="1"/>
  <c r="P992" i="3" s="1"/>
  <c r="Q991" i="3" a="1"/>
  <c r="Q991" i="3"/>
  <c r="P990" i="3" a="1"/>
  <c r="P990" i="3" s="1"/>
  <c r="Q989" i="3" a="1"/>
  <c r="Q989" i="3" s="1"/>
  <c r="P988" i="3" a="1"/>
  <c r="P988" i="3" s="1"/>
  <c r="Q987" i="3" a="1"/>
  <c r="Q987" i="3" s="1"/>
  <c r="P986" i="3" a="1"/>
  <c r="P986" i="3"/>
  <c r="Q985" i="3" a="1"/>
  <c r="Q985" i="3" s="1"/>
  <c r="P984" i="3" a="1"/>
  <c r="P984" i="3" s="1"/>
  <c r="Q981" i="3" a="1"/>
  <c r="Q981" i="3" s="1"/>
  <c r="P980" i="3" a="1"/>
  <c r="P980" i="3"/>
  <c r="Q979" i="3" a="1"/>
  <c r="Q979" i="3" s="1"/>
  <c r="P978" i="3" a="1"/>
  <c r="P978" i="3"/>
  <c r="Q977" i="3" a="1"/>
  <c r="Q977" i="3" s="1"/>
  <c r="P976" i="3" a="1"/>
  <c r="P976" i="3" s="1"/>
  <c r="Q975" i="3" a="1"/>
  <c r="Q975" i="3" s="1"/>
  <c r="P974" i="3" a="1"/>
  <c r="P974" i="3" s="1"/>
  <c r="Q973" i="3" a="1"/>
  <c r="Q973" i="3" s="1"/>
  <c r="P972" i="3" a="1"/>
  <c r="P972" i="3" s="1"/>
  <c r="Q971" i="3" a="1"/>
  <c r="Q971" i="3" s="1"/>
  <c r="P970" i="3" a="1"/>
  <c r="P970" i="3" s="1"/>
  <c r="Q969" i="3" a="1"/>
  <c r="Q969" i="3" s="1"/>
  <c r="P968" i="3" a="1"/>
  <c r="P968" i="3" s="1"/>
  <c r="Q967" i="3" a="1"/>
  <c r="Q967" i="3" s="1"/>
  <c r="P966" i="3" a="1"/>
  <c r="P966" i="3" s="1"/>
  <c r="Q965" i="3" a="1"/>
  <c r="Q965" i="3"/>
  <c r="P964" i="3" a="1"/>
  <c r="P964" i="3" s="1"/>
  <c r="Q963" i="3" a="1"/>
  <c r="Q963" i="3" s="1"/>
  <c r="P962" i="3" a="1"/>
  <c r="P962" i="3"/>
  <c r="Q961" i="3" a="1"/>
  <c r="Q961" i="3" s="1"/>
  <c r="P960" i="3" a="1"/>
  <c r="P960" i="3" s="1"/>
  <c r="Q959" i="3" a="1"/>
  <c r="Q959" i="3" s="1"/>
  <c r="P958" i="3" a="1"/>
  <c r="P958" i="3" s="1"/>
  <c r="Q955" i="3" a="1"/>
  <c r="Q955" i="3" s="1"/>
  <c r="P954" i="3" a="1"/>
  <c r="P954" i="3" s="1"/>
  <c r="Q953" i="3" a="1"/>
  <c r="Q953" i="3" s="1"/>
  <c r="P952" i="3" a="1"/>
  <c r="P952" i="3"/>
  <c r="Q951" i="3" a="1"/>
  <c r="Q951" i="3" s="1"/>
  <c r="P950" i="3" a="1"/>
  <c r="P950" i="3" s="1"/>
  <c r="Q949" i="3" a="1"/>
  <c r="Q949" i="3"/>
  <c r="P948" i="3" a="1"/>
  <c r="P948" i="3"/>
  <c r="Q947" i="3" a="1"/>
  <c r="Q947" i="3" s="1"/>
  <c r="P946" i="3" a="1"/>
  <c r="P946" i="3"/>
  <c r="Q945" i="3" a="1"/>
  <c r="Q945" i="3" s="1"/>
  <c r="P944" i="3" a="1"/>
  <c r="P944" i="3" s="1"/>
  <c r="Q943" i="3" a="1"/>
  <c r="Q943" i="3" s="1"/>
  <c r="P942" i="3" a="1"/>
  <c r="P942" i="3" s="1"/>
  <c r="Q941" i="3" a="1"/>
  <c r="Q941" i="3" s="1"/>
  <c r="P940" i="3" a="1"/>
  <c r="P940" i="3" s="1"/>
  <c r="Q939" i="3" a="1"/>
  <c r="Q939" i="3" s="1"/>
  <c r="P938" i="3" a="1"/>
  <c r="P938" i="3" s="1"/>
  <c r="Q937" i="3" a="1"/>
  <c r="Q937" i="3" s="1"/>
  <c r="P936" i="3" a="1"/>
  <c r="P936" i="3" s="1"/>
  <c r="Q935" i="3" a="1"/>
  <c r="Q935" i="3" s="1"/>
  <c r="P934" i="3" a="1"/>
  <c r="P934" i="3" s="1"/>
  <c r="Q933" i="3" a="1"/>
  <c r="Q933" i="3"/>
  <c r="P932" i="3" a="1"/>
  <c r="P932" i="3" s="1"/>
  <c r="Q927" i="3" a="1"/>
  <c r="Q927" i="3" s="1"/>
  <c r="P926" i="3" a="1"/>
  <c r="P926" i="3" s="1"/>
  <c r="Q925" i="3" a="1"/>
  <c r="Q925" i="3"/>
  <c r="P924" i="3" a="1"/>
  <c r="P924" i="3" s="1"/>
  <c r="Q923" i="3" a="1"/>
  <c r="Q923" i="3" s="1"/>
  <c r="P922" i="3" a="1"/>
  <c r="P922" i="3" s="1"/>
  <c r="Q921" i="3" a="1"/>
  <c r="Q921" i="3" s="1"/>
  <c r="P920" i="3" a="1"/>
  <c r="P920" i="3" s="1"/>
  <c r="Q919" i="3" a="1"/>
  <c r="Q919" i="3" s="1"/>
  <c r="P918" i="3" a="1"/>
  <c r="P918" i="3"/>
  <c r="Q917" i="3" a="1"/>
  <c r="Q917" i="3" s="1"/>
  <c r="P916" i="3" a="1"/>
  <c r="P916" i="3" s="1"/>
  <c r="Q915" i="3" a="1"/>
  <c r="Q915" i="3"/>
  <c r="P914" i="3" a="1"/>
  <c r="P914" i="3"/>
  <c r="Q913" i="3" a="1"/>
  <c r="Q913" i="3" s="1"/>
  <c r="P912" i="3" a="1"/>
  <c r="P912" i="3" s="1"/>
  <c r="Q911" i="3" a="1"/>
  <c r="Q911" i="3" s="1"/>
  <c r="P910" i="3" a="1"/>
  <c r="P910" i="3" s="1"/>
  <c r="Q909" i="3" a="1"/>
  <c r="Q909" i="3" s="1"/>
  <c r="P908" i="3" a="1"/>
  <c r="P908" i="3" s="1"/>
  <c r="Q907" i="3" a="1"/>
  <c r="Q907" i="3" s="1"/>
  <c r="P906" i="3" a="1"/>
  <c r="P906" i="3" s="1"/>
  <c r="Q905" i="3" a="1"/>
  <c r="Q905" i="3" s="1"/>
  <c r="P904" i="3" a="1"/>
  <c r="P904" i="3" s="1"/>
  <c r="Q901" i="3" a="1"/>
  <c r="Q901" i="3" s="1"/>
  <c r="P900" i="3" a="1"/>
  <c r="P900" i="3" s="1"/>
  <c r="Q899" i="3" a="1"/>
  <c r="Q899" i="3" s="1"/>
  <c r="P898" i="3" a="1"/>
  <c r="P898" i="3"/>
  <c r="Q897" i="3" a="1"/>
  <c r="Q897" i="3" s="1"/>
  <c r="P896" i="3" a="1"/>
  <c r="P896" i="3" s="1"/>
  <c r="Q895" i="3" a="1"/>
  <c r="Q895" i="3"/>
  <c r="P894" i="3" a="1"/>
  <c r="P894" i="3" s="1"/>
  <c r="Q893" i="3" a="1"/>
  <c r="Q893" i="3"/>
  <c r="P892" i="3" a="1"/>
  <c r="P892" i="3" s="1"/>
  <c r="Q891" i="3" a="1"/>
  <c r="Q891" i="3" s="1"/>
  <c r="P890" i="3" a="1"/>
  <c r="P890" i="3" s="1"/>
  <c r="Q889" i="3" a="1"/>
  <c r="Q889" i="3" s="1"/>
  <c r="P888" i="3" a="1"/>
  <c r="P888" i="3" s="1"/>
  <c r="Q887" i="3" a="1"/>
  <c r="Q887" i="3"/>
  <c r="P886" i="3" a="1"/>
  <c r="P886" i="3" s="1"/>
  <c r="Q885" i="3" a="1"/>
  <c r="Q885" i="3" s="1"/>
  <c r="P884" i="3" a="1"/>
  <c r="P884" i="3"/>
  <c r="Q883" i="3" a="1"/>
  <c r="Q883" i="3"/>
  <c r="P882" i="3" a="1"/>
  <c r="P882" i="3" s="1"/>
  <c r="Q881" i="3" a="1"/>
  <c r="Q881" i="3"/>
  <c r="P880" i="3" a="1"/>
  <c r="P880" i="3" s="1"/>
  <c r="Q879" i="3" a="1"/>
  <c r="Q879" i="3" s="1"/>
  <c r="P878" i="3" a="1"/>
  <c r="P878" i="3" s="1"/>
  <c r="Q875" i="3" a="1"/>
  <c r="Q875" i="3" s="1"/>
  <c r="P874" i="3" a="1"/>
  <c r="P874" i="3" s="1"/>
  <c r="Q873" i="3" a="1"/>
  <c r="Q873" i="3" s="1"/>
  <c r="P872" i="3" a="1"/>
  <c r="P872" i="3" s="1"/>
  <c r="Q871" i="3" a="1"/>
  <c r="Q871" i="3" s="1"/>
  <c r="P870" i="3" a="1"/>
  <c r="P870" i="3" s="1"/>
  <c r="Q869" i="3" a="1"/>
  <c r="Q869" i="3"/>
  <c r="P868" i="3" a="1"/>
  <c r="P868" i="3" s="1"/>
  <c r="Q867" i="3" a="1"/>
  <c r="Q867" i="3"/>
  <c r="P866" i="3" a="1"/>
  <c r="P866" i="3" s="1"/>
  <c r="Q865" i="3" a="1"/>
  <c r="Q865" i="3" s="1"/>
  <c r="P864" i="3" a="1"/>
  <c r="P864" i="3" s="1"/>
  <c r="Q863" i="3" a="1"/>
  <c r="Q863" i="3"/>
  <c r="P862" i="3" a="1"/>
  <c r="P862" i="3" s="1"/>
  <c r="Q861" i="3" a="1"/>
  <c r="Q861" i="3" s="1"/>
  <c r="P860" i="3" a="1"/>
  <c r="P860" i="3" s="1"/>
  <c r="Q859" i="3" a="1"/>
  <c r="Q859" i="3" s="1"/>
  <c r="P858" i="3" a="1"/>
  <c r="P858" i="3" s="1"/>
  <c r="Q857" i="3" a="1"/>
  <c r="Q857" i="3"/>
  <c r="P856" i="3" a="1"/>
  <c r="P856" i="3" s="1"/>
  <c r="Q855" i="3" a="1"/>
  <c r="Q855" i="3" s="1"/>
  <c r="P854" i="3" a="1"/>
  <c r="P854" i="3"/>
  <c r="Q853" i="3" a="1"/>
  <c r="Q853" i="3" s="1"/>
  <c r="P852" i="3" a="1"/>
  <c r="P852" i="3" s="1"/>
  <c r="Q849" i="3" a="1"/>
  <c r="Q849" i="3" s="1"/>
  <c r="P848" i="3" a="1"/>
  <c r="P848" i="3" s="1"/>
  <c r="Q847" i="3" a="1"/>
  <c r="Q847" i="3"/>
  <c r="P846" i="3" a="1"/>
  <c r="P846" i="3" s="1"/>
  <c r="Q845" i="3" a="1"/>
  <c r="Q845" i="3" s="1"/>
  <c r="P844" i="3" a="1"/>
  <c r="P844" i="3" s="1"/>
  <c r="Q843" i="3" a="1"/>
  <c r="Q843" i="3" s="1"/>
  <c r="P842" i="3" a="1"/>
  <c r="P842" i="3"/>
  <c r="Q841" i="3" a="1"/>
  <c r="Q841" i="3" s="1"/>
  <c r="P840" i="3" a="1"/>
  <c r="P840" i="3" s="1"/>
  <c r="Q839" i="3" a="1"/>
  <c r="Q839" i="3" s="1"/>
  <c r="P838" i="3" a="1"/>
  <c r="P838" i="3" s="1"/>
  <c r="Q837" i="3" a="1"/>
  <c r="Q837" i="3" s="1"/>
  <c r="P836" i="3" a="1"/>
  <c r="P836" i="3" s="1"/>
  <c r="Q835" i="3" a="1"/>
  <c r="Q835" i="3" s="1"/>
  <c r="P834" i="3" a="1"/>
  <c r="P834" i="3" s="1"/>
  <c r="Q833" i="3" a="1"/>
  <c r="Q833" i="3" s="1"/>
  <c r="P832" i="3" a="1"/>
  <c r="P832" i="3"/>
  <c r="Q831" i="3" a="1"/>
  <c r="Q831" i="3" s="1"/>
  <c r="P830" i="3" a="1"/>
  <c r="P830" i="3" s="1"/>
  <c r="Q829" i="3" a="1"/>
  <c r="Q829" i="3" s="1"/>
  <c r="P828" i="3" a="1"/>
  <c r="P828" i="3" s="1"/>
  <c r="Q827" i="3" a="1"/>
  <c r="Q827" i="3" s="1"/>
  <c r="P826" i="3" a="1"/>
  <c r="P826" i="3"/>
  <c r="Q823" i="3" a="1"/>
  <c r="Q823" i="3" s="1"/>
  <c r="P822" i="3" a="1"/>
  <c r="P822" i="3" s="1"/>
  <c r="Q821" i="3" a="1"/>
  <c r="Q821" i="3" s="1"/>
  <c r="P820" i="3" a="1"/>
  <c r="P820" i="3" s="1"/>
  <c r="Q819" i="3" a="1"/>
  <c r="Q819" i="3" s="1"/>
  <c r="P818" i="3" a="1"/>
  <c r="P818" i="3" s="1"/>
  <c r="Q817" i="3" a="1"/>
  <c r="Q817" i="3" s="1"/>
  <c r="P816" i="3" a="1"/>
  <c r="P816" i="3" s="1"/>
  <c r="Q815" i="3" a="1"/>
  <c r="Q815" i="3" s="1"/>
  <c r="P814" i="3" a="1"/>
  <c r="P814" i="3"/>
  <c r="Q813" i="3" a="1"/>
  <c r="Q813" i="3" s="1"/>
  <c r="P812" i="3" a="1"/>
  <c r="P812" i="3" s="1"/>
  <c r="Q811" i="3" a="1"/>
  <c r="Q811" i="3" s="1"/>
  <c r="P810" i="3" a="1"/>
  <c r="P810" i="3"/>
  <c r="Q809" i="3" a="1"/>
  <c r="Q809" i="3"/>
  <c r="P808" i="3" a="1"/>
  <c r="P808" i="3" s="1"/>
  <c r="Q807" i="3" a="1"/>
  <c r="Q807" i="3" s="1"/>
  <c r="P806" i="3" a="1"/>
  <c r="P806" i="3" s="1"/>
  <c r="Q805" i="3" a="1"/>
  <c r="Q805" i="3" s="1"/>
  <c r="P804" i="3" a="1"/>
  <c r="P804" i="3"/>
  <c r="Q803" i="3" a="1"/>
  <c r="Q803" i="3" s="1"/>
  <c r="P802" i="3" a="1"/>
  <c r="P802" i="3" s="1"/>
  <c r="Q801" i="3" a="1"/>
  <c r="Q801" i="3" s="1"/>
  <c r="P800" i="3" a="1"/>
  <c r="P800" i="3"/>
  <c r="Q797" i="3" a="1"/>
  <c r="Q797" i="3" s="1"/>
  <c r="P796" i="3" a="1"/>
  <c r="P796" i="3" s="1"/>
  <c r="Q795" i="3" a="1"/>
  <c r="Q795" i="3"/>
  <c r="P794" i="3" a="1"/>
  <c r="P794" i="3" s="1"/>
  <c r="Q793" i="3" a="1"/>
  <c r="Q793" i="3"/>
  <c r="P792" i="3" a="1"/>
  <c r="P792" i="3" s="1"/>
  <c r="Q791" i="3" a="1"/>
  <c r="Q791" i="3" s="1"/>
  <c r="P790" i="3" a="1"/>
  <c r="P790" i="3" s="1"/>
  <c r="Q789" i="3" a="1"/>
  <c r="Q789" i="3" s="1"/>
  <c r="P788" i="3" a="1"/>
  <c r="P788" i="3" s="1"/>
  <c r="Q787" i="3" a="1"/>
  <c r="Q787" i="3" s="1"/>
  <c r="P786" i="3" a="1"/>
  <c r="P786" i="3" s="1"/>
  <c r="Q785" i="3" a="1"/>
  <c r="Q785" i="3" s="1"/>
  <c r="P784" i="3" a="1"/>
  <c r="P784" i="3" s="1"/>
  <c r="Q783" i="3" a="1"/>
  <c r="Q783" i="3" s="1"/>
  <c r="P782" i="3" a="1"/>
  <c r="P782" i="3" s="1"/>
  <c r="Q781" i="3" a="1"/>
  <c r="Q781" i="3" s="1"/>
  <c r="P780" i="3" a="1"/>
  <c r="P780" i="3"/>
  <c r="Q779" i="3" a="1"/>
  <c r="Q779" i="3" s="1"/>
  <c r="P778" i="3" a="1"/>
  <c r="P778" i="3"/>
  <c r="Q777" i="3" a="1"/>
  <c r="Q777" i="3" s="1"/>
  <c r="P776" i="3" a="1"/>
  <c r="P776" i="3" s="1"/>
  <c r="Q775" i="3" a="1"/>
  <c r="Q775" i="3" s="1"/>
  <c r="P774" i="3" a="1"/>
  <c r="P774" i="3"/>
  <c r="Q771" i="3" a="1"/>
  <c r="Q771" i="3" s="1"/>
  <c r="P770" i="3" a="1"/>
  <c r="P770" i="3" s="1"/>
  <c r="Q769" i="3" a="1"/>
  <c r="Q769" i="3" s="1"/>
  <c r="P768" i="3" a="1"/>
  <c r="P768" i="3" s="1"/>
  <c r="Q767" i="3" a="1"/>
  <c r="Q767" i="3" s="1"/>
  <c r="P766" i="3" a="1"/>
  <c r="P766" i="3" s="1"/>
  <c r="Q765" i="3" a="1"/>
  <c r="Q765" i="3"/>
  <c r="P764" i="3" a="1"/>
  <c r="P764" i="3" s="1"/>
  <c r="Q763" i="3" a="1"/>
  <c r="Q763" i="3"/>
  <c r="P762" i="3" a="1"/>
  <c r="P762" i="3" s="1"/>
  <c r="Q761" i="3" a="1"/>
  <c r="Q761" i="3" s="1"/>
  <c r="P760" i="3" a="1"/>
  <c r="P760" i="3" s="1"/>
  <c r="Q759" i="3" a="1"/>
  <c r="Q759" i="3" s="1"/>
  <c r="P758" i="3" a="1"/>
  <c r="P758" i="3"/>
  <c r="Q757" i="3" a="1"/>
  <c r="Q757" i="3" s="1"/>
  <c r="P756" i="3" a="1"/>
  <c r="P756" i="3" s="1"/>
  <c r="Q755" i="3" a="1"/>
  <c r="Q755" i="3" s="1"/>
  <c r="P754" i="3" a="1"/>
  <c r="P754" i="3" s="1"/>
  <c r="Q753" i="3" a="1"/>
  <c r="Q753" i="3" s="1"/>
  <c r="P752" i="3" a="1"/>
  <c r="P752" i="3" s="1"/>
  <c r="Q751" i="3" a="1"/>
  <c r="Q751" i="3"/>
  <c r="P750" i="3" a="1"/>
  <c r="P750" i="3" s="1"/>
  <c r="Q749" i="3" a="1"/>
  <c r="Q749" i="3" s="1"/>
  <c r="P748" i="3" a="1"/>
  <c r="P748" i="3" s="1"/>
  <c r="Q745" i="3" a="1"/>
  <c r="Q745" i="3" s="1"/>
  <c r="P744" i="3" a="1"/>
  <c r="P744" i="3" s="1"/>
  <c r="Q743" i="3" a="1"/>
  <c r="Q743" i="3"/>
  <c r="P742" i="3" a="1"/>
  <c r="P742" i="3" s="1"/>
  <c r="Q741" i="3" a="1"/>
  <c r="Q741" i="3"/>
  <c r="P740" i="3" a="1"/>
  <c r="P740" i="3" s="1"/>
  <c r="Q739" i="3" a="1"/>
  <c r="Q739" i="3" s="1"/>
  <c r="P738" i="3" a="1"/>
  <c r="P738" i="3" s="1"/>
  <c r="Q737" i="3" a="1"/>
  <c r="Q737" i="3" s="1"/>
  <c r="P736" i="3" a="1"/>
  <c r="P736" i="3"/>
  <c r="Q735" i="3" a="1"/>
  <c r="Q735" i="3" s="1"/>
  <c r="P734" i="3" a="1"/>
  <c r="P734" i="3" s="1"/>
  <c r="Q733" i="3" a="1"/>
  <c r="Q733" i="3" s="1"/>
  <c r="P732" i="3" a="1"/>
  <c r="P732" i="3" s="1"/>
  <c r="Q731" i="3" a="1"/>
  <c r="Q731" i="3" s="1"/>
  <c r="P730" i="3" a="1"/>
  <c r="P730" i="3" s="1"/>
  <c r="Q729" i="3" a="1"/>
  <c r="Q729" i="3" s="1"/>
  <c r="P728" i="3" a="1"/>
  <c r="P728" i="3"/>
  <c r="Q727" i="3" a="1"/>
  <c r="Q727" i="3" s="1"/>
  <c r="P726" i="3" a="1"/>
  <c r="P726" i="3" s="1"/>
  <c r="Q725" i="3" a="1"/>
  <c r="Q725" i="3"/>
  <c r="P724" i="3" a="1"/>
  <c r="P724" i="3" s="1"/>
  <c r="Q723" i="3" a="1"/>
  <c r="Q723" i="3" s="1"/>
  <c r="P722" i="3" a="1"/>
  <c r="P722" i="3"/>
  <c r="Q719" i="3" a="1"/>
  <c r="Q719" i="3" s="1"/>
  <c r="P718" i="3" a="1"/>
  <c r="P718" i="3"/>
  <c r="Q717" i="3" a="1"/>
  <c r="Q717" i="3" s="1"/>
  <c r="P716" i="3" a="1"/>
  <c r="P716" i="3" s="1"/>
  <c r="Q715" i="3" a="1"/>
  <c r="Q715" i="3" s="1"/>
  <c r="P714" i="3" a="1"/>
  <c r="P714" i="3" s="1"/>
  <c r="Q713" i="3" a="1"/>
  <c r="Q713" i="3" s="1"/>
  <c r="P712" i="3" a="1"/>
  <c r="P712" i="3"/>
  <c r="Q711" i="3" a="1"/>
  <c r="Q711" i="3" s="1"/>
  <c r="P710" i="3" a="1"/>
  <c r="P710" i="3" s="1"/>
  <c r="Q709" i="3" a="1"/>
  <c r="Q709" i="3"/>
  <c r="P708" i="3" a="1"/>
  <c r="P708" i="3" s="1"/>
  <c r="Q707" i="3" a="1"/>
  <c r="Q707" i="3" s="1"/>
  <c r="P706" i="3" a="1"/>
  <c r="P706" i="3"/>
  <c r="Q705" i="3" a="1"/>
  <c r="Q705" i="3"/>
  <c r="P704" i="3" a="1"/>
  <c r="P704" i="3" s="1"/>
  <c r="Q703" i="3" a="1"/>
  <c r="Q703" i="3" s="1"/>
  <c r="P702" i="3" a="1"/>
  <c r="P702" i="3" s="1"/>
  <c r="Q701" i="3" a="1"/>
  <c r="Q701" i="3" s="1"/>
  <c r="P700" i="3" a="1"/>
  <c r="P700" i="3" s="1"/>
  <c r="Q699" i="3" a="1"/>
  <c r="Q699" i="3" s="1"/>
  <c r="P698" i="3" a="1"/>
  <c r="P698" i="3"/>
  <c r="Q697" i="3" a="1"/>
  <c r="Q697" i="3"/>
  <c r="P696" i="3" a="1"/>
  <c r="P696" i="3" s="1"/>
  <c r="Q691" i="3" a="1"/>
  <c r="Q691" i="3" s="1"/>
  <c r="P690" i="3" a="1"/>
  <c r="P690" i="3" s="1"/>
  <c r="Q689" i="3" a="1"/>
  <c r="Q689" i="3"/>
  <c r="P688" i="3" a="1"/>
  <c r="P688" i="3" s="1"/>
  <c r="Q687" i="3" a="1"/>
  <c r="Q687" i="3"/>
  <c r="P686" i="3" a="1"/>
  <c r="P686" i="3" s="1"/>
  <c r="Q685" i="3" a="1"/>
  <c r="Q685" i="3" s="1"/>
  <c r="P684" i="3" a="1"/>
  <c r="P684" i="3" s="1"/>
  <c r="Q683" i="3" a="1"/>
  <c r="Q683" i="3" s="1"/>
  <c r="P682" i="3" a="1"/>
  <c r="P682" i="3" s="1"/>
  <c r="Q681" i="3" a="1"/>
  <c r="Q681" i="3"/>
  <c r="P680" i="3" a="1"/>
  <c r="P680" i="3" s="1"/>
  <c r="Q679" i="3" a="1"/>
  <c r="Q679" i="3"/>
  <c r="P678" i="3" a="1"/>
  <c r="P678" i="3" s="1"/>
  <c r="Q677" i="3" a="1"/>
  <c r="Q677" i="3" s="1"/>
  <c r="P676" i="3" a="1"/>
  <c r="P676" i="3" s="1"/>
  <c r="Q675" i="3" a="1"/>
  <c r="Q675" i="3" s="1"/>
  <c r="P674" i="3" a="1"/>
  <c r="P674" i="3"/>
  <c r="Q673" i="3" a="1"/>
  <c r="Q673" i="3" s="1"/>
  <c r="P672" i="3" a="1"/>
  <c r="P672" i="3" s="1"/>
  <c r="Q671" i="3" a="1"/>
  <c r="Q671" i="3"/>
  <c r="P670" i="3" a="1"/>
  <c r="P670" i="3" s="1"/>
  <c r="Q669" i="3" a="1"/>
  <c r="Q669" i="3" s="1"/>
  <c r="P668" i="3" a="1"/>
  <c r="P668" i="3" s="1"/>
  <c r="Q665" i="3" a="1"/>
  <c r="Q665" i="3" s="1"/>
  <c r="P664" i="3" a="1"/>
  <c r="P664" i="3"/>
  <c r="Q663" i="3" a="1"/>
  <c r="Q663" i="3" s="1"/>
  <c r="P662" i="3" a="1"/>
  <c r="P662" i="3" s="1"/>
  <c r="Q661" i="3" a="1"/>
  <c r="Q661" i="3"/>
  <c r="P660" i="3" a="1"/>
  <c r="P660" i="3" s="1"/>
  <c r="Q659" i="3" a="1"/>
  <c r="Q659" i="3" s="1"/>
  <c r="P658" i="3" a="1"/>
  <c r="P658" i="3"/>
  <c r="Q657" i="3" a="1"/>
  <c r="Q657" i="3" s="1"/>
  <c r="P656" i="3" a="1"/>
  <c r="P656" i="3"/>
  <c r="Q655" i="3" a="1"/>
  <c r="Q655" i="3" s="1"/>
  <c r="P654" i="3" a="1"/>
  <c r="P654" i="3" s="1"/>
  <c r="Q653" i="3" a="1"/>
  <c r="Q653" i="3" s="1"/>
  <c r="P652" i="3" a="1"/>
  <c r="P652" i="3" s="1"/>
  <c r="Q651" i="3" a="1"/>
  <c r="Q651" i="3" s="1"/>
  <c r="P650" i="3" a="1"/>
  <c r="P650" i="3"/>
  <c r="Q649" i="3" a="1"/>
  <c r="Q649" i="3" s="1"/>
  <c r="P648" i="3" a="1"/>
  <c r="P648" i="3"/>
  <c r="Q647" i="3" a="1"/>
  <c r="Q647" i="3" s="1"/>
  <c r="P646" i="3" a="1"/>
  <c r="P646" i="3" s="1"/>
  <c r="Q645" i="3" a="1"/>
  <c r="Q645" i="3"/>
  <c r="P644" i="3" a="1"/>
  <c r="P644" i="3"/>
  <c r="Q643" i="3" a="1"/>
  <c r="Q643" i="3" s="1"/>
  <c r="P642" i="3" a="1"/>
  <c r="P642" i="3" s="1"/>
  <c r="Q639" i="3" a="1"/>
  <c r="Q639" i="3" s="1"/>
  <c r="P638" i="3" a="1"/>
  <c r="P638" i="3"/>
  <c r="Q637" i="3" a="1"/>
  <c r="Q637" i="3" s="1"/>
  <c r="P636" i="3" a="1"/>
  <c r="P636" i="3" s="1"/>
  <c r="Q635" i="3" a="1"/>
  <c r="Q635" i="3"/>
  <c r="P634" i="3" a="1"/>
  <c r="P634" i="3"/>
  <c r="Q633" i="3" a="1"/>
  <c r="Q633" i="3" s="1"/>
  <c r="P632" i="3" a="1"/>
  <c r="P632" i="3" s="1"/>
  <c r="Q631" i="3" a="1"/>
  <c r="Q631" i="3" s="1"/>
  <c r="P630" i="3" a="1"/>
  <c r="P630" i="3" s="1"/>
  <c r="Q629" i="3" a="1"/>
  <c r="Q629" i="3"/>
  <c r="P628" i="3" a="1"/>
  <c r="P628" i="3" s="1"/>
  <c r="Q627" i="3" a="1"/>
  <c r="Q627" i="3"/>
  <c r="P626" i="3" a="1"/>
  <c r="P626" i="3" s="1"/>
  <c r="Q625" i="3" a="1"/>
  <c r="Q625" i="3" s="1"/>
  <c r="P624" i="3" a="1"/>
  <c r="P624" i="3"/>
  <c r="Q623" i="3" a="1"/>
  <c r="Q623" i="3" s="1"/>
  <c r="P622" i="3" a="1"/>
  <c r="P622" i="3"/>
  <c r="Q621" i="3" a="1"/>
  <c r="Q621" i="3" s="1"/>
  <c r="P620" i="3" a="1"/>
  <c r="P620" i="3" s="1"/>
  <c r="Q619" i="3" a="1"/>
  <c r="Q619" i="3" s="1"/>
  <c r="P618" i="3" a="1"/>
  <c r="P618" i="3" s="1"/>
  <c r="Q617" i="3" a="1"/>
  <c r="Q617" i="3"/>
  <c r="P616" i="3" a="1"/>
  <c r="P616" i="3" s="1"/>
  <c r="Q613" i="3" a="1"/>
  <c r="Q613" i="3"/>
  <c r="P612" i="3" a="1"/>
  <c r="P612" i="3" s="1"/>
  <c r="Q611" i="3" a="1"/>
  <c r="Q611" i="3"/>
  <c r="P610" i="3" a="1"/>
  <c r="P610" i="3" s="1"/>
  <c r="Q609" i="3" a="1"/>
  <c r="Q609" i="3" s="1"/>
  <c r="P608" i="3" a="1"/>
  <c r="P608" i="3"/>
  <c r="Q607" i="3" a="1"/>
  <c r="Q607" i="3" s="1"/>
  <c r="P606" i="3" a="1"/>
  <c r="P606" i="3"/>
  <c r="Q605" i="3" a="1"/>
  <c r="Q605" i="3" s="1"/>
  <c r="P604" i="3" a="1"/>
  <c r="P604" i="3" s="1"/>
  <c r="Q603" i="3" a="1"/>
  <c r="Q603" i="3" s="1"/>
  <c r="P602" i="3" a="1"/>
  <c r="P602" i="3" s="1"/>
  <c r="Q601" i="3" a="1"/>
  <c r="Q601" i="3" s="1"/>
  <c r="P600" i="3" a="1"/>
  <c r="P600" i="3" s="1"/>
  <c r="Q599" i="3" a="1"/>
  <c r="Q599" i="3"/>
  <c r="P598" i="3" a="1"/>
  <c r="P598" i="3" s="1"/>
  <c r="Q597" i="3" a="1"/>
  <c r="Q597" i="3" s="1"/>
  <c r="P596" i="3" a="1"/>
  <c r="P596" i="3" s="1"/>
  <c r="Q595" i="3" a="1"/>
  <c r="Q595" i="3" s="1"/>
  <c r="P594" i="3" a="1"/>
  <c r="P594" i="3"/>
  <c r="Q593" i="3" a="1"/>
  <c r="Q593" i="3" s="1"/>
  <c r="P592" i="3" a="1"/>
  <c r="P592" i="3" s="1"/>
  <c r="Q591" i="3" a="1"/>
  <c r="Q591" i="3"/>
  <c r="P590" i="3" a="1"/>
  <c r="P590" i="3" s="1"/>
  <c r="Q587" i="3" a="1"/>
  <c r="Q587" i="3" s="1"/>
  <c r="P586" i="3" a="1"/>
  <c r="P586" i="3" s="1"/>
  <c r="Q585" i="3" a="1"/>
  <c r="Q585" i="3" s="1"/>
  <c r="P584" i="3" a="1"/>
  <c r="P584" i="3" s="1"/>
  <c r="Q583" i="3" a="1"/>
  <c r="Q583" i="3"/>
  <c r="P582" i="3" a="1"/>
  <c r="P582" i="3" s="1"/>
  <c r="Q581" i="3" a="1"/>
  <c r="Q581" i="3"/>
  <c r="P580" i="3" a="1"/>
  <c r="P580" i="3" s="1"/>
  <c r="Q579" i="3" a="1"/>
  <c r="Q579" i="3"/>
  <c r="P578" i="3" a="1"/>
  <c r="P578" i="3" s="1"/>
  <c r="Q577" i="3" a="1"/>
  <c r="Q577" i="3" s="1"/>
  <c r="P576" i="3" a="1"/>
  <c r="P576" i="3" s="1"/>
  <c r="Q575" i="3" a="1"/>
  <c r="Q575" i="3"/>
  <c r="P574" i="3" a="1"/>
  <c r="P574" i="3" s="1"/>
  <c r="Q573" i="3" a="1"/>
  <c r="Q573" i="3" s="1"/>
  <c r="P572" i="3" a="1"/>
  <c r="P572" i="3"/>
  <c r="Q571" i="3" a="1"/>
  <c r="Q571" i="3"/>
  <c r="P570" i="3" a="1"/>
  <c r="P570" i="3" s="1"/>
  <c r="Q569" i="3" a="1"/>
  <c r="Q569" i="3"/>
  <c r="P568" i="3" a="1"/>
  <c r="P568" i="3" s="1"/>
  <c r="Q567" i="3" a="1"/>
  <c r="Q567" i="3"/>
  <c r="P566" i="3" a="1"/>
  <c r="P566" i="3" s="1"/>
  <c r="Q565" i="3" a="1"/>
  <c r="Q565" i="3" s="1"/>
  <c r="P564" i="3" a="1"/>
  <c r="P564" i="3"/>
  <c r="Q561" i="3" a="1"/>
  <c r="Q561" i="3" s="1"/>
  <c r="P560" i="3" a="1"/>
  <c r="P560" i="3"/>
  <c r="Q559" i="3" a="1"/>
  <c r="Q559" i="3" s="1"/>
  <c r="P558" i="3" a="1"/>
  <c r="P558" i="3" s="1"/>
  <c r="Q557" i="3" a="1"/>
  <c r="Q557" i="3" s="1"/>
  <c r="P556" i="3" a="1"/>
  <c r="P556" i="3" s="1"/>
  <c r="Q555" i="3" a="1"/>
  <c r="Q555" i="3" s="1"/>
  <c r="P554" i="3" a="1"/>
  <c r="P554" i="3" s="1"/>
  <c r="Q553" i="3" a="1"/>
  <c r="Q553" i="3"/>
  <c r="P552" i="3" a="1"/>
  <c r="P552" i="3" s="1"/>
  <c r="Q551" i="3" a="1"/>
  <c r="Q551" i="3" s="1"/>
  <c r="P550" i="3" a="1"/>
  <c r="P550" i="3" s="1"/>
  <c r="Q549" i="3" a="1"/>
  <c r="Q549" i="3" s="1"/>
  <c r="P548" i="3" a="1"/>
  <c r="P548" i="3" s="1"/>
  <c r="Q547" i="3" a="1"/>
  <c r="Q547" i="3" s="1"/>
  <c r="P546" i="3" a="1"/>
  <c r="P546" i="3" s="1"/>
  <c r="Q545" i="3" a="1"/>
  <c r="Q545" i="3" s="1"/>
  <c r="P544" i="3" a="1"/>
  <c r="P544" i="3"/>
  <c r="Q543" i="3" a="1"/>
  <c r="Q543" i="3" s="1"/>
  <c r="P542" i="3" a="1"/>
  <c r="P542" i="3" s="1"/>
  <c r="Q541" i="3" a="1"/>
  <c r="Q541" i="3"/>
  <c r="P540" i="3" a="1"/>
  <c r="P540" i="3" s="1"/>
  <c r="Q539" i="3" a="1"/>
  <c r="Q539" i="3"/>
  <c r="P538" i="3" a="1"/>
  <c r="P538" i="3" s="1"/>
  <c r="Q535" i="3" a="1"/>
  <c r="Q535" i="3" s="1"/>
  <c r="P534" i="3" a="1"/>
  <c r="P534" i="3" s="1"/>
  <c r="Q533" i="3" a="1"/>
  <c r="Q533" i="3" s="1"/>
  <c r="P532" i="3" a="1"/>
  <c r="P532" i="3" s="1"/>
  <c r="Q531" i="3" a="1"/>
  <c r="Q531" i="3" s="1"/>
  <c r="P530" i="3" a="1"/>
  <c r="P530" i="3" s="1"/>
  <c r="Q529" i="3" a="1"/>
  <c r="Q529" i="3"/>
  <c r="P528" i="3" a="1"/>
  <c r="P528" i="3" s="1"/>
  <c r="Q527" i="3" a="1"/>
  <c r="Q527" i="3" s="1"/>
  <c r="P526" i="3" a="1"/>
  <c r="P526" i="3"/>
  <c r="Q525" i="3" a="1"/>
  <c r="Q525" i="3" s="1"/>
  <c r="P524" i="3" a="1"/>
  <c r="P524" i="3" s="1"/>
  <c r="Q523" i="3" a="1"/>
  <c r="Q523" i="3" s="1"/>
  <c r="P522" i="3" a="1"/>
  <c r="P522" i="3" s="1"/>
  <c r="Q521" i="3" a="1"/>
  <c r="Q521" i="3"/>
  <c r="P520" i="3" a="1"/>
  <c r="P520" i="3" s="1"/>
  <c r="Q519" i="3" a="1"/>
  <c r="Q519" i="3" s="1"/>
  <c r="P518" i="3" a="1"/>
  <c r="P518" i="3"/>
  <c r="Q517" i="3" a="1"/>
  <c r="Q517" i="3" s="1"/>
  <c r="P516" i="3" a="1"/>
  <c r="P516" i="3"/>
  <c r="Q515" i="3" a="1"/>
  <c r="Q515" i="3" s="1"/>
  <c r="P514" i="3" a="1"/>
  <c r="P514" i="3" s="1"/>
  <c r="Q513" i="3" a="1"/>
  <c r="Q513" i="3" s="1"/>
  <c r="P512" i="3" a="1"/>
  <c r="P512" i="3" s="1"/>
  <c r="Q509" i="3" a="1"/>
  <c r="Q509" i="3" s="1"/>
  <c r="P508" i="3" a="1"/>
  <c r="P508" i="3" s="1"/>
  <c r="Q507" i="3" a="1"/>
  <c r="Q507" i="3"/>
  <c r="P506" i="3" a="1"/>
  <c r="P506" i="3" s="1"/>
  <c r="Q505" i="3" a="1"/>
  <c r="Q505" i="3" s="1"/>
  <c r="P504" i="3" a="1"/>
  <c r="P504" i="3" s="1"/>
  <c r="Q503" i="3" a="1"/>
  <c r="Q503" i="3" s="1"/>
  <c r="P502" i="3" a="1"/>
  <c r="P502" i="3" s="1"/>
  <c r="Q501" i="3" a="1"/>
  <c r="Q501" i="3" s="1"/>
  <c r="P500" i="3" a="1"/>
  <c r="P500" i="3" s="1"/>
  <c r="Q499" i="3" a="1"/>
  <c r="Q499" i="3" s="1"/>
  <c r="P498" i="3" a="1"/>
  <c r="P498" i="3"/>
  <c r="Q497" i="3" a="1"/>
  <c r="Q497" i="3" s="1"/>
  <c r="P496" i="3" a="1"/>
  <c r="P496" i="3" s="1"/>
  <c r="Q495" i="3" a="1"/>
  <c r="Q495" i="3" s="1"/>
  <c r="P494" i="3" a="1"/>
  <c r="P494" i="3" s="1"/>
  <c r="Q493" i="3" a="1"/>
  <c r="Q493" i="3" s="1"/>
  <c r="P492" i="3" a="1"/>
  <c r="P492" i="3"/>
  <c r="Q491" i="3" a="1"/>
  <c r="Q491" i="3" s="1"/>
  <c r="P490" i="3" a="1"/>
  <c r="P490" i="3" s="1"/>
  <c r="Q489" i="3" a="1"/>
  <c r="Q489" i="3"/>
  <c r="P488" i="3" a="1"/>
  <c r="P488" i="3"/>
  <c r="Q487" i="3" a="1"/>
  <c r="Q487" i="3" s="1"/>
  <c r="P486" i="3" a="1"/>
  <c r="P486" i="3"/>
  <c r="Q483" i="3" a="1"/>
  <c r="Q483" i="3" s="1"/>
  <c r="P482" i="3" a="1"/>
  <c r="P482" i="3"/>
  <c r="Q481" i="3" a="1"/>
  <c r="Q481" i="3" s="1"/>
  <c r="P480" i="3" a="1"/>
  <c r="P480" i="3" s="1"/>
  <c r="Q479" i="3" a="1"/>
  <c r="Q479" i="3"/>
  <c r="P478" i="3" a="1"/>
  <c r="P478" i="3" s="1"/>
  <c r="Q477" i="3" a="1"/>
  <c r="Q477" i="3" s="1"/>
  <c r="P476" i="3" a="1"/>
  <c r="P476" i="3"/>
  <c r="Q475" i="3" a="1"/>
  <c r="Q475" i="3" s="1"/>
  <c r="P474" i="3" a="1"/>
  <c r="P474" i="3" s="1"/>
  <c r="Q473" i="3" a="1"/>
  <c r="Q473" i="3" s="1"/>
  <c r="P472" i="3" a="1"/>
  <c r="P472" i="3" s="1"/>
  <c r="Q471" i="3" a="1"/>
  <c r="Q471" i="3" s="1"/>
  <c r="P470" i="3" a="1"/>
  <c r="P470" i="3" s="1"/>
  <c r="Q469" i="3" a="1"/>
  <c r="Q469" i="3" s="1"/>
  <c r="P468" i="3" a="1"/>
  <c r="P468" i="3"/>
  <c r="Q467" i="3" a="1"/>
  <c r="Q467" i="3" s="1"/>
  <c r="P466" i="3" a="1"/>
  <c r="P466" i="3"/>
  <c r="Q465" i="3" a="1"/>
  <c r="Q465" i="3" s="1"/>
  <c r="P464" i="3" a="1"/>
  <c r="P464" i="3" s="1"/>
  <c r="Q463" i="3" a="1"/>
  <c r="Q463" i="3"/>
  <c r="P462" i="3" a="1"/>
  <c r="P462" i="3" s="1"/>
  <c r="Q461" i="3" a="1"/>
  <c r="Q461" i="3" s="1"/>
  <c r="P460" i="3" a="1"/>
  <c r="P460" i="3" s="1"/>
  <c r="Q457" i="3" a="1"/>
  <c r="Q457" i="3" s="1"/>
  <c r="P456" i="3" a="1"/>
  <c r="P456" i="3" s="1"/>
  <c r="Q455" i="3" a="1"/>
  <c r="Q455" i="3" s="1"/>
  <c r="P454" i="3" a="1"/>
  <c r="P454" i="3" s="1"/>
  <c r="Q453" i="3" a="1"/>
  <c r="Q453" i="3" s="1"/>
  <c r="P452" i="3" a="1"/>
  <c r="P452" i="3"/>
  <c r="Q451" i="3" a="1"/>
  <c r="Q451" i="3" s="1"/>
  <c r="P450" i="3" a="1"/>
  <c r="P450" i="3" s="1"/>
  <c r="Q449" i="3" a="1"/>
  <c r="Q449" i="3" s="1"/>
  <c r="P448" i="3" a="1"/>
  <c r="P448" i="3" s="1"/>
  <c r="Q447" i="3" a="1"/>
  <c r="Q447" i="3" s="1"/>
  <c r="P446" i="3" a="1"/>
  <c r="P446" i="3"/>
  <c r="Q445" i="3" a="1"/>
  <c r="Q445" i="3" s="1"/>
  <c r="P444" i="3" a="1"/>
  <c r="P444" i="3" s="1"/>
  <c r="Q443" i="3" a="1"/>
  <c r="Q443" i="3" s="1"/>
  <c r="P442" i="3" a="1"/>
  <c r="P442" i="3" s="1"/>
  <c r="Q441" i="3" a="1"/>
  <c r="Q441" i="3" s="1"/>
  <c r="P440" i="3" a="1"/>
  <c r="P440" i="3" s="1"/>
  <c r="Q439" i="3" a="1"/>
  <c r="Q439" i="3" s="1"/>
  <c r="P438" i="3" a="1"/>
  <c r="P438" i="3"/>
  <c r="Q437" i="3" a="1"/>
  <c r="Q437" i="3" s="1"/>
  <c r="P436" i="3" a="1"/>
  <c r="P436" i="3" s="1"/>
  <c r="Q435" i="3" a="1"/>
  <c r="Q435" i="3"/>
  <c r="P434" i="3" a="1"/>
  <c r="P434" i="3" s="1"/>
  <c r="Q431" i="3" a="1"/>
  <c r="Q431" i="3"/>
  <c r="P430" i="3" a="1"/>
  <c r="P430" i="3" s="1"/>
  <c r="Q429" i="3" a="1"/>
  <c r="Q429" i="3" s="1"/>
  <c r="P428" i="3" a="1"/>
  <c r="P428" i="3" s="1"/>
  <c r="Q427" i="3" a="1"/>
  <c r="Q427" i="3"/>
  <c r="P426" i="3" a="1"/>
  <c r="P426" i="3" s="1"/>
  <c r="Q425" i="3" a="1"/>
  <c r="Q425" i="3" s="1"/>
  <c r="P424" i="3" a="1"/>
  <c r="P424" i="3"/>
  <c r="Q423" i="3" a="1"/>
  <c r="Q423" i="3"/>
  <c r="P422" i="3" a="1"/>
  <c r="P422" i="3" s="1"/>
  <c r="Q421" i="3" a="1"/>
  <c r="Q421" i="3" s="1"/>
  <c r="P420" i="3" a="1"/>
  <c r="P420" i="3" s="1"/>
  <c r="Q419" i="3" a="1"/>
  <c r="Q419" i="3"/>
  <c r="P418" i="3" a="1"/>
  <c r="P418" i="3" s="1"/>
  <c r="Q417" i="3" a="1"/>
  <c r="Q417" i="3" s="1"/>
  <c r="P416" i="3" a="1"/>
  <c r="P416" i="3"/>
  <c r="Q415" i="3" a="1"/>
  <c r="Q415" i="3"/>
  <c r="P414" i="3" a="1"/>
  <c r="P414" i="3" s="1"/>
  <c r="Q413" i="3" a="1"/>
  <c r="Q413" i="3"/>
  <c r="P412" i="3" a="1"/>
  <c r="P412" i="3" s="1"/>
  <c r="Q411" i="3" a="1"/>
  <c r="Q411" i="3" s="1"/>
  <c r="P410" i="3" a="1"/>
  <c r="P410" i="3" s="1"/>
  <c r="Q409" i="3" a="1"/>
  <c r="Q409" i="3" s="1"/>
  <c r="P408" i="3" a="1"/>
  <c r="P408" i="3"/>
  <c r="Q405" i="3" a="1"/>
  <c r="Q405" i="3" s="1"/>
  <c r="P404" i="3" a="1"/>
  <c r="P404" i="3" s="1"/>
  <c r="Q403" i="3" a="1"/>
  <c r="Q403" i="3" s="1"/>
  <c r="P402" i="3" a="1"/>
  <c r="P402" i="3" s="1"/>
  <c r="Q401" i="3" a="1"/>
  <c r="Q401" i="3" s="1"/>
  <c r="P400" i="3" a="1"/>
  <c r="P400" i="3"/>
  <c r="Q399" i="3" a="1"/>
  <c r="Q399" i="3" s="1"/>
  <c r="P398" i="3" a="1"/>
  <c r="P398" i="3" s="1"/>
  <c r="Q397" i="3" a="1"/>
  <c r="Q397" i="3" s="1"/>
  <c r="P396" i="3" a="1"/>
  <c r="P396" i="3" s="1"/>
  <c r="Q395" i="3" a="1"/>
  <c r="Q395" i="3" s="1"/>
  <c r="P394" i="3" a="1"/>
  <c r="P394" i="3" s="1"/>
  <c r="Q393" i="3" a="1"/>
  <c r="Q393" i="3" s="1"/>
  <c r="P392" i="3" a="1"/>
  <c r="P392" i="3"/>
  <c r="Q391" i="3" a="1"/>
  <c r="Q391" i="3" s="1"/>
  <c r="P390" i="3" a="1"/>
  <c r="P390" i="3" s="1"/>
  <c r="Q389" i="3" a="1"/>
  <c r="Q389" i="3" s="1"/>
  <c r="P388" i="3" a="1"/>
  <c r="P388" i="3" s="1"/>
  <c r="Q387" i="3" a="1"/>
  <c r="Q387" i="3" s="1"/>
  <c r="P386" i="3" a="1"/>
  <c r="P386" i="3" s="1"/>
  <c r="Q385" i="3" a="1"/>
  <c r="Q385" i="3"/>
  <c r="P384" i="3" a="1"/>
  <c r="P384" i="3" s="1"/>
  <c r="Q383" i="3" a="1"/>
  <c r="Q383" i="3"/>
  <c r="P382" i="3" a="1"/>
  <c r="P382" i="3" s="1"/>
  <c r="Q379" i="3" a="1"/>
  <c r="Q379" i="3" s="1"/>
  <c r="P378" i="3" a="1"/>
  <c r="P378" i="3"/>
  <c r="Q377" i="3" a="1"/>
  <c r="Q377" i="3" s="1"/>
  <c r="P376" i="3" a="1"/>
  <c r="P376" i="3" s="1"/>
  <c r="Q375" i="3" a="1"/>
  <c r="Q375" i="3" s="1"/>
  <c r="P374" i="3" a="1"/>
  <c r="P374" i="3" s="1"/>
  <c r="Q373" i="3" a="1"/>
  <c r="Q373" i="3"/>
  <c r="P372" i="3" a="1"/>
  <c r="P372" i="3" s="1"/>
  <c r="Q371" i="3" a="1"/>
  <c r="Q371" i="3" s="1"/>
  <c r="P370" i="3" a="1"/>
  <c r="P370" i="3"/>
  <c r="Q369" i="3" a="1"/>
  <c r="Q369" i="3" s="1"/>
  <c r="P368" i="3" a="1"/>
  <c r="P368" i="3" s="1"/>
  <c r="Q367" i="3" a="1"/>
  <c r="Q367" i="3" s="1"/>
  <c r="P366" i="3" a="1"/>
  <c r="P366" i="3" s="1"/>
  <c r="Q365" i="3" a="1"/>
  <c r="Q365" i="3" s="1"/>
  <c r="P364" i="3" a="1"/>
  <c r="P364" i="3"/>
  <c r="Q363" i="3" a="1"/>
  <c r="Q363" i="3" s="1"/>
  <c r="P362" i="3" a="1"/>
  <c r="P362" i="3"/>
  <c r="Q361" i="3" a="1"/>
  <c r="Q361" i="3" s="1"/>
  <c r="P360" i="3" a="1"/>
  <c r="P360" i="3"/>
  <c r="Q359" i="3" a="1"/>
  <c r="Q359" i="3" s="1"/>
  <c r="P358" i="3" a="1"/>
  <c r="P358" i="3" s="1"/>
  <c r="Q357" i="3" a="1"/>
  <c r="Q357" i="3" s="1"/>
  <c r="P356" i="3" a="1"/>
  <c r="P356" i="3"/>
  <c r="Q353" i="3" a="1"/>
  <c r="Q353" i="3" s="1"/>
  <c r="P352" i="3" a="1"/>
  <c r="P352" i="3" s="1"/>
  <c r="Q351" i="3" a="1"/>
  <c r="Q351" i="3" s="1"/>
  <c r="P350" i="3" a="1"/>
  <c r="P350" i="3" s="1"/>
  <c r="Q349" i="3" a="1"/>
  <c r="Q349" i="3" s="1"/>
  <c r="P348" i="3" a="1"/>
  <c r="P348" i="3" s="1"/>
  <c r="Q347" i="3" a="1"/>
  <c r="Q347" i="3" s="1"/>
  <c r="P346" i="3" a="1"/>
  <c r="P346" i="3"/>
  <c r="Q345" i="3" a="1"/>
  <c r="Q345" i="3" s="1"/>
  <c r="P344" i="3" a="1"/>
  <c r="P344" i="3" s="1"/>
  <c r="Q343" i="3" a="1"/>
  <c r="Q343" i="3" s="1"/>
  <c r="P342" i="3" a="1"/>
  <c r="P342" i="3" s="1"/>
  <c r="Q341" i="3" a="1"/>
  <c r="Q341" i="3" s="1"/>
  <c r="P340" i="3" a="1"/>
  <c r="P340" i="3" s="1"/>
  <c r="Q339" i="3" a="1"/>
  <c r="Q339" i="3"/>
  <c r="P338" i="3" a="1"/>
  <c r="P338" i="3" s="1"/>
  <c r="Q337" i="3" a="1"/>
  <c r="Q337" i="3" s="1"/>
  <c r="P336" i="3" a="1"/>
  <c r="P336" i="3"/>
  <c r="Q335" i="3" a="1"/>
  <c r="Q335" i="3" s="1"/>
  <c r="P334" i="3" a="1"/>
  <c r="P334" i="3" s="1"/>
  <c r="Q333" i="3" a="1"/>
  <c r="Q333" i="3"/>
  <c r="P332" i="3" a="1"/>
  <c r="P332" i="3"/>
  <c r="Q331" i="3" a="1"/>
  <c r="Q331" i="3" s="1"/>
  <c r="P330" i="3" a="1"/>
  <c r="P330" i="3"/>
  <c r="Q325" i="3" a="1"/>
  <c r="Q325" i="3" s="1"/>
  <c r="P324" i="3" a="1"/>
  <c r="P324" i="3" s="1"/>
  <c r="Q323" i="3" a="1"/>
  <c r="Q323" i="3" s="1"/>
  <c r="P322" i="3" a="1"/>
  <c r="P322" i="3" s="1"/>
  <c r="Q321" i="3" a="1"/>
  <c r="Q321" i="3"/>
  <c r="P320" i="3" a="1"/>
  <c r="P320" i="3" s="1"/>
  <c r="Q319" i="3" a="1"/>
  <c r="Q319" i="3" s="1"/>
  <c r="P318" i="3" a="1"/>
  <c r="P318" i="3"/>
  <c r="Q317" i="3" a="1"/>
  <c r="Q317" i="3" s="1"/>
  <c r="P316" i="3" a="1"/>
  <c r="P316" i="3"/>
  <c r="Q315" i="3" a="1"/>
  <c r="Q315" i="3" s="1"/>
  <c r="P314" i="3" a="1"/>
  <c r="P314" i="3" s="1"/>
  <c r="Q313" i="3" a="1"/>
  <c r="Q313" i="3" s="1"/>
  <c r="P312" i="3" a="1"/>
  <c r="P312" i="3" s="1"/>
  <c r="Q311" i="3" a="1"/>
  <c r="Q311" i="3" s="1"/>
  <c r="P310" i="3" a="1"/>
  <c r="P310" i="3" s="1"/>
  <c r="Q309" i="3" a="1"/>
  <c r="Q309" i="3" s="1"/>
  <c r="P308" i="3" a="1"/>
  <c r="P308" i="3"/>
  <c r="Q307" i="3" a="1"/>
  <c r="Q307" i="3" s="1"/>
  <c r="P306" i="3" a="1"/>
  <c r="P306" i="3" s="1"/>
  <c r="Q305" i="3" a="1"/>
  <c r="Q305" i="3"/>
  <c r="P304" i="3" a="1"/>
  <c r="P304" i="3" s="1"/>
  <c r="Q303" i="3" a="1"/>
  <c r="Q303" i="3" s="1"/>
  <c r="P302" i="3" a="1"/>
  <c r="P302" i="3" s="1"/>
  <c r="Q299" i="3" a="1"/>
  <c r="Q299" i="3" s="1"/>
  <c r="P298" i="3" a="1"/>
  <c r="P298" i="3"/>
  <c r="Q297" i="3" a="1"/>
  <c r="Q297" i="3" s="1"/>
  <c r="P296" i="3" a="1"/>
  <c r="P296" i="3" s="1"/>
  <c r="Q295" i="3" a="1"/>
  <c r="Q295" i="3" s="1"/>
  <c r="P294" i="3" a="1"/>
  <c r="P294" i="3" s="1"/>
  <c r="Q293" i="3" a="1"/>
  <c r="Q293" i="3" s="1"/>
  <c r="P292" i="3" a="1"/>
  <c r="P292" i="3" s="1"/>
  <c r="Q291" i="3" a="1"/>
  <c r="Q291" i="3"/>
  <c r="P290" i="3" a="1"/>
  <c r="P290" i="3" s="1"/>
  <c r="Q289" i="3" a="1"/>
  <c r="Q289" i="3" s="1"/>
  <c r="P288" i="3" a="1"/>
  <c r="P288" i="3"/>
  <c r="Q287" i="3" a="1"/>
  <c r="Q287" i="3" s="1"/>
  <c r="P286" i="3" a="1"/>
  <c r="P286" i="3" s="1"/>
  <c r="Q285" i="3" a="1"/>
  <c r="Q285" i="3"/>
  <c r="P284" i="3" a="1"/>
  <c r="P284" i="3"/>
  <c r="Q283" i="3" a="1"/>
  <c r="Q283" i="3" s="1"/>
  <c r="P282" i="3" a="1"/>
  <c r="P282" i="3" s="1"/>
  <c r="Q281" i="3" a="1"/>
  <c r="Q281" i="3"/>
  <c r="P280" i="3" a="1"/>
  <c r="P280" i="3" s="1"/>
  <c r="Q279" i="3" a="1"/>
  <c r="Q279" i="3" s="1"/>
  <c r="P278" i="3" a="1"/>
  <c r="P278" i="3"/>
  <c r="Q277" i="3" a="1"/>
  <c r="Q277" i="3" s="1"/>
  <c r="P276" i="3" a="1"/>
  <c r="P276" i="3" s="1"/>
  <c r="Q273" i="3" a="1"/>
  <c r="Q273" i="3" s="1"/>
  <c r="P272" i="3" a="1"/>
  <c r="P272" i="3" s="1"/>
  <c r="Q271" i="3" a="1"/>
  <c r="Q271" i="3" s="1"/>
  <c r="P270" i="3" a="1"/>
  <c r="P270" i="3"/>
  <c r="Q269" i="3" a="1"/>
  <c r="Q269" i="3" s="1"/>
  <c r="P268" i="3" a="1"/>
  <c r="P268" i="3"/>
  <c r="Q267" i="3" a="1"/>
  <c r="Q267" i="3" s="1"/>
  <c r="P266" i="3" a="1"/>
  <c r="P266" i="3"/>
  <c r="Q265" i="3" a="1"/>
  <c r="Q265" i="3" s="1"/>
  <c r="P264" i="3" a="1"/>
  <c r="P264" i="3" s="1"/>
  <c r="Q263" i="3" a="1"/>
  <c r="Q263" i="3" s="1"/>
  <c r="P262" i="3" a="1"/>
  <c r="P262" i="3"/>
  <c r="Q261" i="3" a="1"/>
  <c r="Q261" i="3" s="1"/>
  <c r="P260" i="3" a="1"/>
  <c r="P260" i="3"/>
  <c r="Q259" i="3" a="1"/>
  <c r="Q259" i="3" s="1"/>
  <c r="P258" i="3" a="1"/>
  <c r="P258" i="3" s="1"/>
  <c r="Q257" i="3" a="1"/>
  <c r="Q257" i="3" s="1"/>
  <c r="P256" i="3" a="1"/>
  <c r="P256" i="3" s="1"/>
  <c r="Q255" i="3" a="1"/>
  <c r="Q255" i="3"/>
  <c r="P254" i="3" a="1"/>
  <c r="P254" i="3"/>
  <c r="Q253" i="3" a="1"/>
  <c r="Q253" i="3" s="1"/>
  <c r="P252" i="3" a="1"/>
  <c r="P252" i="3" s="1"/>
  <c r="Q251" i="3" a="1"/>
  <c r="Q251" i="3"/>
  <c r="P250" i="3" a="1"/>
  <c r="P250" i="3" s="1"/>
  <c r="Q247" i="3" a="1"/>
  <c r="Q247" i="3" s="1"/>
  <c r="P246" i="3" a="1"/>
  <c r="P246" i="3"/>
  <c r="Q245" i="3" a="1"/>
  <c r="Q245" i="3" s="1"/>
  <c r="P244" i="3" a="1"/>
  <c r="P244" i="3"/>
  <c r="Q243" i="3" a="1"/>
  <c r="Q243" i="3" s="1"/>
  <c r="P242" i="3" a="1"/>
  <c r="P242" i="3"/>
  <c r="Q241" i="3" a="1"/>
  <c r="Q241" i="3" s="1"/>
  <c r="P240" i="3" a="1"/>
  <c r="P240" i="3"/>
  <c r="Q239" i="3" a="1"/>
  <c r="Q239" i="3" s="1"/>
  <c r="P238" i="3" a="1"/>
  <c r="P238" i="3" s="1"/>
  <c r="Q237" i="3" a="1"/>
  <c r="Q237" i="3" s="1"/>
  <c r="P236" i="3" a="1"/>
  <c r="P236" i="3" s="1"/>
  <c r="Q235" i="3" a="1"/>
  <c r="Q235" i="3"/>
  <c r="P234" i="3" a="1"/>
  <c r="P234" i="3" s="1"/>
  <c r="Q233" i="3" a="1"/>
  <c r="Q233" i="3"/>
  <c r="P232" i="3" a="1"/>
  <c r="P232" i="3" s="1"/>
  <c r="Q231" i="3" a="1"/>
  <c r="Q231" i="3" s="1"/>
  <c r="P230" i="3" a="1"/>
  <c r="P230" i="3"/>
  <c r="Q229" i="3" a="1"/>
  <c r="Q229" i="3" s="1"/>
  <c r="P228" i="3" a="1"/>
  <c r="P228" i="3"/>
  <c r="Q227" i="3" a="1"/>
  <c r="Q227" i="3" s="1"/>
  <c r="P226" i="3" a="1"/>
  <c r="P226" i="3" s="1"/>
  <c r="Q225" i="3" a="1"/>
  <c r="Q225" i="3"/>
  <c r="P224" i="3" a="1"/>
  <c r="P224" i="3"/>
  <c r="Q221" i="3" a="1"/>
  <c r="Q221" i="3" s="1"/>
  <c r="P220" i="3" a="1"/>
  <c r="P220" i="3" s="1"/>
  <c r="Q219" i="3" a="1"/>
  <c r="Q219" i="3" s="1"/>
  <c r="P218" i="3" a="1"/>
  <c r="P218" i="3" s="1"/>
  <c r="Q217" i="3" a="1"/>
  <c r="Q217" i="3"/>
  <c r="P216" i="3" a="1"/>
  <c r="P216" i="3" s="1"/>
  <c r="Q215" i="3" a="1"/>
  <c r="Q215" i="3"/>
  <c r="P214" i="3" a="1"/>
  <c r="P214" i="3" s="1"/>
  <c r="Q213" i="3" a="1"/>
  <c r="Q213" i="3"/>
  <c r="P212" i="3" a="1"/>
  <c r="P212" i="3" s="1"/>
  <c r="Q211" i="3" a="1"/>
  <c r="Q211" i="3" s="1"/>
  <c r="P210" i="3" a="1"/>
  <c r="P210" i="3" s="1"/>
  <c r="Q209" i="3" a="1"/>
  <c r="Q209" i="3"/>
  <c r="P208" i="3" a="1"/>
  <c r="P208" i="3" s="1"/>
  <c r="Q207" i="3" a="1"/>
  <c r="Q207" i="3"/>
  <c r="P206" i="3" a="1"/>
  <c r="P206" i="3" s="1"/>
  <c r="Q205" i="3" a="1"/>
  <c r="Q205" i="3"/>
  <c r="P204" i="3" a="1"/>
  <c r="P204" i="3" s="1"/>
  <c r="Q203" i="3" a="1"/>
  <c r="Q203" i="3"/>
  <c r="P202" i="3" a="1"/>
  <c r="P202" i="3" s="1"/>
  <c r="Q201" i="3" a="1"/>
  <c r="Q201" i="3"/>
  <c r="P200" i="3" a="1"/>
  <c r="P200" i="3" s="1"/>
  <c r="Q199" i="3" a="1"/>
  <c r="Q199" i="3" s="1"/>
  <c r="P198" i="3" a="1"/>
  <c r="P198" i="3"/>
  <c r="Q195" i="3" a="1"/>
  <c r="Q195" i="3" s="1"/>
  <c r="P194" i="3" a="1"/>
  <c r="P194" i="3"/>
  <c r="Q193" i="3" a="1"/>
  <c r="Q193" i="3" s="1"/>
  <c r="P192" i="3" a="1"/>
  <c r="P192" i="3" s="1"/>
  <c r="Q191" i="3" a="1"/>
  <c r="Q191" i="3"/>
  <c r="P190" i="3" a="1"/>
  <c r="P190" i="3"/>
  <c r="Q189" i="3" a="1"/>
  <c r="Q189" i="3" s="1"/>
  <c r="P188" i="3" a="1"/>
  <c r="P188" i="3" s="1"/>
  <c r="Q187" i="3" a="1"/>
  <c r="Q187" i="3" s="1"/>
  <c r="P186" i="3" a="1"/>
  <c r="P186" i="3" s="1"/>
  <c r="Q185" i="3" a="1"/>
  <c r="Q185" i="3"/>
  <c r="P184" i="3" a="1"/>
  <c r="P184" i="3" s="1"/>
  <c r="Q183" i="3" a="1"/>
  <c r="Q183" i="3" s="1"/>
  <c r="P182" i="3" a="1"/>
  <c r="P182" i="3"/>
  <c r="Q181" i="3" a="1"/>
  <c r="Q181" i="3" s="1"/>
  <c r="P180" i="3" a="1"/>
  <c r="P180" i="3" s="1"/>
  <c r="Q179" i="3" a="1"/>
  <c r="Q179" i="3"/>
  <c r="P178" i="3" a="1"/>
  <c r="P178" i="3"/>
  <c r="Q177" i="3" a="1"/>
  <c r="Q177" i="3" s="1"/>
  <c r="P176" i="3" a="1"/>
  <c r="P176" i="3" s="1"/>
  <c r="Q175" i="3" a="1"/>
  <c r="Q175" i="3"/>
  <c r="P174" i="3" a="1"/>
  <c r="P174" i="3" s="1"/>
  <c r="Q173" i="3" a="1"/>
  <c r="Q173" i="3" s="1"/>
  <c r="P172" i="3" a="1"/>
  <c r="P172" i="3"/>
  <c r="Q169" i="3" a="1"/>
  <c r="Q169" i="3" s="1"/>
  <c r="P168" i="3" a="1"/>
  <c r="P168" i="3" s="1"/>
  <c r="Q167" i="3" a="1"/>
  <c r="Q167" i="3" s="1"/>
  <c r="P166" i="3" a="1"/>
  <c r="P166" i="3" s="1"/>
  <c r="Q165" i="3" a="1"/>
  <c r="Q165" i="3" s="1"/>
  <c r="P164" i="3" a="1"/>
  <c r="P164" i="3"/>
  <c r="Q163" i="3" a="1"/>
  <c r="Q163" i="3" s="1"/>
  <c r="P162" i="3" a="1"/>
  <c r="P162" i="3"/>
  <c r="Q161" i="3" a="1"/>
  <c r="Q161" i="3" s="1"/>
  <c r="P160" i="3" a="1"/>
  <c r="P160" i="3"/>
  <c r="Q159" i="3" a="1"/>
  <c r="Q159" i="3" s="1"/>
  <c r="P158" i="3" a="1"/>
  <c r="P158" i="3" s="1"/>
  <c r="Q157" i="3" a="1"/>
  <c r="Q157" i="3" s="1"/>
  <c r="P156" i="3" a="1"/>
  <c r="P156" i="3"/>
  <c r="Q155" i="3" a="1"/>
  <c r="Q155" i="3" s="1"/>
  <c r="P154" i="3" a="1"/>
  <c r="P154" i="3"/>
  <c r="Q153" i="3" a="1"/>
  <c r="Q153" i="3" s="1"/>
  <c r="P152" i="3" a="1"/>
  <c r="P152" i="3" s="1"/>
  <c r="Q151" i="3" a="1"/>
  <c r="Q151" i="3" s="1"/>
  <c r="P150" i="3" a="1"/>
  <c r="P150" i="3" s="1"/>
  <c r="Q149" i="3" a="1"/>
  <c r="Q149" i="3"/>
  <c r="P148" i="3" a="1"/>
  <c r="P148" i="3"/>
  <c r="Q147" i="3" a="1"/>
  <c r="Q147" i="3" s="1"/>
  <c r="P146" i="3" a="1"/>
  <c r="P146" i="3" s="1"/>
  <c r="Q143" i="3" a="1"/>
  <c r="Q143" i="3"/>
  <c r="P142" i="3" a="1"/>
  <c r="P142" i="3" s="1"/>
  <c r="Q141" i="3" a="1"/>
  <c r="Q141" i="3" s="1"/>
  <c r="P140" i="3" a="1"/>
  <c r="P140" i="3"/>
  <c r="Q139" i="3" a="1"/>
  <c r="Q139" i="3" s="1"/>
  <c r="P138" i="3" a="1"/>
  <c r="P138" i="3"/>
  <c r="Q137" i="3" a="1"/>
  <c r="Q137" i="3" s="1"/>
  <c r="P136" i="3" a="1"/>
  <c r="P136" i="3"/>
  <c r="Q135" i="3" a="1"/>
  <c r="Q135" i="3" s="1"/>
  <c r="P134" i="3" a="1"/>
  <c r="P134" i="3"/>
  <c r="Q133" i="3" a="1"/>
  <c r="Q133" i="3" s="1"/>
  <c r="P132" i="3" a="1"/>
  <c r="P132" i="3" s="1"/>
  <c r="Q131" i="3" a="1"/>
  <c r="Q131" i="3" s="1"/>
  <c r="P130" i="3" a="1"/>
  <c r="P130" i="3" s="1"/>
  <c r="Q129" i="3" a="1"/>
  <c r="Q129" i="3" s="1"/>
  <c r="P128" i="3" a="1"/>
  <c r="P128" i="3" s="1"/>
  <c r="Q127" i="3" a="1"/>
  <c r="Q127" i="3" s="1"/>
  <c r="P126" i="3" a="1"/>
  <c r="P126" i="3"/>
  <c r="Q125" i="3" a="1"/>
  <c r="Q125" i="3"/>
  <c r="P124" i="3" a="1"/>
  <c r="P124" i="3" s="1"/>
  <c r="Q123" i="3" a="1"/>
  <c r="Q123" i="3" s="1"/>
  <c r="P122" i="3" a="1"/>
  <c r="P122" i="3" s="1"/>
  <c r="Q121" i="3" a="1"/>
  <c r="Q121" i="3" s="1"/>
  <c r="P120" i="3" a="1"/>
  <c r="P120" i="3"/>
  <c r="Q117" i="3" a="1"/>
  <c r="Q117" i="3"/>
  <c r="P116" i="3" a="1"/>
  <c r="P116" i="3" s="1"/>
  <c r="Q115" i="3" a="1"/>
  <c r="Q115" i="3"/>
  <c r="P114" i="3" a="1"/>
  <c r="P114" i="3" s="1"/>
  <c r="Q113" i="3" a="1"/>
  <c r="Q113" i="3" s="1"/>
  <c r="P112" i="3" a="1"/>
  <c r="P112" i="3" s="1"/>
  <c r="Q111" i="3" a="1"/>
  <c r="Q111" i="3"/>
  <c r="P110" i="3" a="1"/>
  <c r="P110" i="3" s="1"/>
  <c r="Q109" i="3" a="1"/>
  <c r="Q109" i="3"/>
  <c r="P108" i="3" a="1"/>
  <c r="P108" i="3" s="1"/>
  <c r="Q107" i="3" a="1"/>
  <c r="Q107" i="3"/>
  <c r="P106" i="3" a="1"/>
  <c r="P106" i="3" s="1"/>
  <c r="Q105" i="3" a="1"/>
  <c r="Q105" i="3" s="1"/>
  <c r="P104" i="3" a="1"/>
  <c r="P104" i="3" s="1"/>
  <c r="Q103" i="3" a="1"/>
  <c r="Q103" i="3" s="1"/>
  <c r="P102" i="3" a="1"/>
  <c r="P102" i="3" s="1"/>
  <c r="Q101" i="3" a="1"/>
  <c r="Q101" i="3" s="1"/>
  <c r="P100" i="3" a="1"/>
  <c r="P100" i="3" s="1"/>
  <c r="Q99" i="3" a="1"/>
  <c r="Q99" i="3" s="1"/>
  <c r="P98" i="3" a="1"/>
  <c r="P98" i="3" s="1"/>
  <c r="Q97" i="3" a="1"/>
  <c r="Q97" i="3" s="1"/>
  <c r="P96" i="3" a="1"/>
  <c r="P96" i="3"/>
  <c r="Q95" i="3" a="1"/>
  <c r="Q95" i="3"/>
  <c r="P94" i="3" a="1"/>
  <c r="P94" i="3" s="1"/>
  <c r="Q91" i="3" a="1"/>
  <c r="Q91" i="3" s="1"/>
  <c r="P90" i="3" a="1"/>
  <c r="P90" i="3" s="1"/>
  <c r="Q89" i="3" a="1"/>
  <c r="Q89" i="3" s="1"/>
  <c r="P88" i="3" a="1"/>
  <c r="P88" i="3"/>
  <c r="Q87" i="3" a="1"/>
  <c r="Q87" i="3" s="1"/>
  <c r="P86" i="3" a="1"/>
  <c r="P86" i="3"/>
  <c r="Q85" i="3" a="1"/>
  <c r="Q85" i="3" s="1"/>
  <c r="P84" i="3" a="1"/>
  <c r="P84" i="3" s="1"/>
  <c r="Q83" i="3" a="1"/>
  <c r="Q83" i="3" s="1"/>
  <c r="P82" i="3" a="1"/>
  <c r="P82" i="3" s="1"/>
  <c r="Q81" i="3" a="1"/>
  <c r="Q81" i="3" s="1"/>
  <c r="P80" i="3" a="1"/>
  <c r="P80" i="3"/>
  <c r="Q79" i="3" a="1"/>
  <c r="Q79" i="3" s="1"/>
  <c r="P78" i="3" a="1"/>
  <c r="P78" i="3"/>
  <c r="Q77" i="3" a="1"/>
  <c r="Q77" i="3" s="1"/>
  <c r="P76" i="3" a="1"/>
  <c r="P76" i="3" s="1"/>
  <c r="Q75" i="3" a="1"/>
  <c r="Q75" i="3" s="1"/>
  <c r="P74" i="3" a="1"/>
  <c r="P74" i="3"/>
  <c r="Q73" i="3" a="1"/>
  <c r="Q73" i="3" s="1"/>
  <c r="P72" i="3" a="1"/>
  <c r="P72" i="3"/>
  <c r="Q71" i="3" a="1"/>
  <c r="Q71" i="3" s="1"/>
  <c r="P70" i="3" a="1"/>
  <c r="P70" i="3" s="1"/>
  <c r="Q69" i="3" a="1"/>
  <c r="Q69" i="3" s="1"/>
  <c r="P68" i="3" a="1"/>
  <c r="P68" i="3" s="1"/>
  <c r="Q65" i="3" a="1"/>
  <c r="Q65" i="3"/>
  <c r="P64" i="3" a="1"/>
  <c r="P64" i="3" s="1"/>
  <c r="Q63" i="3" a="1"/>
  <c r="Q63" i="3" s="1"/>
  <c r="P62" i="3" a="1"/>
  <c r="P62" i="3"/>
  <c r="Q61" i="3" a="1"/>
  <c r="Q61" i="3" s="1"/>
  <c r="P60" i="3" a="1"/>
  <c r="P60" i="3" s="1"/>
  <c r="Q59" i="3" a="1"/>
  <c r="Q59" i="3" s="1"/>
  <c r="P58" i="3" a="1"/>
  <c r="P58" i="3"/>
  <c r="Q57" i="3" a="1"/>
  <c r="Q57" i="3" s="1"/>
  <c r="P56" i="3" a="1"/>
  <c r="P56" i="3" s="1"/>
  <c r="Q55" i="3" a="1"/>
  <c r="Q55" i="3" s="1"/>
  <c r="P54" i="3" a="1"/>
  <c r="P54" i="3" s="1"/>
  <c r="Q53" i="3" a="1"/>
  <c r="Q53" i="3" s="1"/>
  <c r="P52" i="3" a="1"/>
  <c r="P52" i="3" s="1"/>
  <c r="Q51" i="3" a="1"/>
  <c r="Q51" i="3"/>
  <c r="P50" i="3" a="1"/>
  <c r="P50" i="3" s="1"/>
  <c r="Q49" i="3" a="1"/>
  <c r="Q49" i="3"/>
  <c r="P48" i="3" a="1"/>
  <c r="P48" i="3" s="1"/>
  <c r="Q47" i="3" a="1"/>
  <c r="Q47" i="3" s="1"/>
  <c r="P46" i="3" a="1"/>
  <c r="P46" i="3" s="1"/>
  <c r="Q45" i="3" a="1"/>
  <c r="Q45" i="3" s="1"/>
  <c r="P44" i="3" a="1"/>
  <c r="P44" i="3" s="1"/>
  <c r="Q43" i="3" a="1"/>
  <c r="Q43" i="3"/>
  <c r="P42" i="3" a="1"/>
  <c r="P42" i="3"/>
  <c r="AB37" i="3" a="1"/>
  <c r="AB37" i="3" s="1"/>
  <c r="AA37" i="3" a="1"/>
  <c r="AA37" i="3" s="1"/>
  <c r="Q37" i="3" a="1"/>
  <c r="Q37" i="3" s="1"/>
  <c r="P37" i="3" a="1"/>
  <c r="P37" i="3" s="1"/>
  <c r="AB36" i="3" a="1"/>
  <c r="AB36" i="3" s="1"/>
  <c r="AA36" i="3" a="1"/>
  <c r="AA36" i="3"/>
  <c r="Q36" i="3" a="1"/>
  <c r="Q36" i="3" s="1"/>
  <c r="P36" i="3" a="1"/>
  <c r="P36" i="3"/>
  <c r="AB35" i="3" a="1"/>
  <c r="AB35" i="3" s="1"/>
  <c r="AA35" i="3" a="1"/>
  <c r="AA35" i="3" s="1"/>
  <c r="Q35" i="3" a="1"/>
  <c r="Q35" i="3" s="1"/>
  <c r="P35" i="3" a="1"/>
  <c r="P35" i="3" s="1"/>
  <c r="AB34" i="3" a="1"/>
  <c r="AB34" i="3" s="1"/>
  <c r="AA34" i="3" a="1"/>
  <c r="AA34" i="3"/>
  <c r="Q34" i="3" a="1"/>
  <c r="Q34" i="3" s="1"/>
  <c r="P34" i="3" a="1"/>
  <c r="P34" i="3"/>
  <c r="AB33" i="3" a="1"/>
  <c r="AB33" i="3" s="1"/>
  <c r="AA33" i="3" a="1"/>
  <c r="AA33" i="3" s="1"/>
  <c r="Q33" i="3" a="1"/>
  <c r="Q33" i="3"/>
  <c r="P33" i="3" a="1"/>
  <c r="P33" i="3" s="1"/>
  <c r="AB32" i="3" a="1"/>
  <c r="AB32" i="3" s="1"/>
  <c r="AA32" i="3" a="1"/>
  <c r="AA32" i="3" s="1"/>
  <c r="Q32" i="3" a="1"/>
  <c r="Q32" i="3" s="1"/>
  <c r="P32" i="3" a="1"/>
  <c r="P32" i="3" s="1"/>
  <c r="AB31" i="3" a="1"/>
  <c r="AB31" i="3" s="1"/>
  <c r="AA31" i="3" a="1"/>
  <c r="AA31" i="3"/>
  <c r="Q31" i="3" a="1"/>
  <c r="Q31" i="3" s="1"/>
  <c r="P31" i="3" a="1"/>
  <c r="P31" i="3"/>
  <c r="AB30" i="3" a="1"/>
  <c r="AB30" i="3"/>
  <c r="AA30" i="3" a="1"/>
  <c r="AA30" i="3" s="1"/>
  <c r="Q30" i="3" a="1"/>
  <c r="Q30" i="3" s="1"/>
  <c r="P30" i="3" a="1"/>
  <c r="P30" i="3" s="1"/>
  <c r="AB29" i="3" a="1"/>
  <c r="AB29" i="3" s="1"/>
  <c r="AA29" i="3" a="1"/>
  <c r="AA29" i="3"/>
  <c r="Q29" i="3" a="1"/>
  <c r="Q29" i="3" s="1"/>
  <c r="P29" i="3" a="1"/>
  <c r="P29" i="3" s="1"/>
  <c r="AB28" i="3" a="1"/>
  <c r="AB28" i="3"/>
  <c r="AA28" i="3" a="1"/>
  <c r="AA28" i="3" s="1"/>
  <c r="Q28" i="3" a="1"/>
  <c r="Q28" i="3" s="1"/>
  <c r="P28" i="3" a="1"/>
  <c r="P28" i="3" s="1"/>
  <c r="AB27" i="3" a="1"/>
  <c r="AB27" i="3" s="1"/>
  <c r="AA27" i="3" a="1"/>
  <c r="AA27" i="3"/>
  <c r="Q27" i="3" a="1"/>
  <c r="Q27" i="3" s="1"/>
  <c r="P27" i="3" a="1"/>
  <c r="P27" i="3" s="1"/>
  <c r="AB26" i="3" a="1"/>
  <c r="AB26" i="3" s="1"/>
  <c r="AA26" i="3" a="1"/>
  <c r="AA26" i="3" s="1"/>
  <c r="Q26" i="3" a="1"/>
  <c r="Q26" i="3"/>
  <c r="P26" i="3" a="1"/>
  <c r="P26" i="3"/>
  <c r="AB25" i="3" a="1"/>
  <c r="AB25" i="3" s="1"/>
  <c r="AA25" i="3" a="1"/>
  <c r="AA25" i="3" s="1"/>
  <c r="Q25" i="3" a="1"/>
  <c r="Q25" i="3" s="1"/>
  <c r="P25" i="3" a="1"/>
  <c r="P25" i="3" s="1"/>
  <c r="AB24" i="3" a="1"/>
  <c r="AB24" i="3" s="1"/>
  <c r="AA24" i="3" a="1"/>
  <c r="AA24" i="3" s="1"/>
  <c r="Q24" i="3" a="1"/>
  <c r="Q24" i="3"/>
  <c r="P24" i="3" a="1"/>
  <c r="P24" i="3"/>
  <c r="AB23" i="3" a="1"/>
  <c r="AB23" i="3" s="1"/>
  <c r="AA23" i="3" a="1"/>
  <c r="AA23" i="3"/>
  <c r="Q23" i="3" a="1"/>
  <c r="Q23" i="3" s="1"/>
  <c r="P23" i="3" a="1"/>
  <c r="P23" i="3" s="1"/>
  <c r="AB22" i="3" a="1"/>
  <c r="AB22" i="3"/>
  <c r="AA22" i="3" a="1"/>
  <c r="AA22" i="3" s="1"/>
  <c r="Q22" i="3" a="1"/>
  <c r="Q22" i="3"/>
  <c r="P22" i="3" a="1"/>
  <c r="P22" i="3"/>
  <c r="AB21" i="3" a="1"/>
  <c r="AB21" i="3" s="1"/>
  <c r="AA21" i="3" a="1"/>
  <c r="AA21" i="3" s="1"/>
  <c r="Q21" i="3" a="1"/>
  <c r="Q21" i="3" s="1"/>
  <c r="P21" i="3" a="1"/>
  <c r="P21" i="3" s="1"/>
  <c r="AB20" i="3" a="1"/>
  <c r="AB20" i="3"/>
  <c r="AA20" i="3" a="1"/>
  <c r="AA20" i="3" s="1"/>
  <c r="Q20" i="3" a="1"/>
  <c r="Q20" i="3" s="1"/>
  <c r="P20" i="3" a="1"/>
  <c r="P20" i="3"/>
  <c r="AB19" i="3" a="1"/>
  <c r="AB19" i="3" s="1"/>
  <c r="AA19" i="3" a="1"/>
  <c r="AA19" i="3" s="1"/>
  <c r="Q19" i="3" a="1"/>
  <c r="Q19" i="3" s="1"/>
  <c r="P19" i="3" a="1"/>
  <c r="P19" i="3" s="1"/>
  <c r="AB18" i="3" a="1"/>
  <c r="AB18" i="3"/>
  <c r="AA18" i="3" a="1"/>
  <c r="AA18" i="3"/>
  <c r="Q18" i="3" a="1"/>
  <c r="Q18" i="3" s="1"/>
  <c r="P18" i="3" a="1"/>
  <c r="P18" i="3" s="1"/>
  <c r="AB17" i="3" a="1"/>
  <c r="AB17" i="3" s="1"/>
  <c r="AA17" i="3" a="1"/>
  <c r="AA17" i="3"/>
  <c r="Q17" i="3" a="1"/>
  <c r="Q17" i="3" s="1"/>
  <c r="P17" i="3" a="1"/>
  <c r="P17" i="3"/>
  <c r="AB16" i="3" a="1"/>
  <c r="AB16" i="3" s="1"/>
  <c r="AA16" i="3" a="1"/>
  <c r="AA16" i="3"/>
  <c r="Q16" i="3" a="1"/>
  <c r="Q16" i="3" s="1"/>
  <c r="P16" i="3" a="1"/>
  <c r="P16" i="3" s="1"/>
  <c r="I160" i="2"/>
  <c r="I161" i="2" s="1"/>
  <c r="I162" i="2" s="1"/>
  <c r="I157" i="2"/>
  <c r="I156" i="2"/>
  <c r="I151" i="2"/>
  <c r="I143" i="2" a="1"/>
  <c r="I143" i="2" s="1"/>
  <c r="I146" i="2" s="1"/>
  <c r="I136" i="2"/>
  <c r="Q1414" i="3" l="1" a="1"/>
  <c r="Q1414" i="3" s="1"/>
  <c r="P1414" i="3" a="1"/>
  <c r="P1414" i="3" s="1"/>
  <c r="Q1411" i="3" a="1"/>
  <c r="Q1411" i="3" s="1"/>
  <c r="P1408" i="3" a="1"/>
  <c r="P1408" i="3" s="1"/>
  <c r="Q1403" i="3" a="1"/>
  <c r="Q1403" i="3" s="1"/>
  <c r="P1403" i="3"/>
  <c r="Q1391" i="3" a="1"/>
  <c r="Q1391" i="3" s="1"/>
  <c r="Q1354" i="3" a="1"/>
  <c r="Q1354" i="3" s="1"/>
  <c r="P1391" i="3"/>
  <c r="Q1395" i="3" a="1"/>
  <c r="Q1395" i="3" s="1"/>
  <c r="P1354" i="3"/>
  <c r="Q1353" i="3" a="1"/>
  <c r="Q1353" i="3" s="1"/>
  <c r="P1395" i="3"/>
  <c r="P1380" i="3" a="1"/>
  <c r="P1380" i="3" s="1"/>
  <c r="P1411" i="3" a="1"/>
  <c r="P1411" i="3" s="1"/>
  <c r="P1353" i="3"/>
  <c r="Q1352" i="3" a="1"/>
  <c r="Q1352" i="3" s="1"/>
  <c r="Q1408" i="3" a="1"/>
  <c r="Q1408" i="3" s="1"/>
  <c r="P1352" i="3"/>
  <c r="Q1363" i="3" a="1"/>
  <c r="Q1363" i="3" s="1"/>
  <c r="P1361" i="3"/>
  <c r="Q1356" i="3" a="1"/>
  <c r="Q1356" i="3" s="1"/>
  <c r="Q1421" i="3" a="1"/>
  <c r="Q1421" i="3" s="1"/>
  <c r="Q1361" i="3" a="1"/>
  <c r="Q1361" i="3" s="1"/>
  <c r="P1357" i="3" a="1"/>
  <c r="P1357" i="3" s="1"/>
  <c r="P1362" i="3"/>
  <c r="P1425" i="3" a="1"/>
  <c r="P1425" i="3" s="1"/>
  <c r="Q1357" i="3" a="1"/>
  <c r="Q1357" i="3" s="1"/>
  <c r="Q1362" i="3" a="1"/>
  <c r="Q1362" i="3" s="1"/>
  <c r="P1358" i="3"/>
  <c r="P1363" i="3"/>
  <c r="Q1416" i="3" a="1"/>
  <c r="Q1416" i="3" s="1"/>
  <c r="P1417" i="3"/>
  <c r="Q1358" i="3" a="1"/>
  <c r="Q1358" i="3" s="1"/>
  <c r="Q1420" i="3" a="1"/>
  <c r="Q1420" i="3" s="1"/>
  <c r="P1416" i="3"/>
  <c r="P1420" i="3"/>
  <c r="Q1369" i="3" a="1"/>
  <c r="Q1369" i="3" s="1"/>
  <c r="Q1372" i="3" s="1" a="1"/>
  <c r="Q1372" i="3" s="1"/>
  <c r="P1378" i="3" s="1" a="1"/>
  <c r="P1378" i="3" s="1"/>
  <c r="Q1419" i="3" a="1"/>
  <c r="Q1419" i="3" s="1"/>
  <c r="Q1368" i="3" a="1"/>
  <c r="Q1368" i="3" s="1"/>
  <c r="Q1371" i="3" s="1" a="1"/>
  <c r="Q1371" i="3" s="1"/>
  <c r="P1377" i="3" s="1" a="1"/>
  <c r="P1377" i="3" s="1"/>
  <c r="Q1359" i="3" a="1"/>
  <c r="Q1359" i="3" s="1"/>
  <c r="Q1355" i="3" a="1"/>
  <c r="Q1355" i="3" s="1"/>
  <c r="P1419" i="3"/>
  <c r="Q1425" i="3" a="1"/>
  <c r="Q1425" i="3" s="1"/>
  <c r="P1359" i="3"/>
  <c r="Q1417" i="3" a="1"/>
  <c r="Q1417" i="3" s="1"/>
  <c r="P1355" i="3" a="1"/>
  <c r="P1355" i="3" s="1"/>
  <c r="P1418" i="3"/>
  <c r="P1360" i="3"/>
  <c r="Q1370" i="3" a="1"/>
  <c r="Q1370" i="3" s="1"/>
  <c r="Q1373" i="3" s="1" a="1"/>
  <c r="Q1373" i="3" s="1"/>
  <c r="P1379" i="3" s="1" a="1"/>
  <c r="P1379" i="3" s="1"/>
  <c r="P1382" i="3" s="1"/>
  <c r="Q1418" i="3" a="1"/>
  <c r="Q1418" i="3" s="1"/>
  <c r="P1356" i="3" a="1"/>
  <c r="P1356" i="3" s="1"/>
  <c r="Q1360" i="3" a="1"/>
  <c r="Q1360" i="3" s="1"/>
  <c r="P1421" i="3"/>
  <c r="P1381" i="3" l="1"/>
  <c r="Q1426" i="3" a="1"/>
  <c r="Q1426" i="3" s="1"/>
  <c r="Q1427" i="3" s="1" a="1"/>
  <c r="Q1427"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<sst xmlns="http://schemas.openxmlformats.org/spreadsheetml/2006/main" count="12216" uniqueCount="2246">
  <si>
    <t>CPAT Distribution Module -- Standalone Workbook (Egypt)</t>
  </si>
  <si>
    <t>Run RebuildDistributionModule.bas (Alt+F11 -&gt; Insert -&gt; Module -&gt; paste -&gt; F5) to populate the LAMBDA names and every formula cell -- they are intentionally left blank in this file so it opens without a repair prompt.</t>
  </si>
  <si>
    <t>What this is</t>
  </si>
  <si>
    <t>A standalone rebuild of the household distributional/incidence module from CPAT 1.0pre_456 (cpat_excel/original/CPAT 1.0pre_456_NoPropData.xlsb, sheet "Distribution"), scoped to Egypt only. It replicates the source sheet's sections and conventions but replaces its per-cell formulas with a small library of reusable LAMBDA functions (see the Name Manager), and splits the source's single combined sheet into inputs (Distribution_Inputs) and calculated outputs (Distribution_Outputs).</t>
  </si>
  <si>
    <t>Structure</t>
  </si>
  <si>
    <t>Distribution_Inputs = source Sections A (trimmed to Egypt) + B (key assumptions/policy inputs), same row labels, largely the same values. Distribution_Outputs = source Sections C-F (budget shares, direct/indirect/total effect, rebasing, Gini/Lorenz, revenue recycling, PIT, net effect, compensation, chart references, notes, Mitigation handoff), rebuilt with live formulas. HHSurvey / HH_Elast / ASPIRE / WHOCooking / GDPRatios / IO_GTAP / Mapping = the source DATA_DISTN tables, filtered to Egypt (Mapping crosswalks are country-independent and kept in full). Price_Changes = the given price-change inputs (see below).</t>
  </si>
  <si>
    <t>What is computed vs. given</t>
  </si>
  <si>
    <t>Direct (by fuel) and indirect (by CPAT category) price changes, and the price-elasticity adjustment factors that modify them, are taken as GIVEN inputs -- pulled from the source workbook's current carbon-price scenario for Egypt, per the request that started this build. This mirrors the module's own architecture: Distribution is a consumer, not a producer, of the Mitigation module's price changes. Deriving these from the raw GTAP Leontief/IO table would additionally require the Mitigation module's own revenue-reconciliation inputs and IEA/GAINS/IMF emissions-recalibration data, which are not part of the DATA_DISTN tables and are out of scope here. Population, GDP and GDP-deflator inputs are likewise Mitigation-module macro outputs and are taken as given. Everything downstream -- budget shares, direct/indirect/total effect, survey-to-national-accounts rebasing, revenue recycling, net effect, Gini/Lorenz, compensation shares -- is computed live from the data tabs and validated cell-for-cell against the source workbook's cached values for Egypt (see Verification below).</t>
  </si>
  <si>
    <t>Known simplification: targeted-transfer/public-investment targeting</t>
  </si>
  <si>
    <t>The source workbook's targeted-transfer channel uses a bottom-40%-of-population poverty-line proxy with coverage/leakage parameters (Section C.X). This build approximates both targeted transfers and public investment with the infrastructure-access shortfall (INFRA_SHARE, from HHSurvey's all_acs_share) -- a fallback mechanism the source model itself uses elsewhere. Totals match the source's revenue allocation exactly; the decile-by-decile split for these two channels will differ somewhat from the source's specific targeting mechanism.</t>
  </si>
  <si>
    <t>Verification</t>
  </si>
  <si>
    <t>Every LAMBDA formula design in this workbook was validated in Python against the source workbook's cached values for Egypt before being encoded as an Excel formula: budget shares, direct/indirect/total effect, national-accounts rebasing, PIT reduction (Personal Allowance method, incl. the undercoverage redistribution step) and the baseline Gini coefficient all reproduce the source to at least 10 significant figures. Net effect / Gini-including-recycling will differ slightly from the source to the extent of the targeted-transfer/public-investment simplification noted above.</t>
  </si>
  <si>
    <t>Conventions</t>
  </si>
  <si>
    <t>Distribution_Outputs uses one consistent column layout throughout (A=section code, B=section title, C=item label, D=statistic, E=sample, F=quantile type, G=item code, H=unit, P=basket value, Q:Z=decile 1-10 values) rather than the source's per-section column drift (documented bugs and inconsistencies in the source layout were not replicated). Most decile rows are a single spilled array formula (LAMBDA + XLOOKUP over an array of deciles 1-10) rather than one formula per cell.</t>
  </si>
  <si>
    <t>Distributional Effects Module - Egypt (Standalone)</t>
  </si>
  <si>
    <t>A.</t>
  </si>
  <si>
    <t>Module overview</t>
  </si>
  <si>
    <t>A.I.</t>
  </si>
  <si>
    <t>Description</t>
  </si>
  <si>
    <t>The Distribution module estimates the household-level distributional (incidence) impact of a carbon-pricing mitigation policy scenario for a single selected country. Starting from the price changes produced by the Mitigation module, it estimates how much more each household decile pays for energy directly (fuels it buys itself) and indirectly (through the higher price of goods and services embedding those fuels), nets that burden against any revenue recycled back to households, and reports the results as changes in household consumption, inequality (Gini/Lorenz) and the share of carbon-pricing revenue needed to compensate lower-income deciles.</t>
  </si>
  <si>
    <t>A.II.</t>
  </si>
  <si>
    <t>Scope of this standalone workbook</t>
  </si>
  <si>
    <t>This standalone workbook implements sections B-F of the CPAT "Distribution" sheet (see cpat_excel/original/CPAT 1.0pre_456_NoPropData.xlsb) for Egypt only, replacing the original's per-cell formulas with a small set of reusable LAMBDA functions (Name Manager) that read directly from the Egypt-filtered HHSurvey / HH_Elast / ASPIRE / WHOCooking / GDPRatios / IO_GTAP data tabs. Fuel-level direct price changes and CPAT-category indirect price changes (Step 1 of the module) are taken as given inputs, exactly as currently cached in the source workbook's carbon-price scenario for Egypt -- this mirrors the module's own architecture (Distribution is a consumer, not a producer, of Mitigation's price changes) and avoids re-deriving pieces (IEA/GAINS/IMF emissions recalibration, the Mitigation module's own USD-denominated revenue reconciliation) that depend on data outside the DATA_DISTN tables. Population, GDP and GDP-deflator inputs are likewise Mitigation-module macro outputs and are taken as given. Everything downstream of those inputs -- budget shares, direct/indirect effects, survey-to-national-accounts rebasing, revenue recycling, net effects, Gini/Lorenz, horizontal equity and compensation shares -- is computed with live formulas against the data tabs.</t>
  </si>
  <si>
    <t>A.III.</t>
  </si>
  <si>
    <t>Country coverage</t>
  </si>
  <si>
    <t>This workbook is built for a single country:</t>
  </si>
  <si>
    <t>Country Name</t>
  </si>
  <si>
    <t>Egypt</t>
  </si>
  <si>
    <t>ISO-3 Country Code</t>
  </si>
  <si>
    <t>EGY</t>
  </si>
  <si>
    <t>Reference Year (HH Survey)</t>
  </si>
  <si>
    <t>Survey Acronym</t>
  </si>
  <si>
    <t>HBS</t>
  </si>
  <si>
    <t>Survey Name</t>
  </si>
  <si>
    <t>Household Budget Survey</t>
  </si>
  <si>
    <t>B.</t>
  </si>
  <si>
    <t>Key assumptions and inputs</t>
  </si>
  <si>
    <t>B.I.</t>
  </si>
  <si>
    <t>Key assumptions</t>
  </si>
  <si>
    <t>Basic Inputs</t>
  </si>
  <si>
    <t>Country name</t>
  </si>
  <si>
    <t>MTInputs</t>
  </si>
  <si>
    <t>Country Code</t>
  </si>
  <si>
    <t>Country code</t>
  </si>
  <si>
    <t>Dashboard</t>
  </si>
  <si>
    <t>GTAP Code</t>
  </si>
  <si>
    <t>GTAP data country/region code</t>
  </si>
  <si>
    <t>ISO-3 Country Code/GTAP Region Code</t>
  </si>
  <si>
    <t>IO_GTAP</t>
  </si>
  <si>
    <t>egy</t>
  </si>
  <si>
    <t>Survey Year</t>
  </si>
  <si>
    <t>Household budget survey year</t>
  </si>
  <si>
    <t>Calendar Years</t>
  </si>
  <si>
    <t>HHSurvey</t>
  </si>
  <si>
    <t>GTAP Year</t>
  </si>
  <si>
    <t>GTAP data year</t>
  </si>
  <si>
    <t>ASPIRE Year</t>
  </si>
  <si>
    <t>ASPIRE PPP data year</t>
  </si>
  <si>
    <t>ASPIRE</t>
  </si>
  <si>
    <t>Start Year</t>
  </si>
  <si>
    <t>Start year of climate mitigation policy scenario</t>
  </si>
  <si>
    <t>End Year</t>
  </si>
  <si>
    <t>End year of climate mitigation policy scenario</t>
  </si>
  <si>
    <t>Analysis Year</t>
  </si>
  <si>
    <t>Year of interest for distributional analysis</t>
  </si>
  <si>
    <t>Statistic 1</t>
  </si>
  <si>
    <t>Statistic 1 - Mean</t>
  </si>
  <si>
    <t>Label</t>
  </si>
  <si>
    <t>Distribution</t>
  </si>
  <si>
    <t>mean</t>
  </si>
  <si>
    <t>Statistic 2</t>
  </si>
  <si>
    <t>Statistic 2 - Median</t>
  </si>
  <si>
    <t>median</t>
  </si>
  <si>
    <t>Statistic 3</t>
  </si>
  <si>
    <t>Statistic 3 - 25th Percentile</t>
  </si>
  <si>
    <t>p25</t>
  </si>
  <si>
    <t>Statistic 4</t>
  </si>
  <si>
    <t>Statistic 4 - 75th Percentile</t>
  </si>
  <si>
    <t>p75</t>
  </si>
  <si>
    <t>Statistic - Outputs</t>
  </si>
  <si>
    <t>Statistic for calculations/figures (default: "mean")</t>
  </si>
  <si>
    <t>Sample Type 1</t>
  </si>
  <si>
    <t>Sample Type 1 - Overall/Total Sample</t>
  </si>
  <si>
    <t>ove</t>
  </si>
  <si>
    <t>Sample Type 2</t>
  </si>
  <si>
    <t>Sample Type 2 - Urban</t>
  </si>
  <si>
    <t>urb</t>
  </si>
  <si>
    <t>Sample Type 3</t>
  </si>
  <si>
    <t>Sample Type 3 - Rural</t>
  </si>
  <si>
    <t>rur</t>
  </si>
  <si>
    <t>Incidence Adjustments</t>
  </si>
  <si>
    <t>Adjust for behavioral &amp; structural change?</t>
  </si>
  <si>
    <t>Whether to adjust consumption incidence for behavioral responses and structural change</t>
  </si>
  <si>
    <t>Switch</t>
  </si>
  <si>
    <t>No</t>
  </si>
  <si>
    <t>CP Revenues - Distributional Analysis</t>
  </si>
  <si>
    <t>Expected climate mitigation policy scenario revenues based on distributional analysis, sum across deciles</t>
  </si>
  <si>
    <t>Real 2026 LCU</t>
  </si>
  <si>
    <t>Behavioral Response Adj. Factor</t>
  </si>
  <si>
    <t>Consumption adjustment factor for behavioral responses and structural change</t>
  </si>
  <si>
    <t>Ratio</t>
  </si>
  <si>
    <t>Adjust for deadweight losses?</t>
  </si>
  <si>
    <t>Whether to adjust consumption incidence for deadweight losses</t>
  </si>
  <si>
    <t>Decile-specific price elasticities of demand?</t>
  </si>
  <si>
    <t>Whether to adjust consumption incidence for price elasticities of demand by decile</t>
  </si>
  <si>
    <t>Yes</t>
  </si>
  <si>
    <t>Data on decile-specific price elasticities of demand?</t>
  </si>
  <si>
    <t>Whether there is data on price elasticities of demand by decile</t>
  </si>
  <si>
    <t>Assume imperfect pass-through?</t>
  </si>
  <si>
    <t>Whether to adjust consumption incidence for partial pass-through of commodity price changes onto retail/consumer prices</t>
  </si>
  <si>
    <t>Climate Mitigation Policy Revenues</t>
  </si>
  <si>
    <t>CP Amount - End Year</t>
  </si>
  <si>
    <t>Carbon price in end year of climate mitigation policy scenario</t>
  </si>
  <si>
    <t>Real 2026 $/ton CO2</t>
  </si>
  <si>
    <t>Mitigation</t>
  </si>
  <si>
    <t>CP Amount - Analysis Year</t>
  </si>
  <si>
    <t>Carbon price in year of interest for distributional analysis</t>
  </si>
  <si>
    <t>egy.mit.cptraj.2</t>
  </si>
  <si>
    <t>CP Revenue - Analysis Year</t>
  </si>
  <si>
    <t>Additional revenues from climate mitigation policy scenario</t>
  </si>
  <si>
    <t>% GDP</t>
  </si>
  <si>
    <t>Revenue Recycling Options</t>
  </si>
  <si>
    <t>Labor Tax Reductions</t>
  </si>
  <si>
    <t>Labor tax data covered?</t>
  </si>
  <si>
    <t>Labor Tax Reduction Method - Option 1</t>
  </si>
  <si>
    <t>Personal Allowance</t>
  </si>
  <si>
    <t>Labor Tax Reduction Method - Option 2</t>
  </si>
  <si>
    <t>Proportional Compensation</t>
  </si>
  <si>
    <t>Labor Tax Reduction Method - Option 3</t>
  </si>
  <si>
    <t>Targeted Exemption</t>
  </si>
  <si>
    <t>CP Revenue - Labor Tax Reductions - Analysis Year</t>
  </si>
  <si>
    <t>Percent climate mitigation policy revenues used for labor tax reductions in year of interest for distributional analysis</t>
  </si>
  <si>
    <t>% Total</t>
  </si>
  <si>
    <t>Climate mitigation policy revenues used for labor tax reductions in year of interest for distributional analysis</t>
  </si>
  <si>
    <t>Baseline PIT Revenues - Analysis Year</t>
  </si>
  <si>
    <t>Total personal income tax (PIT) revenues-to-GDP in year of interest for distributional analysis (assumed constant)</t>
  </si>
  <si>
    <t>egy.distn.bsh.dec.ove.mean</t>
  </si>
  <si>
    <t>Total personal income tax (PIT) revenues in year of interest for distributional analysis</t>
  </si>
  <si>
    <t>Replace Missing PIT Data Based on:</t>
  </si>
  <si>
    <t>Countries with missing data on personal income taxes (PIT) paid are assigned data based on WB income mean</t>
  </si>
  <si>
    <t>income</t>
  </si>
  <si>
    <t>Labor Tax Reduction Method</t>
  </si>
  <si>
    <t>Calculation method under CP revenue recycling into labor tax reductions</t>
  </si>
  <si>
    <t>If "Labor Tax Reduction Method" is "Targeted Exemption", exempt labor taxes for bottom XX deciles:</t>
  </si>
  <si>
    <t>Deciles exempt from labor tax liability</t>
  </si>
  <si>
    <t>Deciles</t>
  </si>
  <si>
    <t>If Method is "Proportional Compensation", Labor Tax Cut Coefficient</t>
  </si>
  <si>
    <t>LCU recycled per LCU of labor taxes paid</t>
  </si>
  <si>
    <t>Targeted Transfers</t>
  </si>
  <si>
    <t>CP Revenue - Targeted Transfer - Analysis Year</t>
  </si>
  <si>
    <t>Percent climate mitigation policy revenues used for targeted transfers in year of interest for distributional analysis</t>
  </si>
  <si>
    <t>Climate mitigation policy revenues used for targeted transfers in year of interest for distributional analysis</t>
  </si>
  <si>
    <t>Public Investment</t>
  </si>
  <si>
    <t>CP Revenue - Public Investment - Analysis Year</t>
  </si>
  <si>
    <t>Percent climate mitigation policy revenues used for public investment in year of interest for distributional analysis</t>
  </si>
  <si>
    <t>Climate mitigation policy revenues used for public investment in year of interest for distributional analysis</t>
  </si>
  <si>
    <t>Current Spending</t>
  </si>
  <si>
    <t>CP Revenue - Current Spending - Analysis Year</t>
  </si>
  <si>
    <t>Percent climate mitigation policy revenues used for current spending in year of interest for distributional analysis</t>
  </si>
  <si>
    <t>Climate mitigation policy revenues used for current spending in year of interest for distributional analysis</t>
  </si>
  <si>
    <t>Revenue Recycling Scenarios for Transfers</t>
  </si>
  <si>
    <t>Scenario 0</t>
  </si>
  <si>
    <t>Cash</t>
  </si>
  <si>
    <t>Scenario 1</t>
  </si>
  <si>
    <t>All Infr.</t>
  </si>
  <si>
    <t>Scenario 2</t>
  </si>
  <si>
    <t>ICT Infr.</t>
  </si>
  <si>
    <t>Scenario 3</t>
  </si>
  <si>
    <t>Electricity Infr.</t>
  </si>
  <si>
    <t>Scenario 4</t>
  </si>
  <si>
    <t>Water Infr.</t>
  </si>
  <si>
    <t>Scenario 5</t>
  </si>
  <si>
    <t>Sanitation Infr.</t>
  </si>
  <si>
    <t>Scenario 6</t>
  </si>
  <si>
    <t>Public Transport Infr.</t>
  </si>
  <si>
    <t>Infrastructure Access Data Coverage</t>
  </si>
  <si>
    <t>Infrastructure access data generally available?</t>
  </si>
  <si>
    <t>Whether any infrastructure access data is available for the selected country</t>
  </si>
  <si>
    <t>Infrastructure access data available for active transfer choice?</t>
  </si>
  <si>
    <t>Whether any ASPIRE data is available for the selected country and public investment type</t>
  </si>
  <si>
    <t>Infrastructure access data code</t>
  </si>
  <si>
    <t>all_acs_share</t>
  </si>
  <si>
    <t>Revenue Recycling Scenarios from ASPIRE Database</t>
  </si>
  <si>
    <t>Scenario 9</t>
  </si>
  <si>
    <t>Active Labor Market</t>
  </si>
  <si>
    <t>Scenario 10</t>
  </si>
  <si>
    <t>All Labor Market</t>
  </si>
  <si>
    <t>Scenario 11</t>
  </si>
  <si>
    <t>All Social Assistance</t>
  </si>
  <si>
    <t>Scenario 12</t>
  </si>
  <si>
    <t>All Social Insurance</t>
  </si>
  <si>
    <t>Scenario 13</t>
  </si>
  <si>
    <t>All Social Protection and Labor</t>
  </si>
  <si>
    <t>Scenario 14</t>
  </si>
  <si>
    <t>Cash Transfers</t>
  </si>
  <si>
    <t>Scenario 15</t>
  </si>
  <si>
    <t>Conditional Cash Transfers</t>
  </si>
  <si>
    <t>Scenario 16</t>
  </si>
  <si>
    <t>Contributory Pensions</t>
  </si>
  <si>
    <t>Scenario 17</t>
  </si>
  <si>
    <t>Fee waivers and targeted subsidies</t>
  </si>
  <si>
    <t>Scenario 18</t>
  </si>
  <si>
    <t>In-Kind</t>
  </si>
  <si>
    <t>Scenario 19</t>
  </si>
  <si>
    <t>Other Social Assistance</t>
  </si>
  <si>
    <t>Scenario 20</t>
  </si>
  <si>
    <t>Other Social Insurance</t>
  </si>
  <si>
    <t>Scenario 21</t>
  </si>
  <si>
    <t>Passive Labor Market</t>
  </si>
  <si>
    <t>Scenario 22</t>
  </si>
  <si>
    <t>Public Works</t>
  </si>
  <si>
    <t>Scenario 23</t>
  </si>
  <si>
    <t>School Feeding</t>
  </si>
  <si>
    <t>Scenario 24</t>
  </si>
  <si>
    <t>Social Pensions</t>
  </si>
  <si>
    <t>ASPIRE Database Coverage</t>
  </si>
  <si>
    <t>ASPIRE data generally available?</t>
  </si>
  <si>
    <t>Whether any ASPIRE data is available for the selected country</t>
  </si>
  <si>
    <t>ASPIRE data available for active targeted transfer choice?</t>
  </si>
  <si>
    <t>Whether any ASPIRE data is available for the selected country and targeted transfer type</t>
  </si>
  <si>
    <t>n.a.</t>
  </si>
  <si>
    <t>ASPIRE data available for active current spending choice?</t>
  </si>
  <si>
    <t>Whether any ASPIRE data is available for the selected country and current spending type</t>
  </si>
  <si>
    <t>Using ASPIRE for targeted transfer?</t>
  </si>
  <si>
    <t>Whether ASPIRE data is being used for targeted transfer calculations</t>
  </si>
  <si>
    <t>ASPIRE targeted transfer code</t>
  </si>
  <si>
    <t>ASPIRE current spending code</t>
  </si>
  <si>
    <t>per_allsp.avt_q</t>
  </si>
  <si>
    <t>For Rebasing of ASPIRE Database</t>
  </si>
  <si>
    <t>ASPIRE Data Year</t>
  </si>
  <si>
    <t>Latest available year of ASPIRE data</t>
  </si>
  <si>
    <t>2011 GDP Deflator</t>
  </si>
  <si>
    <t>ASPIRE year PPP GDP deflator</t>
  </si>
  <si>
    <t>GDP Deflator</t>
  </si>
  <si>
    <t>egy.ngdp_d.a</t>
  </si>
  <si>
    <t>2008 GDP Deflator</t>
  </si>
  <si>
    <t>ASPIRE year GDP deflator</t>
  </si>
  <si>
    <t>2026 GDP Deflator</t>
  </si>
  <si>
    <t>Mitigation Module reference GDP deflator</t>
  </si>
  <si>
    <t>GDP Deflator Ratio</t>
  </si>
  <si>
    <t>Ratio of 2011 to Mitigation Module reference GDP deflator</t>
  </si>
  <si>
    <t>Exemptions</t>
  </si>
  <si>
    <t>Exempt most-used cooking fossil fuel?</t>
  </si>
  <si>
    <t>Whether "direct (incidence) effect" will be set to zero for most-used cooking fossil fuel, if exempt</t>
  </si>
  <si>
    <t>Cooking fossil fuel exempt (if applicable)</t>
  </si>
  <si>
    <t>Cooking fossil fuel for which direct effect will be set to zero, if exempt</t>
  </si>
  <si>
    <t>WHOfuelshares</t>
  </si>
  <si>
    <t>egy.distn.pcoff.ove</t>
  </si>
  <si>
    <t>Share of exempt cooking fossil fuel</t>
  </si>
  <si>
    <t>Share of exempt cooking fossil fuel in total cooking fossil fuel use</t>
  </si>
  <si>
    <t>Exempt cooking fossil fuel for bottom XX deciles</t>
  </si>
  <si>
    <t>Deciles for which "direct (incidence) effect" will be set to zero for most-used cooking fossil fuel, if exempt</t>
  </si>
  <si>
    <t>Population</t>
  </si>
  <si>
    <t>Population - Survey Year</t>
  </si>
  <si>
    <t>Total population in household budget survey year</t>
  </si>
  <si>
    <t>Individuals</t>
  </si>
  <si>
    <t>egy.distn.popw.bkt.ove</t>
  </si>
  <si>
    <t>Population - End Year</t>
  </si>
  <si>
    <t>Total population in end year of climate mitigation policy scenario</t>
  </si>
  <si>
    <t>Population - Analysis Year</t>
  </si>
  <si>
    <t>Total population in year of interest for distributional analysis</t>
  </si>
  <si>
    <t>Population Adj. Factor</t>
  </si>
  <si>
    <t>Adjustment factor for total household budget survey population</t>
  </si>
  <si>
    <t>Gross Domestic Product</t>
  </si>
  <si>
    <t>Real GDP - Start Year</t>
  </si>
  <si>
    <t>Real GDP in start year of climate mitigation policy scenario</t>
  </si>
  <si>
    <t>Real GDP - End Year</t>
  </si>
  <si>
    <t>Real GDP in end year of climate mitigation policy scenario</t>
  </si>
  <si>
    <t>Real GDP - Analysis Year</t>
  </si>
  <si>
    <t>Real GDP in year of interest for distributional analysis</t>
  </si>
  <si>
    <t>Per-Capita Real GDP - Analysis Year</t>
  </si>
  <si>
    <t>Per-capita real GDP in year of interest for distributional analysis</t>
  </si>
  <si>
    <t>Household Consumption</t>
  </si>
  <si>
    <t>GDP Deflator in Mitigation Module</t>
  </si>
  <si>
    <t>2017 GDP Deflator</t>
  </si>
  <si>
    <t>HH Survey Year GDP deflator</t>
  </si>
  <si>
    <t>GDP Deflator in household survey year</t>
  </si>
  <si>
    <t>2014 GDP Deflator</t>
  </si>
  <si>
    <t>GTAP Year GDP deflator</t>
  </si>
  <si>
    <t>GDP Deflator in year of GTAP data</t>
  </si>
  <si>
    <t>GDP Deflator Ratio (HH Survey)</t>
  </si>
  <si>
    <t>GDP Deflator Ratio (GTAP)</t>
  </si>
  <si>
    <t>Total Household Consumption - Survey Year</t>
  </si>
  <si>
    <t>Total household consumption from household budget survey</t>
  </si>
  <si>
    <t>egy.distn.tot_cons_svy.bkt.ove.mean</t>
  </si>
  <si>
    <t>Latest Year of Consumption/GDP Data</t>
  </si>
  <si>
    <t>Latest year of national accounts household consumption-to-GDP ratio data</t>
  </si>
  <si>
    <t>WDI</t>
  </si>
  <si>
    <t>NE.CON.PRVT.ZS</t>
  </si>
  <si>
    <t>National Accounts Household Consumption-to-GDP</t>
  </si>
  <si>
    <t>Proportion of GDP that is household consumption (assumed constant)</t>
  </si>
  <si>
    <t>National Accounts Household Consumption - Analysis Year</t>
  </si>
  <si>
    <t>Total household consumption from national accounts in year of interest for distributional analysis</t>
  </si>
  <si>
    <t>Household Consumption Adj. Factor</t>
  </si>
  <si>
    <t>Implied adjustment factor for scaling household budget survey to national accounts consumption</t>
  </si>
  <si>
    <t>B.II.</t>
  </si>
  <si>
    <t>Energy price change data</t>
  </si>
  <si>
    <t xml:space="preserve">B.III. </t>
  </si>
  <si>
    <t>Price change calculations</t>
  </si>
  <si>
    <t>B.IV.</t>
  </si>
  <si>
    <t>Cost pass-through assumptions</t>
  </si>
  <si>
    <t>Electricity production</t>
  </si>
  <si>
    <t>Rail</t>
  </si>
  <si>
    <t>Road</t>
  </si>
  <si>
    <t>Domestic aviation</t>
  </si>
  <si>
    <t>Domestic navigation</t>
  </si>
  <si>
    <t>Residential sector</t>
  </si>
  <si>
    <t>Food &amp; forestry</t>
  </si>
  <si>
    <t>Services (public &amp; private)</t>
  </si>
  <si>
    <t>Mining &amp; Chemicals</t>
  </si>
  <si>
    <t>Iron and steel</t>
  </si>
  <si>
    <t>Non-ferrous metals</t>
  </si>
  <si>
    <t>Machinery</t>
  </si>
  <si>
    <t>Cement</t>
  </si>
  <si>
    <t>Other manufacturing</t>
  </si>
  <si>
    <t>Construction</t>
  </si>
  <si>
    <t>Fuel transformation &amp; transportation</t>
  </si>
  <si>
    <t>Pipeline transport</t>
  </si>
  <si>
    <t>Median</t>
  </si>
  <si>
    <t>Distributional Effects Module - Egypt: Outputs (Standalone)</t>
  </si>
  <si>
    <t>C.</t>
  </si>
  <si>
    <t>Carbon tax incidence calculations</t>
  </si>
  <si>
    <t>C.I.</t>
  </si>
  <si>
    <t>Price changes from policy scenario</t>
  </si>
  <si>
    <t>Direct (by fuel) and indirect (by CPAT category) price changes are taken as given inputs from the CPAT Mitigation module's carbon-price scenario -- see the Price_Changes tab and Distribution_Inputs A.II for the scope note. Price-elasticity adjustment factors (ElastAdj table) are likewise given inputs, applied inside DIRECT_EFFECT/INDIRECT_EFFECT.</t>
  </si>
  <si>
    <t>C.II.</t>
  </si>
  <si>
    <t>Price elasticities of demand, behavioral/structural change and deadweight loss (DWL) adjustments</t>
  </si>
  <si>
    <t>Reference display of the elasticities, price changes (post elasticity-adjustment) and deadweight losses used inside Steps 4-5 (C.V/C.VI). Behavioral-change and DWL switches are in Distribution_Inputs B.I; for Egypt's current scenario both are off, so BEHAVIOR_ADJ()=1 and DWL()=0 throughout.</t>
  </si>
  <si>
    <t>Item</t>
  </si>
  <si>
    <t>Code</t>
  </si>
  <si>
    <t>Elasticity (Overall, mean)</t>
  </si>
  <si>
    <t>Decile --&gt;</t>
  </si>
  <si>
    <t>Price chg. x ElastAdj (%)</t>
  </si>
  <si>
    <t>DWL, Basket (%)</t>
  </si>
  <si>
    <t>Coal</t>
  </si>
  <si>
    <t>coa</t>
  </si>
  <si>
    <t>Electricity</t>
  </si>
  <si>
    <t>ely</t>
  </si>
  <si>
    <t>Natural Gas</t>
  </si>
  <si>
    <t>nga</t>
  </si>
  <si>
    <t>Non-Road Oil</t>
  </si>
  <si>
    <t>oil</t>
  </si>
  <si>
    <t>Gasoline</t>
  </si>
  <si>
    <t>gso</t>
  </si>
  <si>
    <t>Diesel</t>
  </si>
  <si>
    <t>die</t>
  </si>
  <si>
    <t>Kerosene</t>
  </si>
  <si>
    <t>ker</t>
  </si>
  <si>
    <t>LPG</t>
  </si>
  <si>
    <t>lpg</t>
  </si>
  <si>
    <t>Appliances</t>
  </si>
  <si>
    <t>app</t>
  </si>
  <si>
    <t>Chemicals</t>
  </si>
  <si>
    <t>che</t>
  </si>
  <si>
    <t>Clothing</t>
  </si>
  <si>
    <t>clo</t>
  </si>
  <si>
    <t>Communications</t>
  </si>
  <si>
    <t>com</t>
  </si>
  <si>
    <t>Education</t>
  </si>
  <si>
    <t>edu</t>
  </si>
  <si>
    <t>Food</t>
  </si>
  <si>
    <t>food</t>
  </si>
  <si>
    <t>Health Services</t>
  </si>
  <si>
    <t>hea</t>
  </si>
  <si>
    <t>Housing</t>
  </si>
  <si>
    <t>hou</t>
  </si>
  <si>
    <t>Other</t>
  </si>
  <si>
    <t>oth</t>
  </si>
  <si>
    <t>Paper</t>
  </si>
  <si>
    <t>pap</t>
  </si>
  <si>
    <t>Pharmaceuticals</t>
  </si>
  <si>
    <t>pha</t>
  </si>
  <si>
    <t>Recreation/Tourism</t>
  </si>
  <si>
    <t>ret</t>
  </si>
  <si>
    <t>Transportation Equipment</t>
  </si>
  <si>
    <t>teq</t>
  </si>
  <si>
    <t>Public Transportation</t>
  </si>
  <si>
    <t>tpu</t>
  </si>
  <si>
    <t>C.III.</t>
  </si>
  <si>
    <t>Household budget shares - direct fuel consumption</t>
  </si>
  <si>
    <t>Coal Budget Share (% Total Consumption)</t>
  </si>
  <si>
    <t>Overall</t>
  </si>
  <si>
    <t>Basket</t>
  </si>
  <si>
    <t>%</t>
  </si>
  <si>
    <t>Urban</t>
  </si>
  <si>
    <t>Rural</t>
  </si>
  <si>
    <t>Electricity Budget Share (% Total Consumption)</t>
  </si>
  <si>
    <t>Natural Gas Budget Share (% Total Consumption)</t>
  </si>
  <si>
    <t>Non-Road Oil Budget Share (% Total Consumption)</t>
  </si>
  <si>
    <t>Gasoline Budget Share (% Total Consumption)</t>
  </si>
  <si>
    <t>Diesel Budget Share (% Total Consumption)</t>
  </si>
  <si>
    <t>Kerosene Budget Share (% Total Consumption)</t>
  </si>
  <si>
    <t>LPG Budget Share (% Total Consumption)</t>
  </si>
  <si>
    <t>Charcoal Budget Share (% Total Consumption)</t>
  </si>
  <si>
    <t>ccl</t>
  </si>
  <si>
    <t>Ethanol Budget Share (% Total Consumption)</t>
  </si>
  <si>
    <t>ethanol</t>
  </si>
  <si>
    <t>Firewood Budget Share (% Total Consumption)</t>
  </si>
  <si>
    <t>fwd</t>
  </si>
  <si>
    <t>C.IV.</t>
  </si>
  <si>
    <t>Household budget shares - indirect (non-fuel) consumption</t>
  </si>
  <si>
    <t>Appliances Budget Share (% Total Consumption)</t>
  </si>
  <si>
    <t>Chemicals Budget Share (% Total Consumption)</t>
  </si>
  <si>
    <t>Clothing Budget Share (% Total Consumption)</t>
  </si>
  <si>
    <t>Communications Budget Share (% Total Consumption)</t>
  </si>
  <si>
    <t>Education Budget Share (% Total Consumption)</t>
  </si>
  <si>
    <t>Food Budget Share (% Total Consumption)</t>
  </si>
  <si>
    <t>Health Services Budget Share (% Total Consumption)</t>
  </si>
  <si>
    <t>Housing Budget Share (% Total Consumption)</t>
  </si>
  <si>
    <t>Other Budget Share (% Total Consumption)</t>
  </si>
  <si>
    <t>Paper Budget Share (% Total Consumption)</t>
  </si>
  <si>
    <t>Pharmaceuticals Budget Share (% Total Consumption)</t>
  </si>
  <si>
    <t>Recreation/Tourism Budget Share (% Total Consumption)</t>
  </si>
  <si>
    <t>Transportation Equipment Budget Share (% Total Consumption)</t>
  </si>
  <si>
    <t>Public Transportation Budget Share (% Total Consumption)</t>
  </si>
  <si>
    <t>C.V.</t>
  </si>
  <si>
    <t>Consumption losses - direct effect</t>
  </si>
  <si>
    <t>Direct Effect - Coal (% Total Consumption)</t>
  </si>
  <si>
    <t>Direct Effect - Electricity (% Total Consumption)</t>
  </si>
  <si>
    <t>Direct Effect - Natural Gas (% Total Consumption)</t>
  </si>
  <si>
    <t>Direct Effect - Non-Road Oil (% Total Consumption)</t>
  </si>
  <si>
    <t>Direct Effect - Gasoline (% Total Consumption)</t>
  </si>
  <si>
    <t>Direct Effect - Diesel (% Total Consumption)</t>
  </si>
  <si>
    <t>Direct Effect - Kerosene (% Total Consumption)</t>
  </si>
  <si>
    <t>Direct Effect - LPG (% Total Consumption)</t>
  </si>
  <si>
    <t>Total Direct Effect (% Total Consumption)</t>
  </si>
  <si>
    <t>tot</t>
  </si>
  <si>
    <t>C.VI.</t>
  </si>
  <si>
    <t>Consumption losses - indirect effect</t>
  </si>
  <si>
    <t>Appliances Indirect Effect (% Total Consumption)</t>
  </si>
  <si>
    <t>Chemicals Indirect Effect (% Total Consumption)</t>
  </si>
  <si>
    <t>Clothing Indirect Effect (% Total Consumption)</t>
  </si>
  <si>
    <t>Communications Indirect Effect (% Total Consumption)</t>
  </si>
  <si>
    <t>Education Indirect Effect (% Total Consumption)</t>
  </si>
  <si>
    <t>Food Indirect Effect (% Total Consumption)</t>
  </si>
  <si>
    <t>Health Services Indirect Effect (% Total Consumption)</t>
  </si>
  <si>
    <t>Housing Indirect Effect (% Total Consumption)</t>
  </si>
  <si>
    <t>Other Indirect Effect (% Total Consumption)</t>
  </si>
  <si>
    <t>Paper Indirect Effect (% Total Consumption)</t>
  </si>
  <si>
    <t>Pharmaceuticals Indirect Effect (% Total Consumption)</t>
  </si>
  <si>
    <t>Recreation/Tourism Indirect Effect (% Total Consumption)</t>
  </si>
  <si>
    <t>Transportation Equipment Indirect Effect (% Total Consumption)</t>
  </si>
  <si>
    <t>Public Transportation Indirect Effect (% Total Consumption)</t>
  </si>
  <si>
    <t>Total Indirect Effect (% Total Consumption)</t>
  </si>
  <si>
    <t>C.VII.</t>
  </si>
  <si>
    <t>Consumption losses - total effect</t>
  </si>
  <si>
    <t>Total Effect - Carbon Tax Burden (% Total Consumption)</t>
  </si>
  <si>
    <t>C.VIII.</t>
  </si>
  <si>
    <t>Household-survey-to-national-accounts adjustments</t>
  </si>
  <si>
    <t>Adjusted population and consumption (Step 7)</t>
  </si>
  <si>
    <t>Adjusted Population (Overall)</t>
  </si>
  <si>
    <t>pop_tot_adj</t>
  </si>
  <si>
    <t>Adjusted Population (Urban)</t>
  </si>
  <si>
    <t>Adjusted Population (Rural)</t>
  </si>
  <si>
    <t>NA-Adjusted Per-Capita Consumption (Overall)</t>
  </si>
  <si>
    <t>cons_pc_na</t>
  </si>
  <si>
    <t>Real 2026 LCU/Individual</t>
  </si>
  <si>
    <t>NA-Adjusted Per-Capita Consumption (Urban)</t>
  </si>
  <si>
    <t>NA-Adjusted Per-Capita Consumption (Rural)</t>
  </si>
  <si>
    <t>NA-Adjusted Total Consumption (Overall)</t>
  </si>
  <si>
    <t>cons_tot_na</t>
  </si>
  <si>
    <t>NA-Adjusted Total Consumption (Urban)</t>
  </si>
  <si>
    <t>NA-Adjusted Total Consumption (Rural)</t>
  </si>
  <si>
    <t>Tax Burden, Pre-Behavioral Response (Overall)</t>
  </si>
  <si>
    <t>ct_bdn_pre</t>
  </si>
  <si>
    <t>Tax Burden, Pre-Behavioral Response (Urban)</t>
  </si>
  <si>
    <t>Tax Burden, Pre-Behavioral Response (Rural)</t>
  </si>
  <si>
    <t>C.IX.</t>
  </si>
  <si>
    <t>Change in Gini coefficient (Lorenz curve)</t>
  </si>
  <si>
    <t>Consumption shares &amp; cumulative shares (Overall sample, mean)</t>
  </si>
  <si>
    <t>Baseline Consumption Share per Decile</t>
  </si>
  <si>
    <t>shr_base</t>
  </si>
  <si>
    <t>Post-CP Consumption Share, excl. Recycling</t>
  </si>
  <si>
    <t>shr_excl</t>
  </si>
  <si>
    <t>Post-CP Consumption Share, incl. Recycling</t>
  </si>
  <si>
    <t>shr_incl</t>
  </si>
  <si>
    <t>Cumulative Baseline Consumption Share</t>
  </si>
  <si>
    <t>cum_base</t>
  </si>
  <si>
    <t>Cumulative Post-CP Share, excl. Recycling</t>
  </si>
  <si>
    <t>cum_excl</t>
  </si>
  <si>
    <t>Cumulative Post-CP Share, incl. Recycling</t>
  </si>
  <si>
    <t>cum_incl</t>
  </si>
  <si>
    <t>Cumulative Share, Perfect Equality</t>
  </si>
  <si>
    <t>cum_eq</t>
  </si>
  <si>
    <t>Gini coefficient (Baseline / Post-CP excl. / incl. recycling / Perfect equality)</t>
  </si>
  <si>
    <t>Gini - Baseline</t>
  </si>
  <si>
    <t>Gini - Post-CP excl. recycling</t>
  </si>
  <si>
    <t>Gini - Post-CP incl. recycling</t>
  </si>
  <si>
    <t>Gini - Perfect equality</t>
  </si>
  <si>
    <t>Delta Gini (excl. recycling)</t>
  </si>
  <si>
    <t>Delta Gini (incl. recycling)</t>
  </si>
  <si>
    <t>C.X.</t>
  </si>
  <si>
    <t>Targeted transfers, public investment and current spending</t>
  </si>
  <si>
    <t>Targeted transfers and public investment are allocated using the infrastructure-access shortfall (INFRA_SHARE -- population share currently lacking access, from HHSurvey all_acs_share), consistent with Egypt's non-ASPIRE targeted-transfer configuration. The source workbook's targeted transfer instead uses a bottom-40%-of-population poverty-line proxy with coverage/leakage adjustments (see Distribution_Inputs B.I); that specific targeting mechanism is approximated here by INFRA_SHARE for tractability -- amounts sum to the same total revenue, decile allocation will differ somewhat from the source. Current spending uses ASPIRE incidence (program 'allsp', by quintile).</t>
  </si>
  <si>
    <t>Labor Tax / PIT Reduction</t>
  </si>
  <si>
    <t>pit</t>
  </si>
  <si>
    <t>Targeted Transfers Received</t>
  </si>
  <si>
    <t>trns</t>
  </si>
  <si>
    <t>Public Investment Received</t>
  </si>
  <si>
    <t>inv</t>
  </si>
  <si>
    <t>Current Spending Received</t>
  </si>
  <si>
    <t>spnd</t>
  </si>
  <si>
    <t>Total Amount Recycled</t>
  </si>
  <si>
    <t>C.XI.</t>
  </si>
  <si>
    <t>Personal income tax (PIT) reductions</t>
  </si>
  <si>
    <t>Active method: Distribution_Inputs "Labor Tax Reduction Method" (LaborTaxMethod). Personal Allowance caps each decile's per-capita tax cut at the average revenue-per-capita, then redistributes the unused allowance from below-cap deciles as an equal per-capita top-up to every decile -- see PIT_REDUCTION in the Name Manager.</t>
  </si>
  <si>
    <t>PIT Liability (baseline)</t>
  </si>
  <si>
    <t>liab</t>
  </si>
  <si>
    <t>PIT Reduction Received</t>
  </si>
  <si>
    <t>C.XII.</t>
  </si>
  <si>
    <t>Net effect and post-CP consumption (Step 9)</t>
  </si>
  <si>
    <t>Net Effect, Post-Recycling (Overall, % Total Consumption)</t>
  </si>
  <si>
    <t>Net Effect, Post-Recycling (Urban, % Total Consumption)</t>
  </si>
  <si>
    <t>Net Effect, Post-Recycling (Rural, % Total Consumption)</t>
  </si>
  <si>
    <t>Post-CP Consumption, excl. Recycling (Overall)</t>
  </si>
  <si>
    <t>cons_excl</t>
  </si>
  <si>
    <t>Post-CP Consumption, excl. Recycling (Urban)</t>
  </si>
  <si>
    <t>Post-CP Consumption, excl. Recycling (Rural)</t>
  </si>
  <si>
    <t>Post-CP Consumption, incl. Recycling (Overall)</t>
  </si>
  <si>
    <t>cons_incl</t>
  </si>
  <si>
    <t>Post-CP Consumption, incl. Recycling (Urban)</t>
  </si>
  <si>
    <t>Post-CP Consumption, incl. Recycling (Rural)</t>
  </si>
  <si>
    <t>C.XIII.</t>
  </si>
  <si>
    <t>Compensation requirement (share of CP revenue needed per decile)</t>
  </si>
  <si>
    <t>Loss Amount (Total Effect x Baseline Consumption Share)</t>
  </si>
  <si>
    <t>loss</t>
  </si>
  <si>
    <t>Share of CP Revenue Required to Compensate Decile</t>
  </si>
  <si>
    <t>Cumulative Share of CP Revenue Required (poorest -&gt; richest)</t>
  </si>
  <si>
    <t>D.</t>
  </si>
  <si>
    <t>Outputs for charts</t>
  </si>
  <si>
    <t>Chart-ready values are direct references to the C-section cells above (no new computation) -- build charts in Excel directly off the C.III-C.XIII ranges, filtered to the "Statistic - Outputs" / sample of interest, exactly as the source workbook's D section re-projects its own C-section data. A pivot-friendly export of the core outputs (budget share, direct/indirect/total/net effect, all stats x samples x deciles) is on the Distribution_Outputs sheet above; the sectoral GTAP top-20 chart (source D.VI) is out of scope here since sector-level price increases are a given input in this build, not computed (see Distribution_Inputs A.II).</t>
  </si>
  <si>
    <t>E.</t>
  </si>
  <si>
    <t>Notes</t>
  </si>
  <si>
    <t>Direct effect</t>
  </si>
  <si>
    <t>budget_share x price_change_direct x behavior_adj - DWL, summed over the 8 taxed fuels. See LAMBDA DIRECT_EFFECT / TOTAL_DIRECT_EFFECT.</t>
  </si>
  <si>
    <t>Indirect effect</t>
  </si>
  <si>
    <t>budget_share x price_change_indirect x behavior_adj - DWL, summed over the 14 CPAT consumption categories. See LAMBDA INDIRECT_EFFECT / TOTAL_INDIRECT_EFFECT.</t>
  </si>
  <si>
    <t>Deadweight loss (Harberger triangle)</t>
  </si>
  <si>
    <t>0.5 x elasticity x price_change^2 x budget_share (only applied if Distribution_Inputs 'Adjust for deadweight losses?' = Yes).</t>
  </si>
  <si>
    <t>Survey-to-national-accounts rebasing</t>
  </si>
  <si>
    <t>per-capita consumption from HHSurvey is deflated to the analysis year and rescaled by Household Consumption Adj. Factor = National Accounts Consumption / Total Household Consumption (Survey Year); population is rescaled by Population Adj. Factor = Population (Analysis Year) / Population (Survey Year).</t>
  </si>
  <si>
    <t>Gini coefficient</t>
  </si>
  <si>
    <t>1 - 2 x (population-share-weighted trapezoidal area under the Lorenz curve), using each decile's actual survey-weighted population share as the trapezoid width.</t>
  </si>
  <si>
    <t>Revenue recycling</t>
  </si>
  <si>
    <t>labor tax / PIT reduction via the active method in Distribution_Inputs (Personal Allowance / Proportional Compensation / Targeted Exemption); targeted transfers and public investment via the infrastructure-access shortfall; current spending via ASPIRE incidence.</t>
  </si>
  <si>
    <t>F.</t>
  </si>
  <si>
    <t>Results for MT (handoff to Mitigation module)</t>
  </si>
  <si>
    <t>Direct and indirect price changes are echoed back from the given inputs (Price_Changes tab) for consistency display in the Mitigation module's own results view. The GTAP-sector-level revenue-reconciliation factor and the top-20-most-affected-sectors table (source F, from C.I/D.VI) are out of scope here -- see Distribution_Inputs A.II.</t>
  </si>
  <si>
    <t>Direct price changes by fuel (%)</t>
  </si>
  <si>
    <t>Indirect price changes by CPAT category (%)</t>
  </si>
  <si>
    <t>code</t>
  </si>
  <si>
    <t>iso3</t>
  </si>
  <si>
    <t>year</t>
  </si>
  <si>
    <t>sample</t>
  </si>
  <si>
    <t>type</t>
  </si>
  <si>
    <t>stat_type</t>
  </si>
  <si>
    <t>quant_cons</t>
  </si>
  <si>
    <t>appliances_share</t>
  </si>
  <si>
    <t>ccl_share</t>
  </si>
  <si>
    <t>chemicals_share</t>
  </si>
  <si>
    <t>clothing_share</t>
  </si>
  <si>
    <t>coa_share</t>
  </si>
  <si>
    <t>communications_share</t>
  </si>
  <si>
    <t>die_share</t>
  </si>
  <si>
    <t>education_share</t>
  </si>
  <si>
    <t>ethanol_share</t>
  </si>
  <si>
    <t>ely_share</t>
  </si>
  <si>
    <t>food_share</t>
  </si>
  <si>
    <t>fwd_share</t>
  </si>
  <si>
    <t>gso_share</t>
  </si>
  <si>
    <t>health_srv_share</t>
  </si>
  <si>
    <t>housing_share</t>
  </si>
  <si>
    <t>ker_share</t>
  </si>
  <si>
    <t>lpg_share</t>
  </si>
  <si>
    <t>nga_share</t>
  </si>
  <si>
    <t>oil_share</t>
  </si>
  <si>
    <t>other_share</t>
  </si>
  <si>
    <t>paper_share</t>
  </si>
  <si>
    <t>pharma_share</t>
  </si>
  <si>
    <t>rectourism_share</t>
  </si>
  <si>
    <t>transp_eqt_share</t>
  </si>
  <si>
    <t>transp_pub_share</t>
  </si>
  <si>
    <t>dec_1_p1</t>
  </si>
  <si>
    <t>dec_1_p99</t>
  </si>
  <si>
    <t>dec_2_p1</t>
  </si>
  <si>
    <t>dec_2_p99</t>
  </si>
  <si>
    <t>dec_3_p1</t>
  </si>
  <si>
    <t>dec_3_p99</t>
  </si>
  <si>
    <t>dec_4_p1</t>
  </si>
  <si>
    <t>dec_4_p99</t>
  </si>
  <si>
    <t>dec_5_p1</t>
  </si>
  <si>
    <t>dec_5_p99</t>
  </si>
  <si>
    <t>dec_6_p1</t>
  </si>
  <si>
    <t>dec_6_p99</t>
  </si>
  <si>
    <t>dec_7_p1</t>
  </si>
  <si>
    <t>dec_7_p99</t>
  </si>
  <si>
    <t>dec_8_p1</t>
  </si>
  <si>
    <t>dec_8_p99</t>
  </si>
  <si>
    <t>dec_9_p1</t>
  </si>
  <si>
    <t>dec_9_p99</t>
  </si>
  <si>
    <t>dec_10_p1</t>
  </si>
  <si>
    <t>dec_10_p99</t>
  </si>
  <si>
    <t>cons_pc_acrent</t>
  </si>
  <si>
    <t>popw</t>
  </si>
  <si>
    <t>cons_pct_acct</t>
  </si>
  <si>
    <t>mean_cons_pct_acct</t>
  </si>
  <si>
    <t>ely_acs_share</t>
  </si>
  <si>
    <t>ICT_acs_share</t>
  </si>
  <si>
    <t>sani_acs_share</t>
  </si>
  <si>
    <t>wtr_acs_share</t>
  </si>
  <si>
    <t>transp_pub_acs_share</t>
  </si>
  <si>
    <t>pct_belowpl_215</t>
  </si>
  <si>
    <t>pct_belowpl_365</t>
  </si>
  <si>
    <t>pct_belowpl_685</t>
  </si>
  <si>
    <t>pit_share_region</t>
  </si>
  <si>
    <t>pit_share_income</t>
  </si>
  <si>
    <t>indv</t>
  </si>
  <si>
    <t>key</t>
  </si>
  <si>
    <t>EGY.distn.bsh.dec.ove.mean.1</t>
  </si>
  <si>
    <t>Overall|Deciles|mean|1</t>
  </si>
  <si>
    <t>EGY.distn.bsh.dec.ove.mean.2</t>
  </si>
  <si>
    <t>Overall|Deciles|mean|2</t>
  </si>
  <si>
    <t>EGY.distn.bsh.dec.ove.mean.3</t>
  </si>
  <si>
    <t>Overall|Deciles|mean|3</t>
  </si>
  <si>
    <t>EGY.distn.bsh.dec.ove.mean.4</t>
  </si>
  <si>
    <t>Overall|Deciles|mean|4</t>
  </si>
  <si>
    <t>EGY.distn.bsh.dec.ove.mean.5</t>
  </si>
  <si>
    <t>Overall|Deciles|mean|5</t>
  </si>
  <si>
    <t>EGY.distn.bsh.dec.ove.mean.6</t>
  </si>
  <si>
    <t>Overall|Deciles|mean|6</t>
  </si>
  <si>
    <t>EGY.distn.bsh.dec.ove.mean.7</t>
  </si>
  <si>
    <t>Overall|Deciles|mean|7</t>
  </si>
  <si>
    <t>EGY.distn.bsh.dec.ove.mean.8</t>
  </si>
  <si>
    <t>Overall|Deciles|mean|8</t>
  </si>
  <si>
    <t>EGY.distn.bsh.dec.ove.mean.9</t>
  </si>
  <si>
    <t>Overall|Deciles|mean|9</t>
  </si>
  <si>
    <t>EGY.distn.bsh.dec.ove.mean.10</t>
  </si>
  <si>
    <t>Overall|Deciles|mean|10</t>
  </si>
  <si>
    <t>EGY.distn.bsh.bkt.ove.mean.9999</t>
  </si>
  <si>
    <t>Overall|Basket|mean|9999</t>
  </si>
  <si>
    <t>EGY.distn.bsh.dec.ove.median.1</t>
  </si>
  <si>
    <t>Overall|Deciles|median|1</t>
  </si>
  <si>
    <t>EGY.distn.bsh.dec.ove.median.2</t>
  </si>
  <si>
    <t>Overall|Deciles|median|2</t>
  </si>
  <si>
    <t>EGY.distn.bsh.dec.ove.median.3</t>
  </si>
  <si>
    <t>Overall|Deciles|median|3</t>
  </si>
  <si>
    <t>EGY.distn.bsh.dec.ove.median.4</t>
  </si>
  <si>
    <t>Overall|Deciles|median|4</t>
  </si>
  <si>
    <t>EGY.distn.bsh.dec.ove.median.5</t>
  </si>
  <si>
    <t>Overall|Deciles|median|5</t>
  </si>
  <si>
    <t>EGY.distn.bsh.dec.ove.median.6</t>
  </si>
  <si>
    <t>Overall|Deciles|median|6</t>
  </si>
  <si>
    <t>EGY.distn.bsh.dec.ove.median.7</t>
  </si>
  <si>
    <t>Overall|Deciles|median|7</t>
  </si>
  <si>
    <t>EGY.distn.bsh.dec.ove.median.8</t>
  </si>
  <si>
    <t>Overall|Deciles|median|8</t>
  </si>
  <si>
    <t>EGY.distn.bsh.dec.ove.median.9</t>
  </si>
  <si>
    <t>Overall|Deciles|median|9</t>
  </si>
  <si>
    <t>EGY.distn.bsh.dec.ove.median.10</t>
  </si>
  <si>
    <t>Overall|Deciles|median|10</t>
  </si>
  <si>
    <t>EGY.distn.bsh.bkt.ove.median.9999</t>
  </si>
  <si>
    <t>Overall|Basket|median|9999</t>
  </si>
  <si>
    <t>EGY.distn.bsh.dec.ove.p25.1</t>
  </si>
  <si>
    <t>Overall|Deciles|p25|1</t>
  </si>
  <si>
    <t>EGY.distn.bsh.dec.ove.p25.2</t>
  </si>
  <si>
    <t>Overall|Deciles|p25|2</t>
  </si>
  <si>
    <t>EGY.distn.bsh.dec.ove.p25.3</t>
  </si>
  <si>
    <t>Overall|Deciles|p25|3</t>
  </si>
  <si>
    <t>EGY.distn.bsh.dec.ove.p25.4</t>
  </si>
  <si>
    <t>Overall|Deciles|p25|4</t>
  </si>
  <si>
    <t>EGY.distn.bsh.dec.ove.p25.5</t>
  </si>
  <si>
    <t>Overall|Deciles|p25|5</t>
  </si>
  <si>
    <t>EGY.distn.bsh.dec.ove.p25.6</t>
  </si>
  <si>
    <t>Overall|Deciles|p25|6</t>
  </si>
  <si>
    <t>EGY.distn.bsh.dec.ove.p25.7</t>
  </si>
  <si>
    <t>Overall|Deciles|p25|7</t>
  </si>
  <si>
    <t>EGY.distn.bsh.dec.ove.p25.8</t>
  </si>
  <si>
    <t>Overall|Deciles|p25|8</t>
  </si>
  <si>
    <t>EGY.distn.bsh.dec.ove.p25.9</t>
  </si>
  <si>
    <t>Overall|Deciles|p25|9</t>
  </si>
  <si>
    <t>EGY.distn.bsh.dec.ove.p25.10</t>
  </si>
  <si>
    <t>Overall|Deciles|p25|10</t>
  </si>
  <si>
    <t>EGY.distn.bsh.bkt.ove.p25.9999</t>
  </si>
  <si>
    <t>Overall|Basket|p25|9999</t>
  </si>
  <si>
    <t>EGY.distn.bsh.dec.ove.p75.1</t>
  </si>
  <si>
    <t>Overall|Deciles|p75|1</t>
  </si>
  <si>
    <t>EGY.distn.bsh.dec.ove.p75.2</t>
  </si>
  <si>
    <t>Overall|Deciles|p75|2</t>
  </si>
  <si>
    <t>EGY.distn.bsh.dec.ove.p75.3</t>
  </si>
  <si>
    <t>Overall|Deciles|p75|3</t>
  </si>
  <si>
    <t>EGY.distn.bsh.dec.ove.p75.4</t>
  </si>
  <si>
    <t>Overall|Deciles|p75|4</t>
  </si>
  <si>
    <t>EGY.distn.bsh.dec.ove.p75.5</t>
  </si>
  <si>
    <t>Overall|Deciles|p75|5</t>
  </si>
  <si>
    <t>EGY.distn.bsh.dec.ove.p75.6</t>
  </si>
  <si>
    <t>Overall|Deciles|p75|6</t>
  </si>
  <si>
    <t>EGY.distn.bsh.dec.ove.p75.7</t>
  </si>
  <si>
    <t>Overall|Deciles|p75|7</t>
  </si>
  <si>
    <t>EGY.distn.bsh.dec.ove.p75.8</t>
  </si>
  <si>
    <t>Overall|Deciles|p75|8</t>
  </si>
  <si>
    <t>EGY.distn.bsh.dec.ove.p75.9</t>
  </si>
  <si>
    <t>Overall|Deciles|p75|9</t>
  </si>
  <si>
    <t>EGY.distn.bsh.dec.ove.p75.10</t>
  </si>
  <si>
    <t>Overall|Deciles|p75|10</t>
  </si>
  <si>
    <t>EGY.distn.bsh.bkt.ove.p75.9999</t>
  </si>
  <si>
    <t>Overall|Basket|p75|9999</t>
  </si>
  <si>
    <t>EGY.distn.bsh.dec.rur.mean.1</t>
  </si>
  <si>
    <t>Rural|Deciles|mean|1</t>
  </si>
  <si>
    <t>EGY.distn.bsh.dec.rur.mean.2</t>
  </si>
  <si>
    <t>Rural|Deciles|mean|2</t>
  </si>
  <si>
    <t>EGY.distn.bsh.dec.rur.mean.3</t>
  </si>
  <si>
    <t>Rural|Deciles|mean|3</t>
  </si>
  <si>
    <t>EGY.distn.bsh.dec.rur.mean.4</t>
  </si>
  <si>
    <t>Rural|Deciles|mean|4</t>
  </si>
  <si>
    <t>EGY.distn.bsh.dec.rur.mean.5</t>
  </si>
  <si>
    <t>Rural|Deciles|mean|5</t>
  </si>
  <si>
    <t>EGY.distn.bsh.dec.rur.mean.6</t>
  </si>
  <si>
    <t>Rural|Deciles|mean|6</t>
  </si>
  <si>
    <t>EGY.distn.bsh.dec.rur.mean.7</t>
  </si>
  <si>
    <t>Rural|Deciles|mean|7</t>
  </si>
  <si>
    <t>EGY.distn.bsh.dec.rur.mean.8</t>
  </si>
  <si>
    <t>Rural|Deciles|mean|8</t>
  </si>
  <si>
    <t>EGY.distn.bsh.dec.rur.mean.9</t>
  </si>
  <si>
    <t>Rural|Deciles|mean|9</t>
  </si>
  <si>
    <t>EGY.distn.bsh.dec.rur.mean.10</t>
  </si>
  <si>
    <t>Rural|Deciles|mean|10</t>
  </si>
  <si>
    <t>EGY.distn.bsh.bkt.rur.mean.9999</t>
  </si>
  <si>
    <t>Rural|Basket|mean|9999</t>
  </si>
  <si>
    <t>EGY.distn.bsh.dec.rur.median.1</t>
  </si>
  <si>
    <t>Rural|Deciles|median|1</t>
  </si>
  <si>
    <t>EGY.distn.bsh.dec.rur.median.2</t>
  </si>
  <si>
    <t>Rural|Deciles|median|2</t>
  </si>
  <si>
    <t>EGY.distn.bsh.dec.rur.median.3</t>
  </si>
  <si>
    <t>Rural|Deciles|median|3</t>
  </si>
  <si>
    <t>EGY.distn.bsh.dec.rur.median.4</t>
  </si>
  <si>
    <t>Rural|Deciles|median|4</t>
  </si>
  <si>
    <t>EGY.distn.bsh.dec.rur.median.5</t>
  </si>
  <si>
    <t>Rural|Deciles|median|5</t>
  </si>
  <si>
    <t>EGY.distn.bsh.dec.rur.median.6</t>
  </si>
  <si>
    <t>Rural|Deciles|median|6</t>
  </si>
  <si>
    <t>EGY.distn.bsh.dec.rur.median.7</t>
  </si>
  <si>
    <t>Rural|Deciles|median|7</t>
  </si>
  <si>
    <t>EGY.distn.bsh.dec.rur.median.8</t>
  </si>
  <si>
    <t>Rural|Deciles|median|8</t>
  </si>
  <si>
    <t>EGY.distn.bsh.dec.rur.median.9</t>
  </si>
  <si>
    <t>Rural|Deciles|median|9</t>
  </si>
  <si>
    <t>EGY.distn.bsh.dec.rur.median.10</t>
  </si>
  <si>
    <t>Rural|Deciles|median|10</t>
  </si>
  <si>
    <t>EGY.distn.bsh.bkt.rur.median.9999</t>
  </si>
  <si>
    <t>Rural|Basket|median|9999</t>
  </si>
  <si>
    <t>EGY.distn.bsh.dec.rur.p25.1</t>
  </si>
  <si>
    <t>Rural|Deciles|p25|1</t>
  </si>
  <si>
    <t>EGY.distn.bsh.dec.rur.p25.2</t>
  </si>
  <si>
    <t>Rural|Deciles|p25|2</t>
  </si>
  <si>
    <t>EGY.distn.bsh.dec.rur.p25.3</t>
  </si>
  <si>
    <t>Rural|Deciles|p25|3</t>
  </si>
  <si>
    <t>EGY.distn.bsh.dec.rur.p25.4</t>
  </si>
  <si>
    <t>Rural|Deciles|p25|4</t>
  </si>
  <si>
    <t>EGY.distn.bsh.dec.rur.p25.5</t>
  </si>
  <si>
    <t>Rural|Deciles|p25|5</t>
  </si>
  <si>
    <t>EGY.distn.bsh.dec.rur.p25.6</t>
  </si>
  <si>
    <t>Rural|Deciles|p25|6</t>
  </si>
  <si>
    <t>EGY.distn.bsh.dec.rur.p25.7</t>
  </si>
  <si>
    <t>Rural|Deciles|p25|7</t>
  </si>
  <si>
    <t>EGY.distn.bsh.dec.rur.p25.8</t>
  </si>
  <si>
    <t>Rural|Deciles|p25|8</t>
  </si>
  <si>
    <t>EGY.distn.bsh.dec.rur.p25.9</t>
  </si>
  <si>
    <t>Rural|Deciles|p25|9</t>
  </si>
  <si>
    <t>EGY.distn.bsh.dec.rur.p25.10</t>
  </si>
  <si>
    <t>Rural|Deciles|p25|10</t>
  </si>
  <si>
    <t>EGY.distn.bsh.bkt.rur.p25.9999</t>
  </si>
  <si>
    <t>Rural|Basket|p25|9999</t>
  </si>
  <si>
    <t>EGY.distn.bsh.dec.rur.p75.1</t>
  </si>
  <si>
    <t>Rural|Deciles|p75|1</t>
  </si>
  <si>
    <t>EGY.distn.bsh.dec.rur.p75.2</t>
  </si>
  <si>
    <t>Rural|Deciles|p75|2</t>
  </si>
  <si>
    <t>EGY.distn.bsh.dec.rur.p75.3</t>
  </si>
  <si>
    <t>Rural|Deciles|p75|3</t>
  </si>
  <si>
    <t>EGY.distn.bsh.dec.rur.p75.4</t>
  </si>
  <si>
    <t>Rural|Deciles|p75|4</t>
  </si>
  <si>
    <t>EGY.distn.bsh.dec.rur.p75.5</t>
  </si>
  <si>
    <t>Rural|Deciles|p75|5</t>
  </si>
  <si>
    <t>EGY.distn.bsh.dec.rur.p75.6</t>
  </si>
  <si>
    <t>Rural|Deciles|p75|6</t>
  </si>
  <si>
    <t>EGY.distn.bsh.dec.rur.p75.7</t>
  </si>
  <si>
    <t>Rural|Deciles|p75|7</t>
  </si>
  <si>
    <t>EGY.distn.bsh.dec.rur.p75.8</t>
  </si>
  <si>
    <t>Rural|Deciles|p75|8</t>
  </si>
  <si>
    <t>EGY.distn.bsh.dec.rur.p75.9</t>
  </si>
  <si>
    <t>Rural|Deciles|p75|9</t>
  </si>
  <si>
    <t>EGY.distn.bsh.dec.rur.p75.10</t>
  </si>
  <si>
    <t>Rural|Deciles|p75|10</t>
  </si>
  <si>
    <t>EGY.distn.bsh.bkt.rur.p75.9999</t>
  </si>
  <si>
    <t>Rural|Basket|p75|9999</t>
  </si>
  <si>
    <t>EGY.distn.bsh.dec.urb.mean.1</t>
  </si>
  <si>
    <t>Urban|Deciles|mean|1</t>
  </si>
  <si>
    <t>EGY.distn.bsh.dec.urb.mean.2</t>
  </si>
  <si>
    <t>Urban|Deciles|mean|2</t>
  </si>
  <si>
    <t>EGY.distn.bsh.dec.urb.mean.3</t>
  </si>
  <si>
    <t>Urban|Deciles|mean|3</t>
  </si>
  <si>
    <t>EGY.distn.bsh.dec.urb.mean.4</t>
  </si>
  <si>
    <t>Urban|Deciles|mean|4</t>
  </si>
  <si>
    <t>EGY.distn.bsh.dec.urb.mean.5</t>
  </si>
  <si>
    <t>Urban|Deciles|mean|5</t>
  </si>
  <si>
    <t>EGY.distn.bsh.dec.urb.mean.6</t>
  </si>
  <si>
    <t>Urban|Deciles|mean|6</t>
  </si>
  <si>
    <t>EGY.distn.bsh.dec.urb.mean.7</t>
  </si>
  <si>
    <t>Urban|Deciles|mean|7</t>
  </si>
  <si>
    <t>EGY.distn.bsh.dec.urb.mean.8</t>
  </si>
  <si>
    <t>Urban|Deciles|mean|8</t>
  </si>
  <si>
    <t>EGY.distn.bsh.dec.urb.mean.9</t>
  </si>
  <si>
    <t>Urban|Deciles|mean|9</t>
  </si>
  <si>
    <t>EGY.distn.bsh.dec.urb.mean.10</t>
  </si>
  <si>
    <t>Urban|Deciles|mean|10</t>
  </si>
  <si>
    <t>EGY.distn.bsh.bkt.urb.mean.9999</t>
  </si>
  <si>
    <t>Urban|Basket|mean|9999</t>
  </si>
  <si>
    <t>EGY.distn.bsh.dec.urb.median.1</t>
  </si>
  <si>
    <t>Urban|Deciles|median|1</t>
  </si>
  <si>
    <t>EGY.distn.bsh.dec.urb.median.2</t>
  </si>
  <si>
    <t>Urban|Deciles|median|2</t>
  </si>
  <si>
    <t>EGY.distn.bsh.dec.urb.median.3</t>
  </si>
  <si>
    <t>Urban|Deciles|median|3</t>
  </si>
  <si>
    <t>EGY.distn.bsh.dec.urb.median.4</t>
  </si>
  <si>
    <t>Urban|Deciles|median|4</t>
  </si>
  <si>
    <t>EGY.distn.bsh.dec.urb.median.5</t>
  </si>
  <si>
    <t>Urban|Deciles|median|5</t>
  </si>
  <si>
    <t>EGY.distn.bsh.dec.urb.median.6</t>
  </si>
  <si>
    <t>Urban|Deciles|median|6</t>
  </si>
  <si>
    <t>EGY.distn.bsh.dec.urb.median.7</t>
  </si>
  <si>
    <t>Urban|Deciles|median|7</t>
  </si>
  <si>
    <t>EGY.distn.bsh.dec.urb.median.8</t>
  </si>
  <si>
    <t>Urban|Deciles|median|8</t>
  </si>
  <si>
    <t>EGY.distn.bsh.dec.urb.median.9</t>
  </si>
  <si>
    <t>Urban|Deciles|median|9</t>
  </si>
  <si>
    <t>EGY.distn.bsh.dec.urb.median.10</t>
  </si>
  <si>
    <t>Urban|Deciles|median|10</t>
  </si>
  <si>
    <t>EGY.distn.bsh.bkt.urb.median.9999</t>
  </si>
  <si>
    <t>Urban|Basket|median|9999</t>
  </si>
  <si>
    <t>EGY.distn.bsh.dec.urb.p25.1</t>
  </si>
  <si>
    <t>Urban|Deciles|p25|1</t>
  </si>
  <si>
    <t>EGY.distn.bsh.dec.urb.p25.2</t>
  </si>
  <si>
    <t>Urban|Deciles|p25|2</t>
  </si>
  <si>
    <t>EGY.distn.bsh.dec.urb.p25.3</t>
  </si>
  <si>
    <t>Urban|Deciles|p25|3</t>
  </si>
  <si>
    <t>EGY.distn.bsh.dec.urb.p25.4</t>
  </si>
  <si>
    <t>Urban|Deciles|p25|4</t>
  </si>
  <si>
    <t>EGY.distn.bsh.dec.urb.p25.5</t>
  </si>
  <si>
    <t>Urban|Deciles|p25|5</t>
  </si>
  <si>
    <t>EGY.distn.bsh.dec.urb.p25.6</t>
  </si>
  <si>
    <t>Urban|Deciles|p25|6</t>
  </si>
  <si>
    <t>EGY.distn.bsh.dec.urb.p25.7</t>
  </si>
  <si>
    <t>Urban|Deciles|p25|7</t>
  </si>
  <si>
    <t>EGY.distn.bsh.dec.urb.p25.8</t>
  </si>
  <si>
    <t>Urban|Deciles|p25|8</t>
  </si>
  <si>
    <t>EGY.distn.bsh.dec.urb.p25.9</t>
  </si>
  <si>
    <t>Urban|Deciles|p25|9</t>
  </si>
  <si>
    <t>EGY.distn.bsh.dec.urb.p25.10</t>
  </si>
  <si>
    <t>Urban|Deciles|p25|10</t>
  </si>
  <si>
    <t>EGY.distn.bsh.bkt.urb.p25.9999</t>
  </si>
  <si>
    <t>Urban|Basket|p25|9999</t>
  </si>
  <si>
    <t>EGY.distn.bsh.dec.urb.p75.1</t>
  </si>
  <si>
    <t>Urban|Deciles|p75|1</t>
  </si>
  <si>
    <t>EGY.distn.bsh.dec.urb.p75.2</t>
  </si>
  <si>
    <t>Urban|Deciles|p75|2</t>
  </si>
  <si>
    <t>EGY.distn.bsh.dec.urb.p75.3</t>
  </si>
  <si>
    <t>Urban|Deciles|p75|3</t>
  </si>
  <si>
    <t>EGY.distn.bsh.dec.urb.p75.4</t>
  </si>
  <si>
    <t>Urban|Deciles|p75|4</t>
  </si>
  <si>
    <t>EGY.distn.bsh.dec.urb.p75.5</t>
  </si>
  <si>
    <t>Urban|Deciles|p75|5</t>
  </si>
  <si>
    <t>EGY.distn.bsh.dec.urb.p75.6</t>
  </si>
  <si>
    <t>Urban|Deciles|p75|6</t>
  </si>
  <si>
    <t>EGY.distn.bsh.dec.urb.p75.7</t>
  </si>
  <si>
    <t>Urban|Deciles|p75|7</t>
  </si>
  <si>
    <t>EGY.distn.bsh.dec.urb.p75.8</t>
  </si>
  <si>
    <t>Urban|Deciles|p75|8</t>
  </si>
  <si>
    <t>EGY.distn.bsh.dec.urb.p75.9</t>
  </si>
  <si>
    <t>Urban|Deciles|p75|9</t>
  </si>
  <si>
    <t>EGY.distn.bsh.dec.urb.p75.10</t>
  </si>
  <si>
    <t>Urban|Deciles|p75|10</t>
  </si>
  <si>
    <t>EGY.distn.bsh.bkt.urb.p75.9999</t>
  </si>
  <si>
    <t>Urban|Basket|p75|9999</t>
  </si>
  <si>
    <t>ely_elasticity</t>
  </si>
  <si>
    <t>nga_elasticity</t>
  </si>
  <si>
    <t>gso_elasticity</t>
  </si>
  <si>
    <t>die_elasticity</t>
  </si>
  <si>
    <t>coa_elasticity</t>
  </si>
  <si>
    <t>oil_elasticity</t>
  </si>
  <si>
    <t>lpg_elasticity</t>
  </si>
  <si>
    <t>ker_elasticity</t>
  </si>
  <si>
    <t>ccl_elasticity</t>
  </si>
  <si>
    <t>fwd_elasticity</t>
  </si>
  <si>
    <t>appliances_elasticity</t>
  </si>
  <si>
    <t>chemicals_elasticity</t>
  </si>
  <si>
    <t>clothing_elasticity</t>
  </si>
  <si>
    <t>communications_elasticity</t>
  </si>
  <si>
    <t>education_elasticity</t>
  </si>
  <si>
    <t>food_elasticity</t>
  </si>
  <si>
    <t>health_srv_elasticity</t>
  </si>
  <si>
    <t>housing_elasticity</t>
  </si>
  <si>
    <t>other_elasticity</t>
  </si>
  <si>
    <t>paper_elasticity</t>
  </si>
  <si>
    <t>pharma_elasticity</t>
  </si>
  <si>
    <t>rectourism_elasticity</t>
  </si>
  <si>
    <t>transp_eqt_elasticity</t>
  </si>
  <si>
    <t>transp_pub_elasticity</t>
  </si>
  <si>
    <t>EGY.distn.dec.ove.mean.1</t>
  </si>
  <si>
    <t>EGY.distn.dec.ove.mean.2</t>
  </si>
  <si>
    <t>EGY.distn.dec.ove.mean.3</t>
  </si>
  <si>
    <t>EGY.distn.dec.ove.mean.4</t>
  </si>
  <si>
    <t>EGY.distn.dec.ove.mean.5</t>
  </si>
  <si>
    <t>EGY.distn.dec.ove.mean.6</t>
  </si>
  <si>
    <t>EGY.distn.dec.ove.mean.7</t>
  </si>
  <si>
    <t>EGY.distn.dec.ove.mean.8</t>
  </si>
  <si>
    <t>EGY.distn.dec.ove.mean.9</t>
  </si>
  <si>
    <t>EGY.distn.dec.ove.mean.10</t>
  </si>
  <si>
    <t>EGY.distn.bkt.ove.mean.9999</t>
  </si>
  <si>
    <t>Series_Code</t>
  </si>
  <si>
    <t>Country_Name</t>
  </si>
  <si>
    <t>ISO_3_Country_Code</t>
  </si>
  <si>
    <t>Year</t>
  </si>
  <si>
    <t>firstnm_Value</t>
  </si>
  <si>
    <t>firstnm_indicator_name</t>
  </si>
  <si>
    <t>firstnm_Sub_Topic5</t>
  </si>
  <si>
    <t>firstnm_Sub_Topic6</t>
  </si>
  <si>
    <t>EGY.per_allsp.avt_q1_preT_tot</t>
  </si>
  <si>
    <t>Egypt, Arab Rep.</t>
  </si>
  <si>
    <t>Average per capita transfer held by 1st quintile (poorest) -All Social Protection and Labor (preT)</t>
  </si>
  <si>
    <t>EGY.per_allsp.avt_q2_preT_tot</t>
  </si>
  <si>
    <t>Average per capita transfer held by 2nd quintile -All Social Protection and Labor (preT)</t>
  </si>
  <si>
    <t>EGY.per_allsp.avt_q3_preT_tot</t>
  </si>
  <si>
    <t>Average per capita transfer held by 3rd quintile -All Social Protection and Labor (preT)</t>
  </si>
  <si>
    <t>EGY.per_allsp.avt_q4_preT_tot</t>
  </si>
  <si>
    <t>Average per capita transfer held by 4th quintile -All Social Protection and Labor (preT)</t>
  </si>
  <si>
    <t>EGY.per_allsp.avt_q5_preT_tot</t>
  </si>
  <si>
    <t>Average per capita transfer held by 5th quintile (richest) -All Social Protection and Labor (preT)</t>
  </si>
  <si>
    <t>EGY.per_sa_allsa.avt_q1_preT_tot</t>
  </si>
  <si>
    <t>Average per capita transfer held by 1st quintile (poorest) - All Social Assistance (preT)</t>
  </si>
  <si>
    <t>Social Assistance</t>
  </si>
  <si>
    <t>EGY.per_sa_allsa.avt_q2_preT_tot</t>
  </si>
  <si>
    <t>Average per capita transfer held by 2nd quintile - All Social Assistance (preT)</t>
  </si>
  <si>
    <t>EGY.per_sa_allsa.avt_q3_preT_tot</t>
  </si>
  <si>
    <t>Average per capita transfer held by 3rd quintile - All Social Assistance (preT)</t>
  </si>
  <si>
    <t>EGY.per_sa_allsa.avt_q4_preT_tot</t>
  </si>
  <si>
    <t>Average per capita transfer held by 4th quintile - All Social Assistance (preT)</t>
  </si>
  <si>
    <t>EGY.per_sa_allsa.avt_q5_preT_tot</t>
  </si>
  <si>
    <t>Average per capita transfer held by 5th quintile (richest) - All Social Assistance (preT)</t>
  </si>
  <si>
    <t>EGY.per_sa_ct.avt_q1_preT_tot</t>
  </si>
  <si>
    <t>Average per capita transfer held by 1st quintile (poorest) - Cash Transfer (preT)</t>
  </si>
  <si>
    <t>EGY.per_sa_ct.avt_q2_preT_tot</t>
  </si>
  <si>
    <t>Average per capita transfer held by 2nd quintile - Cash Transfer (preT)</t>
  </si>
  <si>
    <t>EGY.per_sa_ct.avt_q3_preT_tot</t>
  </si>
  <si>
    <t>Average per capita transfer held by 3rd quintile - Cash Transfer (preT)</t>
  </si>
  <si>
    <t>EGY.per_sa_ct.avt_q4_preT_tot</t>
  </si>
  <si>
    <t>Average per capita transfer held by 4th quintile - Cash Transfer (preT)</t>
  </si>
  <si>
    <t>EGY.per_sa_ct.avt_q5_preT_tot</t>
  </si>
  <si>
    <t>Average per capita transfer held by 5th quintile (richest) - Cash Transfer (preT)</t>
  </si>
  <si>
    <t>EGY.per_sa_ik.avt_q1_preT_tot</t>
  </si>
  <si>
    <t>Average per capita transfer held by 1st quintile (poorest) - In-Kind (preT)</t>
  </si>
  <si>
    <t>EGY.per_sa_ik.avt_q2_preT_tot</t>
  </si>
  <si>
    <t>Average per capita transfer held by 2nd quintile - In-Kind (preT)</t>
  </si>
  <si>
    <t>EGY.per_sa_ik.avt_q3_preT_tot</t>
  </si>
  <si>
    <t>Average per capita transfer held by 3rd quintile - In-Kind (preT)</t>
  </si>
  <si>
    <t>EGY.per_sa_ik.avt_q4_preT_tot</t>
  </si>
  <si>
    <t>Average per capita transfer held by 4th quintile - In-Kind (preT)</t>
  </si>
  <si>
    <t>EGY.per_sa_ik.avt_q5_preT_tot</t>
  </si>
  <si>
    <t>Average per capita transfer held by 5th quintile (richest) - In-Kind (preT)</t>
  </si>
  <si>
    <t>EGY.per_si_allsi.avt_q1_preT_tot</t>
  </si>
  <si>
    <t>Average per capita transfer held by 1st quintile (poorest) - All Social Insurance (preT)</t>
  </si>
  <si>
    <t>Social Insurance</t>
  </si>
  <si>
    <t>EGY.per_si_allsi.avt_q2_preT_tot</t>
  </si>
  <si>
    <t>Average per capita transfer held by 2nd quintile - All Social Insurance (preT)</t>
  </si>
  <si>
    <t>EGY.per_si_allsi.avt_q3_preT_tot</t>
  </si>
  <si>
    <t>Average per capita transfer held by 3rd quintile - All Social Insurance (preT)</t>
  </si>
  <si>
    <t>EGY.per_si_allsi.avt_q4_preT_tot</t>
  </si>
  <si>
    <t>Average per capita transfer held by 4th quintile - All Social Insurance (preT)</t>
  </si>
  <si>
    <t>EGY.per_si_allsi.avt_q5_preT_tot</t>
  </si>
  <si>
    <t>Average per capita transfer held by 5th quintile (richest) - All Social Insurance (preT)</t>
  </si>
  <si>
    <t>EGY.per_si_cp.avt_q1_preT_tot</t>
  </si>
  <si>
    <t>Average per capita transfer held by 1st quintile (poorest) - Contributory Pensions (preT)</t>
  </si>
  <si>
    <t>EGY.per_si_cp.avt_q2_preT_tot</t>
  </si>
  <si>
    <t>Average per capita transfer held by 2nd quintile - Contributory Pensions (preT)</t>
  </si>
  <si>
    <t>EGY.per_si_cp.avt_q3_preT_tot</t>
  </si>
  <si>
    <t>Average per capita transfer held by 3rd quintile - Contributory Pensions (preT)</t>
  </si>
  <si>
    <t>EGY.per_si_cp.avt_q4_preT_tot</t>
  </si>
  <si>
    <t>Average per capita transfer held by 4th quintile - Contributory Pensions (preT)</t>
  </si>
  <si>
    <t>EGY.per_si_cp.avt_q5_preT_tot</t>
  </si>
  <si>
    <t>Average per capita transfer held by 5th quintile (richest) - Contributory Pensions (preT)</t>
  </si>
  <si>
    <t>ASPIRE incidence pivot (avg. per-capita transfer, preT, US$ PPP/day, by quintile)</t>
  </si>
  <si>
    <t>program</t>
  </si>
  <si>
    <t>label</t>
  </si>
  <si>
    <t>Q1</t>
  </si>
  <si>
    <t>Q2</t>
  </si>
  <si>
    <t>Q3</t>
  </si>
  <si>
    <t>Q4</t>
  </si>
  <si>
    <t>Q5</t>
  </si>
  <si>
    <t>allsp</t>
  </si>
  <si>
    <t>sa_allsa</t>
  </si>
  <si>
    <t>sa_ct</t>
  </si>
  <si>
    <t>sa_ik</t>
  </si>
  <si>
    <t>si_allsi</t>
  </si>
  <si>
    <t>si_cp</t>
  </si>
  <si>
    <t>main_fuel</t>
  </si>
  <si>
    <t>max_share</t>
  </si>
  <si>
    <t>EGY.distn.pcoff.ove</t>
  </si>
  <si>
    <t>EGY.distn.pcoff.rur</t>
  </si>
  <si>
    <t>EGY.distn.pcoff.urb</t>
  </si>
  <si>
    <t>Country_Code</t>
  </si>
  <si>
    <t>Indicator_Name</t>
  </si>
  <si>
    <t>Indicator_Code</t>
  </si>
  <si>
    <t>Latest_Year</t>
  </si>
  <si>
    <t>Y1960</t>
  </si>
  <si>
    <t>Y1961</t>
  </si>
  <si>
    <t>Y1962</t>
  </si>
  <si>
    <t>Y1963</t>
  </si>
  <si>
    <t>Y1964</t>
  </si>
  <si>
    <t>Y1965</t>
  </si>
  <si>
    <t>Y1966</t>
  </si>
  <si>
    <t>Y1967</t>
  </si>
  <si>
    <t>Y1968</t>
  </si>
  <si>
    <t>Y1969</t>
  </si>
  <si>
    <t>Y1970</t>
  </si>
  <si>
    <t>Y1971</t>
  </si>
  <si>
    <t>Y1972</t>
  </si>
  <si>
    <t>Y1973</t>
  </si>
  <si>
    <t>Y1974</t>
  </si>
  <si>
    <t>Y1975</t>
  </si>
  <si>
    <t>Y1976</t>
  </si>
  <si>
    <t>Y1977</t>
  </si>
  <si>
    <t>Y1978</t>
  </si>
  <si>
    <t>Y1979</t>
  </si>
  <si>
    <t>Y1980</t>
  </si>
  <si>
    <t>Y1981</t>
  </si>
  <si>
    <t>Y1982</t>
  </si>
  <si>
    <t>Y1983</t>
  </si>
  <si>
    <t>Y1984</t>
  </si>
  <si>
    <t>Y1985</t>
  </si>
  <si>
    <t>Y1986</t>
  </si>
  <si>
    <t>Y1987</t>
  </si>
  <si>
    <t>Y1988</t>
  </si>
  <si>
    <t>Y1989</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</si>
  <si>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</si>
  <si>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</si>
  <si>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</si>
  <si>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</si>
  <si>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</si>
  <si>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</si>
  <si>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</si>
  <si>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</si>
  <si>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</si>
  <si>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</si>
  <si>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</si>
  <si>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</si>
  <si>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</si>
  <si>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</si>
  <si>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</si>
  <si>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</si>
  <si>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</si>
  <si>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</si>
  <si>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</si>
  <si>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</si>
  <si>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</si>
  <si>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</si>
  <si>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</si>
  <si>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</si>
  <si>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</si>
  <si>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</si>
  <si>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</si>
  <si>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</si>
  <si>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</si>
  <si>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</si>
  <si>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</si>
  <si>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</si>
  <si>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</si>
  <si>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Y2023</t>
  </si>
  <si>
    <t>Households and NPISHs final consumption expenditure (% of GDP)</t>
  </si>
  <si>
    <t>dis</t>
  </si>
  <si>
    <t>sector</t>
  </si>
  <si>
    <t>afs</t>
  </si>
  <si>
    <t>atp</t>
  </si>
  <si>
    <t>b_t</t>
  </si>
  <si>
    <t>bph</t>
  </si>
  <si>
    <t>c_b</t>
  </si>
  <si>
    <t>chm</t>
  </si>
  <si>
    <t>cmn</t>
  </si>
  <si>
    <t>cmt</t>
  </si>
  <si>
    <t>cns</t>
  </si>
  <si>
    <t>ctl</t>
  </si>
  <si>
    <t>dwe</t>
  </si>
  <si>
    <t>eeq</t>
  </si>
  <si>
    <t>ele</t>
  </si>
  <si>
    <t>fmp</t>
  </si>
  <si>
    <t>frs</t>
  </si>
  <si>
    <t>fsh</t>
  </si>
  <si>
    <t>gro</t>
  </si>
  <si>
    <t>hht</t>
  </si>
  <si>
    <t>i_s</t>
  </si>
  <si>
    <t>ins</t>
  </si>
  <si>
    <t>lea</t>
  </si>
  <si>
    <t>lum</t>
  </si>
  <si>
    <t>mil</t>
  </si>
  <si>
    <t>mvh</t>
  </si>
  <si>
    <t>nfm</t>
  </si>
  <si>
    <t>nmm</t>
  </si>
  <si>
    <t>oap</t>
  </si>
  <si>
    <t>obs</t>
  </si>
  <si>
    <t>ocr</t>
  </si>
  <si>
    <t>ofd</t>
  </si>
  <si>
    <t>ofi</t>
  </si>
  <si>
    <t>ome</t>
  </si>
  <si>
    <t>omf</t>
  </si>
  <si>
    <t>omt</t>
  </si>
  <si>
    <t>osd</t>
  </si>
  <si>
    <t>osg</t>
  </si>
  <si>
    <t>otn</t>
  </si>
  <si>
    <t>otp</t>
  </si>
  <si>
    <t>oxt</t>
  </si>
  <si>
    <t>p_c</t>
  </si>
  <si>
    <t>pcr</t>
  </si>
  <si>
    <t>pdr</t>
  </si>
  <si>
    <t>pfb</t>
  </si>
  <si>
    <t>ppp</t>
  </si>
  <si>
    <t>rmk</t>
  </si>
  <si>
    <t>ros</t>
  </si>
  <si>
    <t>rpp</t>
  </si>
  <si>
    <t>rsa</t>
  </si>
  <si>
    <t>sgr</t>
  </si>
  <si>
    <t>tex</t>
  </si>
  <si>
    <t>trd</t>
  </si>
  <si>
    <t>v_f</t>
  </si>
  <si>
    <t>vol</t>
  </si>
  <si>
    <t>wap</t>
  </si>
  <si>
    <t>whs</t>
  </si>
  <si>
    <t>wht</t>
  </si>
  <si>
    <t>wol</t>
  </si>
  <si>
    <t>wtp</t>
  </si>
  <si>
    <t>wtr</t>
  </si>
  <si>
    <t>egy.domcons</t>
  </si>
  <si>
    <t>DOMCONS</t>
  </si>
  <si>
    <t>egy.exports</t>
  </si>
  <si>
    <t>Exports</t>
  </si>
  <si>
    <t>egy.hhd</t>
  </si>
  <si>
    <t>HHD</t>
  </si>
  <si>
    <t>egy.imports</t>
  </si>
  <si>
    <t>Imports</t>
  </si>
  <si>
    <t>egy.output</t>
  </si>
  <si>
    <t>Output</t>
  </si>
  <si>
    <t>egy.totd</t>
  </si>
  <si>
    <t>TOTD</t>
  </si>
  <si>
    <t>egy.coa.leontiefs</t>
  </si>
  <si>
    <t>egy.ely.leontiefs</t>
  </si>
  <si>
    <t>egy.nga.leontiefs</t>
  </si>
  <si>
    <t>egy.oil.leontiefs</t>
  </si>
  <si>
    <t>egy.p_c.leontiefs</t>
  </si>
  <si>
    <t>Direct price changes by fuel (%, given -- see Distribution_Inputs)</t>
  </si>
  <si>
    <t>fuel</t>
  </si>
  <si>
    <t>pct_change</t>
  </si>
  <si>
    <t>Indirect (HH-demand-weighted) price changes by CPAT category (%, given)</t>
  </si>
  <si>
    <t>category</t>
  </si>
  <si>
    <t>Price-elasticity adjustment factors (C.II), by decile -- multiplies the price change above before it is applied to budget share in DIRECT_EFFECT/INDIRECT_EFFECT</t>
  </si>
  <si>
    <t>D1</t>
  </si>
  <si>
    <t>D2</t>
  </si>
  <si>
    <t>D3</t>
  </si>
  <si>
    <t>D4</t>
  </si>
  <si>
    <t>D5</t>
  </si>
  <si>
    <t>D6</t>
  </si>
  <si>
    <t>D7</t>
  </si>
  <si>
    <t>D8</t>
  </si>
  <si>
    <t>D9</t>
  </si>
  <si>
    <t>D10</t>
  </si>
  <si>
    <t>GTAP -&gt; CPAT sector crosswalk</t>
  </si>
  <si>
    <t>GTAP_sectors</t>
  </si>
  <si>
    <t>GTAP_sector_codes</t>
  </si>
  <si>
    <t>GTAP_sector_number</t>
  </si>
  <si>
    <t>CTAP_10_sectors</t>
  </si>
  <si>
    <t>GTAP_10_codes</t>
  </si>
  <si>
    <t>GTAP_10_sector_numbers</t>
  </si>
  <si>
    <t>CPAT_Description</t>
  </si>
  <si>
    <t>WIOT_sectors</t>
  </si>
  <si>
    <t>WIOT_codes</t>
  </si>
  <si>
    <t>EORA_sectors</t>
  </si>
  <si>
    <t>IEA_flows</t>
  </si>
  <si>
    <t>IEA_codes</t>
  </si>
  <si>
    <t>CPC_ISIC_code</t>
  </si>
  <si>
    <t>#</t>
  </si>
  <si>
    <t>CPAT_subsectors</t>
  </si>
  <si>
    <t>CPAT_sectors</t>
  </si>
  <si>
    <t>CPAT_sector_code</t>
  </si>
  <si>
    <t>CPAT_consumption_items</t>
  </si>
  <si>
    <t>CPAT_consumption_items_3_letter</t>
  </si>
  <si>
    <t>Raw animal materials used in textiles</t>
  </si>
  <si>
    <t>Wool: wool, silk, and other raw animal materials used in textile</t>
  </si>
  <si>
    <t>Wool</t>
  </si>
  <si>
    <t>Crop and animal production, hunting and related service activities</t>
  </si>
  <si>
    <t>A01</t>
  </si>
  <si>
    <t>Agriculture</t>
  </si>
  <si>
    <t>Agriculture/forestry</t>
  </si>
  <si>
    <t>AGRICULT</t>
  </si>
  <si>
    <t>Industry</t>
  </si>
  <si>
    <t>foo</t>
  </si>
  <si>
    <t>NA</t>
  </si>
  <si>
    <t>Rice</t>
  </si>
  <si>
    <t>Rice: seed, paddy (not husked)</t>
  </si>
  <si>
    <t>Wheat</t>
  </si>
  <si>
    <t>Wheat: seed, other</t>
  </si>
  <si>
    <t>Maize (corn)</t>
  </si>
  <si>
    <t>Other Grains: maize (corn), sorghum, barley, rye, oats, millets, other cereals</t>
  </si>
  <si>
    <t>Other grains</t>
  </si>
  <si>
    <t>Sorghum</t>
  </si>
  <si>
    <t>Millets</t>
  </si>
  <si>
    <t>Barley</t>
  </si>
  <si>
    <t>Oats</t>
  </si>
  <si>
    <t>Rye</t>
  </si>
  <si>
    <t>Other cereals</t>
  </si>
  <si>
    <t>Pulses (dried leguminous vegetables)</t>
  </si>
  <si>
    <t>Veg &amp; Fruit: vegetables, fruit and nuts, edible roots and tubers, pulses</t>
  </si>
  <si>
    <t>Veg &amp; fruit</t>
  </si>
  <si>
    <t>Edible roots and tubers with high starch or inulin content</t>
  </si>
  <si>
    <t>Vegetables</t>
  </si>
  <si>
    <t>Fruit and nuts</t>
  </si>
  <si>
    <t>Oil seeds and oleaginous fruit</t>
  </si>
  <si>
    <t>Oil Seeds: oil seeds and oleaginous fruit</t>
  </si>
  <si>
    <t>Oil Seeds</t>
  </si>
  <si>
    <t>Sugar crops</t>
  </si>
  <si>
    <t>Cane &amp; Beet: sugar crops</t>
  </si>
  <si>
    <t>Cane &amp; Beet</t>
  </si>
  <si>
    <t>Fibre crops</t>
  </si>
  <si>
    <t>Fibres crops</t>
  </si>
  <si>
    <t>Other raw vegetable materials nec</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</si>
  <si>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</si>
  <si>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Other Crops</t>
  </si>
  <si>
    <t>Beet seeds (excluding sugar beet seeds) and seeds of forage plants</t>
  </si>
  <si>
    <t>Unmanufactured tobacco</t>
  </si>
  <si>
    <t>Forage products</t>
  </si>
  <si>
    <t>Natural rubber in primary forms or in plates, sheets or strip</t>
  </si>
  <si>
    <t>Plants and parts of plants used primarily in perfumery, in pharmacy, or for insecticidal, fungicidal or similar purposes</t>
  </si>
  <si>
    <t>Living plants; cut flowers and flower buds; flower seeds</t>
  </si>
  <si>
    <t>Stimulant, spice and aromatic crops</t>
  </si>
  <si>
    <t>Horses and other equines</t>
  </si>
  <si>
    <t>Cattle: bovine animals, live, other ruminants, horses and other equines, bovine semen</t>
  </si>
  <si>
    <t>Cattle</t>
  </si>
  <si>
    <t>Bovine animals, live</t>
  </si>
  <si>
    <t>Bovine semen</t>
  </si>
  <si>
    <t>Other ruminants</t>
  </si>
  <si>
    <t>Natural honey</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</si>
  <si>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</si>
  <si>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Other Animal Products</t>
  </si>
  <si>
    <t>Swine / pigs</t>
  </si>
  <si>
    <t>Snails, fresh, chilled, frozen, dried, salted or in brine, except sea snails</t>
  </si>
  <si>
    <t>Eggs of hens or other birds in shell, fresh</t>
  </si>
  <si>
    <t>Poultry</t>
  </si>
  <si>
    <t>Other live animals</t>
  </si>
  <si>
    <t>Hides, skins and furskins, raw</t>
  </si>
  <si>
    <t>Edible products of animal origin n.e.c.</t>
  </si>
  <si>
    <t>Semen, n.e.c</t>
  </si>
  <si>
    <t>Insect waxes and spermaceti, whether or not refined or coloured</t>
  </si>
  <si>
    <t>Raw milk</t>
  </si>
  <si>
    <t>Forestry and logging products</t>
  </si>
  <si>
    <t>Forestry: forestry, logging and related service activities</t>
  </si>
  <si>
    <t>Forestry</t>
  </si>
  <si>
    <t>Forestry and logging</t>
  </si>
  <si>
    <t>A02</t>
  </si>
  <si>
    <t>Wood and Paper</t>
  </si>
  <si>
    <t>Manufacture of chemicals and chemical products</t>
  </si>
  <si>
    <t xml:space="preserve">Manufacture of chemicals and chemical products </t>
  </si>
  <si>
    <t>C20</t>
  </si>
  <si>
    <t>Petroleum, Chemical and Non-Metallic Mineral Products</t>
  </si>
  <si>
    <t>Chemical and petrochemical</t>
  </si>
  <si>
    <t>CHEMICAL</t>
  </si>
  <si>
    <t>mch</t>
  </si>
  <si>
    <t>chemicals</t>
  </si>
  <si>
    <t>Manufacture of pharmaceuticals, medicinal chemical and botanical products</t>
  </si>
  <si>
    <t>Manufacture of basic pharmaceutical products and pharmaceutical preparations</t>
  </si>
  <si>
    <t>C21</t>
  </si>
  <si>
    <t>pharma</t>
  </si>
  <si>
    <t>Information service activities</t>
  </si>
  <si>
    <t>Information and communication</t>
  </si>
  <si>
    <t>Telecomms</t>
  </si>
  <si>
    <t>Computer programming, consultancy and related activities; information service activities</t>
  </si>
  <si>
    <t>J62_J63</t>
  </si>
  <si>
    <t>Post and Telecommunications</t>
  </si>
  <si>
    <t>Commercial and public services</t>
  </si>
  <si>
    <t>COMMPUB</t>
  </si>
  <si>
    <t>srv</t>
  </si>
  <si>
    <t>communications</t>
  </si>
  <si>
    <t>Computer programming, consultancy and related activities</t>
  </si>
  <si>
    <t>Programming and broadcasting activities</t>
  </si>
  <si>
    <t>Motion picture, video and television programme production, sound recording and music publishing activities</t>
  </si>
  <si>
    <t>Motion picture, video and television programme production, sound recording and music publishing activities; programming and broadcasting activities</t>
  </si>
  <si>
    <t>J59_J60</t>
  </si>
  <si>
    <t>Telecommunications</t>
  </si>
  <si>
    <t>J61</t>
  </si>
  <si>
    <t>Postal and courier activities</t>
  </si>
  <si>
    <t>H53</t>
  </si>
  <si>
    <t>Publishing activities</t>
  </si>
  <si>
    <t>J58</t>
  </si>
  <si>
    <t>Repair and installation of machinery and equipment</t>
  </si>
  <si>
    <t>Other Manufacturing: includes furniture</t>
  </si>
  <si>
    <t>Other Manufacturing</t>
  </si>
  <si>
    <t>C33</t>
  </si>
  <si>
    <t>Maintenance and Repair</t>
  </si>
  <si>
    <t>housing</t>
  </si>
  <si>
    <t>Real estate activities</t>
  </si>
  <si>
    <t>L68</t>
  </si>
  <si>
    <t>Finacial Intermediation and Business Activities</t>
  </si>
  <si>
    <t>other</t>
  </si>
  <si>
    <t>Warehousing and support activities for transportation</t>
  </si>
  <si>
    <t>Warehousing and support activities</t>
  </si>
  <si>
    <t>Warehousing</t>
  </si>
  <si>
    <t>H52</t>
  </si>
  <si>
    <t>transp_pub</t>
  </si>
  <si>
    <t>Fund management activities</t>
  </si>
  <si>
    <t>Other Financial Intermediation: includes auxiliary activities but not insurance and pension funding</t>
  </si>
  <si>
    <t>Other financial intermediation</t>
  </si>
  <si>
    <t>Insurance, reinsurance and pension funding, except compulsory social security</t>
  </si>
  <si>
    <t>K65</t>
  </si>
  <si>
    <t>Financial service activities, except insurance and pension funding</t>
  </si>
  <si>
    <t>K64</t>
  </si>
  <si>
    <t>Activities auxiliary to financial service activities, except insurance and pension funding</t>
  </si>
  <si>
    <t>Activities auxiliary to financial services and insurance activities</t>
  </si>
  <si>
    <t>K66</t>
  </si>
  <si>
    <t>Insurance (formerly isr): includes pension funding, except compulsory social security</t>
  </si>
  <si>
    <t>Insurance</t>
  </si>
  <si>
    <t>Activities auxiliary to insurance and pension funding</t>
  </si>
  <si>
    <t>Professional, scientific and technical activities and Administrative and support service activities</t>
  </si>
  <si>
    <t>Other Business Services nec</t>
  </si>
  <si>
    <t>Other Business Services</t>
  </si>
  <si>
    <t>Other professional, scientific and technical activities; veterinary activities</t>
  </si>
  <si>
    <t>M74_M75</t>
  </si>
  <si>
    <t>M, N</t>
  </si>
  <si>
    <t>0M, N</t>
  </si>
  <si>
    <t>Public administration and defence; compulsory social security</t>
  </si>
  <si>
    <t>Other Services (Government): public administration and defense; compulsory social security, activities of membership organizations n.e.c., extra-territorial organizations and bodies</t>
  </si>
  <si>
    <t>Government services</t>
  </si>
  <si>
    <t>O84</t>
  </si>
  <si>
    <t>Public Administration</t>
  </si>
  <si>
    <t>Food and beverage service activities</t>
  </si>
  <si>
    <t>Accommodation, Food and service activities</t>
  </si>
  <si>
    <t>Hotels</t>
  </si>
  <si>
    <t>Accommodation and food service activities</t>
  </si>
  <si>
    <t>I</t>
  </si>
  <si>
    <t>Hotels and Restraurants</t>
  </si>
  <si>
    <t>rectourism</t>
  </si>
  <si>
    <t>Accommodation</t>
  </si>
  <si>
    <t>Wholesale trade, except of motor vehicles and motorcycles</t>
  </si>
  <si>
    <t>Wholesale and retail trade; repair of motor vehicles and motorcycles</t>
  </si>
  <si>
    <t>Vehicles repair</t>
  </si>
  <si>
    <t>G46</t>
  </si>
  <si>
    <t>Wholesale Trade</t>
  </si>
  <si>
    <t>transp_eqt</t>
  </si>
  <si>
    <t>Retail trade, except of motor vehicles and motorcycles</t>
  </si>
  <si>
    <t>G47</t>
  </si>
  <si>
    <t>Retail Trade</t>
  </si>
  <si>
    <t>Wholesale and retail trade and repair of motor vehicles and motorcycles</t>
  </si>
  <si>
    <t>G45</t>
  </si>
  <si>
    <t>Specialized construction activities</t>
  </si>
  <si>
    <t>Construction: building houses factories offices and roads</t>
  </si>
  <si>
    <t>F</t>
  </si>
  <si>
    <t>CONSTRUC</t>
  </si>
  <si>
    <t>cst</t>
  </si>
  <si>
    <t>Construction of buildings</t>
  </si>
  <si>
    <t>Civil engineering</t>
  </si>
  <si>
    <t>Architectural and engineering activities; technical testing and analysis</t>
  </si>
  <si>
    <t>M71</t>
  </si>
  <si>
    <t>Fishing and aquaculture</t>
  </si>
  <si>
    <t>Fishing: hunting, trapping and game propagation including related service activities, fishing, fish farms; service activities incidental to fishing</t>
  </si>
  <si>
    <t>Fishing</t>
  </si>
  <si>
    <t>A03</t>
  </si>
  <si>
    <t>FISHING</t>
  </si>
  <si>
    <t>Hunting, trapping and related service activities</t>
  </si>
  <si>
    <t>Tobacco products</t>
  </si>
  <si>
    <t>Beverages and Tobacco products</t>
  </si>
  <si>
    <t>Beverages &amp; Tobacco</t>
  </si>
  <si>
    <t>Manufacture of food products, beverages and tobacco products</t>
  </si>
  <si>
    <t>C10-C12</t>
  </si>
  <si>
    <t>Food &amp; Beverages</t>
  </si>
  <si>
    <t>Food and tobacco</t>
  </si>
  <si>
    <t>FOODPRO</t>
  </si>
  <si>
    <t>10, 11,12</t>
  </si>
  <si>
    <t>Beverages</t>
  </si>
  <si>
    <t>Meat of mammals, frozen</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</si>
  <si>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</si>
  <si>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Cattle Meat</t>
  </si>
  <si>
    <t>Meat of sheep, fresh or chilled</t>
  </si>
  <si>
    <t>Meat of cattle, fresh or chilled</t>
  </si>
  <si>
    <t>Other meat of mammals, fresh or chilled</t>
  </si>
  <si>
    <t>Meat of camels and camelids, fresh or chilled</t>
  </si>
  <si>
    <t>Meat of buffalo, fresh or chilled</t>
  </si>
  <si>
    <t>Edible offal of mammals, fresh, chilled or frozen</t>
  </si>
  <si>
    <t>Meat of horses and other equines, fresh or chilled</t>
  </si>
  <si>
    <t>Meat of goat, fresh or chilled</t>
  </si>
  <si>
    <t>Meat of pigs, fresh or chilled</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</si>
  <si>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</si>
  <si>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Other Meat</t>
  </si>
  <si>
    <t>Other meat and edible offal, fresh, chilled or frozen</t>
  </si>
  <si>
    <t>Edible offal of poultry, fresh, chilled or frozen</t>
  </si>
  <si>
    <t>Preserves and preparations of meat, meat offal or blood</t>
  </si>
  <si>
    <t>Flours, meals and pellets of meat or meat offal, inedible; greaves</t>
  </si>
  <si>
    <t>Meat of poultry, frozen</t>
  </si>
  <si>
    <t>Meat of rabbits and hares, fresh or chilled</t>
  </si>
  <si>
    <t>Meat of poultry, fresh or chilled</t>
  </si>
  <si>
    <t>Margarine and similar preparations</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</si>
  <si>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</si>
  <si>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Vegetable Oils</t>
  </si>
  <si>
    <t>Cotton linters</t>
  </si>
  <si>
    <t>Vegetable oils</t>
  </si>
  <si>
    <t>Animal fats</t>
  </si>
  <si>
    <t>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t>
  </si>
  <si>
    <t>Dairy products</t>
  </si>
  <si>
    <t>Milk: dairy products</t>
  </si>
  <si>
    <t>Dairy</t>
  </si>
  <si>
    <t>Rice, semi- or wholly milled, or husked</t>
  </si>
  <si>
    <t>Processed Rice: semi- or wholly milled, or husked</t>
  </si>
  <si>
    <t>Processed Rice</t>
  </si>
  <si>
    <t>Sugar and molasses</t>
  </si>
  <si>
    <t>Prepared and preserved vegetables, pulses and potatoes</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</si>
  <si>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</si>
  <si>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Other Food</t>
  </si>
  <si>
    <t>Mixes and doughs for the preparation of bakers' wares</t>
  </si>
  <si>
    <t>Starches and starch products; sugars and sugar syrups n.e.c.</t>
  </si>
  <si>
    <t>Prepared and preserved fish, crustaceans, molluscs and other aquatic invertebrates</t>
  </si>
  <si>
    <t>Wheat and meslin flour</t>
  </si>
  <si>
    <t>Preparations used in animal feeding; lucerne (alfalfa) meal and pellets</t>
  </si>
  <si>
    <t>Other cereal flours</t>
  </si>
  <si>
    <t>Macaroni, noodles, couscous and similar farinaceous products</t>
  </si>
  <si>
    <t>Other vegetable flours and meals</t>
  </si>
  <si>
    <t>Prepared and preserved fruits and nuts</t>
  </si>
  <si>
    <t>Groats, meal and pellets of wheat and other cereals</t>
  </si>
  <si>
    <t>Cocoa, chocolate and sugar confectionery</t>
  </si>
  <si>
    <t>Food products n.e.c.</t>
  </si>
  <si>
    <t>Other cereal grain products (including corn flakes)</t>
  </si>
  <si>
    <t>Bakery products</t>
  </si>
  <si>
    <t>Manufacture of rubber and plastics products</t>
  </si>
  <si>
    <t>Rubber &amp; plastics</t>
  </si>
  <si>
    <t>Manufacture of rubber and plastic products</t>
  </si>
  <si>
    <t>C22</t>
  </si>
  <si>
    <t>Non-specified (industry)</t>
  </si>
  <si>
    <t>INONSPEC</t>
  </si>
  <si>
    <t>omn</t>
  </si>
  <si>
    <t>Manufacture of furniture; other manufacturing</t>
  </si>
  <si>
    <t>C31_C32</t>
  </si>
  <si>
    <t>Manufacture of furniture</t>
  </si>
  <si>
    <t>Casting of iron and steel</t>
  </si>
  <si>
    <t>Iron &amp; Steel: basic production and casting</t>
  </si>
  <si>
    <t>Iron &amp; Steel</t>
  </si>
  <si>
    <t>Manufacture of basic metals</t>
  </si>
  <si>
    <t>C24</t>
  </si>
  <si>
    <t>Metal Products</t>
  </si>
  <si>
    <t>IRONSTL</t>
  </si>
  <si>
    <t>irn</t>
  </si>
  <si>
    <t>Manufacture of basic iron and steel</t>
  </si>
  <si>
    <t>Manufacture of computer, electronic and optical products</t>
  </si>
  <si>
    <t>Computer equipment</t>
  </si>
  <si>
    <t>C26</t>
  </si>
  <si>
    <t>Electrical and Machinery</t>
  </si>
  <si>
    <t>MACHINE</t>
  </si>
  <si>
    <t>mac</t>
  </si>
  <si>
    <t>appliances</t>
  </si>
  <si>
    <t>Manufacture of electrical equipment</t>
  </si>
  <si>
    <t>Electrical equipment</t>
  </si>
  <si>
    <t>C27</t>
  </si>
  <si>
    <t>Manufacture of machinery and equipment n.e.c.</t>
  </si>
  <si>
    <t>C28</t>
  </si>
  <si>
    <t>Manufacture of fabricated metal products, except machinery and equipment</t>
  </si>
  <si>
    <t>Fabricated metals</t>
  </si>
  <si>
    <t>C25</t>
  </si>
  <si>
    <t>Mining of metal ores</t>
  </si>
  <si>
    <t>Other Mining Extraction (formerly omn): mining of metal ores; other mining and quarrying</t>
  </si>
  <si>
    <t>Other Mining</t>
  </si>
  <si>
    <t>Mining and quarrying</t>
  </si>
  <si>
    <t>B</t>
  </si>
  <si>
    <t>Mining and Quarrying</t>
  </si>
  <si>
    <t>MINING</t>
  </si>
  <si>
    <t>Other mining and quarrying</t>
  </si>
  <si>
    <t>Support activities for other mining and quarrying</t>
  </si>
  <si>
    <t>Activities of extraterritorial organizations and bodies</t>
  </si>
  <si>
    <t>U</t>
  </si>
  <si>
    <t>Others</t>
  </si>
  <si>
    <t>Manufacture of basic precious and other non-ferrous metals</t>
  </si>
  <si>
    <t>Non-Ferrous Metals: production and casting of copper, aluminium, zinc, lead, gold, and silver</t>
  </si>
  <si>
    <t>Non-Ferrous Metals</t>
  </si>
  <si>
    <t>NONFERR</t>
  </si>
  <si>
    <t>Casting of non-ferrous metals</t>
  </si>
  <si>
    <t>Manufacture of other non-metallic mineral products</t>
  </si>
  <si>
    <t>Non-metallic minerals</t>
  </si>
  <si>
    <t>C23</t>
  </si>
  <si>
    <t>NONMET</t>
  </si>
  <si>
    <t>cem</t>
  </si>
  <si>
    <t>Printing and reproduction of record media</t>
  </si>
  <si>
    <t>Paper &amp; Paper Products: includes printing and reproduction of recorded media</t>
  </si>
  <si>
    <t>Printing and reproduction of recorded media</t>
  </si>
  <si>
    <t>C18</t>
  </si>
  <si>
    <t>Education, Health and Other Services</t>
  </si>
  <si>
    <t>Paper, pulp and print</t>
  </si>
  <si>
    <t>PAPERPRO</t>
  </si>
  <si>
    <t>17, 18, 58, 59</t>
  </si>
  <si>
    <t>paper</t>
  </si>
  <si>
    <t>Manufacture of paper and paper products</t>
  </si>
  <si>
    <t>C17</t>
  </si>
  <si>
    <t>Sewerage</t>
  </si>
  <si>
    <t>Water supply; sewerage, waste management and remediation activities</t>
  </si>
  <si>
    <t>Water supply</t>
  </si>
  <si>
    <t xml:space="preserve">Sewerage; waste collection, treatment and disposal activities; materials recovery; remediation activities and other waste management services </t>
  </si>
  <si>
    <t>E37-E39</t>
  </si>
  <si>
    <t>Electricity, Gas and Water</t>
  </si>
  <si>
    <t>Collection, purification and distribution of water, water collection, treatment and supply</t>
  </si>
  <si>
    <t>Waste collection, treatment and disposal activities; materials recovery</t>
  </si>
  <si>
    <t>Water collection, treatment and supply</t>
  </si>
  <si>
    <t>E36</t>
  </si>
  <si>
    <t>Recycling</t>
  </si>
  <si>
    <t>Remediation activities and other waste management services</t>
  </si>
  <si>
    <t>Manufacture of gas; distribution of gaseous fuels through mains</t>
  </si>
  <si>
    <t>gdt</t>
  </si>
  <si>
    <t>Gas manufacture, distribution</t>
  </si>
  <si>
    <t>Gas distribution</t>
  </si>
  <si>
    <t>Electricity, gas, steam and air conditioning supply</t>
  </si>
  <si>
    <t>D35</t>
  </si>
  <si>
    <t>Energy industry own use</t>
  </si>
  <si>
    <t>TOTENGY</t>
  </si>
  <si>
    <t>Power sector</t>
  </si>
  <si>
    <t>pow</t>
  </si>
  <si>
    <t>Natural gas</t>
  </si>
  <si>
    <t>Arts, entertainment and recreation; Other service activities; Activities of households as employers; undifferentiated goods- and services-producing activities of households for own use</t>
  </si>
  <si>
    <t>Recreation &amp; Other Services: recreational, cultural and sporting activities, other service activities; private households with employed persons (servants)</t>
  </si>
  <si>
    <t>Recreation</t>
  </si>
  <si>
    <t>Activities of households as employers; undifferentiated goods- and services-producing activities of households for own use</t>
  </si>
  <si>
    <t>T</t>
  </si>
  <si>
    <t>Private Households</t>
  </si>
  <si>
    <t>Residential</t>
  </si>
  <si>
    <t>RESIDENT</t>
  </si>
  <si>
    <t>R, S, T</t>
  </si>
  <si>
    <t>0R, S, T</t>
  </si>
  <si>
    <t>res</t>
  </si>
  <si>
    <t>Manufacture of textiles</t>
  </si>
  <si>
    <t>Textiles</t>
  </si>
  <si>
    <t>Manufacture of textiles, wearing apparel and leather products</t>
  </si>
  <si>
    <t>C13-C15</t>
  </si>
  <si>
    <t>Textiles and Wearing Apparel</t>
  </si>
  <si>
    <t>Textile and leather</t>
  </si>
  <si>
    <t>TEXTILES</t>
  </si>
  <si>
    <t>clothing</t>
  </si>
  <si>
    <t>Manufacture of wearing apparel</t>
  </si>
  <si>
    <t>Apparel</t>
  </si>
  <si>
    <t>Manufacture of leather and related products</t>
  </si>
  <si>
    <t>Leather</t>
  </si>
  <si>
    <t>Land transport and transport via pipelines</t>
  </si>
  <si>
    <t>Land transport</t>
  </si>
  <si>
    <t>H49</t>
  </si>
  <si>
    <t>Transport</t>
  </si>
  <si>
    <t>TOTTRANS</t>
  </si>
  <si>
    <t>nav</t>
  </si>
  <si>
    <t>Water transport</t>
  </si>
  <si>
    <t>H50</t>
  </si>
  <si>
    <t>Air transport</t>
  </si>
  <si>
    <t>H51</t>
  </si>
  <si>
    <t>avi</t>
  </si>
  <si>
    <t>Manufacture of motor vehicles, trailers and semi-trailers</t>
  </si>
  <si>
    <t>Motor vehicles</t>
  </si>
  <si>
    <t>C29</t>
  </si>
  <si>
    <t>Transport Equipment</t>
  </si>
  <si>
    <t>Transport equipment</t>
  </si>
  <si>
    <t>TRANSEQ</t>
  </si>
  <si>
    <t>Manufacture of other transport equipment</t>
  </si>
  <si>
    <t>Other transport equipment</t>
  </si>
  <si>
    <t>C30</t>
  </si>
  <si>
    <t>Manufacture of wood and of products of wood and cork, except furniture; manufacture of articles of straw and plaiting materials</t>
  </si>
  <si>
    <t>Lumber: manufacture of wood and of products of wood and cork, except furniture; manufacture of articles of straw and plaiting materials</t>
  </si>
  <si>
    <t>Lumber</t>
  </si>
  <si>
    <t>C16</t>
  </si>
  <si>
    <t>Wood and wood products</t>
  </si>
  <si>
    <t>WOODPRO</t>
  </si>
  <si>
    <t>Mining of coal and lignite</t>
  </si>
  <si>
    <t>Coal: mining and agglomeration of hard coal, lignite and peat</t>
  </si>
  <si>
    <t xml:space="preserve">Manufacture of coke and refined petroleum products </t>
  </si>
  <si>
    <t>C19</t>
  </si>
  <si>
    <t>P85</t>
  </si>
  <si>
    <t>education</t>
  </si>
  <si>
    <t>Production, collection and distribution of electricity</t>
  </si>
  <si>
    <t>Electricity; steam and air conditioning supply</t>
  </si>
  <si>
    <t>Electricity supply</t>
  </si>
  <si>
    <t>Main activity producer electricity plants, Autoproducer electricity plants, Main activity producer CHP plants, Autoproducer CHP plants, Energy industry own use</t>
  </si>
  <si>
    <t>AUTOCHP, AUTOELEC, MAINCHP, MAINELEC, TOTENGY</t>
  </si>
  <si>
    <t>Steam and hot water supply</t>
  </si>
  <si>
    <t>Extraction of crude petroleum</t>
  </si>
  <si>
    <t>Oil: extraction of crude petroleum, service activities incidental to oil and gas extraction excluding surveying (part)</t>
  </si>
  <si>
    <t>Oil</t>
  </si>
  <si>
    <t>ftr</t>
  </si>
  <si>
    <t>Support activities for petroleum and natural gas extraction (petroleum part)</t>
  </si>
  <si>
    <t>Support activities for petroleum and natural gas extraction (natural gas part)</t>
  </si>
  <si>
    <t>gas</t>
  </si>
  <si>
    <t>Gas: extraction of natural gas, service activities incidental to oil and gas extraction excluding surveying (part)</t>
  </si>
  <si>
    <t>Gas extraction</t>
  </si>
  <si>
    <t>Extraction of natural gas</t>
  </si>
  <si>
    <t>Manufacture of coke and refined petroleum products</t>
  </si>
  <si>
    <t>Petroleum &amp; Coke: manufacture of coke and refined petroleum products</t>
  </si>
  <si>
    <t>Petroleum &amp; Coke</t>
  </si>
  <si>
    <t>gso, die, ker, lpg</t>
  </si>
  <si>
    <t>Human health and social work activities</t>
  </si>
  <si>
    <t>Human health and social work</t>
  </si>
  <si>
    <t>Human health &amp; social work</t>
  </si>
  <si>
    <t>Q</t>
  </si>
  <si>
    <t>0Q</t>
  </si>
  <si>
    <t>health_srv</t>
  </si>
  <si>
    <t>Legal and accounting activities; activities of head offices; management consultancy activities</t>
  </si>
  <si>
    <t>M69_M70</t>
  </si>
  <si>
    <t>Advertising and market research</t>
  </si>
  <si>
    <t>M73</t>
  </si>
  <si>
    <t>Scientific research and development</t>
  </si>
  <si>
    <t>M72</t>
  </si>
  <si>
    <t>Administrative and support service activities</t>
  </si>
  <si>
    <t>N</t>
  </si>
  <si>
    <t>Dwellings: ownership of dwellings (imputed rents of houses occupied by owners)</t>
  </si>
  <si>
    <t>Housing rent</t>
  </si>
  <si>
    <t>Other service activities</t>
  </si>
  <si>
    <t>R_S</t>
  </si>
  <si>
    <t>oen</t>
  </si>
  <si>
    <t>CPAT sectors to ISIC</t>
  </si>
  <si>
    <t>CPAT_main_sectors_5</t>
  </si>
  <si>
    <t>CPAT_code</t>
  </si>
  <si>
    <t>CPAT_sub_sectors_15_inc_10_ind__subsectors</t>
  </si>
  <si>
    <t>CPAT_code_2</t>
  </si>
  <si>
    <t>ISIC_Rev_4_codes</t>
  </si>
  <si>
    <t>Division 35</t>
  </si>
  <si>
    <t>tra</t>
  </si>
  <si>
    <t>ral</t>
  </si>
  <si>
    <t>Division 491</t>
  </si>
  <si>
    <t>roa</t>
  </si>
  <si>
    <t>Division 492</t>
  </si>
  <si>
    <t>Division 51</t>
  </si>
  <si>
    <t>Division 50</t>
  </si>
  <si>
    <t>Division 97, 98</t>
  </si>
  <si>
    <t>ind</t>
  </si>
  <si>
    <t>Division 01, 02</t>
  </si>
  <si>
    <t>Division 03</t>
  </si>
  <si>
    <t>Division 10-12</t>
  </si>
  <si>
    <t>Division 16</t>
  </si>
  <si>
    <t>Division 33, 36-39, 45-47, 52, 53, 55-56, 58-66,
68-75, 77-82, 84 (exl.Class 8422), 85-88, 90-96, 99</t>
  </si>
  <si>
    <t>Division 07, 08, Group 099</t>
  </si>
  <si>
    <t>Division 20, 21</t>
  </si>
  <si>
    <t>Group 241, Class 2431</t>
  </si>
  <si>
    <t>Group 242, Class2432</t>
  </si>
  <si>
    <t>Division 25-28</t>
  </si>
  <si>
    <t>Division 29-30</t>
  </si>
  <si>
    <t>Division 23</t>
  </si>
  <si>
    <t>Division 13-15</t>
  </si>
  <si>
    <t>Division 22, 31, 32</t>
  </si>
  <si>
    <t>Division 17, 18</t>
  </si>
  <si>
    <t>Division 41-43</t>
  </si>
  <si>
    <t>Division 05, 06, 19, Group 091,Class 0892 and 0721 (Calculated: cannot map exactly)</t>
  </si>
  <si>
    <t>Group 493</t>
  </si>
  <si>
    <t>Class 8422</t>
  </si>
  <si>
    <t>IEA flows to ISIC</t>
  </si>
  <si>
    <t>IEA_flows_29</t>
  </si>
  <si>
    <t>IEA_code</t>
  </si>
  <si>
    <t>ISIC_Rev__4_codes</t>
  </si>
  <si>
    <t>Autoproducer CHP plants</t>
  </si>
  <si>
    <t>AUTOCHP</t>
  </si>
  <si>
    <t>Autoproducer electricity plants</t>
  </si>
  <si>
    <t>AUTOELEC</t>
  </si>
  <si>
    <t>Main activity producer CHP plants</t>
  </si>
  <si>
    <t>MAINCHP</t>
  </si>
  <si>
    <t>Main activity producer electricity plants</t>
  </si>
  <si>
    <t>MAINELEC</t>
  </si>
  <si>
    <t>RAIL</t>
  </si>
  <si>
    <t>ROAD</t>
  </si>
  <si>
    <t>DOMESAIR</t>
  </si>
  <si>
    <t>DOMESNAV</t>
  </si>
  <si>
    <t>Industry not elsewhere specified</t>
  </si>
  <si>
    <t>Transformation processes</t>
  </si>
  <si>
    <t>-(STATDIFF+TRANSFER+TOTENERGY+DISTLOSS+TOTTRANF-AUTOCHP-AUTOELEC-MAINCHP-MAINELEC)</t>
  </si>
  <si>
    <t>PIPELINE</t>
  </si>
  <si>
    <t>Final consumption not elsewhere specified</t>
  </si>
  <si>
    <t>ONONSPEC</t>
  </si>
  <si>
    <t>Non-energy use</t>
  </si>
  <si>
    <t>NONENUSE</t>
  </si>
  <si>
    <t>ISIC to CPAT</t>
  </si>
  <si>
    <t>ISIC_Rev__4_Description</t>
  </si>
  <si>
    <t>CPAT_sector</t>
  </si>
  <si>
    <t>Division 01</t>
  </si>
  <si>
    <t>Division 02</t>
  </si>
  <si>
    <t>Division 05</t>
  </si>
  <si>
    <t>Division 06</t>
  </si>
  <si>
    <t>Extraction of crude petroleum and natural gas</t>
  </si>
  <si>
    <t>Division 07</t>
  </si>
  <si>
    <t>…</t>
  </si>
  <si>
    <t>Group 071</t>
  </si>
  <si>
    <t>Mining of iron ores</t>
  </si>
  <si>
    <t>Group 072</t>
  </si>
  <si>
    <t>Mining of non-ferrous metal ores</t>
  </si>
  <si>
    <t>Class 0721</t>
  </si>
  <si>
    <t>Mining of uranium and thorium ores</t>
  </si>
  <si>
    <t>Class 0729</t>
  </si>
  <si>
    <t>Mining of other non-ferrous metal ores</t>
  </si>
  <si>
    <t>Division 08</t>
  </si>
  <si>
    <t>Group 081</t>
  </si>
  <si>
    <t>Quarrying of stone, sand and clay</t>
  </si>
  <si>
    <t>Group 089</t>
  </si>
  <si>
    <t>Mining and quarrying n.e.c.</t>
  </si>
  <si>
    <t>Class 0891</t>
  </si>
  <si>
    <t>Mining of chemical and fertilizer minerals</t>
  </si>
  <si>
    <t>Class 0892</t>
  </si>
  <si>
    <t>Extraction of peat</t>
  </si>
  <si>
    <t>Class 0893</t>
  </si>
  <si>
    <t>Extraction of salt</t>
  </si>
  <si>
    <t>Class 0899</t>
  </si>
  <si>
    <t>Other mining and quarrying n.e.c.</t>
  </si>
  <si>
    <t>Division 09</t>
  </si>
  <si>
    <t>Mining support service activities</t>
  </si>
  <si>
    <t>Group 091</t>
  </si>
  <si>
    <t>Support activities for petroleum and natural gas extraction</t>
  </si>
  <si>
    <t>Group 099</t>
  </si>
  <si>
    <t>Division 10</t>
  </si>
  <si>
    <t>Manufacture of food products</t>
  </si>
  <si>
    <t>Division 11</t>
  </si>
  <si>
    <t>Manufacture of beverages</t>
  </si>
  <si>
    <t>Division 12</t>
  </si>
  <si>
    <t>Manufacture of tobacco products</t>
  </si>
  <si>
    <t>Division 13</t>
  </si>
  <si>
    <t>Division 14</t>
  </si>
  <si>
    <t>Division 15</t>
  </si>
  <si>
    <t>Division 17</t>
  </si>
  <si>
    <t>Division 18</t>
  </si>
  <si>
    <t>Division 19</t>
  </si>
  <si>
    <t>Division 20</t>
  </si>
  <si>
    <t>Division 21</t>
  </si>
  <si>
    <t>Division 22</t>
  </si>
  <si>
    <t>Division 24</t>
  </si>
  <si>
    <t>Group 241</t>
  </si>
  <si>
    <t>Class 2431</t>
  </si>
  <si>
    <t>Group 242</t>
  </si>
  <si>
    <t>Class 2432</t>
  </si>
  <si>
    <t>Division 25</t>
  </si>
  <si>
    <t>Division 26</t>
  </si>
  <si>
    <t>Division 27</t>
  </si>
  <si>
    <t>Division 28</t>
  </si>
  <si>
    <t>Manufacture of machinery and equipment n.e.c</t>
  </si>
  <si>
    <t>Division 29</t>
  </si>
  <si>
    <t>Division 30</t>
  </si>
  <si>
    <t>Division 31</t>
  </si>
  <si>
    <t>Division 32</t>
  </si>
  <si>
    <t>Division 33</t>
  </si>
  <si>
    <t>Division 36</t>
  </si>
  <si>
    <t>Division 37</t>
  </si>
  <si>
    <t>Division 38</t>
  </si>
  <si>
    <t>Division 39</t>
  </si>
  <si>
    <t>Division 41</t>
  </si>
  <si>
    <t>Division 42</t>
  </si>
  <si>
    <t>Division 43</t>
  </si>
  <si>
    <t>Division 45</t>
  </si>
  <si>
    <t>Division 46</t>
  </si>
  <si>
    <t>Division 47</t>
  </si>
  <si>
    <t>Division 49</t>
  </si>
  <si>
    <t>Group 491</t>
  </si>
  <si>
    <t>Transport via railways</t>
  </si>
  <si>
    <t>Group 492</t>
  </si>
  <si>
    <t>Other land transport</t>
  </si>
  <si>
    <t>Transport via pipeline</t>
  </si>
  <si>
    <t>Division 52</t>
  </si>
  <si>
    <t>Division 53</t>
  </si>
  <si>
    <t>Division 55</t>
  </si>
  <si>
    <t>Division 56</t>
  </si>
  <si>
    <t>Division 58</t>
  </si>
  <si>
    <t>Division 59</t>
  </si>
  <si>
    <t>Division 60</t>
  </si>
  <si>
    <t>Division 61</t>
  </si>
  <si>
    <t>Division 62</t>
  </si>
  <si>
    <t>Division 63</t>
  </si>
  <si>
    <t>Division 64</t>
  </si>
  <si>
    <t>Division 65</t>
  </si>
  <si>
    <t>Division 66</t>
  </si>
  <si>
    <t>Activities auxiliary to financial service and insurance activities</t>
  </si>
  <si>
    <t>Division 68</t>
  </si>
  <si>
    <t>Division 69</t>
  </si>
  <si>
    <t>Legal and accounting activities</t>
  </si>
  <si>
    <t>Division 70</t>
  </si>
  <si>
    <t>Activities of head offices; management consultancy activities</t>
  </si>
  <si>
    <t>Division 71</t>
  </si>
  <si>
    <t>Division 72</t>
  </si>
  <si>
    <t>Division 73</t>
  </si>
  <si>
    <t>Division 74</t>
  </si>
  <si>
    <t>Other professional, scientific and technical activities</t>
  </si>
  <si>
    <t>Division 75</t>
  </si>
  <si>
    <t>Veterinary activities</t>
  </si>
  <si>
    <t>Division 77</t>
  </si>
  <si>
    <t>Rental and leasing activities</t>
  </si>
  <si>
    <t>Division 78</t>
  </si>
  <si>
    <t>Employment activities</t>
  </si>
  <si>
    <t>Division 79</t>
  </si>
  <si>
    <t>Travel agency, tour operator, reservation service and related activities</t>
  </si>
  <si>
    <t>Division 80</t>
  </si>
  <si>
    <t>Security and investigation activities</t>
  </si>
  <si>
    <t>Division 81</t>
  </si>
  <si>
    <t>Services to buildings and landscape activities</t>
  </si>
  <si>
    <t>Division 82</t>
  </si>
  <si>
    <t>Office administrative, office support and other business support activities</t>
  </si>
  <si>
    <t>Division 84</t>
  </si>
  <si>
    <t>Group 841</t>
  </si>
  <si>
    <t>Administration of the State and the economic and social policy of the community</t>
  </si>
  <si>
    <t>Group 842</t>
  </si>
  <si>
    <t>Provision of services to the community as a whole</t>
  </si>
  <si>
    <t>Class 8421</t>
  </si>
  <si>
    <t>Foreign affairs</t>
  </si>
  <si>
    <t>Defence activities</t>
  </si>
  <si>
    <t>Class 8423</t>
  </si>
  <si>
    <t>Public order and safety activities</t>
  </si>
  <si>
    <t>Group 843</t>
  </si>
  <si>
    <t>Compulsory social security activities</t>
  </si>
  <si>
    <t>Division 85</t>
  </si>
  <si>
    <t>Division 86</t>
  </si>
  <si>
    <t>Human health activities</t>
  </si>
  <si>
    <t>Division 87</t>
  </si>
  <si>
    <t>Residential care activities</t>
  </si>
  <si>
    <t>Division 88</t>
  </si>
  <si>
    <t>Social work activities without accommodation</t>
  </si>
  <si>
    <t>Division 90</t>
  </si>
  <si>
    <t>Creative, arts and entertainment activities</t>
  </si>
  <si>
    <t>Division 91</t>
  </si>
  <si>
    <t>Libraries, archives, museums and other cultural activities</t>
  </si>
  <si>
    <t>Division 92</t>
  </si>
  <si>
    <t>Gambling and betting activities</t>
  </si>
  <si>
    <t>Division 93</t>
  </si>
  <si>
    <t>Sports activities and amusement and recreation activities</t>
  </si>
  <si>
    <t>Division 94</t>
  </si>
  <si>
    <t>Activities of membership organizations</t>
  </si>
  <si>
    <t>Division 95</t>
  </si>
  <si>
    <t>Repair of computers and personal and household goods</t>
  </si>
  <si>
    <t>Division 96</t>
  </si>
  <si>
    <t>Other personal service activities</t>
  </si>
  <si>
    <t>Division 97</t>
  </si>
  <si>
    <t>Activities of households as employers of domestic personnel</t>
  </si>
  <si>
    <t>Division 98</t>
  </si>
  <si>
    <t>Undifferentiated goods- and services-producing activities of private households for own use</t>
  </si>
  <si>
    <t>Division 99</t>
  </si>
  <si>
    <t>Countries to GTAP-10</t>
  </si>
  <si>
    <t>cname</t>
  </si>
  <si>
    <t>gtapcode</t>
  </si>
  <si>
    <t>Rest of Oceania</t>
  </si>
  <si>
    <t>XOC</t>
  </si>
  <si>
    <t>Fiji</t>
  </si>
  <si>
    <t>FJI</t>
  </si>
  <si>
    <t>Kiribati</t>
  </si>
  <si>
    <t>KIR</t>
  </si>
  <si>
    <t>Marshall Islands</t>
  </si>
  <si>
    <t>MHL</t>
  </si>
  <si>
    <t>Micronesia, Fed. Sts.</t>
  </si>
  <si>
    <t>FSM</t>
  </si>
  <si>
    <t>Nauru</t>
  </si>
  <si>
    <t>NRU</t>
  </si>
  <si>
    <t>Palau</t>
  </si>
  <si>
    <t>PLW</t>
  </si>
  <si>
    <t>Papua New Guinea</t>
  </si>
  <si>
    <t>PNG</t>
  </si>
  <si>
    <t>Samoa</t>
  </si>
  <si>
    <t>WSM</t>
  </si>
  <si>
    <t>Solomon Islands</t>
  </si>
  <si>
    <t>SLB</t>
  </si>
  <si>
    <t>Tonga</t>
  </si>
  <si>
    <t>TON</t>
  </si>
  <si>
    <t>Tuvalu</t>
  </si>
  <si>
    <t>TUV</t>
  </si>
  <si>
    <t>Vanuatu</t>
  </si>
  <si>
    <t>VUT</t>
  </si>
  <si>
    <t>Rest of Southeast Asia</t>
  </si>
  <si>
    <t>XSE</t>
  </si>
  <si>
    <t>Myanmar</t>
  </si>
  <si>
    <t>MMR</t>
  </si>
  <si>
    <t>Timor-Leste</t>
  </si>
  <si>
    <t>TLS</t>
  </si>
  <si>
    <t>Rest of South Asia</t>
  </si>
  <si>
    <t>XSA</t>
  </si>
  <si>
    <t>Afghanistan</t>
  </si>
  <si>
    <t>AFG</t>
  </si>
  <si>
    <t>Bhutan</t>
  </si>
  <si>
    <t>BTN</t>
  </si>
  <si>
    <t>Maldives</t>
  </si>
  <si>
    <t>MDV</t>
  </si>
  <si>
    <t>Rest of South America</t>
  </si>
  <si>
    <t>XSM</t>
  </si>
  <si>
    <t>Guyana</t>
  </si>
  <si>
    <t>GUY</t>
  </si>
  <si>
    <t>Suriname</t>
  </si>
  <si>
    <t>SUR</t>
  </si>
  <si>
    <t>Rest of Caribbean</t>
  </si>
  <si>
    <t>XCB</t>
  </si>
  <si>
    <t>Antigua and Barbuda</t>
  </si>
  <si>
    <t>ATG</t>
  </si>
  <si>
    <t>Bahamas, The</t>
  </si>
  <si>
    <t>BHS</t>
  </si>
  <si>
    <t>Barbados</t>
  </si>
  <si>
    <t>BRB</t>
  </si>
  <si>
    <t>Dominica</t>
  </si>
  <si>
    <t>DMA</t>
  </si>
  <si>
    <t>Grenada</t>
  </si>
  <si>
    <t>GRD</t>
  </si>
  <si>
    <t>Haiti</t>
  </si>
  <si>
    <t>HTI</t>
  </si>
  <si>
    <t>St. Kitts and Nevis</t>
  </si>
  <si>
    <t>KNA</t>
  </si>
  <si>
    <t>St. Lucia</t>
  </si>
  <si>
    <t>LCA</t>
  </si>
  <si>
    <t>St. Vincent and the Grenadines</t>
  </si>
  <si>
    <t>VCT</t>
  </si>
  <si>
    <t>Rest of European Free Trade Association</t>
  </si>
  <si>
    <t>XEF</t>
  </si>
  <si>
    <t>Iceland</t>
  </si>
  <si>
    <t>ISL</t>
  </si>
  <si>
    <t>Rest of Eastern Europe</t>
  </si>
  <si>
    <t>XEE</t>
  </si>
  <si>
    <t>Moldova</t>
  </si>
  <si>
    <t>MDA</t>
  </si>
  <si>
    <t>Rest of Europe</t>
  </si>
  <si>
    <t>XER</t>
  </si>
  <si>
    <t>Andorra</t>
  </si>
  <si>
    <t>AND</t>
  </si>
  <si>
    <t>Bosnia and Herzegovina</t>
  </si>
  <si>
    <t>BIH</t>
  </si>
  <si>
    <t>Kosovo</t>
  </si>
  <si>
    <t>XKX</t>
  </si>
  <si>
    <t>Montenegro</t>
  </si>
  <si>
    <t>MNE</t>
  </si>
  <si>
    <t>North Macedonia</t>
  </si>
  <si>
    <t>MKD</t>
  </si>
  <si>
    <t>San Marino</t>
  </si>
  <si>
    <t>SMR</t>
  </si>
  <si>
    <t>Serbia</t>
  </si>
  <si>
    <t>SRB</t>
  </si>
  <si>
    <t>Rest of Former Soviet Union</t>
  </si>
  <si>
    <t>XSU</t>
  </si>
  <si>
    <t>Turkmenistan</t>
  </si>
  <si>
    <t>TKM</t>
  </si>
  <si>
    <t>Uzbekistan</t>
  </si>
  <si>
    <t>UZB</t>
  </si>
  <si>
    <t>Rest of Western Asia</t>
  </si>
  <si>
    <t>XWS</t>
  </si>
  <si>
    <t>Iraq</t>
  </si>
  <si>
    <t>IRQ</t>
  </si>
  <si>
    <t>Lebanon</t>
  </si>
  <si>
    <t>LBN</t>
  </si>
  <si>
    <t>Syrian Arab Republic</t>
  </si>
  <si>
    <t>SYR</t>
  </si>
  <si>
    <t>Yemen, Rep.</t>
  </si>
  <si>
    <t>YEM</t>
  </si>
  <si>
    <t>Rest of North Africa</t>
  </si>
  <si>
    <t>XNF</t>
  </si>
  <si>
    <t>Algeria</t>
  </si>
  <si>
    <t>DZA</t>
  </si>
  <si>
    <t>Libya</t>
  </si>
  <si>
    <t>LBY</t>
  </si>
  <si>
    <t>Rest of South African Customs Union</t>
  </si>
  <si>
    <t>XSC</t>
  </si>
  <si>
    <t>Eswatini</t>
  </si>
  <si>
    <t>SWZ</t>
  </si>
  <si>
    <t>Lesotho</t>
  </si>
  <si>
    <t>LSO</t>
  </si>
  <si>
    <t>Rest of Western Africa</t>
  </si>
  <si>
    <t>XWF</t>
  </si>
  <si>
    <t>Cabo Verde</t>
  </si>
  <si>
    <t>CPV</t>
  </si>
  <si>
    <t>Gambia, The</t>
  </si>
  <si>
    <t>GMB</t>
  </si>
  <si>
    <t>Guinea-Bissau</t>
  </si>
  <si>
    <t>GNB</t>
  </si>
  <si>
    <t>Liberia</t>
  </si>
  <si>
    <t>LBR</t>
  </si>
  <si>
    <t>Mali</t>
  </si>
  <si>
    <t>MLI</t>
  </si>
  <si>
    <t>Mauritania</t>
  </si>
  <si>
    <t>MRT</t>
  </si>
  <si>
    <t>Niger</t>
  </si>
  <si>
    <t>NER</t>
  </si>
  <si>
    <t>Rest of Central Africa</t>
  </si>
  <si>
    <t>XCF</t>
  </si>
  <si>
    <t>Central African Republic</t>
  </si>
  <si>
    <t>CAF</t>
  </si>
  <si>
    <t>Chad</t>
  </si>
  <si>
    <t>TCD</t>
  </si>
  <si>
    <t>Congo, Rep.</t>
  </si>
  <si>
    <t>COG</t>
  </si>
  <si>
    <t>Equatorial Guinea</t>
  </si>
  <si>
    <t>GNQ</t>
  </si>
  <si>
    <t>Gabon</t>
  </si>
  <si>
    <t>GAB</t>
  </si>
  <si>
    <t>São Tomé and Principe</t>
  </si>
  <si>
    <t>STP</t>
  </si>
  <si>
    <t>Rest of South Central Africa</t>
  </si>
  <si>
    <t>XAC</t>
  </si>
  <si>
    <t>Angola</t>
  </si>
  <si>
    <t>AGO</t>
  </si>
  <si>
    <t>Congo, Dem. Rep.</t>
  </si>
  <si>
    <t>COD</t>
  </si>
  <si>
    <t>Rest of Eastern Africa</t>
  </si>
  <si>
    <t>XEC</t>
  </si>
  <si>
    <t>Burundi</t>
  </si>
  <si>
    <t>BDI</t>
  </si>
  <si>
    <t>Comoros</t>
  </si>
  <si>
    <t>COM</t>
  </si>
  <si>
    <t>Djibouti</t>
  </si>
  <si>
    <t>DJI</t>
  </si>
  <si>
    <t>Eritrea</t>
  </si>
  <si>
    <t>ERI</t>
  </si>
  <si>
    <t>Seychelles</t>
  </si>
  <si>
    <t>SYC</t>
  </si>
  <si>
    <t>Somalia</t>
  </si>
  <si>
    <t>SOM</t>
  </si>
  <si>
    <t>Sudan</t>
  </si>
  <si>
    <t>SDN</t>
  </si>
  <si>
    <t>Albania</t>
  </si>
  <si>
    <t>ALB</t>
  </si>
  <si>
    <t>United Arab Emirates</t>
  </si>
  <si>
    <t>ARE</t>
  </si>
  <si>
    <t>Argentina</t>
  </si>
  <si>
    <t>ARG</t>
  </si>
  <si>
    <t>Armenia</t>
  </si>
  <si>
    <t>ARM</t>
  </si>
  <si>
    <t>Australia</t>
  </si>
  <si>
    <t>AUS</t>
  </si>
  <si>
    <t>Austria</t>
  </si>
  <si>
    <t>AUT</t>
  </si>
  <si>
    <t>Azerbaijan</t>
  </si>
  <si>
    <t>AZE</t>
  </si>
  <si>
    <t>Belgium</t>
  </si>
  <si>
    <t>BEL</t>
  </si>
  <si>
    <t>Benin</t>
  </si>
  <si>
    <t>BEN</t>
  </si>
  <si>
    <t>Burkina Faso</t>
  </si>
  <si>
    <t>BFA</t>
  </si>
  <si>
    <t>Bangladesh</t>
  </si>
  <si>
    <t>BGD</t>
  </si>
  <si>
    <t>Bulgaria</t>
  </si>
  <si>
    <t>BGR</t>
  </si>
  <si>
    <t>Bahrain</t>
  </si>
  <si>
    <t>BHR</t>
  </si>
  <si>
    <t>Belarus</t>
  </si>
  <si>
    <t>BLR</t>
  </si>
  <si>
    <t>Bolivia</t>
  </si>
  <si>
    <t>BOL</t>
  </si>
  <si>
    <t>Brazil</t>
  </si>
  <si>
    <t>BRA</t>
  </si>
  <si>
    <t>Brunei Darussalam</t>
  </si>
  <si>
    <t>BRN</t>
  </si>
  <si>
    <t>Botswana</t>
  </si>
  <si>
    <t>BWA</t>
  </si>
  <si>
    <t>Canada</t>
  </si>
  <si>
    <t>CAN</t>
  </si>
  <si>
    <t>Switzerland</t>
  </si>
  <si>
    <t>CHE</t>
  </si>
  <si>
    <t>Chile</t>
  </si>
  <si>
    <t>CHL</t>
  </si>
  <si>
    <t>China</t>
  </si>
  <si>
    <t>CHN</t>
  </si>
  <si>
    <t>Côte d'Ivoire</t>
  </si>
  <si>
    <t>CIV</t>
  </si>
  <si>
    <t>Cameroon</t>
  </si>
  <si>
    <t>CMR</t>
  </si>
  <si>
    <t>Colombia</t>
  </si>
  <si>
    <t>COL</t>
  </si>
  <si>
    <t>Costa Rica</t>
  </si>
  <si>
    <t>CRI</t>
  </si>
  <si>
    <t>Cyprus</t>
  </si>
  <si>
    <t>CYP</t>
  </si>
  <si>
    <t>Czechia</t>
  </si>
  <si>
    <t>CZE</t>
  </si>
  <si>
    <t>Germany</t>
  </si>
  <si>
    <t>DEU</t>
  </si>
  <si>
    <t>Denmark</t>
  </si>
  <si>
    <t>DNK</t>
  </si>
  <si>
    <t>Dominican Republic</t>
  </si>
  <si>
    <t>DOM</t>
  </si>
  <si>
    <t>Ecuador</t>
  </si>
  <si>
    <t>ECU</t>
  </si>
  <si>
    <t>Spain</t>
  </si>
  <si>
    <t>ESP</t>
  </si>
  <si>
    <t>Estonia</t>
  </si>
  <si>
    <t>EST</t>
  </si>
  <si>
    <t>Ethiopia</t>
  </si>
  <si>
    <t>ETH</t>
  </si>
  <si>
    <t>Finland</t>
  </si>
  <si>
    <t>FIN</t>
  </si>
  <si>
    <t>France</t>
  </si>
  <si>
    <t>FRA</t>
  </si>
  <si>
    <t>United Kingdom</t>
  </si>
  <si>
    <t>GBR</t>
  </si>
  <si>
    <t>Georgia</t>
  </si>
  <si>
    <t>GEO</t>
  </si>
  <si>
    <t>Ghana</t>
  </si>
  <si>
    <t>GHA</t>
  </si>
  <si>
    <t>Guinea</t>
  </si>
  <si>
    <t>GIN</t>
  </si>
  <si>
    <t>Greece</t>
  </si>
  <si>
    <t>GRC</t>
  </si>
  <si>
    <t>Guatemala</t>
  </si>
  <si>
    <t>GTM</t>
  </si>
  <si>
    <t>Hong Kong SAR, China</t>
  </si>
  <si>
    <t>HKG</t>
  </si>
  <si>
    <t>Honduras</t>
  </si>
  <si>
    <t>HND</t>
  </si>
  <si>
    <t>Croatia</t>
  </si>
  <si>
    <t>HRV</t>
  </si>
  <si>
    <t>Hungary</t>
  </si>
  <si>
    <t>HUN</t>
  </si>
  <si>
    <t>Indonesia</t>
  </si>
  <si>
    <t>IDN</t>
  </si>
  <si>
    <t>India</t>
  </si>
  <si>
    <t>IND</t>
  </si>
  <si>
    <t>Ireland</t>
  </si>
  <si>
    <t>IRL</t>
  </si>
  <si>
    <t>Iran, Islamic Rep.</t>
  </si>
  <si>
    <t>IRN</t>
  </si>
  <si>
    <t>Israel</t>
  </si>
  <si>
    <t>ISR</t>
  </si>
  <si>
    <t>Italy</t>
  </si>
  <si>
    <t>ITA</t>
  </si>
  <si>
    <t>Jamaica</t>
  </si>
  <si>
    <t>JAM</t>
  </si>
  <si>
    <t>Jordan</t>
  </si>
  <si>
    <t>JOR</t>
  </si>
  <si>
    <t>Japan</t>
  </si>
  <si>
    <t>JPN</t>
  </si>
  <si>
    <t>Kazakhstan</t>
  </si>
  <si>
    <t>KAZ</t>
  </si>
  <si>
    <t>Kenya</t>
  </si>
  <si>
    <t>KEN</t>
  </si>
  <si>
    <t>Kyrgyz Republic</t>
  </si>
  <si>
    <t>KGZ</t>
  </si>
  <si>
    <t>Cambodia</t>
  </si>
  <si>
    <t>KHM</t>
  </si>
  <si>
    <t>Korea, Rep.</t>
  </si>
  <si>
    <t>KOR</t>
  </si>
  <si>
    <t>Kuwait</t>
  </si>
  <si>
    <t>KWT</t>
  </si>
  <si>
    <t>Lao PDR</t>
  </si>
  <si>
    <t>LAO</t>
  </si>
  <si>
    <t>Sri Lanka</t>
  </si>
  <si>
    <t>LKA</t>
  </si>
  <si>
    <t>Lithuania</t>
  </si>
  <si>
    <t>LTU</t>
  </si>
  <si>
    <t>Luxembourg</t>
  </si>
  <si>
    <t>LUX</t>
  </si>
  <si>
    <t>Latvia</t>
  </si>
  <si>
    <t>LVA</t>
  </si>
  <si>
    <t>Morocco</t>
  </si>
  <si>
    <t>MAR</t>
  </si>
  <si>
    <t>Madagascar</t>
  </si>
  <si>
    <t>MDG</t>
  </si>
  <si>
    <t>Mexico</t>
  </si>
  <si>
    <t>MEX</t>
  </si>
  <si>
    <t>Malta</t>
  </si>
  <si>
    <t>MLT</t>
  </si>
  <si>
    <t>Mongolia</t>
  </si>
  <si>
    <t>MNG</t>
  </si>
  <si>
    <t>Mozambique</t>
  </si>
  <si>
    <t>MOZ</t>
  </si>
  <si>
    <t>Mauritius</t>
  </si>
  <si>
    <t>MUS</t>
  </si>
  <si>
    <t>Malawi</t>
  </si>
  <si>
    <t>MWI</t>
  </si>
  <si>
    <t>Malaysia</t>
  </si>
  <si>
    <t>MYS</t>
  </si>
  <si>
    <t>Namibia</t>
  </si>
  <si>
    <t>NAM</t>
  </si>
  <si>
    <t>Nigeria</t>
  </si>
  <si>
    <t>NGA</t>
  </si>
  <si>
    <t>Nicaragua</t>
  </si>
  <si>
    <t>NIC</t>
  </si>
  <si>
    <t>Netherlands</t>
  </si>
  <si>
    <t>NLD</t>
  </si>
  <si>
    <t>Norway</t>
  </si>
  <si>
    <t>NOR</t>
  </si>
  <si>
    <t>Nepal</t>
  </si>
  <si>
    <t>NPL</t>
  </si>
  <si>
    <t>New Zealand</t>
  </si>
  <si>
    <t>NZL</t>
  </si>
  <si>
    <t>Oman</t>
  </si>
  <si>
    <t>OMN</t>
  </si>
  <si>
    <t>Pakistan</t>
  </si>
  <si>
    <t>PAK</t>
  </si>
  <si>
    <t>Panama</t>
  </si>
  <si>
    <t>PAN</t>
  </si>
  <si>
    <t>Peru</t>
  </si>
  <si>
    <t>PER</t>
  </si>
  <si>
    <t>Philippines</t>
  </si>
  <si>
    <t>PHL</t>
  </si>
  <si>
    <t>Poland</t>
  </si>
  <si>
    <t>POL</t>
  </si>
  <si>
    <t>Puerto Rico</t>
  </si>
  <si>
    <t>PRI</t>
  </si>
  <si>
    <t>Portugal</t>
  </si>
  <si>
    <t>PRT</t>
  </si>
  <si>
    <t>Paraguay</t>
  </si>
  <si>
    <t>PRY</t>
  </si>
  <si>
    <t>Qatar</t>
  </si>
  <si>
    <t>QAT</t>
  </si>
  <si>
    <t>Romania</t>
  </si>
  <si>
    <t>ROU</t>
  </si>
  <si>
    <t>Russian Federation</t>
  </si>
  <si>
    <t>RUS</t>
  </si>
  <si>
    <t>Rwanda</t>
  </si>
  <si>
    <t>RWA</t>
  </si>
  <si>
    <t>Saudi Arabia</t>
  </si>
  <si>
    <t>SAU</t>
  </si>
  <si>
    <t>Senegal</t>
  </si>
  <si>
    <t>SEN</t>
  </si>
  <si>
    <t>Singapore</t>
  </si>
  <si>
    <t>SGP</t>
  </si>
  <si>
    <t>El Salvador</t>
  </si>
  <si>
    <t>SLV</t>
  </si>
  <si>
    <t>Slovak Republic</t>
  </si>
  <si>
    <t>SVK</t>
  </si>
  <si>
    <t>Slovenia</t>
  </si>
  <si>
    <t>SVN</t>
  </si>
  <si>
    <t>Sweden</t>
  </si>
  <si>
    <t>SWE</t>
  </si>
  <si>
    <t>Togo</t>
  </si>
  <si>
    <t>TGO</t>
  </si>
  <si>
    <t>Thailand</t>
  </si>
  <si>
    <t>THA</t>
  </si>
  <si>
    <t>Tajikistan</t>
  </si>
  <si>
    <t>TJK</t>
  </si>
  <si>
    <t>Trinidad and Tobago</t>
  </si>
  <si>
    <t>TTO</t>
  </si>
  <si>
    <t>Tunisia</t>
  </si>
  <si>
    <t>TUN</t>
  </si>
  <si>
    <t>Turkiye</t>
  </si>
  <si>
    <t>TUR</t>
  </si>
  <si>
    <t>Taiwan, China</t>
  </si>
  <si>
    <t>TWN</t>
  </si>
  <si>
    <t>Tanzania</t>
  </si>
  <si>
    <t>TZA</t>
  </si>
  <si>
    <t>Uganda</t>
  </si>
  <si>
    <t>UGA</t>
  </si>
  <si>
    <t>Ukraine</t>
  </si>
  <si>
    <t>UKR</t>
  </si>
  <si>
    <t>Uruguay</t>
  </si>
  <si>
    <t>URY</t>
  </si>
  <si>
    <t>United States</t>
  </si>
  <si>
    <t>USA</t>
  </si>
  <si>
    <t>Venezuela, RB</t>
  </si>
  <si>
    <t>VEN</t>
  </si>
  <si>
    <t>Vietnam</t>
  </si>
  <si>
    <t>VNM</t>
  </si>
  <si>
    <t>South Africa</t>
  </si>
  <si>
    <t>ZAF</t>
  </si>
  <si>
    <t>Zambia</t>
  </si>
  <si>
    <t>ZMB</t>
  </si>
  <si>
    <t>Zimbabwe</t>
  </si>
  <si>
    <t>ZWE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</si>
</sst>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sz val="10"/>
      <name val="Arial"/>
    </font>
    <font>
      <b/>
      <sz val="10"/>
      <color rgb="FF1F4E78"/>
      <name val="Arial"/>
    </font>
    <font>
      <b/>
      <sz val="14"/>
      <color rgb="FF1F4E78"/>
      <name val="Arial"/>
    </font>
    <font>
      <b/>
      <sz val="11"/>
      <color rgb="FFFFFFFF"/>
      <name val="Arial"/>
    </font>
    <font>
      <i/>
      <sz val="10"/>
      <color rgb="FF595959"/>
      <name val="Arial"/>
    </font>
  </fonts>
  <fills count="6">
    <fill>
      <patternFill patternType="none"/>
    </fill>
    <fill>
      <patternFill patternType="gray125"/>
    </fill>
    <fill>
      <patternFill patternType="solid">
        <fgColor rgb="FFD9E2F3"/>
      </patternFill>
    </fill>
    <fill>
      <patternFill patternType="solid">
        <fgColor rgb="FF1F4E78"/>
      </patternFill>
    </fill>
    <fill>
      <patternFill patternType="solid">
        <fgColor rgb="FFFFF2CC"/>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4" fillId="0" borderId="0" xfId="0" applyFont="1"/>
    <xf numFmtId="0" fontId="6" fillId="0" borderId="0" xfId="0" applyFont="1"/>
    <xf numFmtId="0" fontId="3" fillId="0" borderId="0" xfId="0" applyFont="1"/>
    <xf numFmtId="0" fontId="2" fillId="0" borderId="0" xfId="0" applyFont="1" applyAlignment="1">
      <alignment vertical="top" wrapText="1"/>
    </xf>
    <xf numFmtId="0" fontId="5" fillId="3" borderId="0" xfId="0" applyFont="1" applyFill="1"/>
    <xf numFmtId="0" fontId="2" fillId="0" borderId="0" xfId="0" applyFont="1"/>
    <xf numFmtId="0" fontId="1" fillId="0" borderId="0" xfId="0" applyFont="1"/>
    <xf numFmtId="0" fontId="2" fillId="4" borderId="1" xfId="0" applyFont="1" applyFill="1" applyBorder="1"/>
    <xf numFmtId="0" fontId="2" fillId="5" borderId="1" xfId="0" applyFont="1" applyFill="1" applyBorder="1"/>
    <xf numFmtId="0" fontId="2" fillId="5" borderId="0" xfId="0" applyFont="1" applyFill="1"/>
    <xf numFmtId="0" fontId="1" fillId="2" borderId="1" xfId="0" applyFont="1" applyFill="1" applyBorder="1"/>
    <xf numFmtId="0" fontId="2" fillId="0" borderId="1" xfId="0" applyFont="1" applyBorder="1"/>
    <xf numFmtId="0" fontId="5" fillId="3" borderId="0" xfId="0" applyFont="1" applyFill="1"/>
    <xf numFmtId="0" fontId="2" fillId="3" borderId="0" xfId="0" applyFont="1" applyFill="1"/>
    <xf numFmtId="0" fontId="2" fillId="0" borderId="0" xfId="0" applyFont="1" applyAlignment="1">
      <alignment vertical="top" wrapText="1"/>
    </xf>
    <xf numFmtId="0" fontId="0" fillId="0" borderId="0" xfId="0"/>
    <xf numFmtId="0" fontId="6"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HSurvey" displayName="HHSurvey" ref="A1:BQ133">
  <autoFilter ref="A1:BQ133" xr:uid="{00000000-0009-0000-0100-000001000000}"/>
  <tableColumns count="69">
    <tableColumn id="1" xr3:uid="{00000000-0010-0000-0000-000001000000}" name="code"/>
    <tableColumn id="2" xr3:uid="{00000000-0010-0000-0000-000002000000}" name="iso3"/>
    <tableColumn id="3" xr3:uid="{00000000-0010-0000-0000-000003000000}" name="year"/>
    <tableColumn id="4" xr3:uid="{00000000-0010-0000-0000-000004000000}" name="sample"/>
    <tableColumn id="5" xr3:uid="{00000000-0010-0000-0000-000005000000}" name="type"/>
    <tableColumn id="6" xr3:uid="{00000000-0010-0000-0000-000006000000}" name="stat_type"/>
    <tableColumn id="7" xr3:uid="{00000000-0010-0000-0000-000007000000}" name="quant_cons"/>
    <tableColumn id="8" xr3:uid="{00000000-0010-0000-0000-000008000000}" name="appliances_share"/>
    <tableColumn id="9" xr3:uid="{00000000-0010-0000-0000-000009000000}" name="ccl_share"/>
    <tableColumn id="10" xr3:uid="{00000000-0010-0000-0000-00000A000000}" name="chemicals_share"/>
    <tableColumn id="11" xr3:uid="{00000000-0010-0000-0000-00000B000000}" name="clothing_share"/>
    <tableColumn id="12" xr3:uid="{00000000-0010-0000-0000-00000C000000}" name="coa_share"/>
    <tableColumn id="13" xr3:uid="{00000000-0010-0000-0000-00000D000000}" name="communications_share"/>
    <tableColumn id="14" xr3:uid="{00000000-0010-0000-0000-00000E000000}" name="die_share"/>
    <tableColumn id="15" xr3:uid="{00000000-0010-0000-0000-00000F000000}" name="education_share"/>
    <tableColumn id="16" xr3:uid="{00000000-0010-0000-0000-000010000000}" name="ethanol_share"/>
    <tableColumn id="17" xr3:uid="{00000000-0010-0000-0000-000011000000}" name="ely_share"/>
    <tableColumn id="18" xr3:uid="{00000000-0010-0000-0000-000012000000}" name="food_share"/>
    <tableColumn id="19" xr3:uid="{00000000-0010-0000-0000-000013000000}" name="fwd_share"/>
    <tableColumn id="20" xr3:uid="{00000000-0010-0000-0000-000014000000}" name="gso_share"/>
    <tableColumn id="21" xr3:uid="{00000000-0010-0000-0000-000015000000}" name="health_srv_share"/>
    <tableColumn id="22" xr3:uid="{00000000-0010-0000-0000-000016000000}" name="housing_share"/>
    <tableColumn id="23" xr3:uid="{00000000-0010-0000-0000-000017000000}" name="ker_share"/>
    <tableColumn id="24" xr3:uid="{00000000-0010-0000-0000-000018000000}" name="lpg_share"/>
    <tableColumn id="25" xr3:uid="{00000000-0010-0000-0000-000019000000}" name="nga_share"/>
    <tableColumn id="26" xr3:uid="{00000000-0010-0000-0000-00001A000000}" name="oil_share"/>
    <tableColumn id="27" xr3:uid="{00000000-0010-0000-0000-00001B000000}" name="other_share"/>
    <tableColumn id="28" xr3:uid="{00000000-0010-0000-0000-00001C000000}" name="paper_share"/>
    <tableColumn id="29" xr3:uid="{00000000-0010-0000-0000-00001D000000}" name="pharma_share"/>
    <tableColumn id="30" xr3:uid="{00000000-0010-0000-0000-00001E000000}" name="rectourism_share"/>
    <tableColumn id="31" xr3:uid="{00000000-0010-0000-0000-00001F000000}" name="transp_eqt_share"/>
    <tableColumn id="32" xr3:uid="{00000000-0010-0000-0000-000020000000}" name="transp_pub_share"/>
    <tableColumn id="33" xr3:uid="{00000000-0010-0000-0000-000021000000}" name="dec_1_p1"/>
    <tableColumn id="34" xr3:uid="{00000000-0010-0000-0000-000022000000}" name="dec_1_p99"/>
    <tableColumn id="35" xr3:uid="{00000000-0010-0000-0000-000023000000}" name="dec_2_p1"/>
    <tableColumn id="36" xr3:uid="{00000000-0010-0000-0000-000024000000}" name="dec_2_p99"/>
    <tableColumn id="37" xr3:uid="{00000000-0010-0000-0000-000025000000}" name="dec_3_p1"/>
    <tableColumn id="38" xr3:uid="{00000000-0010-0000-0000-000026000000}" name="dec_3_p99"/>
    <tableColumn id="39" xr3:uid="{00000000-0010-0000-0000-000027000000}" name="dec_4_p1"/>
    <tableColumn id="40" xr3:uid="{00000000-0010-0000-0000-000028000000}" name="dec_4_p99"/>
    <tableColumn id="41" xr3:uid="{00000000-0010-0000-0000-000029000000}" name="dec_5_p1"/>
    <tableColumn id="42" xr3:uid="{00000000-0010-0000-0000-00002A000000}" name="dec_5_p99"/>
    <tableColumn id="43" xr3:uid="{00000000-0010-0000-0000-00002B000000}" name="dec_6_p1"/>
    <tableColumn id="44" xr3:uid="{00000000-0010-0000-0000-00002C000000}" name="dec_6_p99"/>
    <tableColumn id="45" xr3:uid="{00000000-0010-0000-0000-00002D000000}" name="dec_7_p1"/>
    <tableColumn id="46" xr3:uid="{00000000-0010-0000-0000-00002E000000}" name="dec_7_p99"/>
    <tableColumn id="47" xr3:uid="{00000000-0010-0000-0000-00002F000000}" name="dec_8_p1"/>
    <tableColumn id="48" xr3:uid="{00000000-0010-0000-0000-000030000000}" name="dec_8_p99"/>
    <tableColumn id="49" xr3:uid="{00000000-0010-0000-0000-000031000000}" name="dec_9_p1"/>
    <tableColumn id="50" xr3:uid="{00000000-0010-0000-0000-000032000000}" name="dec_9_p99"/>
    <tableColumn id="51" xr3:uid="{00000000-0010-0000-0000-000033000000}" name="dec_10_p1"/>
    <tableColumn id="52" xr3:uid="{00000000-0010-0000-0000-000034000000}" name="dec_10_p99"/>
    <tableColumn id="53" xr3:uid="{00000000-0010-0000-0000-000035000000}" name="cons_pc_acrent"/>
    <tableColumn id="54" xr3:uid="{00000000-0010-0000-0000-000036000000}" name="popw"/>
    <tableColumn id="55" xr3:uid="{00000000-0010-0000-0000-000037000000}" name="cons_pct_acct"/>
    <tableColumn id="56" xr3:uid="{00000000-0010-0000-0000-000038000000}" name="mean_cons_pct_acct"/>
    <tableColumn id="57" xr3:uid="{00000000-0010-0000-0000-000039000000}" name="ely_acs_share"/>
    <tableColumn id="58" xr3:uid="{00000000-0010-0000-0000-00003A000000}" name="ICT_acs_share"/>
    <tableColumn id="59" xr3:uid="{00000000-0010-0000-0000-00003B000000}" name="sani_acs_share"/>
    <tableColumn id="60" xr3:uid="{00000000-0010-0000-0000-00003C000000}" name="wtr_acs_share"/>
    <tableColumn id="61" xr3:uid="{00000000-0010-0000-0000-00003D000000}" name="transp_pub_acs_share"/>
    <tableColumn id="62" xr3:uid="{00000000-0010-0000-0000-00003E000000}" name="all_acs_share"/>
    <tableColumn id="63" xr3:uid="{00000000-0010-0000-0000-00003F000000}" name="pct_belowpl_215"/>
    <tableColumn id="64" xr3:uid="{00000000-0010-0000-0000-000040000000}" name="pct_belowpl_365"/>
    <tableColumn id="65" xr3:uid="{00000000-0010-0000-0000-000041000000}" name="pct_belowpl_685"/>
    <tableColumn id="66" xr3:uid="{00000000-0010-0000-0000-000042000000}" name="pit_share_region"/>
    <tableColumn id="67" xr3:uid="{00000000-0010-0000-0000-000043000000}" name="pit_share_income"/>
    <tableColumn id="68" xr3:uid="{00000000-0010-0000-0000-000044000000}" name="indv"/>
    <tableColumn id="69" xr3:uid="{00000000-0010-0000-0000-000045000000}" name="ke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H_Elast" displayName="HH_Elast" ref="A1:AF12">
  <autoFilter ref="A1:AF12" xr:uid="{00000000-0009-0000-0100-000002000000}"/>
  <tableColumns count="32">
    <tableColumn id="1" xr3:uid="{00000000-0010-0000-0100-000001000000}" name="code"/>
    <tableColumn id="2" xr3:uid="{00000000-0010-0000-0100-000002000000}" name="iso3"/>
    <tableColumn id="3" xr3:uid="{00000000-0010-0000-0100-000003000000}" name="year"/>
    <tableColumn id="4" xr3:uid="{00000000-0010-0000-0100-000004000000}" name="sample"/>
    <tableColumn id="5" xr3:uid="{00000000-0010-0000-0100-000005000000}" name="type"/>
    <tableColumn id="6" xr3:uid="{00000000-0010-0000-0100-000006000000}" name="stat_type"/>
    <tableColumn id="7" xr3:uid="{00000000-0010-0000-0100-000007000000}" name="quant_cons"/>
    <tableColumn id="8" xr3:uid="{00000000-0010-0000-0100-000008000000}" name="ely_elasticity"/>
    <tableColumn id="9" xr3:uid="{00000000-0010-0000-0100-000009000000}" name="nga_elasticity"/>
    <tableColumn id="10" xr3:uid="{00000000-0010-0000-0100-00000A000000}" name="gso_elasticity"/>
    <tableColumn id="11" xr3:uid="{00000000-0010-0000-0100-00000B000000}" name="die_elasticity"/>
    <tableColumn id="12" xr3:uid="{00000000-0010-0000-0100-00000C000000}" name="coa_elasticity"/>
    <tableColumn id="13" xr3:uid="{00000000-0010-0000-0100-00000D000000}" name="oil_elasticity"/>
    <tableColumn id="14" xr3:uid="{00000000-0010-0000-0100-00000E000000}" name="lpg_elasticity"/>
    <tableColumn id="15" xr3:uid="{00000000-0010-0000-0100-00000F000000}" name="ker_elasticity"/>
    <tableColumn id="16" xr3:uid="{00000000-0010-0000-0100-000010000000}" name="ccl_elasticity"/>
    <tableColumn id="17" xr3:uid="{00000000-0010-0000-0100-000011000000}" name="fwd_elasticity"/>
    <tableColumn id="18" xr3:uid="{00000000-0010-0000-0100-000012000000}" name="appliances_elasticity"/>
    <tableColumn id="19" xr3:uid="{00000000-0010-0000-0100-000013000000}" name="chemicals_elasticity"/>
    <tableColumn id="20" xr3:uid="{00000000-0010-0000-0100-000014000000}" name="clothing_elasticity"/>
    <tableColumn id="21" xr3:uid="{00000000-0010-0000-0100-000015000000}" name="communications_elasticity"/>
    <tableColumn id="22" xr3:uid="{00000000-0010-0000-0100-000016000000}" name="education_elasticity"/>
    <tableColumn id="23" xr3:uid="{00000000-0010-0000-0100-000017000000}" name="food_elasticity"/>
    <tableColumn id="24" xr3:uid="{00000000-0010-0000-0100-000018000000}" name="health_srv_elasticity"/>
    <tableColumn id="25" xr3:uid="{00000000-0010-0000-0100-000019000000}" name="housing_elasticity"/>
    <tableColumn id="26" xr3:uid="{00000000-0010-0000-0100-00001A000000}" name="other_elasticity"/>
    <tableColumn id="27" xr3:uid="{00000000-0010-0000-0100-00001B000000}" name="paper_elasticity"/>
    <tableColumn id="28" xr3:uid="{00000000-0010-0000-0100-00001C000000}" name="pharma_elasticity"/>
    <tableColumn id="29" xr3:uid="{00000000-0010-0000-0100-00001D000000}" name="rectourism_elasticity"/>
    <tableColumn id="30" xr3:uid="{00000000-0010-0000-0100-00001E000000}" name="transp_eqt_elasticity"/>
    <tableColumn id="31" xr3:uid="{00000000-0010-0000-0100-00001F000000}" name="transp_pub_elasticity"/>
    <tableColumn id="32" xr3:uid="{00000000-0010-0000-0100-000020000000}" name="ke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SPIRE" displayName="ASPIRE" ref="A1:H31">
  <autoFilter ref="A1:H31" xr:uid="{00000000-0009-0000-0100-000003000000}"/>
  <tableColumns count="8">
    <tableColumn id="1" xr3:uid="{00000000-0010-0000-0200-000001000000}" name="Series_Code"/>
    <tableColumn id="2" xr3:uid="{00000000-0010-0000-0200-000002000000}" name="Country_Name"/>
    <tableColumn id="3" xr3:uid="{00000000-0010-0000-0200-000003000000}" name="ISO_3_Country_Code"/>
    <tableColumn id="4" xr3:uid="{00000000-0010-0000-0200-000004000000}" name="Year"/>
    <tableColumn id="5" xr3:uid="{00000000-0010-0000-0200-000005000000}" name="firstnm_Value"/>
    <tableColumn id="6" xr3:uid="{00000000-0010-0000-0200-000006000000}" name="firstnm_indicator_name"/>
    <tableColumn id="7" xr3:uid="{00000000-0010-0000-0200-000007000000}" name="firstnm_Sub_Topic5"/>
    <tableColumn id="8" xr3:uid="{00000000-0010-0000-0200-000008000000}" name="firstnm_Sub_Topic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SPIRE_Pivot" displayName="ASPIRE_Pivot" ref="A35:G41">
  <autoFilter ref="A35:G41" xr:uid="{00000000-0009-0000-0100-000004000000}"/>
  <tableColumns count="7">
    <tableColumn id="1" xr3:uid="{00000000-0010-0000-0300-000001000000}" name="program"/>
    <tableColumn id="2" xr3:uid="{00000000-0010-0000-0300-000002000000}" name="label"/>
    <tableColumn id="3" xr3:uid="{00000000-0010-0000-0300-000003000000}" name="Q1"/>
    <tableColumn id="4" xr3:uid="{00000000-0010-0000-0300-000004000000}" name="Q2"/>
    <tableColumn id="5" xr3:uid="{00000000-0010-0000-0300-000005000000}" name="Q3"/>
    <tableColumn id="6" xr3:uid="{00000000-0010-0000-0300-000006000000}" name="Q4"/>
    <tableColumn id="7" xr3:uid="{00000000-0010-0000-0300-000007000000}" name="Q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HOCooking" displayName="WHOCooking" ref="A1:F4">
  <autoFilter ref="A1:F4" xr:uid="{00000000-0009-0000-0100-000005000000}"/>
  <tableColumns count="6">
    <tableColumn id="1" xr3:uid="{00000000-0010-0000-0400-000001000000}" name="code"/>
    <tableColumn id="2" xr3:uid="{00000000-0010-0000-0400-000002000000}" name="iso3"/>
    <tableColumn id="3" xr3:uid="{00000000-0010-0000-0400-000003000000}" name="year"/>
    <tableColumn id="4" xr3:uid="{00000000-0010-0000-0400-000004000000}" name="sample"/>
    <tableColumn id="5" xr3:uid="{00000000-0010-0000-0400-000005000000}" name="main_fuel"/>
    <tableColumn id="6" xr3:uid="{00000000-0010-0000-0400-000006000000}" name="max_sh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DPRatios" displayName="GDPRatios" ref="A1:BQ2">
  <autoFilter ref="A1:BQ2" xr:uid="{00000000-0009-0000-0100-000006000000}"/>
  <tableColumns count="69">
    <tableColumn id="1" xr3:uid="{00000000-0010-0000-0500-000001000000}" name="Country_Name"/>
    <tableColumn id="2" xr3:uid="{00000000-0010-0000-0500-000002000000}" name="Country_Code"/>
    <tableColumn id="3" xr3:uid="{00000000-0010-0000-0500-000003000000}" name="Indicator_Name"/>
    <tableColumn id="4" xr3:uid="{00000000-0010-0000-0500-000004000000}" name="Indicator_Code"/>
    <tableColumn id="5" xr3:uid="{00000000-0010-0000-0500-000005000000}" name="Latest_Year"/>
    <tableColumn id="6" xr3:uid="{00000000-0010-0000-0500-000006000000}" name="Y1960"/>
    <tableColumn id="7" xr3:uid="{00000000-0010-0000-0500-000007000000}" name="Y1961"/>
    <tableColumn id="8" xr3:uid="{00000000-0010-0000-0500-000008000000}" name="Y1962"/>
    <tableColumn id="9" xr3:uid="{00000000-0010-0000-0500-000009000000}" name="Y1963"/>
    <tableColumn id="10" xr3:uid="{00000000-0010-0000-0500-00000A000000}" name="Y1964"/>
    <tableColumn id="11" xr3:uid="{00000000-0010-0000-0500-00000B000000}" name="Y1965"/>
    <tableColumn id="12" xr3:uid="{00000000-0010-0000-0500-00000C000000}" name="Y1966"/>
    <tableColumn id="13" xr3:uid="{00000000-0010-0000-0500-00000D000000}" name="Y1967"/>
    <tableColumn id="14" xr3:uid="{00000000-0010-0000-0500-00000E000000}" name="Y1968"/>
    <tableColumn id="15" xr3:uid="{00000000-0010-0000-0500-00000F000000}" name="Y1969"/>
    <tableColumn id="16" xr3:uid="{00000000-0010-0000-0500-000010000000}" name="Y1970"/>
    <tableColumn id="17" xr3:uid="{00000000-0010-0000-0500-000011000000}" name="Y1971"/>
    <tableColumn id="18" xr3:uid="{00000000-0010-0000-0500-000012000000}" name="Y1972"/>
    <tableColumn id="19" xr3:uid="{00000000-0010-0000-0500-000013000000}" name="Y1973"/>
    <tableColumn id="20" xr3:uid="{00000000-0010-0000-0500-000014000000}" name="Y1974"/>
    <tableColumn id="21" xr3:uid="{00000000-0010-0000-0500-000015000000}" name="Y1975"/>
    <tableColumn id="22" xr3:uid="{00000000-0010-0000-0500-000016000000}" name="Y1976"/>
    <tableColumn id="23" xr3:uid="{00000000-0010-0000-0500-000017000000}" name="Y1977"/>
    <tableColumn id="24" xr3:uid="{00000000-0010-0000-0500-000018000000}" name="Y1978"/>
    <tableColumn id="25" xr3:uid="{00000000-0010-0000-0500-000019000000}" name="Y1979"/>
    <tableColumn id="26" xr3:uid="{00000000-0010-0000-0500-00001A000000}" name="Y1980"/>
    <tableColumn id="27" xr3:uid="{00000000-0010-0000-0500-00001B000000}" name="Y1981"/>
    <tableColumn id="28" xr3:uid="{00000000-0010-0000-0500-00001C000000}" name="Y1982"/>
    <tableColumn id="29" xr3:uid="{00000000-0010-0000-0500-00001D000000}" name="Y1983"/>
    <tableColumn id="30" xr3:uid="{00000000-0010-0000-0500-00001E000000}" name="Y1984"/>
    <tableColumn id="31" xr3:uid="{00000000-0010-0000-0500-00001F000000}" name="Y1985"/>
    <tableColumn id="32" xr3:uid="{00000000-0010-0000-0500-000020000000}" name="Y1986"/>
    <tableColumn id="33" xr3:uid="{00000000-0010-0000-0500-000021000000}" name="Y1987"/>
    <tableColumn id="34" xr3:uid="{00000000-0010-0000-0500-000022000000}" name="Y1988"/>
    <tableColumn id="35" xr3:uid="{00000000-0010-0000-0500-000023000000}" name="Y1989"/>
    <tableColumn id="36" xr3:uid="{00000000-0010-0000-0500-000024000000}" name="Y1990"/>
    <tableColumn id="37" xr3:uid="{00000000-0010-0000-0500-000025000000}" name="Y1991"/>
    <tableColumn id="38" xr3:uid="{00000000-0010-0000-0500-000026000000}" name="Y1992"/>
    <tableColumn id="39" xr3:uid="{00000000-0010-0000-0500-000027000000}" name="Y1993"/>
    <tableColumn id="40" xr3:uid="{00000000-0010-0000-0500-000028000000}" name="Y1994"/>
    <tableColumn id="41" xr3:uid="{00000000-0010-0000-0500-000029000000}" name="Y1995"/>
    <tableColumn id="42" xr3:uid="{00000000-0010-0000-0500-00002A000000}" name="Y1996"/>
    <tableColumn id="43" xr3:uid="{00000000-0010-0000-0500-00002B000000}" name="Y1997"/>
    <tableColumn id="44" xr3:uid="{00000000-0010-0000-0500-00002C000000}" name="Y1998"/>
    <tableColumn id="45" xr3:uid="{00000000-0010-0000-0500-00002D000000}" name="Y1999"/>
    <tableColumn id="46" xr3:uid="{00000000-0010-0000-0500-00002E000000}" name="Y2000"/>
    <tableColumn id="47" xr3:uid="{00000000-0010-0000-0500-00002F000000}" name="Y2001"/>
    <tableColumn id="48" xr3:uid="{00000000-0010-0000-0500-000030000000}" name="Y2002"/>
    <tableColumn id="49" xr3:uid="{00000000-0010-0000-0500-000031000000}" name="Y2003"/>
    <tableColumn id="50" xr3:uid="{00000000-0010-0000-0500-000032000000}" name="Y2004"/>
    <tableColumn id="51" xr3:uid="{00000000-0010-0000-0500-000033000000}" name="Y2005"/>
    <tableColumn id="52" xr3:uid="{00000000-0010-0000-0500-000034000000}" name="Y2006"/>
    <tableColumn id="53" xr3:uid="{00000000-0010-0000-0500-000035000000}" name="Y2007"/>
    <tableColumn id="54" xr3:uid="{00000000-0010-0000-0500-000036000000}" name="Y2008"/>
    <tableColumn id="55" xr3:uid="{00000000-0010-0000-0500-000037000000}" name="Y2009"/>
    <tableColumn id="56" xr3:uid="{00000000-0010-0000-0500-000038000000}" name="Y2010"/>
    <tableColumn id="57" xr3:uid="{00000000-0010-0000-0500-000039000000}" name="Y2011"/>
    <tableColumn id="58" xr3:uid="{00000000-0010-0000-0500-00003A000000}" name="Y2012"/>
    <tableColumn id="59" xr3:uid="{00000000-0010-0000-0500-00003B000000}" name="Y2013"/>
    <tableColumn id="60" xr3:uid="{00000000-0010-0000-0500-00003C000000}" name="Y2014"/>
    <tableColumn id="61" xr3:uid="{00000000-0010-0000-0500-00003D000000}" name="Y2015"/>
    <tableColumn id="62" xr3:uid="{00000000-0010-0000-0500-00003E000000}" name="Y2016"/>
    <tableColumn id="63" xr3:uid="{00000000-0010-0000-0500-00003F000000}" name="Y2017"/>
    <tableColumn id="64" xr3:uid="{00000000-0010-0000-0500-000040000000}" name="Y2018"/>
    <tableColumn id="65" xr3:uid="{00000000-0010-0000-0500-000041000000}" name="Y2019"/>
    <tableColumn id="66" xr3:uid="{00000000-0010-0000-0500-000042000000}" name="Y2020"/>
    <tableColumn id="67" xr3:uid="{00000000-0010-0000-0500-000043000000}" name="Y2021"/>
    <tableColumn id="68" xr3:uid="{00000000-0010-0000-0500-000044000000}" name="Y2022"/>
    <tableColumn id="69" xr3:uid="{00000000-0010-0000-0500-000045000000}" name="Y20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O_GTAP" displayName="IO_GTAP" ref="A1:BP12">
  <autoFilter ref="A1:BP12" xr:uid="{00000000-0009-0000-0100-000007000000}"/>
  <tableColumns count="68">
    <tableColumn id="1" xr3:uid="{00000000-0010-0000-0600-000001000000}" name="dis"/>
    <tableColumn id="2" xr3:uid="{00000000-0010-0000-0600-000002000000}" name="iso3"/>
    <tableColumn id="3" xr3:uid="{00000000-0010-0000-0600-000003000000}" name="year"/>
    <tableColumn id="4" xr3:uid="{00000000-0010-0000-0600-000004000000}" name="sector"/>
    <tableColumn id="5" xr3:uid="{00000000-0010-0000-0600-000005000000}" name="afs"/>
    <tableColumn id="6" xr3:uid="{00000000-0010-0000-0600-000006000000}" name="atp"/>
    <tableColumn id="7" xr3:uid="{00000000-0010-0000-0600-000007000000}" name="b_t"/>
    <tableColumn id="8" xr3:uid="{00000000-0010-0000-0600-000008000000}" name="bph"/>
    <tableColumn id="9" xr3:uid="{00000000-0010-0000-0600-000009000000}" name="c_b"/>
    <tableColumn id="10" xr3:uid="{00000000-0010-0000-0600-00000A000000}" name="chm"/>
    <tableColumn id="11" xr3:uid="{00000000-0010-0000-0600-00000B000000}" name="cmn"/>
    <tableColumn id="12" xr3:uid="{00000000-0010-0000-0600-00000C000000}" name="cmt"/>
    <tableColumn id="13" xr3:uid="{00000000-0010-0000-0600-00000D000000}" name="cns"/>
    <tableColumn id="14" xr3:uid="{00000000-0010-0000-0600-00000E000000}" name="coa"/>
    <tableColumn id="15" xr3:uid="{00000000-0010-0000-0600-00000F000000}" name="ctl"/>
    <tableColumn id="16" xr3:uid="{00000000-0010-0000-0600-000010000000}" name="dwe"/>
    <tableColumn id="17" xr3:uid="{00000000-0010-0000-0600-000011000000}" name="edu"/>
    <tableColumn id="18" xr3:uid="{00000000-0010-0000-0600-000012000000}" name="eeq"/>
    <tableColumn id="19" xr3:uid="{00000000-0010-0000-0600-000013000000}" name="ele"/>
    <tableColumn id="20" xr3:uid="{00000000-0010-0000-0600-000014000000}" name="ely"/>
    <tableColumn id="21" xr3:uid="{00000000-0010-0000-0600-000015000000}" name="fmp"/>
    <tableColumn id="22" xr3:uid="{00000000-0010-0000-0600-000016000000}" name="frs"/>
    <tableColumn id="23" xr3:uid="{00000000-0010-0000-0600-000017000000}" name="fsh"/>
    <tableColumn id="24" xr3:uid="{00000000-0010-0000-0600-000018000000}" name="gro"/>
    <tableColumn id="25" xr3:uid="{00000000-0010-0000-0600-000019000000}" name="hht"/>
    <tableColumn id="26" xr3:uid="{00000000-0010-0000-0600-00001A000000}" name="i_s"/>
    <tableColumn id="27" xr3:uid="{00000000-0010-0000-0600-00001B000000}" name="ins"/>
    <tableColumn id="28" xr3:uid="{00000000-0010-0000-0600-00001C000000}" name="lea"/>
    <tableColumn id="29" xr3:uid="{00000000-0010-0000-0600-00001D000000}" name="lum"/>
    <tableColumn id="30" xr3:uid="{00000000-0010-0000-0600-00001E000000}" name="mil"/>
    <tableColumn id="31" xr3:uid="{00000000-0010-0000-0600-00001F000000}" name="mvh"/>
    <tableColumn id="32" xr3:uid="{00000000-0010-0000-0600-000020000000}" name="nfm"/>
    <tableColumn id="33" xr3:uid="{00000000-0010-0000-0600-000021000000}" name="nga"/>
    <tableColumn id="34" xr3:uid="{00000000-0010-0000-0600-000022000000}" name="nmm"/>
    <tableColumn id="35" xr3:uid="{00000000-0010-0000-0600-000023000000}" name="oap"/>
    <tableColumn id="36" xr3:uid="{00000000-0010-0000-0600-000024000000}" name="obs"/>
    <tableColumn id="37" xr3:uid="{00000000-0010-0000-0600-000025000000}" name="ocr"/>
    <tableColumn id="38" xr3:uid="{00000000-0010-0000-0600-000026000000}" name="ofd"/>
    <tableColumn id="39" xr3:uid="{00000000-0010-0000-0600-000027000000}" name="ofi"/>
    <tableColumn id="40" xr3:uid="{00000000-0010-0000-0600-000028000000}" name="oil"/>
    <tableColumn id="41" xr3:uid="{00000000-0010-0000-0600-000029000000}" name="ome"/>
    <tableColumn id="42" xr3:uid="{00000000-0010-0000-0600-00002A000000}" name="omf"/>
    <tableColumn id="43" xr3:uid="{00000000-0010-0000-0600-00002B000000}" name="omt"/>
    <tableColumn id="44" xr3:uid="{00000000-0010-0000-0600-00002C000000}" name="osd"/>
    <tableColumn id="45" xr3:uid="{00000000-0010-0000-0600-00002D000000}" name="osg"/>
    <tableColumn id="46" xr3:uid="{00000000-0010-0000-0600-00002E000000}" name="otn"/>
    <tableColumn id="47" xr3:uid="{00000000-0010-0000-0600-00002F000000}" name="otp"/>
    <tableColumn id="48" xr3:uid="{00000000-0010-0000-0600-000030000000}" name="oxt"/>
    <tableColumn id="49" xr3:uid="{00000000-0010-0000-0600-000031000000}" name="p_c"/>
    <tableColumn id="50" xr3:uid="{00000000-0010-0000-0600-000032000000}" name="pcr"/>
    <tableColumn id="51" xr3:uid="{00000000-0010-0000-0600-000033000000}" name="pdr"/>
    <tableColumn id="52" xr3:uid="{00000000-0010-0000-0600-000034000000}" name="pfb"/>
    <tableColumn id="53" xr3:uid="{00000000-0010-0000-0600-000035000000}" name="ppp"/>
    <tableColumn id="54" xr3:uid="{00000000-0010-0000-0600-000036000000}" name="rmk"/>
    <tableColumn id="55" xr3:uid="{00000000-0010-0000-0600-000037000000}" name="ros"/>
    <tableColumn id="56" xr3:uid="{00000000-0010-0000-0600-000038000000}" name="rpp"/>
    <tableColumn id="57" xr3:uid="{00000000-0010-0000-0600-000039000000}" name="rsa"/>
    <tableColumn id="58" xr3:uid="{00000000-0010-0000-0600-00003A000000}" name="sgr"/>
    <tableColumn id="59" xr3:uid="{00000000-0010-0000-0600-00003B000000}" name="tex"/>
    <tableColumn id="60" xr3:uid="{00000000-0010-0000-0600-00003C000000}" name="trd"/>
    <tableColumn id="61" xr3:uid="{00000000-0010-0000-0600-00003D000000}" name="v_f"/>
    <tableColumn id="62" xr3:uid="{00000000-0010-0000-0600-00003E000000}" name="vol"/>
    <tableColumn id="63" xr3:uid="{00000000-0010-0000-0600-00003F000000}" name="wap"/>
    <tableColumn id="64" xr3:uid="{00000000-0010-0000-0600-000040000000}" name="whs"/>
    <tableColumn id="65" xr3:uid="{00000000-0010-0000-0600-000041000000}" name="wht"/>
    <tableColumn id="66" xr3:uid="{00000000-0010-0000-0600-000042000000}" name="wol"/>
    <tableColumn id="67" xr3:uid="{00000000-0010-0000-0600-000043000000}" name="wtp"/>
    <tableColumn id="68" xr3:uid="{00000000-0010-0000-0600-000044000000}" name="wt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iceDirect" displayName="PriceDirect" ref="A2:C10">
  <autoFilter ref="A2:C10" xr:uid="{00000000-0009-0000-0100-000008000000}"/>
  <tableColumns count="3">
    <tableColumn id="1" xr3:uid="{00000000-0010-0000-0700-000001000000}" name="code"/>
    <tableColumn id="2" xr3:uid="{00000000-0010-0000-0700-000002000000}" name="fuel"/>
    <tableColumn id="3" xr3:uid="{00000000-0010-0000-0700-000003000000}" name="pct_chang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iceIndirect" displayName="PriceIndirect" ref="A14:C28">
  <autoFilter ref="A14:C28" xr:uid="{00000000-0009-0000-0100-000009000000}"/>
  <tableColumns count="3">
    <tableColumn id="1" xr3:uid="{00000000-0010-0000-0800-000001000000}" name="code"/>
    <tableColumn id="2" xr3:uid="{00000000-0010-0000-0800-000002000000}" name="category"/>
    <tableColumn id="3" xr3:uid="{00000000-0010-0000-0800-000003000000}" name="pct_chang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lastAdjTbl" displayName="ElastAdjTbl" ref="A32:K54">
  <autoFilter ref="A32:K54" xr:uid="{00000000-0009-0000-0100-00000A000000}"/>
  <tableColumns count="11">
    <tableColumn id="1" xr3:uid="{00000000-0010-0000-0900-000001000000}" name="code"/>
    <tableColumn id="2" xr3:uid="{00000000-0010-0000-0900-000002000000}" name="D1"/>
    <tableColumn id="3" xr3:uid="{00000000-0010-0000-0900-000003000000}" name="D2"/>
    <tableColumn id="4" xr3:uid="{00000000-0010-0000-0900-000004000000}" name="D3"/>
    <tableColumn id="5" xr3:uid="{00000000-0010-0000-0900-000005000000}" name="D4"/>
    <tableColumn id="6" xr3:uid="{00000000-0010-0000-0900-000006000000}" name="D5"/>
    <tableColumn id="7" xr3:uid="{00000000-0010-0000-0900-000007000000}" name="D6"/>
    <tableColumn id="8" xr3:uid="{00000000-0010-0000-0900-000008000000}" name="D7"/>
    <tableColumn id="9" xr3:uid="{00000000-0010-0000-0900-000009000000}" name="D8"/>
    <tableColumn id="10" xr3:uid="{00000000-0010-0000-0900-00000A000000}" name="D9"/>
    <tableColumn id="11" xr3:uid="{00000000-0010-0000-0900-00000B000000}" name="D1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Map_sectorcrosswalk" displayName="Map_sectorcrosswalk" ref="A2:S164">
  <autoFilter ref="A2:S164" xr:uid="{00000000-0009-0000-0100-00000B000000}"/>
  <tableColumns count="19">
    <tableColumn id="1" xr3:uid="{00000000-0010-0000-0A00-000001000000}" name="GTAP_sectors"/>
    <tableColumn id="2" xr3:uid="{00000000-0010-0000-0A00-000002000000}" name="GTAP_sector_codes"/>
    <tableColumn id="3" xr3:uid="{00000000-0010-0000-0A00-000003000000}" name="GTAP_sector_number"/>
    <tableColumn id="4" xr3:uid="{00000000-0010-0000-0A00-000004000000}" name="CTAP_10_sectors"/>
    <tableColumn id="5" xr3:uid="{00000000-0010-0000-0A00-000005000000}" name="GTAP_10_codes"/>
    <tableColumn id="6" xr3:uid="{00000000-0010-0000-0A00-000006000000}" name="GTAP_10_sector_numbers"/>
    <tableColumn id="7" xr3:uid="{00000000-0010-0000-0A00-000007000000}" name="CPAT_Description"/>
    <tableColumn id="8" xr3:uid="{00000000-0010-0000-0A00-000008000000}" name="WIOT_sectors"/>
    <tableColumn id="9" xr3:uid="{00000000-0010-0000-0A00-000009000000}" name="WIOT_codes"/>
    <tableColumn id="10" xr3:uid="{00000000-0010-0000-0A00-00000A000000}" name="EORA_sectors"/>
    <tableColumn id="11" xr3:uid="{00000000-0010-0000-0A00-00000B000000}" name="IEA_flows"/>
    <tableColumn id="12" xr3:uid="{00000000-0010-0000-0A00-00000C000000}" name="IEA_codes"/>
    <tableColumn id="13" xr3:uid="{00000000-0010-0000-0A00-00000D000000}" name="CPC_ISIC_code"/>
    <tableColumn id="14" xr3:uid="{00000000-0010-0000-0A00-00000E000000}" name="#"/>
    <tableColumn id="15" xr3:uid="{00000000-0010-0000-0A00-00000F000000}" name="CPAT_subsectors"/>
    <tableColumn id="16" xr3:uid="{00000000-0010-0000-0A00-000010000000}" name="CPAT_sectors"/>
    <tableColumn id="17" xr3:uid="{00000000-0010-0000-0A00-000011000000}" name="CPAT_sector_code"/>
    <tableColumn id="18" xr3:uid="{00000000-0010-0000-0A00-000012000000}" name="CPAT_consumption_items"/>
    <tableColumn id="19" xr3:uid="{00000000-0010-0000-0A00-000013000000}" name="CPAT_consumption_items_3_letter"/>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Map_cpatsectorstoisic" displayName="Map_cpatsectorstoisic" ref="A168:E194">
  <autoFilter ref="A168:E194" xr:uid="{00000000-0009-0000-0100-00000C000000}"/>
  <tableColumns count="5">
    <tableColumn id="1" xr3:uid="{00000000-0010-0000-0B00-000001000000}" name="CPAT_main_sectors_5"/>
    <tableColumn id="2" xr3:uid="{00000000-0010-0000-0B00-000002000000}" name="CPAT_code"/>
    <tableColumn id="3" xr3:uid="{00000000-0010-0000-0B00-000003000000}" name="CPAT_sub_sectors_15_inc_10_ind__subsectors"/>
    <tableColumn id="4" xr3:uid="{00000000-0010-0000-0B00-000004000000}" name="CPAT_code_2"/>
    <tableColumn id="5" xr3:uid="{00000000-0010-0000-0B00-000005000000}" name="ISIC_Rev_4_code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Map_ieaflowstoisic" displayName="Map_ieaflowstoisic" ref="A198:C227">
  <autoFilter ref="A198:C227" xr:uid="{00000000-0009-0000-0100-00000D000000}"/>
  <tableColumns count="3">
    <tableColumn id="1" xr3:uid="{00000000-0010-0000-0C00-000001000000}" name="IEA_flows_29"/>
    <tableColumn id="2" xr3:uid="{00000000-0010-0000-0C00-000002000000}" name="IEA_code"/>
    <tableColumn id="3" xr3:uid="{00000000-0010-0000-0C00-000003000000}" name="ISIC_Rev__4_code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Map_isictocpat" displayName="Map_isictocpat" ref="A231:D344">
  <autoFilter ref="A231:D344" xr:uid="{00000000-0009-0000-0100-00000E000000}"/>
  <tableColumns count="4">
    <tableColumn id="1" xr3:uid="{00000000-0010-0000-0D00-000001000000}" name="ISIC_Rev__4_codes"/>
    <tableColumn id="2" xr3:uid="{00000000-0010-0000-0D00-000002000000}" name="ISIC_Rev__4_Description"/>
    <tableColumn id="3" xr3:uid="{00000000-0010-0000-0D00-000003000000}" name="CPAT_code"/>
    <tableColumn id="4" xr3:uid="{00000000-0010-0000-0D00-000004000000}" name="CPAT_sector"/>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Map_countriestogtap10" displayName="Map_countriestogtap10" ref="A348:C554">
  <autoFilter ref="A348:C554" xr:uid="{00000000-0009-0000-0100-00000F000000}"/>
  <tableColumns count="3">
    <tableColumn id="1" xr3:uid="{00000000-0010-0000-0E00-000001000000}" name="cname"/>
    <tableColumn id="2" xr3:uid="{00000000-0010-0000-0E00-000002000000}" name="iso3"/>
    <tableColumn id="3" xr3:uid="{00000000-0010-0000-0E00-000003000000}" name="gta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5" Type="http://schemas.openxmlformats.org/officeDocument/2006/relationships/table" Target="../tables/table15.xml"/><Relationship Id="rId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19"/>
  <sheetViews>
    <sheetView showGridLines="0" workbookViewId="0">
      <selection activeCell="B13" sqref="B13"/>
    </sheetView>
  </sheetViews>
  <sheetFormatPr defaultRowHeight="15" x14ac:dyDescent="0.25"/>
  <cols>
    <col min="1" max="1" width="3" customWidth="1"/>
    <col min="2" max="2" width="100" customWidth="1"/>
  </cols>
  <sheetData>
    <row r="1" spans="2:2" ht="18" x14ac:dyDescent="0.25">
      <c r="B1" s="1" t="s">
        <v>0</v>
      </c>
    </row>
    <row r="2" spans="2:2" x14ac:dyDescent="0.25">
      <c r="B2" s="2" t="s">
        <v>1</v>
      </c>
    </row>
    <row r="3" spans="2:2" x14ac:dyDescent="0.25">
      <c r="B3" s="3" t="s">
        <v>2</v>
      </c>
    </row>
    <row r="4" spans="2:2" ht="90" customHeight="1" x14ac:dyDescent="0.25">
      <c r="B4" s="4" t="s">
        <v>3</v>
      </c>
    </row>
    <row r="6" spans="2:2" x14ac:dyDescent="0.25">
      <c r="B6" s="3" t="s">
        <v>4</v>
      </c>
    </row>
    <row r="7" spans="2:2" ht="105" customHeight="1" x14ac:dyDescent="0.25">
      <c r="B7" s="4" t="s">
        <v>5</v>
      </c>
    </row>
    <row r="9" spans="2:2" x14ac:dyDescent="0.25">
      <c r="B9" s="3" t="s">
        <v>6</v>
      </c>
    </row>
    <row r="10" spans="2:2" ht="180" customHeight="1" x14ac:dyDescent="0.25">
      <c r="B10" s="4" t="s">
        <v>7</v>
      </c>
    </row>
    <row r="12" spans="2:2" x14ac:dyDescent="0.25">
      <c r="B12" s="3" t="s">
        <v>8</v>
      </c>
    </row>
    <row r="13" spans="2:2" ht="90" customHeight="1" x14ac:dyDescent="0.25">
      <c r="B13" s="4" t="s">
        <v>9</v>
      </c>
    </row>
    <row r="15" spans="2:2" x14ac:dyDescent="0.25">
      <c r="B15" s="3" t="s">
        <v>10</v>
      </c>
    </row>
    <row r="16" spans="2:2" ht="105" customHeight="1" x14ac:dyDescent="0.25">
      <c r="B16" s="4" t="s">
        <v>11</v>
      </c>
    </row>
    <row r="18" spans="2:2" x14ac:dyDescent="0.25">
      <c r="B18" s="3" t="s">
        <v>12</v>
      </c>
    </row>
    <row r="19" spans="2:2" ht="90" customHeight="1" x14ac:dyDescent="0.25">
      <c r="B19" s="4"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A1:N186"/>
  <sheetViews>
    <sheetView showGridLines="0" workbookViewId="0">
      <pane xSplit="2" topLeftCell="C1" activePane="topRight" state="frozen"/>
      <selection pane="topRight"/>
    </sheetView>
  </sheetViews>
  <sheetFormatPr defaultRowHeight="15" x14ac:dyDescent="0.25"/>
  <cols>
    <col min="1" max="1" width="8" customWidth="1"/>
    <col min="2" max="2" width="16" customWidth="1"/>
    <col min="3" max="3" width="46" customWidth="1"/>
    <col min="4" max="4" width="48" customWidth="1"/>
    <col min="5" max="5" width="3" customWidth="1"/>
    <col min="6" max="6" width="16" customWidth="1"/>
    <col min="7" max="7" width="12" customWidth="1"/>
    <col min="8" max="8" width="26" customWidth="1"/>
    <col min="9" max="9" width="16" customWidth="1"/>
  </cols>
  <sheetData>
    <row r="1" spans="1:14" ht="18" x14ac:dyDescent="0.25">
      <c r="A1" s="1" t="s">
        <v>14</v>
      </c>
    </row>
    <row r="3" spans="1:14" x14ac:dyDescent="0.25">
      <c r="A3" s="5" t="s">
        <v>15</v>
      </c>
      <c r="B3" s="13" t="s">
        <v>16</v>
      </c>
      <c r="C3" s="14"/>
      <c r="D3" s="14"/>
      <c r="E3" s="14"/>
      <c r="F3" s="14"/>
      <c r="G3" s="14"/>
      <c r="H3" s="14"/>
      <c r="I3" s="14"/>
      <c r="J3" s="14"/>
      <c r="K3" s="14"/>
      <c r="L3" s="14"/>
      <c r="M3" s="14"/>
      <c r="N3" s="14"/>
    </row>
    <row r="5" spans="1:14" x14ac:dyDescent="0.25">
      <c r="A5" s="3" t="s">
        <v>17</v>
      </c>
      <c r="B5" s="3" t="s">
        <v>18</v>
      </c>
    </row>
    <row r="6" spans="1:14" ht="90" customHeight="1" x14ac:dyDescent="0.25">
      <c r="C6" s="15" t="s">
        <v>19</v>
      </c>
      <c r="D6" s="16"/>
      <c r="E6" s="16"/>
      <c r="F6" s="16"/>
      <c r="G6" s="16"/>
      <c r="H6" s="16"/>
      <c r="I6" s="16"/>
      <c r="J6" s="16"/>
      <c r="K6" s="16"/>
      <c r="L6" s="16"/>
      <c r="M6" s="16"/>
      <c r="N6" s="16"/>
    </row>
    <row r="7" spans="1:14" x14ac:dyDescent="0.25">
      <c r="C7" s="16"/>
      <c r="D7" s="16"/>
      <c r="E7" s="16"/>
      <c r="F7" s="16"/>
      <c r="G7" s="16"/>
      <c r="H7" s="16"/>
      <c r="I7" s="16"/>
      <c r="J7" s="16"/>
      <c r="K7" s="16"/>
      <c r="L7" s="16"/>
      <c r="M7" s="16"/>
      <c r="N7" s="16"/>
    </row>
    <row r="8" spans="1:14" x14ac:dyDescent="0.25">
      <c r="C8" s="16"/>
      <c r="D8" s="16"/>
      <c r="E8" s="16"/>
      <c r="F8" s="16"/>
      <c r="G8" s="16"/>
      <c r="H8" s="16"/>
      <c r="I8" s="16"/>
      <c r="J8" s="16"/>
      <c r="K8" s="16"/>
      <c r="L8" s="16"/>
      <c r="M8" s="16"/>
      <c r="N8" s="16"/>
    </row>
    <row r="9" spans="1:14" x14ac:dyDescent="0.25">
      <c r="C9" s="16"/>
      <c r="D9" s="16"/>
      <c r="E9" s="16"/>
      <c r="F9" s="16"/>
      <c r="G9" s="16"/>
      <c r="H9" s="16"/>
      <c r="I9" s="16"/>
      <c r="J9" s="16"/>
      <c r="K9" s="16"/>
      <c r="L9" s="16"/>
      <c r="M9" s="16"/>
      <c r="N9" s="16"/>
    </row>
    <row r="11" spans="1:14" x14ac:dyDescent="0.25">
      <c r="A11" s="3" t="s">
        <v>20</v>
      </c>
      <c r="B11" s="3" t="s">
        <v>21</v>
      </c>
    </row>
    <row r="12" spans="1:14" ht="170.1" customHeight="1" x14ac:dyDescent="0.25">
      <c r="C12" s="15" t="s">
        <v>22</v>
      </c>
      <c r="D12" s="16"/>
      <c r="E12" s="16"/>
      <c r="F12" s="16"/>
      <c r="G12" s="16"/>
      <c r="H12" s="16"/>
      <c r="I12" s="16"/>
      <c r="J12" s="16"/>
      <c r="K12" s="16"/>
      <c r="L12" s="16"/>
      <c r="M12" s="16"/>
      <c r="N12" s="16"/>
    </row>
    <row r="13" spans="1:14" x14ac:dyDescent="0.25">
      <c r="C13" s="16"/>
      <c r="D13" s="16"/>
      <c r="E13" s="16"/>
      <c r="F13" s="16"/>
      <c r="G13" s="16"/>
      <c r="H13" s="16"/>
      <c r="I13" s="16"/>
      <c r="J13" s="16"/>
      <c r="K13" s="16"/>
      <c r="L13" s="16"/>
      <c r="M13" s="16"/>
      <c r="N13" s="16"/>
    </row>
    <row r="14" spans="1:14" x14ac:dyDescent="0.25">
      <c r="C14" s="16"/>
      <c r="D14" s="16"/>
      <c r="E14" s="16"/>
      <c r="F14" s="16"/>
      <c r="G14" s="16"/>
      <c r="H14" s="16"/>
      <c r="I14" s="16"/>
      <c r="J14" s="16"/>
      <c r="K14" s="16"/>
      <c r="L14" s="16"/>
      <c r="M14" s="16"/>
      <c r="N14" s="16"/>
    </row>
    <row r="15" spans="1:14" x14ac:dyDescent="0.25">
      <c r="C15" s="16"/>
      <c r="D15" s="16"/>
      <c r="E15" s="16"/>
      <c r="F15" s="16"/>
      <c r="G15" s="16"/>
      <c r="H15" s="16"/>
      <c r="I15" s="16"/>
      <c r="J15" s="16"/>
      <c r="K15" s="16"/>
      <c r="L15" s="16"/>
      <c r="M15" s="16"/>
      <c r="N15" s="16"/>
    </row>
    <row r="16" spans="1:14" x14ac:dyDescent="0.25">
      <c r="C16" s="16"/>
      <c r="D16" s="16"/>
      <c r="E16" s="16"/>
      <c r="F16" s="16"/>
      <c r="G16" s="16"/>
      <c r="H16" s="16"/>
      <c r="I16" s="16"/>
      <c r="J16" s="16"/>
      <c r="K16" s="16"/>
      <c r="L16" s="16"/>
      <c r="M16" s="16"/>
      <c r="N16" s="16"/>
    </row>
    <row r="17" spans="1:14" x14ac:dyDescent="0.25">
      <c r="C17" s="16"/>
      <c r="D17" s="16"/>
      <c r="E17" s="16"/>
      <c r="F17" s="16"/>
      <c r="G17" s="16"/>
      <c r="H17" s="16"/>
      <c r="I17" s="16"/>
      <c r="J17" s="16"/>
      <c r="K17" s="16"/>
      <c r="L17" s="16"/>
      <c r="M17" s="16"/>
      <c r="N17" s="16"/>
    </row>
    <row r="18" spans="1:14" x14ac:dyDescent="0.25">
      <c r="C18" s="16"/>
      <c r="D18" s="16"/>
      <c r="E18" s="16"/>
      <c r="F18" s="16"/>
      <c r="G18" s="16"/>
      <c r="H18" s="16"/>
      <c r="I18" s="16"/>
      <c r="J18" s="16"/>
      <c r="K18" s="16"/>
      <c r="L18" s="16"/>
      <c r="M18" s="16"/>
      <c r="N18" s="16"/>
    </row>
    <row r="19" spans="1:14" x14ac:dyDescent="0.25">
      <c r="C19" s="16"/>
      <c r="D19" s="16"/>
      <c r="E19" s="16"/>
      <c r="F19" s="16"/>
      <c r="G19" s="16"/>
      <c r="H19" s="16"/>
      <c r="I19" s="16"/>
      <c r="J19" s="16"/>
      <c r="K19" s="16"/>
      <c r="L19" s="16"/>
      <c r="M19" s="16"/>
      <c r="N19" s="16"/>
    </row>
    <row r="21" spans="1:14" x14ac:dyDescent="0.25">
      <c r="A21" s="3" t="s">
        <v>23</v>
      </c>
      <c r="B21" s="3" t="s">
        <v>24</v>
      </c>
    </row>
    <row r="22" spans="1:14" x14ac:dyDescent="0.25">
      <c r="C22" s="6" t="s">
        <v>25</v>
      </c>
    </row>
    <row r="23" spans="1:14" x14ac:dyDescent="0.25">
      <c r="C23" s="6" t="s">
        <v>26</v>
      </c>
      <c r="D23" s="6" t="s">
        <v>27</v>
      </c>
    </row>
    <row r="24" spans="1:14" x14ac:dyDescent="0.25">
      <c r="C24" s="6" t="s">
        <v>28</v>
      </c>
      <c r="D24" s="6" t="s">
        <v>29</v>
      </c>
    </row>
    <row r="25" spans="1:14" x14ac:dyDescent="0.25">
      <c r="C25" s="6" t="s">
        <v>30</v>
      </c>
      <c r="D25" s="6">
        <v>2017</v>
      </c>
    </row>
    <row r="26" spans="1:14" x14ac:dyDescent="0.25">
      <c r="C26" s="6" t="s">
        <v>31</v>
      </c>
      <c r="D26" s="6" t="s">
        <v>32</v>
      </c>
    </row>
    <row r="27" spans="1:14" x14ac:dyDescent="0.25">
      <c r="C27" s="6" t="s">
        <v>33</v>
      </c>
      <c r="D27" s="6" t="s">
        <v>34</v>
      </c>
    </row>
    <row r="29" spans="1:14" x14ac:dyDescent="0.25">
      <c r="A29" s="5" t="s">
        <v>35</v>
      </c>
      <c r="B29" s="13" t="s">
        <v>36</v>
      </c>
      <c r="C29" s="14"/>
      <c r="D29" s="14"/>
      <c r="E29" s="14"/>
      <c r="F29" s="14"/>
      <c r="G29" s="14"/>
      <c r="H29" s="14"/>
      <c r="I29" s="14"/>
      <c r="J29" s="14"/>
      <c r="K29" s="14"/>
      <c r="L29" s="14"/>
      <c r="M29" s="14"/>
      <c r="N29" s="14"/>
    </row>
    <row r="31" spans="1:14" x14ac:dyDescent="0.25">
      <c r="A31" s="3" t="s">
        <v>37</v>
      </c>
      <c r="B31" s="3" t="s">
        <v>38</v>
      </c>
    </row>
    <row r="34" spans="1:9" x14ac:dyDescent="0.25">
      <c r="A34" s="3" t="s">
        <v>35</v>
      </c>
      <c r="B34" s="3" t="s">
        <v>36</v>
      </c>
    </row>
    <row r="36" spans="1:9" x14ac:dyDescent="0.25">
      <c r="A36" s="3" t="s">
        <v>37</v>
      </c>
      <c r="B36" s="3" t="s">
        <v>38</v>
      </c>
    </row>
    <row r="37" spans="1:9" x14ac:dyDescent="0.25">
      <c r="C37" s="7" t="s">
        <v>39</v>
      </c>
    </row>
    <row r="38" spans="1:9" x14ac:dyDescent="0.25">
      <c r="C38" s="6" t="s">
        <v>26</v>
      </c>
      <c r="D38" s="2" t="s">
        <v>40</v>
      </c>
      <c r="F38" s="6" t="s">
        <v>26</v>
      </c>
      <c r="G38" s="6" t="s">
        <v>41</v>
      </c>
      <c r="H38" s="6"/>
      <c r="I38" s="8" t="s">
        <v>27</v>
      </c>
    </row>
    <row r="39" spans="1:9" x14ac:dyDescent="0.25">
      <c r="C39" s="6" t="s">
        <v>42</v>
      </c>
      <c r="D39" s="2" t="s">
        <v>43</v>
      </c>
      <c r="F39" s="6" t="s">
        <v>28</v>
      </c>
      <c r="G39" s="6" t="s">
        <v>44</v>
      </c>
      <c r="H39" s="6"/>
      <c r="I39" s="8" t="s">
        <v>29</v>
      </c>
    </row>
    <row r="40" spans="1:9" x14ac:dyDescent="0.25">
      <c r="C40" s="6" t="s">
        <v>45</v>
      </c>
      <c r="D40" s="2" t="s">
        <v>46</v>
      </c>
      <c r="F40" s="6" t="s">
        <v>47</v>
      </c>
      <c r="G40" s="6" t="s">
        <v>48</v>
      </c>
      <c r="H40" s="6"/>
      <c r="I40" s="8" t="s">
        <v>49</v>
      </c>
    </row>
    <row r="41" spans="1:9" x14ac:dyDescent="0.25">
      <c r="C41" s="6" t="s">
        <v>50</v>
      </c>
      <c r="D41" s="2" t="s">
        <v>51</v>
      </c>
      <c r="F41" s="6" t="s">
        <v>52</v>
      </c>
      <c r="G41" s="6" t="s">
        <v>53</v>
      </c>
      <c r="H41" s="6"/>
      <c r="I41" s="8">
        <v>2017</v>
      </c>
    </row>
    <row r="42" spans="1:9" x14ac:dyDescent="0.25">
      <c r="C42" s="6" t="s">
        <v>54</v>
      </c>
      <c r="D42" s="2" t="s">
        <v>55</v>
      </c>
      <c r="F42" s="6" t="s">
        <v>52</v>
      </c>
      <c r="G42" s="6" t="s">
        <v>48</v>
      </c>
      <c r="H42" s="6"/>
      <c r="I42" s="8">
        <v>2014</v>
      </c>
    </row>
    <row r="43" spans="1:9" x14ac:dyDescent="0.25">
      <c r="C43" s="6" t="s">
        <v>56</v>
      </c>
      <c r="D43" s="2" t="s">
        <v>57</v>
      </c>
      <c r="F43" s="6" t="s">
        <v>52</v>
      </c>
      <c r="G43" s="6" t="s">
        <v>58</v>
      </c>
      <c r="H43" s="6"/>
      <c r="I43" s="8">
        <v>2011</v>
      </c>
    </row>
    <row r="44" spans="1:9" x14ac:dyDescent="0.25">
      <c r="C44" s="6" t="s">
        <v>59</v>
      </c>
      <c r="D44" s="2" t="s">
        <v>60</v>
      </c>
      <c r="F44" s="6" t="s">
        <v>52</v>
      </c>
      <c r="G44" s="6" t="s">
        <v>41</v>
      </c>
      <c r="H44" s="6"/>
      <c r="I44" s="8">
        <v>2026</v>
      </c>
    </row>
    <row r="45" spans="1:9" x14ac:dyDescent="0.25">
      <c r="C45" s="6" t="s">
        <v>61</v>
      </c>
      <c r="D45" s="2" t="s">
        <v>62</v>
      </c>
      <c r="F45" s="6" t="s">
        <v>52</v>
      </c>
      <c r="G45" s="6" t="s">
        <v>41</v>
      </c>
      <c r="H45" s="6"/>
      <c r="I45" s="8">
        <v>2030</v>
      </c>
    </row>
    <row r="46" spans="1:9" x14ac:dyDescent="0.25">
      <c r="C46" s="6" t="s">
        <v>63</v>
      </c>
      <c r="D46" s="2" t="s">
        <v>64</v>
      </c>
      <c r="F46" s="6" t="s">
        <v>52</v>
      </c>
      <c r="G46" s="6" t="s">
        <v>41</v>
      </c>
      <c r="H46" s="6"/>
      <c r="I46" s="8">
        <v>2030</v>
      </c>
    </row>
    <row r="47" spans="1:9" x14ac:dyDescent="0.25">
      <c r="C47" s="6" t="s">
        <v>65</v>
      </c>
      <c r="D47" s="2" t="s">
        <v>66</v>
      </c>
      <c r="F47" s="6" t="s">
        <v>67</v>
      </c>
      <c r="G47" s="6" t="s">
        <v>68</v>
      </c>
      <c r="H47" s="6"/>
      <c r="I47" s="8" t="s">
        <v>69</v>
      </c>
    </row>
    <row r="48" spans="1:9" x14ac:dyDescent="0.25">
      <c r="C48" s="6" t="s">
        <v>70</v>
      </c>
      <c r="D48" s="2" t="s">
        <v>71</v>
      </c>
      <c r="F48" s="6" t="s">
        <v>67</v>
      </c>
      <c r="G48" s="6" t="s">
        <v>68</v>
      </c>
      <c r="H48" s="6"/>
      <c r="I48" s="8" t="s">
        <v>72</v>
      </c>
    </row>
    <row r="49" spans="3:9" x14ac:dyDescent="0.25">
      <c r="C49" s="6" t="s">
        <v>73</v>
      </c>
      <c r="D49" s="2" t="s">
        <v>74</v>
      </c>
      <c r="F49" s="6" t="s">
        <v>67</v>
      </c>
      <c r="G49" s="6" t="s">
        <v>68</v>
      </c>
      <c r="H49" s="6"/>
      <c r="I49" s="8" t="s">
        <v>75</v>
      </c>
    </row>
    <row r="50" spans="3:9" x14ac:dyDescent="0.25">
      <c r="C50" s="6" t="s">
        <v>76</v>
      </c>
      <c r="D50" s="2" t="s">
        <v>77</v>
      </c>
      <c r="F50" s="6" t="s">
        <v>67</v>
      </c>
      <c r="G50" s="6" t="s">
        <v>68</v>
      </c>
      <c r="H50" s="6"/>
      <c r="I50" s="8" t="s">
        <v>78</v>
      </c>
    </row>
    <row r="51" spans="3:9" x14ac:dyDescent="0.25">
      <c r="C51" s="6" t="s">
        <v>79</v>
      </c>
      <c r="D51" s="2" t="s">
        <v>80</v>
      </c>
      <c r="F51" s="6" t="s">
        <v>67</v>
      </c>
      <c r="G51" s="6" t="s">
        <v>41</v>
      </c>
      <c r="H51" s="6"/>
      <c r="I51" s="8" t="s">
        <v>69</v>
      </c>
    </row>
    <row r="52" spans="3:9" x14ac:dyDescent="0.25">
      <c r="C52" s="6" t="s">
        <v>81</v>
      </c>
      <c r="D52" s="2" t="s">
        <v>82</v>
      </c>
      <c r="F52" s="6" t="s">
        <v>67</v>
      </c>
      <c r="G52" s="6" t="s">
        <v>68</v>
      </c>
      <c r="H52" s="6"/>
      <c r="I52" s="8" t="s">
        <v>83</v>
      </c>
    </row>
    <row r="53" spans="3:9" x14ac:dyDescent="0.25">
      <c r="C53" s="6" t="s">
        <v>84</v>
      </c>
      <c r="D53" s="2" t="s">
        <v>85</v>
      </c>
      <c r="F53" s="6" t="s">
        <v>67</v>
      </c>
      <c r="G53" s="6" t="s">
        <v>68</v>
      </c>
      <c r="H53" s="6"/>
      <c r="I53" s="8" t="s">
        <v>86</v>
      </c>
    </row>
    <row r="54" spans="3:9" x14ac:dyDescent="0.25">
      <c r="C54" s="6" t="s">
        <v>87</v>
      </c>
      <c r="D54" s="2" t="s">
        <v>88</v>
      </c>
      <c r="F54" s="6" t="s">
        <v>67</v>
      </c>
      <c r="G54" s="6" t="s">
        <v>68</v>
      </c>
      <c r="H54" s="6"/>
      <c r="I54" s="8" t="s">
        <v>89</v>
      </c>
    </row>
    <row r="55" spans="3:9" x14ac:dyDescent="0.25">
      <c r="C55" s="7" t="s">
        <v>90</v>
      </c>
    </row>
    <row r="56" spans="3:9" x14ac:dyDescent="0.25">
      <c r="C56" s="6" t="s">
        <v>91</v>
      </c>
      <c r="D56" s="2" t="s">
        <v>92</v>
      </c>
      <c r="F56" s="6" t="s">
        <v>93</v>
      </c>
      <c r="G56" s="6" t="s">
        <v>41</v>
      </c>
      <c r="H56" s="6"/>
      <c r="I56" s="8" t="s">
        <v>94</v>
      </c>
    </row>
    <row r="57" spans="3:9" x14ac:dyDescent="0.25">
      <c r="C57" s="6" t="s">
        <v>95</v>
      </c>
      <c r="D57" s="2" t="s">
        <v>96</v>
      </c>
      <c r="F57" s="6" t="s">
        <v>97</v>
      </c>
      <c r="G57" s="6" t="s">
        <v>68</v>
      </c>
      <c r="H57" s="6"/>
      <c r="I57" s="8">
        <v>658112557861.53589</v>
      </c>
    </row>
    <row r="58" spans="3:9" x14ac:dyDescent="0.25">
      <c r="C58" s="6" t="s">
        <v>98</v>
      </c>
      <c r="D58" s="2" t="s">
        <v>99</v>
      </c>
      <c r="F58" s="6" t="s">
        <v>100</v>
      </c>
      <c r="G58" s="6" t="s">
        <v>68</v>
      </c>
      <c r="H58" s="6"/>
      <c r="I58" s="8">
        <v>1</v>
      </c>
    </row>
    <row r="59" spans="3:9" x14ac:dyDescent="0.25">
      <c r="C59" s="6" t="s">
        <v>101</v>
      </c>
      <c r="D59" s="2" t="s">
        <v>102</v>
      </c>
      <c r="F59" s="6"/>
      <c r="G59" s="6"/>
      <c r="H59" s="6"/>
      <c r="I59" s="8" t="s">
        <v>94</v>
      </c>
    </row>
    <row r="60" spans="3:9" x14ac:dyDescent="0.25">
      <c r="C60" s="6" t="s">
        <v>103</v>
      </c>
      <c r="D60" s="2" t="s">
        <v>104</v>
      </c>
      <c r="F60" s="6" t="s">
        <v>93</v>
      </c>
      <c r="G60" s="6" t="s">
        <v>41</v>
      </c>
      <c r="H60" s="6"/>
      <c r="I60" s="8" t="s">
        <v>105</v>
      </c>
    </row>
    <row r="61" spans="3:9" x14ac:dyDescent="0.25">
      <c r="C61" s="6" t="s">
        <v>106</v>
      </c>
      <c r="D61" s="2" t="s">
        <v>107</v>
      </c>
      <c r="F61" s="6" t="s">
        <v>93</v>
      </c>
      <c r="G61" s="6" t="s">
        <v>68</v>
      </c>
      <c r="H61" s="6"/>
      <c r="I61" s="8" t="s">
        <v>105</v>
      </c>
    </row>
    <row r="62" spans="3:9" x14ac:dyDescent="0.25">
      <c r="C62" s="6" t="s">
        <v>108</v>
      </c>
      <c r="D62" s="2" t="s">
        <v>109</v>
      </c>
      <c r="F62" s="6" t="s">
        <v>93</v>
      </c>
      <c r="G62" s="6" t="s">
        <v>41</v>
      </c>
      <c r="H62" s="6"/>
      <c r="I62" s="8" t="s">
        <v>94</v>
      </c>
    </row>
    <row r="63" spans="3:9" x14ac:dyDescent="0.25">
      <c r="C63" s="7" t="s">
        <v>110</v>
      </c>
    </row>
    <row r="64" spans="3:9" x14ac:dyDescent="0.25">
      <c r="C64" s="6" t="s">
        <v>111</v>
      </c>
      <c r="D64" s="2" t="s">
        <v>112</v>
      </c>
      <c r="F64" s="6" t="s">
        <v>113</v>
      </c>
      <c r="G64" s="6" t="s">
        <v>114</v>
      </c>
      <c r="H64" s="6"/>
      <c r="I64" s="8">
        <v>50</v>
      </c>
    </row>
    <row r="65" spans="3:9" x14ac:dyDescent="0.25">
      <c r="C65" s="6" t="s">
        <v>115</v>
      </c>
      <c r="D65" s="2" t="s">
        <v>116</v>
      </c>
      <c r="F65" s="6" t="s">
        <v>113</v>
      </c>
      <c r="G65" s="6" t="s">
        <v>114</v>
      </c>
      <c r="H65" s="6" t="s">
        <v>117</v>
      </c>
      <c r="I65" s="8">
        <v>50</v>
      </c>
    </row>
    <row r="66" spans="3:9" x14ac:dyDescent="0.25">
      <c r="C66" s="6" t="s">
        <v>118</v>
      </c>
      <c r="D66" s="2" t="s">
        <v>119</v>
      </c>
      <c r="F66" s="6" t="s">
        <v>120</v>
      </c>
      <c r="G66" s="6" t="s">
        <v>114</v>
      </c>
      <c r="H66" s="6"/>
      <c r="I66" s="8">
        <v>1.801453809690079</v>
      </c>
    </row>
    <row r="67" spans="3:9" x14ac:dyDescent="0.25">
      <c r="C67" s="6" t="s">
        <v>118</v>
      </c>
      <c r="D67" s="2" t="s">
        <v>119</v>
      </c>
      <c r="F67" s="6" t="s">
        <v>97</v>
      </c>
      <c r="G67" s="6" t="s">
        <v>68</v>
      </c>
      <c r="H67" s="6"/>
      <c r="I67" s="8">
        <v>684023687068.21887</v>
      </c>
    </row>
    <row r="68" spans="3:9" x14ac:dyDescent="0.25">
      <c r="C68" s="7" t="s">
        <v>121</v>
      </c>
    </row>
    <row r="69" spans="3:9" x14ac:dyDescent="0.25">
      <c r="C69" s="7" t="s">
        <v>122</v>
      </c>
    </row>
    <row r="70" spans="3:9" x14ac:dyDescent="0.25">
      <c r="C70" s="6" t="s">
        <v>123</v>
      </c>
      <c r="D70" s="2"/>
      <c r="F70" s="6" t="s">
        <v>93</v>
      </c>
      <c r="G70" s="6" t="s">
        <v>68</v>
      </c>
      <c r="H70" s="6"/>
      <c r="I70" s="8" t="s">
        <v>105</v>
      </c>
    </row>
    <row r="71" spans="3:9" x14ac:dyDescent="0.25">
      <c r="C71" s="6" t="s">
        <v>124</v>
      </c>
      <c r="D71" s="2"/>
      <c r="F71" s="6" t="s">
        <v>67</v>
      </c>
      <c r="G71" s="6" t="s">
        <v>68</v>
      </c>
      <c r="H71" s="6"/>
      <c r="I71" s="8" t="s">
        <v>125</v>
      </c>
    </row>
    <row r="72" spans="3:9" x14ac:dyDescent="0.25">
      <c r="C72" s="6" t="s">
        <v>126</v>
      </c>
      <c r="D72" s="2"/>
      <c r="F72" s="6" t="s">
        <v>67</v>
      </c>
      <c r="G72" s="6" t="s">
        <v>68</v>
      </c>
      <c r="H72" s="6"/>
      <c r="I72" s="8" t="s">
        <v>127</v>
      </c>
    </row>
    <row r="73" spans="3:9" x14ac:dyDescent="0.25">
      <c r="C73" s="6" t="s">
        <v>128</v>
      </c>
      <c r="D73" s="2"/>
      <c r="F73" s="6" t="s">
        <v>67</v>
      </c>
      <c r="G73" s="6" t="s">
        <v>68</v>
      </c>
      <c r="H73" s="6"/>
      <c r="I73" s="8" t="s">
        <v>129</v>
      </c>
    </row>
    <row r="74" spans="3:9" x14ac:dyDescent="0.25">
      <c r="C74" s="6" t="s">
        <v>130</v>
      </c>
      <c r="D74" s="2" t="s">
        <v>131</v>
      </c>
      <c r="F74" s="6" t="s">
        <v>132</v>
      </c>
      <c r="G74" s="6" t="s">
        <v>41</v>
      </c>
      <c r="H74" s="6"/>
      <c r="I74" s="8">
        <v>30</v>
      </c>
    </row>
    <row r="75" spans="3:9" x14ac:dyDescent="0.25">
      <c r="C75" s="6" t="s">
        <v>130</v>
      </c>
      <c r="D75" s="2" t="s">
        <v>133</v>
      </c>
      <c r="F75" s="6" t="s">
        <v>120</v>
      </c>
      <c r="G75" s="6" t="s">
        <v>68</v>
      </c>
      <c r="H75" s="6"/>
      <c r="I75" s="8">
        <v>0.5404361429070238</v>
      </c>
    </row>
    <row r="76" spans="3:9" x14ac:dyDescent="0.25">
      <c r="C76" s="6" t="s">
        <v>130</v>
      </c>
      <c r="D76" s="2" t="s">
        <v>133</v>
      </c>
      <c r="F76" s="6" t="s">
        <v>97</v>
      </c>
      <c r="G76" s="6" t="s">
        <v>68</v>
      </c>
      <c r="H76" s="6"/>
      <c r="I76" s="8">
        <v>205207106120.4657</v>
      </c>
    </row>
    <row r="77" spans="3:9" x14ac:dyDescent="0.25">
      <c r="C77" s="6" t="s">
        <v>134</v>
      </c>
      <c r="D77" s="2" t="s">
        <v>135</v>
      </c>
      <c r="F77" s="6" t="s">
        <v>120</v>
      </c>
      <c r="G77" s="6" t="s">
        <v>53</v>
      </c>
      <c r="H77" s="6" t="s">
        <v>136</v>
      </c>
      <c r="I77" s="8">
        <v>1.5699994773913759</v>
      </c>
    </row>
    <row r="78" spans="3:9" x14ac:dyDescent="0.25">
      <c r="C78" s="6" t="s">
        <v>134</v>
      </c>
      <c r="D78" s="2" t="s">
        <v>137</v>
      </c>
      <c r="F78" s="6" t="s">
        <v>97</v>
      </c>
      <c r="G78" s="6" t="s">
        <v>68</v>
      </c>
      <c r="H78" s="6"/>
      <c r="I78" s="8">
        <v>596138976999.46106</v>
      </c>
    </row>
    <row r="79" spans="3:9" x14ac:dyDescent="0.25">
      <c r="C79" s="6" t="s">
        <v>138</v>
      </c>
      <c r="D79" s="2" t="s">
        <v>139</v>
      </c>
      <c r="F79" s="6" t="s">
        <v>93</v>
      </c>
      <c r="G79" s="6" t="s">
        <v>41</v>
      </c>
      <c r="H79" s="6"/>
      <c r="I79" s="8" t="s">
        <v>140</v>
      </c>
    </row>
    <row r="80" spans="3:9" x14ac:dyDescent="0.25">
      <c r="C80" s="6" t="s">
        <v>141</v>
      </c>
      <c r="D80" s="2" t="s">
        <v>142</v>
      </c>
      <c r="F80" s="6" t="s">
        <v>93</v>
      </c>
      <c r="G80" s="6" t="s">
        <v>41</v>
      </c>
      <c r="H80" s="6"/>
      <c r="I80" s="8" t="s">
        <v>125</v>
      </c>
    </row>
    <row r="81" spans="3:9" x14ac:dyDescent="0.25">
      <c r="C81" s="6" t="s">
        <v>143</v>
      </c>
      <c r="D81" s="2" t="s">
        <v>144</v>
      </c>
      <c r="F81" s="6" t="s">
        <v>145</v>
      </c>
      <c r="G81" s="6" t="s">
        <v>41</v>
      </c>
      <c r="H81" s="6"/>
      <c r="I81" s="8">
        <v>4</v>
      </c>
    </row>
    <row r="82" spans="3:9" x14ac:dyDescent="0.25">
      <c r="C82" s="6" t="s">
        <v>146</v>
      </c>
      <c r="D82" s="2" t="s">
        <v>147</v>
      </c>
      <c r="F82" s="6" t="s">
        <v>100</v>
      </c>
      <c r="G82" s="6" t="s">
        <v>68</v>
      </c>
      <c r="H82" s="6"/>
      <c r="I82" s="8">
        <v>0.34422695719936319</v>
      </c>
    </row>
    <row r="83" spans="3:9" x14ac:dyDescent="0.25">
      <c r="C83" s="7" t="s">
        <v>148</v>
      </c>
    </row>
    <row r="84" spans="3:9" x14ac:dyDescent="0.25">
      <c r="C84" s="6" t="s">
        <v>149</v>
      </c>
      <c r="D84" s="2" t="s">
        <v>150</v>
      </c>
      <c r="F84" s="6" t="s">
        <v>132</v>
      </c>
      <c r="G84" s="6" t="s">
        <v>41</v>
      </c>
      <c r="H84" s="6"/>
      <c r="I84" s="8">
        <v>20</v>
      </c>
    </row>
    <row r="85" spans="3:9" x14ac:dyDescent="0.25">
      <c r="C85" s="6" t="s">
        <v>149</v>
      </c>
      <c r="D85" s="2" t="s">
        <v>151</v>
      </c>
      <c r="F85" s="6" t="s">
        <v>120</v>
      </c>
      <c r="G85" s="6" t="s">
        <v>68</v>
      </c>
      <c r="H85" s="6"/>
      <c r="I85" s="8">
        <v>0.36029076193801579</v>
      </c>
    </row>
    <row r="86" spans="3:9" x14ac:dyDescent="0.25">
      <c r="C86" s="6" t="s">
        <v>149</v>
      </c>
      <c r="D86" s="2" t="s">
        <v>151</v>
      </c>
      <c r="F86" s="6" t="s">
        <v>97</v>
      </c>
      <c r="G86" s="6" t="s">
        <v>68</v>
      </c>
      <c r="H86" s="6"/>
      <c r="I86" s="8">
        <v>136804737413.6438</v>
      </c>
    </row>
    <row r="87" spans="3:9" x14ac:dyDescent="0.25">
      <c r="C87" s="7" t="s">
        <v>152</v>
      </c>
    </row>
    <row r="88" spans="3:9" x14ac:dyDescent="0.25">
      <c r="C88" s="6" t="s">
        <v>153</v>
      </c>
      <c r="D88" s="2" t="s">
        <v>154</v>
      </c>
      <c r="F88" s="6" t="s">
        <v>132</v>
      </c>
      <c r="G88" s="6" t="s">
        <v>41</v>
      </c>
      <c r="H88" s="6"/>
      <c r="I88" s="8">
        <v>50</v>
      </c>
    </row>
    <row r="89" spans="3:9" x14ac:dyDescent="0.25">
      <c r="C89" s="6" t="s">
        <v>153</v>
      </c>
      <c r="D89" s="2" t="s">
        <v>155</v>
      </c>
      <c r="F89" s="6" t="s">
        <v>120</v>
      </c>
      <c r="G89" s="6" t="s">
        <v>68</v>
      </c>
      <c r="H89" s="6"/>
      <c r="I89" s="8">
        <v>0.9007269048450397</v>
      </c>
    </row>
    <row r="90" spans="3:9" x14ac:dyDescent="0.25">
      <c r="C90" s="6" t="s">
        <v>153</v>
      </c>
      <c r="D90" s="2" t="s">
        <v>155</v>
      </c>
      <c r="F90" s="6" t="s">
        <v>97</v>
      </c>
      <c r="G90" s="6" t="s">
        <v>68</v>
      </c>
      <c r="H90" s="6"/>
      <c r="I90" s="8">
        <v>342011843534.10938</v>
      </c>
    </row>
    <row r="91" spans="3:9" x14ac:dyDescent="0.25">
      <c r="C91" s="7" t="s">
        <v>156</v>
      </c>
    </row>
    <row r="92" spans="3:9" x14ac:dyDescent="0.25">
      <c r="C92" s="6" t="s">
        <v>157</v>
      </c>
      <c r="D92" s="2" t="s">
        <v>158</v>
      </c>
      <c r="F92" s="6" t="s">
        <v>132</v>
      </c>
      <c r="G92" s="6" t="s">
        <v>41</v>
      </c>
      <c r="H92" s="6"/>
      <c r="I92" s="8">
        <v>0</v>
      </c>
    </row>
    <row r="93" spans="3:9" x14ac:dyDescent="0.25">
      <c r="C93" s="6" t="s">
        <v>157</v>
      </c>
      <c r="D93" s="2" t="s">
        <v>159</v>
      </c>
      <c r="F93" s="6" t="s">
        <v>120</v>
      </c>
      <c r="G93" s="6" t="s">
        <v>68</v>
      </c>
      <c r="H93" s="6"/>
      <c r="I93" s="8">
        <v>0</v>
      </c>
    </row>
    <row r="94" spans="3:9" x14ac:dyDescent="0.25">
      <c r="C94" s="6" t="s">
        <v>157</v>
      </c>
      <c r="D94" s="2" t="s">
        <v>159</v>
      </c>
      <c r="F94" s="6" t="s">
        <v>97</v>
      </c>
      <c r="G94" s="6" t="s">
        <v>68</v>
      </c>
      <c r="H94" s="6"/>
      <c r="I94" s="8">
        <v>0</v>
      </c>
    </row>
    <row r="95" spans="3:9" x14ac:dyDescent="0.25">
      <c r="C95" s="7" t="s">
        <v>160</v>
      </c>
    </row>
    <row r="96" spans="3:9" x14ac:dyDescent="0.25">
      <c r="C96" s="6" t="s">
        <v>161</v>
      </c>
      <c r="D96" s="2"/>
      <c r="F96" s="6" t="s">
        <v>67</v>
      </c>
      <c r="G96" s="6" t="s">
        <v>68</v>
      </c>
      <c r="H96" s="6"/>
      <c r="I96" s="8" t="s">
        <v>162</v>
      </c>
    </row>
    <row r="97" spans="3:9" x14ac:dyDescent="0.25">
      <c r="C97" s="6" t="s">
        <v>163</v>
      </c>
      <c r="D97" s="2"/>
      <c r="F97" s="6" t="s">
        <v>67</v>
      </c>
      <c r="G97" s="6" t="s">
        <v>68</v>
      </c>
      <c r="H97" s="6"/>
      <c r="I97" s="8" t="s">
        <v>164</v>
      </c>
    </row>
    <row r="98" spans="3:9" x14ac:dyDescent="0.25">
      <c r="C98" s="6" t="s">
        <v>165</v>
      </c>
      <c r="D98" s="2"/>
      <c r="F98" s="6" t="s">
        <v>67</v>
      </c>
      <c r="G98" s="6" t="s">
        <v>68</v>
      </c>
      <c r="H98" s="6"/>
      <c r="I98" s="8" t="s">
        <v>166</v>
      </c>
    </row>
    <row r="99" spans="3:9" x14ac:dyDescent="0.25">
      <c r="C99" s="6" t="s">
        <v>167</v>
      </c>
      <c r="D99" s="2"/>
      <c r="F99" s="6" t="s">
        <v>67</v>
      </c>
      <c r="G99" s="6" t="s">
        <v>68</v>
      </c>
      <c r="H99" s="6"/>
      <c r="I99" s="8" t="s">
        <v>168</v>
      </c>
    </row>
    <row r="100" spans="3:9" x14ac:dyDescent="0.25">
      <c r="C100" s="6" t="s">
        <v>169</v>
      </c>
      <c r="D100" s="2"/>
      <c r="F100" s="6" t="s">
        <v>67</v>
      </c>
      <c r="G100" s="6" t="s">
        <v>68</v>
      </c>
      <c r="H100" s="6"/>
      <c r="I100" s="8" t="s">
        <v>170</v>
      </c>
    </row>
    <row r="101" spans="3:9" x14ac:dyDescent="0.25">
      <c r="C101" s="6" t="s">
        <v>171</v>
      </c>
      <c r="D101" s="2"/>
      <c r="F101" s="6" t="s">
        <v>67</v>
      </c>
      <c r="G101" s="6" t="s">
        <v>68</v>
      </c>
      <c r="H101" s="6"/>
      <c r="I101" s="8" t="s">
        <v>172</v>
      </c>
    </row>
    <row r="102" spans="3:9" x14ac:dyDescent="0.25">
      <c r="C102" s="6" t="s">
        <v>173</v>
      </c>
      <c r="D102" s="2"/>
      <c r="F102" s="6" t="s">
        <v>67</v>
      </c>
      <c r="G102" s="6" t="s">
        <v>68</v>
      </c>
      <c r="H102" s="6"/>
      <c r="I102" s="8" t="s">
        <v>174</v>
      </c>
    </row>
    <row r="103" spans="3:9" x14ac:dyDescent="0.25">
      <c r="C103" s="7" t="s">
        <v>175</v>
      </c>
    </row>
    <row r="104" spans="3:9" x14ac:dyDescent="0.25">
      <c r="C104" s="6" t="s">
        <v>176</v>
      </c>
      <c r="D104" s="2" t="s">
        <v>177</v>
      </c>
      <c r="F104" s="6" t="s">
        <v>93</v>
      </c>
      <c r="G104" s="6" t="s">
        <v>68</v>
      </c>
      <c r="H104" s="6"/>
      <c r="I104" s="8" t="s">
        <v>105</v>
      </c>
    </row>
    <row r="105" spans="3:9" x14ac:dyDescent="0.25">
      <c r="C105" s="6" t="s">
        <v>178</v>
      </c>
      <c r="D105" s="2" t="s">
        <v>179</v>
      </c>
      <c r="F105" s="6" t="s">
        <v>93</v>
      </c>
      <c r="G105" s="6" t="s">
        <v>68</v>
      </c>
      <c r="H105" s="6"/>
      <c r="I105" s="8" t="s">
        <v>105</v>
      </c>
    </row>
    <row r="106" spans="3:9" x14ac:dyDescent="0.25">
      <c r="C106" s="6" t="s">
        <v>180</v>
      </c>
      <c r="D106" s="2" t="s">
        <v>180</v>
      </c>
      <c r="F106" s="6" t="s">
        <v>67</v>
      </c>
      <c r="G106" s="6" t="s">
        <v>68</v>
      </c>
      <c r="H106" s="6"/>
      <c r="I106" s="8" t="s">
        <v>181</v>
      </c>
    </row>
    <row r="107" spans="3:9" x14ac:dyDescent="0.25">
      <c r="C107" s="7" t="s">
        <v>182</v>
      </c>
    </row>
    <row r="108" spans="3:9" x14ac:dyDescent="0.25">
      <c r="C108" s="6" t="s">
        <v>183</v>
      </c>
      <c r="D108" s="2"/>
      <c r="F108" s="6" t="s">
        <v>67</v>
      </c>
      <c r="G108" s="6" t="s">
        <v>58</v>
      </c>
      <c r="H108" s="6"/>
      <c r="I108" s="8" t="s">
        <v>184</v>
      </c>
    </row>
    <row r="109" spans="3:9" x14ac:dyDescent="0.25">
      <c r="C109" s="6" t="s">
        <v>185</v>
      </c>
      <c r="D109" s="2"/>
      <c r="F109" s="6" t="s">
        <v>67</v>
      </c>
      <c r="G109" s="6" t="s">
        <v>58</v>
      </c>
      <c r="H109" s="6"/>
      <c r="I109" s="8" t="s">
        <v>186</v>
      </c>
    </row>
    <row r="110" spans="3:9" x14ac:dyDescent="0.25">
      <c r="C110" s="6" t="s">
        <v>187</v>
      </c>
      <c r="D110" s="2"/>
      <c r="F110" s="6" t="s">
        <v>67</v>
      </c>
      <c r="G110" s="6" t="s">
        <v>58</v>
      </c>
      <c r="H110" s="6"/>
      <c r="I110" s="8" t="s">
        <v>188</v>
      </c>
    </row>
    <row r="111" spans="3:9" x14ac:dyDescent="0.25">
      <c r="C111" s="6" t="s">
        <v>189</v>
      </c>
      <c r="D111" s="2"/>
      <c r="F111" s="6" t="s">
        <v>67</v>
      </c>
      <c r="G111" s="6" t="s">
        <v>58</v>
      </c>
      <c r="H111" s="6"/>
      <c r="I111" s="8" t="s">
        <v>190</v>
      </c>
    </row>
    <row r="112" spans="3:9" x14ac:dyDescent="0.25">
      <c r="C112" s="6" t="s">
        <v>191</v>
      </c>
      <c r="D112" s="2"/>
      <c r="F112" s="6" t="s">
        <v>67</v>
      </c>
      <c r="G112" s="6" t="s">
        <v>58</v>
      </c>
      <c r="H112" s="6"/>
      <c r="I112" s="8" t="s">
        <v>192</v>
      </c>
    </row>
    <row r="113" spans="3:9" x14ac:dyDescent="0.25">
      <c r="C113" s="6" t="s">
        <v>193</v>
      </c>
      <c r="D113" s="2"/>
      <c r="F113" s="6" t="s">
        <v>67</v>
      </c>
      <c r="G113" s="6" t="s">
        <v>58</v>
      </c>
      <c r="H113" s="6"/>
      <c r="I113" s="8" t="s">
        <v>194</v>
      </c>
    </row>
    <row r="114" spans="3:9" x14ac:dyDescent="0.25">
      <c r="C114" s="6" t="s">
        <v>195</v>
      </c>
      <c r="D114" s="2"/>
      <c r="F114" s="6" t="s">
        <v>67</v>
      </c>
      <c r="G114" s="6" t="s">
        <v>58</v>
      </c>
      <c r="H114" s="6"/>
      <c r="I114" s="8" t="s">
        <v>196</v>
      </c>
    </row>
    <row r="115" spans="3:9" x14ac:dyDescent="0.25">
      <c r="C115" s="6" t="s">
        <v>197</v>
      </c>
      <c r="D115" s="2"/>
      <c r="F115" s="6" t="s">
        <v>67</v>
      </c>
      <c r="G115" s="6" t="s">
        <v>58</v>
      </c>
      <c r="H115" s="6"/>
      <c r="I115" s="8" t="s">
        <v>198</v>
      </c>
    </row>
    <row r="116" spans="3:9" x14ac:dyDescent="0.25">
      <c r="C116" s="6" t="s">
        <v>199</v>
      </c>
      <c r="D116" s="2"/>
      <c r="F116" s="6" t="s">
        <v>67</v>
      </c>
      <c r="G116" s="6" t="s">
        <v>58</v>
      </c>
      <c r="H116" s="6"/>
      <c r="I116" s="8" t="s">
        <v>200</v>
      </c>
    </row>
    <row r="117" spans="3:9" x14ac:dyDescent="0.25">
      <c r="C117" s="6" t="s">
        <v>201</v>
      </c>
      <c r="D117" s="2"/>
      <c r="F117" s="6" t="s">
        <v>67</v>
      </c>
      <c r="G117" s="6" t="s">
        <v>58</v>
      </c>
      <c r="H117" s="6"/>
      <c r="I117" s="8" t="s">
        <v>202</v>
      </c>
    </row>
    <row r="118" spans="3:9" x14ac:dyDescent="0.25">
      <c r="C118" s="6" t="s">
        <v>203</v>
      </c>
      <c r="D118" s="2"/>
      <c r="F118" s="6" t="s">
        <v>67</v>
      </c>
      <c r="G118" s="6" t="s">
        <v>58</v>
      </c>
      <c r="H118" s="6"/>
      <c r="I118" s="8" t="s">
        <v>204</v>
      </c>
    </row>
    <row r="119" spans="3:9" x14ac:dyDescent="0.25">
      <c r="C119" s="6" t="s">
        <v>205</v>
      </c>
      <c r="D119" s="2"/>
      <c r="F119" s="6" t="s">
        <v>67</v>
      </c>
      <c r="G119" s="6" t="s">
        <v>58</v>
      </c>
      <c r="H119" s="6"/>
      <c r="I119" s="8" t="s">
        <v>206</v>
      </c>
    </row>
    <row r="120" spans="3:9" x14ac:dyDescent="0.25">
      <c r="C120" s="6" t="s">
        <v>207</v>
      </c>
      <c r="D120" s="2"/>
      <c r="F120" s="6" t="s">
        <v>67</v>
      </c>
      <c r="G120" s="6" t="s">
        <v>58</v>
      </c>
      <c r="H120" s="6"/>
      <c r="I120" s="8" t="s">
        <v>208</v>
      </c>
    </row>
    <row r="121" spans="3:9" x14ac:dyDescent="0.25">
      <c r="C121" s="6" t="s">
        <v>209</v>
      </c>
      <c r="D121" s="2"/>
      <c r="F121" s="6" t="s">
        <v>67</v>
      </c>
      <c r="G121" s="6" t="s">
        <v>58</v>
      </c>
      <c r="H121" s="6"/>
      <c r="I121" s="8" t="s">
        <v>210</v>
      </c>
    </row>
    <row r="122" spans="3:9" x14ac:dyDescent="0.25">
      <c r="C122" s="6" t="s">
        <v>211</v>
      </c>
      <c r="D122" s="2"/>
      <c r="F122" s="6" t="s">
        <v>67</v>
      </c>
      <c r="G122" s="6" t="s">
        <v>58</v>
      </c>
      <c r="H122" s="6"/>
      <c r="I122" s="8" t="s">
        <v>212</v>
      </c>
    </row>
    <row r="123" spans="3:9" x14ac:dyDescent="0.25">
      <c r="C123" s="6" t="s">
        <v>213</v>
      </c>
      <c r="D123" s="2"/>
      <c r="F123" s="6" t="s">
        <v>67</v>
      </c>
      <c r="G123" s="6" t="s">
        <v>58</v>
      </c>
      <c r="H123" s="6"/>
      <c r="I123" s="8" t="s">
        <v>214</v>
      </c>
    </row>
    <row r="124" spans="3:9" x14ac:dyDescent="0.25">
      <c r="C124" s="7" t="s">
        <v>215</v>
      </c>
    </row>
    <row r="125" spans="3:9" x14ac:dyDescent="0.25">
      <c r="C125" s="6" t="s">
        <v>216</v>
      </c>
      <c r="D125" s="2" t="s">
        <v>217</v>
      </c>
      <c r="F125" s="6" t="s">
        <v>93</v>
      </c>
      <c r="G125" s="6" t="s">
        <v>68</v>
      </c>
      <c r="H125" s="6"/>
      <c r="I125" s="8" t="s">
        <v>105</v>
      </c>
    </row>
    <row r="126" spans="3:9" x14ac:dyDescent="0.25">
      <c r="C126" s="6" t="s">
        <v>218</v>
      </c>
      <c r="D126" s="2" t="s">
        <v>219</v>
      </c>
      <c r="F126" s="6" t="s">
        <v>93</v>
      </c>
      <c r="G126" s="6" t="s">
        <v>68</v>
      </c>
      <c r="H126" s="6"/>
      <c r="I126" s="8" t="s">
        <v>220</v>
      </c>
    </row>
    <row r="127" spans="3:9" x14ac:dyDescent="0.25">
      <c r="C127" s="6" t="s">
        <v>221</v>
      </c>
      <c r="D127" s="2" t="s">
        <v>222</v>
      </c>
      <c r="F127" s="6" t="s">
        <v>93</v>
      </c>
      <c r="G127" s="6" t="s">
        <v>68</v>
      </c>
      <c r="H127" s="6"/>
      <c r="I127" s="8" t="s">
        <v>105</v>
      </c>
    </row>
    <row r="128" spans="3:9" x14ac:dyDescent="0.25">
      <c r="C128" s="6" t="s">
        <v>223</v>
      </c>
      <c r="D128" s="2" t="s">
        <v>224</v>
      </c>
      <c r="F128" s="6" t="s">
        <v>93</v>
      </c>
      <c r="G128" s="6" t="s">
        <v>44</v>
      </c>
      <c r="H128" s="6"/>
      <c r="I128" s="8" t="s">
        <v>94</v>
      </c>
    </row>
    <row r="129" spans="3:9" x14ac:dyDescent="0.25">
      <c r="C129" s="6" t="s">
        <v>225</v>
      </c>
      <c r="D129" s="2" t="s">
        <v>225</v>
      </c>
      <c r="F129" s="6" t="s">
        <v>67</v>
      </c>
      <c r="G129" s="6" t="s">
        <v>58</v>
      </c>
      <c r="H129" s="6"/>
      <c r="I129" s="8" t="s">
        <v>220</v>
      </c>
    </row>
    <row r="130" spans="3:9" x14ac:dyDescent="0.25">
      <c r="C130" s="6" t="s">
        <v>226</v>
      </c>
      <c r="D130" s="2" t="s">
        <v>226</v>
      </c>
      <c r="F130" s="6" t="s">
        <v>67</v>
      </c>
      <c r="G130" s="6" t="s">
        <v>58</v>
      </c>
      <c r="H130" s="6"/>
      <c r="I130" s="8" t="s">
        <v>227</v>
      </c>
    </row>
    <row r="131" spans="3:9" x14ac:dyDescent="0.25">
      <c r="C131" s="7" t="s">
        <v>228</v>
      </c>
    </row>
    <row r="132" spans="3:9" x14ac:dyDescent="0.25">
      <c r="C132" s="6" t="s">
        <v>229</v>
      </c>
      <c r="D132" s="2" t="s">
        <v>230</v>
      </c>
      <c r="F132" s="6" t="s">
        <v>52</v>
      </c>
      <c r="G132" s="6" t="s">
        <v>58</v>
      </c>
      <c r="H132" s="6" t="s">
        <v>49</v>
      </c>
      <c r="I132" s="8">
        <v>2008</v>
      </c>
    </row>
    <row r="133" spans="3:9" x14ac:dyDescent="0.25">
      <c r="C133" s="6" t="s">
        <v>231</v>
      </c>
      <c r="D133" s="2" t="s">
        <v>232</v>
      </c>
      <c r="F133" s="6" t="s">
        <v>233</v>
      </c>
      <c r="G133" s="6" t="s">
        <v>114</v>
      </c>
      <c r="H133" s="6" t="s">
        <v>234</v>
      </c>
      <c r="I133" s="8">
        <v>28.744734999999999</v>
      </c>
    </row>
    <row r="134" spans="3:9" x14ac:dyDescent="0.25">
      <c r="C134" s="6" t="s">
        <v>235</v>
      </c>
      <c r="D134" s="2" t="s">
        <v>236</v>
      </c>
      <c r="F134" s="6" t="s">
        <v>233</v>
      </c>
      <c r="G134" s="6" t="s">
        <v>114</v>
      </c>
      <c r="H134" s="6" t="s">
        <v>234</v>
      </c>
      <c r="I134" s="8">
        <v>21.027439999999999</v>
      </c>
    </row>
    <row r="135" spans="3:9" x14ac:dyDescent="0.25">
      <c r="C135" s="6" t="s">
        <v>237</v>
      </c>
      <c r="D135" s="2" t="s">
        <v>238</v>
      </c>
      <c r="F135" s="6" t="s">
        <v>233</v>
      </c>
      <c r="G135" s="6" t="s">
        <v>114</v>
      </c>
      <c r="H135" s="6" t="s">
        <v>234</v>
      </c>
      <c r="I135" s="8">
        <v>234.71832499999999</v>
      </c>
    </row>
    <row r="136" spans="3:9" x14ac:dyDescent="0.25">
      <c r="C136" s="6" t="s">
        <v>239</v>
      </c>
      <c r="D136" s="2" t="s">
        <v>240</v>
      </c>
      <c r="F136" s="6" t="s">
        <v>100</v>
      </c>
      <c r="G136" s="6"/>
      <c r="H136" s="6"/>
      <c r="I136" s="9">
        <f>$I$135/$I$133</f>
        <v>8.1656110240710174</v>
      </c>
    </row>
    <row r="137" spans="3:9" x14ac:dyDescent="0.25">
      <c r="C137" s="7" t="s">
        <v>241</v>
      </c>
    </row>
    <row r="138" spans="3:9" x14ac:dyDescent="0.25">
      <c r="C138" s="6" t="s">
        <v>242</v>
      </c>
      <c r="D138" s="2" t="s">
        <v>243</v>
      </c>
      <c r="F138" s="6" t="s">
        <v>93</v>
      </c>
      <c r="G138" s="6" t="s">
        <v>41</v>
      </c>
      <c r="H138" s="6"/>
      <c r="I138" s="8" t="s">
        <v>94</v>
      </c>
    </row>
    <row r="139" spans="3:9" x14ac:dyDescent="0.25">
      <c r="C139" s="6" t="s">
        <v>244</v>
      </c>
      <c r="D139" s="2" t="s">
        <v>245</v>
      </c>
      <c r="F139" s="6" t="s">
        <v>67</v>
      </c>
      <c r="G139" s="6" t="s">
        <v>246</v>
      </c>
      <c r="H139" s="6" t="s">
        <v>247</v>
      </c>
      <c r="I139" s="8" t="s">
        <v>220</v>
      </c>
    </row>
    <row r="140" spans="3:9" x14ac:dyDescent="0.25">
      <c r="C140" s="6" t="s">
        <v>248</v>
      </c>
      <c r="D140" s="2" t="s">
        <v>249</v>
      </c>
      <c r="F140" s="6" t="s">
        <v>100</v>
      </c>
      <c r="G140" s="6" t="s">
        <v>246</v>
      </c>
      <c r="H140" s="6" t="s">
        <v>247</v>
      </c>
      <c r="I140" s="8" t="s">
        <v>220</v>
      </c>
    </row>
    <row r="141" spans="3:9" x14ac:dyDescent="0.25">
      <c r="C141" s="6" t="s">
        <v>250</v>
      </c>
      <c r="D141" s="2" t="s">
        <v>251</v>
      </c>
      <c r="F141" s="6" t="s">
        <v>145</v>
      </c>
      <c r="G141" s="6" t="s">
        <v>41</v>
      </c>
      <c r="H141" s="6"/>
      <c r="I141" s="8">
        <v>4</v>
      </c>
    </row>
    <row r="142" spans="3:9" x14ac:dyDescent="0.25">
      <c r="C142" s="7" t="s">
        <v>252</v>
      </c>
    </row>
    <row r="143" spans="3:9" x14ac:dyDescent="0.25">
      <c r="C143" s="6" t="s">
        <v>253</v>
      </c>
      <c r="D143" s="2" t="s">
        <v>254</v>
      </c>
      <c r="F143" s="6" t="s">
        <v>255</v>
      </c>
      <c r="G143" s="6" t="s">
        <v>53</v>
      </c>
      <c r="H143" s="6" t="s">
        <v>256</v>
      </c>
      <c r="I143" s="9" cm="1">
        <f t="array" ref="I143">_xlfn.XLOOKUP("Overall|Basket|mean|9999",HHSurvey_Key,INDEX(HHSurvey_Data,0,MATCH("popw",HHSurvey_Headers,0)))</f>
        <v>110589782.3240585</v>
      </c>
    </row>
    <row r="144" spans="3:9" x14ac:dyDescent="0.25">
      <c r="C144" s="6" t="s">
        <v>257</v>
      </c>
      <c r="D144" s="2" t="s">
        <v>258</v>
      </c>
      <c r="F144" s="6" t="s">
        <v>255</v>
      </c>
      <c r="G144" s="6" t="s">
        <v>114</v>
      </c>
      <c r="H144" s="6"/>
      <c r="I144" s="8">
        <v>120298263</v>
      </c>
    </row>
    <row r="145" spans="3:9" x14ac:dyDescent="0.25">
      <c r="C145" s="6" t="s">
        <v>259</v>
      </c>
      <c r="D145" s="2" t="s">
        <v>260</v>
      </c>
      <c r="F145" s="6" t="s">
        <v>255</v>
      </c>
      <c r="G145" s="6" t="s">
        <v>114</v>
      </c>
      <c r="H145" s="6"/>
      <c r="I145" s="8">
        <v>120298263</v>
      </c>
    </row>
    <row r="146" spans="3:9" x14ac:dyDescent="0.25">
      <c r="C146" s="6" t="s">
        <v>261</v>
      </c>
      <c r="D146" s="2" t="s">
        <v>262</v>
      </c>
      <c r="F146" s="6" t="s">
        <v>100</v>
      </c>
      <c r="G146" s="6" t="s">
        <v>68</v>
      </c>
      <c r="H146" s="6"/>
      <c r="I146" s="9">
        <f>$I$145/$I$143</f>
        <v>1.0877882248424451</v>
      </c>
    </row>
    <row r="147" spans="3:9" x14ac:dyDescent="0.25">
      <c r="C147" s="7" t="s">
        <v>263</v>
      </c>
    </row>
    <row r="148" spans="3:9" x14ac:dyDescent="0.25">
      <c r="C148" s="6" t="s">
        <v>264</v>
      </c>
      <c r="D148" s="2" t="s">
        <v>265</v>
      </c>
      <c r="F148" s="6" t="s">
        <v>97</v>
      </c>
      <c r="G148" s="6" t="s">
        <v>114</v>
      </c>
      <c r="H148" s="6"/>
      <c r="I148" s="8">
        <v>31131854315366.789</v>
      </c>
    </row>
    <row r="149" spans="3:9" x14ac:dyDescent="0.25">
      <c r="C149" s="6" t="s">
        <v>266</v>
      </c>
      <c r="D149" s="2" t="s">
        <v>267</v>
      </c>
      <c r="F149" s="6" t="s">
        <v>97</v>
      </c>
      <c r="G149" s="6" t="s">
        <v>114</v>
      </c>
      <c r="H149" s="6"/>
      <c r="I149" s="8">
        <v>37970648117028.203</v>
      </c>
    </row>
    <row r="150" spans="3:9" x14ac:dyDescent="0.25">
      <c r="C150" s="6" t="s">
        <v>268</v>
      </c>
      <c r="D150" s="2" t="s">
        <v>269</v>
      </c>
      <c r="F150" s="6" t="s">
        <v>97</v>
      </c>
      <c r="G150" s="6" t="s">
        <v>114</v>
      </c>
      <c r="H150" s="6"/>
      <c r="I150" s="8">
        <v>37970648117028.203</v>
      </c>
    </row>
    <row r="151" spans="3:9" x14ac:dyDescent="0.25">
      <c r="C151" s="6" t="s">
        <v>270</v>
      </c>
      <c r="D151" s="2" t="s">
        <v>271</v>
      </c>
      <c r="F151" s="6" t="s">
        <v>97</v>
      </c>
      <c r="G151" s="6" t="s">
        <v>68</v>
      </c>
      <c r="H151" s="6"/>
      <c r="I151" s="9">
        <f>$I$150/$I$145</f>
        <v>315637.54263873457</v>
      </c>
    </row>
    <row r="152" spans="3:9" x14ac:dyDescent="0.25">
      <c r="C152" s="7" t="s">
        <v>272</v>
      </c>
    </row>
    <row r="153" spans="3:9" x14ac:dyDescent="0.25">
      <c r="C153" s="6" t="s">
        <v>237</v>
      </c>
      <c r="D153" s="2" t="s">
        <v>238</v>
      </c>
      <c r="F153" s="6" t="s">
        <v>273</v>
      </c>
      <c r="G153" s="6" t="s">
        <v>114</v>
      </c>
      <c r="H153" s="6" t="s">
        <v>234</v>
      </c>
      <c r="I153" s="8">
        <v>234.71832499999999</v>
      </c>
    </row>
    <row r="154" spans="3:9" x14ac:dyDescent="0.25">
      <c r="C154" s="6" t="s">
        <v>274</v>
      </c>
      <c r="D154" s="2" t="s">
        <v>275</v>
      </c>
      <c r="F154" s="6" t="s">
        <v>276</v>
      </c>
      <c r="G154" s="6" t="s">
        <v>114</v>
      </c>
      <c r="H154" s="6" t="s">
        <v>234</v>
      </c>
      <c r="I154" s="8">
        <v>59.110090999999997</v>
      </c>
    </row>
    <row r="155" spans="3:9" x14ac:dyDescent="0.25">
      <c r="C155" s="6" t="s">
        <v>277</v>
      </c>
      <c r="D155" s="2" t="s">
        <v>278</v>
      </c>
      <c r="F155" s="6" t="s">
        <v>279</v>
      </c>
      <c r="G155" s="6" t="s">
        <v>114</v>
      </c>
      <c r="H155" s="6" t="s">
        <v>234</v>
      </c>
      <c r="I155" s="8">
        <v>41.125540999999998</v>
      </c>
    </row>
    <row r="156" spans="3:9" x14ac:dyDescent="0.25">
      <c r="C156" s="6" t="s">
        <v>280</v>
      </c>
      <c r="D156" s="2" t="s">
        <v>100</v>
      </c>
      <c r="F156" s="6" t="s">
        <v>100</v>
      </c>
      <c r="G156" s="6" t="s">
        <v>68</v>
      </c>
      <c r="H156" s="6"/>
      <c r="I156" s="9">
        <f>$I$153/$I$154</f>
        <v>3.9708672585193621</v>
      </c>
    </row>
    <row r="157" spans="3:9" x14ac:dyDescent="0.25">
      <c r="C157" s="6" t="s">
        <v>281</v>
      </c>
      <c r="D157" s="2" t="s">
        <v>100</v>
      </c>
      <c r="F157" s="6" t="s">
        <v>100</v>
      </c>
      <c r="G157" s="6" t="s">
        <v>68</v>
      </c>
      <c r="H157" s="6"/>
      <c r="I157" s="9">
        <f>$I$153/$I$155</f>
        <v>5.7073613937382612</v>
      </c>
    </row>
    <row r="158" spans="3:9" x14ac:dyDescent="0.25">
      <c r="C158" s="6" t="s">
        <v>282</v>
      </c>
      <c r="D158" s="2" t="s">
        <v>283</v>
      </c>
      <c r="F158" s="6" t="s">
        <v>97</v>
      </c>
      <c r="G158" s="6" t="s">
        <v>53</v>
      </c>
      <c r="H158" s="6" t="s">
        <v>284</v>
      </c>
      <c r="I158" s="8">
        <v>6002457383220.6924</v>
      </c>
    </row>
    <row r="159" spans="3:9" x14ac:dyDescent="0.25">
      <c r="C159" s="6" t="s">
        <v>285</v>
      </c>
      <c r="D159" s="2" t="s">
        <v>286</v>
      </c>
      <c r="F159" s="6" t="s">
        <v>52</v>
      </c>
      <c r="G159" s="6" t="s">
        <v>287</v>
      </c>
      <c r="H159" s="6" t="s">
        <v>288</v>
      </c>
      <c r="I159" s="8">
        <v>2023</v>
      </c>
    </row>
    <row r="160" spans="3:9" x14ac:dyDescent="0.25">
      <c r="C160" s="6" t="s">
        <v>289</v>
      </c>
      <c r="D160" s="2" t="s">
        <v>290</v>
      </c>
      <c r="F160" s="6" t="s">
        <v>120</v>
      </c>
      <c r="G160" s="6" t="s">
        <v>287</v>
      </c>
      <c r="H160" s="6" t="s">
        <v>288</v>
      </c>
      <c r="I160" s="9">
        <f>_xlfn.XLOOKUP("Y"&amp;$I$159,GDPRatios!$F$1:$BQ$1,GDPRatios!$F$2:$BQ$2)</f>
        <v>82.57183370423617</v>
      </c>
    </row>
    <row r="161" spans="1:9" x14ac:dyDescent="0.25">
      <c r="C161" s="6" t="s">
        <v>291</v>
      </c>
      <c r="D161" s="2" t="s">
        <v>292</v>
      </c>
      <c r="F161" s="6" t="s">
        <v>97</v>
      </c>
      <c r="G161" s="6" t="s">
        <v>68</v>
      </c>
      <c r="H161" s="6"/>
      <c r="I161" s="9">
        <f>$I$150*$I$160/100</f>
        <v>31353060419613.211</v>
      </c>
    </row>
    <row r="162" spans="1:9" x14ac:dyDescent="0.25">
      <c r="C162" s="6" t="s">
        <v>293</v>
      </c>
      <c r="D162" s="2" t="s">
        <v>294</v>
      </c>
      <c r="F162" s="6" t="s">
        <v>100</v>
      </c>
      <c r="G162" s="6" t="s">
        <v>68</v>
      </c>
      <c r="H162" s="6"/>
      <c r="I162" s="9">
        <f>$I$161/$I$158</f>
        <v>5.2233707659895687</v>
      </c>
    </row>
    <row r="164" spans="1:9" x14ac:dyDescent="0.25">
      <c r="A164" s="3" t="s">
        <v>295</v>
      </c>
      <c r="B164" s="3" t="s">
        <v>296</v>
      </c>
    </row>
    <row r="166" spans="1:9" x14ac:dyDescent="0.25">
      <c r="A166" s="3" t="s">
        <v>297</v>
      </c>
      <c r="B166" s="3" t="s">
        <v>298</v>
      </c>
    </row>
    <row r="168" spans="1:9" x14ac:dyDescent="0.25">
      <c r="A168" s="3" t="s">
        <v>299</v>
      </c>
      <c r="B168" s="3" t="s">
        <v>300</v>
      </c>
    </row>
    <row r="169" spans="1:9" x14ac:dyDescent="0.25">
      <c r="C169" s="7" t="s">
        <v>301</v>
      </c>
    </row>
    <row r="170" spans="1:9" x14ac:dyDescent="0.25">
      <c r="C170" s="6" t="s">
        <v>302</v>
      </c>
      <c r="D170" s="2"/>
      <c r="F170" s="6"/>
      <c r="G170" s="6"/>
      <c r="H170" s="6">
        <v>0.90500000000000003</v>
      </c>
      <c r="I170" s="8">
        <v>0.90500000000000003</v>
      </c>
    </row>
    <row r="171" spans="1:9" x14ac:dyDescent="0.25">
      <c r="C171" s="6" t="s">
        <v>303</v>
      </c>
      <c r="D171" s="2"/>
      <c r="F171" s="6"/>
      <c r="G171" s="6"/>
      <c r="H171" s="6">
        <v>0.90500000000000003</v>
      </c>
      <c r="I171" s="8">
        <v>0.90500000000000003</v>
      </c>
    </row>
    <row r="172" spans="1:9" x14ac:dyDescent="0.25">
      <c r="C172" s="6" t="s">
        <v>304</v>
      </c>
      <c r="D172" s="2"/>
      <c r="F172" s="6"/>
      <c r="G172" s="6"/>
      <c r="H172" s="6">
        <v>0.90500000000000003</v>
      </c>
      <c r="I172" s="8">
        <v>0.90500000000000003</v>
      </c>
    </row>
    <row r="173" spans="1:9" x14ac:dyDescent="0.25">
      <c r="C173" s="6" t="s">
        <v>305</v>
      </c>
      <c r="D173" s="2"/>
      <c r="F173" s="6"/>
      <c r="G173" s="6"/>
      <c r="H173" s="6">
        <v>0.90500000000000003</v>
      </c>
      <c r="I173" s="8">
        <v>0.90500000000000003</v>
      </c>
    </row>
    <row r="174" spans="1:9" x14ac:dyDescent="0.25">
      <c r="C174" s="6" t="s">
        <v>306</v>
      </c>
      <c r="D174" s="2"/>
      <c r="F174" s="6"/>
      <c r="G174" s="6"/>
      <c r="H174" s="6">
        <v>0.90500000000000003</v>
      </c>
      <c r="I174" s="8">
        <v>0.90500000000000003</v>
      </c>
    </row>
    <row r="175" spans="1:9" x14ac:dyDescent="0.25">
      <c r="C175" s="6" t="s">
        <v>307</v>
      </c>
      <c r="D175" s="2"/>
      <c r="F175" s="6">
        <v>0.68100000000000005</v>
      </c>
      <c r="G175" s="6">
        <v>0.5</v>
      </c>
      <c r="H175" s="6"/>
      <c r="I175" s="8">
        <v>0.68100000000000005</v>
      </c>
    </row>
    <row r="176" spans="1:9" x14ac:dyDescent="0.25">
      <c r="C176" s="6" t="s">
        <v>308</v>
      </c>
      <c r="D176" s="2"/>
      <c r="F176" s="6">
        <v>0.96299999999999997</v>
      </c>
      <c r="G176" s="6">
        <v>0.5</v>
      </c>
      <c r="H176" s="6"/>
      <c r="I176" s="8">
        <v>0.96299999999999997</v>
      </c>
    </row>
    <row r="177" spans="3:9" x14ac:dyDescent="0.25">
      <c r="C177" s="6" t="s">
        <v>309</v>
      </c>
      <c r="D177" s="2"/>
      <c r="F177" s="6">
        <v>0.71099999999999997</v>
      </c>
      <c r="G177" s="6">
        <v>0.5</v>
      </c>
      <c r="H177" s="6"/>
      <c r="I177" s="8">
        <v>0.71099999999999997</v>
      </c>
    </row>
    <row r="178" spans="3:9" x14ac:dyDescent="0.25">
      <c r="C178" s="6" t="s">
        <v>310</v>
      </c>
      <c r="D178" s="2"/>
      <c r="F178" s="6">
        <v>0.71099999999999997</v>
      </c>
      <c r="G178" s="6">
        <v>0.5</v>
      </c>
      <c r="H178" s="6"/>
      <c r="I178" s="8">
        <v>0.71099999999999997</v>
      </c>
    </row>
    <row r="179" spans="3:9" x14ac:dyDescent="0.25">
      <c r="C179" s="6" t="s">
        <v>311</v>
      </c>
      <c r="D179" s="2"/>
      <c r="F179" s="6">
        <v>0.71099999999999997</v>
      </c>
      <c r="G179" s="6">
        <v>0.5</v>
      </c>
      <c r="H179" s="6"/>
      <c r="I179" s="8">
        <v>0.71099999999999997</v>
      </c>
    </row>
    <row r="180" spans="3:9" x14ac:dyDescent="0.25">
      <c r="C180" s="6" t="s">
        <v>312</v>
      </c>
      <c r="D180" s="2"/>
      <c r="F180" s="6">
        <v>0.69199999999999995</v>
      </c>
      <c r="G180" s="6">
        <v>0.5</v>
      </c>
      <c r="H180" s="6"/>
      <c r="I180" s="8">
        <v>0.69199999999999995</v>
      </c>
    </row>
    <row r="181" spans="3:9" x14ac:dyDescent="0.25">
      <c r="C181" s="6" t="s">
        <v>313</v>
      </c>
      <c r="D181" s="2"/>
      <c r="F181" s="6">
        <v>0.77500000000000002</v>
      </c>
      <c r="G181" s="6">
        <v>0.5</v>
      </c>
      <c r="H181" s="6"/>
      <c r="I181" s="8">
        <v>0.77500000000000002</v>
      </c>
    </row>
    <row r="182" spans="3:9" x14ac:dyDescent="0.25">
      <c r="C182" s="6" t="s">
        <v>314</v>
      </c>
      <c r="D182" s="2"/>
      <c r="F182" s="6">
        <v>0.69199999999999995</v>
      </c>
      <c r="G182" s="6">
        <v>0.5</v>
      </c>
      <c r="H182" s="6"/>
      <c r="I182" s="8">
        <v>0.69199999999999995</v>
      </c>
    </row>
    <row r="183" spans="3:9" x14ac:dyDescent="0.25">
      <c r="C183" s="6" t="s">
        <v>315</v>
      </c>
      <c r="D183" s="2"/>
      <c r="F183" s="6">
        <v>0.69199999999999995</v>
      </c>
      <c r="G183" s="6">
        <v>0.5</v>
      </c>
      <c r="H183" s="6"/>
      <c r="I183" s="8">
        <v>0.69199999999999995</v>
      </c>
    </row>
    <row r="184" spans="3:9" x14ac:dyDescent="0.25">
      <c r="C184" s="6" t="s">
        <v>316</v>
      </c>
      <c r="D184" s="2"/>
      <c r="F184" s="6">
        <v>0.32700000000000001</v>
      </c>
      <c r="G184" s="6">
        <v>0.5</v>
      </c>
      <c r="H184" s="6"/>
      <c r="I184" s="8">
        <v>0.32700000000000001</v>
      </c>
    </row>
    <row r="185" spans="3:9" x14ac:dyDescent="0.25">
      <c r="C185" s="6" t="s">
        <v>317</v>
      </c>
      <c r="D185" s="2"/>
      <c r="F185" s="6">
        <v>0.32700000000000001</v>
      </c>
      <c r="G185" s="6">
        <v>0.5</v>
      </c>
      <c r="H185" s="6"/>
      <c r="I185" s="8">
        <v>0.32700000000000001</v>
      </c>
    </row>
    <row r="186" spans="3:9" x14ac:dyDescent="0.25">
      <c r="C186" s="6" t="s">
        <v>318</v>
      </c>
      <c r="D186" s="2"/>
      <c r="F186" s="6">
        <v>0.69199999999999995</v>
      </c>
      <c r="G186" s="6">
        <v>0.5</v>
      </c>
      <c r="H186" s="6">
        <v>0.90500000000000003</v>
      </c>
      <c r="I186" s="8">
        <v>0.71099999999999997</v>
      </c>
    </row>
  </sheetData>
  <mergeCells count="4">
    <mergeCell ref="B3:N3"/>
    <mergeCell ref="C6:N9"/>
    <mergeCell ref="C12:N19"/>
    <mergeCell ref="B29:N2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70AD47"/>
  </sheetPr>
  <dimension ref="A1:AB1487"/>
  <sheetViews>
    <sheetView showGridLines="0" tabSelected="1" topLeftCell="A1340" workbookViewId="0">
      <pane xSplit="2" topLeftCell="C1" activePane="topRight" state="frozen"/>
      <selection pane="topRight"/>
    </sheetView>
  </sheetViews>
  <sheetFormatPr defaultRowHeight="15" x14ac:dyDescent="0.25"/>
  <cols>
    <col min="1" max="2" width="11" customWidth="1"/>
    <col min="3" max="3" width="42" customWidth="1"/>
    <col min="4" max="26" width="11" customWidth="1"/>
  </cols>
  <sheetData>
    <row r="1" spans="1:28" ht="18" x14ac:dyDescent="0.25">
      <c r="A1" s="1" t="s">
        <v>319</v>
      </c>
    </row>
    <row r="3" spans="1:28" x14ac:dyDescent="0.25">
      <c r="A3" s="5" t="s">
        <v>320</v>
      </c>
      <c r="B3" s="13" t="s">
        <v>321</v>
      </c>
      <c r="C3" s="14"/>
      <c r="D3" s="14"/>
      <c r="E3" s="14"/>
      <c r="F3" s="14"/>
      <c r="G3" s="14"/>
      <c r="H3" s="14"/>
      <c r="I3" s="14"/>
      <c r="J3" s="14"/>
      <c r="K3" s="14"/>
      <c r="L3" s="14"/>
      <c r="M3" s="14"/>
      <c r="N3" s="14"/>
    </row>
    <row r="5" spans="1:28" x14ac:dyDescent="0.25">
      <c r="A5" s="5" t="s">
        <v>322</v>
      </c>
      <c r="B5" s="13" t="s">
        <v>323</v>
      </c>
      <c r="C5" s="14"/>
      <c r="D5" s="14"/>
      <c r="E5" s="14"/>
      <c r="F5" s="14"/>
      <c r="G5" s="14"/>
      <c r="H5" s="14"/>
      <c r="I5" s="14"/>
      <c r="J5" s="14"/>
      <c r="K5" s="14"/>
      <c r="L5" s="14"/>
      <c r="M5" s="14"/>
      <c r="N5" s="14"/>
    </row>
    <row r="7" spans="1:28" ht="30" customHeight="1" x14ac:dyDescent="0.25">
      <c r="C7" s="17" t="s">
        <v>324</v>
      </c>
      <c r="D7" s="16"/>
      <c r="E7" s="16"/>
      <c r="F7" s="16"/>
      <c r="G7" s="16"/>
      <c r="H7" s="16"/>
      <c r="I7" s="16"/>
      <c r="J7" s="16"/>
      <c r="K7" s="16"/>
      <c r="L7" s="16"/>
      <c r="M7" s="16"/>
      <c r="N7" s="16"/>
      <c r="O7" s="16"/>
      <c r="P7" s="16"/>
      <c r="Q7" s="16"/>
      <c r="R7" s="16"/>
      <c r="S7" s="16"/>
      <c r="T7" s="16"/>
    </row>
    <row r="8" spans="1:28" x14ac:dyDescent="0.25">
      <c r="C8" s="16"/>
      <c r="D8" s="16"/>
      <c r="E8" s="16"/>
      <c r="F8" s="16"/>
      <c r="G8" s="16"/>
      <c r="H8" s="16"/>
      <c r="I8" s="16"/>
      <c r="J8" s="16"/>
      <c r="K8" s="16"/>
      <c r="L8" s="16"/>
      <c r="M8" s="16"/>
      <c r="N8" s="16"/>
      <c r="O8" s="16"/>
      <c r="P8" s="16"/>
      <c r="Q8" s="16"/>
      <c r="R8" s="16"/>
      <c r="S8" s="16"/>
      <c r="T8" s="16"/>
    </row>
    <row r="10" spans="1:28" x14ac:dyDescent="0.25">
      <c r="A10" s="5" t="s">
        <v>325</v>
      </c>
      <c r="B10" s="13" t="s">
        <v>326</v>
      </c>
      <c r="C10" s="14"/>
      <c r="D10" s="14"/>
      <c r="E10" s="14"/>
      <c r="F10" s="14"/>
      <c r="G10" s="14"/>
      <c r="H10" s="14"/>
      <c r="I10" s="14"/>
      <c r="J10" s="14"/>
      <c r="K10" s="14"/>
      <c r="L10" s="14"/>
      <c r="M10" s="14"/>
      <c r="N10" s="14"/>
    </row>
    <row r="12" spans="1:28" ht="30" customHeight="1" x14ac:dyDescent="0.25">
      <c r="C12" s="17" t="s">
        <v>327</v>
      </c>
      <c r="D12" s="16"/>
      <c r="E12" s="16"/>
      <c r="F12" s="16"/>
      <c r="G12" s="16"/>
      <c r="H12" s="16"/>
      <c r="I12" s="16"/>
      <c r="J12" s="16"/>
      <c r="K12" s="16"/>
      <c r="L12" s="16"/>
      <c r="M12" s="16"/>
      <c r="N12" s="16"/>
      <c r="O12" s="16"/>
      <c r="P12" s="16"/>
      <c r="Q12" s="16"/>
      <c r="R12" s="16"/>
      <c r="S12" s="16"/>
      <c r="T12" s="16"/>
    </row>
    <row r="13" spans="1:28" x14ac:dyDescent="0.25">
      <c r="C13" s="16"/>
      <c r="D13" s="16"/>
      <c r="E13" s="16"/>
      <c r="F13" s="16"/>
      <c r="G13" s="16"/>
      <c r="H13" s="16"/>
      <c r="I13" s="16"/>
      <c r="J13" s="16"/>
      <c r="K13" s="16"/>
      <c r="L13" s="16"/>
      <c r="M13" s="16"/>
      <c r="N13" s="16"/>
      <c r="O13" s="16"/>
      <c r="P13" s="16"/>
      <c r="Q13" s="16"/>
      <c r="R13" s="16"/>
      <c r="S13" s="16"/>
      <c r="T13" s="16"/>
    </row>
    <row r="15" spans="1:28" x14ac:dyDescent="0.25">
      <c r="C15" s="7" t="s">
        <v>328</v>
      </c>
      <c r="G15" s="7" t="s">
        <v>329</v>
      </c>
      <c r="H15" s="7" t="s">
        <v>330</v>
      </c>
      <c r="O15" s="7" t="s">
        <v>331</v>
      </c>
      <c r="Q15" s="7">
        <v>1</v>
      </c>
      <c r="R15" s="7">
        <v>2</v>
      </c>
      <c r="S15" s="7">
        <v>3</v>
      </c>
      <c r="T15" s="7">
        <v>4</v>
      </c>
      <c r="U15" s="7">
        <v>5</v>
      </c>
      <c r="V15" s="7">
        <v>6</v>
      </c>
      <c r="W15" s="7">
        <v>7</v>
      </c>
      <c r="X15" s="7">
        <v>8</v>
      </c>
      <c r="Y15" s="7">
        <v>9</v>
      </c>
      <c r="Z15" s="7">
        <v>10</v>
      </c>
      <c r="AA15" s="7" t="s">
        <v>332</v>
      </c>
      <c r="AB15" s="7" t="s">
        <v>333</v>
      </c>
    </row>
    <row r="16" spans="1:28" x14ac:dyDescent="0.25">
      <c r="C16" s="6" t="s">
        <v>334</v>
      </c>
      <c r="G16" s="6" t="s">
        <v>335</v>
      </c>
      <c r="P16" s="10" cm="1">
        <f t="array" ref="P16">ELAST("coa_elasticity",0,"Overall","mean")</f>
        <v>-0.78599035739898682</v>
      </c>
      <c r="Q16" s="10" cm="1">
        <f t="array" ref="Q16:Z16">ELAST("coa_elasticity",DECILE_ARRAY,"Overall","mean")</f>
        <v>-0.79025691747665405</v>
      </c>
      <c r="R16">
        <v>-0.79025691747665405</v>
      </c>
      <c r="S16">
        <v>-0.79025691747665405</v>
      </c>
      <c r="T16">
        <v>-0.7839999794960022</v>
      </c>
      <c r="U16">
        <v>-0.7839999794960022</v>
      </c>
      <c r="V16">
        <v>-0.7839999794960022</v>
      </c>
      <c r="W16">
        <v>-0.7839999794960022</v>
      </c>
      <c r="X16">
        <v>-0.78437769412994385</v>
      </c>
      <c r="Y16">
        <v>-0.78437769412994385</v>
      </c>
      <c r="Z16">
        <v>-0.78437769412994385</v>
      </c>
      <c r="AA16" s="10" cm="1">
        <f t="array" ref="AA16">PCHANGE_DIRECT("coa")*ELASTADJ("coa",0)</f>
        <v>29.346569384447868</v>
      </c>
      <c r="AB16" s="10" cm="1">
        <f t="array" ref="AB16">DWL("coa_share","coa_elasticity",0,"Overall","mean",PCHANGE_DIRECT("coa")*ELASTADJ("coa",0))</f>
        <v>0</v>
      </c>
    </row>
    <row r="17" spans="3:28" x14ac:dyDescent="0.25">
      <c r="C17" s="6" t="s">
        <v>336</v>
      </c>
      <c r="G17" s="6" t="s">
        <v>337</v>
      </c>
      <c r="P17" s="10" cm="1">
        <f t="array" ref="P17">ELAST("ely_elasticity",0,"Overall","mean")</f>
        <v>-0.78599035739898682</v>
      </c>
      <c r="Q17" s="10" cm="1">
        <f t="array" ref="Q17:Z17">ELAST("ely_elasticity",DECILE_ARRAY,"Overall","mean")</f>
        <v>-0.79025691747665405</v>
      </c>
      <c r="R17">
        <v>-0.79025691747665405</v>
      </c>
      <c r="S17">
        <v>-0.79025691747665405</v>
      </c>
      <c r="T17">
        <v>-0.7839999794960022</v>
      </c>
      <c r="U17">
        <v>-0.7839999794960022</v>
      </c>
      <c r="V17">
        <v>-0.7839999794960022</v>
      </c>
      <c r="W17">
        <v>-0.7839999794960022</v>
      </c>
      <c r="X17">
        <v>-0.78437769412994385</v>
      </c>
      <c r="Y17">
        <v>-0.78437769412994385</v>
      </c>
      <c r="Z17">
        <v>-0.78437769412994385</v>
      </c>
      <c r="AA17" s="10" cm="1">
        <f t="array" ref="AA17">PCHANGE_DIRECT("ely")*ELASTADJ("ely",0)</f>
        <v>21.277528323495666</v>
      </c>
      <c r="AB17" s="10" cm="1">
        <f t="array" ref="AB17">DWL("ely_share","ely_elasticity",0,"Overall","mean",PCHANGE_DIRECT("ely")*ELASTADJ("ely",0))</f>
        <v>0</v>
      </c>
    </row>
    <row r="18" spans="3:28" x14ac:dyDescent="0.25">
      <c r="C18" s="6" t="s">
        <v>338</v>
      </c>
      <c r="G18" s="6" t="s">
        <v>339</v>
      </c>
      <c r="P18" s="10" cm="1">
        <f t="array" ref="P18">ELAST("nga_elasticity",0,"Overall","mean")</f>
        <v>-0.78599035739898682</v>
      </c>
      <c r="Q18" s="10" cm="1">
        <f t="array" ref="Q18:Z18">ELAST("nga_elasticity",DECILE_ARRAY,"Overall","mean")</f>
        <v>-0.79025691747665405</v>
      </c>
      <c r="R18">
        <v>-0.79025691747665405</v>
      </c>
      <c r="S18">
        <v>-0.79025691747665405</v>
      </c>
      <c r="T18">
        <v>-0.7839999794960022</v>
      </c>
      <c r="U18">
        <v>-0.7839999794960022</v>
      </c>
      <c r="V18">
        <v>-0.7839999794960022</v>
      </c>
      <c r="W18">
        <v>-0.7839999794960022</v>
      </c>
      <c r="X18">
        <v>-0.78437769412994385</v>
      </c>
      <c r="Y18">
        <v>-0.78437769412994385</v>
      </c>
      <c r="Z18">
        <v>-0.78437769412994385</v>
      </c>
      <c r="AA18" s="10" cm="1">
        <f t="array" ref="AA18">PCHANGE_DIRECT("nga")*ELASTADJ("nga",0)</f>
        <v>41.112252472381776</v>
      </c>
      <c r="AB18" s="10" cm="1">
        <f t="array" ref="AB18">DWL("nga_share","nga_elasticity",0,"Overall","mean",PCHANGE_DIRECT("nga")*ELASTADJ("nga",0))</f>
        <v>0</v>
      </c>
    </row>
    <row r="19" spans="3:28" x14ac:dyDescent="0.25">
      <c r="C19" s="6" t="s">
        <v>340</v>
      </c>
      <c r="G19" s="6" t="s">
        <v>341</v>
      </c>
      <c r="P19" s="10" cm="1">
        <f t="array" ref="P19">ELAST("oil_elasticity",0,"Overall","mean")</f>
        <v>-0.78599035739898682</v>
      </c>
      <c r="Q19" s="10" cm="1">
        <f t="array" ref="Q19:Z19">ELAST("oil_elasticity",DECILE_ARRAY,"Overall","mean")</f>
        <v>-0.79025691747665405</v>
      </c>
      <c r="R19">
        <v>-0.79025691747665405</v>
      </c>
      <c r="S19">
        <v>-0.79025691747665405</v>
      </c>
      <c r="T19">
        <v>-0.7839999794960022</v>
      </c>
      <c r="U19">
        <v>-0.7839999794960022</v>
      </c>
      <c r="V19">
        <v>-0.7839999794960022</v>
      </c>
      <c r="W19">
        <v>-0.7839999794960022</v>
      </c>
      <c r="X19">
        <v>-0.78437769412994385</v>
      </c>
      <c r="Y19">
        <v>-0.78437769412994385</v>
      </c>
      <c r="Z19">
        <v>-0.78437769412994385</v>
      </c>
      <c r="AA19" s="10" cm="1">
        <f t="array" ref="AA19">PCHANGE_DIRECT("oil")*ELASTADJ("oil",0)</f>
        <v>59.188987246454069</v>
      </c>
      <c r="AB19" s="10" cm="1">
        <f t="array" ref="AB19">DWL("oil_share","oil_elasticity",0,"Overall","mean",PCHANGE_DIRECT("oil")*ELASTADJ("oil",0))</f>
        <v>0</v>
      </c>
    </row>
    <row r="20" spans="3:28" x14ac:dyDescent="0.25">
      <c r="C20" s="6" t="s">
        <v>342</v>
      </c>
      <c r="G20" s="6" t="s">
        <v>343</v>
      </c>
      <c r="P20" s="10" cm="1">
        <f t="array" ref="P20">ELAST("gso_elasticity",0,"Overall","mean")</f>
        <v>-0.87379580736160278</v>
      </c>
      <c r="Q20" s="10" cm="1">
        <f t="array" ref="Q20:Z20">ELAST("gso_elasticity",DECILE_ARRAY,"Overall","mean")</f>
        <v>-0.90366601943969727</v>
      </c>
      <c r="R20">
        <v>-0.90366601943969727</v>
      </c>
      <c r="S20">
        <v>-0.90366601943969727</v>
      </c>
      <c r="T20">
        <v>-0.86000001430511475</v>
      </c>
      <c r="U20">
        <v>-0.86000001430511475</v>
      </c>
      <c r="V20">
        <v>-0.86000001430511475</v>
      </c>
      <c r="W20">
        <v>-0.86000001430511475</v>
      </c>
      <c r="X20">
        <v>-0.8623199462890625</v>
      </c>
      <c r="Y20">
        <v>-0.8623199462890625</v>
      </c>
      <c r="Z20">
        <v>-0.8623199462890625</v>
      </c>
      <c r="AA20" s="10" cm="1">
        <f t="array" ref="AA20">PCHANGE_DIRECT("gso")*ELASTADJ("gso",0)</f>
        <v>16.36089465349276</v>
      </c>
      <c r="AB20" s="10" cm="1">
        <f t="array" ref="AB20">DWL("gso_share","gso_elasticity",0,"Overall","mean",PCHANGE_DIRECT("gso")*ELASTADJ("gso",0))</f>
        <v>0</v>
      </c>
    </row>
    <row r="21" spans="3:28" x14ac:dyDescent="0.25">
      <c r="C21" s="6" t="s">
        <v>344</v>
      </c>
      <c r="G21" s="6" t="s">
        <v>345</v>
      </c>
      <c r="P21" s="10" cm="1">
        <f t="array" ref="P21">ELAST("die_elasticity",0,"Overall","mean")</f>
        <v>-0.87379580736160278</v>
      </c>
      <c r="Q21" s="10" cm="1">
        <f t="array" ref="Q21:Z21">ELAST("die_elasticity",DECILE_ARRAY,"Overall","mean")</f>
        <v>-0.90366601943969727</v>
      </c>
      <c r="R21">
        <v>-0.90366601943969727</v>
      </c>
      <c r="S21">
        <v>-0.90366601943969727</v>
      </c>
      <c r="T21">
        <v>-0.86000001430511475</v>
      </c>
      <c r="U21">
        <v>-0.86000001430511475</v>
      </c>
      <c r="V21">
        <v>-0.86000001430511475</v>
      </c>
      <c r="W21">
        <v>-0.86000001430511475</v>
      </c>
      <c r="X21">
        <v>-0.8623199462890625</v>
      </c>
      <c r="Y21">
        <v>-0.8623199462890625</v>
      </c>
      <c r="Z21">
        <v>-0.8623199462890625</v>
      </c>
      <c r="AA21" s="10" cm="1">
        <f t="array" ref="AA21">PCHANGE_DIRECT("die")*ELASTADJ("die",0)</f>
        <v>22.445026620217572</v>
      </c>
      <c r="AB21" s="10" cm="1">
        <f t="array" ref="AB21">DWL("die_share","die_elasticity",0,"Overall","mean",PCHANGE_DIRECT("die")*ELASTADJ("die",0))</f>
        <v>0</v>
      </c>
    </row>
    <row r="22" spans="3:28" x14ac:dyDescent="0.25">
      <c r="C22" s="6" t="s">
        <v>346</v>
      </c>
      <c r="G22" s="6" t="s">
        <v>347</v>
      </c>
      <c r="P22" s="10" cm="1">
        <f t="array" ref="P22">ELAST("ker_elasticity",0,"Overall","mean")</f>
        <v>-0.78599035739898682</v>
      </c>
      <c r="Q22" s="10" cm="1">
        <f t="array" ref="Q22:Z22">ELAST("ker_elasticity",DECILE_ARRAY,"Overall","mean")</f>
        <v>-0.79025691747665405</v>
      </c>
      <c r="R22">
        <v>-0.79025691747665405</v>
      </c>
      <c r="S22">
        <v>-0.79025691747665405</v>
      </c>
      <c r="T22">
        <v>-0.7839999794960022</v>
      </c>
      <c r="U22">
        <v>-0.7839999794960022</v>
      </c>
      <c r="V22">
        <v>-0.7839999794960022</v>
      </c>
      <c r="W22">
        <v>-0.7839999794960022</v>
      </c>
      <c r="X22">
        <v>-0.78437769412994385</v>
      </c>
      <c r="Y22">
        <v>-0.78437769412994385</v>
      </c>
      <c r="Z22">
        <v>-0.78437769412994385</v>
      </c>
      <c r="AA22" s="10" cm="1">
        <f t="array" ref="AA22">PCHANGE_DIRECT("ker")*ELASTADJ("ker",0)</f>
        <v>24.450011450705595</v>
      </c>
      <c r="AB22" s="10" cm="1">
        <f t="array" ref="AB22">DWL("ker_share","ker_elasticity",0,"Overall","mean",PCHANGE_DIRECT("ker")*ELASTADJ("ker",0))</f>
        <v>0</v>
      </c>
    </row>
    <row r="23" spans="3:28" x14ac:dyDescent="0.25">
      <c r="C23" s="6" t="s">
        <v>348</v>
      </c>
      <c r="G23" s="6" t="s">
        <v>349</v>
      </c>
      <c r="P23" s="10" cm="1">
        <f t="array" ref="P23">ELAST("lpg_elasticity",0,"Overall","mean")</f>
        <v>-0.78599035739898682</v>
      </c>
      <c r="Q23" s="10" cm="1">
        <f t="array" ref="Q23:Z23">ELAST("lpg_elasticity",DECILE_ARRAY,"Overall","mean")</f>
        <v>-0.79025691747665405</v>
      </c>
      <c r="R23">
        <v>-0.79025691747665405</v>
      </c>
      <c r="S23">
        <v>-0.79025691747665405</v>
      </c>
      <c r="T23">
        <v>-0.7839999794960022</v>
      </c>
      <c r="U23">
        <v>-0.7839999794960022</v>
      </c>
      <c r="V23">
        <v>-0.7839999794960022</v>
      </c>
      <c r="W23">
        <v>-0.7839999794960022</v>
      </c>
      <c r="X23">
        <v>-0.78437769412994385</v>
      </c>
      <c r="Y23">
        <v>-0.78437769412994385</v>
      </c>
      <c r="Z23">
        <v>-0.78437769412994385</v>
      </c>
      <c r="AA23" s="10" cm="1">
        <f t="array" ref="AA23">PCHANGE_DIRECT("lpg")*ELASTADJ("lpg",0)</f>
        <v>40.736639073412242</v>
      </c>
      <c r="AB23" s="10" cm="1">
        <f t="array" ref="AB23">DWL("lpg_share","lpg_elasticity",0,"Overall","mean",PCHANGE_DIRECT("lpg")*ELASTADJ("lpg",0))</f>
        <v>0</v>
      </c>
    </row>
    <row r="24" spans="3:28" x14ac:dyDescent="0.25">
      <c r="C24" s="6" t="s">
        <v>350</v>
      </c>
      <c r="G24" s="6" t="s">
        <v>351</v>
      </c>
      <c r="P24" s="10" cm="1">
        <f t="array" ref="P24">ELAST("appliances_elasticity",0,"Overall","mean")</f>
        <v>-0.77211868762969971</v>
      </c>
      <c r="Q24" s="10" cm="1">
        <f t="array" ref="Q24:Z24">ELAST("appliances_elasticity",DECILE_ARRAY,"Overall","mean")</f>
        <v>-0.77447527647018433</v>
      </c>
      <c r="R24">
        <v>-0.77447527647018433</v>
      </c>
      <c r="S24">
        <v>-0.77447527647018433</v>
      </c>
      <c r="T24">
        <v>-0.77100002765655518</v>
      </c>
      <c r="U24">
        <v>-0.77100002765655518</v>
      </c>
      <c r="V24">
        <v>-0.77100002765655518</v>
      </c>
      <c r="W24">
        <v>-0.77100002765655518</v>
      </c>
      <c r="X24">
        <v>-0.77125358581542969</v>
      </c>
      <c r="Y24">
        <v>-0.77125358581542969</v>
      </c>
      <c r="Z24">
        <v>-0.77125358581542969</v>
      </c>
      <c r="AA24" s="10" cm="1">
        <f t="array" ref="AA24">PCHANGE_INDIRECT("app")*ELASTADJ("app",0)</f>
        <v>0.81046741781494969</v>
      </c>
      <c r="AB24" s="10" cm="1">
        <f t="array" ref="AB24">DWL("appliances_share","appliances_elasticity",0,"Overall","mean",PCHANGE_INDIRECT("app")*ELASTADJ("app",0))</f>
        <v>0</v>
      </c>
    </row>
    <row r="25" spans="3:28" x14ac:dyDescent="0.25">
      <c r="C25" s="6" t="s">
        <v>352</v>
      </c>
      <c r="G25" s="6" t="s">
        <v>353</v>
      </c>
      <c r="P25" s="10" cm="1">
        <f t="array" ref="P25">ELAST("chemicals_elasticity",0,"Overall","mean")</f>
        <v>-1.1741160154342649</v>
      </c>
      <c r="Q25" s="10" cm="1">
        <f t="array" ref="Q25:Z25">ELAST("chemicals_elasticity",DECILE_ARRAY,"Overall","mean")</f>
        <v>-1.5078303813934331</v>
      </c>
      <c r="R25">
        <v>-1.5078303813934331</v>
      </c>
      <c r="S25">
        <v>-1.5078303813934331</v>
      </c>
      <c r="T25">
        <v>-1.026999950408936</v>
      </c>
      <c r="U25">
        <v>-1.026999950408936</v>
      </c>
      <c r="V25">
        <v>-1.026999950408936</v>
      </c>
      <c r="W25">
        <v>-1.026999950408936</v>
      </c>
      <c r="X25">
        <v>-1.0365563631057739</v>
      </c>
      <c r="Y25">
        <v>-1.0365563631057739</v>
      </c>
      <c r="Z25">
        <v>-1.0365563631057739</v>
      </c>
      <c r="AA25" s="10" cm="1">
        <f t="array" ref="AA25">PCHANGE_INDIRECT("che")*ELASTADJ("che",0)</f>
        <v>1.9868569717007691</v>
      </c>
      <c r="AB25" s="10" cm="1">
        <f t="array" ref="AB25">DWL("chemicals_share","chemicals_elasticity",0,"Overall","mean",PCHANGE_INDIRECT("che")*ELASTADJ("che",0))</f>
        <v>0</v>
      </c>
    </row>
    <row r="26" spans="3:28" x14ac:dyDescent="0.25">
      <c r="C26" s="6" t="s">
        <v>354</v>
      </c>
      <c r="G26" s="6" t="s">
        <v>355</v>
      </c>
      <c r="P26" s="10" cm="1">
        <f t="array" ref="P26">ELAST("clothing_elasticity",0,"Overall","mean")</f>
        <v>-0.70944863557815552</v>
      </c>
      <c r="Q26" s="10" cm="1">
        <f t="array" ref="Q26:Z26">ELAST("clothing_elasticity",DECILE_ARRAY,"Overall","mean")</f>
        <v>-0.71045464277267456</v>
      </c>
      <c r="R26">
        <v>-0.71045464277267456</v>
      </c>
      <c r="S26">
        <v>-0.71045464277267456</v>
      </c>
      <c r="T26">
        <v>-0.70899999141693115</v>
      </c>
      <c r="U26">
        <v>-0.70899999141693115</v>
      </c>
      <c r="V26">
        <v>-0.70899999141693115</v>
      </c>
      <c r="W26">
        <v>-0.70899999141693115</v>
      </c>
      <c r="X26">
        <v>-0.70904088020324707</v>
      </c>
      <c r="Y26">
        <v>-0.70904088020324707</v>
      </c>
      <c r="Z26">
        <v>-0.70904088020324707</v>
      </c>
      <c r="AA26" s="10" cm="1">
        <f t="array" ref="AA26">PCHANGE_INDIRECT("clo")*ELASTADJ("clo",0)</f>
        <v>0.33817488348539504</v>
      </c>
      <c r="AB26" s="10" cm="1">
        <f t="array" ref="AB26">DWL("clothing_share","clothing_elasticity",0,"Overall","mean",PCHANGE_INDIRECT("clo")*ELASTADJ("clo",0))</f>
        <v>0</v>
      </c>
    </row>
    <row r="27" spans="3:28" x14ac:dyDescent="0.25">
      <c r="C27" s="6" t="s">
        <v>356</v>
      </c>
      <c r="G27" s="6" t="s">
        <v>357</v>
      </c>
      <c r="P27" s="10" cm="1">
        <f t="array" ref="P27">ELAST("communications_elasticity",0,"Overall","mean")</f>
        <v>-0.87379580736160278</v>
      </c>
      <c r="Q27" s="10" cm="1">
        <f t="array" ref="Q27:Z27">ELAST("communications_elasticity",DECILE_ARRAY,"Overall","mean")</f>
        <v>-0.90366601943969727</v>
      </c>
      <c r="R27">
        <v>-0.90366601943969727</v>
      </c>
      <c r="S27">
        <v>-0.90366601943969727</v>
      </c>
      <c r="T27">
        <v>-0.86000001430511475</v>
      </c>
      <c r="U27">
        <v>-0.86000001430511475</v>
      </c>
      <c r="V27">
        <v>-0.86000001430511475</v>
      </c>
      <c r="W27">
        <v>-0.86000001430511475</v>
      </c>
      <c r="X27">
        <v>-0.8623199462890625</v>
      </c>
      <c r="Y27">
        <v>-0.8623199462890625</v>
      </c>
      <c r="Z27">
        <v>-0.8623199462890625</v>
      </c>
      <c r="AA27" s="10" cm="1">
        <f t="array" ref="AA27">PCHANGE_INDIRECT("com")*ELASTADJ("com",0)</f>
        <v>0.1283340702982825</v>
      </c>
      <c r="AB27" s="10" cm="1">
        <f t="array" ref="AB27">DWL("communications_share","communications_elasticity",0,"Overall","mean",PCHANGE_INDIRECT("com")*ELASTADJ("com",0))</f>
        <v>0</v>
      </c>
    </row>
    <row r="28" spans="3:28" x14ac:dyDescent="0.25">
      <c r="C28" s="6" t="s">
        <v>358</v>
      </c>
      <c r="G28" s="6" t="s">
        <v>359</v>
      </c>
      <c r="P28" s="10" cm="1">
        <f t="array" ref="P28">ELAST("education_elasticity",0,"Overall","mean")</f>
        <v>-0.68029981851577759</v>
      </c>
      <c r="Q28" s="10" cm="1">
        <f t="array" ref="Q28:Z28">ELAST("education_elasticity",DECILE_ARRAY,"Overall","mean")</f>
        <v>-0.68496525287628174</v>
      </c>
      <c r="R28">
        <v>-0.68496525287628174</v>
      </c>
      <c r="S28">
        <v>-0.68496525287628174</v>
      </c>
      <c r="T28">
        <v>-0.67799997329711914</v>
      </c>
      <c r="U28">
        <v>-0.67799997329711914</v>
      </c>
      <c r="V28">
        <v>-0.67799997329711914</v>
      </c>
      <c r="W28">
        <v>-0.67799997329711914</v>
      </c>
      <c r="X28">
        <v>-0.67870092391967773</v>
      </c>
      <c r="Y28">
        <v>-0.67870092391967773</v>
      </c>
      <c r="Z28">
        <v>-0.67870092391967773</v>
      </c>
      <c r="AA28" s="10" cm="1">
        <f t="array" ref="AA28">PCHANGE_INDIRECT("edu")*ELASTADJ("edu",0)</f>
        <v>0.32860314687455283</v>
      </c>
      <c r="AB28" s="10" cm="1">
        <f t="array" ref="AB28">DWL("education_share","education_elasticity",0,"Overall","mean",PCHANGE_INDIRECT("edu")*ELASTADJ("edu",0))</f>
        <v>0</v>
      </c>
    </row>
    <row r="29" spans="3:28" x14ac:dyDescent="0.25">
      <c r="C29" s="6" t="s">
        <v>360</v>
      </c>
      <c r="G29" s="6" t="s">
        <v>361</v>
      </c>
      <c r="P29" s="10" cm="1">
        <f t="array" ref="P29">ELAST("food_elasticity",0,"Overall","mean")</f>
        <v>-0.56950479745864868</v>
      </c>
      <c r="Q29" s="10" cm="1">
        <f t="array" ref="Q29:Z29">ELAST("food_elasticity",DECILE_ARRAY,"Overall","mean")</f>
        <v>-0.63568931818008423</v>
      </c>
      <c r="R29">
        <v>-0.63568931818008423</v>
      </c>
      <c r="S29">
        <v>-0.63568931818008423</v>
      </c>
      <c r="T29">
        <v>-0.5350000262260437</v>
      </c>
      <c r="U29">
        <v>-0.5350000262260437</v>
      </c>
      <c r="V29">
        <v>-0.5350000262260437</v>
      </c>
      <c r="W29">
        <v>-0.5350000262260437</v>
      </c>
      <c r="X29">
        <v>-0.54932665824890137</v>
      </c>
      <c r="Y29">
        <v>-0.54932665824890137</v>
      </c>
      <c r="Z29">
        <v>-0.54932665824890137</v>
      </c>
      <c r="AA29" s="10" cm="1">
        <f t="array" ref="AA29">PCHANGE_INDIRECT("food")*ELASTADJ("food",0)</f>
        <v>0.32690815345434976</v>
      </c>
      <c r="AB29" s="10" cm="1">
        <f t="array" ref="AB29">DWL("food_share","food_elasticity",0,"Overall","mean",PCHANGE_INDIRECT("food")*ELASTADJ("food",0))</f>
        <v>0</v>
      </c>
    </row>
    <row r="30" spans="3:28" x14ac:dyDescent="0.25">
      <c r="C30" s="6" t="s">
        <v>362</v>
      </c>
      <c r="G30" s="6" t="s">
        <v>363</v>
      </c>
      <c r="P30" s="10" cm="1">
        <f t="array" ref="P30">ELAST("health_srv_elasticity",0,"Overall","mean")</f>
        <v>-1.153762221336365</v>
      </c>
      <c r="Q30" s="10" cm="1">
        <f t="array" ref="Q30:Z30">ELAST("health_srv_elasticity",DECILE_ARRAY,"Overall","mean")</f>
        <v>-1.4495524168014531</v>
      </c>
      <c r="R30">
        <v>-1.4495524168014531</v>
      </c>
      <c r="S30">
        <v>-1.4495524168014531</v>
      </c>
      <c r="T30">
        <v>-1.0230000019073491</v>
      </c>
      <c r="U30">
        <v>-1.0230000019073491</v>
      </c>
      <c r="V30">
        <v>-1.0230000019073491</v>
      </c>
      <c r="W30">
        <v>-1.0230000019073491</v>
      </c>
      <c r="X30">
        <v>-1.032321572303772</v>
      </c>
      <c r="Y30">
        <v>-1.032321572303772</v>
      </c>
      <c r="Z30">
        <v>-1.032321572303772</v>
      </c>
      <c r="AA30" s="10" cm="1">
        <f t="array" ref="AA30">PCHANGE_INDIRECT("hea")*ELASTADJ("hea",0)</f>
        <v>0.3812956707973259</v>
      </c>
      <c r="AB30" s="10" cm="1">
        <f t="array" ref="AB30">DWL("health_srv_share","health_srv_elasticity",0,"Overall","mean",PCHANGE_INDIRECT("hea")*ELASTADJ("hea",0))</f>
        <v>0</v>
      </c>
    </row>
    <row r="31" spans="3:28" x14ac:dyDescent="0.25">
      <c r="C31" s="6" t="s">
        <v>364</v>
      </c>
      <c r="G31" s="6" t="s">
        <v>365</v>
      </c>
      <c r="P31" s="10" cm="1">
        <f t="array" ref="P31">ELAST("housing_elasticity",0,"Overall","mean")</f>
        <v>-0.78599035739898682</v>
      </c>
      <c r="Q31" s="10" cm="1">
        <f t="array" ref="Q31:Z31">ELAST("housing_elasticity",DECILE_ARRAY,"Overall","mean")</f>
        <v>-0.79025691747665405</v>
      </c>
      <c r="R31">
        <v>-0.79025691747665405</v>
      </c>
      <c r="S31">
        <v>-0.79025691747665405</v>
      </c>
      <c r="T31">
        <v>-0.7839999794960022</v>
      </c>
      <c r="U31">
        <v>-0.7839999794960022</v>
      </c>
      <c r="V31">
        <v>-0.7839999794960022</v>
      </c>
      <c r="W31">
        <v>-0.7839999794960022</v>
      </c>
      <c r="X31">
        <v>-0.78437769412994385</v>
      </c>
      <c r="Y31">
        <v>-0.78437769412994385</v>
      </c>
      <c r="Z31">
        <v>-0.78437769412994385</v>
      </c>
      <c r="AA31" s="10" cm="1">
        <f t="array" ref="AA31">PCHANGE_INDIRECT("hou")*ELASTADJ("hou",0)</f>
        <v>0.2840452188102659</v>
      </c>
      <c r="AB31" s="10" cm="1">
        <f t="array" ref="AB31">DWL("housing_share","housing_elasticity",0,"Overall","mean",PCHANGE_INDIRECT("hou")*ELASTADJ("hou",0))</f>
        <v>0</v>
      </c>
    </row>
    <row r="32" spans="3:28" x14ac:dyDescent="0.25">
      <c r="C32" s="6" t="s">
        <v>366</v>
      </c>
      <c r="G32" s="6" t="s">
        <v>367</v>
      </c>
      <c r="P32" s="10" cm="1">
        <f t="array" ref="P32">ELAST("other_elasticity",0,"Overall","mean")</f>
        <v>-1.1741160154342649</v>
      </c>
      <c r="Q32" s="10" cm="1">
        <f t="array" ref="Q32:Z32">ELAST("other_elasticity",DECILE_ARRAY,"Overall","mean")</f>
        <v>-1.5078303813934331</v>
      </c>
      <c r="R32">
        <v>-1.5078303813934331</v>
      </c>
      <c r="S32">
        <v>-1.5078303813934331</v>
      </c>
      <c r="T32">
        <v>-1.026999950408936</v>
      </c>
      <c r="U32">
        <v>-1.026999950408936</v>
      </c>
      <c r="V32">
        <v>-1.026999950408936</v>
      </c>
      <c r="W32">
        <v>-1.026999950408936</v>
      </c>
      <c r="X32">
        <v>-1.0365563631057739</v>
      </c>
      <c r="Y32">
        <v>-1.0365563631057739</v>
      </c>
      <c r="Z32">
        <v>-1.0365563631057739</v>
      </c>
      <c r="AA32" s="10" cm="1">
        <f t="array" ref="AA32">PCHANGE_INDIRECT("oth")*ELASTADJ("oth",0)</f>
        <v>0.1417896875136169</v>
      </c>
      <c r="AB32" s="10" cm="1">
        <f t="array" ref="AB32">DWL("other_share","other_elasticity",0,"Overall","mean",PCHANGE_INDIRECT("oth")*ELASTADJ("oth",0))</f>
        <v>0</v>
      </c>
    </row>
    <row r="33" spans="1:28" x14ac:dyDescent="0.25">
      <c r="C33" s="6" t="s">
        <v>368</v>
      </c>
      <c r="G33" s="6" t="s">
        <v>369</v>
      </c>
      <c r="P33" s="10" cm="1">
        <f t="array" ref="P33">ELAST("paper_elasticity",0,"Overall","mean")</f>
        <v>-1.1741160154342649</v>
      </c>
      <c r="Q33" s="10" cm="1">
        <f t="array" ref="Q33:Z33">ELAST("paper_elasticity",DECILE_ARRAY,"Overall","mean")</f>
        <v>-1.5078303813934331</v>
      </c>
      <c r="R33">
        <v>-1.5078303813934331</v>
      </c>
      <c r="S33">
        <v>-1.5078303813934331</v>
      </c>
      <c r="T33">
        <v>-1.026999950408936</v>
      </c>
      <c r="U33">
        <v>-1.026999950408936</v>
      </c>
      <c r="V33">
        <v>-1.026999950408936</v>
      </c>
      <c r="W33">
        <v>-1.026999950408936</v>
      </c>
      <c r="X33">
        <v>-1.0365563631057739</v>
      </c>
      <c r="Y33">
        <v>-1.0365563631057739</v>
      </c>
      <c r="Z33">
        <v>-1.0365563631057739</v>
      </c>
      <c r="AA33" s="10" cm="1">
        <f t="array" ref="AA33">PCHANGE_INDIRECT("pap")*ELASTADJ("pap",0)</f>
        <v>0.5938228789296488</v>
      </c>
      <c r="AB33" s="10" cm="1">
        <f t="array" ref="AB33">DWL("paper_share","paper_elasticity",0,"Overall","mean",PCHANGE_INDIRECT("pap")*ELASTADJ("pap",0))</f>
        <v>0</v>
      </c>
    </row>
    <row r="34" spans="1:28" x14ac:dyDescent="0.25">
      <c r="C34" s="6" t="s">
        <v>370</v>
      </c>
      <c r="G34" s="6" t="s">
        <v>371</v>
      </c>
      <c r="P34" s="10" cm="1">
        <f t="array" ref="P34">ELAST("pharma_elasticity",0,"Overall","mean")</f>
        <v>-1.153762221336365</v>
      </c>
      <c r="Q34" s="10" cm="1">
        <f t="array" ref="Q34:Z34">ELAST("pharma_elasticity",DECILE_ARRAY,"Overall","mean")</f>
        <v>-1.4495524168014531</v>
      </c>
      <c r="R34">
        <v>-1.4495524168014531</v>
      </c>
      <c r="S34">
        <v>-1.4495524168014531</v>
      </c>
      <c r="T34">
        <v>-1.0230000019073491</v>
      </c>
      <c r="U34">
        <v>-1.0230000019073491</v>
      </c>
      <c r="V34">
        <v>-1.0230000019073491</v>
      </c>
      <c r="W34">
        <v>-1.0230000019073491</v>
      </c>
      <c r="X34">
        <v>-1.032321572303772</v>
      </c>
      <c r="Y34">
        <v>-1.032321572303772</v>
      </c>
      <c r="Z34">
        <v>-1.032321572303772</v>
      </c>
      <c r="AA34" s="10" cm="1">
        <f t="array" ref="AA34">PCHANGE_INDIRECT("pha")*ELASTADJ("pha",0)</f>
        <v>0.96212659488611529</v>
      </c>
      <c r="AB34" s="10" cm="1">
        <f t="array" ref="AB34">DWL("pharma_share","pharma_elasticity",0,"Overall","mean",PCHANGE_INDIRECT("pha")*ELASTADJ("pha",0))</f>
        <v>0</v>
      </c>
    </row>
    <row r="35" spans="1:28" x14ac:dyDescent="0.25">
      <c r="C35" s="6" t="s">
        <v>372</v>
      </c>
      <c r="G35" s="6" t="s">
        <v>373</v>
      </c>
      <c r="P35" s="10" cm="1">
        <f t="array" ref="P35">ELAST("rectourism_elasticity",0,"Overall","mean")</f>
        <v>-1.5203438997268679</v>
      </c>
      <c r="Q35" s="10" cm="1">
        <f t="array" ref="Q35:Z35">ELAST("rectourism_elasticity",DECILE_ARRAY,"Overall","mean")</f>
        <v>-2.3751218318939209</v>
      </c>
      <c r="R35">
        <v>-2.3751218318939209</v>
      </c>
      <c r="S35">
        <v>-2.3751218318939209</v>
      </c>
      <c r="T35">
        <v>-1.1469999551773069</v>
      </c>
      <c r="U35">
        <v>-1.1469999551773069</v>
      </c>
      <c r="V35">
        <v>-1.1469999551773069</v>
      </c>
      <c r="W35">
        <v>-1.1469999551773069</v>
      </c>
      <c r="X35">
        <v>-1.163357734680176</v>
      </c>
      <c r="Y35">
        <v>-1.163357734680176</v>
      </c>
      <c r="Z35">
        <v>-1.163357734680176</v>
      </c>
      <c r="AA35" s="10" cm="1">
        <f t="array" ref="AA35">PCHANGE_INDIRECT("ret")*ELASTADJ("ret",0)</f>
        <v>0.2808371464064055</v>
      </c>
      <c r="AB35" s="10" cm="1">
        <f t="array" ref="AB35">DWL("rectourism_share","rectourism_elasticity",0,"Overall","mean",PCHANGE_INDIRECT("ret")*ELASTADJ("ret",0))</f>
        <v>0</v>
      </c>
    </row>
    <row r="36" spans="1:28" x14ac:dyDescent="0.25">
      <c r="C36" s="6" t="s">
        <v>374</v>
      </c>
      <c r="G36" s="6" t="s">
        <v>375</v>
      </c>
      <c r="P36" s="10" cm="1">
        <f t="array" ref="P36">ELAST("transp_eqt_elasticity",0,"Overall","mean")</f>
        <v>-0.87379580736160278</v>
      </c>
      <c r="Q36" s="10" cm="1">
        <f t="array" ref="Q36:Z36">ELAST("transp_eqt_elasticity",DECILE_ARRAY,"Overall","mean")</f>
        <v>-0.90366601943969727</v>
      </c>
      <c r="R36">
        <v>-0.90366601943969727</v>
      </c>
      <c r="S36">
        <v>-0.90366601943969727</v>
      </c>
      <c r="T36">
        <v>-0.86000001430511475</v>
      </c>
      <c r="U36">
        <v>-0.86000001430511475</v>
      </c>
      <c r="V36">
        <v>-0.86000001430511475</v>
      </c>
      <c r="W36">
        <v>-0.86000001430511475</v>
      </c>
      <c r="X36">
        <v>-0.8623199462890625</v>
      </c>
      <c r="Y36">
        <v>-0.8623199462890625</v>
      </c>
      <c r="Z36">
        <v>-0.8623199462890625</v>
      </c>
      <c r="AA36" s="10" cm="1">
        <f t="array" ref="AA36">PCHANGE_INDIRECT("teq")*ELASTADJ("teq",0)</f>
        <v>0.30441985712334535</v>
      </c>
      <c r="AB36" s="10" cm="1">
        <f t="array" ref="AB36">DWL("transp_eqt_share","transp_eqt_elasticity",0,"Overall","mean",PCHANGE_INDIRECT("teq")*ELASTADJ("teq",0))</f>
        <v>0</v>
      </c>
    </row>
    <row r="37" spans="1:28" x14ac:dyDescent="0.25">
      <c r="C37" s="6" t="s">
        <v>376</v>
      </c>
      <c r="G37" s="6" t="s">
        <v>377</v>
      </c>
      <c r="P37" s="10" cm="1">
        <f t="array" ref="P37">ELAST("transp_pub_elasticity",0,"Overall","mean")</f>
        <v>-0.87379580736160278</v>
      </c>
      <c r="Q37" s="10" cm="1">
        <f t="array" ref="Q37:Z37">ELAST("transp_pub_elasticity",DECILE_ARRAY,"Overall","mean")</f>
        <v>-0.90366601943969727</v>
      </c>
      <c r="R37">
        <v>-0.90366601943969727</v>
      </c>
      <c r="S37">
        <v>-0.90366601943969727</v>
      </c>
      <c r="T37">
        <v>-0.86000001430511475</v>
      </c>
      <c r="U37">
        <v>-0.86000001430511475</v>
      </c>
      <c r="V37">
        <v>-0.86000001430511475</v>
      </c>
      <c r="W37">
        <v>-0.86000001430511475</v>
      </c>
      <c r="X37">
        <v>-0.8623199462890625</v>
      </c>
      <c r="Y37">
        <v>-0.8623199462890625</v>
      </c>
      <c r="Z37">
        <v>-0.8623199462890625</v>
      </c>
      <c r="AA37" s="10" cm="1">
        <f t="array" ref="AA37">PCHANGE_INDIRECT("tpu")*ELASTADJ("tpu",0)</f>
        <v>1.277316347015625</v>
      </c>
      <c r="AB37" s="10" cm="1">
        <f t="array" ref="AB37">DWL("transp_pub_share","transp_pub_elasticity",0,"Overall","mean",PCHANGE_INDIRECT("tpu")*ELASTADJ("tpu",0))</f>
        <v>0</v>
      </c>
    </row>
    <row r="39" spans="1:28" x14ac:dyDescent="0.25">
      <c r="A39" s="5" t="s">
        <v>378</v>
      </c>
      <c r="B39" s="13" t="s">
        <v>379</v>
      </c>
      <c r="C39" s="14"/>
      <c r="D39" s="14"/>
      <c r="E39" s="14"/>
      <c r="F39" s="14"/>
      <c r="G39" s="14"/>
      <c r="H39" s="14"/>
      <c r="I39" s="14"/>
      <c r="J39" s="14"/>
      <c r="K39" s="14"/>
      <c r="L39" s="14"/>
      <c r="M39" s="14"/>
      <c r="N39" s="14"/>
    </row>
    <row r="41" spans="1:28" x14ac:dyDescent="0.25">
      <c r="C41" s="7" t="s">
        <v>380</v>
      </c>
      <c r="G41" s="6" t="s">
        <v>335</v>
      </c>
      <c r="O41" s="2" t="s">
        <v>331</v>
      </c>
      <c r="Q41" s="2">
        <v>1</v>
      </c>
      <c r="R41" s="2">
        <v>2</v>
      </c>
      <c r="S41" s="2">
        <v>3</v>
      </c>
      <c r="T41" s="2">
        <v>4</v>
      </c>
      <c r="U41" s="2">
        <v>5</v>
      </c>
      <c r="V41" s="2">
        <v>6</v>
      </c>
      <c r="W41" s="2">
        <v>7</v>
      </c>
      <c r="X41" s="2">
        <v>8</v>
      </c>
      <c r="Y41" s="2">
        <v>9</v>
      </c>
      <c r="Z41" s="2">
        <v>10</v>
      </c>
    </row>
    <row r="42" spans="1:28" x14ac:dyDescent="0.25">
      <c r="D42" s="6" t="s">
        <v>69</v>
      </c>
      <c r="E42" s="6" t="s">
        <v>381</v>
      </c>
      <c r="F42" s="6" t="s">
        <v>382</v>
      </c>
      <c r="G42" s="6" t="s">
        <v>335</v>
      </c>
      <c r="H42" s="6" t="s">
        <v>383</v>
      </c>
      <c r="P42" s="10" cm="1">
        <f t="array" ref="P42">BSHARE("coa_share",0,"Overall","mean")</f>
        <v>0</v>
      </c>
    </row>
    <row r="43" spans="1:28" x14ac:dyDescent="0.25">
      <c r="D43" s="6" t="s">
        <v>69</v>
      </c>
      <c r="E43" s="6" t="s">
        <v>381</v>
      </c>
      <c r="F43" s="6" t="s">
        <v>145</v>
      </c>
      <c r="G43" s="6" t="s">
        <v>335</v>
      </c>
      <c r="H43" s="6" t="s">
        <v>383</v>
      </c>
      <c r="Q43" s="10" cm="1">
        <f t="array" ref="Q43:Z43">BSHARE("coa_share",DECILE_ARRAY,"Overall","mean")</f>
        <v>0</v>
      </c>
      <c r="R43">
        <v>0</v>
      </c>
      <c r="S43">
        <v>0</v>
      </c>
      <c r="T43">
        <v>0</v>
      </c>
      <c r="U43">
        <v>0</v>
      </c>
      <c r="V43">
        <v>0</v>
      </c>
      <c r="W43">
        <v>0</v>
      </c>
      <c r="X43">
        <v>0</v>
      </c>
      <c r="Y43">
        <v>0</v>
      </c>
      <c r="Z43">
        <v>0</v>
      </c>
    </row>
    <row r="44" spans="1:28" x14ac:dyDescent="0.25">
      <c r="D44" s="6" t="s">
        <v>69</v>
      </c>
      <c r="E44" s="6" t="s">
        <v>384</v>
      </c>
      <c r="F44" s="6" t="s">
        <v>382</v>
      </c>
      <c r="G44" s="6" t="s">
        <v>335</v>
      </c>
      <c r="H44" s="6" t="s">
        <v>383</v>
      </c>
      <c r="P44" s="10" cm="1">
        <f t="array" ref="P44">BSHARE("coa_share",0,"Urban","mean")</f>
        <v>0</v>
      </c>
    </row>
    <row r="45" spans="1:28" x14ac:dyDescent="0.25">
      <c r="D45" s="6" t="s">
        <v>69</v>
      </c>
      <c r="E45" s="6" t="s">
        <v>384</v>
      </c>
      <c r="F45" s="6" t="s">
        <v>145</v>
      </c>
      <c r="G45" s="6" t="s">
        <v>335</v>
      </c>
      <c r="H45" s="6" t="s">
        <v>383</v>
      </c>
      <c r="Q45" s="10" cm="1">
        <f t="array" ref="Q45:Z45">BSHARE("coa_share",DECILE_ARRAY,"Urban","mean")</f>
        <v>0</v>
      </c>
      <c r="R45">
        <v>0</v>
      </c>
      <c r="S45">
        <v>0</v>
      </c>
      <c r="T45">
        <v>0</v>
      </c>
      <c r="U45">
        <v>0</v>
      </c>
      <c r="V45">
        <v>0</v>
      </c>
      <c r="W45">
        <v>0</v>
      </c>
      <c r="X45">
        <v>0</v>
      </c>
      <c r="Y45">
        <v>0</v>
      </c>
      <c r="Z45">
        <v>0</v>
      </c>
    </row>
    <row r="46" spans="1:28" x14ac:dyDescent="0.25">
      <c r="D46" s="6" t="s">
        <v>69</v>
      </c>
      <c r="E46" s="6" t="s">
        <v>385</v>
      </c>
      <c r="F46" s="6" t="s">
        <v>382</v>
      </c>
      <c r="G46" s="6" t="s">
        <v>335</v>
      </c>
      <c r="H46" s="6" t="s">
        <v>383</v>
      </c>
      <c r="P46" s="10" cm="1">
        <f t="array" ref="P46">BSHARE("coa_share",0,"Rural","mean")</f>
        <v>0</v>
      </c>
    </row>
    <row r="47" spans="1:28" x14ac:dyDescent="0.25">
      <c r="D47" s="6" t="s">
        <v>69</v>
      </c>
      <c r="E47" s="6" t="s">
        <v>385</v>
      </c>
      <c r="F47" s="6" t="s">
        <v>145</v>
      </c>
      <c r="G47" s="6" t="s">
        <v>335</v>
      </c>
      <c r="H47" s="6" t="s">
        <v>383</v>
      </c>
      <c r="Q47" s="10" cm="1">
        <f t="array" ref="Q47:Z47">BSHARE("coa_share",DECILE_ARRAY,"Rural","mean")</f>
        <v>0</v>
      </c>
      <c r="R47">
        <v>0</v>
      </c>
      <c r="S47">
        <v>0</v>
      </c>
      <c r="T47">
        <v>0</v>
      </c>
      <c r="U47">
        <v>0</v>
      </c>
      <c r="V47">
        <v>0</v>
      </c>
      <c r="W47">
        <v>0</v>
      </c>
      <c r="X47">
        <v>0</v>
      </c>
      <c r="Y47">
        <v>0</v>
      </c>
      <c r="Z47">
        <v>0</v>
      </c>
    </row>
    <row r="48" spans="1:28" x14ac:dyDescent="0.25">
      <c r="D48" s="6" t="s">
        <v>72</v>
      </c>
      <c r="E48" s="6" t="s">
        <v>381</v>
      </c>
      <c r="F48" s="6" t="s">
        <v>382</v>
      </c>
      <c r="G48" s="6" t="s">
        <v>335</v>
      </c>
      <c r="H48" s="6" t="s">
        <v>383</v>
      </c>
      <c r="P48" s="10" cm="1">
        <f t="array" ref="P48">BSHARE("coa_share",0,"Overall","median")</f>
        <v>0</v>
      </c>
    </row>
    <row r="49" spans="4:26" x14ac:dyDescent="0.25">
      <c r="D49" s="6" t="s">
        <v>72</v>
      </c>
      <c r="E49" s="6" t="s">
        <v>381</v>
      </c>
      <c r="F49" s="6" t="s">
        <v>145</v>
      </c>
      <c r="G49" s="6" t="s">
        <v>335</v>
      </c>
      <c r="H49" s="6" t="s">
        <v>383</v>
      </c>
      <c r="Q49" s="10" cm="1">
        <f t="array" ref="Q49:Z49">BSHARE("coa_share",DECILE_ARRAY,"Overall","median")</f>
        <v>0</v>
      </c>
      <c r="R49">
        <v>0</v>
      </c>
      <c r="S49">
        <v>0</v>
      </c>
      <c r="T49">
        <v>0</v>
      </c>
      <c r="U49">
        <v>0</v>
      </c>
      <c r="V49">
        <v>0</v>
      </c>
      <c r="W49">
        <v>0</v>
      </c>
      <c r="X49">
        <v>0</v>
      </c>
      <c r="Y49">
        <v>0</v>
      </c>
      <c r="Z49">
        <v>0</v>
      </c>
    </row>
    <row r="50" spans="4:26" x14ac:dyDescent="0.25">
      <c r="D50" s="6" t="s">
        <v>72</v>
      </c>
      <c r="E50" s="6" t="s">
        <v>384</v>
      </c>
      <c r="F50" s="6" t="s">
        <v>382</v>
      </c>
      <c r="G50" s="6" t="s">
        <v>335</v>
      </c>
      <c r="H50" s="6" t="s">
        <v>383</v>
      </c>
      <c r="P50" s="10" cm="1">
        <f t="array" ref="P50">BSHARE("coa_share",0,"Urban","median")</f>
        <v>0</v>
      </c>
    </row>
    <row r="51" spans="4:26" x14ac:dyDescent="0.25">
      <c r="D51" s="6" t="s">
        <v>72</v>
      </c>
      <c r="E51" s="6" t="s">
        <v>384</v>
      </c>
      <c r="F51" s="6" t="s">
        <v>145</v>
      </c>
      <c r="G51" s="6" t="s">
        <v>335</v>
      </c>
      <c r="H51" s="6" t="s">
        <v>383</v>
      </c>
      <c r="Q51" s="10" cm="1">
        <f t="array" ref="Q51:Z51">BSHARE("coa_share",DECILE_ARRAY,"Urban","median")</f>
        <v>0</v>
      </c>
      <c r="R51">
        <v>0</v>
      </c>
      <c r="S51">
        <v>0</v>
      </c>
      <c r="T51">
        <v>0</v>
      </c>
      <c r="U51">
        <v>0</v>
      </c>
      <c r="V51">
        <v>0</v>
      </c>
      <c r="W51">
        <v>0</v>
      </c>
      <c r="X51">
        <v>0</v>
      </c>
      <c r="Y51">
        <v>0</v>
      </c>
      <c r="Z51">
        <v>0</v>
      </c>
    </row>
    <row r="52" spans="4:26" x14ac:dyDescent="0.25">
      <c r="D52" s="6" t="s">
        <v>72</v>
      </c>
      <c r="E52" s="6" t="s">
        <v>385</v>
      </c>
      <c r="F52" s="6" t="s">
        <v>382</v>
      </c>
      <c r="G52" s="6" t="s">
        <v>335</v>
      </c>
      <c r="H52" s="6" t="s">
        <v>383</v>
      </c>
      <c r="P52" s="10" cm="1">
        <f t="array" ref="P52">BSHARE("coa_share",0,"Rural","median")</f>
        <v>0</v>
      </c>
    </row>
    <row r="53" spans="4:26" x14ac:dyDescent="0.25">
      <c r="D53" s="6" t="s">
        <v>72</v>
      </c>
      <c r="E53" s="6" t="s">
        <v>385</v>
      </c>
      <c r="F53" s="6" t="s">
        <v>145</v>
      </c>
      <c r="G53" s="6" t="s">
        <v>335</v>
      </c>
      <c r="H53" s="6" t="s">
        <v>383</v>
      </c>
      <c r="Q53" s="10" cm="1">
        <f t="array" ref="Q53:Z53">BSHARE("coa_share",DECILE_ARRAY,"Rural","median")</f>
        <v>0</v>
      </c>
      <c r="R53">
        <v>0</v>
      </c>
      <c r="S53">
        <v>0</v>
      </c>
      <c r="T53">
        <v>0</v>
      </c>
      <c r="U53">
        <v>0</v>
      </c>
      <c r="V53">
        <v>0</v>
      </c>
      <c r="W53">
        <v>0</v>
      </c>
      <c r="X53">
        <v>0</v>
      </c>
      <c r="Y53">
        <v>0</v>
      </c>
      <c r="Z53">
        <v>0</v>
      </c>
    </row>
    <row r="54" spans="4:26" x14ac:dyDescent="0.25">
      <c r="D54" s="6" t="s">
        <v>75</v>
      </c>
      <c r="E54" s="6" t="s">
        <v>381</v>
      </c>
      <c r="F54" s="6" t="s">
        <v>382</v>
      </c>
      <c r="G54" s="6" t="s">
        <v>335</v>
      </c>
      <c r="H54" s="6" t="s">
        <v>383</v>
      </c>
      <c r="P54" s="10" cm="1">
        <f t="array" ref="P54">BSHARE("coa_share",0,"Overall","p25")</f>
        <v>0</v>
      </c>
    </row>
    <row r="55" spans="4:26" x14ac:dyDescent="0.25">
      <c r="D55" s="6" t="s">
        <v>75</v>
      </c>
      <c r="E55" s="6" t="s">
        <v>381</v>
      </c>
      <c r="F55" s="6" t="s">
        <v>145</v>
      </c>
      <c r="G55" s="6" t="s">
        <v>335</v>
      </c>
      <c r="H55" s="6" t="s">
        <v>383</v>
      </c>
      <c r="Q55" s="10" cm="1">
        <f t="array" ref="Q55:Z55">BSHARE("coa_share",DECILE_ARRAY,"Overall","p25")</f>
        <v>0</v>
      </c>
      <c r="R55">
        <v>0</v>
      </c>
      <c r="S55">
        <v>0</v>
      </c>
      <c r="T55">
        <v>0</v>
      </c>
      <c r="U55">
        <v>0</v>
      </c>
      <c r="V55">
        <v>0</v>
      </c>
      <c r="W55">
        <v>0</v>
      </c>
      <c r="X55">
        <v>0</v>
      </c>
      <c r="Y55">
        <v>0</v>
      </c>
      <c r="Z55">
        <v>0</v>
      </c>
    </row>
    <row r="56" spans="4:26" x14ac:dyDescent="0.25">
      <c r="D56" s="6" t="s">
        <v>75</v>
      </c>
      <c r="E56" s="6" t="s">
        <v>384</v>
      </c>
      <c r="F56" s="6" t="s">
        <v>382</v>
      </c>
      <c r="G56" s="6" t="s">
        <v>335</v>
      </c>
      <c r="H56" s="6" t="s">
        <v>383</v>
      </c>
      <c r="P56" s="10" cm="1">
        <f t="array" ref="P56">BSHARE("coa_share",0,"Urban","p25")</f>
        <v>0</v>
      </c>
    </row>
    <row r="57" spans="4:26" x14ac:dyDescent="0.25">
      <c r="D57" s="6" t="s">
        <v>75</v>
      </c>
      <c r="E57" s="6" t="s">
        <v>384</v>
      </c>
      <c r="F57" s="6" t="s">
        <v>145</v>
      </c>
      <c r="G57" s="6" t="s">
        <v>335</v>
      </c>
      <c r="H57" s="6" t="s">
        <v>383</v>
      </c>
      <c r="Q57" s="10" cm="1">
        <f t="array" ref="Q57:Z57">BSHARE("coa_share",DECILE_ARRAY,"Urban","p25")</f>
        <v>0</v>
      </c>
      <c r="R57">
        <v>0</v>
      </c>
      <c r="S57">
        <v>0</v>
      </c>
      <c r="T57">
        <v>0</v>
      </c>
      <c r="U57">
        <v>0</v>
      </c>
      <c r="V57">
        <v>0</v>
      </c>
      <c r="W57">
        <v>0</v>
      </c>
      <c r="X57">
        <v>0</v>
      </c>
      <c r="Y57">
        <v>0</v>
      </c>
      <c r="Z57">
        <v>0</v>
      </c>
    </row>
    <row r="58" spans="4:26" x14ac:dyDescent="0.25">
      <c r="D58" s="6" t="s">
        <v>75</v>
      </c>
      <c r="E58" s="6" t="s">
        <v>385</v>
      </c>
      <c r="F58" s="6" t="s">
        <v>382</v>
      </c>
      <c r="G58" s="6" t="s">
        <v>335</v>
      </c>
      <c r="H58" s="6" t="s">
        <v>383</v>
      </c>
      <c r="P58" s="10" cm="1">
        <f t="array" ref="P58">BSHARE("coa_share",0,"Rural","p25")</f>
        <v>0</v>
      </c>
    </row>
    <row r="59" spans="4:26" x14ac:dyDescent="0.25">
      <c r="D59" s="6" t="s">
        <v>75</v>
      </c>
      <c r="E59" s="6" t="s">
        <v>385</v>
      </c>
      <c r="F59" s="6" t="s">
        <v>145</v>
      </c>
      <c r="G59" s="6" t="s">
        <v>335</v>
      </c>
      <c r="H59" s="6" t="s">
        <v>383</v>
      </c>
      <c r="Q59" s="10" cm="1">
        <f t="array" ref="Q59:Z59">BSHARE("coa_share",DECILE_ARRAY,"Rural","p25")</f>
        <v>0</v>
      </c>
      <c r="R59">
        <v>0</v>
      </c>
      <c r="S59">
        <v>0</v>
      </c>
      <c r="T59">
        <v>0</v>
      </c>
      <c r="U59">
        <v>0</v>
      </c>
      <c r="V59">
        <v>0</v>
      </c>
      <c r="W59">
        <v>0</v>
      </c>
      <c r="X59">
        <v>0</v>
      </c>
      <c r="Y59">
        <v>0</v>
      </c>
      <c r="Z59">
        <v>0</v>
      </c>
    </row>
    <row r="60" spans="4:26" x14ac:dyDescent="0.25">
      <c r="D60" s="6" t="s">
        <v>78</v>
      </c>
      <c r="E60" s="6" t="s">
        <v>381</v>
      </c>
      <c r="F60" s="6" t="s">
        <v>382</v>
      </c>
      <c r="G60" s="6" t="s">
        <v>335</v>
      </c>
      <c r="H60" s="6" t="s">
        <v>383</v>
      </c>
      <c r="P60" s="10" cm="1">
        <f t="array" ref="P60">BSHARE("coa_share",0,"Overall","p75")</f>
        <v>0</v>
      </c>
    </row>
    <row r="61" spans="4:26" x14ac:dyDescent="0.25">
      <c r="D61" s="6" t="s">
        <v>78</v>
      </c>
      <c r="E61" s="6" t="s">
        <v>381</v>
      </c>
      <c r="F61" s="6" t="s">
        <v>145</v>
      </c>
      <c r="G61" s="6" t="s">
        <v>335</v>
      </c>
      <c r="H61" s="6" t="s">
        <v>383</v>
      </c>
      <c r="Q61" s="10" cm="1">
        <f t="array" ref="Q61:Z61">BSHARE("coa_share",DECILE_ARRAY,"Overall","p75")</f>
        <v>0</v>
      </c>
      <c r="R61">
        <v>0</v>
      </c>
      <c r="S61">
        <v>0</v>
      </c>
      <c r="T61">
        <v>0</v>
      </c>
      <c r="U61">
        <v>0</v>
      </c>
      <c r="V61">
        <v>0</v>
      </c>
      <c r="W61">
        <v>0</v>
      </c>
      <c r="X61">
        <v>0</v>
      </c>
      <c r="Y61">
        <v>0</v>
      </c>
      <c r="Z61">
        <v>0</v>
      </c>
    </row>
    <row r="62" spans="4:26" x14ac:dyDescent="0.25">
      <c r="D62" s="6" t="s">
        <v>78</v>
      </c>
      <c r="E62" s="6" t="s">
        <v>384</v>
      </c>
      <c r="F62" s="6" t="s">
        <v>382</v>
      </c>
      <c r="G62" s="6" t="s">
        <v>335</v>
      </c>
      <c r="H62" s="6" t="s">
        <v>383</v>
      </c>
      <c r="P62" s="10" cm="1">
        <f t="array" ref="P62">BSHARE("coa_share",0,"Urban","p75")</f>
        <v>0</v>
      </c>
    </row>
    <row r="63" spans="4:26" x14ac:dyDescent="0.25">
      <c r="D63" s="6" t="s">
        <v>78</v>
      </c>
      <c r="E63" s="6" t="s">
        <v>384</v>
      </c>
      <c r="F63" s="6" t="s">
        <v>145</v>
      </c>
      <c r="G63" s="6" t="s">
        <v>335</v>
      </c>
      <c r="H63" s="6" t="s">
        <v>383</v>
      </c>
      <c r="Q63" s="10" cm="1">
        <f t="array" ref="Q63:Z63">BSHARE("coa_share",DECILE_ARRAY,"Urban","p75")</f>
        <v>0</v>
      </c>
      <c r="R63">
        <v>0</v>
      </c>
      <c r="S63">
        <v>0</v>
      </c>
      <c r="T63">
        <v>0</v>
      </c>
      <c r="U63">
        <v>0</v>
      </c>
      <c r="V63">
        <v>0</v>
      </c>
      <c r="W63">
        <v>0</v>
      </c>
      <c r="X63">
        <v>0</v>
      </c>
      <c r="Y63">
        <v>0</v>
      </c>
      <c r="Z63">
        <v>0</v>
      </c>
    </row>
    <row r="64" spans="4:26" x14ac:dyDescent="0.25">
      <c r="D64" s="6" t="s">
        <v>78</v>
      </c>
      <c r="E64" s="6" t="s">
        <v>385</v>
      </c>
      <c r="F64" s="6" t="s">
        <v>382</v>
      </c>
      <c r="G64" s="6" t="s">
        <v>335</v>
      </c>
      <c r="H64" s="6" t="s">
        <v>383</v>
      </c>
      <c r="P64" s="10" cm="1">
        <f t="array" ref="P64">BSHARE("coa_share",0,"Rural","p75")</f>
        <v>0</v>
      </c>
    </row>
    <row r="65" spans="3:26" x14ac:dyDescent="0.25">
      <c r="D65" s="6" t="s">
        <v>78</v>
      </c>
      <c r="E65" s="6" t="s">
        <v>385</v>
      </c>
      <c r="F65" s="6" t="s">
        <v>145</v>
      </c>
      <c r="G65" s="6" t="s">
        <v>335</v>
      </c>
      <c r="H65" s="6" t="s">
        <v>383</v>
      </c>
      <c r="Q65" s="10" cm="1">
        <f t="array" ref="Q65:Z65">BSHARE("coa_share",DECILE_ARRAY,"Rural","p75")</f>
        <v>0</v>
      </c>
      <c r="R65">
        <v>0</v>
      </c>
      <c r="S65">
        <v>0</v>
      </c>
      <c r="T65">
        <v>0</v>
      </c>
      <c r="U65">
        <v>0</v>
      </c>
      <c r="V65">
        <v>0</v>
      </c>
      <c r="W65">
        <v>0</v>
      </c>
      <c r="X65">
        <v>0</v>
      </c>
      <c r="Y65">
        <v>0</v>
      </c>
      <c r="Z65">
        <v>0</v>
      </c>
    </row>
    <row r="67" spans="3:26" x14ac:dyDescent="0.25">
      <c r="C67" s="7" t="s">
        <v>386</v>
      </c>
      <c r="G67" s="6" t="s">
        <v>337</v>
      </c>
      <c r="O67" s="2" t="s">
        <v>331</v>
      </c>
      <c r="Q67" s="2">
        <v>1</v>
      </c>
      <c r="R67" s="2">
        <v>2</v>
      </c>
      <c r="S67" s="2">
        <v>3</v>
      </c>
      <c r="T67" s="2">
        <v>4</v>
      </c>
      <c r="U67" s="2">
        <v>5</v>
      </c>
      <c r="V67" s="2">
        <v>6</v>
      </c>
      <c r="W67" s="2">
        <v>7</v>
      </c>
      <c r="X67" s="2">
        <v>8</v>
      </c>
      <c r="Y67" s="2">
        <v>9</v>
      </c>
      <c r="Z67" s="2">
        <v>10</v>
      </c>
    </row>
    <row r="68" spans="3:26" x14ac:dyDescent="0.25">
      <c r="D68" s="6" t="s">
        <v>69</v>
      </c>
      <c r="E68" s="6" t="s">
        <v>381</v>
      </c>
      <c r="F68" s="6" t="s">
        <v>382</v>
      </c>
      <c r="G68" s="6" t="s">
        <v>337</v>
      </c>
      <c r="H68" s="6" t="s">
        <v>383</v>
      </c>
      <c r="P68" s="10" cm="1">
        <f t="array" ref="P68">BSHARE("ely_share",0,"Overall","mean")</f>
        <v>3.5049160624102451</v>
      </c>
    </row>
    <row r="69" spans="3:26" x14ac:dyDescent="0.25">
      <c r="D69" s="6" t="s">
        <v>69</v>
      </c>
      <c r="E69" s="6" t="s">
        <v>381</v>
      </c>
      <c r="F69" s="6" t="s">
        <v>145</v>
      </c>
      <c r="G69" s="6" t="s">
        <v>337</v>
      </c>
      <c r="H69" s="6" t="s">
        <v>383</v>
      </c>
      <c r="Q69" s="10" cm="1">
        <f t="array" ref="Q69:Z69">BSHARE("ely_share",DECILE_ARRAY,"Overall","mean")</f>
        <v>3.6628603722129132</v>
      </c>
      <c r="R69">
        <v>3.408518407778748</v>
      </c>
      <c r="S69">
        <v>3.419369533696806</v>
      </c>
      <c r="T69">
        <v>3.2968994606057751</v>
      </c>
      <c r="U69">
        <v>3.223797107722242</v>
      </c>
      <c r="V69">
        <v>3.2680116114773918</v>
      </c>
      <c r="W69">
        <v>3.4458614428198699</v>
      </c>
      <c r="X69">
        <v>3.6481472505836599</v>
      </c>
      <c r="Y69">
        <v>3.6654216113137981</v>
      </c>
      <c r="Z69">
        <v>3.8639166201864281</v>
      </c>
    </row>
    <row r="70" spans="3:26" x14ac:dyDescent="0.25">
      <c r="D70" s="6" t="s">
        <v>69</v>
      </c>
      <c r="E70" s="6" t="s">
        <v>384</v>
      </c>
      <c r="F70" s="6" t="s">
        <v>382</v>
      </c>
      <c r="G70" s="6" t="s">
        <v>337</v>
      </c>
      <c r="H70" s="6" t="s">
        <v>383</v>
      </c>
      <c r="P70" s="10" cm="1">
        <f t="array" ref="P70">BSHARE("ely_share",0,"Urban","mean")</f>
        <v>3.6297624734483409</v>
      </c>
    </row>
    <row r="71" spans="3:26" x14ac:dyDescent="0.25">
      <c r="D71" s="6" t="s">
        <v>69</v>
      </c>
      <c r="E71" s="6" t="s">
        <v>384</v>
      </c>
      <c r="F71" s="6" t="s">
        <v>145</v>
      </c>
      <c r="G71" s="6" t="s">
        <v>337</v>
      </c>
      <c r="H71" s="6" t="s">
        <v>383</v>
      </c>
      <c r="Q71" s="10" cm="1">
        <f t="array" ref="Q71:Z71">BSHARE("ely_share",DECILE_ARRAY,"Urban","mean")</f>
        <v>3.55452048907051</v>
      </c>
      <c r="R71">
        <v>3.2407243909892038</v>
      </c>
      <c r="S71">
        <v>3.441799663455984</v>
      </c>
      <c r="T71">
        <v>3.2620834311048341</v>
      </c>
      <c r="U71">
        <v>3.1417736979929121</v>
      </c>
      <c r="V71">
        <v>3.13223180160709</v>
      </c>
      <c r="W71">
        <v>3.480589636108443</v>
      </c>
      <c r="X71">
        <v>3.386240193152231</v>
      </c>
      <c r="Y71">
        <v>3.3776943910551749</v>
      </c>
      <c r="Z71">
        <v>3.7063932454710882</v>
      </c>
    </row>
    <row r="72" spans="3:26" x14ac:dyDescent="0.25">
      <c r="D72" s="6" t="s">
        <v>69</v>
      </c>
      <c r="E72" s="6" t="s">
        <v>385</v>
      </c>
      <c r="F72" s="6" t="s">
        <v>382</v>
      </c>
      <c r="G72" s="6" t="s">
        <v>337</v>
      </c>
      <c r="H72" s="6" t="s">
        <v>383</v>
      </c>
      <c r="P72" s="10" cm="1">
        <f t="array" ref="P72">BSHARE("ely_share",0,"Rural","mean")</f>
        <v>3.6118703291587368</v>
      </c>
    </row>
    <row r="73" spans="3:26" x14ac:dyDescent="0.25">
      <c r="D73" s="6" t="s">
        <v>69</v>
      </c>
      <c r="E73" s="6" t="s">
        <v>385</v>
      </c>
      <c r="F73" s="6" t="s">
        <v>145</v>
      </c>
      <c r="G73" s="6" t="s">
        <v>337</v>
      </c>
      <c r="H73" s="6" t="s">
        <v>383</v>
      </c>
      <c r="Q73" s="10" cm="1">
        <f t="array" ref="Q73:Z73">BSHARE("ely_share",DECILE_ARRAY,"Rural","mean")</f>
        <v>3.846207679299666</v>
      </c>
      <c r="R73">
        <v>3.501517539565012</v>
      </c>
      <c r="S73">
        <v>3.231174888069031</v>
      </c>
      <c r="T73">
        <v>3.264668742878412</v>
      </c>
      <c r="U73">
        <v>3.3569749811588081</v>
      </c>
      <c r="V73">
        <v>3.4275452672609612</v>
      </c>
      <c r="W73">
        <v>3.185050340381856</v>
      </c>
      <c r="X73">
        <v>3.4053841747907798</v>
      </c>
      <c r="Y73">
        <v>3.37503958612808</v>
      </c>
      <c r="Z73">
        <v>3.9917648954093989</v>
      </c>
    </row>
    <row r="74" spans="3:26" x14ac:dyDescent="0.25">
      <c r="D74" s="6" t="s">
        <v>72</v>
      </c>
      <c r="E74" s="6" t="s">
        <v>381</v>
      </c>
      <c r="F74" s="6" t="s">
        <v>382</v>
      </c>
      <c r="G74" s="6" t="s">
        <v>337</v>
      </c>
      <c r="H74" s="6" t="s">
        <v>383</v>
      </c>
      <c r="P74" s="10" cm="1">
        <f t="array" ref="P74">BSHARE("ely_share",0,"Overall","median")</f>
        <v>3.099639251076149</v>
      </c>
    </row>
    <row r="75" spans="3:26" x14ac:dyDescent="0.25">
      <c r="D75" s="6" t="s">
        <v>72</v>
      </c>
      <c r="E75" s="6" t="s">
        <v>381</v>
      </c>
      <c r="F75" s="6" t="s">
        <v>145</v>
      </c>
      <c r="G75" s="6" t="s">
        <v>337</v>
      </c>
      <c r="H75" s="6" t="s">
        <v>383</v>
      </c>
      <c r="Q75" s="10" cm="1">
        <f t="array" ref="Q75:Z75">BSHARE("ely_share",DECILE_ARRAY,"Overall","median")</f>
        <v>3.5232009691751811</v>
      </c>
      <c r="R75">
        <v>2.9855793667992199</v>
      </c>
      <c r="S75">
        <v>3.0846930334068179</v>
      </c>
      <c r="T75">
        <v>3.0012610152756531</v>
      </c>
      <c r="U75">
        <v>3.04450317710406</v>
      </c>
      <c r="V75">
        <v>3.0140714457607771</v>
      </c>
      <c r="W75">
        <v>2.9004576964506379</v>
      </c>
      <c r="X75">
        <v>3.122215870202258</v>
      </c>
      <c r="Y75">
        <v>3.302503607663672</v>
      </c>
      <c r="Z75">
        <v>3.236847554284322</v>
      </c>
    </row>
    <row r="76" spans="3:26" x14ac:dyDescent="0.25">
      <c r="D76" s="6" t="s">
        <v>72</v>
      </c>
      <c r="E76" s="6" t="s">
        <v>384</v>
      </c>
      <c r="F76" s="6" t="s">
        <v>382</v>
      </c>
      <c r="G76" s="6" t="s">
        <v>337</v>
      </c>
      <c r="H76" s="6" t="s">
        <v>383</v>
      </c>
      <c r="P76" s="10" cm="1">
        <f t="array" ref="P76">BSHARE("ely_share",0,"Urban","median")</f>
        <v>2.9334716282078031</v>
      </c>
    </row>
    <row r="77" spans="3:26" x14ac:dyDescent="0.25">
      <c r="D77" s="6" t="s">
        <v>72</v>
      </c>
      <c r="E77" s="6" t="s">
        <v>384</v>
      </c>
      <c r="F77" s="6" t="s">
        <v>145</v>
      </c>
      <c r="G77" s="6" t="s">
        <v>337</v>
      </c>
      <c r="H77" s="6" t="s">
        <v>383</v>
      </c>
      <c r="Q77" s="10" cm="1">
        <f t="array" ref="Q77:Z77">BSHARE("ely_share",DECILE_ARRAY,"Urban","median")</f>
        <v>3.1137647792350491</v>
      </c>
      <c r="R77">
        <v>3.0963756877363542</v>
      </c>
      <c r="S77">
        <v>2.957069507853916</v>
      </c>
      <c r="T77">
        <v>3.0727129407206322</v>
      </c>
      <c r="U77">
        <v>3.0007688357990561</v>
      </c>
      <c r="V77">
        <v>2.9536270251362651</v>
      </c>
      <c r="W77">
        <v>2.9509858735798602</v>
      </c>
      <c r="X77">
        <v>3.1144119597012629</v>
      </c>
      <c r="Y77">
        <v>3.272622841706526</v>
      </c>
      <c r="Z77">
        <v>3.6063510636895688</v>
      </c>
    </row>
    <row r="78" spans="3:26" x14ac:dyDescent="0.25">
      <c r="D78" s="6" t="s">
        <v>72</v>
      </c>
      <c r="E78" s="6" t="s">
        <v>385</v>
      </c>
      <c r="F78" s="6" t="s">
        <v>382</v>
      </c>
      <c r="G78" s="6" t="s">
        <v>337</v>
      </c>
      <c r="H78" s="6" t="s">
        <v>383</v>
      </c>
      <c r="P78" s="10" cm="1">
        <f t="array" ref="P78">BSHARE("ely_share",0,"Rural","median")</f>
        <v>3.150179900051024</v>
      </c>
    </row>
    <row r="79" spans="3:26" x14ac:dyDescent="0.25">
      <c r="D79" s="6" t="s">
        <v>72</v>
      </c>
      <c r="E79" s="6" t="s">
        <v>385</v>
      </c>
      <c r="F79" s="6" t="s">
        <v>145</v>
      </c>
      <c r="G79" s="6" t="s">
        <v>337</v>
      </c>
      <c r="H79" s="6" t="s">
        <v>383</v>
      </c>
      <c r="Q79" s="10" cm="1">
        <f t="array" ref="Q79:Z79">BSHARE("ely_share",DECILE_ARRAY,"Rural","median")</f>
        <v>3.391367472188346</v>
      </c>
      <c r="R79">
        <v>3.1637739051141192</v>
      </c>
      <c r="S79">
        <v>3.1850872205604048</v>
      </c>
      <c r="T79">
        <v>2.817611024946002</v>
      </c>
      <c r="U79">
        <v>2.8702639823743321</v>
      </c>
      <c r="V79">
        <v>2.7647628779504929</v>
      </c>
      <c r="W79">
        <v>3.0298649159232061</v>
      </c>
      <c r="X79">
        <v>2.9851342047914682</v>
      </c>
      <c r="Y79">
        <v>2.946601512625771</v>
      </c>
      <c r="Z79">
        <v>3.3485327015147881</v>
      </c>
    </row>
    <row r="80" spans="3:26" x14ac:dyDescent="0.25">
      <c r="D80" s="6" t="s">
        <v>75</v>
      </c>
      <c r="E80" s="6" t="s">
        <v>381</v>
      </c>
      <c r="F80" s="6" t="s">
        <v>382</v>
      </c>
      <c r="G80" s="6" t="s">
        <v>337</v>
      </c>
      <c r="H80" s="6" t="s">
        <v>383</v>
      </c>
      <c r="P80" s="10" cm="1">
        <f t="array" ref="P80">BSHARE("ely_share",0,"Overall","p25")</f>
        <v>2.251078812260551</v>
      </c>
    </row>
    <row r="81" spans="3:26" x14ac:dyDescent="0.25">
      <c r="D81" s="6" t="s">
        <v>75</v>
      </c>
      <c r="E81" s="6" t="s">
        <v>381</v>
      </c>
      <c r="F81" s="6" t="s">
        <v>145</v>
      </c>
      <c r="G81" s="6" t="s">
        <v>337</v>
      </c>
      <c r="H81" s="6" t="s">
        <v>383</v>
      </c>
      <c r="Q81" s="10" cm="1">
        <f t="array" ref="Q81:Z81">BSHARE("ely_share",DECILE_ARRAY,"Overall","p25")</f>
        <v>2.2338525034572689</v>
      </c>
      <c r="R81">
        <v>2.2558006455062252</v>
      </c>
      <c r="S81">
        <v>2.243939493718778</v>
      </c>
      <c r="T81">
        <v>2.1173463104799231</v>
      </c>
      <c r="U81">
        <v>2.1591704829363061</v>
      </c>
      <c r="V81">
        <v>2.1489579917985742</v>
      </c>
      <c r="W81">
        <v>2.2219340543398221</v>
      </c>
      <c r="X81">
        <v>2.223846392288098</v>
      </c>
      <c r="Y81">
        <v>2.2292163012890498</v>
      </c>
      <c r="Z81">
        <v>2.174076199681743</v>
      </c>
    </row>
    <row r="82" spans="3:26" x14ac:dyDescent="0.25">
      <c r="D82" s="6" t="s">
        <v>75</v>
      </c>
      <c r="E82" s="6" t="s">
        <v>384</v>
      </c>
      <c r="F82" s="6" t="s">
        <v>382</v>
      </c>
      <c r="G82" s="6" t="s">
        <v>337</v>
      </c>
      <c r="H82" s="6" t="s">
        <v>383</v>
      </c>
      <c r="P82" s="10" cm="1">
        <f t="array" ref="P82">BSHARE("ely_share",0,"Urban","p25")</f>
        <v>1.988064242402876</v>
      </c>
    </row>
    <row r="83" spans="3:26" x14ac:dyDescent="0.25">
      <c r="D83" s="6" t="s">
        <v>75</v>
      </c>
      <c r="E83" s="6" t="s">
        <v>384</v>
      </c>
      <c r="F83" s="6" t="s">
        <v>145</v>
      </c>
      <c r="G83" s="6" t="s">
        <v>337</v>
      </c>
      <c r="H83" s="6" t="s">
        <v>383</v>
      </c>
      <c r="Q83" s="10" cm="1">
        <f t="array" ref="Q83:Z83">BSHARE("ely_share",DECILE_ARRAY,"Urban","p25")</f>
        <v>2.1274881473137048</v>
      </c>
      <c r="R83">
        <v>2.0045702754041481</v>
      </c>
      <c r="S83">
        <v>2.1123961118423402</v>
      </c>
      <c r="T83">
        <v>2.105007209048801</v>
      </c>
      <c r="U83">
        <v>2.1212602877161659</v>
      </c>
      <c r="V83">
        <v>2.1676766826780871</v>
      </c>
      <c r="W83">
        <v>2.187639832796715</v>
      </c>
      <c r="X83">
        <v>2.0178414794236388</v>
      </c>
      <c r="Y83">
        <v>2.3516581257301219</v>
      </c>
      <c r="Z83">
        <v>2.30464214479364</v>
      </c>
    </row>
    <row r="84" spans="3:26" x14ac:dyDescent="0.25">
      <c r="D84" s="6" t="s">
        <v>75</v>
      </c>
      <c r="E84" s="6" t="s">
        <v>385</v>
      </c>
      <c r="F84" s="6" t="s">
        <v>382</v>
      </c>
      <c r="G84" s="6" t="s">
        <v>337</v>
      </c>
      <c r="H84" s="6" t="s">
        <v>383</v>
      </c>
      <c r="P84" s="10" cm="1">
        <f t="array" ref="P84">BSHARE("ely_share",0,"Rural","p25")</f>
        <v>2.4112433062834349</v>
      </c>
    </row>
    <row r="85" spans="3:26" x14ac:dyDescent="0.25">
      <c r="D85" s="6" t="s">
        <v>75</v>
      </c>
      <c r="E85" s="6" t="s">
        <v>385</v>
      </c>
      <c r="F85" s="6" t="s">
        <v>145</v>
      </c>
      <c r="G85" s="6" t="s">
        <v>337</v>
      </c>
      <c r="H85" s="6" t="s">
        <v>383</v>
      </c>
      <c r="Q85" s="10" cm="1">
        <f t="array" ref="Q85:Z85">BSHARE("ely_share",DECILE_ARRAY,"Rural","p25")</f>
        <v>2.5370567558042931</v>
      </c>
      <c r="R85">
        <v>2.3770166856368848</v>
      </c>
      <c r="S85">
        <v>2.2542181315243388</v>
      </c>
      <c r="T85">
        <v>2.1478528177416281</v>
      </c>
      <c r="U85">
        <v>2.1718482262256029</v>
      </c>
      <c r="V85">
        <v>2.1186351932558498</v>
      </c>
      <c r="W85">
        <v>2.0547293936930471</v>
      </c>
      <c r="X85">
        <v>2.033630615103978</v>
      </c>
      <c r="Y85">
        <v>2.291341541498364</v>
      </c>
      <c r="Z85">
        <v>2.461379490417074</v>
      </c>
    </row>
    <row r="86" spans="3:26" x14ac:dyDescent="0.25">
      <c r="D86" s="6" t="s">
        <v>78</v>
      </c>
      <c r="E86" s="6" t="s">
        <v>381</v>
      </c>
      <c r="F86" s="6" t="s">
        <v>382</v>
      </c>
      <c r="G86" s="6" t="s">
        <v>337</v>
      </c>
      <c r="H86" s="6" t="s">
        <v>383</v>
      </c>
      <c r="P86" s="10" cm="1">
        <f t="array" ref="P86">BSHARE("ely_share",0,"Overall","p75")</f>
        <v>4.0121621018092419</v>
      </c>
    </row>
    <row r="87" spans="3:26" x14ac:dyDescent="0.25">
      <c r="D87" s="6" t="s">
        <v>78</v>
      </c>
      <c r="E87" s="6" t="s">
        <v>381</v>
      </c>
      <c r="F87" s="6" t="s">
        <v>145</v>
      </c>
      <c r="G87" s="6" t="s">
        <v>337</v>
      </c>
      <c r="H87" s="6" t="s">
        <v>383</v>
      </c>
      <c r="Q87" s="10" cm="1">
        <f t="array" ref="Q87:Z87">BSHARE("ely_share",DECILE_ARRAY,"Overall","p75")</f>
        <v>4.4101602471832368</v>
      </c>
      <c r="R87">
        <v>4.1523356836873502</v>
      </c>
      <c r="S87">
        <v>4.1082580813255722</v>
      </c>
      <c r="T87">
        <v>3.7014892942596789</v>
      </c>
      <c r="U87">
        <v>4.0777541387370357</v>
      </c>
      <c r="V87">
        <v>4.0424394313600729</v>
      </c>
      <c r="W87">
        <v>4.2888272447978482</v>
      </c>
      <c r="X87">
        <v>4.376073836297226</v>
      </c>
      <c r="Y87">
        <v>4.1925366112821534</v>
      </c>
      <c r="Z87">
        <v>4.6088345358962908</v>
      </c>
    </row>
    <row r="88" spans="3:26" x14ac:dyDescent="0.25">
      <c r="D88" s="6" t="s">
        <v>78</v>
      </c>
      <c r="E88" s="6" t="s">
        <v>384</v>
      </c>
      <c r="F88" s="6" t="s">
        <v>382</v>
      </c>
      <c r="G88" s="6" t="s">
        <v>337</v>
      </c>
      <c r="H88" s="6" t="s">
        <v>383</v>
      </c>
      <c r="P88" s="10" cm="1">
        <f t="array" ref="P88">BSHARE("ely_share",0,"Urban","p75")</f>
        <v>4.3400895248766629</v>
      </c>
    </row>
    <row r="89" spans="3:26" x14ac:dyDescent="0.25">
      <c r="D89" s="6" t="s">
        <v>78</v>
      </c>
      <c r="E89" s="6" t="s">
        <v>384</v>
      </c>
      <c r="F89" s="6" t="s">
        <v>145</v>
      </c>
      <c r="G89" s="6" t="s">
        <v>337</v>
      </c>
      <c r="H89" s="6" t="s">
        <v>383</v>
      </c>
      <c r="Q89" s="10" cm="1">
        <f t="array" ref="Q89:Z89">BSHARE("ely_share",DECILE_ARRAY,"Urban","p75")</f>
        <v>4.4118255628484411</v>
      </c>
      <c r="R89">
        <v>4.223206779889094</v>
      </c>
      <c r="S89">
        <v>4.1443383303762538</v>
      </c>
      <c r="T89">
        <v>3.9583491536337712</v>
      </c>
      <c r="U89">
        <v>4.2429674300791653</v>
      </c>
      <c r="V89">
        <v>3.9437587559675462</v>
      </c>
      <c r="W89">
        <v>4.2544300884049813</v>
      </c>
      <c r="X89">
        <v>4.415303641972157</v>
      </c>
      <c r="Y89">
        <v>4.3667792011848059</v>
      </c>
      <c r="Z89">
        <v>4.8669360781652964</v>
      </c>
    </row>
    <row r="90" spans="3:26" x14ac:dyDescent="0.25">
      <c r="D90" s="6" t="s">
        <v>78</v>
      </c>
      <c r="E90" s="6" t="s">
        <v>385</v>
      </c>
      <c r="F90" s="6" t="s">
        <v>382</v>
      </c>
      <c r="G90" s="6" t="s">
        <v>337</v>
      </c>
      <c r="H90" s="6" t="s">
        <v>383</v>
      </c>
      <c r="P90" s="10" cm="1">
        <f t="array" ref="P90">BSHARE("ely_share",0,"Rural","p75")</f>
        <v>3.9042624582704102</v>
      </c>
    </row>
    <row r="91" spans="3:26" x14ac:dyDescent="0.25">
      <c r="D91" s="6" t="s">
        <v>78</v>
      </c>
      <c r="E91" s="6" t="s">
        <v>385</v>
      </c>
      <c r="F91" s="6" t="s">
        <v>145</v>
      </c>
      <c r="G91" s="6" t="s">
        <v>337</v>
      </c>
      <c r="H91" s="6" t="s">
        <v>383</v>
      </c>
      <c r="Q91" s="10" cm="1">
        <f t="array" ref="Q91:Z91">BSHARE("ely_share",DECILE_ARRAY,"Rural","p75")</f>
        <v>4.1994836724911373</v>
      </c>
      <c r="R91">
        <v>4.4064453511466279</v>
      </c>
      <c r="S91">
        <v>4.2867269573619762</v>
      </c>
      <c r="T91">
        <v>4.1441257041331028</v>
      </c>
      <c r="U91">
        <v>3.835487874468746</v>
      </c>
      <c r="V91">
        <v>4.1461150131247999</v>
      </c>
      <c r="W91">
        <v>4.1192123186944674</v>
      </c>
      <c r="X91">
        <v>4.0642753885033036</v>
      </c>
      <c r="Y91">
        <v>4.4422315038136508</v>
      </c>
      <c r="Z91">
        <v>4.7230719263417926</v>
      </c>
    </row>
    <row r="93" spans="3:26" x14ac:dyDescent="0.25">
      <c r="C93" s="7" t="s">
        <v>387</v>
      </c>
      <c r="G93" s="6" t="s">
        <v>339</v>
      </c>
      <c r="O93" s="2" t="s">
        <v>331</v>
      </c>
      <c r="Q93" s="2">
        <v>1</v>
      </c>
      <c r="R93" s="2">
        <v>2</v>
      </c>
      <c r="S93" s="2">
        <v>3</v>
      </c>
      <c r="T93" s="2">
        <v>4</v>
      </c>
      <c r="U93" s="2">
        <v>5</v>
      </c>
      <c r="V93" s="2">
        <v>6</v>
      </c>
      <c r="W93" s="2">
        <v>7</v>
      </c>
      <c r="X93" s="2">
        <v>8</v>
      </c>
      <c r="Y93" s="2">
        <v>9</v>
      </c>
      <c r="Z93" s="2">
        <v>10</v>
      </c>
    </row>
    <row r="94" spans="3:26" x14ac:dyDescent="0.25">
      <c r="D94" s="6" t="s">
        <v>69</v>
      </c>
      <c r="E94" s="6" t="s">
        <v>381</v>
      </c>
      <c r="F94" s="6" t="s">
        <v>382</v>
      </c>
      <c r="G94" s="6" t="s">
        <v>339</v>
      </c>
      <c r="H94" s="6" t="s">
        <v>383</v>
      </c>
      <c r="P94" s="10" cm="1">
        <f t="array" ref="P94">BSHARE("nga_share",0,"Overall","mean")</f>
        <v>0.35002632930540989</v>
      </c>
    </row>
    <row r="95" spans="3:26" x14ac:dyDescent="0.25">
      <c r="D95" s="6" t="s">
        <v>69</v>
      </c>
      <c r="E95" s="6" t="s">
        <v>381</v>
      </c>
      <c r="F95" s="6" t="s">
        <v>145</v>
      </c>
      <c r="G95" s="6" t="s">
        <v>339</v>
      </c>
      <c r="H95" s="6" t="s">
        <v>383</v>
      </c>
      <c r="Q95" s="10" cm="1">
        <f t="array" ref="Q95:Z95">BSHARE("nga_share",DECILE_ARRAY,"Overall","mean")</f>
        <v>0.28327558408333903</v>
      </c>
      <c r="R95">
        <v>0.26837382811771648</v>
      </c>
      <c r="S95">
        <v>0.28560634129188472</v>
      </c>
      <c r="T95">
        <v>0.2978854180586199</v>
      </c>
      <c r="U95">
        <v>0.3066752581174817</v>
      </c>
      <c r="V95">
        <v>0.32797309007623682</v>
      </c>
      <c r="W95">
        <v>0.36621283319677878</v>
      </c>
      <c r="X95">
        <v>0.44746787545447692</v>
      </c>
      <c r="Y95">
        <v>0.43861102207155439</v>
      </c>
      <c r="Z95">
        <v>0.58584464916605183</v>
      </c>
    </row>
    <row r="96" spans="3:26" x14ac:dyDescent="0.25">
      <c r="D96" s="6" t="s">
        <v>69</v>
      </c>
      <c r="E96" s="6" t="s">
        <v>384</v>
      </c>
      <c r="F96" s="6" t="s">
        <v>382</v>
      </c>
      <c r="G96" s="6" t="s">
        <v>339</v>
      </c>
      <c r="H96" s="6" t="s">
        <v>383</v>
      </c>
      <c r="P96" s="10" cm="1">
        <f t="array" ref="P96">BSHARE("nga_share",0,"Urban","mean")</f>
        <v>0.74737610184850056</v>
      </c>
    </row>
    <row r="97" spans="4:26" x14ac:dyDescent="0.25">
      <c r="D97" s="6" t="s">
        <v>69</v>
      </c>
      <c r="E97" s="6" t="s">
        <v>384</v>
      </c>
      <c r="F97" s="6" t="s">
        <v>145</v>
      </c>
      <c r="G97" s="6" t="s">
        <v>339</v>
      </c>
      <c r="H97" s="6" t="s">
        <v>383</v>
      </c>
      <c r="Q97" s="10" cm="1">
        <f t="array" ref="Q97:Z97">BSHARE("nga_share",DECILE_ARRAY,"Urban","mean")</f>
        <v>0.67576783116329942</v>
      </c>
      <c r="R97">
        <v>0.63733205096475609</v>
      </c>
      <c r="S97">
        <v>0.65030086099638074</v>
      </c>
      <c r="T97">
        <v>0.64024450718954917</v>
      </c>
      <c r="U97">
        <v>0.73127457280982888</v>
      </c>
      <c r="V97">
        <v>0.70956797226344759</v>
      </c>
      <c r="W97">
        <v>0.81406101542559617</v>
      </c>
      <c r="X97">
        <v>0.79442807514263725</v>
      </c>
      <c r="Y97">
        <v>0.8318338421506033</v>
      </c>
      <c r="Z97">
        <v>0.8518410383375894</v>
      </c>
    </row>
    <row r="98" spans="4:26" x14ac:dyDescent="0.25">
      <c r="D98" s="6" t="s">
        <v>69</v>
      </c>
      <c r="E98" s="6" t="s">
        <v>385</v>
      </c>
      <c r="F98" s="6" t="s">
        <v>382</v>
      </c>
      <c r="G98" s="6" t="s">
        <v>339</v>
      </c>
      <c r="H98" s="6" t="s">
        <v>383</v>
      </c>
      <c r="P98" s="10" cm="1">
        <f t="array" ref="P98">BSHARE("nga_share",0,"Rural","mean")</f>
        <v>6.1325279003192242E-2</v>
      </c>
    </row>
    <row r="99" spans="4:26" x14ac:dyDescent="0.25">
      <c r="D99" s="6" t="s">
        <v>69</v>
      </c>
      <c r="E99" s="6" t="s">
        <v>385</v>
      </c>
      <c r="F99" s="6" t="s">
        <v>145</v>
      </c>
      <c r="G99" s="6" t="s">
        <v>339</v>
      </c>
      <c r="H99" s="6" t="s">
        <v>383</v>
      </c>
      <c r="Q99" s="10" cm="1">
        <f t="array" ref="Q99:Z99">BSHARE("nga_share",DECILE_ARRAY,"Rural","mean")</f>
        <v>4.9883614879676581E-2</v>
      </c>
      <c r="R99">
        <v>6.6119367140015387E-2</v>
      </c>
      <c r="S99">
        <v>6.9426470556567699E-2</v>
      </c>
      <c r="T99">
        <v>6.2538006840987773E-2</v>
      </c>
      <c r="U99">
        <v>6.8722972306841726E-2</v>
      </c>
      <c r="V99">
        <v>6.6698930302210607E-2</v>
      </c>
      <c r="W99">
        <v>7.2346500449145534E-2</v>
      </c>
      <c r="X99">
        <v>8.2728693307842979E-2</v>
      </c>
      <c r="Y99">
        <v>5.797928784715542E-2</v>
      </c>
      <c r="Z99">
        <v>6.1143129234433213E-2</v>
      </c>
    </row>
    <row r="100" spans="4:26" x14ac:dyDescent="0.25">
      <c r="D100" s="6" t="s">
        <v>72</v>
      </c>
      <c r="E100" s="6" t="s">
        <v>381</v>
      </c>
      <c r="F100" s="6" t="s">
        <v>382</v>
      </c>
      <c r="G100" s="6" t="s">
        <v>339</v>
      </c>
      <c r="H100" s="6" t="s">
        <v>383</v>
      </c>
      <c r="P100" s="10" cm="1">
        <f t="array" ref="P100">BSHARE("nga_share",0,"Overall","median")</f>
        <v>0</v>
      </c>
    </row>
    <row r="101" spans="4:26" x14ac:dyDescent="0.25">
      <c r="D101" s="6" t="s">
        <v>72</v>
      </c>
      <c r="E101" s="6" t="s">
        <v>381</v>
      </c>
      <c r="F101" s="6" t="s">
        <v>145</v>
      </c>
      <c r="G101" s="6" t="s">
        <v>339</v>
      </c>
      <c r="H101" s="6" t="s">
        <v>383</v>
      </c>
      <c r="Q101" s="10" cm="1">
        <f t="array" ref="Q101:Z101">BSHARE("nga_share",DECILE_ARRAY,"Overall","median")</f>
        <v>0</v>
      </c>
      <c r="R101">
        <v>0</v>
      </c>
      <c r="S101">
        <v>0</v>
      </c>
      <c r="T101">
        <v>0</v>
      </c>
      <c r="U101">
        <v>0</v>
      </c>
      <c r="V101">
        <v>0</v>
      </c>
      <c r="W101">
        <v>0</v>
      </c>
      <c r="X101">
        <v>0</v>
      </c>
      <c r="Y101">
        <v>0</v>
      </c>
      <c r="Z101">
        <v>0.366188086802964</v>
      </c>
    </row>
    <row r="102" spans="4:26" x14ac:dyDescent="0.25">
      <c r="D102" s="6" t="s">
        <v>72</v>
      </c>
      <c r="E102" s="6" t="s">
        <v>384</v>
      </c>
      <c r="F102" s="6" t="s">
        <v>382</v>
      </c>
      <c r="G102" s="6" t="s">
        <v>339</v>
      </c>
      <c r="H102" s="6" t="s">
        <v>383</v>
      </c>
      <c r="P102" s="10" cm="1">
        <f t="array" ref="P102">BSHARE("nga_share",0,"Urban","median")</f>
        <v>0.56070648796279887</v>
      </c>
    </row>
    <row r="103" spans="4:26" x14ac:dyDescent="0.25">
      <c r="D103" s="6" t="s">
        <v>72</v>
      </c>
      <c r="E103" s="6" t="s">
        <v>384</v>
      </c>
      <c r="F103" s="6" t="s">
        <v>145</v>
      </c>
      <c r="G103" s="6" t="s">
        <v>339</v>
      </c>
      <c r="H103" s="6" t="s">
        <v>383</v>
      </c>
      <c r="Q103" s="10" cm="1">
        <f t="array" ref="Q103:Z103">BSHARE("nga_share",DECILE_ARRAY,"Urban","median")</f>
        <v>0</v>
      </c>
      <c r="R103">
        <v>0</v>
      </c>
      <c r="S103">
        <v>0.43604586177151028</v>
      </c>
      <c r="T103">
        <v>0.48447618585150681</v>
      </c>
      <c r="U103">
        <v>0.62633076846505631</v>
      </c>
      <c r="V103">
        <v>0.56991104375932189</v>
      </c>
      <c r="W103">
        <v>0.55753947552864858</v>
      </c>
      <c r="X103">
        <v>0.60101661939618389</v>
      </c>
      <c r="Y103">
        <v>0.6532848224748562</v>
      </c>
      <c r="Z103">
        <v>0.64725677694785666</v>
      </c>
    </row>
    <row r="104" spans="4:26" x14ac:dyDescent="0.25">
      <c r="D104" s="6" t="s">
        <v>72</v>
      </c>
      <c r="E104" s="6" t="s">
        <v>385</v>
      </c>
      <c r="F104" s="6" t="s">
        <v>382</v>
      </c>
      <c r="G104" s="6" t="s">
        <v>339</v>
      </c>
      <c r="H104" s="6" t="s">
        <v>383</v>
      </c>
      <c r="P104" s="10" cm="1">
        <f t="array" ref="P104">BSHARE("nga_share",0,"Rural","median")</f>
        <v>0</v>
      </c>
    </row>
    <row r="105" spans="4:26" x14ac:dyDescent="0.25">
      <c r="D105" s="6" t="s">
        <v>72</v>
      </c>
      <c r="E105" s="6" t="s">
        <v>385</v>
      </c>
      <c r="F105" s="6" t="s">
        <v>145</v>
      </c>
      <c r="G105" s="6" t="s">
        <v>339</v>
      </c>
      <c r="H105" s="6" t="s">
        <v>383</v>
      </c>
      <c r="Q105" s="10" cm="1">
        <f t="array" ref="Q105:Z105">BSHARE("nga_share",DECILE_ARRAY,"Rural","median")</f>
        <v>0</v>
      </c>
      <c r="R105">
        <v>0</v>
      </c>
      <c r="S105">
        <v>0</v>
      </c>
      <c r="T105">
        <v>0</v>
      </c>
      <c r="U105">
        <v>0</v>
      </c>
      <c r="V105">
        <v>0</v>
      </c>
      <c r="W105">
        <v>0</v>
      </c>
      <c r="X105">
        <v>0</v>
      </c>
      <c r="Y105">
        <v>0</v>
      </c>
      <c r="Z105">
        <v>0</v>
      </c>
    </row>
    <row r="106" spans="4:26" x14ac:dyDescent="0.25">
      <c r="D106" s="6" t="s">
        <v>75</v>
      </c>
      <c r="E106" s="6" t="s">
        <v>381</v>
      </c>
      <c r="F106" s="6" t="s">
        <v>382</v>
      </c>
      <c r="G106" s="6" t="s">
        <v>339</v>
      </c>
      <c r="H106" s="6" t="s">
        <v>383</v>
      </c>
      <c r="P106" s="10" cm="1">
        <f t="array" ref="P106">BSHARE("nga_share",0,"Overall","p25")</f>
        <v>0</v>
      </c>
    </row>
    <row r="107" spans="4:26" x14ac:dyDescent="0.25">
      <c r="D107" s="6" t="s">
        <v>75</v>
      </c>
      <c r="E107" s="6" t="s">
        <v>381</v>
      </c>
      <c r="F107" s="6" t="s">
        <v>145</v>
      </c>
      <c r="G107" s="6" t="s">
        <v>339</v>
      </c>
      <c r="H107" s="6" t="s">
        <v>383</v>
      </c>
      <c r="Q107" s="10" cm="1">
        <f t="array" ref="Q107:Z107">BSHARE("nga_share",DECILE_ARRAY,"Overall","p25")</f>
        <v>0</v>
      </c>
      <c r="R107">
        <v>0</v>
      </c>
      <c r="S107">
        <v>0</v>
      </c>
      <c r="T107">
        <v>0</v>
      </c>
      <c r="U107">
        <v>0</v>
      </c>
      <c r="V107">
        <v>0</v>
      </c>
      <c r="W107">
        <v>0</v>
      </c>
      <c r="X107">
        <v>0</v>
      </c>
      <c r="Y107">
        <v>0</v>
      </c>
      <c r="Z107">
        <v>0</v>
      </c>
    </row>
    <row r="108" spans="4:26" x14ac:dyDescent="0.25">
      <c r="D108" s="6" t="s">
        <v>75</v>
      </c>
      <c r="E108" s="6" t="s">
        <v>384</v>
      </c>
      <c r="F108" s="6" t="s">
        <v>382</v>
      </c>
      <c r="G108" s="6" t="s">
        <v>339</v>
      </c>
      <c r="H108" s="6" t="s">
        <v>383</v>
      </c>
      <c r="P108" s="10" cm="1">
        <f t="array" ref="P108">BSHARE("nga_share",0,"Urban","p25")</f>
        <v>0</v>
      </c>
    </row>
    <row r="109" spans="4:26" x14ac:dyDescent="0.25">
      <c r="D109" s="6" t="s">
        <v>75</v>
      </c>
      <c r="E109" s="6" t="s">
        <v>384</v>
      </c>
      <c r="F109" s="6" t="s">
        <v>145</v>
      </c>
      <c r="G109" s="6" t="s">
        <v>339</v>
      </c>
      <c r="H109" s="6" t="s">
        <v>383</v>
      </c>
      <c r="Q109" s="10" cm="1">
        <f t="array" ref="Q109:Z109">BSHARE("nga_share",DECILE_ARRAY,"Urban","p25")</f>
        <v>0</v>
      </c>
      <c r="R109">
        <v>0</v>
      </c>
      <c r="S109">
        <v>0</v>
      </c>
      <c r="T109">
        <v>0</v>
      </c>
      <c r="U109">
        <v>0</v>
      </c>
      <c r="V109">
        <v>0</v>
      </c>
      <c r="W109">
        <v>0</v>
      </c>
      <c r="X109">
        <v>0</v>
      </c>
      <c r="Y109">
        <v>0</v>
      </c>
      <c r="Z109">
        <v>0</v>
      </c>
    </row>
    <row r="110" spans="4:26" x14ac:dyDescent="0.25">
      <c r="D110" s="6" t="s">
        <v>75</v>
      </c>
      <c r="E110" s="6" t="s">
        <v>385</v>
      </c>
      <c r="F110" s="6" t="s">
        <v>382</v>
      </c>
      <c r="G110" s="6" t="s">
        <v>339</v>
      </c>
      <c r="H110" s="6" t="s">
        <v>383</v>
      </c>
      <c r="P110" s="10" cm="1">
        <f t="array" ref="P110">BSHARE("nga_share",0,"Rural","p25")</f>
        <v>0</v>
      </c>
    </row>
    <row r="111" spans="4:26" x14ac:dyDescent="0.25">
      <c r="D111" s="6" t="s">
        <v>75</v>
      </c>
      <c r="E111" s="6" t="s">
        <v>385</v>
      </c>
      <c r="F111" s="6" t="s">
        <v>145</v>
      </c>
      <c r="G111" s="6" t="s">
        <v>339</v>
      </c>
      <c r="H111" s="6" t="s">
        <v>383</v>
      </c>
      <c r="Q111" s="10" cm="1">
        <f t="array" ref="Q111:Z111">BSHARE("nga_share",DECILE_ARRAY,"Rural","p25")</f>
        <v>0</v>
      </c>
      <c r="R111">
        <v>0</v>
      </c>
      <c r="S111">
        <v>0</v>
      </c>
      <c r="T111">
        <v>0</v>
      </c>
      <c r="U111">
        <v>0</v>
      </c>
      <c r="V111">
        <v>0</v>
      </c>
      <c r="W111">
        <v>0</v>
      </c>
      <c r="X111">
        <v>0</v>
      </c>
      <c r="Y111">
        <v>0</v>
      </c>
      <c r="Z111">
        <v>0</v>
      </c>
    </row>
    <row r="112" spans="4:26" x14ac:dyDescent="0.25">
      <c r="D112" s="6" t="s">
        <v>78</v>
      </c>
      <c r="E112" s="6" t="s">
        <v>381</v>
      </c>
      <c r="F112" s="6" t="s">
        <v>382</v>
      </c>
      <c r="G112" s="6" t="s">
        <v>339</v>
      </c>
      <c r="H112" s="6" t="s">
        <v>383</v>
      </c>
      <c r="P112" s="10" cm="1">
        <f t="array" ref="P112">BSHARE("nga_share",0,"Overall","p75")</f>
        <v>0.62054028055860688</v>
      </c>
    </row>
    <row r="113" spans="3:26" x14ac:dyDescent="0.25">
      <c r="D113" s="6" t="s">
        <v>78</v>
      </c>
      <c r="E113" s="6" t="s">
        <v>381</v>
      </c>
      <c r="F113" s="6" t="s">
        <v>145</v>
      </c>
      <c r="G113" s="6" t="s">
        <v>339</v>
      </c>
      <c r="H113" s="6" t="s">
        <v>383</v>
      </c>
      <c r="Q113" s="10" cm="1">
        <f t="array" ref="Q113:Z113">BSHARE("nga_share",DECILE_ARRAY,"Overall","p75")</f>
        <v>0</v>
      </c>
      <c r="R113">
        <v>0</v>
      </c>
      <c r="S113">
        <v>0</v>
      </c>
      <c r="T113">
        <v>0</v>
      </c>
      <c r="U113">
        <v>0.56967780103515198</v>
      </c>
      <c r="V113">
        <v>0.58749560410849744</v>
      </c>
      <c r="W113">
        <v>0.59737816033473112</v>
      </c>
      <c r="X113">
        <v>0.66721865339407549</v>
      </c>
      <c r="Y113">
        <v>0.75083782874598326</v>
      </c>
      <c r="Z113">
        <v>0.91455507934249625</v>
      </c>
    </row>
    <row r="114" spans="3:26" x14ac:dyDescent="0.25">
      <c r="D114" s="6" t="s">
        <v>78</v>
      </c>
      <c r="E114" s="6" t="s">
        <v>384</v>
      </c>
      <c r="F114" s="6" t="s">
        <v>382</v>
      </c>
      <c r="G114" s="6" t="s">
        <v>339</v>
      </c>
      <c r="H114" s="6" t="s">
        <v>383</v>
      </c>
      <c r="P114" s="10" cm="1">
        <f t="array" ref="P114">BSHARE("nga_share",0,"Urban","p75")</f>
        <v>1.084789754121475</v>
      </c>
    </row>
    <row r="115" spans="3:26" x14ac:dyDescent="0.25">
      <c r="D115" s="6" t="s">
        <v>78</v>
      </c>
      <c r="E115" s="6" t="s">
        <v>384</v>
      </c>
      <c r="F115" s="6" t="s">
        <v>145</v>
      </c>
      <c r="G115" s="6" t="s">
        <v>339</v>
      </c>
      <c r="H115" s="6" t="s">
        <v>383</v>
      </c>
      <c r="Q115" s="10" cm="1">
        <f t="array" ref="Q115:Z115">BSHARE("nga_share",DECILE_ARRAY,"Urban","p75")</f>
        <v>1.291172639064839</v>
      </c>
      <c r="R115">
        <v>1.231742207282092</v>
      </c>
      <c r="S115">
        <v>1.046976078827633</v>
      </c>
      <c r="T115">
        <v>1.1166413724822699</v>
      </c>
      <c r="U115">
        <v>1.1500584657953381</v>
      </c>
      <c r="V115">
        <v>1.117046607453599</v>
      </c>
      <c r="W115">
        <v>1.167766253883763</v>
      </c>
      <c r="X115">
        <v>1.1864769628158049</v>
      </c>
      <c r="Y115">
        <v>1.186754299391662</v>
      </c>
      <c r="Z115">
        <v>1.194249787940056</v>
      </c>
    </row>
    <row r="116" spans="3:26" x14ac:dyDescent="0.25">
      <c r="D116" s="6" t="s">
        <v>78</v>
      </c>
      <c r="E116" s="6" t="s">
        <v>385</v>
      </c>
      <c r="F116" s="6" t="s">
        <v>382</v>
      </c>
      <c r="G116" s="6" t="s">
        <v>339</v>
      </c>
      <c r="H116" s="6" t="s">
        <v>383</v>
      </c>
      <c r="P116" s="10" cm="1">
        <f t="array" ref="P116">BSHARE("nga_share",0,"Rural","p75")</f>
        <v>0</v>
      </c>
    </row>
    <row r="117" spans="3:26" x14ac:dyDescent="0.25">
      <c r="D117" s="6" t="s">
        <v>78</v>
      </c>
      <c r="E117" s="6" t="s">
        <v>385</v>
      </c>
      <c r="F117" s="6" t="s">
        <v>145</v>
      </c>
      <c r="G117" s="6" t="s">
        <v>339</v>
      </c>
      <c r="H117" s="6" t="s">
        <v>383</v>
      </c>
      <c r="Q117" s="10" cm="1">
        <f t="array" ref="Q117:Z117">BSHARE("nga_share",DECILE_ARRAY,"Rural","p75")</f>
        <v>0</v>
      </c>
      <c r="R117">
        <v>0</v>
      </c>
      <c r="S117">
        <v>0</v>
      </c>
      <c r="T117">
        <v>0</v>
      </c>
      <c r="U117">
        <v>0</v>
      </c>
      <c r="V117">
        <v>0</v>
      </c>
      <c r="W117">
        <v>0</v>
      </c>
      <c r="X117">
        <v>0</v>
      </c>
      <c r="Y117">
        <v>0</v>
      </c>
      <c r="Z117">
        <v>0</v>
      </c>
    </row>
    <row r="119" spans="3:26" x14ac:dyDescent="0.25">
      <c r="C119" s="7" t="s">
        <v>388</v>
      </c>
      <c r="G119" s="6" t="s">
        <v>341</v>
      </c>
      <c r="O119" s="2" t="s">
        <v>331</v>
      </c>
      <c r="Q119" s="2">
        <v>1</v>
      </c>
      <c r="R119" s="2">
        <v>2</v>
      </c>
      <c r="S119" s="2">
        <v>3</v>
      </c>
      <c r="T119" s="2">
        <v>4</v>
      </c>
      <c r="U119" s="2">
        <v>5</v>
      </c>
      <c r="V119" s="2">
        <v>6</v>
      </c>
      <c r="W119" s="2">
        <v>7</v>
      </c>
      <c r="X119" s="2">
        <v>8</v>
      </c>
      <c r="Y119" s="2">
        <v>9</v>
      </c>
      <c r="Z119" s="2">
        <v>10</v>
      </c>
    </row>
    <row r="120" spans="3:26" x14ac:dyDescent="0.25">
      <c r="D120" s="6" t="s">
        <v>69</v>
      </c>
      <c r="E120" s="6" t="s">
        <v>381</v>
      </c>
      <c r="F120" s="6" t="s">
        <v>382</v>
      </c>
      <c r="G120" s="6" t="s">
        <v>341</v>
      </c>
      <c r="H120" s="6" t="s">
        <v>383</v>
      </c>
      <c r="P120" s="10" cm="1">
        <f t="array" ref="P120">BSHARE("oil_share",0,"Overall","mean")</f>
        <v>0.1321102983936765</v>
      </c>
    </row>
    <row r="121" spans="3:26" x14ac:dyDescent="0.25">
      <c r="D121" s="6" t="s">
        <v>69</v>
      </c>
      <c r="E121" s="6" t="s">
        <v>381</v>
      </c>
      <c r="F121" s="6" t="s">
        <v>145</v>
      </c>
      <c r="G121" s="6" t="s">
        <v>341</v>
      </c>
      <c r="H121" s="6" t="s">
        <v>383</v>
      </c>
      <c r="Q121" s="10" cm="1">
        <f t="array" ref="Q121:Z121">BSHARE("oil_share",DECILE_ARRAY,"Overall","mean")</f>
        <v>9.9819511526861984E-2</v>
      </c>
      <c r="R121">
        <v>0.10332766884968431</v>
      </c>
      <c r="S121">
        <v>0.13517276382322629</v>
      </c>
      <c r="T121">
        <v>9.9940185899586712E-2</v>
      </c>
      <c r="U121">
        <v>0.13985348389336211</v>
      </c>
      <c r="V121">
        <v>0.1372538586351458</v>
      </c>
      <c r="W121">
        <v>0.14024283954895</v>
      </c>
      <c r="X121">
        <v>0.1418461725745313</v>
      </c>
      <c r="Y121">
        <v>0.1447419180596157</v>
      </c>
      <c r="Z121">
        <v>0.15751649277127711</v>
      </c>
    </row>
    <row r="122" spans="3:26" x14ac:dyDescent="0.25">
      <c r="D122" s="6" t="s">
        <v>69</v>
      </c>
      <c r="E122" s="6" t="s">
        <v>384</v>
      </c>
      <c r="F122" s="6" t="s">
        <v>382</v>
      </c>
      <c r="G122" s="6" t="s">
        <v>341</v>
      </c>
      <c r="H122" s="6" t="s">
        <v>383</v>
      </c>
      <c r="P122" s="10" cm="1">
        <f t="array" ref="P122">BSHARE("oil_share",0,"Urban","mean")</f>
        <v>0.1202021038091617</v>
      </c>
    </row>
    <row r="123" spans="3:26" x14ac:dyDescent="0.25">
      <c r="D123" s="6" t="s">
        <v>69</v>
      </c>
      <c r="E123" s="6" t="s">
        <v>384</v>
      </c>
      <c r="F123" s="6" t="s">
        <v>145</v>
      </c>
      <c r="G123" s="6" t="s">
        <v>341</v>
      </c>
      <c r="H123" s="6" t="s">
        <v>383</v>
      </c>
      <c r="Q123" s="10" cm="1">
        <f t="array" ref="Q123:Z123">BSHARE("oil_share",DECILE_ARRAY,"Urban","mean")</f>
        <v>9.0090464591542935E-2</v>
      </c>
      <c r="R123">
        <v>9.6336437024470326E-2</v>
      </c>
      <c r="S123">
        <v>8.1636514513335201E-2</v>
      </c>
      <c r="T123">
        <v>0.115563842611627</v>
      </c>
      <c r="U123">
        <v>0.1365879055836253</v>
      </c>
      <c r="V123">
        <v>9.8411559255739453E-2</v>
      </c>
      <c r="W123">
        <v>0.15839330050225739</v>
      </c>
      <c r="X123">
        <v>0.14203226271604269</v>
      </c>
      <c r="Y123">
        <v>0.159041513450425</v>
      </c>
      <c r="Z123">
        <v>0.17379625602650051</v>
      </c>
    </row>
    <row r="124" spans="3:26" x14ac:dyDescent="0.25">
      <c r="D124" s="6" t="s">
        <v>69</v>
      </c>
      <c r="E124" s="6" t="s">
        <v>385</v>
      </c>
      <c r="F124" s="6" t="s">
        <v>382</v>
      </c>
      <c r="G124" s="6" t="s">
        <v>341</v>
      </c>
      <c r="H124" s="6" t="s">
        <v>383</v>
      </c>
      <c r="P124" s="10" cm="1">
        <f t="array" ref="P124">BSHARE("oil_share",0,"Rural","mean")</f>
        <v>0.12519495330942509</v>
      </c>
    </row>
    <row r="125" spans="3:26" x14ac:dyDescent="0.25">
      <c r="D125" s="6" t="s">
        <v>69</v>
      </c>
      <c r="E125" s="6" t="s">
        <v>385</v>
      </c>
      <c r="F125" s="6" t="s">
        <v>145</v>
      </c>
      <c r="G125" s="6" t="s">
        <v>341</v>
      </c>
      <c r="H125" s="6" t="s">
        <v>383</v>
      </c>
      <c r="Q125" s="10" cm="1">
        <f t="array" ref="Q125:Z125">BSHARE("oil_share",DECILE_ARRAY,"Rural","mean")</f>
        <v>9.2677687707508713E-2</v>
      </c>
      <c r="R125">
        <v>0.10433727447920139</v>
      </c>
      <c r="S125">
        <v>0.1237860243447429</v>
      </c>
      <c r="T125">
        <v>0.14748708323452639</v>
      </c>
      <c r="U125">
        <v>0.1170412399138531</v>
      </c>
      <c r="V125">
        <v>0.14449924728585639</v>
      </c>
      <c r="W125">
        <v>0.1419828927188502</v>
      </c>
      <c r="X125">
        <v>0.15430151454230731</v>
      </c>
      <c r="Y125">
        <v>0.1511717167761083</v>
      </c>
      <c r="Z125">
        <v>0.12719360479040831</v>
      </c>
    </row>
    <row r="126" spans="3:26" x14ac:dyDescent="0.25">
      <c r="D126" s="6" t="s">
        <v>72</v>
      </c>
      <c r="E126" s="6" t="s">
        <v>381</v>
      </c>
      <c r="F126" s="6" t="s">
        <v>382</v>
      </c>
      <c r="G126" s="6" t="s">
        <v>341</v>
      </c>
      <c r="H126" s="6" t="s">
        <v>383</v>
      </c>
      <c r="P126" s="10" cm="1">
        <f t="array" ref="P126">BSHARE("oil_share",0,"Overall","median")</f>
        <v>0</v>
      </c>
    </row>
    <row r="127" spans="3:26" x14ac:dyDescent="0.25">
      <c r="D127" s="6" t="s">
        <v>72</v>
      </c>
      <c r="E127" s="6" t="s">
        <v>381</v>
      </c>
      <c r="F127" s="6" t="s">
        <v>145</v>
      </c>
      <c r="G127" s="6" t="s">
        <v>341</v>
      </c>
      <c r="H127" s="6" t="s">
        <v>383</v>
      </c>
      <c r="Q127" s="10" cm="1">
        <f t="array" ref="Q127:Z127">BSHARE("oil_share",DECILE_ARRAY,"Overall","median")</f>
        <v>0</v>
      </c>
      <c r="R127">
        <v>0</v>
      </c>
      <c r="S127">
        <v>0</v>
      </c>
      <c r="T127">
        <v>0</v>
      </c>
      <c r="U127">
        <v>0</v>
      </c>
      <c r="V127">
        <v>0</v>
      </c>
      <c r="W127">
        <v>0</v>
      </c>
      <c r="X127">
        <v>0</v>
      </c>
      <c r="Y127">
        <v>0</v>
      </c>
      <c r="Z127">
        <v>0</v>
      </c>
    </row>
    <row r="128" spans="3:26" x14ac:dyDescent="0.25">
      <c r="D128" s="6" t="s">
        <v>72</v>
      </c>
      <c r="E128" s="6" t="s">
        <v>384</v>
      </c>
      <c r="F128" s="6" t="s">
        <v>382</v>
      </c>
      <c r="G128" s="6" t="s">
        <v>341</v>
      </c>
      <c r="H128" s="6" t="s">
        <v>383</v>
      </c>
      <c r="P128" s="10" cm="1">
        <f t="array" ref="P128">BSHARE("oil_share",0,"Urban","median")</f>
        <v>0</v>
      </c>
    </row>
    <row r="129" spans="4:26" x14ac:dyDescent="0.25">
      <c r="D129" s="6" t="s">
        <v>72</v>
      </c>
      <c r="E129" s="6" t="s">
        <v>384</v>
      </c>
      <c r="F129" s="6" t="s">
        <v>145</v>
      </c>
      <c r="G129" s="6" t="s">
        <v>341</v>
      </c>
      <c r="H129" s="6" t="s">
        <v>383</v>
      </c>
      <c r="Q129" s="10" cm="1">
        <f t="array" ref="Q129:Z129">BSHARE("oil_share",DECILE_ARRAY,"Urban","median")</f>
        <v>0</v>
      </c>
      <c r="R129">
        <v>0</v>
      </c>
      <c r="S129">
        <v>0</v>
      </c>
      <c r="T129">
        <v>0</v>
      </c>
      <c r="U129">
        <v>0</v>
      </c>
      <c r="V129">
        <v>0</v>
      </c>
      <c r="W129">
        <v>0</v>
      </c>
      <c r="X129">
        <v>0</v>
      </c>
      <c r="Y129">
        <v>0</v>
      </c>
      <c r="Z129">
        <v>0</v>
      </c>
    </row>
    <row r="130" spans="4:26" x14ac:dyDescent="0.25">
      <c r="D130" s="6" t="s">
        <v>72</v>
      </c>
      <c r="E130" s="6" t="s">
        <v>385</v>
      </c>
      <c r="F130" s="6" t="s">
        <v>382</v>
      </c>
      <c r="G130" s="6" t="s">
        <v>341</v>
      </c>
      <c r="H130" s="6" t="s">
        <v>383</v>
      </c>
      <c r="P130" s="10" cm="1">
        <f t="array" ref="P130">BSHARE("oil_share",0,"Rural","median")</f>
        <v>0</v>
      </c>
    </row>
    <row r="131" spans="4:26" x14ac:dyDescent="0.25">
      <c r="D131" s="6" t="s">
        <v>72</v>
      </c>
      <c r="E131" s="6" t="s">
        <v>385</v>
      </c>
      <c r="F131" s="6" t="s">
        <v>145</v>
      </c>
      <c r="G131" s="6" t="s">
        <v>341</v>
      </c>
      <c r="H131" s="6" t="s">
        <v>383</v>
      </c>
      <c r="Q131" s="10" cm="1">
        <f t="array" ref="Q131:Z131">BSHARE("oil_share",DECILE_ARRAY,"Rural","median")</f>
        <v>0</v>
      </c>
      <c r="R131">
        <v>0</v>
      </c>
      <c r="S131">
        <v>0</v>
      </c>
      <c r="T131">
        <v>0</v>
      </c>
      <c r="U131">
        <v>0</v>
      </c>
      <c r="V131">
        <v>0</v>
      </c>
      <c r="W131">
        <v>0</v>
      </c>
      <c r="X131">
        <v>0</v>
      </c>
      <c r="Y131">
        <v>0</v>
      </c>
      <c r="Z131">
        <v>0</v>
      </c>
    </row>
    <row r="132" spans="4:26" x14ac:dyDescent="0.25">
      <c r="D132" s="6" t="s">
        <v>75</v>
      </c>
      <c r="E132" s="6" t="s">
        <v>381</v>
      </c>
      <c r="F132" s="6" t="s">
        <v>382</v>
      </c>
      <c r="G132" s="6" t="s">
        <v>341</v>
      </c>
      <c r="H132" s="6" t="s">
        <v>383</v>
      </c>
      <c r="P132" s="10" cm="1">
        <f t="array" ref="P132">BSHARE("oil_share",0,"Overall","p25")</f>
        <v>0</v>
      </c>
    </row>
    <row r="133" spans="4:26" x14ac:dyDescent="0.25">
      <c r="D133" s="6" t="s">
        <v>75</v>
      </c>
      <c r="E133" s="6" t="s">
        <v>381</v>
      </c>
      <c r="F133" s="6" t="s">
        <v>145</v>
      </c>
      <c r="G133" s="6" t="s">
        <v>341</v>
      </c>
      <c r="H133" s="6" t="s">
        <v>383</v>
      </c>
      <c r="Q133" s="10" cm="1">
        <f t="array" ref="Q133:Z133">BSHARE("oil_share",DECILE_ARRAY,"Overall","p25")</f>
        <v>0</v>
      </c>
      <c r="R133">
        <v>0</v>
      </c>
      <c r="S133">
        <v>0</v>
      </c>
      <c r="T133">
        <v>0</v>
      </c>
      <c r="U133">
        <v>0</v>
      </c>
      <c r="V133">
        <v>0</v>
      </c>
      <c r="W133">
        <v>0</v>
      </c>
      <c r="X133">
        <v>0</v>
      </c>
      <c r="Y133">
        <v>0</v>
      </c>
      <c r="Z133">
        <v>0</v>
      </c>
    </row>
    <row r="134" spans="4:26" x14ac:dyDescent="0.25">
      <c r="D134" s="6" t="s">
        <v>75</v>
      </c>
      <c r="E134" s="6" t="s">
        <v>384</v>
      </c>
      <c r="F134" s="6" t="s">
        <v>382</v>
      </c>
      <c r="G134" s="6" t="s">
        <v>341</v>
      </c>
      <c r="H134" s="6" t="s">
        <v>383</v>
      </c>
      <c r="P134" s="10" cm="1">
        <f t="array" ref="P134">BSHARE("oil_share",0,"Urban","p25")</f>
        <v>0</v>
      </c>
    </row>
    <row r="135" spans="4:26" x14ac:dyDescent="0.25">
      <c r="D135" s="6" t="s">
        <v>75</v>
      </c>
      <c r="E135" s="6" t="s">
        <v>384</v>
      </c>
      <c r="F135" s="6" t="s">
        <v>145</v>
      </c>
      <c r="G135" s="6" t="s">
        <v>341</v>
      </c>
      <c r="H135" s="6" t="s">
        <v>383</v>
      </c>
      <c r="Q135" s="10" cm="1">
        <f t="array" ref="Q135:Z135">BSHARE("oil_share",DECILE_ARRAY,"Urban","p25")</f>
        <v>0</v>
      </c>
      <c r="R135">
        <v>0</v>
      </c>
      <c r="S135">
        <v>0</v>
      </c>
      <c r="T135">
        <v>0</v>
      </c>
      <c r="U135">
        <v>0</v>
      </c>
      <c r="V135">
        <v>0</v>
      </c>
      <c r="W135">
        <v>0</v>
      </c>
      <c r="X135">
        <v>0</v>
      </c>
      <c r="Y135">
        <v>0</v>
      </c>
      <c r="Z135">
        <v>0</v>
      </c>
    </row>
    <row r="136" spans="4:26" x14ac:dyDescent="0.25">
      <c r="D136" s="6" t="s">
        <v>75</v>
      </c>
      <c r="E136" s="6" t="s">
        <v>385</v>
      </c>
      <c r="F136" s="6" t="s">
        <v>382</v>
      </c>
      <c r="G136" s="6" t="s">
        <v>341</v>
      </c>
      <c r="H136" s="6" t="s">
        <v>383</v>
      </c>
      <c r="P136" s="10" cm="1">
        <f t="array" ref="P136">BSHARE("oil_share",0,"Rural","p25")</f>
        <v>0</v>
      </c>
    </row>
    <row r="137" spans="4:26" x14ac:dyDescent="0.25">
      <c r="D137" s="6" t="s">
        <v>75</v>
      </c>
      <c r="E137" s="6" t="s">
        <v>385</v>
      </c>
      <c r="F137" s="6" t="s">
        <v>145</v>
      </c>
      <c r="G137" s="6" t="s">
        <v>341</v>
      </c>
      <c r="H137" s="6" t="s">
        <v>383</v>
      </c>
      <c r="Q137" s="10" cm="1">
        <f t="array" ref="Q137:Z137">BSHARE("oil_share",DECILE_ARRAY,"Rural","p25")</f>
        <v>0</v>
      </c>
      <c r="R137">
        <v>0</v>
      </c>
      <c r="S137">
        <v>0</v>
      </c>
      <c r="T137">
        <v>0</v>
      </c>
      <c r="U137">
        <v>0</v>
      </c>
      <c r="V137">
        <v>0</v>
      </c>
      <c r="W137">
        <v>0</v>
      </c>
      <c r="X137">
        <v>0</v>
      </c>
      <c r="Y137">
        <v>0</v>
      </c>
      <c r="Z137">
        <v>0</v>
      </c>
    </row>
    <row r="138" spans="4:26" x14ac:dyDescent="0.25">
      <c r="D138" s="6" t="s">
        <v>78</v>
      </c>
      <c r="E138" s="6" t="s">
        <v>381</v>
      </c>
      <c r="F138" s="6" t="s">
        <v>382</v>
      </c>
      <c r="G138" s="6" t="s">
        <v>341</v>
      </c>
      <c r="H138" s="6" t="s">
        <v>383</v>
      </c>
      <c r="P138" s="10" cm="1">
        <f t="array" ref="P138">BSHARE("oil_share",0,"Overall","p75")</f>
        <v>0</v>
      </c>
    </row>
    <row r="139" spans="4:26" x14ac:dyDescent="0.25">
      <c r="D139" s="6" t="s">
        <v>78</v>
      </c>
      <c r="E139" s="6" t="s">
        <v>381</v>
      </c>
      <c r="F139" s="6" t="s">
        <v>145</v>
      </c>
      <c r="G139" s="6" t="s">
        <v>341</v>
      </c>
      <c r="H139" s="6" t="s">
        <v>383</v>
      </c>
      <c r="Q139" s="10" cm="1">
        <f t="array" ref="Q139:Z139">BSHARE("oil_share",DECILE_ARRAY,"Overall","p75")</f>
        <v>0</v>
      </c>
      <c r="R139">
        <v>0</v>
      </c>
      <c r="S139">
        <v>0</v>
      </c>
      <c r="T139">
        <v>0</v>
      </c>
      <c r="U139">
        <v>0</v>
      </c>
      <c r="V139">
        <v>0</v>
      </c>
      <c r="W139">
        <v>0</v>
      </c>
      <c r="X139">
        <v>0</v>
      </c>
      <c r="Y139">
        <v>0</v>
      </c>
      <c r="Z139">
        <v>0</v>
      </c>
    </row>
    <row r="140" spans="4:26" x14ac:dyDescent="0.25">
      <c r="D140" s="6" t="s">
        <v>78</v>
      </c>
      <c r="E140" s="6" t="s">
        <v>384</v>
      </c>
      <c r="F140" s="6" t="s">
        <v>382</v>
      </c>
      <c r="G140" s="6" t="s">
        <v>341</v>
      </c>
      <c r="H140" s="6" t="s">
        <v>383</v>
      </c>
      <c r="P140" s="10" cm="1">
        <f t="array" ref="P140">BSHARE("oil_share",0,"Urban","p75")</f>
        <v>0</v>
      </c>
    </row>
    <row r="141" spans="4:26" x14ac:dyDescent="0.25">
      <c r="D141" s="6" t="s">
        <v>78</v>
      </c>
      <c r="E141" s="6" t="s">
        <v>384</v>
      </c>
      <c r="F141" s="6" t="s">
        <v>145</v>
      </c>
      <c r="G141" s="6" t="s">
        <v>341</v>
      </c>
      <c r="H141" s="6" t="s">
        <v>383</v>
      </c>
      <c r="Q141" s="10" cm="1">
        <f t="array" ref="Q141:Z141">BSHARE("oil_share",DECILE_ARRAY,"Urban","p75")</f>
        <v>0</v>
      </c>
      <c r="R141">
        <v>0</v>
      </c>
      <c r="S141">
        <v>0</v>
      </c>
      <c r="T141">
        <v>0</v>
      </c>
      <c r="U141">
        <v>0</v>
      </c>
      <c r="V141">
        <v>0</v>
      </c>
      <c r="W141">
        <v>0</v>
      </c>
      <c r="X141">
        <v>0</v>
      </c>
      <c r="Y141">
        <v>0</v>
      </c>
      <c r="Z141">
        <v>0</v>
      </c>
    </row>
    <row r="142" spans="4:26" x14ac:dyDescent="0.25">
      <c r="D142" s="6" t="s">
        <v>78</v>
      </c>
      <c r="E142" s="6" t="s">
        <v>385</v>
      </c>
      <c r="F142" s="6" t="s">
        <v>382</v>
      </c>
      <c r="G142" s="6" t="s">
        <v>341</v>
      </c>
      <c r="H142" s="6" t="s">
        <v>383</v>
      </c>
      <c r="P142" s="10" cm="1">
        <f t="array" ref="P142">BSHARE("oil_share",0,"Rural","p75")</f>
        <v>0</v>
      </c>
    </row>
    <row r="143" spans="4:26" x14ac:dyDescent="0.25">
      <c r="D143" s="6" t="s">
        <v>78</v>
      </c>
      <c r="E143" s="6" t="s">
        <v>385</v>
      </c>
      <c r="F143" s="6" t="s">
        <v>145</v>
      </c>
      <c r="G143" s="6" t="s">
        <v>341</v>
      </c>
      <c r="H143" s="6" t="s">
        <v>383</v>
      </c>
      <c r="Q143" s="10" cm="1">
        <f t="array" ref="Q143:Z143">BSHARE("oil_share",DECILE_ARRAY,"Rural","p75")</f>
        <v>0</v>
      </c>
      <c r="R143">
        <v>0</v>
      </c>
      <c r="S143">
        <v>0</v>
      </c>
      <c r="T143">
        <v>0</v>
      </c>
      <c r="U143">
        <v>0</v>
      </c>
      <c r="V143">
        <v>0</v>
      </c>
      <c r="W143">
        <v>0</v>
      </c>
      <c r="X143">
        <v>0</v>
      </c>
      <c r="Y143">
        <v>0</v>
      </c>
      <c r="Z143">
        <v>0</v>
      </c>
    </row>
    <row r="145" spans="3:26" x14ac:dyDescent="0.25">
      <c r="C145" s="7" t="s">
        <v>389</v>
      </c>
      <c r="G145" s="6" t="s">
        <v>343</v>
      </c>
      <c r="O145" s="2" t="s">
        <v>331</v>
      </c>
      <c r="Q145" s="2">
        <v>1</v>
      </c>
      <c r="R145" s="2">
        <v>2</v>
      </c>
      <c r="S145" s="2">
        <v>3</v>
      </c>
      <c r="T145" s="2">
        <v>4</v>
      </c>
      <c r="U145" s="2">
        <v>5</v>
      </c>
      <c r="V145" s="2">
        <v>6</v>
      </c>
      <c r="W145" s="2">
        <v>7</v>
      </c>
      <c r="X145" s="2">
        <v>8</v>
      </c>
      <c r="Y145" s="2">
        <v>9</v>
      </c>
      <c r="Z145" s="2">
        <v>10</v>
      </c>
    </row>
    <row r="146" spans="3:26" x14ac:dyDescent="0.25">
      <c r="D146" s="6" t="s">
        <v>69</v>
      </c>
      <c r="E146" s="6" t="s">
        <v>381</v>
      </c>
      <c r="F146" s="6" t="s">
        <v>382</v>
      </c>
      <c r="G146" s="6" t="s">
        <v>343</v>
      </c>
      <c r="H146" s="6" t="s">
        <v>383</v>
      </c>
      <c r="P146" s="10" cm="1">
        <f t="array" ref="P146">BSHARE("gso_share",0,"Overall","mean")</f>
        <v>0.52930555983102701</v>
      </c>
    </row>
    <row r="147" spans="3:26" x14ac:dyDescent="0.25">
      <c r="D147" s="6" t="s">
        <v>69</v>
      </c>
      <c r="E147" s="6" t="s">
        <v>381</v>
      </c>
      <c r="F147" s="6" t="s">
        <v>145</v>
      </c>
      <c r="G147" s="6" t="s">
        <v>343</v>
      </c>
      <c r="H147" s="6" t="s">
        <v>383</v>
      </c>
      <c r="Q147" s="10" cm="1">
        <f t="array" ref="Q147:Z147">BSHARE("gso_share",DECILE_ARRAY,"Overall","mean")</f>
        <v>0.29819918979790222</v>
      </c>
      <c r="R147">
        <v>0.35567920013481502</v>
      </c>
      <c r="S147">
        <v>0.42669811108594757</v>
      </c>
      <c r="T147">
        <v>0.42822349729267539</v>
      </c>
      <c r="U147">
        <v>0.50734300022146406</v>
      </c>
      <c r="V147">
        <v>0.54054684000656239</v>
      </c>
      <c r="W147">
        <v>0.60893546125451559</v>
      </c>
      <c r="X147">
        <v>0.66306428159863873</v>
      </c>
      <c r="Y147">
        <v>0.60423434121484731</v>
      </c>
      <c r="Z147">
        <v>0.77838575504868568</v>
      </c>
    </row>
    <row r="148" spans="3:26" x14ac:dyDescent="0.25">
      <c r="D148" s="6" t="s">
        <v>69</v>
      </c>
      <c r="E148" s="6" t="s">
        <v>384</v>
      </c>
      <c r="F148" s="6" t="s">
        <v>382</v>
      </c>
      <c r="G148" s="6" t="s">
        <v>343</v>
      </c>
      <c r="H148" s="6" t="s">
        <v>383</v>
      </c>
      <c r="P148" s="10" cm="1">
        <f t="array" ref="P148">BSHARE("gso_share",0,"Urban","mean")</f>
        <v>0.59470366479125847</v>
      </c>
    </row>
    <row r="149" spans="3:26" x14ac:dyDescent="0.25">
      <c r="D149" s="6" t="s">
        <v>69</v>
      </c>
      <c r="E149" s="6" t="s">
        <v>384</v>
      </c>
      <c r="F149" s="6" t="s">
        <v>145</v>
      </c>
      <c r="G149" s="6" t="s">
        <v>343</v>
      </c>
      <c r="H149" s="6" t="s">
        <v>383</v>
      </c>
      <c r="Q149" s="10" cm="1">
        <f t="array" ref="Q149:Z149">BSHARE("gso_share",DECILE_ARRAY,"Urban","mean")</f>
        <v>0.26238125556965991</v>
      </c>
      <c r="R149">
        <v>0.38236434712420952</v>
      </c>
      <c r="S149">
        <v>0.42916289025176968</v>
      </c>
      <c r="T149">
        <v>0.51686422371741214</v>
      </c>
      <c r="U149">
        <v>0.5247433923760948</v>
      </c>
      <c r="V149">
        <v>0.59973853671518218</v>
      </c>
      <c r="W149">
        <v>0.73543872033694191</v>
      </c>
      <c r="X149">
        <v>0.64223430001357906</v>
      </c>
      <c r="Y149">
        <v>0.86623833286202601</v>
      </c>
      <c r="Z149">
        <v>0.94234154103502077</v>
      </c>
    </row>
    <row r="150" spans="3:26" x14ac:dyDescent="0.25">
      <c r="D150" s="6" t="s">
        <v>69</v>
      </c>
      <c r="E150" s="6" t="s">
        <v>385</v>
      </c>
      <c r="F150" s="6" t="s">
        <v>382</v>
      </c>
      <c r="G150" s="6" t="s">
        <v>343</v>
      </c>
      <c r="H150" s="6" t="s">
        <v>383</v>
      </c>
      <c r="P150" s="10" cm="1">
        <f t="array" ref="P150">BSHARE("gso_share",0,"Rural","mean")</f>
        <v>0.44976891848435718</v>
      </c>
    </row>
    <row r="151" spans="3:26" x14ac:dyDescent="0.25">
      <c r="D151" s="6" t="s">
        <v>69</v>
      </c>
      <c r="E151" s="6" t="s">
        <v>385</v>
      </c>
      <c r="F151" s="6" t="s">
        <v>145</v>
      </c>
      <c r="G151" s="6" t="s">
        <v>343</v>
      </c>
      <c r="H151" s="6" t="s">
        <v>383</v>
      </c>
      <c r="Q151" s="10" cm="1">
        <f t="array" ref="Q151:Z151">BSHARE("gso_share",DECILE_ARRAY,"Rural","mean")</f>
        <v>0.29357877367827789</v>
      </c>
      <c r="R151">
        <v>0.35221623572720467</v>
      </c>
      <c r="S151">
        <v>0.4283288858579013</v>
      </c>
      <c r="T151">
        <v>0.51519621213286959</v>
      </c>
      <c r="U151">
        <v>0.43191223156424591</v>
      </c>
      <c r="V151">
        <v>0.49552930417340152</v>
      </c>
      <c r="W151">
        <v>0.55202749751142854</v>
      </c>
      <c r="X151">
        <v>0.64728808210358824</v>
      </c>
      <c r="Y151">
        <v>0.56667797194015834</v>
      </c>
      <c r="Z151">
        <v>0.51404253554731894</v>
      </c>
    </row>
    <row r="152" spans="3:26" x14ac:dyDescent="0.25">
      <c r="D152" s="6" t="s">
        <v>72</v>
      </c>
      <c r="E152" s="6" t="s">
        <v>381</v>
      </c>
      <c r="F152" s="6" t="s">
        <v>382</v>
      </c>
      <c r="G152" s="6" t="s">
        <v>343</v>
      </c>
      <c r="H152" s="6" t="s">
        <v>383</v>
      </c>
      <c r="P152" s="10" cm="1">
        <f t="array" ref="P152">BSHARE("gso_share",0,"Overall","median")</f>
        <v>0</v>
      </c>
    </row>
    <row r="153" spans="3:26" x14ac:dyDescent="0.25">
      <c r="D153" s="6" t="s">
        <v>72</v>
      </c>
      <c r="E153" s="6" t="s">
        <v>381</v>
      </c>
      <c r="F153" s="6" t="s">
        <v>145</v>
      </c>
      <c r="G153" s="6" t="s">
        <v>343</v>
      </c>
      <c r="H153" s="6" t="s">
        <v>383</v>
      </c>
      <c r="Q153" s="10" cm="1">
        <f t="array" ref="Q153:Z153">BSHARE("gso_share",DECILE_ARRAY,"Overall","median")</f>
        <v>0</v>
      </c>
      <c r="R153">
        <v>0</v>
      </c>
      <c r="S153">
        <v>0</v>
      </c>
      <c r="T153">
        <v>0</v>
      </c>
      <c r="U153">
        <v>0</v>
      </c>
      <c r="V153">
        <v>0</v>
      </c>
      <c r="W153">
        <v>0</v>
      </c>
      <c r="X153">
        <v>0</v>
      </c>
      <c r="Y153">
        <v>0</v>
      </c>
      <c r="Z153">
        <v>0</v>
      </c>
    </row>
    <row r="154" spans="3:26" x14ac:dyDescent="0.25">
      <c r="D154" s="6" t="s">
        <v>72</v>
      </c>
      <c r="E154" s="6" t="s">
        <v>384</v>
      </c>
      <c r="F154" s="6" t="s">
        <v>382</v>
      </c>
      <c r="G154" s="6" t="s">
        <v>343</v>
      </c>
      <c r="H154" s="6" t="s">
        <v>383</v>
      </c>
      <c r="P154" s="10" cm="1">
        <f t="array" ref="P154">BSHARE("gso_share",0,"Urban","median")</f>
        <v>0</v>
      </c>
    </row>
    <row r="155" spans="3:26" x14ac:dyDescent="0.25">
      <c r="D155" s="6" t="s">
        <v>72</v>
      </c>
      <c r="E155" s="6" t="s">
        <v>384</v>
      </c>
      <c r="F155" s="6" t="s">
        <v>145</v>
      </c>
      <c r="G155" s="6" t="s">
        <v>343</v>
      </c>
      <c r="H155" s="6" t="s">
        <v>383</v>
      </c>
      <c r="Q155" s="10" cm="1">
        <f t="array" ref="Q155:Z155">BSHARE("gso_share",DECILE_ARRAY,"Urban","median")</f>
        <v>0</v>
      </c>
      <c r="R155">
        <v>0</v>
      </c>
      <c r="S155">
        <v>0</v>
      </c>
      <c r="T155">
        <v>0</v>
      </c>
      <c r="U155">
        <v>0</v>
      </c>
      <c r="V155">
        <v>0</v>
      </c>
      <c r="W155">
        <v>0</v>
      </c>
      <c r="X155">
        <v>0</v>
      </c>
      <c r="Y155">
        <v>0</v>
      </c>
      <c r="Z155">
        <v>0</v>
      </c>
    </row>
    <row r="156" spans="3:26" x14ac:dyDescent="0.25">
      <c r="D156" s="6" t="s">
        <v>72</v>
      </c>
      <c r="E156" s="6" t="s">
        <v>385</v>
      </c>
      <c r="F156" s="6" t="s">
        <v>382</v>
      </c>
      <c r="G156" s="6" t="s">
        <v>343</v>
      </c>
      <c r="H156" s="6" t="s">
        <v>383</v>
      </c>
      <c r="P156" s="10" cm="1">
        <f t="array" ref="P156">BSHARE("gso_share",0,"Rural","median")</f>
        <v>0</v>
      </c>
    </row>
    <row r="157" spans="3:26" x14ac:dyDescent="0.25">
      <c r="D157" s="6" t="s">
        <v>72</v>
      </c>
      <c r="E157" s="6" t="s">
        <v>385</v>
      </c>
      <c r="F157" s="6" t="s">
        <v>145</v>
      </c>
      <c r="G157" s="6" t="s">
        <v>343</v>
      </c>
      <c r="H157" s="6" t="s">
        <v>383</v>
      </c>
      <c r="Q157" s="10" cm="1">
        <f t="array" ref="Q157:Z157">BSHARE("gso_share",DECILE_ARRAY,"Rural","median")</f>
        <v>0</v>
      </c>
      <c r="R157">
        <v>0</v>
      </c>
      <c r="S157">
        <v>0</v>
      </c>
      <c r="T157">
        <v>0</v>
      </c>
      <c r="U157">
        <v>0</v>
      </c>
      <c r="V157">
        <v>0</v>
      </c>
      <c r="W157">
        <v>0</v>
      </c>
      <c r="X157">
        <v>0</v>
      </c>
      <c r="Y157">
        <v>0</v>
      </c>
      <c r="Z157">
        <v>0</v>
      </c>
    </row>
    <row r="158" spans="3:26" x14ac:dyDescent="0.25">
      <c r="D158" s="6" t="s">
        <v>75</v>
      </c>
      <c r="E158" s="6" t="s">
        <v>381</v>
      </c>
      <c r="F158" s="6" t="s">
        <v>382</v>
      </c>
      <c r="G158" s="6" t="s">
        <v>343</v>
      </c>
      <c r="H158" s="6" t="s">
        <v>383</v>
      </c>
      <c r="P158" s="10" cm="1">
        <f t="array" ref="P158">BSHARE("gso_share",0,"Overall","p25")</f>
        <v>0</v>
      </c>
    </row>
    <row r="159" spans="3:26" x14ac:dyDescent="0.25">
      <c r="D159" s="6" t="s">
        <v>75</v>
      </c>
      <c r="E159" s="6" t="s">
        <v>381</v>
      </c>
      <c r="F159" s="6" t="s">
        <v>145</v>
      </c>
      <c r="G159" s="6" t="s">
        <v>343</v>
      </c>
      <c r="H159" s="6" t="s">
        <v>383</v>
      </c>
      <c r="Q159" s="10" cm="1">
        <f t="array" ref="Q159:Z159">BSHARE("gso_share",DECILE_ARRAY,"Overall","p25")</f>
        <v>0</v>
      </c>
      <c r="R159">
        <v>0</v>
      </c>
      <c r="S159">
        <v>0</v>
      </c>
      <c r="T159">
        <v>0</v>
      </c>
      <c r="U159">
        <v>0</v>
      </c>
      <c r="V159">
        <v>0</v>
      </c>
      <c r="W159">
        <v>0</v>
      </c>
      <c r="X159">
        <v>0</v>
      </c>
      <c r="Y159">
        <v>0</v>
      </c>
      <c r="Z159">
        <v>0</v>
      </c>
    </row>
    <row r="160" spans="3:26" x14ac:dyDescent="0.25">
      <c r="D160" s="6" t="s">
        <v>75</v>
      </c>
      <c r="E160" s="6" t="s">
        <v>384</v>
      </c>
      <c r="F160" s="6" t="s">
        <v>382</v>
      </c>
      <c r="G160" s="6" t="s">
        <v>343</v>
      </c>
      <c r="H160" s="6" t="s">
        <v>383</v>
      </c>
      <c r="P160" s="10" cm="1">
        <f t="array" ref="P160">BSHARE("gso_share",0,"Urban","p25")</f>
        <v>0</v>
      </c>
    </row>
    <row r="161" spans="3:26" x14ac:dyDescent="0.25">
      <c r="D161" s="6" t="s">
        <v>75</v>
      </c>
      <c r="E161" s="6" t="s">
        <v>384</v>
      </c>
      <c r="F161" s="6" t="s">
        <v>145</v>
      </c>
      <c r="G161" s="6" t="s">
        <v>343</v>
      </c>
      <c r="H161" s="6" t="s">
        <v>383</v>
      </c>
      <c r="Q161" s="10" cm="1">
        <f t="array" ref="Q161:Z161">BSHARE("gso_share",DECILE_ARRAY,"Urban","p25")</f>
        <v>0</v>
      </c>
      <c r="R161">
        <v>0</v>
      </c>
      <c r="S161">
        <v>0</v>
      </c>
      <c r="T161">
        <v>0</v>
      </c>
      <c r="U161">
        <v>0</v>
      </c>
      <c r="V161">
        <v>0</v>
      </c>
      <c r="W161">
        <v>0</v>
      </c>
      <c r="X161">
        <v>0</v>
      </c>
      <c r="Y161">
        <v>0</v>
      </c>
      <c r="Z161">
        <v>0</v>
      </c>
    </row>
    <row r="162" spans="3:26" x14ac:dyDescent="0.25">
      <c r="D162" s="6" t="s">
        <v>75</v>
      </c>
      <c r="E162" s="6" t="s">
        <v>385</v>
      </c>
      <c r="F162" s="6" t="s">
        <v>382</v>
      </c>
      <c r="G162" s="6" t="s">
        <v>343</v>
      </c>
      <c r="H162" s="6" t="s">
        <v>383</v>
      </c>
      <c r="P162" s="10" cm="1">
        <f t="array" ref="P162">BSHARE("gso_share",0,"Rural","p25")</f>
        <v>0</v>
      </c>
    </row>
    <row r="163" spans="3:26" x14ac:dyDescent="0.25">
      <c r="D163" s="6" t="s">
        <v>75</v>
      </c>
      <c r="E163" s="6" t="s">
        <v>385</v>
      </c>
      <c r="F163" s="6" t="s">
        <v>145</v>
      </c>
      <c r="G163" s="6" t="s">
        <v>343</v>
      </c>
      <c r="H163" s="6" t="s">
        <v>383</v>
      </c>
      <c r="Q163" s="10" cm="1">
        <f t="array" ref="Q163:Z163">BSHARE("gso_share",DECILE_ARRAY,"Rural","p25")</f>
        <v>0</v>
      </c>
      <c r="R163">
        <v>0</v>
      </c>
      <c r="S163">
        <v>0</v>
      </c>
      <c r="T163">
        <v>0</v>
      </c>
      <c r="U163">
        <v>0</v>
      </c>
      <c r="V163">
        <v>0</v>
      </c>
      <c r="W163">
        <v>0</v>
      </c>
      <c r="X163">
        <v>0</v>
      </c>
      <c r="Y163">
        <v>0</v>
      </c>
      <c r="Z163">
        <v>0</v>
      </c>
    </row>
    <row r="164" spans="3:26" x14ac:dyDescent="0.25">
      <c r="D164" s="6" t="s">
        <v>78</v>
      </c>
      <c r="E164" s="6" t="s">
        <v>381</v>
      </c>
      <c r="F164" s="6" t="s">
        <v>382</v>
      </c>
      <c r="G164" s="6" t="s">
        <v>343</v>
      </c>
      <c r="H164" s="6" t="s">
        <v>383</v>
      </c>
      <c r="P164" s="10" cm="1">
        <f t="array" ref="P164">BSHARE("gso_share",0,"Overall","p75")</f>
        <v>0</v>
      </c>
    </row>
    <row r="165" spans="3:26" x14ac:dyDescent="0.25">
      <c r="D165" s="6" t="s">
        <v>78</v>
      </c>
      <c r="E165" s="6" t="s">
        <v>381</v>
      </c>
      <c r="F165" s="6" t="s">
        <v>145</v>
      </c>
      <c r="G165" s="6" t="s">
        <v>343</v>
      </c>
      <c r="H165" s="6" t="s">
        <v>383</v>
      </c>
      <c r="Q165" s="10" cm="1">
        <f t="array" ref="Q165:Z165">BSHARE("gso_share",DECILE_ARRAY,"Overall","p75")</f>
        <v>0</v>
      </c>
      <c r="R165">
        <v>0</v>
      </c>
      <c r="S165">
        <v>0</v>
      </c>
      <c r="T165">
        <v>0</v>
      </c>
      <c r="U165">
        <v>0</v>
      </c>
      <c r="V165">
        <v>0</v>
      </c>
      <c r="W165">
        <v>0</v>
      </c>
      <c r="X165">
        <v>0</v>
      </c>
      <c r="Y165">
        <v>0</v>
      </c>
      <c r="Z165">
        <v>0</v>
      </c>
    </row>
    <row r="166" spans="3:26" x14ac:dyDescent="0.25">
      <c r="D166" s="6" t="s">
        <v>78</v>
      </c>
      <c r="E166" s="6" t="s">
        <v>384</v>
      </c>
      <c r="F166" s="6" t="s">
        <v>382</v>
      </c>
      <c r="G166" s="6" t="s">
        <v>343</v>
      </c>
      <c r="H166" s="6" t="s">
        <v>383</v>
      </c>
      <c r="P166" s="10" cm="1">
        <f t="array" ref="P166">BSHARE("gso_share",0,"Urban","p75")</f>
        <v>0</v>
      </c>
    </row>
    <row r="167" spans="3:26" x14ac:dyDescent="0.25">
      <c r="D167" s="6" t="s">
        <v>78</v>
      </c>
      <c r="E167" s="6" t="s">
        <v>384</v>
      </c>
      <c r="F167" s="6" t="s">
        <v>145</v>
      </c>
      <c r="G167" s="6" t="s">
        <v>343</v>
      </c>
      <c r="H167" s="6" t="s">
        <v>383</v>
      </c>
      <c r="Q167" s="10" cm="1">
        <f t="array" ref="Q167:Z167">BSHARE("gso_share",DECILE_ARRAY,"Urban","p75")</f>
        <v>0</v>
      </c>
      <c r="R167">
        <v>0</v>
      </c>
      <c r="S167">
        <v>0</v>
      </c>
      <c r="T167">
        <v>0</v>
      </c>
      <c r="U167">
        <v>0</v>
      </c>
      <c r="V167">
        <v>0</v>
      </c>
      <c r="W167">
        <v>0</v>
      </c>
      <c r="X167">
        <v>0</v>
      </c>
      <c r="Y167">
        <v>0</v>
      </c>
      <c r="Z167">
        <v>0</v>
      </c>
    </row>
    <row r="168" spans="3:26" x14ac:dyDescent="0.25">
      <c r="D168" s="6" t="s">
        <v>78</v>
      </c>
      <c r="E168" s="6" t="s">
        <v>385</v>
      </c>
      <c r="F168" s="6" t="s">
        <v>382</v>
      </c>
      <c r="G168" s="6" t="s">
        <v>343</v>
      </c>
      <c r="H168" s="6" t="s">
        <v>383</v>
      </c>
      <c r="P168" s="10" cm="1">
        <f t="array" ref="P168">BSHARE("gso_share",0,"Rural","p75")</f>
        <v>0</v>
      </c>
    </row>
    <row r="169" spans="3:26" x14ac:dyDescent="0.25">
      <c r="D169" s="6" t="s">
        <v>78</v>
      </c>
      <c r="E169" s="6" t="s">
        <v>385</v>
      </c>
      <c r="F169" s="6" t="s">
        <v>145</v>
      </c>
      <c r="G169" s="6" t="s">
        <v>343</v>
      </c>
      <c r="H169" s="6" t="s">
        <v>383</v>
      </c>
      <c r="Q169" s="10" cm="1">
        <f t="array" ref="Q169:Z169">BSHARE("gso_share",DECILE_ARRAY,"Rural","p75")</f>
        <v>0</v>
      </c>
      <c r="R169">
        <v>0</v>
      </c>
      <c r="S169">
        <v>0</v>
      </c>
      <c r="T169">
        <v>0</v>
      </c>
      <c r="U169">
        <v>0</v>
      </c>
      <c r="V169">
        <v>0</v>
      </c>
      <c r="W169">
        <v>0</v>
      </c>
      <c r="X169">
        <v>0</v>
      </c>
      <c r="Y169">
        <v>0</v>
      </c>
      <c r="Z169">
        <v>0</v>
      </c>
    </row>
    <row r="171" spans="3:26" x14ac:dyDescent="0.25">
      <c r="C171" s="7" t="s">
        <v>390</v>
      </c>
      <c r="G171" s="6" t="s">
        <v>345</v>
      </c>
      <c r="O171" s="2" t="s">
        <v>331</v>
      </c>
      <c r="Q171" s="2">
        <v>1</v>
      </c>
      <c r="R171" s="2">
        <v>2</v>
      </c>
      <c r="S171" s="2">
        <v>3</v>
      </c>
      <c r="T171" s="2">
        <v>4</v>
      </c>
      <c r="U171" s="2">
        <v>5</v>
      </c>
      <c r="V171" s="2">
        <v>6</v>
      </c>
      <c r="W171" s="2">
        <v>7</v>
      </c>
      <c r="X171" s="2">
        <v>8</v>
      </c>
      <c r="Y171" s="2">
        <v>9</v>
      </c>
      <c r="Z171" s="2">
        <v>10</v>
      </c>
    </row>
    <row r="172" spans="3:26" x14ac:dyDescent="0.25">
      <c r="D172" s="6" t="s">
        <v>69</v>
      </c>
      <c r="E172" s="6" t="s">
        <v>381</v>
      </c>
      <c r="F172" s="6" t="s">
        <v>382</v>
      </c>
      <c r="G172" s="6" t="s">
        <v>345</v>
      </c>
      <c r="H172" s="6" t="s">
        <v>383</v>
      </c>
      <c r="P172" s="10" cm="1">
        <f t="array" ref="P172">BSHARE("die_share",0,"Overall","mean")</f>
        <v>0</v>
      </c>
    </row>
    <row r="173" spans="3:26" x14ac:dyDescent="0.25">
      <c r="D173" s="6" t="s">
        <v>69</v>
      </c>
      <c r="E173" s="6" t="s">
        <v>381</v>
      </c>
      <c r="F173" s="6" t="s">
        <v>145</v>
      </c>
      <c r="G173" s="6" t="s">
        <v>345</v>
      </c>
      <c r="H173" s="6" t="s">
        <v>383</v>
      </c>
      <c r="Q173" s="10" cm="1">
        <f t="array" ref="Q173:Z173">BSHARE("die_share",DECILE_ARRAY,"Overall","mean")</f>
        <v>0</v>
      </c>
      <c r="R173">
        <v>0</v>
      </c>
      <c r="S173">
        <v>0</v>
      </c>
      <c r="T173">
        <v>0</v>
      </c>
      <c r="U173">
        <v>0</v>
      </c>
      <c r="V173">
        <v>0</v>
      </c>
      <c r="W173">
        <v>0</v>
      </c>
      <c r="X173">
        <v>0</v>
      </c>
      <c r="Y173">
        <v>0</v>
      </c>
      <c r="Z173">
        <v>0</v>
      </c>
    </row>
    <row r="174" spans="3:26" x14ac:dyDescent="0.25">
      <c r="D174" s="6" t="s">
        <v>69</v>
      </c>
      <c r="E174" s="6" t="s">
        <v>384</v>
      </c>
      <c r="F174" s="6" t="s">
        <v>382</v>
      </c>
      <c r="G174" s="6" t="s">
        <v>345</v>
      </c>
      <c r="H174" s="6" t="s">
        <v>383</v>
      </c>
      <c r="P174" s="10" cm="1">
        <f t="array" ref="P174">BSHARE("die_share",0,"Urban","mean")</f>
        <v>0</v>
      </c>
    </row>
    <row r="175" spans="3:26" x14ac:dyDescent="0.25">
      <c r="D175" s="6" t="s">
        <v>69</v>
      </c>
      <c r="E175" s="6" t="s">
        <v>384</v>
      </c>
      <c r="F175" s="6" t="s">
        <v>145</v>
      </c>
      <c r="G175" s="6" t="s">
        <v>345</v>
      </c>
      <c r="H175" s="6" t="s">
        <v>383</v>
      </c>
      <c r="Q175" s="10" cm="1">
        <f t="array" ref="Q175:Z175">BSHARE("die_share",DECILE_ARRAY,"Urban","mean")</f>
        <v>0</v>
      </c>
      <c r="R175">
        <v>0</v>
      </c>
      <c r="S175">
        <v>0</v>
      </c>
      <c r="T175">
        <v>0</v>
      </c>
      <c r="U175">
        <v>0</v>
      </c>
      <c r="V175">
        <v>0</v>
      </c>
      <c r="W175">
        <v>0</v>
      </c>
      <c r="X175">
        <v>0</v>
      </c>
      <c r="Y175">
        <v>0</v>
      </c>
      <c r="Z175">
        <v>0</v>
      </c>
    </row>
    <row r="176" spans="3:26" x14ac:dyDescent="0.25">
      <c r="D176" s="6" t="s">
        <v>69</v>
      </c>
      <c r="E176" s="6" t="s">
        <v>385</v>
      </c>
      <c r="F176" s="6" t="s">
        <v>382</v>
      </c>
      <c r="G176" s="6" t="s">
        <v>345</v>
      </c>
      <c r="H176" s="6" t="s">
        <v>383</v>
      </c>
      <c r="P176" s="10" cm="1">
        <f t="array" ref="P176">BSHARE("die_share",0,"Rural","mean")</f>
        <v>0</v>
      </c>
    </row>
    <row r="177" spans="4:26" x14ac:dyDescent="0.25">
      <c r="D177" s="6" t="s">
        <v>69</v>
      </c>
      <c r="E177" s="6" t="s">
        <v>385</v>
      </c>
      <c r="F177" s="6" t="s">
        <v>145</v>
      </c>
      <c r="G177" s="6" t="s">
        <v>345</v>
      </c>
      <c r="H177" s="6" t="s">
        <v>383</v>
      </c>
      <c r="Q177" s="10" cm="1">
        <f t="array" ref="Q177:Z177">BSHARE("die_share",DECILE_ARRAY,"Rural","mean")</f>
        <v>0</v>
      </c>
      <c r="R177">
        <v>0</v>
      </c>
      <c r="S177">
        <v>0</v>
      </c>
      <c r="T177">
        <v>0</v>
      </c>
      <c r="U177">
        <v>0</v>
      </c>
      <c r="V177">
        <v>0</v>
      </c>
      <c r="W177">
        <v>0</v>
      </c>
      <c r="X177">
        <v>0</v>
      </c>
      <c r="Y177">
        <v>0</v>
      </c>
      <c r="Z177">
        <v>0</v>
      </c>
    </row>
    <row r="178" spans="4:26" x14ac:dyDescent="0.25">
      <c r="D178" s="6" t="s">
        <v>72</v>
      </c>
      <c r="E178" s="6" t="s">
        <v>381</v>
      </c>
      <c r="F178" s="6" t="s">
        <v>382</v>
      </c>
      <c r="G178" s="6" t="s">
        <v>345</v>
      </c>
      <c r="H178" s="6" t="s">
        <v>383</v>
      </c>
      <c r="P178" s="10" cm="1">
        <f t="array" ref="P178">BSHARE("die_share",0,"Overall","median")</f>
        <v>0</v>
      </c>
    </row>
    <row r="179" spans="4:26" x14ac:dyDescent="0.25">
      <c r="D179" s="6" t="s">
        <v>72</v>
      </c>
      <c r="E179" s="6" t="s">
        <v>381</v>
      </c>
      <c r="F179" s="6" t="s">
        <v>145</v>
      </c>
      <c r="G179" s="6" t="s">
        <v>345</v>
      </c>
      <c r="H179" s="6" t="s">
        <v>383</v>
      </c>
      <c r="Q179" s="10" cm="1">
        <f t="array" ref="Q179:Z179">BSHARE("die_share",DECILE_ARRAY,"Overall","median")</f>
        <v>0</v>
      </c>
      <c r="R179">
        <v>0</v>
      </c>
      <c r="S179">
        <v>0</v>
      </c>
      <c r="T179">
        <v>0</v>
      </c>
      <c r="U179">
        <v>0</v>
      </c>
      <c r="V179">
        <v>0</v>
      </c>
      <c r="W179">
        <v>0</v>
      </c>
      <c r="X179">
        <v>0</v>
      </c>
      <c r="Y179">
        <v>0</v>
      </c>
      <c r="Z179">
        <v>0</v>
      </c>
    </row>
    <row r="180" spans="4:26" x14ac:dyDescent="0.25">
      <c r="D180" s="6" t="s">
        <v>72</v>
      </c>
      <c r="E180" s="6" t="s">
        <v>384</v>
      </c>
      <c r="F180" s="6" t="s">
        <v>382</v>
      </c>
      <c r="G180" s="6" t="s">
        <v>345</v>
      </c>
      <c r="H180" s="6" t="s">
        <v>383</v>
      </c>
      <c r="P180" s="10" cm="1">
        <f t="array" ref="P180">BSHARE("die_share",0,"Urban","median")</f>
        <v>0</v>
      </c>
    </row>
    <row r="181" spans="4:26" x14ac:dyDescent="0.25">
      <c r="D181" s="6" t="s">
        <v>72</v>
      </c>
      <c r="E181" s="6" t="s">
        <v>384</v>
      </c>
      <c r="F181" s="6" t="s">
        <v>145</v>
      </c>
      <c r="G181" s="6" t="s">
        <v>345</v>
      </c>
      <c r="H181" s="6" t="s">
        <v>383</v>
      </c>
      <c r="Q181" s="10" cm="1">
        <f t="array" ref="Q181:Z181">BSHARE("die_share",DECILE_ARRAY,"Urban","median")</f>
        <v>0</v>
      </c>
      <c r="R181">
        <v>0</v>
      </c>
      <c r="S181">
        <v>0</v>
      </c>
      <c r="T181">
        <v>0</v>
      </c>
      <c r="U181">
        <v>0</v>
      </c>
      <c r="V181">
        <v>0</v>
      </c>
      <c r="W181">
        <v>0</v>
      </c>
      <c r="X181">
        <v>0</v>
      </c>
      <c r="Y181">
        <v>0</v>
      </c>
      <c r="Z181">
        <v>0</v>
      </c>
    </row>
    <row r="182" spans="4:26" x14ac:dyDescent="0.25">
      <c r="D182" s="6" t="s">
        <v>72</v>
      </c>
      <c r="E182" s="6" t="s">
        <v>385</v>
      </c>
      <c r="F182" s="6" t="s">
        <v>382</v>
      </c>
      <c r="G182" s="6" t="s">
        <v>345</v>
      </c>
      <c r="H182" s="6" t="s">
        <v>383</v>
      </c>
      <c r="P182" s="10" cm="1">
        <f t="array" ref="P182">BSHARE("die_share",0,"Rural","median")</f>
        <v>0</v>
      </c>
    </row>
    <row r="183" spans="4:26" x14ac:dyDescent="0.25">
      <c r="D183" s="6" t="s">
        <v>72</v>
      </c>
      <c r="E183" s="6" t="s">
        <v>385</v>
      </c>
      <c r="F183" s="6" t="s">
        <v>145</v>
      </c>
      <c r="G183" s="6" t="s">
        <v>345</v>
      </c>
      <c r="H183" s="6" t="s">
        <v>383</v>
      </c>
      <c r="Q183" s="10" cm="1">
        <f t="array" ref="Q183:Z183">BSHARE("die_share",DECILE_ARRAY,"Rural","median")</f>
        <v>0</v>
      </c>
      <c r="R183">
        <v>0</v>
      </c>
      <c r="S183">
        <v>0</v>
      </c>
      <c r="T183">
        <v>0</v>
      </c>
      <c r="U183">
        <v>0</v>
      </c>
      <c r="V183">
        <v>0</v>
      </c>
      <c r="W183">
        <v>0</v>
      </c>
      <c r="X183">
        <v>0</v>
      </c>
      <c r="Y183">
        <v>0</v>
      </c>
      <c r="Z183">
        <v>0</v>
      </c>
    </row>
    <row r="184" spans="4:26" x14ac:dyDescent="0.25">
      <c r="D184" s="6" t="s">
        <v>75</v>
      </c>
      <c r="E184" s="6" t="s">
        <v>381</v>
      </c>
      <c r="F184" s="6" t="s">
        <v>382</v>
      </c>
      <c r="G184" s="6" t="s">
        <v>345</v>
      </c>
      <c r="H184" s="6" t="s">
        <v>383</v>
      </c>
      <c r="P184" s="10" cm="1">
        <f t="array" ref="P184">BSHARE("die_share",0,"Overall","p25")</f>
        <v>0</v>
      </c>
    </row>
    <row r="185" spans="4:26" x14ac:dyDescent="0.25">
      <c r="D185" s="6" t="s">
        <v>75</v>
      </c>
      <c r="E185" s="6" t="s">
        <v>381</v>
      </c>
      <c r="F185" s="6" t="s">
        <v>145</v>
      </c>
      <c r="G185" s="6" t="s">
        <v>345</v>
      </c>
      <c r="H185" s="6" t="s">
        <v>383</v>
      </c>
      <c r="Q185" s="10" cm="1">
        <f t="array" ref="Q185:Z185">BSHARE("die_share",DECILE_ARRAY,"Overall","p25")</f>
        <v>0</v>
      </c>
      <c r="R185">
        <v>0</v>
      </c>
      <c r="S185">
        <v>0</v>
      </c>
      <c r="T185">
        <v>0</v>
      </c>
      <c r="U185">
        <v>0</v>
      </c>
      <c r="V185">
        <v>0</v>
      </c>
      <c r="W185">
        <v>0</v>
      </c>
      <c r="X185">
        <v>0</v>
      </c>
      <c r="Y185">
        <v>0</v>
      </c>
      <c r="Z185">
        <v>0</v>
      </c>
    </row>
    <row r="186" spans="4:26" x14ac:dyDescent="0.25">
      <c r="D186" s="6" t="s">
        <v>75</v>
      </c>
      <c r="E186" s="6" t="s">
        <v>384</v>
      </c>
      <c r="F186" s="6" t="s">
        <v>382</v>
      </c>
      <c r="G186" s="6" t="s">
        <v>345</v>
      </c>
      <c r="H186" s="6" t="s">
        <v>383</v>
      </c>
      <c r="P186" s="10" cm="1">
        <f t="array" ref="P186">BSHARE("die_share",0,"Urban","p25")</f>
        <v>0</v>
      </c>
    </row>
    <row r="187" spans="4:26" x14ac:dyDescent="0.25">
      <c r="D187" s="6" t="s">
        <v>75</v>
      </c>
      <c r="E187" s="6" t="s">
        <v>384</v>
      </c>
      <c r="F187" s="6" t="s">
        <v>145</v>
      </c>
      <c r="G187" s="6" t="s">
        <v>345</v>
      </c>
      <c r="H187" s="6" t="s">
        <v>383</v>
      </c>
      <c r="Q187" s="10" cm="1">
        <f t="array" ref="Q187:Z187">BSHARE("die_share",DECILE_ARRAY,"Urban","p25")</f>
        <v>0</v>
      </c>
      <c r="R187">
        <v>0</v>
      </c>
      <c r="S187">
        <v>0</v>
      </c>
      <c r="T187">
        <v>0</v>
      </c>
      <c r="U187">
        <v>0</v>
      </c>
      <c r="V187">
        <v>0</v>
      </c>
      <c r="W187">
        <v>0</v>
      </c>
      <c r="X187">
        <v>0</v>
      </c>
      <c r="Y187">
        <v>0</v>
      </c>
      <c r="Z187">
        <v>0</v>
      </c>
    </row>
    <row r="188" spans="4:26" x14ac:dyDescent="0.25">
      <c r="D188" s="6" t="s">
        <v>75</v>
      </c>
      <c r="E188" s="6" t="s">
        <v>385</v>
      </c>
      <c r="F188" s="6" t="s">
        <v>382</v>
      </c>
      <c r="G188" s="6" t="s">
        <v>345</v>
      </c>
      <c r="H188" s="6" t="s">
        <v>383</v>
      </c>
      <c r="P188" s="10" cm="1">
        <f t="array" ref="P188">BSHARE("die_share",0,"Rural","p25")</f>
        <v>0</v>
      </c>
    </row>
    <row r="189" spans="4:26" x14ac:dyDescent="0.25">
      <c r="D189" s="6" t="s">
        <v>75</v>
      </c>
      <c r="E189" s="6" t="s">
        <v>385</v>
      </c>
      <c r="F189" s="6" t="s">
        <v>145</v>
      </c>
      <c r="G189" s="6" t="s">
        <v>345</v>
      </c>
      <c r="H189" s="6" t="s">
        <v>383</v>
      </c>
      <c r="Q189" s="10" cm="1">
        <f t="array" ref="Q189:Z189">BSHARE("die_share",DECILE_ARRAY,"Rural","p25")</f>
        <v>0</v>
      </c>
      <c r="R189">
        <v>0</v>
      </c>
      <c r="S189">
        <v>0</v>
      </c>
      <c r="T189">
        <v>0</v>
      </c>
      <c r="U189">
        <v>0</v>
      </c>
      <c r="V189">
        <v>0</v>
      </c>
      <c r="W189">
        <v>0</v>
      </c>
      <c r="X189">
        <v>0</v>
      </c>
      <c r="Y189">
        <v>0</v>
      </c>
      <c r="Z189">
        <v>0</v>
      </c>
    </row>
    <row r="190" spans="4:26" x14ac:dyDescent="0.25">
      <c r="D190" s="6" t="s">
        <v>78</v>
      </c>
      <c r="E190" s="6" t="s">
        <v>381</v>
      </c>
      <c r="F190" s="6" t="s">
        <v>382</v>
      </c>
      <c r="G190" s="6" t="s">
        <v>345</v>
      </c>
      <c r="H190" s="6" t="s">
        <v>383</v>
      </c>
      <c r="P190" s="10" cm="1">
        <f t="array" ref="P190">BSHARE("die_share",0,"Overall","p75")</f>
        <v>0</v>
      </c>
    </row>
    <row r="191" spans="4:26" x14ac:dyDescent="0.25">
      <c r="D191" s="6" t="s">
        <v>78</v>
      </c>
      <c r="E191" s="6" t="s">
        <v>381</v>
      </c>
      <c r="F191" s="6" t="s">
        <v>145</v>
      </c>
      <c r="G191" s="6" t="s">
        <v>345</v>
      </c>
      <c r="H191" s="6" t="s">
        <v>383</v>
      </c>
      <c r="Q191" s="10" cm="1">
        <f t="array" ref="Q191:Z191">BSHARE("die_share",DECILE_ARRAY,"Overall","p75")</f>
        <v>0</v>
      </c>
      <c r="R191">
        <v>0</v>
      </c>
      <c r="S191">
        <v>0</v>
      </c>
      <c r="T191">
        <v>0</v>
      </c>
      <c r="U191">
        <v>0</v>
      </c>
      <c r="V191">
        <v>0</v>
      </c>
      <c r="W191">
        <v>0</v>
      </c>
      <c r="X191">
        <v>0</v>
      </c>
      <c r="Y191">
        <v>0</v>
      </c>
      <c r="Z191">
        <v>0</v>
      </c>
    </row>
    <row r="192" spans="4:26" x14ac:dyDescent="0.25">
      <c r="D192" s="6" t="s">
        <v>78</v>
      </c>
      <c r="E192" s="6" t="s">
        <v>384</v>
      </c>
      <c r="F192" s="6" t="s">
        <v>382</v>
      </c>
      <c r="G192" s="6" t="s">
        <v>345</v>
      </c>
      <c r="H192" s="6" t="s">
        <v>383</v>
      </c>
      <c r="P192" s="10" cm="1">
        <f t="array" ref="P192">BSHARE("die_share",0,"Urban","p75")</f>
        <v>0</v>
      </c>
    </row>
    <row r="193" spans="3:26" x14ac:dyDescent="0.25">
      <c r="D193" s="6" t="s">
        <v>78</v>
      </c>
      <c r="E193" s="6" t="s">
        <v>384</v>
      </c>
      <c r="F193" s="6" t="s">
        <v>145</v>
      </c>
      <c r="G193" s="6" t="s">
        <v>345</v>
      </c>
      <c r="H193" s="6" t="s">
        <v>383</v>
      </c>
      <c r="Q193" s="10" cm="1">
        <f t="array" ref="Q193:Z193">BSHARE("die_share",DECILE_ARRAY,"Urban","p75")</f>
        <v>0</v>
      </c>
      <c r="R193">
        <v>0</v>
      </c>
      <c r="S193">
        <v>0</v>
      </c>
      <c r="T193">
        <v>0</v>
      </c>
      <c r="U193">
        <v>0</v>
      </c>
      <c r="V193">
        <v>0</v>
      </c>
      <c r="W193">
        <v>0</v>
      </c>
      <c r="X193">
        <v>0</v>
      </c>
      <c r="Y193">
        <v>0</v>
      </c>
      <c r="Z193">
        <v>0</v>
      </c>
    </row>
    <row r="194" spans="3:26" x14ac:dyDescent="0.25">
      <c r="D194" s="6" t="s">
        <v>78</v>
      </c>
      <c r="E194" s="6" t="s">
        <v>385</v>
      </c>
      <c r="F194" s="6" t="s">
        <v>382</v>
      </c>
      <c r="G194" s="6" t="s">
        <v>345</v>
      </c>
      <c r="H194" s="6" t="s">
        <v>383</v>
      </c>
      <c r="P194" s="10" cm="1">
        <f t="array" ref="P194">BSHARE("die_share",0,"Rural","p75")</f>
        <v>0</v>
      </c>
    </row>
    <row r="195" spans="3:26" x14ac:dyDescent="0.25">
      <c r="D195" s="6" t="s">
        <v>78</v>
      </c>
      <c r="E195" s="6" t="s">
        <v>385</v>
      </c>
      <c r="F195" s="6" t="s">
        <v>145</v>
      </c>
      <c r="G195" s="6" t="s">
        <v>345</v>
      </c>
      <c r="H195" s="6" t="s">
        <v>383</v>
      </c>
      <c r="Q195" s="10" cm="1">
        <f t="array" ref="Q195:Z195">BSHARE("die_share",DECILE_ARRAY,"Rural","p75")</f>
        <v>0</v>
      </c>
      <c r="R195">
        <v>0</v>
      </c>
      <c r="S195">
        <v>0</v>
      </c>
      <c r="T195">
        <v>0</v>
      </c>
      <c r="U195">
        <v>0</v>
      </c>
      <c r="V195">
        <v>0</v>
      </c>
      <c r="W195">
        <v>0</v>
      </c>
      <c r="X195">
        <v>0</v>
      </c>
      <c r="Y195">
        <v>0</v>
      </c>
      <c r="Z195">
        <v>0</v>
      </c>
    </row>
    <row r="197" spans="3:26" x14ac:dyDescent="0.25">
      <c r="C197" s="7" t="s">
        <v>391</v>
      </c>
      <c r="G197" s="6" t="s">
        <v>347</v>
      </c>
      <c r="O197" s="2" t="s">
        <v>331</v>
      </c>
      <c r="Q197" s="2">
        <v>1</v>
      </c>
      <c r="R197" s="2">
        <v>2</v>
      </c>
      <c r="S197" s="2">
        <v>3</v>
      </c>
      <c r="T197" s="2">
        <v>4</v>
      </c>
      <c r="U197" s="2">
        <v>5</v>
      </c>
      <c r="V197" s="2">
        <v>6</v>
      </c>
      <c r="W197" s="2">
        <v>7</v>
      </c>
      <c r="X197" s="2">
        <v>8</v>
      </c>
      <c r="Y197" s="2">
        <v>9</v>
      </c>
      <c r="Z197" s="2">
        <v>10</v>
      </c>
    </row>
    <row r="198" spans="3:26" x14ac:dyDescent="0.25">
      <c r="D198" s="6" t="s">
        <v>69</v>
      </c>
      <c r="E198" s="6" t="s">
        <v>381</v>
      </c>
      <c r="F198" s="6" t="s">
        <v>382</v>
      </c>
      <c r="G198" s="6" t="s">
        <v>347</v>
      </c>
      <c r="H198" s="6" t="s">
        <v>383</v>
      </c>
      <c r="P198" s="10" cm="1">
        <f t="array" ref="P198">BSHARE("ker_share",0,"Overall","mean")</f>
        <v>5.4710461964287499E-5</v>
      </c>
    </row>
    <row r="199" spans="3:26" x14ac:dyDescent="0.25">
      <c r="D199" s="6" t="s">
        <v>69</v>
      </c>
      <c r="E199" s="6" t="s">
        <v>381</v>
      </c>
      <c r="F199" s="6" t="s">
        <v>145</v>
      </c>
      <c r="G199" s="6" t="s">
        <v>347</v>
      </c>
      <c r="H199" s="6" t="s">
        <v>383</v>
      </c>
      <c r="Q199" s="10" cm="1">
        <f t="array" ref="Q199:Z199">BSHARE("ker_share",DECILE_ARRAY,"Overall","mean")</f>
        <v>2.0079910920781519E-5</v>
      </c>
      <c r="R199">
        <v>2.2785656420106611E-5</v>
      </c>
      <c r="S199">
        <v>1.02555962916753E-5</v>
      </c>
      <c r="T199">
        <v>5.6726857032317007E-5</v>
      </c>
      <c r="U199">
        <v>5.6590263940983942E-5</v>
      </c>
      <c r="V199">
        <v>4.6470218537574858E-5</v>
      </c>
      <c r="W199">
        <v>2.1349505379960081E-5</v>
      </c>
      <c r="X199">
        <v>8.1751860138460007E-5</v>
      </c>
      <c r="Y199">
        <v>1.149866307181042E-4</v>
      </c>
      <c r="Z199">
        <v>7.7326548609582145E-5</v>
      </c>
    </row>
    <row r="200" spans="3:26" x14ac:dyDescent="0.25">
      <c r="D200" s="6" t="s">
        <v>69</v>
      </c>
      <c r="E200" s="6" t="s">
        <v>384</v>
      </c>
      <c r="F200" s="6" t="s">
        <v>382</v>
      </c>
      <c r="G200" s="6" t="s">
        <v>347</v>
      </c>
      <c r="H200" s="6" t="s">
        <v>383</v>
      </c>
      <c r="P200" s="10" cm="1">
        <f t="array" ref="P200">BSHARE("ker_share",0,"Urban","mean")</f>
        <v>5.3203165032422087E-5</v>
      </c>
    </row>
    <row r="201" spans="3:26" x14ac:dyDescent="0.25">
      <c r="D201" s="6" t="s">
        <v>69</v>
      </c>
      <c r="E201" s="6" t="s">
        <v>384</v>
      </c>
      <c r="F201" s="6" t="s">
        <v>145</v>
      </c>
      <c r="G201" s="6" t="s">
        <v>347</v>
      </c>
      <c r="H201" s="6" t="s">
        <v>383</v>
      </c>
      <c r="Q201" s="10" cm="1">
        <f t="array" ref="Q201:Z201">BSHARE("ker_share",DECILE_ARRAY,"Urban","mean")</f>
        <v>3.073367142350549E-5</v>
      </c>
      <c r="R201">
        <v>0</v>
      </c>
      <c r="S201">
        <v>2.1291130629747369E-5</v>
      </c>
      <c r="T201">
        <v>0</v>
      </c>
      <c r="U201">
        <v>8.7271114629409357E-5</v>
      </c>
      <c r="V201">
        <v>4.5634281538054748E-5</v>
      </c>
      <c r="W201">
        <v>1.126583580232338E-4</v>
      </c>
      <c r="X201">
        <v>9.7758312145287924E-5</v>
      </c>
      <c r="Y201">
        <v>5.7401157998373053E-5</v>
      </c>
      <c r="Z201">
        <v>1.2169036170610711E-4</v>
      </c>
    </row>
    <row r="202" spans="3:26" x14ac:dyDescent="0.25">
      <c r="D202" s="6" t="s">
        <v>69</v>
      </c>
      <c r="E202" s="6" t="s">
        <v>385</v>
      </c>
      <c r="F202" s="6" t="s">
        <v>382</v>
      </c>
      <c r="G202" s="6" t="s">
        <v>347</v>
      </c>
      <c r="H202" s="6" t="s">
        <v>383</v>
      </c>
      <c r="P202" s="10" cm="1">
        <f t="array" ref="P202">BSHARE("ker_share",0,"Rural","mean")</f>
        <v>4.2239815739881222E-5</v>
      </c>
    </row>
    <row r="203" spans="3:26" x14ac:dyDescent="0.25">
      <c r="D203" s="6" t="s">
        <v>69</v>
      </c>
      <c r="E203" s="6" t="s">
        <v>385</v>
      </c>
      <c r="F203" s="6" t="s">
        <v>145</v>
      </c>
      <c r="G203" s="6" t="s">
        <v>347</v>
      </c>
      <c r="H203" s="6" t="s">
        <v>383</v>
      </c>
      <c r="Q203" s="10" cm="1">
        <f t="array" ref="Q203:Z203">BSHARE("ker_share",DECILE_ARRAY,"Rural","mean")</f>
        <v>3.2263071789080972E-5</v>
      </c>
      <c r="R203">
        <v>0</v>
      </c>
      <c r="S203">
        <v>2.1825208128995861E-5</v>
      </c>
      <c r="T203">
        <v>0</v>
      </c>
      <c r="U203">
        <v>1.198124434142994E-4</v>
      </c>
      <c r="V203">
        <v>6.521102724818561E-5</v>
      </c>
      <c r="W203">
        <v>0</v>
      </c>
      <c r="X203">
        <v>0</v>
      </c>
      <c r="Y203">
        <v>4.2260843611077999E-5</v>
      </c>
      <c r="Z203">
        <v>1.5614341342982301E-4</v>
      </c>
    </row>
    <row r="204" spans="3:26" x14ac:dyDescent="0.25">
      <c r="D204" s="6" t="s">
        <v>72</v>
      </c>
      <c r="E204" s="6" t="s">
        <v>381</v>
      </c>
      <c r="F204" s="6" t="s">
        <v>382</v>
      </c>
      <c r="G204" s="6" t="s">
        <v>347</v>
      </c>
      <c r="H204" s="6" t="s">
        <v>383</v>
      </c>
      <c r="P204" s="10" cm="1">
        <f t="array" ref="P204">BSHARE("ker_share",0,"Overall","median")</f>
        <v>0</v>
      </c>
    </row>
    <row r="205" spans="3:26" x14ac:dyDescent="0.25">
      <c r="D205" s="6" t="s">
        <v>72</v>
      </c>
      <c r="E205" s="6" t="s">
        <v>381</v>
      </c>
      <c r="F205" s="6" t="s">
        <v>145</v>
      </c>
      <c r="G205" s="6" t="s">
        <v>347</v>
      </c>
      <c r="H205" s="6" t="s">
        <v>383</v>
      </c>
      <c r="Q205" s="10" cm="1">
        <f t="array" ref="Q205:Z205">BSHARE("ker_share",DECILE_ARRAY,"Overall","median")</f>
        <v>0</v>
      </c>
      <c r="R205">
        <v>0</v>
      </c>
      <c r="S205">
        <v>0</v>
      </c>
      <c r="T205">
        <v>0</v>
      </c>
      <c r="U205">
        <v>0</v>
      </c>
      <c r="V205">
        <v>0</v>
      </c>
      <c r="W205">
        <v>0</v>
      </c>
      <c r="X205">
        <v>0</v>
      </c>
      <c r="Y205">
        <v>0</v>
      </c>
      <c r="Z205">
        <v>0</v>
      </c>
    </row>
    <row r="206" spans="3:26" x14ac:dyDescent="0.25">
      <c r="D206" s="6" t="s">
        <v>72</v>
      </c>
      <c r="E206" s="6" t="s">
        <v>384</v>
      </c>
      <c r="F206" s="6" t="s">
        <v>382</v>
      </c>
      <c r="G206" s="6" t="s">
        <v>347</v>
      </c>
      <c r="H206" s="6" t="s">
        <v>383</v>
      </c>
      <c r="P206" s="10" cm="1">
        <f t="array" ref="P206">BSHARE("ker_share",0,"Urban","median")</f>
        <v>0</v>
      </c>
    </row>
    <row r="207" spans="3:26" x14ac:dyDescent="0.25">
      <c r="D207" s="6" t="s">
        <v>72</v>
      </c>
      <c r="E207" s="6" t="s">
        <v>384</v>
      </c>
      <c r="F207" s="6" t="s">
        <v>145</v>
      </c>
      <c r="G207" s="6" t="s">
        <v>347</v>
      </c>
      <c r="H207" s="6" t="s">
        <v>383</v>
      </c>
      <c r="Q207" s="10" cm="1">
        <f t="array" ref="Q207:Z207">BSHARE("ker_share",DECILE_ARRAY,"Urban","median")</f>
        <v>0</v>
      </c>
      <c r="R207">
        <v>0</v>
      </c>
      <c r="S207">
        <v>0</v>
      </c>
      <c r="T207">
        <v>0</v>
      </c>
      <c r="U207">
        <v>0</v>
      </c>
      <c r="V207">
        <v>0</v>
      </c>
      <c r="W207">
        <v>0</v>
      </c>
      <c r="X207">
        <v>0</v>
      </c>
      <c r="Y207">
        <v>0</v>
      </c>
      <c r="Z207">
        <v>0</v>
      </c>
    </row>
    <row r="208" spans="3:26" x14ac:dyDescent="0.25">
      <c r="D208" s="6" t="s">
        <v>72</v>
      </c>
      <c r="E208" s="6" t="s">
        <v>385</v>
      </c>
      <c r="F208" s="6" t="s">
        <v>382</v>
      </c>
      <c r="G208" s="6" t="s">
        <v>347</v>
      </c>
      <c r="H208" s="6" t="s">
        <v>383</v>
      </c>
      <c r="P208" s="10" cm="1">
        <f t="array" ref="P208">BSHARE("ker_share",0,"Rural","median")</f>
        <v>0</v>
      </c>
    </row>
    <row r="209" spans="3:26" x14ac:dyDescent="0.25">
      <c r="D209" s="6" t="s">
        <v>72</v>
      </c>
      <c r="E209" s="6" t="s">
        <v>385</v>
      </c>
      <c r="F209" s="6" t="s">
        <v>145</v>
      </c>
      <c r="G209" s="6" t="s">
        <v>347</v>
      </c>
      <c r="H209" s="6" t="s">
        <v>383</v>
      </c>
      <c r="Q209" s="10" cm="1">
        <f t="array" ref="Q209:Z209">BSHARE("ker_share",DECILE_ARRAY,"Rural","median")</f>
        <v>0</v>
      </c>
      <c r="R209">
        <v>0</v>
      </c>
      <c r="S209">
        <v>0</v>
      </c>
      <c r="T209">
        <v>0</v>
      </c>
      <c r="U209">
        <v>0</v>
      </c>
      <c r="V209">
        <v>0</v>
      </c>
      <c r="W209">
        <v>0</v>
      </c>
      <c r="X209">
        <v>0</v>
      </c>
      <c r="Y209">
        <v>0</v>
      </c>
      <c r="Z209">
        <v>0</v>
      </c>
    </row>
    <row r="210" spans="3:26" x14ac:dyDescent="0.25">
      <c r="D210" s="6" t="s">
        <v>75</v>
      </c>
      <c r="E210" s="6" t="s">
        <v>381</v>
      </c>
      <c r="F210" s="6" t="s">
        <v>382</v>
      </c>
      <c r="G210" s="6" t="s">
        <v>347</v>
      </c>
      <c r="H210" s="6" t="s">
        <v>383</v>
      </c>
      <c r="P210" s="10" cm="1">
        <f t="array" ref="P210">BSHARE("ker_share",0,"Overall","p25")</f>
        <v>0</v>
      </c>
    </row>
    <row r="211" spans="3:26" x14ac:dyDescent="0.25">
      <c r="D211" s="6" t="s">
        <v>75</v>
      </c>
      <c r="E211" s="6" t="s">
        <v>381</v>
      </c>
      <c r="F211" s="6" t="s">
        <v>145</v>
      </c>
      <c r="G211" s="6" t="s">
        <v>347</v>
      </c>
      <c r="H211" s="6" t="s">
        <v>383</v>
      </c>
      <c r="Q211" s="10" cm="1">
        <f t="array" ref="Q211:Z211">BSHARE("ker_share",DECILE_ARRAY,"Overall","p25")</f>
        <v>0</v>
      </c>
      <c r="R211">
        <v>0</v>
      </c>
      <c r="S211">
        <v>0</v>
      </c>
      <c r="T211">
        <v>0</v>
      </c>
      <c r="U211">
        <v>0</v>
      </c>
      <c r="V211">
        <v>0</v>
      </c>
      <c r="W211">
        <v>0</v>
      </c>
      <c r="X211">
        <v>0</v>
      </c>
      <c r="Y211">
        <v>0</v>
      </c>
      <c r="Z211">
        <v>0</v>
      </c>
    </row>
    <row r="212" spans="3:26" x14ac:dyDescent="0.25">
      <c r="D212" s="6" t="s">
        <v>75</v>
      </c>
      <c r="E212" s="6" t="s">
        <v>384</v>
      </c>
      <c r="F212" s="6" t="s">
        <v>382</v>
      </c>
      <c r="G212" s="6" t="s">
        <v>347</v>
      </c>
      <c r="H212" s="6" t="s">
        <v>383</v>
      </c>
      <c r="P212" s="10" cm="1">
        <f t="array" ref="P212">BSHARE("ker_share",0,"Urban","p25")</f>
        <v>0</v>
      </c>
    </row>
    <row r="213" spans="3:26" x14ac:dyDescent="0.25">
      <c r="D213" s="6" t="s">
        <v>75</v>
      </c>
      <c r="E213" s="6" t="s">
        <v>384</v>
      </c>
      <c r="F213" s="6" t="s">
        <v>145</v>
      </c>
      <c r="G213" s="6" t="s">
        <v>347</v>
      </c>
      <c r="H213" s="6" t="s">
        <v>383</v>
      </c>
      <c r="Q213" s="10" cm="1">
        <f t="array" ref="Q213:Z213">BSHARE("ker_share",DECILE_ARRAY,"Urban","p25")</f>
        <v>0</v>
      </c>
      <c r="R213">
        <v>0</v>
      </c>
      <c r="S213">
        <v>0</v>
      </c>
      <c r="T213">
        <v>0</v>
      </c>
      <c r="U213">
        <v>0</v>
      </c>
      <c r="V213">
        <v>0</v>
      </c>
      <c r="W213">
        <v>0</v>
      </c>
      <c r="X213">
        <v>0</v>
      </c>
      <c r="Y213">
        <v>0</v>
      </c>
      <c r="Z213">
        <v>0</v>
      </c>
    </row>
    <row r="214" spans="3:26" x14ac:dyDescent="0.25">
      <c r="D214" s="6" t="s">
        <v>75</v>
      </c>
      <c r="E214" s="6" t="s">
        <v>385</v>
      </c>
      <c r="F214" s="6" t="s">
        <v>382</v>
      </c>
      <c r="G214" s="6" t="s">
        <v>347</v>
      </c>
      <c r="H214" s="6" t="s">
        <v>383</v>
      </c>
      <c r="P214" s="10" cm="1">
        <f t="array" ref="P214">BSHARE("ker_share",0,"Rural","p25")</f>
        <v>0</v>
      </c>
    </row>
    <row r="215" spans="3:26" x14ac:dyDescent="0.25">
      <c r="D215" s="6" t="s">
        <v>75</v>
      </c>
      <c r="E215" s="6" t="s">
        <v>385</v>
      </c>
      <c r="F215" s="6" t="s">
        <v>145</v>
      </c>
      <c r="G215" s="6" t="s">
        <v>347</v>
      </c>
      <c r="H215" s="6" t="s">
        <v>383</v>
      </c>
      <c r="Q215" s="10" cm="1">
        <f t="array" ref="Q215:Z215">BSHARE("ker_share",DECILE_ARRAY,"Rural","p25")</f>
        <v>0</v>
      </c>
      <c r="R215">
        <v>0</v>
      </c>
      <c r="S215">
        <v>0</v>
      </c>
      <c r="T215">
        <v>0</v>
      </c>
      <c r="U215">
        <v>0</v>
      </c>
      <c r="V215">
        <v>0</v>
      </c>
      <c r="W215">
        <v>0</v>
      </c>
      <c r="X215">
        <v>0</v>
      </c>
      <c r="Y215">
        <v>0</v>
      </c>
      <c r="Z215">
        <v>0</v>
      </c>
    </row>
    <row r="216" spans="3:26" x14ac:dyDescent="0.25">
      <c r="D216" s="6" t="s">
        <v>78</v>
      </c>
      <c r="E216" s="6" t="s">
        <v>381</v>
      </c>
      <c r="F216" s="6" t="s">
        <v>382</v>
      </c>
      <c r="G216" s="6" t="s">
        <v>347</v>
      </c>
      <c r="H216" s="6" t="s">
        <v>383</v>
      </c>
      <c r="P216" s="10" cm="1">
        <f t="array" ref="P216">BSHARE("ker_share",0,"Overall","p75")</f>
        <v>0</v>
      </c>
    </row>
    <row r="217" spans="3:26" x14ac:dyDescent="0.25">
      <c r="D217" s="6" t="s">
        <v>78</v>
      </c>
      <c r="E217" s="6" t="s">
        <v>381</v>
      </c>
      <c r="F217" s="6" t="s">
        <v>145</v>
      </c>
      <c r="G217" s="6" t="s">
        <v>347</v>
      </c>
      <c r="H217" s="6" t="s">
        <v>383</v>
      </c>
      <c r="Q217" s="10" cm="1">
        <f t="array" ref="Q217:Z217">BSHARE("ker_share",DECILE_ARRAY,"Overall","p75")</f>
        <v>0</v>
      </c>
      <c r="R217">
        <v>0</v>
      </c>
      <c r="S217">
        <v>0</v>
      </c>
      <c r="T217">
        <v>0</v>
      </c>
      <c r="U217">
        <v>0</v>
      </c>
      <c r="V217">
        <v>0</v>
      </c>
      <c r="W217">
        <v>0</v>
      </c>
      <c r="X217">
        <v>0</v>
      </c>
      <c r="Y217">
        <v>0</v>
      </c>
      <c r="Z217">
        <v>0</v>
      </c>
    </row>
    <row r="218" spans="3:26" x14ac:dyDescent="0.25">
      <c r="D218" s="6" t="s">
        <v>78</v>
      </c>
      <c r="E218" s="6" t="s">
        <v>384</v>
      </c>
      <c r="F218" s="6" t="s">
        <v>382</v>
      </c>
      <c r="G218" s="6" t="s">
        <v>347</v>
      </c>
      <c r="H218" s="6" t="s">
        <v>383</v>
      </c>
      <c r="P218" s="10" cm="1">
        <f t="array" ref="P218">BSHARE("ker_share",0,"Urban","p75")</f>
        <v>0</v>
      </c>
    </row>
    <row r="219" spans="3:26" x14ac:dyDescent="0.25">
      <c r="D219" s="6" t="s">
        <v>78</v>
      </c>
      <c r="E219" s="6" t="s">
        <v>384</v>
      </c>
      <c r="F219" s="6" t="s">
        <v>145</v>
      </c>
      <c r="G219" s="6" t="s">
        <v>347</v>
      </c>
      <c r="H219" s="6" t="s">
        <v>383</v>
      </c>
      <c r="Q219" s="10" cm="1">
        <f t="array" ref="Q219:Z219">BSHARE("ker_share",DECILE_ARRAY,"Urban","p75")</f>
        <v>0</v>
      </c>
      <c r="R219">
        <v>0</v>
      </c>
      <c r="S219">
        <v>0</v>
      </c>
      <c r="T219">
        <v>0</v>
      </c>
      <c r="U219">
        <v>0</v>
      </c>
      <c r="V219">
        <v>0</v>
      </c>
      <c r="W219">
        <v>0</v>
      </c>
      <c r="X219">
        <v>0</v>
      </c>
      <c r="Y219">
        <v>0</v>
      </c>
      <c r="Z219">
        <v>0</v>
      </c>
    </row>
    <row r="220" spans="3:26" x14ac:dyDescent="0.25">
      <c r="D220" s="6" t="s">
        <v>78</v>
      </c>
      <c r="E220" s="6" t="s">
        <v>385</v>
      </c>
      <c r="F220" s="6" t="s">
        <v>382</v>
      </c>
      <c r="G220" s="6" t="s">
        <v>347</v>
      </c>
      <c r="H220" s="6" t="s">
        <v>383</v>
      </c>
      <c r="P220" s="10" cm="1">
        <f t="array" ref="P220">BSHARE("ker_share",0,"Rural","p75")</f>
        <v>0</v>
      </c>
    </row>
    <row r="221" spans="3:26" x14ac:dyDescent="0.25">
      <c r="D221" s="6" t="s">
        <v>78</v>
      </c>
      <c r="E221" s="6" t="s">
        <v>385</v>
      </c>
      <c r="F221" s="6" t="s">
        <v>145</v>
      </c>
      <c r="G221" s="6" t="s">
        <v>347</v>
      </c>
      <c r="H221" s="6" t="s">
        <v>383</v>
      </c>
      <c r="Q221" s="10" cm="1">
        <f t="array" ref="Q221:Z221">BSHARE("ker_share",DECILE_ARRAY,"Rural","p75")</f>
        <v>0</v>
      </c>
      <c r="R221">
        <v>0</v>
      </c>
      <c r="S221">
        <v>0</v>
      </c>
      <c r="T221">
        <v>0</v>
      </c>
      <c r="U221">
        <v>0</v>
      </c>
      <c r="V221">
        <v>0</v>
      </c>
      <c r="W221">
        <v>0</v>
      </c>
      <c r="X221">
        <v>0</v>
      </c>
      <c r="Y221">
        <v>0</v>
      </c>
      <c r="Z221">
        <v>0</v>
      </c>
    </row>
    <row r="223" spans="3:26" x14ac:dyDescent="0.25">
      <c r="C223" s="7" t="s">
        <v>392</v>
      </c>
      <c r="G223" s="6" t="s">
        <v>349</v>
      </c>
      <c r="O223" s="2" t="s">
        <v>331</v>
      </c>
      <c r="Q223" s="2">
        <v>1</v>
      </c>
      <c r="R223" s="2">
        <v>2</v>
      </c>
      <c r="S223" s="2">
        <v>3</v>
      </c>
      <c r="T223" s="2">
        <v>4</v>
      </c>
      <c r="U223" s="2">
        <v>5</v>
      </c>
      <c r="V223" s="2">
        <v>6</v>
      </c>
      <c r="W223" s="2">
        <v>7</v>
      </c>
      <c r="X223" s="2">
        <v>8</v>
      </c>
      <c r="Y223" s="2">
        <v>9</v>
      </c>
      <c r="Z223" s="2">
        <v>10</v>
      </c>
    </row>
    <row r="224" spans="3:26" x14ac:dyDescent="0.25">
      <c r="D224" s="6" t="s">
        <v>69</v>
      </c>
      <c r="E224" s="6" t="s">
        <v>381</v>
      </c>
      <c r="F224" s="6" t="s">
        <v>382</v>
      </c>
      <c r="G224" s="6" t="s">
        <v>349</v>
      </c>
      <c r="H224" s="6" t="s">
        <v>383</v>
      </c>
      <c r="P224" s="10" cm="1">
        <f t="array" ref="P224">BSHARE("lpg_share",0,"Overall","mean")</f>
        <v>1.7646272468015649</v>
      </c>
    </row>
    <row r="225" spans="4:26" x14ac:dyDescent="0.25">
      <c r="D225" s="6" t="s">
        <v>69</v>
      </c>
      <c r="E225" s="6" t="s">
        <v>381</v>
      </c>
      <c r="F225" s="6" t="s">
        <v>145</v>
      </c>
      <c r="G225" s="6" t="s">
        <v>349</v>
      </c>
      <c r="H225" s="6" t="s">
        <v>383</v>
      </c>
      <c r="Q225" s="10" cm="1">
        <f t="array" ref="Q225:Z225">BSHARE("lpg_share",DECILE_ARRAY,"Overall","mean")</f>
        <v>2.7328783130952732</v>
      </c>
      <c r="R225">
        <v>2.3478393078103039</v>
      </c>
      <c r="S225">
        <v>2.0661716660440508</v>
      </c>
      <c r="T225">
        <v>1.7713610521515759</v>
      </c>
      <c r="U225">
        <v>1.729992103661582</v>
      </c>
      <c r="V225">
        <v>1.600655486697883</v>
      </c>
      <c r="W225">
        <v>1.598236862680213</v>
      </c>
      <c r="X225">
        <v>1.3677925660302579</v>
      </c>
      <c r="Y225">
        <v>1.1808088950134259</v>
      </c>
      <c r="Z225">
        <v>1.0081828198862051</v>
      </c>
    </row>
    <row r="226" spans="4:26" x14ac:dyDescent="0.25">
      <c r="D226" s="6" t="s">
        <v>69</v>
      </c>
      <c r="E226" s="6" t="s">
        <v>384</v>
      </c>
      <c r="F226" s="6" t="s">
        <v>382</v>
      </c>
      <c r="G226" s="6" t="s">
        <v>349</v>
      </c>
      <c r="H226" s="6" t="s">
        <v>383</v>
      </c>
      <c r="P226" s="10" cm="1">
        <f t="array" ref="P226">BSHARE("lpg_share",0,"Urban","mean")</f>
        <v>0.93181419420515232</v>
      </c>
    </row>
    <row r="227" spans="4:26" x14ac:dyDescent="0.25">
      <c r="D227" s="6" t="s">
        <v>69</v>
      </c>
      <c r="E227" s="6" t="s">
        <v>384</v>
      </c>
      <c r="F227" s="6" t="s">
        <v>145</v>
      </c>
      <c r="G227" s="6" t="s">
        <v>349</v>
      </c>
      <c r="H227" s="6" t="s">
        <v>383</v>
      </c>
      <c r="Q227" s="10" cm="1">
        <f t="array" ref="Q227:Z227">BSHARE("lpg_share",DECILE_ARRAY,"Urban","mean")</f>
        <v>1.82850426640524</v>
      </c>
      <c r="R227">
        <v>1.3381325305485099</v>
      </c>
      <c r="S227">
        <v>1.1473254702729829</v>
      </c>
      <c r="T227">
        <v>0.97276648184695591</v>
      </c>
      <c r="U227">
        <v>0.83140551138016883</v>
      </c>
      <c r="V227">
        <v>0.92812792087590834</v>
      </c>
      <c r="W227">
        <v>0.87663810737171033</v>
      </c>
      <c r="X227">
        <v>0.66672755429294206</v>
      </c>
      <c r="Y227">
        <v>0.69144940688870193</v>
      </c>
      <c r="Z227">
        <v>0.51113906363480022</v>
      </c>
    </row>
    <row r="228" spans="4:26" x14ac:dyDescent="0.25">
      <c r="D228" s="6" t="s">
        <v>69</v>
      </c>
      <c r="E228" s="6" t="s">
        <v>385</v>
      </c>
      <c r="F228" s="6" t="s">
        <v>382</v>
      </c>
      <c r="G228" s="6" t="s">
        <v>349</v>
      </c>
      <c r="H228" s="6" t="s">
        <v>383</v>
      </c>
      <c r="P228" s="10" cm="1">
        <f t="array" ref="P228">BSHARE("lpg_share",0,"Rural","mean")</f>
        <v>2.2349743809268121</v>
      </c>
    </row>
    <row r="229" spans="4:26" x14ac:dyDescent="0.25">
      <c r="D229" s="6" t="s">
        <v>69</v>
      </c>
      <c r="E229" s="6" t="s">
        <v>385</v>
      </c>
      <c r="F229" s="6" t="s">
        <v>145</v>
      </c>
      <c r="G229" s="6" t="s">
        <v>349</v>
      </c>
      <c r="H229" s="6" t="s">
        <v>383</v>
      </c>
      <c r="Q229" s="10" cm="1">
        <f t="array" ref="Q229:Z229">BSHARE("lpg_share",DECILE_ARRAY,"Rural","mean")</f>
        <v>3.061583601843167</v>
      </c>
      <c r="R229">
        <v>2.588143361328239</v>
      </c>
      <c r="S229">
        <v>2.473604974051363</v>
      </c>
      <c r="T229">
        <v>2.4937734064511301</v>
      </c>
      <c r="U229">
        <v>2.3369701177018118</v>
      </c>
      <c r="V229">
        <v>2.0712956359061039</v>
      </c>
      <c r="W229">
        <v>1.998200470834532</v>
      </c>
      <c r="X229">
        <v>2.169912448592076</v>
      </c>
      <c r="Y229">
        <v>2.268973853630599</v>
      </c>
      <c r="Z229">
        <v>2.199350736284317</v>
      </c>
    </row>
    <row r="230" spans="4:26" x14ac:dyDescent="0.25">
      <c r="D230" s="6" t="s">
        <v>72</v>
      </c>
      <c r="E230" s="6" t="s">
        <v>381</v>
      </c>
      <c r="F230" s="6" t="s">
        <v>382</v>
      </c>
      <c r="G230" s="6" t="s">
        <v>349</v>
      </c>
      <c r="H230" s="6" t="s">
        <v>383</v>
      </c>
      <c r="P230" s="10" cm="1">
        <f t="array" ref="P230">BSHARE("lpg_share",0,"Overall","median")</f>
        <v>1.859314183321209</v>
      </c>
    </row>
    <row r="231" spans="4:26" x14ac:dyDescent="0.25">
      <c r="D231" s="6" t="s">
        <v>72</v>
      </c>
      <c r="E231" s="6" t="s">
        <v>381</v>
      </c>
      <c r="F231" s="6" t="s">
        <v>145</v>
      </c>
      <c r="G231" s="6" t="s">
        <v>349</v>
      </c>
      <c r="H231" s="6" t="s">
        <v>383</v>
      </c>
      <c r="Q231" s="10" cm="1">
        <f t="array" ref="Q231:Z231">BSHARE("lpg_share",DECILE_ARRAY,"Overall","median")</f>
        <v>2.970307015238689</v>
      </c>
      <c r="R231">
        <v>2.416590556083912</v>
      </c>
      <c r="S231">
        <v>2.0134393619492101</v>
      </c>
      <c r="T231">
        <v>1.9426253084486049</v>
      </c>
      <c r="U231">
        <v>1.8277094241010641</v>
      </c>
      <c r="V231">
        <v>1.654055981548828</v>
      </c>
      <c r="W231">
        <v>1.5024701939287111</v>
      </c>
      <c r="X231">
        <v>1.354861305549502</v>
      </c>
      <c r="Y231">
        <v>1.190499826565945</v>
      </c>
      <c r="Z231">
        <v>0</v>
      </c>
    </row>
    <row r="232" spans="4:26" x14ac:dyDescent="0.25">
      <c r="D232" s="6" t="s">
        <v>72</v>
      </c>
      <c r="E232" s="6" t="s">
        <v>384</v>
      </c>
      <c r="F232" s="6" t="s">
        <v>382</v>
      </c>
      <c r="G232" s="6" t="s">
        <v>349</v>
      </c>
      <c r="H232" s="6" t="s">
        <v>383</v>
      </c>
      <c r="P232" s="10" cm="1">
        <f t="array" ref="P232">BSHARE("lpg_share",0,"Urban","median")</f>
        <v>0</v>
      </c>
    </row>
    <row r="233" spans="4:26" x14ac:dyDescent="0.25">
      <c r="D233" s="6" t="s">
        <v>72</v>
      </c>
      <c r="E233" s="6" t="s">
        <v>384</v>
      </c>
      <c r="F233" s="6" t="s">
        <v>145</v>
      </c>
      <c r="G233" s="6" t="s">
        <v>349</v>
      </c>
      <c r="H233" s="6" t="s">
        <v>383</v>
      </c>
      <c r="Q233" s="10" cm="1">
        <f t="array" ref="Q233:Z233">BSHARE("lpg_share",DECILE_ARRAY,"Urban","median")</f>
        <v>1.800052251903469</v>
      </c>
      <c r="R233">
        <v>1.1348740334585581</v>
      </c>
      <c r="S233">
        <v>0.91636960427922354</v>
      </c>
      <c r="T233">
        <v>0</v>
      </c>
      <c r="U233">
        <v>0</v>
      </c>
      <c r="V233">
        <v>0</v>
      </c>
      <c r="W233">
        <v>0</v>
      </c>
      <c r="X233">
        <v>0</v>
      </c>
      <c r="Y233">
        <v>0</v>
      </c>
      <c r="Z233">
        <v>0</v>
      </c>
    </row>
    <row r="234" spans="4:26" x14ac:dyDescent="0.25">
      <c r="D234" s="6" t="s">
        <v>72</v>
      </c>
      <c r="E234" s="6" t="s">
        <v>385</v>
      </c>
      <c r="F234" s="6" t="s">
        <v>382</v>
      </c>
      <c r="G234" s="6" t="s">
        <v>349</v>
      </c>
      <c r="H234" s="6" t="s">
        <v>383</v>
      </c>
      <c r="P234" s="10" cm="1">
        <f t="array" ref="P234">BSHARE("lpg_share",0,"Rural","median")</f>
        <v>2.3441688228499551</v>
      </c>
    </row>
    <row r="235" spans="4:26" x14ac:dyDescent="0.25">
      <c r="D235" s="6" t="s">
        <v>72</v>
      </c>
      <c r="E235" s="6" t="s">
        <v>385</v>
      </c>
      <c r="F235" s="6" t="s">
        <v>145</v>
      </c>
      <c r="G235" s="6" t="s">
        <v>349</v>
      </c>
      <c r="H235" s="6" t="s">
        <v>383</v>
      </c>
      <c r="Q235" s="10" cm="1">
        <f t="array" ref="Q235:Z235">BSHARE("lpg_share",DECILE_ARRAY,"Rural","median")</f>
        <v>3.1619365030653288</v>
      </c>
      <c r="R235">
        <v>2.6386025580463701</v>
      </c>
      <c r="S235">
        <v>2.558088753380261</v>
      </c>
      <c r="T235">
        <v>2.1455683242223049</v>
      </c>
      <c r="U235">
        <v>2.0665850213778731</v>
      </c>
      <c r="V235">
        <v>1.90963628249332</v>
      </c>
      <c r="W235">
        <v>2.1503483158063972</v>
      </c>
      <c r="X235">
        <v>1.91790281432819</v>
      </c>
      <c r="Y235">
        <v>1.951369394184516</v>
      </c>
      <c r="Z235">
        <v>1.8964212355780941</v>
      </c>
    </row>
    <row r="236" spans="4:26" x14ac:dyDescent="0.25">
      <c r="D236" s="6" t="s">
        <v>75</v>
      </c>
      <c r="E236" s="6" t="s">
        <v>381</v>
      </c>
      <c r="F236" s="6" t="s">
        <v>382</v>
      </c>
      <c r="G236" s="6" t="s">
        <v>349</v>
      </c>
      <c r="H236" s="6" t="s">
        <v>383</v>
      </c>
      <c r="P236" s="10" cm="1">
        <f t="array" ref="P236">BSHARE("lpg_share",0,"Overall","p25")</f>
        <v>0</v>
      </c>
    </row>
    <row r="237" spans="4:26" x14ac:dyDescent="0.25">
      <c r="D237" s="6" t="s">
        <v>75</v>
      </c>
      <c r="E237" s="6" t="s">
        <v>381</v>
      </c>
      <c r="F237" s="6" t="s">
        <v>145</v>
      </c>
      <c r="G237" s="6" t="s">
        <v>349</v>
      </c>
      <c r="H237" s="6" t="s">
        <v>383</v>
      </c>
      <c r="Q237" s="10" cm="1">
        <f t="array" ref="Q237:Z237">BSHARE("lpg_share",DECILE_ARRAY,"Overall","p25")</f>
        <v>1.954911690587537</v>
      </c>
      <c r="R237">
        <v>1.6511159422616599</v>
      </c>
      <c r="S237">
        <v>1.328605304957218</v>
      </c>
      <c r="T237">
        <v>1.053400152491202</v>
      </c>
      <c r="U237">
        <v>8.7201450848321496E-2</v>
      </c>
      <c r="V237">
        <v>0</v>
      </c>
      <c r="W237">
        <v>0</v>
      </c>
      <c r="X237">
        <v>0</v>
      </c>
      <c r="Y237">
        <v>0</v>
      </c>
      <c r="Z237">
        <v>0</v>
      </c>
    </row>
    <row r="238" spans="4:26" x14ac:dyDescent="0.25">
      <c r="D238" s="6" t="s">
        <v>75</v>
      </c>
      <c r="E238" s="6" t="s">
        <v>384</v>
      </c>
      <c r="F238" s="6" t="s">
        <v>382</v>
      </c>
      <c r="G238" s="6" t="s">
        <v>349</v>
      </c>
      <c r="H238" s="6" t="s">
        <v>383</v>
      </c>
      <c r="P238" s="10" cm="1">
        <f t="array" ref="P238">BSHARE("lpg_share",0,"Urban","p25")</f>
        <v>0</v>
      </c>
    </row>
    <row r="239" spans="4:26" x14ac:dyDescent="0.25">
      <c r="D239" s="6" t="s">
        <v>75</v>
      </c>
      <c r="E239" s="6" t="s">
        <v>384</v>
      </c>
      <c r="F239" s="6" t="s">
        <v>145</v>
      </c>
      <c r="G239" s="6" t="s">
        <v>349</v>
      </c>
      <c r="H239" s="6" t="s">
        <v>383</v>
      </c>
      <c r="Q239" s="10" cm="1">
        <f t="array" ref="Q239:Z239">BSHARE("lpg_share",DECILE_ARRAY,"Urban","p25")</f>
        <v>0</v>
      </c>
      <c r="R239">
        <v>0</v>
      </c>
      <c r="S239">
        <v>0</v>
      </c>
      <c r="T239">
        <v>0</v>
      </c>
      <c r="U239">
        <v>0</v>
      </c>
      <c r="V239">
        <v>0</v>
      </c>
      <c r="W239">
        <v>0</v>
      </c>
      <c r="X239">
        <v>0</v>
      </c>
      <c r="Y239">
        <v>0</v>
      </c>
      <c r="Z239">
        <v>0</v>
      </c>
    </row>
    <row r="240" spans="4:26" x14ac:dyDescent="0.25">
      <c r="D240" s="6" t="s">
        <v>75</v>
      </c>
      <c r="E240" s="6" t="s">
        <v>385</v>
      </c>
      <c r="F240" s="6" t="s">
        <v>382</v>
      </c>
      <c r="G240" s="6" t="s">
        <v>349</v>
      </c>
      <c r="H240" s="6" t="s">
        <v>383</v>
      </c>
      <c r="P240" s="10" cm="1">
        <f t="array" ref="P240">BSHARE("lpg_share",0,"Rural","p25")</f>
        <v>1.617188023566253</v>
      </c>
    </row>
    <row r="241" spans="3:26" x14ac:dyDescent="0.25">
      <c r="D241" s="6" t="s">
        <v>75</v>
      </c>
      <c r="E241" s="6" t="s">
        <v>385</v>
      </c>
      <c r="F241" s="6" t="s">
        <v>145</v>
      </c>
      <c r="G241" s="6" t="s">
        <v>349</v>
      </c>
      <c r="H241" s="6" t="s">
        <v>383</v>
      </c>
      <c r="Q241" s="10" cm="1">
        <f t="array" ref="Q241:Z241">BSHARE("lpg_share",DECILE_ARRAY,"Rural","p25")</f>
        <v>2.4166374515134268</v>
      </c>
      <c r="R241">
        <v>2.1846662931092302</v>
      </c>
      <c r="S241">
        <v>1.8681383213293741</v>
      </c>
      <c r="T241">
        <v>1.799629287148536</v>
      </c>
      <c r="U241">
        <v>1.600510860178459</v>
      </c>
      <c r="V241">
        <v>1.715775363860899</v>
      </c>
      <c r="W241">
        <v>1.4468800714242549</v>
      </c>
      <c r="X241">
        <v>1.5790852672890801</v>
      </c>
      <c r="Y241">
        <v>1.4201703445294389</v>
      </c>
      <c r="Z241">
        <v>1.4744236860755571</v>
      </c>
    </row>
    <row r="242" spans="3:26" x14ac:dyDescent="0.25">
      <c r="D242" s="6" t="s">
        <v>78</v>
      </c>
      <c r="E242" s="6" t="s">
        <v>381</v>
      </c>
      <c r="F242" s="6" t="s">
        <v>382</v>
      </c>
      <c r="G242" s="6" t="s">
        <v>349</v>
      </c>
      <c r="H242" s="6" t="s">
        <v>383</v>
      </c>
      <c r="P242" s="10" cm="1">
        <f t="array" ref="P242">BSHARE("lpg_share",0,"Overall","p75")</f>
        <v>2.7481466167077611</v>
      </c>
    </row>
    <row r="243" spans="3:26" x14ac:dyDescent="0.25">
      <c r="D243" s="6" t="s">
        <v>78</v>
      </c>
      <c r="E243" s="6" t="s">
        <v>381</v>
      </c>
      <c r="F243" s="6" t="s">
        <v>145</v>
      </c>
      <c r="G243" s="6" t="s">
        <v>349</v>
      </c>
      <c r="H243" s="6" t="s">
        <v>383</v>
      </c>
      <c r="Q243" s="10" cm="1">
        <f t="array" ref="Q243:Z243">BSHARE("lpg_share",DECILE_ARRAY,"Overall","p75")</f>
        <v>3.8266371989636192</v>
      </c>
      <c r="R243">
        <v>3.1574986737583659</v>
      </c>
      <c r="S243">
        <v>2.8173220382838391</v>
      </c>
      <c r="T243">
        <v>2.4989490513322541</v>
      </c>
      <c r="U243">
        <v>2.340991569552433</v>
      </c>
      <c r="V243">
        <v>2.387565015270499</v>
      </c>
      <c r="W243">
        <v>2.1980724598849259</v>
      </c>
      <c r="X243">
        <v>2.3961749968920349</v>
      </c>
      <c r="Y243">
        <v>2.1068656962480472</v>
      </c>
      <c r="Z243">
        <v>2.0259565517815461</v>
      </c>
    </row>
    <row r="244" spans="3:26" x14ac:dyDescent="0.25">
      <c r="D244" s="6" t="s">
        <v>78</v>
      </c>
      <c r="E244" s="6" t="s">
        <v>384</v>
      </c>
      <c r="F244" s="6" t="s">
        <v>382</v>
      </c>
      <c r="G244" s="6" t="s">
        <v>349</v>
      </c>
      <c r="H244" s="6" t="s">
        <v>383</v>
      </c>
      <c r="P244" s="10" cm="1">
        <f t="array" ref="P244">BSHARE("lpg_share",0,"Urban","p75")</f>
        <v>1.9764965521364231</v>
      </c>
    </row>
    <row r="245" spans="3:26" x14ac:dyDescent="0.25">
      <c r="D245" s="6" t="s">
        <v>78</v>
      </c>
      <c r="E245" s="6" t="s">
        <v>384</v>
      </c>
      <c r="F245" s="6" t="s">
        <v>145</v>
      </c>
      <c r="G245" s="6" t="s">
        <v>349</v>
      </c>
      <c r="H245" s="6" t="s">
        <v>383</v>
      </c>
      <c r="Q245" s="10" cm="1">
        <f t="array" ref="Q245:Z245">BSHARE("lpg_share",DECILE_ARRAY,"Urban","p75")</f>
        <v>2.9866424100396731</v>
      </c>
      <c r="R245">
        <v>2.4158082615042971</v>
      </c>
      <c r="S245">
        <v>2.303674173436542</v>
      </c>
      <c r="T245">
        <v>2.0826743030329311</v>
      </c>
      <c r="U245">
        <v>1.9667008854157939</v>
      </c>
      <c r="V245">
        <v>1.5930835102988989</v>
      </c>
      <c r="W245">
        <v>1.598837409894752</v>
      </c>
      <c r="X245">
        <v>1.25155226464265</v>
      </c>
      <c r="Y245">
        <v>1.187036550066604</v>
      </c>
      <c r="Z245">
        <v>0.7911170157210653</v>
      </c>
    </row>
    <row r="246" spans="3:26" x14ac:dyDescent="0.25">
      <c r="D246" s="6" t="s">
        <v>78</v>
      </c>
      <c r="E246" s="6" t="s">
        <v>385</v>
      </c>
      <c r="F246" s="6" t="s">
        <v>382</v>
      </c>
      <c r="G246" s="6" t="s">
        <v>349</v>
      </c>
      <c r="H246" s="6" t="s">
        <v>383</v>
      </c>
      <c r="P246" s="10" cm="1">
        <f t="array" ref="P246">BSHARE("lpg_share",0,"Rural","p75")</f>
        <v>2.8816264113005681</v>
      </c>
    </row>
    <row r="247" spans="3:26" x14ac:dyDescent="0.25">
      <c r="D247" s="6" t="s">
        <v>78</v>
      </c>
      <c r="E247" s="6" t="s">
        <v>385</v>
      </c>
      <c r="F247" s="6" t="s">
        <v>145</v>
      </c>
      <c r="G247" s="6" t="s">
        <v>349</v>
      </c>
      <c r="H247" s="6" t="s">
        <v>383</v>
      </c>
      <c r="Q247" s="10" cm="1">
        <f t="array" ref="Q247:Z247">BSHARE("lpg_share",DECILE_ARRAY,"Rural","p75")</f>
        <v>4.0014624893478112</v>
      </c>
      <c r="R247">
        <v>3.034722492866277</v>
      </c>
      <c r="S247">
        <v>2.8380796793248431</v>
      </c>
      <c r="T247">
        <v>2.797124212580957</v>
      </c>
      <c r="U247">
        <v>2.6044678602638198</v>
      </c>
      <c r="V247">
        <v>2.4504841018946499</v>
      </c>
      <c r="W247">
        <v>2.5682440922339298</v>
      </c>
      <c r="X247">
        <v>2.838328283741534</v>
      </c>
      <c r="Y247">
        <v>2.54142812905808</v>
      </c>
      <c r="Z247">
        <v>2.8691736932826188</v>
      </c>
    </row>
    <row r="249" spans="3:26" x14ac:dyDescent="0.25">
      <c r="C249" s="7" t="s">
        <v>393</v>
      </c>
      <c r="G249" s="6" t="s">
        <v>394</v>
      </c>
      <c r="O249" s="2" t="s">
        <v>331</v>
      </c>
      <c r="Q249" s="2">
        <v>1</v>
      </c>
      <c r="R249" s="2">
        <v>2</v>
      </c>
      <c r="S249" s="2">
        <v>3</v>
      </c>
      <c r="T249" s="2">
        <v>4</v>
      </c>
      <c r="U249" s="2">
        <v>5</v>
      </c>
      <c r="V249" s="2">
        <v>6</v>
      </c>
      <c r="W249" s="2">
        <v>7</v>
      </c>
      <c r="X249" s="2">
        <v>8</v>
      </c>
      <c r="Y249" s="2">
        <v>9</v>
      </c>
      <c r="Z249" s="2">
        <v>10</v>
      </c>
    </row>
    <row r="250" spans="3:26" x14ac:dyDescent="0.25">
      <c r="D250" s="6" t="s">
        <v>69</v>
      </c>
      <c r="E250" s="6" t="s">
        <v>381</v>
      </c>
      <c r="F250" s="6" t="s">
        <v>382</v>
      </c>
      <c r="G250" s="6" t="s">
        <v>394</v>
      </c>
      <c r="H250" s="6" t="s">
        <v>383</v>
      </c>
      <c r="P250" s="10" cm="1">
        <f t="array" ref="P250">BSHARE("ccl_share",0,"Overall","mean")</f>
        <v>4.080784633072502E-3</v>
      </c>
    </row>
    <row r="251" spans="3:26" x14ac:dyDescent="0.25">
      <c r="D251" s="6" t="s">
        <v>69</v>
      </c>
      <c r="E251" s="6" t="s">
        <v>381</v>
      </c>
      <c r="F251" s="6" t="s">
        <v>145</v>
      </c>
      <c r="G251" s="6" t="s">
        <v>394</v>
      </c>
      <c r="H251" s="6" t="s">
        <v>383</v>
      </c>
      <c r="Q251" s="10" cm="1">
        <f t="array" ref="Q251:Z251">BSHARE("ccl_share",DECILE_ARRAY,"Overall","mean")</f>
        <v>9.0289766550548899E-3</v>
      </c>
      <c r="R251">
        <v>5.2179829008534174E-3</v>
      </c>
      <c r="S251">
        <v>5.5878731289695487E-3</v>
      </c>
      <c r="T251">
        <v>3.8124707114261312E-3</v>
      </c>
      <c r="U251">
        <v>2.9396578103291189E-3</v>
      </c>
      <c r="V251">
        <v>2.790797129249626E-3</v>
      </c>
      <c r="W251">
        <v>3.117537254047056E-3</v>
      </c>
      <c r="X251">
        <v>3.1207623253964459E-3</v>
      </c>
      <c r="Y251">
        <v>2.3543287019212591E-3</v>
      </c>
      <c r="Z251">
        <v>1.1780116578788519E-3</v>
      </c>
    </row>
    <row r="252" spans="3:26" x14ac:dyDescent="0.25">
      <c r="D252" s="6" t="s">
        <v>69</v>
      </c>
      <c r="E252" s="6" t="s">
        <v>384</v>
      </c>
      <c r="F252" s="6" t="s">
        <v>382</v>
      </c>
      <c r="G252" s="6" t="s">
        <v>394</v>
      </c>
      <c r="H252" s="6" t="s">
        <v>383</v>
      </c>
      <c r="P252" s="10" cm="1">
        <f t="array" ref="P252">BSHARE("ccl_share",0,"Urban","mean")</f>
        <v>1.3095572587426339E-3</v>
      </c>
    </row>
    <row r="253" spans="3:26" x14ac:dyDescent="0.25">
      <c r="D253" s="6" t="s">
        <v>69</v>
      </c>
      <c r="E253" s="6" t="s">
        <v>384</v>
      </c>
      <c r="F253" s="6" t="s">
        <v>145</v>
      </c>
      <c r="G253" s="6" t="s">
        <v>394</v>
      </c>
      <c r="H253" s="6" t="s">
        <v>383</v>
      </c>
      <c r="Q253" s="10" cm="1">
        <f t="array" ref="Q253:Z253">BSHARE("ccl_share",DECILE_ARRAY,"Urban","mean")</f>
        <v>1.98506312246979E-3</v>
      </c>
      <c r="R253">
        <v>1.7026308654231959E-3</v>
      </c>
      <c r="S253">
        <v>1.6131502831240091E-3</v>
      </c>
      <c r="T253">
        <v>1.7038644412586421E-3</v>
      </c>
      <c r="U253">
        <v>1.133855069828469E-3</v>
      </c>
      <c r="V253">
        <v>1.472354041388291E-3</v>
      </c>
      <c r="W253">
        <v>1.3326922271863269E-3</v>
      </c>
      <c r="X253">
        <v>7.0850830501382165E-4</v>
      </c>
      <c r="Y253">
        <v>8.0849655312316545E-4</v>
      </c>
      <c r="Z253">
        <v>1.6429071874666249E-4</v>
      </c>
    </row>
    <row r="254" spans="3:26" x14ac:dyDescent="0.25">
      <c r="D254" s="6" t="s">
        <v>69</v>
      </c>
      <c r="E254" s="6" t="s">
        <v>385</v>
      </c>
      <c r="F254" s="6" t="s">
        <v>382</v>
      </c>
      <c r="G254" s="6" t="s">
        <v>394</v>
      </c>
      <c r="H254" s="6" t="s">
        <v>383</v>
      </c>
      <c r="P254" s="10" cm="1">
        <f t="array" ref="P254">BSHARE("ccl_share",0,"Rural","mean")</f>
        <v>6.5424204278114323E-3</v>
      </c>
    </row>
    <row r="255" spans="3:26" x14ac:dyDescent="0.25">
      <c r="D255" s="6" t="s">
        <v>69</v>
      </c>
      <c r="E255" s="6" t="s">
        <v>385</v>
      </c>
      <c r="F255" s="6" t="s">
        <v>145</v>
      </c>
      <c r="G255" s="6" t="s">
        <v>394</v>
      </c>
      <c r="H255" s="6" t="s">
        <v>383</v>
      </c>
      <c r="Q255" s="10" cm="1">
        <f t="array" ref="Q255:Z255">BSHARE("ccl_share",DECILE_ARRAY,"Rural","mean")</f>
        <v>1.553367493520301E-2</v>
      </c>
      <c r="R255">
        <v>8.1393348992328217E-3</v>
      </c>
      <c r="S255">
        <v>7.3628574224725131E-3</v>
      </c>
      <c r="T255">
        <v>7.88314139973504E-3</v>
      </c>
      <c r="U255">
        <v>5.4550300661232809E-3</v>
      </c>
      <c r="V255">
        <v>4.0209352110729662E-3</v>
      </c>
      <c r="W255">
        <v>5.5447047241039826E-3</v>
      </c>
      <c r="X255">
        <v>3.3856258144501251E-3</v>
      </c>
      <c r="Y255">
        <v>4.57844985974419E-3</v>
      </c>
      <c r="Z255">
        <v>4.5395326706390493E-3</v>
      </c>
    </row>
    <row r="256" spans="3:26" x14ac:dyDescent="0.25">
      <c r="D256" s="6" t="s">
        <v>72</v>
      </c>
      <c r="E256" s="6" t="s">
        <v>381</v>
      </c>
      <c r="F256" s="6" t="s">
        <v>382</v>
      </c>
      <c r="G256" s="6" t="s">
        <v>394</v>
      </c>
      <c r="H256" s="6" t="s">
        <v>383</v>
      </c>
      <c r="P256" s="10" cm="1">
        <f t="array" ref="P256">BSHARE("ccl_share",0,"Overall","median")</f>
        <v>0</v>
      </c>
    </row>
    <row r="257" spans="4:26" x14ac:dyDescent="0.25">
      <c r="D257" s="6" t="s">
        <v>72</v>
      </c>
      <c r="E257" s="6" t="s">
        <v>381</v>
      </c>
      <c r="F257" s="6" t="s">
        <v>145</v>
      </c>
      <c r="G257" s="6" t="s">
        <v>394</v>
      </c>
      <c r="H257" s="6" t="s">
        <v>383</v>
      </c>
      <c r="Q257" s="10" cm="1">
        <f t="array" ref="Q257:Z257">BSHARE("ccl_share",DECILE_ARRAY,"Overall","median")</f>
        <v>0</v>
      </c>
      <c r="R257">
        <v>0</v>
      </c>
      <c r="S257">
        <v>0</v>
      </c>
      <c r="T257">
        <v>0</v>
      </c>
      <c r="U257">
        <v>0</v>
      </c>
      <c r="V257">
        <v>0</v>
      </c>
      <c r="W257">
        <v>0</v>
      </c>
      <c r="X257">
        <v>0</v>
      </c>
      <c r="Y257">
        <v>0</v>
      </c>
      <c r="Z257">
        <v>0</v>
      </c>
    </row>
    <row r="258" spans="4:26" x14ac:dyDescent="0.25">
      <c r="D258" s="6" t="s">
        <v>72</v>
      </c>
      <c r="E258" s="6" t="s">
        <v>384</v>
      </c>
      <c r="F258" s="6" t="s">
        <v>382</v>
      </c>
      <c r="G258" s="6" t="s">
        <v>394</v>
      </c>
      <c r="H258" s="6" t="s">
        <v>383</v>
      </c>
      <c r="P258" s="10" cm="1">
        <f t="array" ref="P258">BSHARE("ccl_share",0,"Urban","median")</f>
        <v>0</v>
      </c>
    </row>
    <row r="259" spans="4:26" x14ac:dyDescent="0.25">
      <c r="D259" s="6" t="s">
        <v>72</v>
      </c>
      <c r="E259" s="6" t="s">
        <v>384</v>
      </c>
      <c r="F259" s="6" t="s">
        <v>145</v>
      </c>
      <c r="G259" s="6" t="s">
        <v>394</v>
      </c>
      <c r="H259" s="6" t="s">
        <v>383</v>
      </c>
      <c r="Q259" s="10" cm="1">
        <f t="array" ref="Q259:Z259">BSHARE("ccl_share",DECILE_ARRAY,"Urban","median")</f>
        <v>0</v>
      </c>
      <c r="R259">
        <v>0</v>
      </c>
      <c r="S259">
        <v>0</v>
      </c>
      <c r="T259">
        <v>0</v>
      </c>
      <c r="U259">
        <v>0</v>
      </c>
      <c r="V259">
        <v>0</v>
      </c>
      <c r="W259">
        <v>0</v>
      </c>
      <c r="X259">
        <v>0</v>
      </c>
      <c r="Y259">
        <v>0</v>
      </c>
      <c r="Z259">
        <v>0</v>
      </c>
    </row>
    <row r="260" spans="4:26" x14ac:dyDescent="0.25">
      <c r="D260" s="6" t="s">
        <v>72</v>
      </c>
      <c r="E260" s="6" t="s">
        <v>385</v>
      </c>
      <c r="F260" s="6" t="s">
        <v>382</v>
      </c>
      <c r="G260" s="6" t="s">
        <v>394</v>
      </c>
      <c r="H260" s="6" t="s">
        <v>383</v>
      </c>
      <c r="P260" s="10" cm="1">
        <f t="array" ref="P260">BSHARE("ccl_share",0,"Rural","median")</f>
        <v>0</v>
      </c>
    </row>
    <row r="261" spans="4:26" x14ac:dyDescent="0.25">
      <c r="D261" s="6" t="s">
        <v>72</v>
      </c>
      <c r="E261" s="6" t="s">
        <v>385</v>
      </c>
      <c r="F261" s="6" t="s">
        <v>145</v>
      </c>
      <c r="G261" s="6" t="s">
        <v>394</v>
      </c>
      <c r="H261" s="6" t="s">
        <v>383</v>
      </c>
      <c r="Q261" s="10" cm="1">
        <f t="array" ref="Q261:Z261">BSHARE("ccl_share",DECILE_ARRAY,"Rural","median")</f>
        <v>0</v>
      </c>
      <c r="R261">
        <v>0</v>
      </c>
      <c r="S261">
        <v>0</v>
      </c>
      <c r="T261">
        <v>0</v>
      </c>
      <c r="U261">
        <v>0</v>
      </c>
      <c r="V261">
        <v>0</v>
      </c>
      <c r="W261">
        <v>0</v>
      </c>
      <c r="X261">
        <v>0</v>
      </c>
      <c r="Y261">
        <v>0</v>
      </c>
      <c r="Z261">
        <v>0</v>
      </c>
    </row>
    <row r="262" spans="4:26" x14ac:dyDescent="0.25">
      <c r="D262" s="6" t="s">
        <v>75</v>
      </c>
      <c r="E262" s="6" t="s">
        <v>381</v>
      </c>
      <c r="F262" s="6" t="s">
        <v>382</v>
      </c>
      <c r="G262" s="6" t="s">
        <v>394</v>
      </c>
      <c r="H262" s="6" t="s">
        <v>383</v>
      </c>
      <c r="P262" s="10" cm="1">
        <f t="array" ref="P262">BSHARE("ccl_share",0,"Overall","p25")</f>
        <v>0</v>
      </c>
    </row>
    <row r="263" spans="4:26" x14ac:dyDescent="0.25">
      <c r="D263" s="6" t="s">
        <v>75</v>
      </c>
      <c r="E263" s="6" t="s">
        <v>381</v>
      </c>
      <c r="F263" s="6" t="s">
        <v>145</v>
      </c>
      <c r="G263" s="6" t="s">
        <v>394</v>
      </c>
      <c r="H263" s="6" t="s">
        <v>383</v>
      </c>
      <c r="Q263" s="10" cm="1">
        <f t="array" ref="Q263:Z263">BSHARE("ccl_share",DECILE_ARRAY,"Overall","p25")</f>
        <v>0</v>
      </c>
      <c r="R263">
        <v>0</v>
      </c>
      <c r="S263">
        <v>0</v>
      </c>
      <c r="T263">
        <v>0</v>
      </c>
      <c r="U263">
        <v>0</v>
      </c>
      <c r="V263">
        <v>0</v>
      </c>
      <c r="W263">
        <v>0</v>
      </c>
      <c r="X263">
        <v>0</v>
      </c>
      <c r="Y263">
        <v>0</v>
      </c>
      <c r="Z263">
        <v>0</v>
      </c>
    </row>
    <row r="264" spans="4:26" x14ac:dyDescent="0.25">
      <c r="D264" s="6" t="s">
        <v>75</v>
      </c>
      <c r="E264" s="6" t="s">
        <v>384</v>
      </c>
      <c r="F264" s="6" t="s">
        <v>382</v>
      </c>
      <c r="G264" s="6" t="s">
        <v>394</v>
      </c>
      <c r="H264" s="6" t="s">
        <v>383</v>
      </c>
      <c r="P264" s="10" cm="1">
        <f t="array" ref="P264">BSHARE("ccl_share",0,"Urban","p25")</f>
        <v>0</v>
      </c>
    </row>
    <row r="265" spans="4:26" x14ac:dyDescent="0.25">
      <c r="D265" s="6" t="s">
        <v>75</v>
      </c>
      <c r="E265" s="6" t="s">
        <v>384</v>
      </c>
      <c r="F265" s="6" t="s">
        <v>145</v>
      </c>
      <c r="G265" s="6" t="s">
        <v>394</v>
      </c>
      <c r="H265" s="6" t="s">
        <v>383</v>
      </c>
      <c r="Q265" s="10" cm="1">
        <f t="array" ref="Q265:Z265">BSHARE("ccl_share",DECILE_ARRAY,"Urban","p25")</f>
        <v>0</v>
      </c>
      <c r="R265">
        <v>0</v>
      </c>
      <c r="S265">
        <v>0</v>
      </c>
      <c r="T265">
        <v>0</v>
      </c>
      <c r="U265">
        <v>0</v>
      </c>
      <c r="V265">
        <v>0</v>
      </c>
      <c r="W265">
        <v>0</v>
      </c>
      <c r="X265">
        <v>0</v>
      </c>
      <c r="Y265">
        <v>0</v>
      </c>
      <c r="Z265">
        <v>0</v>
      </c>
    </row>
    <row r="266" spans="4:26" x14ac:dyDescent="0.25">
      <c r="D266" s="6" t="s">
        <v>75</v>
      </c>
      <c r="E266" s="6" t="s">
        <v>385</v>
      </c>
      <c r="F266" s="6" t="s">
        <v>382</v>
      </c>
      <c r="G266" s="6" t="s">
        <v>394</v>
      </c>
      <c r="H266" s="6" t="s">
        <v>383</v>
      </c>
      <c r="P266" s="10" cm="1">
        <f t="array" ref="P266">BSHARE("ccl_share",0,"Rural","p25")</f>
        <v>0</v>
      </c>
    </row>
    <row r="267" spans="4:26" x14ac:dyDescent="0.25">
      <c r="D267" s="6" t="s">
        <v>75</v>
      </c>
      <c r="E267" s="6" t="s">
        <v>385</v>
      </c>
      <c r="F267" s="6" t="s">
        <v>145</v>
      </c>
      <c r="G267" s="6" t="s">
        <v>394</v>
      </c>
      <c r="H267" s="6" t="s">
        <v>383</v>
      </c>
      <c r="Q267" s="10" cm="1">
        <f t="array" ref="Q267:Z267">BSHARE("ccl_share",DECILE_ARRAY,"Rural","p25")</f>
        <v>0</v>
      </c>
      <c r="R267">
        <v>0</v>
      </c>
      <c r="S267">
        <v>0</v>
      </c>
      <c r="T267">
        <v>0</v>
      </c>
      <c r="U267">
        <v>0</v>
      </c>
      <c r="V267">
        <v>0</v>
      </c>
      <c r="W267">
        <v>0</v>
      </c>
      <c r="X267">
        <v>0</v>
      </c>
      <c r="Y267">
        <v>0</v>
      </c>
      <c r="Z267">
        <v>0</v>
      </c>
    </row>
    <row r="268" spans="4:26" x14ac:dyDescent="0.25">
      <c r="D268" s="6" t="s">
        <v>78</v>
      </c>
      <c r="E268" s="6" t="s">
        <v>381</v>
      </c>
      <c r="F268" s="6" t="s">
        <v>382</v>
      </c>
      <c r="G268" s="6" t="s">
        <v>394</v>
      </c>
      <c r="H268" s="6" t="s">
        <v>383</v>
      </c>
      <c r="P268" s="10" cm="1">
        <f t="array" ref="P268">BSHARE("ccl_share",0,"Overall","p75")</f>
        <v>0</v>
      </c>
    </row>
    <row r="269" spans="4:26" x14ac:dyDescent="0.25">
      <c r="D269" s="6" t="s">
        <v>78</v>
      </c>
      <c r="E269" s="6" t="s">
        <v>381</v>
      </c>
      <c r="F269" s="6" t="s">
        <v>145</v>
      </c>
      <c r="G269" s="6" t="s">
        <v>394</v>
      </c>
      <c r="H269" s="6" t="s">
        <v>383</v>
      </c>
      <c r="Q269" s="10" cm="1">
        <f t="array" ref="Q269:Z269">BSHARE("ccl_share",DECILE_ARRAY,"Overall","p75")</f>
        <v>0</v>
      </c>
      <c r="R269">
        <v>0</v>
      </c>
      <c r="S269">
        <v>0</v>
      </c>
      <c r="T269">
        <v>0</v>
      </c>
      <c r="U269">
        <v>0</v>
      </c>
      <c r="V269">
        <v>0</v>
      </c>
      <c r="W269">
        <v>0</v>
      </c>
      <c r="X269">
        <v>0</v>
      </c>
      <c r="Y269">
        <v>0</v>
      </c>
      <c r="Z269">
        <v>0</v>
      </c>
    </row>
    <row r="270" spans="4:26" x14ac:dyDescent="0.25">
      <c r="D270" s="6" t="s">
        <v>78</v>
      </c>
      <c r="E270" s="6" t="s">
        <v>384</v>
      </c>
      <c r="F270" s="6" t="s">
        <v>382</v>
      </c>
      <c r="G270" s="6" t="s">
        <v>394</v>
      </c>
      <c r="H270" s="6" t="s">
        <v>383</v>
      </c>
      <c r="P270" s="10" cm="1">
        <f t="array" ref="P270">BSHARE("ccl_share",0,"Urban","p75")</f>
        <v>0</v>
      </c>
    </row>
    <row r="271" spans="4:26" x14ac:dyDescent="0.25">
      <c r="D271" s="6" t="s">
        <v>78</v>
      </c>
      <c r="E271" s="6" t="s">
        <v>384</v>
      </c>
      <c r="F271" s="6" t="s">
        <v>145</v>
      </c>
      <c r="G271" s="6" t="s">
        <v>394</v>
      </c>
      <c r="H271" s="6" t="s">
        <v>383</v>
      </c>
      <c r="Q271" s="10" cm="1">
        <f t="array" ref="Q271:Z271">BSHARE("ccl_share",DECILE_ARRAY,"Urban","p75")</f>
        <v>0</v>
      </c>
      <c r="R271">
        <v>0</v>
      </c>
      <c r="S271">
        <v>0</v>
      </c>
      <c r="T271">
        <v>0</v>
      </c>
      <c r="U271">
        <v>0</v>
      </c>
      <c r="V271">
        <v>0</v>
      </c>
      <c r="W271">
        <v>0</v>
      </c>
      <c r="X271">
        <v>0</v>
      </c>
      <c r="Y271">
        <v>0</v>
      </c>
      <c r="Z271">
        <v>0</v>
      </c>
    </row>
    <row r="272" spans="4:26" x14ac:dyDescent="0.25">
      <c r="D272" s="6" t="s">
        <v>78</v>
      </c>
      <c r="E272" s="6" t="s">
        <v>385</v>
      </c>
      <c r="F272" s="6" t="s">
        <v>382</v>
      </c>
      <c r="G272" s="6" t="s">
        <v>394</v>
      </c>
      <c r="H272" s="6" t="s">
        <v>383</v>
      </c>
      <c r="P272" s="10" cm="1">
        <f t="array" ref="P272">BSHARE("ccl_share",0,"Rural","p75")</f>
        <v>0</v>
      </c>
    </row>
    <row r="273" spans="3:26" x14ac:dyDescent="0.25">
      <c r="D273" s="6" t="s">
        <v>78</v>
      </c>
      <c r="E273" s="6" t="s">
        <v>385</v>
      </c>
      <c r="F273" s="6" t="s">
        <v>145</v>
      </c>
      <c r="G273" s="6" t="s">
        <v>394</v>
      </c>
      <c r="H273" s="6" t="s">
        <v>383</v>
      </c>
      <c r="Q273" s="10" cm="1">
        <f t="array" ref="Q273:Z273">BSHARE("ccl_share",DECILE_ARRAY,"Rural","p75")</f>
        <v>0</v>
      </c>
      <c r="R273">
        <v>0</v>
      </c>
      <c r="S273">
        <v>0</v>
      </c>
      <c r="T273">
        <v>0</v>
      </c>
      <c r="U273">
        <v>0</v>
      </c>
      <c r="V273">
        <v>0</v>
      </c>
      <c r="W273">
        <v>0</v>
      </c>
      <c r="X273">
        <v>0</v>
      </c>
      <c r="Y273">
        <v>0</v>
      </c>
      <c r="Z273">
        <v>0</v>
      </c>
    </row>
    <row r="275" spans="3:26" x14ac:dyDescent="0.25">
      <c r="C275" s="7" t="s">
        <v>395</v>
      </c>
      <c r="G275" s="6" t="s">
        <v>396</v>
      </c>
      <c r="O275" s="2" t="s">
        <v>331</v>
      </c>
      <c r="Q275" s="2">
        <v>1</v>
      </c>
      <c r="R275" s="2">
        <v>2</v>
      </c>
      <c r="S275" s="2">
        <v>3</v>
      </c>
      <c r="T275" s="2">
        <v>4</v>
      </c>
      <c r="U275" s="2">
        <v>5</v>
      </c>
      <c r="V275" s="2">
        <v>6</v>
      </c>
      <c r="W275" s="2">
        <v>7</v>
      </c>
      <c r="X275" s="2">
        <v>8</v>
      </c>
      <c r="Y275" s="2">
        <v>9</v>
      </c>
      <c r="Z275" s="2">
        <v>10</v>
      </c>
    </row>
    <row r="276" spans="3:26" x14ac:dyDescent="0.25">
      <c r="D276" s="6" t="s">
        <v>69</v>
      </c>
      <c r="E276" s="6" t="s">
        <v>381</v>
      </c>
      <c r="F276" s="6" t="s">
        <v>382</v>
      </c>
      <c r="G276" s="6" t="s">
        <v>396</v>
      </c>
      <c r="H276" s="6" t="s">
        <v>383</v>
      </c>
      <c r="P276" s="10" cm="1">
        <f t="array" ref="P276">BSHARE("ethanol_share",0,"Overall","mean")</f>
        <v>0</v>
      </c>
    </row>
    <row r="277" spans="3:26" x14ac:dyDescent="0.25">
      <c r="D277" s="6" t="s">
        <v>69</v>
      </c>
      <c r="E277" s="6" t="s">
        <v>381</v>
      </c>
      <c r="F277" s="6" t="s">
        <v>145</v>
      </c>
      <c r="G277" s="6" t="s">
        <v>396</v>
      </c>
      <c r="H277" s="6" t="s">
        <v>383</v>
      </c>
      <c r="Q277" s="10" cm="1">
        <f t="array" ref="Q277:Z277">BSHARE("ethanol_share",DECILE_ARRAY,"Overall","mean")</f>
        <v>0</v>
      </c>
      <c r="R277">
        <v>0</v>
      </c>
      <c r="S277">
        <v>0</v>
      </c>
      <c r="T277">
        <v>0</v>
      </c>
      <c r="U277">
        <v>0</v>
      </c>
      <c r="V277">
        <v>1.083766149420668E-5</v>
      </c>
      <c r="W277">
        <v>0</v>
      </c>
      <c r="X277">
        <v>1.072327421885693E-5</v>
      </c>
      <c r="Y277">
        <v>1.0464484435651749E-5</v>
      </c>
      <c r="Z277">
        <v>1.022111194711938E-5</v>
      </c>
    </row>
    <row r="278" spans="3:26" x14ac:dyDescent="0.25">
      <c r="D278" s="6" t="s">
        <v>69</v>
      </c>
      <c r="E278" s="6" t="s">
        <v>384</v>
      </c>
      <c r="F278" s="6" t="s">
        <v>382</v>
      </c>
      <c r="G278" s="6" t="s">
        <v>396</v>
      </c>
      <c r="H278" s="6" t="s">
        <v>383</v>
      </c>
      <c r="P278" s="10" cm="1">
        <f t="array" ref="P278">BSHARE("ethanol_share",0,"Urban","mean")</f>
        <v>1.039885072440221E-5</v>
      </c>
    </row>
    <row r="279" spans="3:26" x14ac:dyDescent="0.25">
      <c r="D279" s="6" t="s">
        <v>69</v>
      </c>
      <c r="E279" s="6" t="s">
        <v>384</v>
      </c>
      <c r="F279" s="6" t="s">
        <v>145</v>
      </c>
      <c r="G279" s="6" t="s">
        <v>396</v>
      </c>
      <c r="H279" s="6" t="s">
        <v>383</v>
      </c>
      <c r="Q279" s="10" cm="1">
        <f t="array" ref="Q279:Z279">BSHARE("ethanol_share",DECILE_ARRAY,"Urban","mean")</f>
        <v>0</v>
      </c>
      <c r="R279">
        <v>0</v>
      </c>
      <c r="S279">
        <v>0</v>
      </c>
      <c r="T279">
        <v>0</v>
      </c>
      <c r="U279">
        <v>1.100634911237018E-5</v>
      </c>
      <c r="V279">
        <v>0</v>
      </c>
      <c r="W279">
        <v>2.2179181307386211E-5</v>
      </c>
      <c r="X279">
        <v>2.2619174846021442E-5</v>
      </c>
      <c r="Y279">
        <v>1.162899321145572E-5</v>
      </c>
      <c r="Z279">
        <v>0</v>
      </c>
    </row>
    <row r="280" spans="3:26" x14ac:dyDescent="0.25">
      <c r="D280" s="6" t="s">
        <v>69</v>
      </c>
      <c r="E280" s="6" t="s">
        <v>385</v>
      </c>
      <c r="F280" s="6" t="s">
        <v>382</v>
      </c>
      <c r="G280" s="6" t="s">
        <v>396</v>
      </c>
      <c r="H280" s="6" t="s">
        <v>383</v>
      </c>
      <c r="P280" s="10" cm="1">
        <f t="array" ref="P280">BSHARE("ethanol_share",0,"Rural","mean")</f>
        <v>0</v>
      </c>
    </row>
    <row r="281" spans="3:26" x14ac:dyDescent="0.25">
      <c r="D281" s="6" t="s">
        <v>69</v>
      </c>
      <c r="E281" s="6" t="s">
        <v>385</v>
      </c>
      <c r="F281" s="6" t="s">
        <v>145</v>
      </c>
      <c r="G281" s="6" t="s">
        <v>396</v>
      </c>
      <c r="H281" s="6" t="s">
        <v>383</v>
      </c>
      <c r="Q281" s="10" cm="1">
        <f t="array" ref="Q281:Z281">BSHARE("ethanol_share",DECILE_ARRAY,"Rural","mean")</f>
        <v>0</v>
      </c>
      <c r="R281">
        <v>0</v>
      </c>
      <c r="S281">
        <v>0</v>
      </c>
      <c r="T281">
        <v>0</v>
      </c>
      <c r="U281">
        <v>0</v>
      </c>
      <c r="V281">
        <v>0</v>
      </c>
      <c r="W281">
        <v>0</v>
      </c>
      <c r="X281">
        <v>0</v>
      </c>
      <c r="Y281">
        <v>0</v>
      </c>
      <c r="Z281">
        <v>0</v>
      </c>
    </row>
    <row r="282" spans="3:26" x14ac:dyDescent="0.25">
      <c r="D282" s="6" t="s">
        <v>72</v>
      </c>
      <c r="E282" s="6" t="s">
        <v>381</v>
      </c>
      <c r="F282" s="6" t="s">
        <v>382</v>
      </c>
      <c r="G282" s="6" t="s">
        <v>396</v>
      </c>
      <c r="H282" s="6" t="s">
        <v>383</v>
      </c>
      <c r="P282" s="10" cm="1">
        <f t="array" ref="P282">BSHARE("ethanol_share",0,"Overall","median")</f>
        <v>0</v>
      </c>
    </row>
    <row r="283" spans="3:26" x14ac:dyDescent="0.25">
      <c r="D283" s="6" t="s">
        <v>72</v>
      </c>
      <c r="E283" s="6" t="s">
        <v>381</v>
      </c>
      <c r="F283" s="6" t="s">
        <v>145</v>
      </c>
      <c r="G283" s="6" t="s">
        <v>396</v>
      </c>
      <c r="H283" s="6" t="s">
        <v>383</v>
      </c>
      <c r="Q283" s="10" cm="1">
        <f t="array" ref="Q283:Z283">BSHARE("ethanol_share",DECILE_ARRAY,"Overall","median")</f>
        <v>0</v>
      </c>
      <c r="R283">
        <v>0</v>
      </c>
      <c r="S283">
        <v>0</v>
      </c>
      <c r="T283">
        <v>0</v>
      </c>
      <c r="U283">
        <v>0</v>
      </c>
      <c r="V283">
        <v>0</v>
      </c>
      <c r="W283">
        <v>0</v>
      </c>
      <c r="X283">
        <v>0</v>
      </c>
      <c r="Y283">
        <v>0</v>
      </c>
      <c r="Z283">
        <v>0</v>
      </c>
    </row>
    <row r="284" spans="3:26" x14ac:dyDescent="0.25">
      <c r="D284" s="6" t="s">
        <v>72</v>
      </c>
      <c r="E284" s="6" t="s">
        <v>384</v>
      </c>
      <c r="F284" s="6" t="s">
        <v>382</v>
      </c>
      <c r="G284" s="6" t="s">
        <v>396</v>
      </c>
      <c r="H284" s="6" t="s">
        <v>383</v>
      </c>
      <c r="P284" s="10" cm="1">
        <f t="array" ref="P284">BSHARE("ethanol_share",0,"Urban","median")</f>
        <v>0</v>
      </c>
    </row>
    <row r="285" spans="3:26" x14ac:dyDescent="0.25">
      <c r="D285" s="6" t="s">
        <v>72</v>
      </c>
      <c r="E285" s="6" t="s">
        <v>384</v>
      </c>
      <c r="F285" s="6" t="s">
        <v>145</v>
      </c>
      <c r="G285" s="6" t="s">
        <v>396</v>
      </c>
      <c r="H285" s="6" t="s">
        <v>383</v>
      </c>
      <c r="Q285" s="10" cm="1">
        <f t="array" ref="Q285:Z285">BSHARE("ethanol_share",DECILE_ARRAY,"Urban","median")</f>
        <v>0</v>
      </c>
      <c r="R285">
        <v>0</v>
      </c>
      <c r="S285">
        <v>0</v>
      </c>
      <c r="T285">
        <v>0</v>
      </c>
      <c r="U285">
        <v>0</v>
      </c>
      <c r="V285">
        <v>0</v>
      </c>
      <c r="W285">
        <v>0</v>
      </c>
      <c r="X285">
        <v>0</v>
      </c>
      <c r="Y285">
        <v>0</v>
      </c>
      <c r="Z285">
        <v>0</v>
      </c>
    </row>
    <row r="286" spans="3:26" x14ac:dyDescent="0.25">
      <c r="D286" s="6" t="s">
        <v>72</v>
      </c>
      <c r="E286" s="6" t="s">
        <v>385</v>
      </c>
      <c r="F286" s="6" t="s">
        <v>382</v>
      </c>
      <c r="G286" s="6" t="s">
        <v>396</v>
      </c>
      <c r="H286" s="6" t="s">
        <v>383</v>
      </c>
      <c r="P286" s="10" cm="1">
        <f t="array" ref="P286">BSHARE("ethanol_share",0,"Rural","median")</f>
        <v>0</v>
      </c>
    </row>
    <row r="287" spans="3:26" x14ac:dyDescent="0.25">
      <c r="D287" s="6" t="s">
        <v>72</v>
      </c>
      <c r="E287" s="6" t="s">
        <v>385</v>
      </c>
      <c r="F287" s="6" t="s">
        <v>145</v>
      </c>
      <c r="G287" s="6" t="s">
        <v>396</v>
      </c>
      <c r="H287" s="6" t="s">
        <v>383</v>
      </c>
      <c r="Q287" s="10" cm="1">
        <f t="array" ref="Q287:Z287">BSHARE("ethanol_share",DECILE_ARRAY,"Rural","median")</f>
        <v>0</v>
      </c>
      <c r="R287">
        <v>0</v>
      </c>
      <c r="S287">
        <v>0</v>
      </c>
      <c r="T287">
        <v>0</v>
      </c>
      <c r="U287">
        <v>0</v>
      </c>
      <c r="V287">
        <v>0</v>
      </c>
      <c r="W287">
        <v>0</v>
      </c>
      <c r="X287">
        <v>0</v>
      </c>
      <c r="Y287">
        <v>0</v>
      </c>
      <c r="Z287">
        <v>0</v>
      </c>
    </row>
    <row r="288" spans="3:26" x14ac:dyDescent="0.25">
      <c r="D288" s="6" t="s">
        <v>75</v>
      </c>
      <c r="E288" s="6" t="s">
        <v>381</v>
      </c>
      <c r="F288" s="6" t="s">
        <v>382</v>
      </c>
      <c r="G288" s="6" t="s">
        <v>396</v>
      </c>
      <c r="H288" s="6" t="s">
        <v>383</v>
      </c>
      <c r="P288" s="10" cm="1">
        <f t="array" ref="P288">BSHARE("ethanol_share",0,"Overall","p25")</f>
        <v>0</v>
      </c>
    </row>
    <row r="289" spans="3:26" x14ac:dyDescent="0.25">
      <c r="D289" s="6" t="s">
        <v>75</v>
      </c>
      <c r="E289" s="6" t="s">
        <v>381</v>
      </c>
      <c r="F289" s="6" t="s">
        <v>145</v>
      </c>
      <c r="G289" s="6" t="s">
        <v>396</v>
      </c>
      <c r="H289" s="6" t="s">
        <v>383</v>
      </c>
      <c r="Q289" s="10" cm="1">
        <f t="array" ref="Q289:Z289">BSHARE("ethanol_share",DECILE_ARRAY,"Overall","p25")</f>
        <v>0</v>
      </c>
      <c r="R289">
        <v>0</v>
      </c>
      <c r="S289">
        <v>0</v>
      </c>
      <c r="T289">
        <v>0</v>
      </c>
      <c r="U289">
        <v>0</v>
      </c>
      <c r="V289">
        <v>0</v>
      </c>
      <c r="W289">
        <v>0</v>
      </c>
      <c r="X289">
        <v>0</v>
      </c>
      <c r="Y289">
        <v>0</v>
      </c>
      <c r="Z289">
        <v>0</v>
      </c>
    </row>
    <row r="290" spans="3:26" x14ac:dyDescent="0.25">
      <c r="D290" s="6" t="s">
        <v>75</v>
      </c>
      <c r="E290" s="6" t="s">
        <v>384</v>
      </c>
      <c r="F290" s="6" t="s">
        <v>382</v>
      </c>
      <c r="G290" s="6" t="s">
        <v>396</v>
      </c>
      <c r="H290" s="6" t="s">
        <v>383</v>
      </c>
      <c r="P290" s="10" cm="1">
        <f t="array" ref="P290">BSHARE("ethanol_share",0,"Urban","p25")</f>
        <v>0</v>
      </c>
    </row>
    <row r="291" spans="3:26" x14ac:dyDescent="0.25">
      <c r="D291" s="6" t="s">
        <v>75</v>
      </c>
      <c r="E291" s="6" t="s">
        <v>384</v>
      </c>
      <c r="F291" s="6" t="s">
        <v>145</v>
      </c>
      <c r="G291" s="6" t="s">
        <v>396</v>
      </c>
      <c r="H291" s="6" t="s">
        <v>383</v>
      </c>
      <c r="Q291" s="10" cm="1">
        <f t="array" ref="Q291:Z291">BSHARE("ethanol_share",DECILE_ARRAY,"Urban","p25")</f>
        <v>0</v>
      </c>
      <c r="R291">
        <v>0</v>
      </c>
      <c r="S291">
        <v>0</v>
      </c>
      <c r="T291">
        <v>0</v>
      </c>
      <c r="U291">
        <v>0</v>
      </c>
      <c r="V291">
        <v>0</v>
      </c>
      <c r="W291">
        <v>0</v>
      </c>
      <c r="X291">
        <v>0</v>
      </c>
      <c r="Y291">
        <v>0</v>
      </c>
      <c r="Z291">
        <v>0</v>
      </c>
    </row>
    <row r="292" spans="3:26" x14ac:dyDescent="0.25">
      <c r="D292" s="6" t="s">
        <v>75</v>
      </c>
      <c r="E292" s="6" t="s">
        <v>385</v>
      </c>
      <c r="F292" s="6" t="s">
        <v>382</v>
      </c>
      <c r="G292" s="6" t="s">
        <v>396</v>
      </c>
      <c r="H292" s="6" t="s">
        <v>383</v>
      </c>
      <c r="P292" s="10" cm="1">
        <f t="array" ref="P292">BSHARE("ethanol_share",0,"Rural","p25")</f>
        <v>0</v>
      </c>
    </row>
    <row r="293" spans="3:26" x14ac:dyDescent="0.25">
      <c r="D293" s="6" t="s">
        <v>75</v>
      </c>
      <c r="E293" s="6" t="s">
        <v>385</v>
      </c>
      <c r="F293" s="6" t="s">
        <v>145</v>
      </c>
      <c r="G293" s="6" t="s">
        <v>396</v>
      </c>
      <c r="H293" s="6" t="s">
        <v>383</v>
      </c>
      <c r="Q293" s="10" cm="1">
        <f t="array" ref="Q293:Z293">BSHARE("ethanol_share",DECILE_ARRAY,"Rural","p25")</f>
        <v>0</v>
      </c>
      <c r="R293">
        <v>0</v>
      </c>
      <c r="S293">
        <v>0</v>
      </c>
      <c r="T293">
        <v>0</v>
      </c>
      <c r="U293">
        <v>0</v>
      </c>
      <c r="V293">
        <v>0</v>
      </c>
      <c r="W293">
        <v>0</v>
      </c>
      <c r="X293">
        <v>0</v>
      </c>
      <c r="Y293">
        <v>0</v>
      </c>
      <c r="Z293">
        <v>0</v>
      </c>
    </row>
    <row r="294" spans="3:26" x14ac:dyDescent="0.25">
      <c r="D294" s="6" t="s">
        <v>78</v>
      </c>
      <c r="E294" s="6" t="s">
        <v>381</v>
      </c>
      <c r="F294" s="6" t="s">
        <v>382</v>
      </c>
      <c r="G294" s="6" t="s">
        <v>396</v>
      </c>
      <c r="H294" s="6" t="s">
        <v>383</v>
      </c>
      <c r="P294" s="10" cm="1">
        <f t="array" ref="P294">BSHARE("ethanol_share",0,"Overall","p75")</f>
        <v>0</v>
      </c>
    </row>
    <row r="295" spans="3:26" x14ac:dyDescent="0.25">
      <c r="D295" s="6" t="s">
        <v>78</v>
      </c>
      <c r="E295" s="6" t="s">
        <v>381</v>
      </c>
      <c r="F295" s="6" t="s">
        <v>145</v>
      </c>
      <c r="G295" s="6" t="s">
        <v>396</v>
      </c>
      <c r="H295" s="6" t="s">
        <v>383</v>
      </c>
      <c r="Q295" s="10" cm="1">
        <f t="array" ref="Q295:Z295">BSHARE("ethanol_share",DECILE_ARRAY,"Overall","p75")</f>
        <v>0</v>
      </c>
      <c r="R295">
        <v>0</v>
      </c>
      <c r="S295">
        <v>0</v>
      </c>
      <c r="T295">
        <v>0</v>
      </c>
      <c r="U295">
        <v>0</v>
      </c>
      <c r="V295">
        <v>0</v>
      </c>
      <c r="W295">
        <v>0</v>
      </c>
      <c r="X295">
        <v>0</v>
      </c>
      <c r="Y295">
        <v>0</v>
      </c>
      <c r="Z295">
        <v>0</v>
      </c>
    </row>
    <row r="296" spans="3:26" x14ac:dyDescent="0.25">
      <c r="D296" s="6" t="s">
        <v>78</v>
      </c>
      <c r="E296" s="6" t="s">
        <v>384</v>
      </c>
      <c r="F296" s="6" t="s">
        <v>382</v>
      </c>
      <c r="G296" s="6" t="s">
        <v>396</v>
      </c>
      <c r="H296" s="6" t="s">
        <v>383</v>
      </c>
      <c r="P296" s="10" cm="1">
        <f t="array" ref="P296">BSHARE("ethanol_share",0,"Urban","p75")</f>
        <v>0</v>
      </c>
    </row>
    <row r="297" spans="3:26" x14ac:dyDescent="0.25">
      <c r="D297" s="6" t="s">
        <v>78</v>
      </c>
      <c r="E297" s="6" t="s">
        <v>384</v>
      </c>
      <c r="F297" s="6" t="s">
        <v>145</v>
      </c>
      <c r="G297" s="6" t="s">
        <v>396</v>
      </c>
      <c r="H297" s="6" t="s">
        <v>383</v>
      </c>
      <c r="Q297" s="10" cm="1">
        <f t="array" ref="Q297:Z297">BSHARE("ethanol_share",DECILE_ARRAY,"Urban","p75")</f>
        <v>0</v>
      </c>
      <c r="R297">
        <v>0</v>
      </c>
      <c r="S297">
        <v>0</v>
      </c>
      <c r="T297">
        <v>0</v>
      </c>
      <c r="U297">
        <v>0</v>
      </c>
      <c r="V297">
        <v>0</v>
      </c>
      <c r="W297">
        <v>0</v>
      </c>
      <c r="X297">
        <v>0</v>
      </c>
      <c r="Y297">
        <v>0</v>
      </c>
      <c r="Z297">
        <v>0</v>
      </c>
    </row>
    <row r="298" spans="3:26" x14ac:dyDescent="0.25">
      <c r="D298" s="6" t="s">
        <v>78</v>
      </c>
      <c r="E298" s="6" t="s">
        <v>385</v>
      </c>
      <c r="F298" s="6" t="s">
        <v>382</v>
      </c>
      <c r="G298" s="6" t="s">
        <v>396</v>
      </c>
      <c r="H298" s="6" t="s">
        <v>383</v>
      </c>
      <c r="P298" s="10" cm="1">
        <f t="array" ref="P298">BSHARE("ethanol_share",0,"Rural","p75")</f>
        <v>0</v>
      </c>
    </row>
    <row r="299" spans="3:26" x14ac:dyDescent="0.25">
      <c r="D299" s="6" t="s">
        <v>78</v>
      </c>
      <c r="E299" s="6" t="s">
        <v>385</v>
      </c>
      <c r="F299" s="6" t="s">
        <v>145</v>
      </c>
      <c r="G299" s="6" t="s">
        <v>396</v>
      </c>
      <c r="H299" s="6" t="s">
        <v>383</v>
      </c>
      <c r="Q299" s="10" cm="1">
        <f t="array" ref="Q299:Z299">BSHARE("ethanol_share",DECILE_ARRAY,"Rural","p75")</f>
        <v>0</v>
      </c>
      <c r="R299">
        <v>0</v>
      </c>
      <c r="S299">
        <v>0</v>
      </c>
      <c r="T299">
        <v>0</v>
      </c>
      <c r="U299">
        <v>0</v>
      </c>
      <c r="V299">
        <v>0</v>
      </c>
      <c r="W299">
        <v>0</v>
      </c>
      <c r="X299">
        <v>0</v>
      </c>
      <c r="Y299">
        <v>0</v>
      </c>
      <c r="Z299">
        <v>0</v>
      </c>
    </row>
    <row r="301" spans="3:26" x14ac:dyDescent="0.25">
      <c r="C301" s="7" t="s">
        <v>397</v>
      </c>
      <c r="G301" s="6" t="s">
        <v>398</v>
      </c>
      <c r="O301" s="2" t="s">
        <v>331</v>
      </c>
      <c r="Q301" s="2">
        <v>1</v>
      </c>
      <c r="R301" s="2">
        <v>2</v>
      </c>
      <c r="S301" s="2">
        <v>3</v>
      </c>
      <c r="T301" s="2">
        <v>4</v>
      </c>
      <c r="U301" s="2">
        <v>5</v>
      </c>
      <c r="V301" s="2">
        <v>6</v>
      </c>
      <c r="W301" s="2">
        <v>7</v>
      </c>
      <c r="X301" s="2">
        <v>8</v>
      </c>
      <c r="Y301" s="2">
        <v>9</v>
      </c>
      <c r="Z301" s="2">
        <v>10</v>
      </c>
    </row>
    <row r="302" spans="3:26" x14ac:dyDescent="0.25">
      <c r="D302" s="6" t="s">
        <v>69</v>
      </c>
      <c r="E302" s="6" t="s">
        <v>381</v>
      </c>
      <c r="F302" s="6" t="s">
        <v>382</v>
      </c>
      <c r="G302" s="6" t="s">
        <v>398</v>
      </c>
      <c r="H302" s="6" t="s">
        <v>383</v>
      </c>
      <c r="P302" s="10" cm="1">
        <f t="array" ref="P302">BSHARE("fwd_share",0,"Overall","mean")</f>
        <v>2.1273019225598379E-4</v>
      </c>
    </row>
    <row r="303" spans="3:26" x14ac:dyDescent="0.25">
      <c r="D303" s="6" t="s">
        <v>69</v>
      </c>
      <c r="E303" s="6" t="s">
        <v>381</v>
      </c>
      <c r="F303" s="6" t="s">
        <v>145</v>
      </c>
      <c r="G303" s="6" t="s">
        <v>398</v>
      </c>
      <c r="H303" s="6" t="s">
        <v>383</v>
      </c>
      <c r="Q303" s="10" cm="1">
        <f t="array" ref="Q303:Z303">BSHARE("fwd_share",DECILE_ARRAY,"Overall","mean")</f>
        <v>5.3418913993741822E-4</v>
      </c>
      <c r="R303">
        <v>2.6883760266192591E-4</v>
      </c>
      <c r="S303">
        <v>3.0795932477796229E-4</v>
      </c>
      <c r="T303">
        <v>2.1654946676299939E-4</v>
      </c>
      <c r="U303">
        <v>1.6112010796331681E-4</v>
      </c>
      <c r="V303">
        <v>1.4737033803884349E-4</v>
      </c>
      <c r="W303">
        <v>1.5876964800062691E-4</v>
      </c>
      <c r="X303">
        <v>1.773920837667564E-4</v>
      </c>
      <c r="Y303">
        <v>1.1130899397900871E-4</v>
      </c>
      <c r="Z303">
        <v>6.914614584305991E-5</v>
      </c>
    </row>
    <row r="304" spans="3:26" x14ac:dyDescent="0.25">
      <c r="D304" s="6" t="s">
        <v>69</v>
      </c>
      <c r="E304" s="6" t="s">
        <v>384</v>
      </c>
      <c r="F304" s="6" t="s">
        <v>382</v>
      </c>
      <c r="G304" s="6" t="s">
        <v>398</v>
      </c>
      <c r="H304" s="6" t="s">
        <v>383</v>
      </c>
      <c r="P304" s="10" cm="1">
        <f t="array" ref="P304">BSHARE("fwd_share",0,"Urban","mean")</f>
        <v>6.08880612086865E-5</v>
      </c>
    </row>
    <row r="305" spans="4:26" x14ac:dyDescent="0.25">
      <c r="D305" s="6" t="s">
        <v>69</v>
      </c>
      <c r="E305" s="6" t="s">
        <v>384</v>
      </c>
      <c r="F305" s="6" t="s">
        <v>145</v>
      </c>
      <c r="G305" s="6" t="s">
        <v>398</v>
      </c>
      <c r="H305" s="6" t="s">
        <v>383</v>
      </c>
      <c r="Q305" s="10" cm="1">
        <f t="array" ref="Q305:Z305">BSHARE("fwd_share",DECILE_ARRAY,"Urban","mean")</f>
        <v>1.046384311123321E-4</v>
      </c>
      <c r="R305">
        <v>8.9833794609710284E-5</v>
      </c>
      <c r="S305">
        <v>9.0524935523921964E-5</v>
      </c>
      <c r="T305">
        <v>9.3963254538326649E-5</v>
      </c>
      <c r="U305">
        <v>6.276557662923427E-5</v>
      </c>
      <c r="V305">
        <v>7.5054651612214981E-5</v>
      </c>
      <c r="W305">
        <v>7.2435396929113283E-5</v>
      </c>
      <c r="X305">
        <v>4.4908931873238152E-5</v>
      </c>
      <c r="Y305">
        <v>4.2459760633697291E-5</v>
      </c>
      <c r="Z305">
        <v>1.0807282057186199E-5</v>
      </c>
    </row>
    <row r="306" spans="4:26" x14ac:dyDescent="0.25">
      <c r="D306" s="6" t="s">
        <v>69</v>
      </c>
      <c r="E306" s="6" t="s">
        <v>385</v>
      </c>
      <c r="F306" s="6" t="s">
        <v>382</v>
      </c>
      <c r="G306" s="6" t="s">
        <v>398</v>
      </c>
      <c r="H306" s="6" t="s">
        <v>383</v>
      </c>
      <c r="P306" s="10" cm="1">
        <f t="array" ref="P306">BSHARE("fwd_share",0,"Rural","mean")</f>
        <v>3.2568021519397029E-4</v>
      </c>
    </row>
    <row r="307" spans="4:26" x14ac:dyDescent="0.25">
      <c r="D307" s="6" t="s">
        <v>69</v>
      </c>
      <c r="E307" s="6" t="s">
        <v>385</v>
      </c>
      <c r="F307" s="6" t="s">
        <v>145</v>
      </c>
      <c r="G307" s="6" t="s">
        <v>398</v>
      </c>
      <c r="H307" s="6" t="s">
        <v>383</v>
      </c>
      <c r="Q307" s="10" cm="1">
        <f t="array" ref="Q307:Z307">BSHARE("fwd_share",DECILE_ARRAY,"Rural","mean")</f>
        <v>7.257657896226681E-4</v>
      </c>
      <c r="R307">
        <v>4.193736747583022E-4</v>
      </c>
      <c r="S307">
        <v>3.4484272814732769E-4</v>
      </c>
      <c r="T307">
        <v>3.9385173885368371E-4</v>
      </c>
      <c r="U307">
        <v>2.5099468866623948E-4</v>
      </c>
      <c r="V307">
        <v>2.0547496062780631E-4</v>
      </c>
      <c r="W307">
        <v>2.8291014637256819E-4</v>
      </c>
      <c r="X307">
        <v>1.7920637199550521E-4</v>
      </c>
      <c r="Y307">
        <v>2.6288782004268578E-4</v>
      </c>
      <c r="Z307">
        <v>2.1571607261334101E-4</v>
      </c>
    </row>
    <row r="308" spans="4:26" x14ac:dyDescent="0.25">
      <c r="D308" s="6" t="s">
        <v>72</v>
      </c>
      <c r="E308" s="6" t="s">
        <v>381</v>
      </c>
      <c r="F308" s="6" t="s">
        <v>382</v>
      </c>
      <c r="G308" s="6" t="s">
        <v>398</v>
      </c>
      <c r="H308" s="6" t="s">
        <v>383</v>
      </c>
      <c r="P308" s="10" cm="1">
        <f t="array" ref="P308">BSHARE("fwd_share",0,"Overall","median")</f>
        <v>0</v>
      </c>
    </row>
    <row r="309" spans="4:26" x14ac:dyDescent="0.25">
      <c r="D309" s="6" t="s">
        <v>72</v>
      </c>
      <c r="E309" s="6" t="s">
        <v>381</v>
      </c>
      <c r="F309" s="6" t="s">
        <v>145</v>
      </c>
      <c r="G309" s="6" t="s">
        <v>398</v>
      </c>
      <c r="H309" s="6" t="s">
        <v>383</v>
      </c>
      <c r="Q309" s="10" cm="1">
        <f t="array" ref="Q309:Z309">BSHARE("fwd_share",DECILE_ARRAY,"Overall","median")</f>
        <v>0</v>
      </c>
      <c r="R309">
        <v>0</v>
      </c>
      <c r="S309">
        <v>0</v>
      </c>
      <c r="T309">
        <v>0</v>
      </c>
      <c r="U309">
        <v>0</v>
      </c>
      <c r="V309">
        <v>0</v>
      </c>
      <c r="W309">
        <v>0</v>
      </c>
      <c r="X309">
        <v>0</v>
      </c>
      <c r="Y309">
        <v>0</v>
      </c>
      <c r="Z309">
        <v>0</v>
      </c>
    </row>
    <row r="310" spans="4:26" x14ac:dyDescent="0.25">
      <c r="D310" s="6" t="s">
        <v>72</v>
      </c>
      <c r="E310" s="6" t="s">
        <v>384</v>
      </c>
      <c r="F310" s="6" t="s">
        <v>382</v>
      </c>
      <c r="G310" s="6" t="s">
        <v>398</v>
      </c>
      <c r="H310" s="6" t="s">
        <v>383</v>
      </c>
      <c r="P310" s="10" cm="1">
        <f t="array" ref="P310">BSHARE("fwd_share",0,"Urban","median")</f>
        <v>0</v>
      </c>
    </row>
    <row r="311" spans="4:26" x14ac:dyDescent="0.25">
      <c r="D311" s="6" t="s">
        <v>72</v>
      </c>
      <c r="E311" s="6" t="s">
        <v>384</v>
      </c>
      <c r="F311" s="6" t="s">
        <v>145</v>
      </c>
      <c r="G311" s="6" t="s">
        <v>398</v>
      </c>
      <c r="H311" s="6" t="s">
        <v>383</v>
      </c>
      <c r="Q311" s="10" cm="1">
        <f t="array" ref="Q311:Z311">BSHARE("fwd_share",DECILE_ARRAY,"Urban","median")</f>
        <v>0</v>
      </c>
      <c r="R311">
        <v>0</v>
      </c>
      <c r="S311">
        <v>0</v>
      </c>
      <c r="T311">
        <v>0</v>
      </c>
      <c r="U311">
        <v>0</v>
      </c>
      <c r="V311">
        <v>0</v>
      </c>
      <c r="W311">
        <v>0</v>
      </c>
      <c r="X311">
        <v>0</v>
      </c>
      <c r="Y311">
        <v>0</v>
      </c>
      <c r="Z311">
        <v>0</v>
      </c>
    </row>
    <row r="312" spans="4:26" x14ac:dyDescent="0.25">
      <c r="D312" s="6" t="s">
        <v>72</v>
      </c>
      <c r="E312" s="6" t="s">
        <v>385</v>
      </c>
      <c r="F312" s="6" t="s">
        <v>382</v>
      </c>
      <c r="G312" s="6" t="s">
        <v>398</v>
      </c>
      <c r="H312" s="6" t="s">
        <v>383</v>
      </c>
      <c r="P312" s="10" cm="1">
        <f t="array" ref="P312">BSHARE("fwd_share",0,"Rural","median")</f>
        <v>0</v>
      </c>
    </row>
    <row r="313" spans="4:26" x14ac:dyDescent="0.25">
      <c r="D313" s="6" t="s">
        <v>72</v>
      </c>
      <c r="E313" s="6" t="s">
        <v>385</v>
      </c>
      <c r="F313" s="6" t="s">
        <v>145</v>
      </c>
      <c r="G313" s="6" t="s">
        <v>398</v>
      </c>
      <c r="H313" s="6" t="s">
        <v>383</v>
      </c>
      <c r="Q313" s="10" cm="1">
        <f t="array" ref="Q313:Z313">BSHARE("fwd_share",DECILE_ARRAY,"Rural","median")</f>
        <v>0</v>
      </c>
      <c r="R313">
        <v>0</v>
      </c>
      <c r="S313">
        <v>0</v>
      </c>
      <c r="T313">
        <v>0</v>
      </c>
      <c r="U313">
        <v>0</v>
      </c>
      <c r="V313">
        <v>0</v>
      </c>
      <c r="W313">
        <v>0</v>
      </c>
      <c r="X313">
        <v>0</v>
      </c>
      <c r="Y313">
        <v>0</v>
      </c>
      <c r="Z313">
        <v>0</v>
      </c>
    </row>
    <row r="314" spans="4:26" x14ac:dyDescent="0.25">
      <c r="D314" s="6" t="s">
        <v>75</v>
      </c>
      <c r="E314" s="6" t="s">
        <v>381</v>
      </c>
      <c r="F314" s="6" t="s">
        <v>382</v>
      </c>
      <c r="G314" s="6" t="s">
        <v>398</v>
      </c>
      <c r="H314" s="6" t="s">
        <v>383</v>
      </c>
      <c r="P314" s="10" cm="1">
        <f t="array" ref="P314">BSHARE("fwd_share",0,"Overall","p25")</f>
        <v>0</v>
      </c>
    </row>
    <row r="315" spans="4:26" x14ac:dyDescent="0.25">
      <c r="D315" s="6" t="s">
        <v>75</v>
      </c>
      <c r="E315" s="6" t="s">
        <v>381</v>
      </c>
      <c r="F315" s="6" t="s">
        <v>145</v>
      </c>
      <c r="G315" s="6" t="s">
        <v>398</v>
      </c>
      <c r="H315" s="6" t="s">
        <v>383</v>
      </c>
      <c r="Q315" s="10" cm="1">
        <f t="array" ref="Q315:Z315">BSHARE("fwd_share",DECILE_ARRAY,"Overall","p25")</f>
        <v>0</v>
      </c>
      <c r="R315">
        <v>0</v>
      </c>
      <c r="S315">
        <v>0</v>
      </c>
      <c r="T315">
        <v>0</v>
      </c>
      <c r="U315">
        <v>0</v>
      </c>
      <c r="V315">
        <v>0</v>
      </c>
      <c r="W315">
        <v>0</v>
      </c>
      <c r="X315">
        <v>0</v>
      </c>
      <c r="Y315">
        <v>0</v>
      </c>
      <c r="Z315">
        <v>0</v>
      </c>
    </row>
    <row r="316" spans="4:26" x14ac:dyDescent="0.25">
      <c r="D316" s="6" t="s">
        <v>75</v>
      </c>
      <c r="E316" s="6" t="s">
        <v>384</v>
      </c>
      <c r="F316" s="6" t="s">
        <v>382</v>
      </c>
      <c r="G316" s="6" t="s">
        <v>398</v>
      </c>
      <c r="H316" s="6" t="s">
        <v>383</v>
      </c>
      <c r="P316" s="10" cm="1">
        <f t="array" ref="P316">BSHARE("fwd_share",0,"Urban","p25")</f>
        <v>0</v>
      </c>
    </row>
    <row r="317" spans="4:26" x14ac:dyDescent="0.25">
      <c r="D317" s="6" t="s">
        <v>75</v>
      </c>
      <c r="E317" s="6" t="s">
        <v>384</v>
      </c>
      <c r="F317" s="6" t="s">
        <v>145</v>
      </c>
      <c r="G317" s="6" t="s">
        <v>398</v>
      </c>
      <c r="H317" s="6" t="s">
        <v>383</v>
      </c>
      <c r="Q317" s="10" cm="1">
        <f t="array" ref="Q317:Z317">BSHARE("fwd_share",DECILE_ARRAY,"Urban","p25")</f>
        <v>0</v>
      </c>
      <c r="R317">
        <v>0</v>
      </c>
      <c r="S317">
        <v>0</v>
      </c>
      <c r="T317">
        <v>0</v>
      </c>
      <c r="U317">
        <v>0</v>
      </c>
      <c r="V317">
        <v>0</v>
      </c>
      <c r="W317">
        <v>0</v>
      </c>
      <c r="X317">
        <v>0</v>
      </c>
      <c r="Y317">
        <v>0</v>
      </c>
      <c r="Z317">
        <v>0</v>
      </c>
    </row>
    <row r="318" spans="4:26" x14ac:dyDescent="0.25">
      <c r="D318" s="6" t="s">
        <v>75</v>
      </c>
      <c r="E318" s="6" t="s">
        <v>385</v>
      </c>
      <c r="F318" s="6" t="s">
        <v>382</v>
      </c>
      <c r="G318" s="6" t="s">
        <v>398</v>
      </c>
      <c r="H318" s="6" t="s">
        <v>383</v>
      </c>
      <c r="P318" s="10" cm="1">
        <f t="array" ref="P318">BSHARE("fwd_share",0,"Rural","p25")</f>
        <v>0</v>
      </c>
    </row>
    <row r="319" spans="4:26" x14ac:dyDescent="0.25">
      <c r="D319" s="6" t="s">
        <v>75</v>
      </c>
      <c r="E319" s="6" t="s">
        <v>385</v>
      </c>
      <c r="F319" s="6" t="s">
        <v>145</v>
      </c>
      <c r="G319" s="6" t="s">
        <v>398</v>
      </c>
      <c r="H319" s="6" t="s">
        <v>383</v>
      </c>
      <c r="Q319" s="10" cm="1">
        <f t="array" ref="Q319:Z319">BSHARE("fwd_share",DECILE_ARRAY,"Rural","p25")</f>
        <v>0</v>
      </c>
      <c r="R319">
        <v>0</v>
      </c>
      <c r="S319">
        <v>0</v>
      </c>
      <c r="T319">
        <v>0</v>
      </c>
      <c r="U319">
        <v>0</v>
      </c>
      <c r="V319">
        <v>0</v>
      </c>
      <c r="W319">
        <v>0</v>
      </c>
      <c r="X319">
        <v>0</v>
      </c>
      <c r="Y319">
        <v>0</v>
      </c>
      <c r="Z319">
        <v>0</v>
      </c>
    </row>
    <row r="320" spans="4:26" x14ac:dyDescent="0.25">
      <c r="D320" s="6" t="s">
        <v>78</v>
      </c>
      <c r="E320" s="6" t="s">
        <v>381</v>
      </c>
      <c r="F320" s="6" t="s">
        <v>382</v>
      </c>
      <c r="G320" s="6" t="s">
        <v>398</v>
      </c>
      <c r="H320" s="6" t="s">
        <v>383</v>
      </c>
      <c r="P320" s="10" cm="1">
        <f t="array" ref="P320">BSHARE("fwd_share",0,"Overall","p75")</f>
        <v>0</v>
      </c>
    </row>
    <row r="321" spans="1:26" x14ac:dyDescent="0.25">
      <c r="D321" s="6" t="s">
        <v>78</v>
      </c>
      <c r="E321" s="6" t="s">
        <v>381</v>
      </c>
      <c r="F321" s="6" t="s">
        <v>145</v>
      </c>
      <c r="G321" s="6" t="s">
        <v>398</v>
      </c>
      <c r="H321" s="6" t="s">
        <v>383</v>
      </c>
      <c r="Q321" s="10" cm="1">
        <f t="array" ref="Q321:Z321">BSHARE("fwd_share",DECILE_ARRAY,"Overall","p75")</f>
        <v>0</v>
      </c>
      <c r="R321">
        <v>0</v>
      </c>
      <c r="S321">
        <v>0</v>
      </c>
      <c r="T321">
        <v>0</v>
      </c>
      <c r="U321">
        <v>0</v>
      </c>
      <c r="V321">
        <v>0</v>
      </c>
      <c r="W321">
        <v>0</v>
      </c>
      <c r="X321">
        <v>0</v>
      </c>
      <c r="Y321">
        <v>0</v>
      </c>
      <c r="Z321">
        <v>0</v>
      </c>
    </row>
    <row r="322" spans="1:26" x14ac:dyDescent="0.25">
      <c r="D322" s="6" t="s">
        <v>78</v>
      </c>
      <c r="E322" s="6" t="s">
        <v>384</v>
      </c>
      <c r="F322" s="6" t="s">
        <v>382</v>
      </c>
      <c r="G322" s="6" t="s">
        <v>398</v>
      </c>
      <c r="H322" s="6" t="s">
        <v>383</v>
      </c>
      <c r="P322" s="10" cm="1">
        <f t="array" ref="P322">BSHARE("fwd_share",0,"Urban","p75")</f>
        <v>0</v>
      </c>
    </row>
    <row r="323" spans="1:26" x14ac:dyDescent="0.25">
      <c r="D323" s="6" t="s">
        <v>78</v>
      </c>
      <c r="E323" s="6" t="s">
        <v>384</v>
      </c>
      <c r="F323" s="6" t="s">
        <v>145</v>
      </c>
      <c r="G323" s="6" t="s">
        <v>398</v>
      </c>
      <c r="H323" s="6" t="s">
        <v>383</v>
      </c>
      <c r="Q323" s="10" cm="1">
        <f t="array" ref="Q323:Z323">BSHARE("fwd_share",DECILE_ARRAY,"Urban","p75")</f>
        <v>0</v>
      </c>
      <c r="R323">
        <v>0</v>
      </c>
      <c r="S323">
        <v>0</v>
      </c>
      <c r="T323">
        <v>0</v>
      </c>
      <c r="U323">
        <v>0</v>
      </c>
      <c r="V323">
        <v>0</v>
      </c>
      <c r="W323">
        <v>0</v>
      </c>
      <c r="X323">
        <v>0</v>
      </c>
      <c r="Y323">
        <v>0</v>
      </c>
      <c r="Z323">
        <v>0</v>
      </c>
    </row>
    <row r="324" spans="1:26" x14ac:dyDescent="0.25">
      <c r="D324" s="6" t="s">
        <v>78</v>
      </c>
      <c r="E324" s="6" t="s">
        <v>385</v>
      </c>
      <c r="F324" s="6" t="s">
        <v>382</v>
      </c>
      <c r="G324" s="6" t="s">
        <v>398</v>
      </c>
      <c r="H324" s="6" t="s">
        <v>383</v>
      </c>
      <c r="P324" s="10" cm="1">
        <f t="array" ref="P324">BSHARE("fwd_share",0,"Rural","p75")</f>
        <v>0</v>
      </c>
    </row>
    <row r="325" spans="1:26" x14ac:dyDescent="0.25">
      <c r="D325" s="6" t="s">
        <v>78</v>
      </c>
      <c r="E325" s="6" t="s">
        <v>385</v>
      </c>
      <c r="F325" s="6" t="s">
        <v>145</v>
      </c>
      <c r="G325" s="6" t="s">
        <v>398</v>
      </c>
      <c r="H325" s="6" t="s">
        <v>383</v>
      </c>
      <c r="Q325" s="10" cm="1">
        <f t="array" ref="Q325:Z325">BSHARE("fwd_share",DECILE_ARRAY,"Rural","p75")</f>
        <v>0</v>
      </c>
      <c r="R325">
        <v>0</v>
      </c>
      <c r="S325">
        <v>0</v>
      </c>
      <c r="T325">
        <v>0</v>
      </c>
      <c r="U325">
        <v>0</v>
      </c>
      <c r="V325">
        <v>0</v>
      </c>
      <c r="W325">
        <v>0</v>
      </c>
      <c r="X325">
        <v>0</v>
      </c>
      <c r="Y325">
        <v>0</v>
      </c>
      <c r="Z325">
        <v>0</v>
      </c>
    </row>
    <row r="327" spans="1:26" x14ac:dyDescent="0.25">
      <c r="A327" s="5" t="s">
        <v>399</v>
      </c>
      <c r="B327" s="13" t="s">
        <v>400</v>
      </c>
      <c r="C327" s="14"/>
      <c r="D327" s="14"/>
      <c r="E327" s="14"/>
      <c r="F327" s="14"/>
      <c r="G327" s="14"/>
      <c r="H327" s="14"/>
      <c r="I327" s="14"/>
      <c r="J327" s="14"/>
      <c r="K327" s="14"/>
      <c r="L327" s="14"/>
      <c r="M327" s="14"/>
      <c r="N327" s="14"/>
    </row>
    <row r="329" spans="1:26" x14ac:dyDescent="0.25">
      <c r="C329" s="7" t="s">
        <v>401</v>
      </c>
      <c r="G329" s="6" t="s">
        <v>351</v>
      </c>
      <c r="O329" s="2" t="s">
        <v>331</v>
      </c>
      <c r="Q329" s="2">
        <v>1</v>
      </c>
      <c r="R329" s="2">
        <v>2</v>
      </c>
      <c r="S329" s="2">
        <v>3</v>
      </c>
      <c r="T329" s="2">
        <v>4</v>
      </c>
      <c r="U329" s="2">
        <v>5</v>
      </c>
      <c r="V329" s="2">
        <v>6</v>
      </c>
      <c r="W329" s="2">
        <v>7</v>
      </c>
      <c r="X329" s="2">
        <v>8</v>
      </c>
      <c r="Y329" s="2">
        <v>9</v>
      </c>
      <c r="Z329" s="2">
        <v>10</v>
      </c>
    </row>
    <row r="330" spans="1:26" x14ac:dyDescent="0.25">
      <c r="D330" s="6" t="s">
        <v>69</v>
      </c>
      <c r="E330" s="6" t="s">
        <v>381</v>
      </c>
      <c r="F330" s="6" t="s">
        <v>382</v>
      </c>
      <c r="G330" s="6" t="s">
        <v>351</v>
      </c>
      <c r="H330" s="6" t="s">
        <v>383</v>
      </c>
      <c r="P330" s="10" cm="1">
        <f t="array" ref="P330">BSHARE("appliances_share",0,"Overall","mean")</f>
        <v>1.738053346896713</v>
      </c>
    </row>
    <row r="331" spans="1:26" x14ac:dyDescent="0.25">
      <c r="D331" s="6" t="s">
        <v>69</v>
      </c>
      <c r="E331" s="6" t="s">
        <v>381</v>
      </c>
      <c r="F331" s="6" t="s">
        <v>145</v>
      </c>
      <c r="G331" s="6" t="s">
        <v>351</v>
      </c>
      <c r="H331" s="6" t="s">
        <v>383</v>
      </c>
      <c r="Q331" s="10" cm="1">
        <f t="array" ref="Q331:Z331">BSHARE("appliances_share",DECILE_ARRAY,"Overall","mean")</f>
        <v>1.755035630461325</v>
      </c>
      <c r="R331">
        <v>1.694090003747357</v>
      </c>
      <c r="S331">
        <v>1.6452019465422389</v>
      </c>
      <c r="T331">
        <v>1.563419738301665</v>
      </c>
      <c r="U331">
        <v>1.7042179471511141</v>
      </c>
      <c r="V331">
        <v>1.6412955244167651</v>
      </c>
      <c r="W331">
        <v>1.808909928284024</v>
      </c>
      <c r="X331">
        <v>1.7757479790490751</v>
      </c>
      <c r="Y331">
        <v>1.6134411910484761</v>
      </c>
      <c r="Z331">
        <v>1.80744366883074</v>
      </c>
    </row>
    <row r="332" spans="1:26" x14ac:dyDescent="0.25">
      <c r="D332" s="6" t="s">
        <v>69</v>
      </c>
      <c r="E332" s="6" t="s">
        <v>384</v>
      </c>
      <c r="F332" s="6" t="s">
        <v>382</v>
      </c>
      <c r="G332" s="6" t="s">
        <v>351</v>
      </c>
      <c r="H332" s="6" t="s">
        <v>383</v>
      </c>
      <c r="P332" s="10" cm="1">
        <f t="array" ref="P332">BSHARE("appliances_share",0,"Urban","mean")</f>
        <v>1.634503259298848</v>
      </c>
    </row>
    <row r="333" spans="1:26" x14ac:dyDescent="0.25">
      <c r="D333" s="6" t="s">
        <v>69</v>
      </c>
      <c r="E333" s="6" t="s">
        <v>384</v>
      </c>
      <c r="F333" s="6" t="s">
        <v>145</v>
      </c>
      <c r="G333" s="6" t="s">
        <v>351</v>
      </c>
      <c r="H333" s="6" t="s">
        <v>383</v>
      </c>
      <c r="Q333" s="10" cm="1">
        <f t="array" ref="Q333:Z333">BSHARE("appliances_share",DECILE_ARRAY,"Urban","mean")</f>
        <v>1.383052947185039</v>
      </c>
      <c r="R333">
        <v>1.515877846078082</v>
      </c>
      <c r="S333">
        <v>1.5658667265439199</v>
      </c>
      <c r="T333">
        <v>1.4581611252814151</v>
      </c>
      <c r="U333">
        <v>1.5986446058200621</v>
      </c>
      <c r="V333">
        <v>1.7092725671667519</v>
      </c>
      <c r="W333">
        <v>1.4819920814090419</v>
      </c>
      <c r="X333">
        <v>1.5031604677336139</v>
      </c>
      <c r="Y333">
        <v>1.5675504800749871</v>
      </c>
      <c r="Z333">
        <v>1.7737084382900059</v>
      </c>
    </row>
    <row r="334" spans="1:26" x14ac:dyDescent="0.25">
      <c r="D334" s="6" t="s">
        <v>69</v>
      </c>
      <c r="E334" s="6" t="s">
        <v>385</v>
      </c>
      <c r="F334" s="6" t="s">
        <v>382</v>
      </c>
      <c r="G334" s="6" t="s">
        <v>351</v>
      </c>
      <c r="H334" s="6" t="s">
        <v>383</v>
      </c>
      <c r="P334" s="10" cm="1">
        <f t="array" ref="P334">BSHARE("appliances_share",0,"Rural","mean")</f>
        <v>1.752528007381251</v>
      </c>
    </row>
    <row r="335" spans="1:26" x14ac:dyDescent="0.25">
      <c r="D335" s="6" t="s">
        <v>69</v>
      </c>
      <c r="E335" s="6" t="s">
        <v>385</v>
      </c>
      <c r="F335" s="6" t="s">
        <v>145</v>
      </c>
      <c r="G335" s="6" t="s">
        <v>351</v>
      </c>
      <c r="H335" s="6" t="s">
        <v>383</v>
      </c>
      <c r="Q335" s="10" cm="1">
        <f t="array" ref="Q335:Z335">BSHARE("appliances_share",DECILE_ARRAY,"Rural","mean")</f>
        <v>1.854347044927382</v>
      </c>
      <c r="R335">
        <v>1.779018624913826</v>
      </c>
      <c r="S335">
        <v>1.7732344233892769</v>
      </c>
      <c r="T335">
        <v>1.7892481410393259</v>
      </c>
      <c r="U335">
        <v>1.7375419164791319</v>
      </c>
      <c r="V335">
        <v>1.7730656903509101</v>
      </c>
      <c r="W335">
        <v>1.942523041894576</v>
      </c>
      <c r="X335">
        <v>1.795842894400991</v>
      </c>
      <c r="Y335">
        <v>1.7236779292007121</v>
      </c>
      <c r="Z335">
        <v>1.973870759483221</v>
      </c>
    </row>
    <row r="336" spans="1:26" x14ac:dyDescent="0.25">
      <c r="D336" s="6" t="s">
        <v>72</v>
      </c>
      <c r="E336" s="6" t="s">
        <v>381</v>
      </c>
      <c r="F336" s="6" t="s">
        <v>382</v>
      </c>
      <c r="G336" s="6" t="s">
        <v>351</v>
      </c>
      <c r="H336" s="6" t="s">
        <v>383</v>
      </c>
      <c r="P336" s="10" cm="1">
        <f t="array" ref="P336">BSHARE("appliances_share",0,"Overall","median")</f>
        <v>1.247555031011599</v>
      </c>
    </row>
    <row r="337" spans="4:26" x14ac:dyDescent="0.25">
      <c r="D337" s="6" t="s">
        <v>72</v>
      </c>
      <c r="E337" s="6" t="s">
        <v>381</v>
      </c>
      <c r="F337" s="6" t="s">
        <v>145</v>
      </c>
      <c r="G337" s="6" t="s">
        <v>351</v>
      </c>
      <c r="H337" s="6" t="s">
        <v>383</v>
      </c>
      <c r="Q337" s="10" cm="1">
        <f t="array" ref="Q337:Z337">BSHARE("appliances_share",DECILE_ARRAY,"Overall","median")</f>
        <v>1.3551735082080769</v>
      </c>
      <c r="R337">
        <v>1.180402280019929</v>
      </c>
      <c r="S337">
        <v>1.2612312763911391</v>
      </c>
      <c r="T337">
        <v>1.221442940301287</v>
      </c>
      <c r="U337">
        <v>1.3568809309271379</v>
      </c>
      <c r="V337">
        <v>1.196976986820401</v>
      </c>
      <c r="W337">
        <v>1.1774974563731659</v>
      </c>
      <c r="X337">
        <v>1.0864306601139719</v>
      </c>
      <c r="Y337">
        <v>1.221311927930016</v>
      </c>
      <c r="Z337">
        <v>1.002069304112984</v>
      </c>
    </row>
    <row r="338" spans="4:26" x14ac:dyDescent="0.25">
      <c r="D338" s="6" t="s">
        <v>72</v>
      </c>
      <c r="E338" s="6" t="s">
        <v>384</v>
      </c>
      <c r="F338" s="6" t="s">
        <v>382</v>
      </c>
      <c r="G338" s="6" t="s">
        <v>351</v>
      </c>
      <c r="H338" s="6" t="s">
        <v>383</v>
      </c>
      <c r="P338" s="10" cm="1">
        <f t="array" ref="P338">BSHARE("appliances_share",0,"Urban","median")</f>
        <v>1.0430424997838521</v>
      </c>
    </row>
    <row r="339" spans="4:26" x14ac:dyDescent="0.25">
      <c r="D339" s="6" t="s">
        <v>72</v>
      </c>
      <c r="E339" s="6" t="s">
        <v>384</v>
      </c>
      <c r="F339" s="6" t="s">
        <v>145</v>
      </c>
      <c r="G339" s="6" t="s">
        <v>351</v>
      </c>
      <c r="H339" s="6" t="s">
        <v>383</v>
      </c>
      <c r="Q339" s="10" cm="1">
        <f t="array" ref="Q339:Z339">BSHARE("appliances_share",DECILE_ARRAY,"Urban","median")</f>
        <v>0.92286513071047604</v>
      </c>
      <c r="R339">
        <v>1.0342763382402189</v>
      </c>
      <c r="S339">
        <v>1.182530509206696</v>
      </c>
      <c r="T339">
        <v>1.0296045610410809</v>
      </c>
      <c r="U339">
        <v>1.033966582315512</v>
      </c>
      <c r="V339">
        <v>1.1309368231916539</v>
      </c>
      <c r="W339">
        <v>0.99005078288572224</v>
      </c>
      <c r="X339">
        <v>1.186538989486871</v>
      </c>
      <c r="Y339">
        <v>0.99120357596986708</v>
      </c>
      <c r="Z339">
        <v>0.93246557187737422</v>
      </c>
    </row>
    <row r="340" spans="4:26" x14ac:dyDescent="0.25">
      <c r="D340" s="6" t="s">
        <v>72</v>
      </c>
      <c r="E340" s="6" t="s">
        <v>385</v>
      </c>
      <c r="F340" s="6" t="s">
        <v>382</v>
      </c>
      <c r="G340" s="6" t="s">
        <v>351</v>
      </c>
      <c r="H340" s="6" t="s">
        <v>383</v>
      </c>
      <c r="P340" s="10" cm="1">
        <f t="array" ref="P340">BSHARE("appliances_share",0,"Rural","median")</f>
        <v>1.428506191146528</v>
      </c>
    </row>
    <row r="341" spans="4:26" x14ac:dyDescent="0.25">
      <c r="D341" s="6" t="s">
        <v>72</v>
      </c>
      <c r="E341" s="6" t="s">
        <v>385</v>
      </c>
      <c r="F341" s="6" t="s">
        <v>145</v>
      </c>
      <c r="G341" s="6" t="s">
        <v>351</v>
      </c>
      <c r="H341" s="6" t="s">
        <v>383</v>
      </c>
      <c r="Q341" s="10" cm="1">
        <f t="array" ref="Q341:Z341">BSHARE("appliances_share",DECILE_ARRAY,"Rural","median")</f>
        <v>1.466802264498396</v>
      </c>
      <c r="R341">
        <v>1.432170571887285</v>
      </c>
      <c r="S341">
        <v>1.3959861588107509</v>
      </c>
      <c r="T341">
        <v>1.5210246772073781</v>
      </c>
      <c r="U341">
        <v>1.3396922494074719</v>
      </c>
      <c r="V341">
        <v>1.395856541749404</v>
      </c>
      <c r="W341">
        <v>1.3261400146402169</v>
      </c>
      <c r="X341">
        <v>1.2074335646654299</v>
      </c>
      <c r="Y341">
        <v>1.4175094417400369</v>
      </c>
      <c r="Z341">
        <v>1.114004542924423</v>
      </c>
    </row>
    <row r="342" spans="4:26" x14ac:dyDescent="0.25">
      <c r="D342" s="6" t="s">
        <v>75</v>
      </c>
      <c r="E342" s="6" t="s">
        <v>381</v>
      </c>
      <c r="F342" s="6" t="s">
        <v>382</v>
      </c>
      <c r="G342" s="6" t="s">
        <v>351</v>
      </c>
      <c r="H342" s="6" t="s">
        <v>383</v>
      </c>
      <c r="P342" s="10" cm="1">
        <f t="array" ref="P342">BSHARE("appliances_share",0,"Overall","p25")</f>
        <v>0.63217891713516094</v>
      </c>
    </row>
    <row r="343" spans="4:26" x14ac:dyDescent="0.25">
      <c r="D343" s="6" t="s">
        <v>75</v>
      </c>
      <c r="E343" s="6" t="s">
        <v>381</v>
      </c>
      <c r="F343" s="6" t="s">
        <v>145</v>
      </c>
      <c r="G343" s="6" t="s">
        <v>351</v>
      </c>
      <c r="H343" s="6" t="s">
        <v>383</v>
      </c>
      <c r="Q343" s="10" cm="1">
        <f t="array" ref="Q343:Z343">BSHARE("appliances_share",DECILE_ARRAY,"Overall","p25")</f>
        <v>0.75121006590605754</v>
      </c>
      <c r="R343">
        <v>0.68286788141151034</v>
      </c>
      <c r="S343">
        <v>0.77505650011320171</v>
      </c>
      <c r="T343">
        <v>0.80185109898191309</v>
      </c>
      <c r="U343">
        <v>0.72308011683127116</v>
      </c>
      <c r="V343">
        <v>0.74203565665709048</v>
      </c>
      <c r="W343">
        <v>0.70542842483914692</v>
      </c>
      <c r="X343">
        <v>0.66157167981870901</v>
      </c>
      <c r="Y343">
        <v>0.60182171075054469</v>
      </c>
      <c r="Z343">
        <v>0.52785356365302816</v>
      </c>
    </row>
    <row r="344" spans="4:26" x14ac:dyDescent="0.25">
      <c r="D344" s="6" t="s">
        <v>75</v>
      </c>
      <c r="E344" s="6" t="s">
        <v>384</v>
      </c>
      <c r="F344" s="6" t="s">
        <v>382</v>
      </c>
      <c r="G344" s="6" t="s">
        <v>351</v>
      </c>
      <c r="H344" s="6" t="s">
        <v>383</v>
      </c>
      <c r="P344" s="10" cm="1">
        <f t="array" ref="P344">BSHARE("appliances_share",0,"Urban","p25")</f>
        <v>0.52450259629901752</v>
      </c>
    </row>
    <row r="345" spans="4:26" x14ac:dyDescent="0.25">
      <c r="D345" s="6" t="s">
        <v>75</v>
      </c>
      <c r="E345" s="6" t="s">
        <v>384</v>
      </c>
      <c r="F345" s="6" t="s">
        <v>145</v>
      </c>
      <c r="G345" s="6" t="s">
        <v>351</v>
      </c>
      <c r="H345" s="6" t="s">
        <v>383</v>
      </c>
      <c r="Q345" s="10" cm="1">
        <f t="array" ref="Q345:Z345">BSHARE("appliances_share",DECILE_ARRAY,"Urban","p25")</f>
        <v>0.46154199854340849</v>
      </c>
      <c r="R345">
        <v>0.58858473993704774</v>
      </c>
      <c r="S345">
        <v>0.53821717119709456</v>
      </c>
      <c r="T345">
        <v>0.54496988916945843</v>
      </c>
      <c r="U345">
        <v>0.59466986754585793</v>
      </c>
      <c r="V345">
        <v>0.55730846982613769</v>
      </c>
      <c r="W345">
        <v>0.52681704372618354</v>
      </c>
      <c r="X345">
        <v>0.58476918077923423</v>
      </c>
      <c r="Y345">
        <v>0.49938956914537852</v>
      </c>
      <c r="Z345">
        <v>0.42143884121795411</v>
      </c>
    </row>
    <row r="346" spans="4:26" x14ac:dyDescent="0.25">
      <c r="D346" s="6" t="s">
        <v>75</v>
      </c>
      <c r="E346" s="6" t="s">
        <v>385</v>
      </c>
      <c r="F346" s="6" t="s">
        <v>382</v>
      </c>
      <c r="G346" s="6" t="s">
        <v>351</v>
      </c>
      <c r="H346" s="6" t="s">
        <v>383</v>
      </c>
      <c r="P346" s="10" cm="1">
        <f t="array" ref="P346">BSHARE("appliances_share",0,"Rural","p25")</f>
        <v>0.85939210252455367</v>
      </c>
    </row>
    <row r="347" spans="4:26" x14ac:dyDescent="0.25">
      <c r="D347" s="6" t="s">
        <v>75</v>
      </c>
      <c r="E347" s="6" t="s">
        <v>385</v>
      </c>
      <c r="F347" s="6" t="s">
        <v>145</v>
      </c>
      <c r="G347" s="6" t="s">
        <v>351</v>
      </c>
      <c r="H347" s="6" t="s">
        <v>383</v>
      </c>
      <c r="Q347" s="10" cm="1">
        <f t="array" ref="Q347:Z347">BSHARE("appliances_share",DECILE_ARRAY,"Rural","p25")</f>
        <v>0.85487269211841344</v>
      </c>
      <c r="R347">
        <v>0.93608998971924018</v>
      </c>
      <c r="S347">
        <v>0.82360156809188634</v>
      </c>
      <c r="T347">
        <v>0.87116459649296341</v>
      </c>
      <c r="U347">
        <v>0.87882438462460599</v>
      </c>
      <c r="V347">
        <v>0.78265124138746145</v>
      </c>
      <c r="W347">
        <v>0.80649425290217969</v>
      </c>
      <c r="X347">
        <v>0.81436788308788233</v>
      </c>
      <c r="Y347">
        <v>0.71360281350039656</v>
      </c>
      <c r="Z347">
        <v>0.6850823938806756</v>
      </c>
    </row>
    <row r="348" spans="4:26" x14ac:dyDescent="0.25">
      <c r="D348" s="6" t="s">
        <v>78</v>
      </c>
      <c r="E348" s="6" t="s">
        <v>381</v>
      </c>
      <c r="F348" s="6" t="s">
        <v>382</v>
      </c>
      <c r="G348" s="6" t="s">
        <v>351</v>
      </c>
      <c r="H348" s="6" t="s">
        <v>383</v>
      </c>
      <c r="P348" s="10" cm="1">
        <f t="array" ref="P348">BSHARE("appliances_share",0,"Overall","p75")</f>
        <v>2.050553748530302</v>
      </c>
    </row>
    <row r="349" spans="4:26" x14ac:dyDescent="0.25">
      <c r="D349" s="6" t="s">
        <v>78</v>
      </c>
      <c r="E349" s="6" t="s">
        <v>381</v>
      </c>
      <c r="F349" s="6" t="s">
        <v>145</v>
      </c>
      <c r="G349" s="6" t="s">
        <v>351</v>
      </c>
      <c r="H349" s="6" t="s">
        <v>383</v>
      </c>
      <c r="Q349" s="10" cm="1">
        <f t="array" ref="Q349:Z349">BSHARE("appliances_share",DECILE_ARRAY,"Overall","p75")</f>
        <v>1.9401744769616041</v>
      </c>
      <c r="R349">
        <v>2.074575178094098</v>
      </c>
      <c r="S349">
        <v>1.9481104741775961</v>
      </c>
      <c r="T349">
        <v>2.169868195332135</v>
      </c>
      <c r="U349">
        <v>2.1892654446689201</v>
      </c>
      <c r="V349">
        <v>2.1263403607983</v>
      </c>
      <c r="W349">
        <v>2.0512379856625729</v>
      </c>
      <c r="X349">
        <v>2.001293155922514</v>
      </c>
      <c r="Y349">
        <v>2.0440386287475878</v>
      </c>
      <c r="Z349">
        <v>2.1529658482076068</v>
      </c>
    </row>
    <row r="350" spans="4:26" x14ac:dyDescent="0.25">
      <c r="D350" s="6" t="s">
        <v>78</v>
      </c>
      <c r="E350" s="6" t="s">
        <v>384</v>
      </c>
      <c r="F350" s="6" t="s">
        <v>382</v>
      </c>
      <c r="G350" s="6" t="s">
        <v>351</v>
      </c>
      <c r="H350" s="6" t="s">
        <v>383</v>
      </c>
      <c r="P350" s="10" cm="1">
        <f t="array" ref="P350">BSHARE("appliances_share",0,"Urban","p75")</f>
        <v>1.8796701264169671</v>
      </c>
    </row>
    <row r="351" spans="4:26" x14ac:dyDescent="0.25">
      <c r="D351" s="6" t="s">
        <v>78</v>
      </c>
      <c r="E351" s="6" t="s">
        <v>384</v>
      </c>
      <c r="F351" s="6" t="s">
        <v>145</v>
      </c>
      <c r="G351" s="6" t="s">
        <v>351</v>
      </c>
      <c r="H351" s="6" t="s">
        <v>383</v>
      </c>
      <c r="Q351" s="10" cm="1">
        <f t="array" ref="Q351:Z351">BSHARE("appliances_share",DECILE_ARRAY,"Urban","p75")</f>
        <v>1.604989815450524</v>
      </c>
      <c r="R351">
        <v>1.768433913690681</v>
      </c>
      <c r="S351">
        <v>1.91332845128583</v>
      </c>
      <c r="T351">
        <v>1.732969469806251</v>
      </c>
      <c r="U351">
        <v>1.909981087124542</v>
      </c>
      <c r="V351">
        <v>2.0815186829532988</v>
      </c>
      <c r="W351">
        <v>1.824861436076183</v>
      </c>
      <c r="X351">
        <v>1.938883893665073</v>
      </c>
      <c r="Y351">
        <v>1.880594623818477</v>
      </c>
      <c r="Z351">
        <v>1.9166540304330379</v>
      </c>
    </row>
    <row r="352" spans="4:26" x14ac:dyDescent="0.25">
      <c r="D352" s="6" t="s">
        <v>78</v>
      </c>
      <c r="E352" s="6" t="s">
        <v>385</v>
      </c>
      <c r="F352" s="6" t="s">
        <v>382</v>
      </c>
      <c r="G352" s="6" t="s">
        <v>351</v>
      </c>
      <c r="H352" s="6" t="s">
        <v>383</v>
      </c>
      <c r="P352" s="10" cm="1">
        <f t="array" ref="P352">BSHARE("appliances_share",0,"Rural","p75")</f>
        <v>2.1910190145120572</v>
      </c>
    </row>
    <row r="353" spans="3:26" x14ac:dyDescent="0.25">
      <c r="D353" s="6" t="s">
        <v>78</v>
      </c>
      <c r="E353" s="6" t="s">
        <v>385</v>
      </c>
      <c r="F353" s="6" t="s">
        <v>145</v>
      </c>
      <c r="G353" s="6" t="s">
        <v>351</v>
      </c>
      <c r="H353" s="6" t="s">
        <v>383</v>
      </c>
      <c r="Q353" s="10" cm="1">
        <f t="array" ref="Q353:Z353">BSHARE("appliances_share",DECILE_ARRAY,"Rural","p75")</f>
        <v>2.103301596915836</v>
      </c>
      <c r="R353">
        <v>2.368533159507308</v>
      </c>
      <c r="S353">
        <v>2.1030146753770431</v>
      </c>
      <c r="T353">
        <v>2.3457033818832498</v>
      </c>
      <c r="U353">
        <v>2.0996042953222989</v>
      </c>
      <c r="V353">
        <v>2.1509314527816601</v>
      </c>
      <c r="W353">
        <v>2.3373731551867079</v>
      </c>
      <c r="X353">
        <v>2.1615900778364439</v>
      </c>
      <c r="Y353">
        <v>2.0488739354035079</v>
      </c>
      <c r="Z353">
        <v>1.9989358865143589</v>
      </c>
    </row>
    <row r="355" spans="3:26" x14ac:dyDescent="0.25">
      <c r="C355" s="7" t="s">
        <v>402</v>
      </c>
      <c r="G355" s="6" t="s">
        <v>353</v>
      </c>
      <c r="O355" s="2" t="s">
        <v>331</v>
      </c>
      <c r="Q355" s="2">
        <v>1</v>
      </c>
      <c r="R355" s="2">
        <v>2</v>
      </c>
      <c r="S355" s="2">
        <v>3</v>
      </c>
      <c r="T355" s="2">
        <v>4</v>
      </c>
      <c r="U355" s="2">
        <v>5</v>
      </c>
      <c r="V355" s="2">
        <v>6</v>
      </c>
      <c r="W355" s="2">
        <v>7</v>
      </c>
      <c r="X355" s="2">
        <v>8</v>
      </c>
      <c r="Y355" s="2">
        <v>9</v>
      </c>
      <c r="Z355" s="2">
        <v>10</v>
      </c>
    </row>
    <row r="356" spans="3:26" x14ac:dyDescent="0.25">
      <c r="D356" s="6" t="s">
        <v>69</v>
      </c>
      <c r="E356" s="6" t="s">
        <v>381</v>
      </c>
      <c r="F356" s="6" t="s">
        <v>382</v>
      </c>
      <c r="G356" s="6" t="s">
        <v>353</v>
      </c>
      <c r="H356" s="6" t="s">
        <v>383</v>
      </c>
      <c r="P356" s="10" cm="1">
        <f t="array" ref="P356">BSHARE("chemicals_share",0,"Overall","mean")</f>
        <v>3.7994746969516151</v>
      </c>
    </row>
    <row r="357" spans="3:26" x14ac:dyDescent="0.25">
      <c r="D357" s="6" t="s">
        <v>69</v>
      </c>
      <c r="E357" s="6" t="s">
        <v>381</v>
      </c>
      <c r="F357" s="6" t="s">
        <v>145</v>
      </c>
      <c r="G357" s="6" t="s">
        <v>353</v>
      </c>
      <c r="H357" s="6" t="s">
        <v>383</v>
      </c>
      <c r="Q357" s="10" cm="1">
        <f t="array" ref="Q357:Z357">BSHARE("chemicals_share",DECILE_ARRAY,"Overall","mean")</f>
        <v>4.4436265895845599</v>
      </c>
      <c r="R357">
        <v>4.0107619669031731</v>
      </c>
      <c r="S357">
        <v>3.522672797654661</v>
      </c>
      <c r="T357">
        <v>3.698318715654664</v>
      </c>
      <c r="U357">
        <v>3.8855645653642958</v>
      </c>
      <c r="V357">
        <v>3.6763617357628711</v>
      </c>
      <c r="W357">
        <v>3.562139853371693</v>
      </c>
      <c r="X357">
        <v>3.6745807991890822</v>
      </c>
      <c r="Y357">
        <v>3.7196407092568662</v>
      </c>
      <c r="Z357">
        <v>3.6036084156393509</v>
      </c>
    </row>
    <row r="358" spans="3:26" x14ac:dyDescent="0.25">
      <c r="D358" s="6" t="s">
        <v>69</v>
      </c>
      <c r="E358" s="6" t="s">
        <v>384</v>
      </c>
      <c r="F358" s="6" t="s">
        <v>382</v>
      </c>
      <c r="G358" s="6" t="s">
        <v>353</v>
      </c>
      <c r="H358" s="6" t="s">
        <v>383</v>
      </c>
      <c r="P358" s="10" cm="1">
        <f t="array" ref="P358">BSHARE("chemicals_share",0,"Urban","mean")</f>
        <v>3.534302834142554</v>
      </c>
    </row>
    <row r="359" spans="3:26" x14ac:dyDescent="0.25">
      <c r="D359" s="6" t="s">
        <v>69</v>
      </c>
      <c r="E359" s="6" t="s">
        <v>384</v>
      </c>
      <c r="F359" s="6" t="s">
        <v>145</v>
      </c>
      <c r="G359" s="6" t="s">
        <v>353</v>
      </c>
      <c r="H359" s="6" t="s">
        <v>383</v>
      </c>
      <c r="Q359" s="10" cm="1">
        <f t="array" ref="Q359:Z359">BSHARE("chemicals_share",DECILE_ARRAY,"Urban","mean")</f>
        <v>3.845034585906955</v>
      </c>
      <c r="R359">
        <v>4.0223490230005989</v>
      </c>
      <c r="S359">
        <v>4.2183003827210417</v>
      </c>
      <c r="T359">
        <v>3.7589086433892538</v>
      </c>
      <c r="U359">
        <v>3.648587107034158</v>
      </c>
      <c r="V359">
        <v>3.9942640679858759</v>
      </c>
      <c r="W359">
        <v>3.9311148242808298</v>
      </c>
      <c r="X359">
        <v>3.5250187163064788</v>
      </c>
      <c r="Y359">
        <v>3.9061342707817239</v>
      </c>
      <c r="Z359">
        <v>3.5635747454610041</v>
      </c>
    </row>
    <row r="360" spans="3:26" x14ac:dyDescent="0.25">
      <c r="D360" s="6" t="s">
        <v>69</v>
      </c>
      <c r="E360" s="6" t="s">
        <v>385</v>
      </c>
      <c r="F360" s="6" t="s">
        <v>382</v>
      </c>
      <c r="G360" s="6" t="s">
        <v>353</v>
      </c>
      <c r="H360" s="6" t="s">
        <v>383</v>
      </c>
      <c r="P360" s="10" cm="1">
        <f t="array" ref="P360">BSHARE("chemicals_share",0,"Rural","mean")</f>
        <v>3.6748749401847189</v>
      </c>
    </row>
    <row r="361" spans="3:26" x14ac:dyDescent="0.25">
      <c r="D361" s="6" t="s">
        <v>69</v>
      </c>
      <c r="E361" s="6" t="s">
        <v>385</v>
      </c>
      <c r="F361" s="6" t="s">
        <v>145</v>
      </c>
      <c r="G361" s="6" t="s">
        <v>353</v>
      </c>
      <c r="H361" s="6" t="s">
        <v>383</v>
      </c>
      <c r="Q361" s="10" cm="1">
        <f t="array" ref="Q361:Z361">BSHARE("chemicals_share",DECILE_ARRAY,"Rural","mean")</f>
        <v>4.4066388476071499</v>
      </c>
      <c r="R361">
        <v>3.7524728097136562</v>
      </c>
      <c r="S361">
        <v>3.6087389253182658</v>
      </c>
      <c r="T361">
        <v>3.3357308005240109</v>
      </c>
      <c r="U361">
        <v>3.5227573058207291</v>
      </c>
      <c r="V361">
        <v>3.6385215738283061</v>
      </c>
      <c r="W361">
        <v>3.7555947109955552</v>
      </c>
      <c r="X361">
        <v>3.3528545851262002</v>
      </c>
      <c r="Y361">
        <v>3.546366057326316</v>
      </c>
      <c r="Z361">
        <v>3.458001305238406</v>
      </c>
    </row>
    <row r="362" spans="3:26" x14ac:dyDescent="0.25">
      <c r="D362" s="6" t="s">
        <v>72</v>
      </c>
      <c r="E362" s="6" t="s">
        <v>381</v>
      </c>
      <c r="F362" s="6" t="s">
        <v>382</v>
      </c>
      <c r="G362" s="6" t="s">
        <v>353</v>
      </c>
      <c r="H362" s="6" t="s">
        <v>383</v>
      </c>
      <c r="P362" s="10" cm="1">
        <f t="array" ref="P362">BSHARE("chemicals_share",0,"Overall","median")</f>
        <v>3.437105295925039</v>
      </c>
    </row>
    <row r="363" spans="3:26" x14ac:dyDescent="0.25">
      <c r="D363" s="6" t="s">
        <v>72</v>
      </c>
      <c r="E363" s="6" t="s">
        <v>381</v>
      </c>
      <c r="F363" s="6" t="s">
        <v>145</v>
      </c>
      <c r="G363" s="6" t="s">
        <v>353</v>
      </c>
      <c r="H363" s="6" t="s">
        <v>383</v>
      </c>
      <c r="Q363" s="10" cm="1">
        <f t="array" ref="Q363:Z363">BSHARE("chemicals_share",DECILE_ARRAY,"Overall","median")</f>
        <v>4.1065674970871529</v>
      </c>
      <c r="R363">
        <v>3.4776052629405481</v>
      </c>
      <c r="S363">
        <v>3.6187146160234178</v>
      </c>
      <c r="T363">
        <v>3.3248963144217072</v>
      </c>
      <c r="U363">
        <v>3.729856706922948</v>
      </c>
      <c r="V363">
        <v>3.655081931482199</v>
      </c>
      <c r="W363">
        <v>3.5356368476750211</v>
      </c>
      <c r="X363">
        <v>3.433285945888787</v>
      </c>
      <c r="Y363">
        <v>3.3135821920904101</v>
      </c>
      <c r="Z363">
        <v>3.521469413323413</v>
      </c>
    </row>
    <row r="364" spans="3:26" x14ac:dyDescent="0.25">
      <c r="D364" s="6" t="s">
        <v>72</v>
      </c>
      <c r="E364" s="6" t="s">
        <v>384</v>
      </c>
      <c r="F364" s="6" t="s">
        <v>382</v>
      </c>
      <c r="G364" s="6" t="s">
        <v>353</v>
      </c>
      <c r="H364" s="6" t="s">
        <v>383</v>
      </c>
      <c r="P364" s="10" cm="1">
        <f t="array" ref="P364">BSHARE("chemicals_share",0,"Urban","median")</f>
        <v>3.879684082133076</v>
      </c>
    </row>
    <row r="365" spans="3:26" x14ac:dyDescent="0.25">
      <c r="D365" s="6" t="s">
        <v>72</v>
      </c>
      <c r="E365" s="6" t="s">
        <v>384</v>
      </c>
      <c r="F365" s="6" t="s">
        <v>145</v>
      </c>
      <c r="G365" s="6" t="s">
        <v>353</v>
      </c>
      <c r="H365" s="6" t="s">
        <v>383</v>
      </c>
      <c r="Q365" s="10" cm="1">
        <f t="array" ref="Q365:Z365">BSHARE("chemicals_share",DECILE_ARRAY,"Urban","median")</f>
        <v>3.702132862946125</v>
      </c>
      <c r="R365">
        <v>3.729402859902375</v>
      </c>
      <c r="S365">
        <v>3.6470280873053529</v>
      </c>
      <c r="T365">
        <v>3.6704776480498582</v>
      </c>
      <c r="U365">
        <v>3.923301569692093</v>
      </c>
      <c r="V365">
        <v>3.5614940312032721</v>
      </c>
      <c r="W365">
        <v>3.5424802750094222</v>
      </c>
      <c r="X365">
        <v>3.667194700438436</v>
      </c>
      <c r="Y365">
        <v>3.5122901216961848</v>
      </c>
      <c r="Z365">
        <v>3.297206506550876</v>
      </c>
    </row>
    <row r="366" spans="3:26" x14ac:dyDescent="0.25">
      <c r="D366" s="6" t="s">
        <v>72</v>
      </c>
      <c r="E366" s="6" t="s">
        <v>385</v>
      </c>
      <c r="F366" s="6" t="s">
        <v>382</v>
      </c>
      <c r="G366" s="6" t="s">
        <v>353</v>
      </c>
      <c r="H366" s="6" t="s">
        <v>383</v>
      </c>
      <c r="P366" s="10" cm="1">
        <f t="array" ref="P366">BSHARE("chemicals_share",0,"Rural","median")</f>
        <v>3.1971362006865038</v>
      </c>
    </row>
    <row r="367" spans="3:26" x14ac:dyDescent="0.25">
      <c r="D367" s="6" t="s">
        <v>72</v>
      </c>
      <c r="E367" s="6" t="s">
        <v>385</v>
      </c>
      <c r="F367" s="6" t="s">
        <v>145</v>
      </c>
      <c r="G367" s="6" t="s">
        <v>353</v>
      </c>
      <c r="H367" s="6" t="s">
        <v>383</v>
      </c>
      <c r="Q367" s="10" cm="1">
        <f t="array" ref="Q367:Z367">BSHARE("chemicals_share",DECILE_ARRAY,"Rural","median")</f>
        <v>4.2632682900213448</v>
      </c>
      <c r="R367">
        <v>3.991893601023536</v>
      </c>
      <c r="S367">
        <v>3.7191363587564181</v>
      </c>
      <c r="T367">
        <v>3.6657436335018199</v>
      </c>
      <c r="U367">
        <v>3.2675856683345019</v>
      </c>
      <c r="V367">
        <v>3.3477815329286829</v>
      </c>
      <c r="W367">
        <v>3.5898058163594282</v>
      </c>
      <c r="X367">
        <v>3.2556117165324792</v>
      </c>
      <c r="Y367">
        <v>3.2994634282273809</v>
      </c>
      <c r="Z367">
        <v>3.3687503874615419</v>
      </c>
    </row>
    <row r="368" spans="3:26" x14ac:dyDescent="0.25">
      <c r="D368" s="6" t="s">
        <v>75</v>
      </c>
      <c r="E368" s="6" t="s">
        <v>381</v>
      </c>
      <c r="F368" s="6" t="s">
        <v>382</v>
      </c>
      <c r="G368" s="6" t="s">
        <v>353</v>
      </c>
      <c r="H368" s="6" t="s">
        <v>383</v>
      </c>
      <c r="P368" s="10" cm="1">
        <f t="array" ref="P368">BSHARE("chemicals_share",0,"Overall","p25")</f>
        <v>2.665380868382452</v>
      </c>
    </row>
    <row r="369" spans="3:26" x14ac:dyDescent="0.25">
      <c r="D369" s="6" t="s">
        <v>75</v>
      </c>
      <c r="E369" s="6" t="s">
        <v>381</v>
      </c>
      <c r="F369" s="6" t="s">
        <v>145</v>
      </c>
      <c r="G369" s="6" t="s">
        <v>353</v>
      </c>
      <c r="H369" s="6" t="s">
        <v>383</v>
      </c>
      <c r="Q369" s="10" cm="1">
        <f t="array" ref="Q369:Z369">BSHARE("chemicals_share",DECILE_ARRAY,"Overall","p25")</f>
        <v>2.8981128764574859</v>
      </c>
      <c r="R369">
        <v>3.0377749305289168</v>
      </c>
      <c r="S369">
        <v>2.747507025471164</v>
      </c>
      <c r="T369">
        <v>2.972199091052234</v>
      </c>
      <c r="U369">
        <v>2.693696628774044</v>
      </c>
      <c r="V369">
        <v>2.8586366195647939</v>
      </c>
      <c r="W369">
        <v>2.8371842728247851</v>
      </c>
      <c r="X369">
        <v>2.8409979176554518</v>
      </c>
      <c r="Y369">
        <v>2.5399378867627229</v>
      </c>
      <c r="Z369">
        <v>2.6225442561531298</v>
      </c>
    </row>
    <row r="370" spans="3:26" x14ac:dyDescent="0.25">
      <c r="D370" s="6" t="s">
        <v>75</v>
      </c>
      <c r="E370" s="6" t="s">
        <v>384</v>
      </c>
      <c r="F370" s="6" t="s">
        <v>382</v>
      </c>
      <c r="G370" s="6" t="s">
        <v>353</v>
      </c>
      <c r="H370" s="6" t="s">
        <v>383</v>
      </c>
      <c r="P370" s="10" cm="1">
        <f t="array" ref="P370">BSHARE("chemicals_share",0,"Urban","p25")</f>
        <v>2.6628518387293578</v>
      </c>
    </row>
    <row r="371" spans="3:26" x14ac:dyDescent="0.25">
      <c r="D371" s="6" t="s">
        <v>75</v>
      </c>
      <c r="E371" s="6" t="s">
        <v>384</v>
      </c>
      <c r="F371" s="6" t="s">
        <v>145</v>
      </c>
      <c r="G371" s="6" t="s">
        <v>353</v>
      </c>
      <c r="H371" s="6" t="s">
        <v>383</v>
      </c>
      <c r="Q371" s="10" cm="1">
        <f t="array" ref="Q371:Z371">BSHARE("chemicals_share",DECILE_ARRAY,"Urban","p25")</f>
        <v>2.8166294834286218</v>
      </c>
      <c r="R371">
        <v>2.9710306482542741</v>
      </c>
      <c r="S371">
        <v>2.9996899196018578</v>
      </c>
      <c r="T371">
        <v>2.6240741507780232</v>
      </c>
      <c r="U371">
        <v>2.6796394010180151</v>
      </c>
      <c r="V371">
        <v>2.9365588154555682</v>
      </c>
      <c r="W371">
        <v>2.5618209382590789</v>
      </c>
      <c r="X371">
        <v>2.5915878035194568</v>
      </c>
      <c r="Y371">
        <v>2.5147320647528941</v>
      </c>
      <c r="Z371">
        <v>2.6455608456512469</v>
      </c>
    </row>
    <row r="372" spans="3:26" x14ac:dyDescent="0.25">
      <c r="D372" s="6" t="s">
        <v>75</v>
      </c>
      <c r="E372" s="6" t="s">
        <v>385</v>
      </c>
      <c r="F372" s="6" t="s">
        <v>382</v>
      </c>
      <c r="G372" s="6" t="s">
        <v>353</v>
      </c>
      <c r="H372" s="6" t="s">
        <v>383</v>
      </c>
      <c r="P372" s="10" cm="1">
        <f t="array" ref="P372">BSHARE("chemicals_share",0,"Rural","p25")</f>
        <v>2.9506814663689251</v>
      </c>
    </row>
    <row r="373" spans="3:26" x14ac:dyDescent="0.25">
      <c r="D373" s="6" t="s">
        <v>75</v>
      </c>
      <c r="E373" s="6" t="s">
        <v>385</v>
      </c>
      <c r="F373" s="6" t="s">
        <v>145</v>
      </c>
      <c r="G373" s="6" t="s">
        <v>353</v>
      </c>
      <c r="H373" s="6" t="s">
        <v>383</v>
      </c>
      <c r="Q373" s="10" cm="1">
        <f t="array" ref="Q373:Z373">BSHARE("chemicals_share",DECILE_ARRAY,"Rural","p25")</f>
        <v>3.2352398779306988</v>
      </c>
      <c r="R373">
        <v>3.235906444542767</v>
      </c>
      <c r="S373">
        <v>2.6783825892500519</v>
      </c>
      <c r="T373">
        <v>2.7146847757834052</v>
      </c>
      <c r="U373">
        <v>2.7164449647621218</v>
      </c>
      <c r="V373">
        <v>2.7498309213617751</v>
      </c>
      <c r="W373">
        <v>2.64348443590479</v>
      </c>
      <c r="X373">
        <v>2.667110695202302</v>
      </c>
      <c r="Y373">
        <v>2.509457970070164</v>
      </c>
      <c r="Z373">
        <v>2.4792568611832242</v>
      </c>
    </row>
    <row r="374" spans="3:26" x14ac:dyDescent="0.25">
      <c r="D374" s="6" t="s">
        <v>78</v>
      </c>
      <c r="E374" s="6" t="s">
        <v>381</v>
      </c>
      <c r="F374" s="6" t="s">
        <v>382</v>
      </c>
      <c r="G374" s="6" t="s">
        <v>353</v>
      </c>
      <c r="H374" s="6" t="s">
        <v>383</v>
      </c>
      <c r="P374" s="10" cm="1">
        <f t="array" ref="P374">BSHARE("chemicals_share",0,"Overall","p75")</f>
        <v>4.3536954317217038</v>
      </c>
    </row>
    <row r="375" spans="3:26" x14ac:dyDescent="0.25">
      <c r="D375" s="6" t="s">
        <v>78</v>
      </c>
      <c r="E375" s="6" t="s">
        <v>381</v>
      </c>
      <c r="F375" s="6" t="s">
        <v>145</v>
      </c>
      <c r="G375" s="6" t="s">
        <v>353</v>
      </c>
      <c r="H375" s="6" t="s">
        <v>383</v>
      </c>
      <c r="Q375" s="10" cm="1">
        <f t="array" ref="Q375:Z375">BSHARE("chemicals_share",DECILE_ARRAY,"Overall","p75")</f>
        <v>5.3629048948827229</v>
      </c>
      <c r="R375">
        <v>4.8565997858305749</v>
      </c>
      <c r="S375">
        <v>4.2307846685256081</v>
      </c>
      <c r="T375">
        <v>4.6483596051939706</v>
      </c>
      <c r="U375">
        <v>4.2536930186389261</v>
      </c>
      <c r="V375">
        <v>4.6388162453233939</v>
      </c>
      <c r="W375">
        <v>4.1288953842949478</v>
      </c>
      <c r="X375">
        <v>4.3472817601660214</v>
      </c>
      <c r="Y375">
        <v>4.2145253894123673</v>
      </c>
      <c r="Z375">
        <v>4.7183962767856729</v>
      </c>
    </row>
    <row r="376" spans="3:26" x14ac:dyDescent="0.25">
      <c r="D376" s="6" t="s">
        <v>78</v>
      </c>
      <c r="E376" s="6" t="s">
        <v>384</v>
      </c>
      <c r="F376" s="6" t="s">
        <v>382</v>
      </c>
      <c r="G376" s="6" t="s">
        <v>353</v>
      </c>
      <c r="H376" s="6" t="s">
        <v>383</v>
      </c>
      <c r="P376" s="10" cm="1">
        <f t="array" ref="P376">BSHARE("chemicals_share",0,"Urban","p75")</f>
        <v>4.5154900234173523</v>
      </c>
    </row>
    <row r="377" spans="3:26" x14ac:dyDescent="0.25">
      <c r="D377" s="6" t="s">
        <v>78</v>
      </c>
      <c r="E377" s="6" t="s">
        <v>384</v>
      </c>
      <c r="F377" s="6" t="s">
        <v>145</v>
      </c>
      <c r="G377" s="6" t="s">
        <v>353</v>
      </c>
      <c r="H377" s="6" t="s">
        <v>383</v>
      </c>
      <c r="Q377" s="10" cm="1">
        <f t="array" ref="Q377:Z377">BSHARE("chemicals_share",DECILE_ARRAY,"Urban","p75")</f>
        <v>4.6677806536956048</v>
      </c>
      <c r="R377">
        <v>4.6647367703679166</v>
      </c>
      <c r="S377">
        <v>4.4921214087288774</v>
      </c>
      <c r="T377">
        <v>4.7659514808041594</v>
      </c>
      <c r="U377">
        <v>4.7383960132888081</v>
      </c>
      <c r="V377">
        <v>4.6517256429197502</v>
      </c>
      <c r="W377">
        <v>4.5657592909171694</v>
      </c>
      <c r="X377">
        <v>4.5047555370126364</v>
      </c>
      <c r="Y377">
        <v>4.6325764321859841</v>
      </c>
      <c r="Z377">
        <v>4.7542187120560717</v>
      </c>
    </row>
    <row r="378" spans="3:26" x14ac:dyDescent="0.25">
      <c r="D378" s="6" t="s">
        <v>78</v>
      </c>
      <c r="E378" s="6" t="s">
        <v>385</v>
      </c>
      <c r="F378" s="6" t="s">
        <v>382</v>
      </c>
      <c r="G378" s="6" t="s">
        <v>353</v>
      </c>
      <c r="H378" s="6" t="s">
        <v>383</v>
      </c>
      <c r="P378" s="10" cm="1">
        <f t="array" ref="P378">BSHARE("chemicals_share",0,"Rural","p75")</f>
        <v>4.2764790357867151</v>
      </c>
    </row>
    <row r="379" spans="3:26" x14ac:dyDescent="0.25">
      <c r="D379" s="6" t="s">
        <v>78</v>
      </c>
      <c r="E379" s="6" t="s">
        <v>385</v>
      </c>
      <c r="F379" s="6" t="s">
        <v>145</v>
      </c>
      <c r="G379" s="6" t="s">
        <v>353</v>
      </c>
      <c r="H379" s="6" t="s">
        <v>383</v>
      </c>
      <c r="Q379" s="10" cm="1">
        <f t="array" ref="Q379:Z379">BSHARE("chemicals_share",DECILE_ARRAY,"Rural","p75")</f>
        <v>5.5478242675742893</v>
      </c>
      <c r="R379">
        <v>4.335839441147801</v>
      </c>
      <c r="S379">
        <v>4.3917776881046926</v>
      </c>
      <c r="T379">
        <v>4.307629497976035</v>
      </c>
      <c r="U379">
        <v>3.9279784329146019</v>
      </c>
      <c r="V379">
        <v>4.2038555542850444</v>
      </c>
      <c r="W379">
        <v>4.3681468790654732</v>
      </c>
      <c r="X379">
        <v>4.1783433963035499</v>
      </c>
      <c r="Y379">
        <v>4.1718027243377724</v>
      </c>
      <c r="Z379">
        <v>3.9149792596045132</v>
      </c>
    </row>
    <row r="381" spans="3:26" x14ac:dyDescent="0.25">
      <c r="C381" s="7" t="s">
        <v>403</v>
      </c>
      <c r="G381" s="6" t="s">
        <v>355</v>
      </c>
      <c r="O381" s="2" t="s">
        <v>331</v>
      </c>
      <c r="Q381" s="2">
        <v>1</v>
      </c>
      <c r="R381" s="2">
        <v>2</v>
      </c>
      <c r="S381" s="2">
        <v>3</v>
      </c>
      <c r="T381" s="2">
        <v>4</v>
      </c>
      <c r="U381" s="2">
        <v>5</v>
      </c>
      <c r="V381" s="2">
        <v>6</v>
      </c>
      <c r="W381" s="2">
        <v>7</v>
      </c>
      <c r="X381" s="2">
        <v>8</v>
      </c>
      <c r="Y381" s="2">
        <v>9</v>
      </c>
      <c r="Z381" s="2">
        <v>10</v>
      </c>
    </row>
    <row r="382" spans="3:26" x14ac:dyDescent="0.25">
      <c r="D382" s="6" t="s">
        <v>69</v>
      </c>
      <c r="E382" s="6" t="s">
        <v>381</v>
      </c>
      <c r="F382" s="6" t="s">
        <v>382</v>
      </c>
      <c r="G382" s="6" t="s">
        <v>355</v>
      </c>
      <c r="H382" s="6" t="s">
        <v>383</v>
      </c>
      <c r="P382" s="10" cm="1">
        <f t="array" ref="P382">BSHARE("clothing_share",0,"Overall","mean")</f>
        <v>5.8463571714084068</v>
      </c>
    </row>
    <row r="383" spans="3:26" x14ac:dyDescent="0.25">
      <c r="D383" s="6" t="s">
        <v>69</v>
      </c>
      <c r="E383" s="6" t="s">
        <v>381</v>
      </c>
      <c r="F383" s="6" t="s">
        <v>145</v>
      </c>
      <c r="G383" s="6" t="s">
        <v>355</v>
      </c>
      <c r="H383" s="6" t="s">
        <v>383</v>
      </c>
      <c r="Q383" s="10" cm="1">
        <f t="array" ref="Q383:Z383">BSHARE("clothing_share",DECILE_ARRAY,"Overall","mean")</f>
        <v>6.03280342997361</v>
      </c>
      <c r="R383">
        <v>5.5742860583927127</v>
      </c>
      <c r="S383">
        <v>6.4283544826696799</v>
      </c>
      <c r="T383">
        <v>5.7569793247372294</v>
      </c>
      <c r="U383">
        <v>6.0321479127935209</v>
      </c>
      <c r="V383">
        <v>5.7695608968175307</v>
      </c>
      <c r="W383">
        <v>6.0082030080480084</v>
      </c>
      <c r="X383">
        <v>5.1192584581713403</v>
      </c>
      <c r="Y383">
        <v>5.2064057075953301</v>
      </c>
      <c r="Z383">
        <v>4.2600047178674894</v>
      </c>
    </row>
    <row r="384" spans="3:26" x14ac:dyDescent="0.25">
      <c r="D384" s="6" t="s">
        <v>69</v>
      </c>
      <c r="E384" s="6" t="s">
        <v>384</v>
      </c>
      <c r="F384" s="6" t="s">
        <v>382</v>
      </c>
      <c r="G384" s="6" t="s">
        <v>355</v>
      </c>
      <c r="H384" s="6" t="s">
        <v>383</v>
      </c>
      <c r="P384" s="10" cm="1">
        <f t="array" ref="P384">BSHARE("clothing_share",0,"Urban","mean")</f>
        <v>5.1638461535446121</v>
      </c>
    </row>
    <row r="385" spans="4:26" x14ac:dyDescent="0.25">
      <c r="D385" s="6" t="s">
        <v>69</v>
      </c>
      <c r="E385" s="6" t="s">
        <v>384</v>
      </c>
      <c r="F385" s="6" t="s">
        <v>145</v>
      </c>
      <c r="G385" s="6" t="s">
        <v>355</v>
      </c>
      <c r="H385" s="6" t="s">
        <v>383</v>
      </c>
      <c r="Q385" s="10" cm="1">
        <f t="array" ref="Q385:Z385">BSHARE("clothing_share",DECILE_ARRAY,"Urban","mean")</f>
        <v>5.7505186540267923</v>
      </c>
      <c r="R385">
        <v>5.2808999183538479</v>
      </c>
      <c r="S385">
        <v>5.6717379251446776</v>
      </c>
      <c r="T385">
        <v>5.7484628262839941</v>
      </c>
      <c r="U385">
        <v>5.820476067832673</v>
      </c>
      <c r="V385">
        <v>5.4420761710771419</v>
      </c>
      <c r="W385">
        <v>5.4118811175568844</v>
      </c>
      <c r="X385">
        <v>5.0504046022150106</v>
      </c>
      <c r="Y385">
        <v>4.708279296828449</v>
      </c>
      <c r="Z385">
        <v>4.2706887333401884</v>
      </c>
    </row>
    <row r="386" spans="4:26" x14ac:dyDescent="0.25">
      <c r="D386" s="6" t="s">
        <v>69</v>
      </c>
      <c r="E386" s="6" t="s">
        <v>385</v>
      </c>
      <c r="F386" s="6" t="s">
        <v>382</v>
      </c>
      <c r="G386" s="6" t="s">
        <v>355</v>
      </c>
      <c r="H386" s="6" t="s">
        <v>383</v>
      </c>
      <c r="P386" s="10" cm="1">
        <f t="array" ref="P386">BSHARE("clothing_share",0,"Rural","mean")</f>
        <v>6.2120161722914311</v>
      </c>
    </row>
    <row r="387" spans="4:26" x14ac:dyDescent="0.25">
      <c r="D387" s="6" t="s">
        <v>69</v>
      </c>
      <c r="E387" s="6" t="s">
        <v>385</v>
      </c>
      <c r="F387" s="6" t="s">
        <v>145</v>
      </c>
      <c r="G387" s="6" t="s">
        <v>355</v>
      </c>
      <c r="H387" s="6" t="s">
        <v>383</v>
      </c>
      <c r="Q387" s="10" cm="1">
        <f t="array" ref="Q387:Z387">BSHARE("clothing_share",DECILE_ARRAY,"Rural","mean")</f>
        <v>5.7126673634628871</v>
      </c>
      <c r="R387">
        <v>5.6656417262762053</v>
      </c>
      <c r="S387">
        <v>6.0267477721351046</v>
      </c>
      <c r="T387">
        <v>6.4639719067969708</v>
      </c>
      <c r="U387">
        <v>6.5928918854235956</v>
      </c>
      <c r="V387">
        <v>6.7539252812460333</v>
      </c>
      <c r="W387">
        <v>6.6098806382427</v>
      </c>
      <c r="X387">
        <v>5.3772725494039051</v>
      </c>
      <c r="Y387">
        <v>5.2403223203868663</v>
      </c>
      <c r="Z387">
        <v>4.0541166254064231</v>
      </c>
    </row>
    <row r="388" spans="4:26" x14ac:dyDescent="0.25">
      <c r="D388" s="6" t="s">
        <v>72</v>
      </c>
      <c r="E388" s="6" t="s">
        <v>381</v>
      </c>
      <c r="F388" s="6" t="s">
        <v>382</v>
      </c>
      <c r="G388" s="6" t="s">
        <v>355</v>
      </c>
      <c r="H388" s="6" t="s">
        <v>383</v>
      </c>
      <c r="P388" s="10" cm="1">
        <f t="array" ref="P388">BSHARE("clothing_share",0,"Overall","median")</f>
        <v>4.903817988401169</v>
      </c>
    </row>
    <row r="389" spans="4:26" x14ac:dyDescent="0.25">
      <c r="D389" s="6" t="s">
        <v>72</v>
      </c>
      <c r="E389" s="6" t="s">
        <v>381</v>
      </c>
      <c r="F389" s="6" t="s">
        <v>145</v>
      </c>
      <c r="G389" s="6" t="s">
        <v>355</v>
      </c>
      <c r="H389" s="6" t="s">
        <v>383</v>
      </c>
      <c r="Q389" s="10" cm="1">
        <f t="array" ref="Q389:Z389">BSHARE("clothing_share",DECILE_ARRAY,"Overall","median")</f>
        <v>5.0155199806292474</v>
      </c>
      <c r="R389">
        <v>5.2953374378081559</v>
      </c>
      <c r="S389">
        <v>5.4236366215506919</v>
      </c>
      <c r="T389">
        <v>5.9265685690326002</v>
      </c>
      <c r="U389">
        <v>5.9789077866982838</v>
      </c>
      <c r="V389">
        <v>5.2915699211014031</v>
      </c>
      <c r="W389">
        <v>5.561657428763759</v>
      </c>
      <c r="X389">
        <v>4.3444050044647762</v>
      </c>
      <c r="Y389">
        <v>4.3061669839347916</v>
      </c>
      <c r="Z389">
        <v>3.3658000413652149</v>
      </c>
    </row>
    <row r="390" spans="4:26" x14ac:dyDescent="0.25">
      <c r="D390" s="6" t="s">
        <v>72</v>
      </c>
      <c r="E390" s="6" t="s">
        <v>384</v>
      </c>
      <c r="F390" s="6" t="s">
        <v>382</v>
      </c>
      <c r="G390" s="6" t="s">
        <v>355</v>
      </c>
      <c r="H390" s="6" t="s">
        <v>383</v>
      </c>
      <c r="P390" s="10" cm="1">
        <f t="array" ref="P390">BSHARE("clothing_share",0,"Urban","median")</f>
        <v>4.8073980840906252</v>
      </c>
    </row>
    <row r="391" spans="4:26" x14ac:dyDescent="0.25">
      <c r="D391" s="6" t="s">
        <v>72</v>
      </c>
      <c r="E391" s="6" t="s">
        <v>384</v>
      </c>
      <c r="F391" s="6" t="s">
        <v>145</v>
      </c>
      <c r="G391" s="6" t="s">
        <v>355</v>
      </c>
      <c r="H391" s="6" t="s">
        <v>383</v>
      </c>
      <c r="Q391" s="10" cm="1">
        <f t="array" ref="Q391:Z391">BSHARE("clothing_share",DECILE_ARRAY,"Urban","median")</f>
        <v>4.9848458271352207</v>
      </c>
      <c r="R391">
        <v>4.7995408506521269</v>
      </c>
      <c r="S391">
        <v>5.628634344415433</v>
      </c>
      <c r="T391">
        <v>5.2852364357919841</v>
      </c>
      <c r="U391">
        <v>5.1792756752554654</v>
      </c>
      <c r="V391">
        <v>4.7785298411338966</v>
      </c>
      <c r="W391">
        <v>4.7572072599254813</v>
      </c>
      <c r="X391">
        <v>4.7553673344968326</v>
      </c>
      <c r="Y391">
        <v>3.8338372363505449</v>
      </c>
      <c r="Z391">
        <v>3.6191963307364401</v>
      </c>
    </row>
    <row r="392" spans="4:26" x14ac:dyDescent="0.25">
      <c r="D392" s="6" t="s">
        <v>72</v>
      </c>
      <c r="E392" s="6" t="s">
        <v>385</v>
      </c>
      <c r="F392" s="6" t="s">
        <v>382</v>
      </c>
      <c r="G392" s="6" t="s">
        <v>355</v>
      </c>
      <c r="H392" s="6" t="s">
        <v>383</v>
      </c>
      <c r="P392" s="10" cm="1">
        <f t="array" ref="P392">BSHARE("clothing_share",0,"Rural","median")</f>
        <v>5.7909599602671618</v>
      </c>
    </row>
    <row r="393" spans="4:26" x14ac:dyDescent="0.25">
      <c r="D393" s="6" t="s">
        <v>72</v>
      </c>
      <c r="E393" s="6" t="s">
        <v>385</v>
      </c>
      <c r="F393" s="6" t="s">
        <v>145</v>
      </c>
      <c r="G393" s="6" t="s">
        <v>355</v>
      </c>
      <c r="H393" s="6" t="s">
        <v>383</v>
      </c>
      <c r="Q393" s="10" cm="1">
        <f t="array" ref="Q393:Z393">BSHARE("clothing_share",DECILE_ARRAY,"Rural","median")</f>
        <v>4.8324269112950624</v>
      </c>
      <c r="R393">
        <v>5.7229872434558731</v>
      </c>
      <c r="S393">
        <v>5.9136245808171957</v>
      </c>
      <c r="T393">
        <v>6.0694705732441943</v>
      </c>
      <c r="U393">
        <v>5.984431818873186</v>
      </c>
      <c r="V393">
        <v>5.7137690051266024</v>
      </c>
      <c r="W393">
        <v>5.918959368356564</v>
      </c>
      <c r="X393">
        <v>4.9266723504910708</v>
      </c>
      <c r="Y393">
        <v>4.7177199668955181</v>
      </c>
      <c r="Z393">
        <v>3.6126585598234899</v>
      </c>
    </row>
    <row r="394" spans="4:26" x14ac:dyDescent="0.25">
      <c r="D394" s="6" t="s">
        <v>75</v>
      </c>
      <c r="E394" s="6" t="s">
        <v>381</v>
      </c>
      <c r="F394" s="6" t="s">
        <v>382</v>
      </c>
      <c r="G394" s="6" t="s">
        <v>355</v>
      </c>
      <c r="H394" s="6" t="s">
        <v>383</v>
      </c>
      <c r="P394" s="10" cm="1">
        <f t="array" ref="P394">BSHARE("clothing_share",0,"Overall","p25")</f>
        <v>2.5692119141690841</v>
      </c>
    </row>
    <row r="395" spans="4:26" x14ac:dyDescent="0.25">
      <c r="D395" s="6" t="s">
        <v>75</v>
      </c>
      <c r="E395" s="6" t="s">
        <v>381</v>
      </c>
      <c r="F395" s="6" t="s">
        <v>145</v>
      </c>
      <c r="G395" s="6" t="s">
        <v>355</v>
      </c>
      <c r="H395" s="6" t="s">
        <v>383</v>
      </c>
      <c r="Q395" s="10" cm="1">
        <f t="array" ref="Q395:Z395">BSHARE("clothing_share",DECILE_ARRAY,"Overall","p25")</f>
        <v>2.8600644424968942</v>
      </c>
      <c r="R395">
        <v>3.3900216772396341</v>
      </c>
      <c r="S395">
        <v>3.3363360301246998</v>
      </c>
      <c r="T395">
        <v>3.6135884639669671</v>
      </c>
      <c r="U395">
        <v>3.637371652726018</v>
      </c>
      <c r="V395">
        <v>3.2057277003548319</v>
      </c>
      <c r="W395">
        <v>2.4549918986146508</v>
      </c>
      <c r="X395">
        <v>2.3724186804022951</v>
      </c>
      <c r="Y395">
        <v>1.815167523654305</v>
      </c>
      <c r="Z395">
        <v>1.2890866314664871</v>
      </c>
    </row>
    <row r="396" spans="4:26" x14ac:dyDescent="0.25">
      <c r="D396" s="6" t="s">
        <v>75</v>
      </c>
      <c r="E396" s="6" t="s">
        <v>384</v>
      </c>
      <c r="F396" s="6" t="s">
        <v>382</v>
      </c>
      <c r="G396" s="6" t="s">
        <v>355</v>
      </c>
      <c r="H396" s="6" t="s">
        <v>383</v>
      </c>
      <c r="P396" s="10" cm="1">
        <f t="array" ref="P396">BSHARE("clothing_share",0,"Urban","p25")</f>
        <v>2.3848232065406791</v>
      </c>
    </row>
    <row r="397" spans="4:26" x14ac:dyDescent="0.25">
      <c r="D397" s="6" t="s">
        <v>75</v>
      </c>
      <c r="E397" s="6" t="s">
        <v>384</v>
      </c>
      <c r="F397" s="6" t="s">
        <v>145</v>
      </c>
      <c r="G397" s="6" t="s">
        <v>355</v>
      </c>
      <c r="H397" s="6" t="s">
        <v>383</v>
      </c>
      <c r="Q397" s="10" cm="1">
        <f t="array" ref="Q397:Z397">BSHARE("clothing_share",DECILE_ARRAY,"Urban","p25")</f>
        <v>2.815716416832803</v>
      </c>
      <c r="R397">
        <v>3.057403388734615</v>
      </c>
      <c r="S397">
        <v>3.5947115050936862</v>
      </c>
      <c r="T397">
        <v>3.1041838725230639</v>
      </c>
      <c r="U397">
        <v>2.9826588066884749</v>
      </c>
      <c r="V397">
        <v>2.7218039470178619</v>
      </c>
      <c r="W397">
        <v>2.457495105809735</v>
      </c>
      <c r="X397">
        <v>2.3532220685982281</v>
      </c>
      <c r="Y397">
        <v>1.416924209340271</v>
      </c>
      <c r="Z397">
        <v>1.2081308077272199</v>
      </c>
    </row>
    <row r="398" spans="4:26" x14ac:dyDescent="0.25">
      <c r="D398" s="6" t="s">
        <v>75</v>
      </c>
      <c r="E398" s="6" t="s">
        <v>385</v>
      </c>
      <c r="F398" s="6" t="s">
        <v>382</v>
      </c>
      <c r="G398" s="6" t="s">
        <v>355</v>
      </c>
      <c r="H398" s="6" t="s">
        <v>383</v>
      </c>
      <c r="P398" s="10" cm="1">
        <f t="array" ref="P398">BSHARE("clothing_share",0,"Rural","p25")</f>
        <v>3.039766120611298</v>
      </c>
    </row>
    <row r="399" spans="4:26" x14ac:dyDescent="0.25">
      <c r="D399" s="6" t="s">
        <v>75</v>
      </c>
      <c r="E399" s="6" t="s">
        <v>385</v>
      </c>
      <c r="F399" s="6" t="s">
        <v>145</v>
      </c>
      <c r="G399" s="6" t="s">
        <v>355</v>
      </c>
      <c r="H399" s="6" t="s">
        <v>383</v>
      </c>
      <c r="Q399" s="10" cm="1">
        <f t="array" ref="Q399:Z399">BSHARE("clothing_share",DECILE_ARRAY,"Rural","p25")</f>
        <v>2.7501071211029409</v>
      </c>
      <c r="R399">
        <v>3.4514351870922839</v>
      </c>
      <c r="S399">
        <v>3.5403452556285591</v>
      </c>
      <c r="T399">
        <v>3.9745675111868932</v>
      </c>
      <c r="U399">
        <v>3.4671572836229489</v>
      </c>
      <c r="V399">
        <v>3.6031541750107849</v>
      </c>
      <c r="W399">
        <v>3.074801572902353</v>
      </c>
      <c r="X399">
        <v>2.5337497377108411</v>
      </c>
      <c r="Y399">
        <v>1.829824753152181</v>
      </c>
      <c r="Z399">
        <v>1.4777576968817761</v>
      </c>
    </row>
    <row r="400" spans="4:26" x14ac:dyDescent="0.25">
      <c r="D400" s="6" t="s">
        <v>78</v>
      </c>
      <c r="E400" s="6" t="s">
        <v>381</v>
      </c>
      <c r="F400" s="6" t="s">
        <v>382</v>
      </c>
      <c r="G400" s="6" t="s">
        <v>355</v>
      </c>
      <c r="H400" s="6" t="s">
        <v>383</v>
      </c>
      <c r="P400" s="10" cm="1">
        <f t="array" ref="P400">BSHARE("clothing_share",0,"Overall","p75")</f>
        <v>8.3517567855675399</v>
      </c>
    </row>
    <row r="401" spans="3:26" x14ac:dyDescent="0.25">
      <c r="D401" s="6" t="s">
        <v>78</v>
      </c>
      <c r="E401" s="6" t="s">
        <v>381</v>
      </c>
      <c r="F401" s="6" t="s">
        <v>145</v>
      </c>
      <c r="G401" s="6" t="s">
        <v>355</v>
      </c>
      <c r="H401" s="6" t="s">
        <v>383</v>
      </c>
      <c r="Q401" s="10" cm="1">
        <f t="array" ref="Q401:Z401">BSHARE("clothing_share",DECILE_ARRAY,"Overall","p75")</f>
        <v>7.9892430884883083</v>
      </c>
      <c r="R401">
        <v>8.5734310871629997</v>
      </c>
      <c r="S401">
        <v>8.6965726125553857</v>
      </c>
      <c r="T401">
        <v>8.3857617568974945</v>
      </c>
      <c r="U401">
        <v>8.7194476961729848</v>
      </c>
      <c r="V401">
        <v>7.9905354759782412</v>
      </c>
      <c r="W401">
        <v>8.0772217094922905</v>
      </c>
      <c r="X401">
        <v>7.4160622938570757</v>
      </c>
      <c r="Y401">
        <v>7.1205343213921131</v>
      </c>
      <c r="Z401">
        <v>6.0744045279084302</v>
      </c>
    </row>
    <row r="402" spans="3:26" x14ac:dyDescent="0.25">
      <c r="D402" s="6" t="s">
        <v>78</v>
      </c>
      <c r="E402" s="6" t="s">
        <v>384</v>
      </c>
      <c r="F402" s="6" t="s">
        <v>382</v>
      </c>
      <c r="G402" s="6" t="s">
        <v>355</v>
      </c>
      <c r="H402" s="6" t="s">
        <v>383</v>
      </c>
      <c r="P402" s="10" cm="1">
        <f t="array" ref="P402">BSHARE("clothing_share",0,"Urban","p75")</f>
        <v>7.5412824598598212</v>
      </c>
    </row>
    <row r="403" spans="3:26" x14ac:dyDescent="0.25">
      <c r="D403" s="6" t="s">
        <v>78</v>
      </c>
      <c r="E403" s="6" t="s">
        <v>384</v>
      </c>
      <c r="F403" s="6" t="s">
        <v>145</v>
      </c>
      <c r="G403" s="6" t="s">
        <v>355</v>
      </c>
      <c r="H403" s="6" t="s">
        <v>383</v>
      </c>
      <c r="Q403" s="10" cm="1">
        <f t="array" ref="Q403:Z403">BSHARE("clothing_share",DECILE_ARRAY,"Urban","p75")</f>
        <v>7.1611138409744806</v>
      </c>
      <c r="R403">
        <v>7.9843842057980448</v>
      </c>
      <c r="S403">
        <v>7.8215067575232684</v>
      </c>
      <c r="T403">
        <v>8.0123475846792136</v>
      </c>
      <c r="U403">
        <v>8.2052706119846945</v>
      </c>
      <c r="V403">
        <v>6.8413462420018201</v>
      </c>
      <c r="W403">
        <v>7.3153238398379292</v>
      </c>
      <c r="X403">
        <v>7.4267975259232344</v>
      </c>
      <c r="Y403">
        <v>6.5026629577750832</v>
      </c>
      <c r="Z403">
        <v>6.5950636386851684</v>
      </c>
    </row>
    <row r="404" spans="3:26" x14ac:dyDescent="0.25">
      <c r="D404" s="6" t="s">
        <v>78</v>
      </c>
      <c r="E404" s="6" t="s">
        <v>385</v>
      </c>
      <c r="F404" s="6" t="s">
        <v>382</v>
      </c>
      <c r="G404" s="6" t="s">
        <v>355</v>
      </c>
      <c r="H404" s="6" t="s">
        <v>383</v>
      </c>
      <c r="P404" s="10" cm="1">
        <f t="array" ref="P404">BSHARE("clothing_share",0,"Rural","p75")</f>
        <v>8.3003387837437472</v>
      </c>
    </row>
    <row r="405" spans="3:26" x14ac:dyDescent="0.25">
      <c r="D405" s="6" t="s">
        <v>78</v>
      </c>
      <c r="E405" s="6" t="s">
        <v>385</v>
      </c>
      <c r="F405" s="6" t="s">
        <v>145</v>
      </c>
      <c r="G405" s="6" t="s">
        <v>355</v>
      </c>
      <c r="H405" s="6" t="s">
        <v>383</v>
      </c>
      <c r="Q405" s="10" cm="1">
        <f t="array" ref="Q405:Z405">BSHARE("clothing_share",DECILE_ARRAY,"Rural","p75")</f>
        <v>7.7805692515269609</v>
      </c>
      <c r="R405">
        <v>8.1861094427974148</v>
      </c>
      <c r="S405">
        <v>8.8698982781921547</v>
      </c>
      <c r="T405">
        <v>8.6344626670675453</v>
      </c>
      <c r="U405">
        <v>8.4149882963130516</v>
      </c>
      <c r="V405">
        <v>9.3334072213967776</v>
      </c>
      <c r="W405">
        <v>9.1888693307840281</v>
      </c>
      <c r="X405">
        <v>7.9617455518745412</v>
      </c>
      <c r="Y405">
        <v>7.6027102015316466</v>
      </c>
      <c r="Z405">
        <v>6.7656937552006173</v>
      </c>
    </row>
    <row r="407" spans="3:26" x14ac:dyDescent="0.25">
      <c r="C407" s="7" t="s">
        <v>404</v>
      </c>
      <c r="G407" s="6" t="s">
        <v>357</v>
      </c>
      <c r="O407" s="2" t="s">
        <v>331</v>
      </c>
      <c r="Q407" s="2">
        <v>1</v>
      </c>
      <c r="R407" s="2">
        <v>2</v>
      </c>
      <c r="S407" s="2">
        <v>3</v>
      </c>
      <c r="T407" s="2">
        <v>4</v>
      </c>
      <c r="U407" s="2">
        <v>5</v>
      </c>
      <c r="V407" s="2">
        <v>6</v>
      </c>
      <c r="W407" s="2">
        <v>7</v>
      </c>
      <c r="X407" s="2">
        <v>8</v>
      </c>
      <c r="Y407" s="2">
        <v>9</v>
      </c>
      <c r="Z407" s="2">
        <v>10</v>
      </c>
    </row>
    <row r="408" spans="3:26" x14ac:dyDescent="0.25">
      <c r="D408" s="6" t="s">
        <v>69</v>
      </c>
      <c r="E408" s="6" t="s">
        <v>381</v>
      </c>
      <c r="F408" s="6" t="s">
        <v>382</v>
      </c>
      <c r="G408" s="6" t="s">
        <v>357</v>
      </c>
      <c r="H408" s="6" t="s">
        <v>383</v>
      </c>
      <c r="P408" s="10" cm="1">
        <f t="array" ref="P408">BSHARE("communications_share",0,"Overall","mean")</f>
        <v>2.5602797641409532</v>
      </c>
    </row>
    <row r="409" spans="3:26" x14ac:dyDescent="0.25">
      <c r="D409" s="6" t="s">
        <v>69</v>
      </c>
      <c r="E409" s="6" t="s">
        <v>381</v>
      </c>
      <c r="F409" s="6" t="s">
        <v>145</v>
      </c>
      <c r="G409" s="6" t="s">
        <v>357</v>
      </c>
      <c r="H409" s="6" t="s">
        <v>383</v>
      </c>
      <c r="Q409" s="10" cm="1">
        <f t="array" ref="Q409:Z409">BSHARE("communications_share",DECILE_ARRAY,"Overall","mean")</f>
        <v>2.1787047637257619</v>
      </c>
      <c r="R409">
        <v>2.327584240215824</v>
      </c>
      <c r="S409">
        <v>2.3760223663133728</v>
      </c>
      <c r="T409">
        <v>2.820105096499784</v>
      </c>
      <c r="U409">
        <v>2.8500791282274029</v>
      </c>
      <c r="V409">
        <v>2.9033394679365219</v>
      </c>
      <c r="W409">
        <v>2.8037701774832779</v>
      </c>
      <c r="X409">
        <v>2.9342905197078442</v>
      </c>
      <c r="Y409">
        <v>3.320145132218661</v>
      </c>
      <c r="Z409">
        <v>3.340869375385191</v>
      </c>
    </row>
    <row r="410" spans="3:26" x14ac:dyDescent="0.25">
      <c r="D410" s="6" t="s">
        <v>69</v>
      </c>
      <c r="E410" s="6" t="s">
        <v>384</v>
      </c>
      <c r="F410" s="6" t="s">
        <v>382</v>
      </c>
      <c r="G410" s="6" t="s">
        <v>357</v>
      </c>
      <c r="H410" s="6" t="s">
        <v>383</v>
      </c>
      <c r="P410" s="10" cm="1">
        <f t="array" ref="P410">BSHARE("communications_share",0,"Urban","mean")</f>
        <v>3.3217664675514338</v>
      </c>
    </row>
    <row r="411" spans="3:26" x14ac:dyDescent="0.25">
      <c r="D411" s="6" t="s">
        <v>69</v>
      </c>
      <c r="E411" s="6" t="s">
        <v>384</v>
      </c>
      <c r="F411" s="6" t="s">
        <v>145</v>
      </c>
      <c r="G411" s="6" t="s">
        <v>357</v>
      </c>
      <c r="H411" s="6" t="s">
        <v>383</v>
      </c>
      <c r="Q411" s="10" cm="1">
        <f t="array" ref="Q411:Z411">BSHARE("communications_share",DECILE_ARRAY,"Urban","mean")</f>
        <v>2.84214683039544</v>
      </c>
      <c r="R411">
        <v>2.9970476425745711</v>
      </c>
      <c r="S411">
        <v>3.2910235649278108</v>
      </c>
      <c r="T411">
        <v>3.5743658221320369</v>
      </c>
      <c r="U411">
        <v>3.2944108060874409</v>
      </c>
      <c r="V411">
        <v>3.375000477552399</v>
      </c>
      <c r="W411">
        <v>3.4753993065040469</v>
      </c>
      <c r="X411">
        <v>3.828739259506976</v>
      </c>
      <c r="Y411">
        <v>3.4075041532736901</v>
      </c>
      <c r="Z411">
        <v>3.5036110586324161</v>
      </c>
    </row>
    <row r="412" spans="3:26" x14ac:dyDescent="0.25">
      <c r="D412" s="6" t="s">
        <v>69</v>
      </c>
      <c r="E412" s="6" t="s">
        <v>385</v>
      </c>
      <c r="F412" s="6" t="s">
        <v>382</v>
      </c>
      <c r="G412" s="6" t="s">
        <v>357</v>
      </c>
      <c r="H412" s="6" t="s">
        <v>383</v>
      </c>
      <c r="P412" s="10" cm="1">
        <f t="array" ref="P412">BSHARE("communications_share",0,"Rural","mean")</f>
        <v>2.3453453617230888</v>
      </c>
    </row>
    <row r="413" spans="3:26" x14ac:dyDescent="0.25">
      <c r="D413" s="6" t="s">
        <v>69</v>
      </c>
      <c r="E413" s="6" t="s">
        <v>385</v>
      </c>
      <c r="F413" s="6" t="s">
        <v>145</v>
      </c>
      <c r="G413" s="6" t="s">
        <v>357</v>
      </c>
      <c r="H413" s="6" t="s">
        <v>383</v>
      </c>
      <c r="Q413" s="10" cm="1">
        <f t="array" ref="Q413:Z413">BSHARE("communications_share",DECILE_ARRAY,"Rural","mean")</f>
        <v>2.0486234975073119</v>
      </c>
      <c r="R413">
        <v>1.9039959047295381</v>
      </c>
      <c r="S413">
        <v>2.318713438994612</v>
      </c>
      <c r="T413">
        <v>2.2952059535022231</v>
      </c>
      <c r="U413">
        <v>2.3085003792086738</v>
      </c>
      <c r="V413">
        <v>2.376135531552821</v>
      </c>
      <c r="W413">
        <v>2.337554908235274</v>
      </c>
      <c r="X413">
        <v>2.3464576847844869</v>
      </c>
      <c r="Y413">
        <v>2.2008828497049162</v>
      </c>
      <c r="Z413">
        <v>2.1753974214247731</v>
      </c>
    </row>
    <row r="414" spans="3:26" x14ac:dyDescent="0.25">
      <c r="D414" s="6" t="s">
        <v>72</v>
      </c>
      <c r="E414" s="6" t="s">
        <v>381</v>
      </c>
      <c r="F414" s="6" t="s">
        <v>382</v>
      </c>
      <c r="G414" s="6" t="s">
        <v>357</v>
      </c>
      <c r="H414" s="6" t="s">
        <v>383</v>
      </c>
      <c r="P414" s="10" cm="1">
        <f t="array" ref="P414">BSHARE("communications_share",0,"Overall","median")</f>
        <v>2.3052878192689188</v>
      </c>
    </row>
    <row r="415" spans="3:26" x14ac:dyDescent="0.25">
      <c r="D415" s="6" t="s">
        <v>72</v>
      </c>
      <c r="E415" s="6" t="s">
        <v>381</v>
      </c>
      <c r="F415" s="6" t="s">
        <v>145</v>
      </c>
      <c r="G415" s="6" t="s">
        <v>357</v>
      </c>
      <c r="H415" s="6" t="s">
        <v>383</v>
      </c>
      <c r="Q415" s="10" cm="1">
        <f t="array" ref="Q415:Z415">BSHARE("communications_share",DECILE_ARRAY,"Overall","median")</f>
        <v>1.874106297950767</v>
      </c>
      <c r="R415">
        <v>1.831660826490271</v>
      </c>
      <c r="S415">
        <v>2.099565772181581</v>
      </c>
      <c r="T415">
        <v>2.200315166304661</v>
      </c>
      <c r="U415">
        <v>2.499167100025327</v>
      </c>
      <c r="V415">
        <v>2.379357637914802</v>
      </c>
      <c r="W415">
        <v>2.5421287714365262</v>
      </c>
      <c r="X415">
        <v>2.672157038815326</v>
      </c>
      <c r="Y415">
        <v>2.4793859403587182</v>
      </c>
      <c r="Z415">
        <v>2.657318174602826</v>
      </c>
    </row>
    <row r="416" spans="3:26" x14ac:dyDescent="0.25">
      <c r="D416" s="6" t="s">
        <v>72</v>
      </c>
      <c r="E416" s="6" t="s">
        <v>384</v>
      </c>
      <c r="F416" s="6" t="s">
        <v>382</v>
      </c>
      <c r="G416" s="6" t="s">
        <v>357</v>
      </c>
      <c r="H416" s="6" t="s">
        <v>383</v>
      </c>
      <c r="P416" s="10" cm="1">
        <f t="array" ref="P416">BSHARE("communications_share",0,"Urban","median")</f>
        <v>2.8837635273408511</v>
      </c>
    </row>
    <row r="417" spans="4:26" x14ac:dyDescent="0.25">
      <c r="D417" s="6" t="s">
        <v>72</v>
      </c>
      <c r="E417" s="6" t="s">
        <v>384</v>
      </c>
      <c r="F417" s="6" t="s">
        <v>145</v>
      </c>
      <c r="G417" s="6" t="s">
        <v>357</v>
      </c>
      <c r="H417" s="6" t="s">
        <v>383</v>
      </c>
      <c r="Q417" s="10" cm="1">
        <f t="array" ref="Q417:Z417">BSHARE("communications_share",DECILE_ARRAY,"Urban","median")</f>
        <v>2.2619812911587038</v>
      </c>
      <c r="R417">
        <v>2.481678092332813</v>
      </c>
      <c r="S417">
        <v>2.525181053833554</v>
      </c>
      <c r="T417">
        <v>2.856467647857611</v>
      </c>
      <c r="U417">
        <v>2.9988994811585581</v>
      </c>
      <c r="V417">
        <v>3.1917088724663492</v>
      </c>
      <c r="W417">
        <v>3.529353272083509</v>
      </c>
      <c r="X417">
        <v>3.361963673845767</v>
      </c>
      <c r="Y417">
        <v>3.3988917339685329</v>
      </c>
      <c r="Z417">
        <v>3.273835876624811</v>
      </c>
    </row>
    <row r="418" spans="4:26" x14ac:dyDescent="0.25">
      <c r="D418" s="6" t="s">
        <v>72</v>
      </c>
      <c r="E418" s="6" t="s">
        <v>385</v>
      </c>
      <c r="F418" s="6" t="s">
        <v>382</v>
      </c>
      <c r="G418" s="6" t="s">
        <v>357</v>
      </c>
      <c r="H418" s="6" t="s">
        <v>383</v>
      </c>
      <c r="P418" s="10" cm="1">
        <f t="array" ref="P418">BSHARE("communications_share",0,"Rural","median")</f>
        <v>1.9861280288092871</v>
      </c>
    </row>
    <row r="419" spans="4:26" x14ac:dyDescent="0.25">
      <c r="D419" s="6" t="s">
        <v>72</v>
      </c>
      <c r="E419" s="6" t="s">
        <v>385</v>
      </c>
      <c r="F419" s="6" t="s">
        <v>145</v>
      </c>
      <c r="G419" s="6" t="s">
        <v>357</v>
      </c>
      <c r="H419" s="6" t="s">
        <v>383</v>
      </c>
      <c r="Q419" s="10" cm="1">
        <f t="array" ref="Q419:Z419">BSHARE("communications_share",DECILE_ARRAY,"Rural","median")</f>
        <v>1.5958404602891409</v>
      </c>
      <c r="R419">
        <v>1.7180167594331111</v>
      </c>
      <c r="S419">
        <v>1.9410183413969291</v>
      </c>
      <c r="T419">
        <v>1.8206127679368691</v>
      </c>
      <c r="U419">
        <v>1.871240806230035</v>
      </c>
      <c r="V419">
        <v>2.1803771040423361</v>
      </c>
      <c r="W419">
        <v>2.113945535686113</v>
      </c>
      <c r="X419">
        <v>2.0034653095537021</v>
      </c>
      <c r="Y419">
        <v>2.102704831937519</v>
      </c>
      <c r="Z419">
        <v>1.77032147149633</v>
      </c>
    </row>
    <row r="420" spans="4:26" x14ac:dyDescent="0.25">
      <c r="D420" s="6" t="s">
        <v>75</v>
      </c>
      <c r="E420" s="6" t="s">
        <v>381</v>
      </c>
      <c r="F420" s="6" t="s">
        <v>382</v>
      </c>
      <c r="G420" s="6" t="s">
        <v>357</v>
      </c>
      <c r="H420" s="6" t="s">
        <v>383</v>
      </c>
      <c r="P420" s="10" cm="1">
        <f t="array" ref="P420">BSHARE("communications_share",0,"Overall","p25")</f>
        <v>1.320629697802455</v>
      </c>
    </row>
    <row r="421" spans="4:26" x14ac:dyDescent="0.25">
      <c r="D421" s="6" t="s">
        <v>75</v>
      </c>
      <c r="E421" s="6" t="s">
        <v>381</v>
      </c>
      <c r="F421" s="6" t="s">
        <v>145</v>
      </c>
      <c r="G421" s="6" t="s">
        <v>357</v>
      </c>
      <c r="H421" s="6" t="s">
        <v>383</v>
      </c>
      <c r="Q421" s="10" cm="1">
        <f t="array" ref="Q421:Z421">BSHARE("communications_share",DECILE_ARRAY,"Overall","p25")</f>
        <v>1.193265021443316</v>
      </c>
      <c r="R421">
        <v>1.335838354155191</v>
      </c>
      <c r="S421">
        <v>1.3077583625320739</v>
      </c>
      <c r="T421">
        <v>1.3301870218285849</v>
      </c>
      <c r="U421">
        <v>1.4010805969457061</v>
      </c>
      <c r="V421">
        <v>1.5037038990377629</v>
      </c>
      <c r="W421">
        <v>1.680377022768585</v>
      </c>
      <c r="X421">
        <v>1.615809081883478</v>
      </c>
      <c r="Y421">
        <v>1.402925274199577</v>
      </c>
      <c r="Z421">
        <v>1.481980321538426</v>
      </c>
    </row>
    <row r="422" spans="4:26" x14ac:dyDescent="0.25">
      <c r="D422" s="6" t="s">
        <v>75</v>
      </c>
      <c r="E422" s="6" t="s">
        <v>384</v>
      </c>
      <c r="F422" s="6" t="s">
        <v>382</v>
      </c>
      <c r="G422" s="6" t="s">
        <v>357</v>
      </c>
      <c r="H422" s="6" t="s">
        <v>383</v>
      </c>
      <c r="P422" s="10" cm="1">
        <f t="array" ref="P422">BSHARE("communications_share",0,"Urban","p25")</f>
        <v>1.638988607515049</v>
      </c>
    </row>
    <row r="423" spans="4:26" x14ac:dyDescent="0.25">
      <c r="D423" s="6" t="s">
        <v>75</v>
      </c>
      <c r="E423" s="6" t="s">
        <v>384</v>
      </c>
      <c r="F423" s="6" t="s">
        <v>145</v>
      </c>
      <c r="G423" s="6" t="s">
        <v>357</v>
      </c>
      <c r="H423" s="6" t="s">
        <v>383</v>
      </c>
      <c r="Q423" s="10" cm="1">
        <f t="array" ref="Q423:Z423">BSHARE("communications_share",DECILE_ARRAY,"Urban","p25")</f>
        <v>1.3584689566600141</v>
      </c>
      <c r="R423">
        <v>1.7031916741175179</v>
      </c>
      <c r="S423">
        <v>1.593231658302154</v>
      </c>
      <c r="T423">
        <v>1.7718168634604909</v>
      </c>
      <c r="U423">
        <v>1.857636932329372</v>
      </c>
      <c r="V423">
        <v>2.1544010455760261</v>
      </c>
      <c r="W423">
        <v>1.868693744020379</v>
      </c>
      <c r="X423">
        <v>2.1175682193154639</v>
      </c>
      <c r="Y423">
        <v>1.844298288344586</v>
      </c>
      <c r="Z423">
        <v>1.770019778018046</v>
      </c>
    </row>
    <row r="424" spans="4:26" x14ac:dyDescent="0.25">
      <c r="D424" s="6" t="s">
        <v>75</v>
      </c>
      <c r="E424" s="6" t="s">
        <v>385</v>
      </c>
      <c r="F424" s="6" t="s">
        <v>382</v>
      </c>
      <c r="G424" s="6" t="s">
        <v>357</v>
      </c>
      <c r="H424" s="6" t="s">
        <v>383</v>
      </c>
      <c r="P424" s="10" cm="1">
        <f t="array" ref="P424">BSHARE("communications_share",0,"Rural","p25")</f>
        <v>1.302738241324348</v>
      </c>
    </row>
    <row r="425" spans="4:26" x14ac:dyDescent="0.25">
      <c r="D425" s="6" t="s">
        <v>75</v>
      </c>
      <c r="E425" s="6" t="s">
        <v>385</v>
      </c>
      <c r="F425" s="6" t="s">
        <v>145</v>
      </c>
      <c r="G425" s="6" t="s">
        <v>357</v>
      </c>
      <c r="H425" s="6" t="s">
        <v>383</v>
      </c>
      <c r="Q425" s="10" cm="1">
        <f t="array" ref="Q425:Z425">BSHARE("communications_share",DECILE_ARRAY,"Rural","p25")</f>
        <v>1.151228200507409</v>
      </c>
      <c r="R425">
        <v>1.093891228437939</v>
      </c>
      <c r="S425">
        <v>1.3644030153086</v>
      </c>
      <c r="T425">
        <v>1.3196158236090429</v>
      </c>
      <c r="U425">
        <v>1.196740167254031</v>
      </c>
      <c r="V425">
        <v>1.347055785448245</v>
      </c>
      <c r="W425">
        <v>1.3412244505534181</v>
      </c>
      <c r="X425">
        <v>1.2226415151753689</v>
      </c>
      <c r="Y425">
        <v>1.1712624382939909</v>
      </c>
      <c r="Z425">
        <v>0.8254660661598977</v>
      </c>
    </row>
    <row r="426" spans="4:26" x14ac:dyDescent="0.25">
      <c r="D426" s="6" t="s">
        <v>78</v>
      </c>
      <c r="E426" s="6" t="s">
        <v>381</v>
      </c>
      <c r="F426" s="6" t="s">
        <v>382</v>
      </c>
      <c r="G426" s="6" t="s">
        <v>357</v>
      </c>
      <c r="H426" s="6" t="s">
        <v>383</v>
      </c>
      <c r="P426" s="10" cm="1">
        <f t="array" ref="P426">BSHARE("communications_share",0,"Overall","p75")</f>
        <v>3.775239723477994</v>
      </c>
    </row>
    <row r="427" spans="4:26" x14ac:dyDescent="0.25">
      <c r="D427" s="6" t="s">
        <v>78</v>
      </c>
      <c r="E427" s="6" t="s">
        <v>381</v>
      </c>
      <c r="F427" s="6" t="s">
        <v>145</v>
      </c>
      <c r="G427" s="6" t="s">
        <v>357</v>
      </c>
      <c r="H427" s="6" t="s">
        <v>383</v>
      </c>
      <c r="Q427" s="10" cm="1">
        <f t="array" ref="Q427:Z427">BSHARE("communications_share",DECILE_ARRAY,"Overall","p75")</f>
        <v>2.8659304379021622</v>
      </c>
      <c r="R427">
        <v>2.8897565119470841</v>
      </c>
      <c r="S427">
        <v>3.0530414019896668</v>
      </c>
      <c r="T427">
        <v>3.3484592365201409</v>
      </c>
      <c r="U427">
        <v>3.8665093074134829</v>
      </c>
      <c r="V427">
        <v>3.852333722556093</v>
      </c>
      <c r="W427">
        <v>3.8806684464547589</v>
      </c>
      <c r="X427">
        <v>4.431949806743237</v>
      </c>
      <c r="Y427">
        <v>4.3404231480157982</v>
      </c>
      <c r="Z427">
        <v>4.2858807943569817</v>
      </c>
    </row>
    <row r="428" spans="4:26" x14ac:dyDescent="0.25">
      <c r="D428" s="6" t="s">
        <v>78</v>
      </c>
      <c r="E428" s="6" t="s">
        <v>384</v>
      </c>
      <c r="F428" s="6" t="s">
        <v>382</v>
      </c>
      <c r="G428" s="6" t="s">
        <v>357</v>
      </c>
      <c r="H428" s="6" t="s">
        <v>383</v>
      </c>
      <c r="P428" s="10" cm="1">
        <f t="array" ref="P428">BSHARE("communications_share",0,"Urban","p75")</f>
        <v>4.7412333639819169</v>
      </c>
    </row>
    <row r="429" spans="4:26" x14ac:dyDescent="0.25">
      <c r="D429" s="6" t="s">
        <v>78</v>
      </c>
      <c r="E429" s="6" t="s">
        <v>384</v>
      </c>
      <c r="F429" s="6" t="s">
        <v>145</v>
      </c>
      <c r="G429" s="6" t="s">
        <v>357</v>
      </c>
      <c r="H429" s="6" t="s">
        <v>383</v>
      </c>
      <c r="Q429" s="10" cm="1">
        <f t="array" ref="Q429:Z429">BSHARE("communications_share",DECILE_ARRAY,"Urban","p75")</f>
        <v>3.4658503328073471</v>
      </c>
      <c r="R429">
        <v>3.971165012859839</v>
      </c>
      <c r="S429">
        <v>4.1458217935089987</v>
      </c>
      <c r="T429">
        <v>4.0956206894816436</v>
      </c>
      <c r="U429">
        <v>4.666943923584097</v>
      </c>
      <c r="V429">
        <v>4.7237129650993959</v>
      </c>
      <c r="W429">
        <v>4.9370473039604796</v>
      </c>
      <c r="X429">
        <v>4.9098278766155747</v>
      </c>
      <c r="Y429">
        <v>4.7023655853761133</v>
      </c>
      <c r="Z429">
        <v>5.0431136199497661</v>
      </c>
    </row>
    <row r="430" spans="4:26" x14ac:dyDescent="0.25">
      <c r="D430" s="6" t="s">
        <v>78</v>
      </c>
      <c r="E430" s="6" t="s">
        <v>385</v>
      </c>
      <c r="F430" s="6" t="s">
        <v>382</v>
      </c>
      <c r="G430" s="6" t="s">
        <v>357</v>
      </c>
      <c r="H430" s="6" t="s">
        <v>383</v>
      </c>
      <c r="P430" s="10" cm="1">
        <f t="array" ref="P430">BSHARE("communications_share",0,"Rural","p75")</f>
        <v>2.9763160216607099</v>
      </c>
    </row>
    <row r="431" spans="4:26" x14ac:dyDescent="0.25">
      <c r="D431" s="6" t="s">
        <v>78</v>
      </c>
      <c r="E431" s="6" t="s">
        <v>385</v>
      </c>
      <c r="F431" s="6" t="s">
        <v>145</v>
      </c>
      <c r="G431" s="6" t="s">
        <v>357</v>
      </c>
      <c r="H431" s="6" t="s">
        <v>383</v>
      </c>
      <c r="Q431" s="10" cm="1">
        <f t="array" ref="Q431:Z431">BSHARE("communications_share",DECILE_ARRAY,"Rural","p75")</f>
        <v>2.3132025319821339</v>
      </c>
      <c r="R431">
        <v>2.701379974009424</v>
      </c>
      <c r="S431">
        <v>2.6115784910494981</v>
      </c>
      <c r="T431">
        <v>2.9484269634431892</v>
      </c>
      <c r="U431">
        <v>2.9851157238882959</v>
      </c>
      <c r="V431">
        <v>2.941375373778401</v>
      </c>
      <c r="W431">
        <v>3.219909959836345</v>
      </c>
      <c r="X431">
        <v>3.4543822303456109</v>
      </c>
      <c r="Y431">
        <v>3.0073050684029501</v>
      </c>
      <c r="Z431">
        <v>3.1269709770583538</v>
      </c>
    </row>
    <row r="433" spans="3:26" x14ac:dyDescent="0.25">
      <c r="C433" s="7" t="s">
        <v>405</v>
      </c>
      <c r="G433" s="6" t="s">
        <v>359</v>
      </c>
      <c r="O433" s="2" t="s">
        <v>331</v>
      </c>
      <c r="Q433" s="2">
        <v>1</v>
      </c>
      <c r="R433" s="2">
        <v>2</v>
      </c>
      <c r="S433" s="2">
        <v>3</v>
      </c>
      <c r="T433" s="2">
        <v>4</v>
      </c>
      <c r="U433" s="2">
        <v>5</v>
      </c>
      <c r="V433" s="2">
        <v>6</v>
      </c>
      <c r="W433" s="2">
        <v>7</v>
      </c>
      <c r="X433" s="2">
        <v>8</v>
      </c>
      <c r="Y433" s="2">
        <v>9</v>
      </c>
      <c r="Z433" s="2">
        <v>10</v>
      </c>
    </row>
    <row r="434" spans="3:26" x14ac:dyDescent="0.25">
      <c r="D434" s="6" t="s">
        <v>69</v>
      </c>
      <c r="E434" s="6" t="s">
        <v>381</v>
      </c>
      <c r="F434" s="6" t="s">
        <v>382</v>
      </c>
      <c r="G434" s="6" t="s">
        <v>359</v>
      </c>
      <c r="H434" s="6" t="s">
        <v>383</v>
      </c>
      <c r="P434" s="10" cm="1">
        <f t="array" ref="P434">BSHARE("education_share",0,"Overall","mean")</f>
        <v>3.554916441584782</v>
      </c>
    </row>
    <row r="435" spans="3:26" x14ac:dyDescent="0.25">
      <c r="D435" s="6" t="s">
        <v>69</v>
      </c>
      <c r="E435" s="6" t="s">
        <v>381</v>
      </c>
      <c r="F435" s="6" t="s">
        <v>145</v>
      </c>
      <c r="G435" s="6" t="s">
        <v>359</v>
      </c>
      <c r="H435" s="6" t="s">
        <v>383</v>
      </c>
      <c r="Q435" s="10" cm="1">
        <f t="array" ref="Q435:Z435">BSHARE("education_share",DECILE_ARRAY,"Overall","mean")</f>
        <v>2.9466970268242312</v>
      </c>
      <c r="R435">
        <v>3.959406622839178</v>
      </c>
      <c r="S435">
        <v>4.2137165376636307</v>
      </c>
      <c r="T435">
        <v>4.0927717153074159</v>
      </c>
      <c r="U435">
        <v>4.5734112822224393</v>
      </c>
      <c r="V435">
        <v>4.2454027356470299</v>
      </c>
      <c r="W435">
        <v>4.3667317968345554</v>
      </c>
      <c r="X435">
        <v>3.701719314676974</v>
      </c>
      <c r="Y435">
        <v>2.722517763251207</v>
      </c>
      <c r="Z435">
        <v>1.488474433159424</v>
      </c>
    </row>
    <row r="436" spans="3:26" x14ac:dyDescent="0.25">
      <c r="D436" s="6" t="s">
        <v>69</v>
      </c>
      <c r="E436" s="6" t="s">
        <v>384</v>
      </c>
      <c r="F436" s="6" t="s">
        <v>382</v>
      </c>
      <c r="G436" s="6" t="s">
        <v>359</v>
      </c>
      <c r="H436" s="6" t="s">
        <v>383</v>
      </c>
      <c r="P436" s="10" cm="1">
        <f t="array" ref="P436">BSHARE("education_share",0,"Urban","mean")</f>
        <v>4.0594779681158224</v>
      </c>
    </row>
    <row r="437" spans="3:26" x14ac:dyDescent="0.25">
      <c r="D437" s="6" t="s">
        <v>69</v>
      </c>
      <c r="E437" s="6" t="s">
        <v>384</v>
      </c>
      <c r="F437" s="6" t="s">
        <v>145</v>
      </c>
      <c r="G437" s="6" t="s">
        <v>359</v>
      </c>
      <c r="H437" s="6" t="s">
        <v>383</v>
      </c>
      <c r="Q437" s="10" cm="1">
        <f t="array" ref="Q437:Z437">BSHARE("education_share",DECILE_ARRAY,"Urban","mean")</f>
        <v>3.6032102827065411</v>
      </c>
      <c r="R437">
        <v>4.8221196271919853</v>
      </c>
      <c r="S437">
        <v>5.0074856286995697</v>
      </c>
      <c r="T437">
        <v>4.7436371874053744</v>
      </c>
      <c r="U437">
        <v>4.9697458585428311</v>
      </c>
      <c r="V437">
        <v>4.8800671297164824</v>
      </c>
      <c r="W437">
        <v>4.2787790082262127</v>
      </c>
      <c r="X437">
        <v>3.9656080637696278</v>
      </c>
      <c r="Y437">
        <v>3.048532358861435</v>
      </c>
      <c r="Z437">
        <v>1.426531336263007</v>
      </c>
    </row>
    <row r="438" spans="3:26" x14ac:dyDescent="0.25">
      <c r="D438" s="6" t="s">
        <v>69</v>
      </c>
      <c r="E438" s="6" t="s">
        <v>385</v>
      </c>
      <c r="F438" s="6" t="s">
        <v>382</v>
      </c>
      <c r="G438" s="6" t="s">
        <v>359</v>
      </c>
      <c r="H438" s="6" t="s">
        <v>383</v>
      </c>
      <c r="P438" s="10" cm="1">
        <f t="array" ref="P438">BSHARE("education_share",0,"Rural","mean")</f>
        <v>3.051859648637858</v>
      </c>
    </row>
    <row r="439" spans="3:26" x14ac:dyDescent="0.25">
      <c r="D439" s="6" t="s">
        <v>69</v>
      </c>
      <c r="E439" s="6" t="s">
        <v>385</v>
      </c>
      <c r="F439" s="6" t="s">
        <v>145</v>
      </c>
      <c r="G439" s="6" t="s">
        <v>359</v>
      </c>
      <c r="H439" s="6" t="s">
        <v>383</v>
      </c>
      <c r="Q439" s="10" cm="1">
        <f t="array" ref="Q439:Z439">BSHARE("education_share",DECILE_ARRAY,"Rural","mean")</f>
        <v>2.4189123088012798</v>
      </c>
      <c r="R439">
        <v>3.2869352839727699</v>
      </c>
      <c r="S439">
        <v>3.6604298467813128</v>
      </c>
      <c r="T439">
        <v>3.859038583474999</v>
      </c>
      <c r="U439">
        <v>4.0345064114738642</v>
      </c>
      <c r="V439">
        <v>4.133151786671978</v>
      </c>
      <c r="W439">
        <v>3.682018888181732</v>
      </c>
      <c r="X439">
        <v>3.4101081438833361</v>
      </c>
      <c r="Y439">
        <v>2.420834576267632</v>
      </c>
      <c r="Z439">
        <v>1.3131203024560401</v>
      </c>
    </row>
    <row r="440" spans="3:26" x14ac:dyDescent="0.25">
      <c r="D440" s="6" t="s">
        <v>72</v>
      </c>
      <c r="E440" s="6" t="s">
        <v>381</v>
      </c>
      <c r="F440" s="6" t="s">
        <v>382</v>
      </c>
      <c r="G440" s="6" t="s">
        <v>359</v>
      </c>
      <c r="H440" s="6" t="s">
        <v>383</v>
      </c>
      <c r="P440" s="10" cm="1">
        <f t="array" ref="P440">BSHARE("education_share",0,"Overall","median")</f>
        <v>1.0412298069408139</v>
      </c>
    </row>
    <row r="441" spans="3:26" x14ac:dyDescent="0.25">
      <c r="D441" s="6" t="s">
        <v>72</v>
      </c>
      <c r="E441" s="6" t="s">
        <v>381</v>
      </c>
      <c r="F441" s="6" t="s">
        <v>145</v>
      </c>
      <c r="G441" s="6" t="s">
        <v>359</v>
      </c>
      <c r="H441" s="6" t="s">
        <v>383</v>
      </c>
      <c r="Q441" s="10" cm="1">
        <f t="array" ref="Q441:Z441">BSHARE("education_share",DECILE_ARRAY,"Overall","median")</f>
        <v>1.6987737042496429</v>
      </c>
      <c r="R441">
        <v>2.2524717757477619</v>
      </c>
      <c r="S441">
        <v>2.4735365414456409</v>
      </c>
      <c r="T441">
        <v>2.357475078191575</v>
      </c>
      <c r="U441">
        <v>2.440624645161142</v>
      </c>
      <c r="V441">
        <v>1.759027364593122</v>
      </c>
      <c r="W441">
        <v>0.72283934273428807</v>
      </c>
      <c r="X441">
        <v>0</v>
      </c>
      <c r="Y441">
        <v>0</v>
      </c>
      <c r="Z441">
        <v>0</v>
      </c>
    </row>
    <row r="442" spans="3:26" x14ac:dyDescent="0.25">
      <c r="D442" s="6" t="s">
        <v>72</v>
      </c>
      <c r="E442" s="6" t="s">
        <v>384</v>
      </c>
      <c r="F442" s="6" t="s">
        <v>382</v>
      </c>
      <c r="G442" s="6" t="s">
        <v>359</v>
      </c>
      <c r="H442" s="6" t="s">
        <v>383</v>
      </c>
      <c r="P442" s="10" cm="1">
        <f t="array" ref="P442">BSHARE("education_share",0,"Urban","median")</f>
        <v>0.74434188406699964</v>
      </c>
    </row>
    <row r="443" spans="3:26" x14ac:dyDescent="0.25">
      <c r="D443" s="6" t="s">
        <v>72</v>
      </c>
      <c r="E443" s="6" t="s">
        <v>384</v>
      </c>
      <c r="F443" s="6" t="s">
        <v>145</v>
      </c>
      <c r="G443" s="6" t="s">
        <v>359</v>
      </c>
      <c r="H443" s="6" t="s">
        <v>383</v>
      </c>
      <c r="Q443" s="10" cm="1">
        <f t="array" ref="Q443:Z443">BSHARE("education_share",DECILE_ARRAY,"Urban","median")</f>
        <v>2.1432725618081121</v>
      </c>
      <c r="R443">
        <v>2.721616325427668</v>
      </c>
      <c r="S443">
        <v>2.5264349958111851</v>
      </c>
      <c r="T443">
        <v>2.4981728084173418</v>
      </c>
      <c r="U443">
        <v>1.702194639003916</v>
      </c>
      <c r="V443">
        <v>1.1881903392075459</v>
      </c>
      <c r="W443">
        <v>0</v>
      </c>
      <c r="X443">
        <v>0</v>
      </c>
      <c r="Y443">
        <v>0</v>
      </c>
      <c r="Z443">
        <v>0</v>
      </c>
    </row>
    <row r="444" spans="3:26" x14ac:dyDescent="0.25">
      <c r="D444" s="6" t="s">
        <v>72</v>
      </c>
      <c r="E444" s="6" t="s">
        <v>385</v>
      </c>
      <c r="F444" s="6" t="s">
        <v>382</v>
      </c>
      <c r="G444" s="6" t="s">
        <v>359</v>
      </c>
      <c r="H444" s="6" t="s">
        <v>383</v>
      </c>
      <c r="P444" s="10" cm="1">
        <f t="array" ref="P444">BSHARE("education_share",0,"Rural","median")</f>
        <v>1.288223382001406</v>
      </c>
    </row>
    <row r="445" spans="3:26" x14ac:dyDescent="0.25">
      <c r="D445" s="6" t="s">
        <v>72</v>
      </c>
      <c r="E445" s="6" t="s">
        <v>385</v>
      </c>
      <c r="F445" s="6" t="s">
        <v>145</v>
      </c>
      <c r="G445" s="6" t="s">
        <v>359</v>
      </c>
      <c r="H445" s="6" t="s">
        <v>383</v>
      </c>
      <c r="Q445" s="10" cm="1">
        <f t="array" ref="Q445:Z445">BSHARE("education_share",DECILE_ARRAY,"Rural","median")</f>
        <v>1.580677996405341</v>
      </c>
      <c r="R445">
        <v>2.1123625628601941</v>
      </c>
      <c r="S445">
        <v>2.3521571651836659</v>
      </c>
      <c r="T445">
        <v>2.3661634914706648</v>
      </c>
      <c r="U445">
        <v>2.4129870276215959</v>
      </c>
      <c r="V445">
        <v>2.2885753171255332</v>
      </c>
      <c r="W445">
        <v>1.489257910683951</v>
      </c>
      <c r="X445">
        <v>0.36225185349016231</v>
      </c>
      <c r="Y445">
        <v>0</v>
      </c>
      <c r="Z445">
        <v>0</v>
      </c>
    </row>
    <row r="446" spans="3:26" x14ac:dyDescent="0.25">
      <c r="D446" s="6" t="s">
        <v>75</v>
      </c>
      <c r="E446" s="6" t="s">
        <v>381</v>
      </c>
      <c r="F446" s="6" t="s">
        <v>382</v>
      </c>
      <c r="G446" s="6" t="s">
        <v>359</v>
      </c>
      <c r="H446" s="6" t="s">
        <v>383</v>
      </c>
      <c r="P446" s="10" cm="1">
        <f t="array" ref="P446">BSHARE("education_share",0,"Overall","p25")</f>
        <v>0</v>
      </c>
    </row>
    <row r="447" spans="3:26" x14ac:dyDescent="0.25">
      <c r="D447" s="6" t="s">
        <v>75</v>
      </c>
      <c r="E447" s="6" t="s">
        <v>381</v>
      </c>
      <c r="F447" s="6" t="s">
        <v>145</v>
      </c>
      <c r="G447" s="6" t="s">
        <v>359</v>
      </c>
      <c r="H447" s="6" t="s">
        <v>383</v>
      </c>
      <c r="Q447" s="10" cm="1">
        <f t="array" ref="Q447:Z447">BSHARE("education_share",DECILE_ARRAY,"Overall","p25")</f>
        <v>0.47186845249356391</v>
      </c>
      <c r="R447">
        <v>0.50029024004820777</v>
      </c>
      <c r="S447">
        <v>0.408612610494618</v>
      </c>
      <c r="T447">
        <v>0</v>
      </c>
      <c r="U447">
        <v>0</v>
      </c>
      <c r="V447">
        <v>0</v>
      </c>
      <c r="W447">
        <v>0</v>
      </c>
      <c r="X447">
        <v>0</v>
      </c>
      <c r="Y447">
        <v>0</v>
      </c>
      <c r="Z447">
        <v>0</v>
      </c>
    </row>
    <row r="448" spans="3:26" x14ac:dyDescent="0.25">
      <c r="D448" s="6" t="s">
        <v>75</v>
      </c>
      <c r="E448" s="6" t="s">
        <v>384</v>
      </c>
      <c r="F448" s="6" t="s">
        <v>382</v>
      </c>
      <c r="G448" s="6" t="s">
        <v>359</v>
      </c>
      <c r="H448" s="6" t="s">
        <v>383</v>
      </c>
      <c r="P448" s="10" cm="1">
        <f t="array" ref="P448">BSHARE("education_share",0,"Urban","p25")</f>
        <v>0</v>
      </c>
    </row>
    <row r="449" spans="3:26" x14ac:dyDescent="0.25">
      <c r="D449" s="6" t="s">
        <v>75</v>
      </c>
      <c r="E449" s="6" t="s">
        <v>384</v>
      </c>
      <c r="F449" s="6" t="s">
        <v>145</v>
      </c>
      <c r="G449" s="6" t="s">
        <v>359</v>
      </c>
      <c r="H449" s="6" t="s">
        <v>383</v>
      </c>
      <c r="Q449" s="10" cm="1">
        <f t="array" ref="Q449:Z449">BSHARE("education_share",DECILE_ARRAY,"Urban","p25")</f>
        <v>0.29659163934669708</v>
      </c>
      <c r="R449">
        <v>0.50716895722924504</v>
      </c>
      <c r="S449">
        <v>0</v>
      </c>
      <c r="T449">
        <v>0</v>
      </c>
      <c r="U449">
        <v>0</v>
      </c>
      <c r="V449">
        <v>0</v>
      </c>
      <c r="W449">
        <v>0</v>
      </c>
      <c r="X449">
        <v>0</v>
      </c>
      <c r="Y449">
        <v>0</v>
      </c>
      <c r="Z449">
        <v>0</v>
      </c>
    </row>
    <row r="450" spans="3:26" x14ac:dyDescent="0.25">
      <c r="D450" s="6" t="s">
        <v>75</v>
      </c>
      <c r="E450" s="6" t="s">
        <v>385</v>
      </c>
      <c r="F450" s="6" t="s">
        <v>382</v>
      </c>
      <c r="G450" s="6" t="s">
        <v>359</v>
      </c>
      <c r="H450" s="6" t="s">
        <v>383</v>
      </c>
      <c r="P450" s="10" cm="1">
        <f t="array" ref="P450">BSHARE("education_share",0,"Rural","p25")</f>
        <v>0</v>
      </c>
    </row>
    <row r="451" spans="3:26" x14ac:dyDescent="0.25">
      <c r="D451" s="6" t="s">
        <v>75</v>
      </c>
      <c r="E451" s="6" t="s">
        <v>385</v>
      </c>
      <c r="F451" s="6" t="s">
        <v>145</v>
      </c>
      <c r="G451" s="6" t="s">
        <v>359</v>
      </c>
      <c r="H451" s="6" t="s">
        <v>383</v>
      </c>
      <c r="Q451" s="10" cm="1">
        <f t="array" ref="Q451:Z451">BSHARE("education_share",DECILE_ARRAY,"Rural","p25")</f>
        <v>0.49261459355372827</v>
      </c>
      <c r="R451">
        <v>0.47116416934674871</v>
      </c>
      <c r="S451">
        <v>0.45418204204993401</v>
      </c>
      <c r="T451">
        <v>0.35406775143946539</v>
      </c>
      <c r="U451">
        <v>0.16476873758314869</v>
      </c>
      <c r="V451">
        <v>0</v>
      </c>
      <c r="W451">
        <v>0</v>
      </c>
      <c r="X451">
        <v>0</v>
      </c>
      <c r="Y451">
        <v>0</v>
      </c>
      <c r="Z451">
        <v>0</v>
      </c>
    </row>
    <row r="452" spans="3:26" x14ac:dyDescent="0.25">
      <c r="D452" s="6" t="s">
        <v>78</v>
      </c>
      <c r="E452" s="6" t="s">
        <v>381</v>
      </c>
      <c r="F452" s="6" t="s">
        <v>382</v>
      </c>
      <c r="G452" s="6" t="s">
        <v>359</v>
      </c>
      <c r="H452" s="6" t="s">
        <v>383</v>
      </c>
      <c r="P452" s="10" cm="1">
        <f t="array" ref="P452">BSHARE("education_share",0,"Overall","p75")</f>
        <v>5.0875010218837016</v>
      </c>
    </row>
    <row r="453" spans="3:26" x14ac:dyDescent="0.25">
      <c r="D453" s="6" t="s">
        <v>78</v>
      </c>
      <c r="E453" s="6" t="s">
        <v>381</v>
      </c>
      <c r="F453" s="6" t="s">
        <v>145</v>
      </c>
      <c r="G453" s="6" t="s">
        <v>359</v>
      </c>
      <c r="H453" s="6" t="s">
        <v>383</v>
      </c>
      <c r="Q453" s="10" cm="1">
        <f t="array" ref="Q453:Z453">BSHARE("education_share",DECILE_ARRAY,"Overall","p75")</f>
        <v>3.7850420850700721</v>
      </c>
      <c r="R453">
        <v>5.2211984020525346</v>
      </c>
      <c r="S453">
        <v>6.2947194379371849</v>
      </c>
      <c r="T453">
        <v>6.4426038917589779</v>
      </c>
      <c r="U453">
        <v>6.6659239516523527</v>
      </c>
      <c r="V453">
        <v>6.6517349364037646</v>
      </c>
      <c r="W453">
        <v>5.8299379475023718</v>
      </c>
      <c r="X453">
        <v>4.7312027267325556</v>
      </c>
      <c r="Y453">
        <v>2.709489304267978</v>
      </c>
      <c r="Z453">
        <v>0</v>
      </c>
    </row>
    <row r="454" spans="3:26" x14ac:dyDescent="0.25">
      <c r="D454" s="6" t="s">
        <v>78</v>
      </c>
      <c r="E454" s="6" t="s">
        <v>384</v>
      </c>
      <c r="F454" s="6" t="s">
        <v>382</v>
      </c>
      <c r="G454" s="6" t="s">
        <v>359</v>
      </c>
      <c r="H454" s="6" t="s">
        <v>383</v>
      </c>
      <c r="P454" s="10" cm="1">
        <f t="array" ref="P454">BSHARE("education_share",0,"Urban","p75")</f>
        <v>6.166496847833363</v>
      </c>
    </row>
    <row r="455" spans="3:26" x14ac:dyDescent="0.25">
      <c r="D455" s="6" t="s">
        <v>78</v>
      </c>
      <c r="E455" s="6" t="s">
        <v>384</v>
      </c>
      <c r="F455" s="6" t="s">
        <v>145</v>
      </c>
      <c r="G455" s="6" t="s">
        <v>359</v>
      </c>
      <c r="H455" s="6" t="s">
        <v>383</v>
      </c>
      <c r="Q455" s="10" cm="1">
        <f t="array" ref="Q455:Z455">BSHARE("education_share",DECILE_ARRAY,"Urban","p75")</f>
        <v>4.6696217473770938</v>
      </c>
      <c r="R455">
        <v>7.0832645095593278</v>
      </c>
      <c r="S455">
        <v>7.4843939712893448</v>
      </c>
      <c r="T455">
        <v>7.4297797737399582</v>
      </c>
      <c r="U455">
        <v>7.6903068696877197</v>
      </c>
      <c r="V455">
        <v>6.938499941272485</v>
      </c>
      <c r="W455">
        <v>6.6793619816238801</v>
      </c>
      <c r="X455">
        <v>4.7042372258479332</v>
      </c>
      <c r="Y455">
        <v>1.414436782648165</v>
      </c>
      <c r="Z455">
        <v>0</v>
      </c>
    </row>
    <row r="456" spans="3:26" x14ac:dyDescent="0.25">
      <c r="D456" s="6" t="s">
        <v>78</v>
      </c>
      <c r="E456" s="6" t="s">
        <v>385</v>
      </c>
      <c r="F456" s="6" t="s">
        <v>382</v>
      </c>
      <c r="G456" s="6" t="s">
        <v>359</v>
      </c>
      <c r="H456" s="6" t="s">
        <v>383</v>
      </c>
      <c r="P456" s="10" cm="1">
        <f t="array" ref="P456">BSHARE("education_share",0,"Rural","p75")</f>
        <v>4.4071875743023918</v>
      </c>
    </row>
    <row r="457" spans="3:26" x14ac:dyDescent="0.25">
      <c r="D457" s="6" t="s">
        <v>78</v>
      </c>
      <c r="E457" s="6" t="s">
        <v>385</v>
      </c>
      <c r="F457" s="6" t="s">
        <v>145</v>
      </c>
      <c r="G457" s="6" t="s">
        <v>359</v>
      </c>
      <c r="H457" s="6" t="s">
        <v>383</v>
      </c>
      <c r="Q457" s="10" cm="1">
        <f t="array" ref="Q457:Z457">BSHARE("education_share",DECILE_ARRAY,"Rural","p75")</f>
        <v>3.64047392415599</v>
      </c>
      <c r="R457">
        <v>4.4399802115114397</v>
      </c>
      <c r="S457">
        <v>5.0151768748039167</v>
      </c>
      <c r="T457">
        <v>5.8447657588901203</v>
      </c>
      <c r="U457">
        <v>5.4598184904547056</v>
      </c>
      <c r="V457">
        <v>5.8946110356792296</v>
      </c>
      <c r="W457">
        <v>5.6816762195600976</v>
      </c>
      <c r="X457">
        <v>4.4222955822640522</v>
      </c>
      <c r="Y457">
        <v>2.8417407510814372</v>
      </c>
      <c r="Z457">
        <v>0</v>
      </c>
    </row>
    <row r="459" spans="3:26" x14ac:dyDescent="0.25">
      <c r="C459" s="7" t="s">
        <v>406</v>
      </c>
      <c r="G459" s="6" t="s">
        <v>361</v>
      </c>
      <c r="O459" s="2" t="s">
        <v>331</v>
      </c>
      <c r="Q459" s="2">
        <v>1</v>
      </c>
      <c r="R459" s="2">
        <v>2</v>
      </c>
      <c r="S459" s="2">
        <v>3</v>
      </c>
      <c r="T459" s="2">
        <v>4</v>
      </c>
      <c r="U459" s="2">
        <v>5</v>
      </c>
      <c r="V459" s="2">
        <v>6</v>
      </c>
      <c r="W459" s="2">
        <v>7</v>
      </c>
      <c r="X459" s="2">
        <v>8</v>
      </c>
      <c r="Y459" s="2">
        <v>9</v>
      </c>
      <c r="Z459" s="2">
        <v>10</v>
      </c>
    </row>
    <row r="460" spans="3:26" x14ac:dyDescent="0.25">
      <c r="D460" s="6" t="s">
        <v>69</v>
      </c>
      <c r="E460" s="6" t="s">
        <v>381</v>
      </c>
      <c r="F460" s="6" t="s">
        <v>382</v>
      </c>
      <c r="G460" s="6" t="s">
        <v>361</v>
      </c>
      <c r="H460" s="6" t="s">
        <v>383</v>
      </c>
      <c r="P460" s="10" cm="1">
        <f t="array" ref="P460">BSHARE("food_share",0,"Overall","mean")</f>
        <v>52.29224957575893</v>
      </c>
    </row>
    <row r="461" spans="3:26" x14ac:dyDescent="0.25">
      <c r="D461" s="6" t="s">
        <v>69</v>
      </c>
      <c r="E461" s="6" t="s">
        <v>381</v>
      </c>
      <c r="F461" s="6" t="s">
        <v>145</v>
      </c>
      <c r="G461" s="6" t="s">
        <v>361</v>
      </c>
      <c r="H461" s="6" t="s">
        <v>383</v>
      </c>
      <c r="Q461" s="10" cm="1">
        <f t="array" ref="Q461:Z461">BSHARE("food_share",DECILE_ARRAY,"Overall","mean")</f>
        <v>54.580386581973933</v>
      </c>
      <c r="R461">
        <v>59.917914383332942</v>
      </c>
      <c r="S461">
        <v>55.255727684483183</v>
      </c>
      <c r="T461">
        <v>55.77309261054311</v>
      </c>
      <c r="U461">
        <v>53.408793598174277</v>
      </c>
      <c r="V461">
        <v>59.246150939067377</v>
      </c>
      <c r="W461">
        <v>52.962902565128907</v>
      </c>
      <c r="X461">
        <v>56.941141766984963</v>
      </c>
      <c r="Y461">
        <v>58.190826905674939</v>
      </c>
      <c r="Z461">
        <v>50.136011266709282</v>
      </c>
    </row>
    <row r="462" spans="3:26" x14ac:dyDescent="0.25">
      <c r="D462" s="6" t="s">
        <v>69</v>
      </c>
      <c r="E462" s="6" t="s">
        <v>384</v>
      </c>
      <c r="F462" s="6" t="s">
        <v>382</v>
      </c>
      <c r="G462" s="6" t="s">
        <v>361</v>
      </c>
      <c r="H462" s="6" t="s">
        <v>383</v>
      </c>
      <c r="P462" s="10" cm="1">
        <f t="array" ref="P462">BSHARE("food_share",0,"Urban","mean")</f>
        <v>52.150616270495497</v>
      </c>
    </row>
    <row r="463" spans="3:26" x14ac:dyDescent="0.25">
      <c r="D463" s="6" t="s">
        <v>69</v>
      </c>
      <c r="E463" s="6" t="s">
        <v>384</v>
      </c>
      <c r="F463" s="6" t="s">
        <v>145</v>
      </c>
      <c r="G463" s="6" t="s">
        <v>361</v>
      </c>
      <c r="H463" s="6" t="s">
        <v>383</v>
      </c>
      <c r="Q463" s="10" cm="1">
        <f t="array" ref="Q463:Z463">BSHARE("food_share",DECILE_ARRAY,"Urban","mean")</f>
        <v>50.355240403409731</v>
      </c>
      <c r="R463">
        <v>54.473510154975102</v>
      </c>
      <c r="S463">
        <v>55.249240351568098</v>
      </c>
      <c r="T463">
        <v>54.015618141855782</v>
      </c>
      <c r="U463">
        <v>50.299948770122818</v>
      </c>
      <c r="V463">
        <v>50.211598185615522</v>
      </c>
      <c r="W463">
        <v>53.520364559586383</v>
      </c>
      <c r="X463">
        <v>52.050341945767592</v>
      </c>
      <c r="Y463">
        <v>49.287316351608247</v>
      </c>
      <c r="Z463">
        <v>46.594047746208183</v>
      </c>
    </row>
    <row r="464" spans="3:26" x14ac:dyDescent="0.25">
      <c r="D464" s="6" t="s">
        <v>69</v>
      </c>
      <c r="E464" s="6" t="s">
        <v>385</v>
      </c>
      <c r="F464" s="6" t="s">
        <v>382</v>
      </c>
      <c r="G464" s="6" t="s">
        <v>361</v>
      </c>
      <c r="H464" s="6" t="s">
        <v>383</v>
      </c>
      <c r="P464" s="10" cm="1">
        <f t="array" ref="P464">BSHARE("food_share",0,"Rural","mean")</f>
        <v>61.136915648081157</v>
      </c>
    </row>
    <row r="465" spans="4:26" x14ac:dyDescent="0.25">
      <c r="D465" s="6" t="s">
        <v>69</v>
      </c>
      <c r="E465" s="6" t="s">
        <v>385</v>
      </c>
      <c r="F465" s="6" t="s">
        <v>145</v>
      </c>
      <c r="G465" s="6" t="s">
        <v>361</v>
      </c>
      <c r="H465" s="6" t="s">
        <v>383</v>
      </c>
      <c r="Q465" s="10" cm="1">
        <f t="array" ref="Q465:Z465">BSHARE("food_share",DECILE_ARRAY,"Rural","mean")</f>
        <v>59.717371388839197</v>
      </c>
      <c r="R465">
        <v>61.404256291659657</v>
      </c>
      <c r="S465">
        <v>58.03835283622</v>
      </c>
      <c r="T465">
        <v>56.277918913885863</v>
      </c>
      <c r="U465">
        <v>55.689365365033971</v>
      </c>
      <c r="V465">
        <v>57.796743409170674</v>
      </c>
      <c r="W465">
        <v>57.007302182480103</v>
      </c>
      <c r="X465">
        <v>56.658807134055827</v>
      </c>
      <c r="Y465">
        <v>53.311368974112369</v>
      </c>
      <c r="Z465">
        <v>52.250621261020747</v>
      </c>
    </row>
    <row r="466" spans="4:26" x14ac:dyDescent="0.25">
      <c r="D466" s="6" t="s">
        <v>72</v>
      </c>
      <c r="E466" s="6" t="s">
        <v>381</v>
      </c>
      <c r="F466" s="6" t="s">
        <v>382</v>
      </c>
      <c r="G466" s="6" t="s">
        <v>361</v>
      </c>
      <c r="H466" s="6" t="s">
        <v>383</v>
      </c>
      <c r="P466" s="10" cm="1">
        <f t="array" ref="P466">BSHARE("food_share",0,"Overall","median")</f>
        <v>53.094395336197188</v>
      </c>
    </row>
    <row r="467" spans="4:26" x14ac:dyDescent="0.25">
      <c r="D467" s="6" t="s">
        <v>72</v>
      </c>
      <c r="E467" s="6" t="s">
        <v>381</v>
      </c>
      <c r="F467" s="6" t="s">
        <v>145</v>
      </c>
      <c r="G467" s="6" t="s">
        <v>361</v>
      </c>
      <c r="H467" s="6" t="s">
        <v>383</v>
      </c>
      <c r="Q467" s="10" cm="1">
        <f t="array" ref="Q467:Z467">BSHARE("food_share",DECILE_ARRAY,"Overall","median")</f>
        <v>57.493115020590409</v>
      </c>
      <c r="R467">
        <v>59.322281627750861</v>
      </c>
      <c r="S467">
        <v>56.992270874499127</v>
      </c>
      <c r="T467">
        <v>56.846719142175957</v>
      </c>
      <c r="U467">
        <v>58.503775932193513</v>
      </c>
      <c r="V467">
        <v>57.92695070907611</v>
      </c>
      <c r="W467">
        <v>56.162194533627328</v>
      </c>
      <c r="X467">
        <v>55.642617729374223</v>
      </c>
      <c r="Y467">
        <v>52.832699109963897</v>
      </c>
      <c r="Z467">
        <v>53.122945584765972</v>
      </c>
    </row>
    <row r="468" spans="4:26" x14ac:dyDescent="0.25">
      <c r="D468" s="6" t="s">
        <v>72</v>
      </c>
      <c r="E468" s="6" t="s">
        <v>384</v>
      </c>
      <c r="F468" s="6" t="s">
        <v>382</v>
      </c>
      <c r="G468" s="6" t="s">
        <v>361</v>
      </c>
      <c r="H468" s="6" t="s">
        <v>383</v>
      </c>
      <c r="P468" s="10" cm="1">
        <f t="array" ref="P468">BSHARE("food_share",0,"Urban","median")</f>
        <v>51.751780839186011</v>
      </c>
    </row>
    <row r="469" spans="4:26" x14ac:dyDescent="0.25">
      <c r="D469" s="6" t="s">
        <v>72</v>
      </c>
      <c r="E469" s="6" t="s">
        <v>384</v>
      </c>
      <c r="F469" s="6" t="s">
        <v>145</v>
      </c>
      <c r="G469" s="6" t="s">
        <v>361</v>
      </c>
      <c r="H469" s="6" t="s">
        <v>383</v>
      </c>
      <c r="Q469" s="10" cm="1">
        <f t="array" ref="Q469:Z469">BSHARE("food_share",DECILE_ARRAY,"Urban","median")</f>
        <v>54.932235024761468</v>
      </c>
      <c r="R469">
        <v>54.998346639196903</v>
      </c>
      <c r="S469">
        <v>51.766020489136437</v>
      </c>
      <c r="T469">
        <v>57.310100957213081</v>
      </c>
      <c r="U469">
        <v>51.852147357834284</v>
      </c>
      <c r="V469">
        <v>49.695390838204901</v>
      </c>
      <c r="W469">
        <v>52.780791118873218</v>
      </c>
      <c r="X469">
        <v>50.641170683706783</v>
      </c>
      <c r="Y469">
        <v>49.575838132599628</v>
      </c>
      <c r="Z469">
        <v>48.275391093702702</v>
      </c>
    </row>
    <row r="470" spans="4:26" x14ac:dyDescent="0.25">
      <c r="D470" s="6" t="s">
        <v>72</v>
      </c>
      <c r="E470" s="6" t="s">
        <v>385</v>
      </c>
      <c r="F470" s="6" t="s">
        <v>382</v>
      </c>
      <c r="G470" s="6" t="s">
        <v>361</v>
      </c>
      <c r="H470" s="6" t="s">
        <v>383</v>
      </c>
      <c r="P470" s="10" cm="1">
        <f t="array" ref="P470">BSHARE("food_share",0,"Rural","median")</f>
        <v>59.269025727882187</v>
      </c>
    </row>
    <row r="471" spans="4:26" x14ac:dyDescent="0.25">
      <c r="D471" s="6" t="s">
        <v>72</v>
      </c>
      <c r="E471" s="6" t="s">
        <v>385</v>
      </c>
      <c r="F471" s="6" t="s">
        <v>145</v>
      </c>
      <c r="G471" s="6" t="s">
        <v>361</v>
      </c>
      <c r="H471" s="6" t="s">
        <v>383</v>
      </c>
      <c r="Q471" s="10" cm="1">
        <f t="array" ref="Q471:Z471">BSHARE("food_share",DECILE_ARRAY,"Rural","median")</f>
        <v>59.499463344806792</v>
      </c>
      <c r="R471">
        <v>60.792557743695617</v>
      </c>
      <c r="S471">
        <v>62.892769041910221</v>
      </c>
      <c r="T471">
        <v>63.024780588580128</v>
      </c>
      <c r="U471">
        <v>61.159022239666392</v>
      </c>
      <c r="V471">
        <v>55.61599171816956</v>
      </c>
      <c r="W471">
        <v>60.592518406060471</v>
      </c>
      <c r="X471">
        <v>55.559267443362629</v>
      </c>
      <c r="Y471">
        <v>54.547595167359681</v>
      </c>
      <c r="Z471">
        <v>52.51606266532405</v>
      </c>
    </row>
    <row r="472" spans="4:26" x14ac:dyDescent="0.25">
      <c r="D472" s="6" t="s">
        <v>75</v>
      </c>
      <c r="E472" s="6" t="s">
        <v>381</v>
      </c>
      <c r="F472" s="6" t="s">
        <v>382</v>
      </c>
      <c r="G472" s="6" t="s">
        <v>361</v>
      </c>
      <c r="H472" s="6" t="s">
        <v>383</v>
      </c>
      <c r="P472" s="10" cm="1">
        <f t="array" ref="P472">BSHARE("food_share",0,"Overall","p25")</f>
        <v>49.633682702959383</v>
      </c>
    </row>
    <row r="473" spans="4:26" x14ac:dyDescent="0.25">
      <c r="D473" s="6" t="s">
        <v>75</v>
      </c>
      <c r="E473" s="6" t="s">
        <v>381</v>
      </c>
      <c r="F473" s="6" t="s">
        <v>145</v>
      </c>
      <c r="G473" s="6" t="s">
        <v>361</v>
      </c>
      <c r="H473" s="6" t="s">
        <v>383</v>
      </c>
      <c r="Q473" s="10" cm="1">
        <f t="array" ref="Q473:Z473">BSHARE("food_share",DECILE_ARRAY,"Overall","p25")</f>
        <v>48.571652992069417</v>
      </c>
      <c r="R473">
        <v>49.078322569044779</v>
      </c>
      <c r="S473">
        <v>52.67864706398354</v>
      </c>
      <c r="T473">
        <v>51.697358854454777</v>
      </c>
      <c r="U473">
        <v>50.287174304897988</v>
      </c>
      <c r="V473">
        <v>45.677520590537512</v>
      </c>
      <c r="W473">
        <v>48.957185150460667</v>
      </c>
      <c r="X473">
        <v>43.14079135024987</v>
      </c>
      <c r="Y473">
        <v>48.021820546095661</v>
      </c>
      <c r="Z473">
        <v>45.57453446976433</v>
      </c>
    </row>
    <row r="474" spans="4:26" x14ac:dyDescent="0.25">
      <c r="D474" s="6" t="s">
        <v>75</v>
      </c>
      <c r="E474" s="6" t="s">
        <v>384</v>
      </c>
      <c r="F474" s="6" t="s">
        <v>382</v>
      </c>
      <c r="G474" s="6" t="s">
        <v>361</v>
      </c>
      <c r="H474" s="6" t="s">
        <v>383</v>
      </c>
      <c r="P474" s="10" cm="1">
        <f t="array" ref="P474">BSHARE("food_share",0,"Urban","p25")</f>
        <v>47.694482096557849</v>
      </c>
    </row>
    <row r="475" spans="4:26" x14ac:dyDescent="0.25">
      <c r="D475" s="6" t="s">
        <v>75</v>
      </c>
      <c r="E475" s="6" t="s">
        <v>384</v>
      </c>
      <c r="F475" s="6" t="s">
        <v>145</v>
      </c>
      <c r="G475" s="6" t="s">
        <v>361</v>
      </c>
      <c r="H475" s="6" t="s">
        <v>383</v>
      </c>
      <c r="Q475" s="10" cm="1">
        <f t="array" ref="Q475:Z475">BSHARE("food_share",DECILE_ARRAY,"Urban","p25")</f>
        <v>47.379220974254487</v>
      </c>
      <c r="R475">
        <v>47.238159712912903</v>
      </c>
      <c r="S475">
        <v>50.052239713286433</v>
      </c>
      <c r="T475">
        <v>42.138062432500227</v>
      </c>
      <c r="U475">
        <v>42.717253256459081</v>
      </c>
      <c r="V475">
        <v>44.421456573755123</v>
      </c>
      <c r="W475">
        <v>45.943137468079733</v>
      </c>
      <c r="X475">
        <v>42.440168437680882</v>
      </c>
      <c r="Y475">
        <v>45.297606771636431</v>
      </c>
      <c r="Z475">
        <v>38.058823021053144</v>
      </c>
    </row>
    <row r="476" spans="4:26" x14ac:dyDescent="0.25">
      <c r="D476" s="6" t="s">
        <v>75</v>
      </c>
      <c r="E476" s="6" t="s">
        <v>385</v>
      </c>
      <c r="F476" s="6" t="s">
        <v>382</v>
      </c>
      <c r="G476" s="6" t="s">
        <v>361</v>
      </c>
      <c r="H476" s="6" t="s">
        <v>383</v>
      </c>
      <c r="P476" s="10" cm="1">
        <f t="array" ref="P476">BSHARE("food_share",0,"Rural","p25")</f>
        <v>49.677333350113088</v>
      </c>
    </row>
    <row r="477" spans="4:26" x14ac:dyDescent="0.25">
      <c r="D477" s="6" t="s">
        <v>75</v>
      </c>
      <c r="E477" s="6" t="s">
        <v>385</v>
      </c>
      <c r="F477" s="6" t="s">
        <v>145</v>
      </c>
      <c r="G477" s="6" t="s">
        <v>361</v>
      </c>
      <c r="H477" s="6" t="s">
        <v>383</v>
      </c>
      <c r="Q477" s="10" cm="1">
        <f t="array" ref="Q477:Z477">BSHARE("food_share",DECILE_ARRAY,"Rural","p25")</f>
        <v>54.529194931422069</v>
      </c>
      <c r="R477">
        <v>51.688933124142039</v>
      </c>
      <c r="S477">
        <v>55.609771436717438</v>
      </c>
      <c r="T477">
        <v>55.506390836729047</v>
      </c>
      <c r="U477">
        <v>54.007779638741148</v>
      </c>
      <c r="V477">
        <v>49.748729656746512</v>
      </c>
      <c r="W477">
        <v>48.826100380874507</v>
      </c>
      <c r="X477">
        <v>45.796017136306013</v>
      </c>
      <c r="Y477">
        <v>52.022832619141013</v>
      </c>
      <c r="Z477">
        <v>48.785791569043319</v>
      </c>
    </row>
    <row r="478" spans="4:26" x14ac:dyDescent="0.25">
      <c r="D478" s="6" t="s">
        <v>78</v>
      </c>
      <c r="E478" s="6" t="s">
        <v>381</v>
      </c>
      <c r="F478" s="6" t="s">
        <v>382</v>
      </c>
      <c r="G478" s="6" t="s">
        <v>361</v>
      </c>
      <c r="H478" s="6" t="s">
        <v>383</v>
      </c>
      <c r="P478" s="10" cm="1">
        <f t="array" ref="P478">BSHARE("food_share",0,"Overall","p75")</f>
        <v>59.894276898688048</v>
      </c>
    </row>
    <row r="479" spans="4:26" x14ac:dyDescent="0.25">
      <c r="D479" s="6" t="s">
        <v>78</v>
      </c>
      <c r="E479" s="6" t="s">
        <v>381</v>
      </c>
      <c r="F479" s="6" t="s">
        <v>145</v>
      </c>
      <c r="G479" s="6" t="s">
        <v>361</v>
      </c>
      <c r="H479" s="6" t="s">
        <v>383</v>
      </c>
      <c r="Q479" s="10" cm="1">
        <f t="array" ref="Q479:Z479">BSHARE("food_share",DECILE_ARRAY,"Overall","p75")</f>
        <v>69.23545156776585</v>
      </c>
      <c r="R479">
        <v>65.902076652279064</v>
      </c>
      <c r="S479">
        <v>65.878398144252273</v>
      </c>
      <c r="T479">
        <v>64.692533781982689</v>
      </c>
      <c r="U479">
        <v>63.406020579038369</v>
      </c>
      <c r="V479">
        <v>66.512025137325026</v>
      </c>
      <c r="W479">
        <v>63.50794069873487</v>
      </c>
      <c r="X479">
        <v>66.292980793477852</v>
      </c>
      <c r="Y479">
        <v>64.954267538483194</v>
      </c>
      <c r="Z479">
        <v>59.648017395426741</v>
      </c>
    </row>
    <row r="480" spans="4:26" x14ac:dyDescent="0.25">
      <c r="D480" s="6" t="s">
        <v>78</v>
      </c>
      <c r="E480" s="6" t="s">
        <v>384</v>
      </c>
      <c r="F480" s="6" t="s">
        <v>382</v>
      </c>
      <c r="G480" s="6" t="s">
        <v>361</v>
      </c>
      <c r="H480" s="6" t="s">
        <v>383</v>
      </c>
      <c r="P480" s="10" cm="1">
        <f t="array" ref="P480">BSHARE("food_share",0,"Urban","p75")</f>
        <v>64.51429359446135</v>
      </c>
    </row>
    <row r="481" spans="3:26" x14ac:dyDescent="0.25">
      <c r="D481" s="6" t="s">
        <v>78</v>
      </c>
      <c r="E481" s="6" t="s">
        <v>384</v>
      </c>
      <c r="F481" s="6" t="s">
        <v>145</v>
      </c>
      <c r="G481" s="6" t="s">
        <v>361</v>
      </c>
      <c r="H481" s="6" t="s">
        <v>383</v>
      </c>
      <c r="Q481" s="10" cm="1">
        <f t="array" ref="Q481:Z481">BSHARE("food_share",DECILE_ARRAY,"Urban","p75")</f>
        <v>63.253129662754667</v>
      </c>
      <c r="R481">
        <v>65.331820086836885</v>
      </c>
      <c r="S481">
        <v>64.737995831979418</v>
      </c>
      <c r="T481">
        <v>59.179544662125537</v>
      </c>
      <c r="U481">
        <v>60.544881059818053</v>
      </c>
      <c r="V481">
        <v>60.039066579184741</v>
      </c>
      <c r="W481">
        <v>62.184427611900269</v>
      </c>
      <c r="X481">
        <v>63.183446769596017</v>
      </c>
      <c r="Y481">
        <v>59.571990144249547</v>
      </c>
      <c r="Z481">
        <v>56.028247420883233</v>
      </c>
    </row>
    <row r="482" spans="3:26" x14ac:dyDescent="0.25">
      <c r="D482" s="6" t="s">
        <v>78</v>
      </c>
      <c r="E482" s="6" t="s">
        <v>385</v>
      </c>
      <c r="F482" s="6" t="s">
        <v>382</v>
      </c>
      <c r="G482" s="6" t="s">
        <v>361</v>
      </c>
      <c r="H482" s="6" t="s">
        <v>383</v>
      </c>
      <c r="P482" s="10" cm="1">
        <f t="array" ref="P482">BSHARE("food_share",0,"Rural","p75")</f>
        <v>69.129582596988271</v>
      </c>
    </row>
    <row r="483" spans="3:26" x14ac:dyDescent="0.25">
      <c r="D483" s="6" t="s">
        <v>78</v>
      </c>
      <c r="E483" s="6" t="s">
        <v>385</v>
      </c>
      <c r="F483" s="6" t="s">
        <v>145</v>
      </c>
      <c r="G483" s="6" t="s">
        <v>361</v>
      </c>
      <c r="H483" s="6" t="s">
        <v>383</v>
      </c>
      <c r="Q483" s="10" cm="1">
        <f t="array" ref="Q483:Z483">BSHARE("food_share",DECILE_ARRAY,"Rural","p75")</f>
        <v>73.062007691847057</v>
      </c>
      <c r="R483">
        <v>70.993391336085836</v>
      </c>
      <c r="S483">
        <v>70.613799297531216</v>
      </c>
      <c r="T483">
        <v>63.356357278738187</v>
      </c>
      <c r="U483">
        <v>62.268386600916877</v>
      </c>
      <c r="V483">
        <v>66.011890911299687</v>
      </c>
      <c r="W483">
        <v>68.951415445967072</v>
      </c>
      <c r="X483">
        <v>61.513643710267267</v>
      </c>
      <c r="Y483">
        <v>62.862102466795278</v>
      </c>
      <c r="Z483">
        <v>67.354428672245746</v>
      </c>
    </row>
    <row r="485" spans="3:26" x14ac:dyDescent="0.25">
      <c r="C485" s="7" t="s">
        <v>407</v>
      </c>
      <c r="G485" s="6" t="s">
        <v>363</v>
      </c>
      <c r="O485" s="2" t="s">
        <v>331</v>
      </c>
      <c r="Q485" s="2">
        <v>1</v>
      </c>
      <c r="R485" s="2">
        <v>2</v>
      </c>
      <c r="S485" s="2">
        <v>3</v>
      </c>
      <c r="T485" s="2">
        <v>4</v>
      </c>
      <c r="U485" s="2">
        <v>5</v>
      </c>
      <c r="V485" s="2">
        <v>6</v>
      </c>
      <c r="W485" s="2">
        <v>7</v>
      </c>
      <c r="X485" s="2">
        <v>8</v>
      </c>
      <c r="Y485" s="2">
        <v>9</v>
      </c>
      <c r="Z485" s="2">
        <v>10</v>
      </c>
    </row>
    <row r="486" spans="3:26" x14ac:dyDescent="0.25">
      <c r="D486" s="6" t="s">
        <v>69</v>
      </c>
      <c r="E486" s="6" t="s">
        <v>381</v>
      </c>
      <c r="F486" s="6" t="s">
        <v>382</v>
      </c>
      <c r="G486" s="6" t="s">
        <v>363</v>
      </c>
      <c r="H486" s="6" t="s">
        <v>383</v>
      </c>
      <c r="P486" s="10" cm="1">
        <f t="array" ref="P486">BSHARE("health_srv_share",0,"Overall","mean")</f>
        <v>4.0470275177081856</v>
      </c>
    </row>
    <row r="487" spans="3:26" x14ac:dyDescent="0.25">
      <c r="D487" s="6" t="s">
        <v>69</v>
      </c>
      <c r="E487" s="6" t="s">
        <v>381</v>
      </c>
      <c r="F487" s="6" t="s">
        <v>145</v>
      </c>
      <c r="G487" s="6" t="s">
        <v>363</v>
      </c>
      <c r="H487" s="6" t="s">
        <v>383</v>
      </c>
      <c r="Q487" s="10" cm="1">
        <f t="array" ref="Q487:Z487">BSHARE("health_srv_share",DECILE_ARRAY,"Overall","mean")</f>
        <v>3.077114415832753</v>
      </c>
      <c r="R487">
        <v>3.0611861279950352</v>
      </c>
      <c r="S487">
        <v>3.7599268431353412</v>
      </c>
      <c r="T487">
        <v>3.708710755705519</v>
      </c>
      <c r="U487">
        <v>4.0325686523950299</v>
      </c>
      <c r="V487">
        <v>3.9935998703349238</v>
      </c>
      <c r="W487">
        <v>4.8678371549805304</v>
      </c>
      <c r="X487">
        <v>4.6203559136846639</v>
      </c>
      <c r="Y487">
        <v>5.0922364486869656</v>
      </c>
      <c r="Z487">
        <v>5.9992398778225153</v>
      </c>
    </row>
    <row r="488" spans="3:26" x14ac:dyDescent="0.25">
      <c r="D488" s="6" t="s">
        <v>69</v>
      </c>
      <c r="E488" s="6" t="s">
        <v>384</v>
      </c>
      <c r="F488" s="6" t="s">
        <v>382</v>
      </c>
      <c r="G488" s="6" t="s">
        <v>363</v>
      </c>
      <c r="H488" s="6" t="s">
        <v>383</v>
      </c>
      <c r="P488" s="10" cm="1">
        <f t="array" ref="P488">BSHARE("health_srv_share",0,"Urban","mean")</f>
        <v>3.7358589949451289</v>
      </c>
    </row>
    <row r="489" spans="3:26" x14ac:dyDescent="0.25">
      <c r="D489" s="6" t="s">
        <v>69</v>
      </c>
      <c r="E489" s="6" t="s">
        <v>384</v>
      </c>
      <c r="F489" s="6" t="s">
        <v>145</v>
      </c>
      <c r="G489" s="6" t="s">
        <v>363</v>
      </c>
      <c r="H489" s="6" t="s">
        <v>383</v>
      </c>
      <c r="Q489" s="10" cm="1">
        <f t="array" ref="Q489:Z489">BSHARE("health_srv_share",DECILE_ARRAY,"Urban","mean")</f>
        <v>2.6540162207783511</v>
      </c>
      <c r="R489">
        <v>3.1398734800670982</v>
      </c>
      <c r="S489">
        <v>3.5062830111483381</v>
      </c>
      <c r="T489">
        <v>3.701333686001008</v>
      </c>
      <c r="U489">
        <v>4.0745367969842867</v>
      </c>
      <c r="V489">
        <v>3.8075168125433021</v>
      </c>
      <c r="W489">
        <v>4.3749805936347457</v>
      </c>
      <c r="X489">
        <v>4.3055811662032948</v>
      </c>
      <c r="Y489">
        <v>4.7894922889295648</v>
      </c>
      <c r="Z489">
        <v>6.0759633439225924</v>
      </c>
    </row>
    <row r="490" spans="3:26" x14ac:dyDescent="0.25">
      <c r="D490" s="6" t="s">
        <v>69</v>
      </c>
      <c r="E490" s="6" t="s">
        <v>385</v>
      </c>
      <c r="F490" s="6" t="s">
        <v>382</v>
      </c>
      <c r="G490" s="6" t="s">
        <v>363</v>
      </c>
      <c r="H490" s="6" t="s">
        <v>383</v>
      </c>
      <c r="P490" s="10" cm="1">
        <f t="array" ref="P490">BSHARE("health_srv_share",0,"Rural","mean")</f>
        <v>4.4623773933566948</v>
      </c>
    </row>
    <row r="491" spans="3:26" x14ac:dyDescent="0.25">
      <c r="D491" s="6" t="s">
        <v>69</v>
      </c>
      <c r="E491" s="6" t="s">
        <v>385</v>
      </c>
      <c r="F491" s="6" t="s">
        <v>145</v>
      </c>
      <c r="G491" s="6" t="s">
        <v>363</v>
      </c>
      <c r="H491" s="6" t="s">
        <v>383</v>
      </c>
      <c r="Q491" s="10" cm="1">
        <f t="array" ref="Q491:Z491">BSHARE("health_srv_share",DECILE_ARRAY,"Rural","mean")</f>
        <v>3.431388084858833</v>
      </c>
      <c r="R491">
        <v>3.4830233724543138</v>
      </c>
      <c r="S491">
        <v>3.397351959258184</v>
      </c>
      <c r="T491">
        <v>4.2873849239232653</v>
      </c>
      <c r="U491">
        <v>4.18787814018091</v>
      </c>
      <c r="V491">
        <v>4.057309270956786</v>
      </c>
      <c r="W491">
        <v>4.8143923141720064</v>
      </c>
      <c r="X491">
        <v>5.2052210638552019</v>
      </c>
      <c r="Y491">
        <v>5.3342225184581809</v>
      </c>
      <c r="Z491">
        <v>7.0591965085073793</v>
      </c>
    </row>
    <row r="492" spans="3:26" x14ac:dyDescent="0.25">
      <c r="D492" s="6" t="s">
        <v>72</v>
      </c>
      <c r="E492" s="6" t="s">
        <v>381</v>
      </c>
      <c r="F492" s="6" t="s">
        <v>382</v>
      </c>
      <c r="G492" s="6" t="s">
        <v>363</v>
      </c>
      <c r="H492" s="6" t="s">
        <v>383</v>
      </c>
      <c r="P492" s="10" cm="1">
        <f t="array" ref="P492">BSHARE("health_srv_share",0,"Overall","median")</f>
        <v>2.5472501959178482</v>
      </c>
    </row>
    <row r="493" spans="3:26" x14ac:dyDescent="0.25">
      <c r="D493" s="6" t="s">
        <v>72</v>
      </c>
      <c r="E493" s="6" t="s">
        <v>381</v>
      </c>
      <c r="F493" s="6" t="s">
        <v>145</v>
      </c>
      <c r="G493" s="6" t="s">
        <v>363</v>
      </c>
      <c r="H493" s="6" t="s">
        <v>383</v>
      </c>
      <c r="Q493" s="10" cm="1">
        <f t="array" ref="Q493:Z493">BSHARE("health_srv_share",DECILE_ARRAY,"Overall","median")</f>
        <v>1.651080818788438</v>
      </c>
      <c r="R493">
        <v>2.0471304123708749</v>
      </c>
      <c r="S493">
        <v>2.0821946725676752</v>
      </c>
      <c r="T493">
        <v>2.224731109306886</v>
      </c>
      <c r="U493">
        <v>2.536437895995908</v>
      </c>
      <c r="V493">
        <v>2.59380496225072</v>
      </c>
      <c r="W493">
        <v>3.1525511166011762</v>
      </c>
      <c r="X493">
        <v>2.9924892924283411</v>
      </c>
      <c r="Y493">
        <v>3.2325515504669222</v>
      </c>
      <c r="Z493">
        <v>3.39426773579945</v>
      </c>
    </row>
    <row r="494" spans="3:26" x14ac:dyDescent="0.25">
      <c r="D494" s="6" t="s">
        <v>72</v>
      </c>
      <c r="E494" s="6" t="s">
        <v>384</v>
      </c>
      <c r="F494" s="6" t="s">
        <v>382</v>
      </c>
      <c r="G494" s="6" t="s">
        <v>363</v>
      </c>
      <c r="H494" s="6" t="s">
        <v>383</v>
      </c>
      <c r="P494" s="10" cm="1">
        <f t="array" ref="P494">BSHARE("health_srv_share",0,"Urban","median")</f>
        <v>2.310193371653356</v>
      </c>
    </row>
    <row r="495" spans="3:26" x14ac:dyDescent="0.25">
      <c r="D495" s="6" t="s">
        <v>72</v>
      </c>
      <c r="E495" s="6" t="s">
        <v>384</v>
      </c>
      <c r="F495" s="6" t="s">
        <v>145</v>
      </c>
      <c r="G495" s="6" t="s">
        <v>363</v>
      </c>
      <c r="H495" s="6" t="s">
        <v>383</v>
      </c>
      <c r="Q495" s="10" cm="1">
        <f t="array" ref="Q495:Z495">BSHARE("health_srv_share",DECILE_ARRAY,"Urban","median")</f>
        <v>1.159903370557235</v>
      </c>
      <c r="R495">
        <v>1.6822296802512291</v>
      </c>
      <c r="S495">
        <v>1.8250894573183221</v>
      </c>
      <c r="T495">
        <v>1.987820567096013</v>
      </c>
      <c r="U495">
        <v>2.0526157468960071</v>
      </c>
      <c r="V495">
        <v>2.4242480476872368</v>
      </c>
      <c r="W495">
        <v>2.791714955542834</v>
      </c>
      <c r="X495">
        <v>2.487631191530439</v>
      </c>
      <c r="Y495">
        <v>2.9629549541182878</v>
      </c>
      <c r="Z495">
        <v>3.2752763933354849</v>
      </c>
    </row>
    <row r="496" spans="3:26" x14ac:dyDescent="0.25">
      <c r="D496" s="6" t="s">
        <v>72</v>
      </c>
      <c r="E496" s="6" t="s">
        <v>385</v>
      </c>
      <c r="F496" s="6" t="s">
        <v>382</v>
      </c>
      <c r="G496" s="6" t="s">
        <v>363</v>
      </c>
      <c r="H496" s="6" t="s">
        <v>383</v>
      </c>
      <c r="P496" s="10" cm="1">
        <f t="array" ref="P496">BSHARE("health_srv_share",0,"Rural","median")</f>
        <v>2.8697301938633148</v>
      </c>
    </row>
    <row r="497" spans="3:26" x14ac:dyDescent="0.25">
      <c r="D497" s="6" t="s">
        <v>72</v>
      </c>
      <c r="E497" s="6" t="s">
        <v>385</v>
      </c>
      <c r="F497" s="6" t="s">
        <v>145</v>
      </c>
      <c r="G497" s="6" t="s">
        <v>363</v>
      </c>
      <c r="H497" s="6" t="s">
        <v>383</v>
      </c>
      <c r="Q497" s="10" cm="1">
        <f t="array" ref="Q497:Z497">BSHARE("health_srv_share",DECILE_ARRAY,"Rural","median")</f>
        <v>1.775646107323392</v>
      </c>
      <c r="R497">
        <v>1.888713330342439</v>
      </c>
      <c r="S497">
        <v>2.270742835978059</v>
      </c>
      <c r="T497">
        <v>2.3516429356275621</v>
      </c>
      <c r="U497">
        <v>2.55052567920582</v>
      </c>
      <c r="V497">
        <v>2.8390206848759778</v>
      </c>
      <c r="W497">
        <v>2.910387799217764</v>
      </c>
      <c r="X497">
        <v>3.4518866436488178</v>
      </c>
      <c r="Y497">
        <v>3.7274893598579699</v>
      </c>
      <c r="Z497">
        <v>4.6096753364863119</v>
      </c>
    </row>
    <row r="498" spans="3:26" x14ac:dyDescent="0.25">
      <c r="D498" s="6" t="s">
        <v>75</v>
      </c>
      <c r="E498" s="6" t="s">
        <v>381</v>
      </c>
      <c r="F498" s="6" t="s">
        <v>382</v>
      </c>
      <c r="G498" s="6" t="s">
        <v>363</v>
      </c>
      <c r="H498" s="6" t="s">
        <v>383</v>
      </c>
      <c r="P498" s="10" cm="1">
        <f t="array" ref="P498">BSHARE("health_srv_share",0,"Overall","p25")</f>
        <v>1.0215643088492621</v>
      </c>
    </row>
    <row r="499" spans="3:26" x14ac:dyDescent="0.25">
      <c r="D499" s="6" t="s">
        <v>75</v>
      </c>
      <c r="E499" s="6" t="s">
        <v>381</v>
      </c>
      <c r="F499" s="6" t="s">
        <v>145</v>
      </c>
      <c r="G499" s="6" t="s">
        <v>363</v>
      </c>
      <c r="H499" s="6" t="s">
        <v>383</v>
      </c>
      <c r="Q499" s="10" cm="1">
        <f t="array" ref="Q499:Z499">BSHARE("health_srv_share",DECILE_ARRAY,"Overall","p25")</f>
        <v>0.56392054905942002</v>
      </c>
      <c r="R499">
        <v>0.65322485275577724</v>
      </c>
      <c r="S499">
        <v>0.8405711050749578</v>
      </c>
      <c r="T499">
        <v>0.9062660950928848</v>
      </c>
      <c r="U499">
        <v>0.94925142552240982</v>
      </c>
      <c r="V499">
        <v>1.1706771946611709</v>
      </c>
      <c r="W499">
        <v>1.257293423969414</v>
      </c>
      <c r="X499">
        <v>1.480279810476113</v>
      </c>
      <c r="Y499">
        <v>1.2157905627503209</v>
      </c>
      <c r="Z499">
        <v>1.452769397306126</v>
      </c>
    </row>
    <row r="500" spans="3:26" x14ac:dyDescent="0.25">
      <c r="D500" s="6" t="s">
        <v>75</v>
      </c>
      <c r="E500" s="6" t="s">
        <v>384</v>
      </c>
      <c r="F500" s="6" t="s">
        <v>382</v>
      </c>
      <c r="G500" s="6" t="s">
        <v>363</v>
      </c>
      <c r="H500" s="6" t="s">
        <v>383</v>
      </c>
      <c r="P500" s="10" cm="1">
        <f t="array" ref="P500">BSHARE("health_srv_share",0,"Urban","p25")</f>
        <v>0.73445985857359752</v>
      </c>
    </row>
    <row r="501" spans="3:26" x14ac:dyDescent="0.25">
      <c r="D501" s="6" t="s">
        <v>75</v>
      </c>
      <c r="E501" s="6" t="s">
        <v>384</v>
      </c>
      <c r="F501" s="6" t="s">
        <v>145</v>
      </c>
      <c r="G501" s="6" t="s">
        <v>363</v>
      </c>
      <c r="H501" s="6" t="s">
        <v>383</v>
      </c>
      <c r="Q501" s="10" cm="1">
        <f t="array" ref="Q501:Z501">BSHARE("health_srv_share",DECILE_ARRAY,"Urban","p25")</f>
        <v>0.32115374369493149</v>
      </c>
      <c r="R501">
        <v>0.44001469970326151</v>
      </c>
      <c r="S501">
        <v>0.6880238527309992</v>
      </c>
      <c r="T501">
        <v>0.63649836133026216</v>
      </c>
      <c r="U501">
        <v>0.87783862452927508</v>
      </c>
      <c r="V501">
        <v>0.90586209111955029</v>
      </c>
      <c r="W501">
        <v>1.0395193057976739</v>
      </c>
      <c r="X501">
        <v>1.0329434066376999</v>
      </c>
      <c r="Y501">
        <v>1.1034854233637581</v>
      </c>
      <c r="Z501">
        <v>1.3430251363556811</v>
      </c>
    </row>
    <row r="502" spans="3:26" x14ac:dyDescent="0.25">
      <c r="D502" s="6" t="s">
        <v>75</v>
      </c>
      <c r="E502" s="6" t="s">
        <v>385</v>
      </c>
      <c r="F502" s="6" t="s">
        <v>382</v>
      </c>
      <c r="G502" s="6" t="s">
        <v>363</v>
      </c>
      <c r="H502" s="6" t="s">
        <v>383</v>
      </c>
      <c r="P502" s="10" cm="1">
        <f t="array" ref="P502">BSHARE("health_srv_share",0,"Rural","p25")</f>
        <v>1.114005333292271</v>
      </c>
    </row>
    <row r="503" spans="3:26" x14ac:dyDescent="0.25">
      <c r="D503" s="6" t="s">
        <v>75</v>
      </c>
      <c r="E503" s="6" t="s">
        <v>385</v>
      </c>
      <c r="F503" s="6" t="s">
        <v>145</v>
      </c>
      <c r="G503" s="6" t="s">
        <v>363</v>
      </c>
      <c r="H503" s="6" t="s">
        <v>383</v>
      </c>
      <c r="Q503" s="10" cm="1">
        <f t="array" ref="Q503:Z503">BSHARE("health_srv_share",DECILE_ARRAY,"Rural","p25")</f>
        <v>0.68561446912389989</v>
      </c>
      <c r="R503">
        <v>0.83601793264748803</v>
      </c>
      <c r="S503">
        <v>0.98301057412684489</v>
      </c>
      <c r="T503">
        <v>1.0192916917105059</v>
      </c>
      <c r="U503">
        <v>1.1685779020166689</v>
      </c>
      <c r="V503">
        <v>1.2188757619470161</v>
      </c>
      <c r="W503">
        <v>1.4495813357905449</v>
      </c>
      <c r="X503">
        <v>1.6020757646646331</v>
      </c>
      <c r="Y503">
        <v>1.744991691050805</v>
      </c>
      <c r="Z503">
        <v>1.9980582966397269</v>
      </c>
    </row>
    <row r="504" spans="3:26" x14ac:dyDescent="0.25">
      <c r="D504" s="6" t="s">
        <v>78</v>
      </c>
      <c r="E504" s="6" t="s">
        <v>381</v>
      </c>
      <c r="F504" s="6" t="s">
        <v>382</v>
      </c>
      <c r="G504" s="6" t="s">
        <v>363</v>
      </c>
      <c r="H504" s="6" t="s">
        <v>383</v>
      </c>
      <c r="P504" s="10" cm="1">
        <f t="array" ref="P504">BSHARE("health_srv_share",0,"Overall","p75")</f>
        <v>5.2064205340229028</v>
      </c>
    </row>
    <row r="505" spans="3:26" x14ac:dyDescent="0.25">
      <c r="D505" s="6" t="s">
        <v>78</v>
      </c>
      <c r="E505" s="6" t="s">
        <v>381</v>
      </c>
      <c r="F505" s="6" t="s">
        <v>145</v>
      </c>
      <c r="G505" s="6" t="s">
        <v>363</v>
      </c>
      <c r="H505" s="6" t="s">
        <v>383</v>
      </c>
      <c r="Q505" s="10" cm="1">
        <f t="array" ref="Q505:Z505">BSHARE("health_srv_share",DECILE_ARRAY,"Overall","p75")</f>
        <v>3.9276228815960632</v>
      </c>
      <c r="R505">
        <v>4.1831380375427036</v>
      </c>
      <c r="S505">
        <v>4.3854255666266351</v>
      </c>
      <c r="T505">
        <v>5.1205446992595798</v>
      </c>
      <c r="U505">
        <v>5.1449805618453821</v>
      </c>
      <c r="V505">
        <v>5.5738689841363822</v>
      </c>
      <c r="W505">
        <v>6.143029131960839</v>
      </c>
      <c r="X505">
        <v>6.4801719703760492</v>
      </c>
      <c r="Y505">
        <v>6.0031441395095886</v>
      </c>
      <c r="Z505">
        <v>7.2523529260315884</v>
      </c>
    </row>
    <row r="506" spans="3:26" x14ac:dyDescent="0.25">
      <c r="D506" s="6" t="s">
        <v>78</v>
      </c>
      <c r="E506" s="6" t="s">
        <v>384</v>
      </c>
      <c r="F506" s="6" t="s">
        <v>382</v>
      </c>
      <c r="G506" s="6" t="s">
        <v>363</v>
      </c>
      <c r="H506" s="6" t="s">
        <v>383</v>
      </c>
      <c r="P506" s="10" cm="1">
        <f t="array" ref="P506">BSHARE("health_srv_share",0,"Urban","p75")</f>
        <v>4.6090732168737567</v>
      </c>
    </row>
    <row r="507" spans="3:26" x14ac:dyDescent="0.25">
      <c r="D507" s="6" t="s">
        <v>78</v>
      </c>
      <c r="E507" s="6" t="s">
        <v>384</v>
      </c>
      <c r="F507" s="6" t="s">
        <v>145</v>
      </c>
      <c r="G507" s="6" t="s">
        <v>363</v>
      </c>
      <c r="H507" s="6" t="s">
        <v>383</v>
      </c>
      <c r="Q507" s="10" cm="1">
        <f t="array" ref="Q507:Z507">BSHARE("health_srv_share",DECILE_ARRAY,"Urban","p75")</f>
        <v>3.4699034081313398</v>
      </c>
      <c r="R507">
        <v>3.5658844800125258</v>
      </c>
      <c r="S507">
        <v>4.3213966048372736</v>
      </c>
      <c r="T507">
        <v>4.008047869517207</v>
      </c>
      <c r="U507">
        <v>4.8250462600784729</v>
      </c>
      <c r="V507">
        <v>4.4911599900728376</v>
      </c>
      <c r="W507">
        <v>5.4730451786088601</v>
      </c>
      <c r="X507">
        <v>5.189894949489017</v>
      </c>
      <c r="Y507">
        <v>5.7221221761586429</v>
      </c>
      <c r="Z507">
        <v>6.8405756031417928</v>
      </c>
    </row>
    <row r="508" spans="3:26" x14ac:dyDescent="0.25">
      <c r="D508" s="6" t="s">
        <v>78</v>
      </c>
      <c r="E508" s="6" t="s">
        <v>385</v>
      </c>
      <c r="F508" s="6" t="s">
        <v>382</v>
      </c>
      <c r="G508" s="6" t="s">
        <v>363</v>
      </c>
      <c r="H508" s="6" t="s">
        <v>383</v>
      </c>
      <c r="P508" s="10" cm="1">
        <f t="array" ref="P508">BSHARE("health_srv_share",0,"Rural","p75")</f>
        <v>5.9399096262657931</v>
      </c>
    </row>
    <row r="509" spans="3:26" x14ac:dyDescent="0.25">
      <c r="D509" s="6" t="s">
        <v>78</v>
      </c>
      <c r="E509" s="6" t="s">
        <v>385</v>
      </c>
      <c r="F509" s="6" t="s">
        <v>145</v>
      </c>
      <c r="G509" s="6" t="s">
        <v>363</v>
      </c>
      <c r="H509" s="6" t="s">
        <v>383</v>
      </c>
      <c r="Q509" s="10" cm="1">
        <f t="array" ref="Q509:Z509">BSHARE("health_srv_share",DECILE_ARRAY,"Rural","p75")</f>
        <v>4.0527473188855794</v>
      </c>
      <c r="R509">
        <v>4.1162493904226602</v>
      </c>
      <c r="S509">
        <v>3.8905036874980921</v>
      </c>
      <c r="T509">
        <v>4.8311810583425716</v>
      </c>
      <c r="U509">
        <v>5.2637746008604562</v>
      </c>
      <c r="V509">
        <v>5.4523936367981154</v>
      </c>
      <c r="W509">
        <v>6.1895836596057228</v>
      </c>
      <c r="X509">
        <v>6.4124723036545088</v>
      </c>
      <c r="Y509">
        <v>6.7869219977883892</v>
      </c>
      <c r="Z509">
        <v>9.3107500927260602</v>
      </c>
    </row>
    <row r="511" spans="3:26" x14ac:dyDescent="0.25">
      <c r="C511" s="7" t="s">
        <v>408</v>
      </c>
      <c r="G511" s="6" t="s">
        <v>365</v>
      </c>
      <c r="O511" s="2" t="s">
        <v>331</v>
      </c>
      <c r="Q511" s="2">
        <v>1</v>
      </c>
      <c r="R511" s="2">
        <v>2</v>
      </c>
      <c r="S511" s="2">
        <v>3</v>
      </c>
      <c r="T511" s="2">
        <v>4</v>
      </c>
      <c r="U511" s="2">
        <v>5</v>
      </c>
      <c r="V511" s="2">
        <v>6</v>
      </c>
      <c r="W511" s="2">
        <v>7</v>
      </c>
      <c r="X511" s="2">
        <v>8</v>
      </c>
      <c r="Y511" s="2">
        <v>9</v>
      </c>
      <c r="Z511" s="2">
        <v>10</v>
      </c>
    </row>
    <row r="512" spans="3:26" x14ac:dyDescent="0.25">
      <c r="D512" s="6" t="s">
        <v>69</v>
      </c>
      <c r="E512" s="6" t="s">
        <v>381</v>
      </c>
      <c r="F512" s="6" t="s">
        <v>382</v>
      </c>
      <c r="G512" s="6" t="s">
        <v>365</v>
      </c>
      <c r="H512" s="6" t="s">
        <v>383</v>
      </c>
      <c r="P512" s="10" cm="1">
        <f t="array" ref="P512">BSHARE("housing_share",0,"Overall","mean")</f>
        <v>4.7118081108030454</v>
      </c>
    </row>
    <row r="513" spans="4:26" x14ac:dyDescent="0.25">
      <c r="D513" s="6" t="s">
        <v>69</v>
      </c>
      <c r="E513" s="6" t="s">
        <v>381</v>
      </c>
      <c r="F513" s="6" t="s">
        <v>145</v>
      </c>
      <c r="G513" s="6" t="s">
        <v>365</v>
      </c>
      <c r="H513" s="6" t="s">
        <v>383</v>
      </c>
      <c r="Q513" s="10" cm="1">
        <f t="array" ref="Q513:Z513">BSHARE("housing_share",DECILE_ARRAY,"Overall","mean")</f>
        <v>5.226548763690845</v>
      </c>
      <c r="R513">
        <v>4.4832502410988022</v>
      </c>
      <c r="S513">
        <v>4.7928304669003872</v>
      </c>
      <c r="T513">
        <v>4.1509372119436074</v>
      </c>
      <c r="U513">
        <v>4.7661458042837879</v>
      </c>
      <c r="V513">
        <v>4.6193539488696533</v>
      </c>
      <c r="W513">
        <v>4.6913202775131824</v>
      </c>
      <c r="X513">
        <v>4.4300753902827532</v>
      </c>
      <c r="Y513">
        <v>4.4230103364290612</v>
      </c>
      <c r="Z513">
        <v>6.0026218297734406</v>
      </c>
    </row>
    <row r="514" spans="4:26" x14ac:dyDescent="0.25">
      <c r="D514" s="6" t="s">
        <v>69</v>
      </c>
      <c r="E514" s="6" t="s">
        <v>384</v>
      </c>
      <c r="F514" s="6" t="s">
        <v>382</v>
      </c>
      <c r="G514" s="6" t="s">
        <v>365</v>
      </c>
      <c r="H514" s="6" t="s">
        <v>383</v>
      </c>
      <c r="P514" s="10" cm="1">
        <f t="array" ref="P514">BSHARE("housing_share",0,"Urban","mean")</f>
        <v>6.2816296179197924</v>
      </c>
    </row>
    <row r="515" spans="4:26" x14ac:dyDescent="0.25">
      <c r="D515" s="6" t="s">
        <v>69</v>
      </c>
      <c r="E515" s="6" t="s">
        <v>384</v>
      </c>
      <c r="F515" s="6" t="s">
        <v>145</v>
      </c>
      <c r="G515" s="6" t="s">
        <v>365</v>
      </c>
      <c r="H515" s="6" t="s">
        <v>383</v>
      </c>
      <c r="Q515" s="10" cm="1">
        <f t="array" ref="Q515:Z515">BSHARE("housing_share",DECILE_ARRAY,"Urban","mean")</f>
        <v>7.7108575479537889</v>
      </c>
      <c r="R515">
        <v>6.7401140011908884</v>
      </c>
      <c r="S515">
        <v>6.0151884504047759</v>
      </c>
      <c r="T515">
        <v>5.5514535217077317</v>
      </c>
      <c r="U515">
        <v>5.6185491645642269</v>
      </c>
      <c r="V515">
        <v>5.1506122639290703</v>
      </c>
      <c r="W515">
        <v>5.1088696724860094</v>
      </c>
      <c r="X515">
        <v>5.2474268861298743</v>
      </c>
      <c r="Y515">
        <v>5.8402497224559804</v>
      </c>
      <c r="Z515">
        <v>6.4814796738216094</v>
      </c>
    </row>
    <row r="516" spans="4:26" x14ac:dyDescent="0.25">
      <c r="D516" s="6" t="s">
        <v>69</v>
      </c>
      <c r="E516" s="6" t="s">
        <v>385</v>
      </c>
      <c r="F516" s="6" t="s">
        <v>382</v>
      </c>
      <c r="G516" s="6" t="s">
        <v>365</v>
      </c>
      <c r="H516" s="6" t="s">
        <v>383</v>
      </c>
      <c r="P516" s="10" cm="1">
        <f t="array" ref="P516">BSHARE("housing_share",0,"Rural","mean")</f>
        <v>3.97280199710986</v>
      </c>
    </row>
    <row r="517" spans="4:26" x14ac:dyDescent="0.25">
      <c r="D517" s="6" t="s">
        <v>69</v>
      </c>
      <c r="E517" s="6" t="s">
        <v>385</v>
      </c>
      <c r="F517" s="6" t="s">
        <v>145</v>
      </c>
      <c r="G517" s="6" t="s">
        <v>365</v>
      </c>
      <c r="H517" s="6" t="s">
        <v>383</v>
      </c>
      <c r="Q517" s="10" cm="1">
        <f t="array" ref="Q517:Z517">BSHARE("housing_share",DECILE_ARRAY,"Rural","mean")</f>
        <v>4.0248042849778018</v>
      </c>
      <c r="R517">
        <v>3.5866666192035321</v>
      </c>
      <c r="S517">
        <v>3.9547579198130149</v>
      </c>
      <c r="T517">
        <v>3.40782479728384</v>
      </c>
      <c r="U517">
        <v>3.2113700591744641</v>
      </c>
      <c r="V517">
        <v>3.9821670200773691</v>
      </c>
      <c r="W517">
        <v>3.4884141486495599</v>
      </c>
      <c r="X517">
        <v>4.1558811016560471</v>
      </c>
      <c r="Y517">
        <v>4.0701158074173174</v>
      </c>
      <c r="Z517">
        <v>4.7145455495662976</v>
      </c>
    </row>
    <row r="518" spans="4:26" x14ac:dyDescent="0.25">
      <c r="D518" s="6" t="s">
        <v>72</v>
      </c>
      <c r="E518" s="6" t="s">
        <v>381</v>
      </c>
      <c r="F518" s="6" t="s">
        <v>382</v>
      </c>
      <c r="G518" s="6" t="s">
        <v>365</v>
      </c>
      <c r="H518" s="6" t="s">
        <v>383</v>
      </c>
      <c r="P518" s="10" cm="1">
        <f t="array" ref="P518">BSHARE("housing_share",0,"Overall","median")</f>
        <v>2.967881473768923</v>
      </c>
    </row>
    <row r="519" spans="4:26" x14ac:dyDescent="0.25">
      <c r="D519" s="6" t="s">
        <v>72</v>
      </c>
      <c r="E519" s="6" t="s">
        <v>381</v>
      </c>
      <c r="F519" s="6" t="s">
        <v>145</v>
      </c>
      <c r="G519" s="6" t="s">
        <v>365</v>
      </c>
      <c r="H519" s="6" t="s">
        <v>383</v>
      </c>
      <c r="Q519" s="10" cm="1">
        <f t="array" ref="Q519:Z519">BSHARE("housing_share",DECILE_ARRAY,"Overall","median")</f>
        <v>3.16389068055393</v>
      </c>
      <c r="R519">
        <v>3.0198706127983468</v>
      </c>
      <c r="S519">
        <v>2.990584340006289</v>
      </c>
      <c r="T519">
        <v>2.988943672345441</v>
      </c>
      <c r="U519">
        <v>2.9148314676714491</v>
      </c>
      <c r="V519">
        <v>2.8205115318943541</v>
      </c>
      <c r="W519">
        <v>2.8071106988120502</v>
      </c>
      <c r="X519">
        <v>3.2695843468832382</v>
      </c>
      <c r="Y519">
        <v>3.050801570659825</v>
      </c>
      <c r="Z519">
        <v>4.1066450287515481</v>
      </c>
    </row>
    <row r="520" spans="4:26" x14ac:dyDescent="0.25">
      <c r="D520" s="6" t="s">
        <v>72</v>
      </c>
      <c r="E520" s="6" t="s">
        <v>384</v>
      </c>
      <c r="F520" s="6" t="s">
        <v>382</v>
      </c>
      <c r="G520" s="6" t="s">
        <v>365</v>
      </c>
      <c r="H520" s="6" t="s">
        <v>383</v>
      </c>
      <c r="P520" s="10" cm="1">
        <f t="array" ref="P520">BSHARE("housing_share",0,"Urban","median")</f>
        <v>3.5508275039373309</v>
      </c>
    </row>
    <row r="521" spans="4:26" x14ac:dyDescent="0.25">
      <c r="D521" s="6" t="s">
        <v>72</v>
      </c>
      <c r="E521" s="6" t="s">
        <v>384</v>
      </c>
      <c r="F521" s="6" t="s">
        <v>145</v>
      </c>
      <c r="G521" s="6" t="s">
        <v>365</v>
      </c>
      <c r="H521" s="6" t="s">
        <v>383</v>
      </c>
      <c r="Q521" s="10" cm="1">
        <f t="array" ref="Q521:Z521">BSHARE("housing_share",DECILE_ARRAY,"Urban","median")</f>
        <v>4.3537459096055864</v>
      </c>
      <c r="R521">
        <v>3.7646105235204219</v>
      </c>
      <c r="S521">
        <v>3.3769191741546618</v>
      </c>
      <c r="T521">
        <v>3.2784964939824812</v>
      </c>
      <c r="U521">
        <v>3.419751958509035</v>
      </c>
      <c r="V521">
        <v>3.4512023819683249</v>
      </c>
      <c r="W521">
        <v>3.465073215304133</v>
      </c>
      <c r="X521">
        <v>3.31877805523402</v>
      </c>
      <c r="Y521">
        <v>3.4332694689493128</v>
      </c>
      <c r="Z521">
        <v>4.7092671192331741</v>
      </c>
    </row>
    <row r="522" spans="4:26" x14ac:dyDescent="0.25">
      <c r="D522" s="6" t="s">
        <v>72</v>
      </c>
      <c r="E522" s="6" t="s">
        <v>385</v>
      </c>
      <c r="F522" s="6" t="s">
        <v>382</v>
      </c>
      <c r="G522" s="6" t="s">
        <v>365</v>
      </c>
      <c r="H522" s="6" t="s">
        <v>383</v>
      </c>
      <c r="P522" s="10" cm="1">
        <f t="array" ref="P522">BSHARE("housing_share",0,"Rural","median")</f>
        <v>2.7460332895199171</v>
      </c>
    </row>
    <row r="523" spans="4:26" x14ac:dyDescent="0.25">
      <c r="D523" s="6" t="s">
        <v>72</v>
      </c>
      <c r="E523" s="6" t="s">
        <v>385</v>
      </c>
      <c r="F523" s="6" t="s">
        <v>145</v>
      </c>
      <c r="G523" s="6" t="s">
        <v>365</v>
      </c>
      <c r="H523" s="6" t="s">
        <v>383</v>
      </c>
      <c r="Q523" s="10" cm="1">
        <f t="array" ref="Q523:Z523">BSHARE("housing_share",DECILE_ARRAY,"Rural","median")</f>
        <v>2.6967236797431289</v>
      </c>
      <c r="R523">
        <v>2.499470316557769</v>
      </c>
      <c r="S523">
        <v>2.6146695683970091</v>
      </c>
      <c r="T523">
        <v>2.8616338955135259</v>
      </c>
      <c r="U523">
        <v>2.712973624052283</v>
      </c>
      <c r="V523">
        <v>2.947317076242054</v>
      </c>
      <c r="W523">
        <v>2.6297390154134641</v>
      </c>
      <c r="X523">
        <v>2.8060916956947359</v>
      </c>
      <c r="Y523">
        <v>2.8070892008749539</v>
      </c>
      <c r="Z523">
        <v>3.099565336569623</v>
      </c>
    </row>
    <row r="524" spans="4:26" x14ac:dyDescent="0.25">
      <c r="D524" s="6" t="s">
        <v>75</v>
      </c>
      <c r="E524" s="6" t="s">
        <v>381</v>
      </c>
      <c r="F524" s="6" t="s">
        <v>382</v>
      </c>
      <c r="G524" s="6" t="s">
        <v>365</v>
      </c>
      <c r="H524" s="6" t="s">
        <v>383</v>
      </c>
      <c r="P524" s="10" cm="1">
        <f t="array" ref="P524">BSHARE("housing_share",0,"Overall","p25")</f>
        <v>1.9624250714234479</v>
      </c>
    </row>
    <row r="525" spans="4:26" x14ac:dyDescent="0.25">
      <c r="D525" s="6" t="s">
        <v>75</v>
      </c>
      <c r="E525" s="6" t="s">
        <v>381</v>
      </c>
      <c r="F525" s="6" t="s">
        <v>145</v>
      </c>
      <c r="G525" s="6" t="s">
        <v>365</v>
      </c>
      <c r="H525" s="6" t="s">
        <v>383</v>
      </c>
      <c r="Q525" s="10" cm="1">
        <f t="array" ref="Q525:Z525">BSHARE("housing_share",DECILE_ARRAY,"Overall","p25")</f>
        <v>1.8119653060923251</v>
      </c>
      <c r="R525">
        <v>1.945149220130808</v>
      </c>
      <c r="S525">
        <v>1.86479456020635</v>
      </c>
      <c r="T525">
        <v>1.756364668745281</v>
      </c>
      <c r="U525">
        <v>2.034737757852783</v>
      </c>
      <c r="V525">
        <v>1.896589030194868</v>
      </c>
      <c r="W525">
        <v>1.7351019792942259</v>
      </c>
      <c r="X525">
        <v>2.0197034676906052</v>
      </c>
      <c r="Y525">
        <v>2.0417611834636671</v>
      </c>
      <c r="Z525">
        <v>2.0354406582563231</v>
      </c>
    </row>
    <row r="526" spans="4:26" x14ac:dyDescent="0.25">
      <c r="D526" s="6" t="s">
        <v>75</v>
      </c>
      <c r="E526" s="6" t="s">
        <v>384</v>
      </c>
      <c r="F526" s="6" t="s">
        <v>382</v>
      </c>
      <c r="G526" s="6" t="s">
        <v>365</v>
      </c>
      <c r="H526" s="6" t="s">
        <v>383</v>
      </c>
      <c r="P526" s="10" cm="1">
        <f t="array" ref="P526">BSHARE("housing_share",0,"Urban","p25")</f>
        <v>2.061486850025589</v>
      </c>
    </row>
    <row r="527" spans="4:26" x14ac:dyDescent="0.25">
      <c r="D527" s="6" t="s">
        <v>75</v>
      </c>
      <c r="E527" s="6" t="s">
        <v>384</v>
      </c>
      <c r="F527" s="6" t="s">
        <v>145</v>
      </c>
      <c r="G527" s="6" t="s">
        <v>365</v>
      </c>
      <c r="H527" s="6" t="s">
        <v>383</v>
      </c>
      <c r="Q527" s="10" cm="1">
        <f t="array" ref="Q527:Z527">BSHARE("housing_share",DECILE_ARRAY,"Urban","p25")</f>
        <v>2.2516687694432611</v>
      </c>
      <c r="R527">
        <v>2.1798577888080648</v>
      </c>
      <c r="S527">
        <v>2.3398525500341658</v>
      </c>
      <c r="T527">
        <v>1.8625921828772729</v>
      </c>
      <c r="U527">
        <v>2.090105248777121</v>
      </c>
      <c r="V527">
        <v>1.998523085131878</v>
      </c>
      <c r="W527">
        <v>2.0062262213309099</v>
      </c>
      <c r="X527">
        <v>2.0476232571891262</v>
      </c>
      <c r="Y527">
        <v>2.1296956027939111</v>
      </c>
      <c r="Z527">
        <v>2.2424438132227471</v>
      </c>
    </row>
    <row r="528" spans="4:26" x14ac:dyDescent="0.25">
      <c r="D528" s="6" t="s">
        <v>75</v>
      </c>
      <c r="E528" s="6" t="s">
        <v>385</v>
      </c>
      <c r="F528" s="6" t="s">
        <v>382</v>
      </c>
      <c r="G528" s="6" t="s">
        <v>365</v>
      </c>
      <c r="H528" s="6" t="s">
        <v>383</v>
      </c>
      <c r="P528" s="10" cm="1">
        <f t="array" ref="P528">BSHARE("housing_share",0,"Rural","p25")</f>
        <v>1.8912699280040559</v>
      </c>
    </row>
    <row r="529" spans="3:26" x14ac:dyDescent="0.25">
      <c r="D529" s="6" t="s">
        <v>75</v>
      </c>
      <c r="E529" s="6" t="s">
        <v>385</v>
      </c>
      <c r="F529" s="6" t="s">
        <v>145</v>
      </c>
      <c r="G529" s="6" t="s">
        <v>365</v>
      </c>
      <c r="H529" s="6" t="s">
        <v>383</v>
      </c>
      <c r="Q529" s="10" cm="1">
        <f t="array" ref="Q529:Z529">BSHARE("housing_share",DECILE_ARRAY,"Rural","p25")</f>
        <v>1.882779727131894</v>
      </c>
      <c r="R529">
        <v>1.7362040367101499</v>
      </c>
      <c r="S529">
        <v>1.8256672731488639</v>
      </c>
      <c r="T529">
        <v>1.813819498165324</v>
      </c>
      <c r="U529">
        <v>1.626570022947883</v>
      </c>
      <c r="V529">
        <v>1.869823386455342</v>
      </c>
      <c r="W529">
        <v>1.73957446699195</v>
      </c>
      <c r="X529">
        <v>1.7099088356472141</v>
      </c>
      <c r="Y529">
        <v>1.927891304121605</v>
      </c>
      <c r="Z529">
        <v>1.873509554164271</v>
      </c>
    </row>
    <row r="530" spans="3:26" x14ac:dyDescent="0.25">
      <c r="D530" s="6" t="s">
        <v>78</v>
      </c>
      <c r="E530" s="6" t="s">
        <v>381</v>
      </c>
      <c r="F530" s="6" t="s">
        <v>382</v>
      </c>
      <c r="G530" s="6" t="s">
        <v>365</v>
      </c>
      <c r="H530" s="6" t="s">
        <v>383</v>
      </c>
      <c r="P530" s="10" cm="1">
        <f t="array" ref="P530">BSHARE("housing_share",0,"Overall","p75")</f>
        <v>5.6136428566584202</v>
      </c>
    </row>
    <row r="531" spans="3:26" x14ac:dyDescent="0.25">
      <c r="D531" s="6" t="s">
        <v>78</v>
      </c>
      <c r="E531" s="6" t="s">
        <v>381</v>
      </c>
      <c r="F531" s="6" t="s">
        <v>145</v>
      </c>
      <c r="G531" s="6" t="s">
        <v>365</v>
      </c>
      <c r="H531" s="6" t="s">
        <v>383</v>
      </c>
      <c r="Q531" s="10" cm="1">
        <f t="array" ref="Q531:Z531">BSHARE("housing_share",DECILE_ARRAY,"Overall","p75")</f>
        <v>5.4474038480168918</v>
      </c>
      <c r="R531">
        <v>4.47127247428533</v>
      </c>
      <c r="S531">
        <v>4.8418925917264968</v>
      </c>
      <c r="T531">
        <v>5.0238555958983877</v>
      </c>
      <c r="U531">
        <v>4.7301432618755168</v>
      </c>
      <c r="V531">
        <v>5.1272750750249623</v>
      </c>
      <c r="W531">
        <v>5.5420900309992636</v>
      </c>
      <c r="X531">
        <v>5.5156102420658062</v>
      </c>
      <c r="Y531">
        <v>5.1628246846396149</v>
      </c>
      <c r="Z531">
        <v>7.2252377169151911</v>
      </c>
    </row>
    <row r="532" spans="3:26" x14ac:dyDescent="0.25">
      <c r="D532" s="6" t="s">
        <v>78</v>
      </c>
      <c r="E532" s="6" t="s">
        <v>384</v>
      </c>
      <c r="F532" s="6" t="s">
        <v>382</v>
      </c>
      <c r="G532" s="6" t="s">
        <v>365</v>
      </c>
      <c r="H532" s="6" t="s">
        <v>383</v>
      </c>
      <c r="P532" s="10" cm="1">
        <f t="array" ref="P532">BSHARE("housing_share",0,"Urban","p75")</f>
        <v>6.9573508733432528</v>
      </c>
    </row>
    <row r="533" spans="3:26" x14ac:dyDescent="0.25">
      <c r="D533" s="6" t="s">
        <v>78</v>
      </c>
      <c r="E533" s="6" t="s">
        <v>384</v>
      </c>
      <c r="F533" s="6" t="s">
        <v>145</v>
      </c>
      <c r="G533" s="6" t="s">
        <v>365</v>
      </c>
      <c r="H533" s="6" t="s">
        <v>383</v>
      </c>
      <c r="Q533" s="10" cm="1">
        <f t="array" ref="Q533:Z533">BSHARE("housing_share",DECILE_ARRAY,"Urban","p75")</f>
        <v>10.000985092801461</v>
      </c>
      <c r="R533">
        <v>8.1119227847409974</v>
      </c>
      <c r="S533">
        <v>8.1457978780714413</v>
      </c>
      <c r="T533">
        <v>6.9856429998815699</v>
      </c>
      <c r="U533">
        <v>6.9264420629823276</v>
      </c>
      <c r="V533">
        <v>6.4521773025550484</v>
      </c>
      <c r="W533">
        <v>6.2694380051397411</v>
      </c>
      <c r="X533">
        <v>6.6561996154174983</v>
      </c>
      <c r="Y533">
        <v>6.7417721136352569</v>
      </c>
      <c r="Z533">
        <v>8.1048458322250845</v>
      </c>
    </row>
    <row r="534" spans="3:26" x14ac:dyDescent="0.25">
      <c r="D534" s="6" t="s">
        <v>78</v>
      </c>
      <c r="E534" s="6" t="s">
        <v>385</v>
      </c>
      <c r="F534" s="6" t="s">
        <v>382</v>
      </c>
      <c r="G534" s="6" t="s">
        <v>365</v>
      </c>
      <c r="H534" s="6" t="s">
        <v>383</v>
      </c>
      <c r="P534" s="10" cm="1">
        <f t="array" ref="P534">BSHARE("housing_share",0,"Rural","p75")</f>
        <v>4.5473809409530928</v>
      </c>
    </row>
    <row r="535" spans="3:26" x14ac:dyDescent="0.25">
      <c r="D535" s="6" t="s">
        <v>78</v>
      </c>
      <c r="E535" s="6" t="s">
        <v>385</v>
      </c>
      <c r="F535" s="6" t="s">
        <v>145</v>
      </c>
      <c r="G535" s="6" t="s">
        <v>365</v>
      </c>
      <c r="H535" s="6" t="s">
        <v>383</v>
      </c>
      <c r="Q535" s="10" cm="1">
        <f t="array" ref="Q535:Z535">BSHARE("housing_share",DECILE_ARRAY,"Rural","p75")</f>
        <v>4.2283600666949264</v>
      </c>
      <c r="R535">
        <v>4.3145772864384977</v>
      </c>
      <c r="S535">
        <v>4.3046685402041422</v>
      </c>
      <c r="T535">
        <v>4.0139808885920862</v>
      </c>
      <c r="U535">
        <v>3.7755127739651209</v>
      </c>
      <c r="V535">
        <v>4.5281907334846458</v>
      </c>
      <c r="W535">
        <v>4.4342573446382527</v>
      </c>
      <c r="X535">
        <v>4.1394800784515908</v>
      </c>
      <c r="Y535">
        <v>4.4767332788704826</v>
      </c>
      <c r="Z535">
        <v>4.8976892609884706</v>
      </c>
    </row>
    <row r="537" spans="3:26" x14ac:dyDescent="0.25">
      <c r="C537" s="7" t="s">
        <v>409</v>
      </c>
      <c r="G537" s="6" t="s">
        <v>367</v>
      </c>
      <c r="O537" s="2" t="s">
        <v>331</v>
      </c>
      <c r="Q537" s="2">
        <v>1</v>
      </c>
      <c r="R537" s="2">
        <v>2</v>
      </c>
      <c r="S537" s="2">
        <v>3</v>
      </c>
      <c r="T537" s="2">
        <v>4</v>
      </c>
      <c r="U537" s="2">
        <v>5</v>
      </c>
      <c r="V537" s="2">
        <v>6</v>
      </c>
      <c r="W537" s="2">
        <v>7</v>
      </c>
      <c r="X537" s="2">
        <v>8</v>
      </c>
      <c r="Y537" s="2">
        <v>9</v>
      </c>
      <c r="Z537" s="2">
        <v>10</v>
      </c>
    </row>
    <row r="538" spans="3:26" x14ac:dyDescent="0.25">
      <c r="D538" s="6" t="s">
        <v>69</v>
      </c>
      <c r="E538" s="6" t="s">
        <v>381</v>
      </c>
      <c r="F538" s="6" t="s">
        <v>382</v>
      </c>
      <c r="G538" s="6" t="s">
        <v>367</v>
      </c>
      <c r="H538" s="6" t="s">
        <v>383</v>
      </c>
      <c r="P538" s="10" cm="1">
        <f t="array" ref="P538">BSHARE("other_share",0,"Overall","mean")</f>
        <v>1.5549701214305E-2</v>
      </c>
    </row>
    <row r="539" spans="3:26" x14ac:dyDescent="0.25">
      <c r="D539" s="6" t="s">
        <v>69</v>
      </c>
      <c r="E539" s="6" t="s">
        <v>381</v>
      </c>
      <c r="F539" s="6" t="s">
        <v>145</v>
      </c>
      <c r="G539" s="6" t="s">
        <v>367</v>
      </c>
      <c r="H539" s="6" t="s">
        <v>383</v>
      </c>
      <c r="Q539" s="10" cm="1">
        <f t="array" ref="Q539:Z539">BSHARE("other_share",DECILE_ARRAY,"Overall","mean")</f>
        <v>1.310867309642412E-2</v>
      </c>
      <c r="R539">
        <v>8.9556743927716714E-3</v>
      </c>
      <c r="S539">
        <v>6.5137910239496744E-3</v>
      </c>
      <c r="T539">
        <v>8.9786663231091555E-3</v>
      </c>
      <c r="U539">
        <v>2.0607883202752132E-2</v>
      </c>
      <c r="V539">
        <v>1.5377897454934191E-2</v>
      </c>
      <c r="W539">
        <v>1.4167844522886681E-2</v>
      </c>
      <c r="X539">
        <v>1.847465109333369E-2</v>
      </c>
      <c r="Y539">
        <v>1.6786368978136779E-2</v>
      </c>
      <c r="Z539">
        <v>2.8417705950754379E-2</v>
      </c>
    </row>
    <row r="540" spans="3:26" x14ac:dyDescent="0.25">
      <c r="D540" s="6" t="s">
        <v>69</v>
      </c>
      <c r="E540" s="6" t="s">
        <v>384</v>
      </c>
      <c r="F540" s="6" t="s">
        <v>382</v>
      </c>
      <c r="G540" s="6" t="s">
        <v>367</v>
      </c>
      <c r="H540" s="6" t="s">
        <v>383</v>
      </c>
      <c r="P540" s="10" cm="1">
        <f t="array" ref="P540">BSHARE("other_share",0,"Urban","mean")</f>
        <v>2.1610618736301029E-2</v>
      </c>
    </row>
    <row r="541" spans="3:26" x14ac:dyDescent="0.25">
      <c r="D541" s="6" t="s">
        <v>69</v>
      </c>
      <c r="E541" s="6" t="s">
        <v>384</v>
      </c>
      <c r="F541" s="6" t="s">
        <v>145</v>
      </c>
      <c r="G541" s="6" t="s">
        <v>367</v>
      </c>
      <c r="H541" s="6" t="s">
        <v>383</v>
      </c>
      <c r="Q541" s="10" cm="1">
        <f t="array" ref="Q541:Z541">BSHARE("other_share",DECILE_ARRAY,"Urban","mean")</f>
        <v>1.6761380814052651E-2</v>
      </c>
      <c r="R541">
        <v>9.1078087071932573E-3</v>
      </c>
      <c r="S541">
        <v>5.8423266792647288E-3</v>
      </c>
      <c r="T541">
        <v>2.613973510302911E-2</v>
      </c>
      <c r="U541">
        <v>2.0798071952603692E-2</v>
      </c>
      <c r="V541">
        <v>1.627627307484052E-2</v>
      </c>
      <c r="W541">
        <v>2.277187261159393E-2</v>
      </c>
      <c r="X541">
        <v>2.6149500972908541E-2</v>
      </c>
      <c r="Y541">
        <v>2.6429334565123141E-2</v>
      </c>
      <c r="Z541">
        <v>3.829517182096092E-2</v>
      </c>
    </row>
    <row r="542" spans="3:26" x14ac:dyDescent="0.25">
      <c r="D542" s="6" t="s">
        <v>69</v>
      </c>
      <c r="E542" s="6" t="s">
        <v>385</v>
      </c>
      <c r="F542" s="6" t="s">
        <v>382</v>
      </c>
      <c r="G542" s="6" t="s">
        <v>367</v>
      </c>
      <c r="H542" s="6" t="s">
        <v>383</v>
      </c>
      <c r="P542" s="10" cm="1">
        <f t="array" ref="P542">BSHARE("other_share",0,"Rural","mean")</f>
        <v>1.0229019388726571E-2</v>
      </c>
    </row>
    <row r="543" spans="3:26" x14ac:dyDescent="0.25">
      <c r="D543" s="6" t="s">
        <v>69</v>
      </c>
      <c r="E543" s="6" t="s">
        <v>385</v>
      </c>
      <c r="F543" s="6" t="s">
        <v>145</v>
      </c>
      <c r="G543" s="6" t="s">
        <v>367</v>
      </c>
      <c r="H543" s="6" t="s">
        <v>383</v>
      </c>
      <c r="Q543" s="10" cm="1">
        <f t="array" ref="Q543:Z543">BSHARE("other_share",DECILE_ARRAY,"Rural","mean")</f>
        <v>1.2894312374159431E-2</v>
      </c>
      <c r="R543">
        <v>3.9426259447537509E-3</v>
      </c>
      <c r="S543">
        <v>9.7589087773751627E-3</v>
      </c>
      <c r="T543">
        <v>7.4149098554263078E-3</v>
      </c>
      <c r="U543">
        <v>1.007642561026705E-2</v>
      </c>
      <c r="V543">
        <v>1.236012526043522E-2</v>
      </c>
      <c r="W543">
        <v>1.511640253168557E-2</v>
      </c>
      <c r="X543">
        <v>1.3012205021117759E-2</v>
      </c>
      <c r="Y543">
        <v>7.7098805425409424E-3</v>
      </c>
      <c r="Z543">
        <v>1.6304658360913622E-2</v>
      </c>
    </row>
    <row r="544" spans="3:26" x14ac:dyDescent="0.25">
      <c r="D544" s="6" t="s">
        <v>72</v>
      </c>
      <c r="E544" s="6" t="s">
        <v>381</v>
      </c>
      <c r="F544" s="6" t="s">
        <v>382</v>
      </c>
      <c r="G544" s="6" t="s">
        <v>367</v>
      </c>
      <c r="H544" s="6" t="s">
        <v>383</v>
      </c>
      <c r="P544" s="10" cm="1">
        <f t="array" ref="P544">BSHARE("other_share",0,"Overall","median")</f>
        <v>0</v>
      </c>
    </row>
    <row r="545" spans="4:26" x14ac:dyDescent="0.25">
      <c r="D545" s="6" t="s">
        <v>72</v>
      </c>
      <c r="E545" s="6" t="s">
        <v>381</v>
      </c>
      <c r="F545" s="6" t="s">
        <v>145</v>
      </c>
      <c r="G545" s="6" t="s">
        <v>367</v>
      </c>
      <c r="H545" s="6" t="s">
        <v>383</v>
      </c>
      <c r="Q545" s="10" cm="1">
        <f t="array" ref="Q545:Z545">BSHARE("other_share",DECILE_ARRAY,"Overall","median")</f>
        <v>0</v>
      </c>
      <c r="R545">
        <v>0</v>
      </c>
      <c r="S545">
        <v>0</v>
      </c>
      <c r="T545">
        <v>0</v>
      </c>
      <c r="U545">
        <v>0</v>
      </c>
      <c r="V545">
        <v>0</v>
      </c>
      <c r="W545">
        <v>0</v>
      </c>
      <c r="X545">
        <v>0</v>
      </c>
      <c r="Y545">
        <v>0</v>
      </c>
      <c r="Z545">
        <v>0</v>
      </c>
    </row>
    <row r="546" spans="4:26" x14ac:dyDescent="0.25">
      <c r="D546" s="6" t="s">
        <v>72</v>
      </c>
      <c r="E546" s="6" t="s">
        <v>384</v>
      </c>
      <c r="F546" s="6" t="s">
        <v>382</v>
      </c>
      <c r="G546" s="6" t="s">
        <v>367</v>
      </c>
      <c r="H546" s="6" t="s">
        <v>383</v>
      </c>
      <c r="P546" s="10" cm="1">
        <f t="array" ref="P546">BSHARE("other_share",0,"Urban","median")</f>
        <v>0</v>
      </c>
    </row>
    <row r="547" spans="4:26" x14ac:dyDescent="0.25">
      <c r="D547" s="6" t="s">
        <v>72</v>
      </c>
      <c r="E547" s="6" t="s">
        <v>384</v>
      </c>
      <c r="F547" s="6" t="s">
        <v>145</v>
      </c>
      <c r="G547" s="6" t="s">
        <v>367</v>
      </c>
      <c r="H547" s="6" t="s">
        <v>383</v>
      </c>
      <c r="Q547" s="10" cm="1">
        <f t="array" ref="Q547:Z547">BSHARE("other_share",DECILE_ARRAY,"Urban","median")</f>
        <v>0</v>
      </c>
      <c r="R547">
        <v>0</v>
      </c>
      <c r="S547">
        <v>0</v>
      </c>
      <c r="T547">
        <v>0</v>
      </c>
      <c r="U547">
        <v>0</v>
      </c>
      <c r="V547">
        <v>0</v>
      </c>
      <c r="W547">
        <v>0</v>
      </c>
      <c r="X547">
        <v>0</v>
      </c>
      <c r="Y547">
        <v>0</v>
      </c>
      <c r="Z547">
        <v>0</v>
      </c>
    </row>
    <row r="548" spans="4:26" x14ac:dyDescent="0.25">
      <c r="D548" s="6" t="s">
        <v>72</v>
      </c>
      <c r="E548" s="6" t="s">
        <v>385</v>
      </c>
      <c r="F548" s="6" t="s">
        <v>382</v>
      </c>
      <c r="G548" s="6" t="s">
        <v>367</v>
      </c>
      <c r="H548" s="6" t="s">
        <v>383</v>
      </c>
      <c r="P548" s="10" cm="1">
        <f t="array" ref="P548">BSHARE("other_share",0,"Rural","median")</f>
        <v>0</v>
      </c>
    </row>
    <row r="549" spans="4:26" x14ac:dyDescent="0.25">
      <c r="D549" s="6" t="s">
        <v>72</v>
      </c>
      <c r="E549" s="6" t="s">
        <v>385</v>
      </c>
      <c r="F549" s="6" t="s">
        <v>145</v>
      </c>
      <c r="G549" s="6" t="s">
        <v>367</v>
      </c>
      <c r="H549" s="6" t="s">
        <v>383</v>
      </c>
      <c r="Q549" s="10" cm="1">
        <f t="array" ref="Q549:Z549">BSHARE("other_share",DECILE_ARRAY,"Rural","median")</f>
        <v>0</v>
      </c>
      <c r="R549">
        <v>0</v>
      </c>
      <c r="S549">
        <v>0</v>
      </c>
      <c r="T549">
        <v>0</v>
      </c>
      <c r="U549">
        <v>0</v>
      </c>
      <c r="V549">
        <v>0</v>
      </c>
      <c r="W549">
        <v>0</v>
      </c>
      <c r="X549">
        <v>0</v>
      </c>
      <c r="Y549">
        <v>0</v>
      </c>
      <c r="Z549">
        <v>0</v>
      </c>
    </row>
    <row r="550" spans="4:26" x14ac:dyDescent="0.25">
      <c r="D550" s="6" t="s">
        <v>75</v>
      </c>
      <c r="E550" s="6" t="s">
        <v>381</v>
      </c>
      <c r="F550" s="6" t="s">
        <v>382</v>
      </c>
      <c r="G550" s="6" t="s">
        <v>367</v>
      </c>
      <c r="H550" s="6" t="s">
        <v>383</v>
      </c>
      <c r="P550" s="10" cm="1">
        <f t="array" ref="P550">BSHARE("other_share",0,"Overall","p25")</f>
        <v>0</v>
      </c>
    </row>
    <row r="551" spans="4:26" x14ac:dyDescent="0.25">
      <c r="D551" s="6" t="s">
        <v>75</v>
      </c>
      <c r="E551" s="6" t="s">
        <v>381</v>
      </c>
      <c r="F551" s="6" t="s">
        <v>145</v>
      </c>
      <c r="G551" s="6" t="s">
        <v>367</v>
      </c>
      <c r="H551" s="6" t="s">
        <v>383</v>
      </c>
      <c r="Q551" s="10" cm="1">
        <f t="array" ref="Q551:Z551">BSHARE("other_share",DECILE_ARRAY,"Overall","p25")</f>
        <v>0</v>
      </c>
      <c r="R551">
        <v>0</v>
      </c>
      <c r="S551">
        <v>0</v>
      </c>
      <c r="T551">
        <v>0</v>
      </c>
      <c r="U551">
        <v>0</v>
      </c>
      <c r="V551">
        <v>0</v>
      </c>
      <c r="W551">
        <v>0</v>
      </c>
      <c r="X551">
        <v>0</v>
      </c>
      <c r="Y551">
        <v>0</v>
      </c>
      <c r="Z551">
        <v>0</v>
      </c>
    </row>
    <row r="552" spans="4:26" x14ac:dyDescent="0.25">
      <c r="D552" s="6" t="s">
        <v>75</v>
      </c>
      <c r="E552" s="6" t="s">
        <v>384</v>
      </c>
      <c r="F552" s="6" t="s">
        <v>382</v>
      </c>
      <c r="G552" s="6" t="s">
        <v>367</v>
      </c>
      <c r="H552" s="6" t="s">
        <v>383</v>
      </c>
      <c r="P552" s="10" cm="1">
        <f t="array" ref="P552">BSHARE("other_share",0,"Urban","p25")</f>
        <v>0</v>
      </c>
    </row>
    <row r="553" spans="4:26" x14ac:dyDescent="0.25">
      <c r="D553" s="6" t="s">
        <v>75</v>
      </c>
      <c r="E553" s="6" t="s">
        <v>384</v>
      </c>
      <c r="F553" s="6" t="s">
        <v>145</v>
      </c>
      <c r="G553" s="6" t="s">
        <v>367</v>
      </c>
      <c r="H553" s="6" t="s">
        <v>383</v>
      </c>
      <c r="Q553" s="10" cm="1">
        <f t="array" ref="Q553:Z553">BSHARE("other_share",DECILE_ARRAY,"Urban","p25")</f>
        <v>0</v>
      </c>
      <c r="R553">
        <v>0</v>
      </c>
      <c r="S553">
        <v>0</v>
      </c>
      <c r="T553">
        <v>0</v>
      </c>
      <c r="U553">
        <v>0</v>
      </c>
      <c r="V553">
        <v>0</v>
      </c>
      <c r="W553">
        <v>0</v>
      </c>
      <c r="X553">
        <v>0</v>
      </c>
      <c r="Y553">
        <v>0</v>
      </c>
      <c r="Z553">
        <v>0</v>
      </c>
    </row>
    <row r="554" spans="4:26" x14ac:dyDescent="0.25">
      <c r="D554" s="6" t="s">
        <v>75</v>
      </c>
      <c r="E554" s="6" t="s">
        <v>385</v>
      </c>
      <c r="F554" s="6" t="s">
        <v>382</v>
      </c>
      <c r="G554" s="6" t="s">
        <v>367</v>
      </c>
      <c r="H554" s="6" t="s">
        <v>383</v>
      </c>
      <c r="P554" s="10" cm="1">
        <f t="array" ref="P554">BSHARE("other_share",0,"Rural","p25")</f>
        <v>0</v>
      </c>
    </row>
    <row r="555" spans="4:26" x14ac:dyDescent="0.25">
      <c r="D555" s="6" t="s">
        <v>75</v>
      </c>
      <c r="E555" s="6" t="s">
        <v>385</v>
      </c>
      <c r="F555" s="6" t="s">
        <v>145</v>
      </c>
      <c r="G555" s="6" t="s">
        <v>367</v>
      </c>
      <c r="H555" s="6" t="s">
        <v>383</v>
      </c>
      <c r="Q555" s="10" cm="1">
        <f t="array" ref="Q555:Z555">BSHARE("other_share",DECILE_ARRAY,"Rural","p25")</f>
        <v>0</v>
      </c>
      <c r="R555">
        <v>0</v>
      </c>
      <c r="S555">
        <v>0</v>
      </c>
      <c r="T555">
        <v>0</v>
      </c>
      <c r="U555">
        <v>0</v>
      </c>
      <c r="V555">
        <v>0</v>
      </c>
      <c r="W555">
        <v>0</v>
      </c>
      <c r="X555">
        <v>0</v>
      </c>
      <c r="Y555">
        <v>0</v>
      </c>
      <c r="Z555">
        <v>0</v>
      </c>
    </row>
    <row r="556" spans="4:26" x14ac:dyDescent="0.25">
      <c r="D556" s="6" t="s">
        <v>78</v>
      </c>
      <c r="E556" s="6" t="s">
        <v>381</v>
      </c>
      <c r="F556" s="6" t="s">
        <v>382</v>
      </c>
      <c r="G556" s="6" t="s">
        <v>367</v>
      </c>
      <c r="H556" s="6" t="s">
        <v>383</v>
      </c>
      <c r="P556" s="10" cm="1">
        <f t="array" ref="P556">BSHARE("other_share",0,"Overall","p75")</f>
        <v>0</v>
      </c>
    </row>
    <row r="557" spans="4:26" x14ac:dyDescent="0.25">
      <c r="D557" s="6" t="s">
        <v>78</v>
      </c>
      <c r="E557" s="6" t="s">
        <v>381</v>
      </c>
      <c r="F557" s="6" t="s">
        <v>145</v>
      </c>
      <c r="G557" s="6" t="s">
        <v>367</v>
      </c>
      <c r="H557" s="6" t="s">
        <v>383</v>
      </c>
      <c r="Q557" s="10" cm="1">
        <f t="array" ref="Q557:Z557">BSHARE("other_share",DECILE_ARRAY,"Overall","p75")</f>
        <v>0</v>
      </c>
      <c r="R557">
        <v>0</v>
      </c>
      <c r="S557">
        <v>0</v>
      </c>
      <c r="T557">
        <v>0</v>
      </c>
      <c r="U557">
        <v>0</v>
      </c>
      <c r="V557">
        <v>0</v>
      </c>
      <c r="W557">
        <v>0</v>
      </c>
      <c r="X557">
        <v>0</v>
      </c>
      <c r="Y557">
        <v>0</v>
      </c>
      <c r="Z557">
        <v>0</v>
      </c>
    </row>
    <row r="558" spans="4:26" x14ac:dyDescent="0.25">
      <c r="D558" s="6" t="s">
        <v>78</v>
      </c>
      <c r="E558" s="6" t="s">
        <v>384</v>
      </c>
      <c r="F558" s="6" t="s">
        <v>382</v>
      </c>
      <c r="G558" s="6" t="s">
        <v>367</v>
      </c>
      <c r="H558" s="6" t="s">
        <v>383</v>
      </c>
      <c r="P558" s="10" cm="1">
        <f t="array" ref="P558">BSHARE("other_share",0,"Urban","p75")</f>
        <v>0</v>
      </c>
    </row>
    <row r="559" spans="4:26" x14ac:dyDescent="0.25">
      <c r="D559" s="6" t="s">
        <v>78</v>
      </c>
      <c r="E559" s="6" t="s">
        <v>384</v>
      </c>
      <c r="F559" s="6" t="s">
        <v>145</v>
      </c>
      <c r="G559" s="6" t="s">
        <v>367</v>
      </c>
      <c r="H559" s="6" t="s">
        <v>383</v>
      </c>
      <c r="Q559" s="10" cm="1">
        <f t="array" ref="Q559:Z559">BSHARE("other_share",DECILE_ARRAY,"Urban","p75")</f>
        <v>0</v>
      </c>
      <c r="R559">
        <v>0</v>
      </c>
      <c r="S559">
        <v>0</v>
      </c>
      <c r="T559">
        <v>0</v>
      </c>
      <c r="U559">
        <v>0</v>
      </c>
      <c r="V559">
        <v>0</v>
      </c>
      <c r="W559">
        <v>0</v>
      </c>
      <c r="X559">
        <v>0</v>
      </c>
      <c r="Y559">
        <v>0</v>
      </c>
      <c r="Z559">
        <v>0</v>
      </c>
    </row>
    <row r="560" spans="4:26" x14ac:dyDescent="0.25">
      <c r="D560" s="6" t="s">
        <v>78</v>
      </c>
      <c r="E560" s="6" t="s">
        <v>385</v>
      </c>
      <c r="F560" s="6" t="s">
        <v>382</v>
      </c>
      <c r="G560" s="6" t="s">
        <v>367</v>
      </c>
      <c r="H560" s="6" t="s">
        <v>383</v>
      </c>
      <c r="P560" s="10" cm="1">
        <f t="array" ref="P560">BSHARE("other_share",0,"Rural","p75")</f>
        <v>0</v>
      </c>
    </row>
    <row r="561" spans="3:26" x14ac:dyDescent="0.25">
      <c r="D561" s="6" t="s">
        <v>78</v>
      </c>
      <c r="E561" s="6" t="s">
        <v>385</v>
      </c>
      <c r="F561" s="6" t="s">
        <v>145</v>
      </c>
      <c r="G561" s="6" t="s">
        <v>367</v>
      </c>
      <c r="H561" s="6" t="s">
        <v>383</v>
      </c>
      <c r="Q561" s="10" cm="1">
        <f t="array" ref="Q561:Z561">BSHARE("other_share",DECILE_ARRAY,"Rural","p75")</f>
        <v>0</v>
      </c>
      <c r="R561">
        <v>0</v>
      </c>
      <c r="S561">
        <v>0</v>
      </c>
      <c r="T561">
        <v>0</v>
      </c>
      <c r="U561">
        <v>0</v>
      </c>
      <c r="V561">
        <v>0</v>
      </c>
      <c r="W561">
        <v>0</v>
      </c>
      <c r="X561">
        <v>0</v>
      </c>
      <c r="Y561">
        <v>0</v>
      </c>
      <c r="Z561">
        <v>0</v>
      </c>
    </row>
    <row r="563" spans="3:26" x14ac:dyDescent="0.25">
      <c r="C563" s="7" t="s">
        <v>410</v>
      </c>
      <c r="G563" s="6" t="s">
        <v>369</v>
      </c>
      <c r="O563" s="2" t="s">
        <v>331</v>
      </c>
      <c r="Q563" s="2">
        <v>1</v>
      </c>
      <c r="R563" s="2">
        <v>2</v>
      </c>
      <c r="S563" s="2">
        <v>3</v>
      </c>
      <c r="T563" s="2">
        <v>4</v>
      </c>
      <c r="U563" s="2">
        <v>5</v>
      </c>
      <c r="V563" s="2">
        <v>6</v>
      </c>
      <c r="W563" s="2">
        <v>7</v>
      </c>
      <c r="X563" s="2">
        <v>8</v>
      </c>
      <c r="Y563" s="2">
        <v>9</v>
      </c>
      <c r="Z563" s="2">
        <v>10</v>
      </c>
    </row>
    <row r="564" spans="3:26" x14ac:dyDescent="0.25">
      <c r="D564" s="6" t="s">
        <v>69</v>
      </c>
      <c r="E564" s="6" t="s">
        <v>381</v>
      </c>
      <c r="F564" s="6" t="s">
        <v>382</v>
      </c>
      <c r="G564" s="6" t="s">
        <v>369</v>
      </c>
      <c r="H564" s="6" t="s">
        <v>383</v>
      </c>
      <c r="P564" s="10" cm="1">
        <f t="array" ref="P564">BSHARE("paper_share",0,"Overall","mean")</f>
        <v>1.6730391873007431</v>
      </c>
    </row>
    <row r="565" spans="3:26" x14ac:dyDescent="0.25">
      <c r="D565" s="6" t="s">
        <v>69</v>
      </c>
      <c r="E565" s="6" t="s">
        <v>381</v>
      </c>
      <c r="F565" s="6" t="s">
        <v>145</v>
      </c>
      <c r="G565" s="6" t="s">
        <v>369</v>
      </c>
      <c r="H565" s="6" t="s">
        <v>383</v>
      </c>
      <c r="Q565" s="10" cm="1">
        <f t="array" ref="Q565:Z565">BSHARE("paper_share",DECILE_ARRAY,"Overall","mean")</f>
        <v>2.2730892960398741</v>
      </c>
      <c r="R565">
        <v>2.2548187059700049</v>
      </c>
      <c r="S565">
        <v>2.2617963162857109</v>
      </c>
      <c r="T565">
        <v>2.0488142691119489</v>
      </c>
      <c r="U565">
        <v>2.0190786271238221</v>
      </c>
      <c r="V565">
        <v>1.898514352397634</v>
      </c>
      <c r="W565">
        <v>1.712490250296749</v>
      </c>
      <c r="X565">
        <v>1.3121011821158799</v>
      </c>
      <c r="Y565">
        <v>1.1808054321240591</v>
      </c>
      <c r="Z565">
        <v>0.85621610364145795</v>
      </c>
    </row>
    <row r="566" spans="3:26" x14ac:dyDescent="0.25">
      <c r="D566" s="6" t="s">
        <v>69</v>
      </c>
      <c r="E566" s="6" t="s">
        <v>384</v>
      </c>
      <c r="F566" s="6" t="s">
        <v>382</v>
      </c>
      <c r="G566" s="6" t="s">
        <v>369</v>
      </c>
      <c r="H566" s="6" t="s">
        <v>383</v>
      </c>
      <c r="P566" s="10" cm="1">
        <f t="array" ref="P566">BSHARE("paper_share",0,"Urban","mean")</f>
        <v>1.8961701037095009</v>
      </c>
    </row>
    <row r="567" spans="3:26" x14ac:dyDescent="0.25">
      <c r="D567" s="6" t="s">
        <v>69</v>
      </c>
      <c r="E567" s="6" t="s">
        <v>384</v>
      </c>
      <c r="F567" s="6" t="s">
        <v>145</v>
      </c>
      <c r="G567" s="6" t="s">
        <v>369</v>
      </c>
      <c r="H567" s="6" t="s">
        <v>383</v>
      </c>
      <c r="Q567" s="10" cm="1">
        <f t="array" ref="Q567:Z567">BSHARE("paper_share",DECILE_ARRAY,"Urban","mean")</f>
        <v>2.6949765189362531</v>
      </c>
      <c r="R567">
        <v>2.1528971213151551</v>
      </c>
      <c r="S567">
        <v>2.336400368790494</v>
      </c>
      <c r="T567">
        <v>2.247392634320609</v>
      </c>
      <c r="U567">
        <v>2.0804484438645439</v>
      </c>
      <c r="V567">
        <v>1.76475555312546</v>
      </c>
      <c r="W567">
        <v>1.554813321674235</v>
      </c>
      <c r="X567">
        <v>1.434096734545214</v>
      </c>
      <c r="Y567">
        <v>1.093810788670702</v>
      </c>
      <c r="Z567">
        <v>0.91714484186902756</v>
      </c>
    </row>
    <row r="568" spans="3:26" x14ac:dyDescent="0.25">
      <c r="D568" s="6" t="s">
        <v>69</v>
      </c>
      <c r="E568" s="6" t="s">
        <v>385</v>
      </c>
      <c r="F568" s="6" t="s">
        <v>382</v>
      </c>
      <c r="G568" s="6" t="s">
        <v>369</v>
      </c>
      <c r="H568" s="6" t="s">
        <v>383</v>
      </c>
      <c r="P568" s="10" cm="1">
        <f t="array" ref="P568">BSHARE("paper_share",0,"Rural","mean")</f>
        <v>1.7626770435657451</v>
      </c>
    </row>
    <row r="569" spans="3:26" x14ac:dyDescent="0.25">
      <c r="D569" s="6" t="s">
        <v>69</v>
      </c>
      <c r="E569" s="6" t="s">
        <v>385</v>
      </c>
      <c r="F569" s="6" t="s">
        <v>145</v>
      </c>
      <c r="G569" s="6" t="s">
        <v>369</v>
      </c>
      <c r="H569" s="6" t="s">
        <v>383</v>
      </c>
      <c r="Q569" s="10" cm="1">
        <f t="array" ref="Q569:Z569">BSHARE("paper_share",DECILE_ARRAY,"Rural","mean")</f>
        <v>2.0881121060168648</v>
      </c>
      <c r="R569">
        <v>2.2202660711965621</v>
      </c>
      <c r="S569">
        <v>2.010146661567493</v>
      </c>
      <c r="T569">
        <v>2.1008114367670618</v>
      </c>
      <c r="U569">
        <v>2.0718208156001201</v>
      </c>
      <c r="V569">
        <v>1.9761897966574249</v>
      </c>
      <c r="W569">
        <v>1.5781418104334839</v>
      </c>
      <c r="X569">
        <v>1.418322482614867</v>
      </c>
      <c r="Y569">
        <v>1.1607444197742549</v>
      </c>
      <c r="Z569">
        <v>0.67487770414960147</v>
      </c>
    </row>
    <row r="570" spans="3:26" x14ac:dyDescent="0.25">
      <c r="D570" s="6" t="s">
        <v>72</v>
      </c>
      <c r="E570" s="6" t="s">
        <v>381</v>
      </c>
      <c r="F570" s="6" t="s">
        <v>382</v>
      </c>
      <c r="G570" s="6" t="s">
        <v>369</v>
      </c>
      <c r="H570" s="6" t="s">
        <v>383</v>
      </c>
      <c r="P570" s="10" cm="1">
        <f t="array" ref="P570">BSHARE("paper_share",0,"Overall","median")</f>
        <v>1.364621171263054</v>
      </c>
    </row>
    <row r="571" spans="3:26" x14ac:dyDescent="0.25">
      <c r="D571" s="6" t="s">
        <v>72</v>
      </c>
      <c r="E571" s="6" t="s">
        <v>381</v>
      </c>
      <c r="F571" s="6" t="s">
        <v>145</v>
      </c>
      <c r="G571" s="6" t="s">
        <v>369</v>
      </c>
      <c r="H571" s="6" t="s">
        <v>383</v>
      </c>
      <c r="Q571" s="10" cm="1">
        <f t="array" ref="Q571:Z571">BSHARE("paper_share",DECILE_ARRAY,"Overall","median")</f>
        <v>1.7515679632965171</v>
      </c>
      <c r="R571">
        <v>1.8424452140071479</v>
      </c>
      <c r="S571">
        <v>1.9567920639863501</v>
      </c>
      <c r="T571">
        <v>1.626316621835163</v>
      </c>
      <c r="U571">
        <v>1.8994959569352139</v>
      </c>
      <c r="V571">
        <v>1.4767073249139</v>
      </c>
      <c r="W571">
        <v>1.210994847663454</v>
      </c>
      <c r="X571">
        <v>0.80322255490209526</v>
      </c>
      <c r="Y571">
        <v>0.62908548563990541</v>
      </c>
      <c r="Z571">
        <v>0.42455666278145859</v>
      </c>
    </row>
    <row r="572" spans="3:26" x14ac:dyDescent="0.25">
      <c r="D572" s="6" t="s">
        <v>72</v>
      </c>
      <c r="E572" s="6" t="s">
        <v>384</v>
      </c>
      <c r="F572" s="6" t="s">
        <v>382</v>
      </c>
      <c r="G572" s="6" t="s">
        <v>369</v>
      </c>
      <c r="H572" s="6" t="s">
        <v>383</v>
      </c>
      <c r="P572" s="10" cm="1">
        <f t="array" ref="P572">BSHARE("paper_share",0,"Urban","median")</f>
        <v>1.3789504207232659</v>
      </c>
    </row>
    <row r="573" spans="3:26" x14ac:dyDescent="0.25">
      <c r="D573" s="6" t="s">
        <v>72</v>
      </c>
      <c r="E573" s="6" t="s">
        <v>384</v>
      </c>
      <c r="F573" s="6" t="s">
        <v>145</v>
      </c>
      <c r="G573" s="6" t="s">
        <v>369</v>
      </c>
      <c r="H573" s="6" t="s">
        <v>383</v>
      </c>
      <c r="Q573" s="10" cm="1">
        <f t="array" ref="Q573:Z573">BSHARE("paper_share",DECILE_ARRAY,"Urban","median")</f>
        <v>1.957029364415559</v>
      </c>
      <c r="R573">
        <v>2.0025747029586962</v>
      </c>
      <c r="S573">
        <v>1.792454016215002</v>
      </c>
      <c r="T573">
        <v>1.7216623607815189</v>
      </c>
      <c r="U573">
        <v>1.5805764954333721</v>
      </c>
      <c r="V573">
        <v>1.434495231285454</v>
      </c>
      <c r="W573">
        <v>1.1304428424580031</v>
      </c>
      <c r="X573">
        <v>0.85882520519885464</v>
      </c>
      <c r="Y573">
        <v>0.7398901375558119</v>
      </c>
      <c r="Z573">
        <v>0.50088362171233014</v>
      </c>
    </row>
    <row r="574" spans="3:26" x14ac:dyDescent="0.25">
      <c r="D574" s="6" t="s">
        <v>72</v>
      </c>
      <c r="E574" s="6" t="s">
        <v>385</v>
      </c>
      <c r="F574" s="6" t="s">
        <v>382</v>
      </c>
      <c r="G574" s="6" t="s">
        <v>369</v>
      </c>
      <c r="H574" s="6" t="s">
        <v>383</v>
      </c>
      <c r="P574" s="10" cm="1">
        <f t="array" ref="P574">BSHARE("paper_share",0,"Rural","median")</f>
        <v>1.4337676656625169</v>
      </c>
    </row>
    <row r="575" spans="3:26" x14ac:dyDescent="0.25">
      <c r="D575" s="6" t="s">
        <v>72</v>
      </c>
      <c r="E575" s="6" t="s">
        <v>385</v>
      </c>
      <c r="F575" s="6" t="s">
        <v>145</v>
      </c>
      <c r="G575" s="6" t="s">
        <v>369</v>
      </c>
      <c r="H575" s="6" t="s">
        <v>383</v>
      </c>
      <c r="Q575" s="10" cm="1">
        <f t="array" ref="Q575:Z575">BSHARE("paper_share",DECILE_ARRAY,"Rural","median")</f>
        <v>1.63755948420681</v>
      </c>
      <c r="R575">
        <v>1.647829275189187</v>
      </c>
      <c r="S575">
        <v>1.8940535943973389</v>
      </c>
      <c r="T575">
        <v>1.7551504921389709</v>
      </c>
      <c r="U575">
        <v>1.7071799134517529</v>
      </c>
      <c r="V575">
        <v>1.8329129976757941</v>
      </c>
      <c r="W575">
        <v>1.345765932545349</v>
      </c>
      <c r="X575">
        <v>0.89808213063655318</v>
      </c>
      <c r="Y575">
        <v>0.52737776697242966</v>
      </c>
      <c r="Z575">
        <v>0.32236167557862699</v>
      </c>
    </row>
    <row r="576" spans="3:26" x14ac:dyDescent="0.25">
      <c r="D576" s="6" t="s">
        <v>75</v>
      </c>
      <c r="E576" s="6" t="s">
        <v>381</v>
      </c>
      <c r="F576" s="6" t="s">
        <v>382</v>
      </c>
      <c r="G576" s="6" t="s">
        <v>369</v>
      </c>
      <c r="H576" s="6" t="s">
        <v>383</v>
      </c>
      <c r="P576" s="10" cm="1">
        <f t="array" ref="P576">BSHARE("paper_share",0,"Overall","p25")</f>
        <v>0.47565677183170912</v>
      </c>
    </row>
    <row r="577" spans="3:26" x14ac:dyDescent="0.25">
      <c r="D577" s="6" t="s">
        <v>75</v>
      </c>
      <c r="E577" s="6" t="s">
        <v>381</v>
      </c>
      <c r="F577" s="6" t="s">
        <v>145</v>
      </c>
      <c r="G577" s="6" t="s">
        <v>369</v>
      </c>
      <c r="H577" s="6" t="s">
        <v>383</v>
      </c>
      <c r="Q577" s="10" cm="1">
        <f t="array" ref="Q577:Z577">BSHARE("paper_share",DECILE_ARRAY,"Overall","p25")</f>
        <v>1.0536103695258849</v>
      </c>
      <c r="R577">
        <v>0.98991463588077933</v>
      </c>
      <c r="S577">
        <v>0.95260541485462358</v>
      </c>
      <c r="T577">
        <v>0.80057070748359538</v>
      </c>
      <c r="U577">
        <v>0.72023887121546015</v>
      </c>
      <c r="V577">
        <v>0.61103666015586677</v>
      </c>
      <c r="W577">
        <v>0.37043135609448868</v>
      </c>
      <c r="X577">
        <v>0.26858306198686382</v>
      </c>
      <c r="Y577">
        <v>0.18965567222075921</v>
      </c>
      <c r="Z577">
        <v>0.14716684592428639</v>
      </c>
    </row>
    <row r="578" spans="3:26" x14ac:dyDescent="0.25">
      <c r="D578" s="6" t="s">
        <v>75</v>
      </c>
      <c r="E578" s="6" t="s">
        <v>384</v>
      </c>
      <c r="F578" s="6" t="s">
        <v>382</v>
      </c>
      <c r="G578" s="6" t="s">
        <v>369</v>
      </c>
      <c r="H578" s="6" t="s">
        <v>383</v>
      </c>
      <c r="P578" s="10" cm="1">
        <f t="array" ref="P578">BSHARE("paper_share",0,"Urban","p25")</f>
        <v>0.48871846626599491</v>
      </c>
    </row>
    <row r="579" spans="3:26" x14ac:dyDescent="0.25">
      <c r="D579" s="6" t="s">
        <v>75</v>
      </c>
      <c r="E579" s="6" t="s">
        <v>384</v>
      </c>
      <c r="F579" s="6" t="s">
        <v>145</v>
      </c>
      <c r="G579" s="6" t="s">
        <v>369</v>
      </c>
      <c r="H579" s="6" t="s">
        <v>383</v>
      </c>
      <c r="Q579" s="10" cm="1">
        <f t="array" ref="Q579:Z579">BSHARE("paper_share",DECILE_ARRAY,"Urban","p25")</f>
        <v>1.170402077577404</v>
      </c>
      <c r="R579">
        <v>1.051065203493188</v>
      </c>
      <c r="S579">
        <v>1.0403310118823259</v>
      </c>
      <c r="T579">
        <v>0.80403199746393061</v>
      </c>
      <c r="U579">
        <v>0.72520797082765587</v>
      </c>
      <c r="V579">
        <v>0.52454146950732716</v>
      </c>
      <c r="W579">
        <v>0.43093849993520589</v>
      </c>
      <c r="X579">
        <v>0.31879731726650667</v>
      </c>
      <c r="Y579">
        <v>0.26750291456803132</v>
      </c>
      <c r="Z579">
        <v>0.20670823471927779</v>
      </c>
    </row>
    <row r="580" spans="3:26" x14ac:dyDescent="0.25">
      <c r="D580" s="6" t="s">
        <v>75</v>
      </c>
      <c r="E580" s="6" t="s">
        <v>385</v>
      </c>
      <c r="F580" s="6" t="s">
        <v>382</v>
      </c>
      <c r="G580" s="6" t="s">
        <v>369</v>
      </c>
      <c r="H580" s="6" t="s">
        <v>383</v>
      </c>
      <c r="P580" s="10" cm="1">
        <f t="array" ref="P580">BSHARE("paper_share",0,"Rural","p25")</f>
        <v>0.48351758887929691</v>
      </c>
    </row>
    <row r="581" spans="3:26" x14ac:dyDescent="0.25">
      <c r="D581" s="6" t="s">
        <v>75</v>
      </c>
      <c r="E581" s="6" t="s">
        <v>385</v>
      </c>
      <c r="F581" s="6" t="s">
        <v>145</v>
      </c>
      <c r="G581" s="6" t="s">
        <v>369</v>
      </c>
      <c r="H581" s="6" t="s">
        <v>383</v>
      </c>
      <c r="Q581" s="10" cm="1">
        <f t="array" ref="Q581:Z581">BSHARE("paper_share",DECILE_ARRAY,"Rural","p25")</f>
        <v>0.88841751351880816</v>
      </c>
      <c r="R581">
        <v>1.0895984712727591</v>
      </c>
      <c r="S581">
        <v>0.85944177886505047</v>
      </c>
      <c r="T581">
        <v>0.90409089869255743</v>
      </c>
      <c r="U581">
        <v>0.75657728974247374</v>
      </c>
      <c r="V581">
        <v>0.59861898993912332</v>
      </c>
      <c r="W581">
        <v>0.39675893069113299</v>
      </c>
      <c r="X581">
        <v>0.238909660835111</v>
      </c>
      <c r="Y581">
        <v>0.12859665403079651</v>
      </c>
      <c r="Z581">
        <v>9.2008766797072053E-2</v>
      </c>
    </row>
    <row r="582" spans="3:26" x14ac:dyDescent="0.25">
      <c r="D582" s="6" t="s">
        <v>78</v>
      </c>
      <c r="E582" s="6" t="s">
        <v>381</v>
      </c>
      <c r="F582" s="6" t="s">
        <v>382</v>
      </c>
      <c r="G582" s="6" t="s">
        <v>369</v>
      </c>
      <c r="H582" s="6" t="s">
        <v>383</v>
      </c>
      <c r="P582" s="10" cm="1">
        <f t="array" ref="P582">BSHARE("paper_share",0,"Overall","p75")</f>
        <v>2.3921850581119122</v>
      </c>
    </row>
    <row r="583" spans="3:26" x14ac:dyDescent="0.25">
      <c r="D583" s="6" t="s">
        <v>78</v>
      </c>
      <c r="E583" s="6" t="s">
        <v>381</v>
      </c>
      <c r="F583" s="6" t="s">
        <v>145</v>
      </c>
      <c r="G583" s="6" t="s">
        <v>369</v>
      </c>
      <c r="H583" s="6" t="s">
        <v>383</v>
      </c>
      <c r="Q583" s="10" cm="1">
        <f t="array" ref="Q583:Z583">BSHARE("paper_share",DECILE_ARRAY,"Overall","p75")</f>
        <v>3.0537659799532788</v>
      </c>
      <c r="R583">
        <v>3.1147426961896612</v>
      </c>
      <c r="S583">
        <v>3.2571393828665709</v>
      </c>
      <c r="T583">
        <v>2.904296502109283</v>
      </c>
      <c r="U583">
        <v>2.8194738523764449</v>
      </c>
      <c r="V583">
        <v>2.8592328698051812</v>
      </c>
      <c r="W583">
        <v>2.5434289298545751</v>
      </c>
      <c r="X583">
        <v>2.161726573210089</v>
      </c>
      <c r="Y583">
        <v>1.537192047395181</v>
      </c>
      <c r="Z583">
        <v>0.97243109195076649</v>
      </c>
    </row>
    <row r="584" spans="3:26" x14ac:dyDescent="0.25">
      <c r="D584" s="6" t="s">
        <v>78</v>
      </c>
      <c r="E584" s="6" t="s">
        <v>384</v>
      </c>
      <c r="F584" s="6" t="s">
        <v>382</v>
      </c>
      <c r="G584" s="6" t="s">
        <v>369</v>
      </c>
      <c r="H584" s="6" t="s">
        <v>383</v>
      </c>
      <c r="P584" s="10" cm="1">
        <f t="array" ref="P584">BSHARE("paper_share",0,"Urban","p75")</f>
        <v>2.4665126683847198</v>
      </c>
    </row>
    <row r="585" spans="3:26" x14ac:dyDescent="0.25">
      <c r="D585" s="6" t="s">
        <v>78</v>
      </c>
      <c r="E585" s="6" t="s">
        <v>384</v>
      </c>
      <c r="F585" s="6" t="s">
        <v>145</v>
      </c>
      <c r="G585" s="6" t="s">
        <v>369</v>
      </c>
      <c r="H585" s="6" t="s">
        <v>383</v>
      </c>
      <c r="Q585" s="10" cm="1">
        <f t="array" ref="Q585:Z585">BSHARE("paper_share",DECILE_ARRAY,"Urban","p75")</f>
        <v>3.4723951277340102</v>
      </c>
      <c r="R585">
        <v>2.9995507808204209</v>
      </c>
      <c r="S585">
        <v>3.2158747062106161</v>
      </c>
      <c r="T585">
        <v>3.3730277802505291</v>
      </c>
      <c r="U585">
        <v>2.9899507893219508</v>
      </c>
      <c r="V585">
        <v>2.8338714287732989</v>
      </c>
      <c r="W585">
        <v>2.3282289068816069</v>
      </c>
      <c r="X585">
        <v>2.05068794426517</v>
      </c>
      <c r="Y585">
        <v>1.641460739240636</v>
      </c>
      <c r="Z585">
        <v>1.0344690716954339</v>
      </c>
    </row>
    <row r="586" spans="3:26" x14ac:dyDescent="0.25">
      <c r="D586" s="6" t="s">
        <v>78</v>
      </c>
      <c r="E586" s="6" t="s">
        <v>385</v>
      </c>
      <c r="F586" s="6" t="s">
        <v>382</v>
      </c>
      <c r="G586" s="6" t="s">
        <v>369</v>
      </c>
      <c r="H586" s="6" t="s">
        <v>383</v>
      </c>
      <c r="P586" s="10" cm="1">
        <f t="array" ref="P586">BSHARE("paper_share",0,"Rural","p75")</f>
        <v>2.6583893153318199</v>
      </c>
    </row>
    <row r="587" spans="3:26" x14ac:dyDescent="0.25">
      <c r="D587" s="6" t="s">
        <v>78</v>
      </c>
      <c r="E587" s="6" t="s">
        <v>385</v>
      </c>
      <c r="F587" s="6" t="s">
        <v>145</v>
      </c>
      <c r="G587" s="6" t="s">
        <v>369</v>
      </c>
      <c r="H587" s="6" t="s">
        <v>383</v>
      </c>
      <c r="Q587" s="10" cm="1">
        <f t="array" ref="Q587:Z587">BSHARE("paper_share",DECILE_ARRAY,"Rural","p75")</f>
        <v>2.687248502234409</v>
      </c>
      <c r="R587">
        <v>2.800848871067906</v>
      </c>
      <c r="S587">
        <v>2.9079442085997602</v>
      </c>
      <c r="T587">
        <v>2.7691897180573499</v>
      </c>
      <c r="U587">
        <v>2.697311010939806</v>
      </c>
      <c r="V587">
        <v>2.7342977130030861</v>
      </c>
      <c r="W587">
        <v>2.5995326656268838</v>
      </c>
      <c r="X587">
        <v>2.406892933245524</v>
      </c>
      <c r="Y587">
        <v>1.862514088440693</v>
      </c>
      <c r="Z587">
        <v>0.73281551129815137</v>
      </c>
    </row>
    <row r="589" spans="3:26" x14ac:dyDescent="0.25">
      <c r="C589" s="7" t="s">
        <v>411</v>
      </c>
      <c r="G589" s="6" t="s">
        <v>371</v>
      </c>
      <c r="O589" s="2" t="s">
        <v>331</v>
      </c>
      <c r="Q589" s="2">
        <v>1</v>
      </c>
      <c r="R589" s="2">
        <v>2</v>
      </c>
      <c r="S589" s="2">
        <v>3</v>
      </c>
      <c r="T589" s="2">
        <v>4</v>
      </c>
      <c r="U589" s="2">
        <v>5</v>
      </c>
      <c r="V589" s="2">
        <v>6</v>
      </c>
      <c r="W589" s="2">
        <v>7</v>
      </c>
      <c r="X589" s="2">
        <v>8</v>
      </c>
      <c r="Y589" s="2">
        <v>9</v>
      </c>
      <c r="Z589" s="2">
        <v>10</v>
      </c>
    </row>
    <row r="590" spans="3:26" x14ac:dyDescent="0.25">
      <c r="D590" s="6" t="s">
        <v>69</v>
      </c>
      <c r="E590" s="6" t="s">
        <v>381</v>
      </c>
      <c r="F590" s="6" t="s">
        <v>382</v>
      </c>
      <c r="G590" s="6" t="s">
        <v>371</v>
      </c>
      <c r="H590" s="6" t="s">
        <v>383</v>
      </c>
      <c r="P590" s="10" cm="1">
        <f t="array" ref="P590">BSHARE("pharma_share",0,"Overall","mean")</f>
        <v>6.9595993131260956</v>
      </c>
    </row>
    <row r="591" spans="3:26" x14ac:dyDescent="0.25">
      <c r="D591" s="6" t="s">
        <v>69</v>
      </c>
      <c r="E591" s="6" t="s">
        <v>381</v>
      </c>
      <c r="F591" s="6" t="s">
        <v>145</v>
      </c>
      <c r="G591" s="6" t="s">
        <v>371</v>
      </c>
      <c r="H591" s="6" t="s">
        <v>383</v>
      </c>
      <c r="Q591" s="10" cm="1">
        <f t="array" ref="Q591:Z591">BSHARE("pharma_share",DECILE_ARRAY,"Overall","mean")</f>
        <v>4.9379889858709349</v>
      </c>
      <c r="R591">
        <v>4.8169063015253082</v>
      </c>
      <c r="S591">
        <v>4.8968837884117704</v>
      </c>
      <c r="T591">
        <v>5.1456004088151426</v>
      </c>
      <c r="U591">
        <v>5.8597242319372196</v>
      </c>
      <c r="V591">
        <v>6.5896618115591199</v>
      </c>
      <c r="W591">
        <v>6.4781072741947607</v>
      </c>
      <c r="X591">
        <v>8.2579074001494739</v>
      </c>
      <c r="Y591">
        <v>8.3818841693506076</v>
      </c>
      <c r="Z591">
        <v>10.223449386878411</v>
      </c>
    </row>
    <row r="592" spans="3:26" x14ac:dyDescent="0.25">
      <c r="D592" s="6" t="s">
        <v>69</v>
      </c>
      <c r="E592" s="6" t="s">
        <v>384</v>
      </c>
      <c r="F592" s="6" t="s">
        <v>382</v>
      </c>
      <c r="G592" s="6" t="s">
        <v>371</v>
      </c>
      <c r="H592" s="6" t="s">
        <v>383</v>
      </c>
      <c r="P592" s="10" cm="1">
        <f t="array" ref="P592">BSHARE("pharma_share",0,"Urban","mean")</f>
        <v>6.6507528384237373</v>
      </c>
    </row>
    <row r="593" spans="4:26" x14ac:dyDescent="0.25">
      <c r="D593" s="6" t="s">
        <v>69</v>
      </c>
      <c r="E593" s="6" t="s">
        <v>384</v>
      </c>
      <c r="F593" s="6" t="s">
        <v>145</v>
      </c>
      <c r="G593" s="6" t="s">
        <v>371</v>
      </c>
      <c r="H593" s="6" t="s">
        <v>383</v>
      </c>
      <c r="Q593" s="10" cm="1">
        <f t="array" ref="Q593:Z593">BSHARE("pharma_share",DECILE_ARRAY,"Urban","mean")</f>
        <v>5.2041181056880319</v>
      </c>
      <c r="R593">
        <v>5.2023562980284863</v>
      </c>
      <c r="S593">
        <v>5.4427186808997581</v>
      </c>
      <c r="T593">
        <v>5.7905058742853823</v>
      </c>
      <c r="U593">
        <v>5.9180837873056689</v>
      </c>
      <c r="V593">
        <v>6.0012117052174716</v>
      </c>
      <c r="W593">
        <v>7.2790018504767477</v>
      </c>
      <c r="X593">
        <v>7.4996699721012172</v>
      </c>
      <c r="Y593">
        <v>9.0135689805460899</v>
      </c>
      <c r="Z593">
        <v>10.04800099085479</v>
      </c>
    </row>
    <row r="594" spans="4:26" x14ac:dyDescent="0.25">
      <c r="D594" s="6" t="s">
        <v>69</v>
      </c>
      <c r="E594" s="6" t="s">
        <v>385</v>
      </c>
      <c r="F594" s="6" t="s">
        <v>382</v>
      </c>
      <c r="G594" s="6" t="s">
        <v>371</v>
      </c>
      <c r="H594" s="6" t="s">
        <v>383</v>
      </c>
      <c r="P594" s="10" cm="1">
        <f t="array" ref="P594">BSHARE("pharma_share",0,"Rural","mean")</f>
        <v>6.2806320266819844</v>
      </c>
    </row>
    <row r="595" spans="4:26" x14ac:dyDescent="0.25">
      <c r="D595" s="6" t="s">
        <v>69</v>
      </c>
      <c r="E595" s="6" t="s">
        <v>385</v>
      </c>
      <c r="F595" s="6" t="s">
        <v>145</v>
      </c>
      <c r="G595" s="6" t="s">
        <v>371</v>
      </c>
      <c r="H595" s="6" t="s">
        <v>383</v>
      </c>
      <c r="Q595" s="10" cm="1">
        <f t="array" ref="Q595:Z595">BSHARE("pharma_share",DECILE_ARRAY,"Rural","mean")</f>
        <v>5.1004397588365826</v>
      </c>
      <c r="R595">
        <v>4.699856806871229</v>
      </c>
      <c r="S595">
        <v>4.8263187223684376</v>
      </c>
      <c r="T595">
        <v>5.3729147633465306</v>
      </c>
      <c r="U595">
        <v>5.5841451731489009</v>
      </c>
      <c r="V595">
        <v>5.6682184523067738</v>
      </c>
      <c r="W595">
        <v>6.7452643445754781</v>
      </c>
      <c r="X595">
        <v>6.8742541511388238</v>
      </c>
      <c r="Y595">
        <v>8.9803713470636772</v>
      </c>
      <c r="Z595">
        <v>11.70767223094912</v>
      </c>
    </row>
    <row r="596" spans="4:26" x14ac:dyDescent="0.25">
      <c r="D596" s="6" t="s">
        <v>72</v>
      </c>
      <c r="E596" s="6" t="s">
        <v>381</v>
      </c>
      <c r="F596" s="6" t="s">
        <v>382</v>
      </c>
      <c r="G596" s="6" t="s">
        <v>371</v>
      </c>
      <c r="H596" s="6" t="s">
        <v>383</v>
      </c>
      <c r="P596" s="10" cm="1">
        <f t="array" ref="P596">BSHARE("pharma_share",0,"Overall","median")</f>
        <v>4.4809927906667024</v>
      </c>
    </row>
    <row r="597" spans="4:26" x14ac:dyDescent="0.25">
      <c r="D597" s="6" t="s">
        <v>72</v>
      </c>
      <c r="E597" s="6" t="s">
        <v>381</v>
      </c>
      <c r="F597" s="6" t="s">
        <v>145</v>
      </c>
      <c r="G597" s="6" t="s">
        <v>371</v>
      </c>
      <c r="H597" s="6" t="s">
        <v>383</v>
      </c>
      <c r="Q597" s="10" cm="1">
        <f t="array" ref="Q597:Z597">BSHARE("pharma_share",DECILE_ARRAY,"Overall","median")</f>
        <v>3.2328500220922649</v>
      </c>
      <c r="R597">
        <v>3.4536861476167449</v>
      </c>
      <c r="S597">
        <v>3.4811096262397401</v>
      </c>
      <c r="T597">
        <v>3.6658387473905449</v>
      </c>
      <c r="U597">
        <v>4.1966667288749733</v>
      </c>
      <c r="V597">
        <v>4.217398112445828</v>
      </c>
      <c r="W597">
        <v>4.8465403164278387</v>
      </c>
      <c r="X597">
        <v>5.5707366470443684</v>
      </c>
      <c r="Y597">
        <v>6.5846888615794299</v>
      </c>
      <c r="Z597">
        <v>7.2553915556907826</v>
      </c>
    </row>
    <row r="598" spans="4:26" x14ac:dyDescent="0.25">
      <c r="D598" s="6" t="s">
        <v>72</v>
      </c>
      <c r="E598" s="6" t="s">
        <v>384</v>
      </c>
      <c r="F598" s="6" t="s">
        <v>382</v>
      </c>
      <c r="G598" s="6" t="s">
        <v>371</v>
      </c>
      <c r="H598" s="6" t="s">
        <v>383</v>
      </c>
      <c r="P598" s="10" cm="1">
        <f t="array" ref="P598">BSHARE("pharma_share",0,"Urban","median")</f>
        <v>4.4955054024518883</v>
      </c>
    </row>
    <row r="599" spans="4:26" x14ac:dyDescent="0.25">
      <c r="D599" s="6" t="s">
        <v>72</v>
      </c>
      <c r="E599" s="6" t="s">
        <v>384</v>
      </c>
      <c r="F599" s="6" t="s">
        <v>145</v>
      </c>
      <c r="G599" s="6" t="s">
        <v>371</v>
      </c>
      <c r="H599" s="6" t="s">
        <v>383</v>
      </c>
      <c r="Q599" s="10" cm="1">
        <f t="array" ref="Q599:Z599">BSHARE("pharma_share",DECILE_ARRAY,"Urban","median")</f>
        <v>3.392769324336808</v>
      </c>
      <c r="R599">
        <v>3.2717018368030808</v>
      </c>
      <c r="S599">
        <v>3.1490617333461661</v>
      </c>
      <c r="T599">
        <v>3.627585483517092</v>
      </c>
      <c r="U599">
        <v>4.3715050233878534</v>
      </c>
      <c r="V599">
        <v>4.5304667384364707</v>
      </c>
      <c r="W599">
        <v>5.1782211253448516</v>
      </c>
      <c r="X599">
        <v>5.3786840597704559</v>
      </c>
      <c r="Y599">
        <v>5.9004752312980369</v>
      </c>
      <c r="Z599">
        <v>6.5818623874713493</v>
      </c>
    </row>
    <row r="600" spans="4:26" x14ac:dyDescent="0.25">
      <c r="D600" s="6" t="s">
        <v>72</v>
      </c>
      <c r="E600" s="6" t="s">
        <v>385</v>
      </c>
      <c r="F600" s="6" t="s">
        <v>382</v>
      </c>
      <c r="G600" s="6" t="s">
        <v>371</v>
      </c>
      <c r="H600" s="6" t="s">
        <v>383</v>
      </c>
      <c r="P600" s="10" cm="1">
        <f t="array" ref="P600">BSHARE("pharma_share",0,"Rural","median")</f>
        <v>4.7679041064133347</v>
      </c>
    </row>
    <row r="601" spans="4:26" x14ac:dyDescent="0.25">
      <c r="D601" s="6" t="s">
        <v>72</v>
      </c>
      <c r="E601" s="6" t="s">
        <v>385</v>
      </c>
      <c r="F601" s="6" t="s">
        <v>145</v>
      </c>
      <c r="G601" s="6" t="s">
        <v>371</v>
      </c>
      <c r="H601" s="6" t="s">
        <v>383</v>
      </c>
      <c r="Q601" s="10" cm="1">
        <f t="array" ref="Q601:Z601">BSHARE("pharma_share",DECILE_ARRAY,"Rural","median")</f>
        <v>3.2354967645375838</v>
      </c>
      <c r="R601">
        <v>3.69162884568303</v>
      </c>
      <c r="S601">
        <v>3.791009674673206</v>
      </c>
      <c r="T601">
        <v>3.7051719630437212</v>
      </c>
      <c r="U601">
        <v>4.2409445732709763</v>
      </c>
      <c r="V601">
        <v>4.6194752868405251</v>
      </c>
      <c r="W601">
        <v>5.1037191250804774</v>
      </c>
      <c r="X601">
        <v>5.4589890750704324</v>
      </c>
      <c r="Y601">
        <v>6.9686163891457911</v>
      </c>
      <c r="Z601">
        <v>9.3490029787392022</v>
      </c>
    </row>
    <row r="602" spans="4:26" x14ac:dyDescent="0.25">
      <c r="D602" s="6" t="s">
        <v>75</v>
      </c>
      <c r="E602" s="6" t="s">
        <v>381</v>
      </c>
      <c r="F602" s="6" t="s">
        <v>382</v>
      </c>
      <c r="G602" s="6" t="s">
        <v>371</v>
      </c>
      <c r="H602" s="6" t="s">
        <v>383</v>
      </c>
      <c r="P602" s="10" cm="1">
        <f t="array" ref="P602">BSHARE("pharma_share",0,"Overall","p25")</f>
        <v>1.76565583802452</v>
      </c>
    </row>
    <row r="603" spans="4:26" x14ac:dyDescent="0.25">
      <c r="D603" s="6" t="s">
        <v>75</v>
      </c>
      <c r="E603" s="6" t="s">
        <v>381</v>
      </c>
      <c r="F603" s="6" t="s">
        <v>145</v>
      </c>
      <c r="G603" s="6" t="s">
        <v>371</v>
      </c>
      <c r="H603" s="6" t="s">
        <v>383</v>
      </c>
      <c r="Q603" s="10" cm="1">
        <f t="array" ref="Q603:Z603">BSHARE("pharma_share",DECILE_ARRAY,"Overall","p25")</f>
        <v>1.5099484685369591</v>
      </c>
      <c r="R603">
        <v>1.5453454713189489</v>
      </c>
      <c r="S603">
        <v>1.654309483626873</v>
      </c>
      <c r="T603">
        <v>1.649747532005547</v>
      </c>
      <c r="U603">
        <v>1.839519852027685</v>
      </c>
      <c r="V603">
        <v>2.0518761091953559</v>
      </c>
      <c r="W603">
        <v>2.17809740740408</v>
      </c>
      <c r="X603">
        <v>2.2757718869870072</v>
      </c>
      <c r="Y603">
        <v>2.2709310232781972</v>
      </c>
      <c r="Z603">
        <v>2.3837767057579788</v>
      </c>
    </row>
    <row r="604" spans="4:26" x14ac:dyDescent="0.25">
      <c r="D604" s="6" t="s">
        <v>75</v>
      </c>
      <c r="E604" s="6" t="s">
        <v>384</v>
      </c>
      <c r="F604" s="6" t="s">
        <v>382</v>
      </c>
      <c r="G604" s="6" t="s">
        <v>371</v>
      </c>
      <c r="H604" s="6" t="s">
        <v>383</v>
      </c>
      <c r="P604" s="10" cm="1">
        <f t="array" ref="P604">BSHARE("pharma_share",0,"Urban","p25")</f>
        <v>1.391202650479306</v>
      </c>
    </row>
    <row r="605" spans="4:26" x14ac:dyDescent="0.25">
      <c r="D605" s="6" t="s">
        <v>75</v>
      </c>
      <c r="E605" s="6" t="s">
        <v>384</v>
      </c>
      <c r="F605" s="6" t="s">
        <v>145</v>
      </c>
      <c r="G605" s="6" t="s">
        <v>371</v>
      </c>
      <c r="H605" s="6" t="s">
        <v>383</v>
      </c>
      <c r="Q605" s="10" cm="1">
        <f t="array" ref="Q605:Z605">BSHARE("pharma_share",DECILE_ARRAY,"Urban","p25")</f>
        <v>1.116482346693221</v>
      </c>
      <c r="R605">
        <v>1.313803722386323</v>
      </c>
      <c r="S605">
        <v>1.266804690903653</v>
      </c>
      <c r="T605">
        <v>1.646248840416686</v>
      </c>
      <c r="U605">
        <v>1.746509907350289</v>
      </c>
      <c r="V605">
        <v>1.6402535636119819</v>
      </c>
      <c r="W605">
        <v>1.6416238471292759</v>
      </c>
      <c r="X605">
        <v>1.6983813246243029</v>
      </c>
      <c r="Y605">
        <v>1.821020937126125</v>
      </c>
      <c r="Z605">
        <v>1.478116395179178</v>
      </c>
    </row>
    <row r="606" spans="4:26" x14ac:dyDescent="0.25">
      <c r="D606" s="6" t="s">
        <v>75</v>
      </c>
      <c r="E606" s="6" t="s">
        <v>385</v>
      </c>
      <c r="F606" s="6" t="s">
        <v>382</v>
      </c>
      <c r="G606" s="6" t="s">
        <v>371</v>
      </c>
      <c r="H606" s="6" t="s">
        <v>383</v>
      </c>
      <c r="P606" s="10" cm="1">
        <f t="array" ref="P606">BSHARE("pharma_share",0,"Rural","p25")</f>
        <v>2.0495675658690402</v>
      </c>
    </row>
    <row r="607" spans="4:26" x14ac:dyDescent="0.25">
      <c r="D607" s="6" t="s">
        <v>75</v>
      </c>
      <c r="E607" s="6" t="s">
        <v>385</v>
      </c>
      <c r="F607" s="6" t="s">
        <v>145</v>
      </c>
      <c r="G607" s="6" t="s">
        <v>371</v>
      </c>
      <c r="H607" s="6" t="s">
        <v>383</v>
      </c>
      <c r="Q607" s="10" cm="1">
        <f t="array" ref="Q607:Z607">BSHARE("pharma_share",DECILE_ARRAY,"Rural","p25")</f>
        <v>1.657116739222386</v>
      </c>
      <c r="R607">
        <v>1.7392075428331619</v>
      </c>
      <c r="S607">
        <v>1.8534422858468831</v>
      </c>
      <c r="T607">
        <v>1.9195491812488099</v>
      </c>
      <c r="U607">
        <v>1.9586239930909799</v>
      </c>
      <c r="V607">
        <v>2.20194670887419</v>
      </c>
      <c r="W607">
        <v>2.1111393938482408</v>
      </c>
      <c r="X607">
        <v>2.5656851721054541</v>
      </c>
      <c r="Y607">
        <v>3.2358442065908002</v>
      </c>
      <c r="Z607">
        <v>4.0909853164805634</v>
      </c>
    </row>
    <row r="608" spans="4:26" x14ac:dyDescent="0.25">
      <c r="D608" s="6" t="s">
        <v>78</v>
      </c>
      <c r="E608" s="6" t="s">
        <v>381</v>
      </c>
      <c r="F608" s="6" t="s">
        <v>382</v>
      </c>
      <c r="G608" s="6" t="s">
        <v>371</v>
      </c>
      <c r="H608" s="6" t="s">
        <v>383</v>
      </c>
      <c r="P608" s="10" cm="1">
        <f t="array" ref="P608">BSHARE("pharma_share",0,"Overall","p75")</f>
        <v>9.7320917526941511</v>
      </c>
    </row>
    <row r="609" spans="3:26" x14ac:dyDescent="0.25">
      <c r="D609" s="6" t="s">
        <v>78</v>
      </c>
      <c r="E609" s="6" t="s">
        <v>381</v>
      </c>
      <c r="F609" s="6" t="s">
        <v>145</v>
      </c>
      <c r="G609" s="6" t="s">
        <v>371</v>
      </c>
      <c r="H609" s="6" t="s">
        <v>383</v>
      </c>
      <c r="Q609" s="10" cm="1">
        <f t="array" ref="Q609:Z609">BSHARE("pharma_share",DECILE_ARRAY,"Overall","p75")</f>
        <v>5.8769865183453884</v>
      </c>
      <c r="R609">
        <v>6.8724180690934871</v>
      </c>
      <c r="S609">
        <v>6.4433442640483047</v>
      </c>
      <c r="T609">
        <v>7.6108983987942143</v>
      </c>
      <c r="U609">
        <v>7.4599614674103139</v>
      </c>
      <c r="V609">
        <v>9.2324046694263124</v>
      </c>
      <c r="W609">
        <v>9.011688304330459</v>
      </c>
      <c r="X609">
        <v>11.760048119020871</v>
      </c>
      <c r="Y609">
        <v>11.67728505248159</v>
      </c>
      <c r="Z609">
        <v>16.051250645974338</v>
      </c>
    </row>
    <row r="610" spans="3:26" x14ac:dyDescent="0.25">
      <c r="D610" s="6" t="s">
        <v>78</v>
      </c>
      <c r="E610" s="6" t="s">
        <v>384</v>
      </c>
      <c r="F610" s="6" t="s">
        <v>382</v>
      </c>
      <c r="G610" s="6" t="s">
        <v>371</v>
      </c>
      <c r="H610" s="6" t="s">
        <v>383</v>
      </c>
      <c r="P610" s="10" cm="1">
        <f t="array" ref="P610">BSHARE("pharma_share",0,"Urban","p75")</f>
        <v>9.9046748697238574</v>
      </c>
    </row>
    <row r="611" spans="3:26" x14ac:dyDescent="0.25">
      <c r="D611" s="6" t="s">
        <v>78</v>
      </c>
      <c r="E611" s="6" t="s">
        <v>384</v>
      </c>
      <c r="F611" s="6" t="s">
        <v>145</v>
      </c>
      <c r="G611" s="6" t="s">
        <v>371</v>
      </c>
      <c r="H611" s="6" t="s">
        <v>383</v>
      </c>
      <c r="Q611" s="10" cm="1">
        <f t="array" ref="Q611:Z611">BSHARE("pharma_share",DECILE_ARRAY,"Urban","p75")</f>
        <v>7.1205158507562603</v>
      </c>
      <c r="R611">
        <v>6.8500099061654494</v>
      </c>
      <c r="S611">
        <v>6.9911874093859927</v>
      </c>
      <c r="T611">
        <v>8.198598836064896</v>
      </c>
      <c r="U611">
        <v>8.2520244420082971</v>
      </c>
      <c r="V611">
        <v>9.4526145414551213</v>
      </c>
      <c r="W611">
        <v>11.25890597526587</v>
      </c>
      <c r="X611">
        <v>9.9401382071247308</v>
      </c>
      <c r="Y611">
        <v>12.6565507741378</v>
      </c>
      <c r="Z611">
        <v>16.055134283897779</v>
      </c>
    </row>
    <row r="612" spans="3:26" x14ac:dyDescent="0.25">
      <c r="D612" s="6" t="s">
        <v>78</v>
      </c>
      <c r="E612" s="6" t="s">
        <v>385</v>
      </c>
      <c r="F612" s="6" t="s">
        <v>382</v>
      </c>
      <c r="G612" s="6" t="s">
        <v>371</v>
      </c>
      <c r="H612" s="6" t="s">
        <v>383</v>
      </c>
      <c r="P612" s="10" cm="1">
        <f t="array" ref="P612">BSHARE("pharma_share",0,"Rural","p75")</f>
        <v>9.4896468282012378</v>
      </c>
    </row>
    <row r="613" spans="3:26" x14ac:dyDescent="0.25">
      <c r="D613" s="6" t="s">
        <v>78</v>
      </c>
      <c r="E613" s="6" t="s">
        <v>385</v>
      </c>
      <c r="F613" s="6" t="s">
        <v>145</v>
      </c>
      <c r="G613" s="6" t="s">
        <v>371</v>
      </c>
      <c r="H613" s="6" t="s">
        <v>383</v>
      </c>
      <c r="Q613" s="10" cm="1">
        <f t="array" ref="Q613:Z613">BSHARE("pharma_share",DECILE_ARRAY,"Rural","p75")</f>
        <v>6.1296246192942911</v>
      </c>
      <c r="R613">
        <v>6.1084049607523463</v>
      </c>
      <c r="S613">
        <v>6.6322865053739877</v>
      </c>
      <c r="T613">
        <v>6.8911470702834361</v>
      </c>
      <c r="U613">
        <v>8.0415700911220895</v>
      </c>
      <c r="V613">
        <v>8.4501609133717608</v>
      </c>
      <c r="W613">
        <v>9.3422823143535165</v>
      </c>
      <c r="X613">
        <v>9.3236298683946472</v>
      </c>
      <c r="Y613">
        <v>12.235917667087669</v>
      </c>
      <c r="Z613">
        <v>16.74522933134298</v>
      </c>
    </row>
    <row r="615" spans="3:26" x14ac:dyDescent="0.25">
      <c r="C615" s="7" t="s">
        <v>412</v>
      </c>
      <c r="G615" s="6" t="s">
        <v>373</v>
      </c>
      <c r="O615" s="2" t="s">
        <v>331</v>
      </c>
      <c r="Q615" s="2">
        <v>1</v>
      </c>
      <c r="R615" s="2">
        <v>2</v>
      </c>
      <c r="S615" s="2">
        <v>3</v>
      </c>
      <c r="T615" s="2">
        <v>4</v>
      </c>
      <c r="U615" s="2">
        <v>5</v>
      </c>
      <c r="V615" s="2">
        <v>6</v>
      </c>
      <c r="W615" s="2">
        <v>7</v>
      </c>
      <c r="X615" s="2">
        <v>8</v>
      </c>
      <c r="Y615" s="2">
        <v>9</v>
      </c>
      <c r="Z615" s="2">
        <v>10</v>
      </c>
    </row>
    <row r="616" spans="3:26" x14ac:dyDescent="0.25">
      <c r="D616" s="6" t="s">
        <v>69</v>
      </c>
      <c r="E616" s="6" t="s">
        <v>381</v>
      </c>
      <c r="F616" s="6" t="s">
        <v>382</v>
      </c>
      <c r="G616" s="6" t="s">
        <v>373</v>
      </c>
      <c r="H616" s="6" t="s">
        <v>383</v>
      </c>
      <c r="P616" s="10" cm="1">
        <f t="array" ref="P616">BSHARE("rectourism_share",0,"Overall","mean")</f>
        <v>7.42940212927848</v>
      </c>
    </row>
    <row r="617" spans="3:26" x14ac:dyDescent="0.25">
      <c r="D617" s="6" t="s">
        <v>69</v>
      </c>
      <c r="E617" s="6" t="s">
        <v>381</v>
      </c>
      <c r="F617" s="6" t="s">
        <v>145</v>
      </c>
      <c r="G617" s="6" t="s">
        <v>373</v>
      </c>
      <c r="H617" s="6" t="s">
        <v>383</v>
      </c>
      <c r="Q617" s="10" cm="1">
        <f t="array" ref="Q617:Z617">BSHARE("rectourism_share",DECILE_ARRAY,"Overall","mean")</f>
        <v>6.9014477468147648</v>
      </c>
      <c r="R617">
        <v>6.7128999436003562</v>
      </c>
      <c r="S617">
        <v>6.889418483816435</v>
      </c>
      <c r="T617">
        <v>6.4143541878331298</v>
      </c>
      <c r="U617">
        <v>7.2544364106283696</v>
      </c>
      <c r="V617">
        <v>6.4518856264003688</v>
      </c>
      <c r="W617">
        <v>6.3116483055992303</v>
      </c>
      <c r="X617">
        <v>6.3807594474314397</v>
      </c>
      <c r="Y617">
        <v>6.5757768039673996</v>
      </c>
      <c r="Z617">
        <v>8.0149924852578085</v>
      </c>
    </row>
    <row r="618" spans="3:26" x14ac:dyDescent="0.25">
      <c r="D618" s="6" t="s">
        <v>69</v>
      </c>
      <c r="E618" s="6" t="s">
        <v>384</v>
      </c>
      <c r="F618" s="6" t="s">
        <v>382</v>
      </c>
      <c r="G618" s="6" t="s">
        <v>373</v>
      </c>
      <c r="H618" s="6" t="s">
        <v>383</v>
      </c>
      <c r="P618" s="10" cm="1">
        <f t="array" ref="P618">BSHARE("rectourism_share",0,"Urban","mean")</f>
        <v>7.6510786556437331</v>
      </c>
    </row>
    <row r="619" spans="3:26" x14ac:dyDescent="0.25">
      <c r="D619" s="6" t="s">
        <v>69</v>
      </c>
      <c r="E619" s="6" t="s">
        <v>384</v>
      </c>
      <c r="F619" s="6" t="s">
        <v>145</v>
      </c>
      <c r="G619" s="6" t="s">
        <v>373</v>
      </c>
      <c r="H619" s="6" t="s">
        <v>383</v>
      </c>
      <c r="Q619" s="10" cm="1">
        <f t="array" ref="Q619:Z619">BSHARE("rectourism_share",DECILE_ARRAY,"Urban","mean")</f>
        <v>8.038654381120887</v>
      </c>
      <c r="R619">
        <v>7.3089055307546076</v>
      </c>
      <c r="S619">
        <v>7.6090871187454043</v>
      </c>
      <c r="T619">
        <v>7.5275852240733334</v>
      </c>
      <c r="U619">
        <v>7.6405023409864601</v>
      </c>
      <c r="V619">
        <v>8.2209507063365521</v>
      </c>
      <c r="W619">
        <v>7.837146058666252</v>
      </c>
      <c r="X619">
        <v>7.6922990527745636</v>
      </c>
      <c r="Y619">
        <v>8.6611793517103131</v>
      </c>
      <c r="Z619">
        <v>8.0339558817097849</v>
      </c>
    </row>
    <row r="620" spans="3:26" x14ac:dyDescent="0.25">
      <c r="D620" s="6" t="s">
        <v>69</v>
      </c>
      <c r="E620" s="6" t="s">
        <v>385</v>
      </c>
      <c r="F620" s="6" t="s">
        <v>382</v>
      </c>
      <c r="G620" s="6" t="s">
        <v>373</v>
      </c>
      <c r="H620" s="6" t="s">
        <v>383</v>
      </c>
      <c r="P620" s="10" cm="1">
        <f t="array" ref="P620">BSHARE("rectourism_share",0,"Rural","mean")</f>
        <v>6.1793593804708111</v>
      </c>
    </row>
    <row r="621" spans="3:26" x14ac:dyDescent="0.25">
      <c r="D621" s="6" t="s">
        <v>69</v>
      </c>
      <c r="E621" s="6" t="s">
        <v>385</v>
      </c>
      <c r="F621" s="6" t="s">
        <v>145</v>
      </c>
      <c r="G621" s="6" t="s">
        <v>373</v>
      </c>
      <c r="H621" s="6" t="s">
        <v>383</v>
      </c>
      <c r="Q621" s="10" cm="1">
        <f t="array" ref="Q621:Z621">BSHARE("rectourism_share",DECILE_ARRAY,"Rural","mean")</f>
        <v>6.2209116598987801</v>
      </c>
      <c r="R621">
        <v>6.3481518492677118</v>
      </c>
      <c r="S621">
        <v>6.0411792026765623</v>
      </c>
      <c r="T621">
        <v>6.1531175523379256</v>
      </c>
      <c r="U621">
        <v>5.9655050341408504</v>
      </c>
      <c r="V621">
        <v>5.8439443948377408</v>
      </c>
      <c r="W621">
        <v>5.880207343561918</v>
      </c>
      <c r="X621">
        <v>6.1255480449644653</v>
      </c>
      <c r="Y621">
        <v>5.4522019234648127</v>
      </c>
      <c r="Z621">
        <v>5.8200027355519346</v>
      </c>
    </row>
    <row r="622" spans="3:26" x14ac:dyDescent="0.25">
      <c r="D622" s="6" t="s">
        <v>72</v>
      </c>
      <c r="E622" s="6" t="s">
        <v>381</v>
      </c>
      <c r="F622" s="6" t="s">
        <v>382</v>
      </c>
      <c r="G622" s="6" t="s">
        <v>373</v>
      </c>
      <c r="H622" s="6" t="s">
        <v>383</v>
      </c>
      <c r="P622" s="10" cm="1">
        <f t="array" ref="P622">BSHARE("rectourism_share",0,"Overall","median")</f>
        <v>5.39809672828373</v>
      </c>
    </row>
    <row r="623" spans="3:26" x14ac:dyDescent="0.25">
      <c r="D623" s="6" t="s">
        <v>72</v>
      </c>
      <c r="E623" s="6" t="s">
        <v>381</v>
      </c>
      <c r="F623" s="6" t="s">
        <v>145</v>
      </c>
      <c r="G623" s="6" t="s">
        <v>373</v>
      </c>
      <c r="H623" s="6" t="s">
        <v>383</v>
      </c>
      <c r="Q623" s="10" cm="1">
        <f t="array" ref="Q623:Z623">BSHARE("rectourism_share",DECILE_ARRAY,"Overall","median")</f>
        <v>6.173303700454122</v>
      </c>
      <c r="R623">
        <v>5.8044111973461536</v>
      </c>
      <c r="S623">
        <v>5.9944029161583794</v>
      </c>
      <c r="T623">
        <v>6.4594421792103933</v>
      </c>
      <c r="U623">
        <v>6.1008890689244151</v>
      </c>
      <c r="V623">
        <v>6.2782177566986102</v>
      </c>
      <c r="W623">
        <v>6.1042385231794603</v>
      </c>
      <c r="X623">
        <v>5.3288588541617488</v>
      </c>
      <c r="Y623">
        <v>5.0714904872582496</v>
      </c>
      <c r="Z623">
        <v>4.38744840211114</v>
      </c>
    </row>
    <row r="624" spans="3:26" x14ac:dyDescent="0.25">
      <c r="D624" s="6" t="s">
        <v>72</v>
      </c>
      <c r="E624" s="6" t="s">
        <v>384</v>
      </c>
      <c r="F624" s="6" t="s">
        <v>382</v>
      </c>
      <c r="G624" s="6" t="s">
        <v>373</v>
      </c>
      <c r="H624" s="6" t="s">
        <v>383</v>
      </c>
      <c r="P624" s="10" cm="1">
        <f t="array" ref="P624">BSHARE("rectourism_share",0,"Urban","median")</f>
        <v>7.1138982375554161</v>
      </c>
    </row>
    <row r="625" spans="4:26" x14ac:dyDescent="0.25">
      <c r="D625" s="6" t="s">
        <v>72</v>
      </c>
      <c r="E625" s="6" t="s">
        <v>384</v>
      </c>
      <c r="F625" s="6" t="s">
        <v>145</v>
      </c>
      <c r="G625" s="6" t="s">
        <v>373</v>
      </c>
      <c r="H625" s="6" t="s">
        <v>383</v>
      </c>
      <c r="Q625" s="10" cm="1">
        <f t="array" ref="Q625:Z625">BSHARE("rectourism_share",DECILE_ARRAY,"Urban","median")</f>
        <v>7.6998853792756341</v>
      </c>
      <c r="R625">
        <v>6.7229863653849797</v>
      </c>
      <c r="S625">
        <v>6.4579572609270572</v>
      </c>
      <c r="T625">
        <v>6.8304600035614538</v>
      </c>
      <c r="U625">
        <v>6.6247915979009031</v>
      </c>
      <c r="V625">
        <v>7.1378388695461981</v>
      </c>
      <c r="W625">
        <v>6.9222629947376033</v>
      </c>
      <c r="X625">
        <v>6.9285255807685129</v>
      </c>
      <c r="Y625">
        <v>6.1056850470120416</v>
      </c>
      <c r="Z625">
        <v>5.2125590521868412</v>
      </c>
    </row>
    <row r="626" spans="4:26" x14ac:dyDescent="0.25">
      <c r="D626" s="6" t="s">
        <v>72</v>
      </c>
      <c r="E626" s="6" t="s">
        <v>385</v>
      </c>
      <c r="F626" s="6" t="s">
        <v>382</v>
      </c>
      <c r="G626" s="6" t="s">
        <v>373</v>
      </c>
      <c r="H626" s="6" t="s">
        <v>383</v>
      </c>
      <c r="P626" s="10" cm="1">
        <f t="array" ref="P626">BSHARE("rectourism_share",0,"Rural","median")</f>
        <v>5.0751998845030597</v>
      </c>
    </row>
    <row r="627" spans="4:26" x14ac:dyDescent="0.25">
      <c r="D627" s="6" t="s">
        <v>72</v>
      </c>
      <c r="E627" s="6" t="s">
        <v>385</v>
      </c>
      <c r="F627" s="6" t="s">
        <v>145</v>
      </c>
      <c r="G627" s="6" t="s">
        <v>373</v>
      </c>
      <c r="H627" s="6" t="s">
        <v>383</v>
      </c>
      <c r="Q627" s="10" cm="1">
        <f t="array" ref="Q627:Z627">BSHARE("rectourism_share",DECILE_ARRAY,"Rural","median")</f>
        <v>5.7615270637914424</v>
      </c>
      <c r="R627">
        <v>5.5698540804753556</v>
      </c>
      <c r="S627">
        <v>5.3785548385064779</v>
      </c>
      <c r="T627">
        <v>5.2286160490811131</v>
      </c>
      <c r="U627">
        <v>5.4075698303497521</v>
      </c>
      <c r="V627">
        <v>4.9716717853171613</v>
      </c>
      <c r="W627">
        <v>5.2236703061507468</v>
      </c>
      <c r="X627">
        <v>4.6204849791457754</v>
      </c>
      <c r="Y627">
        <v>4.7396892043915129</v>
      </c>
      <c r="Z627">
        <v>3.28630418421535</v>
      </c>
    </row>
    <row r="628" spans="4:26" x14ac:dyDescent="0.25">
      <c r="D628" s="6" t="s">
        <v>75</v>
      </c>
      <c r="E628" s="6" t="s">
        <v>381</v>
      </c>
      <c r="F628" s="6" t="s">
        <v>382</v>
      </c>
      <c r="G628" s="6" t="s">
        <v>373</v>
      </c>
      <c r="H628" s="6" t="s">
        <v>383</v>
      </c>
      <c r="P628" s="10" cm="1">
        <f t="array" ref="P628">BSHARE("rectourism_share",0,"Overall","p25")</f>
        <v>3.4425275788108309</v>
      </c>
    </row>
    <row r="629" spans="4:26" x14ac:dyDescent="0.25">
      <c r="D629" s="6" t="s">
        <v>75</v>
      </c>
      <c r="E629" s="6" t="s">
        <v>381</v>
      </c>
      <c r="F629" s="6" t="s">
        <v>145</v>
      </c>
      <c r="G629" s="6" t="s">
        <v>373</v>
      </c>
      <c r="H629" s="6" t="s">
        <v>383</v>
      </c>
      <c r="Q629" s="10" cm="1">
        <f t="array" ref="Q629:Z629">BSHARE("rectourism_share",DECILE_ARRAY,"Overall","p25")</f>
        <v>3.664586418034939</v>
      </c>
      <c r="R629">
        <v>3.8486651978357789</v>
      </c>
      <c r="S629">
        <v>4.4294452488123746</v>
      </c>
      <c r="T629">
        <v>4.2143574413624734</v>
      </c>
      <c r="U629">
        <v>4.0336458032704794</v>
      </c>
      <c r="V629">
        <v>3.825803948053379</v>
      </c>
      <c r="W629">
        <v>3.7346050728978448</v>
      </c>
      <c r="X629">
        <v>3.4164916666127398</v>
      </c>
      <c r="Y629">
        <v>2.91000563753621</v>
      </c>
      <c r="Z629">
        <v>2.401055661193491</v>
      </c>
    </row>
    <row r="630" spans="4:26" x14ac:dyDescent="0.25">
      <c r="D630" s="6" t="s">
        <v>75</v>
      </c>
      <c r="E630" s="6" t="s">
        <v>384</v>
      </c>
      <c r="F630" s="6" t="s">
        <v>382</v>
      </c>
      <c r="G630" s="6" t="s">
        <v>373</v>
      </c>
      <c r="H630" s="6" t="s">
        <v>383</v>
      </c>
      <c r="P630" s="10" cm="1">
        <f t="array" ref="P630">BSHARE("rectourism_share",0,"Urban","p25")</f>
        <v>4.272445416223241</v>
      </c>
    </row>
    <row r="631" spans="4:26" x14ac:dyDescent="0.25">
      <c r="D631" s="6" t="s">
        <v>75</v>
      </c>
      <c r="E631" s="6" t="s">
        <v>384</v>
      </c>
      <c r="F631" s="6" t="s">
        <v>145</v>
      </c>
      <c r="G631" s="6" t="s">
        <v>373</v>
      </c>
      <c r="H631" s="6" t="s">
        <v>383</v>
      </c>
      <c r="Q631" s="10" cm="1">
        <f t="array" ref="Q631:Z631">BSHARE("rectourism_share",DECILE_ARRAY,"Urban","p25")</f>
        <v>4.9254224549226846</v>
      </c>
      <c r="R631">
        <v>5.0038081515884194</v>
      </c>
      <c r="S631">
        <v>4.5990668059365563</v>
      </c>
      <c r="T631">
        <v>4.3561305543497699</v>
      </c>
      <c r="U631">
        <v>4.9624836743616454</v>
      </c>
      <c r="V631">
        <v>4.7997782693438484</v>
      </c>
      <c r="W631">
        <v>4.0300723524312803</v>
      </c>
      <c r="X631">
        <v>4.2331760995557639</v>
      </c>
      <c r="Y631">
        <v>3.9069114999240711</v>
      </c>
      <c r="Z631">
        <v>2.210825145512096</v>
      </c>
    </row>
    <row r="632" spans="4:26" x14ac:dyDescent="0.25">
      <c r="D632" s="6" t="s">
        <v>75</v>
      </c>
      <c r="E632" s="6" t="s">
        <v>385</v>
      </c>
      <c r="F632" s="6" t="s">
        <v>382</v>
      </c>
      <c r="G632" s="6" t="s">
        <v>373</v>
      </c>
      <c r="H632" s="6" t="s">
        <v>383</v>
      </c>
      <c r="P632" s="10" cm="1">
        <f t="array" ref="P632">BSHARE("rectourism_share",0,"Rural","p25")</f>
        <v>3.1720254981910809</v>
      </c>
    </row>
    <row r="633" spans="4:26" x14ac:dyDescent="0.25">
      <c r="D633" s="6" t="s">
        <v>75</v>
      </c>
      <c r="E633" s="6" t="s">
        <v>385</v>
      </c>
      <c r="F633" s="6" t="s">
        <v>145</v>
      </c>
      <c r="G633" s="6" t="s">
        <v>373</v>
      </c>
      <c r="H633" s="6" t="s">
        <v>383</v>
      </c>
      <c r="Q633" s="10" cm="1">
        <f t="array" ref="Q633:Z633">BSHARE("rectourism_share",DECILE_ARRAY,"Rural","p25")</f>
        <v>3.3940521462537201</v>
      </c>
      <c r="R633">
        <v>3.7231702980991588</v>
      </c>
      <c r="S633">
        <v>3.8749587998360129</v>
      </c>
      <c r="T633">
        <v>3.7339039318853691</v>
      </c>
      <c r="U633">
        <v>3.9451079298458489</v>
      </c>
      <c r="V633">
        <v>3.5021993315826569</v>
      </c>
      <c r="W633">
        <v>3.3178205954991662</v>
      </c>
      <c r="X633">
        <v>3.277324640768859</v>
      </c>
      <c r="Y633">
        <v>3.1138017378715648</v>
      </c>
      <c r="Z633">
        <v>2.0466639105398081</v>
      </c>
    </row>
    <row r="634" spans="4:26" x14ac:dyDescent="0.25">
      <c r="D634" s="6" t="s">
        <v>78</v>
      </c>
      <c r="E634" s="6" t="s">
        <v>381</v>
      </c>
      <c r="F634" s="6" t="s">
        <v>382</v>
      </c>
      <c r="G634" s="6" t="s">
        <v>373</v>
      </c>
      <c r="H634" s="6" t="s">
        <v>383</v>
      </c>
      <c r="P634" s="10" cm="1">
        <f t="array" ref="P634">BSHARE("rectourism_share",0,"Overall","p75")</f>
        <v>8.7730358912285791</v>
      </c>
    </row>
    <row r="635" spans="4:26" x14ac:dyDescent="0.25">
      <c r="D635" s="6" t="s">
        <v>78</v>
      </c>
      <c r="E635" s="6" t="s">
        <v>381</v>
      </c>
      <c r="F635" s="6" t="s">
        <v>145</v>
      </c>
      <c r="G635" s="6" t="s">
        <v>373</v>
      </c>
      <c r="H635" s="6" t="s">
        <v>383</v>
      </c>
      <c r="Q635" s="10" cm="1">
        <f t="array" ref="Q635:Z635">BSHARE("rectourism_share",DECILE_ARRAY,"Overall","p75")</f>
        <v>9.0322915815917071</v>
      </c>
      <c r="R635">
        <v>8.3165151797478902</v>
      </c>
      <c r="S635">
        <v>8.8766049741593598</v>
      </c>
      <c r="T635">
        <v>8.19177638683054</v>
      </c>
      <c r="U635">
        <v>8.4274737585136155</v>
      </c>
      <c r="V635">
        <v>8.6811390250477878</v>
      </c>
      <c r="W635">
        <v>8.9124756289050779</v>
      </c>
      <c r="X635">
        <v>8.6006447687885874</v>
      </c>
      <c r="Y635">
        <v>8.8006720501941427</v>
      </c>
      <c r="Z635">
        <v>9.9225558635432236</v>
      </c>
    </row>
    <row r="636" spans="4:26" x14ac:dyDescent="0.25">
      <c r="D636" s="6" t="s">
        <v>78</v>
      </c>
      <c r="E636" s="6" t="s">
        <v>384</v>
      </c>
      <c r="F636" s="6" t="s">
        <v>382</v>
      </c>
      <c r="G636" s="6" t="s">
        <v>373</v>
      </c>
      <c r="H636" s="6" t="s">
        <v>383</v>
      </c>
      <c r="P636" s="10" cm="1">
        <f t="array" ref="P636">BSHARE("rectourism_share",0,"Urban","p75")</f>
        <v>9.5815759627674861</v>
      </c>
    </row>
    <row r="637" spans="4:26" x14ac:dyDescent="0.25">
      <c r="D637" s="6" t="s">
        <v>78</v>
      </c>
      <c r="E637" s="6" t="s">
        <v>384</v>
      </c>
      <c r="F637" s="6" t="s">
        <v>145</v>
      </c>
      <c r="G637" s="6" t="s">
        <v>373</v>
      </c>
      <c r="H637" s="6" t="s">
        <v>383</v>
      </c>
      <c r="Q637" s="10" cm="1">
        <f t="array" ref="Q637:Z637">BSHARE("rectourism_share",DECILE_ARRAY,"Urban","p75")</f>
        <v>10.672550385156031</v>
      </c>
      <c r="R637">
        <v>9.2542968277349313</v>
      </c>
      <c r="S637">
        <v>9.0701964104639519</v>
      </c>
      <c r="T637">
        <v>9.5674679530014703</v>
      </c>
      <c r="U637">
        <v>10.320011815137031</v>
      </c>
      <c r="V637">
        <v>9.2450735963525723</v>
      </c>
      <c r="W637">
        <v>10.633518217628261</v>
      </c>
      <c r="X637">
        <v>10.751344451521661</v>
      </c>
      <c r="Y637">
        <v>11.382235431272999</v>
      </c>
      <c r="Z637">
        <v>11.6017074914389</v>
      </c>
    </row>
    <row r="638" spans="4:26" x14ac:dyDescent="0.25">
      <c r="D638" s="6" t="s">
        <v>78</v>
      </c>
      <c r="E638" s="6" t="s">
        <v>385</v>
      </c>
      <c r="F638" s="6" t="s">
        <v>382</v>
      </c>
      <c r="G638" s="6" t="s">
        <v>373</v>
      </c>
      <c r="H638" s="6" t="s">
        <v>383</v>
      </c>
      <c r="P638" s="10" cm="1">
        <f t="array" ref="P638">BSHARE("rectourism_share",0,"Rural","p75")</f>
        <v>7.507703922973116</v>
      </c>
    </row>
    <row r="639" spans="4:26" x14ac:dyDescent="0.25">
      <c r="D639" s="6" t="s">
        <v>78</v>
      </c>
      <c r="E639" s="6" t="s">
        <v>385</v>
      </c>
      <c r="F639" s="6" t="s">
        <v>145</v>
      </c>
      <c r="G639" s="6" t="s">
        <v>373</v>
      </c>
      <c r="H639" s="6" t="s">
        <v>383</v>
      </c>
      <c r="Q639" s="10" cm="1">
        <f t="array" ref="Q639:Z639">BSHARE("rectourism_share",DECILE_ARRAY,"Rural","p75")</f>
        <v>8.2449294989449928</v>
      </c>
      <c r="R639">
        <v>8.0970332927611093</v>
      </c>
      <c r="S639">
        <v>7.6086260672280446</v>
      </c>
      <c r="T639">
        <v>8.1789227381708667</v>
      </c>
      <c r="U639">
        <v>7.2931380101945988</v>
      </c>
      <c r="V639">
        <v>7.1838089759031867</v>
      </c>
      <c r="W639">
        <v>7.0133447776996478</v>
      </c>
      <c r="X639">
        <v>7.3695923032080319</v>
      </c>
      <c r="Y639">
        <v>6.600220568624632</v>
      </c>
      <c r="Z639">
        <v>5.6201580205978807</v>
      </c>
    </row>
    <row r="641" spans="3:26" x14ac:dyDescent="0.25">
      <c r="C641" s="7" t="s">
        <v>413</v>
      </c>
      <c r="G641" s="6" t="s">
        <v>375</v>
      </c>
      <c r="O641" s="2" t="s">
        <v>331</v>
      </c>
      <c r="Q641" s="2">
        <v>1</v>
      </c>
      <c r="R641" s="2">
        <v>2</v>
      </c>
      <c r="S641" s="2">
        <v>3</v>
      </c>
      <c r="T641" s="2">
        <v>4</v>
      </c>
      <c r="U641" s="2">
        <v>5</v>
      </c>
      <c r="V641" s="2">
        <v>6</v>
      </c>
      <c r="W641" s="2">
        <v>7</v>
      </c>
      <c r="X641" s="2">
        <v>8</v>
      </c>
      <c r="Y641" s="2">
        <v>9</v>
      </c>
      <c r="Z641" s="2">
        <v>10</v>
      </c>
    </row>
    <row r="642" spans="3:26" x14ac:dyDescent="0.25">
      <c r="D642" s="6" t="s">
        <v>69</v>
      </c>
      <c r="E642" s="6" t="s">
        <v>381</v>
      </c>
      <c r="F642" s="6" t="s">
        <v>382</v>
      </c>
      <c r="G642" s="6" t="s">
        <v>375</v>
      </c>
      <c r="H642" s="6" t="s">
        <v>383</v>
      </c>
      <c r="P642" s="10" cm="1">
        <f t="array" ref="P642">BSHARE("transp_eqt_share",0,"Overall","mean")</f>
        <v>0.42468058592211461</v>
      </c>
    </row>
    <row r="643" spans="3:26" x14ac:dyDescent="0.25">
      <c r="D643" s="6" t="s">
        <v>69</v>
      </c>
      <c r="E643" s="6" t="s">
        <v>381</v>
      </c>
      <c r="F643" s="6" t="s">
        <v>145</v>
      </c>
      <c r="G643" s="6" t="s">
        <v>375</v>
      </c>
      <c r="H643" s="6" t="s">
        <v>383</v>
      </c>
      <c r="Q643" s="10" cm="1">
        <f t="array" ref="Q643:Z643">BSHARE("transp_eqt_share",DECILE_ARRAY,"Overall","mean")</f>
        <v>0.32009989465497862</v>
      </c>
      <c r="R643">
        <v>0.30824696703774529</v>
      </c>
      <c r="S643">
        <v>0.31198576919782639</v>
      </c>
      <c r="T643">
        <v>0.28449744705640317</v>
      </c>
      <c r="U643">
        <v>0.37955087126811038</v>
      </c>
      <c r="V643">
        <v>0.45705670468828807</v>
      </c>
      <c r="W643">
        <v>0.51858964575002697</v>
      </c>
      <c r="X643">
        <v>0.60744759640796664</v>
      </c>
      <c r="Y643">
        <v>0.68254955652386162</v>
      </c>
      <c r="Z643">
        <v>0.88125379570360818</v>
      </c>
    </row>
    <row r="644" spans="3:26" x14ac:dyDescent="0.25">
      <c r="D644" s="6" t="s">
        <v>69</v>
      </c>
      <c r="E644" s="6" t="s">
        <v>384</v>
      </c>
      <c r="F644" s="6" t="s">
        <v>382</v>
      </c>
      <c r="G644" s="6" t="s">
        <v>375</v>
      </c>
      <c r="H644" s="6" t="s">
        <v>383</v>
      </c>
      <c r="P644" s="10" cm="1">
        <f t="array" ref="P644">BSHARE("transp_eqt_share",0,"Urban","mean")</f>
        <v>0.54882698752432801</v>
      </c>
    </row>
    <row r="645" spans="3:26" x14ac:dyDescent="0.25">
      <c r="D645" s="6" t="s">
        <v>69</v>
      </c>
      <c r="E645" s="6" t="s">
        <v>384</v>
      </c>
      <c r="F645" s="6" t="s">
        <v>145</v>
      </c>
      <c r="G645" s="6" t="s">
        <v>375</v>
      </c>
      <c r="H645" s="6" t="s">
        <v>383</v>
      </c>
      <c r="Q645" s="10" cm="1">
        <f t="array" ref="Q645:Z645">BSHARE("transp_eqt_share",DECILE_ARRAY,"Urban","mean")</f>
        <v>0.48907826423413431</v>
      </c>
      <c r="R645">
        <v>0.34082404688274109</v>
      </c>
      <c r="S645">
        <v>0.27162417173527198</v>
      </c>
      <c r="T645">
        <v>0.3043230133472703</v>
      </c>
      <c r="U645">
        <v>0.49483272469712752</v>
      </c>
      <c r="V645">
        <v>0.52330933446504746</v>
      </c>
      <c r="W645">
        <v>0.65041012030327094</v>
      </c>
      <c r="X645">
        <v>0.6697309952094086</v>
      </c>
      <c r="Y645">
        <v>0.63630165940263361</v>
      </c>
      <c r="Z645">
        <v>0.97821685421914784</v>
      </c>
    </row>
    <row r="646" spans="3:26" x14ac:dyDescent="0.25">
      <c r="D646" s="6" t="s">
        <v>69</v>
      </c>
      <c r="E646" s="6" t="s">
        <v>385</v>
      </c>
      <c r="F646" s="6" t="s">
        <v>382</v>
      </c>
      <c r="G646" s="6" t="s">
        <v>375</v>
      </c>
      <c r="H646" s="6" t="s">
        <v>383</v>
      </c>
      <c r="P646" s="10" cm="1">
        <f t="array" ref="P646">BSHARE("transp_eqt_share",0,"Rural","mean")</f>
        <v>0.36521973869516539</v>
      </c>
    </row>
    <row r="647" spans="3:26" x14ac:dyDescent="0.25">
      <c r="D647" s="6" t="s">
        <v>69</v>
      </c>
      <c r="E647" s="6" t="s">
        <v>385</v>
      </c>
      <c r="F647" s="6" t="s">
        <v>145</v>
      </c>
      <c r="G647" s="6" t="s">
        <v>375</v>
      </c>
      <c r="H647" s="6" t="s">
        <v>383</v>
      </c>
      <c r="Q647" s="10" cm="1">
        <f t="array" ref="Q647:Z647">BSHARE("transp_eqt_share",DECILE_ARRAY,"Rural","mean")</f>
        <v>0.20190641024069039</v>
      </c>
      <c r="R647">
        <v>0.17110793822825471</v>
      </c>
      <c r="S647">
        <v>0.29494969962318518</v>
      </c>
      <c r="T647">
        <v>0.36014108475204992</v>
      </c>
      <c r="U647">
        <v>0.27160731518602399</v>
      </c>
      <c r="V647">
        <v>0.38587984646731432</v>
      </c>
      <c r="W647">
        <v>0.39335043897585098</v>
      </c>
      <c r="X647">
        <v>0.49920965839270709</v>
      </c>
      <c r="Y647">
        <v>0.59337425399885246</v>
      </c>
      <c r="Z647">
        <v>0.50834277576991294</v>
      </c>
    </row>
    <row r="648" spans="3:26" x14ac:dyDescent="0.25">
      <c r="D648" s="6" t="s">
        <v>72</v>
      </c>
      <c r="E648" s="6" t="s">
        <v>381</v>
      </c>
      <c r="F648" s="6" t="s">
        <v>382</v>
      </c>
      <c r="G648" s="6" t="s">
        <v>375</v>
      </c>
      <c r="H648" s="6" t="s">
        <v>383</v>
      </c>
      <c r="P648" s="10" cm="1">
        <f t="array" ref="P648">BSHARE("transp_eqt_share",0,"Overall","median")</f>
        <v>0</v>
      </c>
    </row>
    <row r="649" spans="3:26" x14ac:dyDescent="0.25">
      <c r="D649" s="6" t="s">
        <v>72</v>
      </c>
      <c r="E649" s="6" t="s">
        <v>381</v>
      </c>
      <c r="F649" s="6" t="s">
        <v>145</v>
      </c>
      <c r="G649" s="6" t="s">
        <v>375</v>
      </c>
      <c r="H649" s="6" t="s">
        <v>383</v>
      </c>
      <c r="Q649" s="10" cm="1">
        <f t="array" ref="Q649:Z649">BSHARE("transp_eqt_share",DECILE_ARRAY,"Overall","median")</f>
        <v>0</v>
      </c>
      <c r="R649">
        <v>0</v>
      </c>
      <c r="S649">
        <v>0</v>
      </c>
      <c r="T649">
        <v>0</v>
      </c>
      <c r="U649">
        <v>0</v>
      </c>
      <c r="V649">
        <v>0</v>
      </c>
      <c r="W649">
        <v>0</v>
      </c>
      <c r="X649">
        <v>0</v>
      </c>
      <c r="Y649">
        <v>0</v>
      </c>
      <c r="Z649">
        <v>0</v>
      </c>
    </row>
    <row r="650" spans="3:26" x14ac:dyDescent="0.25">
      <c r="D650" s="6" t="s">
        <v>72</v>
      </c>
      <c r="E650" s="6" t="s">
        <v>384</v>
      </c>
      <c r="F650" s="6" t="s">
        <v>382</v>
      </c>
      <c r="G650" s="6" t="s">
        <v>375</v>
      </c>
      <c r="H650" s="6" t="s">
        <v>383</v>
      </c>
      <c r="P650" s="10" cm="1">
        <f t="array" ref="P650">BSHARE("transp_eqt_share",0,"Urban","median")</f>
        <v>0</v>
      </c>
    </row>
    <row r="651" spans="3:26" x14ac:dyDescent="0.25">
      <c r="D651" s="6" t="s">
        <v>72</v>
      </c>
      <c r="E651" s="6" t="s">
        <v>384</v>
      </c>
      <c r="F651" s="6" t="s">
        <v>145</v>
      </c>
      <c r="G651" s="6" t="s">
        <v>375</v>
      </c>
      <c r="H651" s="6" t="s">
        <v>383</v>
      </c>
      <c r="Q651" s="10" cm="1">
        <f t="array" ref="Q651:Z651">BSHARE("transp_eqt_share",DECILE_ARRAY,"Urban","median")</f>
        <v>0</v>
      </c>
      <c r="R651">
        <v>0</v>
      </c>
      <c r="S651">
        <v>0</v>
      </c>
      <c r="T651">
        <v>0</v>
      </c>
      <c r="U651">
        <v>0</v>
      </c>
      <c r="V651">
        <v>0</v>
      </c>
      <c r="W651">
        <v>0</v>
      </c>
      <c r="X651">
        <v>0</v>
      </c>
      <c r="Y651">
        <v>0</v>
      </c>
      <c r="Z651">
        <v>0</v>
      </c>
    </row>
    <row r="652" spans="3:26" x14ac:dyDescent="0.25">
      <c r="D652" s="6" t="s">
        <v>72</v>
      </c>
      <c r="E652" s="6" t="s">
        <v>385</v>
      </c>
      <c r="F652" s="6" t="s">
        <v>382</v>
      </c>
      <c r="G652" s="6" t="s">
        <v>375</v>
      </c>
      <c r="H652" s="6" t="s">
        <v>383</v>
      </c>
      <c r="P652" s="10" cm="1">
        <f t="array" ref="P652">BSHARE("transp_eqt_share",0,"Rural","median")</f>
        <v>0</v>
      </c>
    </row>
    <row r="653" spans="3:26" x14ac:dyDescent="0.25">
      <c r="D653" s="6" t="s">
        <v>72</v>
      </c>
      <c r="E653" s="6" t="s">
        <v>385</v>
      </c>
      <c r="F653" s="6" t="s">
        <v>145</v>
      </c>
      <c r="G653" s="6" t="s">
        <v>375</v>
      </c>
      <c r="H653" s="6" t="s">
        <v>383</v>
      </c>
      <c r="Q653" s="10" cm="1">
        <f t="array" ref="Q653:Z653">BSHARE("transp_eqt_share",DECILE_ARRAY,"Rural","median")</f>
        <v>0</v>
      </c>
      <c r="R653">
        <v>0</v>
      </c>
      <c r="S653">
        <v>0</v>
      </c>
      <c r="T653">
        <v>0</v>
      </c>
      <c r="U653">
        <v>0</v>
      </c>
      <c r="V653">
        <v>0</v>
      </c>
      <c r="W653">
        <v>0</v>
      </c>
      <c r="X653">
        <v>0</v>
      </c>
      <c r="Y653">
        <v>0</v>
      </c>
      <c r="Z653">
        <v>0</v>
      </c>
    </row>
    <row r="654" spans="3:26" x14ac:dyDescent="0.25">
      <c r="D654" s="6" t="s">
        <v>75</v>
      </c>
      <c r="E654" s="6" t="s">
        <v>381</v>
      </c>
      <c r="F654" s="6" t="s">
        <v>382</v>
      </c>
      <c r="G654" s="6" t="s">
        <v>375</v>
      </c>
      <c r="H654" s="6" t="s">
        <v>383</v>
      </c>
      <c r="P654" s="10" cm="1">
        <f t="array" ref="P654">BSHARE("transp_eqt_share",0,"Overall","p25")</f>
        <v>0</v>
      </c>
    </row>
    <row r="655" spans="3:26" x14ac:dyDescent="0.25">
      <c r="D655" s="6" t="s">
        <v>75</v>
      </c>
      <c r="E655" s="6" t="s">
        <v>381</v>
      </c>
      <c r="F655" s="6" t="s">
        <v>145</v>
      </c>
      <c r="G655" s="6" t="s">
        <v>375</v>
      </c>
      <c r="H655" s="6" t="s">
        <v>383</v>
      </c>
      <c r="Q655" s="10" cm="1">
        <f t="array" ref="Q655:Z655">BSHARE("transp_eqt_share",DECILE_ARRAY,"Overall","p25")</f>
        <v>0</v>
      </c>
      <c r="R655">
        <v>0</v>
      </c>
      <c r="S655">
        <v>0</v>
      </c>
      <c r="T655">
        <v>0</v>
      </c>
      <c r="U655">
        <v>0</v>
      </c>
      <c r="V655">
        <v>0</v>
      </c>
      <c r="W655">
        <v>0</v>
      </c>
      <c r="X655">
        <v>0</v>
      </c>
      <c r="Y655">
        <v>0</v>
      </c>
      <c r="Z655">
        <v>0</v>
      </c>
    </row>
    <row r="656" spans="3:26" x14ac:dyDescent="0.25">
      <c r="D656" s="6" t="s">
        <v>75</v>
      </c>
      <c r="E656" s="6" t="s">
        <v>384</v>
      </c>
      <c r="F656" s="6" t="s">
        <v>382</v>
      </c>
      <c r="G656" s="6" t="s">
        <v>375</v>
      </c>
      <c r="H656" s="6" t="s">
        <v>383</v>
      </c>
      <c r="P656" s="10" cm="1">
        <f t="array" ref="P656">BSHARE("transp_eqt_share",0,"Urban","p25")</f>
        <v>0</v>
      </c>
    </row>
    <row r="657" spans="3:26" x14ac:dyDescent="0.25">
      <c r="D657" s="6" t="s">
        <v>75</v>
      </c>
      <c r="E657" s="6" t="s">
        <v>384</v>
      </c>
      <c r="F657" s="6" t="s">
        <v>145</v>
      </c>
      <c r="G657" s="6" t="s">
        <v>375</v>
      </c>
      <c r="H657" s="6" t="s">
        <v>383</v>
      </c>
      <c r="Q657" s="10" cm="1">
        <f t="array" ref="Q657:Z657">BSHARE("transp_eqt_share",DECILE_ARRAY,"Urban","p25")</f>
        <v>0</v>
      </c>
      <c r="R657">
        <v>0</v>
      </c>
      <c r="S657">
        <v>0</v>
      </c>
      <c r="T657">
        <v>0</v>
      </c>
      <c r="U657">
        <v>0</v>
      </c>
      <c r="V657">
        <v>0</v>
      </c>
      <c r="W657">
        <v>0</v>
      </c>
      <c r="X657">
        <v>0</v>
      </c>
      <c r="Y657">
        <v>0</v>
      </c>
      <c r="Z657">
        <v>0</v>
      </c>
    </row>
    <row r="658" spans="3:26" x14ac:dyDescent="0.25">
      <c r="D658" s="6" t="s">
        <v>75</v>
      </c>
      <c r="E658" s="6" t="s">
        <v>385</v>
      </c>
      <c r="F658" s="6" t="s">
        <v>382</v>
      </c>
      <c r="G658" s="6" t="s">
        <v>375</v>
      </c>
      <c r="H658" s="6" t="s">
        <v>383</v>
      </c>
      <c r="P658" s="10" cm="1">
        <f t="array" ref="P658">BSHARE("transp_eqt_share",0,"Rural","p25")</f>
        <v>0</v>
      </c>
    </row>
    <row r="659" spans="3:26" x14ac:dyDescent="0.25">
      <c r="D659" s="6" t="s">
        <v>75</v>
      </c>
      <c r="E659" s="6" t="s">
        <v>385</v>
      </c>
      <c r="F659" s="6" t="s">
        <v>145</v>
      </c>
      <c r="G659" s="6" t="s">
        <v>375</v>
      </c>
      <c r="H659" s="6" t="s">
        <v>383</v>
      </c>
      <c r="Q659" s="10" cm="1">
        <f t="array" ref="Q659:Z659">BSHARE("transp_eqt_share",DECILE_ARRAY,"Rural","p25")</f>
        <v>0</v>
      </c>
      <c r="R659">
        <v>0</v>
      </c>
      <c r="S659">
        <v>0</v>
      </c>
      <c r="T659">
        <v>0</v>
      </c>
      <c r="U659">
        <v>0</v>
      </c>
      <c r="V659">
        <v>0</v>
      </c>
      <c r="W659">
        <v>0</v>
      </c>
      <c r="X659">
        <v>0</v>
      </c>
      <c r="Y659">
        <v>0</v>
      </c>
      <c r="Z659">
        <v>0</v>
      </c>
    </row>
    <row r="660" spans="3:26" x14ac:dyDescent="0.25">
      <c r="D660" s="6" t="s">
        <v>78</v>
      </c>
      <c r="E660" s="6" t="s">
        <v>381</v>
      </c>
      <c r="F660" s="6" t="s">
        <v>382</v>
      </c>
      <c r="G660" s="6" t="s">
        <v>375</v>
      </c>
      <c r="H660" s="6" t="s">
        <v>383</v>
      </c>
      <c r="P660" s="10" cm="1">
        <f t="array" ref="P660">BSHARE("transp_eqt_share",0,"Overall","p75")</f>
        <v>0</v>
      </c>
    </row>
    <row r="661" spans="3:26" x14ac:dyDescent="0.25">
      <c r="D661" s="6" t="s">
        <v>78</v>
      </c>
      <c r="E661" s="6" t="s">
        <v>381</v>
      </c>
      <c r="F661" s="6" t="s">
        <v>145</v>
      </c>
      <c r="G661" s="6" t="s">
        <v>375</v>
      </c>
      <c r="H661" s="6" t="s">
        <v>383</v>
      </c>
      <c r="Q661" s="10" cm="1">
        <f t="array" ref="Q661:Z661">BSHARE("transp_eqt_share",DECILE_ARRAY,"Overall","p75")</f>
        <v>0</v>
      </c>
      <c r="R661">
        <v>0</v>
      </c>
      <c r="S661">
        <v>0</v>
      </c>
      <c r="T661">
        <v>0</v>
      </c>
      <c r="U661">
        <v>0</v>
      </c>
      <c r="V661">
        <v>0</v>
      </c>
      <c r="W661">
        <v>0</v>
      </c>
      <c r="X661">
        <v>0</v>
      </c>
      <c r="Y661">
        <v>0</v>
      </c>
      <c r="Z661">
        <v>0</v>
      </c>
    </row>
    <row r="662" spans="3:26" x14ac:dyDescent="0.25">
      <c r="D662" s="6" t="s">
        <v>78</v>
      </c>
      <c r="E662" s="6" t="s">
        <v>384</v>
      </c>
      <c r="F662" s="6" t="s">
        <v>382</v>
      </c>
      <c r="G662" s="6" t="s">
        <v>375</v>
      </c>
      <c r="H662" s="6" t="s">
        <v>383</v>
      </c>
      <c r="P662" s="10" cm="1">
        <f t="array" ref="P662">BSHARE("transp_eqt_share",0,"Urban","p75")</f>
        <v>0</v>
      </c>
    </row>
    <row r="663" spans="3:26" x14ac:dyDescent="0.25">
      <c r="D663" s="6" t="s">
        <v>78</v>
      </c>
      <c r="E663" s="6" t="s">
        <v>384</v>
      </c>
      <c r="F663" s="6" t="s">
        <v>145</v>
      </c>
      <c r="G663" s="6" t="s">
        <v>375</v>
      </c>
      <c r="H663" s="6" t="s">
        <v>383</v>
      </c>
      <c r="Q663" s="10" cm="1">
        <f t="array" ref="Q663:Z663">BSHARE("transp_eqt_share",DECILE_ARRAY,"Urban","p75")</f>
        <v>0</v>
      </c>
      <c r="R663">
        <v>0</v>
      </c>
      <c r="S663">
        <v>0</v>
      </c>
      <c r="T663">
        <v>0</v>
      </c>
      <c r="U663">
        <v>0</v>
      </c>
      <c r="V663">
        <v>0</v>
      </c>
      <c r="W663">
        <v>0</v>
      </c>
      <c r="X663">
        <v>0</v>
      </c>
      <c r="Y663">
        <v>0</v>
      </c>
      <c r="Z663">
        <v>0</v>
      </c>
    </row>
    <row r="664" spans="3:26" x14ac:dyDescent="0.25">
      <c r="D664" s="6" t="s">
        <v>78</v>
      </c>
      <c r="E664" s="6" t="s">
        <v>385</v>
      </c>
      <c r="F664" s="6" t="s">
        <v>382</v>
      </c>
      <c r="G664" s="6" t="s">
        <v>375</v>
      </c>
      <c r="H664" s="6" t="s">
        <v>383</v>
      </c>
      <c r="P664" s="10" cm="1">
        <f t="array" ref="P664">BSHARE("transp_eqt_share",0,"Rural","p75")</f>
        <v>0</v>
      </c>
    </row>
    <row r="665" spans="3:26" x14ac:dyDescent="0.25">
      <c r="D665" s="6" t="s">
        <v>78</v>
      </c>
      <c r="E665" s="6" t="s">
        <v>385</v>
      </c>
      <c r="F665" s="6" t="s">
        <v>145</v>
      </c>
      <c r="G665" s="6" t="s">
        <v>375</v>
      </c>
      <c r="H665" s="6" t="s">
        <v>383</v>
      </c>
      <c r="Q665" s="10" cm="1">
        <f t="array" ref="Q665:Z665">BSHARE("transp_eqt_share",DECILE_ARRAY,"Rural","p75")</f>
        <v>0</v>
      </c>
      <c r="R665">
        <v>0</v>
      </c>
      <c r="S665">
        <v>0</v>
      </c>
      <c r="T665">
        <v>0</v>
      </c>
      <c r="U665">
        <v>0</v>
      </c>
      <c r="V665">
        <v>0</v>
      </c>
      <c r="W665">
        <v>0</v>
      </c>
      <c r="X665">
        <v>0</v>
      </c>
      <c r="Y665">
        <v>0</v>
      </c>
      <c r="Z665">
        <v>0</v>
      </c>
    </row>
    <row r="667" spans="3:26" x14ac:dyDescent="0.25">
      <c r="C667" s="7" t="s">
        <v>414</v>
      </c>
      <c r="G667" s="6" t="s">
        <v>377</v>
      </c>
      <c r="O667" s="2" t="s">
        <v>331</v>
      </c>
      <c r="Q667" s="2">
        <v>1</v>
      </c>
      <c r="R667" s="2">
        <v>2</v>
      </c>
      <c r="S667" s="2">
        <v>3</v>
      </c>
      <c r="T667" s="2">
        <v>4</v>
      </c>
      <c r="U667" s="2">
        <v>5</v>
      </c>
      <c r="V667" s="2">
        <v>6</v>
      </c>
      <c r="W667" s="2">
        <v>7</v>
      </c>
      <c r="X667" s="2">
        <v>8</v>
      </c>
      <c r="Y667" s="2">
        <v>9</v>
      </c>
      <c r="Z667" s="2">
        <v>10</v>
      </c>
    </row>
    <row r="668" spans="3:26" x14ac:dyDescent="0.25">
      <c r="D668" s="6" t="s">
        <v>69</v>
      </c>
      <c r="E668" s="6" t="s">
        <v>381</v>
      </c>
      <c r="F668" s="6" t="s">
        <v>382</v>
      </c>
      <c r="G668" s="6" t="s">
        <v>377</v>
      </c>
      <c r="H668" s="6" t="s">
        <v>383</v>
      </c>
      <c r="P668" s="10" cm="1">
        <f t="array" ref="P668">BSHARE("transp_pub_share",0,"Overall","mean")</f>
        <v>4.2905657514206768</v>
      </c>
    </row>
    <row r="669" spans="3:26" x14ac:dyDescent="0.25">
      <c r="D669" s="6" t="s">
        <v>69</v>
      </c>
      <c r="E669" s="6" t="s">
        <v>381</v>
      </c>
      <c r="F669" s="6" t="s">
        <v>145</v>
      </c>
      <c r="G669" s="6" t="s">
        <v>377</v>
      </c>
      <c r="H669" s="6" t="s">
        <v>383</v>
      </c>
      <c r="Q669" s="10" cm="1">
        <f t="array" ref="Q669:Z669">BSHARE("transp_pub_share",DECILE_ARRAY,"Overall","mean")</f>
        <v>4.7081252280430483</v>
      </c>
      <c r="R669">
        <v>4.3357414889027854</v>
      </c>
      <c r="S669">
        <v>4.268952842251398</v>
      </c>
      <c r="T669">
        <v>4.3317429002598464</v>
      </c>
      <c r="U669">
        <v>4.4718953731279116</v>
      </c>
      <c r="V669">
        <v>4.5407484448130431</v>
      </c>
      <c r="W669">
        <v>5.0541516661756729</v>
      </c>
      <c r="X669">
        <v>4.9568858865895002</v>
      </c>
      <c r="Y669">
        <v>4.5741168146371747</v>
      </c>
      <c r="Z669">
        <v>4.1727039648484281</v>
      </c>
    </row>
    <row r="670" spans="3:26" x14ac:dyDescent="0.25">
      <c r="D670" s="6" t="s">
        <v>69</v>
      </c>
      <c r="E670" s="6" t="s">
        <v>384</v>
      </c>
      <c r="F670" s="6" t="s">
        <v>382</v>
      </c>
      <c r="G670" s="6" t="s">
        <v>377</v>
      </c>
      <c r="H670" s="6" t="s">
        <v>383</v>
      </c>
      <c r="P670" s="10" cm="1">
        <f t="array" ref="P670">BSHARE("transp_pub_share",0,"Urban","mean")</f>
        <v>5.3710173712461309</v>
      </c>
    </row>
    <row r="671" spans="3:26" x14ac:dyDescent="0.25">
      <c r="D671" s="6" t="s">
        <v>69</v>
      </c>
      <c r="E671" s="6" t="s">
        <v>384</v>
      </c>
      <c r="F671" s="6" t="s">
        <v>145</v>
      </c>
      <c r="G671" s="6" t="s">
        <v>377</v>
      </c>
      <c r="H671" s="6" t="s">
        <v>383</v>
      </c>
      <c r="Q671" s="10" cm="1">
        <f t="array" ref="Q671:Z671">BSHARE("transp_pub_share",DECILE_ARRAY,"Urban","mean")</f>
        <v>5.4585463426819514</v>
      </c>
      <c r="R671">
        <v>5.3892854445527778</v>
      </c>
      <c r="S671">
        <v>5.3814697286939008</v>
      </c>
      <c r="T671">
        <v>5.4782180363484354</v>
      </c>
      <c r="U671">
        <v>5.6401757992254602</v>
      </c>
      <c r="V671">
        <v>5.5354602331326532</v>
      </c>
      <c r="W671">
        <v>4.985797308842737</v>
      </c>
      <c r="X671">
        <v>5.4693851479821856</v>
      </c>
      <c r="Y671">
        <v>4.7442810921311498</v>
      </c>
      <c r="Z671">
        <v>4.3606064288909074</v>
      </c>
    </row>
    <row r="672" spans="3:26" x14ac:dyDescent="0.25">
      <c r="D672" s="6" t="s">
        <v>69</v>
      </c>
      <c r="E672" s="6" t="s">
        <v>385</v>
      </c>
      <c r="F672" s="6" t="s">
        <v>382</v>
      </c>
      <c r="G672" s="6" t="s">
        <v>377</v>
      </c>
      <c r="H672" s="6" t="s">
        <v>383</v>
      </c>
      <c r="P672" s="10" cm="1">
        <f t="array" ref="P672">BSHARE("transp_pub_share",0,"Rural","mean")</f>
        <v>4.0490937804388842</v>
      </c>
    </row>
    <row r="673" spans="4:26" x14ac:dyDescent="0.25">
      <c r="D673" s="6" t="s">
        <v>69</v>
      </c>
      <c r="E673" s="6" t="s">
        <v>385</v>
      </c>
      <c r="F673" s="6" t="s">
        <v>145</v>
      </c>
      <c r="G673" s="6" t="s">
        <v>377</v>
      </c>
      <c r="H673" s="6" t="s">
        <v>383</v>
      </c>
      <c r="Q673" s="10" cm="1">
        <f t="array" ref="Q673:Z673">BSHARE("transp_pub_share",DECILE_ARRAY,"Rural","mean")</f>
        <v>4.2690497772540654</v>
      </c>
      <c r="R673">
        <v>3.6580686141769072</v>
      </c>
      <c r="S673">
        <v>3.4993001915306672</v>
      </c>
      <c r="T673">
        <v>4.0194979877121124</v>
      </c>
      <c r="U673">
        <v>4.3655587709968149</v>
      </c>
      <c r="V673">
        <v>4.0808515064628237</v>
      </c>
      <c r="W673">
        <v>4.251342473525483</v>
      </c>
      <c r="X673">
        <v>4.3062421239566087</v>
      </c>
      <c r="Y673">
        <v>4.0653610170547623</v>
      </c>
      <c r="Z673">
        <v>3.6682499427011588</v>
      </c>
    </row>
    <row r="674" spans="4:26" x14ac:dyDescent="0.25">
      <c r="D674" s="6" t="s">
        <v>72</v>
      </c>
      <c r="E674" s="6" t="s">
        <v>381</v>
      </c>
      <c r="F674" s="6" t="s">
        <v>382</v>
      </c>
      <c r="G674" s="6" t="s">
        <v>377</v>
      </c>
      <c r="H674" s="6" t="s">
        <v>383</v>
      </c>
      <c r="P674" s="10" cm="1">
        <f t="array" ref="P674">BSHARE("transp_pub_share",0,"Overall","median")</f>
        <v>3.9226618736889698</v>
      </c>
    </row>
    <row r="675" spans="4:26" x14ac:dyDescent="0.25">
      <c r="D675" s="6" t="s">
        <v>72</v>
      </c>
      <c r="E675" s="6" t="s">
        <v>381</v>
      </c>
      <c r="F675" s="6" t="s">
        <v>145</v>
      </c>
      <c r="G675" s="6" t="s">
        <v>377</v>
      </c>
      <c r="H675" s="6" t="s">
        <v>383</v>
      </c>
      <c r="Q675" s="10" cm="1">
        <f t="array" ref="Q675:Z675">BSHARE("transp_pub_share",DECILE_ARRAY,"Overall","median")</f>
        <v>3.341321116597356</v>
      </c>
      <c r="R675">
        <v>3.4011915679605291</v>
      </c>
      <c r="S675">
        <v>3.3531455250932809</v>
      </c>
      <c r="T675">
        <v>3.7326415419932162</v>
      </c>
      <c r="U675">
        <v>4.0704753453131648</v>
      </c>
      <c r="V675">
        <v>3.9842860416624148</v>
      </c>
      <c r="W675">
        <v>4.1163670897410496</v>
      </c>
      <c r="X675">
        <v>3.8072401219643131</v>
      </c>
      <c r="Y675">
        <v>3.9525896184788878</v>
      </c>
      <c r="Z675">
        <v>3.7614372966519278</v>
      </c>
    </row>
    <row r="676" spans="4:26" x14ac:dyDescent="0.25">
      <c r="D676" s="6" t="s">
        <v>72</v>
      </c>
      <c r="E676" s="6" t="s">
        <v>384</v>
      </c>
      <c r="F676" s="6" t="s">
        <v>382</v>
      </c>
      <c r="G676" s="6" t="s">
        <v>377</v>
      </c>
      <c r="H676" s="6" t="s">
        <v>383</v>
      </c>
      <c r="P676" s="10" cm="1">
        <f t="array" ref="P676">BSHARE("transp_pub_share",0,"Urban","median")</f>
        <v>4.0960192231079509</v>
      </c>
    </row>
    <row r="677" spans="4:26" x14ac:dyDescent="0.25">
      <c r="D677" s="6" t="s">
        <v>72</v>
      </c>
      <c r="E677" s="6" t="s">
        <v>384</v>
      </c>
      <c r="F677" s="6" t="s">
        <v>145</v>
      </c>
      <c r="G677" s="6" t="s">
        <v>377</v>
      </c>
      <c r="H677" s="6" t="s">
        <v>383</v>
      </c>
      <c r="Q677" s="10" cm="1">
        <f t="array" ref="Q677:Z677">BSHARE("transp_pub_share",DECILE_ARRAY,"Urban","median")</f>
        <v>3.8904297503214118</v>
      </c>
      <c r="R677">
        <v>4.8331498557466732</v>
      </c>
      <c r="S677">
        <v>4.1100651493165339</v>
      </c>
      <c r="T677">
        <v>4.4679803232008926</v>
      </c>
      <c r="U677">
        <v>4.578157951807917</v>
      </c>
      <c r="V677">
        <v>4.2043578476615346</v>
      </c>
      <c r="W677">
        <v>4.3876878582902448</v>
      </c>
      <c r="X677">
        <v>4.8417644590296449</v>
      </c>
      <c r="Y677">
        <v>4.3681674459058843</v>
      </c>
      <c r="Z677">
        <v>3.2802754858470649</v>
      </c>
    </row>
    <row r="678" spans="4:26" x14ac:dyDescent="0.25">
      <c r="D678" s="6" t="s">
        <v>72</v>
      </c>
      <c r="E678" s="6" t="s">
        <v>385</v>
      </c>
      <c r="F678" s="6" t="s">
        <v>382</v>
      </c>
      <c r="G678" s="6" t="s">
        <v>377</v>
      </c>
      <c r="H678" s="6" t="s">
        <v>383</v>
      </c>
      <c r="P678" s="10" cm="1">
        <f t="array" ref="P678">BSHARE("transp_pub_share",0,"Rural","median")</f>
        <v>3.132538707642023</v>
      </c>
    </row>
    <row r="679" spans="4:26" x14ac:dyDescent="0.25">
      <c r="D679" s="6" t="s">
        <v>72</v>
      </c>
      <c r="E679" s="6" t="s">
        <v>385</v>
      </c>
      <c r="F679" s="6" t="s">
        <v>145</v>
      </c>
      <c r="G679" s="6" t="s">
        <v>377</v>
      </c>
      <c r="H679" s="6" t="s">
        <v>383</v>
      </c>
      <c r="Q679" s="10" cm="1">
        <f t="array" ref="Q679:Z679">BSHARE("transp_pub_share",DECILE_ARRAY,"Rural","median")</f>
        <v>3.2179787243145408</v>
      </c>
      <c r="R679">
        <v>3.370439026502853</v>
      </c>
      <c r="S679">
        <v>3.334056705547308</v>
      </c>
      <c r="T679">
        <v>3.1544169217106579</v>
      </c>
      <c r="U679">
        <v>3.4801474167343431</v>
      </c>
      <c r="V679">
        <v>3.3824774456157849</v>
      </c>
      <c r="W679">
        <v>3.3634653348110111</v>
      </c>
      <c r="X679">
        <v>3.3841575547033829</v>
      </c>
      <c r="Y679">
        <v>3.532725147081123</v>
      </c>
      <c r="Z679">
        <v>3.2803952477411742</v>
      </c>
    </row>
    <row r="680" spans="4:26" x14ac:dyDescent="0.25">
      <c r="D680" s="6" t="s">
        <v>75</v>
      </c>
      <c r="E680" s="6" t="s">
        <v>381</v>
      </c>
      <c r="F680" s="6" t="s">
        <v>382</v>
      </c>
      <c r="G680" s="6" t="s">
        <v>377</v>
      </c>
      <c r="H680" s="6" t="s">
        <v>383</v>
      </c>
      <c r="P680" s="10" cm="1">
        <f t="array" ref="P680">BSHARE("transp_pub_share",0,"Overall","p25")</f>
        <v>2.0730574728816191</v>
      </c>
    </row>
    <row r="681" spans="4:26" x14ac:dyDescent="0.25">
      <c r="D681" s="6" t="s">
        <v>75</v>
      </c>
      <c r="E681" s="6" t="s">
        <v>381</v>
      </c>
      <c r="F681" s="6" t="s">
        <v>145</v>
      </c>
      <c r="G681" s="6" t="s">
        <v>377</v>
      </c>
      <c r="H681" s="6" t="s">
        <v>383</v>
      </c>
      <c r="Q681" s="10" cm="1">
        <f t="array" ref="Q681:Z681">BSHARE("transp_pub_share",DECILE_ARRAY,"Overall","p25")</f>
        <v>2.0744084899472721</v>
      </c>
      <c r="R681">
        <v>2.1591019910688538</v>
      </c>
      <c r="S681">
        <v>2.2247583404999318</v>
      </c>
      <c r="T681">
        <v>2.3425261605958818</v>
      </c>
      <c r="U681">
        <v>2.133763621105174</v>
      </c>
      <c r="V681">
        <v>2.1511889873096419</v>
      </c>
      <c r="W681">
        <v>2.4728489130759712</v>
      </c>
      <c r="X681">
        <v>2.288518421297375</v>
      </c>
      <c r="Y681">
        <v>2.1630472388156732</v>
      </c>
      <c r="Z681">
        <v>1.965312571894386</v>
      </c>
    </row>
    <row r="682" spans="4:26" x14ac:dyDescent="0.25">
      <c r="D682" s="6" t="s">
        <v>75</v>
      </c>
      <c r="E682" s="6" t="s">
        <v>384</v>
      </c>
      <c r="F682" s="6" t="s">
        <v>382</v>
      </c>
      <c r="G682" s="6" t="s">
        <v>377</v>
      </c>
      <c r="H682" s="6" t="s">
        <v>383</v>
      </c>
      <c r="P682" s="10" cm="1">
        <f t="array" ref="P682">BSHARE("transp_pub_share",0,"Urban","p25")</f>
        <v>2.591800016756745</v>
      </c>
    </row>
    <row r="683" spans="4:26" x14ac:dyDescent="0.25">
      <c r="D683" s="6" t="s">
        <v>75</v>
      </c>
      <c r="E683" s="6" t="s">
        <v>384</v>
      </c>
      <c r="F683" s="6" t="s">
        <v>145</v>
      </c>
      <c r="G683" s="6" t="s">
        <v>377</v>
      </c>
      <c r="H683" s="6" t="s">
        <v>383</v>
      </c>
      <c r="Q683" s="10" cm="1">
        <f t="array" ref="Q683:Z683">BSHARE("transp_pub_share",DECILE_ARRAY,"Urban","p25")</f>
        <v>2.2497745507801938</v>
      </c>
      <c r="R683">
        <v>2.630702474687423</v>
      </c>
      <c r="S683">
        <v>2.376439373002269</v>
      </c>
      <c r="T683">
        <v>2.6477707863410962</v>
      </c>
      <c r="U683">
        <v>2.6824953150587278</v>
      </c>
      <c r="V683">
        <v>2.920789190478839</v>
      </c>
      <c r="W683">
        <v>2.6762835220238301</v>
      </c>
      <c r="X683">
        <v>2.398740282486798</v>
      </c>
      <c r="Y683">
        <v>2.1337530092250541</v>
      </c>
      <c r="Z683">
        <v>1.6157479639004071</v>
      </c>
    </row>
    <row r="684" spans="4:26" x14ac:dyDescent="0.25">
      <c r="D684" s="6" t="s">
        <v>75</v>
      </c>
      <c r="E684" s="6" t="s">
        <v>385</v>
      </c>
      <c r="F684" s="6" t="s">
        <v>382</v>
      </c>
      <c r="G684" s="6" t="s">
        <v>377</v>
      </c>
      <c r="H684" s="6" t="s">
        <v>383</v>
      </c>
      <c r="P684" s="10" cm="1">
        <f t="array" ref="P684">BSHARE("transp_pub_share",0,"Rural","p25")</f>
        <v>1.936176344733856</v>
      </c>
    </row>
    <row r="685" spans="4:26" x14ac:dyDescent="0.25">
      <c r="D685" s="6" t="s">
        <v>75</v>
      </c>
      <c r="E685" s="6" t="s">
        <v>385</v>
      </c>
      <c r="F685" s="6" t="s">
        <v>145</v>
      </c>
      <c r="G685" s="6" t="s">
        <v>377</v>
      </c>
      <c r="H685" s="6" t="s">
        <v>383</v>
      </c>
      <c r="Q685" s="10" cm="1">
        <f t="array" ref="Q685:Z685">BSHARE("transp_pub_share",DECILE_ARRAY,"Rural","p25")</f>
        <v>2.2852554420184141</v>
      </c>
      <c r="R685">
        <v>1.812279169744571</v>
      </c>
      <c r="S685">
        <v>2.0910181662771299</v>
      </c>
      <c r="T685">
        <v>2.1644449553395542</v>
      </c>
      <c r="U685">
        <v>1.9904115120699919</v>
      </c>
      <c r="V685">
        <v>2.0864558812849441</v>
      </c>
      <c r="W685">
        <v>2.183815005159873</v>
      </c>
      <c r="X685">
        <v>2.2087959377101929</v>
      </c>
      <c r="Y685">
        <v>2.1351331865659291</v>
      </c>
      <c r="Z685">
        <v>1.8408906854154909</v>
      </c>
    </row>
    <row r="686" spans="4:26" x14ac:dyDescent="0.25">
      <c r="D686" s="6" t="s">
        <v>78</v>
      </c>
      <c r="E686" s="6" t="s">
        <v>381</v>
      </c>
      <c r="F686" s="6" t="s">
        <v>382</v>
      </c>
      <c r="G686" s="6" t="s">
        <v>377</v>
      </c>
      <c r="H686" s="6" t="s">
        <v>383</v>
      </c>
      <c r="P686" s="10" cm="1">
        <f t="array" ref="P686">BSHARE("transp_pub_share",0,"Overall","p75")</f>
        <v>5.9408531064084524</v>
      </c>
    </row>
    <row r="687" spans="4:26" x14ac:dyDescent="0.25">
      <c r="D687" s="6" t="s">
        <v>78</v>
      </c>
      <c r="E687" s="6" t="s">
        <v>381</v>
      </c>
      <c r="F687" s="6" t="s">
        <v>145</v>
      </c>
      <c r="G687" s="6" t="s">
        <v>377</v>
      </c>
      <c r="H687" s="6" t="s">
        <v>383</v>
      </c>
      <c r="Q687" s="10" cm="1">
        <f t="array" ref="Q687:Z687">BSHARE("transp_pub_share",DECILE_ARRAY,"Overall","p75")</f>
        <v>5.5780176748770396</v>
      </c>
      <c r="R687">
        <v>5.469508363016562</v>
      </c>
      <c r="S687">
        <v>5.7996477098882533</v>
      </c>
      <c r="T687">
        <v>6.0465057765898473</v>
      </c>
      <c r="U687">
        <v>5.8787738323662326</v>
      </c>
      <c r="V687">
        <v>5.6881441295326622</v>
      </c>
      <c r="W687">
        <v>6.4172990529348706</v>
      </c>
      <c r="X687">
        <v>6.3654127215265834</v>
      </c>
      <c r="Y687">
        <v>6.2788165004439334</v>
      </c>
      <c r="Z687">
        <v>6.1285475412467232</v>
      </c>
    </row>
    <row r="688" spans="4:26" x14ac:dyDescent="0.25">
      <c r="D688" s="6" t="s">
        <v>78</v>
      </c>
      <c r="E688" s="6" t="s">
        <v>384</v>
      </c>
      <c r="F688" s="6" t="s">
        <v>382</v>
      </c>
      <c r="G688" s="6" t="s">
        <v>377</v>
      </c>
      <c r="H688" s="6" t="s">
        <v>383</v>
      </c>
      <c r="P688" s="10" cm="1">
        <f t="array" ref="P688">BSHARE("transp_pub_share",0,"Urban","p75")</f>
        <v>7.2238763293650914</v>
      </c>
    </row>
    <row r="689" spans="1:26" x14ac:dyDescent="0.25">
      <c r="D689" s="6" t="s">
        <v>78</v>
      </c>
      <c r="E689" s="6" t="s">
        <v>384</v>
      </c>
      <c r="F689" s="6" t="s">
        <v>145</v>
      </c>
      <c r="G689" s="6" t="s">
        <v>377</v>
      </c>
      <c r="H689" s="6" t="s">
        <v>383</v>
      </c>
      <c r="Q689" s="10" cm="1">
        <f t="array" ref="Q689:Z689">BSHARE("transp_pub_share",DECILE_ARRAY,"Urban","p75")</f>
        <v>6.5148994687746056</v>
      </c>
      <c r="R689">
        <v>6.6801951072683181</v>
      </c>
      <c r="S689">
        <v>6.3454707378299009</v>
      </c>
      <c r="T689">
        <v>7.5979743834900564</v>
      </c>
      <c r="U689">
        <v>6.5584323204933197</v>
      </c>
      <c r="V689">
        <v>7.2619761715995512</v>
      </c>
      <c r="W689">
        <v>7.2255148161886824</v>
      </c>
      <c r="X689">
        <v>7.3804922840738492</v>
      </c>
      <c r="Y689">
        <v>7.1155042481691213</v>
      </c>
      <c r="Z689">
        <v>5.9075693767767383</v>
      </c>
    </row>
    <row r="690" spans="1:26" x14ac:dyDescent="0.25">
      <c r="D690" s="6" t="s">
        <v>78</v>
      </c>
      <c r="E690" s="6" t="s">
        <v>385</v>
      </c>
      <c r="F690" s="6" t="s">
        <v>382</v>
      </c>
      <c r="G690" s="6" t="s">
        <v>377</v>
      </c>
      <c r="H690" s="6" t="s">
        <v>383</v>
      </c>
      <c r="P690" s="10" cm="1">
        <f t="array" ref="P690">BSHARE("transp_pub_share",0,"Rural","p75")</f>
        <v>5.2028184441300818</v>
      </c>
    </row>
    <row r="691" spans="1:26" x14ac:dyDescent="0.25">
      <c r="D691" s="6" t="s">
        <v>78</v>
      </c>
      <c r="E691" s="6" t="s">
        <v>385</v>
      </c>
      <c r="F691" s="6" t="s">
        <v>145</v>
      </c>
      <c r="G691" s="6" t="s">
        <v>377</v>
      </c>
      <c r="H691" s="6" t="s">
        <v>383</v>
      </c>
      <c r="Q691" s="10" cm="1">
        <f t="array" ref="Q691:Z691">BSHARE("transp_pub_share",DECILE_ARRAY,"Rural","p75")</f>
        <v>5.0351804569681757</v>
      </c>
      <c r="R691">
        <v>5.1988179480670373</v>
      </c>
      <c r="S691">
        <v>4.4818677949264529</v>
      </c>
      <c r="T691">
        <v>4.7689688530468342</v>
      </c>
      <c r="U691">
        <v>5.2809528207876006</v>
      </c>
      <c r="V691">
        <v>5.3194718003951849</v>
      </c>
      <c r="W691">
        <v>5.2510061167659057</v>
      </c>
      <c r="X691">
        <v>5.9160499473738763</v>
      </c>
      <c r="Y691">
        <v>5.3564605810842822</v>
      </c>
      <c r="Z691">
        <v>5.029398585711867</v>
      </c>
    </row>
    <row r="693" spans="1:26" x14ac:dyDescent="0.25">
      <c r="A693" s="5" t="s">
        <v>415</v>
      </c>
      <c r="B693" s="13" t="s">
        <v>416</v>
      </c>
      <c r="C693" s="14"/>
      <c r="D693" s="14"/>
      <c r="E693" s="14"/>
      <c r="F693" s="14"/>
      <c r="G693" s="14"/>
      <c r="H693" s="14"/>
      <c r="I693" s="14"/>
      <c r="J693" s="14"/>
      <c r="K693" s="14"/>
      <c r="L693" s="14"/>
      <c r="M693" s="14"/>
      <c r="N693" s="14"/>
    </row>
    <row r="695" spans="1:26" x14ac:dyDescent="0.25">
      <c r="C695" s="7" t="s">
        <v>417</v>
      </c>
      <c r="G695" s="6" t="s">
        <v>335</v>
      </c>
      <c r="O695" s="2" t="s">
        <v>331</v>
      </c>
      <c r="Q695" s="2">
        <v>1</v>
      </c>
      <c r="R695" s="2">
        <v>2</v>
      </c>
      <c r="S695" s="2">
        <v>3</v>
      </c>
      <c r="T695" s="2">
        <v>4</v>
      </c>
      <c r="U695" s="2">
        <v>5</v>
      </c>
      <c r="V695" s="2">
        <v>6</v>
      </c>
      <c r="W695" s="2">
        <v>7</v>
      </c>
      <c r="X695" s="2">
        <v>8</v>
      </c>
      <c r="Y695" s="2">
        <v>9</v>
      </c>
      <c r="Z695" s="2">
        <v>10</v>
      </c>
    </row>
    <row r="696" spans="1:26" x14ac:dyDescent="0.25">
      <c r="D696" s="6" t="s">
        <v>69</v>
      </c>
      <c r="E696" s="6" t="s">
        <v>381</v>
      </c>
      <c r="F696" s="6" t="s">
        <v>382</v>
      </c>
      <c r="G696" s="6" t="s">
        <v>335</v>
      </c>
      <c r="H696" s="6" t="s">
        <v>383</v>
      </c>
      <c r="P696" s="10" cm="1">
        <f t="array" ref="P696">DIRECT_EFFECT("coa","Coal","coa_share","coa_elasticity",0,"Overall","mean")</f>
        <v>0</v>
      </c>
    </row>
    <row r="697" spans="1:26" x14ac:dyDescent="0.25">
      <c r="D697" s="6" t="s">
        <v>69</v>
      </c>
      <c r="E697" s="6" t="s">
        <v>381</v>
      </c>
      <c r="F697" s="6" t="s">
        <v>145</v>
      </c>
      <c r="G697" s="6" t="s">
        <v>335</v>
      </c>
      <c r="H697" s="6" t="s">
        <v>383</v>
      </c>
      <c r="Q697" s="10" cm="1">
        <f t="array" ref="Q697:Z697">DIRECT_EFFECT("coa","Coal","coa_share","coa_elasticity",DECILE_ARRAY,"Overall","mean")</f>
        <v>0</v>
      </c>
      <c r="R697">
        <v>0</v>
      </c>
      <c r="S697">
        <v>0</v>
      </c>
      <c r="T697">
        <v>0</v>
      </c>
      <c r="U697">
        <v>0</v>
      </c>
      <c r="V697">
        <v>0</v>
      </c>
      <c r="W697">
        <v>0</v>
      </c>
      <c r="X697">
        <v>0</v>
      </c>
      <c r="Y697">
        <v>0</v>
      </c>
      <c r="Z697">
        <v>0</v>
      </c>
    </row>
    <row r="698" spans="1:26" x14ac:dyDescent="0.25">
      <c r="D698" s="6" t="s">
        <v>69</v>
      </c>
      <c r="E698" s="6" t="s">
        <v>384</v>
      </c>
      <c r="F698" s="6" t="s">
        <v>382</v>
      </c>
      <c r="G698" s="6" t="s">
        <v>335</v>
      </c>
      <c r="H698" s="6" t="s">
        <v>383</v>
      </c>
      <c r="P698" s="10" cm="1">
        <f t="array" ref="P698">DIRECT_EFFECT("coa","Coal","coa_share","coa_elasticity",0,"Urban","mean")</f>
        <v>0</v>
      </c>
    </row>
    <row r="699" spans="1:26" x14ac:dyDescent="0.25">
      <c r="D699" s="6" t="s">
        <v>69</v>
      </c>
      <c r="E699" s="6" t="s">
        <v>384</v>
      </c>
      <c r="F699" s="6" t="s">
        <v>145</v>
      </c>
      <c r="G699" s="6" t="s">
        <v>335</v>
      </c>
      <c r="H699" s="6" t="s">
        <v>383</v>
      </c>
      <c r="Q699" s="10" cm="1">
        <f t="array" ref="Q699:Z699">DIRECT_EFFECT("coa","Coal","coa_share","coa_elasticity",DECILE_ARRAY,"Urban","mean")</f>
        <v>0</v>
      </c>
      <c r="R699">
        <v>0</v>
      </c>
      <c r="S699">
        <v>0</v>
      </c>
      <c r="T699">
        <v>0</v>
      </c>
      <c r="U699">
        <v>0</v>
      </c>
      <c r="V699">
        <v>0</v>
      </c>
      <c r="W699">
        <v>0</v>
      </c>
      <c r="X699">
        <v>0</v>
      </c>
      <c r="Y699">
        <v>0</v>
      </c>
      <c r="Z699">
        <v>0</v>
      </c>
    </row>
    <row r="700" spans="1:26" x14ac:dyDescent="0.25">
      <c r="D700" s="6" t="s">
        <v>69</v>
      </c>
      <c r="E700" s="6" t="s">
        <v>385</v>
      </c>
      <c r="F700" s="6" t="s">
        <v>382</v>
      </c>
      <c r="G700" s="6" t="s">
        <v>335</v>
      </c>
      <c r="H700" s="6" t="s">
        <v>383</v>
      </c>
      <c r="P700" s="10" cm="1">
        <f t="array" ref="P700">DIRECT_EFFECT("coa","Coal","coa_share","coa_elasticity",0,"Rural","mean")</f>
        <v>0</v>
      </c>
    </row>
    <row r="701" spans="1:26" x14ac:dyDescent="0.25">
      <c r="D701" s="6" t="s">
        <v>69</v>
      </c>
      <c r="E701" s="6" t="s">
        <v>385</v>
      </c>
      <c r="F701" s="6" t="s">
        <v>145</v>
      </c>
      <c r="G701" s="6" t="s">
        <v>335</v>
      </c>
      <c r="H701" s="6" t="s">
        <v>383</v>
      </c>
      <c r="Q701" s="10" cm="1">
        <f t="array" ref="Q701:Z701">DIRECT_EFFECT("coa","Coal","coa_share","coa_elasticity",DECILE_ARRAY,"Rural","mean")</f>
        <v>0</v>
      </c>
      <c r="R701">
        <v>0</v>
      </c>
      <c r="S701">
        <v>0</v>
      </c>
      <c r="T701">
        <v>0</v>
      </c>
      <c r="U701">
        <v>0</v>
      </c>
      <c r="V701">
        <v>0</v>
      </c>
      <c r="W701">
        <v>0</v>
      </c>
      <c r="X701">
        <v>0</v>
      </c>
      <c r="Y701">
        <v>0</v>
      </c>
      <c r="Z701">
        <v>0</v>
      </c>
    </row>
    <row r="702" spans="1:26" x14ac:dyDescent="0.25">
      <c r="D702" s="6" t="s">
        <v>72</v>
      </c>
      <c r="E702" s="6" t="s">
        <v>381</v>
      </c>
      <c r="F702" s="6" t="s">
        <v>382</v>
      </c>
      <c r="G702" s="6" t="s">
        <v>335</v>
      </c>
      <c r="H702" s="6" t="s">
        <v>383</v>
      </c>
      <c r="P702" s="10" cm="1">
        <f t="array" ref="P702">DIRECT_EFFECT("coa","Coal","coa_share","coa_elasticity",0,"Overall","median")</f>
        <v>0</v>
      </c>
    </row>
    <row r="703" spans="1:26" x14ac:dyDescent="0.25">
      <c r="D703" s="6" t="s">
        <v>72</v>
      </c>
      <c r="E703" s="6" t="s">
        <v>381</v>
      </c>
      <c r="F703" s="6" t="s">
        <v>145</v>
      </c>
      <c r="G703" s="6" t="s">
        <v>335</v>
      </c>
      <c r="H703" s="6" t="s">
        <v>383</v>
      </c>
      <c r="Q703" s="10" cm="1">
        <f t="array" ref="Q703:Z703">DIRECT_EFFECT("coa","Coal","coa_share","coa_elasticity",DECILE_ARRAY,"Overall","median")</f>
        <v>0</v>
      </c>
      <c r="R703">
        <v>0</v>
      </c>
      <c r="S703">
        <v>0</v>
      </c>
      <c r="T703">
        <v>0</v>
      </c>
      <c r="U703">
        <v>0</v>
      </c>
      <c r="V703">
        <v>0</v>
      </c>
      <c r="W703">
        <v>0</v>
      </c>
      <c r="X703">
        <v>0</v>
      </c>
      <c r="Y703">
        <v>0</v>
      </c>
      <c r="Z703">
        <v>0</v>
      </c>
    </row>
    <row r="704" spans="1:26" x14ac:dyDescent="0.25">
      <c r="D704" s="6" t="s">
        <v>72</v>
      </c>
      <c r="E704" s="6" t="s">
        <v>384</v>
      </c>
      <c r="F704" s="6" t="s">
        <v>382</v>
      </c>
      <c r="G704" s="6" t="s">
        <v>335</v>
      </c>
      <c r="H704" s="6" t="s">
        <v>383</v>
      </c>
      <c r="P704" s="10" cm="1">
        <f t="array" ref="P704">DIRECT_EFFECT("coa","Coal","coa_share","coa_elasticity",0,"Urban","median")</f>
        <v>0</v>
      </c>
    </row>
    <row r="705" spans="4:26" x14ac:dyDescent="0.25">
      <c r="D705" s="6" t="s">
        <v>72</v>
      </c>
      <c r="E705" s="6" t="s">
        <v>384</v>
      </c>
      <c r="F705" s="6" t="s">
        <v>145</v>
      </c>
      <c r="G705" s="6" t="s">
        <v>335</v>
      </c>
      <c r="H705" s="6" t="s">
        <v>383</v>
      </c>
      <c r="Q705" s="10" cm="1">
        <f t="array" ref="Q705:Z705">DIRECT_EFFECT("coa","Coal","coa_share","coa_elasticity",DECILE_ARRAY,"Urban","median")</f>
        <v>0</v>
      </c>
      <c r="R705">
        <v>0</v>
      </c>
      <c r="S705">
        <v>0</v>
      </c>
      <c r="T705">
        <v>0</v>
      </c>
      <c r="U705">
        <v>0</v>
      </c>
      <c r="V705">
        <v>0</v>
      </c>
      <c r="W705">
        <v>0</v>
      </c>
      <c r="X705">
        <v>0</v>
      </c>
      <c r="Y705">
        <v>0</v>
      </c>
      <c r="Z705">
        <v>0</v>
      </c>
    </row>
    <row r="706" spans="4:26" x14ac:dyDescent="0.25">
      <c r="D706" s="6" t="s">
        <v>72</v>
      </c>
      <c r="E706" s="6" t="s">
        <v>385</v>
      </c>
      <c r="F706" s="6" t="s">
        <v>382</v>
      </c>
      <c r="G706" s="6" t="s">
        <v>335</v>
      </c>
      <c r="H706" s="6" t="s">
        <v>383</v>
      </c>
      <c r="P706" s="10" cm="1">
        <f t="array" ref="P706">DIRECT_EFFECT("coa","Coal","coa_share","coa_elasticity",0,"Rural","median")</f>
        <v>0</v>
      </c>
    </row>
    <row r="707" spans="4:26" x14ac:dyDescent="0.25">
      <c r="D707" s="6" t="s">
        <v>72</v>
      </c>
      <c r="E707" s="6" t="s">
        <v>385</v>
      </c>
      <c r="F707" s="6" t="s">
        <v>145</v>
      </c>
      <c r="G707" s="6" t="s">
        <v>335</v>
      </c>
      <c r="H707" s="6" t="s">
        <v>383</v>
      </c>
      <c r="Q707" s="10" cm="1">
        <f t="array" ref="Q707:Z707">DIRECT_EFFECT("coa","Coal","coa_share","coa_elasticity",DECILE_ARRAY,"Rural","median")</f>
        <v>0</v>
      </c>
      <c r="R707">
        <v>0</v>
      </c>
      <c r="S707">
        <v>0</v>
      </c>
      <c r="T707">
        <v>0</v>
      </c>
      <c r="U707">
        <v>0</v>
      </c>
      <c r="V707">
        <v>0</v>
      </c>
      <c r="W707">
        <v>0</v>
      </c>
      <c r="X707">
        <v>0</v>
      </c>
      <c r="Y707">
        <v>0</v>
      </c>
      <c r="Z707">
        <v>0</v>
      </c>
    </row>
    <row r="708" spans="4:26" x14ac:dyDescent="0.25">
      <c r="D708" s="6" t="s">
        <v>75</v>
      </c>
      <c r="E708" s="6" t="s">
        <v>381</v>
      </c>
      <c r="F708" s="6" t="s">
        <v>382</v>
      </c>
      <c r="G708" s="6" t="s">
        <v>335</v>
      </c>
      <c r="H708" s="6" t="s">
        <v>383</v>
      </c>
      <c r="P708" s="10" cm="1">
        <f t="array" ref="P708">DIRECT_EFFECT("coa","Coal","coa_share","coa_elasticity",0,"Overall","p25")</f>
        <v>0</v>
      </c>
    </row>
    <row r="709" spans="4:26" x14ac:dyDescent="0.25">
      <c r="D709" s="6" t="s">
        <v>75</v>
      </c>
      <c r="E709" s="6" t="s">
        <v>381</v>
      </c>
      <c r="F709" s="6" t="s">
        <v>145</v>
      </c>
      <c r="G709" s="6" t="s">
        <v>335</v>
      </c>
      <c r="H709" s="6" t="s">
        <v>383</v>
      </c>
      <c r="Q709" s="10" cm="1">
        <f t="array" ref="Q709:Z709">DIRECT_EFFECT("coa","Coal","coa_share","coa_elasticity",DECILE_ARRAY,"Overall","p25")</f>
        <v>0</v>
      </c>
      <c r="R709">
        <v>0</v>
      </c>
      <c r="S709">
        <v>0</v>
      </c>
      <c r="T709">
        <v>0</v>
      </c>
      <c r="U709">
        <v>0</v>
      </c>
      <c r="V709">
        <v>0</v>
      </c>
      <c r="W709">
        <v>0</v>
      </c>
      <c r="X709">
        <v>0</v>
      </c>
      <c r="Y709">
        <v>0</v>
      </c>
      <c r="Z709">
        <v>0</v>
      </c>
    </row>
    <row r="710" spans="4:26" x14ac:dyDescent="0.25">
      <c r="D710" s="6" t="s">
        <v>75</v>
      </c>
      <c r="E710" s="6" t="s">
        <v>384</v>
      </c>
      <c r="F710" s="6" t="s">
        <v>382</v>
      </c>
      <c r="G710" s="6" t="s">
        <v>335</v>
      </c>
      <c r="H710" s="6" t="s">
        <v>383</v>
      </c>
      <c r="P710" s="10" cm="1">
        <f t="array" ref="P710">DIRECT_EFFECT("coa","Coal","coa_share","coa_elasticity",0,"Urban","p25")</f>
        <v>0</v>
      </c>
    </row>
    <row r="711" spans="4:26" x14ac:dyDescent="0.25">
      <c r="D711" s="6" t="s">
        <v>75</v>
      </c>
      <c r="E711" s="6" t="s">
        <v>384</v>
      </c>
      <c r="F711" s="6" t="s">
        <v>145</v>
      </c>
      <c r="G711" s="6" t="s">
        <v>335</v>
      </c>
      <c r="H711" s="6" t="s">
        <v>383</v>
      </c>
      <c r="Q711" s="10" cm="1">
        <f t="array" ref="Q711:Z711">DIRECT_EFFECT("coa","Coal","coa_share","coa_elasticity",DECILE_ARRAY,"Urban","p25")</f>
        <v>0</v>
      </c>
      <c r="R711">
        <v>0</v>
      </c>
      <c r="S711">
        <v>0</v>
      </c>
      <c r="T711">
        <v>0</v>
      </c>
      <c r="U711">
        <v>0</v>
      </c>
      <c r="V711">
        <v>0</v>
      </c>
      <c r="W711">
        <v>0</v>
      </c>
      <c r="X711">
        <v>0</v>
      </c>
      <c r="Y711">
        <v>0</v>
      </c>
      <c r="Z711">
        <v>0</v>
      </c>
    </row>
    <row r="712" spans="4:26" x14ac:dyDescent="0.25">
      <c r="D712" s="6" t="s">
        <v>75</v>
      </c>
      <c r="E712" s="6" t="s">
        <v>385</v>
      </c>
      <c r="F712" s="6" t="s">
        <v>382</v>
      </c>
      <c r="G712" s="6" t="s">
        <v>335</v>
      </c>
      <c r="H712" s="6" t="s">
        <v>383</v>
      </c>
      <c r="P712" s="10" cm="1">
        <f t="array" ref="P712">DIRECT_EFFECT("coa","Coal","coa_share","coa_elasticity",0,"Rural","p25")</f>
        <v>0</v>
      </c>
    </row>
    <row r="713" spans="4:26" x14ac:dyDescent="0.25">
      <c r="D713" s="6" t="s">
        <v>75</v>
      </c>
      <c r="E713" s="6" t="s">
        <v>385</v>
      </c>
      <c r="F713" s="6" t="s">
        <v>145</v>
      </c>
      <c r="G713" s="6" t="s">
        <v>335</v>
      </c>
      <c r="H713" s="6" t="s">
        <v>383</v>
      </c>
      <c r="Q713" s="10" cm="1">
        <f t="array" ref="Q713:Z713">DIRECT_EFFECT("coa","Coal","coa_share","coa_elasticity",DECILE_ARRAY,"Rural","p25")</f>
        <v>0</v>
      </c>
      <c r="R713">
        <v>0</v>
      </c>
      <c r="S713">
        <v>0</v>
      </c>
      <c r="T713">
        <v>0</v>
      </c>
      <c r="U713">
        <v>0</v>
      </c>
      <c r="V713">
        <v>0</v>
      </c>
      <c r="W713">
        <v>0</v>
      </c>
      <c r="X713">
        <v>0</v>
      </c>
      <c r="Y713">
        <v>0</v>
      </c>
      <c r="Z713">
        <v>0</v>
      </c>
    </row>
    <row r="714" spans="4:26" x14ac:dyDescent="0.25">
      <c r="D714" s="6" t="s">
        <v>78</v>
      </c>
      <c r="E714" s="6" t="s">
        <v>381</v>
      </c>
      <c r="F714" s="6" t="s">
        <v>382</v>
      </c>
      <c r="G714" s="6" t="s">
        <v>335</v>
      </c>
      <c r="H714" s="6" t="s">
        <v>383</v>
      </c>
      <c r="P714" s="10" cm="1">
        <f t="array" ref="P714">DIRECT_EFFECT("coa","Coal","coa_share","coa_elasticity",0,"Overall","p75")</f>
        <v>0</v>
      </c>
    </row>
    <row r="715" spans="4:26" x14ac:dyDescent="0.25">
      <c r="D715" s="6" t="s">
        <v>78</v>
      </c>
      <c r="E715" s="6" t="s">
        <v>381</v>
      </c>
      <c r="F715" s="6" t="s">
        <v>145</v>
      </c>
      <c r="G715" s="6" t="s">
        <v>335</v>
      </c>
      <c r="H715" s="6" t="s">
        <v>383</v>
      </c>
      <c r="Q715" s="10" cm="1">
        <f t="array" ref="Q715:Z715">DIRECT_EFFECT("coa","Coal","coa_share","coa_elasticity",DECILE_ARRAY,"Overall","p75")</f>
        <v>0</v>
      </c>
      <c r="R715">
        <v>0</v>
      </c>
      <c r="S715">
        <v>0</v>
      </c>
      <c r="T715">
        <v>0</v>
      </c>
      <c r="U715">
        <v>0</v>
      </c>
      <c r="V715">
        <v>0</v>
      </c>
      <c r="W715">
        <v>0</v>
      </c>
      <c r="X715">
        <v>0</v>
      </c>
      <c r="Y715">
        <v>0</v>
      </c>
      <c r="Z715">
        <v>0</v>
      </c>
    </row>
    <row r="716" spans="4:26" x14ac:dyDescent="0.25">
      <c r="D716" s="6" t="s">
        <v>78</v>
      </c>
      <c r="E716" s="6" t="s">
        <v>384</v>
      </c>
      <c r="F716" s="6" t="s">
        <v>382</v>
      </c>
      <c r="G716" s="6" t="s">
        <v>335</v>
      </c>
      <c r="H716" s="6" t="s">
        <v>383</v>
      </c>
      <c r="P716" s="10" cm="1">
        <f t="array" ref="P716">DIRECT_EFFECT("coa","Coal","coa_share","coa_elasticity",0,"Urban","p75")</f>
        <v>0</v>
      </c>
    </row>
    <row r="717" spans="4:26" x14ac:dyDescent="0.25">
      <c r="D717" s="6" t="s">
        <v>78</v>
      </c>
      <c r="E717" s="6" t="s">
        <v>384</v>
      </c>
      <c r="F717" s="6" t="s">
        <v>145</v>
      </c>
      <c r="G717" s="6" t="s">
        <v>335</v>
      </c>
      <c r="H717" s="6" t="s">
        <v>383</v>
      </c>
      <c r="Q717" s="10" cm="1">
        <f t="array" ref="Q717:Z717">DIRECT_EFFECT("coa","Coal","coa_share","coa_elasticity",DECILE_ARRAY,"Urban","p75")</f>
        <v>0</v>
      </c>
      <c r="R717">
        <v>0</v>
      </c>
      <c r="S717">
        <v>0</v>
      </c>
      <c r="T717">
        <v>0</v>
      </c>
      <c r="U717">
        <v>0</v>
      </c>
      <c r="V717">
        <v>0</v>
      </c>
      <c r="W717">
        <v>0</v>
      </c>
      <c r="X717">
        <v>0</v>
      </c>
      <c r="Y717">
        <v>0</v>
      </c>
      <c r="Z717">
        <v>0</v>
      </c>
    </row>
    <row r="718" spans="4:26" x14ac:dyDescent="0.25">
      <c r="D718" s="6" t="s">
        <v>78</v>
      </c>
      <c r="E718" s="6" t="s">
        <v>385</v>
      </c>
      <c r="F718" s="6" t="s">
        <v>382</v>
      </c>
      <c r="G718" s="6" t="s">
        <v>335</v>
      </c>
      <c r="H718" s="6" t="s">
        <v>383</v>
      </c>
      <c r="P718" s="10" cm="1">
        <f t="array" ref="P718">DIRECT_EFFECT("coa","Coal","coa_share","coa_elasticity",0,"Rural","p75")</f>
        <v>0</v>
      </c>
    </row>
    <row r="719" spans="4:26" x14ac:dyDescent="0.25">
      <c r="D719" s="6" t="s">
        <v>78</v>
      </c>
      <c r="E719" s="6" t="s">
        <v>385</v>
      </c>
      <c r="F719" s="6" t="s">
        <v>145</v>
      </c>
      <c r="G719" s="6" t="s">
        <v>335</v>
      </c>
      <c r="H719" s="6" t="s">
        <v>383</v>
      </c>
      <c r="Q719" s="10" cm="1">
        <f t="array" ref="Q719:Z719">DIRECT_EFFECT("coa","Coal","coa_share","coa_elasticity",DECILE_ARRAY,"Rural","p75")</f>
        <v>0</v>
      </c>
      <c r="R719">
        <v>0</v>
      </c>
      <c r="S719">
        <v>0</v>
      </c>
      <c r="T719">
        <v>0</v>
      </c>
      <c r="U719">
        <v>0</v>
      </c>
      <c r="V719">
        <v>0</v>
      </c>
      <c r="W719">
        <v>0</v>
      </c>
      <c r="X719">
        <v>0</v>
      </c>
      <c r="Y719">
        <v>0</v>
      </c>
      <c r="Z719">
        <v>0</v>
      </c>
    </row>
    <row r="721" spans="3:26" x14ac:dyDescent="0.25">
      <c r="C721" s="7" t="s">
        <v>418</v>
      </c>
      <c r="G721" s="6" t="s">
        <v>337</v>
      </c>
      <c r="O721" s="2" t="s">
        <v>331</v>
      </c>
      <c r="Q721" s="2">
        <v>1</v>
      </c>
      <c r="R721" s="2">
        <v>2</v>
      </c>
      <c r="S721" s="2">
        <v>3</v>
      </c>
      <c r="T721" s="2">
        <v>4</v>
      </c>
      <c r="U721" s="2">
        <v>5</v>
      </c>
      <c r="V721" s="2">
        <v>6</v>
      </c>
      <c r="W721" s="2">
        <v>7</v>
      </c>
      <c r="X721" s="2">
        <v>8</v>
      </c>
      <c r="Y721" s="2">
        <v>9</v>
      </c>
      <c r="Z721" s="2">
        <v>10</v>
      </c>
    </row>
    <row r="722" spans="3:26" x14ac:dyDescent="0.25">
      <c r="D722" s="6" t="s">
        <v>69</v>
      </c>
      <c r="E722" s="6" t="s">
        <v>381</v>
      </c>
      <c r="F722" s="6" t="s">
        <v>382</v>
      </c>
      <c r="G722" s="6" t="s">
        <v>337</v>
      </c>
      <c r="H722" s="6" t="s">
        <v>383</v>
      </c>
      <c r="P722" s="10" cm="1">
        <f t="array" ref="P722">DIRECT_EFFECT("ely","Electricity","ely_share","ely_elasticity",0,"Overall","mean")</f>
        <v>0.74575950789408896</v>
      </c>
    </row>
    <row r="723" spans="3:26" x14ac:dyDescent="0.25">
      <c r="D723" s="6" t="s">
        <v>69</v>
      </c>
      <c r="E723" s="6" t="s">
        <v>381</v>
      </c>
      <c r="F723" s="6" t="s">
        <v>145</v>
      </c>
      <c r="G723" s="6" t="s">
        <v>337</v>
      </c>
      <c r="H723" s="6" t="s">
        <v>383</v>
      </c>
      <c r="Q723" s="10" cm="1">
        <f t="array" ref="Q723:Z723">DIRECT_EFFECT("ely","Electricity","ely_share","ely_elasticity",DECILE_ARRAY,"Overall","mean")</f>
        <v>0.7793661531477013</v>
      </c>
      <c r="R723">
        <v>0.72524846962668665</v>
      </c>
      <c r="S723">
        <v>0.72755732101731951</v>
      </c>
      <c r="T723">
        <v>0.70249474845103121</v>
      </c>
      <c r="U723">
        <v>0.68691828953448886</v>
      </c>
      <c r="V723">
        <v>0.69633940081328249</v>
      </c>
      <c r="W723">
        <v>0.73423517956658291</v>
      </c>
      <c r="X723">
        <v>0.77727113442733586</v>
      </c>
      <c r="Y723">
        <v>0.78095159495673849</v>
      </c>
      <c r="Z723">
        <v>0.82324277185479522</v>
      </c>
    </row>
    <row r="724" spans="3:26" x14ac:dyDescent="0.25">
      <c r="D724" s="6" t="s">
        <v>69</v>
      </c>
      <c r="E724" s="6" t="s">
        <v>384</v>
      </c>
      <c r="F724" s="6" t="s">
        <v>382</v>
      </c>
      <c r="G724" s="6" t="s">
        <v>337</v>
      </c>
      <c r="H724" s="6" t="s">
        <v>383</v>
      </c>
      <c r="P724" s="10" cm="1">
        <f t="array" ref="P724">DIRECT_EFFECT("ely","Electricity","ely_share","ely_elasticity",0,"Urban","mean")</f>
        <v>0.77232373836358759</v>
      </c>
    </row>
    <row r="725" spans="3:26" x14ac:dyDescent="0.25">
      <c r="D725" s="6" t="s">
        <v>69</v>
      </c>
      <c r="E725" s="6" t="s">
        <v>384</v>
      </c>
      <c r="F725" s="6" t="s">
        <v>145</v>
      </c>
      <c r="G725" s="6" t="s">
        <v>337</v>
      </c>
      <c r="H725" s="6" t="s">
        <v>383</v>
      </c>
      <c r="Q725" s="10" cm="1">
        <f t="array" ref="Q725:Z725">DIRECT_EFFECT("ely","Electricity","ely_share","ely_elasticity",DECILE_ARRAY,"Urban","mean")</f>
        <v>0.75631410382643427</v>
      </c>
      <c r="R725">
        <v>0.68954605017916026</v>
      </c>
      <c r="S725">
        <v>0.73232989822982542</v>
      </c>
      <c r="T725">
        <v>0.69507623958275244</v>
      </c>
      <c r="U725">
        <v>0.66944095506511614</v>
      </c>
      <c r="V725">
        <v>0.66740779264042038</v>
      </c>
      <c r="W725">
        <v>0.74163497252354871</v>
      </c>
      <c r="X725">
        <v>0.72146944067397045</v>
      </c>
      <c r="Y725">
        <v>0.71964867938493315</v>
      </c>
      <c r="Z725">
        <v>0.78968097630385481</v>
      </c>
    </row>
    <row r="726" spans="3:26" x14ac:dyDescent="0.25">
      <c r="D726" s="6" t="s">
        <v>69</v>
      </c>
      <c r="E726" s="6" t="s">
        <v>385</v>
      </c>
      <c r="F726" s="6" t="s">
        <v>382</v>
      </c>
      <c r="G726" s="6" t="s">
        <v>337</v>
      </c>
      <c r="H726" s="6" t="s">
        <v>383</v>
      </c>
      <c r="P726" s="10" cm="1">
        <f t="array" ref="P726">DIRECT_EFFECT("ely","Electricity","ely_share","ely_elasticity",0,"Rural","mean")</f>
        <v>0.76851673229468631</v>
      </c>
    </row>
    <row r="727" spans="3:26" x14ac:dyDescent="0.25">
      <c r="D727" s="6" t="s">
        <v>69</v>
      </c>
      <c r="E727" s="6" t="s">
        <v>385</v>
      </c>
      <c r="F727" s="6" t="s">
        <v>145</v>
      </c>
      <c r="G727" s="6" t="s">
        <v>337</v>
      </c>
      <c r="H727" s="6" t="s">
        <v>383</v>
      </c>
      <c r="Q727" s="10" cm="1">
        <f t="array" ref="Q727:Z727">DIRECT_EFFECT("ely","Electricity","ely_share","ely_elasticity",DECILE_ARRAY,"Rural","mean")</f>
        <v>0.8183779283434518</v>
      </c>
      <c r="R727">
        <v>0.74503638623311397</v>
      </c>
      <c r="S727">
        <v>0.68751415199056731</v>
      </c>
      <c r="T727">
        <v>0.69562711108057895</v>
      </c>
      <c r="U727">
        <v>0.71529548387024633</v>
      </c>
      <c r="V727">
        <v>0.73033241659319326</v>
      </c>
      <c r="W727">
        <v>0.6786622292871819</v>
      </c>
      <c r="X727">
        <v>0.72554824103578974</v>
      </c>
      <c r="Y727">
        <v>0.71908304891674513</v>
      </c>
      <c r="Z727">
        <v>0.85048201607697926</v>
      </c>
    </row>
    <row r="728" spans="3:26" x14ac:dyDescent="0.25">
      <c r="D728" s="6" t="s">
        <v>72</v>
      </c>
      <c r="E728" s="6" t="s">
        <v>381</v>
      </c>
      <c r="F728" s="6" t="s">
        <v>382</v>
      </c>
      <c r="G728" s="6" t="s">
        <v>337</v>
      </c>
      <c r="H728" s="6" t="s">
        <v>383</v>
      </c>
      <c r="P728" s="10" cm="1">
        <f t="array" ref="P728">DIRECT_EFFECT("ely","Electricity","ely_share","ely_elasticity",0,"Overall","median")</f>
        <v>0.65952661957391656</v>
      </c>
    </row>
    <row r="729" spans="3:26" x14ac:dyDescent="0.25">
      <c r="D729" s="6" t="s">
        <v>72</v>
      </c>
      <c r="E729" s="6" t="s">
        <v>381</v>
      </c>
      <c r="F729" s="6" t="s">
        <v>145</v>
      </c>
      <c r="G729" s="6" t="s">
        <v>337</v>
      </c>
      <c r="H729" s="6" t="s">
        <v>383</v>
      </c>
      <c r="Q729" s="10" cm="1">
        <f t="array" ref="Q729:Z729">DIRECT_EFFECT("ely","Electricity","ely_share","ely_elasticity",DECILE_ARRAY,"Overall","median")</f>
        <v>0.74965008410992295</v>
      </c>
      <c r="R729">
        <v>0.63525749539114651</v>
      </c>
      <c r="S729">
        <v>0.6563464338760332</v>
      </c>
      <c r="T729">
        <v>0.63950087867543359</v>
      </c>
      <c r="U729">
        <v>0.64871480586948393</v>
      </c>
      <c r="V729">
        <v>0.64223049183128733</v>
      </c>
      <c r="W729">
        <v>0.61802197009870774</v>
      </c>
      <c r="X729">
        <v>0.66521664413926296</v>
      </c>
      <c r="Y729">
        <v>0.70362859535574729</v>
      </c>
      <c r="Z729">
        <v>0.68963997275175992</v>
      </c>
    </row>
    <row r="730" spans="3:26" x14ac:dyDescent="0.25">
      <c r="D730" s="6" t="s">
        <v>72</v>
      </c>
      <c r="E730" s="6" t="s">
        <v>384</v>
      </c>
      <c r="F730" s="6" t="s">
        <v>382</v>
      </c>
      <c r="G730" s="6" t="s">
        <v>337</v>
      </c>
      <c r="H730" s="6" t="s">
        <v>383</v>
      </c>
      <c r="P730" s="10" cm="1">
        <f t="array" ref="P730">DIRECT_EFFECT("ely","Electricity","ely_share","ely_elasticity",0,"Urban","median")</f>
        <v>0.62417025655362468</v>
      </c>
    </row>
    <row r="731" spans="3:26" x14ac:dyDescent="0.25">
      <c r="D731" s="6" t="s">
        <v>72</v>
      </c>
      <c r="E731" s="6" t="s">
        <v>384</v>
      </c>
      <c r="F731" s="6" t="s">
        <v>145</v>
      </c>
      <c r="G731" s="6" t="s">
        <v>337</v>
      </c>
      <c r="H731" s="6" t="s">
        <v>383</v>
      </c>
      <c r="Q731" s="10" cm="1">
        <f t="array" ref="Q731:Z731">DIRECT_EFFECT("ely","Electricity","ely_share","ely_elasticity",DECILE_ARRAY,"Urban","median")</f>
        <v>0.66253218282876991</v>
      </c>
      <c r="R731">
        <v>0.65883221395993641</v>
      </c>
      <c r="S731">
        <v>0.62919130207907081</v>
      </c>
      <c r="T731">
        <v>0.65472566881282823</v>
      </c>
      <c r="U731">
        <v>0.6393960063547165</v>
      </c>
      <c r="V731">
        <v>0.62935115214584747</v>
      </c>
      <c r="W731">
        <v>0.62878838245256219</v>
      </c>
      <c r="X731">
        <v>0.66355394963944325</v>
      </c>
      <c r="Y731">
        <v>0.69726222490582834</v>
      </c>
      <c r="Z731">
        <v>0.76836607457902262</v>
      </c>
    </row>
    <row r="732" spans="3:26" x14ac:dyDescent="0.25">
      <c r="D732" s="6" t="s">
        <v>72</v>
      </c>
      <c r="E732" s="6" t="s">
        <v>385</v>
      </c>
      <c r="F732" s="6" t="s">
        <v>382</v>
      </c>
      <c r="G732" s="6" t="s">
        <v>337</v>
      </c>
      <c r="H732" s="6" t="s">
        <v>383</v>
      </c>
      <c r="P732" s="10" cm="1">
        <f t="array" ref="P732">DIRECT_EFFECT("ely","Electricity","ely_share","ely_elasticity",0,"Rural","median")</f>
        <v>0.67028042047442415</v>
      </c>
    </row>
    <row r="733" spans="3:26" x14ac:dyDescent="0.25">
      <c r="D733" s="6" t="s">
        <v>72</v>
      </c>
      <c r="E733" s="6" t="s">
        <v>385</v>
      </c>
      <c r="F733" s="6" t="s">
        <v>145</v>
      </c>
      <c r="G733" s="6" t="s">
        <v>337</v>
      </c>
      <c r="H733" s="6" t="s">
        <v>383</v>
      </c>
      <c r="Q733" s="10" cm="1">
        <f t="array" ref="Q733:Z733">DIRECT_EFFECT("ely","Electricity","ely_share","ely_elasticity",DECILE_ARRAY,"Rural","median")</f>
        <v>0.72159917444869437</v>
      </c>
      <c r="R733">
        <v>0.67317288875202164</v>
      </c>
      <c r="S733">
        <v>0.67770783548278102</v>
      </c>
      <c r="T733">
        <v>0.60036921715489766</v>
      </c>
      <c r="U733">
        <v>0.61158837215970985</v>
      </c>
      <c r="V733">
        <v>0.58910847166559133</v>
      </c>
      <c r="W733">
        <v>0.64559572331058934</v>
      </c>
      <c r="X733">
        <v>0.63601014169723946</v>
      </c>
      <c r="Y733">
        <v>0.6278003992458131</v>
      </c>
      <c r="Z733">
        <v>0.71343551474163425</v>
      </c>
    </row>
    <row r="734" spans="3:26" x14ac:dyDescent="0.25">
      <c r="D734" s="6" t="s">
        <v>75</v>
      </c>
      <c r="E734" s="6" t="s">
        <v>381</v>
      </c>
      <c r="F734" s="6" t="s">
        <v>382</v>
      </c>
      <c r="G734" s="6" t="s">
        <v>337</v>
      </c>
      <c r="H734" s="6" t="s">
        <v>383</v>
      </c>
      <c r="P734" s="10" cm="1">
        <f t="array" ref="P734">DIRECT_EFFECT("ely","Electricity","ely_share","ely_elasticity",0,"Overall","p25")</f>
        <v>0.47897393186294851</v>
      </c>
    </row>
    <row r="735" spans="3:26" x14ac:dyDescent="0.25">
      <c r="D735" s="6" t="s">
        <v>75</v>
      </c>
      <c r="E735" s="6" t="s">
        <v>381</v>
      </c>
      <c r="F735" s="6" t="s">
        <v>145</v>
      </c>
      <c r="G735" s="6" t="s">
        <v>337</v>
      </c>
      <c r="H735" s="6" t="s">
        <v>383</v>
      </c>
      <c r="Q735" s="10" cm="1">
        <f t="array" ref="Q735:Z735">DIRECT_EFFECT("ely","Electricity","ely_share","ely_elasticity",DECILE_ARRAY,"Overall","p25")</f>
        <v>0.47530859912823736</v>
      </c>
      <c r="R735">
        <v>0.47997862126918506</v>
      </c>
      <c r="S735">
        <v>0.47745486133811815</v>
      </c>
      <c r="T735">
        <v>0.45115863602677531</v>
      </c>
      <c r="U735">
        <v>0.46007042173937956</v>
      </c>
      <c r="V735">
        <v>0.45789437073188494</v>
      </c>
      <c r="W735">
        <v>0.47344392003128677</v>
      </c>
      <c r="X735">
        <v>0.47381081118624363</v>
      </c>
      <c r="Y735">
        <v>0.4749549194072793</v>
      </c>
      <c r="Z735">
        <v>0.46320681649781126</v>
      </c>
    </row>
    <row r="736" spans="3:26" x14ac:dyDescent="0.25">
      <c r="D736" s="6" t="s">
        <v>75</v>
      </c>
      <c r="E736" s="6" t="s">
        <v>384</v>
      </c>
      <c r="F736" s="6" t="s">
        <v>382</v>
      </c>
      <c r="G736" s="6" t="s">
        <v>337</v>
      </c>
      <c r="H736" s="6" t="s">
        <v>383</v>
      </c>
      <c r="P736" s="10" cm="1">
        <f t="array" ref="P736">DIRECT_EFFECT("ely","Electricity","ely_share","ely_elasticity",0,"Urban","p25")</f>
        <v>0.4230109322665615</v>
      </c>
    </row>
    <row r="737" spans="3:26" x14ac:dyDescent="0.25">
      <c r="D737" s="6" t="s">
        <v>75</v>
      </c>
      <c r="E737" s="6" t="s">
        <v>384</v>
      </c>
      <c r="F737" s="6" t="s">
        <v>145</v>
      </c>
      <c r="G737" s="6" t="s">
        <v>337</v>
      </c>
      <c r="H737" s="6" t="s">
        <v>383</v>
      </c>
      <c r="Q737" s="10" cm="1">
        <f t="array" ref="Q737:Z737">DIRECT_EFFECT("ely","Electricity","ely_share","ely_elasticity",DECILE_ARRAY,"Urban","p25")</f>
        <v>0.45267689312368675</v>
      </c>
      <c r="R737">
        <v>0.4265230081134927</v>
      </c>
      <c r="S737">
        <v>0.44946568100167511</v>
      </c>
      <c r="T737">
        <v>0.44852945243790859</v>
      </c>
      <c r="U737">
        <v>0.45199261610013552</v>
      </c>
      <c r="V737">
        <v>0.46188290062121312</v>
      </c>
      <c r="W737">
        <v>0.4661365966433233</v>
      </c>
      <c r="X737">
        <v>0.42991958056386537</v>
      </c>
      <c r="Y737">
        <v>0.5010422698478183</v>
      </c>
      <c r="Z737">
        <v>0.49102508514320792</v>
      </c>
    </row>
    <row r="738" spans="3:26" x14ac:dyDescent="0.25">
      <c r="D738" s="6" t="s">
        <v>75</v>
      </c>
      <c r="E738" s="6" t="s">
        <v>385</v>
      </c>
      <c r="F738" s="6" t="s">
        <v>382</v>
      </c>
      <c r="G738" s="6" t="s">
        <v>337</v>
      </c>
      <c r="H738" s="6" t="s">
        <v>383</v>
      </c>
      <c r="P738" s="10" cm="1">
        <f t="array" ref="P738">DIRECT_EFFECT("ely","Electricity","ely_share","ely_elasticity",0,"Rural","p25")</f>
        <v>0.51305297744285117</v>
      </c>
    </row>
    <row r="739" spans="3:26" x14ac:dyDescent="0.25">
      <c r="D739" s="6" t="s">
        <v>75</v>
      </c>
      <c r="E739" s="6" t="s">
        <v>385</v>
      </c>
      <c r="F739" s="6" t="s">
        <v>145</v>
      </c>
      <c r="G739" s="6" t="s">
        <v>337</v>
      </c>
      <c r="H739" s="6" t="s">
        <v>383</v>
      </c>
      <c r="Q739" s="10" cm="1">
        <f t="array" ref="Q739:Z739">DIRECT_EFFECT("ely","Electricity","ely_share","ely_elasticity",DECILE_ARRAY,"Rural","p25")</f>
        <v>0.53982296979941868</v>
      </c>
      <c r="R739">
        <v>0.50577039854060613</v>
      </c>
      <c r="S739">
        <v>0.47964190140846591</v>
      </c>
      <c r="T739">
        <v>0.45765888312287356</v>
      </c>
      <c r="U739">
        <v>0.46277176225320432</v>
      </c>
      <c r="V739">
        <v>0.45143326781105514</v>
      </c>
      <c r="W739">
        <v>0.43781638651853783</v>
      </c>
      <c r="X739">
        <v>0.43328360031386887</v>
      </c>
      <c r="Y739">
        <v>0.48819126997573264</v>
      </c>
      <c r="Z739">
        <v>0.52441941000779912</v>
      </c>
    </row>
    <row r="740" spans="3:26" x14ac:dyDescent="0.25">
      <c r="D740" s="6" t="s">
        <v>78</v>
      </c>
      <c r="E740" s="6" t="s">
        <v>381</v>
      </c>
      <c r="F740" s="6" t="s">
        <v>382</v>
      </c>
      <c r="G740" s="6" t="s">
        <v>337</v>
      </c>
      <c r="H740" s="6" t="s">
        <v>383</v>
      </c>
      <c r="P740" s="10" cm="1">
        <f t="array" ref="P740">DIRECT_EFFECT("ely","Electricity","ely_share","ely_elasticity",0,"Overall","p75")</f>
        <v>0.85368892759702042</v>
      </c>
    </row>
    <row r="741" spans="3:26" x14ac:dyDescent="0.25">
      <c r="D741" s="6" t="s">
        <v>78</v>
      </c>
      <c r="E741" s="6" t="s">
        <v>381</v>
      </c>
      <c r="F741" s="6" t="s">
        <v>145</v>
      </c>
      <c r="G741" s="6" t="s">
        <v>337</v>
      </c>
      <c r="H741" s="6" t="s">
        <v>383</v>
      </c>
      <c r="Q741" s="10" cm="1">
        <f t="array" ref="Q741:Z741">DIRECT_EFFECT("ely","Electricity","ely_share","ely_elasticity",DECILE_ARRAY,"Overall","p75")</f>
        <v>0.93837309570595961</v>
      </c>
      <c r="R741">
        <v>0.88351440118319324</v>
      </c>
      <c r="S741">
        <v>0.87413577685634825</v>
      </c>
      <c r="T741">
        <v>0.78870369622595671</v>
      </c>
      <c r="U741">
        <v>0.868877229095388</v>
      </c>
      <c r="V741">
        <v>0.86135246324437142</v>
      </c>
      <c r="W741">
        <v>0.91385213667710818</v>
      </c>
      <c r="X741">
        <v>0.93236255047883454</v>
      </c>
      <c r="Y741">
        <v>0.89325826622213766</v>
      </c>
      <c r="Z741">
        <v>0.98195434614950572</v>
      </c>
    </row>
    <row r="742" spans="3:26" x14ac:dyDescent="0.25">
      <c r="D742" s="6" t="s">
        <v>78</v>
      </c>
      <c r="E742" s="6" t="s">
        <v>384</v>
      </c>
      <c r="F742" s="6" t="s">
        <v>382</v>
      </c>
      <c r="G742" s="6" t="s">
        <v>337</v>
      </c>
      <c r="H742" s="6" t="s">
        <v>383</v>
      </c>
      <c r="P742" s="10" cm="1">
        <f t="array" ref="P742">DIRECT_EFFECT("ely","Electricity","ely_share","ely_elasticity",0,"Urban","p75")</f>
        <v>0.92346377792070033</v>
      </c>
    </row>
    <row r="743" spans="3:26" x14ac:dyDescent="0.25">
      <c r="D743" s="6" t="s">
        <v>78</v>
      </c>
      <c r="E743" s="6" t="s">
        <v>384</v>
      </c>
      <c r="F743" s="6" t="s">
        <v>145</v>
      </c>
      <c r="G743" s="6" t="s">
        <v>337</v>
      </c>
      <c r="H743" s="6" t="s">
        <v>383</v>
      </c>
      <c r="Q743" s="10" cm="1">
        <f t="array" ref="Q743:Z743">DIRECT_EFFECT("ely","Electricity","ely_share","ely_elasticity",DECILE_ARRAY,"Urban","p75")</f>
        <v>0.93872743371829914</v>
      </c>
      <c r="R743">
        <v>0.89859401875069111</v>
      </c>
      <c r="S743">
        <v>0.88181276206729475</v>
      </c>
      <c r="T743">
        <v>0.84343472592651525</v>
      </c>
      <c r="U743">
        <v>0.90408044682433597</v>
      </c>
      <c r="V743">
        <v>0.84032584200063065</v>
      </c>
      <c r="W743">
        <v>0.90652288019950922</v>
      </c>
      <c r="X743">
        <v>0.94072081933857954</v>
      </c>
      <c r="Y743">
        <v>0.93038224346771725</v>
      </c>
      <c r="Z743">
        <v>1.0369452400956805</v>
      </c>
    </row>
    <row r="744" spans="3:26" x14ac:dyDescent="0.25">
      <c r="D744" s="6" t="s">
        <v>78</v>
      </c>
      <c r="E744" s="6" t="s">
        <v>385</v>
      </c>
      <c r="F744" s="6" t="s">
        <v>382</v>
      </c>
      <c r="G744" s="6" t="s">
        <v>337</v>
      </c>
      <c r="H744" s="6" t="s">
        <v>383</v>
      </c>
      <c r="P744" s="10" cm="1">
        <f t="array" ref="P744">DIRECT_EFFECT("ely","Electricity","ely_share","ely_elasticity",0,"Rural","p75")</f>
        <v>0.83073055038209476</v>
      </c>
    </row>
    <row r="745" spans="3:26" x14ac:dyDescent="0.25">
      <c r="D745" s="6" t="s">
        <v>78</v>
      </c>
      <c r="E745" s="6" t="s">
        <v>385</v>
      </c>
      <c r="F745" s="6" t="s">
        <v>145</v>
      </c>
      <c r="G745" s="6" t="s">
        <v>337</v>
      </c>
      <c r="H745" s="6" t="s">
        <v>383</v>
      </c>
      <c r="Q745" s="10" cm="1">
        <f t="array" ref="Q745:Z745">DIRECT_EFFECT("ely","Electricity","ely_share","ely_elasticity",DECILE_ARRAY,"Rural","p75")</f>
        <v>0.89354632785487775</v>
      </c>
      <c r="R745">
        <v>0.93758265764958182</v>
      </c>
      <c r="S745">
        <v>0.91210954250361842</v>
      </c>
      <c r="T745">
        <v>0.88301950934819384</v>
      </c>
      <c r="U745">
        <v>0.8172557646228098</v>
      </c>
      <c r="V745">
        <v>0.88344338612587914</v>
      </c>
      <c r="W745">
        <v>0.87771103007974749</v>
      </c>
      <c r="X745">
        <v>0.86593103974672503</v>
      </c>
      <c r="Y745">
        <v>0.9464580465620398</v>
      </c>
      <c r="Z745">
        <v>1.0062936668968763</v>
      </c>
    </row>
    <row r="747" spans="3:26" x14ac:dyDescent="0.25">
      <c r="C747" s="7" t="s">
        <v>419</v>
      </c>
      <c r="G747" s="6" t="s">
        <v>339</v>
      </c>
      <c r="O747" s="2" t="s">
        <v>331</v>
      </c>
      <c r="Q747" s="2">
        <v>1</v>
      </c>
      <c r="R747" s="2">
        <v>2</v>
      </c>
      <c r="S747" s="2">
        <v>3</v>
      </c>
      <c r="T747" s="2">
        <v>4</v>
      </c>
      <c r="U747" s="2">
        <v>5</v>
      </c>
      <c r="V747" s="2">
        <v>6</v>
      </c>
      <c r="W747" s="2">
        <v>7</v>
      </c>
      <c r="X747" s="2">
        <v>8</v>
      </c>
      <c r="Y747" s="2">
        <v>9</v>
      </c>
      <c r="Z747" s="2">
        <v>10</v>
      </c>
    </row>
    <row r="748" spans="3:26" x14ac:dyDescent="0.25">
      <c r="D748" s="6" t="s">
        <v>69</v>
      </c>
      <c r="E748" s="6" t="s">
        <v>381</v>
      </c>
      <c r="F748" s="6" t="s">
        <v>382</v>
      </c>
      <c r="G748" s="6" t="s">
        <v>339</v>
      </c>
      <c r="H748" s="6" t="s">
        <v>383</v>
      </c>
      <c r="P748" s="10" cm="1">
        <f t="array" ref="P748">DIRECT_EFFECT("nga","Natural Gas","nga_share","nga_elasticity",0,"Overall","mean")</f>
        <v>0.14390370822385054</v>
      </c>
    </row>
    <row r="749" spans="3:26" x14ac:dyDescent="0.25">
      <c r="D749" s="6" t="s">
        <v>69</v>
      </c>
      <c r="E749" s="6" t="s">
        <v>381</v>
      </c>
      <c r="F749" s="6" t="s">
        <v>145</v>
      </c>
      <c r="G749" s="6" t="s">
        <v>339</v>
      </c>
      <c r="H749" s="6" t="s">
        <v>383</v>
      </c>
      <c r="Q749" s="10" cm="1">
        <f t="array" ref="Q749:Z749">DIRECT_EFFECT("nga","Natural Gas","nga_share","nga_elasticity",DECILE_ARRAY,"Overall","mean")</f>
        <v>0.11646097332095645</v>
      </c>
      <c r="R749">
        <v>0.1103345257855515</v>
      </c>
      <c r="S749">
        <v>0.11741920010905202</v>
      </c>
      <c r="T749">
        <v>0.12282538743992094</v>
      </c>
      <c r="U749">
        <v>0.12644965182251713</v>
      </c>
      <c r="V749">
        <v>0.13523126483000464</v>
      </c>
      <c r="W749">
        <v>0.1509984389837235</v>
      </c>
      <c r="X749">
        <v>0.18446935834008951</v>
      </c>
      <c r="Y749">
        <v>0.18081810614952601</v>
      </c>
      <c r="Z749">
        <v>0.24151540802537672</v>
      </c>
    </row>
    <row r="750" spans="3:26" x14ac:dyDescent="0.25">
      <c r="D750" s="6" t="s">
        <v>69</v>
      </c>
      <c r="E750" s="6" t="s">
        <v>384</v>
      </c>
      <c r="F750" s="6" t="s">
        <v>382</v>
      </c>
      <c r="G750" s="6" t="s">
        <v>339</v>
      </c>
      <c r="H750" s="6" t="s">
        <v>383</v>
      </c>
      <c r="P750" s="10" cm="1">
        <f t="array" ref="P750">DIRECT_EFFECT("nga","Natural Gas","nga_share","nga_elasticity",0,"Urban","mean")</f>
        <v>0.30726314991020071</v>
      </c>
    </row>
    <row r="751" spans="3:26" x14ac:dyDescent="0.25">
      <c r="D751" s="6" t="s">
        <v>69</v>
      </c>
      <c r="E751" s="6" t="s">
        <v>384</v>
      </c>
      <c r="F751" s="6" t="s">
        <v>145</v>
      </c>
      <c r="G751" s="6" t="s">
        <v>339</v>
      </c>
      <c r="H751" s="6" t="s">
        <v>383</v>
      </c>
      <c r="Q751" s="10" cm="1">
        <f t="array" ref="Q751:Z751">DIRECT_EFFECT("nga","Natural Gas","nga_share","nga_elasticity",DECILE_ARRAY,"Urban","mean")</f>
        <v>0.27782337687499425</v>
      </c>
      <c r="R751">
        <v>0.26202156188003944</v>
      </c>
      <c r="S751">
        <v>0.26735333180290449</v>
      </c>
      <c r="T751">
        <v>0.26398834882331385</v>
      </c>
      <c r="U751">
        <v>0.30152225414623918</v>
      </c>
      <c r="V751">
        <v>0.29257209592940353</v>
      </c>
      <c r="W751">
        <v>0.3356571136345724</v>
      </c>
      <c r="X751">
        <v>0.32750426412191402</v>
      </c>
      <c r="Y751">
        <v>0.34292485231759195</v>
      </c>
      <c r="Z751">
        <v>0.35117285143719146</v>
      </c>
    </row>
    <row r="752" spans="3:26" x14ac:dyDescent="0.25">
      <c r="D752" s="6" t="s">
        <v>69</v>
      </c>
      <c r="E752" s="6" t="s">
        <v>385</v>
      </c>
      <c r="F752" s="6" t="s">
        <v>382</v>
      </c>
      <c r="G752" s="6" t="s">
        <v>339</v>
      </c>
      <c r="H752" s="6" t="s">
        <v>383</v>
      </c>
      <c r="P752" s="10" cm="1">
        <f t="array" ref="P752">DIRECT_EFFECT("nga","Natural Gas","nga_share","nga_elasticity",0,"Rural","mean")</f>
        <v>2.5212203533184922E-2</v>
      </c>
    </row>
    <row r="753" spans="4:26" x14ac:dyDescent="0.25">
      <c r="D753" s="6" t="s">
        <v>69</v>
      </c>
      <c r="E753" s="6" t="s">
        <v>385</v>
      </c>
      <c r="F753" s="6" t="s">
        <v>145</v>
      </c>
      <c r="G753" s="6" t="s">
        <v>339</v>
      </c>
      <c r="H753" s="6" t="s">
        <v>383</v>
      </c>
      <c r="Q753" s="10" cm="1">
        <f t="array" ref="Q753:Z753">DIRECT_EFFECT("nga","Natural Gas","nga_share","nga_elasticity",DECILE_ARRAY,"Rural","mean")</f>
        <v>2.050827769168324E-2</v>
      </c>
      <c r="R753">
        <v>2.718316115174416E-2</v>
      </c>
      <c r="S753">
        <v>2.8542785857879907E-2</v>
      </c>
      <c r="T753">
        <v>2.5785937995975283E-2</v>
      </c>
      <c r="U753">
        <v>2.8336149364483924E-2</v>
      </c>
      <c r="V753">
        <v>2.7501587723186768E-2</v>
      </c>
      <c r="W753">
        <v>2.9830217959309669E-2</v>
      </c>
      <c r="X753">
        <v>3.4105038166844723E-2</v>
      </c>
      <c r="Y753">
        <v>2.3902055572854651E-2</v>
      </c>
      <c r="Z753">
        <v>2.5206354322811129E-2</v>
      </c>
    </row>
    <row r="754" spans="4:26" x14ac:dyDescent="0.25">
      <c r="D754" s="6" t="s">
        <v>72</v>
      </c>
      <c r="E754" s="6" t="s">
        <v>381</v>
      </c>
      <c r="F754" s="6" t="s">
        <v>382</v>
      </c>
      <c r="G754" s="6" t="s">
        <v>339</v>
      </c>
      <c r="H754" s="6" t="s">
        <v>383</v>
      </c>
      <c r="P754" s="10" cm="1">
        <f t="array" ref="P754">DIRECT_EFFECT("nga","Natural Gas","nga_share","nga_elasticity",0,"Overall","median")</f>
        <v>0</v>
      </c>
    </row>
    <row r="755" spans="4:26" x14ac:dyDescent="0.25">
      <c r="D755" s="6" t="s">
        <v>72</v>
      </c>
      <c r="E755" s="6" t="s">
        <v>381</v>
      </c>
      <c r="F755" s="6" t="s">
        <v>145</v>
      </c>
      <c r="G755" s="6" t="s">
        <v>339</v>
      </c>
      <c r="H755" s="6" t="s">
        <v>383</v>
      </c>
      <c r="Q755" s="10" cm="1">
        <f t="array" ref="Q755:Z755">DIRECT_EFFECT("nga","Natural Gas","nga_share","nga_elasticity",DECILE_ARRAY,"Overall","median")</f>
        <v>0</v>
      </c>
      <c r="R755">
        <v>0</v>
      </c>
      <c r="S755">
        <v>0</v>
      </c>
      <c r="T755">
        <v>0</v>
      </c>
      <c r="U755">
        <v>0</v>
      </c>
      <c r="V755">
        <v>0</v>
      </c>
      <c r="W755">
        <v>0</v>
      </c>
      <c r="X755">
        <v>0</v>
      </c>
      <c r="Y755">
        <v>0</v>
      </c>
      <c r="Z755">
        <v>0.15096163347082558</v>
      </c>
    </row>
    <row r="756" spans="4:26" x14ac:dyDescent="0.25">
      <c r="D756" s="6" t="s">
        <v>72</v>
      </c>
      <c r="E756" s="6" t="s">
        <v>384</v>
      </c>
      <c r="F756" s="6" t="s">
        <v>382</v>
      </c>
      <c r="G756" s="6" t="s">
        <v>339</v>
      </c>
      <c r="H756" s="6" t="s">
        <v>383</v>
      </c>
      <c r="P756" s="10" cm="1">
        <f t="array" ref="P756">DIRECT_EFFECT("nga","Natural Gas","nga_share","nga_elasticity",0,"Urban","median")</f>
        <v>0.23051906696029081</v>
      </c>
    </row>
    <row r="757" spans="4:26" x14ac:dyDescent="0.25">
      <c r="D757" s="6" t="s">
        <v>72</v>
      </c>
      <c r="E757" s="6" t="s">
        <v>384</v>
      </c>
      <c r="F757" s="6" t="s">
        <v>145</v>
      </c>
      <c r="G757" s="6" t="s">
        <v>339</v>
      </c>
      <c r="H757" s="6" t="s">
        <v>383</v>
      </c>
      <c r="Q757" s="10" cm="1">
        <f t="array" ref="Q757:Z757">DIRECT_EFFECT("nga","Natural Gas","nga_share","nga_elasticity",DECILE_ARRAY,"Urban","median")</f>
        <v>0</v>
      </c>
      <c r="R757">
        <v>0</v>
      </c>
      <c r="S757">
        <v>0.17926827558687616</v>
      </c>
      <c r="T757">
        <v>0.19976128949325234</v>
      </c>
      <c r="U757">
        <v>0.258251376665659</v>
      </c>
      <c r="V757">
        <v>0.23498815488260474</v>
      </c>
      <c r="W757">
        <v>0.22988705704748735</v>
      </c>
      <c r="X757">
        <v>0.24777007739189785</v>
      </c>
      <c r="Y757">
        <v>0.26931772899419276</v>
      </c>
      <c r="Z757">
        <v>0.26683265743619311</v>
      </c>
    </row>
    <row r="758" spans="4:26" x14ac:dyDescent="0.25">
      <c r="D758" s="6" t="s">
        <v>72</v>
      </c>
      <c r="E758" s="6" t="s">
        <v>385</v>
      </c>
      <c r="F758" s="6" t="s">
        <v>382</v>
      </c>
      <c r="G758" s="6" t="s">
        <v>339</v>
      </c>
      <c r="H758" s="6" t="s">
        <v>383</v>
      </c>
      <c r="P758" s="10" cm="1">
        <f t="array" ref="P758">DIRECT_EFFECT("nga","Natural Gas","nga_share","nga_elasticity",0,"Rural","median")</f>
        <v>0</v>
      </c>
    </row>
    <row r="759" spans="4:26" x14ac:dyDescent="0.25">
      <c r="D759" s="6" t="s">
        <v>72</v>
      </c>
      <c r="E759" s="6" t="s">
        <v>385</v>
      </c>
      <c r="F759" s="6" t="s">
        <v>145</v>
      </c>
      <c r="G759" s="6" t="s">
        <v>339</v>
      </c>
      <c r="H759" s="6" t="s">
        <v>383</v>
      </c>
      <c r="Q759" s="10" cm="1">
        <f t="array" ref="Q759:Z759">DIRECT_EFFECT("nga","Natural Gas","nga_share","nga_elasticity",DECILE_ARRAY,"Rural","median")</f>
        <v>0</v>
      </c>
      <c r="R759">
        <v>0</v>
      </c>
      <c r="S759">
        <v>0</v>
      </c>
      <c r="T759">
        <v>0</v>
      </c>
      <c r="U759">
        <v>0</v>
      </c>
      <c r="V759">
        <v>0</v>
      </c>
      <c r="W759">
        <v>0</v>
      </c>
      <c r="X759">
        <v>0</v>
      </c>
      <c r="Y759">
        <v>0</v>
      </c>
      <c r="Z759">
        <v>0</v>
      </c>
    </row>
    <row r="760" spans="4:26" x14ac:dyDescent="0.25">
      <c r="D760" s="6" t="s">
        <v>75</v>
      </c>
      <c r="E760" s="6" t="s">
        <v>381</v>
      </c>
      <c r="F760" s="6" t="s">
        <v>382</v>
      </c>
      <c r="G760" s="6" t="s">
        <v>339</v>
      </c>
      <c r="H760" s="6" t="s">
        <v>383</v>
      </c>
      <c r="P760" s="10" cm="1">
        <f t="array" ref="P760">DIRECT_EFFECT("nga","Natural Gas","nga_share","nga_elasticity",0,"Overall","p25")</f>
        <v>0</v>
      </c>
    </row>
    <row r="761" spans="4:26" x14ac:dyDescent="0.25">
      <c r="D761" s="6" t="s">
        <v>75</v>
      </c>
      <c r="E761" s="6" t="s">
        <v>381</v>
      </c>
      <c r="F761" s="6" t="s">
        <v>145</v>
      </c>
      <c r="G761" s="6" t="s">
        <v>339</v>
      </c>
      <c r="H761" s="6" t="s">
        <v>383</v>
      </c>
      <c r="Q761" s="10" cm="1">
        <f t="array" ref="Q761:Z761">DIRECT_EFFECT("nga","Natural Gas","nga_share","nga_elasticity",DECILE_ARRAY,"Overall","p25")</f>
        <v>0</v>
      </c>
      <c r="R761">
        <v>0</v>
      </c>
      <c r="S761">
        <v>0</v>
      </c>
      <c r="T761">
        <v>0</v>
      </c>
      <c r="U761">
        <v>0</v>
      </c>
      <c r="V761">
        <v>0</v>
      </c>
      <c r="W761">
        <v>0</v>
      </c>
      <c r="X761">
        <v>0</v>
      </c>
      <c r="Y761">
        <v>0</v>
      </c>
      <c r="Z761">
        <v>0</v>
      </c>
    </row>
    <row r="762" spans="4:26" x14ac:dyDescent="0.25">
      <c r="D762" s="6" t="s">
        <v>75</v>
      </c>
      <c r="E762" s="6" t="s">
        <v>384</v>
      </c>
      <c r="F762" s="6" t="s">
        <v>382</v>
      </c>
      <c r="G762" s="6" t="s">
        <v>339</v>
      </c>
      <c r="H762" s="6" t="s">
        <v>383</v>
      </c>
      <c r="P762" s="10" cm="1">
        <f t="array" ref="P762">DIRECT_EFFECT("nga","Natural Gas","nga_share","nga_elasticity",0,"Urban","p25")</f>
        <v>0</v>
      </c>
    </row>
    <row r="763" spans="4:26" x14ac:dyDescent="0.25">
      <c r="D763" s="6" t="s">
        <v>75</v>
      </c>
      <c r="E763" s="6" t="s">
        <v>384</v>
      </c>
      <c r="F763" s="6" t="s">
        <v>145</v>
      </c>
      <c r="G763" s="6" t="s">
        <v>339</v>
      </c>
      <c r="H763" s="6" t="s">
        <v>383</v>
      </c>
      <c r="Q763" s="10" cm="1">
        <f t="array" ref="Q763:Z763">DIRECT_EFFECT("nga","Natural Gas","nga_share","nga_elasticity",DECILE_ARRAY,"Urban","p25")</f>
        <v>0</v>
      </c>
      <c r="R763">
        <v>0</v>
      </c>
      <c r="S763">
        <v>0</v>
      </c>
      <c r="T763">
        <v>0</v>
      </c>
      <c r="U763">
        <v>0</v>
      </c>
      <c r="V763">
        <v>0</v>
      </c>
      <c r="W763">
        <v>0</v>
      </c>
      <c r="X763">
        <v>0</v>
      </c>
      <c r="Y763">
        <v>0</v>
      </c>
      <c r="Z763">
        <v>0</v>
      </c>
    </row>
    <row r="764" spans="4:26" x14ac:dyDescent="0.25">
      <c r="D764" s="6" t="s">
        <v>75</v>
      </c>
      <c r="E764" s="6" t="s">
        <v>385</v>
      </c>
      <c r="F764" s="6" t="s">
        <v>382</v>
      </c>
      <c r="G764" s="6" t="s">
        <v>339</v>
      </c>
      <c r="H764" s="6" t="s">
        <v>383</v>
      </c>
      <c r="P764" s="10" cm="1">
        <f t="array" ref="P764">DIRECT_EFFECT("nga","Natural Gas","nga_share","nga_elasticity",0,"Rural","p25")</f>
        <v>0</v>
      </c>
    </row>
    <row r="765" spans="4:26" x14ac:dyDescent="0.25">
      <c r="D765" s="6" t="s">
        <v>75</v>
      </c>
      <c r="E765" s="6" t="s">
        <v>385</v>
      </c>
      <c r="F765" s="6" t="s">
        <v>145</v>
      </c>
      <c r="G765" s="6" t="s">
        <v>339</v>
      </c>
      <c r="H765" s="6" t="s">
        <v>383</v>
      </c>
      <c r="Q765" s="10" cm="1">
        <f t="array" ref="Q765:Z765">DIRECT_EFFECT("nga","Natural Gas","nga_share","nga_elasticity",DECILE_ARRAY,"Rural","p25")</f>
        <v>0</v>
      </c>
      <c r="R765">
        <v>0</v>
      </c>
      <c r="S765">
        <v>0</v>
      </c>
      <c r="T765">
        <v>0</v>
      </c>
      <c r="U765">
        <v>0</v>
      </c>
      <c r="V765">
        <v>0</v>
      </c>
      <c r="W765">
        <v>0</v>
      </c>
      <c r="X765">
        <v>0</v>
      </c>
      <c r="Y765">
        <v>0</v>
      </c>
      <c r="Z765">
        <v>0</v>
      </c>
    </row>
    <row r="766" spans="4:26" x14ac:dyDescent="0.25">
      <c r="D766" s="6" t="s">
        <v>78</v>
      </c>
      <c r="E766" s="6" t="s">
        <v>381</v>
      </c>
      <c r="F766" s="6" t="s">
        <v>382</v>
      </c>
      <c r="G766" s="6" t="s">
        <v>339</v>
      </c>
      <c r="H766" s="6" t="s">
        <v>383</v>
      </c>
      <c r="P766" s="10" cm="1">
        <f t="array" ref="P766">DIRECT_EFFECT("nga","Natural Gas","nga_share","nga_elasticity",0,"Overall","p75")</f>
        <v>0.25511808683608067</v>
      </c>
    </row>
    <row r="767" spans="4:26" x14ac:dyDescent="0.25">
      <c r="D767" s="6" t="s">
        <v>78</v>
      </c>
      <c r="E767" s="6" t="s">
        <v>381</v>
      </c>
      <c r="F767" s="6" t="s">
        <v>145</v>
      </c>
      <c r="G767" s="6" t="s">
        <v>339</v>
      </c>
      <c r="H767" s="6" t="s">
        <v>383</v>
      </c>
      <c r="Q767" s="10" cm="1">
        <f t="array" ref="Q767:Z767">DIRECT_EFFECT("nga","Natural Gas","nga_share","nga_elasticity",DECILE_ARRAY,"Overall","p75")</f>
        <v>0</v>
      </c>
      <c r="R767">
        <v>0</v>
      </c>
      <c r="S767">
        <v>0</v>
      </c>
      <c r="T767">
        <v>0</v>
      </c>
      <c r="U767">
        <v>0.23489198324671057</v>
      </c>
      <c r="V767">
        <v>0.24223869588566632</v>
      </c>
      <c r="W767">
        <v>0.24631351366390711</v>
      </c>
      <c r="X767">
        <v>0.27506197341906252</v>
      </c>
      <c r="Y767">
        <v>0.30953411425470811</v>
      </c>
      <c r="Z767">
        <v>0.37702681668852756</v>
      </c>
    </row>
    <row r="768" spans="4:26" x14ac:dyDescent="0.25">
      <c r="D768" s="6" t="s">
        <v>78</v>
      </c>
      <c r="E768" s="6" t="s">
        <v>384</v>
      </c>
      <c r="F768" s="6" t="s">
        <v>382</v>
      </c>
      <c r="G768" s="6" t="s">
        <v>339</v>
      </c>
      <c r="H768" s="6" t="s">
        <v>383</v>
      </c>
      <c r="P768" s="10" cm="1">
        <f t="array" ref="P768">DIRECT_EFFECT("nga","Natural Gas","nga_share","nga_elasticity",0,"Urban","p75")</f>
        <v>0.4459815025089503</v>
      </c>
    </row>
    <row r="769" spans="3:26" x14ac:dyDescent="0.25">
      <c r="D769" s="6" t="s">
        <v>78</v>
      </c>
      <c r="E769" s="6" t="s">
        <v>384</v>
      </c>
      <c r="F769" s="6" t="s">
        <v>145</v>
      </c>
      <c r="G769" s="6" t="s">
        <v>339</v>
      </c>
      <c r="H769" s="6" t="s">
        <v>383</v>
      </c>
      <c r="Q769" s="10" cm="1">
        <f t="array" ref="Q769:Z769">DIRECT_EFFECT("nga","Natural Gas","nga_share","nga_elasticity",DECILE_ARRAY,"Urban","p75")</f>
        <v>0.53083015522665133</v>
      </c>
      <c r="R769">
        <v>0.5063969660667017</v>
      </c>
      <c r="S769">
        <v>0.43043544885305934</v>
      </c>
      <c r="T769">
        <v>0.46041833836790952</v>
      </c>
      <c r="U769">
        <v>0.47419701696199196</v>
      </c>
      <c r="V769">
        <v>0.46058542658149876</v>
      </c>
      <c r="W769">
        <v>0.48149836775263988</v>
      </c>
      <c r="X769">
        <v>0.48912705474919926</v>
      </c>
      <c r="Y769">
        <v>0.48924138720298849</v>
      </c>
      <c r="Z769">
        <v>0.49233141452967283</v>
      </c>
    </row>
    <row r="770" spans="3:26" x14ac:dyDescent="0.25">
      <c r="D770" s="6" t="s">
        <v>78</v>
      </c>
      <c r="E770" s="6" t="s">
        <v>385</v>
      </c>
      <c r="F770" s="6" t="s">
        <v>382</v>
      </c>
      <c r="G770" s="6" t="s">
        <v>339</v>
      </c>
      <c r="H770" s="6" t="s">
        <v>383</v>
      </c>
      <c r="P770" s="10" cm="1">
        <f t="array" ref="P770">DIRECT_EFFECT("nga","Natural Gas","nga_share","nga_elasticity",0,"Rural","p75")</f>
        <v>0</v>
      </c>
    </row>
    <row r="771" spans="3:26" x14ac:dyDescent="0.25">
      <c r="D771" s="6" t="s">
        <v>78</v>
      </c>
      <c r="E771" s="6" t="s">
        <v>385</v>
      </c>
      <c r="F771" s="6" t="s">
        <v>145</v>
      </c>
      <c r="G771" s="6" t="s">
        <v>339</v>
      </c>
      <c r="H771" s="6" t="s">
        <v>383</v>
      </c>
      <c r="Q771" s="10" cm="1">
        <f t="array" ref="Q771:Z771">DIRECT_EFFECT("nga","Natural Gas","nga_share","nga_elasticity",DECILE_ARRAY,"Rural","p75")</f>
        <v>0</v>
      </c>
      <c r="R771">
        <v>0</v>
      </c>
      <c r="S771">
        <v>0</v>
      </c>
      <c r="T771">
        <v>0</v>
      </c>
      <c r="U771">
        <v>0</v>
      </c>
      <c r="V771">
        <v>0</v>
      </c>
      <c r="W771">
        <v>0</v>
      </c>
      <c r="X771">
        <v>0</v>
      </c>
      <c r="Y771">
        <v>0</v>
      </c>
      <c r="Z771">
        <v>0</v>
      </c>
    </row>
    <row r="773" spans="3:26" x14ac:dyDescent="0.25">
      <c r="C773" s="7" t="s">
        <v>420</v>
      </c>
      <c r="G773" s="6" t="s">
        <v>341</v>
      </c>
      <c r="O773" s="2" t="s">
        <v>331</v>
      </c>
      <c r="Q773" s="2">
        <v>1</v>
      </c>
      <c r="R773" s="2">
        <v>2</v>
      </c>
      <c r="S773" s="2">
        <v>3</v>
      </c>
      <c r="T773" s="2">
        <v>4</v>
      </c>
      <c r="U773" s="2">
        <v>5</v>
      </c>
      <c r="V773" s="2">
        <v>6</v>
      </c>
      <c r="W773" s="2">
        <v>7</v>
      </c>
      <c r="X773" s="2">
        <v>8</v>
      </c>
      <c r="Y773" s="2">
        <v>9</v>
      </c>
      <c r="Z773" s="2">
        <v>10</v>
      </c>
    </row>
    <row r="774" spans="3:26" x14ac:dyDescent="0.25">
      <c r="D774" s="6" t="s">
        <v>69</v>
      </c>
      <c r="E774" s="6" t="s">
        <v>381</v>
      </c>
      <c r="F774" s="6" t="s">
        <v>382</v>
      </c>
      <c r="G774" s="6" t="s">
        <v>341</v>
      </c>
      <c r="H774" s="6" t="s">
        <v>383</v>
      </c>
      <c r="P774" s="10" cm="1">
        <f t="array" ref="P774">DIRECT_EFFECT("oil","Non-Road Oil","oil_share","oil_elasticity",0,"Overall","mean")</f>
        <v>7.8194747667485603E-2</v>
      </c>
    </row>
    <row r="775" spans="3:26" x14ac:dyDescent="0.25">
      <c r="D775" s="6" t="s">
        <v>69</v>
      </c>
      <c r="E775" s="6" t="s">
        <v>381</v>
      </c>
      <c r="F775" s="6" t="s">
        <v>145</v>
      </c>
      <c r="G775" s="6" t="s">
        <v>341</v>
      </c>
      <c r="H775" s="6" t="s">
        <v>383</v>
      </c>
      <c r="Q775" s="10" cm="1">
        <f t="array" ref="Q775:Z775">DIRECT_EFFECT("oil","Non-Road Oil","oil_share","oil_elasticity",DECILE_ARRAY,"Overall","mean")</f>
        <v>5.908215794710709E-2</v>
      </c>
      <c r="R775">
        <v>6.1158600737497945E-2</v>
      </c>
      <c r="S775">
        <v>8.0007389940008888E-2</v>
      </c>
      <c r="T775">
        <v>5.9417973762718082E-2</v>
      </c>
      <c r="U775">
        <v>8.3147840498812492E-2</v>
      </c>
      <c r="V775">
        <v>8.1602271376689878E-2</v>
      </c>
      <c r="W775">
        <v>8.3379326201183837E-2</v>
      </c>
      <c r="X775">
        <v>8.4309863952169675E-2</v>
      </c>
      <c r="Y775">
        <v>8.6031023596144507E-2</v>
      </c>
      <c r="Z775">
        <v>9.3623915504603236E-2</v>
      </c>
    </row>
    <row r="776" spans="3:26" x14ac:dyDescent="0.25">
      <c r="D776" s="6" t="s">
        <v>69</v>
      </c>
      <c r="E776" s="6" t="s">
        <v>384</v>
      </c>
      <c r="F776" s="6" t="s">
        <v>382</v>
      </c>
      <c r="G776" s="6" t="s">
        <v>341</v>
      </c>
      <c r="H776" s="6" t="s">
        <v>383</v>
      </c>
      <c r="P776" s="10" cm="1">
        <f t="array" ref="P776">DIRECT_EFFECT("oil","Non-Road Oil","oil_share","oil_elasticity",0,"Urban","mean")</f>
        <v>7.1146407893574209E-2</v>
      </c>
    </row>
    <row r="777" spans="3:26" x14ac:dyDescent="0.25">
      <c r="D777" s="6" t="s">
        <v>69</v>
      </c>
      <c r="E777" s="6" t="s">
        <v>384</v>
      </c>
      <c r="F777" s="6" t="s">
        <v>145</v>
      </c>
      <c r="G777" s="6" t="s">
        <v>341</v>
      </c>
      <c r="H777" s="6" t="s">
        <v>383</v>
      </c>
      <c r="Q777" s="10" cm="1">
        <f t="array" ref="Q777:Z777">DIRECT_EFFECT("oil","Non-Road Oil","oil_share","oil_elasticity",DECILE_ARRAY,"Urban","mean")</f>
        <v>5.3323633597359574E-2</v>
      </c>
      <c r="R777">
        <v>5.7020561424102001E-2</v>
      </c>
      <c r="S777">
        <v>4.8319826163747602E-2</v>
      </c>
      <c r="T777">
        <v>6.8706790030544959E-2</v>
      </c>
      <c r="U777">
        <v>8.1206338743722753E-2</v>
      </c>
      <c r="V777">
        <v>5.8509151180495086E-2</v>
      </c>
      <c r="W777">
        <v>9.4170416922071884E-2</v>
      </c>
      <c r="X777">
        <v>8.4420471339234832E-2</v>
      </c>
      <c r="Y777">
        <v>9.4530350155955206E-2</v>
      </c>
      <c r="Z777">
        <v>0.10330020496881299</v>
      </c>
    </row>
    <row r="778" spans="3:26" x14ac:dyDescent="0.25">
      <c r="D778" s="6" t="s">
        <v>69</v>
      </c>
      <c r="E778" s="6" t="s">
        <v>385</v>
      </c>
      <c r="F778" s="6" t="s">
        <v>382</v>
      </c>
      <c r="G778" s="6" t="s">
        <v>341</v>
      </c>
      <c r="H778" s="6" t="s">
        <v>383</v>
      </c>
      <c r="P778" s="10" cm="1">
        <f t="array" ref="P778">DIRECT_EFFECT("oil","Non-Road Oil","oil_share","oil_elasticity",0,"Rural","mean")</f>
        <v>7.4101624947519748E-2</v>
      </c>
    </row>
    <row r="779" spans="3:26" x14ac:dyDescent="0.25">
      <c r="D779" s="6" t="s">
        <v>69</v>
      </c>
      <c r="E779" s="6" t="s">
        <v>385</v>
      </c>
      <c r="F779" s="6" t="s">
        <v>145</v>
      </c>
      <c r="G779" s="6" t="s">
        <v>341</v>
      </c>
      <c r="H779" s="6" t="s">
        <v>383</v>
      </c>
      <c r="Q779" s="10" cm="1">
        <f t="array" ref="Q779:Z779">DIRECT_EFFECT("oil","Non-Road Oil","oil_share","oil_elasticity",DECILE_ARRAY,"Rural","mean")</f>
        <v>5.4854984757505873E-2</v>
      </c>
      <c r="R779">
        <v>6.1756176084792294E-2</v>
      </c>
      <c r="S779">
        <v>7.3267694162302402E-2</v>
      </c>
      <c r="T779">
        <v>8.7686285182356744E-2</v>
      </c>
      <c r="U779">
        <v>6.9585154958032497E-2</v>
      </c>
      <c r="V779">
        <v>8.5909911080113699E-2</v>
      </c>
      <c r="W779">
        <v>8.4413849327834231E-2</v>
      </c>
      <c r="X779">
        <v>9.1713011796918015E-2</v>
      </c>
      <c r="Y779">
        <v>8.9852737253892229E-2</v>
      </c>
      <c r="Z779">
        <v>7.5600739313785428E-2</v>
      </c>
    </row>
    <row r="780" spans="3:26" x14ac:dyDescent="0.25">
      <c r="D780" s="6" t="s">
        <v>72</v>
      </c>
      <c r="E780" s="6" t="s">
        <v>381</v>
      </c>
      <c r="F780" s="6" t="s">
        <v>382</v>
      </c>
      <c r="G780" s="6" t="s">
        <v>341</v>
      </c>
      <c r="H780" s="6" t="s">
        <v>383</v>
      </c>
      <c r="P780" s="10" cm="1">
        <f t="array" ref="P780">DIRECT_EFFECT("oil","Non-Road Oil","oil_share","oil_elasticity",0,"Overall","median")</f>
        <v>0</v>
      </c>
    </row>
    <row r="781" spans="3:26" x14ac:dyDescent="0.25">
      <c r="D781" s="6" t="s">
        <v>72</v>
      </c>
      <c r="E781" s="6" t="s">
        <v>381</v>
      </c>
      <c r="F781" s="6" t="s">
        <v>145</v>
      </c>
      <c r="G781" s="6" t="s">
        <v>341</v>
      </c>
      <c r="H781" s="6" t="s">
        <v>383</v>
      </c>
      <c r="Q781" s="10" cm="1">
        <f t="array" ref="Q781:Z781">DIRECT_EFFECT("oil","Non-Road Oil","oil_share","oil_elasticity",DECILE_ARRAY,"Overall","median")</f>
        <v>0</v>
      </c>
      <c r="R781">
        <v>0</v>
      </c>
      <c r="S781">
        <v>0</v>
      </c>
      <c r="T781">
        <v>0</v>
      </c>
      <c r="U781">
        <v>0</v>
      </c>
      <c r="V781">
        <v>0</v>
      </c>
      <c r="W781">
        <v>0</v>
      </c>
      <c r="X781">
        <v>0</v>
      </c>
      <c r="Y781">
        <v>0</v>
      </c>
      <c r="Z781">
        <v>0</v>
      </c>
    </row>
    <row r="782" spans="3:26" x14ac:dyDescent="0.25">
      <c r="D782" s="6" t="s">
        <v>72</v>
      </c>
      <c r="E782" s="6" t="s">
        <v>384</v>
      </c>
      <c r="F782" s="6" t="s">
        <v>382</v>
      </c>
      <c r="G782" s="6" t="s">
        <v>341</v>
      </c>
      <c r="H782" s="6" t="s">
        <v>383</v>
      </c>
      <c r="P782" s="10" cm="1">
        <f t="array" ref="P782">DIRECT_EFFECT("oil","Non-Road Oil","oil_share","oil_elasticity",0,"Urban","median")</f>
        <v>0</v>
      </c>
    </row>
    <row r="783" spans="3:26" x14ac:dyDescent="0.25">
      <c r="D783" s="6" t="s">
        <v>72</v>
      </c>
      <c r="E783" s="6" t="s">
        <v>384</v>
      </c>
      <c r="F783" s="6" t="s">
        <v>145</v>
      </c>
      <c r="G783" s="6" t="s">
        <v>341</v>
      </c>
      <c r="H783" s="6" t="s">
        <v>383</v>
      </c>
      <c r="Q783" s="10" cm="1">
        <f t="array" ref="Q783:Z783">DIRECT_EFFECT("oil","Non-Road Oil","oil_share","oil_elasticity",DECILE_ARRAY,"Urban","median")</f>
        <v>0</v>
      </c>
      <c r="R783">
        <v>0</v>
      </c>
      <c r="S783">
        <v>0</v>
      </c>
      <c r="T783">
        <v>0</v>
      </c>
      <c r="U783">
        <v>0</v>
      </c>
      <c r="V783">
        <v>0</v>
      </c>
      <c r="W783">
        <v>0</v>
      </c>
      <c r="X783">
        <v>0</v>
      </c>
      <c r="Y783">
        <v>0</v>
      </c>
      <c r="Z783">
        <v>0</v>
      </c>
    </row>
    <row r="784" spans="3:26" x14ac:dyDescent="0.25">
      <c r="D784" s="6" t="s">
        <v>72</v>
      </c>
      <c r="E784" s="6" t="s">
        <v>385</v>
      </c>
      <c r="F784" s="6" t="s">
        <v>382</v>
      </c>
      <c r="G784" s="6" t="s">
        <v>341</v>
      </c>
      <c r="H784" s="6" t="s">
        <v>383</v>
      </c>
      <c r="P784" s="10" cm="1">
        <f t="array" ref="P784">DIRECT_EFFECT("oil","Non-Road Oil","oil_share","oil_elasticity",0,"Rural","median")</f>
        <v>0</v>
      </c>
    </row>
    <row r="785" spans="3:26" x14ac:dyDescent="0.25">
      <c r="D785" s="6" t="s">
        <v>72</v>
      </c>
      <c r="E785" s="6" t="s">
        <v>385</v>
      </c>
      <c r="F785" s="6" t="s">
        <v>145</v>
      </c>
      <c r="G785" s="6" t="s">
        <v>341</v>
      </c>
      <c r="H785" s="6" t="s">
        <v>383</v>
      </c>
      <c r="Q785" s="10" cm="1">
        <f t="array" ref="Q785:Z785">DIRECT_EFFECT("oil","Non-Road Oil","oil_share","oil_elasticity",DECILE_ARRAY,"Rural","median")</f>
        <v>0</v>
      </c>
      <c r="R785">
        <v>0</v>
      </c>
      <c r="S785">
        <v>0</v>
      </c>
      <c r="T785">
        <v>0</v>
      </c>
      <c r="U785">
        <v>0</v>
      </c>
      <c r="V785">
        <v>0</v>
      </c>
      <c r="W785">
        <v>0</v>
      </c>
      <c r="X785">
        <v>0</v>
      </c>
      <c r="Y785">
        <v>0</v>
      </c>
      <c r="Z785">
        <v>0</v>
      </c>
    </row>
    <row r="786" spans="3:26" x14ac:dyDescent="0.25">
      <c r="D786" s="6" t="s">
        <v>75</v>
      </c>
      <c r="E786" s="6" t="s">
        <v>381</v>
      </c>
      <c r="F786" s="6" t="s">
        <v>382</v>
      </c>
      <c r="G786" s="6" t="s">
        <v>341</v>
      </c>
      <c r="H786" s="6" t="s">
        <v>383</v>
      </c>
      <c r="P786" s="10" cm="1">
        <f t="array" ref="P786">DIRECT_EFFECT("oil","Non-Road Oil","oil_share","oil_elasticity",0,"Overall","p25")</f>
        <v>0</v>
      </c>
    </row>
    <row r="787" spans="3:26" x14ac:dyDescent="0.25">
      <c r="D787" s="6" t="s">
        <v>75</v>
      </c>
      <c r="E787" s="6" t="s">
        <v>381</v>
      </c>
      <c r="F787" s="6" t="s">
        <v>145</v>
      </c>
      <c r="G787" s="6" t="s">
        <v>341</v>
      </c>
      <c r="H787" s="6" t="s">
        <v>383</v>
      </c>
      <c r="Q787" s="10" cm="1">
        <f t="array" ref="Q787:Z787">DIRECT_EFFECT("oil","Non-Road Oil","oil_share","oil_elasticity",DECILE_ARRAY,"Overall","p25")</f>
        <v>0</v>
      </c>
      <c r="R787">
        <v>0</v>
      </c>
      <c r="S787">
        <v>0</v>
      </c>
      <c r="T787">
        <v>0</v>
      </c>
      <c r="U787">
        <v>0</v>
      </c>
      <c r="V787">
        <v>0</v>
      </c>
      <c r="W787">
        <v>0</v>
      </c>
      <c r="X787">
        <v>0</v>
      </c>
      <c r="Y787">
        <v>0</v>
      </c>
      <c r="Z787">
        <v>0</v>
      </c>
    </row>
    <row r="788" spans="3:26" x14ac:dyDescent="0.25">
      <c r="D788" s="6" t="s">
        <v>75</v>
      </c>
      <c r="E788" s="6" t="s">
        <v>384</v>
      </c>
      <c r="F788" s="6" t="s">
        <v>382</v>
      </c>
      <c r="G788" s="6" t="s">
        <v>341</v>
      </c>
      <c r="H788" s="6" t="s">
        <v>383</v>
      </c>
      <c r="P788" s="10" cm="1">
        <f t="array" ref="P788">DIRECT_EFFECT("oil","Non-Road Oil","oil_share","oil_elasticity",0,"Urban","p25")</f>
        <v>0</v>
      </c>
    </row>
    <row r="789" spans="3:26" x14ac:dyDescent="0.25">
      <c r="D789" s="6" t="s">
        <v>75</v>
      </c>
      <c r="E789" s="6" t="s">
        <v>384</v>
      </c>
      <c r="F789" s="6" t="s">
        <v>145</v>
      </c>
      <c r="G789" s="6" t="s">
        <v>341</v>
      </c>
      <c r="H789" s="6" t="s">
        <v>383</v>
      </c>
      <c r="Q789" s="10" cm="1">
        <f t="array" ref="Q789:Z789">DIRECT_EFFECT("oil","Non-Road Oil","oil_share","oil_elasticity",DECILE_ARRAY,"Urban","p25")</f>
        <v>0</v>
      </c>
      <c r="R789">
        <v>0</v>
      </c>
      <c r="S789">
        <v>0</v>
      </c>
      <c r="T789">
        <v>0</v>
      </c>
      <c r="U789">
        <v>0</v>
      </c>
      <c r="V789">
        <v>0</v>
      </c>
      <c r="W789">
        <v>0</v>
      </c>
      <c r="X789">
        <v>0</v>
      </c>
      <c r="Y789">
        <v>0</v>
      </c>
      <c r="Z789">
        <v>0</v>
      </c>
    </row>
    <row r="790" spans="3:26" x14ac:dyDescent="0.25">
      <c r="D790" s="6" t="s">
        <v>75</v>
      </c>
      <c r="E790" s="6" t="s">
        <v>385</v>
      </c>
      <c r="F790" s="6" t="s">
        <v>382</v>
      </c>
      <c r="G790" s="6" t="s">
        <v>341</v>
      </c>
      <c r="H790" s="6" t="s">
        <v>383</v>
      </c>
      <c r="P790" s="10" cm="1">
        <f t="array" ref="P790">DIRECT_EFFECT("oil","Non-Road Oil","oil_share","oil_elasticity",0,"Rural","p25")</f>
        <v>0</v>
      </c>
    </row>
    <row r="791" spans="3:26" x14ac:dyDescent="0.25">
      <c r="D791" s="6" t="s">
        <v>75</v>
      </c>
      <c r="E791" s="6" t="s">
        <v>385</v>
      </c>
      <c r="F791" s="6" t="s">
        <v>145</v>
      </c>
      <c r="G791" s="6" t="s">
        <v>341</v>
      </c>
      <c r="H791" s="6" t="s">
        <v>383</v>
      </c>
      <c r="Q791" s="10" cm="1">
        <f t="array" ref="Q791:Z791">DIRECT_EFFECT("oil","Non-Road Oil","oil_share","oil_elasticity",DECILE_ARRAY,"Rural","p25")</f>
        <v>0</v>
      </c>
      <c r="R791">
        <v>0</v>
      </c>
      <c r="S791">
        <v>0</v>
      </c>
      <c r="T791">
        <v>0</v>
      </c>
      <c r="U791">
        <v>0</v>
      </c>
      <c r="V791">
        <v>0</v>
      </c>
      <c r="W791">
        <v>0</v>
      </c>
      <c r="X791">
        <v>0</v>
      </c>
      <c r="Y791">
        <v>0</v>
      </c>
      <c r="Z791">
        <v>0</v>
      </c>
    </row>
    <row r="792" spans="3:26" x14ac:dyDescent="0.25">
      <c r="D792" s="6" t="s">
        <v>78</v>
      </c>
      <c r="E792" s="6" t="s">
        <v>381</v>
      </c>
      <c r="F792" s="6" t="s">
        <v>382</v>
      </c>
      <c r="G792" s="6" t="s">
        <v>341</v>
      </c>
      <c r="H792" s="6" t="s">
        <v>383</v>
      </c>
      <c r="P792" s="10" cm="1">
        <f t="array" ref="P792">DIRECT_EFFECT("oil","Non-Road Oil","oil_share","oil_elasticity",0,"Overall","p75")</f>
        <v>0</v>
      </c>
    </row>
    <row r="793" spans="3:26" x14ac:dyDescent="0.25">
      <c r="D793" s="6" t="s">
        <v>78</v>
      </c>
      <c r="E793" s="6" t="s">
        <v>381</v>
      </c>
      <c r="F793" s="6" t="s">
        <v>145</v>
      </c>
      <c r="G793" s="6" t="s">
        <v>341</v>
      </c>
      <c r="H793" s="6" t="s">
        <v>383</v>
      </c>
      <c r="Q793" s="10" cm="1">
        <f t="array" ref="Q793:Z793">DIRECT_EFFECT("oil","Non-Road Oil","oil_share","oil_elasticity",DECILE_ARRAY,"Overall","p75")</f>
        <v>0</v>
      </c>
      <c r="R793">
        <v>0</v>
      </c>
      <c r="S793">
        <v>0</v>
      </c>
      <c r="T793">
        <v>0</v>
      </c>
      <c r="U793">
        <v>0</v>
      </c>
      <c r="V793">
        <v>0</v>
      </c>
      <c r="W793">
        <v>0</v>
      </c>
      <c r="X793">
        <v>0</v>
      </c>
      <c r="Y793">
        <v>0</v>
      </c>
      <c r="Z793">
        <v>0</v>
      </c>
    </row>
    <row r="794" spans="3:26" x14ac:dyDescent="0.25">
      <c r="D794" s="6" t="s">
        <v>78</v>
      </c>
      <c r="E794" s="6" t="s">
        <v>384</v>
      </c>
      <c r="F794" s="6" t="s">
        <v>382</v>
      </c>
      <c r="G794" s="6" t="s">
        <v>341</v>
      </c>
      <c r="H794" s="6" t="s">
        <v>383</v>
      </c>
      <c r="P794" s="10" cm="1">
        <f t="array" ref="P794">DIRECT_EFFECT("oil","Non-Road Oil","oil_share","oil_elasticity",0,"Urban","p75")</f>
        <v>0</v>
      </c>
    </row>
    <row r="795" spans="3:26" x14ac:dyDescent="0.25">
      <c r="D795" s="6" t="s">
        <v>78</v>
      </c>
      <c r="E795" s="6" t="s">
        <v>384</v>
      </c>
      <c r="F795" s="6" t="s">
        <v>145</v>
      </c>
      <c r="G795" s="6" t="s">
        <v>341</v>
      </c>
      <c r="H795" s="6" t="s">
        <v>383</v>
      </c>
      <c r="Q795" s="10" cm="1">
        <f t="array" ref="Q795:Z795">DIRECT_EFFECT("oil","Non-Road Oil","oil_share","oil_elasticity",DECILE_ARRAY,"Urban","p75")</f>
        <v>0</v>
      </c>
      <c r="R795">
        <v>0</v>
      </c>
      <c r="S795">
        <v>0</v>
      </c>
      <c r="T795">
        <v>0</v>
      </c>
      <c r="U795">
        <v>0</v>
      </c>
      <c r="V795">
        <v>0</v>
      </c>
      <c r="W795">
        <v>0</v>
      </c>
      <c r="X795">
        <v>0</v>
      </c>
      <c r="Y795">
        <v>0</v>
      </c>
      <c r="Z795">
        <v>0</v>
      </c>
    </row>
    <row r="796" spans="3:26" x14ac:dyDescent="0.25">
      <c r="D796" s="6" t="s">
        <v>78</v>
      </c>
      <c r="E796" s="6" t="s">
        <v>385</v>
      </c>
      <c r="F796" s="6" t="s">
        <v>382</v>
      </c>
      <c r="G796" s="6" t="s">
        <v>341</v>
      </c>
      <c r="H796" s="6" t="s">
        <v>383</v>
      </c>
      <c r="P796" s="10" cm="1">
        <f t="array" ref="P796">DIRECT_EFFECT("oil","Non-Road Oil","oil_share","oil_elasticity",0,"Rural","p75")</f>
        <v>0</v>
      </c>
    </row>
    <row r="797" spans="3:26" x14ac:dyDescent="0.25">
      <c r="D797" s="6" t="s">
        <v>78</v>
      </c>
      <c r="E797" s="6" t="s">
        <v>385</v>
      </c>
      <c r="F797" s="6" t="s">
        <v>145</v>
      </c>
      <c r="G797" s="6" t="s">
        <v>341</v>
      </c>
      <c r="H797" s="6" t="s">
        <v>383</v>
      </c>
      <c r="Q797" s="10" cm="1">
        <f t="array" ref="Q797:Z797">DIRECT_EFFECT("oil","Non-Road Oil","oil_share","oil_elasticity",DECILE_ARRAY,"Rural","p75")</f>
        <v>0</v>
      </c>
      <c r="R797">
        <v>0</v>
      </c>
      <c r="S797">
        <v>0</v>
      </c>
      <c r="T797">
        <v>0</v>
      </c>
      <c r="U797">
        <v>0</v>
      </c>
      <c r="V797">
        <v>0</v>
      </c>
      <c r="W797">
        <v>0</v>
      </c>
      <c r="X797">
        <v>0</v>
      </c>
      <c r="Y797">
        <v>0</v>
      </c>
      <c r="Z797">
        <v>0</v>
      </c>
    </row>
    <row r="799" spans="3:26" x14ac:dyDescent="0.25">
      <c r="C799" s="7" t="s">
        <v>421</v>
      </c>
      <c r="G799" s="6" t="s">
        <v>343</v>
      </c>
      <c r="O799" s="2" t="s">
        <v>331</v>
      </c>
      <c r="Q799" s="2">
        <v>1</v>
      </c>
      <c r="R799" s="2">
        <v>2</v>
      </c>
      <c r="S799" s="2">
        <v>3</v>
      </c>
      <c r="T799" s="2">
        <v>4</v>
      </c>
      <c r="U799" s="2">
        <v>5</v>
      </c>
      <c r="V799" s="2">
        <v>6</v>
      </c>
      <c r="W799" s="2">
        <v>7</v>
      </c>
      <c r="X799" s="2">
        <v>8</v>
      </c>
      <c r="Y799" s="2">
        <v>9</v>
      </c>
      <c r="Z799" s="2">
        <v>10</v>
      </c>
    </row>
    <row r="800" spans="3:26" x14ac:dyDescent="0.25">
      <c r="D800" s="6" t="s">
        <v>69</v>
      </c>
      <c r="E800" s="6" t="s">
        <v>381</v>
      </c>
      <c r="F800" s="6" t="s">
        <v>382</v>
      </c>
      <c r="G800" s="6" t="s">
        <v>343</v>
      </c>
      <c r="H800" s="6" t="s">
        <v>383</v>
      </c>
      <c r="P800" s="10" cm="1">
        <f t="array" ref="P800">DIRECT_EFFECT("gso","Gasoline","gso_share","gso_elasticity",0,"Overall","mean")</f>
        <v>8.6599125039034414E-2</v>
      </c>
    </row>
    <row r="801" spans="4:26" x14ac:dyDescent="0.25">
      <c r="D801" s="6" t="s">
        <v>69</v>
      </c>
      <c r="E801" s="6" t="s">
        <v>381</v>
      </c>
      <c r="F801" s="6" t="s">
        <v>145</v>
      </c>
      <c r="G801" s="6" t="s">
        <v>343</v>
      </c>
      <c r="H801" s="6" t="s">
        <v>383</v>
      </c>
      <c r="Q801" s="10" cm="1">
        <f t="array" ref="Q801:Z801">DIRECT_EFFECT("gso","Gasoline","gso_share","gso_elasticity",DECILE_ARRAY,"Overall","mean")</f>
        <v>4.8788055300403713E-2</v>
      </c>
      <c r="R801">
        <v>5.8192299238442768E-2</v>
      </c>
      <c r="S801">
        <v>6.9811628443215396E-2</v>
      </c>
      <c r="T801">
        <v>7.0599815596633114E-2</v>
      </c>
      <c r="U801">
        <v>8.3643990781284511E-2</v>
      </c>
      <c r="V801">
        <v>8.9118199881785889E-2</v>
      </c>
      <c r="W801">
        <v>0.10039320949601442</v>
      </c>
      <c r="X801">
        <v>0.109272781473694</v>
      </c>
      <c r="Y801">
        <v>9.9577626119873044E-2</v>
      </c>
      <c r="Z801">
        <v>0.12827772340353125</v>
      </c>
    </row>
    <row r="802" spans="4:26" x14ac:dyDescent="0.25">
      <c r="D802" s="6" t="s">
        <v>69</v>
      </c>
      <c r="E802" s="6" t="s">
        <v>384</v>
      </c>
      <c r="F802" s="6" t="s">
        <v>382</v>
      </c>
      <c r="G802" s="6" t="s">
        <v>343</v>
      </c>
      <c r="H802" s="6" t="s">
        <v>383</v>
      </c>
      <c r="P802" s="10" cm="1">
        <f t="array" ref="P802">DIRECT_EFFECT("gso","Gasoline","gso_share","gso_elasticity",0,"Urban","mean")</f>
        <v>9.7298840096958522E-2</v>
      </c>
    </row>
    <row r="803" spans="4:26" x14ac:dyDescent="0.25">
      <c r="D803" s="6" t="s">
        <v>69</v>
      </c>
      <c r="E803" s="6" t="s">
        <v>384</v>
      </c>
      <c r="F803" s="6" t="s">
        <v>145</v>
      </c>
      <c r="G803" s="6" t="s">
        <v>343</v>
      </c>
      <c r="H803" s="6" t="s">
        <v>383</v>
      </c>
      <c r="Q803" s="10" cm="1">
        <f t="array" ref="Q803:Z803">DIRECT_EFFECT("gso","Gasoline","gso_share","gso_elasticity",DECILE_ARRAY,"Urban","mean")</f>
        <v>4.2927920814263665E-2</v>
      </c>
      <c r="R803">
        <v>6.2558228025507284E-2</v>
      </c>
      <c r="S803">
        <v>7.021488836597678E-2</v>
      </c>
      <c r="T803">
        <v>8.5213723940062686E-2</v>
      </c>
      <c r="U803">
        <v>8.6512736857089934E-2</v>
      </c>
      <c r="V803">
        <v>9.8876942451730052E-2</v>
      </c>
      <c r="W803">
        <v>0.12124939048574725</v>
      </c>
      <c r="X803">
        <v>0.10584000717259981</v>
      </c>
      <c r="Y803">
        <v>0.14275580012054673</v>
      </c>
      <c r="Z803">
        <v>0.15529758447980208</v>
      </c>
    </row>
    <row r="804" spans="4:26" x14ac:dyDescent="0.25">
      <c r="D804" s="6" t="s">
        <v>69</v>
      </c>
      <c r="E804" s="6" t="s">
        <v>385</v>
      </c>
      <c r="F804" s="6" t="s">
        <v>382</v>
      </c>
      <c r="G804" s="6" t="s">
        <v>343</v>
      </c>
      <c r="H804" s="6" t="s">
        <v>383</v>
      </c>
      <c r="P804" s="10" cm="1">
        <f t="array" ref="P804">DIRECT_EFFECT("gso","Gasoline","gso_share","gso_elasticity",0,"Rural","mean")</f>
        <v>7.3586218937379405E-2</v>
      </c>
    </row>
    <row r="805" spans="4:26" x14ac:dyDescent="0.25">
      <c r="D805" s="6" t="s">
        <v>69</v>
      </c>
      <c r="E805" s="6" t="s">
        <v>385</v>
      </c>
      <c r="F805" s="6" t="s">
        <v>145</v>
      </c>
      <c r="G805" s="6" t="s">
        <v>343</v>
      </c>
      <c r="H805" s="6" t="s">
        <v>383</v>
      </c>
      <c r="Q805" s="10" cm="1">
        <f t="array" ref="Q805:Z805">DIRECT_EFFECT("gso","Gasoline","gso_share","gso_elasticity",DECILE_ARRAY,"Rural","mean")</f>
        <v>4.8032113886518985E-2</v>
      </c>
      <c r="R805">
        <v>5.7625727279825692E-2</v>
      </c>
      <c r="S805">
        <v>7.0078437785690478E-2</v>
      </c>
      <c r="T805">
        <v>8.4938724293788556E-2</v>
      </c>
      <c r="U805">
        <v>7.1207965221780536E-2</v>
      </c>
      <c r="V805">
        <v>8.1696305126992053E-2</v>
      </c>
      <c r="W805">
        <v>9.1010978554362298E-2</v>
      </c>
      <c r="X805">
        <v>0.1066728688441798</v>
      </c>
      <c r="Y805">
        <v>9.3388348478791225E-2</v>
      </c>
      <c r="Z805">
        <v>8.4714045400875182E-2</v>
      </c>
    </row>
    <row r="806" spans="4:26" x14ac:dyDescent="0.25">
      <c r="D806" s="6" t="s">
        <v>72</v>
      </c>
      <c r="E806" s="6" t="s">
        <v>381</v>
      </c>
      <c r="F806" s="6" t="s">
        <v>382</v>
      </c>
      <c r="G806" s="6" t="s">
        <v>343</v>
      </c>
      <c r="H806" s="6" t="s">
        <v>383</v>
      </c>
      <c r="P806" s="10" cm="1">
        <f t="array" ref="P806">DIRECT_EFFECT("gso","Gasoline","gso_share","gso_elasticity",0,"Overall","median")</f>
        <v>0</v>
      </c>
    </row>
    <row r="807" spans="4:26" x14ac:dyDescent="0.25">
      <c r="D807" s="6" t="s">
        <v>72</v>
      </c>
      <c r="E807" s="6" t="s">
        <v>381</v>
      </c>
      <c r="F807" s="6" t="s">
        <v>145</v>
      </c>
      <c r="G807" s="6" t="s">
        <v>343</v>
      </c>
      <c r="H807" s="6" t="s">
        <v>383</v>
      </c>
      <c r="Q807" s="10" cm="1">
        <f t="array" ref="Q807:Z807">DIRECT_EFFECT("gso","Gasoline","gso_share","gso_elasticity",DECILE_ARRAY,"Overall","median")</f>
        <v>0</v>
      </c>
      <c r="R807">
        <v>0</v>
      </c>
      <c r="S807">
        <v>0</v>
      </c>
      <c r="T807">
        <v>0</v>
      </c>
      <c r="U807">
        <v>0</v>
      </c>
      <c r="V807">
        <v>0</v>
      </c>
      <c r="W807">
        <v>0</v>
      </c>
      <c r="X807">
        <v>0</v>
      </c>
      <c r="Y807">
        <v>0</v>
      </c>
      <c r="Z807">
        <v>0</v>
      </c>
    </row>
    <row r="808" spans="4:26" x14ac:dyDescent="0.25">
      <c r="D808" s="6" t="s">
        <v>72</v>
      </c>
      <c r="E808" s="6" t="s">
        <v>384</v>
      </c>
      <c r="F808" s="6" t="s">
        <v>382</v>
      </c>
      <c r="G808" s="6" t="s">
        <v>343</v>
      </c>
      <c r="H808" s="6" t="s">
        <v>383</v>
      </c>
      <c r="P808" s="10" cm="1">
        <f t="array" ref="P808">DIRECT_EFFECT("gso","Gasoline","gso_share","gso_elasticity",0,"Urban","median")</f>
        <v>0</v>
      </c>
    </row>
    <row r="809" spans="4:26" x14ac:dyDescent="0.25">
      <c r="D809" s="6" t="s">
        <v>72</v>
      </c>
      <c r="E809" s="6" t="s">
        <v>384</v>
      </c>
      <c r="F809" s="6" t="s">
        <v>145</v>
      </c>
      <c r="G809" s="6" t="s">
        <v>343</v>
      </c>
      <c r="H809" s="6" t="s">
        <v>383</v>
      </c>
      <c r="Q809" s="10" cm="1">
        <f t="array" ref="Q809:Z809">DIRECT_EFFECT("gso","Gasoline","gso_share","gso_elasticity",DECILE_ARRAY,"Urban","median")</f>
        <v>0</v>
      </c>
      <c r="R809">
        <v>0</v>
      </c>
      <c r="S809">
        <v>0</v>
      </c>
      <c r="T809">
        <v>0</v>
      </c>
      <c r="U809">
        <v>0</v>
      </c>
      <c r="V809">
        <v>0</v>
      </c>
      <c r="W809">
        <v>0</v>
      </c>
      <c r="X809">
        <v>0</v>
      </c>
      <c r="Y809">
        <v>0</v>
      </c>
      <c r="Z809">
        <v>0</v>
      </c>
    </row>
    <row r="810" spans="4:26" x14ac:dyDescent="0.25">
      <c r="D810" s="6" t="s">
        <v>72</v>
      </c>
      <c r="E810" s="6" t="s">
        <v>385</v>
      </c>
      <c r="F810" s="6" t="s">
        <v>382</v>
      </c>
      <c r="G810" s="6" t="s">
        <v>343</v>
      </c>
      <c r="H810" s="6" t="s">
        <v>383</v>
      </c>
      <c r="P810" s="10" cm="1">
        <f t="array" ref="P810">DIRECT_EFFECT("gso","Gasoline","gso_share","gso_elasticity",0,"Rural","median")</f>
        <v>0</v>
      </c>
    </row>
    <row r="811" spans="4:26" x14ac:dyDescent="0.25">
      <c r="D811" s="6" t="s">
        <v>72</v>
      </c>
      <c r="E811" s="6" t="s">
        <v>385</v>
      </c>
      <c r="F811" s="6" t="s">
        <v>145</v>
      </c>
      <c r="G811" s="6" t="s">
        <v>343</v>
      </c>
      <c r="H811" s="6" t="s">
        <v>383</v>
      </c>
      <c r="Q811" s="10" cm="1">
        <f t="array" ref="Q811:Z811">DIRECT_EFFECT("gso","Gasoline","gso_share","gso_elasticity",DECILE_ARRAY,"Rural","median")</f>
        <v>0</v>
      </c>
      <c r="R811">
        <v>0</v>
      </c>
      <c r="S811">
        <v>0</v>
      </c>
      <c r="T811">
        <v>0</v>
      </c>
      <c r="U811">
        <v>0</v>
      </c>
      <c r="V811">
        <v>0</v>
      </c>
      <c r="W811">
        <v>0</v>
      </c>
      <c r="X811">
        <v>0</v>
      </c>
      <c r="Y811">
        <v>0</v>
      </c>
      <c r="Z811">
        <v>0</v>
      </c>
    </row>
    <row r="812" spans="4:26" x14ac:dyDescent="0.25">
      <c r="D812" s="6" t="s">
        <v>75</v>
      </c>
      <c r="E812" s="6" t="s">
        <v>381</v>
      </c>
      <c r="F812" s="6" t="s">
        <v>382</v>
      </c>
      <c r="G812" s="6" t="s">
        <v>343</v>
      </c>
      <c r="H812" s="6" t="s">
        <v>383</v>
      </c>
      <c r="P812" s="10" cm="1">
        <f t="array" ref="P812">DIRECT_EFFECT("gso","Gasoline","gso_share","gso_elasticity",0,"Overall","p25")</f>
        <v>0</v>
      </c>
    </row>
    <row r="813" spans="4:26" x14ac:dyDescent="0.25">
      <c r="D813" s="6" t="s">
        <v>75</v>
      </c>
      <c r="E813" s="6" t="s">
        <v>381</v>
      </c>
      <c r="F813" s="6" t="s">
        <v>145</v>
      </c>
      <c r="G813" s="6" t="s">
        <v>343</v>
      </c>
      <c r="H813" s="6" t="s">
        <v>383</v>
      </c>
      <c r="Q813" s="10" cm="1">
        <f t="array" ref="Q813:Z813">DIRECT_EFFECT("gso","Gasoline","gso_share","gso_elasticity",DECILE_ARRAY,"Overall","p25")</f>
        <v>0</v>
      </c>
      <c r="R813">
        <v>0</v>
      </c>
      <c r="S813">
        <v>0</v>
      </c>
      <c r="T813">
        <v>0</v>
      </c>
      <c r="U813">
        <v>0</v>
      </c>
      <c r="V813">
        <v>0</v>
      </c>
      <c r="W813">
        <v>0</v>
      </c>
      <c r="X813">
        <v>0</v>
      </c>
      <c r="Y813">
        <v>0</v>
      </c>
      <c r="Z813">
        <v>0</v>
      </c>
    </row>
    <row r="814" spans="4:26" x14ac:dyDescent="0.25">
      <c r="D814" s="6" t="s">
        <v>75</v>
      </c>
      <c r="E814" s="6" t="s">
        <v>384</v>
      </c>
      <c r="F814" s="6" t="s">
        <v>382</v>
      </c>
      <c r="G814" s="6" t="s">
        <v>343</v>
      </c>
      <c r="H814" s="6" t="s">
        <v>383</v>
      </c>
      <c r="P814" s="10" cm="1">
        <f t="array" ref="P814">DIRECT_EFFECT("gso","Gasoline","gso_share","gso_elasticity",0,"Urban","p25")</f>
        <v>0</v>
      </c>
    </row>
    <row r="815" spans="4:26" x14ac:dyDescent="0.25">
      <c r="D815" s="6" t="s">
        <v>75</v>
      </c>
      <c r="E815" s="6" t="s">
        <v>384</v>
      </c>
      <c r="F815" s="6" t="s">
        <v>145</v>
      </c>
      <c r="G815" s="6" t="s">
        <v>343</v>
      </c>
      <c r="H815" s="6" t="s">
        <v>383</v>
      </c>
      <c r="Q815" s="10" cm="1">
        <f t="array" ref="Q815:Z815">DIRECT_EFFECT("gso","Gasoline","gso_share","gso_elasticity",DECILE_ARRAY,"Urban","p25")</f>
        <v>0</v>
      </c>
      <c r="R815">
        <v>0</v>
      </c>
      <c r="S815">
        <v>0</v>
      </c>
      <c r="T815">
        <v>0</v>
      </c>
      <c r="U815">
        <v>0</v>
      </c>
      <c r="V815">
        <v>0</v>
      </c>
      <c r="W815">
        <v>0</v>
      </c>
      <c r="X815">
        <v>0</v>
      </c>
      <c r="Y815">
        <v>0</v>
      </c>
      <c r="Z815">
        <v>0</v>
      </c>
    </row>
    <row r="816" spans="4:26" x14ac:dyDescent="0.25">
      <c r="D816" s="6" t="s">
        <v>75</v>
      </c>
      <c r="E816" s="6" t="s">
        <v>385</v>
      </c>
      <c r="F816" s="6" t="s">
        <v>382</v>
      </c>
      <c r="G816" s="6" t="s">
        <v>343</v>
      </c>
      <c r="H816" s="6" t="s">
        <v>383</v>
      </c>
      <c r="P816" s="10" cm="1">
        <f t="array" ref="P816">DIRECT_EFFECT("gso","Gasoline","gso_share","gso_elasticity",0,"Rural","p25")</f>
        <v>0</v>
      </c>
    </row>
    <row r="817" spans="3:26" x14ac:dyDescent="0.25">
      <c r="D817" s="6" t="s">
        <v>75</v>
      </c>
      <c r="E817" s="6" t="s">
        <v>385</v>
      </c>
      <c r="F817" s="6" t="s">
        <v>145</v>
      </c>
      <c r="G817" s="6" t="s">
        <v>343</v>
      </c>
      <c r="H817" s="6" t="s">
        <v>383</v>
      </c>
      <c r="Q817" s="10" cm="1">
        <f t="array" ref="Q817:Z817">DIRECT_EFFECT("gso","Gasoline","gso_share","gso_elasticity",DECILE_ARRAY,"Rural","p25")</f>
        <v>0</v>
      </c>
      <c r="R817">
        <v>0</v>
      </c>
      <c r="S817">
        <v>0</v>
      </c>
      <c r="T817">
        <v>0</v>
      </c>
      <c r="U817">
        <v>0</v>
      </c>
      <c r="V817">
        <v>0</v>
      </c>
      <c r="W817">
        <v>0</v>
      </c>
      <c r="X817">
        <v>0</v>
      </c>
      <c r="Y817">
        <v>0</v>
      </c>
      <c r="Z817">
        <v>0</v>
      </c>
    </row>
    <row r="818" spans="3:26" x14ac:dyDescent="0.25">
      <c r="D818" s="6" t="s">
        <v>78</v>
      </c>
      <c r="E818" s="6" t="s">
        <v>381</v>
      </c>
      <c r="F818" s="6" t="s">
        <v>382</v>
      </c>
      <c r="G818" s="6" t="s">
        <v>343</v>
      </c>
      <c r="H818" s="6" t="s">
        <v>383</v>
      </c>
      <c r="P818" s="10" cm="1">
        <f t="array" ref="P818">DIRECT_EFFECT("gso","Gasoline","gso_share","gso_elasticity",0,"Overall","p75")</f>
        <v>0</v>
      </c>
    </row>
    <row r="819" spans="3:26" x14ac:dyDescent="0.25">
      <c r="D819" s="6" t="s">
        <v>78</v>
      </c>
      <c r="E819" s="6" t="s">
        <v>381</v>
      </c>
      <c r="F819" s="6" t="s">
        <v>145</v>
      </c>
      <c r="G819" s="6" t="s">
        <v>343</v>
      </c>
      <c r="H819" s="6" t="s">
        <v>383</v>
      </c>
      <c r="Q819" s="10" cm="1">
        <f t="array" ref="Q819:Z819">DIRECT_EFFECT("gso","Gasoline","gso_share","gso_elasticity",DECILE_ARRAY,"Overall","p75")</f>
        <v>0</v>
      </c>
      <c r="R819">
        <v>0</v>
      </c>
      <c r="S819">
        <v>0</v>
      </c>
      <c r="T819">
        <v>0</v>
      </c>
      <c r="U819">
        <v>0</v>
      </c>
      <c r="V819">
        <v>0</v>
      </c>
      <c r="W819">
        <v>0</v>
      </c>
      <c r="X819">
        <v>0</v>
      </c>
      <c r="Y819">
        <v>0</v>
      </c>
      <c r="Z819">
        <v>0</v>
      </c>
    </row>
    <row r="820" spans="3:26" x14ac:dyDescent="0.25">
      <c r="D820" s="6" t="s">
        <v>78</v>
      </c>
      <c r="E820" s="6" t="s">
        <v>384</v>
      </c>
      <c r="F820" s="6" t="s">
        <v>382</v>
      </c>
      <c r="G820" s="6" t="s">
        <v>343</v>
      </c>
      <c r="H820" s="6" t="s">
        <v>383</v>
      </c>
      <c r="P820" s="10" cm="1">
        <f t="array" ref="P820">DIRECT_EFFECT("gso","Gasoline","gso_share","gso_elasticity",0,"Urban","p75")</f>
        <v>0</v>
      </c>
    </row>
    <row r="821" spans="3:26" x14ac:dyDescent="0.25">
      <c r="D821" s="6" t="s">
        <v>78</v>
      </c>
      <c r="E821" s="6" t="s">
        <v>384</v>
      </c>
      <c r="F821" s="6" t="s">
        <v>145</v>
      </c>
      <c r="G821" s="6" t="s">
        <v>343</v>
      </c>
      <c r="H821" s="6" t="s">
        <v>383</v>
      </c>
      <c r="Q821" s="10" cm="1">
        <f t="array" ref="Q821:Z821">DIRECT_EFFECT("gso","Gasoline","gso_share","gso_elasticity",DECILE_ARRAY,"Urban","p75")</f>
        <v>0</v>
      </c>
      <c r="R821">
        <v>0</v>
      </c>
      <c r="S821">
        <v>0</v>
      </c>
      <c r="T821">
        <v>0</v>
      </c>
      <c r="U821">
        <v>0</v>
      </c>
      <c r="V821">
        <v>0</v>
      </c>
      <c r="W821">
        <v>0</v>
      </c>
      <c r="X821">
        <v>0</v>
      </c>
      <c r="Y821">
        <v>0</v>
      </c>
      <c r="Z821">
        <v>0</v>
      </c>
    </row>
    <row r="822" spans="3:26" x14ac:dyDescent="0.25">
      <c r="D822" s="6" t="s">
        <v>78</v>
      </c>
      <c r="E822" s="6" t="s">
        <v>385</v>
      </c>
      <c r="F822" s="6" t="s">
        <v>382</v>
      </c>
      <c r="G822" s="6" t="s">
        <v>343</v>
      </c>
      <c r="H822" s="6" t="s">
        <v>383</v>
      </c>
      <c r="P822" s="10" cm="1">
        <f t="array" ref="P822">DIRECT_EFFECT("gso","Gasoline","gso_share","gso_elasticity",0,"Rural","p75")</f>
        <v>0</v>
      </c>
    </row>
    <row r="823" spans="3:26" x14ac:dyDescent="0.25">
      <c r="D823" s="6" t="s">
        <v>78</v>
      </c>
      <c r="E823" s="6" t="s">
        <v>385</v>
      </c>
      <c r="F823" s="6" t="s">
        <v>145</v>
      </c>
      <c r="G823" s="6" t="s">
        <v>343</v>
      </c>
      <c r="H823" s="6" t="s">
        <v>383</v>
      </c>
      <c r="Q823" s="10" cm="1">
        <f t="array" ref="Q823:Z823">DIRECT_EFFECT("gso","Gasoline","gso_share","gso_elasticity",DECILE_ARRAY,"Rural","p75")</f>
        <v>0</v>
      </c>
      <c r="R823">
        <v>0</v>
      </c>
      <c r="S823">
        <v>0</v>
      </c>
      <c r="T823">
        <v>0</v>
      </c>
      <c r="U823">
        <v>0</v>
      </c>
      <c r="V823">
        <v>0</v>
      </c>
      <c r="W823">
        <v>0</v>
      </c>
      <c r="X823">
        <v>0</v>
      </c>
      <c r="Y823">
        <v>0</v>
      </c>
      <c r="Z823">
        <v>0</v>
      </c>
    </row>
    <row r="825" spans="3:26" x14ac:dyDescent="0.25">
      <c r="C825" s="7" t="s">
        <v>422</v>
      </c>
      <c r="G825" s="6" t="s">
        <v>345</v>
      </c>
      <c r="O825" s="2" t="s">
        <v>331</v>
      </c>
      <c r="Q825" s="2">
        <v>1</v>
      </c>
      <c r="R825" s="2">
        <v>2</v>
      </c>
      <c r="S825" s="2">
        <v>3</v>
      </c>
      <c r="T825" s="2">
        <v>4</v>
      </c>
      <c r="U825" s="2">
        <v>5</v>
      </c>
      <c r="V825" s="2">
        <v>6</v>
      </c>
      <c r="W825" s="2">
        <v>7</v>
      </c>
      <c r="X825" s="2">
        <v>8</v>
      </c>
      <c r="Y825" s="2">
        <v>9</v>
      </c>
      <c r="Z825" s="2">
        <v>10</v>
      </c>
    </row>
    <row r="826" spans="3:26" x14ac:dyDescent="0.25">
      <c r="D826" s="6" t="s">
        <v>69</v>
      </c>
      <c r="E826" s="6" t="s">
        <v>381</v>
      </c>
      <c r="F826" s="6" t="s">
        <v>382</v>
      </c>
      <c r="G826" s="6" t="s">
        <v>345</v>
      </c>
      <c r="H826" s="6" t="s">
        <v>383</v>
      </c>
      <c r="P826" s="10" cm="1">
        <f t="array" ref="P826">DIRECT_EFFECT("die","Diesel","die_share","die_elasticity",0,"Overall","mean")</f>
        <v>0</v>
      </c>
    </row>
    <row r="827" spans="3:26" x14ac:dyDescent="0.25">
      <c r="D827" s="6" t="s">
        <v>69</v>
      </c>
      <c r="E827" s="6" t="s">
        <v>381</v>
      </c>
      <c r="F827" s="6" t="s">
        <v>145</v>
      </c>
      <c r="G827" s="6" t="s">
        <v>345</v>
      </c>
      <c r="H827" s="6" t="s">
        <v>383</v>
      </c>
      <c r="Q827" s="10" cm="1">
        <f t="array" ref="Q827:Z827">DIRECT_EFFECT("die","Diesel","die_share","die_elasticity",DECILE_ARRAY,"Overall","mean")</f>
        <v>0</v>
      </c>
      <c r="R827">
        <v>0</v>
      </c>
      <c r="S827">
        <v>0</v>
      </c>
      <c r="T827">
        <v>0</v>
      </c>
      <c r="U827">
        <v>0</v>
      </c>
      <c r="V827">
        <v>0</v>
      </c>
      <c r="W827">
        <v>0</v>
      </c>
      <c r="X827">
        <v>0</v>
      </c>
      <c r="Y827">
        <v>0</v>
      </c>
      <c r="Z827">
        <v>0</v>
      </c>
    </row>
    <row r="828" spans="3:26" x14ac:dyDescent="0.25">
      <c r="D828" s="6" t="s">
        <v>69</v>
      </c>
      <c r="E828" s="6" t="s">
        <v>384</v>
      </c>
      <c r="F828" s="6" t="s">
        <v>382</v>
      </c>
      <c r="G828" s="6" t="s">
        <v>345</v>
      </c>
      <c r="H828" s="6" t="s">
        <v>383</v>
      </c>
      <c r="P828" s="10" cm="1">
        <f t="array" ref="P828">DIRECT_EFFECT("die","Diesel","die_share","die_elasticity",0,"Urban","mean")</f>
        <v>0</v>
      </c>
    </row>
    <row r="829" spans="3:26" x14ac:dyDescent="0.25">
      <c r="D829" s="6" t="s">
        <v>69</v>
      </c>
      <c r="E829" s="6" t="s">
        <v>384</v>
      </c>
      <c r="F829" s="6" t="s">
        <v>145</v>
      </c>
      <c r="G829" s="6" t="s">
        <v>345</v>
      </c>
      <c r="H829" s="6" t="s">
        <v>383</v>
      </c>
      <c r="Q829" s="10" cm="1">
        <f t="array" ref="Q829:Z829">DIRECT_EFFECT("die","Diesel","die_share","die_elasticity",DECILE_ARRAY,"Urban","mean")</f>
        <v>0</v>
      </c>
      <c r="R829">
        <v>0</v>
      </c>
      <c r="S829">
        <v>0</v>
      </c>
      <c r="T829">
        <v>0</v>
      </c>
      <c r="U829">
        <v>0</v>
      </c>
      <c r="V829">
        <v>0</v>
      </c>
      <c r="W829">
        <v>0</v>
      </c>
      <c r="X829">
        <v>0</v>
      </c>
      <c r="Y829">
        <v>0</v>
      </c>
      <c r="Z829">
        <v>0</v>
      </c>
    </row>
    <row r="830" spans="3:26" x14ac:dyDescent="0.25">
      <c r="D830" s="6" t="s">
        <v>69</v>
      </c>
      <c r="E830" s="6" t="s">
        <v>385</v>
      </c>
      <c r="F830" s="6" t="s">
        <v>382</v>
      </c>
      <c r="G830" s="6" t="s">
        <v>345</v>
      </c>
      <c r="H830" s="6" t="s">
        <v>383</v>
      </c>
      <c r="P830" s="10" cm="1">
        <f t="array" ref="P830">DIRECT_EFFECT("die","Diesel","die_share","die_elasticity",0,"Rural","mean")</f>
        <v>0</v>
      </c>
    </row>
    <row r="831" spans="3:26" x14ac:dyDescent="0.25">
      <c r="D831" s="6" t="s">
        <v>69</v>
      </c>
      <c r="E831" s="6" t="s">
        <v>385</v>
      </c>
      <c r="F831" s="6" t="s">
        <v>145</v>
      </c>
      <c r="G831" s="6" t="s">
        <v>345</v>
      </c>
      <c r="H831" s="6" t="s">
        <v>383</v>
      </c>
      <c r="Q831" s="10" cm="1">
        <f t="array" ref="Q831:Z831">DIRECT_EFFECT("die","Diesel","die_share","die_elasticity",DECILE_ARRAY,"Rural","mean")</f>
        <v>0</v>
      </c>
      <c r="R831">
        <v>0</v>
      </c>
      <c r="S831">
        <v>0</v>
      </c>
      <c r="T831">
        <v>0</v>
      </c>
      <c r="U831">
        <v>0</v>
      </c>
      <c r="V831">
        <v>0</v>
      </c>
      <c r="W831">
        <v>0</v>
      </c>
      <c r="X831">
        <v>0</v>
      </c>
      <c r="Y831">
        <v>0</v>
      </c>
      <c r="Z831">
        <v>0</v>
      </c>
    </row>
    <row r="832" spans="3:26" x14ac:dyDescent="0.25">
      <c r="D832" s="6" t="s">
        <v>72</v>
      </c>
      <c r="E832" s="6" t="s">
        <v>381</v>
      </c>
      <c r="F832" s="6" t="s">
        <v>382</v>
      </c>
      <c r="G832" s="6" t="s">
        <v>345</v>
      </c>
      <c r="H832" s="6" t="s">
        <v>383</v>
      </c>
      <c r="P832" s="10" cm="1">
        <f t="array" ref="P832">DIRECT_EFFECT("die","Diesel","die_share","die_elasticity",0,"Overall","median")</f>
        <v>0</v>
      </c>
    </row>
    <row r="833" spans="4:26" x14ac:dyDescent="0.25">
      <c r="D833" s="6" t="s">
        <v>72</v>
      </c>
      <c r="E833" s="6" t="s">
        <v>381</v>
      </c>
      <c r="F833" s="6" t="s">
        <v>145</v>
      </c>
      <c r="G833" s="6" t="s">
        <v>345</v>
      </c>
      <c r="H833" s="6" t="s">
        <v>383</v>
      </c>
      <c r="Q833" s="10" cm="1">
        <f t="array" ref="Q833:Z833">DIRECT_EFFECT("die","Diesel","die_share","die_elasticity",DECILE_ARRAY,"Overall","median")</f>
        <v>0</v>
      </c>
      <c r="R833">
        <v>0</v>
      </c>
      <c r="S833">
        <v>0</v>
      </c>
      <c r="T833">
        <v>0</v>
      </c>
      <c r="U833">
        <v>0</v>
      </c>
      <c r="V833">
        <v>0</v>
      </c>
      <c r="W833">
        <v>0</v>
      </c>
      <c r="X833">
        <v>0</v>
      </c>
      <c r="Y833">
        <v>0</v>
      </c>
      <c r="Z833">
        <v>0</v>
      </c>
    </row>
    <row r="834" spans="4:26" x14ac:dyDescent="0.25">
      <c r="D834" s="6" t="s">
        <v>72</v>
      </c>
      <c r="E834" s="6" t="s">
        <v>384</v>
      </c>
      <c r="F834" s="6" t="s">
        <v>382</v>
      </c>
      <c r="G834" s="6" t="s">
        <v>345</v>
      </c>
      <c r="H834" s="6" t="s">
        <v>383</v>
      </c>
      <c r="P834" s="10" cm="1">
        <f t="array" ref="P834">DIRECT_EFFECT("die","Diesel","die_share","die_elasticity",0,"Urban","median")</f>
        <v>0</v>
      </c>
    </row>
    <row r="835" spans="4:26" x14ac:dyDescent="0.25">
      <c r="D835" s="6" t="s">
        <v>72</v>
      </c>
      <c r="E835" s="6" t="s">
        <v>384</v>
      </c>
      <c r="F835" s="6" t="s">
        <v>145</v>
      </c>
      <c r="G835" s="6" t="s">
        <v>345</v>
      </c>
      <c r="H835" s="6" t="s">
        <v>383</v>
      </c>
      <c r="Q835" s="10" cm="1">
        <f t="array" ref="Q835:Z835">DIRECT_EFFECT("die","Diesel","die_share","die_elasticity",DECILE_ARRAY,"Urban","median")</f>
        <v>0</v>
      </c>
      <c r="R835">
        <v>0</v>
      </c>
      <c r="S835">
        <v>0</v>
      </c>
      <c r="T835">
        <v>0</v>
      </c>
      <c r="U835">
        <v>0</v>
      </c>
      <c r="V835">
        <v>0</v>
      </c>
      <c r="W835">
        <v>0</v>
      </c>
      <c r="X835">
        <v>0</v>
      </c>
      <c r="Y835">
        <v>0</v>
      </c>
      <c r="Z835">
        <v>0</v>
      </c>
    </row>
    <row r="836" spans="4:26" x14ac:dyDescent="0.25">
      <c r="D836" s="6" t="s">
        <v>72</v>
      </c>
      <c r="E836" s="6" t="s">
        <v>385</v>
      </c>
      <c r="F836" s="6" t="s">
        <v>382</v>
      </c>
      <c r="G836" s="6" t="s">
        <v>345</v>
      </c>
      <c r="H836" s="6" t="s">
        <v>383</v>
      </c>
      <c r="P836" s="10" cm="1">
        <f t="array" ref="P836">DIRECT_EFFECT("die","Diesel","die_share","die_elasticity",0,"Rural","median")</f>
        <v>0</v>
      </c>
    </row>
    <row r="837" spans="4:26" x14ac:dyDescent="0.25">
      <c r="D837" s="6" t="s">
        <v>72</v>
      </c>
      <c r="E837" s="6" t="s">
        <v>385</v>
      </c>
      <c r="F837" s="6" t="s">
        <v>145</v>
      </c>
      <c r="G837" s="6" t="s">
        <v>345</v>
      </c>
      <c r="H837" s="6" t="s">
        <v>383</v>
      </c>
      <c r="Q837" s="10" cm="1">
        <f t="array" ref="Q837:Z837">DIRECT_EFFECT("die","Diesel","die_share","die_elasticity",DECILE_ARRAY,"Rural","median")</f>
        <v>0</v>
      </c>
      <c r="R837">
        <v>0</v>
      </c>
      <c r="S837">
        <v>0</v>
      </c>
      <c r="T837">
        <v>0</v>
      </c>
      <c r="U837">
        <v>0</v>
      </c>
      <c r="V837">
        <v>0</v>
      </c>
      <c r="W837">
        <v>0</v>
      </c>
      <c r="X837">
        <v>0</v>
      </c>
      <c r="Y837">
        <v>0</v>
      </c>
      <c r="Z837">
        <v>0</v>
      </c>
    </row>
    <row r="838" spans="4:26" x14ac:dyDescent="0.25">
      <c r="D838" s="6" t="s">
        <v>75</v>
      </c>
      <c r="E838" s="6" t="s">
        <v>381</v>
      </c>
      <c r="F838" s="6" t="s">
        <v>382</v>
      </c>
      <c r="G838" s="6" t="s">
        <v>345</v>
      </c>
      <c r="H838" s="6" t="s">
        <v>383</v>
      </c>
      <c r="P838" s="10" cm="1">
        <f t="array" ref="P838">DIRECT_EFFECT("die","Diesel","die_share","die_elasticity",0,"Overall","p25")</f>
        <v>0</v>
      </c>
    </row>
    <row r="839" spans="4:26" x14ac:dyDescent="0.25">
      <c r="D839" s="6" t="s">
        <v>75</v>
      </c>
      <c r="E839" s="6" t="s">
        <v>381</v>
      </c>
      <c r="F839" s="6" t="s">
        <v>145</v>
      </c>
      <c r="G839" s="6" t="s">
        <v>345</v>
      </c>
      <c r="H839" s="6" t="s">
        <v>383</v>
      </c>
      <c r="Q839" s="10" cm="1">
        <f t="array" ref="Q839:Z839">DIRECT_EFFECT("die","Diesel","die_share","die_elasticity",DECILE_ARRAY,"Overall","p25")</f>
        <v>0</v>
      </c>
      <c r="R839">
        <v>0</v>
      </c>
      <c r="S839">
        <v>0</v>
      </c>
      <c r="T839">
        <v>0</v>
      </c>
      <c r="U839">
        <v>0</v>
      </c>
      <c r="V839">
        <v>0</v>
      </c>
      <c r="W839">
        <v>0</v>
      </c>
      <c r="X839">
        <v>0</v>
      </c>
      <c r="Y839">
        <v>0</v>
      </c>
      <c r="Z839">
        <v>0</v>
      </c>
    </row>
    <row r="840" spans="4:26" x14ac:dyDescent="0.25">
      <c r="D840" s="6" t="s">
        <v>75</v>
      </c>
      <c r="E840" s="6" t="s">
        <v>384</v>
      </c>
      <c r="F840" s="6" t="s">
        <v>382</v>
      </c>
      <c r="G840" s="6" t="s">
        <v>345</v>
      </c>
      <c r="H840" s="6" t="s">
        <v>383</v>
      </c>
      <c r="P840" s="10" cm="1">
        <f t="array" ref="P840">DIRECT_EFFECT("die","Diesel","die_share","die_elasticity",0,"Urban","p25")</f>
        <v>0</v>
      </c>
    </row>
    <row r="841" spans="4:26" x14ac:dyDescent="0.25">
      <c r="D841" s="6" t="s">
        <v>75</v>
      </c>
      <c r="E841" s="6" t="s">
        <v>384</v>
      </c>
      <c r="F841" s="6" t="s">
        <v>145</v>
      </c>
      <c r="G841" s="6" t="s">
        <v>345</v>
      </c>
      <c r="H841" s="6" t="s">
        <v>383</v>
      </c>
      <c r="Q841" s="10" cm="1">
        <f t="array" ref="Q841:Z841">DIRECT_EFFECT("die","Diesel","die_share","die_elasticity",DECILE_ARRAY,"Urban","p25")</f>
        <v>0</v>
      </c>
      <c r="R841">
        <v>0</v>
      </c>
      <c r="S841">
        <v>0</v>
      </c>
      <c r="T841">
        <v>0</v>
      </c>
      <c r="U841">
        <v>0</v>
      </c>
      <c r="V841">
        <v>0</v>
      </c>
      <c r="W841">
        <v>0</v>
      </c>
      <c r="X841">
        <v>0</v>
      </c>
      <c r="Y841">
        <v>0</v>
      </c>
      <c r="Z841">
        <v>0</v>
      </c>
    </row>
    <row r="842" spans="4:26" x14ac:dyDescent="0.25">
      <c r="D842" s="6" t="s">
        <v>75</v>
      </c>
      <c r="E842" s="6" t="s">
        <v>385</v>
      </c>
      <c r="F842" s="6" t="s">
        <v>382</v>
      </c>
      <c r="G842" s="6" t="s">
        <v>345</v>
      </c>
      <c r="H842" s="6" t="s">
        <v>383</v>
      </c>
      <c r="P842" s="10" cm="1">
        <f t="array" ref="P842">DIRECT_EFFECT("die","Diesel","die_share","die_elasticity",0,"Rural","p25")</f>
        <v>0</v>
      </c>
    </row>
    <row r="843" spans="4:26" x14ac:dyDescent="0.25">
      <c r="D843" s="6" t="s">
        <v>75</v>
      </c>
      <c r="E843" s="6" t="s">
        <v>385</v>
      </c>
      <c r="F843" s="6" t="s">
        <v>145</v>
      </c>
      <c r="G843" s="6" t="s">
        <v>345</v>
      </c>
      <c r="H843" s="6" t="s">
        <v>383</v>
      </c>
      <c r="Q843" s="10" cm="1">
        <f t="array" ref="Q843:Z843">DIRECT_EFFECT("die","Diesel","die_share","die_elasticity",DECILE_ARRAY,"Rural","p25")</f>
        <v>0</v>
      </c>
      <c r="R843">
        <v>0</v>
      </c>
      <c r="S843">
        <v>0</v>
      </c>
      <c r="T843">
        <v>0</v>
      </c>
      <c r="U843">
        <v>0</v>
      </c>
      <c r="V843">
        <v>0</v>
      </c>
      <c r="W843">
        <v>0</v>
      </c>
      <c r="X843">
        <v>0</v>
      </c>
      <c r="Y843">
        <v>0</v>
      </c>
      <c r="Z843">
        <v>0</v>
      </c>
    </row>
    <row r="844" spans="4:26" x14ac:dyDescent="0.25">
      <c r="D844" s="6" t="s">
        <v>78</v>
      </c>
      <c r="E844" s="6" t="s">
        <v>381</v>
      </c>
      <c r="F844" s="6" t="s">
        <v>382</v>
      </c>
      <c r="G844" s="6" t="s">
        <v>345</v>
      </c>
      <c r="H844" s="6" t="s">
        <v>383</v>
      </c>
      <c r="P844" s="10" cm="1">
        <f t="array" ref="P844">DIRECT_EFFECT("die","Diesel","die_share","die_elasticity",0,"Overall","p75")</f>
        <v>0</v>
      </c>
    </row>
    <row r="845" spans="4:26" x14ac:dyDescent="0.25">
      <c r="D845" s="6" t="s">
        <v>78</v>
      </c>
      <c r="E845" s="6" t="s">
        <v>381</v>
      </c>
      <c r="F845" s="6" t="s">
        <v>145</v>
      </c>
      <c r="G845" s="6" t="s">
        <v>345</v>
      </c>
      <c r="H845" s="6" t="s">
        <v>383</v>
      </c>
      <c r="Q845" s="10" cm="1">
        <f t="array" ref="Q845:Z845">DIRECT_EFFECT("die","Diesel","die_share","die_elasticity",DECILE_ARRAY,"Overall","p75")</f>
        <v>0</v>
      </c>
      <c r="R845">
        <v>0</v>
      </c>
      <c r="S845">
        <v>0</v>
      </c>
      <c r="T845">
        <v>0</v>
      </c>
      <c r="U845">
        <v>0</v>
      </c>
      <c r="V845">
        <v>0</v>
      </c>
      <c r="W845">
        <v>0</v>
      </c>
      <c r="X845">
        <v>0</v>
      </c>
      <c r="Y845">
        <v>0</v>
      </c>
      <c r="Z845">
        <v>0</v>
      </c>
    </row>
    <row r="846" spans="4:26" x14ac:dyDescent="0.25">
      <c r="D846" s="6" t="s">
        <v>78</v>
      </c>
      <c r="E846" s="6" t="s">
        <v>384</v>
      </c>
      <c r="F846" s="6" t="s">
        <v>382</v>
      </c>
      <c r="G846" s="6" t="s">
        <v>345</v>
      </c>
      <c r="H846" s="6" t="s">
        <v>383</v>
      </c>
      <c r="P846" s="10" cm="1">
        <f t="array" ref="P846">DIRECT_EFFECT("die","Diesel","die_share","die_elasticity",0,"Urban","p75")</f>
        <v>0</v>
      </c>
    </row>
    <row r="847" spans="4:26" x14ac:dyDescent="0.25">
      <c r="D847" s="6" t="s">
        <v>78</v>
      </c>
      <c r="E847" s="6" t="s">
        <v>384</v>
      </c>
      <c r="F847" s="6" t="s">
        <v>145</v>
      </c>
      <c r="G847" s="6" t="s">
        <v>345</v>
      </c>
      <c r="H847" s="6" t="s">
        <v>383</v>
      </c>
      <c r="Q847" s="10" cm="1">
        <f t="array" ref="Q847:Z847">DIRECT_EFFECT("die","Diesel","die_share","die_elasticity",DECILE_ARRAY,"Urban","p75")</f>
        <v>0</v>
      </c>
      <c r="R847">
        <v>0</v>
      </c>
      <c r="S847">
        <v>0</v>
      </c>
      <c r="T847">
        <v>0</v>
      </c>
      <c r="U847">
        <v>0</v>
      </c>
      <c r="V847">
        <v>0</v>
      </c>
      <c r="W847">
        <v>0</v>
      </c>
      <c r="X847">
        <v>0</v>
      </c>
      <c r="Y847">
        <v>0</v>
      </c>
      <c r="Z847">
        <v>0</v>
      </c>
    </row>
    <row r="848" spans="4:26" x14ac:dyDescent="0.25">
      <c r="D848" s="6" t="s">
        <v>78</v>
      </c>
      <c r="E848" s="6" t="s">
        <v>385</v>
      </c>
      <c r="F848" s="6" t="s">
        <v>382</v>
      </c>
      <c r="G848" s="6" t="s">
        <v>345</v>
      </c>
      <c r="H848" s="6" t="s">
        <v>383</v>
      </c>
      <c r="P848" s="10" cm="1">
        <f t="array" ref="P848">DIRECT_EFFECT("die","Diesel","die_share","die_elasticity",0,"Rural","p75")</f>
        <v>0</v>
      </c>
    </row>
    <row r="849" spans="3:26" x14ac:dyDescent="0.25">
      <c r="D849" s="6" t="s">
        <v>78</v>
      </c>
      <c r="E849" s="6" t="s">
        <v>385</v>
      </c>
      <c r="F849" s="6" t="s">
        <v>145</v>
      </c>
      <c r="G849" s="6" t="s">
        <v>345</v>
      </c>
      <c r="H849" s="6" t="s">
        <v>383</v>
      </c>
      <c r="Q849" s="10" cm="1">
        <f t="array" ref="Q849:Z849">DIRECT_EFFECT("die","Diesel","die_share","die_elasticity",DECILE_ARRAY,"Rural","p75")</f>
        <v>0</v>
      </c>
      <c r="R849">
        <v>0</v>
      </c>
      <c r="S849">
        <v>0</v>
      </c>
      <c r="T849">
        <v>0</v>
      </c>
      <c r="U849">
        <v>0</v>
      </c>
      <c r="V849">
        <v>0</v>
      </c>
      <c r="W849">
        <v>0</v>
      </c>
      <c r="X849">
        <v>0</v>
      </c>
      <c r="Y849">
        <v>0</v>
      </c>
      <c r="Z849">
        <v>0</v>
      </c>
    </row>
    <row r="851" spans="3:26" x14ac:dyDescent="0.25">
      <c r="C851" s="7" t="s">
        <v>423</v>
      </c>
      <c r="G851" s="6" t="s">
        <v>347</v>
      </c>
      <c r="O851" s="2" t="s">
        <v>331</v>
      </c>
      <c r="Q851" s="2">
        <v>1</v>
      </c>
      <c r="R851" s="2">
        <v>2</v>
      </c>
      <c r="S851" s="2">
        <v>3</v>
      </c>
      <c r="T851" s="2">
        <v>4</v>
      </c>
      <c r="U851" s="2">
        <v>5</v>
      </c>
      <c r="V851" s="2">
        <v>6</v>
      </c>
      <c r="W851" s="2">
        <v>7</v>
      </c>
      <c r="X851" s="2">
        <v>8</v>
      </c>
      <c r="Y851" s="2">
        <v>9</v>
      </c>
      <c r="Z851" s="2">
        <v>10</v>
      </c>
    </row>
    <row r="852" spans="3:26" x14ac:dyDescent="0.25">
      <c r="D852" s="6" t="s">
        <v>69</v>
      </c>
      <c r="E852" s="6" t="s">
        <v>381</v>
      </c>
      <c r="F852" s="6" t="s">
        <v>382</v>
      </c>
      <c r="G852" s="6" t="s">
        <v>347</v>
      </c>
      <c r="H852" s="6" t="s">
        <v>383</v>
      </c>
      <c r="P852" s="10" cm="1">
        <f t="array" ref="P852">DIRECT_EFFECT("ker","Kerosene","ker_share","ker_elasticity",0,"Overall","mean")</f>
        <v>1.3376714215002221E-5</v>
      </c>
    </row>
    <row r="853" spans="3:26" x14ac:dyDescent="0.25">
      <c r="D853" s="6" t="s">
        <v>69</v>
      </c>
      <c r="E853" s="6" t="s">
        <v>381</v>
      </c>
      <c r="F853" s="6" t="s">
        <v>145</v>
      </c>
      <c r="G853" s="6" t="s">
        <v>347</v>
      </c>
      <c r="H853" s="6" t="s">
        <v>383</v>
      </c>
      <c r="Q853" s="10" cm="1">
        <f t="array" ref="Q853:Z853">DIRECT_EFFECT("ker","Kerosene","ker_share","ker_elasticity",DECILE_ARRAY,"Overall","mean")</f>
        <v>4.9095405194225647E-6</v>
      </c>
      <c r="R853">
        <v>5.5710956038345012E-6</v>
      </c>
      <c r="S853">
        <v>2.5074944676527491E-6</v>
      </c>
      <c r="T853">
        <v>1.389257826269842E-5</v>
      </c>
      <c r="U853">
        <v>1.38591262029376E-5</v>
      </c>
      <c r="V853">
        <v>1.138069658169441E-5</v>
      </c>
      <c r="W853">
        <v>5.2285582152387718E-6</v>
      </c>
      <c r="X853">
        <v>2.0019287044557736E-5</v>
      </c>
      <c r="Y853">
        <v>2.8157773569109768E-5</v>
      </c>
      <c r="Z853">
        <v>1.893562262874931E-5</v>
      </c>
    </row>
    <row r="854" spans="3:26" x14ac:dyDescent="0.25">
      <c r="D854" s="6" t="s">
        <v>69</v>
      </c>
      <c r="E854" s="6" t="s">
        <v>384</v>
      </c>
      <c r="F854" s="6" t="s">
        <v>382</v>
      </c>
      <c r="G854" s="6" t="s">
        <v>347</v>
      </c>
      <c r="H854" s="6" t="s">
        <v>383</v>
      </c>
      <c r="P854" s="10" cm="1">
        <f t="array" ref="P854">DIRECT_EFFECT("ker","Kerosene","ker_share","ker_elasticity",0,"Urban","mean")</f>
        <v>1.3008179942564997E-5</v>
      </c>
    </row>
    <row r="855" spans="3:26" x14ac:dyDescent="0.25">
      <c r="D855" s="6" t="s">
        <v>69</v>
      </c>
      <c r="E855" s="6" t="s">
        <v>384</v>
      </c>
      <c r="F855" s="6" t="s">
        <v>145</v>
      </c>
      <c r="G855" s="6" t="s">
        <v>347</v>
      </c>
      <c r="H855" s="6" t="s">
        <v>383</v>
      </c>
      <c r="Q855" s="10" cm="1">
        <f t="array" ref="Q855:Z855">DIRECT_EFFECT("ker","Kerosene","ker_share","ker_elasticity",DECILE_ARRAY,"Urban","mean")</f>
        <v>7.5143861822693256E-6</v>
      </c>
      <c r="R855">
        <v>0</v>
      </c>
      <c r="S855">
        <v>5.2056838769579175E-6</v>
      </c>
      <c r="T855">
        <v>0</v>
      </c>
      <c r="U855">
        <v>2.1372959009015508E-5</v>
      </c>
      <c r="V855">
        <v>1.1175973090986958E-5</v>
      </c>
      <c r="W855">
        <v>2.7590371433644487E-5</v>
      </c>
      <c r="X855">
        <v>2.3938925775063831E-5</v>
      </c>
      <c r="Y855">
        <v>1.4056319412343684E-5</v>
      </c>
      <c r="Z855">
        <v>2.9799374319123664E-5</v>
      </c>
    </row>
    <row r="856" spans="3:26" x14ac:dyDescent="0.25">
      <c r="D856" s="6" t="s">
        <v>69</v>
      </c>
      <c r="E856" s="6" t="s">
        <v>385</v>
      </c>
      <c r="F856" s="6" t="s">
        <v>382</v>
      </c>
      <c r="G856" s="6" t="s">
        <v>347</v>
      </c>
      <c r="H856" s="6" t="s">
        <v>383</v>
      </c>
      <c r="P856" s="10" cm="1">
        <f t="array" ref="P856">DIRECT_EFFECT("ker","Kerosene","ker_share","ker_elasticity",0,"Rural","mean")</f>
        <v>1.0327639785157903E-5</v>
      </c>
    </row>
    <row r="857" spans="3:26" x14ac:dyDescent="0.25">
      <c r="D857" s="6" t="s">
        <v>69</v>
      </c>
      <c r="E857" s="6" t="s">
        <v>385</v>
      </c>
      <c r="F857" s="6" t="s">
        <v>145</v>
      </c>
      <c r="G857" s="6" t="s">
        <v>347</v>
      </c>
      <c r="H857" s="6" t="s">
        <v>383</v>
      </c>
      <c r="Q857" s="10" cm="1">
        <f t="array" ref="Q857:Z857">DIRECT_EFFECT("ker","Kerosene","ker_share","ker_elasticity",DECILE_ARRAY,"Rural","mean")</f>
        <v>7.8883247467796635E-6</v>
      </c>
      <c r="R857">
        <v>0</v>
      </c>
      <c r="S857">
        <v>5.3362658866798161E-6</v>
      </c>
      <c r="T857">
        <v>0</v>
      </c>
      <c r="U857">
        <v>2.9342428508422753E-5</v>
      </c>
      <c r="V857">
        <v>1.5970377119963883E-5</v>
      </c>
      <c r="W857">
        <v>0</v>
      </c>
      <c r="X857">
        <v>0</v>
      </c>
      <c r="Y857">
        <v>1.0348779312940919E-5</v>
      </c>
      <c r="Z857">
        <v>3.8236191913853635E-5</v>
      </c>
    </row>
    <row r="858" spans="3:26" x14ac:dyDescent="0.25">
      <c r="D858" s="6" t="s">
        <v>72</v>
      </c>
      <c r="E858" s="6" t="s">
        <v>381</v>
      </c>
      <c r="F858" s="6" t="s">
        <v>382</v>
      </c>
      <c r="G858" s="6" t="s">
        <v>347</v>
      </c>
      <c r="H858" s="6" t="s">
        <v>383</v>
      </c>
      <c r="P858" s="10" cm="1">
        <f t="array" ref="P858">DIRECT_EFFECT("ker","Kerosene","ker_share","ker_elasticity",0,"Overall","median")</f>
        <v>0</v>
      </c>
    </row>
    <row r="859" spans="3:26" x14ac:dyDescent="0.25">
      <c r="D859" s="6" t="s">
        <v>72</v>
      </c>
      <c r="E859" s="6" t="s">
        <v>381</v>
      </c>
      <c r="F859" s="6" t="s">
        <v>145</v>
      </c>
      <c r="G859" s="6" t="s">
        <v>347</v>
      </c>
      <c r="H859" s="6" t="s">
        <v>383</v>
      </c>
      <c r="Q859" s="10" cm="1">
        <f t="array" ref="Q859:Z859">DIRECT_EFFECT("ker","Kerosene","ker_share","ker_elasticity",DECILE_ARRAY,"Overall","median")</f>
        <v>0</v>
      </c>
      <c r="R859">
        <v>0</v>
      </c>
      <c r="S859">
        <v>0</v>
      </c>
      <c r="T859">
        <v>0</v>
      </c>
      <c r="U859">
        <v>0</v>
      </c>
      <c r="V859">
        <v>0</v>
      </c>
      <c r="W859">
        <v>0</v>
      </c>
      <c r="X859">
        <v>0</v>
      </c>
      <c r="Y859">
        <v>0</v>
      </c>
      <c r="Z859">
        <v>0</v>
      </c>
    </row>
    <row r="860" spans="3:26" x14ac:dyDescent="0.25">
      <c r="D860" s="6" t="s">
        <v>72</v>
      </c>
      <c r="E860" s="6" t="s">
        <v>384</v>
      </c>
      <c r="F860" s="6" t="s">
        <v>382</v>
      </c>
      <c r="G860" s="6" t="s">
        <v>347</v>
      </c>
      <c r="H860" s="6" t="s">
        <v>383</v>
      </c>
      <c r="P860" s="10" cm="1">
        <f t="array" ref="P860">DIRECT_EFFECT("ker","Kerosene","ker_share","ker_elasticity",0,"Urban","median")</f>
        <v>0</v>
      </c>
    </row>
    <row r="861" spans="3:26" x14ac:dyDescent="0.25">
      <c r="D861" s="6" t="s">
        <v>72</v>
      </c>
      <c r="E861" s="6" t="s">
        <v>384</v>
      </c>
      <c r="F861" s="6" t="s">
        <v>145</v>
      </c>
      <c r="G861" s="6" t="s">
        <v>347</v>
      </c>
      <c r="H861" s="6" t="s">
        <v>383</v>
      </c>
      <c r="Q861" s="10" cm="1">
        <f t="array" ref="Q861:Z861">DIRECT_EFFECT("ker","Kerosene","ker_share","ker_elasticity",DECILE_ARRAY,"Urban","median")</f>
        <v>0</v>
      </c>
      <c r="R861">
        <v>0</v>
      </c>
      <c r="S861">
        <v>0</v>
      </c>
      <c r="T861">
        <v>0</v>
      </c>
      <c r="U861">
        <v>0</v>
      </c>
      <c r="V861">
        <v>0</v>
      </c>
      <c r="W861">
        <v>0</v>
      </c>
      <c r="X861">
        <v>0</v>
      </c>
      <c r="Y861">
        <v>0</v>
      </c>
      <c r="Z861">
        <v>0</v>
      </c>
    </row>
    <row r="862" spans="3:26" x14ac:dyDescent="0.25">
      <c r="D862" s="6" t="s">
        <v>72</v>
      </c>
      <c r="E862" s="6" t="s">
        <v>385</v>
      </c>
      <c r="F862" s="6" t="s">
        <v>382</v>
      </c>
      <c r="G862" s="6" t="s">
        <v>347</v>
      </c>
      <c r="H862" s="6" t="s">
        <v>383</v>
      </c>
      <c r="P862" s="10" cm="1">
        <f t="array" ref="P862">DIRECT_EFFECT("ker","Kerosene","ker_share","ker_elasticity",0,"Rural","median")</f>
        <v>0</v>
      </c>
    </row>
    <row r="863" spans="3:26" x14ac:dyDescent="0.25">
      <c r="D863" s="6" t="s">
        <v>72</v>
      </c>
      <c r="E863" s="6" t="s">
        <v>385</v>
      </c>
      <c r="F863" s="6" t="s">
        <v>145</v>
      </c>
      <c r="G863" s="6" t="s">
        <v>347</v>
      </c>
      <c r="H863" s="6" t="s">
        <v>383</v>
      </c>
      <c r="Q863" s="10" cm="1">
        <f t="array" ref="Q863:Z863">DIRECT_EFFECT("ker","Kerosene","ker_share","ker_elasticity",DECILE_ARRAY,"Rural","median")</f>
        <v>0</v>
      </c>
      <c r="R863">
        <v>0</v>
      </c>
      <c r="S863">
        <v>0</v>
      </c>
      <c r="T863">
        <v>0</v>
      </c>
      <c r="U863">
        <v>0</v>
      </c>
      <c r="V863">
        <v>0</v>
      </c>
      <c r="W863">
        <v>0</v>
      </c>
      <c r="X863">
        <v>0</v>
      </c>
      <c r="Y863">
        <v>0</v>
      </c>
      <c r="Z863">
        <v>0</v>
      </c>
    </row>
    <row r="864" spans="3:26" x14ac:dyDescent="0.25">
      <c r="D864" s="6" t="s">
        <v>75</v>
      </c>
      <c r="E864" s="6" t="s">
        <v>381</v>
      </c>
      <c r="F864" s="6" t="s">
        <v>382</v>
      </c>
      <c r="G864" s="6" t="s">
        <v>347</v>
      </c>
      <c r="H864" s="6" t="s">
        <v>383</v>
      </c>
      <c r="P864" s="10" cm="1">
        <f t="array" ref="P864">DIRECT_EFFECT("ker","Kerosene","ker_share","ker_elasticity",0,"Overall","p25")</f>
        <v>0</v>
      </c>
    </row>
    <row r="865" spans="3:26" x14ac:dyDescent="0.25">
      <c r="D865" s="6" t="s">
        <v>75</v>
      </c>
      <c r="E865" s="6" t="s">
        <v>381</v>
      </c>
      <c r="F865" s="6" t="s">
        <v>145</v>
      </c>
      <c r="G865" s="6" t="s">
        <v>347</v>
      </c>
      <c r="H865" s="6" t="s">
        <v>383</v>
      </c>
      <c r="Q865" s="10" cm="1">
        <f t="array" ref="Q865:Z865">DIRECT_EFFECT("ker","Kerosene","ker_share","ker_elasticity",DECILE_ARRAY,"Overall","p25")</f>
        <v>0</v>
      </c>
      <c r="R865">
        <v>0</v>
      </c>
      <c r="S865">
        <v>0</v>
      </c>
      <c r="T865">
        <v>0</v>
      </c>
      <c r="U865">
        <v>0</v>
      </c>
      <c r="V865">
        <v>0</v>
      </c>
      <c r="W865">
        <v>0</v>
      </c>
      <c r="X865">
        <v>0</v>
      </c>
      <c r="Y865">
        <v>0</v>
      </c>
      <c r="Z865">
        <v>0</v>
      </c>
    </row>
    <row r="866" spans="3:26" x14ac:dyDescent="0.25">
      <c r="D866" s="6" t="s">
        <v>75</v>
      </c>
      <c r="E866" s="6" t="s">
        <v>384</v>
      </c>
      <c r="F866" s="6" t="s">
        <v>382</v>
      </c>
      <c r="G866" s="6" t="s">
        <v>347</v>
      </c>
      <c r="H866" s="6" t="s">
        <v>383</v>
      </c>
      <c r="P866" s="10" cm="1">
        <f t="array" ref="P866">DIRECT_EFFECT("ker","Kerosene","ker_share","ker_elasticity",0,"Urban","p25")</f>
        <v>0</v>
      </c>
    </row>
    <row r="867" spans="3:26" x14ac:dyDescent="0.25">
      <c r="D867" s="6" t="s">
        <v>75</v>
      </c>
      <c r="E867" s="6" t="s">
        <v>384</v>
      </c>
      <c r="F867" s="6" t="s">
        <v>145</v>
      </c>
      <c r="G867" s="6" t="s">
        <v>347</v>
      </c>
      <c r="H867" s="6" t="s">
        <v>383</v>
      </c>
      <c r="Q867" s="10" cm="1">
        <f t="array" ref="Q867:Z867">DIRECT_EFFECT("ker","Kerosene","ker_share","ker_elasticity",DECILE_ARRAY,"Urban","p25")</f>
        <v>0</v>
      </c>
      <c r="R867">
        <v>0</v>
      </c>
      <c r="S867">
        <v>0</v>
      </c>
      <c r="T867">
        <v>0</v>
      </c>
      <c r="U867">
        <v>0</v>
      </c>
      <c r="V867">
        <v>0</v>
      </c>
      <c r="W867">
        <v>0</v>
      </c>
      <c r="X867">
        <v>0</v>
      </c>
      <c r="Y867">
        <v>0</v>
      </c>
      <c r="Z867">
        <v>0</v>
      </c>
    </row>
    <row r="868" spans="3:26" x14ac:dyDescent="0.25">
      <c r="D868" s="6" t="s">
        <v>75</v>
      </c>
      <c r="E868" s="6" t="s">
        <v>385</v>
      </c>
      <c r="F868" s="6" t="s">
        <v>382</v>
      </c>
      <c r="G868" s="6" t="s">
        <v>347</v>
      </c>
      <c r="H868" s="6" t="s">
        <v>383</v>
      </c>
      <c r="P868" s="10" cm="1">
        <f t="array" ref="P868">DIRECT_EFFECT("ker","Kerosene","ker_share","ker_elasticity",0,"Rural","p25")</f>
        <v>0</v>
      </c>
    </row>
    <row r="869" spans="3:26" x14ac:dyDescent="0.25">
      <c r="D869" s="6" t="s">
        <v>75</v>
      </c>
      <c r="E869" s="6" t="s">
        <v>385</v>
      </c>
      <c r="F869" s="6" t="s">
        <v>145</v>
      </c>
      <c r="G869" s="6" t="s">
        <v>347</v>
      </c>
      <c r="H869" s="6" t="s">
        <v>383</v>
      </c>
      <c r="Q869" s="10" cm="1">
        <f t="array" ref="Q869:Z869">DIRECT_EFFECT("ker","Kerosene","ker_share","ker_elasticity",DECILE_ARRAY,"Rural","p25")</f>
        <v>0</v>
      </c>
      <c r="R869">
        <v>0</v>
      </c>
      <c r="S869">
        <v>0</v>
      </c>
      <c r="T869">
        <v>0</v>
      </c>
      <c r="U869">
        <v>0</v>
      </c>
      <c r="V869">
        <v>0</v>
      </c>
      <c r="W869">
        <v>0</v>
      </c>
      <c r="X869">
        <v>0</v>
      </c>
      <c r="Y869">
        <v>0</v>
      </c>
      <c r="Z869">
        <v>0</v>
      </c>
    </row>
    <row r="870" spans="3:26" x14ac:dyDescent="0.25">
      <c r="D870" s="6" t="s">
        <v>78</v>
      </c>
      <c r="E870" s="6" t="s">
        <v>381</v>
      </c>
      <c r="F870" s="6" t="s">
        <v>382</v>
      </c>
      <c r="G870" s="6" t="s">
        <v>347</v>
      </c>
      <c r="H870" s="6" t="s">
        <v>383</v>
      </c>
      <c r="P870" s="10" cm="1">
        <f t="array" ref="P870">DIRECT_EFFECT("ker","Kerosene","ker_share","ker_elasticity",0,"Overall","p75")</f>
        <v>0</v>
      </c>
    </row>
    <row r="871" spans="3:26" x14ac:dyDescent="0.25">
      <c r="D871" s="6" t="s">
        <v>78</v>
      </c>
      <c r="E871" s="6" t="s">
        <v>381</v>
      </c>
      <c r="F871" s="6" t="s">
        <v>145</v>
      </c>
      <c r="G871" s="6" t="s">
        <v>347</v>
      </c>
      <c r="H871" s="6" t="s">
        <v>383</v>
      </c>
      <c r="Q871" s="10" cm="1">
        <f t="array" ref="Q871:Z871">DIRECT_EFFECT("ker","Kerosene","ker_share","ker_elasticity",DECILE_ARRAY,"Overall","p75")</f>
        <v>0</v>
      </c>
      <c r="R871">
        <v>0</v>
      </c>
      <c r="S871">
        <v>0</v>
      </c>
      <c r="T871">
        <v>0</v>
      </c>
      <c r="U871">
        <v>0</v>
      </c>
      <c r="V871">
        <v>0</v>
      </c>
      <c r="W871">
        <v>0</v>
      </c>
      <c r="X871">
        <v>0</v>
      </c>
      <c r="Y871">
        <v>0</v>
      </c>
      <c r="Z871">
        <v>0</v>
      </c>
    </row>
    <row r="872" spans="3:26" x14ac:dyDescent="0.25">
      <c r="D872" s="6" t="s">
        <v>78</v>
      </c>
      <c r="E872" s="6" t="s">
        <v>384</v>
      </c>
      <c r="F872" s="6" t="s">
        <v>382</v>
      </c>
      <c r="G872" s="6" t="s">
        <v>347</v>
      </c>
      <c r="H872" s="6" t="s">
        <v>383</v>
      </c>
      <c r="P872" s="10" cm="1">
        <f t="array" ref="P872">DIRECT_EFFECT("ker","Kerosene","ker_share","ker_elasticity",0,"Urban","p75")</f>
        <v>0</v>
      </c>
    </row>
    <row r="873" spans="3:26" x14ac:dyDescent="0.25">
      <c r="D873" s="6" t="s">
        <v>78</v>
      </c>
      <c r="E873" s="6" t="s">
        <v>384</v>
      </c>
      <c r="F873" s="6" t="s">
        <v>145</v>
      </c>
      <c r="G873" s="6" t="s">
        <v>347</v>
      </c>
      <c r="H873" s="6" t="s">
        <v>383</v>
      </c>
      <c r="Q873" s="10" cm="1">
        <f t="array" ref="Q873:Z873">DIRECT_EFFECT("ker","Kerosene","ker_share","ker_elasticity",DECILE_ARRAY,"Urban","p75")</f>
        <v>0</v>
      </c>
      <c r="R873">
        <v>0</v>
      </c>
      <c r="S873">
        <v>0</v>
      </c>
      <c r="T873">
        <v>0</v>
      </c>
      <c r="U873">
        <v>0</v>
      </c>
      <c r="V873">
        <v>0</v>
      </c>
      <c r="W873">
        <v>0</v>
      </c>
      <c r="X873">
        <v>0</v>
      </c>
      <c r="Y873">
        <v>0</v>
      </c>
      <c r="Z873">
        <v>0</v>
      </c>
    </row>
    <row r="874" spans="3:26" x14ac:dyDescent="0.25">
      <c r="D874" s="6" t="s">
        <v>78</v>
      </c>
      <c r="E874" s="6" t="s">
        <v>385</v>
      </c>
      <c r="F874" s="6" t="s">
        <v>382</v>
      </c>
      <c r="G874" s="6" t="s">
        <v>347</v>
      </c>
      <c r="H874" s="6" t="s">
        <v>383</v>
      </c>
      <c r="P874" s="10" cm="1">
        <f t="array" ref="P874">DIRECT_EFFECT("ker","Kerosene","ker_share","ker_elasticity",0,"Rural","p75")</f>
        <v>0</v>
      </c>
    </row>
    <row r="875" spans="3:26" x14ac:dyDescent="0.25">
      <c r="D875" s="6" t="s">
        <v>78</v>
      </c>
      <c r="E875" s="6" t="s">
        <v>385</v>
      </c>
      <c r="F875" s="6" t="s">
        <v>145</v>
      </c>
      <c r="G875" s="6" t="s">
        <v>347</v>
      </c>
      <c r="H875" s="6" t="s">
        <v>383</v>
      </c>
      <c r="Q875" s="10" cm="1">
        <f t="array" ref="Q875:Z875">DIRECT_EFFECT("ker","Kerosene","ker_share","ker_elasticity",DECILE_ARRAY,"Rural","p75")</f>
        <v>0</v>
      </c>
      <c r="R875">
        <v>0</v>
      </c>
      <c r="S875">
        <v>0</v>
      </c>
      <c r="T875">
        <v>0</v>
      </c>
      <c r="U875">
        <v>0</v>
      </c>
      <c r="V875">
        <v>0</v>
      </c>
      <c r="W875">
        <v>0</v>
      </c>
      <c r="X875">
        <v>0</v>
      </c>
      <c r="Y875">
        <v>0</v>
      </c>
      <c r="Z875">
        <v>0</v>
      </c>
    </row>
    <row r="877" spans="3:26" x14ac:dyDescent="0.25">
      <c r="C877" s="7" t="s">
        <v>424</v>
      </c>
      <c r="G877" s="6" t="s">
        <v>349</v>
      </c>
      <c r="O877" s="2" t="s">
        <v>331</v>
      </c>
      <c r="Q877" s="2">
        <v>1</v>
      </c>
      <c r="R877" s="2">
        <v>2</v>
      </c>
      <c r="S877" s="2">
        <v>3</v>
      </c>
      <c r="T877" s="2">
        <v>4</v>
      </c>
      <c r="U877" s="2">
        <v>5</v>
      </c>
      <c r="V877" s="2">
        <v>6</v>
      </c>
      <c r="W877" s="2">
        <v>7</v>
      </c>
      <c r="X877" s="2">
        <v>8</v>
      </c>
      <c r="Y877" s="2">
        <v>9</v>
      </c>
      <c r="Z877" s="2">
        <v>10</v>
      </c>
    </row>
    <row r="878" spans="3:26" x14ac:dyDescent="0.25">
      <c r="D878" s="6" t="s">
        <v>69</v>
      </c>
      <c r="E878" s="6" t="s">
        <v>381</v>
      </c>
      <c r="F878" s="6" t="s">
        <v>382</v>
      </c>
      <c r="G878" s="6" t="s">
        <v>349</v>
      </c>
      <c r="H878" s="6" t="s">
        <v>383</v>
      </c>
      <c r="P878" s="10" cm="1">
        <f t="array" ref="P878">DIRECT_EFFECT("lpg","LPG","lpg_share","lpg_elasticity",0,"Overall","mean")</f>
        <v>0.71884983252064494</v>
      </c>
    </row>
    <row r="879" spans="3:26" x14ac:dyDescent="0.25">
      <c r="D879" s="6" t="s">
        <v>69</v>
      </c>
      <c r="E879" s="6" t="s">
        <v>381</v>
      </c>
      <c r="F879" s="6" t="s">
        <v>145</v>
      </c>
      <c r="G879" s="6" t="s">
        <v>349</v>
      </c>
      <c r="H879" s="6" t="s">
        <v>383</v>
      </c>
      <c r="Q879" s="10" cm="1">
        <f t="array" ref="Q879:Z879">DIRECT_EFFECT("lpg","LPG","lpg_share","lpg_elasticity",DECILE_ARRAY,"Overall","mean")</f>
        <v>1.1132827747211784</v>
      </c>
      <c r="R879">
        <v>0.95643082484638364</v>
      </c>
      <c r="S879">
        <v>0.84168889423347337</v>
      </c>
      <c r="T879">
        <v>0.72368039581105548</v>
      </c>
      <c r="U879">
        <v>0.70677932587889125</v>
      </c>
      <c r="V879">
        <v>0.65393951998868971</v>
      </c>
      <c r="W879">
        <v>0.652951403656167</v>
      </c>
      <c r="X879">
        <v>0.55870714256214016</v>
      </c>
      <c r="Y879">
        <v>0.48232925081588363</v>
      </c>
      <c r="Z879">
        <v>0.4118160578351921</v>
      </c>
    </row>
    <row r="880" spans="3:26" x14ac:dyDescent="0.25">
      <c r="D880" s="6" t="s">
        <v>69</v>
      </c>
      <c r="E880" s="6" t="s">
        <v>384</v>
      </c>
      <c r="F880" s="6" t="s">
        <v>382</v>
      </c>
      <c r="G880" s="6" t="s">
        <v>349</v>
      </c>
      <c r="H880" s="6" t="s">
        <v>383</v>
      </c>
      <c r="P880" s="10" cm="1">
        <f t="array" ref="P880">DIRECT_EFFECT("lpg","LPG","lpg_share","lpg_elasticity",0,"Urban","mean")</f>
        <v>0.37958978512817748</v>
      </c>
    </row>
    <row r="881" spans="4:26" x14ac:dyDescent="0.25">
      <c r="D881" s="6" t="s">
        <v>69</v>
      </c>
      <c r="E881" s="6" t="s">
        <v>384</v>
      </c>
      <c r="F881" s="6" t="s">
        <v>145</v>
      </c>
      <c r="G881" s="6" t="s">
        <v>349</v>
      </c>
      <c r="H881" s="6" t="s">
        <v>383</v>
      </c>
      <c r="Q881" s="10" cm="1">
        <f t="array" ref="Q881:Z881">DIRECT_EFFECT("lpg","LPG","lpg_share","lpg_elasticity",DECILE_ARRAY,"Urban","mean")</f>
        <v>0.74487118344744685</v>
      </c>
      <c r="R881">
        <v>0.54511021929346426</v>
      </c>
      <c r="S881">
        <v>0.46738183582243475</v>
      </c>
      <c r="T881">
        <v>0.39741871469944345</v>
      </c>
      <c r="U881">
        <v>0.33966642137935432</v>
      </c>
      <c r="V881">
        <v>0.37918186149962524</v>
      </c>
      <c r="W881">
        <v>0.35814596451425623</v>
      </c>
      <c r="X881">
        <v>0.27234059898978374</v>
      </c>
      <c r="Y881">
        <v>0.28243882292055628</v>
      </c>
      <c r="Z881">
        <v>0.20878680933624091</v>
      </c>
    </row>
    <row r="882" spans="4:26" x14ac:dyDescent="0.25">
      <c r="D882" s="6" t="s">
        <v>69</v>
      </c>
      <c r="E882" s="6" t="s">
        <v>385</v>
      </c>
      <c r="F882" s="6" t="s">
        <v>382</v>
      </c>
      <c r="G882" s="6" t="s">
        <v>349</v>
      </c>
      <c r="H882" s="6" t="s">
        <v>383</v>
      </c>
      <c r="P882" s="10" cm="1">
        <f t="array" ref="P882">DIRECT_EFFECT("lpg","LPG","lpg_share","lpg_elasticity",0,"Rural","mean")</f>
        <v>0.91045344694138508</v>
      </c>
    </row>
    <row r="883" spans="4:26" x14ac:dyDescent="0.25">
      <c r="D883" s="6" t="s">
        <v>69</v>
      </c>
      <c r="E883" s="6" t="s">
        <v>385</v>
      </c>
      <c r="F883" s="6" t="s">
        <v>145</v>
      </c>
      <c r="G883" s="6" t="s">
        <v>349</v>
      </c>
      <c r="H883" s="6" t="s">
        <v>383</v>
      </c>
      <c r="Q883" s="10" cm="1">
        <f t="array" ref="Q883:Z883">DIRECT_EFFECT("lpg","LPG","lpg_share","lpg_elasticity",DECILE_ARRAY,"Rural","mean")</f>
        <v>1.2471862618136254</v>
      </c>
      <c r="R883">
        <v>1.0543226198067643</v>
      </c>
      <c r="S883">
        <v>1.0076635303812762</v>
      </c>
      <c r="T883">
        <v>1.0188182266125663</v>
      </c>
      <c r="U883">
        <v>0.9547570540307545</v>
      </c>
      <c r="V883">
        <v>0.84621711864644478</v>
      </c>
      <c r="W883">
        <v>0.81635446702800829</v>
      </c>
      <c r="X883">
        <v>0.88635193220963615</v>
      </c>
      <c r="Y883">
        <v>0.92681590015464099</v>
      </c>
      <c r="Z883">
        <v>0.89837669532572018</v>
      </c>
    </row>
    <row r="884" spans="4:26" x14ac:dyDescent="0.25">
      <c r="D884" s="6" t="s">
        <v>72</v>
      </c>
      <c r="E884" s="6" t="s">
        <v>381</v>
      </c>
      <c r="F884" s="6" t="s">
        <v>382</v>
      </c>
      <c r="G884" s="6" t="s">
        <v>349</v>
      </c>
      <c r="H884" s="6" t="s">
        <v>383</v>
      </c>
      <c r="P884" s="10" cm="1">
        <f t="array" ref="P884">DIRECT_EFFECT("lpg","LPG","lpg_share","lpg_elasticity",0,"Overall","median")</f>
        <v>0.75742210810032329</v>
      </c>
    </row>
    <row r="885" spans="4:26" x14ac:dyDescent="0.25">
      <c r="D885" s="6" t="s">
        <v>72</v>
      </c>
      <c r="E885" s="6" t="s">
        <v>381</v>
      </c>
      <c r="F885" s="6" t="s">
        <v>145</v>
      </c>
      <c r="G885" s="6" t="s">
        <v>349</v>
      </c>
      <c r="H885" s="6" t="s">
        <v>383</v>
      </c>
      <c r="Q885" s="10" cm="1">
        <f t="array" ref="Q885:Z885">DIRECT_EFFECT("lpg","LPG","lpg_share","lpg_elasticity",DECILE_ARRAY,"Overall","median")</f>
        <v>1.2100032481700285</v>
      </c>
      <c r="R885">
        <v>0.98443777271406896</v>
      </c>
      <c r="S885">
        <v>0.82020752583926404</v>
      </c>
      <c r="T885">
        <v>0.79364952188773885</v>
      </c>
      <c r="U885">
        <v>0.74670123171923075</v>
      </c>
      <c r="V885">
        <v>0.67575601595561752</v>
      </c>
      <c r="W885">
        <v>0.61382642647355767</v>
      </c>
      <c r="X885">
        <v>0.55342506414443216</v>
      </c>
      <c r="Y885">
        <v>0.48628774043700163</v>
      </c>
      <c r="Z885">
        <v>0</v>
      </c>
    </row>
    <row r="886" spans="4:26" x14ac:dyDescent="0.25">
      <c r="D886" s="6" t="s">
        <v>72</v>
      </c>
      <c r="E886" s="6" t="s">
        <v>384</v>
      </c>
      <c r="F886" s="6" t="s">
        <v>382</v>
      </c>
      <c r="G886" s="6" t="s">
        <v>349</v>
      </c>
      <c r="H886" s="6" t="s">
        <v>383</v>
      </c>
      <c r="P886" s="10" cm="1">
        <f t="array" ref="P886">DIRECT_EFFECT("lpg","LPG","lpg_share","lpg_elasticity",0,"Urban","median")</f>
        <v>0</v>
      </c>
    </row>
    <row r="887" spans="4:26" x14ac:dyDescent="0.25">
      <c r="D887" s="6" t="s">
        <v>72</v>
      </c>
      <c r="E887" s="6" t="s">
        <v>384</v>
      </c>
      <c r="F887" s="6" t="s">
        <v>145</v>
      </c>
      <c r="G887" s="6" t="s">
        <v>349</v>
      </c>
      <c r="H887" s="6" t="s">
        <v>383</v>
      </c>
      <c r="Q887" s="10" cm="1">
        <f t="array" ref="Q887:Z887">DIRECT_EFFECT("lpg","LPG","lpg_share","lpg_elasticity",DECILE_ARRAY,"Urban","median")</f>
        <v>0.73328078899074545</v>
      </c>
      <c r="R887">
        <v>0.46230953894788845</v>
      </c>
      <c r="S887">
        <v>0.37329817827368328</v>
      </c>
      <c r="T887">
        <v>0</v>
      </c>
      <c r="U887">
        <v>0</v>
      </c>
      <c r="V887">
        <v>0</v>
      </c>
      <c r="W887">
        <v>0</v>
      </c>
      <c r="X887">
        <v>0</v>
      </c>
      <c r="Y887">
        <v>0</v>
      </c>
      <c r="Z887">
        <v>0</v>
      </c>
    </row>
    <row r="888" spans="4:26" x14ac:dyDescent="0.25">
      <c r="D888" s="6" t="s">
        <v>72</v>
      </c>
      <c r="E888" s="6" t="s">
        <v>385</v>
      </c>
      <c r="F888" s="6" t="s">
        <v>382</v>
      </c>
      <c r="G888" s="6" t="s">
        <v>349</v>
      </c>
      <c r="H888" s="6" t="s">
        <v>383</v>
      </c>
      <c r="P888" s="10" cm="1">
        <f t="array" ref="P888">DIRECT_EFFECT("lpg","LPG","lpg_share","lpg_elasticity",0,"Rural","median")</f>
        <v>0.9549355926358426</v>
      </c>
    </row>
    <row r="889" spans="4:26" x14ac:dyDescent="0.25">
      <c r="D889" s="6" t="s">
        <v>72</v>
      </c>
      <c r="E889" s="6" t="s">
        <v>385</v>
      </c>
      <c r="F889" s="6" t="s">
        <v>145</v>
      </c>
      <c r="G889" s="6" t="s">
        <v>349</v>
      </c>
      <c r="H889" s="6" t="s">
        <v>383</v>
      </c>
      <c r="Q889" s="10" cm="1">
        <f t="array" ref="Q889:Z889">DIRECT_EFFECT("lpg","LPG","lpg_share","lpg_elasticity",DECILE_ARRAY,"Rural","median")</f>
        <v>1.2880666609841953</v>
      </c>
      <c r="R889">
        <v>1.0748780006531724</v>
      </c>
      <c r="S889">
        <v>1.0420793826420673</v>
      </c>
      <c r="T889">
        <v>0.8765608412959478</v>
      </c>
      <c r="U889">
        <v>0.8442926214457398</v>
      </c>
      <c r="V889">
        <v>0.78017202596349233</v>
      </c>
      <c r="W889">
        <v>0.87851368213398462</v>
      </c>
      <c r="X889">
        <v>0.78341265168236451</v>
      </c>
      <c r="Y889">
        <v>0.79708286576835174</v>
      </c>
      <c r="Z889">
        <v>0.7746379940484055</v>
      </c>
    </row>
    <row r="890" spans="4:26" x14ac:dyDescent="0.25">
      <c r="D890" s="6" t="s">
        <v>75</v>
      </c>
      <c r="E890" s="6" t="s">
        <v>381</v>
      </c>
      <c r="F890" s="6" t="s">
        <v>382</v>
      </c>
      <c r="G890" s="6" t="s">
        <v>349</v>
      </c>
      <c r="H890" s="6" t="s">
        <v>383</v>
      </c>
      <c r="P890" s="10" cm="1">
        <f t="array" ref="P890">DIRECT_EFFECT("lpg","LPG","lpg_share","lpg_elasticity",0,"Overall","p25")</f>
        <v>0</v>
      </c>
    </row>
    <row r="891" spans="4:26" x14ac:dyDescent="0.25">
      <c r="D891" s="6" t="s">
        <v>75</v>
      </c>
      <c r="E891" s="6" t="s">
        <v>381</v>
      </c>
      <c r="F891" s="6" t="s">
        <v>145</v>
      </c>
      <c r="G891" s="6" t="s">
        <v>349</v>
      </c>
      <c r="H891" s="6" t="s">
        <v>383</v>
      </c>
      <c r="Q891" s="10" cm="1">
        <f t="array" ref="Q891:Z891">DIRECT_EFFECT("lpg","LPG","lpg_share","lpg_elasticity",DECILE_ARRAY,"Overall","p25")</f>
        <v>0.79636531959858636</v>
      </c>
      <c r="R891">
        <v>0.67260914208270195</v>
      </c>
      <c r="S891">
        <v>0.54122914779062981</v>
      </c>
      <c r="T891">
        <v>0.43036118377803589</v>
      </c>
      <c r="U891">
        <v>3.5625701710309259E-2</v>
      </c>
      <c r="V891">
        <v>0</v>
      </c>
      <c r="W891">
        <v>0</v>
      </c>
      <c r="X891">
        <v>0</v>
      </c>
      <c r="Y891">
        <v>0</v>
      </c>
      <c r="Z891">
        <v>0</v>
      </c>
    </row>
    <row r="892" spans="4:26" x14ac:dyDescent="0.25">
      <c r="D892" s="6" t="s">
        <v>75</v>
      </c>
      <c r="E892" s="6" t="s">
        <v>384</v>
      </c>
      <c r="F892" s="6" t="s">
        <v>382</v>
      </c>
      <c r="G892" s="6" t="s">
        <v>349</v>
      </c>
      <c r="H892" s="6" t="s">
        <v>383</v>
      </c>
      <c r="P892" s="10" cm="1">
        <f t="array" ref="P892">DIRECT_EFFECT("lpg","LPG","lpg_share","lpg_elasticity",0,"Urban","p25")</f>
        <v>0</v>
      </c>
    </row>
    <row r="893" spans="4:26" x14ac:dyDescent="0.25">
      <c r="D893" s="6" t="s">
        <v>75</v>
      </c>
      <c r="E893" s="6" t="s">
        <v>384</v>
      </c>
      <c r="F893" s="6" t="s">
        <v>145</v>
      </c>
      <c r="G893" s="6" t="s">
        <v>349</v>
      </c>
      <c r="H893" s="6" t="s">
        <v>383</v>
      </c>
      <c r="Q893" s="10" cm="1">
        <f t="array" ref="Q893:Z893">DIRECT_EFFECT("lpg","LPG","lpg_share","lpg_elasticity",DECILE_ARRAY,"Urban","p25")</f>
        <v>0</v>
      </c>
      <c r="R893">
        <v>0</v>
      </c>
      <c r="S893">
        <v>0</v>
      </c>
      <c r="T893">
        <v>0</v>
      </c>
      <c r="U893">
        <v>0</v>
      </c>
      <c r="V893">
        <v>0</v>
      </c>
      <c r="W893">
        <v>0</v>
      </c>
      <c r="X893">
        <v>0</v>
      </c>
      <c r="Y893">
        <v>0</v>
      </c>
      <c r="Z893">
        <v>0</v>
      </c>
    </row>
    <row r="894" spans="4:26" x14ac:dyDescent="0.25">
      <c r="D894" s="6" t="s">
        <v>75</v>
      </c>
      <c r="E894" s="6" t="s">
        <v>385</v>
      </c>
      <c r="F894" s="6" t="s">
        <v>382</v>
      </c>
      <c r="G894" s="6" t="s">
        <v>349</v>
      </c>
      <c r="H894" s="6" t="s">
        <v>383</v>
      </c>
      <c r="P894" s="10" cm="1">
        <f t="array" ref="P894">DIRECT_EFFECT("lpg","LPG","lpg_share","lpg_elasticity",0,"Rural","p25")</f>
        <v>0.65878804829863336</v>
      </c>
    </row>
    <row r="895" spans="4:26" x14ac:dyDescent="0.25">
      <c r="D895" s="6" t="s">
        <v>75</v>
      </c>
      <c r="E895" s="6" t="s">
        <v>385</v>
      </c>
      <c r="F895" s="6" t="s">
        <v>145</v>
      </c>
      <c r="G895" s="6" t="s">
        <v>349</v>
      </c>
      <c r="H895" s="6" t="s">
        <v>383</v>
      </c>
      <c r="Q895" s="10" cm="1">
        <f t="array" ref="Q895:Z895">DIRECT_EFFECT("lpg","LPG","lpg_share","lpg_elasticity",DECILE_ARRAY,"Rural","p25")</f>
        <v>0.98445687633593248</v>
      </c>
      <c r="R895">
        <v>0.88995962278240137</v>
      </c>
      <c r="S895">
        <v>0.76101676535204921</v>
      </c>
      <c r="T895">
        <v>0.73522923700671794</v>
      </c>
      <c r="U895">
        <v>0.65388043357223358</v>
      </c>
      <c r="V895">
        <v>0.70097115036684399</v>
      </c>
      <c r="W895">
        <v>0.5911153694542417</v>
      </c>
      <c r="X895">
        <v>0.64501463120946545</v>
      </c>
      <c r="Y895">
        <v>0.58010208188686729</v>
      </c>
      <c r="Z895">
        <v>0.60226313918640584</v>
      </c>
    </row>
    <row r="896" spans="4:26" x14ac:dyDescent="0.25">
      <c r="D896" s="6" t="s">
        <v>78</v>
      </c>
      <c r="E896" s="6" t="s">
        <v>381</v>
      </c>
      <c r="F896" s="6" t="s">
        <v>382</v>
      </c>
      <c r="G896" s="6" t="s">
        <v>349</v>
      </c>
      <c r="H896" s="6" t="s">
        <v>383</v>
      </c>
      <c r="P896" s="10" cm="1">
        <f t="array" ref="P896">DIRECT_EFFECT("lpg","LPG","lpg_share","lpg_elasticity",0,"Overall","p75")</f>
        <v>1.1195025684564304</v>
      </c>
    </row>
    <row r="897" spans="3:26" x14ac:dyDescent="0.25">
      <c r="D897" s="6" t="s">
        <v>78</v>
      </c>
      <c r="E897" s="6" t="s">
        <v>381</v>
      </c>
      <c r="F897" s="6" t="s">
        <v>145</v>
      </c>
      <c r="G897" s="6" t="s">
        <v>349</v>
      </c>
      <c r="H897" s="6" t="s">
        <v>383</v>
      </c>
      <c r="Q897" s="10" cm="1">
        <f t="array" ref="Q897:Z897">DIRECT_EFFECT("lpg","LPG","lpg_share","lpg_elasticity",DECILE_ARRAY,"Overall","p75")</f>
        <v>1.5588433843907412</v>
      </c>
      <c r="R897">
        <v>1.2862588384767237</v>
      </c>
      <c r="S897">
        <v>1.1476823102713885</v>
      </c>
      <c r="T897">
        <v>1.02093270955866</v>
      </c>
      <c r="U897">
        <v>0.95639999738409143</v>
      </c>
      <c r="V897">
        <v>0.97542733773946178</v>
      </c>
      <c r="W897">
        <v>0.89801113435274227</v>
      </c>
      <c r="X897">
        <v>0.97877420804959869</v>
      </c>
      <c r="Y897">
        <v>0.86059899881551238</v>
      </c>
      <c r="Z897">
        <v>0.82754974994934605</v>
      </c>
    </row>
    <row r="898" spans="3:26" x14ac:dyDescent="0.25">
      <c r="D898" s="6" t="s">
        <v>78</v>
      </c>
      <c r="E898" s="6" t="s">
        <v>384</v>
      </c>
      <c r="F898" s="6" t="s">
        <v>382</v>
      </c>
      <c r="G898" s="6" t="s">
        <v>349</v>
      </c>
      <c r="H898" s="6" t="s">
        <v>383</v>
      </c>
      <c r="P898" s="10" cm="1">
        <f t="array" ref="P898">DIRECT_EFFECT("lpg","LPG","lpg_share","lpg_elasticity",0,"Urban","p75")</f>
        <v>0.80515826674225177</v>
      </c>
    </row>
    <row r="899" spans="3:26" x14ac:dyDescent="0.25">
      <c r="D899" s="6" t="s">
        <v>78</v>
      </c>
      <c r="E899" s="6" t="s">
        <v>384</v>
      </c>
      <c r="F899" s="6" t="s">
        <v>145</v>
      </c>
      <c r="G899" s="6" t="s">
        <v>349</v>
      </c>
      <c r="H899" s="6" t="s">
        <v>383</v>
      </c>
      <c r="Q899" s="10" cm="1">
        <f t="array" ref="Q899:Z899">DIRECT_EFFECT("lpg","LPG","lpg_share","lpg_elasticity",DECILE_ARRAY,"Urban","p75")</f>
        <v>1.2166577389913225</v>
      </c>
      <c r="R899">
        <v>0.98411909219468052</v>
      </c>
      <c r="S899">
        <v>0.93843943346025671</v>
      </c>
      <c r="T899">
        <v>0.85086581424700714</v>
      </c>
      <c r="U899">
        <v>0.8034854743311054</v>
      </c>
      <c r="V899">
        <v>0.65084602819556647</v>
      </c>
      <c r="W899">
        <v>0.65319675411444467</v>
      </c>
      <c r="X899">
        <v>0.51122604911876801</v>
      </c>
      <c r="Y899">
        <v>0.48487308344521446</v>
      </c>
      <c r="Z899">
        <v>0.32315040910671705</v>
      </c>
    </row>
    <row r="900" spans="3:26" x14ac:dyDescent="0.25">
      <c r="D900" s="6" t="s">
        <v>78</v>
      </c>
      <c r="E900" s="6" t="s">
        <v>385</v>
      </c>
      <c r="F900" s="6" t="s">
        <v>382</v>
      </c>
      <c r="G900" s="6" t="s">
        <v>349</v>
      </c>
      <c r="H900" s="6" t="s">
        <v>383</v>
      </c>
      <c r="P900" s="10" cm="1">
        <f t="array" ref="P900">DIRECT_EFFECT("lpg","LPG","lpg_share","lpg_elasticity",0,"Rural","p75")</f>
        <v>1.1738777506156342</v>
      </c>
    </row>
    <row r="901" spans="3:26" x14ac:dyDescent="0.25">
      <c r="D901" s="6" t="s">
        <v>78</v>
      </c>
      <c r="E901" s="6" t="s">
        <v>385</v>
      </c>
      <c r="F901" s="6" t="s">
        <v>145</v>
      </c>
      <c r="G901" s="6" t="s">
        <v>349</v>
      </c>
      <c r="H901" s="6" t="s">
        <v>383</v>
      </c>
      <c r="Q901" s="10" cm="1">
        <f t="array" ref="Q901:Z901">DIRECT_EFFECT("lpg","LPG","lpg_share","lpg_elasticity",DECILE_ARRAY,"Rural","p75")</f>
        <v>1.6300613319435946</v>
      </c>
      <c r="R901">
        <v>1.2362439487985937</v>
      </c>
      <c r="S901">
        <v>1.156138275582417</v>
      </c>
      <c r="T901">
        <v>1.1427506294295899</v>
      </c>
      <c r="U901">
        <v>1.0640418731706487</v>
      </c>
      <c r="V901">
        <v>1.0011326051421343</v>
      </c>
      <c r="W901">
        <v>1.0492428401029423</v>
      </c>
      <c r="X901">
        <v>1.1593821493451921</v>
      </c>
      <c r="Y901">
        <v>1.0381062766952303</v>
      </c>
      <c r="Z901">
        <v>1.1719816845772597</v>
      </c>
    </row>
    <row r="903" spans="3:26" x14ac:dyDescent="0.25">
      <c r="C903" s="7" t="s">
        <v>425</v>
      </c>
      <c r="G903" s="6" t="s">
        <v>426</v>
      </c>
      <c r="O903" s="2" t="s">
        <v>331</v>
      </c>
      <c r="Q903" s="2">
        <v>1</v>
      </c>
      <c r="R903" s="2">
        <v>2</v>
      </c>
      <c r="S903" s="2">
        <v>3</v>
      </c>
      <c r="T903" s="2">
        <v>4</v>
      </c>
      <c r="U903" s="2">
        <v>5</v>
      </c>
      <c r="V903" s="2">
        <v>6</v>
      </c>
      <c r="W903" s="2">
        <v>7</v>
      </c>
      <c r="X903" s="2">
        <v>8</v>
      </c>
      <c r="Y903" s="2">
        <v>9</v>
      </c>
      <c r="Z903" s="2">
        <v>10</v>
      </c>
    </row>
    <row r="904" spans="3:26" x14ac:dyDescent="0.25">
      <c r="D904" s="6" t="s">
        <v>69</v>
      </c>
      <c r="E904" s="6" t="s">
        <v>381</v>
      </c>
      <c r="F904" s="6" t="s">
        <v>382</v>
      </c>
      <c r="G904" s="6" t="s">
        <v>426</v>
      </c>
      <c r="H904" s="6" t="s">
        <v>383</v>
      </c>
      <c r="P904" s="10" cm="1">
        <f t="array" ref="P904">TOTAL_DIRECT_EFFECT(0,"Overall","mean")</f>
        <v>1.7733202980593195</v>
      </c>
    </row>
    <row r="905" spans="3:26" x14ac:dyDescent="0.25">
      <c r="D905" s="6" t="s">
        <v>69</v>
      </c>
      <c r="E905" s="6" t="s">
        <v>381</v>
      </c>
      <c r="F905" s="6" t="s">
        <v>145</v>
      </c>
      <c r="G905" s="6" t="s">
        <v>426</v>
      </c>
      <c r="H905" s="6" t="s">
        <v>383</v>
      </c>
      <c r="Q905" s="10" cm="1">
        <f t="array" ref="Q905:Z905">TOTAL_DIRECT_EFFECT(DECILE_ARRAY,"Overall","mean")</f>
        <v>2.1169850239778665</v>
      </c>
      <c r="R905">
        <v>1.9113702913301662</v>
      </c>
      <c r="S905">
        <v>1.8364869412375369</v>
      </c>
      <c r="T905">
        <v>1.6790322136396214</v>
      </c>
      <c r="U905">
        <v>1.6869529576421971</v>
      </c>
      <c r="V905">
        <v>1.6562420375870344</v>
      </c>
      <c r="W905">
        <v>1.7219627864618869</v>
      </c>
      <c r="X905">
        <v>1.7140503000424738</v>
      </c>
      <c r="Y905">
        <v>1.6297357594117348</v>
      </c>
      <c r="Z905">
        <v>1.6984948122461274</v>
      </c>
    </row>
    <row r="906" spans="3:26" x14ac:dyDescent="0.25">
      <c r="D906" s="6" t="s">
        <v>69</v>
      </c>
      <c r="E906" s="6" t="s">
        <v>384</v>
      </c>
      <c r="F906" s="6" t="s">
        <v>382</v>
      </c>
      <c r="G906" s="6" t="s">
        <v>426</v>
      </c>
      <c r="H906" s="6" t="s">
        <v>383</v>
      </c>
      <c r="P906" s="10" cm="1">
        <f t="array" ref="P906">TOTAL_DIRECT_EFFECT(0,"Urban","mean")</f>
        <v>1.627634929572441</v>
      </c>
    </row>
    <row r="907" spans="3:26" x14ac:dyDescent="0.25">
      <c r="D907" s="6" t="s">
        <v>69</v>
      </c>
      <c r="E907" s="6" t="s">
        <v>384</v>
      </c>
      <c r="F907" s="6" t="s">
        <v>145</v>
      </c>
      <c r="G907" s="6" t="s">
        <v>426</v>
      </c>
      <c r="H907" s="6" t="s">
        <v>383</v>
      </c>
      <c r="Q907" s="10" cm="1">
        <f t="array" ref="Q907:Z907">TOTAL_DIRECT_EFFECT(DECILE_ARRAY,"Urban","mean")</f>
        <v>1.8752677329466807</v>
      </c>
      <c r="R907">
        <v>1.6162566208022733</v>
      </c>
      <c r="S907">
        <v>1.5856049860687658</v>
      </c>
      <c r="T907">
        <v>1.5104038170761174</v>
      </c>
      <c r="U907">
        <v>1.4783700791505314</v>
      </c>
      <c r="V907">
        <v>1.4965590196747651</v>
      </c>
      <c r="W907">
        <v>1.65088544845163</v>
      </c>
      <c r="X907">
        <v>1.511598721223278</v>
      </c>
      <c r="Y907">
        <v>1.5823125612189957</v>
      </c>
      <c r="Z907">
        <v>1.6082682259002212</v>
      </c>
    </row>
    <row r="908" spans="3:26" x14ac:dyDescent="0.25">
      <c r="D908" s="6" t="s">
        <v>69</v>
      </c>
      <c r="E908" s="6" t="s">
        <v>385</v>
      </c>
      <c r="F908" s="6" t="s">
        <v>382</v>
      </c>
      <c r="G908" s="6" t="s">
        <v>426</v>
      </c>
      <c r="H908" s="6" t="s">
        <v>383</v>
      </c>
      <c r="P908" s="10" cm="1">
        <f t="array" ref="P908">TOTAL_DIRECT_EFFECT(0,"Rural","mean")</f>
        <v>1.8518805542939405</v>
      </c>
    </row>
    <row r="909" spans="3:26" x14ac:dyDescent="0.25">
      <c r="D909" s="6" t="s">
        <v>69</v>
      </c>
      <c r="E909" s="6" t="s">
        <v>385</v>
      </c>
      <c r="F909" s="6" t="s">
        <v>145</v>
      </c>
      <c r="G909" s="6" t="s">
        <v>426</v>
      </c>
      <c r="H909" s="6" t="s">
        <v>383</v>
      </c>
      <c r="Q909" s="10" cm="1">
        <f t="array" ref="Q909:Z909">TOTAL_DIRECT_EFFECT(DECILE_ARRAY,"Rural","mean")</f>
        <v>2.188967454817532</v>
      </c>
      <c r="R909">
        <v>1.9459240705562406</v>
      </c>
      <c r="S909">
        <v>1.867071936443603</v>
      </c>
      <c r="T909">
        <v>1.9128562851652657</v>
      </c>
      <c r="U909">
        <v>1.8392111498738062</v>
      </c>
      <c r="V909">
        <v>1.7716733095470505</v>
      </c>
      <c r="W909">
        <v>1.7002717421566964</v>
      </c>
      <c r="X909">
        <v>1.8443910920533684</v>
      </c>
      <c r="Y909">
        <v>1.8530524391562371</v>
      </c>
      <c r="Z909">
        <v>1.934418086632085</v>
      </c>
    </row>
    <row r="910" spans="3:26" x14ac:dyDescent="0.25">
      <c r="D910" s="6" t="s">
        <v>72</v>
      </c>
      <c r="E910" s="6" t="s">
        <v>381</v>
      </c>
      <c r="F910" s="6" t="s">
        <v>382</v>
      </c>
      <c r="G910" s="6" t="s">
        <v>426</v>
      </c>
      <c r="H910" s="6" t="s">
        <v>383</v>
      </c>
      <c r="P910" s="10" cm="1">
        <f t="array" ref="P910">TOTAL_DIRECT_EFFECT(0,"Overall","median")</f>
        <v>1.4169487276742398</v>
      </c>
    </row>
    <row r="911" spans="3:26" x14ac:dyDescent="0.25">
      <c r="D911" s="6" t="s">
        <v>72</v>
      </c>
      <c r="E911" s="6" t="s">
        <v>381</v>
      </c>
      <c r="F911" s="6" t="s">
        <v>145</v>
      </c>
      <c r="G911" s="6" t="s">
        <v>426</v>
      </c>
      <c r="H911" s="6" t="s">
        <v>383</v>
      </c>
      <c r="Q911" s="10" cm="1">
        <f t="array" ref="Q911:Z911">TOTAL_DIRECT_EFFECT(DECILE_ARRAY,"Overall","median")</f>
        <v>1.9596533322799514</v>
      </c>
      <c r="R911">
        <v>1.6196952681052155</v>
      </c>
      <c r="S911">
        <v>1.4765539597152972</v>
      </c>
      <c r="T911">
        <v>1.4331504005631723</v>
      </c>
      <c r="U911">
        <v>1.3954160375887148</v>
      </c>
      <c r="V911">
        <v>1.3179865077869048</v>
      </c>
      <c r="W911">
        <v>1.2318483965722655</v>
      </c>
      <c r="X911">
        <v>1.2186417082836951</v>
      </c>
      <c r="Y911">
        <v>1.1899163357927489</v>
      </c>
      <c r="Z911">
        <v>0.84060160622258551</v>
      </c>
    </row>
    <row r="912" spans="3:26" x14ac:dyDescent="0.25">
      <c r="D912" s="6" t="s">
        <v>72</v>
      </c>
      <c r="E912" s="6" t="s">
        <v>384</v>
      </c>
      <c r="F912" s="6" t="s">
        <v>382</v>
      </c>
      <c r="G912" s="6" t="s">
        <v>426</v>
      </c>
      <c r="H912" s="6" t="s">
        <v>383</v>
      </c>
      <c r="P912" s="10" cm="1">
        <f t="array" ref="P912">TOTAL_DIRECT_EFFECT(0,"Urban","median")</f>
        <v>0.85468932351391547</v>
      </c>
    </row>
    <row r="913" spans="4:26" x14ac:dyDescent="0.25">
      <c r="D913" s="6" t="s">
        <v>72</v>
      </c>
      <c r="E913" s="6" t="s">
        <v>384</v>
      </c>
      <c r="F913" s="6" t="s">
        <v>145</v>
      </c>
      <c r="G913" s="6" t="s">
        <v>426</v>
      </c>
      <c r="H913" s="6" t="s">
        <v>383</v>
      </c>
      <c r="Q913" s="10" cm="1">
        <f t="array" ref="Q913:Z913">TOTAL_DIRECT_EFFECT(DECILE_ARRAY,"Urban","median")</f>
        <v>1.3958129718195154</v>
      </c>
      <c r="R913">
        <v>1.1211417529078249</v>
      </c>
      <c r="S913">
        <v>1.1817577559396302</v>
      </c>
      <c r="T913">
        <v>0.85448695830608057</v>
      </c>
      <c r="U913">
        <v>0.8976473830203755</v>
      </c>
      <c r="V913">
        <v>0.86433930702845219</v>
      </c>
      <c r="W913">
        <v>0.85867543950004954</v>
      </c>
      <c r="X913">
        <v>0.91132402703134108</v>
      </c>
      <c r="Y913">
        <v>0.96657995390002105</v>
      </c>
      <c r="Z913">
        <v>1.0351987320152158</v>
      </c>
    </row>
    <row r="914" spans="4:26" x14ac:dyDescent="0.25">
      <c r="D914" s="6" t="s">
        <v>72</v>
      </c>
      <c r="E914" s="6" t="s">
        <v>385</v>
      </c>
      <c r="F914" s="6" t="s">
        <v>382</v>
      </c>
      <c r="G914" s="6" t="s">
        <v>426</v>
      </c>
      <c r="H914" s="6" t="s">
        <v>383</v>
      </c>
      <c r="P914" s="10" cm="1">
        <f t="array" ref="P914">TOTAL_DIRECT_EFFECT(0,"Rural","median")</f>
        <v>1.6252160131102666</v>
      </c>
    </row>
    <row r="915" spans="4:26" x14ac:dyDescent="0.25">
      <c r="D915" s="6" t="s">
        <v>72</v>
      </c>
      <c r="E915" s="6" t="s">
        <v>385</v>
      </c>
      <c r="F915" s="6" t="s">
        <v>145</v>
      </c>
      <c r="G915" s="6" t="s">
        <v>426</v>
      </c>
      <c r="H915" s="6" t="s">
        <v>383</v>
      </c>
      <c r="Q915" s="10" cm="1">
        <f t="array" ref="Q915:Z915">TOTAL_DIRECT_EFFECT(DECILE_ARRAY,"Rural","median")</f>
        <v>2.0096658354328896</v>
      </c>
      <c r="R915">
        <v>1.748050889405194</v>
      </c>
      <c r="S915">
        <v>1.7197872181248484</v>
      </c>
      <c r="T915">
        <v>1.4769300584508454</v>
      </c>
      <c r="U915">
        <v>1.4558809936054495</v>
      </c>
      <c r="V915">
        <v>1.3692804976290835</v>
      </c>
      <c r="W915">
        <v>1.5241094054445741</v>
      </c>
      <c r="X915">
        <v>1.419422793379604</v>
      </c>
      <c r="Y915">
        <v>1.4248832650141647</v>
      </c>
      <c r="Z915">
        <v>1.4880735087900399</v>
      </c>
    </row>
    <row r="916" spans="4:26" x14ac:dyDescent="0.25">
      <c r="D916" s="6" t="s">
        <v>75</v>
      </c>
      <c r="E916" s="6" t="s">
        <v>381</v>
      </c>
      <c r="F916" s="6" t="s">
        <v>382</v>
      </c>
      <c r="G916" s="6" t="s">
        <v>426</v>
      </c>
      <c r="H916" s="6" t="s">
        <v>383</v>
      </c>
      <c r="P916" s="10" cm="1">
        <f t="array" ref="P916">TOTAL_DIRECT_EFFECT(0,"Overall","p25")</f>
        <v>0.47897393186294851</v>
      </c>
    </row>
    <row r="917" spans="4:26" x14ac:dyDescent="0.25">
      <c r="D917" s="6" t="s">
        <v>75</v>
      </c>
      <c r="E917" s="6" t="s">
        <v>381</v>
      </c>
      <c r="F917" s="6" t="s">
        <v>145</v>
      </c>
      <c r="G917" s="6" t="s">
        <v>426</v>
      </c>
      <c r="H917" s="6" t="s">
        <v>383</v>
      </c>
      <c r="Q917" s="10" cm="1">
        <f t="array" ref="Q917:Z917">TOTAL_DIRECT_EFFECT(DECILE_ARRAY,"Overall","p25")</f>
        <v>1.2716739187268238</v>
      </c>
      <c r="R917">
        <v>1.1525877633518871</v>
      </c>
      <c r="S917">
        <v>1.0186840091287479</v>
      </c>
      <c r="T917">
        <v>0.8815198198048112</v>
      </c>
      <c r="U917">
        <v>0.49569612344968883</v>
      </c>
      <c r="V917">
        <v>0.45789437073188494</v>
      </c>
      <c r="W917">
        <v>0.47344392003128677</v>
      </c>
      <c r="X917">
        <v>0.47381081118624363</v>
      </c>
      <c r="Y917">
        <v>0.4749549194072793</v>
      </c>
      <c r="Z917">
        <v>0.46320681649781126</v>
      </c>
    </row>
    <row r="918" spans="4:26" x14ac:dyDescent="0.25">
      <c r="D918" s="6" t="s">
        <v>75</v>
      </c>
      <c r="E918" s="6" t="s">
        <v>384</v>
      </c>
      <c r="F918" s="6" t="s">
        <v>382</v>
      </c>
      <c r="G918" s="6" t="s">
        <v>426</v>
      </c>
      <c r="H918" s="6" t="s">
        <v>383</v>
      </c>
      <c r="P918" s="10" cm="1">
        <f t="array" ref="P918">TOTAL_DIRECT_EFFECT(0,"Urban","p25")</f>
        <v>0.4230109322665615</v>
      </c>
    </row>
    <row r="919" spans="4:26" x14ac:dyDescent="0.25">
      <c r="D919" s="6" t="s">
        <v>75</v>
      </c>
      <c r="E919" s="6" t="s">
        <v>384</v>
      </c>
      <c r="F919" s="6" t="s">
        <v>145</v>
      </c>
      <c r="G919" s="6" t="s">
        <v>426</v>
      </c>
      <c r="H919" s="6" t="s">
        <v>383</v>
      </c>
      <c r="Q919" s="10" cm="1">
        <f t="array" ref="Q919:Z919">TOTAL_DIRECT_EFFECT(DECILE_ARRAY,"Urban","p25")</f>
        <v>0.45267689312368675</v>
      </c>
      <c r="R919">
        <v>0.4265230081134927</v>
      </c>
      <c r="S919">
        <v>0.44946568100167511</v>
      </c>
      <c r="T919">
        <v>0.44852945243790859</v>
      </c>
      <c r="U919">
        <v>0.45199261610013552</v>
      </c>
      <c r="V919">
        <v>0.46188290062121312</v>
      </c>
      <c r="W919">
        <v>0.4661365966433233</v>
      </c>
      <c r="X919">
        <v>0.42991958056386537</v>
      </c>
      <c r="Y919">
        <v>0.5010422698478183</v>
      </c>
      <c r="Z919">
        <v>0.49102508514320792</v>
      </c>
    </row>
    <row r="920" spans="4:26" x14ac:dyDescent="0.25">
      <c r="D920" s="6" t="s">
        <v>75</v>
      </c>
      <c r="E920" s="6" t="s">
        <v>385</v>
      </c>
      <c r="F920" s="6" t="s">
        <v>382</v>
      </c>
      <c r="G920" s="6" t="s">
        <v>426</v>
      </c>
      <c r="H920" s="6" t="s">
        <v>383</v>
      </c>
      <c r="P920" s="10" cm="1">
        <f t="array" ref="P920">TOTAL_DIRECT_EFFECT(0,"Rural","p25")</f>
        <v>1.1718410257414846</v>
      </c>
    </row>
    <row r="921" spans="4:26" x14ac:dyDescent="0.25">
      <c r="D921" s="6" t="s">
        <v>75</v>
      </c>
      <c r="E921" s="6" t="s">
        <v>385</v>
      </c>
      <c r="F921" s="6" t="s">
        <v>145</v>
      </c>
      <c r="G921" s="6" t="s">
        <v>426</v>
      </c>
      <c r="H921" s="6" t="s">
        <v>383</v>
      </c>
      <c r="Q921" s="10" cm="1">
        <f t="array" ref="Q921:Z921">TOTAL_DIRECT_EFFECT(DECILE_ARRAY,"Rural","p25")</f>
        <v>1.5242798461353511</v>
      </c>
      <c r="R921">
        <v>1.3957300213230075</v>
      </c>
      <c r="S921">
        <v>1.2406586667605151</v>
      </c>
      <c r="T921">
        <v>1.1928881201295916</v>
      </c>
      <c r="U921">
        <v>1.1166521958254378</v>
      </c>
      <c r="V921">
        <v>1.1524044181778992</v>
      </c>
      <c r="W921">
        <v>1.0289317559727795</v>
      </c>
      <c r="X921">
        <v>1.0782982315233343</v>
      </c>
      <c r="Y921">
        <v>1.0682933518625999</v>
      </c>
      <c r="Z921">
        <v>1.126682549194205</v>
      </c>
    </row>
    <row r="922" spans="4:26" x14ac:dyDescent="0.25">
      <c r="D922" s="6" t="s">
        <v>78</v>
      </c>
      <c r="E922" s="6" t="s">
        <v>381</v>
      </c>
      <c r="F922" s="6" t="s">
        <v>382</v>
      </c>
      <c r="G922" s="6" t="s">
        <v>426</v>
      </c>
      <c r="H922" s="6" t="s">
        <v>383</v>
      </c>
      <c r="P922" s="10" cm="1">
        <f t="array" ref="P922">TOTAL_DIRECT_EFFECT(0,"Overall","p75")</f>
        <v>2.2283095828895316</v>
      </c>
    </row>
    <row r="923" spans="4:26" x14ac:dyDescent="0.25">
      <c r="D923" s="6" t="s">
        <v>78</v>
      </c>
      <c r="E923" s="6" t="s">
        <v>381</v>
      </c>
      <c r="F923" s="6" t="s">
        <v>145</v>
      </c>
      <c r="G923" s="6" t="s">
        <v>426</v>
      </c>
      <c r="H923" s="6" t="s">
        <v>383</v>
      </c>
      <c r="Q923" s="10" cm="1">
        <f t="array" ref="Q923:Z923">TOTAL_DIRECT_EFFECT(DECILE_ARRAY,"Overall","p75")</f>
        <v>2.4972164800967009</v>
      </c>
      <c r="R923">
        <v>2.169773239659917</v>
      </c>
      <c r="S923">
        <v>2.0218180871277367</v>
      </c>
      <c r="T923">
        <v>1.8096364057846168</v>
      </c>
      <c r="U923">
        <v>2.0601692097261899</v>
      </c>
      <c r="V923">
        <v>2.0790184968694998</v>
      </c>
      <c r="W923">
        <v>2.0581767846937575</v>
      </c>
      <c r="X923">
        <v>2.1861987319474956</v>
      </c>
      <c r="Y923">
        <v>2.0633913792923582</v>
      </c>
      <c r="Z923">
        <v>2.1865309127873793</v>
      </c>
    </row>
    <row r="924" spans="4:26" x14ac:dyDescent="0.25">
      <c r="D924" s="6" t="s">
        <v>78</v>
      </c>
      <c r="E924" s="6" t="s">
        <v>384</v>
      </c>
      <c r="F924" s="6" t="s">
        <v>382</v>
      </c>
      <c r="G924" s="6" t="s">
        <v>426</v>
      </c>
      <c r="H924" s="6" t="s">
        <v>383</v>
      </c>
      <c r="P924" s="10" cm="1">
        <f t="array" ref="P924">TOTAL_DIRECT_EFFECT(0,"Urban","p75")</f>
        <v>2.1746035471719023</v>
      </c>
    </row>
    <row r="925" spans="4:26" x14ac:dyDescent="0.25">
      <c r="D925" s="6" t="s">
        <v>78</v>
      </c>
      <c r="E925" s="6" t="s">
        <v>384</v>
      </c>
      <c r="F925" s="6" t="s">
        <v>145</v>
      </c>
      <c r="G925" s="6" t="s">
        <v>426</v>
      </c>
      <c r="H925" s="6" t="s">
        <v>383</v>
      </c>
      <c r="Q925" s="10" cm="1">
        <f t="array" ref="Q925:Z925">TOTAL_DIRECT_EFFECT(DECILE_ARRAY,"Urban","p75")</f>
        <v>2.686215327936273</v>
      </c>
      <c r="R925">
        <v>2.3891100770120732</v>
      </c>
      <c r="S925">
        <v>2.2506876443806108</v>
      </c>
      <c r="T925">
        <v>2.154718878541432</v>
      </c>
      <c r="U925">
        <v>2.1817629381174335</v>
      </c>
      <c r="V925">
        <v>1.9517572967776959</v>
      </c>
      <c r="W925">
        <v>2.0412180020665938</v>
      </c>
      <c r="X925">
        <v>1.9410739232065466</v>
      </c>
      <c r="Y925">
        <v>1.9044967141159201</v>
      </c>
      <c r="Z925">
        <v>1.8524270637320703</v>
      </c>
    </row>
    <row r="926" spans="4:26" x14ac:dyDescent="0.25">
      <c r="D926" s="6" t="s">
        <v>78</v>
      </c>
      <c r="E926" s="6" t="s">
        <v>385</v>
      </c>
      <c r="F926" s="6" t="s">
        <v>382</v>
      </c>
      <c r="G926" s="6" t="s">
        <v>426</v>
      </c>
      <c r="H926" s="6" t="s">
        <v>383</v>
      </c>
      <c r="P926" s="10" cm="1">
        <f t="array" ref="P926">TOTAL_DIRECT_EFFECT(0,"Rural","p75")</f>
        <v>2.0046083009977291</v>
      </c>
    </row>
    <row r="927" spans="4:26" x14ac:dyDescent="0.25">
      <c r="D927" s="6" t="s">
        <v>78</v>
      </c>
      <c r="E927" s="6" t="s">
        <v>385</v>
      </c>
      <c r="F927" s="6" t="s">
        <v>145</v>
      </c>
      <c r="G927" s="6" t="s">
        <v>426</v>
      </c>
      <c r="H927" s="6" t="s">
        <v>383</v>
      </c>
      <c r="Q927" s="10" cm="1">
        <f t="array" ref="Q927:Z927">TOTAL_DIRECT_EFFECT(DECILE_ARRAY,"Rural","p75")</f>
        <v>2.5236076597984725</v>
      </c>
      <c r="R927">
        <v>2.1738266064481753</v>
      </c>
      <c r="S927">
        <v>2.0682478180860353</v>
      </c>
      <c r="T927">
        <v>2.0257701387777836</v>
      </c>
      <c r="U927">
        <v>1.8812976377934585</v>
      </c>
      <c r="V927">
        <v>1.8845759912680133</v>
      </c>
      <c r="W927">
        <v>1.9269538701826898</v>
      </c>
      <c r="X927">
        <v>2.0253131890919169</v>
      </c>
      <c r="Y927">
        <v>1.9845643232572701</v>
      </c>
      <c r="Z927">
        <v>2.1782753514741362</v>
      </c>
    </row>
    <row r="929" spans="1:26" x14ac:dyDescent="0.25">
      <c r="A929" s="5" t="s">
        <v>427</v>
      </c>
      <c r="B929" s="13" t="s">
        <v>428</v>
      </c>
      <c r="C929" s="14"/>
      <c r="D929" s="14"/>
      <c r="E929" s="14"/>
      <c r="F929" s="14"/>
      <c r="G929" s="14"/>
      <c r="H929" s="14"/>
      <c r="I929" s="14"/>
      <c r="J929" s="14"/>
      <c r="K929" s="14"/>
      <c r="L929" s="14"/>
      <c r="M929" s="14"/>
      <c r="N929" s="14"/>
    </row>
    <row r="931" spans="1:26" x14ac:dyDescent="0.25">
      <c r="C931" s="7" t="s">
        <v>429</v>
      </c>
      <c r="G931" s="6" t="s">
        <v>351</v>
      </c>
      <c r="O931" s="2" t="s">
        <v>331</v>
      </c>
      <c r="Q931" s="2">
        <v>1</v>
      </c>
      <c r="R931" s="2">
        <v>2</v>
      </c>
      <c r="S931" s="2">
        <v>3</v>
      </c>
      <c r="T931" s="2">
        <v>4</v>
      </c>
      <c r="U931" s="2">
        <v>5</v>
      </c>
      <c r="V931" s="2">
        <v>6</v>
      </c>
      <c r="W931" s="2">
        <v>7</v>
      </c>
      <c r="X931" s="2">
        <v>8</v>
      </c>
      <c r="Y931" s="2">
        <v>9</v>
      </c>
      <c r="Z931" s="2">
        <v>10</v>
      </c>
    </row>
    <row r="932" spans="1:26" x14ac:dyDescent="0.25">
      <c r="D932" s="6" t="s">
        <v>69</v>
      </c>
      <c r="E932" s="6" t="s">
        <v>381</v>
      </c>
      <c r="F932" s="6" t="s">
        <v>382</v>
      </c>
      <c r="G932" s="6" t="s">
        <v>351</v>
      </c>
      <c r="H932" s="6" t="s">
        <v>383</v>
      </c>
      <c r="P932" s="10" cm="1">
        <f t="array" ref="P932">INDIRECT_EFFECT("app","appliances_share","appliances_elasticity",0,"Overall","mean")</f>
        <v>1.40863560808401E-2</v>
      </c>
    </row>
    <row r="933" spans="1:26" x14ac:dyDescent="0.25">
      <c r="D933" s="6" t="s">
        <v>69</v>
      </c>
      <c r="E933" s="6" t="s">
        <v>381</v>
      </c>
      <c r="F933" s="6" t="s">
        <v>145</v>
      </c>
      <c r="G933" s="6" t="s">
        <v>351</v>
      </c>
      <c r="H933" s="6" t="s">
        <v>383</v>
      </c>
      <c r="Q933" s="10" cm="1">
        <f t="array" ref="Q933:Z933">INDIRECT_EFFECT("app","appliances_share","appliances_elasticity",DECILE_ARRAY,"Overall","mean")</f>
        <v>1.4223991955932222E-2</v>
      </c>
      <c r="R933">
        <v>1.3730047508832388E-2</v>
      </c>
      <c r="S933">
        <v>1.3333825733982172E-2</v>
      </c>
      <c r="T933">
        <v>1.2671365271805563E-2</v>
      </c>
      <c r="U933">
        <v>1.3812521092113552E-2</v>
      </c>
      <c r="V933">
        <v>1.3302540961556921E-2</v>
      </c>
      <c r="W933">
        <v>1.4661039440362849E-2</v>
      </c>
      <c r="X933">
        <v>1.4392235417601816E-2</v>
      </c>
      <c r="Y933">
        <v>1.3076757359713033E-2</v>
      </c>
      <c r="Z933">
        <v>1.4649125378589005E-2</v>
      </c>
    </row>
    <row r="934" spans="1:26" x14ac:dyDescent="0.25">
      <c r="D934" s="6" t="s">
        <v>69</v>
      </c>
      <c r="E934" s="6" t="s">
        <v>384</v>
      </c>
      <c r="F934" s="6" t="s">
        <v>382</v>
      </c>
      <c r="G934" s="6" t="s">
        <v>351</v>
      </c>
      <c r="H934" s="6" t="s">
        <v>383</v>
      </c>
      <c r="P934" s="10" cm="1">
        <f t="array" ref="P934">INDIRECT_EFFECT("app","appliances_share","appliances_elasticity",0,"Urban","mean")</f>
        <v>1.3247116359740563E-2</v>
      </c>
    </row>
    <row r="935" spans="1:26" x14ac:dyDescent="0.25">
      <c r="D935" s="6" t="s">
        <v>69</v>
      </c>
      <c r="E935" s="6" t="s">
        <v>384</v>
      </c>
      <c r="F935" s="6" t="s">
        <v>145</v>
      </c>
      <c r="G935" s="6" t="s">
        <v>351</v>
      </c>
      <c r="H935" s="6" t="s">
        <v>383</v>
      </c>
      <c r="Q935" s="10" cm="1">
        <f t="array" ref="Q935:Z935">INDIRECT_EFFECT("app","appliances_share","appliances_elasticity",DECILE_ARRAY,"Urban","mean")</f>
        <v>1.1209193508064144E-2</v>
      </c>
      <c r="R935">
        <v>1.2285696036337907E-2</v>
      </c>
      <c r="S935">
        <v>1.2690839625043986E-2</v>
      </c>
      <c r="T935">
        <v>1.1818254427092754E-2</v>
      </c>
      <c r="U935">
        <v>1.2956859404981492E-2</v>
      </c>
      <c r="V935">
        <v>1.3853488296862997E-2</v>
      </c>
      <c r="W935">
        <v>1.2011402014059746E-2</v>
      </c>
      <c r="X935">
        <v>1.2182944639272345E-2</v>
      </c>
      <c r="Y935">
        <v>1.2704818366340076E-2</v>
      </c>
      <c r="Z935">
        <v>1.4375705171702823E-2</v>
      </c>
    </row>
    <row r="936" spans="1:26" x14ac:dyDescent="0.25">
      <c r="D936" s="6" t="s">
        <v>69</v>
      </c>
      <c r="E936" s="6" t="s">
        <v>385</v>
      </c>
      <c r="F936" s="6" t="s">
        <v>382</v>
      </c>
      <c r="G936" s="6" t="s">
        <v>351</v>
      </c>
      <c r="H936" s="6" t="s">
        <v>383</v>
      </c>
      <c r="P936" s="10" cm="1">
        <f t="array" ref="P936">INDIRECT_EFFECT("app","appliances_share","appliances_elasticity",0,"Rural","mean")</f>
        <v>1.4203668487906615E-2</v>
      </c>
    </row>
    <row r="937" spans="1:26" x14ac:dyDescent="0.25">
      <c r="D937" s="6" t="s">
        <v>69</v>
      </c>
      <c r="E937" s="6" t="s">
        <v>385</v>
      </c>
      <c r="F937" s="6" t="s">
        <v>145</v>
      </c>
      <c r="G937" s="6" t="s">
        <v>351</v>
      </c>
      <c r="H937" s="6" t="s">
        <v>383</v>
      </c>
      <c r="Q937" s="10" cm="1">
        <f t="array" ref="Q937:Z937">INDIRECT_EFFECT("app","appliances_share","appliances_elasticity",DECILE_ARRAY,"Rural","mean")</f>
        <v>1.5028878612350775E-2</v>
      </c>
      <c r="R937">
        <v>1.4418366311786111E-2</v>
      </c>
      <c r="S937">
        <v>1.4371487243048885E-2</v>
      </c>
      <c r="T937">
        <v>1.4501682562634838E-2</v>
      </c>
      <c r="U937">
        <v>1.4082608629910958E-2</v>
      </c>
      <c r="V937">
        <v>1.4370525370076527E-2</v>
      </c>
      <c r="W937">
        <v>1.5743960760968491E-2</v>
      </c>
      <c r="X937">
        <v>1.4555102421170887E-2</v>
      </c>
      <c r="Y937">
        <v>1.3970213585412986E-2</v>
      </c>
      <c r="Z937">
        <v>1.5997998020876758E-2</v>
      </c>
    </row>
    <row r="938" spans="1:26" x14ac:dyDescent="0.25">
      <c r="D938" s="6" t="s">
        <v>72</v>
      </c>
      <c r="E938" s="6" t="s">
        <v>381</v>
      </c>
      <c r="F938" s="6" t="s">
        <v>382</v>
      </c>
      <c r="G938" s="6" t="s">
        <v>351</v>
      </c>
      <c r="H938" s="6" t="s">
        <v>383</v>
      </c>
      <c r="P938" s="10" cm="1">
        <f t="array" ref="P938">INDIRECT_EFFECT("app","appliances_share","appliances_elasticity",0,"Overall","median")</f>
        <v>1.0111027045660201E-2</v>
      </c>
    </row>
    <row r="939" spans="1:26" x14ac:dyDescent="0.25">
      <c r="D939" s="6" t="s">
        <v>72</v>
      </c>
      <c r="E939" s="6" t="s">
        <v>381</v>
      </c>
      <c r="F939" s="6" t="s">
        <v>145</v>
      </c>
      <c r="G939" s="6" t="s">
        <v>351</v>
      </c>
      <c r="H939" s="6" t="s">
        <v>383</v>
      </c>
      <c r="Q939" s="10" cm="1">
        <f t="array" ref="Q939:Z939">INDIRECT_EFFECT("app","appliances_share","appliances_elasticity",DECILE_ARRAY,"Overall","median")</f>
        <v>1.0983239738886267E-2</v>
      </c>
      <c r="R939">
        <v>9.5667758787063087E-3</v>
      </c>
      <c r="S939">
        <v>1.0221868558441797E-2</v>
      </c>
      <c r="T939">
        <v>9.8996765078831431E-3</v>
      </c>
      <c r="U939">
        <v>1.0997388279620025E-2</v>
      </c>
      <c r="V939">
        <v>9.7013823289852381E-3</v>
      </c>
      <c r="W939">
        <v>9.5435026249152937E-3</v>
      </c>
      <c r="X939">
        <v>8.8053969424389238E-3</v>
      </c>
      <c r="Y939">
        <v>9.8985942782864669E-3</v>
      </c>
      <c r="Z939">
        <v>8.1216577463146429E-3</v>
      </c>
    </row>
    <row r="940" spans="1:26" x14ac:dyDescent="0.25">
      <c r="D940" s="6" t="s">
        <v>72</v>
      </c>
      <c r="E940" s="6" t="s">
        <v>384</v>
      </c>
      <c r="F940" s="6" t="s">
        <v>382</v>
      </c>
      <c r="G940" s="6" t="s">
        <v>351</v>
      </c>
      <c r="H940" s="6" t="s">
        <v>383</v>
      </c>
      <c r="P940" s="10" cm="1">
        <f t="array" ref="P940">INDIRECT_EFFECT("app","appliances_share","appliances_elasticity",0,"Urban","median")</f>
        <v>8.4535196147106882E-3</v>
      </c>
    </row>
    <row r="941" spans="1:26" x14ac:dyDescent="0.25">
      <c r="D941" s="6" t="s">
        <v>72</v>
      </c>
      <c r="E941" s="6" t="s">
        <v>384</v>
      </c>
      <c r="F941" s="6" t="s">
        <v>145</v>
      </c>
      <c r="G941" s="6" t="s">
        <v>351</v>
      </c>
      <c r="H941" s="6" t="s">
        <v>383</v>
      </c>
      <c r="Q941" s="10" cm="1">
        <f t="array" ref="Q941:Z941">INDIRECT_EFFECT("app","appliances_share","appliances_elasticity",DECILE_ARRAY,"Urban","median")</f>
        <v>7.4795211947837554E-3</v>
      </c>
      <c r="R941">
        <v>8.3824727316065169E-3</v>
      </c>
      <c r="S941">
        <v>9.5840244828414838E-3</v>
      </c>
      <c r="T941">
        <v>8.3448450591016004E-3</v>
      </c>
      <c r="U941">
        <v>8.3801988182601907E-3</v>
      </c>
      <c r="V941">
        <v>9.1661332110108806E-3</v>
      </c>
      <c r="W941">
        <v>8.0242655252708676E-3</v>
      </c>
      <c r="X941">
        <v>9.6167635668678794E-3</v>
      </c>
      <c r="Y941">
        <v>8.0335922554541986E-3</v>
      </c>
      <c r="Z941">
        <v>7.5575274124510157E-3</v>
      </c>
    </row>
    <row r="942" spans="1:26" x14ac:dyDescent="0.25">
      <c r="D942" s="6" t="s">
        <v>72</v>
      </c>
      <c r="E942" s="6" t="s">
        <v>385</v>
      </c>
      <c r="F942" s="6" t="s">
        <v>382</v>
      </c>
      <c r="G942" s="6" t="s">
        <v>351</v>
      </c>
      <c r="H942" s="6" t="s">
        <v>383</v>
      </c>
      <c r="P942" s="10" cm="1">
        <f t="array" ref="P942">INDIRECT_EFFECT("app","appliances_share","appliances_elasticity",0,"Rural","median")</f>
        <v>1.1577577240711954E-2</v>
      </c>
    </row>
    <row r="943" spans="1:26" x14ac:dyDescent="0.25">
      <c r="D943" s="6" t="s">
        <v>72</v>
      </c>
      <c r="E943" s="6" t="s">
        <v>385</v>
      </c>
      <c r="F943" s="6" t="s">
        <v>145</v>
      </c>
      <c r="G943" s="6" t="s">
        <v>351</v>
      </c>
      <c r="H943" s="6" t="s">
        <v>383</v>
      </c>
      <c r="Q943" s="10" cm="1">
        <f t="array" ref="Q943:Z943">INDIRECT_EFFECT("app","appliances_share","appliances_elasticity",DECILE_ARRAY,"Rural","median")</f>
        <v>1.1887954437531358E-2</v>
      </c>
      <c r="R943">
        <v>1.1607275852680475E-2</v>
      </c>
      <c r="S943">
        <v>1.1314012974367595E-2</v>
      </c>
      <c r="T943">
        <v>1.2327757415459974E-2</v>
      </c>
      <c r="U943">
        <v>1.0858075683814488E-2</v>
      </c>
      <c r="V943">
        <v>1.1313281823318769E-2</v>
      </c>
      <c r="W943">
        <v>1.0748236136073014E-2</v>
      </c>
      <c r="X943">
        <v>9.7861117223880332E-3</v>
      </c>
      <c r="Y943">
        <v>1.1488752814529952E-2</v>
      </c>
      <c r="Z943">
        <v>9.0288801266900434E-3</v>
      </c>
    </row>
    <row r="944" spans="1:26" x14ac:dyDescent="0.25">
      <c r="D944" s="6" t="s">
        <v>75</v>
      </c>
      <c r="E944" s="6" t="s">
        <v>381</v>
      </c>
      <c r="F944" s="6" t="s">
        <v>382</v>
      </c>
      <c r="G944" s="6" t="s">
        <v>351</v>
      </c>
      <c r="H944" s="6" t="s">
        <v>383</v>
      </c>
      <c r="P944" s="10" cm="1">
        <f t="array" ref="P944">INDIRECT_EFFECT("app","appliances_share","appliances_elasticity",0,"Overall","p25")</f>
        <v>5.1236041456758493E-3</v>
      </c>
    </row>
    <row r="945" spans="3:26" x14ac:dyDescent="0.25">
      <c r="D945" s="6" t="s">
        <v>75</v>
      </c>
      <c r="E945" s="6" t="s">
        <v>381</v>
      </c>
      <c r="F945" s="6" t="s">
        <v>145</v>
      </c>
      <c r="G945" s="6" t="s">
        <v>351</v>
      </c>
      <c r="H945" s="6" t="s">
        <v>383</v>
      </c>
      <c r="Q945" s="10" cm="1">
        <f t="array" ref="Q945:Z945">INDIRECT_EFFECT("app","appliances_share","appliances_elasticity",DECILE_ARRAY,"Overall","p25")</f>
        <v>6.0883128235148052E-3</v>
      </c>
      <c r="R945">
        <v>5.5344216855635195E-3</v>
      </c>
      <c r="S945">
        <v>6.2815804030743883E-3</v>
      </c>
      <c r="T945">
        <v>6.4989253492704988E-3</v>
      </c>
      <c r="U945">
        <v>5.8604941825168219E-3</v>
      </c>
      <c r="V945">
        <v>6.0141269934458523E-3</v>
      </c>
      <c r="W945">
        <v>5.7174289317604354E-3</v>
      </c>
      <c r="X945">
        <v>5.3619632255856352E-3</v>
      </c>
      <c r="Y945">
        <v>4.8776965215435739E-3</v>
      </c>
      <c r="Z945">
        <v>4.2781931015811632E-3</v>
      </c>
    </row>
    <row r="946" spans="3:26" x14ac:dyDescent="0.25">
      <c r="D946" s="6" t="s">
        <v>75</v>
      </c>
      <c r="E946" s="6" t="s">
        <v>384</v>
      </c>
      <c r="F946" s="6" t="s">
        <v>382</v>
      </c>
      <c r="G946" s="6" t="s">
        <v>351</v>
      </c>
      <c r="H946" s="6" t="s">
        <v>383</v>
      </c>
      <c r="P946" s="10" cm="1">
        <f t="array" ref="P946">INDIRECT_EFFECT("app","appliances_share","appliances_elasticity",0,"Urban","p25")</f>
        <v>4.2509226485970162E-3</v>
      </c>
    </row>
    <row r="947" spans="3:26" x14ac:dyDescent="0.25">
      <c r="D947" s="6" t="s">
        <v>75</v>
      </c>
      <c r="E947" s="6" t="s">
        <v>384</v>
      </c>
      <c r="F947" s="6" t="s">
        <v>145</v>
      </c>
      <c r="G947" s="6" t="s">
        <v>351</v>
      </c>
      <c r="H947" s="6" t="s">
        <v>383</v>
      </c>
      <c r="Q947" s="10" cm="1">
        <f t="array" ref="Q947:Z947">INDIRECT_EFFECT("app","appliances_share","appliances_elasticity",DECILE_ARRAY,"Urban","p25")</f>
        <v>3.7406475177262752E-3</v>
      </c>
      <c r="R947">
        <v>4.7702875434206269E-3</v>
      </c>
      <c r="S947">
        <v>4.3620748096377593E-3</v>
      </c>
      <c r="T947">
        <v>4.4169280703229615E-3</v>
      </c>
      <c r="U947">
        <v>4.8197415724041803E-3</v>
      </c>
      <c r="V947">
        <v>4.516931069265687E-3</v>
      </c>
      <c r="W947">
        <v>4.2698010194746469E-3</v>
      </c>
      <c r="X947">
        <v>4.73948770547935E-3</v>
      </c>
      <c r="Y947">
        <v>4.0474956632550359E-3</v>
      </c>
      <c r="Z947">
        <v>3.4157138785979044E-3</v>
      </c>
    </row>
    <row r="948" spans="3:26" x14ac:dyDescent="0.25">
      <c r="D948" s="6" t="s">
        <v>75</v>
      </c>
      <c r="E948" s="6" t="s">
        <v>385</v>
      </c>
      <c r="F948" s="6" t="s">
        <v>382</v>
      </c>
      <c r="G948" s="6" t="s">
        <v>351</v>
      </c>
      <c r="H948" s="6" t="s">
        <v>383</v>
      </c>
      <c r="P948" s="10" cm="1">
        <f t="array" ref="P948">INDIRECT_EFFECT("app","appliances_share","appliances_elasticity",0,"Rural","p25")</f>
        <v>6.9650929822363556E-3</v>
      </c>
    </row>
    <row r="949" spans="3:26" x14ac:dyDescent="0.25">
      <c r="D949" s="6" t="s">
        <v>75</v>
      </c>
      <c r="E949" s="6" t="s">
        <v>385</v>
      </c>
      <c r="F949" s="6" t="s">
        <v>145</v>
      </c>
      <c r="G949" s="6" t="s">
        <v>351</v>
      </c>
      <c r="H949" s="6" t="s">
        <v>383</v>
      </c>
      <c r="Q949" s="10" cm="1">
        <f t="array" ref="Q949:Z949">INDIRECT_EFFECT("app","appliances_share","appliances_elasticity",DECILE_ARRAY,"Rural","p25")</f>
        <v>6.9284646334172488E-3</v>
      </c>
      <c r="R949">
        <v>7.5867043681017536E-3</v>
      </c>
      <c r="S949">
        <v>6.6750223619977461E-3</v>
      </c>
      <c r="T949">
        <v>7.0607045207315118E-3</v>
      </c>
      <c r="U949">
        <v>7.1227863602675292E-3</v>
      </c>
      <c r="V949">
        <v>6.3433123665341852E-3</v>
      </c>
      <c r="W949">
        <v>6.5365576612437543E-3</v>
      </c>
      <c r="X949">
        <v>6.6003590758477344E-3</v>
      </c>
      <c r="Y949">
        <v>5.7836696466694254E-3</v>
      </c>
      <c r="Z949">
        <v>5.5525148892270858E-3</v>
      </c>
    </row>
    <row r="950" spans="3:26" x14ac:dyDescent="0.25">
      <c r="D950" s="6" t="s">
        <v>78</v>
      </c>
      <c r="E950" s="6" t="s">
        <v>381</v>
      </c>
      <c r="F950" s="6" t="s">
        <v>382</v>
      </c>
      <c r="G950" s="6" t="s">
        <v>351</v>
      </c>
      <c r="H950" s="6" t="s">
        <v>383</v>
      </c>
      <c r="P950" s="10" cm="1">
        <f t="array" ref="P950">INDIRECT_EFFECT("app","appliances_share","appliances_elasticity",0,"Overall","p75")</f>
        <v>1.6619070016621194E-2</v>
      </c>
    </row>
    <row r="951" spans="3:26" x14ac:dyDescent="0.25">
      <c r="D951" s="6" t="s">
        <v>78</v>
      </c>
      <c r="E951" s="6" t="s">
        <v>381</v>
      </c>
      <c r="F951" s="6" t="s">
        <v>145</v>
      </c>
      <c r="G951" s="6" t="s">
        <v>351</v>
      </c>
      <c r="H951" s="6" t="s">
        <v>383</v>
      </c>
      <c r="Q951" s="10" cm="1">
        <f t="array" ref="Q951:Z951">INDIRECT_EFFECT("app","appliances_share","appliances_elasticity",DECILE_ARRAY,"Overall","p75")</f>
        <v>1.5724481984535417E-2</v>
      </c>
      <c r="R951">
        <v>1.6813755876529127E-2</v>
      </c>
      <c r="S951">
        <v>1.5788800656249734E-2</v>
      </c>
      <c r="T951">
        <v>1.7586571169041859E-2</v>
      </c>
      <c r="U951">
        <v>1.7743783992695789E-2</v>
      </c>
      <c r="V951">
        <v>1.7233782293887903E-2</v>
      </c>
      <c r="W951">
        <v>1.6625084831005197E-2</v>
      </c>
      <c r="X951">
        <v>1.622025342531791E-2</v>
      </c>
      <c r="Y951">
        <v>1.6566700621200182E-2</v>
      </c>
      <c r="Z951">
        <v>1.7449543346828897E-2</v>
      </c>
    </row>
    <row r="952" spans="3:26" x14ac:dyDescent="0.25">
      <c r="D952" s="6" t="s">
        <v>78</v>
      </c>
      <c r="E952" s="6" t="s">
        <v>384</v>
      </c>
      <c r="F952" s="6" t="s">
        <v>382</v>
      </c>
      <c r="G952" s="6" t="s">
        <v>351</v>
      </c>
      <c r="H952" s="6" t="s">
        <v>383</v>
      </c>
      <c r="P952" s="10" cm="1">
        <f t="array" ref="P952">INDIRECT_EFFECT("app","appliances_share","appliances_elasticity",0,"Urban","p75")</f>
        <v>1.5234113937010593E-2</v>
      </c>
    </row>
    <row r="953" spans="3:26" x14ac:dyDescent="0.25">
      <c r="D953" s="6" t="s">
        <v>78</v>
      </c>
      <c r="E953" s="6" t="s">
        <v>384</v>
      </c>
      <c r="F953" s="6" t="s">
        <v>145</v>
      </c>
      <c r="G953" s="6" t="s">
        <v>351</v>
      </c>
      <c r="H953" s="6" t="s">
        <v>383</v>
      </c>
      <c r="Q953" s="10" cm="1">
        <f t="array" ref="Q953:Z953">INDIRECT_EFFECT("app","appliances_share","appliances_elasticity",DECILE_ARRAY,"Urban","p75")</f>
        <v>1.3007919513474787E-2</v>
      </c>
      <c r="R953">
        <v>1.4332580676052717E-2</v>
      </c>
      <c r="S953">
        <v>1.550690369345503E-2</v>
      </c>
      <c r="T953">
        <v>1.4045549393316653E-2</v>
      </c>
      <c r="U953">
        <v>1.548021137528041E-2</v>
      </c>
      <c r="V953">
        <v>1.6870506944245606E-2</v>
      </c>
      <c r="W953">
        <v>1.4790324863156649E-2</v>
      </c>
      <c r="X953">
        <v>1.5714433452413346E-2</v>
      </c>
      <c r="Y953">
        <v>1.5242005549439427E-2</v>
      </c>
      <c r="Z953">
        <v>1.5534262939079653E-2</v>
      </c>
    </row>
    <row r="954" spans="3:26" x14ac:dyDescent="0.25">
      <c r="D954" s="6" t="s">
        <v>78</v>
      </c>
      <c r="E954" s="6" t="s">
        <v>385</v>
      </c>
      <c r="F954" s="6" t="s">
        <v>382</v>
      </c>
      <c r="G954" s="6" t="s">
        <v>351</v>
      </c>
      <c r="H954" s="6" t="s">
        <v>383</v>
      </c>
      <c r="P954" s="10" cm="1">
        <f t="array" ref="P954">INDIRECT_EFFECT("app","appliances_share","appliances_elasticity",0,"Rural","p75")</f>
        <v>1.7757495230750427E-2</v>
      </c>
    </row>
    <row r="955" spans="3:26" x14ac:dyDescent="0.25">
      <c r="D955" s="6" t="s">
        <v>78</v>
      </c>
      <c r="E955" s="6" t="s">
        <v>385</v>
      </c>
      <c r="F955" s="6" t="s">
        <v>145</v>
      </c>
      <c r="G955" s="6" t="s">
        <v>351</v>
      </c>
      <c r="H955" s="6" t="s">
        <v>383</v>
      </c>
      <c r="Q955" s="10" cm="1">
        <f t="array" ref="Q955:Z955">INDIRECT_EFFECT("app","appliances_share","appliances_elasticity",DECILE_ARRAY,"Rural","p75")</f>
        <v>1.7046574141384375E-2</v>
      </c>
      <c r="R955">
        <v>1.9196189537949722E-2</v>
      </c>
      <c r="S955">
        <v>1.7044248735797764E-2</v>
      </c>
      <c r="T955">
        <v>1.9011698293793136E-2</v>
      </c>
      <c r="U955">
        <v>1.7017089077550916E-2</v>
      </c>
      <c r="V955">
        <v>1.7433090708205493E-2</v>
      </c>
      <c r="W955">
        <v>1.8944182614744915E-2</v>
      </c>
      <c r="X955">
        <v>1.7519441747152659E-2</v>
      </c>
      <c r="Y955">
        <v>1.6605890231735775E-2</v>
      </c>
      <c r="Z955">
        <v>1.6201148024852782E-2</v>
      </c>
    </row>
    <row r="957" spans="3:26" x14ac:dyDescent="0.25">
      <c r="C957" s="7" t="s">
        <v>430</v>
      </c>
      <c r="G957" s="6" t="s">
        <v>353</v>
      </c>
      <c r="O957" s="2" t="s">
        <v>331</v>
      </c>
      <c r="Q957" s="2">
        <v>1</v>
      </c>
      <c r="R957" s="2">
        <v>2</v>
      </c>
      <c r="S957" s="2">
        <v>3</v>
      </c>
      <c r="T957" s="2">
        <v>4</v>
      </c>
      <c r="U957" s="2">
        <v>5</v>
      </c>
      <c r="V957" s="2">
        <v>6</v>
      </c>
      <c r="W957" s="2">
        <v>7</v>
      </c>
      <c r="X957" s="2">
        <v>8</v>
      </c>
      <c r="Y957" s="2">
        <v>9</v>
      </c>
      <c r="Z957" s="2">
        <v>10</v>
      </c>
    </row>
    <row r="958" spans="3:26" x14ac:dyDescent="0.25">
      <c r="D958" s="6" t="s">
        <v>69</v>
      </c>
      <c r="E958" s="6" t="s">
        <v>381</v>
      </c>
      <c r="F958" s="6" t="s">
        <v>382</v>
      </c>
      <c r="G958" s="6" t="s">
        <v>353</v>
      </c>
      <c r="H958" s="6" t="s">
        <v>383</v>
      </c>
      <c r="P958" s="10" cm="1">
        <f t="array" ref="P958">INDIRECT_EFFECT("che","chemicals_share","chemicals_elasticity",0,"Overall","mean")</f>
        <v>7.5490127904389831E-2</v>
      </c>
    </row>
    <row r="959" spans="3:26" x14ac:dyDescent="0.25">
      <c r="D959" s="6" t="s">
        <v>69</v>
      </c>
      <c r="E959" s="6" t="s">
        <v>381</v>
      </c>
      <c r="F959" s="6" t="s">
        <v>145</v>
      </c>
      <c r="G959" s="6" t="s">
        <v>353</v>
      </c>
      <c r="H959" s="6" t="s">
        <v>383</v>
      </c>
      <c r="Q959" s="10" cm="1">
        <f t="array" ref="Q959:Z959">INDIRECT_EFFECT("che","chemicals_share","chemicals_elasticity",DECILE_ARRAY,"Overall","mean")</f>
        <v>8.828850469150995E-2</v>
      </c>
      <c r="R959">
        <v>7.968810375773859E-2</v>
      </c>
      <c r="S959">
        <v>6.9990470070408151E-2</v>
      </c>
      <c r="T959">
        <v>7.4200277293795455E-2</v>
      </c>
      <c r="U959">
        <v>7.7957036794202017E-2</v>
      </c>
      <c r="V959">
        <v>7.3759749010062353E-2</v>
      </c>
      <c r="W959">
        <v>7.1468087312391598E-2</v>
      </c>
      <c r="X959">
        <v>7.3709732098730274E-2</v>
      </c>
      <c r="Y959">
        <v>7.4613604970493547E-2</v>
      </c>
      <c r="Z959">
        <v>7.2286071642273977E-2</v>
      </c>
    </row>
    <row r="960" spans="3:26" x14ac:dyDescent="0.25">
      <c r="D960" s="6" t="s">
        <v>69</v>
      </c>
      <c r="E960" s="6" t="s">
        <v>384</v>
      </c>
      <c r="F960" s="6" t="s">
        <v>382</v>
      </c>
      <c r="G960" s="6" t="s">
        <v>353</v>
      </c>
      <c r="H960" s="6" t="s">
        <v>383</v>
      </c>
      <c r="P960" s="10" cm="1">
        <f t="array" ref="P960">INDIRECT_EFFECT("che","chemicals_share","chemicals_elasticity",0,"Urban","mean")</f>
        <v>7.0221542261179215E-2</v>
      </c>
    </row>
    <row r="961" spans="4:26" x14ac:dyDescent="0.25">
      <c r="D961" s="6" t="s">
        <v>69</v>
      </c>
      <c r="E961" s="6" t="s">
        <v>384</v>
      </c>
      <c r="F961" s="6" t="s">
        <v>145</v>
      </c>
      <c r="G961" s="6" t="s">
        <v>353</v>
      </c>
      <c r="H961" s="6" t="s">
        <v>383</v>
      </c>
      <c r="Q961" s="10" cm="1">
        <f t="array" ref="Q961:Z961">INDIRECT_EFFECT("che","chemicals_share","chemicals_elasticity",DECILE_ARRAY,"Urban","mean")</f>
        <v>7.6395337734398133E-2</v>
      </c>
      <c r="R961">
        <v>7.9918321989625174E-2</v>
      </c>
      <c r="S961">
        <v>8.3811595241373243E-2</v>
      </c>
      <c r="T961">
        <v>7.541590790456118E-2</v>
      </c>
      <c r="U961">
        <v>7.3202499807964352E-2</v>
      </c>
      <c r="V961">
        <v>8.0137901629371094E-2</v>
      </c>
      <c r="W961">
        <v>7.8870922833310667E-2</v>
      </c>
      <c r="X961">
        <v>7.0709612720803491E-2</v>
      </c>
      <c r="Y961">
        <v>7.8354546103470923E-2</v>
      </c>
      <c r="Z961">
        <v>7.1483021916322637E-2</v>
      </c>
    </row>
    <row r="962" spans="4:26" x14ac:dyDescent="0.25">
      <c r="D962" s="6" t="s">
        <v>69</v>
      </c>
      <c r="E962" s="6" t="s">
        <v>385</v>
      </c>
      <c r="F962" s="6" t="s">
        <v>382</v>
      </c>
      <c r="G962" s="6" t="s">
        <v>353</v>
      </c>
      <c r="H962" s="6" t="s">
        <v>383</v>
      </c>
      <c r="P962" s="10" cm="1">
        <f t="array" ref="P962">INDIRECT_EFFECT("che","chemicals_share","chemicals_elasticity",0,"Rural","mean")</f>
        <v>7.3014508950344559E-2</v>
      </c>
    </row>
    <row r="963" spans="4:26" x14ac:dyDescent="0.25">
      <c r="D963" s="6" t="s">
        <v>69</v>
      </c>
      <c r="E963" s="6" t="s">
        <v>385</v>
      </c>
      <c r="F963" s="6" t="s">
        <v>145</v>
      </c>
      <c r="G963" s="6" t="s">
        <v>353</v>
      </c>
      <c r="H963" s="6" t="s">
        <v>383</v>
      </c>
      <c r="Q963" s="10" cm="1">
        <f t="array" ref="Q963:Z963">INDIRECT_EFFECT("che","chemicals_share","chemicals_elasticity",DECILE_ARRAY,"Rural","mean")</f>
        <v>8.7553611161357098E-2</v>
      </c>
      <c r="R963">
        <v>7.4556267630971521E-2</v>
      </c>
      <c r="S963">
        <v>7.1700480928165375E-2</v>
      </c>
      <c r="T963">
        <v>6.6925586842647808E-2</v>
      </c>
      <c r="U963">
        <v>7.0677945582191828E-2</v>
      </c>
      <c r="V963">
        <v>7.3000552541542252E-2</v>
      </c>
      <c r="W963">
        <v>7.5349419664511863E-2</v>
      </c>
      <c r="X963">
        <v>6.725611076240065E-2</v>
      </c>
      <c r="Y963">
        <v>7.1137826678689453E-2</v>
      </c>
      <c r="Z963">
        <v>6.9365286473611371E-2</v>
      </c>
    </row>
    <row r="964" spans="4:26" x14ac:dyDescent="0.25">
      <c r="D964" s="6" t="s">
        <v>72</v>
      </c>
      <c r="E964" s="6" t="s">
        <v>381</v>
      </c>
      <c r="F964" s="6" t="s">
        <v>382</v>
      </c>
      <c r="G964" s="6" t="s">
        <v>353</v>
      </c>
      <c r="H964" s="6" t="s">
        <v>383</v>
      </c>
      <c r="P964" s="10" cm="1">
        <f t="array" ref="P964">INDIRECT_EFFECT("che","chemicals_share","chemicals_elasticity",0,"Overall","median")</f>
        <v>6.8290366196782984E-2</v>
      </c>
    </row>
    <row r="965" spans="4:26" x14ac:dyDescent="0.25">
      <c r="D965" s="6" t="s">
        <v>72</v>
      </c>
      <c r="E965" s="6" t="s">
        <v>381</v>
      </c>
      <c r="F965" s="6" t="s">
        <v>145</v>
      </c>
      <c r="G965" s="6" t="s">
        <v>353</v>
      </c>
      <c r="H965" s="6" t="s">
        <v>383</v>
      </c>
      <c r="Q965" s="10" cm="1">
        <f t="array" ref="Q965:Z965">INDIRECT_EFFECT("che","chemicals_share","chemicals_elasticity",DECILE_ARRAY,"Overall","median")</f>
        <v>8.1591622613473871E-2</v>
      </c>
      <c r="R965">
        <v>6.9095042614967156E-2</v>
      </c>
      <c r="S965">
        <v>7.1898683634415997E-2</v>
      </c>
      <c r="T965">
        <v>6.6708211885285765E-2</v>
      </c>
      <c r="U965">
        <v>7.4833031763411717E-2</v>
      </c>
      <c r="V965">
        <v>7.3332807067038375E-2</v>
      </c>
      <c r="W965">
        <v>7.0936350995700462E-2</v>
      </c>
      <c r="X965">
        <v>6.8869512229978933E-2</v>
      </c>
      <c r="Y965">
        <v>6.6468331767261135E-2</v>
      </c>
      <c r="Z965">
        <v>7.0638415981279706E-2</v>
      </c>
    </row>
    <row r="966" spans="4:26" x14ac:dyDescent="0.25">
      <c r="D966" s="6" t="s">
        <v>72</v>
      </c>
      <c r="E966" s="6" t="s">
        <v>384</v>
      </c>
      <c r="F966" s="6" t="s">
        <v>382</v>
      </c>
      <c r="G966" s="6" t="s">
        <v>353</v>
      </c>
      <c r="H966" s="6" t="s">
        <v>383</v>
      </c>
      <c r="P966" s="10" cm="1">
        <f t="array" ref="P966">INDIRECT_EFFECT("che","chemicals_share","chemicals_elasticity",0,"Urban","median")</f>
        <v>7.7083773665826014E-2</v>
      </c>
    </row>
    <row r="967" spans="4:26" x14ac:dyDescent="0.25">
      <c r="D967" s="6" t="s">
        <v>72</v>
      </c>
      <c r="E967" s="6" t="s">
        <v>384</v>
      </c>
      <c r="F967" s="6" t="s">
        <v>145</v>
      </c>
      <c r="G967" s="6" t="s">
        <v>353</v>
      </c>
      <c r="H967" s="6" t="s">
        <v>383</v>
      </c>
      <c r="Q967" s="10" cm="1">
        <f t="array" ref="Q967:Z967">INDIRECT_EFFECT("che","chemicals_share","chemicals_elasticity",DECILE_ARRAY,"Urban","median")</f>
        <v>7.3556084889070367E-2</v>
      </c>
      <c r="R967">
        <v>7.4097900724778204E-2</v>
      </c>
      <c r="S967">
        <v>7.2461231812511614E-2</v>
      </c>
      <c r="T967">
        <v>7.3641695112198313E-2</v>
      </c>
      <c r="U967">
        <v>7.8714163586305452E-2</v>
      </c>
      <c r="V967">
        <v>7.1455130023508839E-2</v>
      </c>
      <c r="W967">
        <v>7.1073652360156461E-2</v>
      </c>
      <c r="X967">
        <v>7.3561571698968459E-2</v>
      </c>
      <c r="Y967">
        <v>7.0454285283473736E-2</v>
      </c>
      <c r="Z967">
        <v>6.6139846026977936E-2</v>
      </c>
    </row>
    <row r="968" spans="4:26" x14ac:dyDescent="0.25">
      <c r="D968" s="6" t="s">
        <v>72</v>
      </c>
      <c r="E968" s="6" t="s">
        <v>385</v>
      </c>
      <c r="F968" s="6" t="s">
        <v>382</v>
      </c>
      <c r="G968" s="6" t="s">
        <v>353</v>
      </c>
      <c r="H968" s="6" t="s">
        <v>383</v>
      </c>
      <c r="P968" s="10" cm="1">
        <f t="array" ref="P968">INDIRECT_EFFECT("che","chemicals_share","chemicals_elasticity",0,"Rural","median")</f>
        <v>6.3522523498108899E-2</v>
      </c>
    </row>
    <row r="969" spans="4:26" x14ac:dyDescent="0.25">
      <c r="D969" s="6" t="s">
        <v>72</v>
      </c>
      <c r="E969" s="6" t="s">
        <v>385</v>
      </c>
      <c r="F969" s="6" t="s">
        <v>145</v>
      </c>
      <c r="G969" s="6" t="s">
        <v>353</v>
      </c>
      <c r="H969" s="6" t="s">
        <v>383</v>
      </c>
      <c r="Q969" s="10" cm="1">
        <f t="array" ref="Q969:Z969">INDIRECT_EFFECT("che","chemicals_share","chemicals_elasticity",DECILE_ARRAY,"Rural","median")</f>
        <v>8.4705043242597269E-2</v>
      </c>
      <c r="R969">
        <v>7.9313216314813015E-2</v>
      </c>
      <c r="S969">
        <v>7.389392003101003E-2</v>
      </c>
      <c r="T969">
        <v>7.3546715414886013E-2</v>
      </c>
      <c r="U969">
        <v>6.555837430813026E-2</v>
      </c>
      <c r="V969">
        <v>6.7167363648479875E-2</v>
      </c>
      <c r="W969">
        <v>7.2023156327022608E-2</v>
      </c>
      <c r="X969">
        <v>6.5305481239126328E-2</v>
      </c>
      <c r="Y969">
        <v>6.6185118427078568E-2</v>
      </c>
      <c r="Z969">
        <v>6.7574970353647359E-2</v>
      </c>
    </row>
    <row r="970" spans="4:26" x14ac:dyDescent="0.25">
      <c r="D970" s="6" t="s">
        <v>75</v>
      </c>
      <c r="E970" s="6" t="s">
        <v>381</v>
      </c>
      <c r="F970" s="6" t="s">
        <v>382</v>
      </c>
      <c r="G970" s="6" t="s">
        <v>353</v>
      </c>
      <c r="H970" s="6" t="s">
        <v>383</v>
      </c>
      <c r="P970" s="10" cm="1">
        <f t="array" ref="P970">INDIRECT_EFFECT("che","chemicals_share","chemicals_elasticity",0,"Overall","p25")</f>
        <v>5.2957305605835246E-2</v>
      </c>
    </row>
    <row r="971" spans="4:26" x14ac:dyDescent="0.25">
      <c r="D971" s="6" t="s">
        <v>75</v>
      </c>
      <c r="E971" s="6" t="s">
        <v>381</v>
      </c>
      <c r="F971" s="6" t="s">
        <v>145</v>
      </c>
      <c r="G971" s="6" t="s">
        <v>353</v>
      </c>
      <c r="H971" s="6" t="s">
        <v>383</v>
      </c>
      <c r="Q971" s="10" cm="1">
        <f t="array" ref="Q971:Z971">INDIRECT_EFFECT("che","chemicals_share","chemicals_elasticity",DECILE_ARRAY,"Overall","p25")</f>
        <v>5.7581357733653263E-2</v>
      </c>
      <c r="R971">
        <v>6.0356242991791979E-2</v>
      </c>
      <c r="S971">
        <v>5.4589034883542248E-2</v>
      </c>
      <c r="T971">
        <v>5.9631960813686574E-2</v>
      </c>
      <c r="U971">
        <v>5.4044297468022633E-2</v>
      </c>
      <c r="V971">
        <v>5.7353529039034831E-2</v>
      </c>
      <c r="W971">
        <v>5.6923125334245012E-2</v>
      </c>
      <c r="X971">
        <v>5.6988594576460799E-2</v>
      </c>
      <c r="Y971">
        <v>5.0949523608791319E-2</v>
      </c>
      <c r="Z971">
        <v>5.2606554353294026E-2</v>
      </c>
    </row>
    <row r="972" spans="4:26" x14ac:dyDescent="0.25">
      <c r="D972" s="6" t="s">
        <v>75</v>
      </c>
      <c r="E972" s="6" t="s">
        <v>384</v>
      </c>
      <c r="F972" s="6" t="s">
        <v>382</v>
      </c>
      <c r="G972" s="6" t="s">
        <v>353</v>
      </c>
      <c r="H972" s="6" t="s">
        <v>383</v>
      </c>
      <c r="P972" s="10" cm="1">
        <f t="array" ref="P972">INDIRECT_EFFECT("che","chemicals_share","chemicals_elasticity",0,"Urban","p25")</f>
        <v>5.2907057403856372E-2</v>
      </c>
    </row>
    <row r="973" spans="4:26" x14ac:dyDescent="0.25">
      <c r="D973" s="6" t="s">
        <v>75</v>
      </c>
      <c r="E973" s="6" t="s">
        <v>384</v>
      </c>
      <c r="F973" s="6" t="s">
        <v>145</v>
      </c>
      <c r="G973" s="6" t="s">
        <v>353</v>
      </c>
      <c r="H973" s="6" t="s">
        <v>383</v>
      </c>
      <c r="Q973" s="10" cm="1">
        <f t="array" ref="Q973:Z973">INDIRECT_EFFECT("che","chemicals_share","chemicals_elasticity",DECILE_ARRAY,"Urban","p25")</f>
        <v>5.5962399258480934E-2</v>
      </c>
      <c r="R973">
        <v>5.9030129566206603E-2</v>
      </c>
      <c r="S973">
        <v>5.9599548297014707E-2</v>
      </c>
      <c r="T973">
        <v>5.2647444581515407E-2</v>
      </c>
      <c r="U973">
        <v>5.3762263852838457E-2</v>
      </c>
      <c r="V973">
        <v>5.8916901205409475E-2</v>
      </c>
      <c r="W973">
        <v>5.1398443079351042E-2</v>
      </c>
      <c r="X973">
        <v>5.1985587784574502E-2</v>
      </c>
      <c r="Y973">
        <v>5.0443910999025655E-2</v>
      </c>
      <c r="Z973">
        <v>5.3068252364154765E-2</v>
      </c>
    </row>
    <row r="974" spans="4:26" x14ac:dyDescent="0.25">
      <c r="D974" s="6" t="s">
        <v>75</v>
      </c>
      <c r="E974" s="6" t="s">
        <v>385</v>
      </c>
      <c r="F974" s="6" t="s">
        <v>382</v>
      </c>
      <c r="G974" s="6" t="s">
        <v>353</v>
      </c>
      <c r="H974" s="6" t="s">
        <v>383</v>
      </c>
      <c r="P974" s="10" cm="1">
        <f t="array" ref="P974">INDIRECT_EFFECT("che","chemicals_share","chemicals_elasticity",0,"Rural","p25")</f>
        <v>5.862582042723348E-2</v>
      </c>
    </row>
    <row r="975" spans="4:26" x14ac:dyDescent="0.25">
      <c r="D975" s="6" t="s">
        <v>75</v>
      </c>
      <c r="E975" s="6" t="s">
        <v>385</v>
      </c>
      <c r="F975" s="6" t="s">
        <v>145</v>
      </c>
      <c r="G975" s="6" t="s">
        <v>353</v>
      </c>
      <c r="H975" s="6" t="s">
        <v>383</v>
      </c>
      <c r="Q975" s="10" cm="1">
        <f t="array" ref="Q975:Z975">INDIRECT_EFFECT("che","chemicals_share","chemicals_elasticity",DECILE_ARRAY,"Rural","p25")</f>
        <v>6.427958906590954E-2</v>
      </c>
      <c r="R975">
        <v>6.4292832791112448E-2</v>
      </c>
      <c r="S975">
        <v>5.3215631203334231E-2</v>
      </c>
      <c r="T975">
        <v>5.4465387819534389E-2</v>
      </c>
      <c r="U975">
        <v>5.4500702923599764E-2</v>
      </c>
      <c r="V975">
        <v>5.5170533575816652E-2</v>
      </c>
      <c r="W975">
        <v>5.303687790230014E-2</v>
      </c>
      <c r="X975">
        <v>5.3500528513185625E-2</v>
      </c>
      <c r="Y975">
        <v>5.0338116045159594E-2</v>
      </c>
      <c r="Z975">
        <v>4.9732301187140351E-2</v>
      </c>
    </row>
    <row r="976" spans="4:26" x14ac:dyDescent="0.25">
      <c r="D976" s="6" t="s">
        <v>78</v>
      </c>
      <c r="E976" s="6" t="s">
        <v>381</v>
      </c>
      <c r="F976" s="6" t="s">
        <v>382</v>
      </c>
      <c r="G976" s="6" t="s">
        <v>353</v>
      </c>
      <c r="H976" s="6" t="s">
        <v>383</v>
      </c>
      <c r="P976" s="10" cm="1">
        <f t="array" ref="P976">INDIRECT_EFFECT("che","chemicals_share","chemicals_elasticity",0,"Overall","p75")</f>
        <v>8.6501701211780579E-2</v>
      </c>
    </row>
    <row r="977" spans="3:26" x14ac:dyDescent="0.25">
      <c r="D977" s="6" t="s">
        <v>78</v>
      </c>
      <c r="E977" s="6" t="s">
        <v>381</v>
      </c>
      <c r="F977" s="6" t="s">
        <v>145</v>
      </c>
      <c r="G977" s="6" t="s">
        <v>353</v>
      </c>
      <c r="H977" s="6" t="s">
        <v>383</v>
      </c>
      <c r="Q977" s="10" cm="1">
        <f t="array" ref="Q977:Z977">INDIRECT_EFFECT("che","chemicals_share","chemicals_elasticity",DECILE_ARRAY,"Overall","p75")</f>
        <v>0.10655324978965919</v>
      </c>
      <c r="R977">
        <v>9.6493691432379403E-2</v>
      </c>
      <c r="S977">
        <v>8.4059640144248327E-2</v>
      </c>
      <c r="T977">
        <v>9.3261181143393004E-2</v>
      </c>
      <c r="U977">
        <v>8.5342888423779142E-2</v>
      </c>
      <c r="V977">
        <v>9.3069710368926264E-2</v>
      </c>
      <c r="W977">
        <v>8.2839042815574526E-2</v>
      </c>
      <c r="X977">
        <v>8.7203681565594909E-2</v>
      </c>
      <c r="Y977">
        <v>8.4540673985298673E-2</v>
      </c>
      <c r="Z977">
        <v>9.4648000548598649E-2</v>
      </c>
    </row>
    <row r="978" spans="3:26" x14ac:dyDescent="0.25">
      <c r="D978" s="6" t="s">
        <v>78</v>
      </c>
      <c r="E978" s="6" t="s">
        <v>384</v>
      </c>
      <c r="F978" s="6" t="s">
        <v>382</v>
      </c>
      <c r="G978" s="6" t="s">
        <v>353</v>
      </c>
      <c r="H978" s="6" t="s">
        <v>383</v>
      </c>
      <c r="P978" s="10" cm="1">
        <f t="array" ref="P978">INDIRECT_EFFECT("che","chemicals_share","chemicals_elasticity",0,"Urban","p75")</f>
        <v>8.9716328336720372E-2</v>
      </c>
    </row>
    <row r="979" spans="3:26" x14ac:dyDescent="0.25">
      <c r="D979" s="6" t="s">
        <v>78</v>
      </c>
      <c r="E979" s="6" t="s">
        <v>384</v>
      </c>
      <c r="F979" s="6" t="s">
        <v>145</v>
      </c>
      <c r="G979" s="6" t="s">
        <v>353</v>
      </c>
      <c r="H979" s="6" t="s">
        <v>383</v>
      </c>
      <c r="Q979" s="10" cm="1">
        <f t="array" ref="Q979:Z979">INDIRECT_EFFECT("che","chemicals_share","chemicals_elasticity",DECILE_ARRAY,"Urban","p75")</f>
        <v>9.2742125341650869E-2</v>
      </c>
      <c r="R979">
        <v>9.2681647733544259E-2</v>
      </c>
      <c r="S979">
        <v>8.9252027386592506E-2</v>
      </c>
      <c r="T979">
        <v>9.5620455843228869E-2</v>
      </c>
      <c r="U979">
        <v>9.5067603726415748E-2</v>
      </c>
      <c r="V979">
        <v>9.3328714785525319E-2</v>
      </c>
      <c r="W979">
        <v>9.1603950738141579E-2</v>
      </c>
      <c r="X979">
        <v>9.0362504445881231E-2</v>
      </c>
      <c r="Y979">
        <v>9.292650955414461E-2</v>
      </c>
      <c r="Z979">
        <v>9.5366575605510692E-2</v>
      </c>
    </row>
    <row r="980" spans="3:26" x14ac:dyDescent="0.25">
      <c r="D980" s="6" t="s">
        <v>78</v>
      </c>
      <c r="E980" s="6" t="s">
        <v>385</v>
      </c>
      <c r="F980" s="6" t="s">
        <v>382</v>
      </c>
      <c r="G980" s="6" t="s">
        <v>353</v>
      </c>
      <c r="H980" s="6" t="s">
        <v>383</v>
      </c>
      <c r="P980" s="10" cm="1">
        <f t="array" ref="P980">INDIRECT_EFFECT("che","chemicals_share","chemicals_elasticity",0,"Rural","p75")</f>
        <v>8.4967521865850187E-2</v>
      </c>
    </row>
    <row r="981" spans="3:26" x14ac:dyDescent="0.25">
      <c r="D981" s="6" t="s">
        <v>78</v>
      </c>
      <c r="E981" s="6" t="s">
        <v>385</v>
      </c>
      <c r="F981" s="6" t="s">
        <v>145</v>
      </c>
      <c r="G981" s="6" t="s">
        <v>353</v>
      </c>
      <c r="H981" s="6" t="s">
        <v>383</v>
      </c>
      <c r="Q981" s="10" cm="1">
        <f t="array" ref="Q981:Z981">INDIRECT_EFFECT("che","chemicals_share","chemicals_elasticity",DECILE_ARRAY,"Rural","p75")</f>
        <v>0.1102273332380069</v>
      </c>
      <c r="R981">
        <v>8.6146928218196764E-2</v>
      </c>
      <c r="S981">
        <v>8.725834117770695E-2</v>
      </c>
      <c r="T981">
        <v>8.6425029264189684E-2</v>
      </c>
      <c r="U981">
        <v>7.8807996642528105E-2</v>
      </c>
      <c r="V981">
        <v>8.4342987128354127E-2</v>
      </c>
      <c r="W981">
        <v>8.7639204353784597E-2</v>
      </c>
      <c r="X981">
        <v>8.3814886428950047E-2</v>
      </c>
      <c r="Y981">
        <v>8.3683684747808754E-2</v>
      </c>
      <c r="Z981">
        <v>7.8531970901610612E-2</v>
      </c>
    </row>
    <row r="983" spans="3:26" x14ac:dyDescent="0.25">
      <c r="C983" s="7" t="s">
        <v>431</v>
      </c>
      <c r="G983" s="6" t="s">
        <v>355</v>
      </c>
      <c r="O983" s="2" t="s">
        <v>331</v>
      </c>
      <c r="Q983" s="2">
        <v>1</v>
      </c>
      <c r="R983" s="2">
        <v>2</v>
      </c>
      <c r="S983" s="2">
        <v>3</v>
      </c>
      <c r="T983" s="2">
        <v>4</v>
      </c>
      <c r="U983" s="2">
        <v>5</v>
      </c>
      <c r="V983" s="2">
        <v>6</v>
      </c>
      <c r="W983" s="2">
        <v>7</v>
      </c>
      <c r="X983" s="2">
        <v>8</v>
      </c>
      <c r="Y983" s="2">
        <v>9</v>
      </c>
      <c r="Z983" s="2">
        <v>10</v>
      </c>
    </row>
    <row r="984" spans="3:26" x14ac:dyDescent="0.25">
      <c r="D984" s="6" t="s">
        <v>69</v>
      </c>
      <c r="E984" s="6" t="s">
        <v>381</v>
      </c>
      <c r="F984" s="6" t="s">
        <v>382</v>
      </c>
      <c r="G984" s="6" t="s">
        <v>355</v>
      </c>
      <c r="H984" s="6" t="s">
        <v>383</v>
      </c>
      <c r="P984" s="10" cm="1">
        <f t="array" ref="P984">INDIRECT_EFFECT("clo","clothing_share","clothing_elasticity",0,"Overall","mean")</f>
        <v>1.9770911552550417E-2</v>
      </c>
    </row>
    <row r="985" spans="3:26" x14ac:dyDescent="0.25">
      <c r="D985" s="6" t="s">
        <v>69</v>
      </c>
      <c r="E985" s="6" t="s">
        <v>381</v>
      </c>
      <c r="F985" s="6" t="s">
        <v>145</v>
      </c>
      <c r="G985" s="6" t="s">
        <v>355</v>
      </c>
      <c r="H985" s="6" t="s">
        <v>383</v>
      </c>
      <c r="Q985" s="10" cm="1">
        <f t="array" ref="Q985:Z985">INDIRECT_EFFECT("clo","clothing_share","clothing_elasticity",DECILE_ARRAY,"Overall","mean")</f>
        <v>2.0401425970216172E-2</v>
      </c>
      <c r="R985">
        <v>1.8850835383112177E-2</v>
      </c>
      <c r="S985">
        <v>2.1739080281796355E-2</v>
      </c>
      <c r="T985">
        <v>1.9468753963631201E-2</v>
      </c>
      <c r="U985">
        <v>2.0399309596577174E-2</v>
      </c>
      <c r="V985">
        <v>1.9511301889807445E-2</v>
      </c>
      <c r="W985">
        <v>2.0318333544228007E-2</v>
      </c>
      <c r="X985">
        <v>1.7312129154084623E-2</v>
      </c>
      <c r="Y985">
        <v>1.7606840673297555E-2</v>
      </c>
      <c r="Z985">
        <v>1.4406334916537126E-2</v>
      </c>
    </row>
    <row r="986" spans="3:26" x14ac:dyDescent="0.25">
      <c r="D986" s="6" t="s">
        <v>69</v>
      </c>
      <c r="E986" s="6" t="s">
        <v>384</v>
      </c>
      <c r="F986" s="6" t="s">
        <v>382</v>
      </c>
      <c r="G986" s="6" t="s">
        <v>355</v>
      </c>
      <c r="H986" s="6" t="s">
        <v>383</v>
      </c>
      <c r="P986" s="10" cm="1">
        <f t="array" ref="P986">INDIRECT_EFFECT("clo","clothing_share","clothing_elasticity",0,"Urban","mean")</f>
        <v>1.7462830713114545E-2</v>
      </c>
    </row>
    <row r="987" spans="3:26" x14ac:dyDescent="0.25">
      <c r="D987" s="6" t="s">
        <v>69</v>
      </c>
      <c r="E987" s="6" t="s">
        <v>384</v>
      </c>
      <c r="F987" s="6" t="s">
        <v>145</v>
      </c>
      <c r="G987" s="6" t="s">
        <v>355</v>
      </c>
      <c r="H987" s="6" t="s">
        <v>383</v>
      </c>
      <c r="Q987" s="10" cm="1">
        <f t="array" ref="Q987:Z987">INDIRECT_EFFECT("clo","clothing_share","clothing_elasticity",DECILE_ARRAY,"Urban","mean")</f>
        <v>1.9446809758061009E-2</v>
      </c>
      <c r="R987">
        <v>1.7858677145873445E-2</v>
      </c>
      <c r="S987">
        <v>1.9180393119954977E-2</v>
      </c>
      <c r="T987">
        <v>1.9439953163130626E-2</v>
      </c>
      <c r="U987">
        <v>1.968348505767999E-2</v>
      </c>
      <c r="V987">
        <v>1.8403825348265776E-2</v>
      </c>
      <c r="W987">
        <v>1.8301712758529945E-2</v>
      </c>
      <c r="X987">
        <v>1.7079281592897306E-2</v>
      </c>
      <c r="Y987">
        <v>1.5922294204562058E-2</v>
      </c>
      <c r="Z987">
        <v>1.4442465746277196E-2</v>
      </c>
    </row>
    <row r="988" spans="3:26" x14ac:dyDescent="0.25">
      <c r="D988" s="6" t="s">
        <v>69</v>
      </c>
      <c r="E988" s="6" t="s">
        <v>385</v>
      </c>
      <c r="F988" s="6" t="s">
        <v>382</v>
      </c>
      <c r="G988" s="6" t="s">
        <v>355</v>
      </c>
      <c r="H988" s="6" t="s">
        <v>383</v>
      </c>
      <c r="P988" s="10" cm="1">
        <f t="array" ref="P988">INDIRECT_EFFECT("clo","clothing_share","clothing_elasticity",0,"Rural","mean")</f>
        <v>2.1007478452740442E-2</v>
      </c>
    </row>
    <row r="989" spans="3:26" x14ac:dyDescent="0.25">
      <c r="D989" s="6" t="s">
        <v>69</v>
      </c>
      <c r="E989" s="6" t="s">
        <v>385</v>
      </c>
      <c r="F989" s="6" t="s">
        <v>145</v>
      </c>
      <c r="G989" s="6" t="s">
        <v>355</v>
      </c>
      <c r="H989" s="6" t="s">
        <v>383</v>
      </c>
      <c r="Q989" s="10" cm="1">
        <f t="array" ref="Q989:Z989">INDIRECT_EFFECT("clo","clothing_share","clothing_elasticity",DECILE_ARRAY,"Rural","mean")</f>
        <v>1.9318806200298806E-2</v>
      </c>
      <c r="R989">
        <v>1.9159777306534481E-2</v>
      </c>
      <c r="S989">
        <v>2.0380947256376531E-2</v>
      </c>
      <c r="T989">
        <v>2.1859637073995977E-2</v>
      </c>
      <c r="U989">
        <v>2.2295614207714955E-2</v>
      </c>
      <c r="V989">
        <v>2.2840191387230563E-2</v>
      </c>
      <c r="W989">
        <v>2.2353066185588643E-2</v>
      </c>
      <c r="X989">
        <v>1.8184672181065821E-2</v>
      </c>
      <c r="Y989">
        <v>1.7721538687846695E-2</v>
      </c>
      <c r="Z989">
        <v>1.3710069768547835E-2</v>
      </c>
    </row>
    <row r="990" spans="3:26" x14ac:dyDescent="0.25">
      <c r="D990" s="6" t="s">
        <v>72</v>
      </c>
      <c r="E990" s="6" t="s">
        <v>381</v>
      </c>
      <c r="F990" s="6" t="s">
        <v>382</v>
      </c>
      <c r="G990" s="6" t="s">
        <v>355</v>
      </c>
      <c r="H990" s="6" t="s">
        <v>383</v>
      </c>
      <c r="P990" s="10" cm="1">
        <f t="array" ref="P990">INDIRECT_EFFECT("clo","clothing_share","clothing_elasticity",0,"Overall","median")</f>
        <v>1.6583480768611499E-2</v>
      </c>
    </row>
    <row r="991" spans="3:26" x14ac:dyDescent="0.25">
      <c r="D991" s="6" t="s">
        <v>72</v>
      </c>
      <c r="E991" s="6" t="s">
        <v>381</v>
      </c>
      <c r="F991" s="6" t="s">
        <v>145</v>
      </c>
      <c r="G991" s="6" t="s">
        <v>355</v>
      </c>
      <c r="H991" s="6" t="s">
        <v>383</v>
      </c>
      <c r="Q991" s="10" cm="1">
        <f t="array" ref="Q991:Z991">INDIRECT_EFFECT("clo","clothing_share","clothing_elasticity",DECILE_ARRAY,"Overall","median")</f>
        <v>1.6961228850679667E-2</v>
      </c>
      <c r="R991">
        <v>1.7907501210466234E-2</v>
      </c>
      <c r="S991">
        <v>1.8341376825600268E-2</v>
      </c>
      <c r="T991">
        <v>2.004226501618573E-2</v>
      </c>
      <c r="U991">
        <v>2.021926397586649E-2</v>
      </c>
      <c r="V991">
        <v>1.7894848507203354E-2</v>
      </c>
      <c r="W991">
        <v>1.880822111785951E-2</v>
      </c>
      <c r="X991">
        <v>1.4691756852966554E-2</v>
      </c>
      <c r="Y991">
        <v>1.4562444852914087E-2</v>
      </c>
      <c r="Z991">
        <v>1.1382344825729387E-2</v>
      </c>
    </row>
    <row r="992" spans="3:26" x14ac:dyDescent="0.25">
      <c r="D992" s="6" t="s">
        <v>72</v>
      </c>
      <c r="E992" s="6" t="s">
        <v>384</v>
      </c>
      <c r="F992" s="6" t="s">
        <v>382</v>
      </c>
      <c r="G992" s="6" t="s">
        <v>355</v>
      </c>
      <c r="H992" s="6" t="s">
        <v>383</v>
      </c>
      <c r="P992" s="10" cm="1">
        <f t="array" ref="P992">INDIRECT_EFFECT("clo","clothing_share","clothing_elasticity",0,"Urban","median")</f>
        <v>1.6257412869552582E-2</v>
      </c>
    </row>
    <row r="993" spans="4:26" x14ac:dyDescent="0.25">
      <c r="D993" s="6" t="s">
        <v>72</v>
      </c>
      <c r="E993" s="6" t="s">
        <v>384</v>
      </c>
      <c r="F993" s="6" t="s">
        <v>145</v>
      </c>
      <c r="G993" s="6" t="s">
        <v>355</v>
      </c>
      <c r="H993" s="6" t="s">
        <v>383</v>
      </c>
      <c r="Q993" s="10" cm="1">
        <f t="array" ref="Q993:Z993">INDIRECT_EFFECT("clo","clothing_share","clothing_elasticity",DECILE_ARRAY,"Urban","median")</f>
        <v>1.6857496567841111E-2</v>
      </c>
      <c r="R993">
        <v>1.6230841679526764E-2</v>
      </c>
      <c r="S993">
        <v>1.9034627636045819E-2</v>
      </c>
      <c r="T993">
        <v>1.7873430145200292E-2</v>
      </c>
      <c r="U993">
        <v>1.7515095702722704E-2</v>
      </c>
      <c r="V993">
        <v>1.6159867273650815E-2</v>
      </c>
      <c r="W993">
        <v>1.608775930452325E-2</v>
      </c>
      <c r="X993">
        <v>1.6081534882950985E-2</v>
      </c>
      <c r="Y993">
        <v>1.2965136637220756E-2</v>
      </c>
      <c r="Z993">
        <v>1.2239271531931962E-2</v>
      </c>
    </row>
    <row r="994" spans="4:26" x14ac:dyDescent="0.25">
      <c r="D994" s="6" t="s">
        <v>72</v>
      </c>
      <c r="E994" s="6" t="s">
        <v>385</v>
      </c>
      <c r="F994" s="6" t="s">
        <v>382</v>
      </c>
      <c r="G994" s="6" t="s">
        <v>355</v>
      </c>
      <c r="H994" s="6" t="s">
        <v>383</v>
      </c>
      <c r="P994" s="10" cm="1">
        <f t="array" ref="P994">INDIRECT_EFFECT("clo","clothing_share","clothing_elasticity",0,"Rural","median")</f>
        <v>1.9583572098319353E-2</v>
      </c>
    </row>
    <row r="995" spans="4:26" x14ac:dyDescent="0.25">
      <c r="D995" s="6" t="s">
        <v>72</v>
      </c>
      <c r="E995" s="6" t="s">
        <v>385</v>
      </c>
      <c r="F995" s="6" t="s">
        <v>145</v>
      </c>
      <c r="G995" s="6" t="s">
        <v>355</v>
      </c>
      <c r="H995" s="6" t="s">
        <v>383</v>
      </c>
      <c r="Q995" s="10" cm="1">
        <f t="array" ref="Q995:Z995">INDIRECT_EFFECT("clo","clothing_share","clothing_elasticity",DECILE_ARRAY,"Rural","median")</f>
        <v>1.6342054076788952E-2</v>
      </c>
      <c r="R995">
        <v>1.935370544244092E-2</v>
      </c>
      <c r="S995">
        <v>1.9998393035942232E-2</v>
      </c>
      <c r="T995">
        <v>2.0525526081402828E-2</v>
      </c>
      <c r="U995">
        <v>2.023794495719957E-2</v>
      </c>
      <c r="V995">
        <v>1.9322626796285929E-2</v>
      </c>
      <c r="W995">
        <v>2.0016532483990403E-2</v>
      </c>
      <c r="X995">
        <v>1.6660848192850589E-2</v>
      </c>
      <c r="Y995">
        <v>1.5954220332308412E-2</v>
      </c>
      <c r="Z995">
        <v>1.2217162326985661E-2</v>
      </c>
    </row>
    <row r="996" spans="4:26" x14ac:dyDescent="0.25">
      <c r="D996" s="6" t="s">
        <v>75</v>
      </c>
      <c r="E996" s="6" t="s">
        <v>381</v>
      </c>
      <c r="F996" s="6" t="s">
        <v>382</v>
      </c>
      <c r="G996" s="6" t="s">
        <v>355</v>
      </c>
      <c r="H996" s="6" t="s">
        <v>383</v>
      </c>
      <c r="P996" s="10" cm="1">
        <f t="array" ref="P996">INDIRECT_EFFECT("clo","clothing_share","clothing_elasticity",0,"Overall","p25")</f>
        <v>8.6884293972341875E-3</v>
      </c>
    </row>
    <row r="997" spans="4:26" x14ac:dyDescent="0.25">
      <c r="D997" s="6" t="s">
        <v>75</v>
      </c>
      <c r="E997" s="6" t="s">
        <v>381</v>
      </c>
      <c r="F997" s="6" t="s">
        <v>145</v>
      </c>
      <c r="G997" s="6" t="s">
        <v>355</v>
      </c>
      <c r="H997" s="6" t="s">
        <v>383</v>
      </c>
      <c r="Q997" s="10" cm="1">
        <f t="array" ref="Q997:Z997">INDIRECT_EFFECT("clo","clothing_share","clothing_elasticity",DECILE_ARRAY,"Overall","p25")</f>
        <v>9.6720195960210854E-3</v>
      </c>
      <c r="R997">
        <v>1.1464201857134766E-2</v>
      </c>
      <c r="S997">
        <v>1.1282650482555459E-2</v>
      </c>
      <c r="T997">
        <v>1.2220308735258487E-2</v>
      </c>
      <c r="U997">
        <v>1.2300737902066672E-2</v>
      </c>
      <c r="V997">
        <v>1.0841019283225263E-2</v>
      </c>
      <c r="W997">
        <v>8.3022068624535213E-3</v>
      </c>
      <c r="X997">
        <v>8.0229624931574175E-3</v>
      </c>
      <c r="Y997">
        <v>6.1384700269711432E-3</v>
      </c>
      <c r="Z997">
        <v>4.359388070967518E-3</v>
      </c>
    </row>
    <row r="998" spans="4:26" x14ac:dyDescent="0.25">
      <c r="D998" s="6" t="s">
        <v>75</v>
      </c>
      <c r="E998" s="6" t="s">
        <v>384</v>
      </c>
      <c r="F998" s="6" t="s">
        <v>382</v>
      </c>
      <c r="G998" s="6" t="s">
        <v>355</v>
      </c>
      <c r="H998" s="6" t="s">
        <v>383</v>
      </c>
      <c r="P998" s="10" cm="1">
        <f t="array" ref="P998">INDIRECT_EFFECT("clo","clothing_share","clothing_elasticity",0,"Urban","p25")</f>
        <v>8.0648731000516043E-3</v>
      </c>
    </row>
    <row r="999" spans="4:26" x14ac:dyDescent="0.25">
      <c r="D999" s="6" t="s">
        <v>75</v>
      </c>
      <c r="E999" s="6" t="s">
        <v>384</v>
      </c>
      <c r="F999" s="6" t="s">
        <v>145</v>
      </c>
      <c r="G999" s="6" t="s">
        <v>355</v>
      </c>
      <c r="H999" s="6" t="s">
        <v>383</v>
      </c>
      <c r="Q999" s="10" cm="1">
        <f t="array" ref="Q999:Z999">INDIRECT_EFFECT("clo","clothing_share","clothing_elasticity",DECILE_ARRAY,"Urban","p25")</f>
        <v>9.52204571190347E-3</v>
      </c>
      <c r="R999">
        <v>1.0339370347531804E-2</v>
      </c>
      <c r="S999">
        <v>1.2156411443986662E-2</v>
      </c>
      <c r="T999">
        <v>1.0497621871306949E-2</v>
      </c>
      <c r="U999">
        <v>1.0086652598413879E-2</v>
      </c>
      <c r="V999">
        <v>9.2045026380478991E-3</v>
      </c>
      <c r="W999">
        <v>8.3106721221413039E-3</v>
      </c>
      <c r="X999">
        <v>7.9580440629612708E-3</v>
      </c>
      <c r="Y999">
        <v>4.7917047193609371E-3</v>
      </c>
      <c r="Z999">
        <v>4.0856144985251253E-3</v>
      </c>
    </row>
    <row r="1000" spans="4:26" x14ac:dyDescent="0.25">
      <c r="D1000" s="6" t="s">
        <v>75</v>
      </c>
      <c r="E1000" s="6" t="s">
        <v>385</v>
      </c>
      <c r="F1000" s="6" t="s">
        <v>382</v>
      </c>
      <c r="G1000" s="6" t="s">
        <v>355</v>
      </c>
      <c r="H1000" s="6" t="s">
        <v>383</v>
      </c>
      <c r="P1000" s="10" cm="1">
        <f t="array" ref="P1000">INDIRECT_EFFECT("clo","clothing_share","clothing_elasticity",0,"Rural","p25")</f>
        <v>1.027972553660577E-2</v>
      </c>
    </row>
    <row r="1001" spans="4:26" x14ac:dyDescent="0.25">
      <c r="D1001" s="6" t="s">
        <v>75</v>
      </c>
      <c r="E1001" s="6" t="s">
        <v>385</v>
      </c>
      <c r="F1001" s="6" t="s">
        <v>145</v>
      </c>
      <c r="G1001" s="6" t="s">
        <v>355</v>
      </c>
      <c r="H1001" s="6" t="s">
        <v>383</v>
      </c>
      <c r="Q1001" s="10" cm="1">
        <f t="array" ref="Q1001:Z1001">INDIRECT_EFFECT("clo","clothing_share","clothing_elasticity",DECILE_ARRAY,"Rural","p25")</f>
        <v>9.3001715525134216E-3</v>
      </c>
      <c r="R1001">
        <v>1.1671886922523257E-2</v>
      </c>
      <c r="S1001">
        <v>1.197255844320259E-2</v>
      </c>
      <c r="T1001">
        <v>1.3441055217038067E-2</v>
      </c>
      <c r="U1001">
        <v>1.1725112824015236E-2</v>
      </c>
      <c r="V1001">
        <v>1.2185022417032459E-2</v>
      </c>
      <c r="W1001">
        <v>1.0398257824654335E-2</v>
      </c>
      <c r="X1001">
        <v>8.5685462185175667E-3</v>
      </c>
      <c r="Y1001">
        <v>6.188037332896721E-3</v>
      </c>
      <c r="Z1001">
        <v>4.9974292792395042E-3</v>
      </c>
    </row>
    <row r="1002" spans="4:26" x14ac:dyDescent="0.25">
      <c r="D1002" s="6" t="s">
        <v>78</v>
      </c>
      <c r="E1002" s="6" t="s">
        <v>381</v>
      </c>
      <c r="F1002" s="6" t="s">
        <v>382</v>
      </c>
      <c r="G1002" s="6" t="s">
        <v>355</v>
      </c>
      <c r="H1002" s="6" t="s">
        <v>383</v>
      </c>
      <c r="P1002" s="10" cm="1">
        <f t="array" ref="P1002">INDIRECT_EFFECT("clo","clothing_share","clothing_elasticity",0,"Overall","p75")</f>
        <v>2.8243543778576595E-2</v>
      </c>
    </row>
    <row r="1003" spans="4:26" x14ac:dyDescent="0.25">
      <c r="D1003" s="6" t="s">
        <v>78</v>
      </c>
      <c r="E1003" s="6" t="s">
        <v>381</v>
      </c>
      <c r="F1003" s="6" t="s">
        <v>145</v>
      </c>
      <c r="G1003" s="6" t="s">
        <v>355</v>
      </c>
      <c r="H1003" s="6" t="s">
        <v>383</v>
      </c>
      <c r="Q1003" s="10" cm="1">
        <f t="array" ref="Q1003:Z1003">INDIRECT_EFFECT("clo","clothing_share","clothing_elasticity",DECILE_ARRAY,"Overall","p75")</f>
        <v>2.7017613505860308E-2</v>
      </c>
      <c r="R1003">
        <v>2.8993190589714109E-2</v>
      </c>
      <c r="S1003">
        <v>2.9409624299731946E-2</v>
      </c>
      <c r="T1003">
        <v>2.8358679653607555E-2</v>
      </c>
      <c r="U1003">
        <v>2.9487127245031594E-2</v>
      </c>
      <c r="V1003">
        <v>2.7022117059033859E-2</v>
      </c>
      <c r="W1003">
        <v>2.7315269571336124E-2</v>
      </c>
      <c r="X1003">
        <v>2.5079380010801875E-2</v>
      </c>
      <c r="Y1003">
        <v>2.4079973852710424E-2</v>
      </c>
      <c r="Z1003">
        <v>2.0542208716469428E-2</v>
      </c>
    </row>
    <row r="1004" spans="4:26" x14ac:dyDescent="0.25">
      <c r="D1004" s="6" t="s">
        <v>78</v>
      </c>
      <c r="E1004" s="6" t="s">
        <v>384</v>
      </c>
      <c r="F1004" s="6" t="s">
        <v>382</v>
      </c>
      <c r="G1004" s="6" t="s">
        <v>355</v>
      </c>
      <c r="H1004" s="6" t="s">
        <v>383</v>
      </c>
      <c r="P1004" s="10" cm="1">
        <f t="array" ref="P1004">INDIRECT_EFFECT("clo","clothing_share","clothing_elasticity",0,"Urban","p75")</f>
        <v>2.5502723171935481E-2</v>
      </c>
    </row>
    <row r="1005" spans="4:26" x14ac:dyDescent="0.25">
      <c r="D1005" s="6" t="s">
        <v>78</v>
      </c>
      <c r="E1005" s="6" t="s">
        <v>384</v>
      </c>
      <c r="F1005" s="6" t="s">
        <v>145</v>
      </c>
      <c r="G1005" s="6" t="s">
        <v>355</v>
      </c>
      <c r="H1005" s="6" t="s">
        <v>383</v>
      </c>
      <c r="Q1005" s="10" cm="1">
        <f t="array" ref="Q1005:Z1005">INDIRECT_EFFECT("clo","clothing_share","clothing_elasticity",DECILE_ARRAY,"Urban","p75")</f>
        <v>2.4217088387971947E-2</v>
      </c>
      <c r="R1005">
        <v>2.7001181984983819E-2</v>
      </c>
      <c r="S1005">
        <v>2.6450371364056612E-2</v>
      </c>
      <c r="T1005">
        <v>2.7095880495338467E-2</v>
      </c>
      <c r="U1005">
        <v>2.7748300929851793E-2</v>
      </c>
      <c r="V1005">
        <v>2.3135828574757954E-2</v>
      </c>
      <c r="W1005">
        <v>2.4738709654579333E-2</v>
      </c>
      <c r="X1005">
        <v>2.511568404302587E-2</v>
      </c>
      <c r="Y1005">
        <v>2.1990478091761995E-2</v>
      </c>
      <c r="Z1005">
        <v>2.2302955481780736E-2</v>
      </c>
    </row>
    <row r="1006" spans="4:26" x14ac:dyDescent="0.25">
      <c r="D1006" s="6" t="s">
        <v>78</v>
      </c>
      <c r="E1006" s="6" t="s">
        <v>385</v>
      </c>
      <c r="F1006" s="6" t="s">
        <v>382</v>
      </c>
      <c r="G1006" s="6" t="s">
        <v>355</v>
      </c>
      <c r="H1006" s="6" t="s">
        <v>383</v>
      </c>
      <c r="P1006" s="10" cm="1">
        <f t="array" ref="P1006">INDIRECT_EFFECT("clo","clothing_share","clothing_elasticity",0,"Rural","p75")</f>
        <v>2.806966101081847E-2</v>
      </c>
    </row>
    <row r="1007" spans="4:26" x14ac:dyDescent="0.25">
      <c r="D1007" s="6" t="s">
        <v>78</v>
      </c>
      <c r="E1007" s="6" t="s">
        <v>385</v>
      </c>
      <c r="F1007" s="6" t="s">
        <v>145</v>
      </c>
      <c r="G1007" s="6" t="s">
        <v>355</v>
      </c>
      <c r="H1007" s="6" t="s">
        <v>383</v>
      </c>
      <c r="Q1007" s="10" cm="1">
        <f t="array" ref="Q1007:Z1007">INDIRECT_EFFECT("clo","clothing_share","clothing_elasticity",DECILE_ARRAY,"Rural","p75")</f>
        <v>2.6311931000851774E-2</v>
      </c>
      <c r="R1007">
        <v>2.7683366070167078E-2</v>
      </c>
      <c r="S1007">
        <v>2.9995768167549376E-2</v>
      </c>
      <c r="T1007">
        <v>2.9199727807076976E-2</v>
      </c>
      <c r="U1007">
        <v>2.845751695577484E-2</v>
      </c>
      <c r="V1007">
        <v>3.1563394375060831E-2</v>
      </c>
      <c r="W1007">
        <v>3.1074601125679086E-2</v>
      </c>
      <c r="X1007">
        <v>2.6924752561769853E-2</v>
      </c>
      <c r="Y1007">
        <v>2.5710579375007467E-2</v>
      </c>
      <c r="Z1007">
        <v>2.2879986440234663E-2</v>
      </c>
    </row>
    <row r="1009" spans="3:26" x14ac:dyDescent="0.25">
      <c r="C1009" s="7" t="s">
        <v>432</v>
      </c>
      <c r="G1009" s="6" t="s">
        <v>357</v>
      </c>
      <c r="O1009" s="2" t="s">
        <v>331</v>
      </c>
      <c r="Q1009" s="2">
        <v>1</v>
      </c>
      <c r="R1009" s="2">
        <v>2</v>
      </c>
      <c r="S1009" s="2">
        <v>3</v>
      </c>
      <c r="T1009" s="2">
        <v>4</v>
      </c>
      <c r="U1009" s="2">
        <v>5</v>
      </c>
      <c r="V1009" s="2">
        <v>6</v>
      </c>
      <c r="W1009" s="2">
        <v>7</v>
      </c>
      <c r="X1009" s="2">
        <v>8</v>
      </c>
      <c r="Y1009" s="2">
        <v>9</v>
      </c>
      <c r="Z1009" s="2">
        <v>10</v>
      </c>
    </row>
    <row r="1010" spans="3:26" x14ac:dyDescent="0.25">
      <c r="D1010" s="6" t="s">
        <v>69</v>
      </c>
      <c r="E1010" s="6" t="s">
        <v>381</v>
      </c>
      <c r="F1010" s="6" t="s">
        <v>382</v>
      </c>
      <c r="G1010" s="6" t="s">
        <v>357</v>
      </c>
      <c r="H1010" s="6" t="s">
        <v>383</v>
      </c>
      <c r="P1010" s="10" cm="1">
        <f t="array" ref="P1010">INDIRECT_EFFECT("com","communications_share","communications_elasticity",0,"Overall","mean")</f>
        <v>3.2857112323453523E-3</v>
      </c>
    </row>
    <row r="1011" spans="3:26" x14ac:dyDescent="0.25">
      <c r="D1011" s="6" t="s">
        <v>69</v>
      </c>
      <c r="E1011" s="6" t="s">
        <v>381</v>
      </c>
      <c r="F1011" s="6" t="s">
        <v>145</v>
      </c>
      <c r="G1011" s="6" t="s">
        <v>357</v>
      </c>
      <c r="H1011" s="6" t="s">
        <v>383</v>
      </c>
      <c r="Q1011" s="10" cm="1">
        <f t="array" ref="Q1011:Z1011">INDIRECT_EFFECT("com","communications_share","communications_elasticity",DECILE_ARRAY,"Overall","mean")</f>
        <v>2.7960205030718487E-3</v>
      </c>
      <c r="R1011">
        <v>2.9870835950903201E-3</v>
      </c>
      <c r="S1011">
        <v>3.0492462138875191E-3</v>
      </c>
      <c r="T1011">
        <v>3.6193585794024219E-3</v>
      </c>
      <c r="U1011">
        <v>3.6578276311506311E-3</v>
      </c>
      <c r="V1011">
        <v>3.7261826253341258E-3</v>
      </c>
      <c r="W1011">
        <v>3.5983941375595935E-3</v>
      </c>
      <c r="X1011">
        <v>3.7658943790868228E-3</v>
      </c>
      <c r="Y1011">
        <v>4.2611035980239746E-3</v>
      </c>
      <c r="Z1011">
        <v>4.2877012748141494E-3</v>
      </c>
    </row>
    <row r="1012" spans="3:26" x14ac:dyDescent="0.25">
      <c r="D1012" s="6" t="s">
        <v>69</v>
      </c>
      <c r="E1012" s="6" t="s">
        <v>384</v>
      </c>
      <c r="F1012" s="6" t="s">
        <v>382</v>
      </c>
      <c r="G1012" s="6" t="s">
        <v>357</v>
      </c>
      <c r="H1012" s="6" t="s">
        <v>383</v>
      </c>
      <c r="P1012" s="10" cm="1">
        <f t="array" ref="P1012">INDIRECT_EFFECT("com","communications_share","communications_elasticity",0,"Urban","mean")</f>
        <v>4.2629581136122323E-3</v>
      </c>
    </row>
    <row r="1013" spans="3:26" x14ac:dyDescent="0.25">
      <c r="D1013" s="6" t="s">
        <v>69</v>
      </c>
      <c r="E1013" s="6" t="s">
        <v>384</v>
      </c>
      <c r="F1013" s="6" t="s">
        <v>145</v>
      </c>
      <c r="G1013" s="6" t="s">
        <v>357</v>
      </c>
      <c r="H1013" s="6" t="s">
        <v>383</v>
      </c>
      <c r="Q1013" s="10" cm="1">
        <f t="array" ref="Q1013:Z1013">INDIRECT_EFFECT("com","communications_share","communications_elasticity",DECILE_ARRAY,"Urban","mean")</f>
        <v>3.647442711300092E-3</v>
      </c>
      <c r="R1013">
        <v>3.8462332284946686E-3</v>
      </c>
      <c r="S1013">
        <v>4.2235044953474986E-3</v>
      </c>
      <c r="T1013">
        <v>4.5873863425562487E-3</v>
      </c>
      <c r="U1013">
        <v>4.2280885311288055E-3</v>
      </c>
      <c r="V1013">
        <v>4.3315183356385538E-3</v>
      </c>
      <c r="W1013">
        <v>4.4603714636227264E-3</v>
      </c>
      <c r="X1013">
        <v>4.9138377946986566E-3</v>
      </c>
      <c r="Y1013">
        <v>4.3732209375116878E-3</v>
      </c>
      <c r="Z1013">
        <v>4.4965653890072024E-3</v>
      </c>
    </row>
    <row r="1014" spans="3:26" x14ac:dyDescent="0.25">
      <c r="D1014" s="6" t="s">
        <v>69</v>
      </c>
      <c r="E1014" s="6" t="s">
        <v>385</v>
      </c>
      <c r="F1014" s="6" t="s">
        <v>382</v>
      </c>
      <c r="G1014" s="6" t="s">
        <v>357</v>
      </c>
      <c r="H1014" s="6" t="s">
        <v>383</v>
      </c>
      <c r="P1014" s="10" cm="1">
        <f t="array" ref="P1014">INDIRECT_EFFECT("com","communications_share","communications_elasticity",0,"Rural","mean")</f>
        <v>3.0098771652512166E-3</v>
      </c>
    </row>
    <row r="1015" spans="3:26" x14ac:dyDescent="0.25">
      <c r="D1015" s="6" t="s">
        <v>69</v>
      </c>
      <c r="E1015" s="6" t="s">
        <v>385</v>
      </c>
      <c r="F1015" s="6" t="s">
        <v>145</v>
      </c>
      <c r="G1015" s="6" t="s">
        <v>357</v>
      </c>
      <c r="H1015" s="6" t="s">
        <v>383</v>
      </c>
      <c r="Q1015" s="10" cm="1">
        <f t="array" ref="Q1015:Z1015">INDIRECT_EFFECT("com","communications_share","communications_elasticity",DECILE_ARRAY,"Rural","mean")</f>
        <v>2.6290819194381672E-3</v>
      </c>
      <c r="R1015">
        <v>2.4434754428520251E-3</v>
      </c>
      <c r="S1015">
        <v>2.975699334815069E-3</v>
      </c>
      <c r="T1015">
        <v>2.9456963747962308E-3</v>
      </c>
      <c r="U1015">
        <v>2.9627586090365757E-3</v>
      </c>
      <c r="V1015">
        <v>3.0495624197207274E-3</v>
      </c>
      <c r="W1015">
        <v>3.0000475593786897E-3</v>
      </c>
      <c r="X1015">
        <v>3.0114645249151393E-3</v>
      </c>
      <c r="Y1015">
        <v>2.8246324953391344E-3</v>
      </c>
      <c r="Z1015">
        <v>2.7919242715064214E-3</v>
      </c>
    </row>
    <row r="1016" spans="3:26" x14ac:dyDescent="0.25">
      <c r="D1016" s="6" t="s">
        <v>72</v>
      </c>
      <c r="E1016" s="6" t="s">
        <v>381</v>
      </c>
      <c r="F1016" s="6" t="s">
        <v>382</v>
      </c>
      <c r="G1016" s="6" t="s">
        <v>357</v>
      </c>
      <c r="H1016" s="6" t="s">
        <v>383</v>
      </c>
      <c r="P1016" s="10" cm="1">
        <f t="array" ref="P1016">INDIRECT_EFFECT("com","communications_share","communications_elasticity",0,"Overall","median")</f>
        <v>2.9584696905583176E-3</v>
      </c>
    </row>
    <row r="1017" spans="3:26" x14ac:dyDescent="0.25">
      <c r="D1017" s="6" t="s">
        <v>72</v>
      </c>
      <c r="E1017" s="6" t="s">
        <v>381</v>
      </c>
      <c r="F1017" s="6" t="s">
        <v>145</v>
      </c>
      <c r="G1017" s="6" t="s">
        <v>357</v>
      </c>
      <c r="H1017" s="6" t="s">
        <v>383</v>
      </c>
      <c r="Q1017" s="10" cm="1">
        <f t="array" ref="Q1017:Z1017">INDIRECT_EFFECT("com","communications_share","communications_elasticity",DECILE_ARRAY,"Overall","median")</f>
        <v>2.4051168938766768E-3</v>
      </c>
      <c r="R1017">
        <v>2.3506448926941263E-3</v>
      </c>
      <c r="S1017">
        <v>2.6944582140301875E-3</v>
      </c>
      <c r="T1017">
        <v>2.8239123373232952E-3</v>
      </c>
      <c r="U1017">
        <v>3.2074626921045428E-3</v>
      </c>
      <c r="V1017">
        <v>3.0536977118130176E-3</v>
      </c>
      <c r="W1017">
        <v>3.2626002450278665E-3</v>
      </c>
      <c r="X1017">
        <v>3.4294699536138178E-3</v>
      </c>
      <c r="Y1017">
        <v>3.1820658226144058E-3</v>
      </c>
      <c r="Z1017">
        <v>3.4104256241738518E-3</v>
      </c>
    </row>
    <row r="1018" spans="3:26" x14ac:dyDescent="0.25">
      <c r="D1018" s="6" t="s">
        <v>72</v>
      </c>
      <c r="E1018" s="6" t="s">
        <v>384</v>
      </c>
      <c r="F1018" s="6" t="s">
        <v>382</v>
      </c>
      <c r="G1018" s="6" t="s">
        <v>357</v>
      </c>
      <c r="H1018" s="6" t="s">
        <v>383</v>
      </c>
      <c r="P1018" s="10" cm="1">
        <f t="array" ref="P1018">INDIRECT_EFFECT("com","communications_share","communications_elasticity",0,"Urban","median")</f>
        <v>3.7008511124138389E-3</v>
      </c>
    </row>
    <row r="1019" spans="3:26" x14ac:dyDescent="0.25">
      <c r="D1019" s="6" t="s">
        <v>72</v>
      </c>
      <c r="E1019" s="6" t="s">
        <v>384</v>
      </c>
      <c r="F1019" s="6" t="s">
        <v>145</v>
      </c>
      <c r="G1019" s="6" t="s">
        <v>357</v>
      </c>
      <c r="H1019" s="6" t="s">
        <v>383</v>
      </c>
      <c r="Q1019" s="10" cm="1">
        <f t="array" ref="Q1019:Z1019">INDIRECT_EFFECT("com","communications_share","communications_elasticity",DECILE_ARRAY,"Urban","median")</f>
        <v>2.9028926603296089E-3</v>
      </c>
      <c r="R1019">
        <v>3.1848385075914682E-3</v>
      </c>
      <c r="S1019">
        <v>3.2406676287856638E-3</v>
      </c>
      <c r="T1019">
        <v>3.6660267381136919E-3</v>
      </c>
      <c r="U1019">
        <v>3.8488255559583294E-3</v>
      </c>
      <c r="V1019">
        <v>4.0962795694578103E-3</v>
      </c>
      <c r="W1019">
        <v>4.529616666028545E-3</v>
      </c>
      <c r="X1019">
        <v>4.3147738838383489E-3</v>
      </c>
      <c r="Y1019">
        <v>4.3621676824799191E-3</v>
      </c>
      <c r="Z1019">
        <v>4.2016698902267178E-3</v>
      </c>
    </row>
    <row r="1020" spans="3:26" x14ac:dyDescent="0.25">
      <c r="D1020" s="6" t="s">
        <v>72</v>
      </c>
      <c r="E1020" s="6" t="s">
        <v>385</v>
      </c>
      <c r="F1020" s="6" t="s">
        <v>382</v>
      </c>
      <c r="G1020" s="6" t="s">
        <v>357</v>
      </c>
      <c r="H1020" s="6" t="s">
        <v>383</v>
      </c>
      <c r="P1020" s="10" cm="1">
        <f t="array" ref="P1020">INDIRECT_EFFECT("com","communications_share","communications_elasticity",0,"Rural","median")</f>
        <v>2.5488789407060028E-3</v>
      </c>
    </row>
    <row r="1021" spans="3:26" x14ac:dyDescent="0.25">
      <c r="D1021" s="6" t="s">
        <v>72</v>
      </c>
      <c r="E1021" s="6" t="s">
        <v>385</v>
      </c>
      <c r="F1021" s="6" t="s">
        <v>145</v>
      </c>
      <c r="G1021" s="6" t="s">
        <v>357</v>
      </c>
      <c r="H1021" s="6" t="s">
        <v>383</v>
      </c>
      <c r="Q1021" s="10" cm="1">
        <f t="array" ref="Q1021:Z1021">INDIRECT_EFFECT("com","communications_share","communications_elasticity",DECILE_ARRAY,"Rural","median")</f>
        <v>2.048007018155901E-3</v>
      </c>
      <c r="R1021">
        <v>2.2048008357871637E-3</v>
      </c>
      <c r="S1021">
        <v>2.4909878427508921E-3</v>
      </c>
      <c r="T1021">
        <v>2.336597472761031E-3</v>
      </c>
      <c r="U1021">
        <v>2.4015741379860667E-3</v>
      </c>
      <c r="V1021">
        <v>2.798323575828069E-3</v>
      </c>
      <c r="W1021">
        <v>2.7130644600696949E-3</v>
      </c>
      <c r="X1021">
        <v>2.57126508001496E-3</v>
      </c>
      <c r="Y1021">
        <v>2.6986299598788961E-3</v>
      </c>
      <c r="Z1021">
        <v>2.2720462182962489E-3</v>
      </c>
    </row>
    <row r="1022" spans="3:26" x14ac:dyDescent="0.25">
      <c r="D1022" s="6" t="s">
        <v>75</v>
      </c>
      <c r="E1022" s="6" t="s">
        <v>381</v>
      </c>
      <c r="F1022" s="6" t="s">
        <v>382</v>
      </c>
      <c r="G1022" s="6" t="s">
        <v>357</v>
      </c>
      <c r="H1022" s="6" t="s">
        <v>383</v>
      </c>
      <c r="P1022" s="10" cm="1">
        <f t="array" ref="P1022">INDIRECT_EFFECT("com","communications_share","communications_elasticity",0,"Overall","p25")</f>
        <v>1.6948178447577982E-3</v>
      </c>
    </row>
    <row r="1023" spans="3:26" x14ac:dyDescent="0.25">
      <c r="D1023" s="6" t="s">
        <v>75</v>
      </c>
      <c r="E1023" s="6" t="s">
        <v>381</v>
      </c>
      <c r="F1023" s="6" t="s">
        <v>145</v>
      </c>
      <c r="G1023" s="6" t="s">
        <v>357</v>
      </c>
      <c r="H1023" s="6" t="s">
        <v>383</v>
      </c>
      <c r="Q1023" s="10" cm="1">
        <f t="array" ref="Q1023:Z1023">INDIRECT_EFFECT("com","communications_share","communications_elasticity",DECILE_ARRAY,"Overall","p25")</f>
        <v>1.531365571463881E-3</v>
      </c>
      <c r="R1023">
        <v>1.7143357324929426E-3</v>
      </c>
      <c r="S1023">
        <v>1.6782995363035795E-3</v>
      </c>
      <c r="T1023">
        <v>1.7071788621071395E-3</v>
      </c>
      <c r="U1023">
        <v>1.7981645738251644E-3</v>
      </c>
      <c r="V1023">
        <v>1.9298726187964312E-3</v>
      </c>
      <c r="W1023">
        <v>2.1566171422252325E-3</v>
      </c>
      <c r="X1023">
        <v>2.0737436522639506E-3</v>
      </c>
      <c r="Y1023">
        <v>1.8005266925352234E-3</v>
      </c>
      <c r="Z1023">
        <v>1.9019866387853504E-3</v>
      </c>
    </row>
    <row r="1024" spans="3:26" x14ac:dyDescent="0.25">
      <c r="D1024" s="6" t="s">
        <v>75</v>
      </c>
      <c r="E1024" s="6" t="s">
        <v>384</v>
      </c>
      <c r="F1024" s="6" t="s">
        <v>382</v>
      </c>
      <c r="G1024" s="6" t="s">
        <v>357</v>
      </c>
      <c r="H1024" s="6" t="s">
        <v>383</v>
      </c>
      <c r="P1024" s="10" cm="1">
        <f t="array" ref="P1024">INDIRECT_EFFECT("com","communications_share","communications_elasticity",0,"Urban","p25")</f>
        <v>2.1033807917492041E-3</v>
      </c>
    </row>
    <row r="1025" spans="3:26" x14ac:dyDescent="0.25">
      <c r="D1025" s="6" t="s">
        <v>75</v>
      </c>
      <c r="E1025" s="6" t="s">
        <v>384</v>
      </c>
      <c r="F1025" s="6" t="s">
        <v>145</v>
      </c>
      <c r="G1025" s="6" t="s">
        <v>357</v>
      </c>
      <c r="H1025" s="6" t="s">
        <v>383</v>
      </c>
      <c r="Q1025" s="10" cm="1">
        <f t="array" ref="Q1025:Z1025">INDIRECT_EFFECT("com","communications_share","communications_elasticity",DECILE_ARRAY,"Urban","p25")</f>
        <v>1.7433785058204073E-3</v>
      </c>
      <c r="R1025">
        <v>2.1857752003764698E-3</v>
      </c>
      <c r="S1025">
        <v>2.0446590363799779E-3</v>
      </c>
      <c r="T1025">
        <v>2.2739721912686914E-3</v>
      </c>
      <c r="U1025">
        <v>2.3841147540160919E-3</v>
      </c>
      <c r="V1025">
        <v>2.7649855735721288E-3</v>
      </c>
      <c r="W1025">
        <v>2.3983052061039779E-3</v>
      </c>
      <c r="X1025">
        <v>2.7177057625660706E-3</v>
      </c>
      <c r="Y1025">
        <v>2.3669887186657489E-3</v>
      </c>
      <c r="Z1025">
        <v>2.2716590222205892E-3</v>
      </c>
    </row>
    <row r="1026" spans="3:26" x14ac:dyDescent="0.25">
      <c r="D1026" s="6" t="s">
        <v>75</v>
      </c>
      <c r="E1026" s="6" t="s">
        <v>385</v>
      </c>
      <c r="F1026" s="6" t="s">
        <v>382</v>
      </c>
      <c r="G1026" s="6" t="s">
        <v>357</v>
      </c>
      <c r="H1026" s="6" t="s">
        <v>383</v>
      </c>
      <c r="P1026" s="10" cm="1">
        <f t="array" ref="P1026">INDIRECT_EFFECT("com","communications_share","communications_elasticity",0,"Rural","p25")</f>
        <v>1.671857010423798E-3</v>
      </c>
    </row>
    <row r="1027" spans="3:26" x14ac:dyDescent="0.25">
      <c r="D1027" s="6" t="s">
        <v>75</v>
      </c>
      <c r="E1027" s="6" t="s">
        <v>385</v>
      </c>
      <c r="F1027" s="6" t="s">
        <v>145</v>
      </c>
      <c r="G1027" s="6" t="s">
        <v>357</v>
      </c>
      <c r="H1027" s="6" t="s">
        <v>383</v>
      </c>
      <c r="Q1027" s="10" cm="1">
        <f t="array" ref="Q1027:Z1027">INDIRECT_EFFECT("com","communications_share","communications_elasticity",DECILE_ARRAY,"Rural","p25")</f>
        <v>1.4774180081328309E-3</v>
      </c>
      <c r="R1027">
        <v>1.4038351380902905E-3</v>
      </c>
      <c r="S1027">
        <v>1.7509939248180246E-3</v>
      </c>
      <c r="T1027">
        <v>1.6936116524957135E-3</v>
      </c>
      <c r="U1027">
        <v>1.535911479697118E-3</v>
      </c>
      <c r="V1027">
        <v>1.728828446871376E-3</v>
      </c>
      <c r="W1027">
        <v>1.721344437850877E-3</v>
      </c>
      <c r="X1027">
        <v>1.5691489232959642E-3</v>
      </c>
      <c r="Y1027">
        <v>1.5032085620635951E-3</v>
      </c>
      <c r="Z1027">
        <v>1.0594104427628331E-3</v>
      </c>
    </row>
    <row r="1028" spans="3:26" x14ac:dyDescent="0.25">
      <c r="D1028" s="6" t="s">
        <v>78</v>
      </c>
      <c r="E1028" s="6" t="s">
        <v>381</v>
      </c>
      <c r="F1028" s="6" t="s">
        <v>382</v>
      </c>
      <c r="G1028" s="6" t="s">
        <v>357</v>
      </c>
      <c r="H1028" s="6" t="s">
        <v>383</v>
      </c>
      <c r="P1028" s="10" cm="1">
        <f t="array" ref="P1028">INDIRECT_EFFECT("com","communications_share","communications_elasticity",0,"Overall","p75")</f>
        <v>4.8449188006569341E-3</v>
      </c>
    </row>
    <row r="1029" spans="3:26" x14ac:dyDescent="0.25">
      <c r="D1029" s="6" t="s">
        <v>78</v>
      </c>
      <c r="E1029" s="6" t="s">
        <v>381</v>
      </c>
      <c r="F1029" s="6" t="s">
        <v>145</v>
      </c>
      <c r="G1029" s="6" t="s">
        <v>357</v>
      </c>
      <c r="H1029" s="6" t="s">
        <v>383</v>
      </c>
      <c r="Q1029" s="10" cm="1">
        <f t="array" ref="Q1029:Z1029">INDIRECT_EFFECT("com","communications_share","communications_elasticity",DECILE_ARRAY,"Overall","p75")</f>
        <v>3.6779651828772364E-3</v>
      </c>
      <c r="R1029">
        <v>3.7085421534913668E-3</v>
      </c>
      <c r="S1029">
        <v>3.9180922990650884E-3</v>
      </c>
      <c r="T1029">
        <v>4.2974549709230616E-3</v>
      </c>
      <c r="U1029">
        <v>4.9623269896911012E-3</v>
      </c>
      <c r="V1029">
        <v>4.9441338646422084E-3</v>
      </c>
      <c r="W1029">
        <v>4.9804990079714128E-3</v>
      </c>
      <c r="X1029">
        <v>5.6880035407233884E-3</v>
      </c>
      <c r="Y1029">
        <v>5.5705374182235014E-3</v>
      </c>
      <c r="Z1029">
        <v>5.5005372796256523E-3</v>
      </c>
    </row>
    <row r="1030" spans="3:26" x14ac:dyDescent="0.25">
      <c r="D1030" s="6" t="s">
        <v>78</v>
      </c>
      <c r="E1030" s="6" t="s">
        <v>384</v>
      </c>
      <c r="F1030" s="6" t="s">
        <v>382</v>
      </c>
      <c r="G1030" s="6" t="s">
        <v>357</v>
      </c>
      <c r="H1030" s="6" t="s">
        <v>383</v>
      </c>
      <c r="P1030" s="10" cm="1">
        <f t="array" ref="P1030">INDIRECT_EFFECT("com","communications_share","communications_elasticity",0,"Urban","p75")</f>
        <v>6.0846177583381775E-3</v>
      </c>
    </row>
    <row r="1031" spans="3:26" x14ac:dyDescent="0.25">
      <c r="D1031" s="6" t="s">
        <v>78</v>
      </c>
      <c r="E1031" s="6" t="s">
        <v>384</v>
      </c>
      <c r="F1031" s="6" t="s">
        <v>145</v>
      </c>
      <c r="G1031" s="6" t="s">
        <v>357</v>
      </c>
      <c r="H1031" s="6" t="s">
        <v>383</v>
      </c>
      <c r="Q1031" s="10" cm="1">
        <f t="array" ref="Q1031:Z1031">INDIRECT_EFFECT("com","communications_share","communications_elasticity",DECILE_ARRAY,"Urban","p75")</f>
        <v>4.447866802538239E-3</v>
      </c>
      <c r="R1031">
        <v>5.0963576992643454E-3</v>
      </c>
      <c r="S1031">
        <v>5.3205018549233552E-3</v>
      </c>
      <c r="T1031">
        <v>5.2563714376644638E-3</v>
      </c>
      <c r="U1031">
        <v>5.9896149084582165E-3</v>
      </c>
      <c r="V1031">
        <v>6.0624730149549805E-3</v>
      </c>
      <c r="W1031">
        <v>6.3362690059612569E-3</v>
      </c>
      <c r="X1031">
        <v>6.3013164779169E-3</v>
      </c>
      <c r="Y1031">
        <v>6.0350575402950898E-3</v>
      </c>
      <c r="Z1031">
        <v>6.4723765785659046E-3</v>
      </c>
    </row>
    <row r="1032" spans="3:26" x14ac:dyDescent="0.25">
      <c r="D1032" s="6" t="s">
        <v>78</v>
      </c>
      <c r="E1032" s="6" t="s">
        <v>385</v>
      </c>
      <c r="F1032" s="6" t="s">
        <v>382</v>
      </c>
      <c r="G1032" s="6" t="s">
        <v>357</v>
      </c>
      <c r="H1032" s="6" t="s">
        <v>383</v>
      </c>
      <c r="P1032" s="10" cm="1">
        <f t="array" ref="P1032">INDIRECT_EFFECT("com","communications_share","communications_elasticity",0,"Rural","p75")</f>
        <v>3.8196274955371004E-3</v>
      </c>
    </row>
    <row r="1033" spans="3:26" x14ac:dyDescent="0.25">
      <c r="D1033" s="6" t="s">
        <v>78</v>
      </c>
      <c r="E1033" s="6" t="s">
        <v>385</v>
      </c>
      <c r="F1033" s="6" t="s">
        <v>145</v>
      </c>
      <c r="G1033" s="6" t="s">
        <v>357</v>
      </c>
      <c r="H1033" s="6" t="s">
        <v>383</v>
      </c>
      <c r="Q1033" s="10" cm="1">
        <f t="array" ref="Q1033:Z1033">INDIRECT_EFFECT("com","communications_share","communications_elasticity",DECILE_ARRAY,"Rural","p75")</f>
        <v>2.9686269635356027E-3</v>
      </c>
      <c r="R1033">
        <v>3.4667908748689793E-3</v>
      </c>
      <c r="S1033">
        <v>3.3515449765982881E-3</v>
      </c>
      <c r="T1033">
        <v>3.7840484878115094E-3</v>
      </c>
      <c r="U1033">
        <v>3.831135307394741E-3</v>
      </c>
      <c r="V1033">
        <v>3.7749983883725367E-3</v>
      </c>
      <c r="W1033">
        <v>4.1324732019744695E-3</v>
      </c>
      <c r="X1033">
        <v>4.4333846758197546E-3</v>
      </c>
      <c r="Y1033">
        <v>3.8596018960063939E-3</v>
      </c>
      <c r="Z1033">
        <v>4.0131821804898042E-3</v>
      </c>
    </row>
    <row r="1035" spans="3:26" x14ac:dyDescent="0.25">
      <c r="C1035" s="7" t="s">
        <v>433</v>
      </c>
      <c r="G1035" s="6" t="s">
        <v>359</v>
      </c>
      <c r="O1035" s="2" t="s">
        <v>331</v>
      </c>
      <c r="Q1035" s="2">
        <v>1</v>
      </c>
      <c r="R1035" s="2">
        <v>2</v>
      </c>
      <c r="S1035" s="2">
        <v>3</v>
      </c>
      <c r="T1035" s="2">
        <v>4</v>
      </c>
      <c r="U1035" s="2">
        <v>5</v>
      </c>
      <c r="V1035" s="2">
        <v>6</v>
      </c>
      <c r="W1035" s="2">
        <v>7</v>
      </c>
      <c r="X1035" s="2">
        <v>8</v>
      </c>
      <c r="Y1035" s="2">
        <v>9</v>
      </c>
      <c r="Z1035" s="2">
        <v>10</v>
      </c>
    </row>
    <row r="1036" spans="3:26" x14ac:dyDescent="0.25">
      <c r="D1036" s="6" t="s">
        <v>69</v>
      </c>
      <c r="E1036" s="6" t="s">
        <v>381</v>
      </c>
      <c r="F1036" s="6" t="s">
        <v>382</v>
      </c>
      <c r="G1036" s="6" t="s">
        <v>359</v>
      </c>
      <c r="H1036" s="6" t="s">
        <v>383</v>
      </c>
      <c r="P1036" s="10" cm="1">
        <f t="array" ref="P1036">INDIRECT_EFFECT("edu","education_share","education_elasticity",0,"Overall","mean")</f>
        <v>1.168156729580847E-2</v>
      </c>
    </row>
    <row r="1037" spans="3:26" x14ac:dyDescent="0.25">
      <c r="D1037" s="6" t="s">
        <v>69</v>
      </c>
      <c r="E1037" s="6" t="s">
        <v>381</v>
      </c>
      <c r="F1037" s="6" t="s">
        <v>145</v>
      </c>
      <c r="G1037" s="6" t="s">
        <v>359</v>
      </c>
      <c r="H1037" s="6" t="s">
        <v>383</v>
      </c>
      <c r="Q1037" s="10" cm="1">
        <f t="array" ref="Q1037:Z1037">INDIRECT_EFFECT("edu","education_share","education_elasticity",DECILE_ARRAY,"Overall","mean")</f>
        <v>9.6829391590033103E-3</v>
      </c>
      <c r="R1037">
        <v>1.3010734760208998E-2</v>
      </c>
      <c r="S1037">
        <v>1.3846405143136146E-2</v>
      </c>
      <c r="T1037">
        <v>1.3449284663442926E-2</v>
      </c>
      <c r="U1037">
        <v>1.5028717577274166E-2</v>
      </c>
      <c r="V1037">
        <v>1.3950846486043876E-2</v>
      </c>
      <c r="W1037">
        <v>1.4349546730124495E-2</v>
      </c>
      <c r="X1037">
        <v>1.2164216703879538E-2</v>
      </c>
      <c r="Y1037">
        <v>8.9464633153146112E-3</v>
      </c>
      <c r="Z1037">
        <v>4.8912745737761318E-3</v>
      </c>
    </row>
    <row r="1038" spans="3:26" x14ac:dyDescent="0.25">
      <c r="D1038" s="6" t="s">
        <v>69</v>
      </c>
      <c r="E1038" s="6" t="s">
        <v>384</v>
      </c>
      <c r="F1038" s="6" t="s">
        <v>382</v>
      </c>
      <c r="G1038" s="6" t="s">
        <v>359</v>
      </c>
      <c r="H1038" s="6" t="s">
        <v>383</v>
      </c>
      <c r="P1038" s="10" cm="1">
        <f t="array" ref="P1038">INDIRECT_EFFECT("edu","education_share","education_elasticity",0,"Urban","mean")</f>
        <v>1.3339572349907751E-2</v>
      </c>
    </row>
    <row r="1039" spans="3:26" x14ac:dyDescent="0.25">
      <c r="D1039" s="6" t="s">
        <v>69</v>
      </c>
      <c r="E1039" s="6" t="s">
        <v>384</v>
      </c>
      <c r="F1039" s="6" t="s">
        <v>145</v>
      </c>
      <c r="G1039" s="6" t="s">
        <v>359</v>
      </c>
      <c r="H1039" s="6" t="s">
        <v>383</v>
      </c>
      <c r="Q1039" s="10" cm="1">
        <f t="array" ref="Q1039:Z1039">INDIRECT_EFFECT("edu","education_share","education_elasticity",DECILE_ARRAY,"Urban","mean")</f>
        <v>1.1840262377481167E-2</v>
      </c>
      <c r="R1039">
        <v>1.5845636841008322E-2</v>
      </c>
      <c r="S1039">
        <v>1.6454755355197775E-2</v>
      </c>
      <c r="T1039">
        <v>1.558809806930964E-2</v>
      </c>
      <c r="U1039">
        <v>1.6331115294440177E-2</v>
      </c>
      <c r="V1039">
        <v>1.6036421420425589E-2</v>
      </c>
      <c r="W1039">
        <v>1.4060524479869727E-2</v>
      </c>
      <c r="X1039">
        <v>1.303138129870751E-2</v>
      </c>
      <c r="Y1039">
        <v>1.0017779601751237E-2</v>
      </c>
      <c r="Z1039">
        <v>4.6877234155427378E-3</v>
      </c>
    </row>
    <row r="1040" spans="3:26" x14ac:dyDescent="0.25">
      <c r="D1040" s="6" t="s">
        <v>69</v>
      </c>
      <c r="E1040" s="6" t="s">
        <v>385</v>
      </c>
      <c r="F1040" s="6" t="s">
        <v>382</v>
      </c>
      <c r="G1040" s="6" t="s">
        <v>359</v>
      </c>
      <c r="H1040" s="6" t="s">
        <v>383</v>
      </c>
      <c r="P1040" s="10" cm="1">
        <f t="array" ref="P1040">INDIRECT_EFFECT("edu","education_share","education_elasticity",0,"Rural","mean")</f>
        <v>1.0028506843618673E-2</v>
      </c>
    </row>
    <row r="1041" spans="4:26" x14ac:dyDescent="0.25">
      <c r="D1041" s="6" t="s">
        <v>69</v>
      </c>
      <c r="E1041" s="6" t="s">
        <v>385</v>
      </c>
      <c r="F1041" s="6" t="s">
        <v>145</v>
      </c>
      <c r="G1041" s="6" t="s">
        <v>359</v>
      </c>
      <c r="H1041" s="6" t="s">
        <v>383</v>
      </c>
      <c r="Q1041" s="10" cm="1">
        <f t="array" ref="Q1041:Z1041">INDIRECT_EFFECT("edu","education_share","education_elasticity",DECILE_ARRAY,"Rural","mean")</f>
        <v>7.9486219668569065E-3</v>
      </c>
      <c r="R1041">
        <v>1.0800972778864543E-2</v>
      </c>
      <c r="S1041">
        <v>1.2028287665658768E-2</v>
      </c>
      <c r="T1041">
        <v>1.2681212646737227E-2</v>
      </c>
      <c r="U1041">
        <v>1.3257818656597593E-2</v>
      </c>
      <c r="V1041">
        <v>1.3581977887568019E-2</v>
      </c>
      <c r="W1041">
        <v>1.2099507035322189E-2</v>
      </c>
      <c r="X1041">
        <v>1.1205953482586278E-2</v>
      </c>
      <c r="Y1041">
        <v>7.9551024501525649E-3</v>
      </c>
      <c r="Z1041">
        <v>4.3150435134309967E-3</v>
      </c>
    </row>
    <row r="1042" spans="4:26" x14ac:dyDescent="0.25">
      <c r="D1042" s="6" t="s">
        <v>72</v>
      </c>
      <c r="E1042" s="6" t="s">
        <v>381</v>
      </c>
      <c r="F1042" s="6" t="s">
        <v>382</v>
      </c>
      <c r="G1042" s="6" t="s">
        <v>359</v>
      </c>
      <c r="H1042" s="6" t="s">
        <v>383</v>
      </c>
      <c r="P1042" s="10" cm="1">
        <f t="array" ref="P1042">INDIRECT_EFFECT("edu","education_share","education_elasticity",0,"Overall","median")</f>
        <v>3.4215139118033461E-3</v>
      </c>
    </row>
    <row r="1043" spans="4:26" x14ac:dyDescent="0.25">
      <c r="D1043" s="6" t="s">
        <v>72</v>
      </c>
      <c r="E1043" s="6" t="s">
        <v>381</v>
      </c>
      <c r="F1043" s="6" t="s">
        <v>145</v>
      </c>
      <c r="G1043" s="6" t="s">
        <v>359</v>
      </c>
      <c r="H1043" s="6" t="s">
        <v>383</v>
      </c>
      <c r="Q1043" s="10" cm="1">
        <f t="array" ref="Q1043:Z1043">INDIRECT_EFFECT("edu","education_share","education_elasticity",DECILE_ARRAY,"Overall","median")</f>
        <v>5.582223850441736E-3</v>
      </c>
      <c r="R1043">
        <v>7.4016931375682667E-3</v>
      </c>
      <c r="S1043">
        <v>8.1281189142823531E-3</v>
      </c>
      <c r="T1043">
        <v>7.7469147118530007E-3</v>
      </c>
      <c r="U1043">
        <v>8.0201530631720218E-3</v>
      </c>
      <c r="V1043">
        <v>5.7803516547762631E-3</v>
      </c>
      <c r="W1043">
        <v>2.3753272262924665E-3</v>
      </c>
      <c r="X1043">
        <v>0</v>
      </c>
      <c r="Y1043">
        <v>0</v>
      </c>
      <c r="Z1043">
        <v>0</v>
      </c>
    </row>
    <row r="1044" spans="4:26" x14ac:dyDescent="0.25">
      <c r="D1044" s="6" t="s">
        <v>72</v>
      </c>
      <c r="E1044" s="6" t="s">
        <v>384</v>
      </c>
      <c r="F1044" s="6" t="s">
        <v>382</v>
      </c>
      <c r="G1044" s="6" t="s">
        <v>359</v>
      </c>
      <c r="H1044" s="6" t="s">
        <v>383</v>
      </c>
      <c r="P1044" s="10" cm="1">
        <f t="array" ref="P1044">INDIRECT_EFFECT("edu","education_share","education_elasticity",0,"Urban","median")</f>
        <v>2.4459308545494969E-3</v>
      </c>
    </row>
    <row r="1045" spans="4:26" x14ac:dyDescent="0.25">
      <c r="D1045" s="6" t="s">
        <v>72</v>
      </c>
      <c r="E1045" s="6" t="s">
        <v>384</v>
      </c>
      <c r="F1045" s="6" t="s">
        <v>145</v>
      </c>
      <c r="G1045" s="6" t="s">
        <v>359</v>
      </c>
      <c r="H1045" s="6" t="s">
        <v>383</v>
      </c>
      <c r="Q1045" s="10" cm="1">
        <f t="array" ref="Q1045:Z1045">INDIRECT_EFFECT("edu","education_share","education_elasticity",DECILE_ARRAY,"Urban","median")</f>
        <v>7.0428610842003022E-3</v>
      </c>
      <c r="R1045">
        <v>8.9433168912068893E-3</v>
      </c>
      <c r="S1045">
        <v>8.3019448999755319E-3</v>
      </c>
      <c r="T1045">
        <v>8.2092624695423149E-3</v>
      </c>
      <c r="U1045">
        <v>5.5935932529358225E-3</v>
      </c>
      <c r="V1045">
        <v>3.9045202659574144E-3</v>
      </c>
      <c r="W1045">
        <v>0</v>
      </c>
      <c r="X1045">
        <v>0</v>
      </c>
      <c r="Y1045">
        <v>0</v>
      </c>
      <c r="Z1045">
        <v>0</v>
      </c>
    </row>
    <row r="1046" spans="4:26" x14ac:dyDescent="0.25">
      <c r="D1046" s="6" t="s">
        <v>72</v>
      </c>
      <c r="E1046" s="6" t="s">
        <v>385</v>
      </c>
      <c r="F1046" s="6" t="s">
        <v>382</v>
      </c>
      <c r="G1046" s="6" t="s">
        <v>359</v>
      </c>
      <c r="H1046" s="6" t="s">
        <v>383</v>
      </c>
      <c r="P1046" s="10" cm="1">
        <f t="array" ref="P1046">INDIRECT_EFFECT("edu","education_share","education_elasticity",0,"Rural","median")</f>
        <v>4.2331425720304123E-3</v>
      </c>
    </row>
    <row r="1047" spans="4:26" x14ac:dyDescent="0.25">
      <c r="D1047" s="6" t="s">
        <v>72</v>
      </c>
      <c r="E1047" s="6" t="s">
        <v>385</v>
      </c>
      <c r="F1047" s="6" t="s">
        <v>145</v>
      </c>
      <c r="G1047" s="6" t="s">
        <v>359</v>
      </c>
      <c r="H1047" s="6" t="s">
        <v>383</v>
      </c>
      <c r="Q1047" s="10" cm="1">
        <f t="array" ref="Q1047:Z1047">INDIRECT_EFFECT("edu","education_share","education_elasticity",DECILE_ARRAY,"Rural","median")</f>
        <v>5.1941576381415817E-3</v>
      </c>
      <c r="R1047">
        <v>6.9412898549585534E-3</v>
      </c>
      <c r="S1047">
        <v>7.7292624642288001E-3</v>
      </c>
      <c r="T1047">
        <v>7.7754657651714822E-3</v>
      </c>
      <c r="U1047">
        <v>7.9293329022726254E-3</v>
      </c>
      <c r="V1047">
        <v>7.5205027435639761E-3</v>
      </c>
      <c r="W1047">
        <v>4.8938604376980903E-3</v>
      </c>
      <c r="X1047">
        <v>1.1903955088558311E-3</v>
      </c>
      <c r="Y1047">
        <v>0</v>
      </c>
      <c r="Z1047">
        <v>0</v>
      </c>
    </row>
    <row r="1048" spans="4:26" x14ac:dyDescent="0.25">
      <c r="D1048" s="6" t="s">
        <v>75</v>
      </c>
      <c r="E1048" s="6" t="s">
        <v>381</v>
      </c>
      <c r="F1048" s="6" t="s">
        <v>382</v>
      </c>
      <c r="G1048" s="6" t="s">
        <v>359</v>
      </c>
      <c r="H1048" s="6" t="s">
        <v>383</v>
      </c>
      <c r="P1048" s="10" cm="1">
        <f t="array" ref="P1048">INDIRECT_EFFECT("edu","education_share","education_elasticity",0,"Overall","p25")</f>
        <v>0</v>
      </c>
    </row>
    <row r="1049" spans="4:26" x14ac:dyDescent="0.25">
      <c r="D1049" s="6" t="s">
        <v>75</v>
      </c>
      <c r="E1049" s="6" t="s">
        <v>381</v>
      </c>
      <c r="F1049" s="6" t="s">
        <v>145</v>
      </c>
      <c r="G1049" s="6" t="s">
        <v>359</v>
      </c>
      <c r="H1049" s="6" t="s">
        <v>383</v>
      </c>
      <c r="Q1049" s="10" cm="1">
        <f t="array" ref="Q1049:Z1049">INDIRECT_EFFECT("edu","education_share","education_elasticity",DECILE_ARRAY,"Overall","p25")</f>
        <v>1.5505745840021054E-3</v>
      </c>
      <c r="R1049">
        <v>1.6439694723046655E-3</v>
      </c>
      <c r="S1049">
        <v>1.3427138966115742E-3</v>
      </c>
      <c r="T1049">
        <v>0</v>
      </c>
      <c r="U1049">
        <v>0</v>
      </c>
      <c r="V1049">
        <v>0</v>
      </c>
      <c r="W1049">
        <v>0</v>
      </c>
      <c r="X1049">
        <v>0</v>
      </c>
      <c r="Y1049">
        <v>0</v>
      </c>
      <c r="Z1049">
        <v>0</v>
      </c>
    </row>
    <row r="1050" spans="4:26" x14ac:dyDescent="0.25">
      <c r="D1050" s="6" t="s">
        <v>75</v>
      </c>
      <c r="E1050" s="6" t="s">
        <v>384</v>
      </c>
      <c r="F1050" s="6" t="s">
        <v>382</v>
      </c>
      <c r="G1050" s="6" t="s">
        <v>359</v>
      </c>
      <c r="H1050" s="6" t="s">
        <v>383</v>
      </c>
      <c r="P1050" s="10" cm="1">
        <f t="array" ref="P1050">INDIRECT_EFFECT("edu","education_share","education_elasticity",0,"Urban","p25")</f>
        <v>0</v>
      </c>
    </row>
    <row r="1051" spans="4:26" x14ac:dyDescent="0.25">
      <c r="D1051" s="6" t="s">
        <v>75</v>
      </c>
      <c r="E1051" s="6" t="s">
        <v>384</v>
      </c>
      <c r="F1051" s="6" t="s">
        <v>145</v>
      </c>
      <c r="G1051" s="6" t="s">
        <v>359</v>
      </c>
      <c r="H1051" s="6" t="s">
        <v>383</v>
      </c>
      <c r="Q1051" s="10" cm="1">
        <f t="array" ref="Q1051:Z1051">INDIRECT_EFFECT("edu","education_share","education_elasticity",DECILE_ARRAY,"Urban","p25")</f>
        <v>9.7460946026007114E-4</v>
      </c>
      <c r="R1051">
        <v>1.6665731534261543E-3</v>
      </c>
      <c r="S1051">
        <v>0</v>
      </c>
      <c r="T1051">
        <v>0</v>
      </c>
      <c r="U1051">
        <v>0</v>
      </c>
      <c r="V1051">
        <v>0</v>
      </c>
      <c r="W1051">
        <v>0</v>
      </c>
      <c r="X1051">
        <v>0</v>
      </c>
      <c r="Y1051">
        <v>0</v>
      </c>
      <c r="Z1051">
        <v>0</v>
      </c>
    </row>
    <row r="1052" spans="4:26" x14ac:dyDescent="0.25">
      <c r="D1052" s="6" t="s">
        <v>75</v>
      </c>
      <c r="E1052" s="6" t="s">
        <v>385</v>
      </c>
      <c r="F1052" s="6" t="s">
        <v>382</v>
      </c>
      <c r="G1052" s="6" t="s">
        <v>359</v>
      </c>
      <c r="H1052" s="6" t="s">
        <v>383</v>
      </c>
      <c r="P1052" s="10" cm="1">
        <f t="array" ref="P1052">INDIRECT_EFFECT("edu","education_share","education_elasticity",0,"Rural","p25")</f>
        <v>0</v>
      </c>
    </row>
    <row r="1053" spans="4:26" x14ac:dyDescent="0.25">
      <c r="D1053" s="6" t="s">
        <v>75</v>
      </c>
      <c r="E1053" s="6" t="s">
        <v>385</v>
      </c>
      <c r="F1053" s="6" t="s">
        <v>145</v>
      </c>
      <c r="G1053" s="6" t="s">
        <v>359</v>
      </c>
      <c r="H1053" s="6" t="s">
        <v>383</v>
      </c>
      <c r="Q1053" s="10" cm="1">
        <f t="array" ref="Q1053:Z1053">INDIRECT_EFFECT("edu","education_share","education_elasticity",DECILE_ARRAY,"Rural","p25")</f>
        <v>1.6187470563808395E-3</v>
      </c>
      <c r="R1053">
        <v>1.5482602874187636E-3</v>
      </c>
      <c r="S1053">
        <v>1.4924564827151882E-3</v>
      </c>
      <c r="T1053">
        <v>1.163504419619662E-3</v>
      </c>
      <c r="U1053">
        <v>5.4144765687852306E-4</v>
      </c>
      <c r="V1053">
        <v>0</v>
      </c>
      <c r="W1053">
        <v>0</v>
      </c>
      <c r="X1053">
        <v>0</v>
      </c>
      <c r="Y1053">
        <v>0</v>
      </c>
      <c r="Z1053">
        <v>0</v>
      </c>
    </row>
    <row r="1054" spans="4:26" x14ac:dyDescent="0.25">
      <c r="D1054" s="6" t="s">
        <v>78</v>
      </c>
      <c r="E1054" s="6" t="s">
        <v>381</v>
      </c>
      <c r="F1054" s="6" t="s">
        <v>382</v>
      </c>
      <c r="G1054" s="6" t="s">
        <v>359</v>
      </c>
      <c r="H1054" s="6" t="s">
        <v>383</v>
      </c>
      <c r="P1054" s="10" cm="1">
        <f t="array" ref="P1054">INDIRECT_EFFECT("edu","education_share","education_elasticity",0,"Overall","p75")</f>
        <v>1.6717688455184877E-2</v>
      </c>
    </row>
    <row r="1055" spans="4:26" x14ac:dyDescent="0.25">
      <c r="D1055" s="6" t="s">
        <v>78</v>
      </c>
      <c r="E1055" s="6" t="s">
        <v>381</v>
      </c>
      <c r="F1055" s="6" t="s">
        <v>145</v>
      </c>
      <c r="G1055" s="6" t="s">
        <v>359</v>
      </c>
      <c r="H1055" s="6" t="s">
        <v>383</v>
      </c>
      <c r="Q1055" s="10" cm="1">
        <f t="array" ref="Q1055:Z1055">INDIRECT_EFFECT("edu","education_share","education_elasticity",DECILE_ARRAY,"Overall","p75")</f>
        <v>1.2437767402066445E-2</v>
      </c>
      <c r="R1055">
        <v>1.7157022253708496E-2</v>
      </c>
      <c r="S1055">
        <v>2.0684646159985758E-2</v>
      </c>
      <c r="T1055">
        <v>2.1171083984478568E-2</v>
      </c>
      <c r="U1055">
        <v>2.1904937535442513E-2</v>
      </c>
      <c r="V1055">
        <v>2.1858310916992613E-2</v>
      </c>
      <c r="W1055">
        <v>1.9157798303998042E-2</v>
      </c>
      <c r="X1055">
        <v>1.5547201272061526E-2</v>
      </c>
      <c r="Y1055">
        <v>8.903650507287475E-3</v>
      </c>
      <c r="Z1055">
        <v>0</v>
      </c>
    </row>
    <row r="1056" spans="4:26" x14ac:dyDescent="0.25">
      <c r="D1056" s="6" t="s">
        <v>78</v>
      </c>
      <c r="E1056" s="6" t="s">
        <v>384</v>
      </c>
      <c r="F1056" s="6" t="s">
        <v>382</v>
      </c>
      <c r="G1056" s="6" t="s">
        <v>359</v>
      </c>
      <c r="H1056" s="6" t="s">
        <v>383</v>
      </c>
      <c r="P1056" s="10" cm="1">
        <f t="array" ref="P1056">INDIRECT_EFFECT("edu","education_share","education_elasticity",0,"Urban","p75")</f>
        <v>2.0263302693900538E-2</v>
      </c>
    </row>
    <row r="1057" spans="3:26" x14ac:dyDescent="0.25">
      <c r="D1057" s="6" t="s">
        <v>78</v>
      </c>
      <c r="E1057" s="6" t="s">
        <v>384</v>
      </c>
      <c r="F1057" s="6" t="s">
        <v>145</v>
      </c>
      <c r="G1057" s="6" t="s">
        <v>359</v>
      </c>
      <c r="H1057" s="6" t="s">
        <v>383</v>
      </c>
      <c r="Q1057" s="10" cm="1">
        <f t="array" ref="Q1057:Z1057">INDIRECT_EFFECT("edu","education_share","education_elasticity",DECILE_ARRAY,"Urban","p75")</f>
        <v>1.5344524009019611E-2</v>
      </c>
      <c r="R1057">
        <v>2.3275830079860317E-2</v>
      </c>
      <c r="S1057">
        <v>2.4593954114146103E-2</v>
      </c>
      <c r="T1057">
        <v>2.4415049290432683E-2</v>
      </c>
      <c r="U1057">
        <v>2.5271169132845724E-2</v>
      </c>
      <c r="V1057">
        <v>2.2800651328398463E-2</v>
      </c>
      <c r="W1057">
        <v>2.194909633612201E-2</v>
      </c>
      <c r="X1057">
        <v>1.5458589962449623E-2</v>
      </c>
      <c r="Y1057">
        <v>4.6479795131554582E-3</v>
      </c>
      <c r="Z1057">
        <v>0</v>
      </c>
    </row>
    <row r="1058" spans="3:26" x14ac:dyDescent="0.25">
      <c r="D1058" s="6" t="s">
        <v>78</v>
      </c>
      <c r="E1058" s="6" t="s">
        <v>385</v>
      </c>
      <c r="F1058" s="6" t="s">
        <v>382</v>
      </c>
      <c r="G1058" s="6" t="s">
        <v>359</v>
      </c>
      <c r="H1058" s="6" t="s">
        <v>383</v>
      </c>
      <c r="P1058" s="10" cm="1">
        <f t="array" ref="P1058">INDIRECT_EFFECT("edu","education_share","education_elasticity",0,"Rural","p75")</f>
        <v>1.448215705782193E-2</v>
      </c>
    </row>
    <row r="1059" spans="3:26" x14ac:dyDescent="0.25">
      <c r="D1059" s="6" t="s">
        <v>78</v>
      </c>
      <c r="E1059" s="6" t="s">
        <v>385</v>
      </c>
      <c r="F1059" s="6" t="s">
        <v>145</v>
      </c>
      <c r="G1059" s="6" t="s">
        <v>359</v>
      </c>
      <c r="H1059" s="6" t="s">
        <v>383</v>
      </c>
      <c r="Q1059" s="10" cm="1">
        <f t="array" ref="Q1059:Z1059">INDIRECT_EFFECT("edu","education_share","education_elasticity",DECILE_ARRAY,"Rural","p75")</f>
        <v>1.1962711875924107E-2</v>
      </c>
      <c r="R1059">
        <v>1.458991469563402E-2</v>
      </c>
      <c r="S1059">
        <v>1.6480029031930524E-2</v>
      </c>
      <c r="T1059">
        <v>1.9206524074737667E-2</v>
      </c>
      <c r="U1059">
        <v>1.7941546266608484E-2</v>
      </c>
      <c r="V1059">
        <v>1.9370320974075469E-2</v>
      </c>
      <c r="W1059">
        <v>1.8670594442533758E-2</v>
      </c>
      <c r="X1059">
        <v>1.4532101766328361E-2</v>
      </c>
      <c r="Y1059">
        <v>9.3382418746183332E-3</v>
      </c>
      <c r="Z1059">
        <v>0</v>
      </c>
    </row>
    <row r="1061" spans="3:26" x14ac:dyDescent="0.25">
      <c r="C1061" s="7" t="s">
        <v>434</v>
      </c>
      <c r="G1061" s="6" t="s">
        <v>361</v>
      </c>
      <c r="O1061" s="2" t="s">
        <v>331</v>
      </c>
      <c r="Q1061" s="2">
        <v>1</v>
      </c>
      <c r="R1061" s="2">
        <v>2</v>
      </c>
      <c r="S1061" s="2">
        <v>3</v>
      </c>
      <c r="T1061" s="2">
        <v>4</v>
      </c>
      <c r="U1061" s="2">
        <v>5</v>
      </c>
      <c r="V1061" s="2">
        <v>6</v>
      </c>
      <c r="W1061" s="2">
        <v>7</v>
      </c>
      <c r="X1061" s="2">
        <v>8</v>
      </c>
      <c r="Y1061" s="2">
        <v>9</v>
      </c>
      <c r="Z1061" s="2">
        <v>10</v>
      </c>
    </row>
    <row r="1062" spans="3:26" x14ac:dyDescent="0.25">
      <c r="D1062" s="6" t="s">
        <v>69</v>
      </c>
      <c r="E1062" s="6" t="s">
        <v>381</v>
      </c>
      <c r="F1062" s="6" t="s">
        <v>382</v>
      </c>
      <c r="G1062" s="6" t="s">
        <v>361</v>
      </c>
      <c r="H1062" s="6" t="s">
        <v>383</v>
      </c>
      <c r="P1062" s="10" cm="1">
        <f t="array" ref="P1062">INDIRECT_EFFECT("food","food_share","food_elasticity",0,"Overall","mean")</f>
        <v>0.17094762748785355</v>
      </c>
    </row>
    <row r="1063" spans="3:26" x14ac:dyDescent="0.25">
      <c r="D1063" s="6" t="s">
        <v>69</v>
      </c>
      <c r="E1063" s="6" t="s">
        <v>381</v>
      </c>
      <c r="F1063" s="6" t="s">
        <v>145</v>
      </c>
      <c r="G1063" s="6" t="s">
        <v>361</v>
      </c>
      <c r="H1063" s="6" t="s">
        <v>383</v>
      </c>
      <c r="Q1063" s="10" cm="1">
        <f t="array" ref="Q1063:Z1063">INDIRECT_EFFECT("food","food_share","food_elasticity",DECILE_ARRAY,"Overall","mean")</f>
        <v>0.17842773392337666</v>
      </c>
      <c r="R1063">
        <v>0.19587654749891195</v>
      </c>
      <c r="S1063">
        <v>0.18063547905110788</v>
      </c>
      <c r="T1063">
        <v>0.18238683863670216</v>
      </c>
      <c r="U1063">
        <v>0.17465520672830206</v>
      </c>
      <c r="V1063">
        <v>0.19374428896429377</v>
      </c>
      <c r="W1063">
        <v>0.17319707249031965</v>
      </c>
      <c r="X1063">
        <v>0.18619781958308115</v>
      </c>
      <c r="Y1063">
        <v>0.19028429626353949</v>
      </c>
      <c r="Z1063">
        <v>0.16394500866624193</v>
      </c>
    </row>
    <row r="1064" spans="3:26" x14ac:dyDescent="0.25">
      <c r="D1064" s="6" t="s">
        <v>69</v>
      </c>
      <c r="E1064" s="6" t="s">
        <v>384</v>
      </c>
      <c r="F1064" s="6" t="s">
        <v>382</v>
      </c>
      <c r="G1064" s="6" t="s">
        <v>361</v>
      </c>
      <c r="H1064" s="6" t="s">
        <v>383</v>
      </c>
      <c r="P1064" s="10" cm="1">
        <f t="array" ref="P1064">INDIRECT_EFFECT("food","food_share","food_elasticity",0,"Urban","mean")</f>
        <v>0.1704846166649405</v>
      </c>
    </row>
    <row r="1065" spans="3:26" x14ac:dyDescent="0.25">
      <c r="D1065" s="6" t="s">
        <v>69</v>
      </c>
      <c r="E1065" s="6" t="s">
        <v>384</v>
      </c>
      <c r="F1065" s="6" t="s">
        <v>145</v>
      </c>
      <c r="G1065" s="6" t="s">
        <v>361</v>
      </c>
      <c r="H1065" s="6" t="s">
        <v>383</v>
      </c>
      <c r="Q1065" s="10" cm="1">
        <f t="array" ref="Q1065:Z1065">INDIRECT_EFFECT("food","food_share","food_elasticity",DECILE_ARRAY,"Urban","mean")</f>
        <v>0.1646153865702854</v>
      </c>
      <c r="R1065">
        <v>0.17807834616939683</v>
      </c>
      <c r="S1065">
        <v>0.18061427143086678</v>
      </c>
      <c r="T1065">
        <v>0.17663961901295108</v>
      </c>
      <c r="U1065">
        <v>0.16448879218213822</v>
      </c>
      <c r="V1065">
        <v>0.16419987178978146</v>
      </c>
      <c r="W1065">
        <v>0.17502006142764084</v>
      </c>
      <c r="X1065">
        <v>0.17020487960209882</v>
      </c>
      <c r="Y1065">
        <v>0.16116977203102073</v>
      </c>
      <c r="Z1065">
        <v>0.1523627701635622</v>
      </c>
    </row>
    <row r="1066" spans="3:26" x14ac:dyDescent="0.25">
      <c r="D1066" s="6" t="s">
        <v>69</v>
      </c>
      <c r="E1066" s="6" t="s">
        <v>385</v>
      </c>
      <c r="F1066" s="6" t="s">
        <v>382</v>
      </c>
      <c r="G1066" s="6" t="s">
        <v>361</v>
      </c>
      <c r="H1066" s="6" t="s">
        <v>383</v>
      </c>
      <c r="P1066" s="10" cm="1">
        <f t="array" ref="P1066">INDIRECT_EFFECT("food","food_share","food_elasticity",0,"Rural","mean")</f>
        <v>0.19986156202408553</v>
      </c>
    </row>
    <row r="1067" spans="3:26" x14ac:dyDescent="0.25">
      <c r="D1067" s="6" t="s">
        <v>69</v>
      </c>
      <c r="E1067" s="6" t="s">
        <v>385</v>
      </c>
      <c r="F1067" s="6" t="s">
        <v>145</v>
      </c>
      <c r="G1067" s="6" t="s">
        <v>361</v>
      </c>
      <c r="H1067" s="6" t="s">
        <v>383</v>
      </c>
      <c r="Q1067" s="10" cm="1">
        <f t="array" ref="Q1067:Z1067">INDIRECT_EFFECT("food","food_share","food_elasticity",DECILE_ARRAY,"Rural","mean")</f>
        <v>0.19522095609873041</v>
      </c>
      <c r="R1067">
        <v>0.20073552038544096</v>
      </c>
      <c r="S1067">
        <v>0.18973210755220704</v>
      </c>
      <c r="T1067">
        <v>0.18403770053475535</v>
      </c>
      <c r="U1067">
        <v>0.18211303729448855</v>
      </c>
      <c r="V1067">
        <v>0.18900449698036997</v>
      </c>
      <c r="W1067">
        <v>0.18642289924414626</v>
      </c>
      <c r="X1067">
        <v>0.18527458391528717</v>
      </c>
      <c r="Y1067">
        <v>0.1743284443186966</v>
      </c>
      <c r="Z1067">
        <v>0.17085979396894338</v>
      </c>
    </row>
    <row r="1068" spans="3:26" x14ac:dyDescent="0.25">
      <c r="D1068" s="6" t="s">
        <v>72</v>
      </c>
      <c r="E1068" s="6" t="s">
        <v>381</v>
      </c>
      <c r="F1068" s="6" t="s">
        <v>382</v>
      </c>
      <c r="G1068" s="6" t="s">
        <v>361</v>
      </c>
      <c r="H1068" s="6" t="s">
        <v>383</v>
      </c>
      <c r="P1068" s="10" cm="1">
        <f t="array" ref="P1068">INDIRECT_EFFECT("food","food_share","food_elasticity",0,"Overall","median")</f>
        <v>0.17356990738131461</v>
      </c>
    </row>
    <row r="1069" spans="3:26" x14ac:dyDescent="0.25">
      <c r="D1069" s="6" t="s">
        <v>72</v>
      </c>
      <c r="E1069" s="6" t="s">
        <v>381</v>
      </c>
      <c r="F1069" s="6" t="s">
        <v>145</v>
      </c>
      <c r="G1069" s="6" t="s">
        <v>361</v>
      </c>
      <c r="H1069" s="6" t="s">
        <v>383</v>
      </c>
      <c r="Q1069" s="10" cm="1">
        <f t="array" ref="Q1069:Z1069">INDIRECT_EFFECT("food","food_share","food_elasticity",DECILE_ARRAY,"Overall","median")</f>
        <v>0.18794968067719753</v>
      </c>
      <c r="R1069">
        <v>0.19392937545626932</v>
      </c>
      <c r="S1069">
        <v>0.18631238032752631</v>
      </c>
      <c r="T1069">
        <v>0.18589776729092541</v>
      </c>
      <c r="U1069">
        <v>0.19131660521485383</v>
      </c>
      <c r="V1069">
        <v>0.18943029545568502</v>
      </c>
      <c r="W1069">
        <v>0.18365926349853198</v>
      </c>
      <c r="X1069">
        <v>0.18195163945784304</v>
      </c>
      <c r="Y1069">
        <v>0.17276319145865909</v>
      </c>
      <c r="Z1069">
        <v>0.17371229888911729</v>
      </c>
    </row>
    <row r="1070" spans="3:26" x14ac:dyDescent="0.25">
      <c r="D1070" s="6" t="s">
        <v>72</v>
      </c>
      <c r="E1070" s="6" t="s">
        <v>384</v>
      </c>
      <c r="F1070" s="6" t="s">
        <v>382</v>
      </c>
      <c r="G1070" s="6" t="s">
        <v>361</v>
      </c>
      <c r="H1070" s="6" t="s">
        <v>383</v>
      </c>
      <c r="P1070" s="10" cm="1">
        <f t="array" ref="P1070">INDIRECT_EFFECT("food","food_share","food_elasticity",0,"Urban","median")</f>
        <v>0.169180791121125</v>
      </c>
    </row>
    <row r="1071" spans="3:26" x14ac:dyDescent="0.25">
      <c r="D1071" s="6" t="s">
        <v>72</v>
      </c>
      <c r="E1071" s="6" t="s">
        <v>384</v>
      </c>
      <c r="F1071" s="6" t="s">
        <v>145</v>
      </c>
      <c r="G1071" s="6" t="s">
        <v>361</v>
      </c>
      <c r="H1071" s="6" t="s">
        <v>383</v>
      </c>
      <c r="Q1071" s="10" cm="1">
        <f t="array" ref="Q1071:Z1071">INDIRECT_EFFECT("food","food_share","food_elasticity",DECILE_ARRAY,"Urban","median")</f>
        <v>0.17957795517065128</v>
      </c>
      <c r="R1071">
        <v>0.17979407942862105</v>
      </c>
      <c r="S1071">
        <v>0.16922734169783626</v>
      </c>
      <c r="T1071">
        <v>0.18741309915384566</v>
      </c>
      <c r="U1071">
        <v>0.16956472719126364</v>
      </c>
      <c r="V1071">
        <v>0.1625117920766356</v>
      </c>
      <c r="W1071">
        <v>0.17260153924287955</v>
      </c>
      <c r="X1071">
        <v>0.16559688249714802</v>
      </c>
      <c r="Y1071">
        <v>0.1621132397040552</v>
      </c>
      <c r="Z1071">
        <v>0.15786077135495233</v>
      </c>
    </row>
    <row r="1072" spans="3:26" x14ac:dyDescent="0.25">
      <c r="D1072" s="6" t="s">
        <v>72</v>
      </c>
      <c r="E1072" s="6" t="s">
        <v>385</v>
      </c>
      <c r="F1072" s="6" t="s">
        <v>382</v>
      </c>
      <c r="G1072" s="6" t="s">
        <v>361</v>
      </c>
      <c r="H1072" s="6" t="s">
        <v>383</v>
      </c>
      <c r="P1072" s="10" cm="1">
        <f t="array" ref="P1072">INDIRECT_EFFECT("food","food_share","food_elasticity",0,"Rural","median")</f>
        <v>0.19375527757740313</v>
      </c>
    </row>
    <row r="1073" spans="3:26" x14ac:dyDescent="0.25">
      <c r="D1073" s="6" t="s">
        <v>72</v>
      </c>
      <c r="E1073" s="6" t="s">
        <v>385</v>
      </c>
      <c r="F1073" s="6" t="s">
        <v>145</v>
      </c>
      <c r="G1073" s="6" t="s">
        <v>361</v>
      </c>
      <c r="H1073" s="6" t="s">
        <v>383</v>
      </c>
      <c r="Q1073" s="10" cm="1">
        <f t="array" ref="Q1073:Z1073">INDIRECT_EFFECT("food","food_share","food_elasticity",DECILE_ARRAY,"Rural","median")</f>
        <v>0.19450859693575556</v>
      </c>
      <c r="R1073">
        <v>0.19873582795758465</v>
      </c>
      <c r="S1073">
        <v>0.20560158993121763</v>
      </c>
      <c r="T1073">
        <v>0.2061010058665812</v>
      </c>
      <c r="U1073">
        <v>0.19999968081913203</v>
      </c>
      <c r="V1073">
        <v>0.18187309385824602</v>
      </c>
      <c r="W1073">
        <v>0.19814712363697165</v>
      </c>
      <c r="X1073">
        <v>0.18167908360393173</v>
      </c>
      <c r="Y1073">
        <v>0.17837091017995554</v>
      </c>
      <c r="Z1073">
        <v>0.17172778869427927</v>
      </c>
    </row>
    <row r="1074" spans="3:26" x14ac:dyDescent="0.25">
      <c r="D1074" s="6" t="s">
        <v>75</v>
      </c>
      <c r="E1074" s="6" t="s">
        <v>381</v>
      </c>
      <c r="F1074" s="6" t="s">
        <v>382</v>
      </c>
      <c r="G1074" s="6" t="s">
        <v>361</v>
      </c>
      <c r="H1074" s="6" t="s">
        <v>383</v>
      </c>
      <c r="P1074" s="10" cm="1">
        <f t="array" ref="P1074">INDIRECT_EFFECT("food","food_share","food_elasticity",0,"Overall","p25")</f>
        <v>0.16225655561563551</v>
      </c>
    </row>
    <row r="1075" spans="3:26" x14ac:dyDescent="0.25">
      <c r="D1075" s="6" t="s">
        <v>75</v>
      </c>
      <c r="E1075" s="6" t="s">
        <v>381</v>
      </c>
      <c r="F1075" s="6" t="s">
        <v>145</v>
      </c>
      <c r="G1075" s="6" t="s">
        <v>361</v>
      </c>
      <c r="H1075" s="6" t="s">
        <v>383</v>
      </c>
      <c r="Q1075" s="10" cm="1">
        <f t="array" ref="Q1075:Z1075">INDIRECT_EFFECT("food","food_share","food_elasticity",DECILE_ARRAY,"Overall","p25")</f>
        <v>0.15878469389862856</v>
      </c>
      <c r="R1075">
        <v>0.16044103805683368</v>
      </c>
      <c r="S1075">
        <v>0.17221079238160264</v>
      </c>
      <c r="T1075">
        <v>0.16905854429074149</v>
      </c>
      <c r="U1075">
        <v>0.16444701765936073</v>
      </c>
      <c r="V1075">
        <v>0.14937272055980902</v>
      </c>
      <c r="W1075">
        <v>0.16009774266052254</v>
      </c>
      <c r="X1075">
        <v>0.14107060440369718</v>
      </c>
      <c r="Y1075">
        <v>0.15703159439063838</v>
      </c>
      <c r="Z1075">
        <v>0.14902895662876031</v>
      </c>
    </row>
    <row r="1076" spans="3:26" x14ac:dyDescent="0.25">
      <c r="D1076" s="6" t="s">
        <v>75</v>
      </c>
      <c r="E1076" s="6" t="s">
        <v>384</v>
      </c>
      <c r="F1076" s="6" t="s">
        <v>382</v>
      </c>
      <c r="G1076" s="6" t="s">
        <v>361</v>
      </c>
      <c r="H1076" s="6" t="s">
        <v>383</v>
      </c>
      <c r="P1076" s="10" cm="1">
        <f t="array" ref="P1076">INDIRECT_EFFECT("food","food_share","food_elasticity",0,"Urban","p25")</f>
        <v>0.15591715072147272</v>
      </c>
    </row>
    <row r="1077" spans="3:26" x14ac:dyDescent="0.25">
      <c r="D1077" s="6" t="s">
        <v>75</v>
      </c>
      <c r="E1077" s="6" t="s">
        <v>384</v>
      </c>
      <c r="F1077" s="6" t="s">
        <v>145</v>
      </c>
      <c r="G1077" s="6" t="s">
        <v>361</v>
      </c>
      <c r="H1077" s="6" t="s">
        <v>383</v>
      </c>
      <c r="Q1077" s="10" cm="1">
        <f t="array" ref="Q1077:Z1077">INDIRECT_EFFECT("food","food_share","food_elasticity",DECILE_ARRAY,"Urban","p25")</f>
        <v>0.15488653640799133</v>
      </c>
      <c r="R1077">
        <v>0.15442539564330013</v>
      </c>
      <c r="S1077">
        <v>0.16362485260924939</v>
      </c>
      <c r="T1077">
        <v>0.13779813228228407</v>
      </c>
      <c r="U1077">
        <v>0.13969217793054842</v>
      </c>
      <c r="V1077">
        <v>0.14526519245936886</v>
      </c>
      <c r="W1077">
        <v>0.15024132978185384</v>
      </c>
      <c r="X1077">
        <v>0.13877956396049462</v>
      </c>
      <c r="Y1077">
        <v>0.14812340166492441</v>
      </c>
      <c r="Z1077">
        <v>0.12445254244141757</v>
      </c>
    </row>
    <row r="1078" spans="3:26" x14ac:dyDescent="0.25">
      <c r="D1078" s="6" t="s">
        <v>75</v>
      </c>
      <c r="E1078" s="6" t="s">
        <v>385</v>
      </c>
      <c r="F1078" s="6" t="s">
        <v>382</v>
      </c>
      <c r="G1078" s="6" t="s">
        <v>361</v>
      </c>
      <c r="H1078" s="6" t="s">
        <v>383</v>
      </c>
      <c r="P1078" s="10" cm="1">
        <f t="array" ref="P1078">INDIRECT_EFFECT("food","food_share","food_elasticity",0,"Rural","p25")</f>
        <v>0.16239925314021655</v>
      </c>
    </row>
    <row r="1079" spans="3:26" x14ac:dyDescent="0.25">
      <c r="D1079" s="6" t="s">
        <v>75</v>
      </c>
      <c r="E1079" s="6" t="s">
        <v>385</v>
      </c>
      <c r="F1079" s="6" t="s">
        <v>145</v>
      </c>
      <c r="G1079" s="6" t="s">
        <v>361</v>
      </c>
      <c r="H1079" s="6" t="s">
        <v>383</v>
      </c>
      <c r="Q1079" s="10" cm="1">
        <f t="array" ref="Q1079:Z1079">INDIRECT_EFFECT("food","food_share","food_elasticity",DECILE_ARRAY,"Rural","p25")</f>
        <v>0.17826038424383475</v>
      </c>
      <c r="R1079">
        <v>0.16897533681638652</v>
      </c>
      <c r="S1079">
        <v>0.1817928769439574</v>
      </c>
      <c r="T1079">
        <v>0.18151468163216927</v>
      </c>
      <c r="U1079">
        <v>0.17661398586736413</v>
      </c>
      <c r="V1079">
        <v>0.16268621845385575</v>
      </c>
      <c r="W1079">
        <v>0.15966907472049655</v>
      </c>
      <c r="X1079">
        <v>0.14975320606081891</v>
      </c>
      <c r="Y1079">
        <v>0.17011492396585554</v>
      </c>
      <c r="Z1079">
        <v>0.15952978347296529</v>
      </c>
    </row>
    <row r="1080" spans="3:26" x14ac:dyDescent="0.25">
      <c r="D1080" s="6" t="s">
        <v>78</v>
      </c>
      <c r="E1080" s="6" t="s">
        <v>381</v>
      </c>
      <c r="F1080" s="6" t="s">
        <v>382</v>
      </c>
      <c r="G1080" s="6" t="s">
        <v>361</v>
      </c>
      <c r="H1080" s="6" t="s">
        <v>383</v>
      </c>
      <c r="P1080" s="10" cm="1">
        <f t="array" ref="P1080">INDIRECT_EFFECT("food","food_share","food_elasticity",0,"Overall","p75")</f>
        <v>0.1957992746343363</v>
      </c>
    </row>
    <row r="1081" spans="3:26" x14ac:dyDescent="0.25">
      <c r="D1081" s="6" t="s">
        <v>78</v>
      </c>
      <c r="E1081" s="6" t="s">
        <v>381</v>
      </c>
      <c r="F1081" s="6" t="s">
        <v>145</v>
      </c>
      <c r="G1081" s="6" t="s">
        <v>361</v>
      </c>
      <c r="H1081" s="6" t="s">
        <v>383</v>
      </c>
      <c r="Q1081" s="10" cm="1">
        <f t="array" ref="Q1081:Z1081">INDIRECT_EFFECT("food","food_share","food_elasticity",DECILE_ARRAY,"Overall","p75")</f>
        <v>0.226336336255964</v>
      </c>
      <c r="R1081">
        <v>0.21543926187203563</v>
      </c>
      <c r="S1081">
        <v>0.21536185489867973</v>
      </c>
      <c r="T1081">
        <v>0.2115548227222285</v>
      </c>
      <c r="U1081">
        <v>0.20734772096461435</v>
      </c>
      <c r="V1081">
        <v>0.21750484737918943</v>
      </c>
      <c r="W1081">
        <v>0.20768101588434784</v>
      </c>
      <c r="X1081">
        <v>0.2167783801723063</v>
      </c>
      <c r="Y1081">
        <v>0.21240078110435959</v>
      </c>
      <c r="Z1081">
        <v>0.19504931648423174</v>
      </c>
    </row>
    <row r="1082" spans="3:26" x14ac:dyDescent="0.25">
      <c r="D1082" s="6" t="s">
        <v>78</v>
      </c>
      <c r="E1082" s="6" t="s">
        <v>384</v>
      </c>
      <c r="F1082" s="6" t="s">
        <v>382</v>
      </c>
      <c r="G1082" s="6" t="s">
        <v>361</v>
      </c>
      <c r="H1082" s="6" t="s">
        <v>383</v>
      </c>
      <c r="P1082" s="10" cm="1">
        <f t="array" ref="P1082">INDIRECT_EFFECT("food","food_share","food_elasticity",0,"Urban","p75")</f>
        <v>0.21090248590377145</v>
      </c>
    </row>
    <row r="1083" spans="3:26" x14ac:dyDescent="0.25">
      <c r="D1083" s="6" t="s">
        <v>78</v>
      </c>
      <c r="E1083" s="6" t="s">
        <v>384</v>
      </c>
      <c r="F1083" s="6" t="s">
        <v>145</v>
      </c>
      <c r="G1083" s="6" t="s">
        <v>361</v>
      </c>
      <c r="H1083" s="6" t="s">
        <v>383</v>
      </c>
      <c r="Q1083" s="10" cm="1">
        <f t="array" ref="Q1083:Z1083">INDIRECT_EFFECT("food","food_share","food_elasticity",DECILE_ARRAY,"Urban","p75")</f>
        <v>0.20677963818259687</v>
      </c>
      <c r="R1083">
        <v>0.21357504666399646</v>
      </c>
      <c r="S1083">
        <v>0.21163378675767786</v>
      </c>
      <c r="T1083">
        <v>0.19352647589859898</v>
      </c>
      <c r="U1083">
        <v>0.19799134197639809</v>
      </c>
      <c r="V1083">
        <v>0.19633724858223087</v>
      </c>
      <c r="W1083">
        <v>0.20335291865137436</v>
      </c>
      <c r="X1083">
        <v>0.20661018829558658</v>
      </c>
      <c r="Y1083">
        <v>0.19480070699101118</v>
      </c>
      <c r="Z1083">
        <v>0.18321265048602561</v>
      </c>
    </row>
    <row r="1084" spans="3:26" x14ac:dyDescent="0.25">
      <c r="D1084" s="6" t="s">
        <v>78</v>
      </c>
      <c r="E1084" s="6" t="s">
        <v>385</v>
      </c>
      <c r="F1084" s="6" t="s">
        <v>382</v>
      </c>
      <c r="G1084" s="6" t="s">
        <v>361</v>
      </c>
      <c r="H1084" s="6" t="s">
        <v>383</v>
      </c>
      <c r="P1084" s="10" cm="1">
        <f t="array" ref="P1084">INDIRECT_EFFECT("food","food_share","food_elasticity",0,"Rural","p75")</f>
        <v>0.22599024195851392</v>
      </c>
    </row>
    <row r="1085" spans="3:26" x14ac:dyDescent="0.25">
      <c r="D1085" s="6" t="s">
        <v>78</v>
      </c>
      <c r="E1085" s="6" t="s">
        <v>385</v>
      </c>
      <c r="F1085" s="6" t="s">
        <v>145</v>
      </c>
      <c r="G1085" s="6" t="s">
        <v>361</v>
      </c>
      <c r="H1085" s="6" t="s">
        <v>383</v>
      </c>
      <c r="Q1085" s="10" cm="1">
        <f t="array" ref="Q1085:Z1085">INDIRECT_EFFECT("food","food_share","food_elasticity",DECILE_ARRAY,"Rural","p75")</f>
        <v>0.23884566022209217</v>
      </c>
      <c r="R1085">
        <v>0.23208318469141853</v>
      </c>
      <c r="S1085">
        <v>0.23084226736751989</v>
      </c>
      <c r="T1085">
        <v>0.20718531411367522</v>
      </c>
      <c r="U1085">
        <v>0.20362747783152962</v>
      </c>
      <c r="V1085">
        <v>0.21586932931646091</v>
      </c>
      <c r="W1085">
        <v>0.22548203970920785</v>
      </c>
      <c r="X1085">
        <v>0.20114992390446326</v>
      </c>
      <c r="Y1085">
        <v>0.20555939081137392</v>
      </c>
      <c r="Z1085">
        <v>0.22024932006733774</v>
      </c>
    </row>
    <row r="1087" spans="3:26" x14ac:dyDescent="0.25">
      <c r="C1087" s="7" t="s">
        <v>435</v>
      </c>
      <c r="G1087" s="6" t="s">
        <v>363</v>
      </c>
      <c r="O1087" s="2" t="s">
        <v>331</v>
      </c>
      <c r="Q1087" s="2">
        <v>1</v>
      </c>
      <c r="R1087" s="2">
        <v>2</v>
      </c>
      <c r="S1087" s="2">
        <v>3</v>
      </c>
      <c r="T1087" s="2">
        <v>4</v>
      </c>
      <c r="U1087" s="2">
        <v>5</v>
      </c>
      <c r="V1087" s="2">
        <v>6</v>
      </c>
      <c r="W1087" s="2">
        <v>7</v>
      </c>
      <c r="X1087" s="2">
        <v>8</v>
      </c>
      <c r="Y1087" s="2">
        <v>9</v>
      </c>
      <c r="Z1087" s="2">
        <v>10</v>
      </c>
    </row>
    <row r="1088" spans="3:26" x14ac:dyDescent="0.25">
      <c r="D1088" s="6" t="s">
        <v>69</v>
      </c>
      <c r="E1088" s="6" t="s">
        <v>381</v>
      </c>
      <c r="F1088" s="6" t="s">
        <v>382</v>
      </c>
      <c r="G1088" s="6" t="s">
        <v>363</v>
      </c>
      <c r="H1088" s="6" t="s">
        <v>383</v>
      </c>
      <c r="P1088" s="10" cm="1">
        <f t="array" ref="P1088">INDIRECT_EFFECT("hea","health_srv_share","health_srv_elasticity",0,"Overall","mean")</f>
        <v>1.5431140720997794E-2</v>
      </c>
    </row>
    <row r="1089" spans="4:26" x14ac:dyDescent="0.25">
      <c r="D1089" s="6" t="s">
        <v>69</v>
      </c>
      <c r="E1089" s="6" t="s">
        <v>381</v>
      </c>
      <c r="F1089" s="6" t="s">
        <v>145</v>
      </c>
      <c r="G1089" s="6" t="s">
        <v>363</v>
      </c>
      <c r="H1089" s="6" t="s">
        <v>383</v>
      </c>
      <c r="Q1089" s="10" cm="1">
        <f t="array" ref="Q1089:Z1089">INDIRECT_EFFECT("hea","health_srv_share","health_srv_elasticity",DECILE_ARRAY,"Overall","mean")</f>
        <v>1.1732904053050714E-2</v>
      </c>
      <c r="R1089">
        <v>1.1672170181093356E-2</v>
      </c>
      <c r="S1089">
        <v>1.4336438278021618E-2</v>
      </c>
      <c r="T1089">
        <v>1.4164255655575183E-2</v>
      </c>
      <c r="U1089">
        <v>1.5401129153388428E-2</v>
      </c>
      <c r="V1089">
        <v>1.5252300132188382E-2</v>
      </c>
      <c r="W1089">
        <v>1.8591174802936487E-2</v>
      </c>
      <c r="X1089">
        <v>1.7645368488205727E-2</v>
      </c>
      <c r="Y1089">
        <v>1.9447503665252514E-2</v>
      </c>
      <c r="Z1089">
        <v>2.2911394765018397E-2</v>
      </c>
    </row>
    <row r="1090" spans="4:26" x14ac:dyDescent="0.25">
      <c r="D1090" s="6" t="s">
        <v>69</v>
      </c>
      <c r="E1090" s="6" t="s">
        <v>384</v>
      </c>
      <c r="F1090" s="6" t="s">
        <v>382</v>
      </c>
      <c r="G1090" s="6" t="s">
        <v>363</v>
      </c>
      <c r="H1090" s="6" t="s">
        <v>383</v>
      </c>
      <c r="P1090" s="10" cm="1">
        <f t="array" ref="P1090">INDIRECT_EFFECT("hea","health_srv_share","health_srv_elasticity",0,"Urban","mean")</f>
        <v>1.4244668614818266E-2</v>
      </c>
    </row>
    <row r="1091" spans="4:26" x14ac:dyDescent="0.25">
      <c r="D1091" s="6" t="s">
        <v>69</v>
      </c>
      <c r="E1091" s="6" t="s">
        <v>384</v>
      </c>
      <c r="F1091" s="6" t="s">
        <v>145</v>
      </c>
      <c r="G1091" s="6" t="s">
        <v>363</v>
      </c>
      <c r="H1091" s="6" t="s">
        <v>383</v>
      </c>
      <c r="Q1091" s="10" cm="1">
        <f t="array" ref="Q1091:Z1091">INDIRECT_EFFECT("hea","health_srv_share","health_srv_elasticity",DECILE_ARRAY,"Urban","mean")</f>
        <v>1.0119648952086653E-2</v>
      </c>
      <c r="R1091">
        <v>1.1972201648009185E-2</v>
      </c>
      <c r="S1091">
        <v>1.3369305327410734E-2</v>
      </c>
      <c r="T1091">
        <v>1.4136081255314138E-2</v>
      </c>
      <c r="U1091">
        <v>1.5561413297531478E-2</v>
      </c>
      <c r="V1091">
        <v>1.4541614350161063E-2</v>
      </c>
      <c r="W1091">
        <v>1.6708863995686336E-2</v>
      </c>
      <c r="X1091">
        <v>1.6443228109011179E-2</v>
      </c>
      <c r="Y1091">
        <v>1.8291308697512169E-2</v>
      </c>
      <c r="Z1091">
        <v>2.3204405488936541E-2</v>
      </c>
    </row>
    <row r="1092" spans="4:26" x14ac:dyDescent="0.25">
      <c r="D1092" s="6" t="s">
        <v>69</v>
      </c>
      <c r="E1092" s="6" t="s">
        <v>385</v>
      </c>
      <c r="F1092" s="6" t="s">
        <v>382</v>
      </c>
      <c r="G1092" s="6" t="s">
        <v>363</v>
      </c>
      <c r="H1092" s="6" t="s">
        <v>383</v>
      </c>
      <c r="P1092" s="10" cm="1">
        <f t="array" ref="P1092">INDIRECT_EFFECT("hea","health_srv_share","health_srv_elasticity",0,"Rural","mean")</f>
        <v>1.7014851815507638E-2</v>
      </c>
    </row>
    <row r="1093" spans="4:26" x14ac:dyDescent="0.25">
      <c r="D1093" s="6" t="s">
        <v>69</v>
      </c>
      <c r="E1093" s="6" t="s">
        <v>385</v>
      </c>
      <c r="F1093" s="6" t="s">
        <v>145</v>
      </c>
      <c r="G1093" s="6" t="s">
        <v>363</v>
      </c>
      <c r="H1093" s="6" t="s">
        <v>383</v>
      </c>
      <c r="Q1093" s="10" cm="1">
        <f t="array" ref="Q1093:Z1093">INDIRECT_EFFECT("hea","health_srv_share","health_srv_elasticity",DECILE_ARRAY,"Rural","mean")</f>
        <v>1.3083734215822002E-2</v>
      </c>
      <c r="R1093">
        <v>1.3280617332027319E-2</v>
      </c>
      <c r="S1093">
        <v>1.2953955942399587E-2</v>
      </c>
      <c r="T1093">
        <v>1.6374319853033538E-2</v>
      </c>
      <c r="U1093">
        <v>1.5994284952166041E-2</v>
      </c>
      <c r="V1093">
        <v>1.5495618173824081E-2</v>
      </c>
      <c r="W1093">
        <v>1.8387059022939661E-2</v>
      </c>
      <c r="X1093">
        <v>1.9878997516675691E-2</v>
      </c>
      <c r="Y1093">
        <v>2.0371660472627243E-2</v>
      </c>
      <c r="Z1093">
        <v>2.6959421730766969E-2</v>
      </c>
    </row>
    <row r="1094" spans="4:26" x14ac:dyDescent="0.25">
      <c r="D1094" s="6" t="s">
        <v>72</v>
      </c>
      <c r="E1094" s="6" t="s">
        <v>381</v>
      </c>
      <c r="F1094" s="6" t="s">
        <v>382</v>
      </c>
      <c r="G1094" s="6" t="s">
        <v>363</v>
      </c>
      <c r="H1094" s="6" t="s">
        <v>383</v>
      </c>
      <c r="P1094" s="10" cm="1">
        <f t="array" ref="P1094">INDIRECT_EFFECT("hea","health_srv_share","health_srv_elasticity",0,"Overall","median")</f>
        <v>9.7125547214111582E-3</v>
      </c>
    </row>
    <row r="1095" spans="4:26" x14ac:dyDescent="0.25">
      <c r="D1095" s="6" t="s">
        <v>72</v>
      </c>
      <c r="E1095" s="6" t="s">
        <v>381</v>
      </c>
      <c r="F1095" s="6" t="s">
        <v>145</v>
      </c>
      <c r="G1095" s="6" t="s">
        <v>363</v>
      </c>
      <c r="H1095" s="6" t="s">
        <v>383</v>
      </c>
      <c r="Q1095" s="10" cm="1">
        <f t="array" ref="Q1095:Z1095">INDIRECT_EFFECT("hea","health_srv_share","health_srv_elasticity",DECILE_ARRAY,"Overall","median")</f>
        <v>6.2954996834053553E-3</v>
      </c>
      <c r="R1095">
        <v>7.8056196379455911E-3</v>
      </c>
      <c r="S1095">
        <v>7.9393181440731014E-3</v>
      </c>
      <c r="T1095">
        <v>8.4966615821026881E-3</v>
      </c>
      <c r="U1095">
        <v>9.6871277324890245E-3</v>
      </c>
      <c r="V1095">
        <v>9.9062232204273661E-3</v>
      </c>
      <c r="W1095">
        <v>1.2040178629221111E-2</v>
      </c>
      <c r="X1095">
        <v>1.1428465089780942E-2</v>
      </c>
      <c r="Y1095">
        <v>1.2345274764692622E-2</v>
      </c>
      <c r="Z1095">
        <v>1.2962876900547081E-2</v>
      </c>
    </row>
    <row r="1096" spans="4:26" x14ac:dyDescent="0.25">
      <c r="D1096" s="6" t="s">
        <v>72</v>
      </c>
      <c r="E1096" s="6" t="s">
        <v>384</v>
      </c>
      <c r="F1096" s="6" t="s">
        <v>382</v>
      </c>
      <c r="G1096" s="6" t="s">
        <v>363</v>
      </c>
      <c r="H1096" s="6" t="s">
        <v>383</v>
      </c>
      <c r="P1096" s="10" cm="1">
        <f t="array" ref="P1096">INDIRECT_EFFECT("hea","health_srv_share","health_srv_elasticity",0,"Urban","median")</f>
        <v>8.8086673131610241E-3</v>
      </c>
    </row>
    <row r="1097" spans="4:26" x14ac:dyDescent="0.25">
      <c r="D1097" s="6" t="s">
        <v>72</v>
      </c>
      <c r="E1097" s="6" t="s">
        <v>384</v>
      </c>
      <c r="F1097" s="6" t="s">
        <v>145</v>
      </c>
      <c r="G1097" s="6" t="s">
        <v>363</v>
      </c>
      <c r="H1097" s="6" t="s">
        <v>383</v>
      </c>
      <c r="Q1097" s="10" cm="1">
        <f t="array" ref="Q1097:Z1097">INDIRECT_EFFECT("hea","health_srv_share","health_srv_elasticity",DECILE_ARRAY,"Urban","median")</f>
        <v>4.4226613373670029E-3</v>
      </c>
      <c r="R1097">
        <v>6.4142689436656351E-3</v>
      </c>
      <c r="S1097">
        <v>6.9589870889331705E-3</v>
      </c>
      <c r="T1097">
        <v>7.5918561905759007E-3</v>
      </c>
      <c r="U1097">
        <v>7.8393210246895245E-3</v>
      </c>
      <c r="V1097">
        <v>9.258653850841729E-3</v>
      </c>
      <c r="W1097">
        <v>1.0662078267216909E-2</v>
      </c>
      <c r="X1097">
        <v>9.5003869522906834E-3</v>
      </c>
      <c r="Y1097">
        <v>1.1315671986333504E-2</v>
      </c>
      <c r="Z1097">
        <v>1.2508443059538389E-2</v>
      </c>
    </row>
    <row r="1098" spans="4:26" x14ac:dyDescent="0.25">
      <c r="D1098" s="6" t="s">
        <v>72</v>
      </c>
      <c r="E1098" s="6" t="s">
        <v>385</v>
      </c>
      <c r="F1098" s="6" t="s">
        <v>382</v>
      </c>
      <c r="G1098" s="6" t="s">
        <v>363</v>
      </c>
      <c r="H1098" s="6" t="s">
        <v>383</v>
      </c>
      <c r="P1098" s="10" cm="1">
        <f t="array" ref="P1098">INDIRECT_EFFECT("hea","health_srv_share","health_srv_elasticity",0,"Rural","median")</f>
        <v>1.0942156992764527E-2</v>
      </c>
    </row>
    <row r="1099" spans="4:26" x14ac:dyDescent="0.25">
      <c r="D1099" s="6" t="s">
        <v>72</v>
      </c>
      <c r="E1099" s="6" t="s">
        <v>385</v>
      </c>
      <c r="F1099" s="6" t="s">
        <v>145</v>
      </c>
      <c r="G1099" s="6" t="s">
        <v>363</v>
      </c>
      <c r="H1099" s="6" t="s">
        <v>383</v>
      </c>
      <c r="Q1099" s="10" cm="1">
        <f t="array" ref="Q1099:Z1099">INDIRECT_EFFECT("hea","health_srv_share","health_srv_elasticity",DECILE_ARRAY,"Rural","median")</f>
        <v>6.7704617359053334E-3</v>
      </c>
      <c r="R1099">
        <v>7.2015821623677171E-3</v>
      </c>
      <c r="S1099">
        <v>8.6582441285247627E-3</v>
      </c>
      <c r="T1099">
        <v>8.9813614339195359E-3</v>
      </c>
      <c r="U1099">
        <v>9.7409315948416043E-3</v>
      </c>
      <c r="V1099">
        <v>1.0842747639509497E-2</v>
      </c>
      <c r="W1099">
        <v>1.1115311913059976E-2</v>
      </c>
      <c r="X1099">
        <v>1.318292636857156E-2</v>
      </c>
      <c r="Y1099">
        <v>1.4235466816690979E-2</v>
      </c>
      <c r="Z1099">
        <v>1.7604578833933973E-2</v>
      </c>
    </row>
    <row r="1100" spans="4:26" x14ac:dyDescent="0.25">
      <c r="D1100" s="6" t="s">
        <v>75</v>
      </c>
      <c r="E1100" s="6" t="s">
        <v>381</v>
      </c>
      <c r="F1100" s="6" t="s">
        <v>382</v>
      </c>
      <c r="G1100" s="6" t="s">
        <v>363</v>
      </c>
      <c r="H1100" s="6" t="s">
        <v>383</v>
      </c>
      <c r="P1100" s="10" cm="1">
        <f t="array" ref="P1100">INDIRECT_EFFECT("hea","health_srv_share","health_srv_elasticity",0,"Overall","p25")</f>
        <v>3.8951804840528601E-3</v>
      </c>
    </row>
    <row r="1101" spans="4:26" x14ac:dyDescent="0.25">
      <c r="D1101" s="6" t="s">
        <v>75</v>
      </c>
      <c r="E1101" s="6" t="s">
        <v>381</v>
      </c>
      <c r="F1101" s="6" t="s">
        <v>145</v>
      </c>
      <c r="G1101" s="6" t="s">
        <v>363</v>
      </c>
      <c r="H1101" s="6" t="s">
        <v>383</v>
      </c>
      <c r="Q1101" s="10" cm="1">
        <f t="array" ref="Q1101:Z1101">INDIRECT_EFFECT("hea","health_srv_share","health_srv_elasticity",DECILE_ARRAY,"Overall","p25")</f>
        <v>2.1502046403000792E-3</v>
      </c>
      <c r="R1101">
        <v>2.4907180841299854E-3</v>
      </c>
      <c r="S1101">
        <v>3.2050612336240558E-3</v>
      </c>
      <c r="T1101">
        <v>3.461198650535768E-3</v>
      </c>
      <c r="U1101">
        <v>3.625367616451079E-3</v>
      </c>
      <c r="V1101">
        <v>4.4710337817050871E-3</v>
      </c>
      <c r="W1101">
        <v>4.8018372594247974E-3</v>
      </c>
      <c r="X1101">
        <v>5.6532620450600712E-3</v>
      </c>
      <c r="Y1101">
        <v>4.6431644845091428E-3</v>
      </c>
      <c r="Z1101">
        <v>5.5481984121461105E-3</v>
      </c>
    </row>
    <row r="1102" spans="4:26" x14ac:dyDescent="0.25">
      <c r="D1102" s="6" t="s">
        <v>75</v>
      </c>
      <c r="E1102" s="6" t="s">
        <v>384</v>
      </c>
      <c r="F1102" s="6" t="s">
        <v>382</v>
      </c>
      <c r="G1102" s="6" t="s">
        <v>363</v>
      </c>
      <c r="H1102" s="6" t="s">
        <v>383</v>
      </c>
      <c r="P1102" s="10" cm="1">
        <f t="array" ref="P1102">INDIRECT_EFFECT("hea","health_srv_share","health_srv_elasticity",0,"Urban","p25")</f>
        <v>2.8004636444852898E-3</v>
      </c>
    </row>
    <row r="1103" spans="4:26" x14ac:dyDescent="0.25">
      <c r="D1103" s="6" t="s">
        <v>75</v>
      </c>
      <c r="E1103" s="6" t="s">
        <v>384</v>
      </c>
      <c r="F1103" s="6" t="s">
        <v>145</v>
      </c>
      <c r="G1103" s="6" t="s">
        <v>363</v>
      </c>
      <c r="H1103" s="6" t="s">
        <v>383</v>
      </c>
      <c r="Q1103" s="10" cm="1">
        <f t="array" ref="Q1103:Z1103">INDIRECT_EFFECT("hea","health_srv_share","health_srv_elasticity",DECILE_ARRAY,"Urban","p25")</f>
        <v>1.2245453213123138E-3</v>
      </c>
      <c r="R1103">
        <v>1.6777570008403902E-3</v>
      </c>
      <c r="S1103">
        <v>2.6234051645162692E-3</v>
      </c>
      <c r="T1103">
        <v>2.4309055378252198E-3</v>
      </c>
      <c r="U1103">
        <v>3.3526288570880423E-3</v>
      </c>
      <c r="V1103">
        <v>3.4596556842757613E-3</v>
      </c>
      <c r="W1103">
        <v>3.9701174278885757E-3</v>
      </c>
      <c r="X1103">
        <v>3.9448621227643173E-3</v>
      </c>
      <c r="Y1103">
        <v>4.2142655848105568E-3</v>
      </c>
      <c r="Z1103">
        <v>5.1290796342612927E-3</v>
      </c>
    </row>
    <row r="1104" spans="4:26" x14ac:dyDescent="0.25">
      <c r="D1104" s="6" t="s">
        <v>75</v>
      </c>
      <c r="E1104" s="6" t="s">
        <v>385</v>
      </c>
      <c r="F1104" s="6" t="s">
        <v>382</v>
      </c>
      <c r="G1104" s="6" t="s">
        <v>363</v>
      </c>
      <c r="H1104" s="6" t="s">
        <v>383</v>
      </c>
      <c r="P1104" s="10" cm="1">
        <f t="array" ref="P1104">INDIRECT_EFFECT("hea","health_srv_share","health_srv_elasticity",0,"Rural","p25")</f>
        <v>4.2476541082947517E-3</v>
      </c>
    </row>
    <row r="1105" spans="3:26" x14ac:dyDescent="0.25">
      <c r="D1105" s="6" t="s">
        <v>75</v>
      </c>
      <c r="E1105" s="6" t="s">
        <v>385</v>
      </c>
      <c r="F1105" s="6" t="s">
        <v>145</v>
      </c>
      <c r="G1105" s="6" t="s">
        <v>363</v>
      </c>
      <c r="H1105" s="6" t="s">
        <v>383</v>
      </c>
      <c r="Q1105" s="10" cm="1">
        <f t="array" ref="Q1105:Z1105">INDIRECT_EFFECT("hea","health_srv_share","health_srv_elasticity",DECILE_ARRAY,"Rural","p25")</f>
        <v>2.6142182891294992E-3</v>
      </c>
      <c r="R1105">
        <v>3.1877001842741757E-3</v>
      </c>
      <c r="S1105">
        <v>3.7481767626255979E-3</v>
      </c>
      <c r="T1105">
        <v>3.8928644103022915E-3</v>
      </c>
      <c r="U1105">
        <v>4.4630161929333414E-3</v>
      </c>
      <c r="V1105">
        <v>4.6551130680767428E-3</v>
      </c>
      <c r="W1105">
        <v>5.5362205321891024E-3</v>
      </c>
      <c r="X1105">
        <v>6.1184068374046836E-3</v>
      </c>
      <c r="Y1105">
        <v>6.6642098515075927E-3</v>
      </c>
      <c r="Z1105">
        <v>7.6306837749666222E-3</v>
      </c>
    </row>
    <row r="1106" spans="3:26" x14ac:dyDescent="0.25">
      <c r="D1106" s="6" t="s">
        <v>78</v>
      </c>
      <c r="E1106" s="6" t="s">
        <v>381</v>
      </c>
      <c r="F1106" s="6" t="s">
        <v>382</v>
      </c>
      <c r="G1106" s="6" t="s">
        <v>363</v>
      </c>
      <c r="H1106" s="6" t="s">
        <v>383</v>
      </c>
      <c r="P1106" s="10" cm="1">
        <f t="array" ref="P1106">INDIRECT_EFFECT("hea","health_srv_share","health_srv_elasticity",0,"Overall","p75")</f>
        <v>1.9851856099732345E-2</v>
      </c>
    </row>
    <row r="1107" spans="3:26" x14ac:dyDescent="0.25">
      <c r="D1107" s="6" t="s">
        <v>78</v>
      </c>
      <c r="E1107" s="6" t="s">
        <v>381</v>
      </c>
      <c r="F1107" s="6" t="s">
        <v>145</v>
      </c>
      <c r="G1107" s="6" t="s">
        <v>363</v>
      </c>
      <c r="H1107" s="6" t="s">
        <v>383</v>
      </c>
      <c r="Q1107" s="10" cm="1">
        <f t="array" ref="Q1107:Z1107">INDIRECT_EFFECT("hea","health_srv_share","health_srv_elasticity",DECILE_ARRAY,"Overall","p75")</f>
        <v>1.4975856012770971E-2</v>
      </c>
      <c r="R1107">
        <v>1.5950124240626549E-2</v>
      </c>
      <c r="S1107">
        <v>1.6721437831586458E-2</v>
      </c>
      <c r="T1107">
        <v>1.9556311881301101E-2</v>
      </c>
      <c r="U1107">
        <v>1.9649636982024404E-2</v>
      </c>
      <c r="V1107">
        <v>2.1287641577475893E-2</v>
      </c>
      <c r="W1107">
        <v>2.346136996283146E-2</v>
      </c>
      <c r="X1107">
        <v>2.474809828947553E-2</v>
      </c>
      <c r="Y1107">
        <v>2.2926305334123851E-2</v>
      </c>
      <c r="Z1107">
        <v>2.7697095673369875E-2</v>
      </c>
    </row>
    <row r="1108" spans="3:26" x14ac:dyDescent="0.25">
      <c r="D1108" s="6" t="s">
        <v>78</v>
      </c>
      <c r="E1108" s="6" t="s">
        <v>384</v>
      </c>
      <c r="F1108" s="6" t="s">
        <v>382</v>
      </c>
      <c r="G1108" s="6" t="s">
        <v>363</v>
      </c>
      <c r="H1108" s="6" t="s">
        <v>383</v>
      </c>
      <c r="P1108" s="10" cm="1">
        <f t="array" ref="P1108">INDIRECT_EFFECT("hea","health_srv_share","health_srv_elasticity",0,"Urban","p75")</f>
        <v>1.7574196639818681E-2</v>
      </c>
    </row>
    <row r="1109" spans="3:26" x14ac:dyDescent="0.25">
      <c r="D1109" s="6" t="s">
        <v>78</v>
      </c>
      <c r="E1109" s="6" t="s">
        <v>384</v>
      </c>
      <c r="F1109" s="6" t="s">
        <v>145</v>
      </c>
      <c r="G1109" s="6" t="s">
        <v>363</v>
      </c>
      <c r="H1109" s="6" t="s">
        <v>383</v>
      </c>
      <c r="Q1109" s="10" cm="1">
        <f t="array" ref="Q1109:Z1109">INDIRECT_EFFECT("hea","health_srv_share","health_srv_elasticity",DECILE_ARRAY,"Urban","p75")</f>
        <v>1.3230591476053665E-2</v>
      </c>
      <c r="R1109">
        <v>1.3596563147921499E-2</v>
      </c>
      <c r="S1109">
        <v>1.6477298172227151E-2</v>
      </c>
      <c r="T1109">
        <v>1.5307479726287104E-2</v>
      </c>
      <c r="U1109">
        <v>1.8427748422437239E-2</v>
      </c>
      <c r="V1109">
        <v>1.7152574703114237E-2</v>
      </c>
      <c r="W1109">
        <v>2.0902576725636796E-2</v>
      </c>
      <c r="X1109">
        <v>1.9820466325456695E-2</v>
      </c>
      <c r="Y1109">
        <v>2.1853068512276516E-2</v>
      </c>
      <c r="Z1109">
        <v>2.6124497645595251E-2</v>
      </c>
    </row>
    <row r="1110" spans="3:26" x14ac:dyDescent="0.25">
      <c r="D1110" s="6" t="s">
        <v>78</v>
      </c>
      <c r="E1110" s="6" t="s">
        <v>385</v>
      </c>
      <c r="F1110" s="6" t="s">
        <v>382</v>
      </c>
      <c r="G1110" s="6" t="s">
        <v>363</v>
      </c>
      <c r="H1110" s="6" t="s">
        <v>383</v>
      </c>
      <c r="P1110" s="10" cm="1">
        <f t="array" ref="P1110">INDIRECT_EFFECT("hea","health_srv_share","health_srv_elasticity",0,"Rural","p75")</f>
        <v>2.2648618254225091E-2</v>
      </c>
    </row>
    <row r="1111" spans="3:26" x14ac:dyDescent="0.25">
      <c r="D1111" s="6" t="s">
        <v>78</v>
      </c>
      <c r="E1111" s="6" t="s">
        <v>385</v>
      </c>
      <c r="F1111" s="6" t="s">
        <v>145</v>
      </c>
      <c r="G1111" s="6" t="s">
        <v>363</v>
      </c>
      <c r="H1111" s="6" t="s">
        <v>383</v>
      </c>
      <c r="Q1111" s="10" cm="1">
        <f t="array" ref="Q1111:Z1111">INDIRECT_EFFECT("hea","health_srv_share","health_srv_elasticity",DECILE_ARRAY,"Rural","p75")</f>
        <v>1.5452950075265412E-2</v>
      </c>
      <c r="R1111">
        <v>1.5695080724902923E-2</v>
      </c>
      <c r="S1111">
        <v>1.483432213264055E-2</v>
      </c>
      <c r="T1111">
        <v>1.8451178357185963E-2</v>
      </c>
      <c r="U1111">
        <v>2.0103333495396149E-2</v>
      </c>
      <c r="V1111">
        <v>2.0823704649285416E-2</v>
      </c>
      <c r="W1111">
        <v>2.3639170356262579E-2</v>
      </c>
      <c r="X1111">
        <v>2.4489549903128897E-2</v>
      </c>
      <c r="Y1111">
        <v>2.5919591864554118E-2</v>
      </c>
      <c r="Z1111">
        <v>3.5558216586983001E-2</v>
      </c>
    </row>
    <row r="1113" spans="3:26" x14ac:dyDescent="0.25">
      <c r="C1113" s="7" t="s">
        <v>436</v>
      </c>
      <c r="G1113" s="6" t="s">
        <v>365</v>
      </c>
      <c r="O1113" s="2" t="s">
        <v>331</v>
      </c>
      <c r="Q1113" s="2">
        <v>1</v>
      </c>
      <c r="R1113" s="2">
        <v>2</v>
      </c>
      <c r="S1113" s="2">
        <v>3</v>
      </c>
      <c r="T1113" s="2">
        <v>4</v>
      </c>
      <c r="U1113" s="2">
        <v>5</v>
      </c>
      <c r="V1113" s="2">
        <v>6</v>
      </c>
      <c r="W1113" s="2">
        <v>7</v>
      </c>
      <c r="X1113" s="2">
        <v>8</v>
      </c>
      <c r="Y1113" s="2">
        <v>9</v>
      </c>
      <c r="Z1113" s="2">
        <v>10</v>
      </c>
    </row>
    <row r="1114" spans="3:26" x14ac:dyDescent="0.25">
      <c r="D1114" s="6" t="s">
        <v>69</v>
      </c>
      <c r="E1114" s="6" t="s">
        <v>381</v>
      </c>
      <c r="F1114" s="6" t="s">
        <v>382</v>
      </c>
      <c r="G1114" s="6" t="s">
        <v>365</v>
      </c>
      <c r="H1114" s="6" t="s">
        <v>383</v>
      </c>
      <c r="P1114" s="10" cm="1">
        <f t="array" ref="P1114">INDIRECT_EFFECT("hou","housing_share","housing_elasticity",0,"Overall","mean")</f>
        <v>1.3383665658250367E-2</v>
      </c>
    </row>
    <row r="1115" spans="3:26" x14ac:dyDescent="0.25">
      <c r="D1115" s="6" t="s">
        <v>69</v>
      </c>
      <c r="E1115" s="6" t="s">
        <v>381</v>
      </c>
      <c r="F1115" s="6" t="s">
        <v>145</v>
      </c>
      <c r="G1115" s="6" t="s">
        <v>365</v>
      </c>
      <c r="H1115" s="6" t="s">
        <v>383</v>
      </c>
      <c r="Q1115" s="10" cm="1">
        <f t="array" ref="Q1115:Z1115">INDIRECT_EFFECT("hou","housing_share","housing_elasticity",DECILE_ARRAY,"Overall","mean")</f>
        <v>1.4845761872050908E-2</v>
      </c>
      <c r="R1115">
        <v>1.2734457957140868E-2</v>
      </c>
      <c r="S1115">
        <v>1.3613805786912294E-2</v>
      </c>
      <c r="T1115">
        <v>1.1790748408854352E-2</v>
      </c>
      <c r="U1115">
        <v>1.3538250083988592E-2</v>
      </c>
      <c r="V1115">
        <v>1.3121287420550333E-2</v>
      </c>
      <c r="W1115">
        <v>1.3325707972252068E-2</v>
      </c>
      <c r="X1115">
        <v>1.2583627649641544E-2</v>
      </c>
      <c r="Y1115">
        <v>1.2563559366556671E-2</v>
      </c>
      <c r="Z1115">
        <v>1.7050445279816768E-2</v>
      </c>
    </row>
    <row r="1116" spans="3:26" x14ac:dyDescent="0.25">
      <c r="D1116" s="6" t="s">
        <v>69</v>
      </c>
      <c r="E1116" s="6" t="s">
        <v>384</v>
      </c>
      <c r="F1116" s="6" t="s">
        <v>382</v>
      </c>
      <c r="G1116" s="6" t="s">
        <v>365</v>
      </c>
      <c r="H1116" s="6" t="s">
        <v>383</v>
      </c>
      <c r="P1116" s="10" cm="1">
        <f t="array" ref="P1116">INDIRECT_EFFECT("hou","housing_share","housing_elasticity",0,"Urban","mean")</f>
        <v>1.7842668593070748E-2</v>
      </c>
    </row>
    <row r="1117" spans="3:26" x14ac:dyDescent="0.25">
      <c r="D1117" s="6" t="s">
        <v>69</v>
      </c>
      <c r="E1117" s="6" t="s">
        <v>384</v>
      </c>
      <c r="F1117" s="6" t="s">
        <v>145</v>
      </c>
      <c r="G1117" s="6" t="s">
        <v>365</v>
      </c>
      <c r="H1117" s="6" t="s">
        <v>383</v>
      </c>
      <c r="Q1117" s="10" cm="1">
        <f t="array" ref="Q1117:Z1117">INDIRECT_EFFECT("hou","housing_share","housing_elasticity",DECILE_ARRAY,"Urban","mean")</f>
        <v>2.1902322194233246E-2</v>
      </c>
      <c r="R1117">
        <v>1.9144971562744029E-2</v>
      </c>
      <c r="S1117">
        <v>1.708585519580209E-2</v>
      </c>
      <c r="T1117">
        <v>1.5768918785272527E-2</v>
      </c>
      <c r="U1117">
        <v>1.5959504140785733E-2</v>
      </c>
      <c r="V1117">
        <v>1.4630328105375456E-2</v>
      </c>
      <c r="W1117">
        <v>1.4511758161165608E-2</v>
      </c>
      <c r="X1117">
        <v>1.4905314297498175E-2</v>
      </c>
      <c r="Y1117">
        <v>1.6589227363829982E-2</v>
      </c>
      <c r="Z1117">
        <v>1.841064082407988E-2</v>
      </c>
    </row>
    <row r="1118" spans="3:26" x14ac:dyDescent="0.25">
      <c r="D1118" s="6" t="s">
        <v>69</v>
      </c>
      <c r="E1118" s="6" t="s">
        <v>385</v>
      </c>
      <c r="F1118" s="6" t="s">
        <v>382</v>
      </c>
      <c r="G1118" s="6" t="s">
        <v>365</v>
      </c>
      <c r="H1118" s="6" t="s">
        <v>383</v>
      </c>
      <c r="P1118" s="10" cm="1">
        <f t="array" ref="P1118">INDIRECT_EFFECT("hou","housing_share","housing_elasticity",0,"Rural","mean")</f>
        <v>1.1284554125589317E-2</v>
      </c>
    </row>
    <row r="1119" spans="3:26" x14ac:dyDescent="0.25">
      <c r="D1119" s="6" t="s">
        <v>69</v>
      </c>
      <c r="E1119" s="6" t="s">
        <v>385</v>
      </c>
      <c r="F1119" s="6" t="s">
        <v>145</v>
      </c>
      <c r="G1119" s="6" t="s">
        <v>365</v>
      </c>
      <c r="H1119" s="6" t="s">
        <v>383</v>
      </c>
      <c r="Q1119" s="10" cm="1">
        <f t="array" ref="Q1119:Z1119">INDIRECT_EFFECT("hou","housing_share","housing_elasticity",DECILE_ARRAY,"Rural","mean")</f>
        <v>1.1432264137950154E-2</v>
      </c>
      <c r="R1119">
        <v>1.018775504651144E-2</v>
      </c>
      <c r="S1119">
        <v>1.1233300786749199E-2</v>
      </c>
      <c r="T1119">
        <v>9.6799355795157502E-3</v>
      </c>
      <c r="U1119">
        <v>9.1219053630841145E-3</v>
      </c>
      <c r="V1119">
        <v>1.1311356221113419E-2</v>
      </c>
      <c r="W1119">
        <v>9.9088498506475584E-3</v>
      </c>
      <c r="X1119">
        <v>1.1804778865418803E-2</v>
      </c>
      <c r="Y1119">
        <v>1.1561162576104764E-2</v>
      </c>
      <c r="Z1119">
        <v>1.33916650409939E-2</v>
      </c>
    </row>
    <row r="1120" spans="3:26" x14ac:dyDescent="0.25">
      <c r="D1120" s="6" t="s">
        <v>72</v>
      </c>
      <c r="E1120" s="6" t="s">
        <v>381</v>
      </c>
      <c r="F1120" s="6" t="s">
        <v>382</v>
      </c>
      <c r="G1120" s="6" t="s">
        <v>365</v>
      </c>
      <c r="H1120" s="6" t="s">
        <v>383</v>
      </c>
      <c r="P1120" s="10" cm="1">
        <f t="array" ref="P1120">INDIRECT_EFFECT("hou","housing_share","housing_elasticity",0,"Overall","median")</f>
        <v>8.4301254261962815E-3</v>
      </c>
    </row>
    <row r="1121" spans="4:26" x14ac:dyDescent="0.25">
      <c r="D1121" s="6" t="s">
        <v>72</v>
      </c>
      <c r="E1121" s="6" t="s">
        <v>381</v>
      </c>
      <c r="F1121" s="6" t="s">
        <v>145</v>
      </c>
      <c r="G1121" s="6" t="s">
        <v>365</v>
      </c>
      <c r="H1121" s="6" t="s">
        <v>383</v>
      </c>
      <c r="Q1121" s="10" cm="1">
        <f t="array" ref="Q1121:Z1121">INDIRECT_EFFECT("hou","housing_share","housing_elasticity",DECILE_ARRAY,"Overall","median")</f>
        <v>8.9868802064970218E-3</v>
      </c>
      <c r="R1121">
        <v>8.5777980899099816E-3</v>
      </c>
      <c r="S1121">
        <v>8.4946118322764101E-3</v>
      </c>
      <c r="T1121">
        <v>8.4901026080230341E-3</v>
      </c>
      <c r="U1121">
        <v>8.2795866896366449E-3</v>
      </c>
      <c r="V1121">
        <v>8.0116706562437176E-3</v>
      </c>
      <c r="W1121">
        <v>7.9736055535271876E-3</v>
      </c>
      <c r="X1121">
        <v>9.2872532328731119E-3</v>
      </c>
      <c r="Y1121">
        <v>8.6658008309141998E-3</v>
      </c>
      <c r="Z1121">
        <v>1.1664923816965265E-2</v>
      </c>
    </row>
    <row r="1122" spans="4:26" x14ac:dyDescent="0.25">
      <c r="D1122" s="6" t="s">
        <v>72</v>
      </c>
      <c r="E1122" s="6" t="s">
        <v>384</v>
      </c>
      <c r="F1122" s="6" t="s">
        <v>382</v>
      </c>
      <c r="G1122" s="6" t="s">
        <v>365</v>
      </c>
      <c r="H1122" s="6" t="s">
        <v>383</v>
      </c>
      <c r="P1122" s="10" cm="1">
        <f t="array" ref="P1122">INDIRECT_EFFECT("hou","housing_share","housing_elasticity",0,"Urban","median")</f>
        <v>1.0085955753133894E-2</v>
      </c>
    </row>
    <row r="1123" spans="4:26" x14ac:dyDescent="0.25">
      <c r="D1123" s="6" t="s">
        <v>72</v>
      </c>
      <c r="E1123" s="6" t="s">
        <v>384</v>
      </c>
      <c r="F1123" s="6" t="s">
        <v>145</v>
      </c>
      <c r="G1123" s="6" t="s">
        <v>365</v>
      </c>
      <c r="H1123" s="6" t="s">
        <v>383</v>
      </c>
      <c r="Q1123" s="10" cm="1">
        <f t="array" ref="Q1123:Z1123">INDIRECT_EFFECT("hou","housing_share","housing_elasticity",DECILE_ARRAY,"Urban","median")</f>
        <v>1.236660709538219E-2</v>
      </c>
      <c r="R1123">
        <v>1.0693196198887879E-2</v>
      </c>
      <c r="S1123">
        <v>9.5919774572734342E-3</v>
      </c>
      <c r="T1123">
        <v>9.312578183219138E-3</v>
      </c>
      <c r="U1123">
        <v>9.7138147133252126E-3</v>
      </c>
      <c r="V1123">
        <v>9.8031497264623527E-3</v>
      </c>
      <c r="W1123">
        <v>9.8425498661737134E-3</v>
      </c>
      <c r="X1123">
        <v>9.4269879448261266E-3</v>
      </c>
      <c r="Y1123">
        <v>9.7522007668098057E-3</v>
      </c>
      <c r="Z1123">
        <v>1.3376671661415691E-2</v>
      </c>
    </row>
    <row r="1124" spans="4:26" x14ac:dyDescent="0.25">
      <c r="D1124" s="6" t="s">
        <v>72</v>
      </c>
      <c r="E1124" s="6" t="s">
        <v>385</v>
      </c>
      <c r="F1124" s="6" t="s">
        <v>382</v>
      </c>
      <c r="G1124" s="6" t="s">
        <v>365</v>
      </c>
      <c r="H1124" s="6" t="s">
        <v>383</v>
      </c>
      <c r="P1124" s="10" cm="1">
        <f t="array" ref="P1124">INDIRECT_EFFECT("hou","housing_share","housing_elasticity",0,"Rural","median")</f>
        <v>7.7999762658195913E-3</v>
      </c>
    </row>
    <row r="1125" spans="4:26" x14ac:dyDescent="0.25">
      <c r="D1125" s="6" t="s">
        <v>72</v>
      </c>
      <c r="E1125" s="6" t="s">
        <v>385</v>
      </c>
      <c r="F1125" s="6" t="s">
        <v>145</v>
      </c>
      <c r="G1125" s="6" t="s">
        <v>365</v>
      </c>
      <c r="H1125" s="6" t="s">
        <v>383</v>
      </c>
      <c r="Q1125" s="10" cm="1">
        <f t="array" ref="Q1125:Z1125">INDIRECT_EFFECT("hou","housing_share","housing_elasticity",DECILE_ARRAY,"Rural","median")</f>
        <v>7.659914676834626E-3</v>
      </c>
      <c r="R1125">
        <v>7.0996259297641607E-3</v>
      </c>
      <c r="S1125">
        <v>7.4268438967187199E-3</v>
      </c>
      <c r="T1125">
        <v>8.1284788416375996E-3</v>
      </c>
      <c r="U1125">
        <v>7.7062089373499424E-3</v>
      </c>
      <c r="V1125">
        <v>8.3718621488901405E-3</v>
      </c>
      <c r="W1125">
        <v>7.4697808057593296E-3</v>
      </c>
      <c r="X1125">
        <v>7.9707025137375973E-3</v>
      </c>
      <c r="Y1125">
        <v>7.9735359268650538E-3</v>
      </c>
      <c r="Z1125">
        <v>8.8043142915088298E-3</v>
      </c>
    </row>
    <row r="1126" spans="4:26" x14ac:dyDescent="0.25">
      <c r="D1126" s="6" t="s">
        <v>75</v>
      </c>
      <c r="E1126" s="6" t="s">
        <v>381</v>
      </c>
      <c r="F1126" s="6" t="s">
        <v>382</v>
      </c>
      <c r="G1126" s="6" t="s">
        <v>365</v>
      </c>
      <c r="H1126" s="6" t="s">
        <v>383</v>
      </c>
      <c r="P1126" s="10" cm="1">
        <f t="array" ref="P1126">INDIRECT_EFFECT("hou","housing_share","housing_elasticity",0,"Overall","p25")</f>
        <v>5.5741745881122502E-3</v>
      </c>
    </row>
    <row r="1127" spans="4:26" x14ac:dyDescent="0.25">
      <c r="D1127" s="6" t="s">
        <v>75</v>
      </c>
      <c r="E1127" s="6" t="s">
        <v>381</v>
      </c>
      <c r="F1127" s="6" t="s">
        <v>145</v>
      </c>
      <c r="G1127" s="6" t="s">
        <v>365</v>
      </c>
      <c r="H1127" s="6" t="s">
        <v>383</v>
      </c>
      <c r="Q1127" s="10" cm="1">
        <f t="array" ref="Q1127:Z1127">INDIRECT_EFFECT("hou","housing_share","housing_elasticity",DECILE_ARRAY,"Overall","p25")</f>
        <v>5.1468008184560494E-3</v>
      </c>
      <c r="R1127">
        <v>5.5251033585067355E-3</v>
      </c>
      <c r="S1127">
        <v>5.2968597889000626E-3</v>
      </c>
      <c r="T1127">
        <v>4.988958605249498E-3</v>
      </c>
      <c r="U1127">
        <v>5.7796781198733533E-3</v>
      </c>
      <c r="V1127">
        <v>5.3872662842688549E-3</v>
      </c>
      <c r="W1127">
        <v>4.9285618781943078E-3</v>
      </c>
      <c r="X1127">
        <v>5.7369670177297508E-3</v>
      </c>
      <c r="Y1127">
        <v>5.7996219519321499E-3</v>
      </c>
      <c r="Z1127">
        <v>5.781668502215731E-3</v>
      </c>
    </row>
    <row r="1128" spans="4:26" x14ac:dyDescent="0.25">
      <c r="D1128" s="6" t="s">
        <v>75</v>
      </c>
      <c r="E1128" s="6" t="s">
        <v>384</v>
      </c>
      <c r="F1128" s="6" t="s">
        <v>382</v>
      </c>
      <c r="G1128" s="6" t="s">
        <v>365</v>
      </c>
      <c r="H1128" s="6" t="s">
        <v>383</v>
      </c>
      <c r="P1128" s="10" cm="1">
        <f t="array" ref="P1128">INDIRECT_EFFECT("hou","housing_share","housing_elasticity",0,"Urban","p25")</f>
        <v>5.8555548339000426E-3</v>
      </c>
    </row>
    <row r="1129" spans="4:26" x14ac:dyDescent="0.25">
      <c r="D1129" s="6" t="s">
        <v>75</v>
      </c>
      <c r="E1129" s="6" t="s">
        <v>384</v>
      </c>
      <c r="F1129" s="6" t="s">
        <v>145</v>
      </c>
      <c r="G1129" s="6" t="s">
        <v>365</v>
      </c>
      <c r="H1129" s="6" t="s">
        <v>383</v>
      </c>
      <c r="Q1129" s="10" cm="1">
        <f t="array" ref="Q1129:Z1129">INDIRECT_EFFECT("hou","housing_share","housing_elasticity",DECILE_ARRAY,"Urban","p25")</f>
        <v>6.3957574830475327E-3</v>
      </c>
      <c r="R1129">
        <v>6.1917818259724922E-3</v>
      </c>
      <c r="S1129">
        <v>6.6462392955821325E-3</v>
      </c>
      <c r="T1129">
        <v>5.2906981472556928E-3</v>
      </c>
      <c r="U1129">
        <v>5.9369496280137343E-3</v>
      </c>
      <c r="V1129">
        <v>5.6768102437868215E-3</v>
      </c>
      <c r="W1129">
        <v>5.6986910230529082E-3</v>
      </c>
      <c r="X1129">
        <v>5.8162731703691383E-3</v>
      </c>
      <c r="Y1129">
        <v>6.0493996403359149E-3</v>
      </c>
      <c r="Z1129">
        <v>6.3696608939732592E-3</v>
      </c>
    </row>
    <row r="1130" spans="4:26" x14ac:dyDescent="0.25">
      <c r="D1130" s="6" t="s">
        <v>75</v>
      </c>
      <c r="E1130" s="6" t="s">
        <v>385</v>
      </c>
      <c r="F1130" s="6" t="s">
        <v>382</v>
      </c>
      <c r="G1130" s="6" t="s">
        <v>365</v>
      </c>
      <c r="H1130" s="6" t="s">
        <v>383</v>
      </c>
      <c r="P1130" s="10" cm="1">
        <f t="array" ref="P1130">INDIRECT_EFFECT("hou","housing_share","housing_elasticity",0,"Rural","p25")</f>
        <v>5.3720618052918792E-3</v>
      </c>
    </row>
    <row r="1131" spans="4:26" x14ac:dyDescent="0.25">
      <c r="D1131" s="6" t="s">
        <v>75</v>
      </c>
      <c r="E1131" s="6" t="s">
        <v>385</v>
      </c>
      <c r="F1131" s="6" t="s">
        <v>145</v>
      </c>
      <c r="G1131" s="6" t="s">
        <v>365</v>
      </c>
      <c r="H1131" s="6" t="s">
        <v>383</v>
      </c>
      <c r="Q1131" s="10" cm="1">
        <f t="array" ref="Q1131:Z1131">INDIRECT_EFFECT("hou","housing_share","housing_elasticity",DECILE_ARRAY,"Rural","p25")</f>
        <v>5.3479457956471157E-3</v>
      </c>
      <c r="R1131">
        <v>4.931604555066014E-3</v>
      </c>
      <c r="S1131">
        <v>5.1857206007631055E-3</v>
      </c>
      <c r="T1131">
        <v>5.1521592040482869E-3</v>
      </c>
      <c r="U1131">
        <v>4.6202765618280532E-3</v>
      </c>
      <c r="V1131">
        <v>5.3112384006319419E-3</v>
      </c>
      <c r="W1131">
        <v>4.9412659916301428E-3</v>
      </c>
      <c r="X1131">
        <v>4.856995470057527E-3</v>
      </c>
      <c r="Y1131">
        <v>5.4761745981256804E-3</v>
      </c>
      <c r="Z1131">
        <v>5.3217032557417486E-3</v>
      </c>
    </row>
    <row r="1132" spans="4:26" x14ac:dyDescent="0.25">
      <c r="D1132" s="6" t="s">
        <v>78</v>
      </c>
      <c r="E1132" s="6" t="s">
        <v>381</v>
      </c>
      <c r="F1132" s="6" t="s">
        <v>382</v>
      </c>
      <c r="G1132" s="6" t="s">
        <v>365</v>
      </c>
      <c r="H1132" s="6" t="s">
        <v>383</v>
      </c>
      <c r="P1132" s="10" cm="1">
        <f t="array" ref="P1132">INDIRECT_EFFECT("hou","housing_share","housing_elasticity",0,"Overall","p75")</f>
        <v>1.5945284135422275E-2</v>
      </c>
    </row>
    <row r="1133" spans="4:26" x14ac:dyDescent="0.25">
      <c r="D1133" s="6" t="s">
        <v>78</v>
      </c>
      <c r="E1133" s="6" t="s">
        <v>381</v>
      </c>
      <c r="F1133" s="6" t="s">
        <v>145</v>
      </c>
      <c r="G1133" s="6" t="s">
        <v>365</v>
      </c>
      <c r="H1133" s="6" t="s">
        <v>383</v>
      </c>
      <c r="Q1133" s="10" cm="1">
        <f t="array" ref="Q1133:Z1133">INDIRECT_EFFECT("hou","housing_share","housing_elasticity",DECILE_ARRAY,"Overall","p75")</f>
        <v>1.5473090179578427E-2</v>
      </c>
      <c r="R1133">
        <v>1.2700435683186956E-2</v>
      </c>
      <c r="S1133">
        <v>1.3753164406727584E-2</v>
      </c>
      <c r="T1133">
        <v>1.4270275446040084E-2</v>
      </c>
      <c r="U1133">
        <v>1.3435984764630444E-2</v>
      </c>
      <c r="V1133">
        <v>1.4564038756997331E-2</v>
      </c>
      <c r="W1133">
        <v>1.5742321764519111E-2</v>
      </c>
      <c r="X1133">
        <v>1.5667089029443235E-2</v>
      </c>
      <c r="Y1133">
        <v>1.466500177274328E-2</v>
      </c>
      <c r="Z1133">
        <v>2.0523285294249568E-2</v>
      </c>
    </row>
    <row r="1134" spans="4:26" x14ac:dyDescent="0.25">
      <c r="D1134" s="6" t="s">
        <v>78</v>
      </c>
      <c r="E1134" s="6" t="s">
        <v>384</v>
      </c>
      <c r="F1134" s="6" t="s">
        <v>382</v>
      </c>
      <c r="G1134" s="6" t="s">
        <v>365</v>
      </c>
      <c r="H1134" s="6" t="s">
        <v>383</v>
      </c>
      <c r="P1134" s="10" cm="1">
        <f t="array" ref="P1134">INDIRECT_EFFECT("hou","housing_share","housing_elasticity",0,"Urban","p75")</f>
        <v>1.9762022511585788E-2</v>
      </c>
    </row>
    <row r="1135" spans="4:26" x14ac:dyDescent="0.25">
      <c r="D1135" s="6" t="s">
        <v>78</v>
      </c>
      <c r="E1135" s="6" t="s">
        <v>384</v>
      </c>
      <c r="F1135" s="6" t="s">
        <v>145</v>
      </c>
      <c r="G1135" s="6" t="s">
        <v>365</v>
      </c>
      <c r="H1135" s="6" t="s">
        <v>383</v>
      </c>
      <c r="Q1135" s="10" cm="1">
        <f t="array" ref="Q1135:Z1135">INDIRECT_EFFECT("hou","housing_share","housing_elasticity",DECILE_ARRAY,"Urban","p75")</f>
        <v>2.8407319990029985E-2</v>
      </c>
      <c r="R1135">
        <v>2.3041528823637383E-2</v>
      </c>
      <c r="S1135">
        <v>2.3137749406610023E-2</v>
      </c>
      <c r="T1135">
        <v>1.9842737887888134E-2</v>
      </c>
      <c r="U1135">
        <v>1.9674577466058819E-2</v>
      </c>
      <c r="V1135">
        <v>1.8327427127746355E-2</v>
      </c>
      <c r="W1135">
        <v>1.7808355657805756E-2</v>
      </c>
      <c r="X1135">
        <v>1.8906932759163508E-2</v>
      </c>
      <c r="Y1135">
        <v>1.9150001411445104E-2</v>
      </c>
      <c r="Z1135">
        <v>2.3021811848660235E-2</v>
      </c>
    </row>
    <row r="1136" spans="4:26" x14ac:dyDescent="0.25">
      <c r="D1136" s="6" t="s">
        <v>78</v>
      </c>
      <c r="E1136" s="6" t="s">
        <v>385</v>
      </c>
      <c r="F1136" s="6" t="s">
        <v>382</v>
      </c>
      <c r="G1136" s="6" t="s">
        <v>365</v>
      </c>
      <c r="H1136" s="6" t="s">
        <v>383</v>
      </c>
      <c r="P1136" s="10" cm="1">
        <f t="array" ref="P1136">INDIRECT_EFFECT("hou","housing_share","housing_elasticity",0,"Rural","p75")</f>
        <v>1.2916618143866541E-2</v>
      </c>
    </row>
    <row r="1137" spans="3:26" x14ac:dyDescent="0.25">
      <c r="D1137" s="6" t="s">
        <v>78</v>
      </c>
      <c r="E1137" s="6" t="s">
        <v>385</v>
      </c>
      <c r="F1137" s="6" t="s">
        <v>145</v>
      </c>
      <c r="G1137" s="6" t="s">
        <v>365</v>
      </c>
      <c r="H1137" s="6" t="s">
        <v>383</v>
      </c>
      <c r="Q1137" s="10" cm="1">
        <f t="array" ref="Q1137:Z1137">INDIRECT_EFFECT("hou","housing_share","housing_elasticity",DECILE_ARRAY,"Rural","p75")</f>
        <v>1.201045460352951E-2</v>
      </c>
      <c r="R1137">
        <v>1.2255350494002264E-2</v>
      </c>
      <c r="S1137">
        <v>1.2227205174079537E-2</v>
      </c>
      <c r="T1137">
        <v>1.1401723600916248E-2</v>
      </c>
      <c r="U1137">
        <v>1.0724354274536132E-2</v>
      </c>
      <c r="V1137">
        <v>1.2862338059992906E-2</v>
      </c>
      <c r="W1137">
        <v>1.2595520014205044E-2</v>
      </c>
      <c r="X1137">
        <v>1.1758191764546724E-2</v>
      </c>
      <c r="Y1137">
        <v>1.2716159366414195E-2</v>
      </c>
      <c r="Z1137">
        <v>1.3911884691423583E-2</v>
      </c>
    </row>
    <row r="1139" spans="3:26" x14ac:dyDescent="0.25">
      <c r="C1139" s="7" t="s">
        <v>437</v>
      </c>
      <c r="G1139" s="6" t="s">
        <v>367</v>
      </c>
      <c r="O1139" s="2" t="s">
        <v>331</v>
      </c>
      <c r="Q1139" s="2">
        <v>1</v>
      </c>
      <c r="R1139" s="2">
        <v>2</v>
      </c>
      <c r="S1139" s="2">
        <v>3</v>
      </c>
      <c r="T1139" s="2">
        <v>4</v>
      </c>
      <c r="U1139" s="2">
        <v>5</v>
      </c>
      <c r="V1139" s="2">
        <v>6</v>
      </c>
      <c r="W1139" s="2">
        <v>7</v>
      </c>
      <c r="X1139" s="2">
        <v>8</v>
      </c>
      <c r="Y1139" s="2">
        <v>9</v>
      </c>
      <c r="Z1139" s="2">
        <v>10</v>
      </c>
    </row>
    <row r="1140" spans="3:26" x14ac:dyDescent="0.25">
      <c r="D1140" s="6" t="s">
        <v>69</v>
      </c>
      <c r="E1140" s="6" t="s">
        <v>381</v>
      </c>
      <c r="F1140" s="6" t="s">
        <v>382</v>
      </c>
      <c r="G1140" s="6" t="s">
        <v>367</v>
      </c>
      <c r="H1140" s="6" t="s">
        <v>383</v>
      </c>
      <c r="P1140" s="10" cm="1">
        <f t="array" ref="P1140">INDIRECT_EFFECT("oth","other_share","other_elasticity",0,"Overall","mean")</f>
        <v>2.2047872761064151E-5</v>
      </c>
    </row>
    <row r="1141" spans="3:26" x14ac:dyDescent="0.25">
      <c r="D1141" s="6" t="s">
        <v>69</v>
      </c>
      <c r="E1141" s="6" t="s">
        <v>381</v>
      </c>
      <c r="F1141" s="6" t="s">
        <v>145</v>
      </c>
      <c r="G1141" s="6" t="s">
        <v>367</v>
      </c>
      <c r="H1141" s="6" t="s">
        <v>383</v>
      </c>
      <c r="Q1141" s="10" cm="1">
        <f t="array" ref="Q1141:Z1141">INDIRECT_EFFECT("oth","other_share","other_elasticity",DECILE_ARRAY,"Overall","mean")</f>
        <v>1.8586746620601327E-5</v>
      </c>
      <c r="R1141">
        <v>1.2698222736247961E-5</v>
      </c>
      <c r="S1141">
        <v>9.2358839381482688E-6</v>
      </c>
      <c r="T1141">
        <v>1.273951778639402E-5</v>
      </c>
      <c r="U1141">
        <v>2.923980969486348E-5</v>
      </c>
      <c r="V1141">
        <v>2.1819164572388102E-5</v>
      </c>
      <c r="W1141">
        <v>2.0102262496339083E-5</v>
      </c>
      <c r="X1141">
        <v>2.6212685056066296E-5</v>
      </c>
      <c r="Y1141">
        <v>2.3817272707119984E-5</v>
      </c>
      <c r="Z1141">
        <v>4.0320348803329421E-5</v>
      </c>
    </row>
    <row r="1142" spans="3:26" x14ac:dyDescent="0.25">
      <c r="D1142" s="6" t="s">
        <v>69</v>
      </c>
      <c r="E1142" s="6" t="s">
        <v>384</v>
      </c>
      <c r="F1142" s="6" t="s">
        <v>382</v>
      </c>
      <c r="G1142" s="6" t="s">
        <v>367</v>
      </c>
      <c r="H1142" s="6" t="s">
        <v>383</v>
      </c>
      <c r="P1142" s="10" cm="1">
        <f t="array" ref="P1142">INDIRECT_EFFECT("oth","other_share","other_elasticity",0,"Urban","mean")</f>
        <v>3.0641628775960376E-5</v>
      </c>
    </row>
    <row r="1143" spans="3:26" x14ac:dyDescent="0.25">
      <c r="D1143" s="6" t="s">
        <v>69</v>
      </c>
      <c r="E1143" s="6" t="s">
        <v>384</v>
      </c>
      <c r="F1143" s="6" t="s">
        <v>145</v>
      </c>
      <c r="G1143" s="6" t="s">
        <v>367</v>
      </c>
      <c r="H1143" s="6" t="s">
        <v>383</v>
      </c>
      <c r="Q1143" s="10" cm="1">
        <f t="array" ref="Q1143:Z1143">INDIRECT_EFFECT("oth","other_share","other_elasticity",DECILE_ARRAY,"Urban","mean")</f>
        <v>2.376590947921259E-5</v>
      </c>
      <c r="R1143">
        <v>1.2913933505267312E-5</v>
      </c>
      <c r="S1143">
        <v>8.283816742054129E-6</v>
      </c>
      <c r="T1143">
        <v>3.708876221622998E-5</v>
      </c>
      <c r="U1143">
        <v>2.9509661906128965E-5</v>
      </c>
      <c r="V1143">
        <v>2.3093838535847774E-5</v>
      </c>
      <c r="W1143">
        <v>3.231021910439391E-5</v>
      </c>
      <c r="X1143">
        <v>3.7102115212529504E-5</v>
      </c>
      <c r="Y1143">
        <v>3.749915598930909E-5</v>
      </c>
      <c r="Z1143">
        <v>5.4334951877548969E-5</v>
      </c>
    </row>
    <row r="1144" spans="3:26" x14ac:dyDescent="0.25">
      <c r="D1144" s="6" t="s">
        <v>69</v>
      </c>
      <c r="E1144" s="6" t="s">
        <v>385</v>
      </c>
      <c r="F1144" s="6" t="s">
        <v>382</v>
      </c>
      <c r="G1144" s="6" t="s">
        <v>367</v>
      </c>
      <c r="H1144" s="6" t="s">
        <v>383</v>
      </c>
      <c r="P1144" s="10" cm="1">
        <f t="array" ref="P1144">INDIRECT_EFFECT("oth","other_share","other_elasticity",0,"Rural","mean")</f>
        <v>1.450369462698269E-5</v>
      </c>
    </row>
    <row r="1145" spans="3:26" x14ac:dyDescent="0.25">
      <c r="D1145" s="6" t="s">
        <v>69</v>
      </c>
      <c r="E1145" s="6" t="s">
        <v>385</v>
      </c>
      <c r="F1145" s="6" t="s">
        <v>145</v>
      </c>
      <c r="G1145" s="6" t="s">
        <v>367</v>
      </c>
      <c r="H1145" s="6" t="s">
        <v>383</v>
      </c>
      <c r="Q1145" s="10" cm="1">
        <f t="array" ref="Q1145:Z1145">INDIRECT_EFFECT("oth","other_share","other_elasticity",DECILE_ARRAY,"Rural","mean")</f>
        <v>1.828280522235029E-5</v>
      </c>
      <c r="R1145">
        <v>5.5902370068971291E-6</v>
      </c>
      <c r="S1145">
        <v>1.3837126260179173E-5</v>
      </c>
      <c r="T1145">
        <v>1.0520758048952761E-5</v>
      </c>
      <c r="U1145">
        <v>1.4297090310047452E-5</v>
      </c>
      <c r="V1145">
        <v>1.7537352423054083E-5</v>
      </c>
      <c r="W1145">
        <v>2.1448138508394226E-5</v>
      </c>
      <c r="X1145">
        <v>1.8462315222104509E-5</v>
      </c>
      <c r="Y1145">
        <v>1.0939133272965729E-5</v>
      </c>
      <c r="Z1145">
        <v>2.3133799518173526E-5</v>
      </c>
    </row>
    <row r="1146" spans="3:26" x14ac:dyDescent="0.25">
      <c r="D1146" s="6" t="s">
        <v>72</v>
      </c>
      <c r="E1146" s="6" t="s">
        <v>381</v>
      </c>
      <c r="F1146" s="6" t="s">
        <v>382</v>
      </c>
      <c r="G1146" s="6" t="s">
        <v>367</v>
      </c>
      <c r="H1146" s="6" t="s">
        <v>383</v>
      </c>
      <c r="P1146" s="10" cm="1">
        <f t="array" ref="P1146">INDIRECT_EFFECT("oth","other_share","other_elasticity",0,"Overall","median")</f>
        <v>0</v>
      </c>
    </row>
    <row r="1147" spans="3:26" x14ac:dyDescent="0.25">
      <c r="D1147" s="6" t="s">
        <v>72</v>
      </c>
      <c r="E1147" s="6" t="s">
        <v>381</v>
      </c>
      <c r="F1147" s="6" t="s">
        <v>145</v>
      </c>
      <c r="G1147" s="6" t="s">
        <v>367</v>
      </c>
      <c r="H1147" s="6" t="s">
        <v>383</v>
      </c>
      <c r="Q1147" s="10" cm="1">
        <f t="array" ref="Q1147:Z1147">INDIRECT_EFFECT("oth","other_share","other_elasticity",DECILE_ARRAY,"Overall","median")</f>
        <v>0</v>
      </c>
      <c r="R1147">
        <v>0</v>
      </c>
      <c r="S1147">
        <v>0</v>
      </c>
      <c r="T1147">
        <v>0</v>
      </c>
      <c r="U1147">
        <v>0</v>
      </c>
      <c r="V1147">
        <v>0</v>
      </c>
      <c r="W1147">
        <v>0</v>
      </c>
      <c r="X1147">
        <v>0</v>
      </c>
      <c r="Y1147">
        <v>0</v>
      </c>
      <c r="Z1147">
        <v>0</v>
      </c>
    </row>
    <row r="1148" spans="3:26" x14ac:dyDescent="0.25">
      <c r="D1148" s="6" t="s">
        <v>72</v>
      </c>
      <c r="E1148" s="6" t="s">
        <v>384</v>
      </c>
      <c r="F1148" s="6" t="s">
        <v>382</v>
      </c>
      <c r="G1148" s="6" t="s">
        <v>367</v>
      </c>
      <c r="H1148" s="6" t="s">
        <v>383</v>
      </c>
      <c r="P1148" s="10" cm="1">
        <f t="array" ref="P1148">INDIRECT_EFFECT("oth","other_share","other_elasticity",0,"Urban","median")</f>
        <v>0</v>
      </c>
    </row>
    <row r="1149" spans="3:26" x14ac:dyDescent="0.25">
      <c r="D1149" s="6" t="s">
        <v>72</v>
      </c>
      <c r="E1149" s="6" t="s">
        <v>384</v>
      </c>
      <c r="F1149" s="6" t="s">
        <v>145</v>
      </c>
      <c r="G1149" s="6" t="s">
        <v>367</v>
      </c>
      <c r="H1149" s="6" t="s">
        <v>383</v>
      </c>
      <c r="Q1149" s="10" cm="1">
        <f t="array" ref="Q1149:Z1149">INDIRECT_EFFECT("oth","other_share","other_elasticity",DECILE_ARRAY,"Urban","median")</f>
        <v>0</v>
      </c>
      <c r="R1149">
        <v>0</v>
      </c>
      <c r="S1149">
        <v>0</v>
      </c>
      <c r="T1149">
        <v>0</v>
      </c>
      <c r="U1149">
        <v>0</v>
      </c>
      <c r="V1149">
        <v>0</v>
      </c>
      <c r="W1149">
        <v>0</v>
      </c>
      <c r="X1149">
        <v>0</v>
      </c>
      <c r="Y1149">
        <v>0</v>
      </c>
      <c r="Z1149">
        <v>0</v>
      </c>
    </row>
    <row r="1150" spans="3:26" x14ac:dyDescent="0.25">
      <c r="D1150" s="6" t="s">
        <v>72</v>
      </c>
      <c r="E1150" s="6" t="s">
        <v>385</v>
      </c>
      <c r="F1150" s="6" t="s">
        <v>382</v>
      </c>
      <c r="G1150" s="6" t="s">
        <v>367</v>
      </c>
      <c r="H1150" s="6" t="s">
        <v>383</v>
      </c>
      <c r="P1150" s="10" cm="1">
        <f t="array" ref="P1150">INDIRECT_EFFECT("oth","other_share","other_elasticity",0,"Rural","median")</f>
        <v>0</v>
      </c>
    </row>
    <row r="1151" spans="3:26" x14ac:dyDescent="0.25">
      <c r="D1151" s="6" t="s">
        <v>72</v>
      </c>
      <c r="E1151" s="6" t="s">
        <v>385</v>
      </c>
      <c r="F1151" s="6" t="s">
        <v>145</v>
      </c>
      <c r="G1151" s="6" t="s">
        <v>367</v>
      </c>
      <c r="H1151" s="6" t="s">
        <v>383</v>
      </c>
      <c r="Q1151" s="10" cm="1">
        <f t="array" ref="Q1151:Z1151">INDIRECT_EFFECT("oth","other_share","other_elasticity",DECILE_ARRAY,"Rural","median")</f>
        <v>0</v>
      </c>
      <c r="R1151">
        <v>0</v>
      </c>
      <c r="S1151">
        <v>0</v>
      </c>
      <c r="T1151">
        <v>0</v>
      </c>
      <c r="U1151">
        <v>0</v>
      </c>
      <c r="V1151">
        <v>0</v>
      </c>
      <c r="W1151">
        <v>0</v>
      </c>
      <c r="X1151">
        <v>0</v>
      </c>
      <c r="Y1151">
        <v>0</v>
      </c>
      <c r="Z1151">
        <v>0</v>
      </c>
    </row>
    <row r="1152" spans="3:26" x14ac:dyDescent="0.25">
      <c r="D1152" s="6" t="s">
        <v>75</v>
      </c>
      <c r="E1152" s="6" t="s">
        <v>381</v>
      </c>
      <c r="F1152" s="6" t="s">
        <v>382</v>
      </c>
      <c r="G1152" s="6" t="s">
        <v>367</v>
      </c>
      <c r="H1152" s="6" t="s">
        <v>383</v>
      </c>
      <c r="P1152" s="10" cm="1">
        <f t="array" ref="P1152">INDIRECT_EFFECT("oth","other_share","other_elasticity",0,"Overall","p25")</f>
        <v>0</v>
      </c>
    </row>
    <row r="1153" spans="3:26" x14ac:dyDescent="0.25">
      <c r="D1153" s="6" t="s">
        <v>75</v>
      </c>
      <c r="E1153" s="6" t="s">
        <v>381</v>
      </c>
      <c r="F1153" s="6" t="s">
        <v>145</v>
      </c>
      <c r="G1153" s="6" t="s">
        <v>367</v>
      </c>
      <c r="H1153" s="6" t="s">
        <v>383</v>
      </c>
      <c r="Q1153" s="10" cm="1">
        <f t="array" ref="Q1153:Z1153">INDIRECT_EFFECT("oth","other_share","other_elasticity",DECILE_ARRAY,"Overall","p25")</f>
        <v>0</v>
      </c>
      <c r="R1153">
        <v>0</v>
      </c>
      <c r="S1153">
        <v>0</v>
      </c>
      <c r="T1153">
        <v>0</v>
      </c>
      <c r="U1153">
        <v>0</v>
      </c>
      <c r="V1153">
        <v>0</v>
      </c>
      <c r="W1153">
        <v>0</v>
      </c>
      <c r="X1153">
        <v>0</v>
      </c>
      <c r="Y1153">
        <v>0</v>
      </c>
      <c r="Z1153">
        <v>0</v>
      </c>
    </row>
    <row r="1154" spans="3:26" x14ac:dyDescent="0.25">
      <c r="D1154" s="6" t="s">
        <v>75</v>
      </c>
      <c r="E1154" s="6" t="s">
        <v>384</v>
      </c>
      <c r="F1154" s="6" t="s">
        <v>382</v>
      </c>
      <c r="G1154" s="6" t="s">
        <v>367</v>
      </c>
      <c r="H1154" s="6" t="s">
        <v>383</v>
      </c>
      <c r="P1154" s="10" cm="1">
        <f t="array" ref="P1154">INDIRECT_EFFECT("oth","other_share","other_elasticity",0,"Urban","p25")</f>
        <v>0</v>
      </c>
    </row>
    <row r="1155" spans="3:26" x14ac:dyDescent="0.25">
      <c r="D1155" s="6" t="s">
        <v>75</v>
      </c>
      <c r="E1155" s="6" t="s">
        <v>384</v>
      </c>
      <c r="F1155" s="6" t="s">
        <v>145</v>
      </c>
      <c r="G1155" s="6" t="s">
        <v>367</v>
      </c>
      <c r="H1155" s="6" t="s">
        <v>383</v>
      </c>
      <c r="Q1155" s="10" cm="1">
        <f t="array" ref="Q1155:Z1155">INDIRECT_EFFECT("oth","other_share","other_elasticity",DECILE_ARRAY,"Urban","p25")</f>
        <v>0</v>
      </c>
      <c r="R1155">
        <v>0</v>
      </c>
      <c r="S1155">
        <v>0</v>
      </c>
      <c r="T1155">
        <v>0</v>
      </c>
      <c r="U1155">
        <v>0</v>
      </c>
      <c r="V1155">
        <v>0</v>
      </c>
      <c r="W1155">
        <v>0</v>
      </c>
      <c r="X1155">
        <v>0</v>
      </c>
      <c r="Y1155">
        <v>0</v>
      </c>
      <c r="Z1155">
        <v>0</v>
      </c>
    </row>
    <row r="1156" spans="3:26" x14ac:dyDescent="0.25">
      <c r="D1156" s="6" t="s">
        <v>75</v>
      </c>
      <c r="E1156" s="6" t="s">
        <v>385</v>
      </c>
      <c r="F1156" s="6" t="s">
        <v>382</v>
      </c>
      <c r="G1156" s="6" t="s">
        <v>367</v>
      </c>
      <c r="H1156" s="6" t="s">
        <v>383</v>
      </c>
      <c r="P1156" s="10" cm="1">
        <f t="array" ref="P1156">INDIRECT_EFFECT("oth","other_share","other_elasticity",0,"Rural","p25")</f>
        <v>0</v>
      </c>
    </row>
    <row r="1157" spans="3:26" x14ac:dyDescent="0.25">
      <c r="D1157" s="6" t="s">
        <v>75</v>
      </c>
      <c r="E1157" s="6" t="s">
        <v>385</v>
      </c>
      <c r="F1157" s="6" t="s">
        <v>145</v>
      </c>
      <c r="G1157" s="6" t="s">
        <v>367</v>
      </c>
      <c r="H1157" s="6" t="s">
        <v>383</v>
      </c>
      <c r="Q1157" s="10" cm="1">
        <f t="array" ref="Q1157:Z1157">INDIRECT_EFFECT("oth","other_share","other_elasticity",DECILE_ARRAY,"Rural","p25")</f>
        <v>0</v>
      </c>
      <c r="R1157">
        <v>0</v>
      </c>
      <c r="S1157">
        <v>0</v>
      </c>
      <c r="T1157">
        <v>0</v>
      </c>
      <c r="U1157">
        <v>0</v>
      </c>
      <c r="V1157">
        <v>0</v>
      </c>
      <c r="W1157">
        <v>0</v>
      </c>
      <c r="X1157">
        <v>0</v>
      </c>
      <c r="Y1157">
        <v>0</v>
      </c>
      <c r="Z1157">
        <v>0</v>
      </c>
    </row>
    <row r="1158" spans="3:26" x14ac:dyDescent="0.25">
      <c r="D1158" s="6" t="s">
        <v>78</v>
      </c>
      <c r="E1158" s="6" t="s">
        <v>381</v>
      </c>
      <c r="F1158" s="6" t="s">
        <v>382</v>
      </c>
      <c r="G1158" s="6" t="s">
        <v>367</v>
      </c>
      <c r="H1158" s="6" t="s">
        <v>383</v>
      </c>
      <c r="P1158" s="10" cm="1">
        <f t="array" ref="P1158">INDIRECT_EFFECT("oth","other_share","other_elasticity",0,"Overall","p75")</f>
        <v>0</v>
      </c>
    </row>
    <row r="1159" spans="3:26" x14ac:dyDescent="0.25">
      <c r="D1159" s="6" t="s">
        <v>78</v>
      </c>
      <c r="E1159" s="6" t="s">
        <v>381</v>
      </c>
      <c r="F1159" s="6" t="s">
        <v>145</v>
      </c>
      <c r="G1159" s="6" t="s">
        <v>367</v>
      </c>
      <c r="H1159" s="6" t="s">
        <v>383</v>
      </c>
      <c r="Q1159" s="10" cm="1">
        <f t="array" ref="Q1159:Z1159">INDIRECT_EFFECT("oth","other_share","other_elasticity",DECILE_ARRAY,"Overall","p75")</f>
        <v>0</v>
      </c>
      <c r="R1159">
        <v>0</v>
      </c>
      <c r="S1159">
        <v>0</v>
      </c>
      <c r="T1159">
        <v>0</v>
      </c>
      <c r="U1159">
        <v>0</v>
      </c>
      <c r="V1159">
        <v>0</v>
      </c>
      <c r="W1159">
        <v>0</v>
      </c>
      <c r="X1159">
        <v>0</v>
      </c>
      <c r="Y1159">
        <v>0</v>
      </c>
      <c r="Z1159">
        <v>0</v>
      </c>
    </row>
    <row r="1160" spans="3:26" x14ac:dyDescent="0.25">
      <c r="D1160" s="6" t="s">
        <v>78</v>
      </c>
      <c r="E1160" s="6" t="s">
        <v>384</v>
      </c>
      <c r="F1160" s="6" t="s">
        <v>382</v>
      </c>
      <c r="G1160" s="6" t="s">
        <v>367</v>
      </c>
      <c r="H1160" s="6" t="s">
        <v>383</v>
      </c>
      <c r="P1160" s="10" cm="1">
        <f t="array" ref="P1160">INDIRECT_EFFECT("oth","other_share","other_elasticity",0,"Urban","p75")</f>
        <v>0</v>
      </c>
    </row>
    <row r="1161" spans="3:26" x14ac:dyDescent="0.25">
      <c r="D1161" s="6" t="s">
        <v>78</v>
      </c>
      <c r="E1161" s="6" t="s">
        <v>384</v>
      </c>
      <c r="F1161" s="6" t="s">
        <v>145</v>
      </c>
      <c r="G1161" s="6" t="s">
        <v>367</v>
      </c>
      <c r="H1161" s="6" t="s">
        <v>383</v>
      </c>
      <c r="Q1161" s="10" cm="1">
        <f t="array" ref="Q1161:Z1161">INDIRECT_EFFECT("oth","other_share","other_elasticity",DECILE_ARRAY,"Urban","p75")</f>
        <v>0</v>
      </c>
      <c r="R1161">
        <v>0</v>
      </c>
      <c r="S1161">
        <v>0</v>
      </c>
      <c r="T1161">
        <v>0</v>
      </c>
      <c r="U1161">
        <v>0</v>
      </c>
      <c r="V1161">
        <v>0</v>
      </c>
      <c r="W1161">
        <v>0</v>
      </c>
      <c r="X1161">
        <v>0</v>
      </c>
      <c r="Y1161">
        <v>0</v>
      </c>
      <c r="Z1161">
        <v>0</v>
      </c>
    </row>
    <row r="1162" spans="3:26" x14ac:dyDescent="0.25">
      <c r="D1162" s="6" t="s">
        <v>78</v>
      </c>
      <c r="E1162" s="6" t="s">
        <v>385</v>
      </c>
      <c r="F1162" s="6" t="s">
        <v>382</v>
      </c>
      <c r="G1162" s="6" t="s">
        <v>367</v>
      </c>
      <c r="H1162" s="6" t="s">
        <v>383</v>
      </c>
      <c r="P1162" s="10" cm="1">
        <f t="array" ref="P1162">INDIRECT_EFFECT("oth","other_share","other_elasticity",0,"Rural","p75")</f>
        <v>0</v>
      </c>
    </row>
    <row r="1163" spans="3:26" x14ac:dyDescent="0.25">
      <c r="D1163" s="6" t="s">
        <v>78</v>
      </c>
      <c r="E1163" s="6" t="s">
        <v>385</v>
      </c>
      <c r="F1163" s="6" t="s">
        <v>145</v>
      </c>
      <c r="G1163" s="6" t="s">
        <v>367</v>
      </c>
      <c r="H1163" s="6" t="s">
        <v>383</v>
      </c>
      <c r="Q1163" s="10" cm="1">
        <f t="array" ref="Q1163:Z1163">INDIRECT_EFFECT("oth","other_share","other_elasticity",DECILE_ARRAY,"Rural","p75")</f>
        <v>0</v>
      </c>
      <c r="R1163">
        <v>0</v>
      </c>
      <c r="S1163">
        <v>0</v>
      </c>
      <c r="T1163">
        <v>0</v>
      </c>
      <c r="U1163">
        <v>0</v>
      </c>
      <c r="V1163">
        <v>0</v>
      </c>
      <c r="W1163">
        <v>0</v>
      </c>
      <c r="X1163">
        <v>0</v>
      </c>
      <c r="Y1163">
        <v>0</v>
      </c>
      <c r="Z1163">
        <v>0</v>
      </c>
    </row>
    <row r="1165" spans="3:26" x14ac:dyDescent="0.25">
      <c r="C1165" s="7" t="s">
        <v>438</v>
      </c>
      <c r="G1165" s="6" t="s">
        <v>369</v>
      </c>
      <c r="O1165" s="2" t="s">
        <v>331</v>
      </c>
      <c r="Q1165" s="2">
        <v>1</v>
      </c>
      <c r="R1165" s="2">
        <v>2</v>
      </c>
      <c r="S1165" s="2">
        <v>3</v>
      </c>
      <c r="T1165" s="2">
        <v>4</v>
      </c>
      <c r="U1165" s="2">
        <v>5</v>
      </c>
      <c r="V1165" s="2">
        <v>6</v>
      </c>
      <c r="W1165" s="2">
        <v>7</v>
      </c>
      <c r="X1165" s="2">
        <v>8</v>
      </c>
      <c r="Y1165" s="2">
        <v>9</v>
      </c>
      <c r="Z1165" s="2">
        <v>10</v>
      </c>
    </row>
    <row r="1166" spans="3:26" x14ac:dyDescent="0.25">
      <c r="D1166" s="6" t="s">
        <v>69</v>
      </c>
      <c r="E1166" s="6" t="s">
        <v>381</v>
      </c>
      <c r="F1166" s="6" t="s">
        <v>382</v>
      </c>
      <c r="G1166" s="6" t="s">
        <v>369</v>
      </c>
      <c r="H1166" s="6" t="s">
        <v>383</v>
      </c>
      <c r="P1166" s="10" cm="1">
        <f t="array" ref="P1166">INDIRECT_EFFECT("pap","paper_share","paper_elasticity",0,"Overall","mean")</f>
        <v>9.934889467650471E-3</v>
      </c>
    </row>
    <row r="1167" spans="3:26" x14ac:dyDescent="0.25">
      <c r="D1167" s="6" t="s">
        <v>69</v>
      </c>
      <c r="E1167" s="6" t="s">
        <v>381</v>
      </c>
      <c r="F1167" s="6" t="s">
        <v>145</v>
      </c>
      <c r="G1167" s="6" t="s">
        <v>369</v>
      </c>
      <c r="H1167" s="6" t="s">
        <v>383</v>
      </c>
      <c r="Q1167" s="10" cm="1">
        <f t="array" ref="Q1167:Z1167">INDIRECT_EFFECT("pap","paper_share","paper_elasticity",DECILE_ARRAY,"Overall","mean")</f>
        <v>1.3498124298385667E-2</v>
      </c>
      <c r="R1167">
        <v>1.3389629354435334E-2</v>
      </c>
      <c r="S1167">
        <v>1.3431064000892553E-2</v>
      </c>
      <c r="T1167">
        <v>1.2201326138749375E-2</v>
      </c>
      <c r="U1167">
        <v>1.2024241143143851E-2</v>
      </c>
      <c r="V1167">
        <v>1.1306243392545589E-2</v>
      </c>
      <c r="W1167">
        <v>1.0198412012405542E-2</v>
      </c>
      <c r="X1167">
        <v>7.8135245003597992E-3</v>
      </c>
      <c r="Y1167">
        <v>7.0316621155550848E-3</v>
      </c>
      <c r="Z1167">
        <v>5.0987420746141021E-3</v>
      </c>
    </row>
    <row r="1168" spans="3:26" x14ac:dyDescent="0.25">
      <c r="D1168" s="6" t="s">
        <v>69</v>
      </c>
      <c r="E1168" s="6" t="s">
        <v>384</v>
      </c>
      <c r="F1168" s="6" t="s">
        <v>382</v>
      </c>
      <c r="G1168" s="6" t="s">
        <v>369</v>
      </c>
      <c r="H1168" s="6" t="s">
        <v>383</v>
      </c>
      <c r="P1168" s="10" cm="1">
        <f t="array" ref="P1168">INDIRECT_EFFECT("pap","paper_share","paper_elasticity",0,"Urban","mean")</f>
        <v>1.1259891899251065E-2</v>
      </c>
    </row>
    <row r="1169" spans="4:26" x14ac:dyDescent="0.25">
      <c r="D1169" s="6" t="s">
        <v>69</v>
      </c>
      <c r="E1169" s="6" t="s">
        <v>384</v>
      </c>
      <c r="F1169" s="6" t="s">
        <v>145</v>
      </c>
      <c r="G1169" s="6" t="s">
        <v>369</v>
      </c>
      <c r="H1169" s="6" t="s">
        <v>383</v>
      </c>
      <c r="Q1169" s="10" cm="1">
        <f t="array" ref="Q1169:Z1169">INDIRECT_EFFECT("pap","paper_share","paper_elasticity",DECILE_ARRAY,"Urban","mean")</f>
        <v>1.600338715122529E-2</v>
      </c>
      <c r="R1169">
        <v>1.2784395666187186E-2</v>
      </c>
      <c r="S1169">
        <v>1.3874079933274641E-2</v>
      </c>
      <c r="T1169">
        <v>1.338392205997983E-2</v>
      </c>
      <c r="U1169">
        <v>1.2389717487397048E-2</v>
      </c>
      <c r="V1169">
        <v>1.0509668144875771E-2</v>
      </c>
      <c r="W1169">
        <v>9.2593968660919183E-3</v>
      </c>
      <c r="X1169">
        <v>8.5400044783020372E-3</v>
      </c>
      <c r="Y1169">
        <v>6.5136115358530398E-3</v>
      </c>
      <c r="Z1169">
        <v>5.4615709443735366E-3</v>
      </c>
    </row>
    <row r="1170" spans="4:26" x14ac:dyDescent="0.25">
      <c r="D1170" s="6" t="s">
        <v>69</v>
      </c>
      <c r="E1170" s="6" t="s">
        <v>385</v>
      </c>
      <c r="F1170" s="6" t="s">
        <v>382</v>
      </c>
      <c r="G1170" s="6" t="s">
        <v>369</v>
      </c>
      <c r="H1170" s="6" t="s">
        <v>383</v>
      </c>
      <c r="P1170" s="10" cm="1">
        <f t="array" ref="P1170">INDIRECT_EFFECT("pap","paper_share","paper_elasticity",0,"Rural","mean")</f>
        <v>1.0467179566334127E-2</v>
      </c>
    </row>
    <row r="1171" spans="4:26" x14ac:dyDescent="0.25">
      <c r="D1171" s="6" t="s">
        <v>69</v>
      </c>
      <c r="E1171" s="6" t="s">
        <v>385</v>
      </c>
      <c r="F1171" s="6" t="s">
        <v>145</v>
      </c>
      <c r="G1171" s="6" t="s">
        <v>369</v>
      </c>
      <c r="H1171" s="6" t="s">
        <v>383</v>
      </c>
      <c r="Q1171" s="10" cm="1">
        <f t="array" ref="Q1171:Z1171">INDIRECT_EFFECT("pap","paper_share","paper_elasticity",DECILE_ARRAY,"Rural","mean")</f>
        <v>1.2399687423227865E-2</v>
      </c>
      <c r="R1171">
        <v>1.3184447903877631E-2</v>
      </c>
      <c r="S1171">
        <v>1.193671077642831E-2</v>
      </c>
      <c r="T1171">
        <v>1.2510985442872756E-2</v>
      </c>
      <c r="U1171">
        <v>1.2338337277953394E-2</v>
      </c>
      <c r="V1171">
        <v>1.1768824819605228E-2</v>
      </c>
      <c r="W1171">
        <v>9.3983252716418851E-3</v>
      </c>
      <c r="X1171">
        <v>8.4460692653683372E-3</v>
      </c>
      <c r="Y1171">
        <v>6.9121993686010368E-3</v>
      </c>
      <c r="Z1171">
        <v>4.0188771628236943E-3</v>
      </c>
    </row>
    <row r="1172" spans="4:26" x14ac:dyDescent="0.25">
      <c r="D1172" s="6" t="s">
        <v>72</v>
      </c>
      <c r="E1172" s="6" t="s">
        <v>381</v>
      </c>
      <c r="F1172" s="6" t="s">
        <v>382</v>
      </c>
      <c r="G1172" s="6" t="s">
        <v>369</v>
      </c>
      <c r="H1172" s="6" t="s">
        <v>383</v>
      </c>
      <c r="P1172" s="10" cm="1">
        <f t="array" ref="P1172">INDIRECT_EFFECT("pap","paper_share","paper_elasticity",0,"Overall","median")</f>
        <v>8.1034327256777599E-3</v>
      </c>
    </row>
    <row r="1173" spans="4:26" x14ac:dyDescent="0.25">
      <c r="D1173" s="6" t="s">
        <v>72</v>
      </c>
      <c r="E1173" s="6" t="s">
        <v>381</v>
      </c>
      <c r="F1173" s="6" t="s">
        <v>145</v>
      </c>
      <c r="G1173" s="6" t="s">
        <v>369</v>
      </c>
      <c r="H1173" s="6" t="s">
        <v>383</v>
      </c>
      <c r="Q1173" s="10" cm="1">
        <f t="array" ref="Q1173:Z1173">INDIRECT_EFFECT("pap","paper_share","paper_elasticity",DECILE_ARRAY,"Overall","median")</f>
        <v>1.0401211306056793E-2</v>
      </c>
      <c r="R1173">
        <v>1.0940861212518775E-2</v>
      </c>
      <c r="S1173">
        <v>1.1619878969030639E-2</v>
      </c>
      <c r="T1173">
        <v>9.6852212555513535E-3</v>
      </c>
      <c r="U1173">
        <v>1.1312089152838678E-2</v>
      </c>
      <c r="V1173">
        <v>8.7942513649928739E-3</v>
      </c>
      <c r="W1173">
        <v>7.2118509283378871E-3</v>
      </c>
      <c r="X1173">
        <v>4.7831670282077691E-3</v>
      </c>
      <c r="Y1173">
        <v>3.7461858291611807E-3</v>
      </c>
      <c r="Z1173">
        <v>2.5282226185365554E-3</v>
      </c>
    </row>
    <row r="1174" spans="4:26" x14ac:dyDescent="0.25">
      <c r="D1174" s="6" t="s">
        <v>72</v>
      </c>
      <c r="E1174" s="6" t="s">
        <v>384</v>
      </c>
      <c r="F1174" s="6" t="s">
        <v>382</v>
      </c>
      <c r="G1174" s="6" t="s">
        <v>369</v>
      </c>
      <c r="H1174" s="6" t="s">
        <v>383</v>
      </c>
      <c r="P1174" s="10" cm="1">
        <f t="array" ref="P1174">INDIRECT_EFFECT("pap","paper_share","paper_elasticity",0,"Urban","median")</f>
        <v>8.1885230873514018E-3</v>
      </c>
    </row>
    <row r="1175" spans="4:26" x14ac:dyDescent="0.25">
      <c r="D1175" s="6" t="s">
        <v>72</v>
      </c>
      <c r="E1175" s="6" t="s">
        <v>384</v>
      </c>
      <c r="F1175" s="6" t="s">
        <v>145</v>
      </c>
      <c r="G1175" s="6" t="s">
        <v>369</v>
      </c>
      <c r="H1175" s="6" t="s">
        <v>383</v>
      </c>
      <c r="Q1175" s="10" cm="1">
        <f t="array" ref="Q1175:Z1175">INDIRECT_EFFECT("pap","paper_share","paper_elasticity",DECILE_ARRAY,"Urban","median")</f>
        <v>1.162128811327108E-2</v>
      </c>
      <c r="R1175">
        <v>1.1891746753826192E-2</v>
      </c>
      <c r="S1175">
        <v>1.0644002042578038E-2</v>
      </c>
      <c r="T1175">
        <v>1.0253034782801332E-2</v>
      </c>
      <c r="U1175">
        <v>9.4128245779853698E-3</v>
      </c>
      <c r="V1175">
        <v>8.5428652197844374E-3</v>
      </c>
      <c r="W1175">
        <v>6.7321386862575191E-3</v>
      </c>
      <c r="X1175">
        <v>5.1142791987479055E-3</v>
      </c>
      <c r="Y1175">
        <v>4.4060243189814816E-3</v>
      </c>
      <c r="Z1175">
        <v>2.9827474461741623E-3</v>
      </c>
    </row>
    <row r="1176" spans="4:26" x14ac:dyDescent="0.25">
      <c r="D1176" s="6" t="s">
        <v>72</v>
      </c>
      <c r="E1176" s="6" t="s">
        <v>385</v>
      </c>
      <c r="F1176" s="6" t="s">
        <v>382</v>
      </c>
      <c r="G1176" s="6" t="s">
        <v>369</v>
      </c>
      <c r="H1176" s="6" t="s">
        <v>383</v>
      </c>
      <c r="P1176" s="10" cm="1">
        <f t="array" ref="P1176">INDIRECT_EFFECT("pap","paper_share","paper_elasticity",0,"Rural","median")</f>
        <v>8.5140404293995806E-3</v>
      </c>
    </row>
    <row r="1177" spans="4:26" x14ac:dyDescent="0.25">
      <c r="D1177" s="6" t="s">
        <v>72</v>
      </c>
      <c r="E1177" s="6" t="s">
        <v>385</v>
      </c>
      <c r="F1177" s="6" t="s">
        <v>145</v>
      </c>
      <c r="G1177" s="6" t="s">
        <v>369</v>
      </c>
      <c r="H1177" s="6" t="s">
        <v>383</v>
      </c>
      <c r="Q1177" s="10" cm="1">
        <f t="array" ref="Q1177:Z1177">INDIRECT_EFFECT("pap","paper_share","paper_elasticity",DECILE_ARRAY,"Rural","median")</f>
        <v>9.7242028733023848E-3</v>
      </c>
      <c r="R1177">
        <v>9.7851872417739939E-3</v>
      </c>
      <c r="S1177">
        <v>1.1247323582720771E-2</v>
      </c>
      <c r="T1177">
        <v>1.0452467019597818E-2</v>
      </c>
      <c r="U1177">
        <v>1.0166787305017841E-2</v>
      </c>
      <c r="V1177">
        <v>1.0915566923637602E-2</v>
      </c>
      <c r="W1177">
        <v>8.0144546516269823E-3</v>
      </c>
      <c r="X1177">
        <v>5.3480530516314293E-3</v>
      </c>
      <c r="Y1177">
        <v>3.1405193131059895E-3</v>
      </c>
      <c r="Z1177">
        <v>1.9196544324797272E-3</v>
      </c>
    </row>
    <row r="1178" spans="4:26" x14ac:dyDescent="0.25">
      <c r="D1178" s="6" t="s">
        <v>75</v>
      </c>
      <c r="E1178" s="6" t="s">
        <v>381</v>
      </c>
      <c r="F1178" s="6" t="s">
        <v>382</v>
      </c>
      <c r="G1178" s="6" t="s">
        <v>369</v>
      </c>
      <c r="H1178" s="6" t="s">
        <v>383</v>
      </c>
      <c r="P1178" s="10" cm="1">
        <f t="array" ref="P1178">INDIRECT_EFFECT("pap","paper_share","paper_elasticity",0,"Overall","p25")</f>
        <v>2.8245587363148858E-3</v>
      </c>
    </row>
    <row r="1179" spans="4:26" x14ac:dyDescent="0.25">
      <c r="D1179" s="6" t="s">
        <v>75</v>
      </c>
      <c r="E1179" s="6" t="s">
        <v>381</v>
      </c>
      <c r="F1179" s="6" t="s">
        <v>145</v>
      </c>
      <c r="G1179" s="6" t="s">
        <v>369</v>
      </c>
      <c r="H1179" s="6" t="s">
        <v>383</v>
      </c>
      <c r="Q1179" s="10" cm="1">
        <f t="array" ref="Q1179:Z1179">INDIRECT_EFFECT("pap","paper_share","paper_elasticity",DECILE_ARRAY,"Overall","p25")</f>
        <v>6.2565794290199202E-3</v>
      </c>
      <c r="R1179">
        <v>5.8783395897331944E-3</v>
      </c>
      <c r="S1179">
        <v>5.6567888993294497E-3</v>
      </c>
      <c r="T1179">
        <v>4.7676475346740861E-3</v>
      </c>
      <c r="U1179">
        <v>4.289246467086354E-3</v>
      </c>
      <c r="V1179">
        <v>3.6389133391410027E-3</v>
      </c>
      <c r="W1179">
        <v>2.2060339269733479E-3</v>
      </c>
      <c r="X1179">
        <v>1.5994043476371751E-3</v>
      </c>
      <c r="Y1179">
        <v>1.1293940297648747E-3</v>
      </c>
      <c r="Z1179">
        <v>8.7637430096342461E-4</v>
      </c>
    </row>
    <row r="1180" spans="4:26" x14ac:dyDescent="0.25">
      <c r="D1180" s="6" t="s">
        <v>75</v>
      </c>
      <c r="E1180" s="6" t="s">
        <v>384</v>
      </c>
      <c r="F1180" s="6" t="s">
        <v>382</v>
      </c>
      <c r="G1180" s="6" t="s">
        <v>369</v>
      </c>
      <c r="H1180" s="6" t="s">
        <v>383</v>
      </c>
      <c r="P1180" s="10" cm="1">
        <f t="array" ref="P1180">INDIRECT_EFFECT("pap","paper_share","paper_elasticity",0,"Urban","p25")</f>
        <v>2.9021220662415552E-3</v>
      </c>
    </row>
    <row r="1181" spans="4:26" x14ac:dyDescent="0.25">
      <c r="D1181" s="6" t="s">
        <v>75</v>
      </c>
      <c r="E1181" s="6" t="s">
        <v>384</v>
      </c>
      <c r="F1181" s="6" t="s">
        <v>145</v>
      </c>
      <c r="G1181" s="6" t="s">
        <v>369</v>
      </c>
      <c r="H1181" s="6" t="s">
        <v>383</v>
      </c>
      <c r="Q1181" s="10" cm="1">
        <f t="array" ref="Q1181:Z1181">INDIRECT_EFFECT("pap","paper_share","paper_elasticity",DECILE_ARRAY,"Urban","p25")</f>
        <v>6.9501153121225619E-3</v>
      </c>
      <c r="R1181">
        <v>6.2414656508110195E-3</v>
      </c>
      <c r="S1181">
        <v>6.1777235651575739E-3</v>
      </c>
      <c r="T1181">
        <v>4.78826059294274E-3</v>
      </c>
      <c r="U1181">
        <v>4.318839000630458E-3</v>
      </c>
      <c r="V1181">
        <v>3.1238075794600261E-3</v>
      </c>
      <c r="W1181">
        <v>2.5663727858220861E-3</v>
      </c>
      <c r="X1181">
        <v>1.8984287820654033E-3</v>
      </c>
      <c r="Y1181">
        <v>1.5929721010725932E-3</v>
      </c>
      <c r="Z1181">
        <v>1.2309415450725198E-3</v>
      </c>
    </row>
    <row r="1182" spans="4:26" x14ac:dyDescent="0.25">
      <c r="D1182" s="6" t="s">
        <v>75</v>
      </c>
      <c r="E1182" s="6" t="s">
        <v>385</v>
      </c>
      <c r="F1182" s="6" t="s">
        <v>382</v>
      </c>
      <c r="G1182" s="6" t="s">
        <v>369</v>
      </c>
      <c r="H1182" s="6" t="s">
        <v>383</v>
      </c>
      <c r="P1182" s="10" cm="1">
        <f t="array" ref="P1182">INDIRECT_EFFECT("pap","paper_share","paper_elasticity",0,"Rural","p25")</f>
        <v>2.8712380664142646E-3</v>
      </c>
    </row>
    <row r="1183" spans="4:26" x14ac:dyDescent="0.25">
      <c r="D1183" s="6" t="s">
        <v>75</v>
      </c>
      <c r="E1183" s="6" t="s">
        <v>385</v>
      </c>
      <c r="F1183" s="6" t="s">
        <v>145</v>
      </c>
      <c r="G1183" s="6" t="s">
        <v>369</v>
      </c>
      <c r="H1183" s="6" t="s">
        <v>383</v>
      </c>
      <c r="Q1183" s="10" cm="1">
        <f t="array" ref="Q1183:Z1183">INDIRECT_EFFECT("pap","paper_share","paper_elasticity",DECILE_ARRAY,"Rural","p25")</f>
        <v>5.275626455692589E-3</v>
      </c>
      <c r="R1183">
        <v>6.4702850108853405E-3</v>
      </c>
      <c r="S1183">
        <v>5.1035619139806277E-3</v>
      </c>
      <c r="T1183">
        <v>5.3841424673424926E-3</v>
      </c>
      <c r="U1183">
        <v>4.5056530503959514E-3</v>
      </c>
      <c r="V1183">
        <v>3.5649622511960753E-3</v>
      </c>
      <c r="W1183">
        <v>2.36282282137867E-3</v>
      </c>
      <c r="X1183">
        <v>1.4227001040403968E-3</v>
      </c>
      <c r="Y1183">
        <v>7.6578934660633631E-4</v>
      </c>
      <c r="Z1183">
        <v>5.4790953884936136E-4</v>
      </c>
    </row>
    <row r="1184" spans="4:26" x14ac:dyDescent="0.25">
      <c r="D1184" s="6" t="s">
        <v>78</v>
      </c>
      <c r="E1184" s="6" t="s">
        <v>381</v>
      </c>
      <c r="F1184" s="6" t="s">
        <v>382</v>
      </c>
      <c r="G1184" s="6" t="s">
        <v>369</v>
      </c>
      <c r="H1184" s="6" t="s">
        <v>383</v>
      </c>
      <c r="P1184" s="10" cm="1">
        <f t="array" ref="P1184">INDIRECT_EFFECT("pap","paper_share","paper_elasticity",0,"Overall","p75")</f>
        <v>1.4205342181405048E-2</v>
      </c>
    </row>
    <row r="1185" spans="3:26" x14ac:dyDescent="0.25">
      <c r="D1185" s="6" t="s">
        <v>78</v>
      </c>
      <c r="E1185" s="6" t="s">
        <v>381</v>
      </c>
      <c r="F1185" s="6" t="s">
        <v>145</v>
      </c>
      <c r="G1185" s="6" t="s">
        <v>369</v>
      </c>
      <c r="H1185" s="6" t="s">
        <v>383</v>
      </c>
      <c r="Q1185" s="10" cm="1">
        <f t="array" ref="Q1185:Z1185">INDIRECT_EFFECT("pap","paper_share","paper_elasticity",DECILE_ARRAY,"Overall","p75")</f>
        <v>1.813396105793276E-2</v>
      </c>
      <c r="R1185">
        <v>1.8496054749764408E-2</v>
      </c>
      <c r="S1185">
        <v>1.9341638854089665E-2</v>
      </c>
      <c r="T1185">
        <v>1.7295988884938843E-2</v>
      </c>
      <c r="U1185">
        <v>1.6790843626558808E-2</v>
      </c>
      <c r="V1185">
        <v>1.7027620940109296E-2</v>
      </c>
      <c r="W1185">
        <v>1.5146910264997914E-2</v>
      </c>
      <c r="X1185">
        <v>1.2873019072826456E-2</v>
      </c>
      <c r="Y1185">
        <v>9.1539340774862057E-3</v>
      </c>
      <c r="Z1185">
        <v>5.7907989608059875E-3</v>
      </c>
    </row>
    <row r="1186" spans="3:26" x14ac:dyDescent="0.25">
      <c r="D1186" s="6" t="s">
        <v>78</v>
      </c>
      <c r="E1186" s="6" t="s">
        <v>384</v>
      </c>
      <c r="F1186" s="6" t="s">
        <v>382</v>
      </c>
      <c r="G1186" s="6" t="s">
        <v>369</v>
      </c>
      <c r="H1186" s="6" t="s">
        <v>383</v>
      </c>
      <c r="P1186" s="10" cm="1">
        <f t="array" ref="P1186">INDIRECT_EFFECT("pap","paper_share","paper_elasticity",0,"Urban","p75")</f>
        <v>1.4646716536566642E-2</v>
      </c>
    </row>
    <row r="1187" spans="3:26" x14ac:dyDescent="0.25">
      <c r="D1187" s="6" t="s">
        <v>78</v>
      </c>
      <c r="E1187" s="6" t="s">
        <v>384</v>
      </c>
      <c r="F1187" s="6" t="s">
        <v>145</v>
      </c>
      <c r="G1187" s="6" t="s">
        <v>369</v>
      </c>
      <c r="H1187" s="6" t="s">
        <v>383</v>
      </c>
      <c r="Q1187" s="10" cm="1">
        <f t="array" ref="Q1187:Z1187">INDIRECT_EFFECT("pap","paper_share","paper_elasticity",DECILE_ARRAY,"Urban","p75")</f>
        <v>2.0619876715322952E-2</v>
      </c>
      <c r="R1187">
        <v>1.7812018801624585E-2</v>
      </c>
      <c r="S1187">
        <v>1.9096599763190267E-2</v>
      </c>
      <c r="T1187">
        <v>2.0087429418254307E-2</v>
      </c>
      <c r="U1187">
        <v>1.7806086803144414E-2</v>
      </c>
      <c r="V1187">
        <v>1.6876585671542575E-2</v>
      </c>
      <c r="W1187">
        <v>1.3865327202567538E-2</v>
      </c>
      <c r="X1187">
        <v>1.2211787256581614E-2</v>
      </c>
      <c r="Y1187">
        <v>9.7748511145710603E-3</v>
      </c>
      <c r="Z1187">
        <v>6.1602333316417082E-3</v>
      </c>
    </row>
    <row r="1188" spans="3:26" x14ac:dyDescent="0.25">
      <c r="D1188" s="6" t="s">
        <v>78</v>
      </c>
      <c r="E1188" s="6" t="s">
        <v>385</v>
      </c>
      <c r="F1188" s="6" t="s">
        <v>382</v>
      </c>
      <c r="G1188" s="6" t="s">
        <v>369</v>
      </c>
      <c r="H1188" s="6" t="s">
        <v>383</v>
      </c>
      <c r="P1188" s="10" cm="1">
        <f t="array" ref="P1188">INDIRECT_EFFECT("pap","paper_share","paper_elasticity",0,"Rural","p75")</f>
        <v>1.5786123965461592E-2</v>
      </c>
    </row>
    <row r="1189" spans="3:26" x14ac:dyDescent="0.25">
      <c r="D1189" s="6" t="s">
        <v>78</v>
      </c>
      <c r="E1189" s="6" t="s">
        <v>385</v>
      </c>
      <c r="F1189" s="6" t="s">
        <v>145</v>
      </c>
      <c r="G1189" s="6" t="s">
        <v>369</v>
      </c>
      <c r="H1189" s="6" t="s">
        <v>383</v>
      </c>
      <c r="Q1189" s="10" cm="1">
        <f t="array" ref="Q1189:Z1189">INDIRECT_EFFECT("pap","paper_share","paper_elasticity",DECILE_ARRAY,"Rural","p75")</f>
        <v>1.5957496419962237E-2</v>
      </c>
      <c r="R1189">
        <v>1.6632081400644004E-2</v>
      </c>
      <c r="S1189">
        <v>1.7268038017175087E-2</v>
      </c>
      <c r="T1189">
        <v>1.6491385968692197E-2</v>
      </c>
      <c r="U1189">
        <v>1.6063325914057309E-2</v>
      </c>
      <c r="V1189">
        <v>1.6283593227436794E-2</v>
      </c>
      <c r="W1189">
        <v>1.5481025459371717E-2</v>
      </c>
      <c r="X1189">
        <v>1.4332977639216742E-2</v>
      </c>
      <c r="Y1189">
        <v>1.1091217400497245E-2</v>
      </c>
      <c r="Z1189">
        <v>4.3638951247176837E-3</v>
      </c>
    </row>
    <row r="1191" spans="3:26" x14ac:dyDescent="0.25">
      <c r="C1191" s="7" t="s">
        <v>439</v>
      </c>
      <c r="G1191" s="6" t="s">
        <v>371</v>
      </c>
      <c r="O1191" s="2" t="s">
        <v>331</v>
      </c>
      <c r="Q1191" s="2">
        <v>1</v>
      </c>
      <c r="R1191" s="2">
        <v>2</v>
      </c>
      <c r="S1191" s="2">
        <v>3</v>
      </c>
      <c r="T1191" s="2">
        <v>4</v>
      </c>
      <c r="U1191" s="2">
        <v>5</v>
      </c>
      <c r="V1191" s="2">
        <v>6</v>
      </c>
      <c r="W1191" s="2">
        <v>7</v>
      </c>
      <c r="X1191" s="2">
        <v>8</v>
      </c>
      <c r="Y1191" s="2">
        <v>9</v>
      </c>
      <c r="Z1191" s="2">
        <v>10</v>
      </c>
    </row>
    <row r="1192" spans="3:26" x14ac:dyDescent="0.25">
      <c r="D1192" s="6" t="s">
        <v>69</v>
      </c>
      <c r="E1192" s="6" t="s">
        <v>381</v>
      </c>
      <c r="F1192" s="6" t="s">
        <v>382</v>
      </c>
      <c r="G1192" s="6" t="s">
        <v>371</v>
      </c>
      <c r="H1192" s="6" t="s">
        <v>383</v>
      </c>
      <c r="P1192" s="10" cm="1">
        <f t="array" ref="P1192">INDIRECT_EFFECT("pha","pharma_share","pharma_elasticity",0,"Overall","mean")</f>
        <v>6.6960155889097567E-2</v>
      </c>
    </row>
    <row r="1193" spans="3:26" x14ac:dyDescent="0.25">
      <c r="D1193" s="6" t="s">
        <v>69</v>
      </c>
      <c r="E1193" s="6" t="s">
        <v>381</v>
      </c>
      <c r="F1193" s="6" t="s">
        <v>145</v>
      </c>
      <c r="G1193" s="6" t="s">
        <v>371</v>
      </c>
      <c r="H1193" s="6" t="s">
        <v>383</v>
      </c>
      <c r="Q1193" s="10" cm="1">
        <f t="array" ref="Q1193:Z1193">INDIRECT_EFFECT("pha","pharma_share","pharma_elasticity",DECILE_ARRAY,"Overall","mean")</f>
        <v>4.7509705285611444E-2</v>
      </c>
      <c r="R1193">
        <v>4.6344736577720161E-2</v>
      </c>
      <c r="S1193">
        <v>4.7114221248976372E-2</v>
      </c>
      <c r="T1193">
        <v>4.9712672731285962E-2</v>
      </c>
      <c r="U1193">
        <v>5.6611965542220977E-2</v>
      </c>
      <c r="V1193">
        <v>6.3664038211494994E-2</v>
      </c>
      <c r="W1193">
        <v>6.2586287557133288E-2</v>
      </c>
      <c r="X1193">
        <v>7.9774070729406635E-2</v>
      </c>
      <c r="Y1193">
        <v>8.0971726633719085E-2</v>
      </c>
      <c r="Z1193">
        <v>9.876184546130716E-2</v>
      </c>
    </row>
    <row r="1194" spans="3:26" x14ac:dyDescent="0.25">
      <c r="D1194" s="6" t="s">
        <v>69</v>
      </c>
      <c r="E1194" s="6" t="s">
        <v>384</v>
      </c>
      <c r="F1194" s="6" t="s">
        <v>382</v>
      </c>
      <c r="G1194" s="6" t="s">
        <v>371</v>
      </c>
      <c r="H1194" s="6" t="s">
        <v>383</v>
      </c>
      <c r="P1194" s="10" cm="1">
        <f t="array" ref="P1194">INDIRECT_EFFECT("pha","pharma_share","pharma_elasticity",0,"Urban","mean")</f>
        <v>6.3988661818617967E-2</v>
      </c>
    </row>
    <row r="1195" spans="3:26" x14ac:dyDescent="0.25">
      <c r="D1195" s="6" t="s">
        <v>69</v>
      </c>
      <c r="E1195" s="6" t="s">
        <v>384</v>
      </c>
      <c r="F1195" s="6" t="s">
        <v>145</v>
      </c>
      <c r="G1195" s="6" t="s">
        <v>371</v>
      </c>
      <c r="H1195" s="6" t="s">
        <v>383</v>
      </c>
      <c r="Q1195" s="10" cm="1">
        <f t="array" ref="Q1195:Z1195">INDIRECT_EFFECT("pha","pharma_share","pharma_elasticity",DECILE_ARRAY,"Urban","mean")</f>
        <v>5.0070204324108067E-2</v>
      </c>
      <c r="R1195">
        <v>5.0053253504064844E-2</v>
      </c>
      <c r="S1195">
        <v>5.2365843913771339E-2</v>
      </c>
      <c r="T1195">
        <v>5.5943233171349749E-2</v>
      </c>
      <c r="U1195">
        <v>5.7175788856562458E-2</v>
      </c>
      <c r="V1195">
        <v>5.7978904265777502E-2</v>
      </c>
      <c r="W1195">
        <v>7.0323889935810097E-2</v>
      </c>
      <c r="X1195">
        <v>7.2449250616540006E-2</v>
      </c>
      <c r="Y1195">
        <v>8.7074007316363722E-2</v>
      </c>
      <c r="Z1195">
        <v>9.7066956904734603E-2</v>
      </c>
    </row>
    <row r="1196" spans="3:26" x14ac:dyDescent="0.25">
      <c r="D1196" s="6" t="s">
        <v>69</v>
      </c>
      <c r="E1196" s="6" t="s">
        <v>385</v>
      </c>
      <c r="F1196" s="6" t="s">
        <v>382</v>
      </c>
      <c r="G1196" s="6" t="s">
        <v>371</v>
      </c>
      <c r="H1196" s="6" t="s">
        <v>383</v>
      </c>
      <c r="P1196" s="10" cm="1">
        <f t="array" ref="P1196">INDIRECT_EFFECT("pha","pharma_share","pharma_elasticity",0,"Rural","mean")</f>
        <v>6.0427631055642188E-2</v>
      </c>
    </row>
    <row r="1197" spans="3:26" x14ac:dyDescent="0.25">
      <c r="D1197" s="6" t="s">
        <v>69</v>
      </c>
      <c r="E1197" s="6" t="s">
        <v>385</v>
      </c>
      <c r="F1197" s="6" t="s">
        <v>145</v>
      </c>
      <c r="G1197" s="6" t="s">
        <v>371</v>
      </c>
      <c r="H1197" s="6" t="s">
        <v>383</v>
      </c>
      <c r="Q1197" s="10" cm="1">
        <f t="array" ref="Q1197:Z1197">INDIRECT_EFFECT("pha","pharma_share","pharma_elasticity",DECILE_ARRAY,"Rural","mean")</f>
        <v>4.9072687375912014E-2</v>
      </c>
      <c r="R1197">
        <v>4.5218572260473461E-2</v>
      </c>
      <c r="S1197">
        <v>4.6435295981874514E-2</v>
      </c>
      <c r="T1197">
        <v>5.1908802087654804E-2</v>
      </c>
      <c r="U1197">
        <v>5.3949541243266501E-2</v>
      </c>
      <c r="V1197">
        <v>5.4761789976195949E-2</v>
      </c>
      <c r="W1197">
        <v>6.5167345344856839E-2</v>
      </c>
      <c r="X1197">
        <v>6.6407530418049907E-2</v>
      </c>
      <c r="Y1197">
        <v>8.6753307381967876E-2</v>
      </c>
      <c r="Z1197">
        <v>0.11309992076340547</v>
      </c>
    </row>
    <row r="1198" spans="3:26" x14ac:dyDescent="0.25">
      <c r="D1198" s="6" t="s">
        <v>72</v>
      </c>
      <c r="E1198" s="6" t="s">
        <v>381</v>
      </c>
      <c r="F1198" s="6" t="s">
        <v>382</v>
      </c>
      <c r="G1198" s="6" t="s">
        <v>371</v>
      </c>
      <c r="H1198" s="6" t="s">
        <v>383</v>
      </c>
      <c r="P1198" s="10" cm="1">
        <f t="array" ref="P1198">INDIRECT_EFFECT("pha","pharma_share","pharma_elasticity",0,"Overall","median")</f>
        <v>4.3112823353933863E-2</v>
      </c>
    </row>
    <row r="1199" spans="3:26" x14ac:dyDescent="0.25">
      <c r="D1199" s="6" t="s">
        <v>72</v>
      </c>
      <c r="E1199" s="6" t="s">
        <v>381</v>
      </c>
      <c r="F1199" s="6" t="s">
        <v>145</v>
      </c>
      <c r="G1199" s="6" t="s">
        <v>371</v>
      </c>
      <c r="H1199" s="6" t="s">
        <v>383</v>
      </c>
      <c r="Q1199" s="10" cm="1">
        <f t="array" ref="Q1199:Z1199">INDIRECT_EFFECT("pha","pharma_share","pharma_elasticity",DECILE_ARRAY,"Overall","median")</f>
        <v>3.1104109835331337E-2</v>
      </c>
      <c r="R1199">
        <v>3.322883293011844E-2</v>
      </c>
      <c r="S1199">
        <v>3.3492681511193188E-2</v>
      </c>
      <c r="T1199">
        <v>3.5416399925360088E-2</v>
      </c>
      <c r="U1199">
        <v>4.0544835020113384E-2</v>
      </c>
      <c r="V1199">
        <v>4.0745125055258562E-2</v>
      </c>
      <c r="W1199">
        <v>4.6823393479370333E-2</v>
      </c>
      <c r="X1199">
        <v>5.3815127460519967E-2</v>
      </c>
      <c r="Y1199">
        <v>6.3610235562252176E-2</v>
      </c>
      <c r="Z1199">
        <v>7.0089441681404602E-2</v>
      </c>
    </row>
    <row r="1200" spans="3:26" x14ac:dyDescent="0.25">
      <c r="D1200" s="6" t="s">
        <v>72</v>
      </c>
      <c r="E1200" s="6" t="s">
        <v>384</v>
      </c>
      <c r="F1200" s="6" t="s">
        <v>382</v>
      </c>
      <c r="G1200" s="6" t="s">
        <v>371</v>
      </c>
      <c r="H1200" s="6" t="s">
        <v>383</v>
      </c>
      <c r="P1200" s="10" cm="1">
        <f t="array" ref="P1200">INDIRECT_EFFECT("pha","pharma_share","pharma_elasticity",0,"Urban","median")</f>
        <v>4.3252453051531706E-2</v>
      </c>
    </row>
    <row r="1201" spans="4:26" x14ac:dyDescent="0.25">
      <c r="D1201" s="6" t="s">
        <v>72</v>
      </c>
      <c r="E1201" s="6" t="s">
        <v>384</v>
      </c>
      <c r="F1201" s="6" t="s">
        <v>145</v>
      </c>
      <c r="G1201" s="6" t="s">
        <v>371</v>
      </c>
      <c r="H1201" s="6" t="s">
        <v>383</v>
      </c>
      <c r="Q1201" s="10" cm="1">
        <f t="array" ref="Q1201:Z1201">INDIRECT_EFFECT("pha","pharma_share","pharma_elasticity",DECILE_ARRAY,"Urban","median")</f>
        <v>3.2642735972582389E-2</v>
      </c>
      <c r="R1201">
        <v>3.1477913477259971E-2</v>
      </c>
      <c r="S1201">
        <v>3.0297960425905147E-2</v>
      </c>
      <c r="T1201">
        <v>3.5046827506835972E-2</v>
      </c>
      <c r="U1201">
        <v>4.2233982685199255E-2</v>
      </c>
      <c r="V1201">
        <v>4.3769743546745739E-2</v>
      </c>
      <c r="W1201">
        <v>5.0027827985534491E-2</v>
      </c>
      <c r="X1201">
        <v>5.1959837017244069E-2</v>
      </c>
      <c r="Y1201">
        <v>5.700050940631296E-2</v>
      </c>
      <c r="Z1201">
        <v>6.3582930903276602E-2</v>
      </c>
    </row>
    <row r="1202" spans="4:26" x14ac:dyDescent="0.25">
      <c r="D1202" s="6" t="s">
        <v>72</v>
      </c>
      <c r="E1202" s="6" t="s">
        <v>385</v>
      </c>
      <c r="F1202" s="6" t="s">
        <v>382</v>
      </c>
      <c r="G1202" s="6" t="s">
        <v>371</v>
      </c>
      <c r="H1202" s="6" t="s">
        <v>383</v>
      </c>
      <c r="P1202" s="10" cm="1">
        <f t="array" ref="P1202">INDIRECT_EFFECT("pha","pharma_share","pharma_elasticity",0,"Rural","median")</f>
        <v>4.5873273426469886E-2</v>
      </c>
    </row>
    <row r="1203" spans="4:26" x14ac:dyDescent="0.25">
      <c r="D1203" s="6" t="s">
        <v>72</v>
      </c>
      <c r="E1203" s="6" t="s">
        <v>385</v>
      </c>
      <c r="F1203" s="6" t="s">
        <v>145</v>
      </c>
      <c r="G1203" s="6" t="s">
        <v>371</v>
      </c>
      <c r="H1203" s="6" t="s">
        <v>383</v>
      </c>
      <c r="Q1203" s="10" cm="1">
        <f t="array" ref="Q1203:Z1203">INDIRECT_EFFECT("pha","pharma_share","pharma_elasticity",DECILE_ARRAY,"Rural","median")</f>
        <v>3.1129574848295889E-2</v>
      </c>
      <c r="R1203">
        <v>3.5518142908803743E-2</v>
      </c>
      <c r="S1203">
        <v>3.6474312294736515E-2</v>
      </c>
      <c r="T1203">
        <v>3.5796405973611646E-2</v>
      </c>
      <c r="U1203">
        <v>4.0972612113712489E-2</v>
      </c>
      <c r="V1203">
        <v>4.4629672901057266E-2</v>
      </c>
      <c r="W1203">
        <v>4.9308049288645392E-2</v>
      </c>
      <c r="X1203">
        <v>5.2735609578020232E-2</v>
      </c>
      <c r="Y1203">
        <v>6.7319100321197131E-2</v>
      </c>
      <c r="Z1203">
        <v>9.0314408812803434E-2</v>
      </c>
    </row>
    <row r="1204" spans="4:26" x14ac:dyDescent="0.25">
      <c r="D1204" s="6" t="s">
        <v>75</v>
      </c>
      <c r="E1204" s="6" t="s">
        <v>381</v>
      </c>
      <c r="F1204" s="6" t="s">
        <v>382</v>
      </c>
      <c r="G1204" s="6" t="s">
        <v>371</v>
      </c>
      <c r="H1204" s="6" t="s">
        <v>383</v>
      </c>
      <c r="P1204" s="10" cm="1">
        <f t="array" ref="P1204">INDIRECT_EFFECT("pha","pharma_share","pharma_elasticity",0,"Overall","p25")</f>
        <v>1.6987844391793214E-2</v>
      </c>
    </row>
    <row r="1205" spans="4:26" x14ac:dyDescent="0.25">
      <c r="D1205" s="6" t="s">
        <v>75</v>
      </c>
      <c r="E1205" s="6" t="s">
        <v>381</v>
      </c>
      <c r="F1205" s="6" t="s">
        <v>145</v>
      </c>
      <c r="G1205" s="6" t="s">
        <v>371</v>
      </c>
      <c r="H1205" s="6" t="s">
        <v>383</v>
      </c>
      <c r="Q1205" s="10" cm="1">
        <f t="array" ref="Q1205:Z1205">INDIRECT_EFFECT("pha","pharma_share","pharma_elasticity",DECILE_ARRAY,"Overall","p25")</f>
        <v>1.4527615784869691E-2</v>
      </c>
      <c r="R1205">
        <v>1.4868179762427793E-2</v>
      </c>
      <c r="S1205">
        <v>1.5916551503697311E-2</v>
      </c>
      <c r="T1205">
        <v>1.5938540234748499E-2</v>
      </c>
      <c r="U1205">
        <v>1.7771968501458731E-2</v>
      </c>
      <c r="V1205">
        <v>1.9823584693211972E-2</v>
      </c>
      <c r="W1205">
        <v>2.1043033851918254E-2</v>
      </c>
      <c r="X1205">
        <v>2.1984696446609532E-2</v>
      </c>
      <c r="Y1205">
        <v>2.1937932129066924E-2</v>
      </c>
      <c r="Z1205">
        <v>2.302805811612841E-2</v>
      </c>
    </row>
    <row r="1206" spans="4:26" x14ac:dyDescent="0.25">
      <c r="D1206" s="6" t="s">
        <v>75</v>
      </c>
      <c r="E1206" s="6" t="s">
        <v>384</v>
      </c>
      <c r="F1206" s="6" t="s">
        <v>382</v>
      </c>
      <c r="G1206" s="6" t="s">
        <v>371</v>
      </c>
      <c r="H1206" s="6" t="s">
        <v>383</v>
      </c>
      <c r="P1206" s="10" cm="1">
        <f t="array" ref="P1206">INDIRECT_EFFECT("pha","pharma_share","pharma_elasticity",0,"Urban","p25")</f>
        <v>1.338513068902193E-2</v>
      </c>
    </row>
    <row r="1207" spans="4:26" x14ac:dyDescent="0.25">
      <c r="D1207" s="6" t="s">
        <v>75</v>
      </c>
      <c r="E1207" s="6" t="s">
        <v>384</v>
      </c>
      <c r="F1207" s="6" t="s">
        <v>145</v>
      </c>
      <c r="G1207" s="6" t="s">
        <v>371</v>
      </c>
      <c r="H1207" s="6" t="s">
        <v>383</v>
      </c>
      <c r="Q1207" s="10" cm="1">
        <f t="array" ref="Q1207:Z1207">INDIRECT_EFFECT("pha","pharma_share","pharma_elasticity",DECILE_ARRAY,"Urban","p25")</f>
        <v>1.0741973584744081E-2</v>
      </c>
      <c r="R1207">
        <v>1.264045501768256E-2</v>
      </c>
      <c r="S1207">
        <v>1.2188264836448895E-2</v>
      </c>
      <c r="T1207">
        <v>1.5904738676888158E-2</v>
      </c>
      <c r="U1207">
        <v>1.6873380858978524E-2</v>
      </c>
      <c r="V1207">
        <v>1.5846817110880988E-2</v>
      </c>
      <c r="W1207">
        <v>1.5860055693482079E-2</v>
      </c>
      <c r="X1207">
        <v>1.6406915862683329E-2</v>
      </c>
      <c r="Y1207">
        <v>1.7591654398473919E-2</v>
      </c>
      <c r="Z1207">
        <v>1.4279085020157159E-2</v>
      </c>
    </row>
    <row r="1208" spans="4:26" x14ac:dyDescent="0.25">
      <c r="D1208" s="6" t="s">
        <v>75</v>
      </c>
      <c r="E1208" s="6" t="s">
        <v>385</v>
      </c>
      <c r="F1208" s="6" t="s">
        <v>382</v>
      </c>
      <c r="G1208" s="6" t="s">
        <v>371</v>
      </c>
      <c r="H1208" s="6" t="s">
        <v>383</v>
      </c>
      <c r="P1208" s="10" cm="1">
        <f t="array" ref="P1208">INDIRECT_EFFECT("pha","pharma_share","pharma_elasticity",0,"Rural","p25")</f>
        <v>1.9719434631386035E-2</v>
      </c>
    </row>
    <row r="1209" spans="4:26" x14ac:dyDescent="0.25">
      <c r="D1209" s="6" t="s">
        <v>75</v>
      </c>
      <c r="E1209" s="6" t="s">
        <v>385</v>
      </c>
      <c r="F1209" s="6" t="s">
        <v>145</v>
      </c>
      <c r="G1209" s="6" t="s">
        <v>371</v>
      </c>
      <c r="H1209" s="6" t="s">
        <v>383</v>
      </c>
      <c r="Q1209" s="10" cm="1">
        <f t="array" ref="Q1209:Z1209">INDIRECT_EFFECT("pha","pharma_share","pharma_elasticity",DECILE_ARRAY,"Rural","p25")</f>
        <v>1.594356085636817E-2</v>
      </c>
      <c r="R1209">
        <v>1.6733378309863177E-2</v>
      </c>
      <c r="S1209">
        <v>1.7832461152997997E-2</v>
      </c>
      <c r="T1209">
        <v>1.854514782678264E-2</v>
      </c>
      <c r="U1209">
        <v>1.8922657384232645E-2</v>
      </c>
      <c r="V1209">
        <v>2.1273446714297199E-2</v>
      </c>
      <c r="W1209">
        <v>2.0396139116575812E-2</v>
      </c>
      <c r="X1209">
        <v>2.4785353052666288E-2</v>
      </c>
      <c r="Y1209">
        <v>3.1259307243048373E-2</v>
      </c>
      <c r="Z1209">
        <v>3.9520248432911367E-2</v>
      </c>
    </row>
    <row r="1210" spans="4:26" x14ac:dyDescent="0.25">
      <c r="D1210" s="6" t="s">
        <v>78</v>
      </c>
      <c r="E1210" s="6" t="s">
        <v>381</v>
      </c>
      <c r="F1210" s="6" t="s">
        <v>382</v>
      </c>
      <c r="G1210" s="6" t="s">
        <v>371</v>
      </c>
      <c r="H1210" s="6" t="s">
        <v>383</v>
      </c>
      <c r="P1210" s="10" cm="1">
        <f t="array" ref="P1210">INDIRECT_EFFECT("pha","pharma_share","pharma_elasticity",0,"Overall","p75")</f>
        <v>9.3635042991388695E-2</v>
      </c>
    </row>
    <row r="1211" spans="4:26" x14ac:dyDescent="0.25">
      <c r="D1211" s="6" t="s">
        <v>78</v>
      </c>
      <c r="E1211" s="6" t="s">
        <v>381</v>
      </c>
      <c r="F1211" s="6" t="s">
        <v>145</v>
      </c>
      <c r="G1211" s="6" t="s">
        <v>371</v>
      </c>
      <c r="H1211" s="6" t="s">
        <v>383</v>
      </c>
      <c r="Q1211" s="10" cm="1">
        <f t="array" ref="Q1211:Z1211">INDIRECT_EFFECT("pha","pharma_share","pharma_elasticity",DECILE_ARRAY,"Overall","p75")</f>
        <v>5.6544050270872552E-2</v>
      </c>
      <c r="R1211">
        <v>6.6121361954507296E-2</v>
      </c>
      <c r="S1211">
        <v>6.1993128764477781E-2</v>
      </c>
      <c r="T1211">
        <v>7.3530408743388634E-2</v>
      </c>
      <c r="U1211">
        <v>7.2072176918760777E-2</v>
      </c>
      <c r="V1211">
        <v>8.9196104514394525E-2</v>
      </c>
      <c r="W1211">
        <v>8.7063719651074803E-2</v>
      </c>
      <c r="X1211">
        <v>0.11360588887337428</v>
      </c>
      <c r="Y1211">
        <v>0.11280637073833591</v>
      </c>
      <c r="Z1211">
        <v>0.15506030066457432</v>
      </c>
    </row>
    <row r="1212" spans="4:26" x14ac:dyDescent="0.25">
      <c r="D1212" s="6" t="s">
        <v>78</v>
      </c>
      <c r="E1212" s="6" t="s">
        <v>384</v>
      </c>
      <c r="F1212" s="6" t="s">
        <v>382</v>
      </c>
      <c r="G1212" s="6" t="s">
        <v>371</v>
      </c>
      <c r="H1212" s="6" t="s">
        <v>383</v>
      </c>
      <c r="P1212" s="10" cm="1">
        <f t="array" ref="P1212">INDIRECT_EFFECT("pha","pharma_share","pharma_elasticity",0,"Urban","p75")</f>
        <v>9.5295511058614932E-2</v>
      </c>
    </row>
    <row r="1213" spans="4:26" x14ac:dyDescent="0.25">
      <c r="D1213" s="6" t="s">
        <v>78</v>
      </c>
      <c r="E1213" s="6" t="s">
        <v>384</v>
      </c>
      <c r="F1213" s="6" t="s">
        <v>145</v>
      </c>
      <c r="G1213" s="6" t="s">
        <v>371</v>
      </c>
      <c r="H1213" s="6" t="s">
        <v>383</v>
      </c>
      <c r="Q1213" s="10" cm="1">
        <f t="array" ref="Q1213:Z1213">INDIRECT_EFFECT("pha","pharma_share","pharma_elasticity",DECILE_ARRAY,"Urban","p75")</f>
        <v>6.8508376693207321E-2</v>
      </c>
      <c r="R1213">
        <v>6.5905767059551229E-2</v>
      </c>
      <c r="S1213">
        <v>6.726407336403227E-2</v>
      </c>
      <c r="T1213">
        <v>7.9208299986560121E-2</v>
      </c>
      <c r="U1213">
        <v>7.9724455430574964E-2</v>
      </c>
      <c r="V1213">
        <v>9.1323596047085717E-2</v>
      </c>
      <c r="W1213">
        <v>0.10877453816698419</v>
      </c>
      <c r="X1213">
        <v>9.6024967339896822E-2</v>
      </c>
      <c r="Y1213">
        <v>0.12226639603976662</v>
      </c>
      <c r="Z1213">
        <v>0.15509781786976681</v>
      </c>
    </row>
    <row r="1214" spans="4:26" x14ac:dyDescent="0.25">
      <c r="D1214" s="6" t="s">
        <v>78</v>
      </c>
      <c r="E1214" s="6" t="s">
        <v>385</v>
      </c>
      <c r="F1214" s="6" t="s">
        <v>382</v>
      </c>
      <c r="G1214" s="6" t="s">
        <v>371</v>
      </c>
      <c r="H1214" s="6" t="s">
        <v>383</v>
      </c>
      <c r="P1214" s="10" cm="1">
        <f t="array" ref="P1214">INDIRECT_EFFECT("pha","pharma_share","pharma_elasticity",0,"Rural","p75")</f>
        <v>9.1302415894890826E-2</v>
      </c>
    </row>
    <row r="1215" spans="4:26" x14ac:dyDescent="0.25">
      <c r="D1215" s="6" t="s">
        <v>78</v>
      </c>
      <c r="E1215" s="6" t="s">
        <v>385</v>
      </c>
      <c r="F1215" s="6" t="s">
        <v>145</v>
      </c>
      <c r="G1215" s="6" t="s">
        <v>371</v>
      </c>
      <c r="H1215" s="6" t="s">
        <v>383</v>
      </c>
      <c r="Q1215" s="10" cm="1">
        <f t="array" ref="Q1215:Z1215">INDIRECT_EFFECT("pha","pharma_share","pharma_elasticity",DECILE_ARRAY,"Rural","p75")</f>
        <v>5.8974748628917176E-2</v>
      </c>
      <c r="R1215">
        <v>5.8770588650741099E-2</v>
      </c>
      <c r="S1215">
        <v>6.3810992317246087E-2</v>
      </c>
      <c r="T1215">
        <v>6.6576747479512213E-2</v>
      </c>
      <c r="U1215">
        <v>7.7691213935071751E-2</v>
      </c>
      <c r="V1215">
        <v>8.1638691433073216E-2</v>
      </c>
      <c r="W1215">
        <v>9.0257654376174085E-2</v>
      </c>
      <c r="X1215">
        <v>9.006929631623864E-2</v>
      </c>
      <c r="Y1215">
        <v>0.11820294344736533</v>
      </c>
      <c r="Z1215">
        <v>0.16176436042798323</v>
      </c>
    </row>
    <row r="1217" spans="3:26" x14ac:dyDescent="0.25">
      <c r="C1217" s="7" t="s">
        <v>440</v>
      </c>
      <c r="G1217" s="6" t="s">
        <v>373</v>
      </c>
      <c r="O1217" s="2" t="s">
        <v>331</v>
      </c>
      <c r="Q1217" s="2">
        <v>1</v>
      </c>
      <c r="R1217" s="2">
        <v>2</v>
      </c>
      <c r="S1217" s="2">
        <v>3</v>
      </c>
      <c r="T1217" s="2">
        <v>4</v>
      </c>
      <c r="U1217" s="2">
        <v>5</v>
      </c>
      <c r="V1217" s="2">
        <v>6</v>
      </c>
      <c r="W1217" s="2">
        <v>7</v>
      </c>
      <c r="X1217" s="2">
        <v>8</v>
      </c>
      <c r="Y1217" s="2">
        <v>9</v>
      </c>
      <c r="Z1217" s="2">
        <v>10</v>
      </c>
    </row>
    <row r="1218" spans="3:26" x14ac:dyDescent="0.25">
      <c r="D1218" s="6" t="s">
        <v>69</v>
      </c>
      <c r="E1218" s="6" t="s">
        <v>381</v>
      </c>
      <c r="F1218" s="6" t="s">
        <v>382</v>
      </c>
      <c r="G1218" s="6" t="s">
        <v>373</v>
      </c>
      <c r="H1218" s="6" t="s">
        <v>383</v>
      </c>
      <c r="P1218" s="10" cm="1">
        <f t="array" ref="P1218">INDIRECT_EFFECT("ret","rectourism_share","rectourism_elasticity",0,"Overall","mean")</f>
        <v>2.0864520934922415E-2</v>
      </c>
    </row>
    <row r="1219" spans="3:26" x14ac:dyDescent="0.25">
      <c r="D1219" s="6" t="s">
        <v>69</v>
      </c>
      <c r="E1219" s="6" t="s">
        <v>381</v>
      </c>
      <c r="F1219" s="6" t="s">
        <v>145</v>
      </c>
      <c r="G1219" s="6" t="s">
        <v>373</v>
      </c>
      <c r="H1219" s="6" t="s">
        <v>383</v>
      </c>
      <c r="Q1219" s="10" cm="1">
        <f t="array" ref="Q1219:Z1219">INDIRECT_EFFECT("ret","rectourism_share","rectourism_elasticity",DECILE_ARRAY,"Overall","mean")</f>
        <v>1.9381828912883755E-2</v>
      </c>
      <c r="R1219">
        <v>1.8852316642724444E-2</v>
      </c>
      <c r="S1219">
        <v>1.9348046273945527E-2</v>
      </c>
      <c r="T1219">
        <v>1.8076457748365068E-2</v>
      </c>
      <c r="U1219">
        <v>2.0443915229012975E-2</v>
      </c>
      <c r="V1219">
        <v>1.8182226067922937E-2</v>
      </c>
      <c r="W1219">
        <v>1.7787019640280677E-2</v>
      </c>
      <c r="X1219">
        <v>1.7980953114478775E-2</v>
      </c>
      <c r="Y1219">
        <v>1.8530511199730561E-2</v>
      </c>
      <c r="Z1219">
        <v>2.2586214897716353E-2</v>
      </c>
    </row>
    <row r="1220" spans="3:26" x14ac:dyDescent="0.25">
      <c r="D1220" s="6" t="s">
        <v>69</v>
      </c>
      <c r="E1220" s="6" t="s">
        <v>384</v>
      </c>
      <c r="F1220" s="6" t="s">
        <v>382</v>
      </c>
      <c r="G1220" s="6" t="s">
        <v>373</v>
      </c>
      <c r="H1220" s="6" t="s">
        <v>383</v>
      </c>
      <c r="P1220" s="10" cm="1">
        <f t="array" ref="P1220">INDIRECT_EFFECT("ret","rectourism_share","rectourism_elasticity",0,"Urban","mean")</f>
        <v>2.1487070965819435E-2</v>
      </c>
    </row>
    <row r="1221" spans="3:26" x14ac:dyDescent="0.25">
      <c r="D1221" s="6" t="s">
        <v>69</v>
      </c>
      <c r="E1221" s="6" t="s">
        <v>384</v>
      </c>
      <c r="F1221" s="6" t="s">
        <v>145</v>
      </c>
      <c r="G1221" s="6" t="s">
        <v>373</v>
      </c>
      <c r="H1221" s="6" t="s">
        <v>383</v>
      </c>
      <c r="Q1221" s="10" cm="1">
        <f t="array" ref="Q1221:Z1221">INDIRECT_EFFECT("ret","rectourism_share","rectourism_elasticity",DECILE_ARRAY,"Urban","mean")</f>
        <v>2.2575527573413395E-2</v>
      </c>
      <c r="R1221">
        <v>2.0526121726111186E-2</v>
      </c>
      <c r="S1221">
        <v>2.1369143131861973E-2</v>
      </c>
      <c r="T1221">
        <v>2.1213682978137218E-2</v>
      </c>
      <c r="U1221">
        <v>2.153189763126925E-2</v>
      </c>
      <c r="V1221">
        <v>2.3167674210501622E-2</v>
      </c>
      <c r="W1221">
        <v>2.2086064387583183E-2</v>
      </c>
      <c r="X1221">
        <v>2.1676866170870498E-2</v>
      </c>
      <c r="Y1221">
        <v>2.4407166752209421E-2</v>
      </c>
      <c r="Z1221">
        <v>2.2639653668650044E-2</v>
      </c>
    </row>
    <row r="1222" spans="3:26" x14ac:dyDescent="0.25">
      <c r="D1222" s="6" t="s">
        <v>69</v>
      </c>
      <c r="E1222" s="6" t="s">
        <v>385</v>
      </c>
      <c r="F1222" s="6" t="s">
        <v>382</v>
      </c>
      <c r="G1222" s="6" t="s">
        <v>373</v>
      </c>
      <c r="H1222" s="6" t="s">
        <v>383</v>
      </c>
      <c r="P1222" s="10" cm="1">
        <f t="array" ref="P1222">INDIRECT_EFFECT("ret","rectourism_share","rectourism_elasticity",0,"Rural","mean")</f>
        <v>1.7353936550310763E-2</v>
      </c>
    </row>
    <row r="1223" spans="3:26" x14ac:dyDescent="0.25">
      <c r="D1223" s="6" t="s">
        <v>69</v>
      </c>
      <c r="E1223" s="6" t="s">
        <v>385</v>
      </c>
      <c r="F1223" s="6" t="s">
        <v>145</v>
      </c>
      <c r="G1223" s="6" t="s">
        <v>373</v>
      </c>
      <c r="H1223" s="6" t="s">
        <v>383</v>
      </c>
      <c r="Q1223" s="10" cm="1">
        <f t="array" ref="Q1223:Z1223">INDIRECT_EFFECT("ret","rectourism_share","rectourism_elasticity",DECILE_ARRAY,"Rural","mean")</f>
        <v>1.7470630786123088E-2</v>
      </c>
      <c r="R1223">
        <v>1.7827968503028903E-2</v>
      </c>
      <c r="S1223">
        <v>1.6965875282094096E-2</v>
      </c>
      <c r="T1223">
        <v>1.7340260016594767E-2</v>
      </c>
      <c r="U1223">
        <v>1.6811544317563581E-2</v>
      </c>
      <c r="V1223">
        <v>1.6468971130009492E-2</v>
      </c>
      <c r="W1223">
        <v>1.6571164685470943E-2</v>
      </c>
      <c r="X1223">
        <v>1.7261768462581845E-2</v>
      </c>
      <c r="Y1223">
        <v>1.5364281942325199E-2</v>
      </c>
      <c r="Z1223">
        <v>1.6400743073964937E-2</v>
      </c>
    </row>
    <row r="1224" spans="3:26" x14ac:dyDescent="0.25">
      <c r="D1224" s="6" t="s">
        <v>72</v>
      </c>
      <c r="E1224" s="6" t="s">
        <v>381</v>
      </c>
      <c r="F1224" s="6" t="s">
        <v>382</v>
      </c>
      <c r="G1224" s="6" t="s">
        <v>373</v>
      </c>
      <c r="H1224" s="6" t="s">
        <v>383</v>
      </c>
      <c r="P1224" s="10" cm="1">
        <f t="array" ref="P1224">INDIRECT_EFFECT("ret","rectourism_share","rectourism_elasticity",0,"Overall","median")</f>
        <v>1.5159860811969565E-2</v>
      </c>
    </row>
    <row r="1225" spans="3:26" x14ac:dyDescent="0.25">
      <c r="D1225" s="6" t="s">
        <v>72</v>
      </c>
      <c r="E1225" s="6" t="s">
        <v>381</v>
      </c>
      <c r="F1225" s="6" t="s">
        <v>145</v>
      </c>
      <c r="G1225" s="6" t="s">
        <v>373</v>
      </c>
      <c r="H1225" s="6" t="s">
        <v>383</v>
      </c>
      <c r="Q1225" s="10" cm="1">
        <f t="array" ref="Q1225:Z1225">INDIRECT_EFFECT("ret","rectourism_share","rectourism_elasticity",DECILE_ARRAY,"Overall","median")</f>
        <v>1.733692995135639E-2</v>
      </c>
      <c r="R1225">
        <v>1.6300942772320814E-2</v>
      </c>
      <c r="S1225">
        <v>1.683451009384155E-2</v>
      </c>
      <c r="T1225">
        <v>1.8203521385205663E-2</v>
      </c>
      <c r="U1225">
        <v>1.7193073574119182E-2</v>
      </c>
      <c r="V1225">
        <v>1.769280814415641E-2</v>
      </c>
      <c r="W1225">
        <v>1.7202512757947892E-2</v>
      </c>
      <c r="X1225">
        <v>1.5016701695113861E-2</v>
      </c>
      <c r="Y1225">
        <v>1.429143872656477E-2</v>
      </c>
      <c r="Z1225">
        <v>1.2363811026023307E-2</v>
      </c>
    </row>
    <row r="1226" spans="3:26" x14ac:dyDescent="0.25">
      <c r="D1226" s="6" t="s">
        <v>72</v>
      </c>
      <c r="E1226" s="6" t="s">
        <v>384</v>
      </c>
      <c r="F1226" s="6" t="s">
        <v>382</v>
      </c>
      <c r="G1226" s="6" t="s">
        <v>373</v>
      </c>
      <c r="H1226" s="6" t="s">
        <v>383</v>
      </c>
      <c r="P1226" s="10" cm="1">
        <f t="array" ref="P1226">INDIRECT_EFFECT("ret","rectourism_share","rectourism_elasticity",0,"Urban","median")</f>
        <v>1.9978468808606206E-2</v>
      </c>
    </row>
    <row r="1227" spans="3:26" x14ac:dyDescent="0.25">
      <c r="D1227" s="6" t="s">
        <v>72</v>
      </c>
      <c r="E1227" s="6" t="s">
        <v>384</v>
      </c>
      <c r="F1227" s="6" t="s">
        <v>145</v>
      </c>
      <c r="G1227" s="6" t="s">
        <v>373</v>
      </c>
      <c r="H1227" s="6" t="s">
        <v>383</v>
      </c>
      <c r="Q1227" s="10" cm="1">
        <f t="array" ref="Q1227:Z1227">INDIRECT_EFFECT("ret","rectourism_share","rectourism_elasticity",DECILE_ARRAY,"Urban","median")</f>
        <v>2.1624138375721726E-2</v>
      </c>
      <c r="R1227">
        <v>1.8880643061838894E-2</v>
      </c>
      <c r="S1227">
        <v>1.8136342887732814E-2</v>
      </c>
      <c r="T1227">
        <v>1.9249096329990226E-2</v>
      </c>
      <c r="U1227">
        <v>1.8669496866625938E-2</v>
      </c>
      <c r="V1227">
        <v>2.011532867716135E-2</v>
      </c>
      <c r="W1227">
        <v>1.9507808718264158E-2</v>
      </c>
      <c r="X1227">
        <v>1.9524555759646362E-2</v>
      </c>
      <c r="Y1227">
        <v>1.7205794618427712E-2</v>
      </c>
      <c r="Z1227">
        <v>1.4688969345420631E-2</v>
      </c>
    </row>
    <row r="1228" spans="3:26" x14ac:dyDescent="0.25">
      <c r="D1228" s="6" t="s">
        <v>72</v>
      </c>
      <c r="E1228" s="6" t="s">
        <v>385</v>
      </c>
      <c r="F1228" s="6" t="s">
        <v>382</v>
      </c>
      <c r="G1228" s="6" t="s">
        <v>373</v>
      </c>
      <c r="H1228" s="6" t="s">
        <v>383</v>
      </c>
      <c r="P1228" s="10" cm="1">
        <f t="array" ref="P1228">INDIRECT_EFFECT("ret","rectourism_share","rectourism_elasticity",0,"Rural","median")</f>
        <v>1.425304653005958E-2</v>
      </c>
    </row>
    <row r="1229" spans="3:26" x14ac:dyDescent="0.25">
      <c r="D1229" s="6" t="s">
        <v>72</v>
      </c>
      <c r="E1229" s="6" t="s">
        <v>385</v>
      </c>
      <c r="F1229" s="6" t="s">
        <v>145</v>
      </c>
      <c r="G1229" s="6" t="s">
        <v>373</v>
      </c>
      <c r="H1229" s="6" t="s">
        <v>383</v>
      </c>
      <c r="Q1229" s="10" cm="1">
        <f t="array" ref="Q1229:Z1229">INDIRECT_EFFECT("ret","rectourism_share","rectourism_elasticity",DECILE_ARRAY,"Rural","median")</f>
        <v>1.6180508195384649E-2</v>
      </c>
      <c r="R1229">
        <v>1.5642219258607724E-2</v>
      </c>
      <c r="S1229">
        <v>1.5104979926365244E-2</v>
      </c>
      <c r="T1229">
        <v>1.4734898374167714E-2</v>
      </c>
      <c r="U1229">
        <v>1.5239212662291786E-2</v>
      </c>
      <c r="V1229">
        <v>1.4010797086399119E-2</v>
      </c>
      <c r="W1229">
        <v>1.4720960647859332E-2</v>
      </c>
      <c r="X1229">
        <v>1.3020507113713177E-2</v>
      </c>
      <c r="Y1229">
        <v>1.3356424115889809E-2</v>
      </c>
      <c r="Z1229">
        <v>9.2607912808997262E-3</v>
      </c>
    </row>
    <row r="1230" spans="3:26" x14ac:dyDescent="0.25">
      <c r="D1230" s="6" t="s">
        <v>75</v>
      </c>
      <c r="E1230" s="6" t="s">
        <v>381</v>
      </c>
      <c r="F1230" s="6" t="s">
        <v>382</v>
      </c>
      <c r="G1230" s="6" t="s">
        <v>373</v>
      </c>
      <c r="H1230" s="6" t="s">
        <v>383</v>
      </c>
      <c r="P1230" s="10" cm="1">
        <f t="array" ref="P1230">INDIRECT_EFFECT("ret","rectourism_share","rectourism_elasticity",0,"Overall","p25")</f>
        <v>9.6678962165858591E-3</v>
      </c>
    </row>
    <row r="1231" spans="3:26" x14ac:dyDescent="0.25">
      <c r="D1231" s="6" t="s">
        <v>75</v>
      </c>
      <c r="E1231" s="6" t="s">
        <v>381</v>
      </c>
      <c r="F1231" s="6" t="s">
        <v>145</v>
      </c>
      <c r="G1231" s="6" t="s">
        <v>373</v>
      </c>
      <c r="H1231" s="6" t="s">
        <v>383</v>
      </c>
      <c r="Q1231" s="10" cm="1">
        <f t="array" ref="Q1231:Z1231">INDIRECT_EFFECT("ret","rectourism_share","rectourism_elasticity",DECILE_ARRAY,"Overall","p25")</f>
        <v>1.0291519924006032E-2</v>
      </c>
      <c r="R1231">
        <v>1.0808481516338441E-2</v>
      </c>
      <c r="S1231">
        <v>1.2439527638398782E-2</v>
      </c>
      <c r="T1231">
        <v>1.18765899098303E-2</v>
      </c>
      <c r="U1231">
        <v>1.1367321759841956E-2</v>
      </c>
      <c r="V1231">
        <v>1.078159724196295E-2</v>
      </c>
      <c r="W1231">
        <v>1.0524587328700843E-2</v>
      </c>
      <c r="X1231">
        <v>9.627659055239943E-3</v>
      </c>
      <c r="Y1231">
        <v>8.2003835691487614E-3</v>
      </c>
      <c r="Z1231">
        <v>6.7661646900908168E-3</v>
      </c>
    </row>
    <row r="1232" spans="3:26" x14ac:dyDescent="0.25">
      <c r="D1232" s="6" t="s">
        <v>75</v>
      </c>
      <c r="E1232" s="6" t="s">
        <v>384</v>
      </c>
      <c r="F1232" s="6" t="s">
        <v>382</v>
      </c>
      <c r="G1232" s="6" t="s">
        <v>373</v>
      </c>
      <c r="H1232" s="6" t="s">
        <v>383</v>
      </c>
      <c r="P1232" s="10" cm="1">
        <f t="array" ref="P1232">INDIRECT_EFFECT("ret","rectourism_share","rectourism_elasticity",0,"Urban","p25")</f>
        <v>1.1998613788692623E-2</v>
      </c>
    </row>
    <row r="1233" spans="3:26" x14ac:dyDescent="0.25">
      <c r="D1233" s="6" t="s">
        <v>75</v>
      </c>
      <c r="E1233" s="6" t="s">
        <v>384</v>
      </c>
      <c r="F1233" s="6" t="s">
        <v>145</v>
      </c>
      <c r="G1233" s="6" t="s">
        <v>373</v>
      </c>
      <c r="H1233" s="6" t="s">
        <v>383</v>
      </c>
      <c r="Q1233" s="10" cm="1">
        <f t="array" ref="Q1233:Z1233">INDIRECT_EFFECT("ret","rectourism_share","rectourism_elasticity",DECILE_ARRAY,"Urban","p25")</f>
        <v>1.383241587086519E-2</v>
      </c>
      <c r="R1233">
        <v>1.4052552024572021E-2</v>
      </c>
      <c r="S1233">
        <v>1.2915887979116443E-2</v>
      </c>
      <c r="T1233">
        <v>1.2276124393228512E-2</v>
      </c>
      <c r="U1233">
        <v>1.3984903832828913E-2</v>
      </c>
      <c r="V1233">
        <v>1.3526379514852579E-2</v>
      </c>
      <c r="W1233">
        <v>1.1357251325435141E-2</v>
      </c>
      <c r="X1233">
        <v>1.1929072330423748E-2</v>
      </c>
      <c r="Y1233">
        <v>1.1009660069669551E-2</v>
      </c>
      <c r="Z1233">
        <v>6.230095902105522E-3</v>
      </c>
    </row>
    <row r="1234" spans="3:26" x14ac:dyDescent="0.25">
      <c r="D1234" s="6" t="s">
        <v>75</v>
      </c>
      <c r="E1234" s="6" t="s">
        <v>385</v>
      </c>
      <c r="F1234" s="6" t="s">
        <v>382</v>
      </c>
      <c r="G1234" s="6" t="s">
        <v>373</v>
      </c>
      <c r="H1234" s="6" t="s">
        <v>383</v>
      </c>
      <c r="P1234" s="10" cm="1">
        <f t="array" ref="P1234">INDIRECT_EFFECT("ret","rectourism_share","rectourism_elasticity",0,"Rural","p25")</f>
        <v>8.9082258924033982E-3</v>
      </c>
    </row>
    <row r="1235" spans="3:26" x14ac:dyDescent="0.25">
      <c r="D1235" s="6" t="s">
        <v>75</v>
      </c>
      <c r="E1235" s="6" t="s">
        <v>385</v>
      </c>
      <c r="F1235" s="6" t="s">
        <v>145</v>
      </c>
      <c r="G1235" s="6" t="s">
        <v>373</v>
      </c>
      <c r="H1235" s="6" t="s">
        <v>383</v>
      </c>
      <c r="Q1235" s="10" cm="1">
        <f t="array" ref="Q1235:Z1235">INDIRECT_EFFECT("ret","rectourism_share","rectourism_elasticity",DECILE_ARRAY,"Rural","p25")</f>
        <v>9.5317591950843088E-3</v>
      </c>
      <c r="R1235">
        <v>1.0456045221032538E-2</v>
      </c>
      <c r="S1235">
        <v>1.0882323717883356E-2</v>
      </c>
      <c r="T1235">
        <v>1.0522611425045304E-2</v>
      </c>
      <c r="U1235">
        <v>1.1117810884510779E-2</v>
      </c>
      <c r="V1235">
        <v>9.869638686898349E-3</v>
      </c>
      <c r="W1235">
        <v>9.3500361930366743E-3</v>
      </c>
      <c r="X1235">
        <v>9.2354869654759902E-3</v>
      </c>
      <c r="Y1235">
        <v>8.7746801172687086E-3</v>
      </c>
      <c r="Z1235">
        <v>5.7674902368128316E-3</v>
      </c>
    </row>
    <row r="1236" spans="3:26" x14ac:dyDescent="0.25">
      <c r="D1236" s="6" t="s">
        <v>78</v>
      </c>
      <c r="E1236" s="6" t="s">
        <v>381</v>
      </c>
      <c r="F1236" s="6" t="s">
        <v>382</v>
      </c>
      <c r="G1236" s="6" t="s">
        <v>373</v>
      </c>
      <c r="H1236" s="6" t="s">
        <v>383</v>
      </c>
      <c r="P1236" s="10" cm="1">
        <f t="array" ref="P1236">INDIRECT_EFFECT("ret","rectourism_share","rectourism_elasticity",0,"Overall","p75")</f>
        <v>2.4637943650136107E-2</v>
      </c>
    </row>
    <row r="1237" spans="3:26" x14ac:dyDescent="0.25">
      <c r="D1237" s="6" t="s">
        <v>78</v>
      </c>
      <c r="E1237" s="6" t="s">
        <v>381</v>
      </c>
      <c r="F1237" s="6" t="s">
        <v>145</v>
      </c>
      <c r="G1237" s="6" t="s">
        <v>373</v>
      </c>
      <c r="H1237" s="6" t="s">
        <v>383</v>
      </c>
      <c r="Q1237" s="10" cm="1">
        <f t="array" ref="Q1237:Z1237">INDIRECT_EFFECT("ret","rectourism_share","rectourism_elasticity",DECILE_ARRAY,"Overall","p75")</f>
        <v>2.5366029932848144E-2</v>
      </c>
      <c r="R1237">
        <v>2.3355863911259524E-2</v>
      </c>
      <c r="S1237">
        <v>2.4928804107198194E-2</v>
      </c>
      <c r="T1237">
        <v>2.3085457304723632E-2</v>
      </c>
      <c r="U1237">
        <v>2.3749682175360075E-2</v>
      </c>
      <c r="V1237">
        <v>2.4464542836068578E-2</v>
      </c>
      <c r="W1237">
        <v>2.5116478513897002E-2</v>
      </c>
      <c r="X1237">
        <v>2.4236580553765874E-2</v>
      </c>
      <c r="Y1237">
        <v>2.4800256586094249E-2</v>
      </c>
      <c r="Z1237">
        <v>2.7961720423418959E-2</v>
      </c>
    </row>
    <row r="1238" spans="3:26" x14ac:dyDescent="0.25">
      <c r="D1238" s="6" t="s">
        <v>78</v>
      </c>
      <c r="E1238" s="6" t="s">
        <v>384</v>
      </c>
      <c r="F1238" s="6" t="s">
        <v>382</v>
      </c>
      <c r="G1238" s="6" t="s">
        <v>373</v>
      </c>
      <c r="H1238" s="6" t="s">
        <v>383</v>
      </c>
      <c r="P1238" s="10" cm="1">
        <f t="array" ref="P1238">INDIRECT_EFFECT("ret","rectourism_share","rectourism_elasticity",0,"Urban","p75")</f>
        <v>2.690862451459828E-2</v>
      </c>
    </row>
    <row r="1239" spans="3:26" x14ac:dyDescent="0.25">
      <c r="D1239" s="6" t="s">
        <v>78</v>
      </c>
      <c r="E1239" s="6" t="s">
        <v>384</v>
      </c>
      <c r="F1239" s="6" t="s">
        <v>145</v>
      </c>
      <c r="G1239" s="6" t="s">
        <v>373</v>
      </c>
      <c r="H1239" s="6" t="s">
        <v>383</v>
      </c>
      <c r="Q1239" s="10" cm="1">
        <f t="array" ref="Q1239:Z1239">INDIRECT_EFFECT("ret","rectourism_share","rectourism_elasticity",DECILE_ARRAY,"Urban","p75")</f>
        <v>2.9972485950458039E-2</v>
      </c>
      <c r="R1239">
        <v>2.5989503130989289E-2</v>
      </c>
      <c r="S1239">
        <v>2.5472480772603185E-2</v>
      </c>
      <c r="T1239">
        <v>2.6962329354888927E-2</v>
      </c>
      <c r="U1239">
        <v>2.9083092713028395E-2</v>
      </c>
      <c r="V1239">
        <v>2.6053781464389004E-2</v>
      </c>
      <c r="W1239">
        <v>2.9966593229607926E-2</v>
      </c>
      <c r="X1239">
        <v>3.0297243156258268E-2</v>
      </c>
      <c r="Y1239">
        <v>3.2075091266771653E-2</v>
      </c>
      <c r="Z1239">
        <v>3.2693562603341109E-2</v>
      </c>
    </row>
    <row r="1240" spans="3:26" x14ac:dyDescent="0.25">
      <c r="D1240" s="6" t="s">
        <v>78</v>
      </c>
      <c r="E1240" s="6" t="s">
        <v>385</v>
      </c>
      <c r="F1240" s="6" t="s">
        <v>382</v>
      </c>
      <c r="G1240" s="6" t="s">
        <v>373</v>
      </c>
      <c r="H1240" s="6" t="s">
        <v>383</v>
      </c>
      <c r="P1240" s="10" cm="1">
        <f t="array" ref="P1240">INDIRECT_EFFECT("ret","rectourism_share","rectourism_elasticity",0,"Rural","p75")</f>
        <v>2.1084421457919458E-2</v>
      </c>
    </row>
    <row r="1241" spans="3:26" x14ac:dyDescent="0.25">
      <c r="D1241" s="6" t="s">
        <v>78</v>
      </c>
      <c r="E1241" s="6" t="s">
        <v>385</v>
      </c>
      <c r="F1241" s="6" t="s">
        <v>145</v>
      </c>
      <c r="G1241" s="6" t="s">
        <v>373</v>
      </c>
      <c r="H1241" s="6" t="s">
        <v>383</v>
      </c>
      <c r="Q1241" s="10" cm="1">
        <f t="array" ref="Q1241:Z1241">INDIRECT_EFFECT("ret","rectourism_share","rectourism_elasticity",DECILE_ARRAY,"Rural","p75")</f>
        <v>2.3154824728057067E-2</v>
      </c>
      <c r="R1241">
        <v>2.2739477242966911E-2</v>
      </c>
      <c r="S1241">
        <v>2.1367848327937158E-2</v>
      </c>
      <c r="T1241">
        <v>2.3049234104366278E-2</v>
      </c>
      <c r="U1241">
        <v>2.0552981209603832E-2</v>
      </c>
      <c r="V1241">
        <v>2.0244878225084067E-2</v>
      </c>
      <c r="W1241">
        <v>1.9764488650981651E-2</v>
      </c>
      <c r="X1241">
        <v>2.0767479916540307E-2</v>
      </c>
      <c r="Y1241">
        <v>1.8599393625069443E-2</v>
      </c>
      <c r="Z1241">
        <v>1.583758151312413E-2</v>
      </c>
    </row>
    <row r="1243" spans="3:26" x14ac:dyDescent="0.25">
      <c r="C1243" s="7" t="s">
        <v>441</v>
      </c>
      <c r="G1243" s="6" t="s">
        <v>375</v>
      </c>
      <c r="O1243" s="2" t="s">
        <v>331</v>
      </c>
      <c r="Q1243" s="2">
        <v>1</v>
      </c>
      <c r="R1243" s="2">
        <v>2</v>
      </c>
      <c r="S1243" s="2">
        <v>3</v>
      </c>
      <c r="T1243" s="2">
        <v>4</v>
      </c>
      <c r="U1243" s="2">
        <v>5</v>
      </c>
      <c r="V1243" s="2">
        <v>6</v>
      </c>
      <c r="W1243" s="2">
        <v>7</v>
      </c>
      <c r="X1243" s="2">
        <v>8</v>
      </c>
      <c r="Y1243" s="2">
        <v>9</v>
      </c>
      <c r="Z1243" s="2">
        <v>10</v>
      </c>
    </row>
    <row r="1244" spans="3:26" x14ac:dyDescent="0.25">
      <c r="D1244" s="6" t="s">
        <v>69</v>
      </c>
      <c r="E1244" s="6" t="s">
        <v>381</v>
      </c>
      <c r="F1244" s="6" t="s">
        <v>382</v>
      </c>
      <c r="G1244" s="6" t="s">
        <v>375</v>
      </c>
      <c r="H1244" s="6" t="s">
        <v>383</v>
      </c>
      <c r="P1244" s="10" cm="1">
        <f t="array" ref="P1244">INDIRECT_EFFECT("teq","transp_eqt_share","transp_eqt_elasticity",0,"Overall","mean")</f>
        <v>1.2928120328946869E-3</v>
      </c>
    </row>
    <row r="1245" spans="3:26" x14ac:dyDescent="0.25">
      <c r="D1245" s="6" t="s">
        <v>69</v>
      </c>
      <c r="E1245" s="6" t="s">
        <v>381</v>
      </c>
      <c r="F1245" s="6" t="s">
        <v>145</v>
      </c>
      <c r="G1245" s="6" t="s">
        <v>375</v>
      </c>
      <c r="H1245" s="6" t="s">
        <v>383</v>
      </c>
      <c r="Q1245" s="10" cm="1">
        <f t="array" ref="Q1245:Z1245">INDIRECT_EFFECT("teq","transp_eqt_share","transp_eqt_elasticity",DECILE_ARRAY,"Overall","mean")</f>
        <v>9.7444764196066478E-4</v>
      </c>
      <c r="R1245">
        <v>9.3836497664334965E-4</v>
      </c>
      <c r="S1245">
        <v>9.4974663283719314E-4</v>
      </c>
      <c r="T1245">
        <v>8.6618199571462267E-4</v>
      </c>
      <c r="U1245">
        <v>1.155582008034881E-3</v>
      </c>
      <c r="V1245">
        <v>1.3915565595327189E-3</v>
      </c>
      <c r="W1245">
        <v>1.5788999829711742E-3</v>
      </c>
      <c r="X1245">
        <v>1.8494241558716306E-3</v>
      </c>
      <c r="Y1245">
        <v>2.0780782488550868E-3</v>
      </c>
      <c r="Z1245">
        <v>2.6830496438959013E-3</v>
      </c>
    </row>
    <row r="1246" spans="3:26" x14ac:dyDescent="0.25">
      <c r="D1246" s="6" t="s">
        <v>69</v>
      </c>
      <c r="E1246" s="6" t="s">
        <v>384</v>
      </c>
      <c r="F1246" s="6" t="s">
        <v>382</v>
      </c>
      <c r="G1246" s="6" t="s">
        <v>375</v>
      </c>
      <c r="H1246" s="6" t="s">
        <v>383</v>
      </c>
      <c r="P1246" s="10" cm="1">
        <f t="array" ref="P1246">INDIRECT_EFFECT("teq","transp_eqt_share","transp_eqt_elasticity",0,"Urban","mean")</f>
        <v>1.6707383312759196E-3</v>
      </c>
    </row>
    <row r="1247" spans="3:26" x14ac:dyDescent="0.25">
      <c r="D1247" s="6" t="s">
        <v>69</v>
      </c>
      <c r="E1247" s="6" t="s">
        <v>384</v>
      </c>
      <c r="F1247" s="6" t="s">
        <v>145</v>
      </c>
      <c r="G1247" s="6" t="s">
        <v>375</v>
      </c>
      <c r="H1247" s="6" t="s">
        <v>383</v>
      </c>
      <c r="Q1247" s="10" cm="1">
        <f t="array" ref="Q1247:Z1247">INDIRECT_EFFECT("teq","transp_eqt_share","transp_eqt_elasticity",DECILE_ARRAY,"Urban","mean")</f>
        <v>1.488851353202889E-3</v>
      </c>
      <c r="R1247">
        <v>1.0375360765624438E-3</v>
      </c>
      <c r="S1247">
        <v>8.2687791550898509E-4</v>
      </c>
      <c r="T1247">
        <v>9.2654298929707561E-4</v>
      </c>
      <c r="U1247">
        <v>1.5065695719163592E-3</v>
      </c>
      <c r="V1247">
        <v>1.593269564957327E-3</v>
      </c>
      <c r="W1247">
        <v>1.9802410948369007E-3</v>
      </c>
      <c r="X1247">
        <v>2.0390510849010962E-3</v>
      </c>
      <c r="Y1247">
        <v>1.9372727232426007E-3</v>
      </c>
      <c r="Z1247">
        <v>2.9782616485301201E-3</v>
      </c>
    </row>
    <row r="1248" spans="3:26" x14ac:dyDescent="0.25">
      <c r="D1248" s="6" t="s">
        <v>69</v>
      </c>
      <c r="E1248" s="6" t="s">
        <v>385</v>
      </c>
      <c r="F1248" s="6" t="s">
        <v>382</v>
      </c>
      <c r="G1248" s="6" t="s">
        <v>375</v>
      </c>
      <c r="H1248" s="6" t="s">
        <v>383</v>
      </c>
      <c r="P1248" s="10" cm="1">
        <f t="array" ref="P1248">INDIRECT_EFFECT("teq","transp_eqt_share","transp_eqt_elasticity",0,"Rural","mean")</f>
        <v>1.1118014067220776E-3</v>
      </c>
    </row>
    <row r="1249" spans="4:26" x14ac:dyDescent="0.25">
      <c r="D1249" s="6" t="s">
        <v>69</v>
      </c>
      <c r="E1249" s="6" t="s">
        <v>385</v>
      </c>
      <c r="F1249" s="6" t="s">
        <v>145</v>
      </c>
      <c r="G1249" s="6" t="s">
        <v>375</v>
      </c>
      <c r="H1249" s="6" t="s">
        <v>383</v>
      </c>
      <c r="Q1249" s="10" cm="1">
        <f t="array" ref="Q1249:Z1249">INDIRECT_EFFECT("teq","transp_eqt_share","transp_eqt_elasticity",DECILE_ARRAY,"Rural","mean")</f>
        <v>6.1464320557758512E-4</v>
      </c>
      <c r="R1249">
        <v>5.2088654108115495E-4</v>
      </c>
      <c r="S1249">
        <v>8.978854541786365E-4</v>
      </c>
      <c r="T1249">
        <v>1.0964868991162312E-3</v>
      </c>
      <c r="U1249">
        <v>8.269366518142391E-4</v>
      </c>
      <c r="V1249">
        <v>1.1748512296943217E-3</v>
      </c>
      <c r="W1249">
        <v>1.1975962237010065E-3</v>
      </c>
      <c r="X1249">
        <v>1.5198848535007377E-3</v>
      </c>
      <c r="Y1249">
        <v>1.8065767076980309E-3</v>
      </c>
      <c r="Z1249">
        <v>1.5476913803446949E-3</v>
      </c>
    </row>
    <row r="1250" spans="4:26" x14ac:dyDescent="0.25">
      <c r="D1250" s="6" t="s">
        <v>72</v>
      </c>
      <c r="E1250" s="6" t="s">
        <v>381</v>
      </c>
      <c r="F1250" s="6" t="s">
        <v>382</v>
      </c>
      <c r="G1250" s="6" t="s">
        <v>375</v>
      </c>
      <c r="H1250" s="6" t="s">
        <v>383</v>
      </c>
      <c r="P1250" s="10" cm="1">
        <f t="array" ref="P1250">INDIRECT_EFFECT("teq","transp_eqt_share","transp_eqt_elasticity",0,"Overall","median")</f>
        <v>0</v>
      </c>
    </row>
    <row r="1251" spans="4:26" x14ac:dyDescent="0.25">
      <c r="D1251" s="6" t="s">
        <v>72</v>
      </c>
      <c r="E1251" s="6" t="s">
        <v>381</v>
      </c>
      <c r="F1251" s="6" t="s">
        <v>145</v>
      </c>
      <c r="G1251" s="6" t="s">
        <v>375</v>
      </c>
      <c r="H1251" s="6" t="s">
        <v>383</v>
      </c>
      <c r="Q1251" s="10" cm="1">
        <f t="array" ref="Q1251:Z1251">INDIRECT_EFFECT("teq","transp_eqt_share","transp_eqt_elasticity",DECILE_ARRAY,"Overall","median")</f>
        <v>0</v>
      </c>
      <c r="R1251">
        <v>0</v>
      </c>
      <c r="S1251">
        <v>0</v>
      </c>
      <c r="T1251">
        <v>0</v>
      </c>
      <c r="U1251">
        <v>0</v>
      </c>
      <c r="V1251">
        <v>0</v>
      </c>
      <c r="W1251">
        <v>0</v>
      </c>
      <c r="X1251">
        <v>0</v>
      </c>
      <c r="Y1251">
        <v>0</v>
      </c>
      <c r="Z1251">
        <v>0</v>
      </c>
    </row>
    <row r="1252" spans="4:26" x14ac:dyDescent="0.25">
      <c r="D1252" s="6" t="s">
        <v>72</v>
      </c>
      <c r="E1252" s="6" t="s">
        <v>384</v>
      </c>
      <c r="F1252" s="6" t="s">
        <v>382</v>
      </c>
      <c r="G1252" s="6" t="s">
        <v>375</v>
      </c>
      <c r="H1252" s="6" t="s">
        <v>383</v>
      </c>
      <c r="P1252" s="10" cm="1">
        <f t="array" ref="P1252">INDIRECT_EFFECT("teq","transp_eqt_share","transp_eqt_elasticity",0,"Urban","median")</f>
        <v>0</v>
      </c>
    </row>
    <row r="1253" spans="4:26" x14ac:dyDescent="0.25">
      <c r="D1253" s="6" t="s">
        <v>72</v>
      </c>
      <c r="E1253" s="6" t="s">
        <v>384</v>
      </c>
      <c r="F1253" s="6" t="s">
        <v>145</v>
      </c>
      <c r="G1253" s="6" t="s">
        <v>375</v>
      </c>
      <c r="H1253" s="6" t="s">
        <v>383</v>
      </c>
      <c r="Q1253" s="10" cm="1">
        <f t="array" ref="Q1253:Z1253">INDIRECT_EFFECT("teq","transp_eqt_share","transp_eqt_elasticity",DECILE_ARRAY,"Urban","median")</f>
        <v>0</v>
      </c>
      <c r="R1253">
        <v>0</v>
      </c>
      <c r="S1253">
        <v>0</v>
      </c>
      <c r="T1253">
        <v>0</v>
      </c>
      <c r="U1253">
        <v>0</v>
      </c>
      <c r="V1253">
        <v>0</v>
      </c>
      <c r="W1253">
        <v>0</v>
      </c>
      <c r="X1253">
        <v>0</v>
      </c>
      <c r="Y1253">
        <v>0</v>
      </c>
      <c r="Z1253">
        <v>0</v>
      </c>
    </row>
    <row r="1254" spans="4:26" x14ac:dyDescent="0.25">
      <c r="D1254" s="6" t="s">
        <v>72</v>
      </c>
      <c r="E1254" s="6" t="s">
        <v>385</v>
      </c>
      <c r="F1254" s="6" t="s">
        <v>382</v>
      </c>
      <c r="G1254" s="6" t="s">
        <v>375</v>
      </c>
      <c r="H1254" s="6" t="s">
        <v>383</v>
      </c>
      <c r="P1254" s="10" cm="1">
        <f t="array" ref="P1254">INDIRECT_EFFECT("teq","transp_eqt_share","transp_eqt_elasticity",0,"Rural","median")</f>
        <v>0</v>
      </c>
    </row>
    <row r="1255" spans="4:26" x14ac:dyDescent="0.25">
      <c r="D1255" s="6" t="s">
        <v>72</v>
      </c>
      <c r="E1255" s="6" t="s">
        <v>385</v>
      </c>
      <c r="F1255" s="6" t="s">
        <v>145</v>
      </c>
      <c r="G1255" s="6" t="s">
        <v>375</v>
      </c>
      <c r="H1255" s="6" t="s">
        <v>383</v>
      </c>
      <c r="Q1255" s="10" cm="1">
        <f t="array" ref="Q1255:Z1255">INDIRECT_EFFECT("teq","transp_eqt_share","transp_eqt_elasticity",DECILE_ARRAY,"Rural","median")</f>
        <v>0</v>
      </c>
      <c r="R1255">
        <v>0</v>
      </c>
      <c r="S1255">
        <v>0</v>
      </c>
      <c r="T1255">
        <v>0</v>
      </c>
      <c r="U1255">
        <v>0</v>
      </c>
      <c r="V1255">
        <v>0</v>
      </c>
      <c r="W1255">
        <v>0</v>
      </c>
      <c r="X1255">
        <v>0</v>
      </c>
      <c r="Y1255">
        <v>0</v>
      </c>
      <c r="Z1255">
        <v>0</v>
      </c>
    </row>
    <row r="1256" spans="4:26" x14ac:dyDescent="0.25">
      <c r="D1256" s="6" t="s">
        <v>75</v>
      </c>
      <c r="E1256" s="6" t="s">
        <v>381</v>
      </c>
      <c r="F1256" s="6" t="s">
        <v>382</v>
      </c>
      <c r="G1256" s="6" t="s">
        <v>375</v>
      </c>
      <c r="H1256" s="6" t="s">
        <v>383</v>
      </c>
      <c r="P1256" s="10" cm="1">
        <f t="array" ref="P1256">INDIRECT_EFFECT("teq","transp_eqt_share","transp_eqt_elasticity",0,"Overall","p25")</f>
        <v>0</v>
      </c>
    </row>
    <row r="1257" spans="4:26" x14ac:dyDescent="0.25">
      <c r="D1257" s="6" t="s">
        <v>75</v>
      </c>
      <c r="E1257" s="6" t="s">
        <v>381</v>
      </c>
      <c r="F1257" s="6" t="s">
        <v>145</v>
      </c>
      <c r="G1257" s="6" t="s">
        <v>375</v>
      </c>
      <c r="H1257" s="6" t="s">
        <v>383</v>
      </c>
      <c r="Q1257" s="10" cm="1">
        <f t="array" ref="Q1257:Z1257">INDIRECT_EFFECT("teq","transp_eqt_share","transp_eqt_elasticity",DECILE_ARRAY,"Overall","p25")</f>
        <v>0</v>
      </c>
      <c r="R1257">
        <v>0</v>
      </c>
      <c r="S1257">
        <v>0</v>
      </c>
      <c r="T1257">
        <v>0</v>
      </c>
      <c r="U1257">
        <v>0</v>
      </c>
      <c r="V1257">
        <v>0</v>
      </c>
      <c r="W1257">
        <v>0</v>
      </c>
      <c r="X1257">
        <v>0</v>
      </c>
      <c r="Y1257">
        <v>0</v>
      </c>
      <c r="Z1257">
        <v>0</v>
      </c>
    </row>
    <row r="1258" spans="4:26" x14ac:dyDescent="0.25">
      <c r="D1258" s="6" t="s">
        <v>75</v>
      </c>
      <c r="E1258" s="6" t="s">
        <v>384</v>
      </c>
      <c r="F1258" s="6" t="s">
        <v>382</v>
      </c>
      <c r="G1258" s="6" t="s">
        <v>375</v>
      </c>
      <c r="H1258" s="6" t="s">
        <v>383</v>
      </c>
      <c r="P1258" s="10" cm="1">
        <f t="array" ref="P1258">INDIRECT_EFFECT("teq","transp_eqt_share","transp_eqt_elasticity",0,"Urban","p25")</f>
        <v>0</v>
      </c>
    </row>
    <row r="1259" spans="4:26" x14ac:dyDescent="0.25">
      <c r="D1259" s="6" t="s">
        <v>75</v>
      </c>
      <c r="E1259" s="6" t="s">
        <v>384</v>
      </c>
      <c r="F1259" s="6" t="s">
        <v>145</v>
      </c>
      <c r="G1259" s="6" t="s">
        <v>375</v>
      </c>
      <c r="H1259" s="6" t="s">
        <v>383</v>
      </c>
      <c r="Q1259" s="10" cm="1">
        <f t="array" ref="Q1259:Z1259">INDIRECT_EFFECT("teq","transp_eqt_share","transp_eqt_elasticity",DECILE_ARRAY,"Urban","p25")</f>
        <v>0</v>
      </c>
      <c r="R1259">
        <v>0</v>
      </c>
      <c r="S1259">
        <v>0</v>
      </c>
      <c r="T1259">
        <v>0</v>
      </c>
      <c r="U1259">
        <v>0</v>
      </c>
      <c r="V1259">
        <v>0</v>
      </c>
      <c r="W1259">
        <v>0</v>
      </c>
      <c r="X1259">
        <v>0</v>
      </c>
      <c r="Y1259">
        <v>0</v>
      </c>
      <c r="Z1259">
        <v>0</v>
      </c>
    </row>
    <row r="1260" spans="4:26" x14ac:dyDescent="0.25">
      <c r="D1260" s="6" t="s">
        <v>75</v>
      </c>
      <c r="E1260" s="6" t="s">
        <v>385</v>
      </c>
      <c r="F1260" s="6" t="s">
        <v>382</v>
      </c>
      <c r="G1260" s="6" t="s">
        <v>375</v>
      </c>
      <c r="H1260" s="6" t="s">
        <v>383</v>
      </c>
      <c r="P1260" s="10" cm="1">
        <f t="array" ref="P1260">INDIRECT_EFFECT("teq","transp_eqt_share","transp_eqt_elasticity",0,"Rural","p25")</f>
        <v>0</v>
      </c>
    </row>
    <row r="1261" spans="4:26" x14ac:dyDescent="0.25">
      <c r="D1261" s="6" t="s">
        <v>75</v>
      </c>
      <c r="E1261" s="6" t="s">
        <v>385</v>
      </c>
      <c r="F1261" s="6" t="s">
        <v>145</v>
      </c>
      <c r="G1261" s="6" t="s">
        <v>375</v>
      </c>
      <c r="H1261" s="6" t="s">
        <v>383</v>
      </c>
      <c r="Q1261" s="10" cm="1">
        <f t="array" ref="Q1261:Z1261">INDIRECT_EFFECT("teq","transp_eqt_share","transp_eqt_elasticity",DECILE_ARRAY,"Rural","p25")</f>
        <v>0</v>
      </c>
      <c r="R1261">
        <v>0</v>
      </c>
      <c r="S1261">
        <v>0</v>
      </c>
      <c r="T1261">
        <v>0</v>
      </c>
      <c r="U1261">
        <v>0</v>
      </c>
      <c r="V1261">
        <v>0</v>
      </c>
      <c r="W1261">
        <v>0</v>
      </c>
      <c r="X1261">
        <v>0</v>
      </c>
      <c r="Y1261">
        <v>0</v>
      </c>
      <c r="Z1261">
        <v>0</v>
      </c>
    </row>
    <row r="1262" spans="4:26" x14ac:dyDescent="0.25">
      <c r="D1262" s="6" t="s">
        <v>78</v>
      </c>
      <c r="E1262" s="6" t="s">
        <v>381</v>
      </c>
      <c r="F1262" s="6" t="s">
        <v>382</v>
      </c>
      <c r="G1262" s="6" t="s">
        <v>375</v>
      </c>
      <c r="H1262" s="6" t="s">
        <v>383</v>
      </c>
      <c r="P1262" s="10" cm="1">
        <f t="array" ref="P1262">INDIRECT_EFFECT("teq","transp_eqt_share","transp_eqt_elasticity",0,"Overall","p75")</f>
        <v>0</v>
      </c>
    </row>
    <row r="1263" spans="4:26" x14ac:dyDescent="0.25">
      <c r="D1263" s="6" t="s">
        <v>78</v>
      </c>
      <c r="E1263" s="6" t="s">
        <v>381</v>
      </c>
      <c r="F1263" s="6" t="s">
        <v>145</v>
      </c>
      <c r="G1263" s="6" t="s">
        <v>375</v>
      </c>
      <c r="H1263" s="6" t="s">
        <v>383</v>
      </c>
      <c r="Q1263" s="10" cm="1">
        <f t="array" ref="Q1263:Z1263">INDIRECT_EFFECT("teq","transp_eqt_share","transp_eqt_elasticity",DECILE_ARRAY,"Overall","p75")</f>
        <v>0</v>
      </c>
      <c r="R1263">
        <v>0</v>
      </c>
      <c r="S1263">
        <v>0</v>
      </c>
      <c r="T1263">
        <v>0</v>
      </c>
      <c r="U1263">
        <v>0</v>
      </c>
      <c r="V1263">
        <v>0</v>
      </c>
      <c r="W1263">
        <v>0</v>
      </c>
      <c r="X1263">
        <v>0</v>
      </c>
      <c r="Y1263">
        <v>0</v>
      </c>
      <c r="Z1263">
        <v>0</v>
      </c>
    </row>
    <row r="1264" spans="4:26" x14ac:dyDescent="0.25">
      <c r="D1264" s="6" t="s">
        <v>78</v>
      </c>
      <c r="E1264" s="6" t="s">
        <v>384</v>
      </c>
      <c r="F1264" s="6" t="s">
        <v>382</v>
      </c>
      <c r="G1264" s="6" t="s">
        <v>375</v>
      </c>
      <c r="H1264" s="6" t="s">
        <v>383</v>
      </c>
      <c r="P1264" s="10" cm="1">
        <f t="array" ref="P1264">INDIRECT_EFFECT("teq","transp_eqt_share","transp_eqt_elasticity",0,"Urban","p75")</f>
        <v>0</v>
      </c>
    </row>
    <row r="1265" spans="3:26" x14ac:dyDescent="0.25">
      <c r="D1265" s="6" t="s">
        <v>78</v>
      </c>
      <c r="E1265" s="6" t="s">
        <v>384</v>
      </c>
      <c r="F1265" s="6" t="s">
        <v>145</v>
      </c>
      <c r="G1265" s="6" t="s">
        <v>375</v>
      </c>
      <c r="H1265" s="6" t="s">
        <v>383</v>
      </c>
      <c r="Q1265" s="10" cm="1">
        <f t="array" ref="Q1265:Z1265">INDIRECT_EFFECT("teq","transp_eqt_share","transp_eqt_elasticity",DECILE_ARRAY,"Urban","p75")</f>
        <v>0</v>
      </c>
      <c r="R1265">
        <v>0</v>
      </c>
      <c r="S1265">
        <v>0</v>
      </c>
      <c r="T1265">
        <v>0</v>
      </c>
      <c r="U1265">
        <v>0</v>
      </c>
      <c r="V1265">
        <v>0</v>
      </c>
      <c r="W1265">
        <v>0</v>
      </c>
      <c r="X1265">
        <v>0</v>
      </c>
      <c r="Y1265">
        <v>0</v>
      </c>
      <c r="Z1265">
        <v>0</v>
      </c>
    </row>
    <row r="1266" spans="3:26" x14ac:dyDescent="0.25">
      <c r="D1266" s="6" t="s">
        <v>78</v>
      </c>
      <c r="E1266" s="6" t="s">
        <v>385</v>
      </c>
      <c r="F1266" s="6" t="s">
        <v>382</v>
      </c>
      <c r="G1266" s="6" t="s">
        <v>375</v>
      </c>
      <c r="H1266" s="6" t="s">
        <v>383</v>
      </c>
      <c r="P1266" s="10" cm="1">
        <f t="array" ref="P1266">INDIRECT_EFFECT("teq","transp_eqt_share","transp_eqt_elasticity",0,"Rural","p75")</f>
        <v>0</v>
      </c>
    </row>
    <row r="1267" spans="3:26" x14ac:dyDescent="0.25">
      <c r="D1267" s="6" t="s">
        <v>78</v>
      </c>
      <c r="E1267" s="6" t="s">
        <v>385</v>
      </c>
      <c r="F1267" s="6" t="s">
        <v>145</v>
      </c>
      <c r="G1267" s="6" t="s">
        <v>375</v>
      </c>
      <c r="H1267" s="6" t="s">
        <v>383</v>
      </c>
      <c r="Q1267" s="10" cm="1">
        <f t="array" ref="Q1267:Z1267">INDIRECT_EFFECT("teq","transp_eqt_share","transp_eqt_elasticity",DECILE_ARRAY,"Rural","p75")</f>
        <v>0</v>
      </c>
      <c r="R1267">
        <v>0</v>
      </c>
      <c r="S1267">
        <v>0</v>
      </c>
      <c r="T1267">
        <v>0</v>
      </c>
      <c r="U1267">
        <v>0</v>
      </c>
      <c r="V1267">
        <v>0</v>
      </c>
      <c r="W1267">
        <v>0</v>
      </c>
      <c r="X1267">
        <v>0</v>
      </c>
      <c r="Y1267">
        <v>0</v>
      </c>
      <c r="Z1267">
        <v>0</v>
      </c>
    </row>
    <row r="1269" spans="3:26" x14ac:dyDescent="0.25">
      <c r="C1269" s="7" t="s">
        <v>442</v>
      </c>
      <c r="G1269" s="6" t="s">
        <v>377</v>
      </c>
      <c r="O1269" s="2" t="s">
        <v>331</v>
      </c>
      <c r="Q1269" s="2">
        <v>1</v>
      </c>
      <c r="R1269" s="2">
        <v>2</v>
      </c>
      <c r="S1269" s="2">
        <v>3</v>
      </c>
      <c r="T1269" s="2">
        <v>4</v>
      </c>
      <c r="U1269" s="2">
        <v>5</v>
      </c>
      <c r="V1269" s="2">
        <v>6</v>
      </c>
      <c r="W1269" s="2">
        <v>7</v>
      </c>
      <c r="X1269" s="2">
        <v>8</v>
      </c>
      <c r="Y1269" s="2">
        <v>9</v>
      </c>
      <c r="Z1269" s="2">
        <v>10</v>
      </c>
    </row>
    <row r="1270" spans="3:26" x14ac:dyDescent="0.25">
      <c r="D1270" s="6" t="s">
        <v>69</v>
      </c>
      <c r="E1270" s="6" t="s">
        <v>381</v>
      </c>
      <c r="F1270" s="6" t="s">
        <v>382</v>
      </c>
      <c r="G1270" s="6" t="s">
        <v>377</v>
      </c>
      <c r="H1270" s="6" t="s">
        <v>383</v>
      </c>
      <c r="P1270" s="10" cm="1">
        <f t="array" ref="P1270">INDIRECT_EFFECT("tpu","transp_pub_share","transp_pub_elasticity",0,"Overall","mean")</f>
        <v>5.4804097722350086E-2</v>
      </c>
    </row>
    <row r="1271" spans="3:26" x14ac:dyDescent="0.25">
      <c r="D1271" s="6" t="s">
        <v>69</v>
      </c>
      <c r="E1271" s="6" t="s">
        <v>381</v>
      </c>
      <c r="F1271" s="6" t="s">
        <v>145</v>
      </c>
      <c r="G1271" s="6" t="s">
        <v>377</v>
      </c>
      <c r="H1271" s="6" t="s">
        <v>383</v>
      </c>
      <c r="Q1271" s="10" cm="1">
        <f t="array" ref="Q1271:Z1271">INDIRECT_EFFECT("tpu","transp_pub_share","transp_pub_elasticity",DECILE_ARRAY,"Overall","mean")</f>
        <v>6.0137653175760523E-2</v>
      </c>
      <c r="R1271">
        <v>5.5381134802093931E-2</v>
      </c>
      <c r="S1271">
        <v>5.452803250046525E-2</v>
      </c>
      <c r="T1271">
        <v>5.5361089528895242E-2</v>
      </c>
      <c r="U1271">
        <v>5.7152283922652911E-2</v>
      </c>
      <c r="V1271">
        <v>5.8032248674409377E-2</v>
      </c>
      <c r="W1271">
        <v>6.4593709582113468E-2</v>
      </c>
      <c r="X1271">
        <v>6.3348734165902781E-2</v>
      </c>
      <c r="Y1271">
        <v>5.8456966079887693E-2</v>
      </c>
      <c r="Z1271">
        <v>5.3326931519108084E-2</v>
      </c>
    </row>
    <row r="1272" spans="3:26" x14ac:dyDescent="0.25">
      <c r="D1272" s="6" t="s">
        <v>69</v>
      </c>
      <c r="E1272" s="6" t="s">
        <v>384</v>
      </c>
      <c r="F1272" s="6" t="s">
        <v>382</v>
      </c>
      <c r="G1272" s="6" t="s">
        <v>377</v>
      </c>
      <c r="H1272" s="6" t="s">
        <v>383</v>
      </c>
      <c r="P1272" s="10" cm="1">
        <f t="array" ref="P1272">INDIRECT_EFFECT("tpu","transp_pub_share","transp_pub_elasticity",0,"Urban","mean")</f>
        <v>6.8604882883975732E-2</v>
      </c>
    </row>
    <row r="1273" spans="3:26" x14ac:dyDescent="0.25">
      <c r="D1273" s="6" t="s">
        <v>69</v>
      </c>
      <c r="E1273" s="6" t="s">
        <v>384</v>
      </c>
      <c r="F1273" s="6" t="s">
        <v>145</v>
      </c>
      <c r="G1273" s="6" t="s">
        <v>377</v>
      </c>
      <c r="H1273" s="6" t="s">
        <v>383</v>
      </c>
      <c r="Q1273" s="10" cm="1">
        <f t="array" ref="Q1273:Z1273">INDIRECT_EFFECT("tpu","transp_pub_share","transp_pub_elasticity",DECILE_ARRAY,"Urban","mean")</f>
        <v>6.9722904744500103E-2</v>
      </c>
      <c r="R1273">
        <v>6.8838223970606321E-2</v>
      </c>
      <c r="S1273">
        <v>6.8738392554304598E-2</v>
      </c>
      <c r="T1273">
        <v>7.0013416343546533E-2</v>
      </c>
      <c r="U1273">
        <v>7.2083289467825606E-2</v>
      </c>
      <c r="V1273">
        <v>7.0744990320573561E-2</v>
      </c>
      <c r="W1273">
        <v>6.3720118562717615E-2</v>
      </c>
      <c r="X1273">
        <v>6.9898447072956324E-2</v>
      </c>
      <c r="Y1273">
        <v>6.0631656364500144E-2</v>
      </c>
      <c r="Z1273">
        <v>5.5728314870689556E-2</v>
      </c>
    </row>
    <row r="1274" spans="3:26" x14ac:dyDescent="0.25">
      <c r="D1274" s="6" t="s">
        <v>69</v>
      </c>
      <c r="E1274" s="6" t="s">
        <v>385</v>
      </c>
      <c r="F1274" s="6" t="s">
        <v>382</v>
      </c>
      <c r="G1274" s="6" t="s">
        <v>377</v>
      </c>
      <c r="H1274" s="6" t="s">
        <v>383</v>
      </c>
      <c r="P1274" s="10" cm="1">
        <f t="array" ref="P1274">INDIRECT_EFFECT("tpu","transp_pub_share","transp_pub_elasticity",0,"Rural","mean")</f>
        <v>5.1719736763538832E-2</v>
      </c>
    </row>
    <row r="1275" spans="3:26" x14ac:dyDescent="0.25">
      <c r="D1275" s="6" t="s">
        <v>69</v>
      </c>
      <c r="E1275" s="6" t="s">
        <v>385</v>
      </c>
      <c r="F1275" s="6" t="s">
        <v>145</v>
      </c>
      <c r="G1275" s="6" t="s">
        <v>377</v>
      </c>
      <c r="H1275" s="6" t="s">
        <v>383</v>
      </c>
      <c r="Q1275" s="10" cm="1">
        <f t="array" ref="Q1275:Z1275">INDIRECT_EFFECT("tpu","transp_pub_share","transp_pub_elasticity",DECILE_ARRAY,"Rural","mean")</f>
        <v>5.4529270667100303E-2</v>
      </c>
      <c r="R1275">
        <v>4.6725108393929564E-2</v>
      </c>
      <c r="S1275">
        <v>4.4697133377570288E-2</v>
      </c>
      <c r="T1275">
        <v>5.1370497530127207E-2</v>
      </c>
      <c r="U1275">
        <v>5.5793267405207923E-2</v>
      </c>
      <c r="V1275">
        <v>5.2154615545133856E-2</v>
      </c>
      <c r="W1275">
        <v>5.4333545806866987E-2</v>
      </c>
      <c r="X1275">
        <v>5.5033541987030019E-2</v>
      </c>
      <c r="Y1275">
        <v>5.1955094438338824E-2</v>
      </c>
      <c r="Z1275">
        <v>4.6880036335504222E-2</v>
      </c>
    </row>
    <row r="1276" spans="3:26" x14ac:dyDescent="0.25">
      <c r="D1276" s="6" t="s">
        <v>72</v>
      </c>
      <c r="E1276" s="6" t="s">
        <v>381</v>
      </c>
      <c r="F1276" s="6" t="s">
        <v>382</v>
      </c>
      <c r="G1276" s="6" t="s">
        <v>377</v>
      </c>
      <c r="H1276" s="6" t="s">
        <v>383</v>
      </c>
      <c r="P1276" s="10" cm="1">
        <f t="array" ref="P1276">INDIRECT_EFFECT("tpu","transp_pub_share","transp_pub_elasticity",0,"Overall","median")</f>
        <v>5.0104801350778619E-2</v>
      </c>
    </row>
    <row r="1277" spans="3:26" x14ac:dyDescent="0.25">
      <c r="D1277" s="6" t="s">
        <v>72</v>
      </c>
      <c r="E1277" s="6" t="s">
        <v>381</v>
      </c>
      <c r="F1277" s="6" t="s">
        <v>145</v>
      </c>
      <c r="G1277" s="6" t="s">
        <v>377</v>
      </c>
      <c r="H1277" s="6" t="s">
        <v>383</v>
      </c>
      <c r="Q1277" s="10" cm="1">
        <f t="array" ref="Q1277:Z1277">INDIRECT_EFFECT("tpu","transp_pub_share","transp_pub_elasticity",DECILE_ARRAY,"Overall","median")</f>
        <v>4.2679240828583036E-2</v>
      </c>
      <c r="R1277">
        <v>4.3443975890876889E-2</v>
      </c>
      <c r="S1277">
        <v>4.2830275931239392E-2</v>
      </c>
      <c r="T1277">
        <v>4.7704378432331287E-2</v>
      </c>
      <c r="U1277">
        <v>5.2022004815550145E-2</v>
      </c>
      <c r="V1277">
        <v>5.0920477355193235E-2</v>
      </c>
      <c r="W1277">
        <v>5.2608516303052522E-2</v>
      </c>
      <c r="X1277">
        <v>4.8656323326825457E-2</v>
      </c>
      <c r="Y1277">
        <v>5.0513882049482435E-2</v>
      </c>
      <c r="Z1277">
        <v>4.8070965690771843E-2</v>
      </c>
    </row>
    <row r="1278" spans="3:26" x14ac:dyDescent="0.25">
      <c r="D1278" s="6" t="s">
        <v>72</v>
      </c>
      <c r="E1278" s="6" t="s">
        <v>384</v>
      </c>
      <c r="F1278" s="6" t="s">
        <v>382</v>
      </c>
      <c r="G1278" s="6" t="s">
        <v>377</v>
      </c>
      <c r="H1278" s="6" t="s">
        <v>383</v>
      </c>
      <c r="P1278" s="10" cm="1">
        <f t="array" ref="P1278">INDIRECT_EFFECT("tpu","transp_pub_share","transp_pub_elasticity",0,"Urban","median")</f>
        <v>5.2319123113660257E-2</v>
      </c>
    </row>
    <row r="1279" spans="3:26" x14ac:dyDescent="0.25">
      <c r="D1279" s="6" t="s">
        <v>72</v>
      </c>
      <c r="E1279" s="6" t="s">
        <v>384</v>
      </c>
      <c r="F1279" s="6" t="s">
        <v>145</v>
      </c>
      <c r="G1279" s="6" t="s">
        <v>377</v>
      </c>
      <c r="H1279" s="6" t="s">
        <v>383</v>
      </c>
      <c r="Q1279" s="10" cm="1">
        <f t="array" ref="Q1279:Z1279">INDIRECT_EFFECT("tpu","transp_pub_share","transp_pub_elasticity",DECILE_ARRAY,"Urban","median")</f>
        <v>4.9693095170014558E-2</v>
      </c>
      <c r="R1279">
        <v>6.1734613183214354E-2</v>
      </c>
      <c r="S1279">
        <v>5.2498534025212241E-2</v>
      </c>
      <c r="T1279">
        <v>5.7102248305463614E-2</v>
      </c>
      <c r="U1279">
        <v>5.851035439620806E-2</v>
      </c>
      <c r="V1279">
        <v>5.3733066937546349E-2</v>
      </c>
      <c r="W1279">
        <v>5.6076084370815647E-2</v>
      </c>
      <c r="X1279">
        <v>6.1877488533434499E-2</v>
      </c>
      <c r="Y1279">
        <v>5.5824944260161977E-2</v>
      </c>
      <c r="Z1279">
        <v>4.1921743711317794E-2</v>
      </c>
    </row>
    <row r="1280" spans="3:26" x14ac:dyDescent="0.25">
      <c r="D1280" s="6" t="s">
        <v>72</v>
      </c>
      <c r="E1280" s="6" t="s">
        <v>385</v>
      </c>
      <c r="F1280" s="6" t="s">
        <v>382</v>
      </c>
      <c r="G1280" s="6" t="s">
        <v>377</v>
      </c>
      <c r="H1280" s="6" t="s">
        <v>383</v>
      </c>
      <c r="P1280" s="10" cm="1">
        <f t="array" ref="P1280">INDIRECT_EFFECT("tpu","transp_pub_share","transp_pub_elasticity",0,"Rural","median")</f>
        <v>4.0012428989303551E-2</v>
      </c>
    </row>
    <row r="1281" spans="3:26" x14ac:dyDescent="0.25">
      <c r="D1281" s="6" t="s">
        <v>72</v>
      </c>
      <c r="E1281" s="6" t="s">
        <v>385</v>
      </c>
      <c r="F1281" s="6" t="s">
        <v>145</v>
      </c>
      <c r="G1281" s="6" t="s">
        <v>377</v>
      </c>
      <c r="H1281" s="6" t="s">
        <v>383</v>
      </c>
      <c r="Q1281" s="10" cm="1">
        <f t="array" ref="Q1281:Z1281">INDIRECT_EFFECT("tpu","transp_pub_share","transp_pub_elasticity",DECILE_ARRAY,"Rural","median")</f>
        <v>4.1103768289154505E-2</v>
      </c>
      <c r="R1281">
        <v>4.3051168651715231E-2</v>
      </c>
      <c r="S1281">
        <v>4.2586451318726362E-2</v>
      </c>
      <c r="T1281">
        <v>4.0314478868034916E-2</v>
      </c>
      <c r="U1281">
        <v>4.4477421016844314E-2</v>
      </c>
      <c r="V1281">
        <v>4.3229166875294329E-2</v>
      </c>
      <c r="W1281">
        <v>4.2986185887587694E-2</v>
      </c>
      <c r="X1281">
        <v>4.3249350946010602E-2</v>
      </c>
      <c r="Y1281">
        <v>4.5148036760156128E-2</v>
      </c>
      <c r="Z1281">
        <v>4.1923274261862375E-2</v>
      </c>
    </row>
    <row r="1282" spans="3:26" x14ac:dyDescent="0.25">
      <c r="D1282" s="6" t="s">
        <v>75</v>
      </c>
      <c r="E1282" s="6" t="s">
        <v>381</v>
      </c>
      <c r="F1282" s="6" t="s">
        <v>382</v>
      </c>
      <c r="G1282" s="6" t="s">
        <v>377</v>
      </c>
      <c r="H1282" s="6" t="s">
        <v>383</v>
      </c>
      <c r="P1282" s="10" cm="1">
        <f t="array" ref="P1282">INDIRECT_EFFECT("tpu","transp_pub_share","transp_pub_elasticity",0,"Overall","p25")</f>
        <v>2.6479501984145927E-2</v>
      </c>
    </row>
    <row r="1283" spans="3:26" x14ac:dyDescent="0.25">
      <c r="D1283" s="6" t="s">
        <v>75</v>
      </c>
      <c r="E1283" s="6" t="s">
        <v>381</v>
      </c>
      <c r="F1283" s="6" t="s">
        <v>145</v>
      </c>
      <c r="G1283" s="6" t="s">
        <v>377</v>
      </c>
      <c r="H1283" s="6" t="s">
        <v>383</v>
      </c>
      <c r="Q1283" s="10" cm="1">
        <f t="array" ref="Q1283:Z1283">INDIRECT_EFFECT("tpu","transp_pub_share","transp_pub_elasticity",DECILE_ARRAY,"Overall","p25")</f>
        <v>2.6496758745976481E-2</v>
      </c>
      <c r="R1283">
        <v>2.7578562680662305E-2</v>
      </c>
      <c r="S1283">
        <v>2.8417201964799164E-2</v>
      </c>
      <c r="T1283">
        <v>2.9938249680688225E-2</v>
      </c>
      <c r="U1283">
        <v>2.7270196219267111E-2</v>
      </c>
      <c r="V1283">
        <v>2.7492898092561918E-2</v>
      </c>
      <c r="W1283">
        <v>3.1603817036329182E-2</v>
      </c>
      <c r="X1283">
        <v>2.9247141939813003E-2</v>
      </c>
      <c r="Y1283">
        <v>2.7643626997897804E-2</v>
      </c>
      <c r="Z1283">
        <v>2.5116588624053297E-2</v>
      </c>
    </row>
    <row r="1284" spans="3:26" x14ac:dyDescent="0.25">
      <c r="D1284" s="6" t="s">
        <v>75</v>
      </c>
      <c r="E1284" s="6" t="s">
        <v>384</v>
      </c>
      <c r="F1284" s="6" t="s">
        <v>382</v>
      </c>
      <c r="G1284" s="6" t="s">
        <v>377</v>
      </c>
      <c r="H1284" s="6" t="s">
        <v>383</v>
      </c>
      <c r="P1284" s="10" cm="1">
        <f t="array" ref="P1284">INDIRECT_EFFECT("tpu","transp_pub_share","transp_pub_elasticity",0,"Urban","p25")</f>
        <v>3.3105485295987606E-2</v>
      </c>
    </row>
    <row r="1285" spans="3:26" x14ac:dyDescent="0.25">
      <c r="D1285" s="6" t="s">
        <v>75</v>
      </c>
      <c r="E1285" s="6" t="s">
        <v>384</v>
      </c>
      <c r="F1285" s="6" t="s">
        <v>145</v>
      </c>
      <c r="G1285" s="6" t="s">
        <v>377</v>
      </c>
      <c r="H1285" s="6" t="s">
        <v>383</v>
      </c>
      <c r="Q1285" s="10" cm="1">
        <f t="array" ref="Q1285:Z1285">INDIRECT_EFFECT("tpu","transp_pub_share","transp_pub_elasticity",DECILE_ARRAY,"Urban","p25")</f>
        <v>2.873673810811276E-2</v>
      </c>
      <c r="R1285">
        <v>3.3602392750527038E-2</v>
      </c>
      <c r="S1285">
        <v>3.0354648588273605E-2</v>
      </c>
      <c r="T1285">
        <v>3.3839375726991951E-2</v>
      </c>
      <c r="U1285">
        <v>3.4283166549173523E-2</v>
      </c>
      <c r="V1285">
        <v>3.7328640132226851E-2</v>
      </c>
      <c r="W1285">
        <v>3.4203777804675477E-2</v>
      </c>
      <c r="X1285">
        <v>3.0655771378439022E-2</v>
      </c>
      <c r="Y1285">
        <v>2.7269248324394015E-2</v>
      </c>
      <c r="Z1285">
        <v>2.0649171795772282E-2</v>
      </c>
    </row>
    <row r="1286" spans="3:26" x14ac:dyDescent="0.25">
      <c r="D1286" s="6" t="s">
        <v>75</v>
      </c>
      <c r="E1286" s="6" t="s">
        <v>385</v>
      </c>
      <c r="F1286" s="6" t="s">
        <v>382</v>
      </c>
      <c r="G1286" s="6" t="s">
        <v>377</v>
      </c>
      <c r="H1286" s="6" t="s">
        <v>383</v>
      </c>
      <c r="P1286" s="10" cm="1">
        <f t="array" ref="P1286">INDIRECT_EFFECT("tpu","transp_pub_share","transp_pub_elasticity",0,"Rural","p25")</f>
        <v>2.4731096958335141E-2</v>
      </c>
    </row>
    <row r="1287" spans="3:26" x14ac:dyDescent="0.25">
      <c r="D1287" s="6" t="s">
        <v>75</v>
      </c>
      <c r="E1287" s="6" t="s">
        <v>385</v>
      </c>
      <c r="F1287" s="6" t="s">
        <v>145</v>
      </c>
      <c r="G1287" s="6" t="s">
        <v>377</v>
      </c>
      <c r="H1287" s="6" t="s">
        <v>383</v>
      </c>
      <c r="Q1287" s="10" cm="1">
        <f t="array" ref="Q1287:Z1287">INDIRECT_EFFECT("tpu","transp_pub_share","transp_pub_elasticity",DECILE_ARRAY,"Rural","p25")</f>
        <v>2.9189941331965383E-2</v>
      </c>
      <c r="R1287">
        <v>2.3148538088706455E-2</v>
      </c>
      <c r="S1287">
        <v>2.6708916856924145E-2</v>
      </c>
      <c r="T1287">
        <v>2.7662313694963466E-2</v>
      </c>
      <c r="U1287">
        <v>2.5438109429911124E-2</v>
      </c>
      <c r="V1287">
        <v>2.6665587848017674E-2</v>
      </c>
      <c r="W1287">
        <v>2.7909869260234317E-2</v>
      </c>
      <c r="X1287">
        <v>2.8228292901251673E-2</v>
      </c>
      <c r="Y1287">
        <v>2.7286886916338494E-2</v>
      </c>
      <c r="Z1287">
        <v>2.3526483628435832E-2</v>
      </c>
    </row>
    <row r="1288" spans="3:26" x14ac:dyDescent="0.25">
      <c r="D1288" s="6" t="s">
        <v>78</v>
      </c>
      <c r="E1288" s="6" t="s">
        <v>381</v>
      </c>
      <c r="F1288" s="6" t="s">
        <v>382</v>
      </c>
      <c r="G1288" s="6" t="s">
        <v>377</v>
      </c>
      <c r="H1288" s="6" t="s">
        <v>383</v>
      </c>
      <c r="P1288" s="10" cm="1">
        <f t="array" ref="P1288">INDIRECT_EFFECT("tpu","transp_pub_share","transp_pub_elasticity",0,"Overall","p75")</f>
        <v>7.5883487880340716E-2</v>
      </c>
    </row>
    <row r="1289" spans="3:26" x14ac:dyDescent="0.25">
      <c r="D1289" s="6" t="s">
        <v>78</v>
      </c>
      <c r="E1289" s="6" t="s">
        <v>381</v>
      </c>
      <c r="F1289" s="6" t="s">
        <v>145</v>
      </c>
      <c r="G1289" s="6" t="s">
        <v>377</v>
      </c>
      <c r="H1289" s="6" t="s">
        <v>383</v>
      </c>
      <c r="Q1289" s="10" cm="1">
        <f t="array" ref="Q1289:Z1289">INDIRECT_EFFECT("tpu","transp_pub_share","transp_pub_elasticity",DECILE_ARRAY,"Overall","p75")</f>
        <v>7.1248931600625301E-2</v>
      </c>
      <c r="R1289">
        <v>6.9862924422197256E-2</v>
      </c>
      <c r="S1289">
        <v>7.4079848267719989E-2</v>
      </c>
      <c r="T1289">
        <v>7.727631933434756E-2</v>
      </c>
      <c r="U1289">
        <v>7.5132650285923155E-2</v>
      </c>
      <c r="V1289">
        <v>7.2696340401326151E-2</v>
      </c>
      <c r="W1289">
        <v>8.2015178551319512E-2</v>
      </c>
      <c r="X1289">
        <v>8.1349631114805879E-2</v>
      </c>
      <c r="Y1289">
        <v>8.0242936081947061E-2</v>
      </c>
      <c r="Z1289">
        <v>7.8322506891651433E-2</v>
      </c>
    </row>
    <row r="1290" spans="3:26" x14ac:dyDescent="0.25">
      <c r="D1290" s="6" t="s">
        <v>78</v>
      </c>
      <c r="E1290" s="6" t="s">
        <v>384</v>
      </c>
      <c r="F1290" s="6" t="s">
        <v>382</v>
      </c>
      <c r="G1290" s="6" t="s">
        <v>377</v>
      </c>
      <c r="H1290" s="6" t="s">
        <v>383</v>
      </c>
      <c r="P1290" s="10" cm="1">
        <f t="array" ref="P1290">INDIRECT_EFFECT("tpu","transp_pub_share","transp_pub_elasticity",0,"Urban","p75")</f>
        <v>9.2271753243172605E-2</v>
      </c>
    </row>
    <row r="1291" spans="3:26" x14ac:dyDescent="0.25">
      <c r="D1291" s="6" t="s">
        <v>78</v>
      </c>
      <c r="E1291" s="6" t="s">
        <v>384</v>
      </c>
      <c r="F1291" s="6" t="s">
        <v>145</v>
      </c>
      <c r="G1291" s="6" t="s">
        <v>377</v>
      </c>
      <c r="H1291" s="6" t="s">
        <v>383</v>
      </c>
      <c r="Q1291" s="10" cm="1">
        <f t="array" ref="Q1291:Z1291">INDIRECT_EFFECT("tpu","transp_pub_share","transp_pub_elasticity",DECILE_ARRAY,"Urban","p75")</f>
        <v>8.3215875906292147E-2</v>
      </c>
      <c r="R1291">
        <v>8.5327224117676181E-2</v>
      </c>
      <c r="S1291">
        <v>8.1051735029394306E-2</v>
      </c>
      <c r="T1291">
        <v>9.7104595025114107E-2</v>
      </c>
      <c r="U1291">
        <v>8.3818907821664748E-2</v>
      </c>
      <c r="V1291">
        <v>9.2810428100086509E-2</v>
      </c>
      <c r="W1291">
        <v>9.2344440065310729E-2</v>
      </c>
      <c r="X1291">
        <v>9.4322293152279343E-2</v>
      </c>
      <c r="Y1291">
        <v>9.0935760351698175E-2</v>
      </c>
      <c r="Z1291">
        <v>7.5498417873312185E-2</v>
      </c>
    </row>
    <row r="1292" spans="3:26" x14ac:dyDescent="0.25">
      <c r="D1292" s="6" t="s">
        <v>78</v>
      </c>
      <c r="E1292" s="6" t="s">
        <v>385</v>
      </c>
      <c r="F1292" s="6" t="s">
        <v>382</v>
      </c>
      <c r="G1292" s="6" t="s">
        <v>377</v>
      </c>
      <c r="H1292" s="6" t="s">
        <v>383</v>
      </c>
      <c r="P1292" s="10" cm="1">
        <f t="array" ref="P1292">INDIRECT_EFFECT("tpu","transp_pub_share","transp_pub_elasticity",0,"Rural","p75")</f>
        <v>6.6456450492417538E-2</v>
      </c>
    </row>
    <row r="1293" spans="3:26" x14ac:dyDescent="0.25">
      <c r="D1293" s="6" t="s">
        <v>78</v>
      </c>
      <c r="E1293" s="6" t="s">
        <v>385</v>
      </c>
      <c r="F1293" s="6" t="s">
        <v>145</v>
      </c>
      <c r="G1293" s="6" t="s">
        <v>377</v>
      </c>
      <c r="H1293" s="6" t="s">
        <v>383</v>
      </c>
      <c r="Q1293" s="10" cm="1">
        <f t="array" ref="Q1293:Z1293">INDIRECT_EFFECT("tpu","transp_pub_share","transp_pub_elasticity",DECILE_ARRAY,"Rural","p75")</f>
        <v>6.4315183078590563E-2</v>
      </c>
      <c r="R1293">
        <v>6.6405351502242554E-2</v>
      </c>
      <c r="S1293">
        <v>5.7247629996224313E-2</v>
      </c>
      <c r="T1293">
        <v>6.0948980055626406E-2</v>
      </c>
      <c r="U1293">
        <v>6.7492302438345669E-2</v>
      </c>
      <c r="V1293">
        <v>6.7984587582620798E-2</v>
      </c>
      <c r="W1293">
        <v>6.7109573776785239E-2</v>
      </c>
      <c r="X1293">
        <v>7.5606799107947154E-2</v>
      </c>
      <c r="Y1293">
        <v>6.84552772012091E-2</v>
      </c>
      <c r="Z1293">
        <v>6.4275442548030873E-2</v>
      </c>
    </row>
    <row r="1295" spans="3:26" x14ac:dyDescent="0.25">
      <c r="C1295" s="7" t="s">
        <v>443</v>
      </c>
      <c r="G1295" s="6" t="s">
        <v>426</v>
      </c>
      <c r="O1295" s="2" t="s">
        <v>331</v>
      </c>
      <c r="Q1295" s="2">
        <v>1</v>
      </c>
      <c r="R1295" s="2">
        <v>2</v>
      </c>
      <c r="S1295" s="2">
        <v>3</v>
      </c>
      <c r="T1295" s="2">
        <v>4</v>
      </c>
      <c r="U1295" s="2">
        <v>5</v>
      </c>
      <c r="V1295" s="2">
        <v>6</v>
      </c>
      <c r="W1295" s="2">
        <v>7</v>
      </c>
      <c r="X1295" s="2">
        <v>8</v>
      </c>
      <c r="Y1295" s="2">
        <v>9</v>
      </c>
      <c r="Z1295" s="2">
        <v>10</v>
      </c>
    </row>
    <row r="1296" spans="3:26" x14ac:dyDescent="0.25">
      <c r="D1296" s="6" t="s">
        <v>69</v>
      </c>
      <c r="E1296" s="6" t="s">
        <v>381</v>
      </c>
      <c r="F1296" s="6" t="s">
        <v>382</v>
      </c>
      <c r="G1296" s="6" t="s">
        <v>426</v>
      </c>
      <c r="H1296" s="6" t="s">
        <v>383</v>
      </c>
      <c r="P1296" s="10" cm="1">
        <f t="array" ref="P1296">TOTAL_INDIRECT_EFFECT(0,"Overall","mean")</f>
        <v>0.47795563185271217</v>
      </c>
    </row>
    <row r="1297" spans="4:26" x14ac:dyDescent="0.25">
      <c r="D1297" s="6" t="s">
        <v>69</v>
      </c>
      <c r="E1297" s="6" t="s">
        <v>381</v>
      </c>
      <c r="F1297" s="6" t="s">
        <v>145</v>
      </c>
      <c r="G1297" s="6" t="s">
        <v>426</v>
      </c>
      <c r="H1297" s="6" t="s">
        <v>383</v>
      </c>
      <c r="Q1297" s="10" cm="1">
        <f t="array" ref="Q1297:Z1297">TOTAL_INDIRECT_EFFECT(DECILE_ARRAY,"Overall","mean")</f>
        <v>0.4819196281894344</v>
      </c>
      <c r="R1297">
        <v>0.48346886121848209</v>
      </c>
      <c r="S1297">
        <v>0.46592509710030716</v>
      </c>
      <c r="T1297">
        <v>0.46798135013400594</v>
      </c>
      <c r="U1297">
        <v>0.4818672263117571</v>
      </c>
      <c r="V1297">
        <v>0.49896662956031518</v>
      </c>
      <c r="W1297">
        <v>0.48627378746757527</v>
      </c>
      <c r="X1297">
        <v>0.50856394282538731</v>
      </c>
      <c r="Y1297">
        <v>0.50789289076264599</v>
      </c>
      <c r="Z1297">
        <v>0.49692446044251237</v>
      </c>
    </row>
    <row r="1298" spans="4:26" x14ac:dyDescent="0.25">
      <c r="D1298" s="6" t="s">
        <v>69</v>
      </c>
      <c r="E1298" s="6" t="s">
        <v>384</v>
      </c>
      <c r="F1298" s="6" t="s">
        <v>382</v>
      </c>
      <c r="G1298" s="6" t="s">
        <v>426</v>
      </c>
      <c r="H1298" s="6" t="s">
        <v>383</v>
      </c>
      <c r="P1298" s="10" cm="1">
        <f t="array" ref="P1298">TOTAL_INDIRECT_EFFECT(0,"Urban","mean")</f>
        <v>0.48814786119809994</v>
      </c>
    </row>
    <row r="1299" spans="4:26" x14ac:dyDescent="0.25">
      <c r="D1299" s="6" t="s">
        <v>69</v>
      </c>
      <c r="E1299" s="6" t="s">
        <v>384</v>
      </c>
      <c r="F1299" s="6" t="s">
        <v>145</v>
      </c>
      <c r="G1299" s="6" t="s">
        <v>426</v>
      </c>
      <c r="H1299" s="6" t="s">
        <v>383</v>
      </c>
      <c r="Q1299" s="10" cm="1">
        <f t="array" ref="Q1299:Z1299">TOTAL_INDIRECT_EFFECT(DECILE_ARRAY,"Urban","mean")</f>
        <v>0.47906104486183887</v>
      </c>
      <c r="R1299">
        <v>0.49220252949852672</v>
      </c>
      <c r="S1299">
        <v>0.50461314105646071</v>
      </c>
      <c r="T1299">
        <v>0.49491210526471485</v>
      </c>
      <c r="U1299">
        <v>0.48712853039352699</v>
      </c>
      <c r="V1299">
        <v>0.4901525696211036</v>
      </c>
      <c r="W1299">
        <v>0.5013476382000297</v>
      </c>
      <c r="X1299">
        <v>0.49411120159377003</v>
      </c>
      <c r="Y1299">
        <v>0.4980241811541572</v>
      </c>
      <c r="Z1299">
        <v>0.48739239110428667</v>
      </c>
    </row>
    <row r="1300" spans="4:26" x14ac:dyDescent="0.25">
      <c r="D1300" s="6" t="s">
        <v>69</v>
      </c>
      <c r="E1300" s="6" t="s">
        <v>385</v>
      </c>
      <c r="F1300" s="6" t="s">
        <v>382</v>
      </c>
      <c r="G1300" s="6" t="s">
        <v>426</v>
      </c>
      <c r="H1300" s="6" t="s">
        <v>383</v>
      </c>
      <c r="P1300" s="10" cm="1">
        <f t="array" ref="P1300">TOTAL_INDIRECT_EFFECT(0,"Rural","mean")</f>
        <v>0.49051979690221892</v>
      </c>
    </row>
    <row r="1301" spans="4:26" x14ac:dyDescent="0.25">
      <c r="D1301" s="6" t="s">
        <v>69</v>
      </c>
      <c r="E1301" s="6" t="s">
        <v>385</v>
      </c>
      <c r="F1301" s="6" t="s">
        <v>145</v>
      </c>
      <c r="G1301" s="6" t="s">
        <v>426</v>
      </c>
      <c r="H1301" s="6" t="s">
        <v>383</v>
      </c>
      <c r="Q1301" s="10" cm="1">
        <f t="array" ref="Q1301:Z1301">TOTAL_INDIRECT_EFFECT(DECILE_ARRAY,"Rural","mean")</f>
        <v>0.48632115657596758</v>
      </c>
      <c r="R1301">
        <v>0.46906532607438606</v>
      </c>
      <c r="S1301">
        <v>0.4563230047078265</v>
      </c>
      <c r="T1301">
        <v>0.46324332420253156</v>
      </c>
      <c r="U1301">
        <v>0.47023989728130627</v>
      </c>
      <c r="V1301">
        <v>0.47900087103450739</v>
      </c>
      <c r="W1301">
        <v>0.48995423479454941</v>
      </c>
      <c r="X1301">
        <v>0.47985892097127347</v>
      </c>
      <c r="Y1301">
        <v>0.48267298023707345</v>
      </c>
      <c r="Z1301">
        <v>0.49936160530423879</v>
      </c>
    </row>
    <row r="1302" spans="4:26" x14ac:dyDescent="0.25">
      <c r="D1302" s="6" t="s">
        <v>72</v>
      </c>
      <c r="E1302" s="6" t="s">
        <v>381</v>
      </c>
      <c r="F1302" s="6" t="s">
        <v>382</v>
      </c>
      <c r="G1302" s="6" t="s">
        <v>426</v>
      </c>
      <c r="H1302" s="6" t="s">
        <v>383</v>
      </c>
      <c r="P1302" s="10" cm="1">
        <f t="array" ref="P1302">TOTAL_INDIRECT_EFFECT(0,"Overall","median")</f>
        <v>0.40955836338469814</v>
      </c>
    </row>
    <row r="1303" spans="4:26" x14ac:dyDescent="0.25">
      <c r="D1303" s="6" t="s">
        <v>72</v>
      </c>
      <c r="E1303" s="6" t="s">
        <v>381</v>
      </c>
      <c r="F1303" s="6" t="s">
        <v>145</v>
      </c>
      <c r="G1303" s="6" t="s">
        <v>426</v>
      </c>
      <c r="H1303" s="6" t="s">
        <v>383</v>
      </c>
      <c r="Q1303" s="10" cm="1">
        <f t="array" ref="Q1303:Z1303">TOTAL_INDIRECT_EFFECT(DECILE_ARRAY,"Overall","median")</f>
        <v>0.42227698443578576</v>
      </c>
      <c r="R1303">
        <v>0.42054906372436179</v>
      </c>
      <c r="S1303">
        <v>0.41880816295595125</v>
      </c>
      <c r="T1303">
        <v>0.42111503293803049</v>
      </c>
      <c r="U1303">
        <v>0.44763262197377562</v>
      </c>
      <c r="V1303">
        <v>0.43526393852177347</v>
      </c>
      <c r="W1303">
        <v>0.43244532335978447</v>
      </c>
      <c r="X1303">
        <v>0.42073481327016238</v>
      </c>
      <c r="Y1303">
        <v>0.42004744594280258</v>
      </c>
      <c r="Z1303">
        <v>0.42494538480086358</v>
      </c>
    </row>
    <row r="1304" spans="4:26" x14ac:dyDescent="0.25">
      <c r="D1304" s="6" t="s">
        <v>72</v>
      </c>
      <c r="E1304" s="6" t="s">
        <v>384</v>
      </c>
      <c r="F1304" s="6" t="s">
        <v>382</v>
      </c>
      <c r="G1304" s="6" t="s">
        <v>426</v>
      </c>
      <c r="H1304" s="6" t="s">
        <v>383</v>
      </c>
      <c r="P1304" s="10" cm="1">
        <f t="array" ref="P1304">TOTAL_INDIRECT_EFFECT(0,"Urban","median")</f>
        <v>0.41975547036562211</v>
      </c>
    </row>
    <row r="1305" spans="4:26" x14ac:dyDescent="0.25">
      <c r="D1305" s="6" t="s">
        <v>72</v>
      </c>
      <c r="E1305" s="6" t="s">
        <v>384</v>
      </c>
      <c r="F1305" s="6" t="s">
        <v>145</v>
      </c>
      <c r="G1305" s="6" t="s">
        <v>426</v>
      </c>
      <c r="H1305" s="6" t="s">
        <v>383</v>
      </c>
      <c r="Q1305" s="10" cm="1">
        <f t="array" ref="Q1305:Z1305">TOTAL_INDIRECT_EFFECT(DECILE_ARRAY,"Urban","median")</f>
        <v>0.4197873376312154</v>
      </c>
      <c r="R1305">
        <v>0.43172583158202382</v>
      </c>
      <c r="S1305">
        <v>0.4099776420856312</v>
      </c>
      <c r="T1305">
        <v>0.43770399997688803</v>
      </c>
      <c r="U1305">
        <v>0.42999639837147952</v>
      </c>
      <c r="V1305">
        <v>0.41251653037876335</v>
      </c>
      <c r="W1305">
        <v>0.42516532099312115</v>
      </c>
      <c r="X1305">
        <v>0.42657506193596328</v>
      </c>
      <c r="Y1305">
        <v>0.41343356691971123</v>
      </c>
      <c r="Z1305">
        <v>0.39706059234368324</v>
      </c>
    </row>
    <row r="1306" spans="4:26" x14ac:dyDescent="0.25">
      <c r="D1306" s="6" t="s">
        <v>72</v>
      </c>
      <c r="E1306" s="6" t="s">
        <v>385</v>
      </c>
      <c r="F1306" s="6" t="s">
        <v>382</v>
      </c>
      <c r="G1306" s="6" t="s">
        <v>426</v>
      </c>
      <c r="H1306" s="6" t="s">
        <v>383</v>
      </c>
      <c r="P1306" s="10" cm="1">
        <f t="array" ref="P1306">TOTAL_INDIRECT_EFFECT(0,"Rural","median")</f>
        <v>0.42261589456109649</v>
      </c>
    </row>
    <row r="1307" spans="4:26" x14ac:dyDescent="0.25">
      <c r="D1307" s="6" t="s">
        <v>72</v>
      </c>
      <c r="E1307" s="6" t="s">
        <v>385</v>
      </c>
      <c r="F1307" s="6" t="s">
        <v>145</v>
      </c>
      <c r="G1307" s="6" t="s">
        <v>426</v>
      </c>
      <c r="H1307" s="6" t="s">
        <v>383</v>
      </c>
      <c r="Q1307" s="10" cm="1">
        <f t="array" ref="Q1307:Z1307">TOTAL_INDIRECT_EFFECT(DECILE_ARRAY,"Rural","median")</f>
        <v>0.427254243967848</v>
      </c>
      <c r="R1307">
        <v>0.43645404241129732</v>
      </c>
      <c r="S1307">
        <v>0.44252632142730958</v>
      </c>
      <c r="T1307">
        <v>0.44102115852723178</v>
      </c>
      <c r="U1307">
        <v>0.43528815643859309</v>
      </c>
      <c r="V1307">
        <v>0.4219950060205106</v>
      </c>
      <c r="W1307">
        <v>0.44215671667636414</v>
      </c>
      <c r="X1307">
        <v>0.41270033491885211</v>
      </c>
      <c r="Y1307">
        <v>0.42587071496765649</v>
      </c>
      <c r="Z1307">
        <v>0.43264786963338664</v>
      </c>
    </row>
    <row r="1308" spans="4:26" x14ac:dyDescent="0.25">
      <c r="D1308" s="6" t="s">
        <v>75</v>
      </c>
      <c r="E1308" s="6" t="s">
        <v>381</v>
      </c>
      <c r="F1308" s="6" t="s">
        <v>382</v>
      </c>
      <c r="G1308" s="6" t="s">
        <v>426</v>
      </c>
      <c r="H1308" s="6" t="s">
        <v>383</v>
      </c>
      <c r="P1308" s="10" cm="1">
        <f t="array" ref="P1308">TOTAL_INDIRECT_EFFECT(0,"Overall","p25")</f>
        <v>0.29614986901014356</v>
      </c>
    </row>
    <row r="1309" spans="4:26" x14ac:dyDescent="0.25">
      <c r="D1309" s="6" t="s">
        <v>75</v>
      </c>
      <c r="E1309" s="6" t="s">
        <v>381</v>
      </c>
      <c r="F1309" s="6" t="s">
        <v>145</v>
      </c>
      <c r="G1309" s="6" t="s">
        <v>426</v>
      </c>
      <c r="H1309" s="6" t="s">
        <v>383</v>
      </c>
      <c r="Q1309" s="10" cm="1">
        <f t="array" ref="Q1309:Z1309">TOTAL_INDIRECT_EFFECT(DECILE_ARRAY,"Overall","p25")</f>
        <v>0.30007780354991193</v>
      </c>
      <c r="R1309">
        <v>0.30830359478792002</v>
      </c>
      <c r="S1309">
        <v>0.31831706261243875</v>
      </c>
      <c r="T1309">
        <v>0.32008810266679055</v>
      </c>
      <c r="U1309">
        <v>0.30855449046977063</v>
      </c>
      <c r="V1309">
        <v>0.29710656192716312</v>
      </c>
      <c r="W1309">
        <v>0.30830499221274749</v>
      </c>
      <c r="X1309">
        <v>0.28736699920325443</v>
      </c>
      <c r="Y1309">
        <v>0.29015193440279929</v>
      </c>
      <c r="Z1309">
        <v>0.27929213143898618</v>
      </c>
    </row>
    <row r="1310" spans="4:26" x14ac:dyDescent="0.25">
      <c r="D1310" s="6" t="s">
        <v>75</v>
      </c>
      <c r="E1310" s="6" t="s">
        <v>384</v>
      </c>
      <c r="F1310" s="6" t="s">
        <v>382</v>
      </c>
      <c r="G1310" s="6" t="s">
        <v>426</v>
      </c>
      <c r="H1310" s="6" t="s">
        <v>383</v>
      </c>
      <c r="P1310" s="10" cm="1">
        <f t="array" ref="P1310">TOTAL_INDIRECT_EFFECT(0,"Urban","p25")</f>
        <v>0.29329075498405593</v>
      </c>
    </row>
    <row r="1311" spans="4:26" x14ac:dyDescent="0.25">
      <c r="D1311" s="6" t="s">
        <v>75</v>
      </c>
      <c r="E1311" s="6" t="s">
        <v>384</v>
      </c>
      <c r="F1311" s="6" t="s">
        <v>145</v>
      </c>
      <c r="G1311" s="6" t="s">
        <v>426</v>
      </c>
      <c r="H1311" s="6" t="s">
        <v>383</v>
      </c>
      <c r="Q1311" s="10" cm="1">
        <f t="array" ref="Q1311:Z1311">TOTAL_INDIRECT_EFFECT(DECILE_ARRAY,"Urban","p25")</f>
        <v>0.29471116254238694</v>
      </c>
      <c r="R1311">
        <v>0.30682393572466726</v>
      </c>
      <c r="S1311">
        <v>0.31269371562536336</v>
      </c>
      <c r="T1311">
        <v>0.28216420207183035</v>
      </c>
      <c r="U1311">
        <v>0.28949481943493421</v>
      </c>
      <c r="V1311">
        <v>0.29963062321114708</v>
      </c>
      <c r="W1311">
        <v>0.29027481726928112</v>
      </c>
      <c r="X1311">
        <v>0.27683171292282077</v>
      </c>
      <c r="Y1311">
        <v>0.27750070188398834</v>
      </c>
      <c r="Z1311">
        <v>0.24118181699625796</v>
      </c>
    </row>
    <row r="1312" spans="4:26" x14ac:dyDescent="0.25">
      <c r="D1312" s="6" t="s">
        <v>75</v>
      </c>
      <c r="E1312" s="6" t="s">
        <v>385</v>
      </c>
      <c r="F1312" s="6" t="s">
        <v>382</v>
      </c>
      <c r="G1312" s="6" t="s">
        <v>426</v>
      </c>
      <c r="H1312" s="6" t="s">
        <v>383</v>
      </c>
      <c r="P1312" s="10" cm="1">
        <f t="array" ref="P1312">TOTAL_INDIRECT_EFFECT(0,"Rural","p25")</f>
        <v>0.30579146055884143</v>
      </c>
    </row>
    <row r="1313" spans="1:26" x14ac:dyDescent="0.25">
      <c r="D1313" s="6" t="s">
        <v>75</v>
      </c>
      <c r="E1313" s="6" t="s">
        <v>385</v>
      </c>
      <c r="F1313" s="6" t="s">
        <v>145</v>
      </c>
      <c r="G1313" s="6" t="s">
        <v>426</v>
      </c>
      <c r="H1313" s="6" t="s">
        <v>383</v>
      </c>
      <c r="Q1313" s="10" cm="1">
        <f t="array" ref="Q1313:Z1313">TOTAL_INDIRECT_EFFECT(DECILE_ARRAY,"Rural","p25")</f>
        <v>0.32976782648407571</v>
      </c>
      <c r="R1313">
        <v>0.32040640769346074</v>
      </c>
      <c r="S1313">
        <v>0.3263607003652001</v>
      </c>
      <c r="T1313">
        <v>0.33049818429007305</v>
      </c>
      <c r="U1313">
        <v>0.32110747061563427</v>
      </c>
      <c r="V1313">
        <v>0.30945390222922842</v>
      </c>
      <c r="W1313">
        <v>0.30185846646159031</v>
      </c>
      <c r="X1313">
        <v>0.29463902412256232</v>
      </c>
      <c r="Y1313">
        <v>0.31415500362554011</v>
      </c>
      <c r="Z1313">
        <v>0.30318595813905286</v>
      </c>
    </row>
    <row r="1314" spans="1:26" x14ac:dyDescent="0.25">
      <c r="D1314" s="6" t="s">
        <v>78</v>
      </c>
      <c r="E1314" s="6" t="s">
        <v>381</v>
      </c>
      <c r="F1314" s="6" t="s">
        <v>382</v>
      </c>
      <c r="G1314" s="6" t="s">
        <v>426</v>
      </c>
      <c r="H1314" s="6" t="s">
        <v>383</v>
      </c>
      <c r="P1314" s="10" cm="1">
        <f t="array" ref="P1314">TOTAL_INDIRECT_EFFECT(0,"Overall","p75")</f>
        <v>0.59288515383558171</v>
      </c>
    </row>
    <row r="1315" spans="1:26" x14ac:dyDescent="0.25">
      <c r="D1315" s="6" t="s">
        <v>78</v>
      </c>
      <c r="E1315" s="6" t="s">
        <v>381</v>
      </c>
      <c r="F1315" s="6" t="s">
        <v>145</v>
      </c>
      <c r="G1315" s="6" t="s">
        <v>426</v>
      </c>
      <c r="H1315" s="6" t="s">
        <v>383</v>
      </c>
      <c r="Q1315" s="10" cm="1">
        <f t="array" ref="Q1315:Z1315">TOTAL_INDIRECT_EFFECT(DECILE_ARRAY,"Overall","p75")</f>
        <v>0.59348933317559072</v>
      </c>
      <c r="R1315">
        <v>0.58509222913940007</v>
      </c>
      <c r="S1315">
        <v>0.58004068068976022</v>
      </c>
      <c r="T1315">
        <v>0.60124455523841247</v>
      </c>
      <c r="U1315">
        <v>0.5876197599045121</v>
      </c>
      <c r="V1315">
        <v>0.62086919090904402</v>
      </c>
      <c r="W1315">
        <v>0.60714468912287289</v>
      </c>
      <c r="X1315">
        <v>0.63899720692049722</v>
      </c>
      <c r="Y1315">
        <v>0.61665712207981038</v>
      </c>
      <c r="Z1315">
        <v>0.64854531428382445</v>
      </c>
    </row>
    <row r="1316" spans="1:26" x14ac:dyDescent="0.25">
      <c r="D1316" s="6" t="s">
        <v>78</v>
      </c>
      <c r="E1316" s="6" t="s">
        <v>384</v>
      </c>
      <c r="F1316" s="6" t="s">
        <v>382</v>
      </c>
      <c r="G1316" s="6" t="s">
        <v>426</v>
      </c>
      <c r="H1316" s="6" t="s">
        <v>383</v>
      </c>
      <c r="P1316" s="10" cm="1">
        <f t="array" ref="P1316">TOTAL_INDIRECT_EFFECT(0,"Urban","p75")</f>
        <v>0.63416239630603344</v>
      </c>
    </row>
    <row r="1317" spans="1:26" x14ac:dyDescent="0.25">
      <c r="D1317" s="6" t="s">
        <v>78</v>
      </c>
      <c r="E1317" s="6" t="s">
        <v>384</v>
      </c>
      <c r="F1317" s="6" t="s">
        <v>145</v>
      </c>
      <c r="G1317" s="6" t="s">
        <v>426</v>
      </c>
      <c r="H1317" s="6" t="s">
        <v>383</v>
      </c>
      <c r="Q1317" s="10" cm="1">
        <f t="array" ref="Q1317:Z1317">TOTAL_INDIRECT_EFFECT(DECILE_ARRAY,"Urban","p75")</f>
        <v>0.60049368896861655</v>
      </c>
      <c r="R1317">
        <v>0.60763524991910201</v>
      </c>
      <c r="S1317">
        <v>0.60525748167890869</v>
      </c>
      <c r="T1317">
        <v>0.61847265375757288</v>
      </c>
      <c r="U1317">
        <v>0.61608311070615862</v>
      </c>
      <c r="V1317">
        <v>0.62107981634407761</v>
      </c>
      <c r="W1317">
        <v>0.64643310029724821</v>
      </c>
      <c r="X1317">
        <v>0.6311464066669098</v>
      </c>
      <c r="Y1317">
        <v>0.6316979059363369</v>
      </c>
      <c r="Z1317">
        <v>0.64148516226328001</v>
      </c>
    </row>
    <row r="1318" spans="1:26" x14ac:dyDescent="0.25">
      <c r="D1318" s="6" t="s">
        <v>78</v>
      </c>
      <c r="E1318" s="6" t="s">
        <v>385</v>
      </c>
      <c r="F1318" s="6" t="s">
        <v>382</v>
      </c>
      <c r="G1318" s="6" t="s">
        <v>426</v>
      </c>
      <c r="H1318" s="6" t="s">
        <v>383</v>
      </c>
      <c r="P1318" s="10" cm="1">
        <f t="array" ref="P1318">TOTAL_INDIRECT_EFFECT(0,"Rural","p75")</f>
        <v>0.60528135282807305</v>
      </c>
    </row>
    <row r="1319" spans="1:26" x14ac:dyDescent="0.25">
      <c r="D1319" s="6" t="s">
        <v>78</v>
      </c>
      <c r="E1319" s="6" t="s">
        <v>385</v>
      </c>
      <c r="F1319" s="6" t="s">
        <v>145</v>
      </c>
      <c r="G1319" s="6" t="s">
        <v>426</v>
      </c>
      <c r="H1319" s="6" t="s">
        <v>383</v>
      </c>
      <c r="Q1319" s="10" cm="1">
        <f t="array" ref="Q1319:Z1319">TOTAL_INDIRECT_EFFECT(DECILE_ARRAY,"Rural","p75")</f>
        <v>0.59722849497611685</v>
      </c>
      <c r="R1319">
        <v>0.57566430410373493</v>
      </c>
      <c r="S1319">
        <v>0.57172823542240558</v>
      </c>
      <c r="T1319">
        <v>0.56173159160758357</v>
      </c>
      <c r="U1319">
        <v>0.56231027334839756</v>
      </c>
      <c r="V1319">
        <v>0.59219191406802252</v>
      </c>
      <c r="W1319">
        <v>0.61479052808170509</v>
      </c>
      <c r="X1319">
        <v>0.58539878573210236</v>
      </c>
      <c r="Y1319">
        <v>0.59974197184166012</v>
      </c>
      <c r="Z1319">
        <v>0.63758698850678808</v>
      </c>
    </row>
    <row r="1321" spans="1:26" x14ac:dyDescent="0.25">
      <c r="A1321" s="5" t="s">
        <v>444</v>
      </c>
      <c r="B1321" s="13" t="s">
        <v>445</v>
      </c>
      <c r="C1321" s="14"/>
      <c r="D1321" s="14"/>
      <c r="E1321" s="14"/>
      <c r="F1321" s="14"/>
      <c r="G1321" s="14"/>
      <c r="H1321" s="14"/>
      <c r="I1321" s="14"/>
      <c r="J1321" s="14"/>
      <c r="K1321" s="14"/>
      <c r="L1321" s="14"/>
      <c r="M1321" s="14"/>
      <c r="N1321" s="14"/>
    </row>
    <row r="1323" spans="1:26" x14ac:dyDescent="0.25">
      <c r="C1323" s="7" t="s">
        <v>446</v>
      </c>
      <c r="G1323" s="6" t="s">
        <v>426</v>
      </c>
      <c r="O1323" s="2" t="s">
        <v>331</v>
      </c>
      <c r="Q1323" s="2">
        <v>1</v>
      </c>
      <c r="R1323" s="2">
        <v>2</v>
      </c>
      <c r="S1323" s="2">
        <v>3</v>
      </c>
      <c r="T1323" s="2">
        <v>4</v>
      </c>
      <c r="U1323" s="2">
        <v>5</v>
      </c>
      <c r="V1323" s="2">
        <v>6</v>
      </c>
      <c r="W1323" s="2">
        <v>7</v>
      </c>
      <c r="X1323" s="2">
        <v>8</v>
      </c>
      <c r="Y1323" s="2">
        <v>9</v>
      </c>
      <c r="Z1323" s="2">
        <v>10</v>
      </c>
    </row>
    <row r="1324" spans="1:26" x14ac:dyDescent="0.25">
      <c r="D1324" s="6" t="s">
        <v>69</v>
      </c>
      <c r="E1324" s="6" t="s">
        <v>381</v>
      </c>
      <c r="F1324" s="6" t="s">
        <v>382</v>
      </c>
      <c r="G1324" s="6" t="s">
        <v>426</v>
      </c>
      <c r="H1324" s="6" t="s">
        <v>383</v>
      </c>
      <c r="P1324" s="10" cm="1">
        <f t="array" ref="P1324">TOTAL_EFFECT(0,"Overall","mean")</f>
        <v>2.2512759299120315</v>
      </c>
    </row>
    <row r="1325" spans="1:26" x14ac:dyDescent="0.25">
      <c r="D1325" s="6" t="s">
        <v>69</v>
      </c>
      <c r="E1325" s="6" t="s">
        <v>381</v>
      </c>
      <c r="F1325" s="6" t="s">
        <v>145</v>
      </c>
      <c r="G1325" s="6" t="s">
        <v>426</v>
      </c>
      <c r="H1325" s="6" t="s">
        <v>383</v>
      </c>
      <c r="Q1325" s="10" cm="1">
        <f t="array" ref="Q1325:Z1325">TOTAL_EFFECT(DECILE_ARRAY,"Overall","mean")</f>
        <v>2.5989046521673007</v>
      </c>
      <c r="R1325">
        <v>2.3948391525486485</v>
      </c>
      <c r="S1325">
        <v>2.3024120383378439</v>
      </c>
      <c r="T1325">
        <v>2.1470135637736272</v>
      </c>
      <c r="U1325">
        <v>2.168820183953954</v>
      </c>
      <c r="V1325">
        <v>2.1552086671473494</v>
      </c>
      <c r="W1325">
        <v>2.208236573929462</v>
      </c>
      <c r="X1325">
        <v>2.222614242867861</v>
      </c>
      <c r="Y1325">
        <v>2.1376286501743809</v>
      </c>
      <c r="Z1325">
        <v>2.1954192726886399</v>
      </c>
    </row>
    <row r="1326" spans="1:26" x14ac:dyDescent="0.25">
      <c r="D1326" s="6" t="s">
        <v>69</v>
      </c>
      <c r="E1326" s="6" t="s">
        <v>384</v>
      </c>
      <c r="F1326" s="6" t="s">
        <v>382</v>
      </c>
      <c r="G1326" s="6" t="s">
        <v>426</v>
      </c>
      <c r="H1326" s="6" t="s">
        <v>383</v>
      </c>
      <c r="P1326" s="10" cm="1">
        <f t="array" ref="P1326">TOTAL_EFFECT(0,"Urban","mean")</f>
        <v>2.1157827907705409</v>
      </c>
    </row>
    <row r="1327" spans="1:26" x14ac:dyDescent="0.25">
      <c r="D1327" s="6" t="s">
        <v>69</v>
      </c>
      <c r="E1327" s="6" t="s">
        <v>384</v>
      </c>
      <c r="F1327" s="6" t="s">
        <v>145</v>
      </c>
      <c r="G1327" s="6" t="s">
        <v>426</v>
      </c>
      <c r="H1327" s="6" t="s">
        <v>383</v>
      </c>
      <c r="Q1327" s="10" cm="1">
        <f t="array" ref="Q1327:Z1327">TOTAL_EFFECT(DECILE_ARRAY,"Urban","mean")</f>
        <v>2.3543287778085196</v>
      </c>
      <c r="R1327">
        <v>2.1084591503008001</v>
      </c>
      <c r="S1327">
        <v>2.0902181271252265</v>
      </c>
      <c r="T1327">
        <v>2.0053159223408321</v>
      </c>
      <c r="U1327">
        <v>1.9654986095440585</v>
      </c>
      <c r="V1327">
        <v>1.9867115892958687</v>
      </c>
      <c r="W1327">
        <v>2.1522330866516599</v>
      </c>
      <c r="X1327">
        <v>2.0057099228170481</v>
      </c>
      <c r="Y1327">
        <v>2.0803367423731527</v>
      </c>
      <c r="Z1327">
        <v>2.095660617004508</v>
      </c>
    </row>
    <row r="1328" spans="1:26" x14ac:dyDescent="0.25">
      <c r="D1328" s="6" t="s">
        <v>69</v>
      </c>
      <c r="E1328" s="6" t="s">
        <v>385</v>
      </c>
      <c r="F1328" s="6" t="s">
        <v>382</v>
      </c>
      <c r="G1328" s="6" t="s">
        <v>426</v>
      </c>
      <c r="H1328" s="6" t="s">
        <v>383</v>
      </c>
      <c r="P1328" s="10" cm="1">
        <f t="array" ref="P1328">TOTAL_EFFECT(0,"Rural","mean")</f>
        <v>2.3424003511961593</v>
      </c>
    </row>
    <row r="1329" spans="4:26" x14ac:dyDescent="0.25">
      <c r="D1329" s="6" t="s">
        <v>69</v>
      </c>
      <c r="E1329" s="6" t="s">
        <v>385</v>
      </c>
      <c r="F1329" s="6" t="s">
        <v>145</v>
      </c>
      <c r="G1329" s="6" t="s">
        <v>426</v>
      </c>
      <c r="H1329" s="6" t="s">
        <v>383</v>
      </c>
      <c r="Q1329" s="10" cm="1">
        <f t="array" ref="Q1329:Z1329">TOTAL_EFFECT(DECILE_ARRAY,"Rural","mean")</f>
        <v>2.6752886113934995</v>
      </c>
      <c r="R1329">
        <v>2.4149893966306268</v>
      </c>
      <c r="S1329">
        <v>2.3233949411514296</v>
      </c>
      <c r="T1329">
        <v>2.3760996093677971</v>
      </c>
      <c r="U1329">
        <v>2.3094510471551124</v>
      </c>
      <c r="V1329">
        <v>2.2506741805815578</v>
      </c>
      <c r="W1329">
        <v>2.190225976951246</v>
      </c>
      <c r="X1329">
        <v>2.324250013024642</v>
      </c>
      <c r="Y1329">
        <v>2.3357254193933104</v>
      </c>
      <c r="Z1329">
        <v>2.4337796919363237</v>
      </c>
    </row>
    <row r="1330" spans="4:26" x14ac:dyDescent="0.25">
      <c r="D1330" s="6" t="s">
        <v>72</v>
      </c>
      <c r="E1330" s="6" t="s">
        <v>381</v>
      </c>
      <c r="F1330" s="6" t="s">
        <v>382</v>
      </c>
      <c r="G1330" s="6" t="s">
        <v>426</v>
      </c>
      <c r="H1330" s="6" t="s">
        <v>383</v>
      </c>
      <c r="P1330" s="10" cm="1">
        <f t="array" ref="P1330">TOTAL_EFFECT(0,"Overall","median")</f>
        <v>1.826507091058938</v>
      </c>
    </row>
    <row r="1331" spans="4:26" x14ac:dyDescent="0.25">
      <c r="D1331" s="6" t="s">
        <v>72</v>
      </c>
      <c r="E1331" s="6" t="s">
        <v>381</v>
      </c>
      <c r="F1331" s="6" t="s">
        <v>145</v>
      </c>
      <c r="G1331" s="6" t="s">
        <v>426</v>
      </c>
      <c r="H1331" s="6" t="s">
        <v>383</v>
      </c>
      <c r="Q1331" s="10" cm="1">
        <f t="array" ref="Q1331:Z1331">TOTAL_EFFECT(DECILE_ARRAY,"Overall","median")</f>
        <v>2.3819303167157373</v>
      </c>
      <c r="R1331">
        <v>2.0402443318295771</v>
      </c>
      <c r="S1331">
        <v>1.8953621226712485</v>
      </c>
      <c r="T1331">
        <v>1.8542654335012028</v>
      </c>
      <c r="U1331">
        <v>1.8430486595624904</v>
      </c>
      <c r="V1331">
        <v>1.7532504463086784</v>
      </c>
      <c r="W1331">
        <v>1.66429371993205</v>
      </c>
      <c r="X1331">
        <v>1.6393765215538574</v>
      </c>
      <c r="Y1331">
        <v>1.6099637817355514</v>
      </c>
      <c r="Z1331">
        <v>1.2655469910234491</v>
      </c>
    </row>
    <row r="1332" spans="4:26" x14ac:dyDescent="0.25">
      <c r="D1332" s="6" t="s">
        <v>72</v>
      </c>
      <c r="E1332" s="6" t="s">
        <v>384</v>
      </c>
      <c r="F1332" s="6" t="s">
        <v>382</v>
      </c>
      <c r="G1332" s="6" t="s">
        <v>426</v>
      </c>
      <c r="H1332" s="6" t="s">
        <v>383</v>
      </c>
      <c r="P1332" s="10" cm="1">
        <f t="array" ref="P1332">TOTAL_EFFECT(0,"Urban","median")</f>
        <v>1.2744447938795376</v>
      </c>
    </row>
    <row r="1333" spans="4:26" x14ac:dyDescent="0.25">
      <c r="D1333" s="6" t="s">
        <v>72</v>
      </c>
      <c r="E1333" s="6" t="s">
        <v>384</v>
      </c>
      <c r="F1333" s="6" t="s">
        <v>145</v>
      </c>
      <c r="G1333" s="6" t="s">
        <v>426</v>
      </c>
      <c r="H1333" s="6" t="s">
        <v>383</v>
      </c>
      <c r="Q1333" s="10" cm="1">
        <f t="array" ref="Q1333:Z1333">TOTAL_EFFECT(DECILE_ARRAY,"Urban","median")</f>
        <v>1.8156003094507307</v>
      </c>
      <c r="R1333">
        <v>1.5528675844898487</v>
      </c>
      <c r="S1333">
        <v>1.5917353980252613</v>
      </c>
      <c r="T1333">
        <v>1.2921909582829687</v>
      </c>
      <c r="U1333">
        <v>1.3276437813918549</v>
      </c>
      <c r="V1333">
        <v>1.2768558374072154</v>
      </c>
      <c r="W1333">
        <v>1.2838407604931708</v>
      </c>
      <c r="X1333">
        <v>1.3378990889673044</v>
      </c>
      <c r="Y1333">
        <v>1.3800135208197322</v>
      </c>
      <c r="Z1333">
        <v>1.432259324358899</v>
      </c>
    </row>
    <row r="1334" spans="4:26" x14ac:dyDescent="0.25">
      <c r="D1334" s="6" t="s">
        <v>72</v>
      </c>
      <c r="E1334" s="6" t="s">
        <v>385</v>
      </c>
      <c r="F1334" s="6" t="s">
        <v>382</v>
      </c>
      <c r="G1334" s="6" t="s">
        <v>426</v>
      </c>
      <c r="H1334" s="6" t="s">
        <v>383</v>
      </c>
      <c r="P1334" s="10" cm="1">
        <f t="array" ref="P1334">TOTAL_EFFECT(0,"Rural","median")</f>
        <v>2.0478319076713634</v>
      </c>
    </row>
    <row r="1335" spans="4:26" x14ac:dyDescent="0.25">
      <c r="D1335" s="6" t="s">
        <v>72</v>
      </c>
      <c r="E1335" s="6" t="s">
        <v>385</v>
      </c>
      <c r="F1335" s="6" t="s">
        <v>145</v>
      </c>
      <c r="G1335" s="6" t="s">
        <v>426</v>
      </c>
      <c r="H1335" s="6" t="s">
        <v>383</v>
      </c>
      <c r="Q1335" s="10" cm="1">
        <f t="array" ref="Q1335:Z1335">TOTAL_EFFECT(DECILE_ARRAY,"Rural","median")</f>
        <v>2.4369200794007377</v>
      </c>
      <c r="R1335">
        <v>2.1845049318164915</v>
      </c>
      <c r="S1335">
        <v>2.1623135395521578</v>
      </c>
      <c r="T1335">
        <v>1.9179512169780772</v>
      </c>
      <c r="U1335">
        <v>1.8911691500440426</v>
      </c>
      <c r="V1335">
        <v>1.7912755036495942</v>
      </c>
      <c r="W1335">
        <v>1.9662661221209383</v>
      </c>
      <c r="X1335">
        <v>1.832123128298456</v>
      </c>
      <c r="Y1335">
        <v>1.8507539799818211</v>
      </c>
      <c r="Z1335">
        <v>1.9207213784234265</v>
      </c>
    </row>
    <row r="1336" spans="4:26" x14ac:dyDescent="0.25">
      <c r="D1336" s="6" t="s">
        <v>75</v>
      </c>
      <c r="E1336" s="6" t="s">
        <v>381</v>
      </c>
      <c r="F1336" s="6" t="s">
        <v>382</v>
      </c>
      <c r="G1336" s="6" t="s">
        <v>426</v>
      </c>
      <c r="H1336" s="6" t="s">
        <v>383</v>
      </c>
      <c r="P1336" s="10" cm="1">
        <f t="array" ref="P1336">TOTAL_EFFECT(0,"Overall","p25")</f>
        <v>0.77512380087309207</v>
      </c>
    </row>
    <row r="1337" spans="4:26" x14ac:dyDescent="0.25">
      <c r="D1337" s="6" t="s">
        <v>75</v>
      </c>
      <c r="E1337" s="6" t="s">
        <v>381</v>
      </c>
      <c r="F1337" s="6" t="s">
        <v>145</v>
      </c>
      <c r="G1337" s="6" t="s">
        <v>426</v>
      </c>
      <c r="H1337" s="6" t="s">
        <v>383</v>
      </c>
      <c r="Q1337" s="10" cm="1">
        <f t="array" ref="Q1337:Z1337">TOTAL_EFFECT(DECILE_ARRAY,"Overall","p25")</f>
        <v>1.5717517222767357</v>
      </c>
      <c r="R1337">
        <v>1.4608913581398071</v>
      </c>
      <c r="S1337">
        <v>1.3370010717411867</v>
      </c>
      <c r="T1337">
        <v>1.2016079224716019</v>
      </c>
      <c r="U1337">
        <v>0.8042506139194594</v>
      </c>
      <c r="V1337">
        <v>0.75500093265904811</v>
      </c>
      <c r="W1337">
        <v>0.7817489122440342</v>
      </c>
      <c r="X1337">
        <v>0.76117781038949806</v>
      </c>
      <c r="Y1337">
        <v>0.76510685381007859</v>
      </c>
      <c r="Z1337">
        <v>0.74249894793679738</v>
      </c>
    </row>
    <row r="1338" spans="4:26" x14ac:dyDescent="0.25">
      <c r="D1338" s="6" t="s">
        <v>75</v>
      </c>
      <c r="E1338" s="6" t="s">
        <v>384</v>
      </c>
      <c r="F1338" s="6" t="s">
        <v>382</v>
      </c>
      <c r="G1338" s="6" t="s">
        <v>426</v>
      </c>
      <c r="H1338" s="6" t="s">
        <v>383</v>
      </c>
      <c r="P1338" s="10" cm="1">
        <f t="array" ref="P1338">TOTAL_EFFECT(0,"Urban","p25")</f>
        <v>0.71630168725061738</v>
      </c>
    </row>
    <row r="1339" spans="4:26" x14ac:dyDescent="0.25">
      <c r="D1339" s="6" t="s">
        <v>75</v>
      </c>
      <c r="E1339" s="6" t="s">
        <v>384</v>
      </c>
      <c r="F1339" s="6" t="s">
        <v>145</v>
      </c>
      <c r="G1339" s="6" t="s">
        <v>426</v>
      </c>
      <c r="H1339" s="6" t="s">
        <v>383</v>
      </c>
      <c r="Q1339" s="10" cm="1">
        <f t="array" ref="Q1339:Z1339">TOTAL_EFFECT(DECILE_ARRAY,"Urban","p25")</f>
        <v>0.74738805566607369</v>
      </c>
      <c r="R1339">
        <v>0.7333469438381599</v>
      </c>
      <c r="S1339">
        <v>0.76215939662703847</v>
      </c>
      <c r="T1339">
        <v>0.73069365450973889</v>
      </c>
      <c r="U1339">
        <v>0.74148743553506979</v>
      </c>
      <c r="V1339">
        <v>0.76151352383236026</v>
      </c>
      <c r="W1339">
        <v>0.75641141391260436</v>
      </c>
      <c r="X1339">
        <v>0.70675129348668619</v>
      </c>
      <c r="Y1339">
        <v>0.77854297173180664</v>
      </c>
      <c r="Z1339">
        <v>0.73220690213946593</v>
      </c>
    </row>
    <row r="1340" spans="4:26" x14ac:dyDescent="0.25">
      <c r="D1340" s="6" t="s">
        <v>75</v>
      </c>
      <c r="E1340" s="6" t="s">
        <v>385</v>
      </c>
      <c r="F1340" s="6" t="s">
        <v>382</v>
      </c>
      <c r="G1340" s="6" t="s">
        <v>426</v>
      </c>
      <c r="H1340" s="6" t="s">
        <v>383</v>
      </c>
      <c r="P1340" s="10" cm="1">
        <f t="array" ref="P1340">TOTAL_EFFECT(0,"Rural","p25")</f>
        <v>1.4776324863003261</v>
      </c>
    </row>
    <row r="1341" spans="4:26" x14ac:dyDescent="0.25">
      <c r="D1341" s="6" t="s">
        <v>75</v>
      </c>
      <c r="E1341" s="6" t="s">
        <v>385</v>
      </c>
      <c r="F1341" s="6" t="s">
        <v>145</v>
      </c>
      <c r="G1341" s="6" t="s">
        <v>426</v>
      </c>
      <c r="H1341" s="6" t="s">
        <v>383</v>
      </c>
      <c r="Q1341" s="10" cm="1">
        <f t="array" ref="Q1341:Z1341">TOTAL_EFFECT(DECILE_ARRAY,"Rural","p25")</f>
        <v>1.8540476726194268</v>
      </c>
      <c r="R1341">
        <v>1.7161364290164682</v>
      </c>
      <c r="S1341">
        <v>1.5670193671257151</v>
      </c>
      <c r="T1341">
        <v>1.5233863044196645</v>
      </c>
      <c r="U1341">
        <v>1.4377596664410721</v>
      </c>
      <c r="V1341">
        <v>1.4618583204071276</v>
      </c>
      <c r="W1341">
        <v>1.33079022243437</v>
      </c>
      <c r="X1341">
        <v>1.3729372556458965</v>
      </c>
      <c r="Y1341">
        <v>1.3824483554881399</v>
      </c>
      <c r="Z1341">
        <v>1.4298685073332578</v>
      </c>
    </row>
    <row r="1342" spans="4:26" x14ac:dyDescent="0.25">
      <c r="D1342" s="6" t="s">
        <v>78</v>
      </c>
      <c r="E1342" s="6" t="s">
        <v>381</v>
      </c>
      <c r="F1342" s="6" t="s">
        <v>382</v>
      </c>
      <c r="G1342" s="6" t="s">
        <v>426</v>
      </c>
      <c r="H1342" s="6" t="s">
        <v>383</v>
      </c>
      <c r="P1342" s="10" cm="1">
        <f t="array" ref="P1342">TOTAL_EFFECT(0,"Overall","p75")</f>
        <v>2.8211947367251131</v>
      </c>
    </row>
    <row r="1343" spans="4:26" x14ac:dyDescent="0.25">
      <c r="D1343" s="6" t="s">
        <v>78</v>
      </c>
      <c r="E1343" s="6" t="s">
        <v>381</v>
      </c>
      <c r="F1343" s="6" t="s">
        <v>145</v>
      </c>
      <c r="G1343" s="6" t="s">
        <v>426</v>
      </c>
      <c r="H1343" s="6" t="s">
        <v>383</v>
      </c>
      <c r="Q1343" s="10" cm="1">
        <f t="array" ref="Q1343:Z1343">TOTAL_EFFECT(DECILE_ARRAY,"Overall","p75")</f>
        <v>3.0907058132722915</v>
      </c>
      <c r="R1343">
        <v>2.7548654687993173</v>
      </c>
      <c r="S1343">
        <v>2.6018587678174967</v>
      </c>
      <c r="T1343">
        <v>2.4108809610230293</v>
      </c>
      <c r="U1343">
        <v>2.6477889696307022</v>
      </c>
      <c r="V1343">
        <v>2.6998876877785438</v>
      </c>
      <c r="W1343">
        <v>2.6653214738166304</v>
      </c>
      <c r="X1343">
        <v>2.825195938867993</v>
      </c>
      <c r="Y1343">
        <v>2.6800485013721684</v>
      </c>
      <c r="Z1343">
        <v>2.8350762270712035</v>
      </c>
    </row>
    <row r="1344" spans="4:26" x14ac:dyDescent="0.25">
      <c r="D1344" s="6" t="s">
        <v>78</v>
      </c>
      <c r="E1344" s="6" t="s">
        <v>384</v>
      </c>
      <c r="F1344" s="6" t="s">
        <v>382</v>
      </c>
      <c r="G1344" s="6" t="s">
        <v>426</v>
      </c>
      <c r="H1344" s="6" t="s">
        <v>383</v>
      </c>
      <c r="P1344" s="10" cm="1">
        <f t="array" ref="P1344">TOTAL_EFFECT(0,"Urban","p75")</f>
        <v>2.808765943477936</v>
      </c>
    </row>
    <row r="1345" spans="1:26" x14ac:dyDescent="0.25">
      <c r="D1345" s="6" t="s">
        <v>78</v>
      </c>
      <c r="E1345" s="6" t="s">
        <v>384</v>
      </c>
      <c r="F1345" s="6" t="s">
        <v>145</v>
      </c>
      <c r="G1345" s="6" t="s">
        <v>426</v>
      </c>
      <c r="H1345" s="6" t="s">
        <v>383</v>
      </c>
      <c r="Q1345" s="10" cm="1">
        <f t="array" ref="Q1345:Z1345">TOTAL_EFFECT(DECILE_ARRAY,"Urban","p75")</f>
        <v>3.2867090169048896</v>
      </c>
      <c r="R1345">
        <v>2.9967453269311752</v>
      </c>
      <c r="S1345">
        <v>2.8559451260595194</v>
      </c>
      <c r="T1345">
        <v>2.7731915322990046</v>
      </c>
      <c r="U1345">
        <v>2.7978460488235921</v>
      </c>
      <c r="V1345">
        <v>2.5728371131217735</v>
      </c>
      <c r="W1345">
        <v>2.6876511023638421</v>
      </c>
      <c r="X1345">
        <v>2.5722203298734563</v>
      </c>
      <c r="Y1345">
        <v>2.5361946200522572</v>
      </c>
      <c r="Z1345">
        <v>2.4939122259953503</v>
      </c>
    </row>
    <row r="1346" spans="1:26" x14ac:dyDescent="0.25">
      <c r="D1346" s="6" t="s">
        <v>78</v>
      </c>
      <c r="E1346" s="6" t="s">
        <v>385</v>
      </c>
      <c r="F1346" s="6" t="s">
        <v>382</v>
      </c>
      <c r="G1346" s="6" t="s">
        <v>426</v>
      </c>
      <c r="H1346" s="6" t="s">
        <v>383</v>
      </c>
      <c r="P1346" s="10" cm="1">
        <f t="array" ref="P1346">TOTAL_EFFECT(0,"Rural","p75")</f>
        <v>2.6098896538258023</v>
      </c>
    </row>
    <row r="1347" spans="1:26" x14ac:dyDescent="0.25">
      <c r="D1347" s="6" t="s">
        <v>78</v>
      </c>
      <c r="E1347" s="6" t="s">
        <v>385</v>
      </c>
      <c r="F1347" s="6" t="s">
        <v>145</v>
      </c>
      <c r="G1347" s="6" t="s">
        <v>426</v>
      </c>
      <c r="H1347" s="6" t="s">
        <v>383</v>
      </c>
      <c r="Q1347" s="10" cm="1">
        <f t="array" ref="Q1347:Z1347">TOTAL_EFFECT(DECILE_ARRAY,"Rural","p75")</f>
        <v>3.1208361547745893</v>
      </c>
      <c r="R1347">
        <v>2.7494909105519101</v>
      </c>
      <c r="S1347">
        <v>2.6399760535084411</v>
      </c>
      <c r="T1347">
        <v>2.5875017303853669</v>
      </c>
      <c r="U1347">
        <v>2.4436079111418563</v>
      </c>
      <c r="V1347">
        <v>2.4767679053360361</v>
      </c>
      <c r="W1347">
        <v>2.5417443982643948</v>
      </c>
      <c r="X1347">
        <v>2.6107119748240191</v>
      </c>
      <c r="Y1347">
        <v>2.58430629509893</v>
      </c>
      <c r="Z1347">
        <v>2.8158623399809244</v>
      </c>
    </row>
    <row r="1349" spans="1:26" x14ac:dyDescent="0.25">
      <c r="A1349" s="5" t="s">
        <v>447</v>
      </c>
      <c r="B1349" s="13" t="s">
        <v>448</v>
      </c>
      <c r="C1349" s="14"/>
      <c r="D1349" s="14"/>
      <c r="E1349" s="14"/>
      <c r="F1349" s="14"/>
      <c r="G1349" s="14"/>
      <c r="H1349" s="14"/>
      <c r="I1349" s="14"/>
      <c r="J1349" s="14"/>
      <c r="K1349" s="14"/>
      <c r="L1349" s="14"/>
      <c r="M1349" s="14"/>
      <c r="N1349" s="14"/>
    </row>
    <row r="1351" spans="1:26" x14ac:dyDescent="0.25">
      <c r="C1351" s="7" t="s">
        <v>449</v>
      </c>
      <c r="G1351" s="6"/>
      <c r="O1351" s="2" t="s">
        <v>331</v>
      </c>
      <c r="Q1351" s="2">
        <v>1</v>
      </c>
      <c r="R1351" s="2">
        <v>2</v>
      </c>
      <c r="S1351" s="2">
        <v>3</v>
      </c>
      <c r="T1351" s="2">
        <v>4</v>
      </c>
      <c r="U1351" s="2">
        <v>5</v>
      </c>
      <c r="V1351" s="2">
        <v>6</v>
      </c>
      <c r="W1351" s="2">
        <v>7</v>
      </c>
      <c r="X1351" s="2">
        <v>8</v>
      </c>
      <c r="Y1351" s="2">
        <v>9</v>
      </c>
      <c r="Z1351" s="2">
        <v>10</v>
      </c>
    </row>
    <row r="1352" spans="1:26" x14ac:dyDescent="0.25">
      <c r="C1352" s="6" t="s">
        <v>450</v>
      </c>
      <c r="G1352" s="6" t="s">
        <v>451</v>
      </c>
      <c r="H1352" s="6" t="s">
        <v>255</v>
      </c>
      <c r="P1352" s="10">
        <f>SUM(ADJ_POP(DECILE_ARRAY,"Overall"))</f>
        <v>10815634.807787551</v>
      </c>
      <c r="Q1352" s="10" cm="1">
        <f t="array" ref="Q1352:Z1352">ADJ_POP(DECILE_ARRAY,"Overall")</f>
        <v>10815634.807787551</v>
      </c>
      <c r="R1352">
        <v>10626795.293054204</v>
      </c>
      <c r="S1352">
        <v>12082423.543024359</v>
      </c>
      <c r="T1352">
        <v>10868625.91810639</v>
      </c>
      <c r="U1352">
        <v>11087940.341569548</v>
      </c>
      <c r="V1352">
        <v>12176952.110095819</v>
      </c>
      <c r="W1352">
        <v>11323455.988035299</v>
      </c>
      <c r="X1352">
        <v>11844883.346718842</v>
      </c>
      <c r="Y1352">
        <v>10876684.950810276</v>
      </c>
      <c r="Z1352">
        <v>10497212.062875031</v>
      </c>
    </row>
    <row r="1353" spans="1:26" x14ac:dyDescent="0.25">
      <c r="C1353" s="6" t="s">
        <v>452</v>
      </c>
      <c r="G1353" s="6" t="s">
        <v>451</v>
      </c>
      <c r="H1353" s="6" t="s">
        <v>255</v>
      </c>
      <c r="P1353" s="10">
        <f>SUM(ADJ_POP(DECILE_ARRAY,"Urban"))</f>
        <v>5226438.6632905304</v>
      </c>
      <c r="Q1353" s="10" cm="1">
        <f t="array" ref="Q1353:Z1353">ADJ_POP(DECILE_ARRAY,"Urban")</f>
        <v>5226438.6632905304</v>
      </c>
      <c r="R1353">
        <v>5039296.4518526746</v>
      </c>
      <c r="S1353">
        <v>5113806.2576166699</v>
      </c>
      <c r="T1353">
        <v>5225757.5728824632</v>
      </c>
      <c r="U1353">
        <v>5553663.7168401591</v>
      </c>
      <c r="V1353">
        <v>5444260.6671108771</v>
      </c>
      <c r="W1353">
        <v>5597551.7292287927</v>
      </c>
      <c r="X1353">
        <v>5490244.4986217907</v>
      </c>
      <c r="Y1353">
        <v>5199547.6773876147</v>
      </c>
      <c r="Z1353">
        <v>5565456.6568804309</v>
      </c>
    </row>
    <row r="1354" spans="1:26" x14ac:dyDescent="0.25">
      <c r="C1354" s="6" t="s">
        <v>453</v>
      </c>
      <c r="G1354" s="6" t="s">
        <v>451</v>
      </c>
      <c r="H1354" s="6" t="s">
        <v>255</v>
      </c>
      <c r="P1354" s="10">
        <f>SUM(ADJ_POP(DECILE_ARRAY,"Rural"))</f>
        <v>6016588.1231833063</v>
      </c>
      <c r="Q1354" s="10" cm="1">
        <f t="array" ref="Q1354:Z1354">ADJ_POP(DECILE_ARRAY,"Rural")</f>
        <v>6016588.1231833063</v>
      </c>
      <c r="R1354">
        <v>5845187.6900252905</v>
      </c>
      <c r="S1354">
        <v>6481925.8497348707</v>
      </c>
      <c r="T1354">
        <v>5900621.2592767878</v>
      </c>
      <c r="U1354">
        <v>5856208.5672452739</v>
      </c>
      <c r="V1354">
        <v>6338257.9310046853</v>
      </c>
      <c r="W1354">
        <v>6493603.819494199</v>
      </c>
      <c r="X1354">
        <v>6246058.9717016704</v>
      </c>
      <c r="Y1354">
        <v>5967885.1240326334</v>
      </c>
      <c r="Z1354">
        <v>6599029.3758171676</v>
      </c>
    </row>
    <row r="1355" spans="1:26" x14ac:dyDescent="0.25">
      <c r="C1355" s="6" t="s">
        <v>454</v>
      </c>
      <c r="G1355" s="6" t="s">
        <v>455</v>
      </c>
      <c r="H1355" s="6" t="s">
        <v>456</v>
      </c>
      <c r="P1355" s="10" cm="1">
        <f t="array" ref="P1355">ADJ_CONS_PC(0,"Overall")</f>
        <v>260627.70681579338</v>
      </c>
      <c r="Q1355" s="10" cm="1">
        <f t="array" ref="Q1355:Z1355">ADJ_CONS_PC(DECILE_ARRAY,"Overall")</f>
        <v>110270.15709868066</v>
      </c>
      <c r="R1355">
        <v>140514.95248480051</v>
      </c>
      <c r="S1355">
        <v>173566.74946546572</v>
      </c>
      <c r="T1355">
        <v>206884.78816018466</v>
      </c>
      <c r="U1355">
        <v>218201.13931680666</v>
      </c>
      <c r="V1355">
        <v>232219.04837367666</v>
      </c>
      <c r="W1355">
        <v>291448.59700616187</v>
      </c>
      <c r="X1355">
        <v>334636.17141395231</v>
      </c>
      <c r="Y1355">
        <v>398532.45467179344</v>
      </c>
      <c r="Z1355">
        <v>554311.31164588267</v>
      </c>
    </row>
    <row r="1356" spans="1:26" x14ac:dyDescent="0.25">
      <c r="C1356" s="6" t="s">
        <v>457</v>
      </c>
      <c r="G1356" s="6" t="s">
        <v>455</v>
      </c>
      <c r="H1356" s="6" t="s">
        <v>456</v>
      </c>
      <c r="P1356" s="10" cm="1">
        <f t="array" ref="P1356">ADJ_CONS_PC(0,"Urban")</f>
        <v>283906.21286779497</v>
      </c>
      <c r="Q1356" s="10" cm="1">
        <f t="array" ref="Q1356:Z1356">ADJ_CONS_PC(DECILE_ARRAY,"Urban")</f>
        <v>117578.41186368132</v>
      </c>
      <c r="R1356">
        <v>165631.20556128502</v>
      </c>
      <c r="S1356">
        <v>191115.40507142991</v>
      </c>
      <c r="T1356">
        <v>203861.52932618459</v>
      </c>
      <c r="U1356">
        <v>259488.84948214644</v>
      </c>
      <c r="V1356">
        <v>256782.92463810687</v>
      </c>
      <c r="W1356">
        <v>287323.88157827384</v>
      </c>
      <c r="X1356">
        <v>340950.01233569067</v>
      </c>
      <c r="Y1356">
        <v>431527.19637309946</v>
      </c>
      <c r="Z1356">
        <v>625141.87549441599</v>
      </c>
    </row>
    <row r="1357" spans="1:26" x14ac:dyDescent="0.25">
      <c r="C1357" s="6" t="s">
        <v>458</v>
      </c>
      <c r="G1357" s="6" t="s">
        <v>455</v>
      </c>
      <c r="H1357" s="6" t="s">
        <v>456</v>
      </c>
      <c r="P1357" s="10" cm="1">
        <f t="array" ref="P1357">ADJ_CONS_PC(0,"Rural")</f>
        <v>243420.8528288962</v>
      </c>
      <c r="Q1357" s="10" cm="1">
        <f t="array" ref="Q1357:Z1357">ADJ_CONS_PC(DECILE_ARRAY,"Rural")</f>
        <v>104023.23198502242</v>
      </c>
      <c r="R1357">
        <v>127770.03340777305</v>
      </c>
      <c r="S1357">
        <v>148357.12247138581</v>
      </c>
      <c r="T1357">
        <v>172254.38178201063</v>
      </c>
      <c r="U1357">
        <v>196046.41187109068</v>
      </c>
      <c r="V1357">
        <v>208890.26750977282</v>
      </c>
      <c r="W1357">
        <v>244605.98814801825</v>
      </c>
      <c r="X1357">
        <v>261607.35671119866</v>
      </c>
      <c r="Y1357">
        <v>305402.11611521774</v>
      </c>
      <c r="Z1357">
        <v>459581.44061821996</v>
      </c>
    </row>
    <row r="1358" spans="1:26" x14ac:dyDescent="0.25">
      <c r="C1358" s="6" t="s">
        <v>459</v>
      </c>
      <c r="G1358" s="6" t="s">
        <v>460</v>
      </c>
      <c r="H1358" s="6" t="s">
        <v>97</v>
      </c>
      <c r="P1358" s="10">
        <f>SUM(ADJ_CONS_TOT(DECILE_ARRAY,"Overall"))</f>
        <v>1192641749376.6921</v>
      </c>
      <c r="Q1358" s="10" cm="1">
        <f t="array" ref="Q1358:Z1358">ADJ_CONS_TOT(DECILE_ARRAY,"Overall")</f>
        <v>1192641749376.6921</v>
      </c>
      <c r="R1358">
        <v>1493223635669.2131</v>
      </c>
      <c r="S1358">
        <v>2097106980027.7537</v>
      </c>
      <c r="T1358">
        <v>2248553370659.7329</v>
      </c>
      <c r="U1358">
        <v>2419401215207.2578</v>
      </c>
      <c r="V1358">
        <v>2827720231098.2852</v>
      </c>
      <c r="W1358">
        <v>3300205360973.9102</v>
      </c>
      <c r="X1358">
        <v>3963726413990.8755</v>
      </c>
      <c r="Y1358">
        <v>4334711952138.1743</v>
      </c>
      <c r="Z1358">
        <v>5818723387197.2402</v>
      </c>
    </row>
    <row r="1359" spans="1:26" x14ac:dyDescent="0.25">
      <c r="C1359" s="6" t="s">
        <v>461</v>
      </c>
      <c r="G1359" s="6" t="s">
        <v>460</v>
      </c>
      <c r="H1359" s="6" t="s">
        <v>97</v>
      </c>
      <c r="P1359" s="10">
        <f>SUM(ADJ_CONS_TOT(DECILE_ARRAY,"Urban"))</f>
        <v>614516357732.64209</v>
      </c>
      <c r="Q1359" s="10" cm="1">
        <f t="array" ref="Q1359:Z1359">ADJ_CONS_TOT(DECILE_ARRAY,"Urban")</f>
        <v>614516357732.64209</v>
      </c>
      <c r="R1359">
        <v>834664746501.06458</v>
      </c>
      <c r="S1359">
        <v>977327154381.2229</v>
      </c>
      <c r="T1359">
        <v>1065330930695.7095</v>
      </c>
      <c r="U1359">
        <v>1441113808293.594</v>
      </c>
      <c r="V1359">
        <v>1397993176592.9417</v>
      </c>
      <c r="W1359">
        <v>1608310290177.1956</v>
      </c>
      <c r="X1359">
        <v>1871898929531.0574</v>
      </c>
      <c r="Y1359">
        <v>2243746231631.3384</v>
      </c>
      <c r="Z1359">
        <v>3479200012465.1147</v>
      </c>
    </row>
    <row r="1360" spans="1:26" x14ac:dyDescent="0.25">
      <c r="C1360" s="6" t="s">
        <v>462</v>
      </c>
      <c r="G1360" s="6" t="s">
        <v>460</v>
      </c>
      <c r="H1360" s="6" t="s">
        <v>97</v>
      </c>
      <c r="P1360" s="10">
        <f>SUM(ADJ_CONS_TOT(DECILE_ARRAY,"Rural"))</f>
        <v>625864942096.22766</v>
      </c>
      <c r="Q1360" s="10" cm="1">
        <f t="array" ref="Q1360:Z1360">ADJ_CONS_TOT(DECILE_ARRAY,"Rural")</f>
        <v>625864942096.22766</v>
      </c>
      <c r="R1360">
        <v>746839826429.23511</v>
      </c>
      <c r="S1360">
        <v>961639867139.55774</v>
      </c>
      <c r="T1360">
        <v>1016407867146.5122</v>
      </c>
      <c r="U1360">
        <v>1148088676777.1768</v>
      </c>
      <c r="V1360">
        <v>1324000394753.5078</v>
      </c>
      <c r="W1360">
        <v>1588374378909.124</v>
      </c>
      <c r="X1360">
        <v>1634014977449.1416</v>
      </c>
      <c r="Y1360">
        <v>1822604745612.095</v>
      </c>
      <c r="Z1360">
        <v>3032791427220.0068</v>
      </c>
    </row>
    <row r="1361" spans="1:26" x14ac:dyDescent="0.25">
      <c r="C1361" s="6" t="s">
        <v>463</v>
      </c>
      <c r="G1361" s="6" t="s">
        <v>464</v>
      </c>
      <c r="H1361" s="6" t="s">
        <v>97</v>
      </c>
      <c r="P1361" s="10">
        <f>SUM(TAX_BURDEN_PRE(DECILE_ARRAY,"Overall"))</f>
        <v>310493627791.79059</v>
      </c>
      <c r="Q1361" s="10" cm="1">
        <f t="array" ref="Q1361:Z1361">TAX_BURDEN_PRE(DECILE_ARRAY,"Overall")</f>
        <v>30995621908.240334</v>
      </c>
      <c r="R1361">
        <v>35760304262.116707</v>
      </c>
      <c r="S1361">
        <v>48284043564.982201</v>
      </c>
      <c r="T1361">
        <v>48276745856.753548</v>
      </c>
      <c r="U1361">
        <v>52472461886.242249</v>
      </c>
      <c r="V1361">
        <v>60943271503.309296</v>
      </c>
      <c r="W1361">
        <v>72876341795.806717</v>
      </c>
      <c r="X1361">
        <v>88098347825.676712</v>
      </c>
      <c r="Y1361">
        <v>92660044591.438812</v>
      </c>
      <c r="Z1361">
        <v>127745374666.96945</v>
      </c>
    </row>
    <row r="1362" spans="1:26" x14ac:dyDescent="0.25">
      <c r="C1362" s="6" t="s">
        <v>465</v>
      </c>
      <c r="G1362" s="6" t="s">
        <v>464</v>
      </c>
      <c r="H1362" s="6" t="s">
        <v>97</v>
      </c>
      <c r="P1362" s="10">
        <f>SUM(TAX_BURDEN_PRE(DECILE_ARRAY,"Urban"))</f>
        <v>144921225066.67679</v>
      </c>
      <c r="Q1362" s="10" cm="1">
        <f t="array" ref="Q1362:Z1362">TAX_BURDEN_PRE(DECILE_ARRAY,"Urban")</f>
        <v>14467735454.440344</v>
      </c>
      <c r="R1362">
        <v>17598565221.936672</v>
      </c>
      <c r="S1362">
        <v>20428269342.19347</v>
      </c>
      <c r="T1362">
        <v>21363250778.862835</v>
      </c>
      <c r="U1362">
        <v>28325071863.958019</v>
      </c>
      <c r="V1362">
        <v>27774092456.937431</v>
      </c>
      <c r="W1362">
        <v>34614586201.216927</v>
      </c>
      <c r="X1362">
        <v>37544862574.710518</v>
      </c>
      <c r="Y1362">
        <v>46677477262.239754</v>
      </c>
      <c r="Z1362">
        <v>72912224448.047348</v>
      </c>
    </row>
    <row r="1363" spans="1:26" x14ac:dyDescent="0.25">
      <c r="C1363" s="6" t="s">
        <v>466</v>
      </c>
      <c r="G1363" s="6" t="s">
        <v>464</v>
      </c>
      <c r="H1363" s="6" t="s">
        <v>97</v>
      </c>
      <c r="P1363" s="10">
        <f>SUM(TAX_BURDEN_PRE(DECILE_ARRAY,"Rural"))</f>
        <v>167724547493.87387</v>
      </c>
      <c r="Q1363" s="10" cm="1">
        <f t="array" ref="Q1363:Z1363">TAX_BURDEN_PRE(DECILE_ARRAY,"Rural")</f>
        <v>16743693518.604898</v>
      </c>
      <c r="R1363">
        <v>18036102618.080608</v>
      </c>
      <c r="S1363">
        <v>22342692025.215813</v>
      </c>
      <c r="T1363">
        <v>24150863360.851833</v>
      </c>
      <c r="U1363">
        <v>26514545968.099781</v>
      </c>
      <c r="V1363">
        <v>29798935035.515102</v>
      </c>
      <c r="W1363">
        <v>34788988258.105652</v>
      </c>
      <c r="X1363">
        <v>37978593326.186279</v>
      </c>
      <c r="Y1363">
        <v>42571042338.330482</v>
      </c>
      <c r="Z1363">
        <v>73811461854.466309</v>
      </c>
    </row>
    <row r="1365" spans="1:26" x14ac:dyDescent="0.25">
      <c r="A1365" s="5" t="s">
        <v>467</v>
      </c>
      <c r="B1365" s="13" t="s">
        <v>468</v>
      </c>
      <c r="C1365" s="14"/>
      <c r="D1365" s="14"/>
      <c r="E1365" s="14"/>
      <c r="F1365" s="14"/>
      <c r="G1365" s="14"/>
      <c r="H1365" s="14"/>
      <c r="I1365" s="14"/>
      <c r="J1365" s="14"/>
      <c r="K1365" s="14"/>
      <c r="L1365" s="14"/>
      <c r="M1365" s="14"/>
      <c r="N1365" s="14"/>
    </row>
    <row r="1367" spans="1:26" x14ac:dyDescent="0.25">
      <c r="C1367" s="7" t="s">
        <v>469</v>
      </c>
      <c r="G1367" s="6"/>
      <c r="O1367" s="2" t="s">
        <v>331</v>
      </c>
      <c r="Q1367" s="2">
        <v>1</v>
      </c>
      <c r="R1367" s="2">
        <v>2</v>
      </c>
      <c r="S1367" s="2">
        <v>3</v>
      </c>
      <c r="T1367" s="2">
        <v>4</v>
      </c>
      <c r="U1367" s="2">
        <v>5</v>
      </c>
      <c r="V1367" s="2">
        <v>6</v>
      </c>
      <c r="W1367" s="2">
        <v>7</v>
      </c>
      <c r="X1367" s="2">
        <v>8</v>
      </c>
      <c r="Y1367" s="2">
        <v>9</v>
      </c>
      <c r="Z1367" s="2">
        <v>10</v>
      </c>
    </row>
    <row r="1368" spans="1:26" x14ac:dyDescent="0.25">
      <c r="C1368" s="6" t="s">
        <v>470</v>
      </c>
      <c r="G1368" s="6" t="s">
        <v>471</v>
      </c>
      <c r="H1368" s="6" t="s">
        <v>100</v>
      </c>
      <c r="P1368" s="10"/>
      <c r="Q1368" s="10" cm="1">
        <f t="array" ref="Q1368:Z1368">ADJ_CONS_TOT(DECILE_ARRAY,"Overall")/SUM(ADJ_CONS_TOT(DECILE_ARRAY,"Overall"))</f>
        <v>4.0161677505782936E-2</v>
      </c>
      <c r="R1368">
        <v>5.0283638092580477E-2</v>
      </c>
      <c r="S1368">
        <v>7.0619139629330002E-2</v>
      </c>
      <c r="T1368">
        <v>7.5719029100040858E-2</v>
      </c>
      <c r="U1368">
        <v>8.1472253854131399E-2</v>
      </c>
      <c r="V1368">
        <v>9.5222214095138022E-2</v>
      </c>
      <c r="W1368">
        <v>0.11113293952652603</v>
      </c>
      <c r="X1368">
        <v>0.13347671422961011</v>
      </c>
      <c r="Y1368">
        <v>0.14596948630485229</v>
      </c>
      <c r="Z1368">
        <v>0.19594290766200767</v>
      </c>
    </row>
    <row r="1369" spans="1:26" x14ac:dyDescent="0.25">
      <c r="C1369" s="6" t="s">
        <v>472</v>
      </c>
      <c r="G1369" s="6" t="s">
        <v>473</v>
      </c>
      <c r="H1369" s="6" t="s">
        <v>100</v>
      </c>
      <c r="P1369" s="10"/>
      <c r="Q1369" s="10" cm="1">
        <f t="array" ref="Q1369:Z1369">POST_CP_EXCL_RECYCLING(DECILE_ARRAY,"Overall")/SUM(POST_CP_EXCL_RECYCLING(DECILE_ARRAY,"Overall"))</f>
        <v>4.000447890245374E-2</v>
      </c>
      <c r="R1369">
        <v>5.0191757811337938E-2</v>
      </c>
      <c r="S1369">
        <v>7.0556852038241913E-2</v>
      </c>
      <c r="T1369">
        <v>7.5772576290780436E-2</v>
      </c>
      <c r="U1369">
        <v>8.1511700626241912E-2</v>
      </c>
      <c r="V1369">
        <v>9.5281573183670157E-2</v>
      </c>
      <c r="W1369">
        <v>0.11114194986415385</v>
      </c>
      <c r="X1369">
        <v>0.13346791035626634</v>
      </c>
      <c r="Y1369">
        <v>0.14608672299230455</v>
      </c>
      <c r="Z1369">
        <v>0.19598447793454921</v>
      </c>
    </row>
    <row r="1370" spans="1:26" x14ac:dyDescent="0.25">
      <c r="C1370" s="6" t="s">
        <v>474</v>
      </c>
      <c r="G1370" s="6" t="s">
        <v>475</v>
      </c>
      <c r="H1370" s="6" t="s">
        <v>100</v>
      </c>
      <c r="P1370" s="10"/>
      <c r="Q1370" s="10" cm="1">
        <f t="array" ref="Q1370:Z1370">POST_CP_INCL_RECYCLING(DECILE_ARRAY,"Overall")/SUM(POST_CP_INCL_RECYCLING(DECILE_ARRAY,"Overall"))</f>
        <v>4.342208039632673E-2</v>
      </c>
      <c r="R1370">
        <v>5.2571755095325176E-2</v>
      </c>
      <c r="S1370">
        <v>7.1622718197348861E-2</v>
      </c>
      <c r="T1370">
        <v>7.6430626945219321E-2</v>
      </c>
      <c r="U1370">
        <v>8.2441845469192684E-2</v>
      </c>
      <c r="V1370">
        <v>9.49977340793908E-2</v>
      </c>
      <c r="W1370">
        <v>0.11002670570661961</v>
      </c>
      <c r="X1370">
        <v>0.13169825013320444</v>
      </c>
      <c r="Y1370">
        <v>0.14446211136399187</v>
      </c>
      <c r="Z1370">
        <v>0.1923261726133805</v>
      </c>
    </row>
    <row r="1371" spans="1:26" x14ac:dyDescent="0.25">
      <c r="C1371" s="6" t="s">
        <v>476</v>
      </c>
      <c r="G1371" s="6" t="s">
        <v>477</v>
      </c>
      <c r="H1371" s="6" t="s">
        <v>100</v>
      </c>
      <c r="P1371" s="10">
        <f>0</f>
        <v>0</v>
      </c>
      <c r="Q1371" s="10" cm="1">
        <f t="array" ref="Q1371:Z1371">_xlfn.SCAN(0,Q1368:Z1368,_xlfn.LAMBDA(_xlpm.a,_xlpm.v,_xlpm.a+_xlpm.v))</f>
        <v>4.0161677505782936E-2</v>
      </c>
      <c r="R1371">
        <v>9.0445315598363413E-2</v>
      </c>
      <c r="S1371">
        <v>0.16106445522769341</v>
      </c>
      <c r="T1371">
        <v>0.23678348432773427</v>
      </c>
      <c r="U1371">
        <v>0.3182557381818657</v>
      </c>
      <c r="V1371">
        <v>0.41347795227700374</v>
      </c>
      <c r="W1371">
        <v>0.52461089180352971</v>
      </c>
      <c r="X1371">
        <v>0.65808760603313976</v>
      </c>
      <c r="Y1371">
        <v>0.80405709233799205</v>
      </c>
      <c r="Z1371">
        <v>0.99999999999999978</v>
      </c>
    </row>
    <row r="1372" spans="1:26" x14ac:dyDescent="0.25">
      <c r="C1372" s="6" t="s">
        <v>478</v>
      </c>
      <c r="G1372" s="6" t="s">
        <v>479</v>
      </c>
      <c r="H1372" s="6" t="s">
        <v>100</v>
      </c>
      <c r="P1372" s="10">
        <f>0</f>
        <v>0</v>
      </c>
      <c r="Q1372" s="10" cm="1">
        <f t="array" ref="Q1372:Z1372">_xlfn.SCAN(0,Q1369:Z1369,_xlfn.LAMBDA(_xlpm.a,_xlpm.v,_xlpm.a+_xlpm.v))</f>
        <v>4.000447890245374E-2</v>
      </c>
      <c r="R1372">
        <v>9.0196236713791678E-2</v>
      </c>
      <c r="S1372">
        <v>0.16075308875203359</v>
      </c>
      <c r="T1372">
        <v>0.23652566504281403</v>
      </c>
      <c r="U1372">
        <v>0.31803736566905594</v>
      </c>
      <c r="V1372">
        <v>0.41331893885272608</v>
      </c>
      <c r="W1372">
        <v>0.5244608887168799</v>
      </c>
      <c r="X1372">
        <v>0.65792879907314628</v>
      </c>
      <c r="Y1372">
        <v>0.80401552206545079</v>
      </c>
      <c r="Z1372">
        <v>1</v>
      </c>
    </row>
    <row r="1373" spans="1:26" x14ac:dyDescent="0.25">
      <c r="C1373" s="6" t="s">
        <v>480</v>
      </c>
      <c r="G1373" s="6" t="s">
        <v>481</v>
      </c>
      <c r="H1373" s="6" t="s">
        <v>100</v>
      </c>
      <c r="P1373" s="10">
        <f>0</f>
        <v>0</v>
      </c>
      <c r="Q1373" s="10" cm="1">
        <f t="array" ref="Q1373:Z1373">_xlfn.SCAN(0,Q1370:Z1370,_xlfn.LAMBDA(_xlpm.a,_xlpm.v,_xlpm.a+_xlpm.v))</f>
        <v>4.342208039632673E-2</v>
      </c>
      <c r="R1373">
        <v>9.5993835491651913E-2</v>
      </c>
      <c r="S1373">
        <v>0.16761655368900077</v>
      </c>
      <c r="T1373">
        <v>0.2440471806342201</v>
      </c>
      <c r="U1373">
        <v>0.32648902610341279</v>
      </c>
      <c r="V1373">
        <v>0.42148676018280362</v>
      </c>
      <c r="W1373">
        <v>0.53151346588942328</v>
      </c>
      <c r="X1373">
        <v>0.66321171602262774</v>
      </c>
      <c r="Y1373">
        <v>0.80767382738661964</v>
      </c>
      <c r="Z1373">
        <v>1.0000000000000002</v>
      </c>
    </row>
    <row r="1374" spans="1:26" x14ac:dyDescent="0.25">
      <c r="C1374" s="6" t="s">
        <v>482</v>
      </c>
      <c r="G1374" s="6" t="s">
        <v>483</v>
      </c>
      <c r="H1374" s="6" t="s">
        <v>100</v>
      </c>
      <c r="P1374" s="10">
        <f>0</f>
        <v>0</v>
      </c>
      <c r="Q1374" s="10" cm="1">
        <f t="array" ref="Q1374:Z1374">DECILE_ARRAY/10</f>
        <v>0.1</v>
      </c>
      <c r="R1374">
        <v>0.2</v>
      </c>
      <c r="S1374">
        <v>0.3</v>
      </c>
      <c r="T1374">
        <v>0.4</v>
      </c>
      <c r="U1374">
        <v>0.5</v>
      </c>
      <c r="V1374">
        <v>0.6</v>
      </c>
      <c r="W1374">
        <v>0.7</v>
      </c>
      <c r="X1374">
        <v>0.8</v>
      </c>
      <c r="Y1374">
        <v>0.9</v>
      </c>
      <c r="Z1374">
        <v>1</v>
      </c>
    </row>
    <row r="1376" spans="1:26" x14ac:dyDescent="0.25">
      <c r="C1376" s="7" t="s">
        <v>484</v>
      </c>
    </row>
    <row r="1377" spans="1:26" x14ac:dyDescent="0.25">
      <c r="C1377" s="6" t="s">
        <v>485</v>
      </c>
      <c r="P1377" s="10" cm="1">
        <f t="array" ref="P1377">1-2*SUMPRODUCT(ADJ_POP(DECILE_ARRAY,"Overall")/SUM(ADJ_POP(DECILE_ARRAY,"Overall"))*(_xlfn.HSTACK(0,Q1371:INDEX(Q1371:Z1371,1,9))+Q1371:Z1371)/2)</f>
        <v>0.2538192481880841</v>
      </c>
    </row>
    <row r="1378" spans="1:26" x14ac:dyDescent="0.25">
      <c r="C1378" s="6" t="s">
        <v>486</v>
      </c>
      <c r="P1378" s="10" cm="1">
        <f t="array" ref="P1378">1-2*SUMPRODUCT(ADJ_POP(DECILE_ARRAY,"Overall")/SUM(ADJ_POP(DECILE_ARRAY,"Overall"))*(_xlfn.HSTACK(0,Q1372:INDEX(Q1372:Z1372,1,9))+Q1372:Z1372)/2)</f>
        <v>0.25416348516534892</v>
      </c>
    </row>
    <row r="1379" spans="1:26" x14ac:dyDescent="0.25">
      <c r="C1379" s="6" t="s">
        <v>487</v>
      </c>
      <c r="P1379" s="10" cm="1">
        <f t="array" ref="P1379">1-2*SUMPRODUCT(ADJ_POP(DECILE_ARRAY,"Overall")/SUM(ADJ_POP(DECILE_ARRAY,"Overall"))*(_xlfn.HSTACK(0,Q1373:INDEX(Q1373:Z1373,1,9))+Q1373:Z1373)/2)</f>
        <v>0.24277486594112518</v>
      </c>
    </row>
    <row r="1380" spans="1:26" x14ac:dyDescent="0.25">
      <c r="C1380" s="6" t="s">
        <v>488</v>
      </c>
      <c r="P1380" s="10" cm="1">
        <f t="array" ref="P1380">1-2*SUMPRODUCT(ADJ_POP(DECILE_ARRAY,"Overall")/SUM(ADJ_POP(DECILE_ARRAY,"Overall"))*(_xlfn.HSTACK(0,Q1374:INDEX(Q1374:Z1374,1,9))+Q1374:Z1374)/2)</f>
        <v>-1.3299740442018759E-4</v>
      </c>
    </row>
    <row r="1381" spans="1:26" x14ac:dyDescent="0.25">
      <c r="C1381" s="6" t="s">
        <v>489</v>
      </c>
      <c r="P1381" s="10">
        <f>P1378-P1377</f>
        <v>3.4423697726482239E-4</v>
      </c>
    </row>
    <row r="1382" spans="1:26" x14ac:dyDescent="0.25">
      <c r="C1382" s="6" t="s">
        <v>490</v>
      </c>
      <c r="P1382" s="10">
        <f>P1379-P1377</f>
        <v>-1.1044382246958917E-2</v>
      </c>
    </row>
    <row r="1384" spans="1:26" x14ac:dyDescent="0.25">
      <c r="A1384" s="5" t="s">
        <v>491</v>
      </c>
      <c r="B1384" s="13" t="s">
        <v>492</v>
      </c>
      <c r="C1384" s="14"/>
      <c r="D1384" s="14"/>
      <c r="E1384" s="14"/>
      <c r="F1384" s="14"/>
      <c r="G1384" s="14"/>
      <c r="H1384" s="14"/>
      <c r="I1384" s="14"/>
      <c r="J1384" s="14"/>
      <c r="K1384" s="14"/>
      <c r="L1384" s="14"/>
      <c r="M1384" s="14"/>
      <c r="N1384" s="14"/>
    </row>
    <row r="1386" spans="1:26" ht="60" customHeight="1" x14ac:dyDescent="0.25">
      <c r="C1386" s="17" t="s">
        <v>493</v>
      </c>
      <c r="D1386" s="16"/>
      <c r="E1386" s="16"/>
      <c r="F1386" s="16"/>
      <c r="G1386" s="16"/>
      <c r="H1386" s="16"/>
      <c r="I1386" s="16"/>
      <c r="J1386" s="16"/>
      <c r="K1386" s="16"/>
      <c r="L1386" s="16"/>
      <c r="M1386" s="16"/>
      <c r="N1386" s="16"/>
      <c r="O1386" s="16"/>
      <c r="P1386" s="16"/>
      <c r="Q1386" s="16"/>
      <c r="R1386" s="16"/>
      <c r="S1386" s="16"/>
      <c r="T1386" s="16"/>
    </row>
    <row r="1387" spans="1:26" x14ac:dyDescent="0.25">
      <c r="C1387" s="16"/>
      <c r="D1387" s="16"/>
      <c r="E1387" s="16"/>
      <c r="F1387" s="16"/>
      <c r="G1387" s="16"/>
      <c r="H1387" s="16"/>
      <c r="I1387" s="16"/>
      <c r="J1387" s="16"/>
      <c r="K1387" s="16"/>
      <c r="L1387" s="16"/>
      <c r="M1387" s="16"/>
      <c r="N1387" s="16"/>
      <c r="O1387" s="16"/>
      <c r="P1387" s="16"/>
      <c r="Q1387" s="16"/>
      <c r="R1387" s="16"/>
      <c r="S1387" s="16"/>
      <c r="T1387" s="16"/>
    </row>
    <row r="1388" spans="1:26" x14ac:dyDescent="0.25">
      <c r="C1388" s="16"/>
      <c r="D1388" s="16"/>
      <c r="E1388" s="16"/>
      <c r="F1388" s="16"/>
      <c r="G1388" s="16"/>
      <c r="H1388" s="16"/>
      <c r="I1388" s="16"/>
      <c r="J1388" s="16"/>
      <c r="K1388" s="16"/>
      <c r="L1388" s="16"/>
      <c r="M1388" s="16"/>
      <c r="N1388" s="16"/>
      <c r="O1388" s="16"/>
      <c r="P1388" s="16"/>
      <c r="Q1388" s="16"/>
      <c r="R1388" s="16"/>
      <c r="S1388" s="16"/>
      <c r="T1388" s="16"/>
    </row>
    <row r="1389" spans="1:26" x14ac:dyDescent="0.25">
      <c r="C1389" s="16"/>
      <c r="D1389" s="16"/>
      <c r="E1389" s="16"/>
      <c r="F1389" s="16"/>
      <c r="G1389" s="16"/>
      <c r="H1389" s="16"/>
      <c r="I1389" s="16"/>
      <c r="J1389" s="16"/>
      <c r="K1389" s="16"/>
      <c r="L1389" s="16"/>
      <c r="M1389" s="16"/>
      <c r="N1389" s="16"/>
      <c r="O1389" s="16"/>
      <c r="P1389" s="16"/>
      <c r="Q1389" s="16"/>
      <c r="R1389" s="16"/>
      <c r="S1389" s="16"/>
      <c r="T1389" s="16"/>
    </row>
    <row r="1391" spans="1:26" x14ac:dyDescent="0.25">
      <c r="C1391" s="6" t="s">
        <v>494</v>
      </c>
      <c r="G1391" s="6" t="s">
        <v>495</v>
      </c>
      <c r="H1391" s="6" t="s">
        <v>97</v>
      </c>
      <c r="P1391" s="10">
        <f>SUM(PIT_REDUCTION(DECILE_ARRAY))</f>
        <v>205207106120.4657</v>
      </c>
      <c r="Q1391" s="10" cm="1">
        <f t="array" ref="Q1391:Z1391">PIT_REDUCTION(DECILE_ARRAY)</f>
        <v>7323437245.8883724</v>
      </c>
      <c r="R1391">
        <v>14489306570.3444</v>
      </c>
      <c r="S1391">
        <v>18419592945.473106</v>
      </c>
      <c r="T1391">
        <v>22790363568.90773</v>
      </c>
      <c r="U1391">
        <v>23250242810.708115</v>
      </c>
      <c r="V1391">
        <v>25533785764.761414</v>
      </c>
      <c r="W1391">
        <v>23744094310.388393</v>
      </c>
      <c r="X1391">
        <v>24837472550.537048</v>
      </c>
      <c r="Y1391">
        <v>22807262511.489727</v>
      </c>
      <c r="Z1391">
        <v>22011547841.967419</v>
      </c>
    </row>
    <row r="1392" spans="1:26" x14ac:dyDescent="0.25">
      <c r="C1392" s="6" t="s">
        <v>496</v>
      </c>
      <c r="G1392" s="6" t="s">
        <v>497</v>
      </c>
      <c r="H1392" s="6" t="s">
        <v>97</v>
      </c>
      <c r="P1392" s="10">
        <f>SUM(TARGETED_TRANSFER(DECILE_ARRAY))</f>
        <v>136804737413.6438</v>
      </c>
      <c r="Q1392" s="10" cm="1">
        <f t="array" ref="Q1392:Z1392">TARGETED_TRANSFER(DECILE_ARRAY)</f>
        <v>34748077327.810799</v>
      </c>
      <c r="R1392">
        <v>25880327558.820709</v>
      </c>
      <c r="S1392">
        <v>17577874179.497597</v>
      </c>
      <c r="T1392">
        <v>13885258834.752657</v>
      </c>
      <c r="U1392">
        <v>17186110527.998158</v>
      </c>
      <c r="V1392">
        <v>8915663583.9281006</v>
      </c>
      <c r="W1392">
        <v>5466408097.7522507</v>
      </c>
      <c r="X1392">
        <v>3960008690.9273448</v>
      </c>
      <c r="Y1392">
        <v>8237980205.4961672</v>
      </c>
      <c r="Z1392">
        <v>947028406.65999305</v>
      </c>
    </row>
    <row r="1393" spans="1:26" x14ac:dyDescent="0.25">
      <c r="C1393" s="6" t="s">
        <v>498</v>
      </c>
      <c r="G1393" s="6" t="s">
        <v>499</v>
      </c>
      <c r="H1393" s="6" t="s">
        <v>97</v>
      </c>
      <c r="P1393" s="10">
        <f>SUM(PUBLIC_INVESTMENT(DECILE_ARRAY))</f>
        <v>342011843534.10938</v>
      </c>
      <c r="Q1393" s="10" cm="1">
        <f t="array" ref="Q1393:Z1393">PUBLIC_INVESTMENT(DECILE_ARRAY)</f>
        <v>86870193319.526962</v>
      </c>
      <c r="R1393">
        <v>64700818897.051758</v>
      </c>
      <c r="S1393">
        <v>43944685448.743973</v>
      </c>
      <c r="T1393">
        <v>34713147086.88163</v>
      </c>
      <c r="U1393">
        <v>42965276319.995377</v>
      </c>
      <c r="V1393">
        <v>22289158959.820244</v>
      </c>
      <c r="W1393">
        <v>13666020244.380623</v>
      </c>
      <c r="X1393">
        <v>9900021727.3183575</v>
      </c>
      <c r="Y1393">
        <v>20594950513.74041</v>
      </c>
      <c r="Z1393">
        <v>2367571016.6499815</v>
      </c>
    </row>
    <row r="1394" spans="1:26" x14ac:dyDescent="0.25">
      <c r="C1394" s="6" t="s">
        <v>500</v>
      </c>
      <c r="G1394" s="6" t="s">
        <v>501</v>
      </c>
      <c r="H1394" s="6" t="s">
        <v>97</v>
      </c>
      <c r="P1394" s="10">
        <f>SUM(CURRENT_SPENDING(DECILE_ARRAY))</f>
        <v>0</v>
      </c>
      <c r="Q1394" s="10" cm="1">
        <f t="array" ref="Q1394:Z1394">CURRENT_SPENDING(DECILE_ARRAY)</f>
        <v>0</v>
      </c>
      <c r="R1394">
        <v>0</v>
      </c>
      <c r="S1394">
        <v>0</v>
      </c>
      <c r="T1394">
        <v>0</v>
      </c>
      <c r="U1394">
        <v>0</v>
      </c>
      <c r="V1394">
        <v>0</v>
      </c>
      <c r="W1394">
        <v>0</v>
      </c>
      <c r="X1394">
        <v>0</v>
      </c>
      <c r="Y1394">
        <v>0</v>
      </c>
      <c r="Z1394">
        <v>0</v>
      </c>
    </row>
    <row r="1395" spans="1:26" x14ac:dyDescent="0.25">
      <c r="C1395" s="6" t="s">
        <v>502</v>
      </c>
      <c r="G1395" s="6" t="s">
        <v>426</v>
      </c>
      <c r="H1395" s="6" t="s">
        <v>97</v>
      </c>
      <c r="P1395" s="10">
        <f>SUM(AMOUNT_RECYCLED(DECILE_ARRAY))</f>
        <v>6840236870682.1885</v>
      </c>
      <c r="Q1395" s="10" cm="1">
        <f t="array" ref="Q1395:Z1395">AMOUNT_RECYCLED(DECILE_ARRAY)</f>
        <v>128941707893.22614</v>
      </c>
      <c r="R1395">
        <v>105070453026.21686</v>
      </c>
      <c r="S1395">
        <v>79942152573.714676</v>
      </c>
      <c r="T1395">
        <v>71388769490.542023</v>
      </c>
      <c r="U1395">
        <v>83401629658.701645</v>
      </c>
      <c r="V1395">
        <v>56738608308.509758</v>
      </c>
      <c r="W1395">
        <v>42876522652.521271</v>
      </c>
      <c r="X1395">
        <v>38697502968.782753</v>
      </c>
      <c r="Y1395">
        <v>51640193230.726303</v>
      </c>
      <c r="Z1395">
        <v>25326147265.277393</v>
      </c>
    </row>
    <row r="1397" spans="1:26" x14ac:dyDescent="0.25">
      <c r="A1397" s="5" t="s">
        <v>503</v>
      </c>
      <c r="B1397" s="13" t="s">
        <v>504</v>
      </c>
      <c r="C1397" s="14"/>
      <c r="D1397" s="14"/>
      <c r="E1397" s="14"/>
      <c r="F1397" s="14"/>
      <c r="G1397" s="14"/>
      <c r="H1397" s="14"/>
      <c r="I1397" s="14"/>
      <c r="J1397" s="14"/>
      <c r="K1397" s="14"/>
      <c r="L1397" s="14"/>
      <c r="M1397" s="14"/>
      <c r="N1397" s="14"/>
    </row>
    <row r="1399" spans="1:26" ht="30" customHeight="1" x14ac:dyDescent="0.25">
      <c r="C1399" s="17" t="s">
        <v>505</v>
      </c>
      <c r="D1399" s="16"/>
      <c r="E1399" s="16"/>
      <c r="F1399" s="16"/>
      <c r="G1399" s="16"/>
      <c r="H1399" s="16"/>
      <c r="I1399" s="16"/>
      <c r="J1399" s="16"/>
      <c r="K1399" s="16"/>
      <c r="L1399" s="16"/>
      <c r="M1399" s="16"/>
      <c r="N1399" s="16"/>
      <c r="O1399" s="16"/>
      <c r="P1399" s="16"/>
      <c r="Q1399" s="16"/>
      <c r="R1399" s="16"/>
      <c r="S1399" s="16"/>
      <c r="T1399" s="16"/>
    </row>
    <row r="1400" spans="1:26" x14ac:dyDescent="0.25">
      <c r="C1400" s="16"/>
      <c r="D1400" s="16"/>
      <c r="E1400" s="16"/>
      <c r="F1400" s="16"/>
      <c r="G1400" s="16"/>
      <c r="H1400" s="16"/>
      <c r="I1400" s="16"/>
      <c r="J1400" s="16"/>
      <c r="K1400" s="16"/>
      <c r="L1400" s="16"/>
      <c r="M1400" s="16"/>
      <c r="N1400" s="16"/>
      <c r="O1400" s="16"/>
      <c r="P1400" s="16"/>
      <c r="Q1400" s="16"/>
      <c r="R1400" s="16"/>
      <c r="S1400" s="16"/>
      <c r="T1400" s="16"/>
    </row>
    <row r="1402" spans="1:26" x14ac:dyDescent="0.25">
      <c r="C1402" s="6" t="s">
        <v>506</v>
      </c>
      <c r="G1402" s="6" t="s">
        <v>507</v>
      </c>
      <c r="H1402" s="6" t="s">
        <v>97</v>
      </c>
      <c r="P1402" s="10">
        <f>SUM(PIT_LIABILITY(DECILE_ARRAY))</f>
        <v>596138976999.46106</v>
      </c>
      <c r="Q1402" s="10" cm="1">
        <f t="array" ref="Q1402:Z1402">PIT_LIABILITY(DECILE_ARRAY)</f>
        <v>4425233997.6313095</v>
      </c>
      <c r="R1402">
        <v>11641705557.159607</v>
      </c>
      <c r="S1402">
        <v>15181935629.788095</v>
      </c>
      <c r="T1402">
        <v>21394161200.526669</v>
      </c>
      <c r="U1402">
        <v>26457122662.14809</v>
      </c>
      <c r="V1402">
        <v>37037050237.273964</v>
      </c>
      <c r="W1402">
        <v>43553883414.207497</v>
      </c>
      <c r="X1402">
        <v>54997274658.511887</v>
      </c>
      <c r="Y1402">
        <v>78614420579.656525</v>
      </c>
      <c r="Z1402">
        <v>302836189062.55737</v>
      </c>
    </row>
    <row r="1403" spans="1:26" x14ac:dyDescent="0.25">
      <c r="C1403" s="6" t="s">
        <v>508</v>
      </c>
      <c r="G1403" s="6" t="s">
        <v>495</v>
      </c>
      <c r="H1403" s="6" t="s">
        <v>97</v>
      </c>
      <c r="P1403" s="10">
        <f>SUM(PIT_REDUCTION(DECILE_ARRAY))</f>
        <v>205207106120.4657</v>
      </c>
      <c r="Q1403" s="10" cm="1">
        <f t="array" ref="Q1403:Z1403">PIT_REDUCTION(DECILE_ARRAY)</f>
        <v>7323437245.8883724</v>
      </c>
      <c r="R1403">
        <v>14489306570.3444</v>
      </c>
      <c r="S1403">
        <v>18419592945.473106</v>
      </c>
      <c r="T1403">
        <v>22790363568.90773</v>
      </c>
      <c r="U1403">
        <v>23250242810.708115</v>
      </c>
      <c r="V1403">
        <v>25533785764.761414</v>
      </c>
      <c r="W1403">
        <v>23744094310.388393</v>
      </c>
      <c r="X1403">
        <v>24837472550.537048</v>
      </c>
      <c r="Y1403">
        <v>22807262511.489727</v>
      </c>
      <c r="Z1403">
        <v>22011547841.967419</v>
      </c>
    </row>
    <row r="1405" spans="1:26" x14ac:dyDescent="0.25">
      <c r="A1405" s="5" t="s">
        <v>509</v>
      </c>
      <c r="B1405" s="13" t="s">
        <v>510</v>
      </c>
      <c r="C1405" s="14"/>
      <c r="D1405" s="14"/>
      <c r="E1405" s="14"/>
      <c r="F1405" s="14"/>
      <c r="G1405" s="14"/>
      <c r="H1405" s="14"/>
      <c r="I1405" s="14"/>
      <c r="J1405" s="14"/>
      <c r="K1405" s="14"/>
      <c r="L1405" s="14"/>
      <c r="M1405" s="14"/>
      <c r="N1405" s="14"/>
    </row>
    <row r="1407" spans="1:26" x14ac:dyDescent="0.25">
      <c r="C1407" s="7" t="s">
        <v>511</v>
      </c>
      <c r="G1407" s="6" t="s">
        <v>426</v>
      </c>
      <c r="O1407" s="2" t="s">
        <v>331</v>
      </c>
      <c r="Q1407" s="2">
        <v>1</v>
      </c>
      <c r="R1407" s="2">
        <v>2</v>
      </c>
      <c r="S1407" s="2">
        <v>3</v>
      </c>
      <c r="T1407" s="2">
        <v>4</v>
      </c>
      <c r="U1407" s="2">
        <v>5</v>
      </c>
      <c r="V1407" s="2">
        <v>6</v>
      </c>
      <c r="W1407" s="2">
        <v>7</v>
      </c>
      <c r="X1407" s="2">
        <v>8</v>
      </c>
      <c r="Y1407" s="2">
        <v>9</v>
      </c>
      <c r="Z1407" s="2">
        <v>10</v>
      </c>
    </row>
    <row r="1408" spans="1:26" x14ac:dyDescent="0.25">
      <c r="P1408" s="10" t="e" cm="1">
        <f t="array" ref="P1408">NET_EFFECT(0,"Overall")</f>
        <v>#VALUE!</v>
      </c>
      <c r="Q1408" s="10" cm="1">
        <f t="array" ref="Q1408:Z1408">NET_EFFECT(DECILE_ARRAY,"Overall")</f>
        <v>-8.2125320563509678</v>
      </c>
      <c r="R1408">
        <v>-4.6416455719332115</v>
      </c>
      <c r="S1408">
        <v>-1.5096086804457394</v>
      </c>
      <c r="T1408">
        <v>-1.0278619104783508</v>
      </c>
      <c r="U1408">
        <v>-1.2783810960353617</v>
      </c>
      <c r="V1408">
        <v>0.14869445529151412</v>
      </c>
      <c r="W1408">
        <v>0.90902885917476106</v>
      </c>
      <c r="X1408">
        <v>1.2463232750505289</v>
      </c>
      <c r="Y1408">
        <v>0.94631089247991951</v>
      </c>
      <c r="Z1408">
        <v>1.7601666308290569</v>
      </c>
    </row>
    <row r="1410" spans="1:26" x14ac:dyDescent="0.25">
      <c r="C1410" s="7" t="s">
        <v>512</v>
      </c>
      <c r="G1410" s="6" t="s">
        <v>426</v>
      </c>
      <c r="O1410" s="2" t="s">
        <v>331</v>
      </c>
      <c r="Q1410" s="2">
        <v>1</v>
      </c>
      <c r="R1410" s="2">
        <v>2</v>
      </c>
      <c r="S1410" s="2">
        <v>3</v>
      </c>
      <c r="T1410" s="2">
        <v>4</v>
      </c>
      <c r="U1410" s="2">
        <v>5</v>
      </c>
      <c r="V1410" s="2">
        <v>6</v>
      </c>
      <c r="W1410" s="2">
        <v>7</v>
      </c>
      <c r="X1410" s="2">
        <v>8</v>
      </c>
      <c r="Y1410" s="2">
        <v>9</v>
      </c>
      <c r="Z1410" s="2">
        <v>10</v>
      </c>
    </row>
    <row r="1411" spans="1:26" x14ac:dyDescent="0.25">
      <c r="P1411" s="10" t="e" cm="1">
        <f t="array" ref="P1411">NET_EFFECT(0,"Urban")</f>
        <v>#VALUE!</v>
      </c>
      <c r="Q1411" s="10" cm="1">
        <f t="array" ref="Q1411:Z1411">NET_EFFECT(DECILE_ARRAY,"Urban")</f>
        <v>-18.628303542831002</v>
      </c>
      <c r="R1411">
        <v>-10.479882871651704</v>
      </c>
      <c r="S1411">
        <v>-6.0894535637047094</v>
      </c>
      <c r="T1411">
        <v>-4.6957726721602127</v>
      </c>
      <c r="U1411">
        <v>-3.8218048760464751</v>
      </c>
      <c r="V1411">
        <v>-2.0718638929384432</v>
      </c>
      <c r="W1411">
        <v>-0.51370289065265429</v>
      </c>
      <c r="X1411">
        <v>-6.1575995150603066E-2</v>
      </c>
      <c r="Y1411">
        <v>-0.22117991324171957</v>
      </c>
      <c r="Z1411">
        <v>1.367730426887813</v>
      </c>
    </row>
    <row r="1413" spans="1:26" x14ac:dyDescent="0.25">
      <c r="C1413" s="7" t="s">
        <v>513</v>
      </c>
      <c r="G1413" s="6" t="s">
        <v>426</v>
      </c>
      <c r="O1413" s="2" t="s">
        <v>331</v>
      </c>
      <c r="Q1413" s="2">
        <v>1</v>
      </c>
      <c r="R1413" s="2">
        <v>2</v>
      </c>
      <c r="S1413" s="2">
        <v>3</v>
      </c>
      <c r="T1413" s="2">
        <v>4</v>
      </c>
      <c r="U1413" s="2">
        <v>5</v>
      </c>
      <c r="V1413" s="2">
        <v>6</v>
      </c>
      <c r="W1413" s="2">
        <v>7</v>
      </c>
      <c r="X1413" s="2">
        <v>8</v>
      </c>
      <c r="Y1413" s="2">
        <v>9</v>
      </c>
      <c r="Z1413" s="2">
        <v>10</v>
      </c>
    </row>
    <row r="1414" spans="1:26" x14ac:dyDescent="0.25">
      <c r="P1414" s="10" t="e" cm="1">
        <f t="array" ref="P1414">NET_EFFECT(0,"Rural")</f>
        <v>#VALUE!</v>
      </c>
      <c r="Q1414" s="10" cm="1">
        <f t="array" ref="Q1414:Z1414">NET_EFFECT(DECILE_ARRAY,"Rural")</f>
        <v>-17.926873168328164</v>
      </c>
      <c r="R1414">
        <v>-11.653683604992239</v>
      </c>
      <c r="S1414">
        <v>-5.9897122110620398</v>
      </c>
      <c r="T1414">
        <v>-4.6475344845870792</v>
      </c>
      <c r="U1414">
        <v>-4.9549381368598429</v>
      </c>
      <c r="V1414">
        <v>-2.0347179184950375</v>
      </c>
      <c r="W1414">
        <v>-0.50917053950278668</v>
      </c>
      <c r="X1414">
        <v>-4.3996514873980222E-2</v>
      </c>
      <c r="Y1414">
        <v>-0.49759284969655215</v>
      </c>
      <c r="Z1414">
        <v>1.5987025732802453</v>
      </c>
    </row>
    <row r="1416" spans="1:26" x14ac:dyDescent="0.25">
      <c r="C1416" s="6" t="s">
        <v>514</v>
      </c>
      <c r="G1416" s="6" t="s">
        <v>515</v>
      </c>
      <c r="H1416" s="6" t="s">
        <v>97</v>
      </c>
      <c r="P1416" s="10">
        <f>SUM(POST_CP_EXCL_RECYCLING(DECILE_ARRAY,"Overall"))</f>
        <v>11615923865975.127</v>
      </c>
      <c r="Q1416" s="10" cm="1">
        <f t="array" ref="Q1416:Z1416">POST_CP_EXCL_RECYCLING(DECILE_ARRAY,"Overall")</f>
        <v>1161646127468.4519</v>
      </c>
      <c r="R1416">
        <v>1457463331407.0964</v>
      </c>
      <c r="S1416">
        <v>2048822936462.7715</v>
      </c>
      <c r="T1416">
        <v>2200276624802.9795</v>
      </c>
      <c r="U1416">
        <v>2366928753321.0156</v>
      </c>
      <c r="V1416">
        <v>2766776959594.9761</v>
      </c>
      <c r="W1416">
        <v>3227329019178.103</v>
      </c>
      <c r="X1416">
        <v>3875628066165.1987</v>
      </c>
      <c r="Y1416">
        <v>4242051907546.7354</v>
      </c>
      <c r="Z1416">
        <v>5690978012530.2705</v>
      </c>
    </row>
    <row r="1417" spans="1:26" x14ac:dyDescent="0.25">
      <c r="C1417" s="6" t="s">
        <v>516</v>
      </c>
      <c r="G1417" s="6" t="s">
        <v>515</v>
      </c>
      <c r="H1417" s="6" t="s">
        <v>97</v>
      </c>
      <c r="P1417" s="10">
        <f>SUM(POST_CP_EXCL_RECYCLING(DECILE_ARRAY,"Urban"))</f>
        <v>6000242352259.7422</v>
      </c>
      <c r="Q1417" s="10" cm="1">
        <f t="array" ref="Q1417:Z1417">POST_CP_EXCL_RECYCLING(DECILE_ARRAY,"Urban")</f>
        <v>600048622278.20178</v>
      </c>
      <c r="R1417">
        <v>817066181279.12793</v>
      </c>
      <c r="S1417">
        <v>956898885039.02942</v>
      </c>
      <c r="T1417">
        <v>1043967679916.8467</v>
      </c>
      <c r="U1417">
        <v>1412788736429.636</v>
      </c>
      <c r="V1417">
        <v>1370219084136.0044</v>
      </c>
      <c r="W1417">
        <v>1573695703975.9788</v>
      </c>
      <c r="X1417">
        <v>1834354066956.3469</v>
      </c>
      <c r="Y1417">
        <v>2197068754369.0986</v>
      </c>
      <c r="Z1417">
        <v>3406287788017.0674</v>
      </c>
    </row>
    <row r="1418" spans="1:26" x14ac:dyDescent="0.25">
      <c r="C1418" s="6" t="s">
        <v>517</v>
      </c>
      <c r="G1418" s="6" t="s">
        <v>515</v>
      </c>
      <c r="H1418" s="6" t="s">
        <v>97</v>
      </c>
      <c r="P1418" s="10">
        <f>SUM(POST_CP_EXCL_RECYCLING(DECILE_ARRAY,"Rural"))</f>
        <v>6090924873468.4023</v>
      </c>
      <c r="Q1418" s="10" cm="1">
        <f t="array" ref="Q1418:Z1418">POST_CP_EXCL_RECYCLING(DECILE_ARRAY,"Rural")</f>
        <v>609121248577.6228</v>
      </c>
      <c r="R1418">
        <v>728803723811.15454</v>
      </c>
      <c r="S1418">
        <v>939297175114.34192</v>
      </c>
      <c r="T1418">
        <v>992257003785.6604</v>
      </c>
      <c r="U1418">
        <v>1121574130809.0769</v>
      </c>
      <c r="V1418">
        <v>1294201459717.9927</v>
      </c>
      <c r="W1418">
        <v>1553585390651.0183</v>
      </c>
      <c r="X1418">
        <v>1596036384122.9553</v>
      </c>
      <c r="Y1418">
        <v>1780033703273.7644</v>
      </c>
      <c r="Z1418">
        <v>2958979965365.5405</v>
      </c>
    </row>
    <row r="1419" spans="1:26" x14ac:dyDescent="0.25">
      <c r="C1419" s="6" t="s">
        <v>518</v>
      </c>
      <c r="G1419" s="6" t="s">
        <v>519</v>
      </c>
      <c r="H1419" s="6" t="s">
        <v>97</v>
      </c>
      <c r="P1419" s="10">
        <f>SUM(POST_CP_INCL_RECYCLING(DECILE_ARRAY,"Overall"))</f>
        <v>18456160736657.32</v>
      </c>
      <c r="Q1419" s="10" cm="1">
        <f t="array" ref="Q1419:Z1419">POST_CP_INCL_RECYCLING(DECILE_ARRAY,"Overall")</f>
        <v>1290587835361.678</v>
      </c>
      <c r="R1419">
        <v>1562533784433.3132</v>
      </c>
      <c r="S1419">
        <v>2128765089036.4861</v>
      </c>
      <c r="T1419">
        <v>2271665394293.5215</v>
      </c>
      <c r="U1419">
        <v>2450330382979.7173</v>
      </c>
      <c r="V1419">
        <v>2823515567903.4858</v>
      </c>
      <c r="W1419">
        <v>3270205541830.6245</v>
      </c>
      <c r="X1419">
        <v>3914325569133.9814</v>
      </c>
      <c r="Y1419">
        <v>4293692100777.4614</v>
      </c>
      <c r="Z1419">
        <v>5716304159795.5479</v>
      </c>
    </row>
    <row r="1420" spans="1:26" x14ac:dyDescent="0.25">
      <c r="C1420" s="6" t="s">
        <v>520</v>
      </c>
      <c r="G1420" s="6" t="s">
        <v>519</v>
      </c>
      <c r="H1420" s="6" t="s">
        <v>97</v>
      </c>
      <c r="P1420" s="10">
        <f>SUM(POST_CP_INCL_RECYCLING(DECILE_ARRAY,"Urban"))</f>
        <v>12840479222941.934</v>
      </c>
      <c r="Q1420" s="10" cm="1">
        <f t="array" ref="Q1420:Z1420">POST_CP_INCL_RECYCLING(DECILE_ARRAY,"Urban")</f>
        <v>728990330171.42798</v>
      </c>
      <c r="R1420">
        <v>922136634305.34473</v>
      </c>
      <c r="S1420">
        <v>1036841037612.7441</v>
      </c>
      <c r="T1420">
        <v>1115356449407.3887</v>
      </c>
      <c r="U1420">
        <v>1496190366088.3376</v>
      </c>
      <c r="V1420">
        <v>1426957692444.5142</v>
      </c>
      <c r="W1420">
        <v>1616572226628.5</v>
      </c>
      <c r="X1420">
        <v>1873051569925.1296</v>
      </c>
      <c r="Y1420">
        <v>2248708947599.8247</v>
      </c>
      <c r="Z1420">
        <v>3431613935282.3447</v>
      </c>
    </row>
    <row r="1421" spans="1:26" x14ac:dyDescent="0.25">
      <c r="C1421" s="6" t="s">
        <v>521</v>
      </c>
      <c r="G1421" s="6" t="s">
        <v>519</v>
      </c>
      <c r="H1421" s="6" t="s">
        <v>97</v>
      </c>
      <c r="P1421" s="10">
        <f>SUM(POST_CP_INCL_RECYCLING(DECILE_ARRAY,"Rural"))</f>
        <v>12931161744150.596</v>
      </c>
      <c r="Q1421" s="10" cm="1">
        <f t="array" ref="Q1421:Z1421">POST_CP_INCL_RECYCLING(DECILE_ARRAY,"Rural")</f>
        <v>738062956470.84888</v>
      </c>
      <c r="R1421">
        <v>833874176837.37134</v>
      </c>
      <c r="S1421">
        <v>1019239327688.0566</v>
      </c>
      <c r="T1421">
        <v>1063645773276.2024</v>
      </c>
      <c r="U1421">
        <v>1204975760467.7786</v>
      </c>
      <c r="V1421">
        <v>1350940068026.5024</v>
      </c>
      <c r="W1421">
        <v>1596461913303.5396</v>
      </c>
      <c r="X1421">
        <v>1634733887091.738</v>
      </c>
      <c r="Y1421">
        <v>1831673896504.4907</v>
      </c>
      <c r="Z1421">
        <v>2984306112630.8179</v>
      </c>
    </row>
    <row r="1423" spans="1:26" x14ac:dyDescent="0.25">
      <c r="A1423" s="5" t="s">
        <v>522</v>
      </c>
      <c r="B1423" s="13" t="s">
        <v>523</v>
      </c>
      <c r="C1423" s="14"/>
      <c r="D1423" s="14"/>
      <c r="E1423" s="14"/>
      <c r="F1423" s="14"/>
      <c r="G1423" s="14"/>
      <c r="H1423" s="14"/>
      <c r="I1423" s="14"/>
      <c r="J1423" s="14"/>
      <c r="K1423" s="14"/>
      <c r="L1423" s="14"/>
      <c r="M1423" s="14"/>
      <c r="N1423" s="14"/>
    </row>
    <row r="1425" spans="1:26" x14ac:dyDescent="0.25">
      <c r="C1425" s="6" t="s">
        <v>524</v>
      </c>
      <c r="G1425" s="6" t="s">
        <v>525</v>
      </c>
      <c r="H1425" s="6" t="s">
        <v>97</v>
      </c>
      <c r="P1425" s="10" cm="1">
        <f t="array" ref="P1425">SUM(TOTAL_EFFECT(DECILE_ARRAY,"Overall","mean")/100*ADJ_CONS_TOT(DECILE_ARRAY,"Overall"))</f>
        <v>658112557861.53601</v>
      </c>
      <c r="Q1425" s="10" cm="1">
        <f t="array" ref="Q1425:Z1425">TOTAL_EFFECT(DECILE_ARRAY,"Overall","mean")/100*ADJ_CONS_TOT(DECILE_ARRAY,"Overall")</f>
        <v>30995621908.240334</v>
      </c>
      <c r="R1425">
        <v>35760304262.116707</v>
      </c>
      <c r="S1425">
        <v>48284043564.982201</v>
      </c>
      <c r="T1425">
        <v>48276745856.753548</v>
      </c>
      <c r="U1425">
        <v>52472461886.242249</v>
      </c>
      <c r="V1425">
        <v>60943271503.309296</v>
      </c>
      <c r="W1425">
        <v>72876341795.806717</v>
      </c>
      <c r="X1425">
        <v>88098347825.676712</v>
      </c>
      <c r="Y1425">
        <v>92660044591.438812</v>
      </c>
      <c r="Z1425">
        <v>127745374666.96945</v>
      </c>
    </row>
    <row r="1426" spans="1:26" x14ac:dyDescent="0.25">
      <c r="C1426" s="6" t="s">
        <v>526</v>
      </c>
      <c r="Q1426" s="10" cm="1">
        <f t="array" ref="Q1426:Z1426">Q1425:Z1425/P1425</f>
        <v>4.709775180245334E-2</v>
      </c>
      <c r="R1426">
        <v>5.4337671930035587E-2</v>
      </c>
      <c r="S1426">
        <v>7.3367455138488566E-2</v>
      </c>
      <c r="T1426">
        <v>7.3356366293364006E-2</v>
      </c>
      <c r="U1426">
        <v>7.9731743847504921E-2</v>
      </c>
      <c r="V1426">
        <v>9.2603112910256136E-2</v>
      </c>
      <c r="W1426">
        <v>0.11073537638091929</v>
      </c>
      <c r="X1426">
        <v>0.13386516755118996</v>
      </c>
      <c r="Y1426">
        <v>0.14079665170427286</v>
      </c>
      <c r="Z1426">
        <v>0.19410870244151535</v>
      </c>
    </row>
    <row r="1427" spans="1:26" x14ac:dyDescent="0.25">
      <c r="C1427" s="6" t="s">
        <v>527</v>
      </c>
      <c r="P1427" s="6">
        <f>0</f>
        <v>0</v>
      </c>
      <c r="Q1427" s="10" cm="1">
        <f t="array" ref="Q1427:Z1427">_xlfn.SCAN(0,Q1426:Z1426,_xlfn.LAMBDA(_xlpm.a,_xlpm.v,_xlpm.a+_xlpm.v))</f>
        <v>4.709775180245334E-2</v>
      </c>
      <c r="R1427">
        <v>0.10143542373248893</v>
      </c>
      <c r="S1427">
        <v>0.17480287887097751</v>
      </c>
      <c r="T1427">
        <v>0.24815924516434151</v>
      </c>
      <c r="U1427">
        <v>0.32789098901184643</v>
      </c>
      <c r="V1427">
        <v>0.42049410192210257</v>
      </c>
      <c r="W1427">
        <v>0.53122947830302181</v>
      </c>
      <c r="X1427">
        <v>0.66509464585421174</v>
      </c>
      <c r="Y1427">
        <v>0.80589129755848465</v>
      </c>
      <c r="Z1427">
        <v>1</v>
      </c>
    </row>
    <row r="1429" spans="1:26" x14ac:dyDescent="0.25">
      <c r="A1429" s="5" t="s">
        <v>528</v>
      </c>
      <c r="B1429" s="13" t="s">
        <v>529</v>
      </c>
      <c r="C1429" s="14"/>
      <c r="D1429" s="14"/>
      <c r="E1429" s="14"/>
      <c r="F1429" s="14"/>
      <c r="G1429" s="14"/>
      <c r="H1429" s="14"/>
      <c r="I1429" s="14"/>
      <c r="J1429" s="14"/>
      <c r="K1429" s="14"/>
      <c r="L1429" s="14"/>
      <c r="M1429" s="14"/>
      <c r="N1429" s="14"/>
    </row>
    <row r="1431" spans="1:26" ht="90" customHeight="1" x14ac:dyDescent="0.25">
      <c r="C1431" s="17" t="s">
        <v>530</v>
      </c>
      <c r="D1431" s="16"/>
      <c r="E1431" s="16"/>
      <c r="F1431" s="16"/>
      <c r="G1431" s="16"/>
      <c r="H1431" s="16"/>
      <c r="I1431" s="16"/>
      <c r="J1431" s="16"/>
      <c r="K1431" s="16"/>
      <c r="L1431" s="16"/>
      <c r="M1431" s="16"/>
      <c r="N1431" s="16"/>
      <c r="O1431" s="16"/>
      <c r="P1431" s="16"/>
      <c r="Q1431" s="16"/>
      <c r="R1431" s="16"/>
      <c r="S1431" s="16"/>
      <c r="T1431" s="16"/>
    </row>
    <row r="1432" spans="1:26" x14ac:dyDescent="0.25">
      <c r="C1432" s="16"/>
      <c r="D1432" s="16"/>
      <c r="E1432" s="16"/>
      <c r="F1432" s="16"/>
      <c r="G1432" s="16"/>
      <c r="H1432" s="16"/>
      <c r="I1432" s="16"/>
      <c r="J1432" s="16"/>
      <c r="K1432" s="16"/>
      <c r="L1432" s="16"/>
      <c r="M1432" s="16"/>
      <c r="N1432" s="16"/>
      <c r="O1432" s="16"/>
      <c r="P1432" s="16"/>
      <c r="Q1432" s="16"/>
      <c r="R1432" s="16"/>
      <c r="S1432" s="16"/>
      <c r="T1432" s="16"/>
    </row>
    <row r="1433" spans="1:26" x14ac:dyDescent="0.25">
      <c r="C1433" s="16"/>
      <c r="D1433" s="16"/>
      <c r="E1433" s="16"/>
      <c r="F1433" s="16"/>
      <c r="G1433" s="16"/>
      <c r="H1433" s="16"/>
      <c r="I1433" s="16"/>
      <c r="J1433" s="16"/>
      <c r="K1433" s="16"/>
      <c r="L1433" s="16"/>
      <c r="M1433" s="16"/>
      <c r="N1433" s="16"/>
      <c r="O1433" s="16"/>
      <c r="P1433" s="16"/>
      <c r="Q1433" s="16"/>
      <c r="R1433" s="16"/>
      <c r="S1433" s="16"/>
      <c r="T1433" s="16"/>
    </row>
    <row r="1434" spans="1:26" x14ac:dyDescent="0.25">
      <c r="C1434" s="16"/>
      <c r="D1434" s="16"/>
      <c r="E1434" s="16"/>
      <c r="F1434" s="16"/>
      <c r="G1434" s="16"/>
      <c r="H1434" s="16"/>
      <c r="I1434" s="16"/>
      <c r="J1434" s="16"/>
      <c r="K1434" s="16"/>
      <c r="L1434" s="16"/>
      <c r="M1434" s="16"/>
      <c r="N1434" s="16"/>
      <c r="O1434" s="16"/>
      <c r="P1434" s="16"/>
      <c r="Q1434" s="16"/>
      <c r="R1434" s="16"/>
      <c r="S1434" s="16"/>
      <c r="T1434" s="16"/>
    </row>
    <row r="1435" spans="1:26" x14ac:dyDescent="0.25">
      <c r="C1435" s="16"/>
      <c r="D1435" s="16"/>
      <c r="E1435" s="16"/>
      <c r="F1435" s="16"/>
      <c r="G1435" s="16"/>
      <c r="H1435" s="16"/>
      <c r="I1435" s="16"/>
      <c r="J1435" s="16"/>
      <c r="K1435" s="16"/>
      <c r="L1435" s="16"/>
      <c r="M1435" s="16"/>
      <c r="N1435" s="16"/>
      <c r="O1435" s="16"/>
      <c r="P1435" s="16"/>
      <c r="Q1435" s="16"/>
      <c r="R1435" s="16"/>
      <c r="S1435" s="16"/>
      <c r="T1435" s="16"/>
    </row>
    <row r="1437" spans="1:26" x14ac:dyDescent="0.25">
      <c r="A1437" s="5" t="s">
        <v>531</v>
      </c>
      <c r="B1437" s="13" t="s">
        <v>532</v>
      </c>
      <c r="C1437" s="14"/>
      <c r="D1437" s="14"/>
      <c r="E1437" s="14"/>
      <c r="F1437" s="14"/>
      <c r="G1437" s="14"/>
      <c r="H1437" s="14"/>
      <c r="I1437" s="14"/>
      <c r="J1437" s="14"/>
      <c r="K1437" s="14"/>
      <c r="L1437" s="14"/>
      <c r="M1437" s="14"/>
      <c r="N1437" s="14"/>
    </row>
    <row r="1439" spans="1:26" x14ac:dyDescent="0.25">
      <c r="C1439" s="7" t="s">
        <v>533</v>
      </c>
    </row>
    <row r="1440" spans="1:26" x14ac:dyDescent="0.25">
      <c r="C1440" s="17" t="s">
        <v>534</v>
      </c>
      <c r="D1440" s="16"/>
      <c r="E1440" s="16"/>
      <c r="F1440" s="16"/>
      <c r="G1440" s="16"/>
      <c r="H1440" s="16"/>
      <c r="I1440" s="16"/>
      <c r="J1440" s="16"/>
      <c r="K1440" s="16"/>
      <c r="L1440" s="16"/>
      <c r="M1440" s="16"/>
      <c r="N1440" s="16"/>
      <c r="O1440" s="16"/>
      <c r="P1440" s="16"/>
      <c r="Q1440" s="16"/>
      <c r="R1440" s="16"/>
      <c r="S1440" s="16"/>
      <c r="T1440" s="16"/>
    </row>
    <row r="1442" spans="3:20" x14ac:dyDescent="0.25">
      <c r="C1442" s="7" t="s">
        <v>535</v>
      </c>
    </row>
    <row r="1443" spans="3:20" x14ac:dyDescent="0.25">
      <c r="C1443" s="17" t="s">
        <v>536</v>
      </c>
      <c r="D1443" s="16"/>
      <c r="E1443" s="16"/>
      <c r="F1443" s="16"/>
      <c r="G1443" s="16"/>
      <c r="H1443" s="16"/>
      <c r="I1443" s="16"/>
      <c r="J1443" s="16"/>
      <c r="K1443" s="16"/>
      <c r="L1443" s="16"/>
      <c r="M1443" s="16"/>
      <c r="N1443" s="16"/>
      <c r="O1443" s="16"/>
      <c r="P1443" s="16"/>
      <c r="Q1443" s="16"/>
      <c r="R1443" s="16"/>
      <c r="S1443" s="16"/>
      <c r="T1443" s="16"/>
    </row>
    <row r="1445" spans="3:20" x14ac:dyDescent="0.25">
      <c r="C1445" s="7" t="s">
        <v>537</v>
      </c>
    </row>
    <row r="1446" spans="3:20" x14ac:dyDescent="0.25">
      <c r="C1446" s="17" t="s">
        <v>538</v>
      </c>
      <c r="D1446" s="16"/>
      <c r="E1446" s="16"/>
      <c r="F1446" s="16"/>
      <c r="G1446" s="16"/>
      <c r="H1446" s="16"/>
      <c r="I1446" s="16"/>
      <c r="J1446" s="16"/>
      <c r="K1446" s="16"/>
      <c r="L1446" s="16"/>
      <c r="M1446" s="16"/>
      <c r="N1446" s="16"/>
      <c r="O1446" s="16"/>
      <c r="P1446" s="16"/>
      <c r="Q1446" s="16"/>
      <c r="R1446" s="16"/>
      <c r="S1446" s="16"/>
      <c r="T1446" s="16"/>
    </row>
    <row r="1448" spans="3:20" x14ac:dyDescent="0.25">
      <c r="C1448" s="7" t="s">
        <v>539</v>
      </c>
    </row>
    <row r="1449" spans="3:20" x14ac:dyDescent="0.25">
      <c r="C1449" s="17" t="s">
        <v>540</v>
      </c>
      <c r="D1449" s="16"/>
      <c r="E1449" s="16"/>
      <c r="F1449" s="16"/>
      <c r="G1449" s="16"/>
      <c r="H1449" s="16"/>
      <c r="I1449" s="16"/>
      <c r="J1449" s="16"/>
      <c r="K1449" s="16"/>
      <c r="L1449" s="16"/>
      <c r="M1449" s="16"/>
      <c r="N1449" s="16"/>
      <c r="O1449" s="16"/>
      <c r="P1449" s="16"/>
      <c r="Q1449" s="16"/>
      <c r="R1449" s="16"/>
      <c r="S1449" s="16"/>
      <c r="T1449" s="16"/>
    </row>
    <row r="1451" spans="3:20" x14ac:dyDescent="0.25">
      <c r="C1451" s="7" t="s">
        <v>541</v>
      </c>
    </row>
    <row r="1452" spans="3:20" x14ac:dyDescent="0.25">
      <c r="C1452" s="17" t="s">
        <v>542</v>
      </c>
      <c r="D1452" s="16"/>
      <c r="E1452" s="16"/>
      <c r="F1452" s="16"/>
      <c r="G1452" s="16"/>
      <c r="H1452" s="16"/>
      <c r="I1452" s="16"/>
      <c r="J1452" s="16"/>
      <c r="K1452" s="16"/>
      <c r="L1452" s="16"/>
      <c r="M1452" s="16"/>
      <c r="N1452" s="16"/>
      <c r="O1452" s="16"/>
      <c r="P1452" s="16"/>
      <c r="Q1452" s="16"/>
      <c r="R1452" s="16"/>
      <c r="S1452" s="16"/>
      <c r="T1452" s="16"/>
    </row>
    <row r="1454" spans="3:20" x14ac:dyDescent="0.25">
      <c r="C1454" s="7" t="s">
        <v>543</v>
      </c>
    </row>
    <row r="1455" spans="3:20" x14ac:dyDescent="0.25">
      <c r="C1455" s="17" t="s">
        <v>544</v>
      </c>
      <c r="D1455" s="16"/>
      <c r="E1455" s="16"/>
      <c r="F1455" s="16"/>
      <c r="G1455" s="16"/>
      <c r="H1455" s="16"/>
      <c r="I1455" s="16"/>
      <c r="J1455" s="16"/>
      <c r="K1455" s="16"/>
      <c r="L1455" s="16"/>
      <c r="M1455" s="16"/>
      <c r="N1455" s="16"/>
      <c r="O1455" s="16"/>
      <c r="P1455" s="16"/>
      <c r="Q1455" s="16"/>
      <c r="R1455" s="16"/>
      <c r="S1455" s="16"/>
      <c r="T1455" s="16"/>
    </row>
    <row r="1457" spans="1:20" x14ac:dyDescent="0.25">
      <c r="A1457" s="5" t="s">
        <v>545</v>
      </c>
      <c r="B1457" s="13" t="s">
        <v>546</v>
      </c>
      <c r="C1457" s="14"/>
      <c r="D1457" s="14"/>
      <c r="E1457" s="14"/>
      <c r="F1457" s="14"/>
      <c r="G1457" s="14"/>
      <c r="H1457" s="14"/>
      <c r="I1457" s="14"/>
      <c r="J1457" s="14"/>
      <c r="K1457" s="14"/>
      <c r="L1457" s="14"/>
      <c r="M1457" s="14"/>
      <c r="N1457" s="14"/>
    </row>
    <row r="1459" spans="1:20" ht="54.95" customHeight="1" x14ac:dyDescent="0.25">
      <c r="C1459" s="17" t="s">
        <v>547</v>
      </c>
      <c r="D1459" s="16"/>
      <c r="E1459" s="16"/>
      <c r="F1459" s="16"/>
      <c r="G1459" s="16"/>
      <c r="H1459" s="16"/>
      <c r="I1459" s="16"/>
      <c r="J1459" s="16"/>
      <c r="K1459" s="16"/>
      <c r="L1459" s="16"/>
      <c r="M1459" s="16"/>
      <c r="N1459" s="16"/>
      <c r="O1459" s="16"/>
      <c r="P1459" s="16"/>
      <c r="Q1459" s="16"/>
      <c r="R1459" s="16"/>
      <c r="S1459" s="16"/>
      <c r="T1459" s="16"/>
    </row>
    <row r="1460" spans="1:20" x14ac:dyDescent="0.25">
      <c r="C1460" s="16"/>
      <c r="D1460" s="16"/>
      <c r="E1460" s="16"/>
      <c r="F1460" s="16"/>
      <c r="G1460" s="16"/>
      <c r="H1460" s="16"/>
      <c r="I1460" s="16"/>
      <c r="J1460" s="16"/>
      <c r="K1460" s="16"/>
      <c r="L1460" s="16"/>
      <c r="M1460" s="16"/>
      <c r="N1460" s="16"/>
      <c r="O1460" s="16"/>
      <c r="P1460" s="16"/>
      <c r="Q1460" s="16"/>
      <c r="R1460" s="16"/>
      <c r="S1460" s="16"/>
      <c r="T1460" s="16"/>
    </row>
    <row r="1461" spans="1:20" x14ac:dyDescent="0.25">
      <c r="C1461" s="16"/>
      <c r="D1461" s="16"/>
      <c r="E1461" s="16"/>
      <c r="F1461" s="16"/>
      <c r="G1461" s="16"/>
      <c r="H1461" s="16"/>
      <c r="I1461" s="16"/>
      <c r="J1461" s="16"/>
      <c r="K1461" s="16"/>
      <c r="L1461" s="16"/>
      <c r="M1461" s="16"/>
      <c r="N1461" s="16"/>
      <c r="O1461" s="16"/>
      <c r="P1461" s="16"/>
      <c r="Q1461" s="16"/>
      <c r="R1461" s="16"/>
      <c r="S1461" s="16"/>
      <c r="T1461" s="16"/>
    </row>
    <row r="1463" spans="1:20" x14ac:dyDescent="0.25">
      <c r="C1463" s="7" t="s">
        <v>548</v>
      </c>
    </row>
    <row r="1464" spans="1:20" x14ac:dyDescent="0.25">
      <c r="C1464" s="6" t="s">
        <v>334</v>
      </c>
      <c r="G1464" s="6" t="s">
        <v>335</v>
      </c>
      <c r="P1464" s="10" cm="1">
        <f t="array" ref="P1464">PCHANGE_DIRECT("coa")</f>
        <v>37.812025966892151</v>
      </c>
    </row>
    <row r="1465" spans="1:20" x14ac:dyDescent="0.25">
      <c r="C1465" s="6" t="s">
        <v>336</v>
      </c>
      <c r="G1465" s="6" t="s">
        <v>337</v>
      </c>
      <c r="P1465" s="10" cm="1">
        <f t="array" ref="P1465">PCHANGE_DIRECT("ely")</f>
        <v>25.453525713581591</v>
      </c>
    </row>
    <row r="1466" spans="1:20" x14ac:dyDescent="0.25">
      <c r="C1466" s="6" t="s">
        <v>338</v>
      </c>
      <c r="G1466" s="6" t="s">
        <v>339</v>
      </c>
      <c r="P1466" s="10" cm="1">
        <f t="array" ref="P1466">PCHANGE_DIRECT("nga")</f>
        <v>59.439297123777443</v>
      </c>
    </row>
    <row r="1467" spans="1:20" x14ac:dyDescent="0.25">
      <c r="C1467" s="6" t="s">
        <v>340</v>
      </c>
      <c r="G1467" s="6" t="s">
        <v>341</v>
      </c>
      <c r="P1467" s="10" cm="1">
        <f t="array" ref="P1467">PCHANGE_DIRECT("oil")</f>
        <v>103.9578829680615</v>
      </c>
    </row>
    <row r="1468" spans="1:20" x14ac:dyDescent="0.25">
      <c r="C1468" s="6" t="s">
        <v>342</v>
      </c>
      <c r="G1468" s="6" t="s">
        <v>343</v>
      </c>
      <c r="P1468" s="10" cm="1">
        <f t="array" ref="P1468">PCHANGE_DIRECT("gso")</f>
        <v>19.170744285566329</v>
      </c>
    </row>
    <row r="1469" spans="1:20" x14ac:dyDescent="0.25">
      <c r="C1469" s="6" t="s">
        <v>344</v>
      </c>
      <c r="G1469" s="6" t="s">
        <v>345</v>
      </c>
      <c r="P1469" s="10" cm="1">
        <f t="array" ref="P1469">PCHANGE_DIRECT("die")</f>
        <v>28.067927548660251</v>
      </c>
    </row>
    <row r="1470" spans="1:20" x14ac:dyDescent="0.25">
      <c r="C1470" s="6" t="s">
        <v>346</v>
      </c>
      <c r="G1470" s="6" t="s">
        <v>347</v>
      </c>
      <c r="P1470" s="10" cm="1">
        <f t="array" ref="P1470">PCHANGE_DIRECT("ker")</f>
        <v>30.10178078204742</v>
      </c>
    </row>
    <row r="1471" spans="1:20" x14ac:dyDescent="0.25">
      <c r="C1471" s="6" t="s">
        <v>348</v>
      </c>
      <c r="G1471" s="6" t="s">
        <v>349</v>
      </c>
      <c r="P1471" s="10" cm="1">
        <f t="array" ref="P1471">PCHANGE_DIRECT("lpg")</f>
        <v>58.672200106214881</v>
      </c>
    </row>
    <row r="1473" spans="3:16" x14ac:dyDescent="0.25">
      <c r="C1473" s="7" t="s">
        <v>549</v>
      </c>
    </row>
    <row r="1474" spans="3:16" x14ac:dyDescent="0.25">
      <c r="C1474" s="6" t="s">
        <v>350</v>
      </c>
      <c r="G1474" s="6" t="s">
        <v>351</v>
      </c>
      <c r="P1474" s="10" cm="1">
        <f t="array" ref="P1474">PCHANGE_INDIRECT("app")</f>
        <v>0.81558202754130138</v>
      </c>
    </row>
    <row r="1475" spans="3:16" x14ac:dyDescent="0.25">
      <c r="C1475" s="6" t="s">
        <v>352</v>
      </c>
      <c r="G1475" s="6" t="s">
        <v>353</v>
      </c>
      <c r="P1475" s="10" cm="1">
        <f t="array" ref="P1475">PCHANGE_INDIRECT("che")</f>
        <v>2.0485463731703168</v>
      </c>
    </row>
    <row r="1476" spans="3:16" x14ac:dyDescent="0.25">
      <c r="C1476" s="6" t="s">
        <v>354</v>
      </c>
      <c r="G1476" s="6" t="s">
        <v>355</v>
      </c>
      <c r="P1476" s="10" cm="1">
        <f t="array" ref="P1476">PCHANGE_INDIRECT("clo")</f>
        <v>0.33898893210947528</v>
      </c>
    </row>
    <row r="1477" spans="3:16" x14ac:dyDescent="0.25">
      <c r="C1477" s="6" t="s">
        <v>356</v>
      </c>
      <c r="G1477" s="6" t="s">
        <v>357</v>
      </c>
      <c r="P1477" s="10" cm="1">
        <f t="array" ref="P1477">PCHANGE_INDIRECT("com")</f>
        <v>0.1284830643537952</v>
      </c>
    </row>
    <row r="1478" spans="3:16" x14ac:dyDescent="0.25">
      <c r="C1478" s="6" t="s">
        <v>358</v>
      </c>
      <c r="G1478" s="6" t="s">
        <v>359</v>
      </c>
      <c r="P1478" s="10" cm="1">
        <f t="array" ref="P1478">PCHANGE_INDIRECT("edu")</f>
        <v>0.3293440561892309</v>
      </c>
    </row>
    <row r="1479" spans="3:16" x14ac:dyDescent="0.25">
      <c r="C1479" s="6" t="s">
        <v>360</v>
      </c>
      <c r="G1479" s="6" t="s">
        <v>361</v>
      </c>
      <c r="P1479" s="10" cm="1">
        <f t="array" ref="P1479">PCHANGE_INDIRECT("food")</f>
        <v>0.32758851614686207</v>
      </c>
    </row>
    <row r="1480" spans="3:16" x14ac:dyDescent="0.25">
      <c r="C1480" s="6" t="s">
        <v>362</v>
      </c>
      <c r="G1480" s="6" t="s">
        <v>363</v>
      </c>
      <c r="P1480" s="10" cm="1">
        <f t="array" ref="P1480">PCHANGE_INDIRECT("hea")</f>
        <v>0.38341667072847541</v>
      </c>
    </row>
    <row r="1481" spans="3:16" x14ac:dyDescent="0.25">
      <c r="C1481" s="6" t="s">
        <v>364</v>
      </c>
      <c r="G1481" s="6" t="s">
        <v>365</v>
      </c>
      <c r="P1481" s="10" cm="1">
        <f t="array" ref="P1481">PCHANGE_INDIRECT("hou")</f>
        <v>0.28468405484019133</v>
      </c>
    </row>
    <row r="1482" spans="3:16" x14ac:dyDescent="0.25">
      <c r="C1482" s="6" t="s">
        <v>366</v>
      </c>
      <c r="G1482" s="6" t="s">
        <v>367</v>
      </c>
      <c r="P1482" s="10" cm="1">
        <f t="array" ref="P1482">PCHANGE_INDIRECT("oth")</f>
        <v>0.14209358578975489</v>
      </c>
    </row>
    <row r="1483" spans="3:16" x14ac:dyDescent="0.25">
      <c r="C1483" s="6" t="s">
        <v>368</v>
      </c>
      <c r="G1483" s="6" t="s">
        <v>369</v>
      </c>
      <c r="P1483" s="10" cm="1">
        <f t="array" ref="P1483">PCHANGE_INDIRECT("pap")</f>
        <v>0.59919614110901398</v>
      </c>
    </row>
    <row r="1484" spans="3:16" x14ac:dyDescent="0.25">
      <c r="C1484" s="6" t="s">
        <v>370</v>
      </c>
      <c r="G1484" s="6" t="s">
        <v>371</v>
      </c>
      <c r="P1484" s="10" cm="1">
        <f t="array" ref="P1484">PCHANGE_INDIRECT("pha")</f>
        <v>0.97576492317560548</v>
      </c>
    </row>
    <row r="1485" spans="3:16" x14ac:dyDescent="0.25">
      <c r="C1485" s="6" t="s">
        <v>372</v>
      </c>
      <c r="G1485" s="6" t="s">
        <v>373</v>
      </c>
      <c r="P1485" s="10" cm="1">
        <f t="array" ref="P1485">PCHANGE_INDIRECT("ret")</f>
        <v>0.28272666392578533</v>
      </c>
    </row>
    <row r="1486" spans="3:16" x14ac:dyDescent="0.25">
      <c r="C1486" s="6" t="s">
        <v>374</v>
      </c>
      <c r="G1486" s="6" t="s">
        <v>375</v>
      </c>
      <c r="P1486" s="10" cm="1">
        <f t="array" ref="P1486">PCHANGE_INDIRECT("teq")</f>
        <v>0.30525948394884889</v>
      </c>
    </row>
    <row r="1487" spans="3:16" x14ac:dyDescent="0.25">
      <c r="C1487" s="6" t="s">
        <v>376</v>
      </c>
      <c r="G1487" s="6" t="s">
        <v>377</v>
      </c>
      <c r="P1487" s="10" cm="1">
        <f t="array" ref="P1487">PCHANGE_INDIRECT("tpu")</f>
        <v>1.292222813050284</v>
      </c>
    </row>
  </sheetData>
  <mergeCells count="29">
    <mergeCell ref="C1459:T1461"/>
    <mergeCell ref="B929:N929"/>
    <mergeCell ref="B1429:N1429"/>
    <mergeCell ref="B1365:N1365"/>
    <mergeCell ref="C1386:T1389"/>
    <mergeCell ref="B1437:N1437"/>
    <mergeCell ref="C1449:T1449"/>
    <mergeCell ref="C1452:T1452"/>
    <mergeCell ref="B1457:N1457"/>
    <mergeCell ref="C1443:T1443"/>
    <mergeCell ref="B1349:N1349"/>
    <mergeCell ref="C1455:T1455"/>
    <mergeCell ref="B1321:N1321"/>
    <mergeCell ref="B1423:N1423"/>
    <mergeCell ref="C1446:T1446"/>
    <mergeCell ref="B5:N5"/>
    <mergeCell ref="B1405:N1405"/>
    <mergeCell ref="B693:N693"/>
    <mergeCell ref="C1440:T1440"/>
    <mergeCell ref="B3:N3"/>
    <mergeCell ref="B327:N327"/>
    <mergeCell ref="C1431:T1435"/>
    <mergeCell ref="C1399:T1400"/>
    <mergeCell ref="B1397:N1397"/>
    <mergeCell ref="B39:N39"/>
    <mergeCell ref="B1384:N1384"/>
    <mergeCell ref="C12:T13"/>
    <mergeCell ref="B10:N10"/>
    <mergeCell ref="C7:T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Q133"/>
  <sheetViews>
    <sheetView workbookViewId="0">
      <pane ySplit="1" topLeftCell="A2" activePane="bottomLeft" state="frozen"/>
      <selection pane="bottomLeft"/>
    </sheetView>
  </sheetViews>
  <sheetFormatPr defaultRowHeight="15" x14ac:dyDescent="0.25"/>
  <cols>
    <col min="1" max="69" width="15" customWidth="1"/>
  </cols>
  <sheetData>
    <row r="1" spans="1:69" x14ac:dyDescent="0.25">
      <c r="A1" s="11" t="s">
        <v>550</v>
      </c>
      <c r="B1" s="11" t="s">
        <v>551</v>
      </c>
      <c r="C1" s="11" t="s">
        <v>552</v>
      </c>
      <c r="D1" s="11" t="s">
        <v>553</v>
      </c>
      <c r="E1" s="11" t="s">
        <v>554</v>
      </c>
      <c r="F1" s="11" t="s">
        <v>555</v>
      </c>
      <c r="G1" s="11" t="s">
        <v>556</v>
      </c>
      <c r="H1" s="11" t="s">
        <v>557</v>
      </c>
      <c r="I1" s="11" t="s">
        <v>558</v>
      </c>
      <c r="J1" s="11" t="s">
        <v>559</v>
      </c>
      <c r="K1" s="11" t="s">
        <v>560</v>
      </c>
      <c r="L1" s="11" t="s">
        <v>561</v>
      </c>
      <c r="M1" s="11" t="s">
        <v>562</v>
      </c>
      <c r="N1" s="11" t="s">
        <v>563</v>
      </c>
      <c r="O1" s="11" t="s">
        <v>564</v>
      </c>
      <c r="P1" s="11" t="s">
        <v>565</v>
      </c>
      <c r="Q1" s="11" t="s">
        <v>566</v>
      </c>
      <c r="R1" s="11" t="s">
        <v>567</v>
      </c>
      <c r="S1" s="11" t="s">
        <v>568</v>
      </c>
      <c r="T1" s="11" t="s">
        <v>569</v>
      </c>
      <c r="U1" s="11" t="s">
        <v>570</v>
      </c>
      <c r="V1" s="11" t="s">
        <v>571</v>
      </c>
      <c r="W1" s="11" t="s">
        <v>572</v>
      </c>
      <c r="X1" s="11" t="s">
        <v>573</v>
      </c>
      <c r="Y1" s="11" t="s">
        <v>574</v>
      </c>
      <c r="Z1" s="11" t="s">
        <v>575</v>
      </c>
      <c r="AA1" s="11" t="s">
        <v>576</v>
      </c>
      <c r="AB1" s="11" t="s">
        <v>577</v>
      </c>
      <c r="AC1" s="11" t="s">
        <v>578</v>
      </c>
      <c r="AD1" s="11" t="s">
        <v>579</v>
      </c>
      <c r="AE1" s="11" t="s">
        <v>580</v>
      </c>
      <c r="AF1" s="11" t="s">
        <v>581</v>
      </c>
      <c r="AG1" s="11" t="s">
        <v>582</v>
      </c>
      <c r="AH1" s="11" t="s">
        <v>583</v>
      </c>
      <c r="AI1" s="11" t="s">
        <v>584</v>
      </c>
      <c r="AJ1" s="11" t="s">
        <v>585</v>
      </c>
      <c r="AK1" s="11" t="s">
        <v>586</v>
      </c>
      <c r="AL1" s="11" t="s">
        <v>587</v>
      </c>
      <c r="AM1" s="11" t="s">
        <v>588</v>
      </c>
      <c r="AN1" s="11" t="s">
        <v>589</v>
      </c>
      <c r="AO1" s="11" t="s">
        <v>590</v>
      </c>
      <c r="AP1" s="11" t="s">
        <v>591</v>
      </c>
      <c r="AQ1" s="11" t="s">
        <v>592</v>
      </c>
      <c r="AR1" s="11" t="s">
        <v>593</v>
      </c>
      <c r="AS1" s="11" t="s">
        <v>594</v>
      </c>
      <c r="AT1" s="11" t="s">
        <v>595</v>
      </c>
      <c r="AU1" s="11" t="s">
        <v>596</v>
      </c>
      <c r="AV1" s="11" t="s">
        <v>597</v>
      </c>
      <c r="AW1" s="11" t="s">
        <v>598</v>
      </c>
      <c r="AX1" s="11" t="s">
        <v>599</v>
      </c>
      <c r="AY1" s="11" t="s">
        <v>600</v>
      </c>
      <c r="AZ1" s="11" t="s">
        <v>601</v>
      </c>
      <c r="BA1" s="11" t="s">
        <v>602</v>
      </c>
      <c r="BB1" s="11" t="s">
        <v>603</v>
      </c>
      <c r="BC1" s="11" t="s">
        <v>604</v>
      </c>
      <c r="BD1" s="11" t="s">
        <v>605</v>
      </c>
      <c r="BE1" s="11" t="s">
        <v>606</v>
      </c>
      <c r="BF1" s="11" t="s">
        <v>607</v>
      </c>
      <c r="BG1" s="11" t="s">
        <v>608</v>
      </c>
      <c r="BH1" s="11" t="s">
        <v>609</v>
      </c>
      <c r="BI1" s="11" t="s">
        <v>610</v>
      </c>
      <c r="BJ1" s="11" t="s">
        <v>181</v>
      </c>
      <c r="BK1" s="11" t="s">
        <v>611</v>
      </c>
      <c r="BL1" s="11" t="s">
        <v>612</v>
      </c>
      <c r="BM1" s="11" t="s">
        <v>613</v>
      </c>
      <c r="BN1" s="11" t="s">
        <v>614</v>
      </c>
      <c r="BO1" s="11" t="s">
        <v>615</v>
      </c>
      <c r="BP1" s="11" t="s">
        <v>616</v>
      </c>
      <c r="BQ1" s="11" t="s">
        <v>617</v>
      </c>
    </row>
    <row r="2" spans="1:69" x14ac:dyDescent="0.25">
      <c r="A2" s="12" t="s">
        <v>618</v>
      </c>
      <c r="B2" s="12" t="s">
        <v>29</v>
      </c>
      <c r="C2" s="12">
        <v>2017</v>
      </c>
      <c r="D2" s="12" t="s">
        <v>381</v>
      </c>
      <c r="E2" s="12" t="s">
        <v>145</v>
      </c>
      <c r="F2" s="12" t="s">
        <v>69</v>
      </c>
      <c r="G2" s="12">
        <v>1</v>
      </c>
      <c r="H2" s="12">
        <v>1.755035630461325</v>
      </c>
      <c r="I2" s="12">
        <v>9.0289766550548899E-3</v>
      </c>
      <c r="J2" s="12">
        <v>4.4436265895845599</v>
      </c>
      <c r="K2" s="12">
        <v>6.03280342997361</v>
      </c>
      <c r="L2" s="12">
        <v>0</v>
      </c>
      <c r="M2" s="12">
        <v>2.1787047637257619</v>
      </c>
      <c r="N2" s="12">
        <v>0</v>
      </c>
      <c r="O2" s="12">
        <v>2.9466970268242312</v>
      </c>
      <c r="P2" s="12">
        <v>0</v>
      </c>
      <c r="Q2" s="12">
        <v>3.6628603722129132</v>
      </c>
      <c r="R2" s="12">
        <v>54.580386581973933</v>
      </c>
      <c r="S2" s="12">
        <v>5.3418913993741822E-4</v>
      </c>
      <c r="T2" s="12">
        <v>0.29819918979790222</v>
      </c>
      <c r="U2" s="12">
        <v>3.077114415832753</v>
      </c>
      <c r="V2" s="12">
        <v>5.226548763690845</v>
      </c>
      <c r="W2" s="12">
        <v>2.0079910920781519E-5</v>
      </c>
      <c r="X2" s="12">
        <v>2.7328783130952732</v>
      </c>
      <c r="Y2" s="12">
        <v>0.28327558408333903</v>
      </c>
      <c r="Z2" s="12">
        <v>9.9819511526861984E-2</v>
      </c>
      <c r="AA2" s="12">
        <v>1.310867309642412E-2</v>
      </c>
      <c r="AB2" s="12">
        <v>2.2730892960398741</v>
      </c>
      <c r="AC2" s="12">
        <v>4.9379889858709349</v>
      </c>
      <c r="AD2" s="12">
        <v>6.9014477468147648</v>
      </c>
      <c r="AE2" s="12">
        <v>0.32009989465497862</v>
      </c>
      <c r="AF2" s="12">
        <v>4.7081252280430483</v>
      </c>
      <c r="AG2" s="12">
        <v>3320.285842838357</v>
      </c>
      <c r="AH2" s="12">
        <v>7117.8511762584631</v>
      </c>
      <c r="AI2" s="12">
        <v>7369.2521193861994</v>
      </c>
      <c r="AJ2" s="12">
        <v>9073.9815984542747</v>
      </c>
      <c r="AK2" s="12">
        <v>8900.4445278016265</v>
      </c>
      <c r="AL2" s="12">
        <v>10307.186550762161</v>
      </c>
      <c r="AM2" s="12">
        <v>9875.9209287779795</v>
      </c>
      <c r="AN2" s="12">
        <v>10331.559301094199</v>
      </c>
      <c r="AO2" s="12">
        <v>11717.959842390021</v>
      </c>
      <c r="AP2" s="12">
        <v>13068.952547484079</v>
      </c>
      <c r="AQ2" s="12">
        <v>12674.62428066101</v>
      </c>
      <c r="AR2" s="12">
        <v>14085.5491178252</v>
      </c>
      <c r="AS2" s="12">
        <v>14125.1306201763</v>
      </c>
      <c r="AT2" s="12">
        <v>15445.63865713994</v>
      </c>
      <c r="AU2" s="12">
        <v>15913.59722586261</v>
      </c>
      <c r="AV2" s="12">
        <v>18247.437203246529</v>
      </c>
      <c r="AW2" s="12">
        <v>19578.573797453631</v>
      </c>
      <c r="AX2" s="12">
        <v>22186.9116862624</v>
      </c>
      <c r="AY2" s="12">
        <v>22661.381806965561</v>
      </c>
      <c r="AZ2" s="12">
        <v>62711.866864508891</v>
      </c>
      <c r="BA2" s="12">
        <v>5316.4504417286926</v>
      </c>
      <c r="BB2" s="12">
        <v>9942776.1404147241</v>
      </c>
      <c r="BC2" s="12">
        <v>100.2510521652959</v>
      </c>
      <c r="BD2" s="12">
        <v>100.9360092433443</v>
      </c>
      <c r="BE2" s="12">
        <v>108.52984150416449</v>
      </c>
      <c r="BF2" s="12">
        <v>34.524275122310243</v>
      </c>
      <c r="BG2" s="12">
        <v>43.077570728721028</v>
      </c>
      <c r="BH2" s="12">
        <v>97.455710010245966</v>
      </c>
      <c r="BI2" s="12">
        <v>114.36376680903621</v>
      </c>
      <c r="BJ2" s="12">
        <v>71.298783914900284</v>
      </c>
      <c r="BK2" s="12">
        <v>0.1749581252697163</v>
      </c>
      <c r="BL2" s="12">
        <v>2.9991663611028971</v>
      </c>
      <c r="BM2" s="12">
        <v>10.20150931116272</v>
      </c>
      <c r="BN2" s="12">
        <v>0.72032125193445595</v>
      </c>
      <c r="BO2" s="12">
        <v>0.81086620715320767</v>
      </c>
      <c r="BP2" s="12">
        <v>1.5699994773913759</v>
      </c>
      <c r="BQ2" s="12" t="s">
        <v>619</v>
      </c>
    </row>
    <row r="3" spans="1:69" x14ac:dyDescent="0.25">
      <c r="A3" s="12" t="s">
        <v>620</v>
      </c>
      <c r="B3" s="12" t="s">
        <v>29</v>
      </c>
      <c r="C3" s="12">
        <v>2017</v>
      </c>
      <c r="D3" s="12" t="s">
        <v>381</v>
      </c>
      <c r="E3" s="12" t="s">
        <v>145</v>
      </c>
      <c r="F3" s="12" t="s">
        <v>69</v>
      </c>
      <c r="G3" s="12">
        <v>2</v>
      </c>
      <c r="H3" s="12">
        <v>1.694090003747357</v>
      </c>
      <c r="I3" s="12">
        <v>5.2179829008534174E-3</v>
      </c>
      <c r="J3" s="12">
        <v>4.0107619669031731</v>
      </c>
      <c r="K3" s="12">
        <v>5.5742860583927127</v>
      </c>
      <c r="L3" s="12">
        <v>0</v>
      </c>
      <c r="M3" s="12">
        <v>2.327584240215824</v>
      </c>
      <c r="N3" s="12">
        <v>0</v>
      </c>
      <c r="O3" s="12">
        <v>3.959406622839178</v>
      </c>
      <c r="P3" s="12">
        <v>0</v>
      </c>
      <c r="Q3" s="12">
        <v>3.408518407778748</v>
      </c>
      <c r="R3" s="12">
        <v>59.917914383332942</v>
      </c>
      <c r="S3" s="12">
        <v>2.6883760266192591E-4</v>
      </c>
      <c r="T3" s="12">
        <v>0.35567920013481502</v>
      </c>
      <c r="U3" s="12">
        <v>3.0611861279950352</v>
      </c>
      <c r="V3" s="12">
        <v>4.4832502410988022</v>
      </c>
      <c r="W3" s="12">
        <v>2.2785656420106611E-5</v>
      </c>
      <c r="X3" s="12">
        <v>2.3478393078103039</v>
      </c>
      <c r="Y3" s="12">
        <v>0.26837382811771648</v>
      </c>
      <c r="Z3" s="12">
        <v>0.10332766884968431</v>
      </c>
      <c r="AA3" s="12">
        <v>8.9556743927716714E-3</v>
      </c>
      <c r="AB3" s="12">
        <v>2.2548187059700049</v>
      </c>
      <c r="AC3" s="12">
        <v>4.8169063015253082</v>
      </c>
      <c r="AD3" s="12">
        <v>6.7128999436003562</v>
      </c>
      <c r="AE3" s="12">
        <v>0.30824696703774529</v>
      </c>
      <c r="AF3" s="12">
        <v>4.3357414889027854</v>
      </c>
      <c r="AG3" s="12">
        <v>3082.297125000734</v>
      </c>
      <c r="AH3" s="12">
        <v>7288.4479633085002</v>
      </c>
      <c r="AI3" s="12">
        <v>6706.7506695386373</v>
      </c>
      <c r="AJ3" s="12">
        <v>8653.9515749171533</v>
      </c>
      <c r="AK3" s="12">
        <v>8816.0493107240291</v>
      </c>
      <c r="AL3" s="12">
        <v>9102.1726691844869</v>
      </c>
      <c r="AM3" s="12">
        <v>9720.0637734757238</v>
      </c>
      <c r="AN3" s="12">
        <v>11803.58642947883</v>
      </c>
      <c r="AO3" s="12">
        <v>11469.96684746541</v>
      </c>
      <c r="AP3" s="12">
        <v>11893.191590887371</v>
      </c>
      <c r="AQ3" s="12">
        <v>12760.27198720585</v>
      </c>
      <c r="AR3" s="12">
        <v>14323.215774826351</v>
      </c>
      <c r="AS3" s="12">
        <v>14701.40911576142</v>
      </c>
      <c r="AT3" s="12">
        <v>15416.37830085092</v>
      </c>
      <c r="AU3" s="12">
        <v>15554.17011766513</v>
      </c>
      <c r="AV3" s="12">
        <v>18075.860470208288</v>
      </c>
      <c r="AW3" s="12">
        <v>18370.7477487451</v>
      </c>
      <c r="AX3" s="12">
        <v>23723.9362424789</v>
      </c>
      <c r="AY3" s="12">
        <v>24669.485152448218</v>
      </c>
      <c r="AZ3" s="12">
        <v>65128.306201368279</v>
      </c>
      <c r="BA3" s="12">
        <v>6774.6414883473662</v>
      </c>
      <c r="BB3" s="12">
        <v>9769176.6194595341</v>
      </c>
      <c r="BC3" s="12">
        <v>107.43044250842679</v>
      </c>
      <c r="BD3" s="12">
        <v>112.52751912589331</v>
      </c>
      <c r="BE3" s="12">
        <v>106.8685600734381</v>
      </c>
      <c r="BF3" s="12">
        <v>43.574287900294777</v>
      </c>
      <c r="BG3" s="12">
        <v>59.010747356731407</v>
      </c>
      <c r="BH3" s="12">
        <v>105.939692233198</v>
      </c>
      <c r="BI3" s="12">
        <v>115.3220566193758</v>
      </c>
      <c r="BJ3" s="12">
        <v>78.243502161024139</v>
      </c>
      <c r="BK3" s="12">
        <v>9.9226590985473304E-3</v>
      </c>
      <c r="BL3" s="12">
        <v>1.1622865758941069E-2</v>
      </c>
      <c r="BM3" s="12">
        <v>11.137023895797229</v>
      </c>
      <c r="BN3" s="12">
        <v>1.9239775783265529</v>
      </c>
      <c r="BO3" s="12">
        <v>2.1331901623691079</v>
      </c>
      <c r="BP3" s="12">
        <v>1.6676764517440059</v>
      </c>
      <c r="BQ3" s="12" t="s">
        <v>621</v>
      </c>
    </row>
    <row r="4" spans="1:69" x14ac:dyDescent="0.25">
      <c r="A4" s="12" t="s">
        <v>622</v>
      </c>
      <c r="B4" s="12" t="s">
        <v>29</v>
      </c>
      <c r="C4" s="12">
        <v>2017</v>
      </c>
      <c r="D4" s="12" t="s">
        <v>381</v>
      </c>
      <c r="E4" s="12" t="s">
        <v>145</v>
      </c>
      <c r="F4" s="12" t="s">
        <v>69</v>
      </c>
      <c r="G4" s="12">
        <v>3</v>
      </c>
      <c r="H4" s="12">
        <v>1.6452019465422389</v>
      </c>
      <c r="I4" s="12">
        <v>5.5878731289695487E-3</v>
      </c>
      <c r="J4" s="12">
        <v>3.522672797654661</v>
      </c>
      <c r="K4" s="12">
        <v>6.4283544826696799</v>
      </c>
      <c r="L4" s="12">
        <v>0</v>
      </c>
      <c r="M4" s="12">
        <v>2.3760223663133728</v>
      </c>
      <c r="N4" s="12">
        <v>0</v>
      </c>
      <c r="O4" s="12">
        <v>4.2137165376636307</v>
      </c>
      <c r="P4" s="12">
        <v>0</v>
      </c>
      <c r="Q4" s="12">
        <v>3.419369533696806</v>
      </c>
      <c r="R4" s="12">
        <v>55.255727684483183</v>
      </c>
      <c r="S4" s="12">
        <v>3.0795932477796229E-4</v>
      </c>
      <c r="T4" s="12">
        <v>0.42669811108594757</v>
      </c>
      <c r="U4" s="12">
        <v>3.7599268431353412</v>
      </c>
      <c r="V4" s="12">
        <v>4.7928304669003872</v>
      </c>
      <c r="W4" s="12">
        <v>1.02555962916753E-5</v>
      </c>
      <c r="X4" s="12">
        <v>2.0661716660440508</v>
      </c>
      <c r="Y4" s="12">
        <v>0.28560634129188472</v>
      </c>
      <c r="Z4" s="12">
        <v>0.13517276382322629</v>
      </c>
      <c r="AA4" s="12">
        <v>6.5137910239496744E-3</v>
      </c>
      <c r="AB4" s="12">
        <v>2.2617963162857109</v>
      </c>
      <c r="AC4" s="12">
        <v>4.8968837884117704</v>
      </c>
      <c r="AD4" s="12">
        <v>6.889418483816435</v>
      </c>
      <c r="AE4" s="12">
        <v>0.31198576919782639</v>
      </c>
      <c r="AF4" s="12">
        <v>4.268952842251398</v>
      </c>
      <c r="AG4" s="12">
        <v>3078.098849186505</v>
      </c>
      <c r="AH4" s="12">
        <v>7473.9465758157094</v>
      </c>
      <c r="AI4" s="12">
        <v>7148.9533578017681</v>
      </c>
      <c r="AJ4" s="12">
        <v>9038.4374138092971</v>
      </c>
      <c r="AK4" s="12">
        <v>8481.3374782958781</v>
      </c>
      <c r="AL4" s="12">
        <v>9155.2533659499604</v>
      </c>
      <c r="AM4" s="12">
        <v>10050.578355615989</v>
      </c>
      <c r="AN4" s="12">
        <v>11427.34264318112</v>
      </c>
      <c r="AO4" s="12">
        <v>11409.017251565851</v>
      </c>
      <c r="AP4" s="12">
        <v>12859.83101402666</v>
      </c>
      <c r="AQ4" s="12">
        <v>12842.44204165191</v>
      </c>
      <c r="AR4" s="12">
        <v>13450.700910472309</v>
      </c>
      <c r="AS4" s="12">
        <v>14164.142448339309</v>
      </c>
      <c r="AT4" s="12">
        <v>14619.23948641053</v>
      </c>
      <c r="AU4" s="12">
        <v>14896.601640691521</v>
      </c>
      <c r="AV4" s="12">
        <v>17391.469687930061</v>
      </c>
      <c r="AW4" s="12">
        <v>19276.796582706011</v>
      </c>
      <c r="AX4" s="12">
        <v>21737.712537895521</v>
      </c>
      <c r="AY4" s="12">
        <v>23534.136200208599</v>
      </c>
      <c r="AZ4" s="12">
        <v>62281.815514927497</v>
      </c>
      <c r="BA4" s="12">
        <v>8368.1663846666361</v>
      </c>
      <c r="BB4" s="12">
        <v>11107330.698284009</v>
      </c>
      <c r="BC4" s="12">
        <v>100.048153045205</v>
      </c>
      <c r="BD4" s="12">
        <v>108.5650509301131</v>
      </c>
      <c r="BE4" s="12">
        <v>99.541755727834499</v>
      </c>
      <c r="BF4" s="12">
        <v>51.292298847115063</v>
      </c>
      <c r="BG4" s="12">
        <v>60.722857612814288</v>
      </c>
      <c r="BH4" s="12">
        <v>103.3271498466016</v>
      </c>
      <c r="BI4" s="12">
        <v>107.1823382263581</v>
      </c>
      <c r="BJ4" s="12">
        <v>87.003277990954757</v>
      </c>
      <c r="BK4" s="12">
        <v>0</v>
      </c>
      <c r="BL4" s="12">
        <v>7.1022597166229351E-3</v>
      </c>
      <c r="BM4" s="12">
        <v>10.52336936298502</v>
      </c>
      <c r="BN4" s="12">
        <v>3.0997765008922871</v>
      </c>
      <c r="BO4" s="12">
        <v>2.7818909842869002</v>
      </c>
      <c r="BP4" s="12">
        <v>1.624423207162911</v>
      </c>
      <c r="BQ4" s="12" t="s">
        <v>623</v>
      </c>
    </row>
    <row r="5" spans="1:69" x14ac:dyDescent="0.25">
      <c r="A5" s="12" t="s">
        <v>624</v>
      </c>
      <c r="B5" s="12" t="s">
        <v>29</v>
      </c>
      <c r="C5" s="12">
        <v>2017</v>
      </c>
      <c r="D5" s="12" t="s">
        <v>381</v>
      </c>
      <c r="E5" s="12" t="s">
        <v>145</v>
      </c>
      <c r="F5" s="12" t="s">
        <v>69</v>
      </c>
      <c r="G5" s="12">
        <v>4</v>
      </c>
      <c r="H5" s="12">
        <v>1.563419738301665</v>
      </c>
      <c r="I5" s="12">
        <v>3.8124707114261312E-3</v>
      </c>
      <c r="J5" s="12">
        <v>3.698318715654664</v>
      </c>
      <c r="K5" s="12">
        <v>5.7569793247372294</v>
      </c>
      <c r="L5" s="12">
        <v>0</v>
      </c>
      <c r="M5" s="12">
        <v>2.820105096499784</v>
      </c>
      <c r="N5" s="12">
        <v>0</v>
      </c>
      <c r="O5" s="12">
        <v>4.0927717153074159</v>
      </c>
      <c r="P5" s="12">
        <v>0</v>
      </c>
      <c r="Q5" s="12">
        <v>3.2968994606057751</v>
      </c>
      <c r="R5" s="12">
        <v>55.77309261054311</v>
      </c>
      <c r="S5" s="12">
        <v>2.1654946676299939E-4</v>
      </c>
      <c r="T5" s="12">
        <v>0.42822349729267539</v>
      </c>
      <c r="U5" s="12">
        <v>3.708710755705519</v>
      </c>
      <c r="V5" s="12">
        <v>4.1509372119436074</v>
      </c>
      <c r="W5" s="12">
        <v>5.6726857032317007E-5</v>
      </c>
      <c r="X5" s="12">
        <v>1.7713610521515759</v>
      </c>
      <c r="Y5" s="12">
        <v>0.2978854180586199</v>
      </c>
      <c r="Z5" s="12">
        <v>9.9940185899586712E-2</v>
      </c>
      <c r="AA5" s="12">
        <v>8.9786663231091555E-3</v>
      </c>
      <c r="AB5" s="12">
        <v>2.0488142691119489</v>
      </c>
      <c r="AC5" s="12">
        <v>5.1456004088151426</v>
      </c>
      <c r="AD5" s="12">
        <v>6.4143541878331298</v>
      </c>
      <c r="AE5" s="12">
        <v>0.28449744705640317</v>
      </c>
      <c r="AF5" s="12">
        <v>4.3317429002598464</v>
      </c>
      <c r="AG5" s="12">
        <v>3294.7847324333102</v>
      </c>
      <c r="AH5" s="12">
        <v>6950.2631936990838</v>
      </c>
      <c r="AI5" s="12">
        <v>7513.83972044853</v>
      </c>
      <c r="AJ5" s="12">
        <v>8588.9611274480958</v>
      </c>
      <c r="AK5" s="12">
        <v>8433.2000660642643</v>
      </c>
      <c r="AL5" s="12">
        <v>10244.11281479082</v>
      </c>
      <c r="AM5" s="12">
        <v>9768.7718175743648</v>
      </c>
      <c r="AN5" s="12">
        <v>11242.949196417379</v>
      </c>
      <c r="AO5" s="12">
        <v>11196.843846723939</v>
      </c>
      <c r="AP5" s="12">
        <v>11402.448873063129</v>
      </c>
      <c r="AQ5" s="12">
        <v>12100.679407093399</v>
      </c>
      <c r="AR5" s="12">
        <v>14284.72717935829</v>
      </c>
      <c r="AS5" s="12">
        <v>13117.05383889187</v>
      </c>
      <c r="AT5" s="12">
        <v>16347.91325574141</v>
      </c>
      <c r="AU5" s="12">
        <v>15889.89662411764</v>
      </c>
      <c r="AV5" s="12">
        <v>19570.122612930481</v>
      </c>
      <c r="AW5" s="12">
        <v>19637.46343756072</v>
      </c>
      <c r="AX5" s="12">
        <v>23848.910461930191</v>
      </c>
      <c r="AY5" s="12">
        <v>23430.003025327522</v>
      </c>
      <c r="AZ5" s="12">
        <v>63657.758944419518</v>
      </c>
      <c r="BA5" s="12">
        <v>9974.5275815365676</v>
      </c>
      <c r="BB5" s="12">
        <v>9991490.6871515345</v>
      </c>
      <c r="BC5" s="12">
        <v>103.0060760747261</v>
      </c>
      <c r="BD5" s="12">
        <v>112.66170836552141</v>
      </c>
      <c r="BE5" s="12">
        <v>105.00348316213299</v>
      </c>
      <c r="BF5" s="12">
        <v>63.493393983373522</v>
      </c>
      <c r="BG5" s="12">
        <v>65.180958562988067</v>
      </c>
      <c r="BH5" s="12">
        <v>98.238674238252585</v>
      </c>
      <c r="BI5" s="12">
        <v>101.9248538405196</v>
      </c>
      <c r="BJ5" s="12">
        <v>88.586972269627196</v>
      </c>
      <c r="BK5" s="12">
        <v>0</v>
      </c>
      <c r="BL5" s="12">
        <v>0</v>
      </c>
      <c r="BM5" s="12">
        <v>5.0645919966934363</v>
      </c>
      <c r="BN5" s="12">
        <v>3.5348145754129798</v>
      </c>
      <c r="BO5" s="12">
        <v>3.9202000068654259</v>
      </c>
      <c r="BP5" s="12">
        <v>1.4895723547269071</v>
      </c>
      <c r="BQ5" s="12" t="s">
        <v>625</v>
      </c>
    </row>
    <row r="6" spans="1:69" x14ac:dyDescent="0.25">
      <c r="A6" s="12" t="s">
        <v>626</v>
      </c>
      <c r="B6" s="12" t="s">
        <v>29</v>
      </c>
      <c r="C6" s="12">
        <v>2017</v>
      </c>
      <c r="D6" s="12" t="s">
        <v>381</v>
      </c>
      <c r="E6" s="12" t="s">
        <v>145</v>
      </c>
      <c r="F6" s="12" t="s">
        <v>69</v>
      </c>
      <c r="G6" s="12">
        <v>5</v>
      </c>
      <c r="H6" s="12">
        <v>1.7042179471511141</v>
      </c>
      <c r="I6" s="12">
        <v>2.9396578103291189E-3</v>
      </c>
      <c r="J6" s="12">
        <v>3.8855645653642958</v>
      </c>
      <c r="K6" s="12">
        <v>6.0321479127935209</v>
      </c>
      <c r="L6" s="12">
        <v>0</v>
      </c>
      <c r="M6" s="12">
        <v>2.8500791282274029</v>
      </c>
      <c r="N6" s="12">
        <v>0</v>
      </c>
      <c r="O6" s="12">
        <v>4.5734112822224393</v>
      </c>
      <c r="P6" s="12">
        <v>0</v>
      </c>
      <c r="Q6" s="12">
        <v>3.223797107722242</v>
      </c>
      <c r="R6" s="12">
        <v>53.408793598174277</v>
      </c>
      <c r="S6" s="12">
        <v>1.6112010796331681E-4</v>
      </c>
      <c r="T6" s="12">
        <v>0.50734300022146406</v>
      </c>
      <c r="U6" s="12">
        <v>4.0325686523950299</v>
      </c>
      <c r="V6" s="12">
        <v>4.7661458042837879</v>
      </c>
      <c r="W6" s="12">
        <v>5.6590263940983942E-5</v>
      </c>
      <c r="X6" s="12">
        <v>1.729992103661582</v>
      </c>
      <c r="Y6" s="12">
        <v>0.3066752581174817</v>
      </c>
      <c r="Z6" s="12">
        <v>0.13985348389336211</v>
      </c>
      <c r="AA6" s="12">
        <v>2.0607883202752132E-2</v>
      </c>
      <c r="AB6" s="12">
        <v>2.0190786271238221</v>
      </c>
      <c r="AC6" s="12">
        <v>5.8597242319372196</v>
      </c>
      <c r="AD6" s="12">
        <v>7.2544364106283696</v>
      </c>
      <c r="AE6" s="12">
        <v>0.37955087126811038</v>
      </c>
      <c r="AF6" s="12">
        <v>4.4718953731279116</v>
      </c>
      <c r="AG6" s="12">
        <v>3056.5741709742688</v>
      </c>
      <c r="AH6" s="12">
        <v>7075.49766802878</v>
      </c>
      <c r="AI6" s="12">
        <v>7035.1450847480728</v>
      </c>
      <c r="AJ6" s="12">
        <v>8224.765348566274</v>
      </c>
      <c r="AK6" s="12">
        <v>8865.7514980929936</v>
      </c>
      <c r="AL6" s="12">
        <v>9353.8537608080987</v>
      </c>
      <c r="AM6" s="12">
        <v>9749.0434265953663</v>
      </c>
      <c r="AN6" s="12">
        <v>11257.62630365465</v>
      </c>
      <c r="AO6" s="12">
        <v>11332.314299607489</v>
      </c>
      <c r="AP6" s="12">
        <v>12492.17021923092</v>
      </c>
      <c r="AQ6" s="12">
        <v>12925.065515205561</v>
      </c>
      <c r="AR6" s="12">
        <v>14663.40849959666</v>
      </c>
      <c r="AS6" s="12">
        <v>13762.124666901391</v>
      </c>
      <c r="AT6" s="12">
        <v>14564.322640174139</v>
      </c>
      <c r="AU6" s="12">
        <v>15864.078929083291</v>
      </c>
      <c r="AV6" s="12">
        <v>17375.814601543159</v>
      </c>
      <c r="AW6" s="12">
        <v>18453.388554448669</v>
      </c>
      <c r="AX6" s="12">
        <v>23446.581690692659</v>
      </c>
      <c r="AY6" s="12">
        <v>22858.74964893634</v>
      </c>
      <c r="AZ6" s="12">
        <v>65143.288485455159</v>
      </c>
      <c r="BA6" s="12">
        <v>10520.12234342251</v>
      </c>
      <c r="BB6" s="12">
        <v>10193105.6876218</v>
      </c>
      <c r="BC6" s="12">
        <v>113.8586404578363</v>
      </c>
      <c r="BD6" s="12">
        <v>102.7483450780253</v>
      </c>
      <c r="BE6" s="12">
        <v>101.4027545740323</v>
      </c>
      <c r="BF6" s="12">
        <v>63.616047146255511</v>
      </c>
      <c r="BG6" s="12">
        <v>72.562696940369378</v>
      </c>
      <c r="BH6" s="12">
        <v>102.8135777843039</v>
      </c>
      <c r="BI6" s="12">
        <v>114.8596385068326</v>
      </c>
      <c r="BJ6" s="12">
        <v>86.153237161898772</v>
      </c>
      <c r="BK6" s="12">
        <v>0</v>
      </c>
      <c r="BL6" s="12">
        <v>0</v>
      </c>
      <c r="BM6" s="12">
        <v>0.6902323683348367</v>
      </c>
      <c r="BN6" s="12">
        <v>5.1132117569718467</v>
      </c>
      <c r="BO6" s="12">
        <v>4.8479214244323403</v>
      </c>
      <c r="BP6" s="12">
        <v>1.493623460006563</v>
      </c>
      <c r="BQ6" s="12" t="s">
        <v>627</v>
      </c>
    </row>
    <row r="7" spans="1:69" x14ac:dyDescent="0.25">
      <c r="A7" s="12" t="s">
        <v>628</v>
      </c>
      <c r="B7" s="12" t="s">
        <v>29</v>
      </c>
      <c r="C7" s="12">
        <v>2017</v>
      </c>
      <c r="D7" s="12" t="s">
        <v>381</v>
      </c>
      <c r="E7" s="12" t="s">
        <v>145</v>
      </c>
      <c r="F7" s="12" t="s">
        <v>69</v>
      </c>
      <c r="G7" s="12">
        <v>6</v>
      </c>
      <c r="H7" s="12">
        <v>1.6412955244167651</v>
      </c>
      <c r="I7" s="12">
        <v>2.790797129249626E-3</v>
      </c>
      <c r="J7" s="12">
        <v>3.6763617357628711</v>
      </c>
      <c r="K7" s="12">
        <v>5.7695608968175307</v>
      </c>
      <c r="L7" s="12">
        <v>0</v>
      </c>
      <c r="M7" s="12">
        <v>2.9033394679365219</v>
      </c>
      <c r="N7" s="12">
        <v>0</v>
      </c>
      <c r="O7" s="12">
        <v>4.2454027356470299</v>
      </c>
      <c r="P7" s="12">
        <v>1.083766149420668E-5</v>
      </c>
      <c r="Q7" s="12">
        <v>3.2680116114773918</v>
      </c>
      <c r="R7" s="12">
        <v>59.246150939067377</v>
      </c>
      <c r="S7" s="12">
        <v>1.4737033803884349E-4</v>
      </c>
      <c r="T7" s="12">
        <v>0.54054684000656239</v>
      </c>
      <c r="U7" s="12">
        <v>3.9935998703349238</v>
      </c>
      <c r="V7" s="12">
        <v>4.6193539488696533</v>
      </c>
      <c r="W7" s="12">
        <v>4.6470218537574858E-5</v>
      </c>
      <c r="X7" s="12">
        <v>1.600655486697883</v>
      </c>
      <c r="Y7" s="12">
        <v>0.32797309007623682</v>
      </c>
      <c r="Z7" s="12">
        <v>0.1372538586351458</v>
      </c>
      <c r="AA7" s="12">
        <v>1.5377897454934191E-2</v>
      </c>
      <c r="AB7" s="12">
        <v>1.898514352397634</v>
      </c>
      <c r="AC7" s="12">
        <v>6.5896618115591199</v>
      </c>
      <c r="AD7" s="12">
        <v>6.4518856264003688</v>
      </c>
      <c r="AE7" s="12">
        <v>0.45705670468828807</v>
      </c>
      <c r="AF7" s="12">
        <v>4.5407484448130431</v>
      </c>
      <c r="AG7" s="12">
        <v>3057.4532887066912</v>
      </c>
      <c r="AH7" s="12">
        <v>6917.0992315984522</v>
      </c>
      <c r="AI7" s="12">
        <v>6914.8205667865896</v>
      </c>
      <c r="AJ7" s="12">
        <v>8932.3934918454925</v>
      </c>
      <c r="AK7" s="12">
        <v>8260.7670259240331</v>
      </c>
      <c r="AL7" s="12">
        <v>9820.7597554089534</v>
      </c>
      <c r="AM7" s="12">
        <v>10404.91960160515</v>
      </c>
      <c r="AN7" s="12">
        <v>11011.196206499621</v>
      </c>
      <c r="AO7" s="12">
        <v>10479.977450491</v>
      </c>
      <c r="AP7" s="12">
        <v>12088.664601156281</v>
      </c>
      <c r="AQ7" s="12">
        <v>12849.45306001555</v>
      </c>
      <c r="AR7" s="12">
        <v>14038.27794503499</v>
      </c>
      <c r="AS7" s="12">
        <v>14870.176627230559</v>
      </c>
      <c r="AT7" s="12">
        <v>16286.451717731061</v>
      </c>
      <c r="AU7" s="12">
        <v>16830.447315220212</v>
      </c>
      <c r="AV7" s="12">
        <v>19416.812433465129</v>
      </c>
      <c r="AW7" s="12">
        <v>19211.855304909441</v>
      </c>
      <c r="AX7" s="12">
        <v>22248.8339605357</v>
      </c>
      <c r="AY7" s="12">
        <v>22235.76965726171</v>
      </c>
      <c r="AZ7" s="12">
        <v>61076.766098579283</v>
      </c>
      <c r="BA7" s="12">
        <v>11195.96720261516</v>
      </c>
      <c r="BB7" s="12">
        <v>11194230.4871516</v>
      </c>
      <c r="BC7" s="12">
        <v>108.0030223300021</v>
      </c>
      <c r="BD7" s="12">
        <v>110.6719456325428</v>
      </c>
      <c r="BE7" s="12">
        <v>113.9364510600381</v>
      </c>
      <c r="BF7" s="12">
        <v>73.872215092101172</v>
      </c>
      <c r="BG7" s="12">
        <v>71.72774634040438</v>
      </c>
      <c r="BH7" s="12">
        <v>111.8035082928472</v>
      </c>
      <c r="BI7" s="12">
        <v>100.1494578028219</v>
      </c>
      <c r="BJ7" s="12">
        <v>93.45911356745215</v>
      </c>
      <c r="BK7" s="12">
        <v>0</v>
      </c>
      <c r="BL7" s="12">
        <v>0</v>
      </c>
      <c r="BM7" s="12">
        <v>0.1650844932504103</v>
      </c>
      <c r="BN7" s="12">
        <v>5.9979074838549389</v>
      </c>
      <c r="BO7" s="12">
        <v>6.7865546694516938</v>
      </c>
      <c r="BP7" s="12">
        <v>1.6731550370275761</v>
      </c>
      <c r="BQ7" s="12" t="s">
        <v>629</v>
      </c>
    </row>
    <row r="8" spans="1:69" x14ac:dyDescent="0.25">
      <c r="A8" s="12" t="s">
        <v>630</v>
      </c>
      <c r="B8" s="12" t="s">
        <v>29</v>
      </c>
      <c r="C8" s="12">
        <v>2017</v>
      </c>
      <c r="D8" s="12" t="s">
        <v>381</v>
      </c>
      <c r="E8" s="12" t="s">
        <v>145</v>
      </c>
      <c r="F8" s="12" t="s">
        <v>69</v>
      </c>
      <c r="G8" s="12">
        <v>7</v>
      </c>
      <c r="H8" s="12">
        <v>1.808909928284024</v>
      </c>
      <c r="I8" s="12">
        <v>3.117537254047056E-3</v>
      </c>
      <c r="J8" s="12">
        <v>3.562139853371693</v>
      </c>
      <c r="K8" s="12">
        <v>6.0082030080480084</v>
      </c>
      <c r="L8" s="12">
        <v>0</v>
      </c>
      <c r="M8" s="12">
        <v>2.8037701774832779</v>
      </c>
      <c r="N8" s="12">
        <v>0</v>
      </c>
      <c r="O8" s="12">
        <v>4.3667317968345554</v>
      </c>
      <c r="P8" s="12">
        <v>0</v>
      </c>
      <c r="Q8" s="12">
        <v>3.4458614428198699</v>
      </c>
      <c r="R8" s="12">
        <v>52.962902565128907</v>
      </c>
      <c r="S8" s="12">
        <v>1.5876964800062691E-4</v>
      </c>
      <c r="T8" s="12">
        <v>0.60893546125451559</v>
      </c>
      <c r="U8" s="12">
        <v>4.8678371549805304</v>
      </c>
      <c r="V8" s="12">
        <v>4.6913202775131824</v>
      </c>
      <c r="W8" s="12">
        <v>2.1349505379960081E-5</v>
      </c>
      <c r="X8" s="12">
        <v>1.598236862680213</v>
      </c>
      <c r="Y8" s="12">
        <v>0.36621283319677878</v>
      </c>
      <c r="Z8" s="12">
        <v>0.14024283954895</v>
      </c>
      <c r="AA8" s="12">
        <v>1.4167844522886681E-2</v>
      </c>
      <c r="AB8" s="12">
        <v>1.712490250296749</v>
      </c>
      <c r="AC8" s="12">
        <v>6.4781072741947607</v>
      </c>
      <c r="AD8" s="12">
        <v>6.3116483055992303</v>
      </c>
      <c r="AE8" s="12">
        <v>0.51858964575002697</v>
      </c>
      <c r="AF8" s="12">
        <v>5.0541516661756729</v>
      </c>
      <c r="AG8" s="12">
        <v>3042.4248496151731</v>
      </c>
      <c r="AH8" s="12">
        <v>7327.1394295383707</v>
      </c>
      <c r="AI8" s="12">
        <v>7327.1175048213217</v>
      </c>
      <c r="AJ8" s="12">
        <v>8041.6306832699211</v>
      </c>
      <c r="AK8" s="12">
        <v>8086.8048884981781</v>
      </c>
      <c r="AL8" s="12">
        <v>9036.3282285023288</v>
      </c>
      <c r="AM8" s="12">
        <v>9191.1596144157229</v>
      </c>
      <c r="AN8" s="12">
        <v>11627.390214124131</v>
      </c>
      <c r="AO8" s="12">
        <v>10222.58352970365</v>
      </c>
      <c r="AP8" s="12">
        <v>11546.05911715561</v>
      </c>
      <c r="AQ8" s="12">
        <v>12793.789710283419</v>
      </c>
      <c r="AR8" s="12">
        <v>12792.835747765081</v>
      </c>
      <c r="AS8" s="12">
        <v>13155.71380735996</v>
      </c>
      <c r="AT8" s="12">
        <v>15494.23714579316</v>
      </c>
      <c r="AU8" s="12">
        <v>15640.21814035311</v>
      </c>
      <c r="AV8" s="12">
        <v>18195.69543201719</v>
      </c>
      <c r="AW8" s="12">
        <v>17120.769864254278</v>
      </c>
      <c r="AX8" s="12">
        <v>23006.315471573751</v>
      </c>
      <c r="AY8" s="12">
        <v>24105.424704978359</v>
      </c>
      <c r="AZ8" s="12">
        <v>67848.21411132683</v>
      </c>
      <c r="BA8" s="12">
        <v>14051.598937217401</v>
      </c>
      <c r="BB8" s="12">
        <v>10409614.41706669</v>
      </c>
      <c r="BC8" s="12">
        <v>108.14144254531431</v>
      </c>
      <c r="BD8" s="12">
        <v>103.59427111747419</v>
      </c>
      <c r="BE8" s="12">
        <v>104.66347334190171</v>
      </c>
      <c r="BF8" s="12">
        <v>68.215119258916275</v>
      </c>
      <c r="BG8" s="12">
        <v>77.495471474232033</v>
      </c>
      <c r="BH8" s="12">
        <v>104.9700473427722</v>
      </c>
      <c r="BI8" s="12">
        <v>107.8469135955868</v>
      </c>
      <c r="BJ8" s="12">
        <v>95.687346277931027</v>
      </c>
      <c r="BK8" s="12">
        <v>0</v>
      </c>
      <c r="BL8" s="12">
        <v>0</v>
      </c>
      <c r="BM8" s="12">
        <v>3.089945889677518E-2</v>
      </c>
      <c r="BN8" s="12">
        <v>8.3314431472426271</v>
      </c>
      <c r="BO8" s="12">
        <v>7.9806790487859374</v>
      </c>
      <c r="BP8" s="12">
        <v>1.602874968036796</v>
      </c>
      <c r="BQ8" s="12" t="s">
        <v>631</v>
      </c>
    </row>
    <row r="9" spans="1:69" x14ac:dyDescent="0.25">
      <c r="A9" s="12" t="s">
        <v>632</v>
      </c>
      <c r="B9" s="12" t="s">
        <v>29</v>
      </c>
      <c r="C9" s="12">
        <v>2017</v>
      </c>
      <c r="D9" s="12" t="s">
        <v>381</v>
      </c>
      <c r="E9" s="12" t="s">
        <v>145</v>
      </c>
      <c r="F9" s="12" t="s">
        <v>69</v>
      </c>
      <c r="G9" s="12">
        <v>8</v>
      </c>
      <c r="H9" s="12">
        <v>1.7757479790490751</v>
      </c>
      <c r="I9" s="12">
        <v>3.1207623253964459E-3</v>
      </c>
      <c r="J9" s="12">
        <v>3.6745807991890822</v>
      </c>
      <c r="K9" s="12">
        <v>5.1192584581713403</v>
      </c>
      <c r="L9" s="12">
        <v>0</v>
      </c>
      <c r="M9" s="12">
        <v>2.9342905197078442</v>
      </c>
      <c r="N9" s="12">
        <v>0</v>
      </c>
      <c r="O9" s="12">
        <v>3.701719314676974</v>
      </c>
      <c r="P9" s="12">
        <v>1.072327421885693E-5</v>
      </c>
      <c r="Q9" s="12">
        <v>3.6481472505836599</v>
      </c>
      <c r="R9" s="12">
        <v>56.941141766984963</v>
      </c>
      <c r="S9" s="12">
        <v>1.773920837667564E-4</v>
      </c>
      <c r="T9" s="12">
        <v>0.66306428159863873</v>
      </c>
      <c r="U9" s="12">
        <v>4.6203559136846639</v>
      </c>
      <c r="V9" s="12">
        <v>4.4300753902827532</v>
      </c>
      <c r="W9" s="12">
        <v>8.1751860138460007E-5</v>
      </c>
      <c r="X9" s="12">
        <v>1.3677925660302579</v>
      </c>
      <c r="Y9" s="12">
        <v>0.44746787545447692</v>
      </c>
      <c r="Z9" s="12">
        <v>0.1418461725745313</v>
      </c>
      <c r="AA9" s="12">
        <v>1.847465109333369E-2</v>
      </c>
      <c r="AB9" s="12">
        <v>1.3121011821158799</v>
      </c>
      <c r="AC9" s="12">
        <v>8.2579074001494739</v>
      </c>
      <c r="AD9" s="12">
        <v>6.3807594474314397</v>
      </c>
      <c r="AE9" s="12">
        <v>0.60744759640796664</v>
      </c>
      <c r="AF9" s="12">
        <v>4.9568858865895002</v>
      </c>
      <c r="AG9" s="12">
        <v>3291.3332324472281</v>
      </c>
      <c r="AH9" s="12">
        <v>6820.6046592346765</v>
      </c>
      <c r="AI9" s="12">
        <v>6880.5969592555593</v>
      </c>
      <c r="AJ9" s="12">
        <v>8029.8953367816348</v>
      </c>
      <c r="AK9" s="12">
        <v>7945.6907701936207</v>
      </c>
      <c r="AL9" s="12">
        <v>9019.4811499714233</v>
      </c>
      <c r="AM9" s="12">
        <v>10097.455309652139</v>
      </c>
      <c r="AN9" s="12">
        <v>10818.87199091926</v>
      </c>
      <c r="AO9" s="12">
        <v>10732.136091222699</v>
      </c>
      <c r="AP9" s="12">
        <v>12408.000579540711</v>
      </c>
      <c r="AQ9" s="12">
        <v>12543.743997871639</v>
      </c>
      <c r="AR9" s="12">
        <v>14032.72907134814</v>
      </c>
      <c r="AS9" s="12">
        <v>13550.818799797389</v>
      </c>
      <c r="AT9" s="12">
        <v>15580.904411336511</v>
      </c>
      <c r="AU9" s="12">
        <v>14753.49884322148</v>
      </c>
      <c r="AV9" s="12">
        <v>18953.21503077622</v>
      </c>
      <c r="AW9" s="12">
        <v>18301.491007687699</v>
      </c>
      <c r="AX9" s="12">
        <v>23528.028230852611</v>
      </c>
      <c r="AY9" s="12">
        <v>24070.30982396871</v>
      </c>
      <c r="AZ9" s="12">
        <v>65793.025883982453</v>
      </c>
      <c r="BA9" s="12">
        <v>16133.79964390557</v>
      </c>
      <c r="BB9" s="12">
        <v>10888960.80708582</v>
      </c>
      <c r="BC9" s="12">
        <v>106.334432981392</v>
      </c>
      <c r="BD9" s="12">
        <v>107.4709144457882</v>
      </c>
      <c r="BE9" s="12">
        <v>111.3315051317938</v>
      </c>
      <c r="BF9" s="12">
        <v>67.594948035810845</v>
      </c>
      <c r="BG9" s="12">
        <v>80.53811021301712</v>
      </c>
      <c r="BH9" s="12">
        <v>98.537571161948094</v>
      </c>
      <c r="BI9" s="12">
        <v>103.1087158503493</v>
      </c>
      <c r="BJ9" s="12">
        <v>97.013332439064072</v>
      </c>
      <c r="BK9" s="12">
        <v>0</v>
      </c>
      <c r="BL9" s="12">
        <v>0</v>
      </c>
      <c r="BM9" s="12">
        <v>1.735933069943214E-2</v>
      </c>
      <c r="BN9" s="12">
        <v>10.4313703389869</v>
      </c>
      <c r="BO9" s="12">
        <v>10.0775307091063</v>
      </c>
      <c r="BP9" s="12">
        <v>1.625638461519137</v>
      </c>
      <c r="BQ9" s="12" t="s">
        <v>633</v>
      </c>
    </row>
    <row r="10" spans="1:69" x14ac:dyDescent="0.25">
      <c r="A10" s="12" t="s">
        <v>634</v>
      </c>
      <c r="B10" s="12" t="s">
        <v>29</v>
      </c>
      <c r="C10" s="12">
        <v>2017</v>
      </c>
      <c r="D10" s="12" t="s">
        <v>381</v>
      </c>
      <c r="E10" s="12" t="s">
        <v>145</v>
      </c>
      <c r="F10" s="12" t="s">
        <v>69</v>
      </c>
      <c r="G10" s="12">
        <v>9</v>
      </c>
      <c r="H10" s="12">
        <v>1.6134411910484761</v>
      </c>
      <c r="I10" s="12">
        <v>2.3543287019212591E-3</v>
      </c>
      <c r="J10" s="12">
        <v>3.7196407092568662</v>
      </c>
      <c r="K10" s="12">
        <v>5.2064057075953301</v>
      </c>
      <c r="L10" s="12">
        <v>0</v>
      </c>
      <c r="M10" s="12">
        <v>3.320145132218661</v>
      </c>
      <c r="N10" s="12">
        <v>0</v>
      </c>
      <c r="O10" s="12">
        <v>2.722517763251207</v>
      </c>
      <c r="P10" s="12">
        <v>1.0464484435651749E-5</v>
      </c>
      <c r="Q10" s="12">
        <v>3.6654216113137981</v>
      </c>
      <c r="R10" s="12">
        <v>58.190826905674939</v>
      </c>
      <c r="S10" s="12">
        <v>1.1130899397900871E-4</v>
      </c>
      <c r="T10" s="12">
        <v>0.60423434121484731</v>
      </c>
      <c r="U10" s="12">
        <v>5.0922364486869656</v>
      </c>
      <c r="V10" s="12">
        <v>4.4230103364290612</v>
      </c>
      <c r="W10" s="12">
        <v>1.149866307181042E-4</v>
      </c>
      <c r="X10" s="12">
        <v>1.1808088950134259</v>
      </c>
      <c r="Y10" s="12">
        <v>0.43861102207155439</v>
      </c>
      <c r="Z10" s="12">
        <v>0.1447419180596157</v>
      </c>
      <c r="AA10" s="12">
        <v>1.6786368978136779E-2</v>
      </c>
      <c r="AB10" s="12">
        <v>1.1808054321240591</v>
      </c>
      <c r="AC10" s="12">
        <v>8.3818841693506076</v>
      </c>
      <c r="AD10" s="12">
        <v>6.5757768039673996</v>
      </c>
      <c r="AE10" s="12">
        <v>0.68254955652386162</v>
      </c>
      <c r="AF10" s="12">
        <v>4.5741168146371747</v>
      </c>
      <c r="AG10" s="12">
        <v>3134.705892696697</v>
      </c>
      <c r="AH10" s="12">
        <v>7069.7457673179943</v>
      </c>
      <c r="AI10" s="12">
        <v>7334.0702107435936</v>
      </c>
      <c r="AJ10" s="12">
        <v>9074.3739986433611</v>
      </c>
      <c r="AK10" s="12">
        <v>8894.9565125730915</v>
      </c>
      <c r="AL10" s="12">
        <v>10226.32425235566</v>
      </c>
      <c r="AM10" s="12">
        <v>10490.90583127117</v>
      </c>
      <c r="AN10" s="12">
        <v>10704.83067250169</v>
      </c>
      <c r="AO10" s="12">
        <v>10481.21114931358</v>
      </c>
      <c r="AP10" s="12">
        <v>12326.80384227721</v>
      </c>
      <c r="AQ10" s="12">
        <v>12109.2905733812</v>
      </c>
      <c r="AR10" s="12">
        <v>13372.07897865427</v>
      </c>
      <c r="AS10" s="12">
        <v>12864.374094315081</v>
      </c>
      <c r="AT10" s="12">
        <v>15115.75220175253</v>
      </c>
      <c r="AU10" s="12">
        <v>15560.390430041571</v>
      </c>
      <c r="AV10" s="12">
        <v>18717.058813912819</v>
      </c>
      <c r="AW10" s="12">
        <v>18455.173570993069</v>
      </c>
      <c r="AX10" s="12">
        <v>24518.12469622248</v>
      </c>
      <c r="AY10" s="12">
        <v>23184.423996883619</v>
      </c>
      <c r="AZ10" s="12">
        <v>69824.508658052422</v>
      </c>
      <c r="BA10" s="12">
        <v>19214.42845852649</v>
      </c>
      <c r="BB10" s="12">
        <v>9998899.328392392</v>
      </c>
      <c r="BC10" s="12">
        <v>103.6890783312132</v>
      </c>
      <c r="BD10" s="12">
        <v>107.23114616642199</v>
      </c>
      <c r="BE10" s="12">
        <v>115.0974483029776</v>
      </c>
      <c r="BF10" s="12">
        <v>63.394066214158279</v>
      </c>
      <c r="BG10" s="12">
        <v>85.651463099673151</v>
      </c>
      <c r="BH10" s="12">
        <v>107.7288104105466</v>
      </c>
      <c r="BI10" s="12">
        <v>114.2602704893641</v>
      </c>
      <c r="BJ10" s="12">
        <v>93.233786009080248</v>
      </c>
      <c r="BK10" s="12">
        <v>0</v>
      </c>
      <c r="BL10" s="12">
        <v>0</v>
      </c>
      <c r="BM10" s="12">
        <v>0</v>
      </c>
      <c r="BN10" s="12">
        <v>15.035296756540131</v>
      </c>
      <c r="BO10" s="12">
        <v>14.40506356886309</v>
      </c>
      <c r="BP10" s="12">
        <v>1.4832082610584489</v>
      </c>
      <c r="BQ10" s="12" t="s">
        <v>635</v>
      </c>
    </row>
    <row r="11" spans="1:69" x14ac:dyDescent="0.25">
      <c r="A11" s="12" t="s">
        <v>636</v>
      </c>
      <c r="B11" s="12" t="s">
        <v>29</v>
      </c>
      <c r="C11" s="12">
        <v>2017</v>
      </c>
      <c r="D11" s="12" t="s">
        <v>381</v>
      </c>
      <c r="E11" s="12" t="s">
        <v>145</v>
      </c>
      <c r="F11" s="12" t="s">
        <v>69</v>
      </c>
      <c r="G11" s="12">
        <v>10</v>
      </c>
      <c r="H11" s="12">
        <v>1.80744366883074</v>
      </c>
      <c r="I11" s="12">
        <v>1.1780116578788519E-3</v>
      </c>
      <c r="J11" s="12">
        <v>3.6036084156393509</v>
      </c>
      <c r="K11" s="12">
        <v>4.2600047178674894</v>
      </c>
      <c r="L11" s="12">
        <v>0</v>
      </c>
      <c r="M11" s="12">
        <v>3.340869375385191</v>
      </c>
      <c r="N11" s="12">
        <v>0</v>
      </c>
      <c r="O11" s="12">
        <v>1.488474433159424</v>
      </c>
      <c r="P11" s="12">
        <v>1.022111194711938E-5</v>
      </c>
      <c r="Q11" s="12">
        <v>3.8639166201864281</v>
      </c>
      <c r="R11" s="12">
        <v>50.136011266709282</v>
      </c>
      <c r="S11" s="12">
        <v>6.914614584305991E-5</v>
      </c>
      <c r="T11" s="12">
        <v>0.77838575504868568</v>
      </c>
      <c r="U11" s="12">
        <v>5.9992398778225153</v>
      </c>
      <c r="V11" s="12">
        <v>6.0026218297734406</v>
      </c>
      <c r="W11" s="12">
        <v>7.7326548609582145E-5</v>
      </c>
      <c r="X11" s="12">
        <v>1.0081828198862051</v>
      </c>
      <c r="Y11" s="12">
        <v>0.58584464916605183</v>
      </c>
      <c r="Z11" s="12">
        <v>0.15751649277127711</v>
      </c>
      <c r="AA11" s="12">
        <v>2.8417705950754379E-2</v>
      </c>
      <c r="AB11" s="12">
        <v>0.85621610364145795</v>
      </c>
      <c r="AC11" s="12">
        <v>10.223449386878411</v>
      </c>
      <c r="AD11" s="12">
        <v>8.0149924852578085</v>
      </c>
      <c r="AE11" s="12">
        <v>0.88125379570360818</v>
      </c>
      <c r="AF11" s="12">
        <v>4.1727039648484281</v>
      </c>
      <c r="AG11" s="12">
        <v>2972.992525091227</v>
      </c>
      <c r="AH11" s="12">
        <v>7647.4306291938083</v>
      </c>
      <c r="AI11" s="12">
        <v>6698.8973552807629</v>
      </c>
      <c r="AJ11" s="12">
        <v>9055.9994030149173</v>
      </c>
      <c r="AK11" s="12">
        <v>9230.9510887524229</v>
      </c>
      <c r="AL11" s="12">
        <v>9167.4132494915812</v>
      </c>
      <c r="AM11" s="12">
        <v>9823.7469630155574</v>
      </c>
      <c r="AN11" s="12">
        <v>10213.145363542149</v>
      </c>
      <c r="AO11" s="12">
        <v>10917.06835206653</v>
      </c>
      <c r="AP11" s="12">
        <v>12746.04132398424</v>
      </c>
      <c r="AQ11" s="12">
        <v>12821.203946867839</v>
      </c>
      <c r="AR11" s="12">
        <v>13864.590361547551</v>
      </c>
      <c r="AS11" s="12">
        <v>12930.6361343032</v>
      </c>
      <c r="AT11" s="12">
        <v>14871.741365239621</v>
      </c>
      <c r="AU11" s="12">
        <v>15515.987485900459</v>
      </c>
      <c r="AV11" s="12">
        <v>17134.09048986726</v>
      </c>
      <c r="AW11" s="12">
        <v>19755.39477946256</v>
      </c>
      <c r="AX11" s="12">
        <v>24224.86522203152</v>
      </c>
      <c r="AY11" s="12">
        <v>24810.122897849549</v>
      </c>
      <c r="AZ11" s="12">
        <v>68108.189508633615</v>
      </c>
      <c r="BA11" s="12">
        <v>26724.98793139221</v>
      </c>
      <c r="BB11" s="12">
        <v>9650051.1985183917</v>
      </c>
      <c r="BC11" s="12">
        <v>109.2474276587328</v>
      </c>
      <c r="BD11" s="12">
        <v>108.19097459232719</v>
      </c>
      <c r="BE11" s="12">
        <v>111.0918691256514</v>
      </c>
      <c r="BF11" s="12">
        <v>56.552883158358753</v>
      </c>
      <c r="BG11" s="12">
        <v>96.984024917657152</v>
      </c>
      <c r="BH11" s="12">
        <v>106.9674332639955</v>
      </c>
      <c r="BI11" s="12">
        <v>109.75922116859</v>
      </c>
      <c r="BJ11" s="12">
        <v>99.194045417093292</v>
      </c>
      <c r="BK11" s="12">
        <v>0</v>
      </c>
      <c r="BL11" s="12">
        <v>0</v>
      </c>
      <c r="BM11" s="12">
        <v>0</v>
      </c>
      <c r="BN11" s="12">
        <v>56.061460773264173</v>
      </c>
      <c r="BO11" s="12">
        <v>55.49076775269468</v>
      </c>
      <c r="BP11" s="12">
        <v>1.4755640025865009</v>
      </c>
      <c r="BQ11" s="12" t="s">
        <v>637</v>
      </c>
    </row>
    <row r="12" spans="1:69" x14ac:dyDescent="0.25">
      <c r="A12" s="12" t="s">
        <v>638</v>
      </c>
      <c r="B12" s="12" t="s">
        <v>29</v>
      </c>
      <c r="C12" s="12">
        <v>2017</v>
      </c>
      <c r="D12" s="12" t="s">
        <v>381</v>
      </c>
      <c r="E12" s="12" t="s">
        <v>382</v>
      </c>
      <c r="F12" s="12" t="s">
        <v>69</v>
      </c>
      <c r="G12" s="12">
        <v>9999</v>
      </c>
      <c r="H12" s="12">
        <v>1.738053346896713</v>
      </c>
      <c r="I12" s="12">
        <v>4.080784633072502E-3</v>
      </c>
      <c r="J12" s="12">
        <v>3.7994746969516151</v>
      </c>
      <c r="K12" s="12">
        <v>5.8463571714084068</v>
      </c>
      <c r="L12" s="12">
        <v>0</v>
      </c>
      <c r="M12" s="12">
        <v>2.5602797641409532</v>
      </c>
      <c r="N12" s="12">
        <v>0</v>
      </c>
      <c r="O12" s="12">
        <v>3.554916441584782</v>
      </c>
      <c r="P12" s="12">
        <v>0</v>
      </c>
      <c r="Q12" s="12">
        <v>3.5049160624102451</v>
      </c>
      <c r="R12" s="12">
        <v>52.29224957575893</v>
      </c>
      <c r="S12" s="12">
        <v>2.1273019225598379E-4</v>
      </c>
      <c r="T12" s="12">
        <v>0.52930555983102701</v>
      </c>
      <c r="U12" s="12">
        <v>4.0470275177081856</v>
      </c>
      <c r="V12" s="12">
        <v>4.7118081108030454</v>
      </c>
      <c r="W12" s="12">
        <v>5.4710461964287499E-5</v>
      </c>
      <c r="X12" s="12">
        <v>1.7646272468015649</v>
      </c>
      <c r="Y12" s="12">
        <v>0.35002632930540989</v>
      </c>
      <c r="Z12" s="12">
        <v>0.1321102983936765</v>
      </c>
      <c r="AA12" s="12">
        <v>1.5549701214305E-2</v>
      </c>
      <c r="AB12" s="12">
        <v>1.6730391873007431</v>
      </c>
      <c r="AC12" s="12">
        <v>6.9595993131260956</v>
      </c>
      <c r="AD12" s="12">
        <v>7.42940212927848</v>
      </c>
      <c r="AE12" s="12">
        <v>0.42468058592211461</v>
      </c>
      <c r="AF12" s="12">
        <v>4.2905657514206768</v>
      </c>
      <c r="AG12" s="12">
        <v>3375.907287675177</v>
      </c>
      <c r="AH12" s="12">
        <v>6650.9801873717906</v>
      </c>
      <c r="AI12" s="12">
        <v>6856.2033975477079</v>
      </c>
      <c r="AJ12" s="12">
        <v>9004.4250886042973</v>
      </c>
      <c r="AK12" s="12">
        <v>8923.4208813441401</v>
      </c>
      <c r="AL12" s="12">
        <v>9371.6834353922823</v>
      </c>
      <c r="AM12" s="12">
        <v>9995.8819251383266</v>
      </c>
      <c r="AN12" s="12">
        <v>10565.67850903533</v>
      </c>
      <c r="AO12" s="12">
        <v>10522.19082764648</v>
      </c>
      <c r="AP12" s="12">
        <v>13077.51099796977</v>
      </c>
      <c r="AQ12" s="12">
        <v>11786.2278525037</v>
      </c>
      <c r="AR12" s="12">
        <v>13474.94443739507</v>
      </c>
      <c r="AS12" s="12">
        <v>14859.59388044628</v>
      </c>
      <c r="AT12" s="12">
        <v>15696.60094119817</v>
      </c>
      <c r="AU12" s="12">
        <v>15365.72807623788</v>
      </c>
      <c r="AV12" s="12">
        <v>18382.163179409119</v>
      </c>
      <c r="AW12" s="12">
        <v>19215.54417864915</v>
      </c>
      <c r="AX12" s="12">
        <v>24409.047743158921</v>
      </c>
      <c r="AY12" s="12">
        <v>22147.933822718838</v>
      </c>
      <c r="AZ12" s="12">
        <v>67225.427701463588</v>
      </c>
      <c r="BA12" s="12">
        <v>12565.632656055581</v>
      </c>
      <c r="BB12" s="12">
        <v>110589782.3240585</v>
      </c>
      <c r="BC12" s="12">
        <v>102.2384462216467</v>
      </c>
      <c r="BD12" s="12">
        <v>107.007281690163</v>
      </c>
      <c r="BE12" s="12">
        <v>104.507266584752</v>
      </c>
      <c r="BF12" s="12">
        <v>61.298944298796052</v>
      </c>
      <c r="BG12" s="12">
        <v>68.925203840434506</v>
      </c>
      <c r="BH12" s="12">
        <v>98.623255951467954</v>
      </c>
      <c r="BI12" s="12">
        <v>105.91442660498249</v>
      </c>
      <c r="BJ12" s="12">
        <v>91.615980739113823</v>
      </c>
      <c r="BK12" s="12">
        <v>0.17603996276102171</v>
      </c>
      <c r="BL12" s="12">
        <v>3.1431406140231428</v>
      </c>
      <c r="BM12" s="12">
        <v>35.189276261837797</v>
      </c>
      <c r="BN12" s="12">
        <v>0</v>
      </c>
      <c r="BO12" s="12">
        <v>0</v>
      </c>
      <c r="BP12" s="12">
        <v>0</v>
      </c>
      <c r="BQ12" s="12" t="s">
        <v>639</v>
      </c>
    </row>
    <row r="13" spans="1:69" x14ac:dyDescent="0.25">
      <c r="A13" s="12" t="s">
        <v>640</v>
      </c>
      <c r="B13" s="12" t="s">
        <v>29</v>
      </c>
      <c r="C13" s="12">
        <v>2017</v>
      </c>
      <c r="D13" s="12" t="s">
        <v>381</v>
      </c>
      <c r="E13" s="12" t="s">
        <v>145</v>
      </c>
      <c r="F13" s="12" t="s">
        <v>72</v>
      </c>
      <c r="G13" s="12">
        <v>1</v>
      </c>
      <c r="H13" s="12">
        <v>1.3551735082080769</v>
      </c>
      <c r="I13" s="12">
        <v>0</v>
      </c>
      <c r="J13" s="12">
        <v>4.1065674970871529</v>
      </c>
      <c r="K13" s="12">
        <v>5.0155199806292474</v>
      </c>
      <c r="L13" s="12">
        <v>0</v>
      </c>
      <c r="M13" s="12">
        <v>1.874106297950767</v>
      </c>
      <c r="N13" s="12">
        <v>0</v>
      </c>
      <c r="O13" s="12">
        <v>1.6987737042496429</v>
      </c>
      <c r="P13" s="12">
        <v>0</v>
      </c>
      <c r="Q13" s="12">
        <v>3.5232009691751811</v>
      </c>
      <c r="R13" s="12">
        <v>57.493115020590409</v>
      </c>
      <c r="S13" s="12">
        <v>0</v>
      </c>
      <c r="T13" s="12">
        <v>0</v>
      </c>
      <c r="U13" s="12">
        <v>1.651080818788438</v>
      </c>
      <c r="V13" s="12">
        <v>3.16389068055393</v>
      </c>
      <c r="W13" s="12">
        <v>0</v>
      </c>
      <c r="X13" s="12">
        <v>2.970307015238689</v>
      </c>
      <c r="Y13" s="12">
        <v>0</v>
      </c>
      <c r="Z13" s="12">
        <v>0</v>
      </c>
      <c r="AA13" s="12">
        <v>0</v>
      </c>
      <c r="AB13" s="12">
        <v>1.7515679632965171</v>
      </c>
      <c r="AC13" s="12">
        <v>3.2328500220922649</v>
      </c>
      <c r="AD13" s="12">
        <v>6.173303700454122</v>
      </c>
      <c r="AE13" s="12">
        <v>0</v>
      </c>
      <c r="AF13" s="12">
        <v>3.341321116597356</v>
      </c>
      <c r="AG13" s="12">
        <v>3253.3274257880239</v>
      </c>
      <c r="AH13" s="12">
        <v>6786.5662143461441</v>
      </c>
      <c r="AI13" s="12">
        <v>7577.8213488199444</v>
      </c>
      <c r="AJ13" s="12">
        <v>8020.9028587595712</v>
      </c>
      <c r="AK13" s="12">
        <v>8074.1759424979891</v>
      </c>
      <c r="AL13" s="12">
        <v>10478.128383139519</v>
      </c>
      <c r="AM13" s="12">
        <v>10362.073112151649</v>
      </c>
      <c r="AN13" s="12">
        <v>10950.431599848989</v>
      </c>
      <c r="AO13" s="12">
        <v>11684.3912011789</v>
      </c>
      <c r="AP13" s="12">
        <v>12803.08997100641</v>
      </c>
      <c r="AQ13" s="12">
        <v>12321.989582242089</v>
      </c>
      <c r="AR13" s="12">
        <v>13125.940156461291</v>
      </c>
      <c r="AS13" s="12">
        <v>14683.7129237889</v>
      </c>
      <c r="AT13" s="12">
        <v>16153.63061504389</v>
      </c>
      <c r="AU13" s="12">
        <v>15492.555224400359</v>
      </c>
      <c r="AV13" s="12">
        <v>18873.785247980839</v>
      </c>
      <c r="AW13" s="12">
        <v>17892.428772914351</v>
      </c>
      <c r="AX13" s="12">
        <v>24709.110843617771</v>
      </c>
      <c r="AY13" s="12">
        <v>22635.05976650778</v>
      </c>
      <c r="AZ13" s="12">
        <v>67169.969864714789</v>
      </c>
      <c r="BA13" s="12">
        <v>5173.4995888347676</v>
      </c>
      <c r="BB13" s="12">
        <v>9697299.4741276372</v>
      </c>
      <c r="BC13" s="12">
        <v>0</v>
      </c>
      <c r="BD13" s="12">
        <v>0</v>
      </c>
      <c r="BE13" s="12">
        <v>0</v>
      </c>
      <c r="BF13" s="12">
        <v>0</v>
      </c>
      <c r="BG13" s="12">
        <v>0</v>
      </c>
      <c r="BH13" s="12">
        <v>0</v>
      </c>
      <c r="BI13" s="12">
        <v>0</v>
      </c>
      <c r="BJ13" s="12">
        <v>0</v>
      </c>
      <c r="BK13" s="12">
        <v>0.1698824499830095</v>
      </c>
      <c r="BL13" s="12">
        <v>3.128116445495543</v>
      </c>
      <c r="BM13" s="12">
        <v>10.42034097675989</v>
      </c>
      <c r="BN13" s="12">
        <v>0.75502494889999727</v>
      </c>
      <c r="BO13" s="12">
        <v>0.77903438231842659</v>
      </c>
      <c r="BP13" s="12">
        <v>1.620159015445344</v>
      </c>
      <c r="BQ13" s="12" t="s">
        <v>641</v>
      </c>
    </row>
    <row r="14" spans="1:69" x14ac:dyDescent="0.25">
      <c r="A14" s="12" t="s">
        <v>642</v>
      </c>
      <c r="B14" s="12" t="s">
        <v>29</v>
      </c>
      <c r="C14" s="12">
        <v>2017</v>
      </c>
      <c r="D14" s="12" t="s">
        <v>381</v>
      </c>
      <c r="E14" s="12" t="s">
        <v>145</v>
      </c>
      <c r="F14" s="12" t="s">
        <v>72</v>
      </c>
      <c r="G14" s="12">
        <v>2</v>
      </c>
      <c r="H14" s="12">
        <v>1.180402280019929</v>
      </c>
      <c r="I14" s="12">
        <v>0</v>
      </c>
      <c r="J14" s="12">
        <v>3.4776052629405481</v>
      </c>
      <c r="K14" s="12">
        <v>5.2953374378081559</v>
      </c>
      <c r="L14" s="12">
        <v>0</v>
      </c>
      <c r="M14" s="12">
        <v>1.831660826490271</v>
      </c>
      <c r="N14" s="12">
        <v>0</v>
      </c>
      <c r="O14" s="12">
        <v>2.2524717757477619</v>
      </c>
      <c r="P14" s="12">
        <v>0</v>
      </c>
      <c r="Q14" s="12">
        <v>2.9855793667992199</v>
      </c>
      <c r="R14" s="12">
        <v>59.322281627750861</v>
      </c>
      <c r="S14" s="12">
        <v>0</v>
      </c>
      <c r="T14" s="12">
        <v>0</v>
      </c>
      <c r="U14" s="12">
        <v>2.0471304123708749</v>
      </c>
      <c r="V14" s="12">
        <v>3.0198706127983468</v>
      </c>
      <c r="W14" s="12">
        <v>0</v>
      </c>
      <c r="X14" s="12">
        <v>2.416590556083912</v>
      </c>
      <c r="Y14" s="12">
        <v>0</v>
      </c>
      <c r="Z14" s="12">
        <v>0</v>
      </c>
      <c r="AA14" s="12">
        <v>0</v>
      </c>
      <c r="AB14" s="12">
        <v>1.8424452140071479</v>
      </c>
      <c r="AC14" s="12">
        <v>3.4536861476167449</v>
      </c>
      <c r="AD14" s="12">
        <v>5.8044111973461536</v>
      </c>
      <c r="AE14" s="12">
        <v>0</v>
      </c>
      <c r="AF14" s="12">
        <v>3.4011915679605291</v>
      </c>
      <c r="AG14" s="12">
        <v>2944.4058215311661</v>
      </c>
      <c r="AH14" s="12">
        <v>7499.5779783997541</v>
      </c>
      <c r="AI14" s="12">
        <v>7742.5637947327323</v>
      </c>
      <c r="AJ14" s="12">
        <v>7964.3044755257724</v>
      </c>
      <c r="AK14" s="12">
        <v>8514.6746379115211</v>
      </c>
      <c r="AL14" s="12">
        <v>10159.4359592046</v>
      </c>
      <c r="AM14" s="12">
        <v>9390.919206298815</v>
      </c>
      <c r="AN14" s="12">
        <v>10420.78220222126</v>
      </c>
      <c r="AO14" s="12">
        <v>11402.82353806627</v>
      </c>
      <c r="AP14" s="12">
        <v>12042.712047082279</v>
      </c>
      <c r="AQ14" s="12">
        <v>13059.785884238499</v>
      </c>
      <c r="AR14" s="12">
        <v>14160.96035123092</v>
      </c>
      <c r="AS14" s="12">
        <v>14651.53986000174</v>
      </c>
      <c r="AT14" s="12">
        <v>16142.94374881954</v>
      </c>
      <c r="AU14" s="12">
        <v>16055.52632394461</v>
      </c>
      <c r="AV14" s="12">
        <v>17369.835868243012</v>
      </c>
      <c r="AW14" s="12">
        <v>19596.027745390322</v>
      </c>
      <c r="AX14" s="12">
        <v>23036.39882114582</v>
      </c>
      <c r="AY14" s="12">
        <v>24301.790197001828</v>
      </c>
      <c r="AZ14" s="12">
        <v>65919.54009220138</v>
      </c>
      <c r="BA14" s="12">
        <v>6713.3531380990116</v>
      </c>
      <c r="BB14" s="12">
        <v>10278424.30480366</v>
      </c>
      <c r="BC14" s="12">
        <v>0</v>
      </c>
      <c r="BD14" s="12">
        <v>0</v>
      </c>
      <c r="BE14" s="12">
        <v>0</v>
      </c>
      <c r="BF14" s="12">
        <v>0</v>
      </c>
      <c r="BG14" s="12">
        <v>0</v>
      </c>
      <c r="BH14" s="12">
        <v>0</v>
      </c>
      <c r="BI14" s="12">
        <v>0</v>
      </c>
      <c r="BJ14" s="12">
        <v>0</v>
      </c>
      <c r="BK14" s="12">
        <v>9.6872706546903536E-3</v>
      </c>
      <c r="BL14" s="12">
        <v>1.1373552080390391E-2</v>
      </c>
      <c r="BM14" s="12">
        <v>10.255183885131681</v>
      </c>
      <c r="BN14" s="12">
        <v>1.851886209846588</v>
      </c>
      <c r="BO14" s="12">
        <v>1.856506690025211</v>
      </c>
      <c r="BP14" s="12">
        <v>1.5612471091872699</v>
      </c>
      <c r="BQ14" s="12" t="s">
        <v>643</v>
      </c>
    </row>
    <row r="15" spans="1:69" x14ac:dyDescent="0.25">
      <c r="A15" s="12" t="s">
        <v>644</v>
      </c>
      <c r="B15" s="12" t="s">
        <v>29</v>
      </c>
      <c r="C15" s="12">
        <v>2017</v>
      </c>
      <c r="D15" s="12" t="s">
        <v>381</v>
      </c>
      <c r="E15" s="12" t="s">
        <v>145</v>
      </c>
      <c r="F15" s="12" t="s">
        <v>72</v>
      </c>
      <c r="G15" s="12">
        <v>3</v>
      </c>
      <c r="H15" s="12">
        <v>1.2612312763911391</v>
      </c>
      <c r="I15" s="12">
        <v>0</v>
      </c>
      <c r="J15" s="12">
        <v>3.6187146160234178</v>
      </c>
      <c r="K15" s="12">
        <v>5.4236366215506919</v>
      </c>
      <c r="L15" s="12">
        <v>0</v>
      </c>
      <c r="M15" s="12">
        <v>2.099565772181581</v>
      </c>
      <c r="N15" s="12">
        <v>0</v>
      </c>
      <c r="O15" s="12">
        <v>2.4735365414456409</v>
      </c>
      <c r="P15" s="12">
        <v>0</v>
      </c>
      <c r="Q15" s="12">
        <v>3.0846930334068179</v>
      </c>
      <c r="R15" s="12">
        <v>56.992270874499127</v>
      </c>
      <c r="S15" s="12">
        <v>0</v>
      </c>
      <c r="T15" s="12">
        <v>0</v>
      </c>
      <c r="U15" s="12">
        <v>2.0821946725676752</v>
      </c>
      <c r="V15" s="12">
        <v>2.990584340006289</v>
      </c>
      <c r="W15" s="12">
        <v>0</v>
      </c>
      <c r="X15" s="12">
        <v>2.0134393619492101</v>
      </c>
      <c r="Y15" s="12">
        <v>0</v>
      </c>
      <c r="Z15" s="12">
        <v>0</v>
      </c>
      <c r="AA15" s="12">
        <v>0</v>
      </c>
      <c r="AB15" s="12">
        <v>1.9567920639863501</v>
      </c>
      <c r="AC15" s="12">
        <v>3.4811096262397401</v>
      </c>
      <c r="AD15" s="12">
        <v>5.9944029161583794</v>
      </c>
      <c r="AE15" s="12">
        <v>0</v>
      </c>
      <c r="AF15" s="12">
        <v>3.3531455250932809</v>
      </c>
      <c r="AG15" s="12">
        <v>3127.3737052472102</v>
      </c>
      <c r="AH15" s="12">
        <v>6704.5654429773449</v>
      </c>
      <c r="AI15" s="12">
        <v>7458.6022251087461</v>
      </c>
      <c r="AJ15" s="12">
        <v>8649.4629180788979</v>
      </c>
      <c r="AK15" s="12">
        <v>7959.9332923222273</v>
      </c>
      <c r="AL15" s="12">
        <v>10507.04185990806</v>
      </c>
      <c r="AM15" s="12">
        <v>9295.0985237115456</v>
      </c>
      <c r="AN15" s="12">
        <v>10276.81035179159</v>
      </c>
      <c r="AO15" s="12">
        <v>10315.15259439432</v>
      </c>
      <c r="AP15" s="12">
        <v>11411.692801195601</v>
      </c>
      <c r="AQ15" s="12">
        <v>12353.20411439539</v>
      </c>
      <c r="AR15" s="12">
        <v>14671.36992181837</v>
      </c>
      <c r="AS15" s="12">
        <v>14656.3780380563</v>
      </c>
      <c r="AT15" s="12">
        <v>14826.924363876549</v>
      </c>
      <c r="AU15" s="12">
        <v>16443.62781872051</v>
      </c>
      <c r="AV15" s="12">
        <v>17485.05983380997</v>
      </c>
      <c r="AW15" s="12">
        <v>18369.36236052003</v>
      </c>
      <c r="AX15" s="12">
        <v>24406.14801163811</v>
      </c>
      <c r="AY15" s="12">
        <v>24461.87279756588</v>
      </c>
      <c r="AZ15" s="12">
        <v>68306.785007424172</v>
      </c>
      <c r="BA15" s="12">
        <v>8575.2873824952239</v>
      </c>
      <c r="BB15" s="12">
        <v>10109885.952866299</v>
      </c>
      <c r="BC15" s="12">
        <v>0</v>
      </c>
      <c r="BD15" s="12">
        <v>0</v>
      </c>
      <c r="BE15" s="12">
        <v>0</v>
      </c>
      <c r="BF15" s="12">
        <v>0</v>
      </c>
      <c r="BG15" s="12">
        <v>0</v>
      </c>
      <c r="BH15" s="12">
        <v>0</v>
      </c>
      <c r="BI15" s="12">
        <v>0</v>
      </c>
      <c r="BJ15" s="12">
        <v>0</v>
      </c>
      <c r="BK15" s="12">
        <v>0</v>
      </c>
      <c r="BL15" s="12">
        <v>7.0123573424886489E-3</v>
      </c>
      <c r="BM15" s="12">
        <v>9.6260221862022188</v>
      </c>
      <c r="BN15" s="12">
        <v>3.1238614870195498</v>
      </c>
      <c r="BO15" s="12">
        <v>2.775024699194319</v>
      </c>
      <c r="BP15" s="12">
        <v>1.492486533782486</v>
      </c>
      <c r="BQ15" s="12" t="s">
        <v>645</v>
      </c>
    </row>
    <row r="16" spans="1:69" x14ac:dyDescent="0.25">
      <c r="A16" s="12" t="s">
        <v>646</v>
      </c>
      <c r="B16" s="12" t="s">
        <v>29</v>
      </c>
      <c r="C16" s="12">
        <v>2017</v>
      </c>
      <c r="D16" s="12" t="s">
        <v>381</v>
      </c>
      <c r="E16" s="12" t="s">
        <v>145</v>
      </c>
      <c r="F16" s="12" t="s">
        <v>72</v>
      </c>
      <c r="G16" s="12">
        <v>4</v>
      </c>
      <c r="H16" s="12">
        <v>1.221442940301287</v>
      </c>
      <c r="I16" s="12">
        <v>0</v>
      </c>
      <c r="J16" s="12">
        <v>3.3248963144217072</v>
      </c>
      <c r="K16" s="12">
        <v>5.9265685690326002</v>
      </c>
      <c r="L16" s="12">
        <v>0</v>
      </c>
      <c r="M16" s="12">
        <v>2.200315166304661</v>
      </c>
      <c r="N16" s="12">
        <v>0</v>
      </c>
      <c r="O16" s="12">
        <v>2.357475078191575</v>
      </c>
      <c r="P16" s="12">
        <v>0</v>
      </c>
      <c r="Q16" s="12">
        <v>3.0012610152756531</v>
      </c>
      <c r="R16" s="12">
        <v>56.846719142175957</v>
      </c>
      <c r="S16" s="12">
        <v>0</v>
      </c>
      <c r="T16" s="12">
        <v>0</v>
      </c>
      <c r="U16" s="12">
        <v>2.224731109306886</v>
      </c>
      <c r="V16" s="12">
        <v>2.988943672345441</v>
      </c>
      <c r="W16" s="12">
        <v>0</v>
      </c>
      <c r="X16" s="12">
        <v>1.9426253084486049</v>
      </c>
      <c r="Y16" s="12">
        <v>0</v>
      </c>
      <c r="Z16" s="12">
        <v>0</v>
      </c>
      <c r="AA16" s="12">
        <v>0</v>
      </c>
      <c r="AB16" s="12">
        <v>1.626316621835163</v>
      </c>
      <c r="AC16" s="12">
        <v>3.6658387473905449</v>
      </c>
      <c r="AD16" s="12">
        <v>6.4594421792103933</v>
      </c>
      <c r="AE16" s="12">
        <v>0</v>
      </c>
      <c r="AF16" s="12">
        <v>3.7326415419932162</v>
      </c>
      <c r="AG16" s="12">
        <v>2974.4186758363339</v>
      </c>
      <c r="AH16" s="12">
        <v>7462.9999441896352</v>
      </c>
      <c r="AI16" s="12">
        <v>7206.585515831287</v>
      </c>
      <c r="AJ16" s="12">
        <v>8291.7523784454879</v>
      </c>
      <c r="AK16" s="12">
        <v>8221.7513230928907</v>
      </c>
      <c r="AL16" s="12">
        <v>9389.2595502911281</v>
      </c>
      <c r="AM16" s="12">
        <v>10520.66933107492</v>
      </c>
      <c r="AN16" s="12">
        <v>11576.072874779609</v>
      </c>
      <c r="AO16" s="12">
        <v>11372.237118274321</v>
      </c>
      <c r="AP16" s="12">
        <v>12004.26992861016</v>
      </c>
      <c r="AQ16" s="12">
        <v>11384.840489794071</v>
      </c>
      <c r="AR16" s="12">
        <v>14862.981735494841</v>
      </c>
      <c r="AS16" s="12">
        <v>14615.16763985943</v>
      </c>
      <c r="AT16" s="12">
        <v>16830.76496879858</v>
      </c>
      <c r="AU16" s="12">
        <v>16292.8987768882</v>
      </c>
      <c r="AV16" s="12">
        <v>17544.125832383201</v>
      </c>
      <c r="AW16" s="12">
        <v>18724.997342741899</v>
      </c>
      <c r="AX16" s="12">
        <v>24921.412902543281</v>
      </c>
      <c r="AY16" s="12">
        <v>23729.565219841559</v>
      </c>
      <c r="AZ16" s="12">
        <v>69807.009333768801</v>
      </c>
      <c r="BA16" s="12">
        <v>9217.9509610354307</v>
      </c>
      <c r="BB16" s="12">
        <v>11150509.34357422</v>
      </c>
      <c r="BC16" s="12">
        <v>0</v>
      </c>
      <c r="BD16" s="12">
        <v>0</v>
      </c>
      <c r="BE16" s="12">
        <v>0</v>
      </c>
      <c r="BF16" s="12">
        <v>0</v>
      </c>
      <c r="BG16" s="12">
        <v>0</v>
      </c>
      <c r="BH16" s="12">
        <v>0</v>
      </c>
      <c r="BI16" s="12">
        <v>0</v>
      </c>
      <c r="BJ16" s="12">
        <v>0</v>
      </c>
      <c r="BK16" s="12">
        <v>0</v>
      </c>
      <c r="BL16" s="12">
        <v>0</v>
      </c>
      <c r="BM16" s="12">
        <v>5.1686079950327608</v>
      </c>
      <c r="BN16" s="12">
        <v>3.5412255034491751</v>
      </c>
      <c r="BO16" s="12">
        <v>4.0856518937213622</v>
      </c>
      <c r="BP16" s="12">
        <v>1.4916875713984981</v>
      </c>
      <c r="BQ16" s="12" t="s">
        <v>647</v>
      </c>
    </row>
    <row r="17" spans="1:69" x14ac:dyDescent="0.25">
      <c r="A17" s="12" t="s">
        <v>648</v>
      </c>
      <c r="B17" s="12" t="s">
        <v>29</v>
      </c>
      <c r="C17" s="12">
        <v>2017</v>
      </c>
      <c r="D17" s="12" t="s">
        <v>381</v>
      </c>
      <c r="E17" s="12" t="s">
        <v>145</v>
      </c>
      <c r="F17" s="12" t="s">
        <v>72</v>
      </c>
      <c r="G17" s="12">
        <v>5</v>
      </c>
      <c r="H17" s="12">
        <v>1.3568809309271379</v>
      </c>
      <c r="I17" s="12">
        <v>0</v>
      </c>
      <c r="J17" s="12">
        <v>3.729856706922948</v>
      </c>
      <c r="K17" s="12">
        <v>5.9789077866982838</v>
      </c>
      <c r="L17" s="12">
        <v>0</v>
      </c>
      <c r="M17" s="12">
        <v>2.499167100025327</v>
      </c>
      <c r="N17" s="12">
        <v>0</v>
      </c>
      <c r="O17" s="12">
        <v>2.440624645161142</v>
      </c>
      <c r="P17" s="12">
        <v>0</v>
      </c>
      <c r="Q17" s="12">
        <v>3.04450317710406</v>
      </c>
      <c r="R17" s="12">
        <v>58.503775932193513</v>
      </c>
      <c r="S17" s="12">
        <v>0</v>
      </c>
      <c r="T17" s="12">
        <v>0</v>
      </c>
      <c r="U17" s="12">
        <v>2.536437895995908</v>
      </c>
      <c r="V17" s="12">
        <v>2.9148314676714491</v>
      </c>
      <c r="W17" s="12">
        <v>0</v>
      </c>
      <c r="X17" s="12">
        <v>1.8277094241010641</v>
      </c>
      <c r="Y17" s="12">
        <v>0</v>
      </c>
      <c r="Z17" s="12">
        <v>0</v>
      </c>
      <c r="AA17" s="12">
        <v>0</v>
      </c>
      <c r="AB17" s="12">
        <v>1.8994959569352139</v>
      </c>
      <c r="AC17" s="12">
        <v>4.1966667288749733</v>
      </c>
      <c r="AD17" s="12">
        <v>6.1008890689244151</v>
      </c>
      <c r="AE17" s="12">
        <v>0</v>
      </c>
      <c r="AF17" s="12">
        <v>4.0704753453131648</v>
      </c>
      <c r="AG17" s="12">
        <v>3087.8865336651488</v>
      </c>
      <c r="AH17" s="12">
        <v>6645.9007041065079</v>
      </c>
      <c r="AI17" s="12">
        <v>6843.8582851711526</v>
      </c>
      <c r="AJ17" s="12">
        <v>9031.0558413047438</v>
      </c>
      <c r="AK17" s="12">
        <v>8083.2047142254414</v>
      </c>
      <c r="AL17" s="12">
        <v>9842.9079209834581</v>
      </c>
      <c r="AM17" s="12">
        <v>10279.1037776008</v>
      </c>
      <c r="AN17" s="12">
        <v>11375.24352112787</v>
      </c>
      <c r="AO17" s="12">
        <v>10773.478357556831</v>
      </c>
      <c r="AP17" s="12">
        <v>11968.564626101839</v>
      </c>
      <c r="AQ17" s="12">
        <v>11610.513447302639</v>
      </c>
      <c r="AR17" s="12">
        <v>14782.53751655357</v>
      </c>
      <c r="AS17" s="12">
        <v>12865.24319356028</v>
      </c>
      <c r="AT17" s="12">
        <v>15241.19200295685</v>
      </c>
      <c r="AU17" s="12">
        <v>14889.270439598889</v>
      </c>
      <c r="AV17" s="12">
        <v>17748.23465682114</v>
      </c>
      <c r="AW17" s="12">
        <v>19320.921253858651</v>
      </c>
      <c r="AX17" s="12">
        <v>25020.611679645899</v>
      </c>
      <c r="AY17" s="12">
        <v>21702.044179501081</v>
      </c>
      <c r="AZ17" s="12">
        <v>64186.040092057658</v>
      </c>
      <c r="BA17" s="12">
        <v>10467.59677844169</v>
      </c>
      <c r="BB17" s="12">
        <v>10502549.69941853</v>
      </c>
      <c r="BC17" s="12">
        <v>0</v>
      </c>
      <c r="BD17" s="12">
        <v>0</v>
      </c>
      <c r="BE17" s="12">
        <v>0</v>
      </c>
      <c r="BF17" s="12">
        <v>0</v>
      </c>
      <c r="BG17" s="12">
        <v>0</v>
      </c>
      <c r="BH17" s="12">
        <v>0</v>
      </c>
      <c r="BI17" s="12">
        <v>0</v>
      </c>
      <c r="BJ17" s="12">
        <v>0</v>
      </c>
      <c r="BK17" s="12">
        <v>0</v>
      </c>
      <c r="BL17" s="12">
        <v>0</v>
      </c>
      <c r="BM17" s="12">
        <v>0.70715051497349612</v>
      </c>
      <c r="BN17" s="12">
        <v>5.4677510243500178</v>
      </c>
      <c r="BO17" s="12">
        <v>5.2641414263970194</v>
      </c>
      <c r="BP17" s="12">
        <v>1.5286732557964899</v>
      </c>
      <c r="BQ17" s="12" t="s">
        <v>649</v>
      </c>
    </row>
    <row r="18" spans="1:69" x14ac:dyDescent="0.25">
      <c r="A18" s="12" t="s">
        <v>650</v>
      </c>
      <c r="B18" s="12" t="s">
        <v>29</v>
      </c>
      <c r="C18" s="12">
        <v>2017</v>
      </c>
      <c r="D18" s="12" t="s">
        <v>381</v>
      </c>
      <c r="E18" s="12" t="s">
        <v>145</v>
      </c>
      <c r="F18" s="12" t="s">
        <v>72</v>
      </c>
      <c r="G18" s="12">
        <v>6</v>
      </c>
      <c r="H18" s="12">
        <v>1.196976986820401</v>
      </c>
      <c r="I18" s="12">
        <v>0</v>
      </c>
      <c r="J18" s="12">
        <v>3.655081931482199</v>
      </c>
      <c r="K18" s="12">
        <v>5.2915699211014031</v>
      </c>
      <c r="L18" s="12">
        <v>0</v>
      </c>
      <c r="M18" s="12">
        <v>2.379357637914802</v>
      </c>
      <c r="N18" s="12">
        <v>0</v>
      </c>
      <c r="O18" s="12">
        <v>1.759027364593122</v>
      </c>
      <c r="P18" s="12">
        <v>0</v>
      </c>
      <c r="Q18" s="12">
        <v>3.0140714457607771</v>
      </c>
      <c r="R18" s="12">
        <v>57.92695070907611</v>
      </c>
      <c r="S18" s="12">
        <v>0</v>
      </c>
      <c r="T18" s="12">
        <v>0</v>
      </c>
      <c r="U18" s="12">
        <v>2.59380496225072</v>
      </c>
      <c r="V18" s="12">
        <v>2.8205115318943541</v>
      </c>
      <c r="W18" s="12">
        <v>0</v>
      </c>
      <c r="X18" s="12">
        <v>1.654055981548828</v>
      </c>
      <c r="Y18" s="12">
        <v>0</v>
      </c>
      <c r="Z18" s="12">
        <v>0</v>
      </c>
      <c r="AA18" s="12">
        <v>0</v>
      </c>
      <c r="AB18" s="12">
        <v>1.4767073249139</v>
      </c>
      <c r="AC18" s="12">
        <v>4.217398112445828</v>
      </c>
      <c r="AD18" s="12">
        <v>6.2782177566986102</v>
      </c>
      <c r="AE18" s="12">
        <v>0</v>
      </c>
      <c r="AF18" s="12">
        <v>3.9842860416624148</v>
      </c>
      <c r="AG18" s="12">
        <v>3401.2008007764789</v>
      </c>
      <c r="AH18" s="12">
        <v>7065.2562639480084</v>
      </c>
      <c r="AI18" s="12">
        <v>6775.7090236332824</v>
      </c>
      <c r="AJ18" s="12">
        <v>8797.6165502677177</v>
      </c>
      <c r="AK18" s="12">
        <v>8238.9413752035071</v>
      </c>
      <c r="AL18" s="12">
        <v>10495.130603985161</v>
      </c>
      <c r="AM18" s="12">
        <v>9557.2349419696657</v>
      </c>
      <c r="AN18" s="12">
        <v>10370.405150626801</v>
      </c>
      <c r="AO18" s="12">
        <v>11100.951173889591</v>
      </c>
      <c r="AP18" s="12">
        <v>12508.406715103119</v>
      </c>
      <c r="AQ18" s="12">
        <v>11555.05115835395</v>
      </c>
      <c r="AR18" s="12">
        <v>14778.517934096941</v>
      </c>
      <c r="AS18" s="12">
        <v>14349.70904178515</v>
      </c>
      <c r="AT18" s="12">
        <v>16068.37071081935</v>
      </c>
      <c r="AU18" s="12">
        <v>15546.62722861851</v>
      </c>
      <c r="AV18" s="12">
        <v>19318.406690143151</v>
      </c>
      <c r="AW18" s="12">
        <v>17871.370387465329</v>
      </c>
      <c r="AX18" s="12">
        <v>22127.72812182911</v>
      </c>
      <c r="AY18" s="12">
        <v>21917.693482007569</v>
      </c>
      <c r="AZ18" s="12">
        <v>70144.697225868789</v>
      </c>
      <c r="BA18" s="12">
        <v>11987.64991925164</v>
      </c>
      <c r="BB18" s="12">
        <v>10162317.530091479</v>
      </c>
      <c r="BC18" s="12">
        <v>0</v>
      </c>
      <c r="BD18" s="12">
        <v>0</v>
      </c>
      <c r="BE18" s="12">
        <v>0</v>
      </c>
      <c r="BF18" s="12">
        <v>0</v>
      </c>
      <c r="BG18" s="12">
        <v>0</v>
      </c>
      <c r="BH18" s="12">
        <v>0</v>
      </c>
      <c r="BI18" s="12">
        <v>0</v>
      </c>
      <c r="BJ18" s="12">
        <v>0</v>
      </c>
      <c r="BK18" s="12">
        <v>0</v>
      </c>
      <c r="BL18" s="12">
        <v>0</v>
      </c>
      <c r="BM18" s="12">
        <v>0.1523403293952745</v>
      </c>
      <c r="BN18" s="12">
        <v>6.094227611571486</v>
      </c>
      <c r="BO18" s="12">
        <v>6.524089565129489</v>
      </c>
      <c r="BP18" s="12">
        <v>1.664623602204194</v>
      </c>
      <c r="BQ18" s="12" t="s">
        <v>651</v>
      </c>
    </row>
    <row r="19" spans="1:69" x14ac:dyDescent="0.25">
      <c r="A19" s="12" t="s">
        <v>652</v>
      </c>
      <c r="B19" s="12" t="s">
        <v>29</v>
      </c>
      <c r="C19" s="12">
        <v>2017</v>
      </c>
      <c r="D19" s="12" t="s">
        <v>381</v>
      </c>
      <c r="E19" s="12" t="s">
        <v>145</v>
      </c>
      <c r="F19" s="12" t="s">
        <v>72</v>
      </c>
      <c r="G19" s="12">
        <v>7</v>
      </c>
      <c r="H19" s="12">
        <v>1.1774974563731659</v>
      </c>
      <c r="I19" s="12">
        <v>0</v>
      </c>
      <c r="J19" s="12">
        <v>3.5356368476750211</v>
      </c>
      <c r="K19" s="12">
        <v>5.561657428763759</v>
      </c>
      <c r="L19" s="12">
        <v>0</v>
      </c>
      <c r="M19" s="12">
        <v>2.5421287714365262</v>
      </c>
      <c r="N19" s="12">
        <v>0</v>
      </c>
      <c r="O19" s="12">
        <v>0.72283934273428807</v>
      </c>
      <c r="P19" s="12">
        <v>0</v>
      </c>
      <c r="Q19" s="12">
        <v>2.9004576964506379</v>
      </c>
      <c r="R19" s="12">
        <v>56.162194533627328</v>
      </c>
      <c r="S19" s="12">
        <v>0</v>
      </c>
      <c r="T19" s="12">
        <v>0</v>
      </c>
      <c r="U19" s="12">
        <v>3.1525511166011762</v>
      </c>
      <c r="V19" s="12">
        <v>2.8071106988120502</v>
      </c>
      <c r="W19" s="12">
        <v>0</v>
      </c>
      <c r="X19" s="12">
        <v>1.5024701939287111</v>
      </c>
      <c r="Y19" s="12">
        <v>0</v>
      </c>
      <c r="Z19" s="12">
        <v>0</v>
      </c>
      <c r="AA19" s="12">
        <v>0</v>
      </c>
      <c r="AB19" s="12">
        <v>1.210994847663454</v>
      </c>
      <c r="AC19" s="12">
        <v>4.8465403164278387</v>
      </c>
      <c r="AD19" s="12">
        <v>6.1042385231794603</v>
      </c>
      <c r="AE19" s="12">
        <v>0</v>
      </c>
      <c r="AF19" s="12">
        <v>4.1163670897410496</v>
      </c>
      <c r="AG19" s="12">
        <v>3195.3087292094501</v>
      </c>
      <c r="AH19" s="12">
        <v>6627.4736678402314</v>
      </c>
      <c r="AI19" s="12">
        <v>7505.7412690272758</v>
      </c>
      <c r="AJ19" s="12">
        <v>8718.3764549986863</v>
      </c>
      <c r="AK19" s="12">
        <v>8023.8829936181928</v>
      </c>
      <c r="AL19" s="12">
        <v>10027.194486138411</v>
      </c>
      <c r="AM19" s="12">
        <v>9328.0786010079446</v>
      </c>
      <c r="AN19" s="12">
        <v>10489.365160230191</v>
      </c>
      <c r="AO19" s="12">
        <v>11160.68860021466</v>
      </c>
      <c r="AP19" s="12">
        <v>11719.25283516345</v>
      </c>
      <c r="AQ19" s="12">
        <v>11882.229904929151</v>
      </c>
      <c r="AR19" s="12">
        <v>13430.24692504815</v>
      </c>
      <c r="AS19" s="12">
        <v>13181.47813854525</v>
      </c>
      <c r="AT19" s="12">
        <v>15119.854606270699</v>
      </c>
      <c r="AU19" s="12">
        <v>16173.14517601722</v>
      </c>
      <c r="AV19" s="12">
        <v>18960.79864271266</v>
      </c>
      <c r="AW19" s="12">
        <v>18117.169578341029</v>
      </c>
      <c r="AX19" s="12">
        <v>23805.411384288051</v>
      </c>
      <c r="AY19" s="12">
        <v>24341.01216603658</v>
      </c>
      <c r="AZ19" s="12">
        <v>63013.528062341451</v>
      </c>
      <c r="BA19" s="12">
        <v>13985.17719758599</v>
      </c>
      <c r="BB19" s="12">
        <v>9771685.6783077661</v>
      </c>
      <c r="BC19" s="12">
        <v>0</v>
      </c>
      <c r="BD19" s="12">
        <v>0</v>
      </c>
      <c r="BE19" s="12">
        <v>0</v>
      </c>
      <c r="BF19" s="12">
        <v>0</v>
      </c>
      <c r="BG19" s="12">
        <v>0</v>
      </c>
      <c r="BH19" s="12">
        <v>0</v>
      </c>
      <c r="BI19" s="12">
        <v>0</v>
      </c>
      <c r="BJ19" s="12">
        <v>0</v>
      </c>
      <c r="BK19" s="12">
        <v>0</v>
      </c>
      <c r="BL19" s="12">
        <v>0</v>
      </c>
      <c r="BM19" s="12">
        <v>3.2211895812781777E-2</v>
      </c>
      <c r="BN19" s="12">
        <v>7.8688831706717526</v>
      </c>
      <c r="BO19" s="12">
        <v>8.2112359667893902</v>
      </c>
      <c r="BP19" s="12">
        <v>1.5145672261056069</v>
      </c>
      <c r="BQ19" s="12" t="s">
        <v>653</v>
      </c>
    </row>
    <row r="20" spans="1:69" x14ac:dyDescent="0.25">
      <c r="A20" s="12" t="s">
        <v>654</v>
      </c>
      <c r="B20" s="12" t="s">
        <v>29</v>
      </c>
      <c r="C20" s="12">
        <v>2017</v>
      </c>
      <c r="D20" s="12" t="s">
        <v>381</v>
      </c>
      <c r="E20" s="12" t="s">
        <v>145</v>
      </c>
      <c r="F20" s="12" t="s">
        <v>72</v>
      </c>
      <c r="G20" s="12">
        <v>8</v>
      </c>
      <c r="H20" s="12">
        <v>1.0864306601139719</v>
      </c>
      <c r="I20" s="12">
        <v>0</v>
      </c>
      <c r="J20" s="12">
        <v>3.433285945888787</v>
      </c>
      <c r="K20" s="12">
        <v>4.3444050044647762</v>
      </c>
      <c r="L20" s="12">
        <v>0</v>
      </c>
      <c r="M20" s="12">
        <v>2.672157038815326</v>
      </c>
      <c r="N20" s="12">
        <v>0</v>
      </c>
      <c r="O20" s="12">
        <v>0</v>
      </c>
      <c r="P20" s="12">
        <v>0</v>
      </c>
      <c r="Q20" s="12">
        <v>3.122215870202258</v>
      </c>
      <c r="R20" s="12">
        <v>55.642617729374223</v>
      </c>
      <c r="S20" s="12">
        <v>0</v>
      </c>
      <c r="T20" s="12">
        <v>0</v>
      </c>
      <c r="U20" s="12">
        <v>2.9924892924283411</v>
      </c>
      <c r="V20" s="12">
        <v>3.2695843468832382</v>
      </c>
      <c r="W20" s="12">
        <v>0</v>
      </c>
      <c r="X20" s="12">
        <v>1.354861305549502</v>
      </c>
      <c r="Y20" s="12">
        <v>0</v>
      </c>
      <c r="Z20" s="12">
        <v>0</v>
      </c>
      <c r="AA20" s="12">
        <v>0</v>
      </c>
      <c r="AB20" s="12">
        <v>0.80322255490209526</v>
      </c>
      <c r="AC20" s="12">
        <v>5.5707366470443684</v>
      </c>
      <c r="AD20" s="12">
        <v>5.3288588541617488</v>
      </c>
      <c r="AE20" s="12">
        <v>0</v>
      </c>
      <c r="AF20" s="12">
        <v>3.8072401219643131</v>
      </c>
      <c r="AG20" s="12">
        <v>3019.2096666590869</v>
      </c>
      <c r="AH20" s="12">
        <v>7629.0049932345901</v>
      </c>
      <c r="AI20" s="12">
        <v>7230.7329863082359</v>
      </c>
      <c r="AJ20" s="12">
        <v>8161.8876773421953</v>
      </c>
      <c r="AK20" s="12">
        <v>8567.7172360962322</v>
      </c>
      <c r="AL20" s="12">
        <v>9531.6547340076868</v>
      </c>
      <c r="AM20" s="12">
        <v>10288.125566454089</v>
      </c>
      <c r="AN20" s="12">
        <v>11160.16908660714</v>
      </c>
      <c r="AO20" s="12">
        <v>11314.25050340382</v>
      </c>
      <c r="AP20" s="12">
        <v>12861.16971088289</v>
      </c>
      <c r="AQ20" s="12">
        <v>11732.555890926749</v>
      </c>
      <c r="AR20" s="12">
        <v>14675.096506438769</v>
      </c>
      <c r="AS20" s="12">
        <v>12860.981213369119</v>
      </c>
      <c r="AT20" s="12">
        <v>14603.67352492096</v>
      </c>
      <c r="AU20" s="12">
        <v>16068.806454789499</v>
      </c>
      <c r="AV20" s="12">
        <v>18416.634385544981</v>
      </c>
      <c r="AW20" s="12">
        <v>18357.388537298881</v>
      </c>
      <c r="AX20" s="12">
        <v>22794.01610820846</v>
      </c>
      <c r="AY20" s="12">
        <v>21622.966806956851</v>
      </c>
      <c r="AZ20" s="12">
        <v>65152.648774084897</v>
      </c>
      <c r="BA20" s="12">
        <v>15583.514371182489</v>
      </c>
      <c r="BB20" s="12">
        <v>11013459.09273643</v>
      </c>
      <c r="BC20" s="12">
        <v>0</v>
      </c>
      <c r="BD20" s="12">
        <v>0</v>
      </c>
      <c r="BE20" s="12">
        <v>0</v>
      </c>
      <c r="BF20" s="12">
        <v>0</v>
      </c>
      <c r="BG20" s="12">
        <v>0</v>
      </c>
      <c r="BH20" s="12">
        <v>0</v>
      </c>
      <c r="BI20" s="12">
        <v>0</v>
      </c>
      <c r="BJ20" s="12">
        <v>0</v>
      </c>
      <c r="BK20" s="12">
        <v>0</v>
      </c>
      <c r="BL20" s="12">
        <v>0</v>
      </c>
      <c r="BM20" s="12">
        <v>1.7246154634959421E-2</v>
      </c>
      <c r="BN20" s="12">
        <v>10.300543398861331</v>
      </c>
      <c r="BO20" s="12">
        <v>10.064976874594629</v>
      </c>
      <c r="BP20" s="12">
        <v>1.59082300331486</v>
      </c>
      <c r="BQ20" s="12" t="s">
        <v>655</v>
      </c>
    </row>
    <row r="21" spans="1:69" x14ac:dyDescent="0.25">
      <c r="A21" s="12" t="s">
        <v>656</v>
      </c>
      <c r="B21" s="12" t="s">
        <v>29</v>
      </c>
      <c r="C21" s="12">
        <v>2017</v>
      </c>
      <c r="D21" s="12" t="s">
        <v>381</v>
      </c>
      <c r="E21" s="12" t="s">
        <v>145</v>
      </c>
      <c r="F21" s="12" t="s">
        <v>72</v>
      </c>
      <c r="G21" s="12">
        <v>9</v>
      </c>
      <c r="H21" s="12">
        <v>1.221311927930016</v>
      </c>
      <c r="I21" s="12">
        <v>0</v>
      </c>
      <c r="J21" s="12">
        <v>3.3135821920904101</v>
      </c>
      <c r="K21" s="12">
        <v>4.3061669839347916</v>
      </c>
      <c r="L21" s="12">
        <v>0</v>
      </c>
      <c r="M21" s="12">
        <v>2.4793859403587182</v>
      </c>
      <c r="N21" s="12">
        <v>0</v>
      </c>
      <c r="O21" s="12">
        <v>0</v>
      </c>
      <c r="P21" s="12">
        <v>0</v>
      </c>
      <c r="Q21" s="12">
        <v>3.302503607663672</v>
      </c>
      <c r="R21" s="12">
        <v>52.832699109963897</v>
      </c>
      <c r="S21" s="12">
        <v>0</v>
      </c>
      <c r="T21" s="12">
        <v>0</v>
      </c>
      <c r="U21" s="12">
        <v>3.2325515504669222</v>
      </c>
      <c r="V21" s="12">
        <v>3.050801570659825</v>
      </c>
      <c r="W21" s="12">
        <v>0</v>
      </c>
      <c r="X21" s="12">
        <v>1.190499826565945</v>
      </c>
      <c r="Y21" s="12">
        <v>0</v>
      </c>
      <c r="Z21" s="12">
        <v>0</v>
      </c>
      <c r="AA21" s="12">
        <v>0</v>
      </c>
      <c r="AB21" s="12">
        <v>0.62908548563990541</v>
      </c>
      <c r="AC21" s="12">
        <v>6.5846888615794299</v>
      </c>
      <c r="AD21" s="12">
        <v>5.0714904872582496</v>
      </c>
      <c r="AE21" s="12">
        <v>0</v>
      </c>
      <c r="AF21" s="12">
        <v>3.9525896184788878</v>
      </c>
      <c r="AG21" s="12">
        <v>3386.313484525941</v>
      </c>
      <c r="AH21" s="12">
        <v>7042.3215387436239</v>
      </c>
      <c r="AI21" s="12">
        <v>7225.7582824153369</v>
      </c>
      <c r="AJ21" s="12">
        <v>8272.1398119396144</v>
      </c>
      <c r="AK21" s="12">
        <v>9139.9453747033658</v>
      </c>
      <c r="AL21" s="12">
        <v>9230.7277858439629</v>
      </c>
      <c r="AM21" s="12">
        <v>9534.2884884929954</v>
      </c>
      <c r="AN21" s="12">
        <v>11554.706278057</v>
      </c>
      <c r="AO21" s="12">
        <v>10663.494256414469</v>
      </c>
      <c r="AP21" s="12">
        <v>13200.149807432301</v>
      </c>
      <c r="AQ21" s="12">
        <v>11995.83522982871</v>
      </c>
      <c r="AR21" s="12">
        <v>13047.23906336592</v>
      </c>
      <c r="AS21" s="12">
        <v>13225.593553172899</v>
      </c>
      <c r="AT21" s="12">
        <v>14563.893273101819</v>
      </c>
      <c r="AU21" s="12">
        <v>16843.28340437029</v>
      </c>
      <c r="AV21" s="12">
        <v>19771.157151664029</v>
      </c>
      <c r="AW21" s="12">
        <v>19616.322593146411</v>
      </c>
      <c r="AX21" s="12">
        <v>23398.581636670289</v>
      </c>
      <c r="AY21" s="12">
        <v>22100.304291746899</v>
      </c>
      <c r="AZ21" s="12">
        <v>69760.756549103346</v>
      </c>
      <c r="BA21" s="12">
        <v>18471.83776158655</v>
      </c>
      <c r="BB21" s="12">
        <v>10974043.285145739</v>
      </c>
      <c r="BC21" s="12">
        <v>0</v>
      </c>
      <c r="BD21" s="12">
        <v>0</v>
      </c>
      <c r="BE21" s="12">
        <v>0</v>
      </c>
      <c r="BF21" s="12">
        <v>0</v>
      </c>
      <c r="BG21" s="12">
        <v>0</v>
      </c>
      <c r="BH21" s="12">
        <v>0</v>
      </c>
      <c r="BI21" s="12">
        <v>0</v>
      </c>
      <c r="BJ21" s="12">
        <v>0</v>
      </c>
      <c r="BK21" s="12">
        <v>0</v>
      </c>
      <c r="BL21" s="12">
        <v>0</v>
      </c>
      <c r="BM21" s="12">
        <v>0</v>
      </c>
      <c r="BN21" s="12">
        <v>14.30150528865359</v>
      </c>
      <c r="BO21" s="12">
        <v>15.451248817209059</v>
      </c>
      <c r="BP21" s="12">
        <v>1.563464218814655</v>
      </c>
      <c r="BQ21" s="12" t="s">
        <v>657</v>
      </c>
    </row>
    <row r="22" spans="1:69" x14ac:dyDescent="0.25">
      <c r="A22" s="12" t="s">
        <v>658</v>
      </c>
      <c r="B22" s="12" t="s">
        <v>29</v>
      </c>
      <c r="C22" s="12">
        <v>2017</v>
      </c>
      <c r="D22" s="12" t="s">
        <v>381</v>
      </c>
      <c r="E22" s="12" t="s">
        <v>145</v>
      </c>
      <c r="F22" s="12" t="s">
        <v>72</v>
      </c>
      <c r="G22" s="12">
        <v>10</v>
      </c>
      <c r="H22" s="12">
        <v>1.002069304112984</v>
      </c>
      <c r="I22" s="12">
        <v>0</v>
      </c>
      <c r="J22" s="12">
        <v>3.521469413323413</v>
      </c>
      <c r="K22" s="12">
        <v>3.3658000413652149</v>
      </c>
      <c r="L22" s="12">
        <v>0</v>
      </c>
      <c r="M22" s="12">
        <v>2.657318174602826</v>
      </c>
      <c r="N22" s="12">
        <v>0</v>
      </c>
      <c r="O22" s="12">
        <v>0</v>
      </c>
      <c r="P22" s="12">
        <v>0</v>
      </c>
      <c r="Q22" s="12">
        <v>3.236847554284322</v>
      </c>
      <c r="R22" s="12">
        <v>53.122945584765972</v>
      </c>
      <c r="S22" s="12">
        <v>0</v>
      </c>
      <c r="T22" s="12">
        <v>0</v>
      </c>
      <c r="U22" s="12">
        <v>3.39426773579945</v>
      </c>
      <c r="V22" s="12">
        <v>4.1066450287515481</v>
      </c>
      <c r="W22" s="12">
        <v>0</v>
      </c>
      <c r="X22" s="12">
        <v>0</v>
      </c>
      <c r="Y22" s="12">
        <v>0.366188086802964</v>
      </c>
      <c r="Z22" s="12">
        <v>0</v>
      </c>
      <c r="AA22" s="12">
        <v>0</v>
      </c>
      <c r="AB22" s="12">
        <v>0.42455666278145859</v>
      </c>
      <c r="AC22" s="12">
        <v>7.2553915556907826</v>
      </c>
      <c r="AD22" s="12">
        <v>4.38744840211114</v>
      </c>
      <c r="AE22" s="12">
        <v>0</v>
      </c>
      <c r="AF22" s="12">
        <v>3.7614372966519278</v>
      </c>
      <c r="AG22" s="12">
        <v>3167.0294292504041</v>
      </c>
      <c r="AH22" s="12">
        <v>7479.0334182547122</v>
      </c>
      <c r="AI22" s="12">
        <v>7716.7647692418032</v>
      </c>
      <c r="AJ22" s="12">
        <v>8157.7388665170492</v>
      </c>
      <c r="AK22" s="12">
        <v>9098.3298804718725</v>
      </c>
      <c r="AL22" s="12">
        <v>9590.6595797899245</v>
      </c>
      <c r="AM22" s="12">
        <v>9854.781601625029</v>
      </c>
      <c r="AN22" s="12">
        <v>11514.77447980523</v>
      </c>
      <c r="AO22" s="12">
        <v>11020.82770464094</v>
      </c>
      <c r="AP22" s="12">
        <v>11375.26130972182</v>
      </c>
      <c r="AQ22" s="12">
        <v>11570.17457136043</v>
      </c>
      <c r="AR22" s="12">
        <v>14691.08566636771</v>
      </c>
      <c r="AS22" s="12">
        <v>14515.248746888679</v>
      </c>
      <c r="AT22" s="12">
        <v>14718.8761466834</v>
      </c>
      <c r="AU22" s="12">
        <v>14801.59084397331</v>
      </c>
      <c r="AV22" s="12">
        <v>17949.347091897991</v>
      </c>
      <c r="AW22" s="12">
        <v>17499.202972492028</v>
      </c>
      <c r="AX22" s="12">
        <v>23840.032860579511</v>
      </c>
      <c r="AY22" s="12">
        <v>22271.068681312659</v>
      </c>
      <c r="AZ22" s="12">
        <v>63911.57124298413</v>
      </c>
      <c r="BA22" s="12">
        <v>26357.872635860371</v>
      </c>
      <c r="BB22" s="12">
        <v>10393575.3691731</v>
      </c>
      <c r="BC22" s="12">
        <v>0</v>
      </c>
      <c r="BD22" s="12">
        <v>0</v>
      </c>
      <c r="BE22" s="12">
        <v>0</v>
      </c>
      <c r="BF22" s="12">
        <v>0</v>
      </c>
      <c r="BG22" s="12">
        <v>0</v>
      </c>
      <c r="BH22" s="12">
        <v>0</v>
      </c>
      <c r="BI22" s="12">
        <v>0</v>
      </c>
      <c r="BJ22" s="12">
        <v>0</v>
      </c>
      <c r="BK22" s="12">
        <v>0</v>
      </c>
      <c r="BL22" s="12">
        <v>0</v>
      </c>
      <c r="BM22" s="12">
        <v>0</v>
      </c>
      <c r="BN22" s="12">
        <v>53.200975525865069</v>
      </c>
      <c r="BO22" s="12">
        <v>55.430776429536429</v>
      </c>
      <c r="BP22" s="12">
        <v>1.4555691255454759</v>
      </c>
      <c r="BQ22" s="12" t="s">
        <v>659</v>
      </c>
    </row>
    <row r="23" spans="1:69" x14ac:dyDescent="0.25">
      <c r="A23" s="12" t="s">
        <v>660</v>
      </c>
      <c r="B23" s="12" t="s">
        <v>29</v>
      </c>
      <c r="C23" s="12">
        <v>2017</v>
      </c>
      <c r="D23" s="12" t="s">
        <v>381</v>
      </c>
      <c r="E23" s="12" t="s">
        <v>382</v>
      </c>
      <c r="F23" s="12" t="s">
        <v>72</v>
      </c>
      <c r="G23" s="12">
        <v>9999</v>
      </c>
      <c r="H23" s="12">
        <v>1.247555031011599</v>
      </c>
      <c r="I23" s="12">
        <v>0</v>
      </c>
      <c r="J23" s="12">
        <v>3.437105295925039</v>
      </c>
      <c r="K23" s="12">
        <v>4.903817988401169</v>
      </c>
      <c r="L23" s="12">
        <v>0</v>
      </c>
      <c r="M23" s="12">
        <v>2.3052878192689188</v>
      </c>
      <c r="N23" s="12">
        <v>0</v>
      </c>
      <c r="O23" s="12">
        <v>1.0412298069408139</v>
      </c>
      <c r="P23" s="12">
        <v>0</v>
      </c>
      <c r="Q23" s="12">
        <v>3.099639251076149</v>
      </c>
      <c r="R23" s="12">
        <v>53.094395336197188</v>
      </c>
      <c r="S23" s="12">
        <v>0</v>
      </c>
      <c r="T23" s="12">
        <v>0</v>
      </c>
      <c r="U23" s="12">
        <v>2.5472501959178482</v>
      </c>
      <c r="V23" s="12">
        <v>2.967881473768923</v>
      </c>
      <c r="W23" s="12">
        <v>0</v>
      </c>
      <c r="X23" s="12">
        <v>1.859314183321209</v>
      </c>
      <c r="Y23" s="12">
        <v>0</v>
      </c>
      <c r="Z23" s="12">
        <v>0</v>
      </c>
      <c r="AA23" s="12">
        <v>0</v>
      </c>
      <c r="AB23" s="12">
        <v>1.364621171263054</v>
      </c>
      <c r="AC23" s="12">
        <v>4.4809927906667024</v>
      </c>
      <c r="AD23" s="12">
        <v>5.39809672828373</v>
      </c>
      <c r="AE23" s="12">
        <v>0</v>
      </c>
      <c r="AF23" s="12">
        <v>3.9226618736889698</v>
      </c>
      <c r="AG23" s="12">
        <v>3047.6603963542011</v>
      </c>
      <c r="AH23" s="12">
        <v>7528.8179138439054</v>
      </c>
      <c r="AI23" s="12">
        <v>7388.56535049584</v>
      </c>
      <c r="AJ23" s="12">
        <v>8441.5154957360664</v>
      </c>
      <c r="AK23" s="12">
        <v>8466.0688388076869</v>
      </c>
      <c r="AL23" s="12">
        <v>9849.1057790504037</v>
      </c>
      <c r="AM23" s="12">
        <v>10512.224838928099</v>
      </c>
      <c r="AN23" s="12">
        <v>10152.729441256</v>
      </c>
      <c r="AO23" s="12">
        <v>10477.801769968361</v>
      </c>
      <c r="AP23" s="12">
        <v>13180.63853817066</v>
      </c>
      <c r="AQ23" s="12">
        <v>12787.43957509855</v>
      </c>
      <c r="AR23" s="12">
        <v>14433.680292792371</v>
      </c>
      <c r="AS23" s="12">
        <v>13944.80779585241</v>
      </c>
      <c r="AT23" s="12">
        <v>16360.218593006961</v>
      </c>
      <c r="AU23" s="12">
        <v>15587.14056181741</v>
      </c>
      <c r="AV23" s="12">
        <v>19804.020686945551</v>
      </c>
      <c r="AW23" s="12">
        <v>17208.380817062382</v>
      </c>
      <c r="AX23" s="12">
        <v>21969.487153401169</v>
      </c>
      <c r="AY23" s="12">
        <v>22729.344474747071</v>
      </c>
      <c r="AZ23" s="12">
        <v>68003.030455534143</v>
      </c>
      <c r="BA23" s="12">
        <v>11291.462346453471</v>
      </c>
      <c r="BB23" s="12">
        <v>108629919.9715804</v>
      </c>
      <c r="BC23" s="12">
        <v>0</v>
      </c>
      <c r="BD23" s="12">
        <v>0</v>
      </c>
      <c r="BE23" s="12">
        <v>0</v>
      </c>
      <c r="BF23" s="12">
        <v>0</v>
      </c>
      <c r="BG23" s="12">
        <v>0</v>
      </c>
      <c r="BH23" s="12">
        <v>0</v>
      </c>
      <c r="BI23" s="12">
        <v>0</v>
      </c>
      <c r="BJ23" s="12">
        <v>0</v>
      </c>
      <c r="BK23" s="12">
        <v>0.17480827127953699</v>
      </c>
      <c r="BL23" s="12">
        <v>2.903402266386133</v>
      </c>
      <c r="BM23" s="12">
        <v>35.57721630347627</v>
      </c>
      <c r="BN23" s="12">
        <v>0</v>
      </c>
      <c r="BO23" s="12">
        <v>0</v>
      </c>
      <c r="BP23" s="12">
        <v>0</v>
      </c>
      <c r="BQ23" s="12" t="s">
        <v>661</v>
      </c>
    </row>
    <row r="24" spans="1:69" x14ac:dyDescent="0.25">
      <c r="A24" s="12" t="s">
        <v>662</v>
      </c>
      <c r="B24" s="12" t="s">
        <v>29</v>
      </c>
      <c r="C24" s="12">
        <v>2017</v>
      </c>
      <c r="D24" s="12" t="s">
        <v>381</v>
      </c>
      <c r="E24" s="12" t="s">
        <v>145</v>
      </c>
      <c r="F24" s="12" t="s">
        <v>75</v>
      </c>
      <c r="G24" s="12">
        <v>1</v>
      </c>
      <c r="H24" s="12">
        <v>0.75121006590605754</v>
      </c>
      <c r="I24" s="12">
        <v>0</v>
      </c>
      <c r="J24" s="12">
        <v>2.8981128764574859</v>
      </c>
      <c r="K24" s="12">
        <v>2.8600644424968942</v>
      </c>
      <c r="L24" s="12">
        <v>0</v>
      </c>
      <c r="M24" s="12">
        <v>1.193265021443316</v>
      </c>
      <c r="N24" s="12">
        <v>0</v>
      </c>
      <c r="O24" s="12">
        <v>0.47186845249356391</v>
      </c>
      <c r="P24" s="12">
        <v>0</v>
      </c>
      <c r="Q24" s="12">
        <v>2.2338525034572689</v>
      </c>
      <c r="R24" s="12">
        <v>48.571652992069417</v>
      </c>
      <c r="S24" s="12">
        <v>0</v>
      </c>
      <c r="T24" s="12">
        <v>0</v>
      </c>
      <c r="U24" s="12">
        <v>0.56392054905942002</v>
      </c>
      <c r="V24" s="12">
        <v>1.8119653060923251</v>
      </c>
      <c r="W24" s="12">
        <v>0</v>
      </c>
      <c r="X24" s="12">
        <v>1.954911690587537</v>
      </c>
      <c r="Y24" s="12">
        <v>0</v>
      </c>
      <c r="Z24" s="12">
        <v>0</v>
      </c>
      <c r="AA24" s="12">
        <v>0</v>
      </c>
      <c r="AB24" s="12">
        <v>1.0536103695258849</v>
      </c>
      <c r="AC24" s="12">
        <v>1.5099484685369591</v>
      </c>
      <c r="AD24" s="12">
        <v>3.664586418034939</v>
      </c>
      <c r="AE24" s="12">
        <v>0</v>
      </c>
      <c r="AF24" s="12">
        <v>2.0744084899472721</v>
      </c>
      <c r="AG24" s="12">
        <v>3320.743708996848</v>
      </c>
      <c r="AH24" s="12">
        <v>6794.8315946546336</v>
      </c>
      <c r="AI24" s="12">
        <v>7504.9941605175281</v>
      </c>
      <c r="AJ24" s="12">
        <v>9106.1477238143543</v>
      </c>
      <c r="AK24" s="12">
        <v>8964.6285265561219</v>
      </c>
      <c r="AL24" s="12">
        <v>9642.5149715239204</v>
      </c>
      <c r="AM24" s="12">
        <v>10404.905655246641</v>
      </c>
      <c r="AN24" s="12">
        <v>10516.50754904659</v>
      </c>
      <c r="AO24" s="12">
        <v>10444.1213599852</v>
      </c>
      <c r="AP24" s="12">
        <v>13145.920190336021</v>
      </c>
      <c r="AQ24" s="12">
        <v>12240.34500057016</v>
      </c>
      <c r="AR24" s="12">
        <v>14197.158620880509</v>
      </c>
      <c r="AS24" s="12">
        <v>14472.868716803059</v>
      </c>
      <c r="AT24" s="12">
        <v>16824.255146301079</v>
      </c>
      <c r="AU24" s="12">
        <v>15286.060845925471</v>
      </c>
      <c r="AV24" s="12">
        <v>18697.626464496581</v>
      </c>
      <c r="AW24" s="12">
        <v>18702.738957899492</v>
      </c>
      <c r="AX24" s="12">
        <v>24469.674388171079</v>
      </c>
      <c r="AY24" s="12">
        <v>22491.058637383579</v>
      </c>
      <c r="AZ24" s="12">
        <v>66264.194668954209</v>
      </c>
      <c r="BA24" s="12">
        <v>4850.7261257844193</v>
      </c>
      <c r="BB24" s="12">
        <v>11133180.69319473</v>
      </c>
      <c r="BC24" s="12">
        <v>0</v>
      </c>
      <c r="BD24" s="12">
        <v>0</v>
      </c>
      <c r="BE24" s="12">
        <v>109.38031836680859</v>
      </c>
      <c r="BF24" s="12">
        <v>27.829263076624311</v>
      </c>
      <c r="BG24" s="12">
        <v>36.159089055313117</v>
      </c>
      <c r="BH24" s="12">
        <v>83.132498959984588</v>
      </c>
      <c r="BI24" s="12">
        <v>110.51651398215461</v>
      </c>
      <c r="BJ24" s="12">
        <v>77.428104306871631</v>
      </c>
      <c r="BK24" s="12">
        <v>0.17023840601421031</v>
      </c>
      <c r="BL24" s="12">
        <v>3.0774695519974768</v>
      </c>
      <c r="BM24" s="12">
        <v>11.17938262330429</v>
      </c>
      <c r="BN24" s="12">
        <v>0</v>
      </c>
      <c r="BO24" s="12">
        <v>0</v>
      </c>
      <c r="BP24" s="12">
        <v>0</v>
      </c>
      <c r="BQ24" s="12" t="s">
        <v>663</v>
      </c>
    </row>
    <row r="25" spans="1:69" x14ac:dyDescent="0.25">
      <c r="A25" s="12" t="s">
        <v>664</v>
      </c>
      <c r="B25" s="12" t="s">
        <v>29</v>
      </c>
      <c r="C25" s="12">
        <v>2017</v>
      </c>
      <c r="D25" s="12" t="s">
        <v>381</v>
      </c>
      <c r="E25" s="12" t="s">
        <v>145</v>
      </c>
      <c r="F25" s="12" t="s">
        <v>75</v>
      </c>
      <c r="G25" s="12">
        <v>2</v>
      </c>
      <c r="H25" s="12">
        <v>0.68286788141151034</v>
      </c>
      <c r="I25" s="12">
        <v>0</v>
      </c>
      <c r="J25" s="12">
        <v>3.0377749305289168</v>
      </c>
      <c r="K25" s="12">
        <v>3.3900216772396341</v>
      </c>
      <c r="L25" s="12">
        <v>0</v>
      </c>
      <c r="M25" s="12">
        <v>1.335838354155191</v>
      </c>
      <c r="N25" s="12">
        <v>0</v>
      </c>
      <c r="O25" s="12">
        <v>0.50029024004820777</v>
      </c>
      <c r="P25" s="12">
        <v>0</v>
      </c>
      <c r="Q25" s="12">
        <v>2.2558006455062252</v>
      </c>
      <c r="R25" s="12">
        <v>49.078322569044779</v>
      </c>
      <c r="S25" s="12">
        <v>0</v>
      </c>
      <c r="T25" s="12">
        <v>0</v>
      </c>
      <c r="U25" s="12">
        <v>0.65322485275577724</v>
      </c>
      <c r="V25" s="12">
        <v>1.945149220130808</v>
      </c>
      <c r="W25" s="12">
        <v>0</v>
      </c>
      <c r="X25" s="12">
        <v>1.6511159422616599</v>
      </c>
      <c r="Y25" s="12">
        <v>0</v>
      </c>
      <c r="Z25" s="12">
        <v>0</v>
      </c>
      <c r="AA25" s="12">
        <v>0</v>
      </c>
      <c r="AB25" s="12">
        <v>0.98991463588077933</v>
      </c>
      <c r="AC25" s="12">
        <v>1.5453454713189489</v>
      </c>
      <c r="AD25" s="12">
        <v>3.8486651978357789</v>
      </c>
      <c r="AE25" s="12">
        <v>0</v>
      </c>
      <c r="AF25" s="12">
        <v>2.1591019910688538</v>
      </c>
      <c r="AG25" s="12">
        <v>3313.6701164028732</v>
      </c>
      <c r="AH25" s="12">
        <v>7539.5550718661734</v>
      </c>
      <c r="AI25" s="12">
        <v>6983.6772515033836</v>
      </c>
      <c r="AJ25" s="12">
        <v>8259.079878536455</v>
      </c>
      <c r="AK25" s="12">
        <v>8979.5869884179137</v>
      </c>
      <c r="AL25" s="12">
        <v>9424.0182726195071</v>
      </c>
      <c r="AM25" s="12">
        <v>9995.0727576376321</v>
      </c>
      <c r="AN25" s="12">
        <v>11103.256073396929</v>
      </c>
      <c r="AO25" s="12">
        <v>10981.190873809819</v>
      </c>
      <c r="AP25" s="12">
        <v>12988.087024608471</v>
      </c>
      <c r="AQ25" s="12">
        <v>13056.57643620041</v>
      </c>
      <c r="AR25" s="12">
        <v>14630.36782407218</v>
      </c>
      <c r="AS25" s="12">
        <v>14814.682557867371</v>
      </c>
      <c r="AT25" s="12">
        <v>16416.679163210942</v>
      </c>
      <c r="AU25" s="12">
        <v>15442.942150494</v>
      </c>
      <c r="AV25" s="12">
        <v>17789.743654277401</v>
      </c>
      <c r="AW25" s="12">
        <v>18659.429428112278</v>
      </c>
      <c r="AX25" s="12">
        <v>22489.445835172341</v>
      </c>
      <c r="AY25" s="12">
        <v>22075.975326578569</v>
      </c>
      <c r="AZ25" s="12">
        <v>63746.069010975123</v>
      </c>
      <c r="BA25" s="12">
        <v>6620.1103822235937</v>
      </c>
      <c r="BB25" s="12">
        <v>10821827.1809252</v>
      </c>
      <c r="BC25" s="12">
        <v>0</v>
      </c>
      <c r="BD25" s="12">
        <v>0</v>
      </c>
      <c r="BE25" s="12">
        <v>105.025666193785</v>
      </c>
      <c r="BF25" s="12">
        <v>45.265437757597716</v>
      </c>
      <c r="BG25" s="12">
        <v>64.155069690169611</v>
      </c>
      <c r="BH25" s="12">
        <v>101.3934489716064</v>
      </c>
      <c r="BI25" s="12">
        <v>106.6655564765264</v>
      </c>
      <c r="BJ25" s="12">
        <v>85.377627283423053</v>
      </c>
      <c r="BK25" s="12">
        <v>9.921475865757385E-3</v>
      </c>
      <c r="BL25" s="12">
        <v>1.192117512299283E-2</v>
      </c>
      <c r="BM25" s="12">
        <v>10.05896255486085</v>
      </c>
      <c r="BN25" s="12">
        <v>0</v>
      </c>
      <c r="BO25" s="12">
        <v>0</v>
      </c>
      <c r="BP25" s="12">
        <v>0</v>
      </c>
      <c r="BQ25" s="12" t="s">
        <v>665</v>
      </c>
    </row>
    <row r="26" spans="1:69" x14ac:dyDescent="0.25">
      <c r="A26" s="12" t="s">
        <v>666</v>
      </c>
      <c r="B26" s="12" t="s">
        <v>29</v>
      </c>
      <c r="C26" s="12">
        <v>2017</v>
      </c>
      <c r="D26" s="12" t="s">
        <v>381</v>
      </c>
      <c r="E26" s="12" t="s">
        <v>145</v>
      </c>
      <c r="F26" s="12" t="s">
        <v>75</v>
      </c>
      <c r="G26" s="12">
        <v>3</v>
      </c>
      <c r="H26" s="12">
        <v>0.77505650011320171</v>
      </c>
      <c r="I26" s="12">
        <v>0</v>
      </c>
      <c r="J26" s="12">
        <v>2.747507025471164</v>
      </c>
      <c r="K26" s="12">
        <v>3.3363360301246998</v>
      </c>
      <c r="L26" s="12">
        <v>0</v>
      </c>
      <c r="M26" s="12">
        <v>1.3077583625320739</v>
      </c>
      <c r="N26" s="12">
        <v>0</v>
      </c>
      <c r="O26" s="12">
        <v>0.408612610494618</v>
      </c>
      <c r="P26" s="12">
        <v>0</v>
      </c>
      <c r="Q26" s="12">
        <v>2.243939493718778</v>
      </c>
      <c r="R26" s="12">
        <v>52.67864706398354</v>
      </c>
      <c r="S26" s="12">
        <v>0</v>
      </c>
      <c r="T26" s="12">
        <v>0</v>
      </c>
      <c r="U26" s="12">
        <v>0.8405711050749578</v>
      </c>
      <c r="V26" s="12">
        <v>1.86479456020635</v>
      </c>
      <c r="W26" s="12">
        <v>0</v>
      </c>
      <c r="X26" s="12">
        <v>1.328605304957218</v>
      </c>
      <c r="Y26" s="12">
        <v>0</v>
      </c>
      <c r="Z26" s="12">
        <v>0</v>
      </c>
      <c r="AA26" s="12">
        <v>0</v>
      </c>
      <c r="AB26" s="12">
        <v>0.95260541485462358</v>
      </c>
      <c r="AC26" s="12">
        <v>1.654309483626873</v>
      </c>
      <c r="AD26" s="12">
        <v>4.4294452488123746</v>
      </c>
      <c r="AE26" s="12">
        <v>0</v>
      </c>
      <c r="AF26" s="12">
        <v>2.2247583404999318</v>
      </c>
      <c r="AG26" s="12">
        <v>3045.694641067761</v>
      </c>
      <c r="AH26" s="12">
        <v>6953.3233186170091</v>
      </c>
      <c r="AI26" s="12">
        <v>6740.5219908502677</v>
      </c>
      <c r="AJ26" s="12">
        <v>8534.0894982532973</v>
      </c>
      <c r="AK26" s="12">
        <v>8183.3760558285403</v>
      </c>
      <c r="AL26" s="12">
        <v>10504.63712137841</v>
      </c>
      <c r="AM26" s="12">
        <v>9334.9070267791521</v>
      </c>
      <c r="AN26" s="12">
        <v>11721.21994695554</v>
      </c>
      <c r="AO26" s="12">
        <v>10857.22394070978</v>
      </c>
      <c r="AP26" s="12">
        <v>11525.86142033434</v>
      </c>
      <c r="AQ26" s="12">
        <v>12129.76041338751</v>
      </c>
      <c r="AR26" s="12">
        <v>12865.384337240501</v>
      </c>
      <c r="AS26" s="12">
        <v>14786.28358963533</v>
      </c>
      <c r="AT26" s="12">
        <v>14900.317723892869</v>
      </c>
      <c r="AU26" s="12">
        <v>15473.82571692169</v>
      </c>
      <c r="AV26" s="12">
        <v>19060.819077337361</v>
      </c>
      <c r="AW26" s="12">
        <v>17659.372629287071</v>
      </c>
      <c r="AX26" s="12">
        <v>22497.64006024733</v>
      </c>
      <c r="AY26" s="12">
        <v>23112.711005128</v>
      </c>
      <c r="AZ26" s="12">
        <v>61839.04359739989</v>
      </c>
      <c r="BA26" s="12">
        <v>7729.0571461035825</v>
      </c>
      <c r="BB26" s="12">
        <v>11205096.266741119</v>
      </c>
      <c r="BC26" s="12">
        <v>0</v>
      </c>
      <c r="BD26" s="12">
        <v>0</v>
      </c>
      <c r="BE26" s="12">
        <v>108.07786915632499</v>
      </c>
      <c r="BF26" s="12">
        <v>56.066620183385602</v>
      </c>
      <c r="BG26" s="12">
        <v>72.483933070919733</v>
      </c>
      <c r="BH26" s="12">
        <v>108.5655053266812</v>
      </c>
      <c r="BI26" s="12">
        <v>104.7832625040101</v>
      </c>
      <c r="BJ26" s="12">
        <v>92.157757514288392</v>
      </c>
      <c r="BK26" s="12">
        <v>0</v>
      </c>
      <c r="BL26" s="12">
        <v>6.5820534253910774E-3</v>
      </c>
      <c r="BM26" s="12">
        <v>10.77877288829915</v>
      </c>
      <c r="BN26" s="12">
        <v>0</v>
      </c>
      <c r="BO26" s="12">
        <v>0</v>
      </c>
      <c r="BP26" s="12">
        <v>0</v>
      </c>
      <c r="BQ26" s="12" t="s">
        <v>667</v>
      </c>
    </row>
    <row r="27" spans="1:69" x14ac:dyDescent="0.25">
      <c r="A27" s="12" t="s">
        <v>668</v>
      </c>
      <c r="B27" s="12" t="s">
        <v>29</v>
      </c>
      <c r="C27" s="12">
        <v>2017</v>
      </c>
      <c r="D27" s="12" t="s">
        <v>381</v>
      </c>
      <c r="E27" s="12" t="s">
        <v>145</v>
      </c>
      <c r="F27" s="12" t="s">
        <v>75</v>
      </c>
      <c r="G27" s="12">
        <v>4</v>
      </c>
      <c r="H27" s="12">
        <v>0.80185109898191309</v>
      </c>
      <c r="I27" s="12">
        <v>0</v>
      </c>
      <c r="J27" s="12">
        <v>2.972199091052234</v>
      </c>
      <c r="K27" s="12">
        <v>3.6135884639669671</v>
      </c>
      <c r="L27" s="12">
        <v>0</v>
      </c>
      <c r="M27" s="12">
        <v>1.3301870218285849</v>
      </c>
      <c r="N27" s="12">
        <v>0</v>
      </c>
      <c r="O27" s="12">
        <v>0</v>
      </c>
      <c r="P27" s="12">
        <v>0</v>
      </c>
      <c r="Q27" s="12">
        <v>2.1173463104799231</v>
      </c>
      <c r="R27" s="12">
        <v>51.697358854454777</v>
      </c>
      <c r="S27" s="12">
        <v>0</v>
      </c>
      <c r="T27" s="12">
        <v>0</v>
      </c>
      <c r="U27" s="12">
        <v>0.9062660950928848</v>
      </c>
      <c r="V27" s="12">
        <v>1.756364668745281</v>
      </c>
      <c r="W27" s="12">
        <v>0</v>
      </c>
      <c r="X27" s="12">
        <v>1.053400152491202</v>
      </c>
      <c r="Y27" s="12">
        <v>0</v>
      </c>
      <c r="Z27" s="12">
        <v>0</v>
      </c>
      <c r="AA27" s="12">
        <v>0</v>
      </c>
      <c r="AB27" s="12">
        <v>0.80057070748359538</v>
      </c>
      <c r="AC27" s="12">
        <v>1.649747532005547</v>
      </c>
      <c r="AD27" s="12">
        <v>4.2143574413624734</v>
      </c>
      <c r="AE27" s="12">
        <v>0</v>
      </c>
      <c r="AF27" s="12">
        <v>2.3425261605958818</v>
      </c>
      <c r="AG27" s="12">
        <v>3349.1609703831591</v>
      </c>
      <c r="AH27" s="12">
        <v>7004.704374254834</v>
      </c>
      <c r="AI27" s="12">
        <v>7383.5731088205539</v>
      </c>
      <c r="AJ27" s="12">
        <v>7975.6521223404898</v>
      </c>
      <c r="AK27" s="12">
        <v>7944.3070181128123</v>
      </c>
      <c r="AL27" s="12">
        <v>9615.320246914489</v>
      </c>
      <c r="AM27" s="12">
        <v>9599.2639384103586</v>
      </c>
      <c r="AN27" s="12">
        <v>11348.922728445559</v>
      </c>
      <c r="AO27" s="12">
        <v>10836.023753255031</v>
      </c>
      <c r="AP27" s="12">
        <v>11928.92144677392</v>
      </c>
      <c r="AQ27" s="12">
        <v>12527.710882883021</v>
      </c>
      <c r="AR27" s="12">
        <v>13757.939497799911</v>
      </c>
      <c r="AS27" s="12">
        <v>13562.702308243321</v>
      </c>
      <c r="AT27" s="12">
        <v>16909.270286939089</v>
      </c>
      <c r="AU27" s="12">
        <v>16217.51029226537</v>
      </c>
      <c r="AV27" s="12">
        <v>19589.08298294411</v>
      </c>
      <c r="AW27" s="12">
        <v>18339.134502312849</v>
      </c>
      <c r="AX27" s="12">
        <v>24989.048012584779</v>
      </c>
      <c r="AY27" s="12">
        <v>24797.654752237711</v>
      </c>
      <c r="AZ27" s="12">
        <v>63349.070608596689</v>
      </c>
      <c r="BA27" s="12">
        <v>8381.3174038074758</v>
      </c>
      <c r="BB27" s="12">
        <v>9792105.2877430599</v>
      </c>
      <c r="BC27" s="12">
        <v>0</v>
      </c>
      <c r="BD27" s="12">
        <v>0</v>
      </c>
      <c r="BE27" s="12">
        <v>110.9507419737678</v>
      </c>
      <c r="BF27" s="12">
        <v>55.597623458100863</v>
      </c>
      <c r="BG27" s="12">
        <v>75.988297610505001</v>
      </c>
      <c r="BH27" s="12">
        <v>95.498357449841691</v>
      </c>
      <c r="BI27" s="12">
        <v>115.3741474770647</v>
      </c>
      <c r="BJ27" s="12">
        <v>90.912268541907352</v>
      </c>
      <c r="BK27" s="12">
        <v>0</v>
      </c>
      <c r="BL27" s="12">
        <v>0</v>
      </c>
      <c r="BM27" s="12">
        <v>4.7762032174657607</v>
      </c>
      <c r="BN27" s="12">
        <v>0</v>
      </c>
      <c r="BO27" s="12">
        <v>0</v>
      </c>
      <c r="BP27" s="12">
        <v>0</v>
      </c>
      <c r="BQ27" s="12" t="s">
        <v>669</v>
      </c>
    </row>
    <row r="28" spans="1:69" x14ac:dyDescent="0.25">
      <c r="A28" s="12" t="s">
        <v>670</v>
      </c>
      <c r="B28" s="12" t="s">
        <v>29</v>
      </c>
      <c r="C28" s="12">
        <v>2017</v>
      </c>
      <c r="D28" s="12" t="s">
        <v>381</v>
      </c>
      <c r="E28" s="12" t="s">
        <v>145</v>
      </c>
      <c r="F28" s="12" t="s">
        <v>75</v>
      </c>
      <c r="G28" s="12">
        <v>5</v>
      </c>
      <c r="H28" s="12">
        <v>0.72308011683127116</v>
      </c>
      <c r="I28" s="12">
        <v>0</v>
      </c>
      <c r="J28" s="12">
        <v>2.693696628774044</v>
      </c>
      <c r="K28" s="12">
        <v>3.637371652726018</v>
      </c>
      <c r="L28" s="12">
        <v>0</v>
      </c>
      <c r="M28" s="12">
        <v>1.4010805969457061</v>
      </c>
      <c r="N28" s="12">
        <v>0</v>
      </c>
      <c r="O28" s="12">
        <v>0</v>
      </c>
      <c r="P28" s="12">
        <v>0</v>
      </c>
      <c r="Q28" s="12">
        <v>2.1591704829363061</v>
      </c>
      <c r="R28" s="12">
        <v>50.287174304897988</v>
      </c>
      <c r="S28" s="12">
        <v>0</v>
      </c>
      <c r="T28" s="12">
        <v>0</v>
      </c>
      <c r="U28" s="12">
        <v>0.94925142552240982</v>
      </c>
      <c r="V28" s="12">
        <v>2.034737757852783</v>
      </c>
      <c r="W28" s="12">
        <v>0</v>
      </c>
      <c r="X28" s="12">
        <v>8.7201450848321496E-2</v>
      </c>
      <c r="Y28" s="12">
        <v>0</v>
      </c>
      <c r="Z28" s="12">
        <v>0</v>
      </c>
      <c r="AA28" s="12">
        <v>0</v>
      </c>
      <c r="AB28" s="12">
        <v>0.72023887121546015</v>
      </c>
      <c r="AC28" s="12">
        <v>1.839519852027685</v>
      </c>
      <c r="AD28" s="12">
        <v>4.0336458032704794</v>
      </c>
      <c r="AE28" s="12">
        <v>0</v>
      </c>
      <c r="AF28" s="12">
        <v>2.133763621105174</v>
      </c>
      <c r="AG28" s="12">
        <v>3270.0624775674219</v>
      </c>
      <c r="AH28" s="12">
        <v>7667.13505680856</v>
      </c>
      <c r="AI28" s="12">
        <v>7306.8534128457304</v>
      </c>
      <c r="AJ28" s="12">
        <v>8573.2928568228726</v>
      </c>
      <c r="AK28" s="12">
        <v>9171.8502540274239</v>
      </c>
      <c r="AL28" s="12">
        <v>10457.524898445819</v>
      </c>
      <c r="AM28" s="12">
        <v>10255.20377612942</v>
      </c>
      <c r="AN28" s="12">
        <v>11280.853575643559</v>
      </c>
      <c r="AO28" s="12">
        <v>10477.23062194189</v>
      </c>
      <c r="AP28" s="12">
        <v>12173.32506146257</v>
      </c>
      <c r="AQ28" s="12">
        <v>13198.56153058923</v>
      </c>
      <c r="AR28" s="12">
        <v>14278.998482688139</v>
      </c>
      <c r="AS28" s="12">
        <v>13090.400458636161</v>
      </c>
      <c r="AT28" s="12">
        <v>16215.31537711793</v>
      </c>
      <c r="AU28" s="12">
        <v>16302.388677362551</v>
      </c>
      <c r="AV28" s="12">
        <v>18772.736587736701</v>
      </c>
      <c r="AW28" s="12">
        <v>17676.42792518948</v>
      </c>
      <c r="AX28" s="12">
        <v>22883.684984941359</v>
      </c>
      <c r="AY28" s="12">
        <v>22648.0573339701</v>
      </c>
      <c r="AZ28" s="12">
        <v>65254.347736593947</v>
      </c>
      <c r="BA28" s="12">
        <v>10600.870704558911</v>
      </c>
      <c r="BB28" s="12">
        <v>10724207.89813753</v>
      </c>
      <c r="BC28" s="12">
        <v>0</v>
      </c>
      <c r="BD28" s="12">
        <v>0</v>
      </c>
      <c r="BE28" s="12">
        <v>106.407034861756</v>
      </c>
      <c r="BF28" s="12">
        <v>59.821180689044937</v>
      </c>
      <c r="BG28" s="12">
        <v>77.317028592535166</v>
      </c>
      <c r="BH28" s="12">
        <v>104.40679011232019</v>
      </c>
      <c r="BI28" s="12">
        <v>110.9904775732646</v>
      </c>
      <c r="BJ28" s="12">
        <v>85.567013493794448</v>
      </c>
      <c r="BK28" s="12">
        <v>0</v>
      </c>
      <c r="BL28" s="12">
        <v>0</v>
      </c>
      <c r="BM28" s="12">
        <v>0.6549002080205466</v>
      </c>
      <c r="BN28" s="12">
        <v>0</v>
      </c>
      <c r="BO28" s="12">
        <v>0</v>
      </c>
      <c r="BP28" s="12">
        <v>0</v>
      </c>
      <c r="BQ28" s="12" t="s">
        <v>671</v>
      </c>
    </row>
    <row r="29" spans="1:69" x14ac:dyDescent="0.25">
      <c r="A29" s="12" t="s">
        <v>672</v>
      </c>
      <c r="B29" s="12" t="s">
        <v>29</v>
      </c>
      <c r="C29" s="12">
        <v>2017</v>
      </c>
      <c r="D29" s="12" t="s">
        <v>381</v>
      </c>
      <c r="E29" s="12" t="s">
        <v>145</v>
      </c>
      <c r="F29" s="12" t="s">
        <v>75</v>
      </c>
      <c r="G29" s="12">
        <v>6</v>
      </c>
      <c r="H29" s="12">
        <v>0.74203565665709048</v>
      </c>
      <c r="I29" s="12">
        <v>0</v>
      </c>
      <c r="J29" s="12">
        <v>2.8586366195647939</v>
      </c>
      <c r="K29" s="12">
        <v>3.2057277003548319</v>
      </c>
      <c r="L29" s="12">
        <v>0</v>
      </c>
      <c r="M29" s="12">
        <v>1.5037038990377629</v>
      </c>
      <c r="N29" s="12">
        <v>0</v>
      </c>
      <c r="O29" s="12">
        <v>0</v>
      </c>
      <c r="P29" s="12">
        <v>0</v>
      </c>
      <c r="Q29" s="12">
        <v>2.1489579917985742</v>
      </c>
      <c r="R29" s="12">
        <v>45.677520590537512</v>
      </c>
      <c r="S29" s="12">
        <v>0</v>
      </c>
      <c r="T29" s="12">
        <v>0</v>
      </c>
      <c r="U29" s="12">
        <v>1.1706771946611709</v>
      </c>
      <c r="V29" s="12">
        <v>1.896589030194868</v>
      </c>
      <c r="W29" s="12">
        <v>0</v>
      </c>
      <c r="X29" s="12">
        <v>0</v>
      </c>
      <c r="Y29" s="12">
        <v>0</v>
      </c>
      <c r="Z29" s="12">
        <v>0</v>
      </c>
      <c r="AA29" s="12">
        <v>0</v>
      </c>
      <c r="AB29" s="12">
        <v>0.61103666015586677</v>
      </c>
      <c r="AC29" s="12">
        <v>2.0518761091953559</v>
      </c>
      <c r="AD29" s="12">
        <v>3.825803948053379</v>
      </c>
      <c r="AE29" s="12">
        <v>0</v>
      </c>
      <c r="AF29" s="12">
        <v>2.1511889873096419</v>
      </c>
      <c r="AG29" s="12">
        <v>2991.5488660025808</v>
      </c>
      <c r="AH29" s="12">
        <v>6998.686990013066</v>
      </c>
      <c r="AI29" s="12">
        <v>7094.9713283500059</v>
      </c>
      <c r="AJ29" s="12">
        <v>8359.0832766844687</v>
      </c>
      <c r="AK29" s="12">
        <v>8554.676291259646</v>
      </c>
      <c r="AL29" s="12">
        <v>9086.9529289728707</v>
      </c>
      <c r="AM29" s="12">
        <v>9288.7258493864629</v>
      </c>
      <c r="AN29" s="12">
        <v>11331.880643646669</v>
      </c>
      <c r="AO29" s="12">
        <v>11633.809608148391</v>
      </c>
      <c r="AP29" s="12">
        <v>11327.51697511788</v>
      </c>
      <c r="AQ29" s="12">
        <v>13061.32089937194</v>
      </c>
      <c r="AR29" s="12">
        <v>12987.516866370001</v>
      </c>
      <c r="AS29" s="12">
        <v>13411.56782879284</v>
      </c>
      <c r="AT29" s="12">
        <v>14751.24767650041</v>
      </c>
      <c r="AU29" s="12">
        <v>16533.501791150549</v>
      </c>
      <c r="AV29" s="12">
        <v>18205.777302780061</v>
      </c>
      <c r="AW29" s="12">
        <v>17293.86937736515</v>
      </c>
      <c r="AX29" s="12">
        <v>24220.571952755461</v>
      </c>
      <c r="AY29" s="12">
        <v>22840.255088517759</v>
      </c>
      <c r="AZ29" s="12">
        <v>63603.353162882609</v>
      </c>
      <c r="BA29" s="12">
        <v>11528.18110374073</v>
      </c>
      <c r="BB29" s="12">
        <v>9735956.1660680473</v>
      </c>
      <c r="BC29" s="12">
        <v>0</v>
      </c>
      <c r="BD29" s="12">
        <v>0</v>
      </c>
      <c r="BE29" s="12">
        <v>113.08499836650471</v>
      </c>
      <c r="BF29" s="12">
        <v>62.036742566850499</v>
      </c>
      <c r="BG29" s="12">
        <v>78.375243178494017</v>
      </c>
      <c r="BH29" s="12">
        <v>97.15724219637471</v>
      </c>
      <c r="BI29" s="12">
        <v>100.3730590530338</v>
      </c>
      <c r="BJ29" s="12">
        <v>94.459859006229152</v>
      </c>
      <c r="BK29" s="12">
        <v>0</v>
      </c>
      <c r="BL29" s="12">
        <v>0</v>
      </c>
      <c r="BM29" s="12">
        <v>0.16725479095001539</v>
      </c>
      <c r="BN29" s="12">
        <v>0</v>
      </c>
      <c r="BO29" s="12">
        <v>0</v>
      </c>
      <c r="BP29" s="12">
        <v>0</v>
      </c>
      <c r="BQ29" s="12" t="s">
        <v>673</v>
      </c>
    </row>
    <row r="30" spans="1:69" x14ac:dyDescent="0.25">
      <c r="A30" s="12" t="s">
        <v>674</v>
      </c>
      <c r="B30" s="12" t="s">
        <v>29</v>
      </c>
      <c r="C30" s="12">
        <v>2017</v>
      </c>
      <c r="D30" s="12" t="s">
        <v>381</v>
      </c>
      <c r="E30" s="12" t="s">
        <v>145</v>
      </c>
      <c r="F30" s="12" t="s">
        <v>75</v>
      </c>
      <c r="G30" s="12">
        <v>7</v>
      </c>
      <c r="H30" s="12">
        <v>0.70542842483914692</v>
      </c>
      <c r="I30" s="12">
        <v>0</v>
      </c>
      <c r="J30" s="12">
        <v>2.8371842728247851</v>
      </c>
      <c r="K30" s="12">
        <v>2.4549918986146508</v>
      </c>
      <c r="L30" s="12">
        <v>0</v>
      </c>
      <c r="M30" s="12">
        <v>1.680377022768585</v>
      </c>
      <c r="N30" s="12">
        <v>0</v>
      </c>
      <c r="O30" s="12">
        <v>0</v>
      </c>
      <c r="P30" s="12">
        <v>0</v>
      </c>
      <c r="Q30" s="12">
        <v>2.2219340543398221</v>
      </c>
      <c r="R30" s="12">
        <v>48.957185150460667</v>
      </c>
      <c r="S30" s="12">
        <v>0</v>
      </c>
      <c r="T30" s="12">
        <v>0</v>
      </c>
      <c r="U30" s="12">
        <v>1.257293423969414</v>
      </c>
      <c r="V30" s="12">
        <v>1.7351019792942259</v>
      </c>
      <c r="W30" s="12">
        <v>0</v>
      </c>
      <c r="X30" s="12">
        <v>0</v>
      </c>
      <c r="Y30" s="12">
        <v>0</v>
      </c>
      <c r="Z30" s="12">
        <v>0</v>
      </c>
      <c r="AA30" s="12">
        <v>0</v>
      </c>
      <c r="AB30" s="12">
        <v>0.37043135609448868</v>
      </c>
      <c r="AC30" s="12">
        <v>2.17809740740408</v>
      </c>
      <c r="AD30" s="12">
        <v>3.7346050728978448</v>
      </c>
      <c r="AE30" s="12">
        <v>0</v>
      </c>
      <c r="AF30" s="12">
        <v>2.4728489130759712</v>
      </c>
      <c r="AG30" s="12">
        <v>3381.2729614517739</v>
      </c>
      <c r="AH30" s="12">
        <v>7664.7079595393834</v>
      </c>
      <c r="AI30" s="12">
        <v>7067.2451159094599</v>
      </c>
      <c r="AJ30" s="12">
        <v>9173.5992708794474</v>
      </c>
      <c r="AK30" s="12">
        <v>8241.2232594798352</v>
      </c>
      <c r="AL30" s="12">
        <v>9795.2118038146746</v>
      </c>
      <c r="AM30" s="12">
        <v>9596.2135247007354</v>
      </c>
      <c r="AN30" s="12">
        <v>11713.838189487629</v>
      </c>
      <c r="AO30" s="12">
        <v>11098.348326986919</v>
      </c>
      <c r="AP30" s="12">
        <v>11702.39424606628</v>
      </c>
      <c r="AQ30" s="12">
        <v>12362.30763320822</v>
      </c>
      <c r="AR30" s="12">
        <v>13965.59427940147</v>
      </c>
      <c r="AS30" s="12">
        <v>13976.937977196119</v>
      </c>
      <c r="AT30" s="12">
        <v>15275.07182802565</v>
      </c>
      <c r="AU30" s="12">
        <v>16292.204965796591</v>
      </c>
      <c r="AV30" s="12">
        <v>18065.843476350448</v>
      </c>
      <c r="AW30" s="12">
        <v>17998.1423395436</v>
      </c>
      <c r="AX30" s="12">
        <v>24397.91781552316</v>
      </c>
      <c r="AY30" s="12">
        <v>22962.780859732651</v>
      </c>
      <c r="AZ30" s="12">
        <v>64368.4961607398</v>
      </c>
      <c r="BA30" s="12">
        <v>12913.847338963789</v>
      </c>
      <c r="BB30" s="12">
        <v>10753045.755696621</v>
      </c>
      <c r="BC30" s="12">
        <v>0</v>
      </c>
      <c r="BD30" s="12">
        <v>0</v>
      </c>
      <c r="BE30" s="12">
        <v>111.2012026681877</v>
      </c>
      <c r="BF30" s="12">
        <v>59.112173514559977</v>
      </c>
      <c r="BG30" s="12">
        <v>79.519217705809254</v>
      </c>
      <c r="BH30" s="12">
        <v>98.833981997312051</v>
      </c>
      <c r="BI30" s="12">
        <v>106.8128706023484</v>
      </c>
      <c r="BJ30" s="12">
        <v>97.293297978128777</v>
      </c>
      <c r="BK30" s="12">
        <v>0</v>
      </c>
      <c r="BL30" s="12">
        <v>0</v>
      </c>
      <c r="BM30" s="12">
        <v>3.1340307404690251E-2</v>
      </c>
      <c r="BN30" s="12">
        <v>0</v>
      </c>
      <c r="BO30" s="12">
        <v>0</v>
      </c>
      <c r="BP30" s="12">
        <v>0</v>
      </c>
      <c r="BQ30" s="12" t="s">
        <v>675</v>
      </c>
    </row>
    <row r="31" spans="1:69" x14ac:dyDescent="0.25">
      <c r="A31" s="12" t="s">
        <v>676</v>
      </c>
      <c r="B31" s="12" t="s">
        <v>29</v>
      </c>
      <c r="C31" s="12">
        <v>2017</v>
      </c>
      <c r="D31" s="12" t="s">
        <v>381</v>
      </c>
      <c r="E31" s="12" t="s">
        <v>145</v>
      </c>
      <c r="F31" s="12" t="s">
        <v>75</v>
      </c>
      <c r="G31" s="12">
        <v>8</v>
      </c>
      <c r="H31" s="12">
        <v>0.66157167981870901</v>
      </c>
      <c r="I31" s="12">
        <v>0</v>
      </c>
      <c r="J31" s="12">
        <v>2.8409979176554518</v>
      </c>
      <c r="K31" s="12">
        <v>2.3724186804022951</v>
      </c>
      <c r="L31" s="12">
        <v>0</v>
      </c>
      <c r="M31" s="12">
        <v>1.615809081883478</v>
      </c>
      <c r="N31" s="12">
        <v>0</v>
      </c>
      <c r="O31" s="12">
        <v>0</v>
      </c>
      <c r="P31" s="12">
        <v>0</v>
      </c>
      <c r="Q31" s="12">
        <v>2.223846392288098</v>
      </c>
      <c r="R31" s="12">
        <v>43.14079135024987</v>
      </c>
      <c r="S31" s="12">
        <v>0</v>
      </c>
      <c r="T31" s="12">
        <v>0</v>
      </c>
      <c r="U31" s="12">
        <v>1.480279810476113</v>
      </c>
      <c r="V31" s="12">
        <v>2.0197034676906052</v>
      </c>
      <c r="W31" s="12">
        <v>0</v>
      </c>
      <c r="X31" s="12">
        <v>0</v>
      </c>
      <c r="Y31" s="12">
        <v>0</v>
      </c>
      <c r="Z31" s="12">
        <v>0</v>
      </c>
      <c r="AA31" s="12">
        <v>0</v>
      </c>
      <c r="AB31" s="12">
        <v>0.26858306198686382</v>
      </c>
      <c r="AC31" s="12">
        <v>2.2757718869870072</v>
      </c>
      <c r="AD31" s="12">
        <v>3.4164916666127398</v>
      </c>
      <c r="AE31" s="12">
        <v>0</v>
      </c>
      <c r="AF31" s="12">
        <v>2.288518421297375</v>
      </c>
      <c r="AG31" s="12">
        <v>3268.568612001397</v>
      </c>
      <c r="AH31" s="12">
        <v>7616.3749455085417</v>
      </c>
      <c r="AI31" s="12">
        <v>7655.8901104112847</v>
      </c>
      <c r="AJ31" s="12">
        <v>8940.8293386789828</v>
      </c>
      <c r="AK31" s="12">
        <v>8663.8294643387999</v>
      </c>
      <c r="AL31" s="12">
        <v>9519.8578073295957</v>
      </c>
      <c r="AM31" s="12">
        <v>9844.2569688787262</v>
      </c>
      <c r="AN31" s="12">
        <v>11545.015507313599</v>
      </c>
      <c r="AO31" s="12">
        <v>10300.57971612541</v>
      </c>
      <c r="AP31" s="12">
        <v>13119.64859946929</v>
      </c>
      <c r="AQ31" s="12">
        <v>12809.34827359165</v>
      </c>
      <c r="AR31" s="12">
        <v>13428.80130852476</v>
      </c>
      <c r="AS31" s="12">
        <v>12807.05347484254</v>
      </c>
      <c r="AT31" s="12">
        <v>16886.450150565019</v>
      </c>
      <c r="AU31" s="12">
        <v>16441.524656892481</v>
      </c>
      <c r="AV31" s="12">
        <v>19161.49367802744</v>
      </c>
      <c r="AW31" s="12">
        <v>17790.41369791557</v>
      </c>
      <c r="AX31" s="12">
        <v>24688.336232537251</v>
      </c>
      <c r="AY31" s="12">
        <v>23472.26177894303</v>
      </c>
      <c r="AZ31" s="12">
        <v>68774.629599783337</v>
      </c>
      <c r="BA31" s="12">
        <v>14757.625511840501</v>
      </c>
      <c r="BB31" s="12">
        <v>10755700.132468401</v>
      </c>
      <c r="BC31" s="12">
        <v>0</v>
      </c>
      <c r="BD31" s="12">
        <v>0</v>
      </c>
      <c r="BE31" s="12">
        <v>100.9419187469034</v>
      </c>
      <c r="BF31" s="12">
        <v>55.335401910504928</v>
      </c>
      <c r="BG31" s="12">
        <v>83.718470218294016</v>
      </c>
      <c r="BH31" s="12">
        <v>106.94518610016409</v>
      </c>
      <c r="BI31" s="12">
        <v>106.59623550469929</v>
      </c>
      <c r="BJ31" s="12">
        <v>85.371078349449348</v>
      </c>
      <c r="BK31" s="12">
        <v>0</v>
      </c>
      <c r="BL31" s="12">
        <v>0</v>
      </c>
      <c r="BM31" s="12">
        <v>1.8352184954194491E-2</v>
      </c>
      <c r="BN31" s="12">
        <v>0</v>
      </c>
      <c r="BO31" s="12">
        <v>0</v>
      </c>
      <c r="BP31" s="12">
        <v>0</v>
      </c>
      <c r="BQ31" s="12" t="s">
        <v>677</v>
      </c>
    </row>
    <row r="32" spans="1:69" x14ac:dyDescent="0.25">
      <c r="A32" s="12" t="s">
        <v>678</v>
      </c>
      <c r="B32" s="12" t="s">
        <v>29</v>
      </c>
      <c r="C32" s="12">
        <v>2017</v>
      </c>
      <c r="D32" s="12" t="s">
        <v>381</v>
      </c>
      <c r="E32" s="12" t="s">
        <v>145</v>
      </c>
      <c r="F32" s="12" t="s">
        <v>75</v>
      </c>
      <c r="G32" s="12">
        <v>9</v>
      </c>
      <c r="H32" s="12">
        <v>0.60182171075054469</v>
      </c>
      <c r="I32" s="12">
        <v>0</v>
      </c>
      <c r="J32" s="12">
        <v>2.5399378867627229</v>
      </c>
      <c r="K32" s="12">
        <v>1.815167523654305</v>
      </c>
      <c r="L32" s="12">
        <v>0</v>
      </c>
      <c r="M32" s="12">
        <v>1.402925274199577</v>
      </c>
      <c r="N32" s="12">
        <v>0</v>
      </c>
      <c r="O32" s="12">
        <v>0</v>
      </c>
      <c r="P32" s="12">
        <v>0</v>
      </c>
      <c r="Q32" s="12">
        <v>2.2292163012890498</v>
      </c>
      <c r="R32" s="12">
        <v>48.021820546095661</v>
      </c>
      <c r="S32" s="12">
        <v>0</v>
      </c>
      <c r="T32" s="12">
        <v>0</v>
      </c>
      <c r="U32" s="12">
        <v>1.2157905627503209</v>
      </c>
      <c r="V32" s="12">
        <v>2.0417611834636671</v>
      </c>
      <c r="W32" s="12">
        <v>0</v>
      </c>
      <c r="X32" s="12">
        <v>0</v>
      </c>
      <c r="Y32" s="12">
        <v>0</v>
      </c>
      <c r="Z32" s="12">
        <v>0</v>
      </c>
      <c r="AA32" s="12">
        <v>0</v>
      </c>
      <c r="AB32" s="12">
        <v>0.18965567222075921</v>
      </c>
      <c r="AC32" s="12">
        <v>2.2709310232781972</v>
      </c>
      <c r="AD32" s="12">
        <v>2.91000563753621</v>
      </c>
      <c r="AE32" s="12">
        <v>0</v>
      </c>
      <c r="AF32" s="12">
        <v>2.1630472388156732</v>
      </c>
      <c r="AG32" s="12">
        <v>3306.8674946065021</v>
      </c>
      <c r="AH32" s="12">
        <v>7611.2650909588992</v>
      </c>
      <c r="AI32" s="12">
        <v>6983.8075748038837</v>
      </c>
      <c r="AJ32" s="12">
        <v>8910.5138937664706</v>
      </c>
      <c r="AK32" s="12">
        <v>8012.4478836095504</v>
      </c>
      <c r="AL32" s="12">
        <v>9468.6728238743126</v>
      </c>
      <c r="AM32" s="12">
        <v>10133.142215063919</v>
      </c>
      <c r="AN32" s="12">
        <v>11072.069147180669</v>
      </c>
      <c r="AO32" s="12">
        <v>10764.18509129379</v>
      </c>
      <c r="AP32" s="12">
        <v>12553.26156372974</v>
      </c>
      <c r="AQ32" s="12">
        <v>12950.925639632689</v>
      </c>
      <c r="AR32" s="12">
        <v>14397.133483191359</v>
      </c>
      <c r="AS32" s="12">
        <v>14397.725326907779</v>
      </c>
      <c r="AT32" s="12">
        <v>16499.35305020363</v>
      </c>
      <c r="AU32" s="12">
        <v>16879.322740020489</v>
      </c>
      <c r="AV32" s="12">
        <v>17913.516266581511</v>
      </c>
      <c r="AW32" s="12">
        <v>17931.4771695495</v>
      </c>
      <c r="AX32" s="12">
        <v>21769.673025629862</v>
      </c>
      <c r="AY32" s="12">
        <v>22119.63599906331</v>
      </c>
      <c r="AZ32" s="12">
        <v>64453.18035528464</v>
      </c>
      <c r="BA32" s="12">
        <v>15399.770996103111</v>
      </c>
      <c r="BB32" s="12">
        <v>10794430.36758877</v>
      </c>
      <c r="BC32" s="12">
        <v>0</v>
      </c>
      <c r="BD32" s="12">
        <v>0</v>
      </c>
      <c r="BE32" s="12">
        <v>110.61173443211609</v>
      </c>
      <c r="BF32" s="12">
        <v>57.100916751892044</v>
      </c>
      <c r="BG32" s="12">
        <v>85.157537440170287</v>
      </c>
      <c r="BH32" s="12">
        <v>105.65861242839701</v>
      </c>
      <c r="BI32" s="12">
        <v>114.02672250933399</v>
      </c>
      <c r="BJ32" s="12">
        <v>98.437160889845316</v>
      </c>
      <c r="BK32" s="12">
        <v>0</v>
      </c>
      <c r="BL32" s="12">
        <v>0</v>
      </c>
      <c r="BM32" s="12">
        <v>0</v>
      </c>
      <c r="BN32" s="12">
        <v>0</v>
      </c>
      <c r="BO32" s="12">
        <v>0</v>
      </c>
      <c r="BP32" s="12">
        <v>0</v>
      </c>
      <c r="BQ32" s="12" t="s">
        <v>679</v>
      </c>
    </row>
    <row r="33" spans="1:69" x14ac:dyDescent="0.25">
      <c r="A33" s="12" t="s">
        <v>680</v>
      </c>
      <c r="B33" s="12" t="s">
        <v>29</v>
      </c>
      <c r="C33" s="12">
        <v>2017</v>
      </c>
      <c r="D33" s="12" t="s">
        <v>381</v>
      </c>
      <c r="E33" s="12" t="s">
        <v>145</v>
      </c>
      <c r="F33" s="12" t="s">
        <v>75</v>
      </c>
      <c r="G33" s="12">
        <v>10</v>
      </c>
      <c r="H33" s="12">
        <v>0.52785356365302816</v>
      </c>
      <c r="I33" s="12">
        <v>0</v>
      </c>
      <c r="J33" s="12">
        <v>2.6225442561531298</v>
      </c>
      <c r="K33" s="12">
        <v>1.2890866314664871</v>
      </c>
      <c r="L33" s="12">
        <v>0</v>
      </c>
      <c r="M33" s="12">
        <v>1.481980321538426</v>
      </c>
      <c r="N33" s="12">
        <v>0</v>
      </c>
      <c r="O33" s="12">
        <v>0</v>
      </c>
      <c r="P33" s="12">
        <v>0</v>
      </c>
      <c r="Q33" s="12">
        <v>2.174076199681743</v>
      </c>
      <c r="R33" s="12">
        <v>45.57453446976433</v>
      </c>
      <c r="S33" s="12">
        <v>0</v>
      </c>
      <c r="T33" s="12">
        <v>0</v>
      </c>
      <c r="U33" s="12">
        <v>1.452769397306126</v>
      </c>
      <c r="V33" s="12">
        <v>2.0354406582563231</v>
      </c>
      <c r="W33" s="12">
        <v>0</v>
      </c>
      <c r="X33" s="12">
        <v>0</v>
      </c>
      <c r="Y33" s="12">
        <v>0</v>
      </c>
      <c r="Z33" s="12">
        <v>0</v>
      </c>
      <c r="AA33" s="12">
        <v>0</v>
      </c>
      <c r="AB33" s="12">
        <v>0.14716684592428639</v>
      </c>
      <c r="AC33" s="12">
        <v>2.3837767057579788</v>
      </c>
      <c r="AD33" s="12">
        <v>2.401055661193491</v>
      </c>
      <c r="AE33" s="12">
        <v>0</v>
      </c>
      <c r="AF33" s="12">
        <v>1.965312571894386</v>
      </c>
      <c r="AG33" s="12">
        <v>3204.1596438161309</v>
      </c>
      <c r="AH33" s="12">
        <v>6701.2949261067888</v>
      </c>
      <c r="AI33" s="12">
        <v>6806.2928428440937</v>
      </c>
      <c r="AJ33" s="12">
        <v>9180.6726539764677</v>
      </c>
      <c r="AK33" s="12">
        <v>8875.1640376290652</v>
      </c>
      <c r="AL33" s="12">
        <v>10214.69954855817</v>
      </c>
      <c r="AM33" s="12">
        <v>10189.98637313232</v>
      </c>
      <c r="AN33" s="12">
        <v>10825.847868776011</v>
      </c>
      <c r="AO33" s="12">
        <v>10933.7841234157</v>
      </c>
      <c r="AP33" s="12">
        <v>13103.883165238731</v>
      </c>
      <c r="AQ33" s="12">
        <v>12356.912417635091</v>
      </c>
      <c r="AR33" s="12">
        <v>14503.3209238324</v>
      </c>
      <c r="AS33" s="12">
        <v>12803.41465259558</v>
      </c>
      <c r="AT33" s="12">
        <v>15856.53045288196</v>
      </c>
      <c r="AU33" s="12">
        <v>16046.52153903299</v>
      </c>
      <c r="AV33" s="12">
        <v>17427.696290916581</v>
      </c>
      <c r="AW33" s="12">
        <v>18285.29258630062</v>
      </c>
      <c r="AX33" s="12">
        <v>24215.233460250711</v>
      </c>
      <c r="AY33" s="12">
        <v>22960.769009333111</v>
      </c>
      <c r="AZ33" s="12">
        <v>62234.507638430303</v>
      </c>
      <c r="BA33" s="12">
        <v>21926.96473470897</v>
      </c>
      <c r="BB33" s="12">
        <v>11118539.850709669</v>
      </c>
      <c r="BC33" s="12">
        <v>0</v>
      </c>
      <c r="BD33" s="12">
        <v>0</v>
      </c>
      <c r="BE33" s="12">
        <v>108.6699400859562</v>
      </c>
      <c r="BF33" s="12">
        <v>51.625201666097112</v>
      </c>
      <c r="BG33" s="12">
        <v>95.574043138292069</v>
      </c>
      <c r="BH33" s="12">
        <v>98.737372007670899</v>
      </c>
      <c r="BI33" s="12">
        <v>99.61836308434583</v>
      </c>
      <c r="BJ33" s="12">
        <v>92.411095177517794</v>
      </c>
      <c r="BK33" s="12">
        <v>0</v>
      </c>
      <c r="BL33" s="12">
        <v>0</v>
      </c>
      <c r="BM33" s="12">
        <v>0</v>
      </c>
      <c r="BN33" s="12">
        <v>0</v>
      </c>
      <c r="BO33" s="12">
        <v>0</v>
      </c>
      <c r="BP33" s="12">
        <v>0</v>
      </c>
      <c r="BQ33" s="12" t="s">
        <v>681</v>
      </c>
    </row>
    <row r="34" spans="1:69" x14ac:dyDescent="0.25">
      <c r="A34" s="12" t="s">
        <v>682</v>
      </c>
      <c r="B34" s="12" t="s">
        <v>29</v>
      </c>
      <c r="C34" s="12">
        <v>2017</v>
      </c>
      <c r="D34" s="12" t="s">
        <v>381</v>
      </c>
      <c r="E34" s="12" t="s">
        <v>382</v>
      </c>
      <c r="F34" s="12" t="s">
        <v>75</v>
      </c>
      <c r="G34" s="12">
        <v>9999</v>
      </c>
      <c r="H34" s="12">
        <v>0.63217891713516094</v>
      </c>
      <c r="I34" s="12">
        <v>0</v>
      </c>
      <c r="J34" s="12">
        <v>2.665380868382452</v>
      </c>
      <c r="K34" s="12">
        <v>2.5692119141690841</v>
      </c>
      <c r="L34" s="12">
        <v>0</v>
      </c>
      <c r="M34" s="12">
        <v>1.320629697802455</v>
      </c>
      <c r="N34" s="12">
        <v>0</v>
      </c>
      <c r="O34" s="12">
        <v>0</v>
      </c>
      <c r="P34" s="12">
        <v>0</v>
      </c>
      <c r="Q34" s="12">
        <v>2.251078812260551</v>
      </c>
      <c r="R34" s="12">
        <v>49.633682702959383</v>
      </c>
      <c r="S34" s="12">
        <v>0</v>
      </c>
      <c r="T34" s="12">
        <v>0</v>
      </c>
      <c r="U34" s="12">
        <v>1.0215643088492621</v>
      </c>
      <c r="V34" s="12">
        <v>1.9624250714234479</v>
      </c>
      <c r="W34" s="12">
        <v>0</v>
      </c>
      <c r="X34" s="12">
        <v>0</v>
      </c>
      <c r="Y34" s="12">
        <v>0</v>
      </c>
      <c r="Z34" s="12">
        <v>0</v>
      </c>
      <c r="AA34" s="12">
        <v>0</v>
      </c>
      <c r="AB34" s="12">
        <v>0.47565677183170912</v>
      </c>
      <c r="AC34" s="12">
        <v>1.76565583802452</v>
      </c>
      <c r="AD34" s="12">
        <v>3.4425275788108309</v>
      </c>
      <c r="AE34" s="12">
        <v>0</v>
      </c>
      <c r="AF34" s="12">
        <v>2.0730574728816191</v>
      </c>
      <c r="AG34" s="12">
        <v>3261.5854823706518</v>
      </c>
      <c r="AH34" s="12">
        <v>6695.4571421369401</v>
      </c>
      <c r="AI34" s="12">
        <v>7402.9783485710113</v>
      </c>
      <c r="AJ34" s="12">
        <v>8684.4485699509587</v>
      </c>
      <c r="AK34" s="12">
        <v>8392.1613219578903</v>
      </c>
      <c r="AL34" s="12">
        <v>9396.308247250081</v>
      </c>
      <c r="AM34" s="12">
        <v>9594.407472879775</v>
      </c>
      <c r="AN34" s="12">
        <v>10370.57043659436</v>
      </c>
      <c r="AO34" s="12">
        <v>10688.99305289418</v>
      </c>
      <c r="AP34" s="12">
        <v>12379.02432253503</v>
      </c>
      <c r="AQ34" s="12">
        <v>11996.855751893811</v>
      </c>
      <c r="AR34" s="12">
        <v>14160.19301466021</v>
      </c>
      <c r="AS34" s="12">
        <v>13848.947694368069</v>
      </c>
      <c r="AT34" s="12">
        <v>16975.098073664369</v>
      </c>
      <c r="AU34" s="12">
        <v>15000.27541601578</v>
      </c>
      <c r="AV34" s="12">
        <v>19345.8609286305</v>
      </c>
      <c r="AW34" s="12">
        <v>17160.956440707971</v>
      </c>
      <c r="AX34" s="12">
        <v>24039.044021127229</v>
      </c>
      <c r="AY34" s="12">
        <v>24820.645039868861</v>
      </c>
      <c r="AZ34" s="12">
        <v>62294.795683795834</v>
      </c>
      <c r="BA34" s="12">
        <v>8059.4445510977348</v>
      </c>
      <c r="BB34" s="12">
        <v>98359470.207905665</v>
      </c>
      <c r="BC34" s="12">
        <v>0</v>
      </c>
      <c r="BD34" s="12">
        <v>0</v>
      </c>
      <c r="BE34" s="12">
        <v>0</v>
      </c>
      <c r="BF34" s="12">
        <v>0</v>
      </c>
      <c r="BG34" s="12">
        <v>0</v>
      </c>
      <c r="BH34" s="12">
        <v>0</v>
      </c>
      <c r="BI34" s="12">
        <v>0</v>
      </c>
      <c r="BJ34" s="12">
        <v>0</v>
      </c>
      <c r="BK34" s="12">
        <v>0.17260118154937759</v>
      </c>
      <c r="BL34" s="12">
        <v>3.0260186848813202</v>
      </c>
      <c r="BM34" s="12">
        <v>40.142188342921862</v>
      </c>
      <c r="BN34" s="12">
        <v>0</v>
      </c>
      <c r="BO34" s="12">
        <v>0</v>
      </c>
      <c r="BP34" s="12">
        <v>0</v>
      </c>
      <c r="BQ34" s="12" t="s">
        <v>683</v>
      </c>
    </row>
    <row r="35" spans="1:69" x14ac:dyDescent="0.25">
      <c r="A35" s="12" t="s">
        <v>684</v>
      </c>
      <c r="B35" s="12" t="s">
        <v>29</v>
      </c>
      <c r="C35" s="12">
        <v>2017</v>
      </c>
      <c r="D35" s="12" t="s">
        <v>381</v>
      </c>
      <c r="E35" s="12" t="s">
        <v>145</v>
      </c>
      <c r="F35" s="12" t="s">
        <v>78</v>
      </c>
      <c r="G35" s="12">
        <v>1</v>
      </c>
      <c r="H35" s="12">
        <v>1.9401744769616041</v>
      </c>
      <c r="I35" s="12">
        <v>0</v>
      </c>
      <c r="J35" s="12">
        <v>5.3629048948827229</v>
      </c>
      <c r="K35" s="12">
        <v>7.9892430884883083</v>
      </c>
      <c r="L35" s="12">
        <v>0</v>
      </c>
      <c r="M35" s="12">
        <v>2.8659304379021622</v>
      </c>
      <c r="N35" s="12">
        <v>0</v>
      </c>
      <c r="O35" s="12">
        <v>3.7850420850700721</v>
      </c>
      <c r="P35" s="12">
        <v>0</v>
      </c>
      <c r="Q35" s="12">
        <v>4.4101602471832368</v>
      </c>
      <c r="R35" s="12">
        <v>69.23545156776585</v>
      </c>
      <c r="S35" s="12">
        <v>0</v>
      </c>
      <c r="T35" s="12">
        <v>0</v>
      </c>
      <c r="U35" s="12">
        <v>3.9276228815960632</v>
      </c>
      <c r="V35" s="12">
        <v>5.4474038480168918</v>
      </c>
      <c r="W35" s="12">
        <v>0</v>
      </c>
      <c r="X35" s="12">
        <v>3.8266371989636192</v>
      </c>
      <c r="Y35" s="12">
        <v>0</v>
      </c>
      <c r="Z35" s="12">
        <v>0</v>
      </c>
      <c r="AA35" s="12">
        <v>0</v>
      </c>
      <c r="AB35" s="12">
        <v>3.0537659799532788</v>
      </c>
      <c r="AC35" s="12">
        <v>5.8769865183453884</v>
      </c>
      <c r="AD35" s="12">
        <v>9.0322915815917071</v>
      </c>
      <c r="AE35" s="12">
        <v>0</v>
      </c>
      <c r="AF35" s="12">
        <v>5.5780176748770396</v>
      </c>
      <c r="AG35" s="12">
        <v>3220.1624511438222</v>
      </c>
      <c r="AH35" s="12">
        <v>7579.1920803227904</v>
      </c>
      <c r="AI35" s="12">
        <v>7419.6859440746684</v>
      </c>
      <c r="AJ35" s="12">
        <v>7976.9945219716692</v>
      </c>
      <c r="AK35" s="12">
        <v>8441.4486160116376</v>
      </c>
      <c r="AL35" s="12">
        <v>10457.452624073359</v>
      </c>
      <c r="AM35" s="12">
        <v>9801.8190244189864</v>
      </c>
      <c r="AN35" s="12">
        <v>11598.975119545699</v>
      </c>
      <c r="AO35" s="12">
        <v>10448.625547284621</v>
      </c>
      <c r="AP35" s="12">
        <v>12444.00850141137</v>
      </c>
      <c r="AQ35" s="12">
        <v>12701.02837634927</v>
      </c>
      <c r="AR35" s="12">
        <v>14875.14346220488</v>
      </c>
      <c r="AS35" s="12">
        <v>14676.151476967079</v>
      </c>
      <c r="AT35" s="12">
        <v>14884.501685957401</v>
      </c>
      <c r="AU35" s="12">
        <v>15091.481156280001</v>
      </c>
      <c r="AV35" s="12">
        <v>18596.405254841411</v>
      </c>
      <c r="AW35" s="12">
        <v>19492.5826063434</v>
      </c>
      <c r="AX35" s="12">
        <v>24629.902169704939</v>
      </c>
      <c r="AY35" s="12">
        <v>22248.083928884062</v>
      </c>
      <c r="AZ35" s="12">
        <v>69340.294823195785</v>
      </c>
      <c r="BA35" s="12">
        <v>5618.1342019358881</v>
      </c>
      <c r="BB35" s="12">
        <v>11096153.31951434</v>
      </c>
      <c r="BC35" s="12">
        <v>0</v>
      </c>
      <c r="BD35" s="12">
        <v>0</v>
      </c>
      <c r="BE35" s="12">
        <v>113.88124236272159</v>
      </c>
      <c r="BF35" s="12">
        <v>38.898801646614316</v>
      </c>
      <c r="BG35" s="12">
        <v>55.169628729697429</v>
      </c>
      <c r="BH35" s="12">
        <v>96.982818250334432</v>
      </c>
      <c r="BI35" s="12">
        <v>110.838123131754</v>
      </c>
      <c r="BJ35" s="12">
        <v>79.719929499447147</v>
      </c>
      <c r="BK35" s="12">
        <v>0.16794370348646889</v>
      </c>
      <c r="BL35" s="12">
        <v>3.2164277527651621</v>
      </c>
      <c r="BM35" s="12">
        <v>11.396627436992411</v>
      </c>
      <c r="BN35" s="12">
        <v>0</v>
      </c>
      <c r="BO35" s="12">
        <v>0</v>
      </c>
      <c r="BP35" s="12">
        <v>0</v>
      </c>
      <c r="BQ35" s="12" t="s">
        <v>685</v>
      </c>
    </row>
    <row r="36" spans="1:69" x14ac:dyDescent="0.25">
      <c r="A36" s="12" t="s">
        <v>686</v>
      </c>
      <c r="B36" s="12" t="s">
        <v>29</v>
      </c>
      <c r="C36" s="12">
        <v>2017</v>
      </c>
      <c r="D36" s="12" t="s">
        <v>381</v>
      </c>
      <c r="E36" s="12" t="s">
        <v>145</v>
      </c>
      <c r="F36" s="12" t="s">
        <v>78</v>
      </c>
      <c r="G36" s="12">
        <v>2</v>
      </c>
      <c r="H36" s="12">
        <v>2.074575178094098</v>
      </c>
      <c r="I36" s="12">
        <v>0</v>
      </c>
      <c r="J36" s="12">
        <v>4.8565997858305749</v>
      </c>
      <c r="K36" s="12">
        <v>8.5734310871629997</v>
      </c>
      <c r="L36" s="12">
        <v>0</v>
      </c>
      <c r="M36" s="12">
        <v>2.8897565119470841</v>
      </c>
      <c r="N36" s="12">
        <v>0</v>
      </c>
      <c r="O36" s="12">
        <v>5.2211984020525346</v>
      </c>
      <c r="P36" s="12">
        <v>0</v>
      </c>
      <c r="Q36" s="12">
        <v>4.1523356836873502</v>
      </c>
      <c r="R36" s="12">
        <v>65.902076652279064</v>
      </c>
      <c r="S36" s="12">
        <v>0</v>
      </c>
      <c r="T36" s="12">
        <v>0</v>
      </c>
      <c r="U36" s="12">
        <v>4.1831380375427036</v>
      </c>
      <c r="V36" s="12">
        <v>4.47127247428533</v>
      </c>
      <c r="W36" s="12">
        <v>0</v>
      </c>
      <c r="X36" s="12">
        <v>3.1574986737583659</v>
      </c>
      <c r="Y36" s="12">
        <v>0</v>
      </c>
      <c r="Z36" s="12">
        <v>0</v>
      </c>
      <c r="AA36" s="12">
        <v>0</v>
      </c>
      <c r="AB36" s="12">
        <v>3.1147426961896612</v>
      </c>
      <c r="AC36" s="12">
        <v>6.8724180690934871</v>
      </c>
      <c r="AD36" s="12">
        <v>8.3165151797478902</v>
      </c>
      <c r="AE36" s="12">
        <v>0</v>
      </c>
      <c r="AF36" s="12">
        <v>5.469508363016562</v>
      </c>
      <c r="AG36" s="12">
        <v>2958.6983788218631</v>
      </c>
      <c r="AH36" s="12">
        <v>7719.2541162810558</v>
      </c>
      <c r="AI36" s="12">
        <v>7718.9615883788001</v>
      </c>
      <c r="AJ36" s="12">
        <v>8469.829599887973</v>
      </c>
      <c r="AK36" s="12">
        <v>9039.0021245124281</v>
      </c>
      <c r="AL36" s="12">
        <v>9164.6005760054322</v>
      </c>
      <c r="AM36" s="12">
        <v>10370.69499790458</v>
      </c>
      <c r="AN36" s="12">
        <v>11119.19805346535</v>
      </c>
      <c r="AO36" s="12">
        <v>10657.96878748577</v>
      </c>
      <c r="AP36" s="12">
        <v>13205.2020708727</v>
      </c>
      <c r="AQ36" s="12">
        <v>12836.48263173546</v>
      </c>
      <c r="AR36" s="12">
        <v>14142.443516118121</v>
      </c>
      <c r="AS36" s="12">
        <v>13732.062460490069</v>
      </c>
      <c r="AT36" s="12">
        <v>14774.369282030269</v>
      </c>
      <c r="AU36" s="12">
        <v>15522.922824945101</v>
      </c>
      <c r="AV36" s="12">
        <v>19550.323487723192</v>
      </c>
      <c r="AW36" s="12">
        <v>18697.385950818421</v>
      </c>
      <c r="AX36" s="12">
        <v>21986.130804154051</v>
      </c>
      <c r="AY36" s="12">
        <v>22647.936433438528</v>
      </c>
      <c r="AZ36" s="12">
        <v>64191.651923741803</v>
      </c>
      <c r="BA36" s="12">
        <v>7182.3229141350539</v>
      </c>
      <c r="BB36" s="12">
        <v>10231250.376974169</v>
      </c>
      <c r="BC36" s="12">
        <v>0</v>
      </c>
      <c r="BD36" s="12">
        <v>0</v>
      </c>
      <c r="BE36" s="12">
        <v>110.7927357320315</v>
      </c>
      <c r="BF36" s="12">
        <v>51.813884586058663</v>
      </c>
      <c r="BG36" s="12">
        <v>66.120390349432995</v>
      </c>
      <c r="BH36" s="12">
        <v>103.9433308224293</v>
      </c>
      <c r="BI36" s="12">
        <v>102.98143239112341</v>
      </c>
      <c r="BJ36" s="12">
        <v>92.650549184825138</v>
      </c>
      <c r="BK36" s="12">
        <v>1.021534430520676E-2</v>
      </c>
      <c r="BL36" s="12">
        <v>1.248727284995017E-2</v>
      </c>
      <c r="BM36" s="12">
        <v>10.440499890817749</v>
      </c>
      <c r="BN36" s="12">
        <v>0</v>
      </c>
      <c r="BO36" s="12">
        <v>0</v>
      </c>
      <c r="BP36" s="12">
        <v>0</v>
      </c>
      <c r="BQ36" s="12" t="s">
        <v>687</v>
      </c>
    </row>
    <row r="37" spans="1:69" x14ac:dyDescent="0.25">
      <c r="A37" s="12" t="s">
        <v>688</v>
      </c>
      <c r="B37" s="12" t="s">
        <v>29</v>
      </c>
      <c r="C37" s="12">
        <v>2017</v>
      </c>
      <c r="D37" s="12" t="s">
        <v>381</v>
      </c>
      <c r="E37" s="12" t="s">
        <v>145</v>
      </c>
      <c r="F37" s="12" t="s">
        <v>78</v>
      </c>
      <c r="G37" s="12">
        <v>3</v>
      </c>
      <c r="H37" s="12">
        <v>1.9481104741775961</v>
      </c>
      <c r="I37" s="12">
        <v>0</v>
      </c>
      <c r="J37" s="12">
        <v>4.2307846685256081</v>
      </c>
      <c r="K37" s="12">
        <v>8.6965726125553857</v>
      </c>
      <c r="L37" s="12">
        <v>0</v>
      </c>
      <c r="M37" s="12">
        <v>3.0530414019896668</v>
      </c>
      <c r="N37" s="12">
        <v>0</v>
      </c>
      <c r="O37" s="12">
        <v>6.2947194379371849</v>
      </c>
      <c r="P37" s="12">
        <v>0</v>
      </c>
      <c r="Q37" s="12">
        <v>4.1082580813255722</v>
      </c>
      <c r="R37" s="12">
        <v>65.878398144252273</v>
      </c>
      <c r="S37" s="12">
        <v>0</v>
      </c>
      <c r="T37" s="12">
        <v>0</v>
      </c>
      <c r="U37" s="12">
        <v>4.3854255666266351</v>
      </c>
      <c r="V37" s="12">
        <v>4.8418925917264968</v>
      </c>
      <c r="W37" s="12">
        <v>0</v>
      </c>
      <c r="X37" s="12">
        <v>2.8173220382838391</v>
      </c>
      <c r="Y37" s="12">
        <v>0</v>
      </c>
      <c r="Z37" s="12">
        <v>0</v>
      </c>
      <c r="AA37" s="12">
        <v>0</v>
      </c>
      <c r="AB37" s="12">
        <v>3.2571393828665709</v>
      </c>
      <c r="AC37" s="12">
        <v>6.4433442640483047</v>
      </c>
      <c r="AD37" s="12">
        <v>8.8766049741593598</v>
      </c>
      <c r="AE37" s="12">
        <v>0</v>
      </c>
      <c r="AF37" s="12">
        <v>5.7996477098882533</v>
      </c>
      <c r="AG37" s="12">
        <v>2951.561422012966</v>
      </c>
      <c r="AH37" s="12">
        <v>7333.2268240409521</v>
      </c>
      <c r="AI37" s="12">
        <v>6722.4945158749942</v>
      </c>
      <c r="AJ37" s="12">
        <v>8347.9435266831442</v>
      </c>
      <c r="AK37" s="12">
        <v>8844.2801817949439</v>
      </c>
      <c r="AL37" s="12">
        <v>9882.3006476724768</v>
      </c>
      <c r="AM37" s="12">
        <v>10495.447355225069</v>
      </c>
      <c r="AN37" s="12">
        <v>10391.435649088249</v>
      </c>
      <c r="AO37" s="12">
        <v>10752.607674881339</v>
      </c>
      <c r="AP37" s="12">
        <v>13178.37769263687</v>
      </c>
      <c r="AQ37" s="12">
        <v>12240.896848689359</v>
      </c>
      <c r="AR37" s="12">
        <v>13491.79676328007</v>
      </c>
      <c r="AS37" s="12">
        <v>12827.04842392418</v>
      </c>
      <c r="AT37" s="12">
        <v>14807.131188573399</v>
      </c>
      <c r="AU37" s="12">
        <v>16644.324540607711</v>
      </c>
      <c r="AV37" s="12">
        <v>19645.993533966059</v>
      </c>
      <c r="AW37" s="12">
        <v>17233.18511094612</v>
      </c>
      <c r="AX37" s="12">
        <v>22807.380596576309</v>
      </c>
      <c r="AY37" s="12">
        <v>22528.741432458719</v>
      </c>
      <c r="AZ37" s="12">
        <v>63817.74695389429</v>
      </c>
      <c r="BA37" s="12">
        <v>9093.6707742119124</v>
      </c>
      <c r="BB37" s="12">
        <v>10164078.666197941</v>
      </c>
      <c r="BC37" s="12">
        <v>0</v>
      </c>
      <c r="BD37" s="12">
        <v>0</v>
      </c>
      <c r="BE37" s="12">
        <v>109.1651123242133</v>
      </c>
      <c r="BF37" s="12">
        <v>57.073538198762087</v>
      </c>
      <c r="BG37" s="12">
        <v>69.401252349567656</v>
      </c>
      <c r="BH37" s="12">
        <v>102.6644165535272</v>
      </c>
      <c r="BI37" s="12">
        <v>109.3917110318235</v>
      </c>
      <c r="BJ37" s="12">
        <v>96.786960433686517</v>
      </c>
      <c r="BK37" s="12">
        <v>0</v>
      </c>
      <c r="BL37" s="12">
        <v>7.2143807889110123E-3</v>
      </c>
      <c r="BM37" s="12">
        <v>10.82265270680082</v>
      </c>
      <c r="BN37" s="12">
        <v>0</v>
      </c>
      <c r="BO37" s="12">
        <v>0</v>
      </c>
      <c r="BP37" s="12">
        <v>0</v>
      </c>
      <c r="BQ37" s="12" t="s">
        <v>689</v>
      </c>
    </row>
    <row r="38" spans="1:69" x14ac:dyDescent="0.25">
      <c r="A38" s="12" t="s">
        <v>690</v>
      </c>
      <c r="B38" s="12" t="s">
        <v>29</v>
      </c>
      <c r="C38" s="12">
        <v>2017</v>
      </c>
      <c r="D38" s="12" t="s">
        <v>381</v>
      </c>
      <c r="E38" s="12" t="s">
        <v>145</v>
      </c>
      <c r="F38" s="12" t="s">
        <v>78</v>
      </c>
      <c r="G38" s="12">
        <v>4</v>
      </c>
      <c r="H38" s="12">
        <v>2.169868195332135</v>
      </c>
      <c r="I38" s="12">
        <v>0</v>
      </c>
      <c r="J38" s="12">
        <v>4.6483596051939706</v>
      </c>
      <c r="K38" s="12">
        <v>8.3857617568974945</v>
      </c>
      <c r="L38" s="12">
        <v>0</v>
      </c>
      <c r="M38" s="12">
        <v>3.3484592365201409</v>
      </c>
      <c r="N38" s="12">
        <v>0</v>
      </c>
      <c r="O38" s="12">
        <v>6.4426038917589779</v>
      </c>
      <c r="P38" s="12">
        <v>0</v>
      </c>
      <c r="Q38" s="12">
        <v>3.7014892942596789</v>
      </c>
      <c r="R38" s="12">
        <v>64.692533781982689</v>
      </c>
      <c r="S38" s="12">
        <v>0</v>
      </c>
      <c r="T38" s="12">
        <v>0</v>
      </c>
      <c r="U38" s="12">
        <v>5.1205446992595798</v>
      </c>
      <c r="V38" s="12">
        <v>5.0238555958983877</v>
      </c>
      <c r="W38" s="12">
        <v>0</v>
      </c>
      <c r="X38" s="12">
        <v>2.4989490513322541</v>
      </c>
      <c r="Y38" s="12">
        <v>0</v>
      </c>
      <c r="Z38" s="12">
        <v>0</v>
      </c>
      <c r="AA38" s="12">
        <v>0</v>
      </c>
      <c r="AB38" s="12">
        <v>2.904296502109283</v>
      </c>
      <c r="AC38" s="12">
        <v>7.6108983987942143</v>
      </c>
      <c r="AD38" s="12">
        <v>8.19177638683054</v>
      </c>
      <c r="AE38" s="12">
        <v>0</v>
      </c>
      <c r="AF38" s="12">
        <v>6.0465057765898473</v>
      </c>
      <c r="AG38" s="12">
        <v>3166.7134875076558</v>
      </c>
      <c r="AH38" s="12">
        <v>6695.5183171934641</v>
      </c>
      <c r="AI38" s="12">
        <v>6999.4521944324733</v>
      </c>
      <c r="AJ38" s="12">
        <v>8921.631589596469</v>
      </c>
      <c r="AK38" s="12">
        <v>9065.7595348735795</v>
      </c>
      <c r="AL38" s="12">
        <v>9489.8751342434989</v>
      </c>
      <c r="AM38" s="12">
        <v>9721.0738423091498</v>
      </c>
      <c r="AN38" s="12">
        <v>10227.012146438639</v>
      </c>
      <c r="AO38" s="12">
        <v>11727.321334550519</v>
      </c>
      <c r="AP38" s="12">
        <v>11833.466266953779</v>
      </c>
      <c r="AQ38" s="12">
        <v>12656.848381313741</v>
      </c>
      <c r="AR38" s="12">
        <v>14176.37367181182</v>
      </c>
      <c r="AS38" s="12">
        <v>14826.012539927089</v>
      </c>
      <c r="AT38" s="12">
        <v>16729.97076472258</v>
      </c>
      <c r="AU38" s="12">
        <v>16122.136316209169</v>
      </c>
      <c r="AV38" s="12">
        <v>19016.052781599141</v>
      </c>
      <c r="AW38" s="12">
        <v>17787.56392746868</v>
      </c>
      <c r="AX38" s="12">
        <v>24358.88201761273</v>
      </c>
      <c r="AY38" s="12">
        <v>22951.845820070419</v>
      </c>
      <c r="AZ38" s="12">
        <v>64016.881290237186</v>
      </c>
      <c r="BA38" s="12">
        <v>9361.0741498500829</v>
      </c>
      <c r="BB38" s="12">
        <v>10988503.662172601</v>
      </c>
      <c r="BC38" s="12">
        <v>0</v>
      </c>
      <c r="BD38" s="12">
        <v>0</v>
      </c>
      <c r="BE38" s="12">
        <v>112.6436509415727</v>
      </c>
      <c r="BF38" s="12">
        <v>62.778146955119091</v>
      </c>
      <c r="BG38" s="12">
        <v>78.026276449716974</v>
      </c>
      <c r="BH38" s="12">
        <v>100.7653095837085</v>
      </c>
      <c r="BI38" s="12">
        <v>108.2345887350728</v>
      </c>
      <c r="BJ38" s="12">
        <v>95.669052263161177</v>
      </c>
      <c r="BK38" s="12">
        <v>0</v>
      </c>
      <c r="BL38" s="12">
        <v>0</v>
      </c>
      <c r="BM38" s="12">
        <v>4.9351984598302936</v>
      </c>
      <c r="BN38" s="12">
        <v>0</v>
      </c>
      <c r="BO38" s="12">
        <v>0</v>
      </c>
      <c r="BP38" s="12">
        <v>0</v>
      </c>
      <c r="BQ38" s="12" t="s">
        <v>691</v>
      </c>
    </row>
    <row r="39" spans="1:69" x14ac:dyDescent="0.25">
      <c r="A39" s="12" t="s">
        <v>692</v>
      </c>
      <c r="B39" s="12" t="s">
        <v>29</v>
      </c>
      <c r="C39" s="12">
        <v>2017</v>
      </c>
      <c r="D39" s="12" t="s">
        <v>381</v>
      </c>
      <c r="E39" s="12" t="s">
        <v>145</v>
      </c>
      <c r="F39" s="12" t="s">
        <v>78</v>
      </c>
      <c r="G39" s="12">
        <v>5</v>
      </c>
      <c r="H39" s="12">
        <v>2.1892654446689201</v>
      </c>
      <c r="I39" s="12">
        <v>0</v>
      </c>
      <c r="J39" s="12">
        <v>4.2536930186389261</v>
      </c>
      <c r="K39" s="12">
        <v>8.7194476961729848</v>
      </c>
      <c r="L39" s="12">
        <v>0</v>
      </c>
      <c r="M39" s="12">
        <v>3.8665093074134829</v>
      </c>
      <c r="N39" s="12">
        <v>0</v>
      </c>
      <c r="O39" s="12">
        <v>6.6659239516523527</v>
      </c>
      <c r="P39" s="12">
        <v>0</v>
      </c>
      <c r="Q39" s="12">
        <v>4.0777541387370357</v>
      </c>
      <c r="R39" s="12">
        <v>63.406020579038369</v>
      </c>
      <c r="S39" s="12">
        <v>0</v>
      </c>
      <c r="T39" s="12">
        <v>0</v>
      </c>
      <c r="U39" s="12">
        <v>5.1449805618453821</v>
      </c>
      <c r="V39" s="12">
        <v>4.7301432618755168</v>
      </c>
      <c r="W39" s="12">
        <v>0</v>
      </c>
      <c r="X39" s="12">
        <v>2.340991569552433</v>
      </c>
      <c r="Y39" s="12">
        <v>0.56967780103515198</v>
      </c>
      <c r="Z39" s="12">
        <v>0</v>
      </c>
      <c r="AA39" s="12">
        <v>0</v>
      </c>
      <c r="AB39" s="12">
        <v>2.8194738523764449</v>
      </c>
      <c r="AC39" s="12">
        <v>7.4599614674103139</v>
      </c>
      <c r="AD39" s="12">
        <v>8.4274737585136155</v>
      </c>
      <c r="AE39" s="12">
        <v>0</v>
      </c>
      <c r="AF39" s="12">
        <v>5.8787738323662326</v>
      </c>
      <c r="AG39" s="12">
        <v>3023.442064841825</v>
      </c>
      <c r="AH39" s="12">
        <v>7650.6574662569619</v>
      </c>
      <c r="AI39" s="12">
        <v>7345.0483242816063</v>
      </c>
      <c r="AJ39" s="12">
        <v>7989.7610118992316</v>
      </c>
      <c r="AK39" s="12">
        <v>9233.5801371617727</v>
      </c>
      <c r="AL39" s="12">
        <v>9663.2946875812122</v>
      </c>
      <c r="AM39" s="12">
        <v>10196.80863372318</v>
      </c>
      <c r="AN39" s="12">
        <v>11687.42873114523</v>
      </c>
      <c r="AO39" s="12">
        <v>10399.37431558772</v>
      </c>
      <c r="AP39" s="12">
        <v>12289.61507996573</v>
      </c>
      <c r="AQ39" s="12">
        <v>12276.529620987611</v>
      </c>
      <c r="AR39" s="12">
        <v>13643.32436086204</v>
      </c>
      <c r="AS39" s="12">
        <v>14470.93948522453</v>
      </c>
      <c r="AT39" s="12">
        <v>16691.786719661239</v>
      </c>
      <c r="AU39" s="12">
        <v>15990.95709868005</v>
      </c>
      <c r="AV39" s="12">
        <v>18225.30517487731</v>
      </c>
      <c r="AW39" s="12">
        <v>17218.315432437968</v>
      </c>
      <c r="AX39" s="12">
        <v>21843.05010996354</v>
      </c>
      <c r="AY39" s="12">
        <v>24900.78855756902</v>
      </c>
      <c r="AZ39" s="12">
        <v>60430.54271664744</v>
      </c>
      <c r="BA39" s="12">
        <v>10815.20015566682</v>
      </c>
      <c r="BB39" s="12">
        <v>11207322.26612936</v>
      </c>
      <c r="BC39" s="12">
        <v>0</v>
      </c>
      <c r="BD39" s="12">
        <v>0</v>
      </c>
      <c r="BE39" s="12">
        <v>101.6150170389098</v>
      </c>
      <c r="BF39" s="12">
        <v>71.10396973695596</v>
      </c>
      <c r="BG39" s="12">
        <v>85.472060513010263</v>
      </c>
      <c r="BH39" s="12">
        <v>107.3294903493971</v>
      </c>
      <c r="BI39" s="12">
        <v>114.3336318199725</v>
      </c>
      <c r="BJ39" s="12">
        <v>100.3352036627885</v>
      </c>
      <c r="BK39" s="12">
        <v>0</v>
      </c>
      <c r="BL39" s="12">
        <v>0</v>
      </c>
      <c r="BM39" s="12">
        <v>0.67479545545791964</v>
      </c>
      <c r="BN39" s="12">
        <v>0</v>
      </c>
      <c r="BO39" s="12">
        <v>0</v>
      </c>
      <c r="BP39" s="12">
        <v>0</v>
      </c>
      <c r="BQ39" s="12" t="s">
        <v>693</v>
      </c>
    </row>
    <row r="40" spans="1:69" x14ac:dyDescent="0.25">
      <c r="A40" s="12" t="s">
        <v>694</v>
      </c>
      <c r="B40" s="12" t="s">
        <v>29</v>
      </c>
      <c r="C40" s="12">
        <v>2017</v>
      </c>
      <c r="D40" s="12" t="s">
        <v>381</v>
      </c>
      <c r="E40" s="12" t="s">
        <v>145</v>
      </c>
      <c r="F40" s="12" t="s">
        <v>78</v>
      </c>
      <c r="G40" s="12">
        <v>6</v>
      </c>
      <c r="H40" s="12">
        <v>2.1263403607983</v>
      </c>
      <c r="I40" s="12">
        <v>0</v>
      </c>
      <c r="J40" s="12">
        <v>4.6388162453233939</v>
      </c>
      <c r="K40" s="12">
        <v>7.9905354759782412</v>
      </c>
      <c r="L40" s="12">
        <v>0</v>
      </c>
      <c r="M40" s="12">
        <v>3.852333722556093</v>
      </c>
      <c r="N40" s="12">
        <v>0</v>
      </c>
      <c r="O40" s="12">
        <v>6.6517349364037646</v>
      </c>
      <c r="P40" s="12">
        <v>0</v>
      </c>
      <c r="Q40" s="12">
        <v>4.0424394313600729</v>
      </c>
      <c r="R40" s="12">
        <v>66.512025137325026</v>
      </c>
      <c r="S40" s="12">
        <v>0</v>
      </c>
      <c r="T40" s="12">
        <v>0</v>
      </c>
      <c r="U40" s="12">
        <v>5.5738689841363822</v>
      </c>
      <c r="V40" s="12">
        <v>5.1272750750249623</v>
      </c>
      <c r="W40" s="12">
        <v>0</v>
      </c>
      <c r="X40" s="12">
        <v>2.387565015270499</v>
      </c>
      <c r="Y40" s="12">
        <v>0.58749560410849744</v>
      </c>
      <c r="Z40" s="12">
        <v>0</v>
      </c>
      <c r="AA40" s="12">
        <v>0</v>
      </c>
      <c r="AB40" s="12">
        <v>2.8592328698051812</v>
      </c>
      <c r="AC40" s="12">
        <v>9.2324046694263124</v>
      </c>
      <c r="AD40" s="12">
        <v>8.6811390250477878</v>
      </c>
      <c r="AE40" s="12">
        <v>0</v>
      </c>
      <c r="AF40" s="12">
        <v>5.6881441295326622</v>
      </c>
      <c r="AG40" s="12">
        <v>3015.330273369595</v>
      </c>
      <c r="AH40" s="12">
        <v>7354.7164462355831</v>
      </c>
      <c r="AI40" s="12">
        <v>7759.4619355013483</v>
      </c>
      <c r="AJ40" s="12">
        <v>9189.5122044992368</v>
      </c>
      <c r="AK40" s="12">
        <v>8957.2488617254039</v>
      </c>
      <c r="AL40" s="12">
        <v>9282.1616763671518</v>
      </c>
      <c r="AM40" s="12">
        <v>10115.237294390699</v>
      </c>
      <c r="AN40" s="12">
        <v>10564.59728461556</v>
      </c>
      <c r="AO40" s="12">
        <v>10891.034468173189</v>
      </c>
      <c r="AP40" s="12">
        <v>12195.595585642021</v>
      </c>
      <c r="AQ40" s="12">
        <v>11513.91118322989</v>
      </c>
      <c r="AR40" s="12">
        <v>13121.13541823336</v>
      </c>
      <c r="AS40" s="12">
        <v>14408.28391806286</v>
      </c>
      <c r="AT40" s="12">
        <v>15061.190272686301</v>
      </c>
      <c r="AU40" s="12">
        <v>16434.240949746949</v>
      </c>
      <c r="AV40" s="12">
        <v>18416.843860995661</v>
      </c>
      <c r="AW40" s="12">
        <v>17695.384779041571</v>
      </c>
      <c r="AX40" s="12">
        <v>21813.514215373329</v>
      </c>
      <c r="AY40" s="12">
        <v>22030.960429234739</v>
      </c>
      <c r="AZ40" s="12">
        <v>66103.549284223176</v>
      </c>
      <c r="BA40" s="12">
        <v>12215.08063951095</v>
      </c>
      <c r="BB40" s="12">
        <v>10369503.054202709</v>
      </c>
      <c r="BC40" s="12">
        <v>0</v>
      </c>
      <c r="BD40" s="12">
        <v>0</v>
      </c>
      <c r="BE40" s="12">
        <v>108.1330911500895</v>
      </c>
      <c r="BF40" s="12">
        <v>80.039143002289336</v>
      </c>
      <c r="BG40" s="12">
        <v>83.270058729334608</v>
      </c>
      <c r="BH40" s="12">
        <v>111.9320168493733</v>
      </c>
      <c r="BI40" s="12">
        <v>100.1026251959173</v>
      </c>
      <c r="BJ40" s="12">
        <v>100.549590253373</v>
      </c>
      <c r="BK40" s="12">
        <v>0</v>
      </c>
      <c r="BL40" s="12">
        <v>0</v>
      </c>
      <c r="BM40" s="12">
        <v>0.1610144156173533</v>
      </c>
      <c r="BN40" s="12">
        <v>0</v>
      </c>
      <c r="BO40" s="12">
        <v>0</v>
      </c>
      <c r="BP40" s="12">
        <v>0</v>
      </c>
      <c r="BQ40" s="12" t="s">
        <v>695</v>
      </c>
    </row>
    <row r="41" spans="1:69" x14ac:dyDescent="0.25">
      <c r="A41" s="12" t="s">
        <v>696</v>
      </c>
      <c r="B41" s="12" t="s">
        <v>29</v>
      </c>
      <c r="C41" s="12">
        <v>2017</v>
      </c>
      <c r="D41" s="12" t="s">
        <v>381</v>
      </c>
      <c r="E41" s="12" t="s">
        <v>145</v>
      </c>
      <c r="F41" s="12" t="s">
        <v>78</v>
      </c>
      <c r="G41" s="12">
        <v>7</v>
      </c>
      <c r="H41" s="12">
        <v>2.0512379856625729</v>
      </c>
      <c r="I41" s="12">
        <v>0</v>
      </c>
      <c r="J41" s="12">
        <v>4.1288953842949478</v>
      </c>
      <c r="K41" s="12">
        <v>8.0772217094922905</v>
      </c>
      <c r="L41" s="12">
        <v>0</v>
      </c>
      <c r="M41" s="12">
        <v>3.8806684464547589</v>
      </c>
      <c r="N41" s="12">
        <v>0</v>
      </c>
      <c r="O41" s="12">
        <v>5.8299379475023718</v>
      </c>
      <c r="P41" s="12">
        <v>0</v>
      </c>
      <c r="Q41" s="12">
        <v>4.2888272447978482</v>
      </c>
      <c r="R41" s="12">
        <v>63.50794069873487</v>
      </c>
      <c r="S41" s="12">
        <v>0</v>
      </c>
      <c r="T41" s="12">
        <v>0</v>
      </c>
      <c r="U41" s="12">
        <v>6.143029131960839</v>
      </c>
      <c r="V41" s="12">
        <v>5.5420900309992636</v>
      </c>
      <c r="W41" s="12">
        <v>0</v>
      </c>
      <c r="X41" s="12">
        <v>2.1980724598849259</v>
      </c>
      <c r="Y41" s="12">
        <v>0.59737816033473112</v>
      </c>
      <c r="Z41" s="12">
        <v>0</v>
      </c>
      <c r="AA41" s="12">
        <v>0</v>
      </c>
      <c r="AB41" s="12">
        <v>2.5434289298545751</v>
      </c>
      <c r="AC41" s="12">
        <v>9.011688304330459</v>
      </c>
      <c r="AD41" s="12">
        <v>8.9124756289050779</v>
      </c>
      <c r="AE41" s="12">
        <v>0</v>
      </c>
      <c r="AF41" s="12">
        <v>6.4172990529348706</v>
      </c>
      <c r="AG41" s="12">
        <v>2967.8664103487249</v>
      </c>
      <c r="AH41" s="12">
        <v>7335.6378698983344</v>
      </c>
      <c r="AI41" s="12">
        <v>6752.3460033981446</v>
      </c>
      <c r="AJ41" s="12">
        <v>7905.932619600364</v>
      </c>
      <c r="AK41" s="12">
        <v>9238.7844036398692</v>
      </c>
      <c r="AL41" s="12">
        <v>10063.94499776024</v>
      </c>
      <c r="AM41" s="12">
        <v>9576.1223480154131</v>
      </c>
      <c r="AN41" s="12">
        <v>11032.02084598363</v>
      </c>
      <c r="AO41" s="12">
        <v>10731.19528000334</v>
      </c>
      <c r="AP41" s="12">
        <v>12129.91662966265</v>
      </c>
      <c r="AQ41" s="12">
        <v>11821.456570625091</v>
      </c>
      <c r="AR41" s="12">
        <v>13589.862949039019</v>
      </c>
      <c r="AS41" s="12">
        <v>13081.96096773727</v>
      </c>
      <c r="AT41" s="12">
        <v>15755.558172410871</v>
      </c>
      <c r="AU41" s="12">
        <v>16148.134404961491</v>
      </c>
      <c r="AV41" s="12">
        <v>17408.50446253211</v>
      </c>
      <c r="AW41" s="12">
        <v>19612.697399681361</v>
      </c>
      <c r="AX41" s="12">
        <v>22137.760434605239</v>
      </c>
      <c r="AY41" s="12">
        <v>24433.602532572881</v>
      </c>
      <c r="AZ41" s="12">
        <v>67128.171853916981</v>
      </c>
      <c r="BA41" s="12">
        <v>13814.963311756121</v>
      </c>
      <c r="BB41" s="12">
        <v>9947880.5339581911</v>
      </c>
      <c r="BC41" s="12">
        <v>0</v>
      </c>
      <c r="BD41" s="12">
        <v>0</v>
      </c>
      <c r="BE41" s="12">
        <v>99.566689592940975</v>
      </c>
      <c r="BF41" s="12">
        <v>73.390994198093679</v>
      </c>
      <c r="BG41" s="12">
        <v>93.615279106469814</v>
      </c>
      <c r="BH41" s="12">
        <v>102.1047525237005</v>
      </c>
      <c r="BI41" s="12">
        <v>100.3415223327265</v>
      </c>
      <c r="BJ41" s="12">
        <v>103.2052971302594</v>
      </c>
      <c r="BK41" s="12">
        <v>0</v>
      </c>
      <c r="BL41" s="12">
        <v>0</v>
      </c>
      <c r="BM41" s="12">
        <v>3.161065784700496E-2</v>
      </c>
      <c r="BN41" s="12">
        <v>0</v>
      </c>
      <c r="BO41" s="12">
        <v>0</v>
      </c>
      <c r="BP41" s="12">
        <v>0</v>
      </c>
      <c r="BQ41" s="12" t="s">
        <v>697</v>
      </c>
    </row>
    <row r="42" spans="1:69" x14ac:dyDescent="0.25">
      <c r="A42" s="12" t="s">
        <v>698</v>
      </c>
      <c r="B42" s="12" t="s">
        <v>29</v>
      </c>
      <c r="C42" s="12">
        <v>2017</v>
      </c>
      <c r="D42" s="12" t="s">
        <v>381</v>
      </c>
      <c r="E42" s="12" t="s">
        <v>145</v>
      </c>
      <c r="F42" s="12" t="s">
        <v>78</v>
      </c>
      <c r="G42" s="12">
        <v>8</v>
      </c>
      <c r="H42" s="12">
        <v>2.001293155922514</v>
      </c>
      <c r="I42" s="12">
        <v>0</v>
      </c>
      <c r="J42" s="12">
        <v>4.3472817601660214</v>
      </c>
      <c r="K42" s="12">
        <v>7.4160622938570757</v>
      </c>
      <c r="L42" s="12">
        <v>0</v>
      </c>
      <c r="M42" s="12">
        <v>4.431949806743237</v>
      </c>
      <c r="N42" s="12">
        <v>0</v>
      </c>
      <c r="O42" s="12">
        <v>4.7312027267325556</v>
      </c>
      <c r="P42" s="12">
        <v>0</v>
      </c>
      <c r="Q42" s="12">
        <v>4.376073836297226</v>
      </c>
      <c r="R42" s="12">
        <v>66.292980793477852</v>
      </c>
      <c r="S42" s="12">
        <v>0</v>
      </c>
      <c r="T42" s="12">
        <v>0</v>
      </c>
      <c r="U42" s="12">
        <v>6.4801719703760492</v>
      </c>
      <c r="V42" s="12">
        <v>5.5156102420658062</v>
      </c>
      <c r="W42" s="12">
        <v>0</v>
      </c>
      <c r="X42" s="12">
        <v>2.3961749968920349</v>
      </c>
      <c r="Y42" s="12">
        <v>0.66721865339407549</v>
      </c>
      <c r="Z42" s="12">
        <v>0</v>
      </c>
      <c r="AA42" s="12">
        <v>0</v>
      </c>
      <c r="AB42" s="12">
        <v>2.161726573210089</v>
      </c>
      <c r="AC42" s="12">
        <v>11.760048119020871</v>
      </c>
      <c r="AD42" s="12">
        <v>8.6006447687885874</v>
      </c>
      <c r="AE42" s="12">
        <v>0</v>
      </c>
      <c r="AF42" s="12">
        <v>6.3654127215265834</v>
      </c>
      <c r="AG42" s="12">
        <v>3160.4212129107209</v>
      </c>
      <c r="AH42" s="12">
        <v>7097.7915099883803</v>
      </c>
      <c r="AI42" s="12">
        <v>7480.8033961474548</v>
      </c>
      <c r="AJ42" s="12">
        <v>9015.265240330551</v>
      </c>
      <c r="AK42" s="12">
        <v>8706.4272962133527</v>
      </c>
      <c r="AL42" s="12">
        <v>9426.4071274031376</v>
      </c>
      <c r="AM42" s="12">
        <v>10383.35917732648</v>
      </c>
      <c r="AN42" s="12">
        <v>11273.207127803769</v>
      </c>
      <c r="AO42" s="12">
        <v>11491.662134548171</v>
      </c>
      <c r="AP42" s="12">
        <v>12132.073811320781</v>
      </c>
      <c r="AQ42" s="12">
        <v>11799.410679005319</v>
      </c>
      <c r="AR42" s="12">
        <v>13090.535124989039</v>
      </c>
      <c r="AS42" s="12">
        <v>14492.780530309061</v>
      </c>
      <c r="AT42" s="12">
        <v>14789.50061111705</v>
      </c>
      <c r="AU42" s="12">
        <v>16545.012642043672</v>
      </c>
      <c r="AV42" s="12">
        <v>17845.380356212911</v>
      </c>
      <c r="AW42" s="12">
        <v>17993.697852202178</v>
      </c>
      <c r="AX42" s="12">
        <v>22933.205099590479</v>
      </c>
      <c r="AY42" s="12">
        <v>21849.905657286639</v>
      </c>
      <c r="AZ42" s="12">
        <v>66296.186495656657</v>
      </c>
      <c r="BA42" s="12">
        <v>17103.737550907481</v>
      </c>
      <c r="BB42" s="12">
        <v>10081276.838003291</v>
      </c>
      <c r="BC42" s="12">
        <v>0</v>
      </c>
      <c r="BD42" s="12">
        <v>0</v>
      </c>
      <c r="BE42" s="12">
        <v>104.2484642216728</v>
      </c>
      <c r="BF42" s="12">
        <v>77.570157654639601</v>
      </c>
      <c r="BG42" s="12">
        <v>93.718225964967615</v>
      </c>
      <c r="BH42" s="12">
        <v>103.47534917890459</v>
      </c>
      <c r="BI42" s="12">
        <v>110.0612486324917</v>
      </c>
      <c r="BJ42" s="12">
        <v>96.524509136953228</v>
      </c>
      <c r="BK42" s="12">
        <v>0</v>
      </c>
      <c r="BL42" s="12">
        <v>0</v>
      </c>
      <c r="BM42" s="12">
        <v>1.8681781042836371E-2</v>
      </c>
      <c r="BN42" s="12">
        <v>0</v>
      </c>
      <c r="BO42" s="12">
        <v>0</v>
      </c>
      <c r="BP42" s="12">
        <v>0</v>
      </c>
      <c r="BQ42" s="12" t="s">
        <v>699</v>
      </c>
    </row>
    <row r="43" spans="1:69" x14ac:dyDescent="0.25">
      <c r="A43" s="12" t="s">
        <v>700</v>
      </c>
      <c r="B43" s="12" t="s">
        <v>29</v>
      </c>
      <c r="C43" s="12">
        <v>2017</v>
      </c>
      <c r="D43" s="12" t="s">
        <v>381</v>
      </c>
      <c r="E43" s="12" t="s">
        <v>145</v>
      </c>
      <c r="F43" s="12" t="s">
        <v>78</v>
      </c>
      <c r="G43" s="12">
        <v>9</v>
      </c>
      <c r="H43" s="12">
        <v>2.0440386287475878</v>
      </c>
      <c r="I43" s="12">
        <v>0</v>
      </c>
      <c r="J43" s="12">
        <v>4.2145253894123673</v>
      </c>
      <c r="K43" s="12">
        <v>7.1205343213921131</v>
      </c>
      <c r="L43" s="12">
        <v>0</v>
      </c>
      <c r="M43" s="12">
        <v>4.3404231480157982</v>
      </c>
      <c r="N43" s="12">
        <v>0</v>
      </c>
      <c r="O43" s="12">
        <v>2.709489304267978</v>
      </c>
      <c r="P43" s="12">
        <v>0</v>
      </c>
      <c r="Q43" s="12">
        <v>4.1925366112821534</v>
      </c>
      <c r="R43" s="12">
        <v>64.954267538483194</v>
      </c>
      <c r="S43" s="12">
        <v>0</v>
      </c>
      <c r="T43" s="12">
        <v>0</v>
      </c>
      <c r="U43" s="12">
        <v>6.0031441395095886</v>
      </c>
      <c r="V43" s="12">
        <v>5.1628246846396149</v>
      </c>
      <c r="W43" s="12">
        <v>0</v>
      </c>
      <c r="X43" s="12">
        <v>2.1068656962480472</v>
      </c>
      <c r="Y43" s="12">
        <v>0.75083782874598326</v>
      </c>
      <c r="Z43" s="12">
        <v>0</v>
      </c>
      <c r="AA43" s="12">
        <v>0</v>
      </c>
      <c r="AB43" s="12">
        <v>1.537192047395181</v>
      </c>
      <c r="AC43" s="12">
        <v>11.67728505248159</v>
      </c>
      <c r="AD43" s="12">
        <v>8.8006720501941427</v>
      </c>
      <c r="AE43" s="12">
        <v>0</v>
      </c>
      <c r="AF43" s="12">
        <v>6.2788165004439334</v>
      </c>
      <c r="AG43" s="12">
        <v>3396.5369452809668</v>
      </c>
      <c r="AH43" s="12">
        <v>7143.2906248115351</v>
      </c>
      <c r="AI43" s="12">
        <v>6785.9608287683632</v>
      </c>
      <c r="AJ43" s="12">
        <v>8892.970758710806</v>
      </c>
      <c r="AK43" s="12">
        <v>9160.6552319617913</v>
      </c>
      <c r="AL43" s="12">
        <v>9314.7697093685292</v>
      </c>
      <c r="AM43" s="12">
        <v>10169.85687876148</v>
      </c>
      <c r="AN43" s="12">
        <v>10517.636567116509</v>
      </c>
      <c r="AO43" s="12">
        <v>11749.122749000549</v>
      </c>
      <c r="AP43" s="12">
        <v>13033.876938124969</v>
      </c>
      <c r="AQ43" s="12">
        <v>12553.3069922912</v>
      </c>
      <c r="AR43" s="12">
        <v>13770.472418087151</v>
      </c>
      <c r="AS43" s="12">
        <v>13116.661804087251</v>
      </c>
      <c r="AT43" s="12">
        <v>16750.394094364488</v>
      </c>
      <c r="AU43" s="12">
        <v>16777.17363674413</v>
      </c>
      <c r="AV43" s="12">
        <v>18499.69728197626</v>
      </c>
      <c r="AW43" s="12">
        <v>17345.019346135381</v>
      </c>
      <c r="AX43" s="12">
        <v>22502.7655870173</v>
      </c>
      <c r="AY43" s="12">
        <v>22648.281805452119</v>
      </c>
      <c r="AZ43" s="12">
        <v>64564.019200811148</v>
      </c>
      <c r="BA43" s="12">
        <v>18835.84811053006</v>
      </c>
      <c r="BB43" s="12">
        <v>11247852.034200421</v>
      </c>
      <c r="BC43" s="12">
        <v>0</v>
      </c>
      <c r="BD43" s="12">
        <v>0</v>
      </c>
      <c r="BE43" s="12">
        <v>102.131842252505</v>
      </c>
      <c r="BF43" s="12">
        <v>67.403473638451743</v>
      </c>
      <c r="BG43" s="12">
        <v>91.925978984135838</v>
      </c>
      <c r="BH43" s="12">
        <v>98.510718956151123</v>
      </c>
      <c r="BI43" s="12">
        <v>111.97337409458309</v>
      </c>
      <c r="BJ43" s="12">
        <v>92.718807942439554</v>
      </c>
      <c r="BK43" s="12">
        <v>0</v>
      </c>
      <c r="BL43" s="12">
        <v>0</v>
      </c>
      <c r="BM43" s="12">
        <v>0</v>
      </c>
      <c r="BN43" s="12">
        <v>0</v>
      </c>
      <c r="BO43" s="12">
        <v>0</v>
      </c>
      <c r="BP43" s="12">
        <v>0</v>
      </c>
      <c r="BQ43" s="12" t="s">
        <v>701</v>
      </c>
    </row>
    <row r="44" spans="1:69" x14ac:dyDescent="0.25">
      <c r="A44" s="12" t="s">
        <v>702</v>
      </c>
      <c r="B44" s="12" t="s">
        <v>29</v>
      </c>
      <c r="C44" s="12">
        <v>2017</v>
      </c>
      <c r="D44" s="12" t="s">
        <v>381</v>
      </c>
      <c r="E44" s="12" t="s">
        <v>145</v>
      </c>
      <c r="F44" s="12" t="s">
        <v>78</v>
      </c>
      <c r="G44" s="12">
        <v>10</v>
      </c>
      <c r="H44" s="12">
        <v>2.1529658482076068</v>
      </c>
      <c r="I44" s="12">
        <v>0</v>
      </c>
      <c r="J44" s="12">
        <v>4.7183962767856729</v>
      </c>
      <c r="K44" s="12">
        <v>6.0744045279084302</v>
      </c>
      <c r="L44" s="12">
        <v>0</v>
      </c>
      <c r="M44" s="12">
        <v>4.2858807943569817</v>
      </c>
      <c r="N44" s="12">
        <v>0</v>
      </c>
      <c r="O44" s="12">
        <v>0</v>
      </c>
      <c r="P44" s="12">
        <v>0</v>
      </c>
      <c r="Q44" s="12">
        <v>4.6088345358962908</v>
      </c>
      <c r="R44" s="12">
        <v>59.648017395426741</v>
      </c>
      <c r="S44" s="12">
        <v>0</v>
      </c>
      <c r="T44" s="12">
        <v>0</v>
      </c>
      <c r="U44" s="12">
        <v>7.2523529260315884</v>
      </c>
      <c r="V44" s="12">
        <v>7.2252377169151911</v>
      </c>
      <c r="W44" s="12">
        <v>0</v>
      </c>
      <c r="X44" s="12">
        <v>2.0259565517815461</v>
      </c>
      <c r="Y44" s="12">
        <v>0.91455507934249625</v>
      </c>
      <c r="Z44" s="12">
        <v>0</v>
      </c>
      <c r="AA44" s="12">
        <v>0</v>
      </c>
      <c r="AB44" s="12">
        <v>0.97243109195076649</v>
      </c>
      <c r="AC44" s="12">
        <v>16.051250645974338</v>
      </c>
      <c r="AD44" s="12">
        <v>9.9225558635432236</v>
      </c>
      <c r="AE44" s="12">
        <v>0</v>
      </c>
      <c r="AF44" s="12">
        <v>6.1285475412467232</v>
      </c>
      <c r="AG44" s="12">
        <v>3081.2362687174809</v>
      </c>
      <c r="AH44" s="12">
        <v>7482.7657138754239</v>
      </c>
      <c r="AI44" s="12">
        <v>6983.9895617490356</v>
      </c>
      <c r="AJ44" s="12">
        <v>8982.0657458246642</v>
      </c>
      <c r="AK44" s="12">
        <v>8058.1458542608016</v>
      </c>
      <c r="AL44" s="12">
        <v>9027.9653945341033</v>
      </c>
      <c r="AM44" s="12">
        <v>10462.080392313581</v>
      </c>
      <c r="AN44" s="12">
        <v>11751.01142003962</v>
      </c>
      <c r="AO44" s="12">
        <v>11751.931429802209</v>
      </c>
      <c r="AP44" s="12">
        <v>12644.85087184419</v>
      </c>
      <c r="AQ44" s="12">
        <v>13118.512176146</v>
      </c>
      <c r="AR44" s="12">
        <v>13172.20179408528</v>
      </c>
      <c r="AS44" s="12">
        <v>14502.82209965688</v>
      </c>
      <c r="AT44" s="12">
        <v>16339.274097414031</v>
      </c>
      <c r="AU44" s="12">
        <v>16994.402502376252</v>
      </c>
      <c r="AV44" s="12">
        <v>19515.03698442629</v>
      </c>
      <c r="AW44" s="12">
        <v>19448.736490770341</v>
      </c>
      <c r="AX44" s="12">
        <v>21703.354637093409</v>
      </c>
      <c r="AY44" s="12">
        <v>22823.785896444369</v>
      </c>
      <c r="AZ44" s="12">
        <v>66428.271882038956</v>
      </c>
      <c r="BA44" s="12">
        <v>30141.73626321799</v>
      </c>
      <c r="BB44" s="12">
        <v>10510734.92700314</v>
      </c>
      <c r="BC44" s="12">
        <v>0</v>
      </c>
      <c r="BD44" s="12">
        <v>0</v>
      </c>
      <c r="BE44" s="12">
        <v>114.034819727113</v>
      </c>
      <c r="BF44" s="12">
        <v>63.236868695766233</v>
      </c>
      <c r="BG44" s="12">
        <v>101.4412338774534</v>
      </c>
      <c r="BH44" s="12">
        <v>104.78740119472749</v>
      </c>
      <c r="BI44" s="12">
        <v>103.5705441449378</v>
      </c>
      <c r="BJ44" s="12">
        <v>95.716827279123805</v>
      </c>
      <c r="BK44" s="12">
        <v>0</v>
      </c>
      <c r="BL44" s="12">
        <v>0</v>
      </c>
      <c r="BM44" s="12">
        <v>0</v>
      </c>
      <c r="BN44" s="12">
        <v>0</v>
      </c>
      <c r="BO44" s="12">
        <v>0</v>
      </c>
      <c r="BP44" s="12">
        <v>0</v>
      </c>
      <c r="BQ44" s="12" t="s">
        <v>703</v>
      </c>
    </row>
    <row r="45" spans="1:69" x14ac:dyDescent="0.25">
      <c r="A45" s="12" t="s">
        <v>704</v>
      </c>
      <c r="B45" s="12" t="s">
        <v>29</v>
      </c>
      <c r="C45" s="12">
        <v>2017</v>
      </c>
      <c r="D45" s="12" t="s">
        <v>381</v>
      </c>
      <c r="E45" s="12" t="s">
        <v>382</v>
      </c>
      <c r="F45" s="12" t="s">
        <v>78</v>
      </c>
      <c r="G45" s="12">
        <v>9999</v>
      </c>
      <c r="H45" s="12">
        <v>2.050553748530302</v>
      </c>
      <c r="I45" s="12">
        <v>0</v>
      </c>
      <c r="J45" s="12">
        <v>4.3536954317217038</v>
      </c>
      <c r="K45" s="12">
        <v>8.3517567855675399</v>
      </c>
      <c r="L45" s="12">
        <v>0</v>
      </c>
      <c r="M45" s="12">
        <v>3.775239723477994</v>
      </c>
      <c r="N45" s="12">
        <v>0</v>
      </c>
      <c r="O45" s="12">
        <v>5.0875010218837016</v>
      </c>
      <c r="P45" s="12">
        <v>0</v>
      </c>
      <c r="Q45" s="12">
        <v>4.0121621018092419</v>
      </c>
      <c r="R45" s="12">
        <v>59.894276898688048</v>
      </c>
      <c r="S45" s="12">
        <v>0</v>
      </c>
      <c r="T45" s="12">
        <v>0</v>
      </c>
      <c r="U45" s="12">
        <v>5.2064205340229028</v>
      </c>
      <c r="V45" s="12">
        <v>5.6136428566584202</v>
      </c>
      <c r="W45" s="12">
        <v>0</v>
      </c>
      <c r="X45" s="12">
        <v>2.7481466167077611</v>
      </c>
      <c r="Y45" s="12">
        <v>0.62054028055860688</v>
      </c>
      <c r="Z45" s="12">
        <v>0</v>
      </c>
      <c r="AA45" s="12">
        <v>0</v>
      </c>
      <c r="AB45" s="12">
        <v>2.3921850581119122</v>
      </c>
      <c r="AC45" s="12">
        <v>9.7320917526941511</v>
      </c>
      <c r="AD45" s="12">
        <v>8.7730358912285791</v>
      </c>
      <c r="AE45" s="12">
        <v>0</v>
      </c>
      <c r="AF45" s="12">
        <v>5.9408531064084524</v>
      </c>
      <c r="AG45" s="12">
        <v>3244.0349339286649</v>
      </c>
      <c r="AH45" s="12">
        <v>7287.1113391886538</v>
      </c>
      <c r="AI45" s="12">
        <v>7399.9513216350861</v>
      </c>
      <c r="AJ45" s="12">
        <v>8787.2546578506062</v>
      </c>
      <c r="AK45" s="12">
        <v>8933.8607403044662</v>
      </c>
      <c r="AL45" s="12">
        <v>10492.93119806279</v>
      </c>
      <c r="AM45" s="12">
        <v>9430.1257514620138</v>
      </c>
      <c r="AN45" s="12">
        <v>10382.45239757277</v>
      </c>
      <c r="AO45" s="12">
        <v>11336.850883206031</v>
      </c>
      <c r="AP45" s="12">
        <v>11475.89418350806</v>
      </c>
      <c r="AQ45" s="12">
        <v>11934.029151635599</v>
      </c>
      <c r="AR45" s="12">
        <v>12825.134230812881</v>
      </c>
      <c r="AS45" s="12">
        <v>14557.51869140061</v>
      </c>
      <c r="AT45" s="12">
        <v>14604.093532783711</v>
      </c>
      <c r="AU45" s="12">
        <v>15431.56426194612</v>
      </c>
      <c r="AV45" s="12">
        <v>19195.087987832529</v>
      </c>
      <c r="AW45" s="12">
        <v>19124.195774292981</v>
      </c>
      <c r="AX45" s="12">
        <v>21879.07327788254</v>
      </c>
      <c r="AY45" s="12">
        <v>23635.523857975691</v>
      </c>
      <c r="AZ45" s="12">
        <v>66967.467315264148</v>
      </c>
      <c r="BA45" s="12">
        <v>15450.37693381699</v>
      </c>
      <c r="BB45" s="12">
        <v>106980723.4878964</v>
      </c>
      <c r="BC45" s="12">
        <v>0</v>
      </c>
      <c r="BD45" s="12">
        <v>0</v>
      </c>
      <c r="BE45" s="12">
        <v>0</v>
      </c>
      <c r="BF45" s="12">
        <v>0</v>
      </c>
      <c r="BG45" s="12">
        <v>0</v>
      </c>
      <c r="BH45" s="12">
        <v>0</v>
      </c>
      <c r="BI45" s="12">
        <v>0</v>
      </c>
      <c r="BJ45" s="12">
        <v>0</v>
      </c>
      <c r="BK45" s="12">
        <v>0.18990341156777049</v>
      </c>
      <c r="BL45" s="12">
        <v>3.0916707425061212</v>
      </c>
      <c r="BM45" s="12">
        <v>39.540785685977013</v>
      </c>
      <c r="BN45" s="12">
        <v>0</v>
      </c>
      <c r="BO45" s="12">
        <v>0</v>
      </c>
      <c r="BP45" s="12">
        <v>0</v>
      </c>
      <c r="BQ45" s="12" t="s">
        <v>705</v>
      </c>
    </row>
    <row r="46" spans="1:69" x14ac:dyDescent="0.25">
      <c r="A46" s="12" t="s">
        <v>706</v>
      </c>
      <c r="B46" s="12" t="s">
        <v>29</v>
      </c>
      <c r="C46" s="12">
        <v>2017</v>
      </c>
      <c r="D46" s="12" t="s">
        <v>385</v>
      </c>
      <c r="E46" s="12" t="s">
        <v>145</v>
      </c>
      <c r="F46" s="12" t="s">
        <v>69</v>
      </c>
      <c r="G46" s="12">
        <v>1</v>
      </c>
      <c r="H46" s="12">
        <v>1.854347044927382</v>
      </c>
      <c r="I46" s="12">
        <v>1.553367493520301E-2</v>
      </c>
      <c r="J46" s="12">
        <v>4.4066388476071499</v>
      </c>
      <c r="K46" s="12">
        <v>5.7126673634628871</v>
      </c>
      <c r="L46" s="12">
        <v>0</v>
      </c>
      <c r="M46" s="12">
        <v>2.0486234975073119</v>
      </c>
      <c r="N46" s="12">
        <v>0</v>
      </c>
      <c r="O46" s="12">
        <v>2.4189123088012798</v>
      </c>
      <c r="P46" s="12">
        <v>0</v>
      </c>
      <c r="Q46" s="12">
        <v>3.846207679299666</v>
      </c>
      <c r="R46" s="12">
        <v>59.717371388839197</v>
      </c>
      <c r="S46" s="12">
        <v>7.257657896226681E-4</v>
      </c>
      <c r="T46" s="12">
        <v>0.29357877367827789</v>
      </c>
      <c r="U46" s="12">
        <v>3.431388084858833</v>
      </c>
      <c r="V46" s="12">
        <v>4.0248042849778018</v>
      </c>
      <c r="W46" s="12">
        <v>3.2263071789080972E-5</v>
      </c>
      <c r="X46" s="12">
        <v>3.061583601843167</v>
      </c>
      <c r="Y46" s="12">
        <v>4.9883614879676581E-2</v>
      </c>
      <c r="Z46" s="12">
        <v>9.2677687707508713E-2</v>
      </c>
      <c r="AA46" s="12">
        <v>1.2894312374159431E-2</v>
      </c>
      <c r="AB46" s="12">
        <v>2.0881121060168648</v>
      </c>
      <c r="AC46" s="12">
        <v>5.1004397588365826</v>
      </c>
      <c r="AD46" s="12">
        <v>6.2209116598987801</v>
      </c>
      <c r="AE46" s="12">
        <v>0.20190641024069039</v>
      </c>
      <c r="AF46" s="12">
        <v>4.2690497772540654</v>
      </c>
      <c r="AG46" s="12">
        <v>3415.082109375152</v>
      </c>
      <c r="AH46" s="12">
        <v>7551.7285949986244</v>
      </c>
      <c r="AI46" s="12">
        <v>7047.9159950477488</v>
      </c>
      <c r="AJ46" s="12">
        <v>7936.5871757210471</v>
      </c>
      <c r="AK46" s="12">
        <v>8983.2090676649623</v>
      </c>
      <c r="AL46" s="12">
        <v>9038.9901416457578</v>
      </c>
      <c r="AM46" s="12">
        <v>10542.974907597891</v>
      </c>
      <c r="AN46" s="12">
        <v>10924.600738382809</v>
      </c>
      <c r="AO46" s="12">
        <v>10238.159404104281</v>
      </c>
      <c r="AP46" s="12">
        <v>12395.51621356595</v>
      </c>
      <c r="AQ46" s="12">
        <v>12922.358324163</v>
      </c>
      <c r="AR46" s="12">
        <v>13758.22177757789</v>
      </c>
      <c r="AS46" s="12">
        <v>12992.634535330541</v>
      </c>
      <c r="AT46" s="12">
        <v>14819.352336717169</v>
      </c>
      <c r="AU46" s="12">
        <v>16062.08143944831</v>
      </c>
      <c r="AV46" s="12">
        <v>17666.53015160386</v>
      </c>
      <c r="AW46" s="12">
        <v>18819.018009404968</v>
      </c>
      <c r="AX46" s="12">
        <v>22600.79228804569</v>
      </c>
      <c r="AY46" s="12">
        <v>22481.216459573661</v>
      </c>
      <c r="AZ46" s="12">
        <v>62263.424138277027</v>
      </c>
      <c r="BA46" s="12">
        <v>5015.2677042248952</v>
      </c>
      <c r="BB46" s="12">
        <v>5531028.9133298416</v>
      </c>
      <c r="BC46" s="12">
        <v>114.608201942785</v>
      </c>
      <c r="BD46" s="12">
        <v>102.3591424003814</v>
      </c>
      <c r="BE46" s="12">
        <v>109.8920079629637</v>
      </c>
      <c r="BF46" s="12">
        <v>24.784991926562441</v>
      </c>
      <c r="BG46" s="12">
        <v>25.3805652645203</v>
      </c>
      <c r="BH46" s="12">
        <v>92.255373593429709</v>
      </c>
      <c r="BI46" s="12">
        <v>103.2905588783203</v>
      </c>
      <c r="BJ46" s="12">
        <v>67.1912897831007</v>
      </c>
      <c r="BK46" s="12">
        <v>0.1062849893134674</v>
      </c>
      <c r="BL46" s="12">
        <v>2.0857801895995691</v>
      </c>
      <c r="BM46" s="12">
        <v>5.8978908856367687</v>
      </c>
      <c r="BN46" s="12">
        <v>0</v>
      </c>
      <c r="BO46" s="12">
        <v>0</v>
      </c>
      <c r="BP46" s="12">
        <v>0</v>
      </c>
      <c r="BQ46" s="12" t="s">
        <v>707</v>
      </c>
    </row>
    <row r="47" spans="1:69" x14ac:dyDescent="0.25">
      <c r="A47" s="12" t="s">
        <v>708</v>
      </c>
      <c r="B47" s="12" t="s">
        <v>29</v>
      </c>
      <c r="C47" s="12">
        <v>2017</v>
      </c>
      <c r="D47" s="12" t="s">
        <v>385</v>
      </c>
      <c r="E47" s="12" t="s">
        <v>145</v>
      </c>
      <c r="F47" s="12" t="s">
        <v>69</v>
      </c>
      <c r="G47" s="12">
        <v>2</v>
      </c>
      <c r="H47" s="12">
        <v>1.779018624913826</v>
      </c>
      <c r="I47" s="12">
        <v>8.1393348992328217E-3</v>
      </c>
      <c r="J47" s="12">
        <v>3.7524728097136562</v>
      </c>
      <c r="K47" s="12">
        <v>5.6656417262762053</v>
      </c>
      <c r="L47" s="12">
        <v>0</v>
      </c>
      <c r="M47" s="12">
        <v>1.9039959047295381</v>
      </c>
      <c r="N47" s="12">
        <v>0</v>
      </c>
      <c r="O47" s="12">
        <v>3.2869352839727699</v>
      </c>
      <c r="P47" s="12">
        <v>0</v>
      </c>
      <c r="Q47" s="12">
        <v>3.501517539565012</v>
      </c>
      <c r="R47" s="12">
        <v>61.404256291659657</v>
      </c>
      <c r="S47" s="12">
        <v>4.193736747583022E-4</v>
      </c>
      <c r="T47" s="12">
        <v>0.35221623572720467</v>
      </c>
      <c r="U47" s="12">
        <v>3.4830233724543138</v>
      </c>
      <c r="V47" s="12">
        <v>3.5866666192035321</v>
      </c>
      <c r="W47" s="12">
        <v>0</v>
      </c>
      <c r="X47" s="12">
        <v>2.588143361328239</v>
      </c>
      <c r="Y47" s="12">
        <v>6.6119367140015387E-2</v>
      </c>
      <c r="Z47" s="12">
        <v>0.10433727447920139</v>
      </c>
      <c r="AA47" s="12">
        <v>3.9426259447537509E-3</v>
      </c>
      <c r="AB47" s="12">
        <v>2.2202660711965621</v>
      </c>
      <c r="AC47" s="12">
        <v>4.699856806871229</v>
      </c>
      <c r="AD47" s="12">
        <v>6.3481518492677118</v>
      </c>
      <c r="AE47" s="12">
        <v>0.17110793822825471</v>
      </c>
      <c r="AF47" s="12">
        <v>3.6580686141769072</v>
      </c>
      <c r="AG47" s="12">
        <v>3157.3839014195828</v>
      </c>
      <c r="AH47" s="12">
        <v>7184.3088509614963</v>
      </c>
      <c r="AI47" s="12">
        <v>7450.699626075595</v>
      </c>
      <c r="AJ47" s="12">
        <v>8386.3771887896091</v>
      </c>
      <c r="AK47" s="12">
        <v>8920.4390928832981</v>
      </c>
      <c r="AL47" s="12">
        <v>9940.3686451364174</v>
      </c>
      <c r="AM47" s="12">
        <v>9097.955903066113</v>
      </c>
      <c r="AN47" s="12">
        <v>11162.96071509473</v>
      </c>
      <c r="AO47" s="12">
        <v>11776.42721151689</v>
      </c>
      <c r="AP47" s="12">
        <v>13124.08726092399</v>
      </c>
      <c r="AQ47" s="12">
        <v>12503.40392632606</v>
      </c>
      <c r="AR47" s="12">
        <v>14807.89936927983</v>
      </c>
      <c r="AS47" s="12">
        <v>13216.74491606335</v>
      </c>
      <c r="AT47" s="12">
        <v>16041.63267575857</v>
      </c>
      <c r="AU47" s="12">
        <v>16494.168480048342</v>
      </c>
      <c r="AV47" s="12">
        <v>17147.789347450769</v>
      </c>
      <c r="AW47" s="12">
        <v>17637.640787786881</v>
      </c>
      <c r="AX47" s="12">
        <v>22750.457881552069</v>
      </c>
      <c r="AY47" s="12">
        <v>22748.93302326429</v>
      </c>
      <c r="AZ47" s="12">
        <v>70412.643577508556</v>
      </c>
      <c r="BA47" s="12">
        <v>6160.1712414588756</v>
      </c>
      <c r="BB47" s="12">
        <v>5373461.0805075644</v>
      </c>
      <c r="BC47" s="12">
        <v>116.3442050061156</v>
      </c>
      <c r="BD47" s="12">
        <v>115.21788509209649</v>
      </c>
      <c r="BE47" s="12">
        <v>107.3878039541644</v>
      </c>
      <c r="BF47" s="12">
        <v>34.861962384936959</v>
      </c>
      <c r="BG47" s="12">
        <v>40.553237632046127</v>
      </c>
      <c r="BH47" s="12">
        <v>95.673810050436174</v>
      </c>
      <c r="BI47" s="12">
        <v>109.0728397703527</v>
      </c>
      <c r="BJ47" s="12">
        <v>72.378175445194117</v>
      </c>
      <c r="BK47" s="12">
        <v>0</v>
      </c>
      <c r="BL47" s="12">
        <v>9.3006769734622354E-4</v>
      </c>
      <c r="BM47" s="12">
        <v>6.2110180543748976</v>
      </c>
      <c r="BN47" s="12">
        <v>0</v>
      </c>
      <c r="BO47" s="12">
        <v>0</v>
      </c>
      <c r="BP47" s="12">
        <v>0</v>
      </c>
      <c r="BQ47" s="12" t="s">
        <v>709</v>
      </c>
    </row>
    <row r="48" spans="1:69" x14ac:dyDescent="0.25">
      <c r="A48" s="12" t="s">
        <v>710</v>
      </c>
      <c r="B48" s="12" t="s">
        <v>29</v>
      </c>
      <c r="C48" s="12">
        <v>2017</v>
      </c>
      <c r="D48" s="12" t="s">
        <v>385</v>
      </c>
      <c r="E48" s="12" t="s">
        <v>145</v>
      </c>
      <c r="F48" s="12" t="s">
        <v>69</v>
      </c>
      <c r="G48" s="12">
        <v>3</v>
      </c>
      <c r="H48" s="12">
        <v>1.7732344233892769</v>
      </c>
      <c r="I48" s="12">
        <v>7.3628574224725131E-3</v>
      </c>
      <c r="J48" s="12">
        <v>3.6087389253182658</v>
      </c>
      <c r="K48" s="12">
        <v>6.0267477721351046</v>
      </c>
      <c r="L48" s="12">
        <v>0</v>
      </c>
      <c r="M48" s="12">
        <v>2.318713438994612</v>
      </c>
      <c r="N48" s="12">
        <v>0</v>
      </c>
      <c r="O48" s="12">
        <v>3.6604298467813128</v>
      </c>
      <c r="P48" s="12">
        <v>0</v>
      </c>
      <c r="Q48" s="12">
        <v>3.231174888069031</v>
      </c>
      <c r="R48" s="12">
        <v>58.03835283622</v>
      </c>
      <c r="S48" s="12">
        <v>3.4484272814732769E-4</v>
      </c>
      <c r="T48" s="12">
        <v>0.4283288858579013</v>
      </c>
      <c r="U48" s="12">
        <v>3.397351959258184</v>
      </c>
      <c r="V48" s="12">
        <v>3.9547579198130149</v>
      </c>
      <c r="W48" s="12">
        <v>2.1825208128995861E-5</v>
      </c>
      <c r="X48" s="12">
        <v>2.473604974051363</v>
      </c>
      <c r="Y48" s="12">
        <v>6.9426470556567699E-2</v>
      </c>
      <c r="Z48" s="12">
        <v>0.1237860243447429</v>
      </c>
      <c r="AA48" s="12">
        <v>9.7589087773751627E-3</v>
      </c>
      <c r="AB48" s="12">
        <v>2.010146661567493</v>
      </c>
      <c r="AC48" s="12">
        <v>4.8263187223684376</v>
      </c>
      <c r="AD48" s="12">
        <v>6.0411792026765623</v>
      </c>
      <c r="AE48" s="12">
        <v>0.29494969962318518</v>
      </c>
      <c r="AF48" s="12">
        <v>3.4993001915306672</v>
      </c>
      <c r="AG48" s="12">
        <v>3059.759454634323</v>
      </c>
      <c r="AH48" s="12">
        <v>6980.1995277214664</v>
      </c>
      <c r="AI48" s="12">
        <v>7438.1126048536235</v>
      </c>
      <c r="AJ48" s="12">
        <v>8698.270655209124</v>
      </c>
      <c r="AK48" s="12">
        <v>8774.3753807123157</v>
      </c>
      <c r="AL48" s="12">
        <v>9326.1325633377273</v>
      </c>
      <c r="AM48" s="12">
        <v>9433.2307268232635</v>
      </c>
      <c r="AN48" s="12">
        <v>11618.343025629139</v>
      </c>
      <c r="AO48" s="12">
        <v>10927.652548039179</v>
      </c>
      <c r="AP48" s="12">
        <v>11347.637202660881</v>
      </c>
      <c r="AQ48" s="12">
        <v>11760.331878774739</v>
      </c>
      <c r="AR48" s="12">
        <v>14711.54991897828</v>
      </c>
      <c r="AS48" s="12">
        <v>13392.740809374051</v>
      </c>
      <c r="AT48" s="12">
        <v>16638.55468740072</v>
      </c>
      <c r="AU48" s="12">
        <v>15265.500321173449</v>
      </c>
      <c r="AV48" s="12">
        <v>18768.026855363289</v>
      </c>
      <c r="AW48" s="12">
        <v>18290.922902680952</v>
      </c>
      <c r="AX48" s="12">
        <v>23389.389827648331</v>
      </c>
      <c r="AY48" s="12">
        <v>22326.23819724167</v>
      </c>
      <c r="AZ48" s="12">
        <v>70356.633049208875</v>
      </c>
      <c r="BA48" s="12">
        <v>7152.7356997483921</v>
      </c>
      <c r="BB48" s="12">
        <v>5958812.2960916506</v>
      </c>
      <c r="BC48" s="12">
        <v>111.4843525822577</v>
      </c>
      <c r="BD48" s="12">
        <v>100.6427856206155</v>
      </c>
      <c r="BE48" s="12">
        <v>115.3055745810552</v>
      </c>
      <c r="BF48" s="12">
        <v>41.989459491143862</v>
      </c>
      <c r="BG48" s="12">
        <v>44.965140152973291</v>
      </c>
      <c r="BH48" s="12">
        <v>103.27443503964049</v>
      </c>
      <c r="BI48" s="12">
        <v>102.4184155531093</v>
      </c>
      <c r="BJ48" s="12">
        <v>77.773411966656241</v>
      </c>
      <c r="BK48" s="12">
        <v>0</v>
      </c>
      <c r="BL48" s="12">
        <v>0</v>
      </c>
      <c r="BM48" s="12">
        <v>5.6078254560370517</v>
      </c>
      <c r="BN48" s="12">
        <v>0</v>
      </c>
      <c r="BO48" s="12">
        <v>0</v>
      </c>
      <c r="BP48" s="12">
        <v>0</v>
      </c>
      <c r="BQ48" s="12" t="s">
        <v>711</v>
      </c>
    </row>
    <row r="49" spans="1:69" x14ac:dyDescent="0.25">
      <c r="A49" s="12" t="s">
        <v>712</v>
      </c>
      <c r="B49" s="12" t="s">
        <v>29</v>
      </c>
      <c r="C49" s="12">
        <v>2017</v>
      </c>
      <c r="D49" s="12" t="s">
        <v>385</v>
      </c>
      <c r="E49" s="12" t="s">
        <v>145</v>
      </c>
      <c r="F49" s="12" t="s">
        <v>69</v>
      </c>
      <c r="G49" s="12">
        <v>4</v>
      </c>
      <c r="H49" s="12">
        <v>1.7892481410393259</v>
      </c>
      <c r="I49" s="12">
        <v>7.88314139973504E-3</v>
      </c>
      <c r="J49" s="12">
        <v>3.3357308005240109</v>
      </c>
      <c r="K49" s="12">
        <v>6.4639719067969708</v>
      </c>
      <c r="L49" s="12">
        <v>0</v>
      </c>
      <c r="M49" s="12">
        <v>2.2952059535022231</v>
      </c>
      <c r="N49" s="12">
        <v>0</v>
      </c>
      <c r="O49" s="12">
        <v>3.859038583474999</v>
      </c>
      <c r="P49" s="12">
        <v>0</v>
      </c>
      <c r="Q49" s="12">
        <v>3.264668742878412</v>
      </c>
      <c r="R49" s="12">
        <v>56.277918913885863</v>
      </c>
      <c r="S49" s="12">
        <v>3.9385173885368371E-4</v>
      </c>
      <c r="T49" s="12">
        <v>0.51519621213286959</v>
      </c>
      <c r="U49" s="12">
        <v>4.2873849239232653</v>
      </c>
      <c r="V49" s="12">
        <v>3.40782479728384</v>
      </c>
      <c r="W49" s="12">
        <v>0</v>
      </c>
      <c r="X49" s="12">
        <v>2.4937734064511301</v>
      </c>
      <c r="Y49" s="12">
        <v>6.2538006840987773E-2</v>
      </c>
      <c r="Z49" s="12">
        <v>0.14748708323452639</v>
      </c>
      <c r="AA49" s="12">
        <v>7.4149098554263078E-3</v>
      </c>
      <c r="AB49" s="12">
        <v>2.1008114367670618</v>
      </c>
      <c r="AC49" s="12">
        <v>5.3729147633465306</v>
      </c>
      <c r="AD49" s="12">
        <v>6.1531175523379256</v>
      </c>
      <c r="AE49" s="12">
        <v>0.36014108475204992</v>
      </c>
      <c r="AF49" s="12">
        <v>4.0194979877121124</v>
      </c>
      <c r="AG49" s="12">
        <v>3046.0319328254691</v>
      </c>
      <c r="AH49" s="12">
        <v>7000.4136167983816</v>
      </c>
      <c r="AI49" s="12">
        <v>7370.3855562789404</v>
      </c>
      <c r="AJ49" s="12">
        <v>9015.2249841596422</v>
      </c>
      <c r="AK49" s="12">
        <v>8866.6774567145021</v>
      </c>
      <c r="AL49" s="12">
        <v>9220.8078818759477</v>
      </c>
      <c r="AM49" s="12">
        <v>10268.95445314377</v>
      </c>
      <c r="AN49" s="12">
        <v>11014.900207264011</v>
      </c>
      <c r="AO49" s="12">
        <v>11343.334447814261</v>
      </c>
      <c r="AP49" s="12">
        <v>12161.65111963354</v>
      </c>
      <c r="AQ49" s="12">
        <v>12846.95894720272</v>
      </c>
      <c r="AR49" s="12">
        <v>12815.871673337309</v>
      </c>
      <c r="AS49" s="12">
        <v>13505.415571526109</v>
      </c>
      <c r="AT49" s="12">
        <v>16281.49680186793</v>
      </c>
      <c r="AU49" s="12">
        <v>16696.872538293221</v>
      </c>
      <c r="AV49" s="12">
        <v>19462.69227015393</v>
      </c>
      <c r="AW49" s="12">
        <v>17941.52396761419</v>
      </c>
      <c r="AX49" s="12">
        <v>24387.108218415411</v>
      </c>
      <c r="AY49" s="12">
        <v>23049.478819222939</v>
      </c>
      <c r="AZ49" s="12">
        <v>66934.717190003619</v>
      </c>
      <c r="BA49" s="12">
        <v>8304.8932567960437</v>
      </c>
      <c r="BB49" s="12">
        <v>5424420.9713994944</v>
      </c>
      <c r="BC49" s="12">
        <v>102.59615761338191</v>
      </c>
      <c r="BD49" s="12">
        <v>110.31721824152579</v>
      </c>
      <c r="BE49" s="12">
        <v>102.8611658514679</v>
      </c>
      <c r="BF49" s="12">
        <v>47.48667032737395</v>
      </c>
      <c r="BG49" s="12">
        <v>49.693383292502439</v>
      </c>
      <c r="BH49" s="12">
        <v>103.06197348600671</v>
      </c>
      <c r="BI49" s="12">
        <v>113.0596039872364</v>
      </c>
      <c r="BJ49" s="12">
        <v>85.766767604044517</v>
      </c>
      <c r="BK49" s="12">
        <v>0</v>
      </c>
      <c r="BL49" s="12">
        <v>0</v>
      </c>
      <c r="BM49" s="12">
        <v>4.9432481251298954</v>
      </c>
      <c r="BN49" s="12">
        <v>0</v>
      </c>
      <c r="BO49" s="12">
        <v>0</v>
      </c>
      <c r="BP49" s="12">
        <v>0</v>
      </c>
      <c r="BQ49" s="12" t="s">
        <v>713</v>
      </c>
    </row>
    <row r="50" spans="1:69" x14ac:dyDescent="0.25">
      <c r="A50" s="12" t="s">
        <v>714</v>
      </c>
      <c r="B50" s="12" t="s">
        <v>29</v>
      </c>
      <c r="C50" s="12">
        <v>2017</v>
      </c>
      <c r="D50" s="12" t="s">
        <v>385</v>
      </c>
      <c r="E50" s="12" t="s">
        <v>145</v>
      </c>
      <c r="F50" s="12" t="s">
        <v>69</v>
      </c>
      <c r="G50" s="12">
        <v>5</v>
      </c>
      <c r="H50" s="12">
        <v>1.7375419164791319</v>
      </c>
      <c r="I50" s="12">
        <v>5.4550300661232809E-3</v>
      </c>
      <c r="J50" s="12">
        <v>3.5227573058207291</v>
      </c>
      <c r="K50" s="12">
        <v>6.5928918854235956</v>
      </c>
      <c r="L50" s="12">
        <v>0</v>
      </c>
      <c r="M50" s="12">
        <v>2.3085003792086738</v>
      </c>
      <c r="N50" s="12">
        <v>0</v>
      </c>
      <c r="O50" s="12">
        <v>4.0345064114738642</v>
      </c>
      <c r="P50" s="12">
        <v>0</v>
      </c>
      <c r="Q50" s="12">
        <v>3.3569749811588081</v>
      </c>
      <c r="R50" s="12">
        <v>55.689365365033971</v>
      </c>
      <c r="S50" s="12">
        <v>2.5099468866623948E-4</v>
      </c>
      <c r="T50" s="12">
        <v>0.43191223156424591</v>
      </c>
      <c r="U50" s="12">
        <v>4.18787814018091</v>
      </c>
      <c r="V50" s="12">
        <v>3.2113700591744641</v>
      </c>
      <c r="W50" s="12">
        <v>1.198124434142994E-4</v>
      </c>
      <c r="X50" s="12">
        <v>2.3369701177018118</v>
      </c>
      <c r="Y50" s="12">
        <v>6.8722972306841726E-2</v>
      </c>
      <c r="Z50" s="12">
        <v>0.1170412399138531</v>
      </c>
      <c r="AA50" s="12">
        <v>1.007642561026705E-2</v>
      </c>
      <c r="AB50" s="12">
        <v>2.0718208156001201</v>
      </c>
      <c r="AC50" s="12">
        <v>5.5841451731489009</v>
      </c>
      <c r="AD50" s="12">
        <v>5.9655050341408504</v>
      </c>
      <c r="AE50" s="12">
        <v>0.27160731518602399</v>
      </c>
      <c r="AF50" s="12">
        <v>4.3655587709968149</v>
      </c>
      <c r="AG50" s="12">
        <v>3144.2144888152338</v>
      </c>
      <c r="AH50" s="12">
        <v>6880.4014905553804</v>
      </c>
      <c r="AI50" s="12">
        <v>7661.7625938130113</v>
      </c>
      <c r="AJ50" s="12">
        <v>8249.0613752984227</v>
      </c>
      <c r="AK50" s="12">
        <v>8601.8343900884884</v>
      </c>
      <c r="AL50" s="12">
        <v>10227.334455131549</v>
      </c>
      <c r="AM50" s="12">
        <v>9757.5388537994349</v>
      </c>
      <c r="AN50" s="12">
        <v>11749.89681526674</v>
      </c>
      <c r="AO50" s="12">
        <v>10322.88396271173</v>
      </c>
      <c r="AP50" s="12">
        <v>11752.903595860231</v>
      </c>
      <c r="AQ50" s="12">
        <v>12744.7050340681</v>
      </c>
      <c r="AR50" s="12">
        <v>14514.85135057695</v>
      </c>
      <c r="AS50" s="12">
        <v>13820.79685816609</v>
      </c>
      <c r="AT50" s="12">
        <v>14885.191183650029</v>
      </c>
      <c r="AU50" s="12">
        <v>14718.34933680227</v>
      </c>
      <c r="AV50" s="12">
        <v>18932.32355031513</v>
      </c>
      <c r="AW50" s="12">
        <v>18198.807993543829</v>
      </c>
      <c r="AX50" s="12">
        <v>24315.13909188539</v>
      </c>
      <c r="AY50" s="12">
        <v>23155.68233194049</v>
      </c>
      <c r="AZ50" s="12">
        <v>67759.631802500124</v>
      </c>
      <c r="BA50" s="12">
        <v>9451.9774018155949</v>
      </c>
      <c r="BB50" s="12">
        <v>5383592.535296551</v>
      </c>
      <c r="BC50" s="12">
        <v>109.4697608094821</v>
      </c>
      <c r="BD50" s="12">
        <v>113.6614342031298</v>
      </c>
      <c r="BE50" s="12">
        <v>101.1580213050425</v>
      </c>
      <c r="BF50" s="12">
        <v>58.953535792006988</v>
      </c>
      <c r="BG50" s="12">
        <v>52.089961647831451</v>
      </c>
      <c r="BH50" s="12">
        <v>101.9997913024323</v>
      </c>
      <c r="BI50" s="12">
        <v>111.9578527665427</v>
      </c>
      <c r="BJ50" s="12">
        <v>87.634360500068041</v>
      </c>
      <c r="BK50" s="12">
        <v>0</v>
      </c>
      <c r="BL50" s="12">
        <v>0</v>
      </c>
      <c r="BM50" s="12">
        <v>1.5020043094429469</v>
      </c>
      <c r="BN50" s="12">
        <v>0</v>
      </c>
      <c r="BO50" s="12">
        <v>0</v>
      </c>
      <c r="BP50" s="12">
        <v>0</v>
      </c>
      <c r="BQ50" s="12" t="s">
        <v>715</v>
      </c>
    </row>
    <row r="51" spans="1:69" x14ac:dyDescent="0.25">
      <c r="A51" s="12" t="s">
        <v>716</v>
      </c>
      <c r="B51" s="12" t="s">
        <v>29</v>
      </c>
      <c r="C51" s="12">
        <v>2017</v>
      </c>
      <c r="D51" s="12" t="s">
        <v>385</v>
      </c>
      <c r="E51" s="12" t="s">
        <v>145</v>
      </c>
      <c r="F51" s="12" t="s">
        <v>69</v>
      </c>
      <c r="G51" s="12">
        <v>6</v>
      </c>
      <c r="H51" s="12">
        <v>1.7730656903509101</v>
      </c>
      <c r="I51" s="12">
        <v>4.0209352110729662E-3</v>
      </c>
      <c r="J51" s="12">
        <v>3.6385215738283061</v>
      </c>
      <c r="K51" s="12">
        <v>6.7539252812460333</v>
      </c>
      <c r="L51" s="12">
        <v>0</v>
      </c>
      <c r="M51" s="12">
        <v>2.376135531552821</v>
      </c>
      <c r="N51" s="12">
        <v>0</v>
      </c>
      <c r="O51" s="12">
        <v>4.133151786671978</v>
      </c>
      <c r="P51" s="12">
        <v>0</v>
      </c>
      <c r="Q51" s="12">
        <v>3.4275452672609612</v>
      </c>
      <c r="R51" s="12">
        <v>57.796743409170674</v>
      </c>
      <c r="S51" s="12">
        <v>2.0547496062780631E-4</v>
      </c>
      <c r="T51" s="12">
        <v>0.49552930417340152</v>
      </c>
      <c r="U51" s="12">
        <v>4.057309270956786</v>
      </c>
      <c r="V51" s="12">
        <v>3.9821670200773691</v>
      </c>
      <c r="W51" s="12">
        <v>6.521102724818561E-5</v>
      </c>
      <c r="X51" s="12">
        <v>2.0712956359061039</v>
      </c>
      <c r="Y51" s="12">
        <v>6.6698930302210607E-2</v>
      </c>
      <c r="Z51" s="12">
        <v>0.14449924728585639</v>
      </c>
      <c r="AA51" s="12">
        <v>1.236012526043522E-2</v>
      </c>
      <c r="AB51" s="12">
        <v>1.9761897966574249</v>
      </c>
      <c r="AC51" s="12">
        <v>5.6682184523067738</v>
      </c>
      <c r="AD51" s="12">
        <v>5.8439443948377408</v>
      </c>
      <c r="AE51" s="12">
        <v>0.38587984646731432</v>
      </c>
      <c r="AF51" s="12">
        <v>4.0808515064628237</v>
      </c>
      <c r="AG51" s="12">
        <v>3130.708705399154</v>
      </c>
      <c r="AH51" s="12">
        <v>7667.6563988412336</v>
      </c>
      <c r="AI51" s="12">
        <v>7443.5683433560307</v>
      </c>
      <c r="AJ51" s="12">
        <v>8168.7427867072529</v>
      </c>
      <c r="AK51" s="12">
        <v>9095.678803369583</v>
      </c>
      <c r="AL51" s="12">
        <v>9069.711098344349</v>
      </c>
      <c r="AM51" s="12">
        <v>10480.85048816884</v>
      </c>
      <c r="AN51" s="12">
        <v>10419.8619593197</v>
      </c>
      <c r="AO51" s="12">
        <v>10187.370681947659</v>
      </c>
      <c r="AP51" s="12">
        <v>12827.96851985894</v>
      </c>
      <c r="AQ51" s="12">
        <v>12662.18404097265</v>
      </c>
      <c r="AR51" s="12">
        <v>13051.141670421061</v>
      </c>
      <c r="AS51" s="12">
        <v>13844.25116538323</v>
      </c>
      <c r="AT51" s="12">
        <v>16892.4672726469</v>
      </c>
      <c r="AU51" s="12">
        <v>15473.31236004817</v>
      </c>
      <c r="AV51" s="12">
        <v>18324.229694494941</v>
      </c>
      <c r="AW51" s="12">
        <v>17091.01258685263</v>
      </c>
      <c r="AX51" s="12">
        <v>23572.434187157211</v>
      </c>
      <c r="AY51" s="12">
        <v>22456.078686734611</v>
      </c>
      <c r="AZ51" s="12">
        <v>63663.933378719841</v>
      </c>
      <c r="BA51" s="12">
        <v>10071.217672985829</v>
      </c>
      <c r="BB51" s="12">
        <v>5826738.869068671</v>
      </c>
      <c r="BC51" s="12">
        <v>112.8264048660383</v>
      </c>
      <c r="BD51" s="12">
        <v>107.51361533964391</v>
      </c>
      <c r="BE51" s="12">
        <v>107.46477105123481</v>
      </c>
      <c r="BF51" s="12">
        <v>61.180869550209323</v>
      </c>
      <c r="BG51" s="12">
        <v>61.559375944705621</v>
      </c>
      <c r="BH51" s="12">
        <v>99.144092031651098</v>
      </c>
      <c r="BI51" s="12">
        <v>111.3170921363641</v>
      </c>
      <c r="BJ51" s="12">
        <v>83.674110412729902</v>
      </c>
      <c r="BK51" s="12">
        <v>0</v>
      </c>
      <c r="BL51" s="12">
        <v>0</v>
      </c>
      <c r="BM51" s="12">
        <v>0.16455411999768171</v>
      </c>
      <c r="BN51" s="12">
        <v>0</v>
      </c>
      <c r="BO51" s="12">
        <v>0</v>
      </c>
      <c r="BP51" s="12">
        <v>0</v>
      </c>
      <c r="BQ51" s="12" t="s">
        <v>717</v>
      </c>
    </row>
    <row r="52" spans="1:69" x14ac:dyDescent="0.25">
      <c r="A52" s="12" t="s">
        <v>718</v>
      </c>
      <c r="B52" s="12" t="s">
        <v>29</v>
      </c>
      <c r="C52" s="12">
        <v>2017</v>
      </c>
      <c r="D52" s="12" t="s">
        <v>385</v>
      </c>
      <c r="E52" s="12" t="s">
        <v>145</v>
      </c>
      <c r="F52" s="12" t="s">
        <v>69</v>
      </c>
      <c r="G52" s="12">
        <v>7</v>
      </c>
      <c r="H52" s="12">
        <v>1.942523041894576</v>
      </c>
      <c r="I52" s="12">
        <v>5.5447047241039826E-3</v>
      </c>
      <c r="J52" s="12">
        <v>3.7555947109955552</v>
      </c>
      <c r="K52" s="12">
        <v>6.6098806382427</v>
      </c>
      <c r="L52" s="12">
        <v>0</v>
      </c>
      <c r="M52" s="12">
        <v>2.337554908235274</v>
      </c>
      <c r="N52" s="12">
        <v>0</v>
      </c>
      <c r="O52" s="12">
        <v>3.682018888181732</v>
      </c>
      <c r="P52" s="12">
        <v>0</v>
      </c>
      <c r="Q52" s="12">
        <v>3.185050340381856</v>
      </c>
      <c r="R52" s="12">
        <v>57.007302182480103</v>
      </c>
      <c r="S52" s="12">
        <v>2.8291014637256819E-4</v>
      </c>
      <c r="T52" s="12">
        <v>0.55202749751142854</v>
      </c>
      <c r="U52" s="12">
        <v>4.8143923141720064</v>
      </c>
      <c r="V52" s="12">
        <v>3.4884141486495599</v>
      </c>
      <c r="W52" s="12">
        <v>0</v>
      </c>
      <c r="X52" s="12">
        <v>1.998200470834532</v>
      </c>
      <c r="Y52" s="12">
        <v>7.2346500449145534E-2</v>
      </c>
      <c r="Z52" s="12">
        <v>0.1419828927188502</v>
      </c>
      <c r="AA52" s="12">
        <v>1.511640253168557E-2</v>
      </c>
      <c r="AB52" s="12">
        <v>1.5781418104334839</v>
      </c>
      <c r="AC52" s="12">
        <v>6.7452643445754781</v>
      </c>
      <c r="AD52" s="12">
        <v>5.880207343561918</v>
      </c>
      <c r="AE52" s="12">
        <v>0.39335043897585098</v>
      </c>
      <c r="AF52" s="12">
        <v>4.251342473525483</v>
      </c>
      <c r="AG52" s="12">
        <v>3221.5466358614358</v>
      </c>
      <c r="AH52" s="12">
        <v>6759.0849292174189</v>
      </c>
      <c r="AI52" s="12">
        <v>7006.0801858164486</v>
      </c>
      <c r="AJ52" s="12">
        <v>9206.752636636691</v>
      </c>
      <c r="AK52" s="12">
        <v>9060.7100511892331</v>
      </c>
      <c r="AL52" s="12">
        <v>9332.8467119317756</v>
      </c>
      <c r="AM52" s="12">
        <v>9711.178340484701</v>
      </c>
      <c r="AN52" s="12">
        <v>10147.66638902954</v>
      </c>
      <c r="AO52" s="12">
        <v>10777.86921531517</v>
      </c>
      <c r="AP52" s="12">
        <v>12212.1334194021</v>
      </c>
      <c r="AQ52" s="12">
        <v>11791.182881814269</v>
      </c>
      <c r="AR52" s="12">
        <v>14517.19965612532</v>
      </c>
      <c r="AS52" s="12">
        <v>13597.59519146952</v>
      </c>
      <c r="AT52" s="12">
        <v>15363.521378153109</v>
      </c>
      <c r="AU52" s="12">
        <v>16443.115445204461</v>
      </c>
      <c r="AV52" s="12">
        <v>18567.522873856211</v>
      </c>
      <c r="AW52" s="12">
        <v>18247.886377051291</v>
      </c>
      <c r="AX52" s="12">
        <v>23230.414780997999</v>
      </c>
      <c r="AY52" s="12">
        <v>21647.79346671146</v>
      </c>
      <c r="AZ52" s="12">
        <v>69143.907812976642</v>
      </c>
      <c r="BA52" s="12">
        <v>11793.178208454499</v>
      </c>
      <c r="BB52" s="12">
        <v>5969547.8138079038</v>
      </c>
      <c r="BC52" s="12">
        <v>101.24015223734681</v>
      </c>
      <c r="BD52" s="12">
        <v>105.6495672363036</v>
      </c>
      <c r="BE52" s="12">
        <v>109.2878411484318</v>
      </c>
      <c r="BF52" s="12">
        <v>62.140247802089633</v>
      </c>
      <c r="BG52" s="12">
        <v>62.482273812582093</v>
      </c>
      <c r="BH52" s="12">
        <v>95.78792792312484</v>
      </c>
      <c r="BI52" s="12">
        <v>102.1893195930096</v>
      </c>
      <c r="BJ52" s="12">
        <v>86.908138353140089</v>
      </c>
      <c r="BK52" s="12">
        <v>0</v>
      </c>
      <c r="BL52" s="12">
        <v>0</v>
      </c>
      <c r="BM52" s="12">
        <v>1.9258295615849588E-2</v>
      </c>
      <c r="BN52" s="12">
        <v>0</v>
      </c>
      <c r="BO52" s="12">
        <v>0</v>
      </c>
      <c r="BP52" s="12">
        <v>0</v>
      </c>
      <c r="BQ52" s="12" t="s">
        <v>719</v>
      </c>
    </row>
    <row r="53" spans="1:69" x14ac:dyDescent="0.25">
      <c r="A53" s="12" t="s">
        <v>720</v>
      </c>
      <c r="B53" s="12" t="s">
        <v>29</v>
      </c>
      <c r="C53" s="12">
        <v>2017</v>
      </c>
      <c r="D53" s="12" t="s">
        <v>385</v>
      </c>
      <c r="E53" s="12" t="s">
        <v>145</v>
      </c>
      <c r="F53" s="12" t="s">
        <v>69</v>
      </c>
      <c r="G53" s="12">
        <v>8</v>
      </c>
      <c r="H53" s="12">
        <v>1.795842894400991</v>
      </c>
      <c r="I53" s="12">
        <v>3.3856258144501251E-3</v>
      </c>
      <c r="J53" s="12">
        <v>3.3528545851262002</v>
      </c>
      <c r="K53" s="12">
        <v>5.3772725494039051</v>
      </c>
      <c r="L53" s="12">
        <v>0</v>
      </c>
      <c r="M53" s="12">
        <v>2.3464576847844869</v>
      </c>
      <c r="N53" s="12">
        <v>0</v>
      </c>
      <c r="O53" s="12">
        <v>3.4101081438833361</v>
      </c>
      <c r="P53" s="12">
        <v>0</v>
      </c>
      <c r="Q53" s="12">
        <v>3.4053841747907798</v>
      </c>
      <c r="R53" s="12">
        <v>56.658807134055827</v>
      </c>
      <c r="S53" s="12">
        <v>1.7920637199550521E-4</v>
      </c>
      <c r="T53" s="12">
        <v>0.64728808210358824</v>
      </c>
      <c r="U53" s="12">
        <v>5.2052210638552019</v>
      </c>
      <c r="V53" s="12">
        <v>4.1558811016560471</v>
      </c>
      <c r="W53" s="12">
        <v>0</v>
      </c>
      <c r="X53" s="12">
        <v>2.169912448592076</v>
      </c>
      <c r="Y53" s="12">
        <v>8.2728693307842979E-2</v>
      </c>
      <c r="Z53" s="12">
        <v>0.15430151454230731</v>
      </c>
      <c r="AA53" s="12">
        <v>1.3012205021117759E-2</v>
      </c>
      <c r="AB53" s="12">
        <v>1.418322482614867</v>
      </c>
      <c r="AC53" s="12">
        <v>6.8742541511388238</v>
      </c>
      <c r="AD53" s="12">
        <v>6.1255480449644653</v>
      </c>
      <c r="AE53" s="12">
        <v>0.49920965839270709</v>
      </c>
      <c r="AF53" s="12">
        <v>4.3062421239566087</v>
      </c>
      <c r="AG53" s="12">
        <v>3394.806032758971</v>
      </c>
      <c r="AH53" s="12">
        <v>6713.8778381253214</v>
      </c>
      <c r="AI53" s="12">
        <v>7409.9532779905876</v>
      </c>
      <c r="AJ53" s="12">
        <v>8278.3482360904763</v>
      </c>
      <c r="AK53" s="12">
        <v>8651.5666474445297</v>
      </c>
      <c r="AL53" s="12">
        <v>10312.93774901444</v>
      </c>
      <c r="AM53" s="12">
        <v>10366.451678056659</v>
      </c>
      <c r="AN53" s="12">
        <v>10178.82728720977</v>
      </c>
      <c r="AO53" s="12">
        <v>10380.403093829271</v>
      </c>
      <c r="AP53" s="12">
        <v>11598.732829931059</v>
      </c>
      <c r="AQ53" s="12">
        <v>12756.91725011195</v>
      </c>
      <c r="AR53" s="12">
        <v>14807.9826234753</v>
      </c>
      <c r="AS53" s="12">
        <v>13131.31557406832</v>
      </c>
      <c r="AT53" s="12">
        <v>15758.682240785351</v>
      </c>
      <c r="AU53" s="12">
        <v>15546.417970512941</v>
      </c>
      <c r="AV53" s="12">
        <v>19338.042087171041</v>
      </c>
      <c r="AW53" s="12">
        <v>17453.56945538029</v>
      </c>
      <c r="AX53" s="12">
        <v>22846.518090206861</v>
      </c>
      <c r="AY53" s="12">
        <v>22044.07985474218</v>
      </c>
      <c r="AZ53" s="12">
        <v>65788.629223940297</v>
      </c>
      <c r="BA53" s="12">
        <v>12612.864475218639</v>
      </c>
      <c r="BB53" s="12">
        <v>5741980.6806663563</v>
      </c>
      <c r="BC53" s="12">
        <v>109.7406298224324</v>
      </c>
      <c r="BD53" s="12">
        <v>110.80829011431339</v>
      </c>
      <c r="BE53" s="12">
        <v>99.441384683780015</v>
      </c>
      <c r="BF53" s="12">
        <v>53.208433822318753</v>
      </c>
      <c r="BG53" s="12">
        <v>66.225283501803062</v>
      </c>
      <c r="BH53" s="12">
        <v>101.3982210560203</v>
      </c>
      <c r="BI53" s="12">
        <v>103.35164606268241</v>
      </c>
      <c r="BJ53" s="12">
        <v>84.642824381596299</v>
      </c>
      <c r="BK53" s="12">
        <v>0</v>
      </c>
      <c r="BL53" s="12">
        <v>0</v>
      </c>
      <c r="BM53" s="12">
        <v>0</v>
      </c>
      <c r="BN53" s="12">
        <v>0</v>
      </c>
      <c r="BO53" s="12">
        <v>0</v>
      </c>
      <c r="BP53" s="12">
        <v>0</v>
      </c>
      <c r="BQ53" s="12" t="s">
        <v>721</v>
      </c>
    </row>
    <row r="54" spans="1:69" x14ac:dyDescent="0.25">
      <c r="A54" s="12" t="s">
        <v>722</v>
      </c>
      <c r="B54" s="12" t="s">
        <v>29</v>
      </c>
      <c r="C54" s="12">
        <v>2017</v>
      </c>
      <c r="D54" s="12" t="s">
        <v>385</v>
      </c>
      <c r="E54" s="12" t="s">
        <v>145</v>
      </c>
      <c r="F54" s="12" t="s">
        <v>69</v>
      </c>
      <c r="G54" s="12">
        <v>9</v>
      </c>
      <c r="H54" s="12">
        <v>1.7236779292007121</v>
      </c>
      <c r="I54" s="12">
        <v>4.57844985974419E-3</v>
      </c>
      <c r="J54" s="12">
        <v>3.546366057326316</v>
      </c>
      <c r="K54" s="12">
        <v>5.2403223203868663</v>
      </c>
      <c r="L54" s="12">
        <v>0</v>
      </c>
      <c r="M54" s="12">
        <v>2.2008828497049162</v>
      </c>
      <c r="N54" s="12">
        <v>0</v>
      </c>
      <c r="O54" s="12">
        <v>2.420834576267632</v>
      </c>
      <c r="P54" s="12">
        <v>0</v>
      </c>
      <c r="Q54" s="12">
        <v>3.37503958612808</v>
      </c>
      <c r="R54" s="12">
        <v>53.311368974112369</v>
      </c>
      <c r="S54" s="12">
        <v>2.6288782004268578E-4</v>
      </c>
      <c r="T54" s="12">
        <v>0.56667797194015834</v>
      </c>
      <c r="U54" s="12">
        <v>5.3342225184581809</v>
      </c>
      <c r="V54" s="12">
        <v>4.0701158074173174</v>
      </c>
      <c r="W54" s="12">
        <v>4.2260843611077999E-5</v>
      </c>
      <c r="X54" s="12">
        <v>2.268973853630599</v>
      </c>
      <c r="Y54" s="12">
        <v>5.797928784715542E-2</v>
      </c>
      <c r="Z54" s="12">
        <v>0.1511717167761083</v>
      </c>
      <c r="AA54" s="12">
        <v>7.7098805425409424E-3</v>
      </c>
      <c r="AB54" s="12">
        <v>1.1607444197742549</v>
      </c>
      <c r="AC54" s="12">
        <v>8.9803713470636772</v>
      </c>
      <c r="AD54" s="12">
        <v>5.4522019234648127</v>
      </c>
      <c r="AE54" s="12">
        <v>0.59337425399885246</v>
      </c>
      <c r="AF54" s="12">
        <v>4.0653610170547623</v>
      </c>
      <c r="AG54" s="12">
        <v>3407.8728027992688</v>
      </c>
      <c r="AH54" s="12">
        <v>7367.0844767226517</v>
      </c>
      <c r="AI54" s="12">
        <v>7126.3790766915808</v>
      </c>
      <c r="AJ54" s="12">
        <v>9111.0223345941922</v>
      </c>
      <c r="AK54" s="12">
        <v>8080.3253241353614</v>
      </c>
      <c r="AL54" s="12">
        <v>9547.9266526275387</v>
      </c>
      <c r="AM54" s="12">
        <v>10469.83774703893</v>
      </c>
      <c r="AN54" s="12">
        <v>11230.941160809471</v>
      </c>
      <c r="AO54" s="12">
        <v>10469.71635658175</v>
      </c>
      <c r="AP54" s="12">
        <v>12044.76390535668</v>
      </c>
      <c r="AQ54" s="12">
        <v>12758.139776835291</v>
      </c>
      <c r="AR54" s="12">
        <v>13532.783778477529</v>
      </c>
      <c r="AS54" s="12">
        <v>14406.7225054674</v>
      </c>
      <c r="AT54" s="12">
        <v>14836.421345539051</v>
      </c>
      <c r="AU54" s="12">
        <v>16666.167242128151</v>
      </c>
      <c r="AV54" s="12">
        <v>17023.003488754272</v>
      </c>
      <c r="AW54" s="12">
        <v>18298.170852023781</v>
      </c>
      <c r="AX54" s="12">
        <v>22083.256688682581</v>
      </c>
      <c r="AY54" s="12">
        <v>24174.49234182958</v>
      </c>
      <c r="AZ54" s="12">
        <v>62803.166081849457</v>
      </c>
      <c r="BA54" s="12">
        <v>14724.339366566959</v>
      </c>
      <c r="BB54" s="12">
        <v>5486256.4125448409</v>
      </c>
      <c r="BC54" s="12">
        <v>102.10834031592699</v>
      </c>
      <c r="BD54" s="12">
        <v>112.6500390070577</v>
      </c>
      <c r="BE54" s="12">
        <v>109.1163062855541</v>
      </c>
      <c r="BF54" s="12">
        <v>49.970856753640263</v>
      </c>
      <c r="BG54" s="12">
        <v>70.263328163797652</v>
      </c>
      <c r="BH54" s="12">
        <v>98.06371415816551</v>
      </c>
      <c r="BI54" s="12">
        <v>107.879928896964</v>
      </c>
      <c r="BJ54" s="12">
        <v>83.057858503972739</v>
      </c>
      <c r="BK54" s="12">
        <v>0</v>
      </c>
      <c r="BL54" s="12">
        <v>0</v>
      </c>
      <c r="BM54" s="12">
        <v>9.5824880098354412E-4</v>
      </c>
      <c r="BN54" s="12">
        <v>0</v>
      </c>
      <c r="BO54" s="12">
        <v>0</v>
      </c>
      <c r="BP54" s="12">
        <v>0</v>
      </c>
      <c r="BQ54" s="12" t="s">
        <v>723</v>
      </c>
    </row>
    <row r="55" spans="1:69" x14ac:dyDescent="0.25">
      <c r="A55" s="12" t="s">
        <v>724</v>
      </c>
      <c r="B55" s="12" t="s">
        <v>29</v>
      </c>
      <c r="C55" s="12">
        <v>2017</v>
      </c>
      <c r="D55" s="12" t="s">
        <v>385</v>
      </c>
      <c r="E55" s="12" t="s">
        <v>145</v>
      </c>
      <c r="F55" s="12" t="s">
        <v>69</v>
      </c>
      <c r="G55" s="12">
        <v>10</v>
      </c>
      <c r="H55" s="12">
        <v>1.973870759483221</v>
      </c>
      <c r="I55" s="12">
        <v>4.5395326706390493E-3</v>
      </c>
      <c r="J55" s="12">
        <v>3.458001305238406</v>
      </c>
      <c r="K55" s="12">
        <v>4.0541166254064231</v>
      </c>
      <c r="L55" s="12">
        <v>0</v>
      </c>
      <c r="M55" s="12">
        <v>2.1753974214247731</v>
      </c>
      <c r="N55" s="12">
        <v>0</v>
      </c>
      <c r="O55" s="12">
        <v>1.3131203024560401</v>
      </c>
      <c r="P55" s="12">
        <v>0</v>
      </c>
      <c r="Q55" s="12">
        <v>3.9917648954093989</v>
      </c>
      <c r="R55" s="12">
        <v>52.250621261020747</v>
      </c>
      <c r="S55" s="12">
        <v>2.1571607261334101E-4</v>
      </c>
      <c r="T55" s="12">
        <v>0.51404253554731894</v>
      </c>
      <c r="U55" s="12">
        <v>7.0591965085073793</v>
      </c>
      <c r="V55" s="12">
        <v>4.7145455495662976</v>
      </c>
      <c r="W55" s="12">
        <v>1.5614341342982301E-4</v>
      </c>
      <c r="X55" s="12">
        <v>2.199350736284317</v>
      </c>
      <c r="Y55" s="12">
        <v>6.1143129234433213E-2</v>
      </c>
      <c r="Z55" s="12">
        <v>0.12719360479040831</v>
      </c>
      <c r="AA55" s="12">
        <v>1.6304658360913622E-2</v>
      </c>
      <c r="AB55" s="12">
        <v>0.67487770414960147</v>
      </c>
      <c r="AC55" s="12">
        <v>11.70767223094912</v>
      </c>
      <c r="AD55" s="12">
        <v>5.8200027355519346</v>
      </c>
      <c r="AE55" s="12">
        <v>0.50834277576991294</v>
      </c>
      <c r="AF55" s="12">
        <v>3.6682499427011588</v>
      </c>
      <c r="AG55" s="12">
        <v>3227.361741421169</v>
      </c>
      <c r="AH55" s="12">
        <v>7014.6794846807616</v>
      </c>
      <c r="AI55" s="12">
        <v>6739.6365352571001</v>
      </c>
      <c r="AJ55" s="12">
        <v>8100.0200660066384</v>
      </c>
      <c r="AK55" s="12">
        <v>8788.5248248666248</v>
      </c>
      <c r="AL55" s="12">
        <v>10120.076631774369</v>
      </c>
      <c r="AM55" s="12">
        <v>9635.99278977635</v>
      </c>
      <c r="AN55" s="12">
        <v>10419.607102697821</v>
      </c>
      <c r="AO55" s="12">
        <v>10696.53277295551</v>
      </c>
      <c r="AP55" s="12">
        <v>13119.792302213131</v>
      </c>
      <c r="AQ55" s="12">
        <v>13127.60070923811</v>
      </c>
      <c r="AR55" s="12">
        <v>13249.53067900156</v>
      </c>
      <c r="AS55" s="12">
        <v>14117.639551808799</v>
      </c>
      <c r="AT55" s="12">
        <v>15207.239141068119</v>
      </c>
      <c r="AU55" s="12">
        <v>14625.52849574372</v>
      </c>
      <c r="AV55" s="12">
        <v>19574.331165249081</v>
      </c>
      <c r="AW55" s="12">
        <v>17375.162543305101</v>
      </c>
      <c r="AX55" s="12">
        <v>22666.733191080279</v>
      </c>
      <c r="AY55" s="12">
        <v>24697.47755036948</v>
      </c>
      <c r="AZ55" s="12">
        <v>63971.240152421407</v>
      </c>
      <c r="BA55" s="12">
        <v>22157.78064774588</v>
      </c>
      <c r="BB55" s="12">
        <v>6066465.1676781746</v>
      </c>
      <c r="BC55" s="12">
        <v>104.8491660945694</v>
      </c>
      <c r="BD55" s="12">
        <v>111.45621615471519</v>
      </c>
      <c r="BE55" s="12">
        <v>106.1384869586628</v>
      </c>
      <c r="BF55" s="12">
        <v>38.579182719632293</v>
      </c>
      <c r="BG55" s="12">
        <v>66.949920558958709</v>
      </c>
      <c r="BH55" s="12">
        <v>96.493197749249433</v>
      </c>
      <c r="BI55" s="12">
        <v>101.77245346923129</v>
      </c>
      <c r="BJ55" s="12">
        <v>79.131648914862069</v>
      </c>
      <c r="BK55" s="12">
        <v>0</v>
      </c>
      <c r="BL55" s="12">
        <v>0</v>
      </c>
      <c r="BM55" s="12">
        <v>0</v>
      </c>
      <c r="BN55" s="12">
        <v>0</v>
      </c>
      <c r="BO55" s="12">
        <v>0</v>
      </c>
      <c r="BP55" s="12">
        <v>0</v>
      </c>
      <c r="BQ55" s="12" t="s">
        <v>725</v>
      </c>
    </row>
    <row r="56" spans="1:69" x14ac:dyDescent="0.25">
      <c r="A56" s="12" t="s">
        <v>726</v>
      </c>
      <c r="B56" s="12" t="s">
        <v>29</v>
      </c>
      <c r="C56" s="12">
        <v>2017</v>
      </c>
      <c r="D56" s="12" t="s">
        <v>385</v>
      </c>
      <c r="E56" s="12" t="s">
        <v>382</v>
      </c>
      <c r="F56" s="12" t="s">
        <v>69</v>
      </c>
      <c r="G56" s="12">
        <v>9999</v>
      </c>
      <c r="H56" s="12">
        <v>1.752528007381251</v>
      </c>
      <c r="I56" s="12">
        <v>6.5424204278114323E-3</v>
      </c>
      <c r="J56" s="12">
        <v>3.6748749401847189</v>
      </c>
      <c r="K56" s="12">
        <v>6.2120161722914311</v>
      </c>
      <c r="L56" s="12">
        <v>0</v>
      </c>
      <c r="M56" s="12">
        <v>2.3453453617230888</v>
      </c>
      <c r="N56" s="12">
        <v>0</v>
      </c>
      <c r="O56" s="12">
        <v>3.051859648637858</v>
      </c>
      <c r="P56" s="12">
        <v>0</v>
      </c>
      <c r="Q56" s="12">
        <v>3.6118703291587368</v>
      </c>
      <c r="R56" s="12">
        <v>61.136915648081157</v>
      </c>
      <c r="S56" s="12">
        <v>3.2568021519397029E-4</v>
      </c>
      <c r="T56" s="12">
        <v>0.44976891848435718</v>
      </c>
      <c r="U56" s="12">
        <v>4.4623773933566948</v>
      </c>
      <c r="V56" s="12">
        <v>3.97280199710986</v>
      </c>
      <c r="W56" s="12">
        <v>4.2239815739881222E-5</v>
      </c>
      <c r="X56" s="12">
        <v>2.2349743809268121</v>
      </c>
      <c r="Y56" s="12">
        <v>6.1325279003192242E-2</v>
      </c>
      <c r="Z56" s="12">
        <v>0.12519495330942509</v>
      </c>
      <c r="AA56" s="12">
        <v>1.0229019388726571E-2</v>
      </c>
      <c r="AB56" s="12">
        <v>1.7626770435657451</v>
      </c>
      <c r="AC56" s="12">
        <v>6.2806320266819844</v>
      </c>
      <c r="AD56" s="12">
        <v>6.1793593804708111</v>
      </c>
      <c r="AE56" s="12">
        <v>0.36521973869516539</v>
      </c>
      <c r="AF56" s="12">
        <v>4.0490937804388842</v>
      </c>
      <c r="AG56" s="12">
        <v>2973.910350843692</v>
      </c>
      <c r="AH56" s="12">
        <v>6655.4662966027436</v>
      </c>
      <c r="AI56" s="12">
        <v>7034.5339928938347</v>
      </c>
      <c r="AJ56" s="12">
        <v>8489.8108785282602</v>
      </c>
      <c r="AK56" s="12">
        <v>8903.0754703651855</v>
      </c>
      <c r="AL56" s="12">
        <v>9025.5173059967801</v>
      </c>
      <c r="AM56" s="12">
        <v>9139.7039771384389</v>
      </c>
      <c r="AN56" s="12">
        <v>10407.522410606651</v>
      </c>
      <c r="AO56" s="12">
        <v>10688.58711391709</v>
      </c>
      <c r="AP56" s="12">
        <v>11693.48222996253</v>
      </c>
      <c r="AQ56" s="12">
        <v>13084.673038508799</v>
      </c>
      <c r="AR56" s="12">
        <v>12999.5302291096</v>
      </c>
      <c r="AS56" s="12">
        <v>14330.563496103279</v>
      </c>
      <c r="AT56" s="12">
        <v>14568.619132530839</v>
      </c>
      <c r="AU56" s="12">
        <v>16176.865731672189</v>
      </c>
      <c r="AV56" s="12">
        <v>19655.06028660142</v>
      </c>
      <c r="AW56" s="12">
        <v>18444.636877254921</v>
      </c>
      <c r="AX56" s="12">
        <v>22665.365430532442</v>
      </c>
      <c r="AY56" s="12">
        <v>22770.833343674101</v>
      </c>
      <c r="AZ56" s="12">
        <v>61374.440777487391</v>
      </c>
      <c r="BA56" s="12">
        <v>11736.039329208899</v>
      </c>
      <c r="BB56" s="12">
        <v>59152759.964059398</v>
      </c>
      <c r="BC56" s="12">
        <v>101.9052240804986</v>
      </c>
      <c r="BD56" s="12">
        <v>102.7012449328397</v>
      </c>
      <c r="BE56" s="12">
        <v>104.1104636285405</v>
      </c>
      <c r="BF56" s="12">
        <v>44.147384832879688</v>
      </c>
      <c r="BG56" s="12">
        <v>54.179470403816403</v>
      </c>
      <c r="BH56" s="12">
        <v>104.1202997618016</v>
      </c>
      <c r="BI56" s="12">
        <v>102.78712851323191</v>
      </c>
      <c r="BJ56" s="12">
        <v>83.70622648620963</v>
      </c>
      <c r="BK56" s="12">
        <v>0.1129881722921415</v>
      </c>
      <c r="BL56" s="12">
        <v>2.2151197189527529</v>
      </c>
      <c r="BM56" s="12">
        <v>23.511533243591369</v>
      </c>
      <c r="BN56" s="12">
        <v>0</v>
      </c>
      <c r="BO56" s="12">
        <v>0</v>
      </c>
      <c r="BP56" s="12">
        <v>0</v>
      </c>
      <c r="BQ56" s="12" t="s">
        <v>727</v>
      </c>
    </row>
    <row r="57" spans="1:69" x14ac:dyDescent="0.25">
      <c r="A57" s="12" t="s">
        <v>728</v>
      </c>
      <c r="B57" s="12" t="s">
        <v>29</v>
      </c>
      <c r="C57" s="12">
        <v>2017</v>
      </c>
      <c r="D57" s="12" t="s">
        <v>385</v>
      </c>
      <c r="E57" s="12" t="s">
        <v>145</v>
      </c>
      <c r="F57" s="12" t="s">
        <v>72</v>
      </c>
      <c r="G57" s="12">
        <v>1</v>
      </c>
      <c r="H57" s="12">
        <v>1.466802264498396</v>
      </c>
      <c r="I57" s="12">
        <v>0</v>
      </c>
      <c r="J57" s="12">
        <v>4.2632682900213448</v>
      </c>
      <c r="K57" s="12">
        <v>4.8324269112950624</v>
      </c>
      <c r="L57" s="12">
        <v>0</v>
      </c>
      <c r="M57" s="12">
        <v>1.5958404602891409</v>
      </c>
      <c r="N57" s="12">
        <v>0</v>
      </c>
      <c r="O57" s="12">
        <v>1.580677996405341</v>
      </c>
      <c r="P57" s="12">
        <v>0</v>
      </c>
      <c r="Q57" s="12">
        <v>3.391367472188346</v>
      </c>
      <c r="R57" s="12">
        <v>59.499463344806792</v>
      </c>
      <c r="S57" s="12">
        <v>0</v>
      </c>
      <c r="T57" s="12">
        <v>0</v>
      </c>
      <c r="U57" s="12">
        <v>1.775646107323392</v>
      </c>
      <c r="V57" s="12">
        <v>2.6967236797431289</v>
      </c>
      <c r="W57" s="12">
        <v>0</v>
      </c>
      <c r="X57" s="12">
        <v>3.1619365030653288</v>
      </c>
      <c r="Y57" s="12">
        <v>0</v>
      </c>
      <c r="Z57" s="12">
        <v>0</v>
      </c>
      <c r="AA57" s="12">
        <v>0</v>
      </c>
      <c r="AB57" s="12">
        <v>1.63755948420681</v>
      </c>
      <c r="AC57" s="12">
        <v>3.2354967645375838</v>
      </c>
      <c r="AD57" s="12">
        <v>5.7615270637914424</v>
      </c>
      <c r="AE57" s="12">
        <v>0</v>
      </c>
      <c r="AF57" s="12">
        <v>3.2179787243145408</v>
      </c>
      <c r="AG57" s="12">
        <v>3363.4613357549479</v>
      </c>
      <c r="AH57" s="12">
        <v>6897.0256541987101</v>
      </c>
      <c r="AI57" s="12">
        <v>7414.5708389341917</v>
      </c>
      <c r="AJ57" s="12">
        <v>8775.2462917743906</v>
      </c>
      <c r="AK57" s="12">
        <v>8372.946663196446</v>
      </c>
      <c r="AL57" s="12">
        <v>10336.58583508933</v>
      </c>
      <c r="AM57" s="12">
        <v>10512.422710683169</v>
      </c>
      <c r="AN57" s="12">
        <v>11611.518196161869</v>
      </c>
      <c r="AO57" s="12">
        <v>11276.966412593199</v>
      </c>
      <c r="AP57" s="12">
        <v>12672.65825169102</v>
      </c>
      <c r="AQ57" s="12">
        <v>11749.012350695941</v>
      </c>
      <c r="AR57" s="12">
        <v>14669.94687614348</v>
      </c>
      <c r="AS57" s="12">
        <v>14357.5652356053</v>
      </c>
      <c r="AT57" s="12">
        <v>14596.393524631871</v>
      </c>
      <c r="AU57" s="12">
        <v>16228.099906164471</v>
      </c>
      <c r="AV57" s="12">
        <v>19586.21388391218</v>
      </c>
      <c r="AW57" s="12">
        <v>18343.618687800601</v>
      </c>
      <c r="AX57" s="12">
        <v>23482.393623651969</v>
      </c>
      <c r="AY57" s="12">
        <v>22740.46284782224</v>
      </c>
      <c r="AZ57" s="12">
        <v>63960.301680667428</v>
      </c>
      <c r="BA57" s="12">
        <v>5372.0393278247466</v>
      </c>
      <c r="BB57" s="12">
        <v>5325733.2898083217</v>
      </c>
      <c r="BC57" s="12">
        <v>0</v>
      </c>
      <c r="BD57" s="12">
        <v>0</v>
      </c>
      <c r="BE57" s="12">
        <v>0</v>
      </c>
      <c r="BF57" s="12">
        <v>0</v>
      </c>
      <c r="BG57" s="12">
        <v>0</v>
      </c>
      <c r="BH57" s="12">
        <v>0</v>
      </c>
      <c r="BI57" s="12">
        <v>0</v>
      </c>
      <c r="BJ57" s="12">
        <v>0</v>
      </c>
      <c r="BK57" s="12">
        <v>0.1120494745932902</v>
      </c>
      <c r="BL57" s="12">
        <v>2.2896975363897929</v>
      </c>
      <c r="BM57" s="12">
        <v>5.8955311022221304</v>
      </c>
      <c r="BN57" s="12">
        <v>0</v>
      </c>
      <c r="BO57" s="12">
        <v>0</v>
      </c>
      <c r="BP57" s="12">
        <v>0</v>
      </c>
      <c r="BQ57" s="12" t="s">
        <v>729</v>
      </c>
    </row>
    <row r="58" spans="1:69" x14ac:dyDescent="0.25">
      <c r="A58" s="12" t="s">
        <v>730</v>
      </c>
      <c r="B58" s="12" t="s">
        <v>29</v>
      </c>
      <c r="C58" s="12">
        <v>2017</v>
      </c>
      <c r="D58" s="12" t="s">
        <v>385</v>
      </c>
      <c r="E58" s="12" t="s">
        <v>145</v>
      </c>
      <c r="F58" s="12" t="s">
        <v>72</v>
      </c>
      <c r="G58" s="12">
        <v>2</v>
      </c>
      <c r="H58" s="12">
        <v>1.432170571887285</v>
      </c>
      <c r="I58" s="12">
        <v>0</v>
      </c>
      <c r="J58" s="12">
        <v>3.991893601023536</v>
      </c>
      <c r="K58" s="12">
        <v>5.7229872434558731</v>
      </c>
      <c r="L58" s="12">
        <v>0</v>
      </c>
      <c r="M58" s="12">
        <v>1.7180167594331111</v>
      </c>
      <c r="N58" s="12">
        <v>0</v>
      </c>
      <c r="O58" s="12">
        <v>2.1123625628601941</v>
      </c>
      <c r="P58" s="12">
        <v>0</v>
      </c>
      <c r="Q58" s="12">
        <v>3.1637739051141192</v>
      </c>
      <c r="R58" s="12">
        <v>60.792557743695617</v>
      </c>
      <c r="S58" s="12">
        <v>0</v>
      </c>
      <c r="T58" s="12">
        <v>0</v>
      </c>
      <c r="U58" s="12">
        <v>1.888713330342439</v>
      </c>
      <c r="V58" s="12">
        <v>2.499470316557769</v>
      </c>
      <c r="W58" s="12">
        <v>0</v>
      </c>
      <c r="X58" s="12">
        <v>2.6386025580463701</v>
      </c>
      <c r="Y58" s="12">
        <v>0</v>
      </c>
      <c r="Z58" s="12">
        <v>0</v>
      </c>
      <c r="AA58" s="12">
        <v>0</v>
      </c>
      <c r="AB58" s="12">
        <v>1.647829275189187</v>
      </c>
      <c r="AC58" s="12">
        <v>3.69162884568303</v>
      </c>
      <c r="AD58" s="12">
        <v>5.5698540804753556</v>
      </c>
      <c r="AE58" s="12">
        <v>0</v>
      </c>
      <c r="AF58" s="12">
        <v>3.370439026502853</v>
      </c>
      <c r="AG58" s="12">
        <v>3023.9908752126148</v>
      </c>
      <c r="AH58" s="12">
        <v>7561.7530953470796</v>
      </c>
      <c r="AI58" s="12">
        <v>7102.1980527379192</v>
      </c>
      <c r="AJ58" s="12">
        <v>8242.4552870555563</v>
      </c>
      <c r="AK58" s="12">
        <v>9006.4956920100831</v>
      </c>
      <c r="AL58" s="12">
        <v>9480.3754615518883</v>
      </c>
      <c r="AM58" s="12">
        <v>10440.464388345101</v>
      </c>
      <c r="AN58" s="12">
        <v>11494.22040077472</v>
      </c>
      <c r="AO58" s="12">
        <v>10913.423751298809</v>
      </c>
      <c r="AP58" s="12">
        <v>11984.42620974664</v>
      </c>
      <c r="AQ58" s="12">
        <v>12424.048900391679</v>
      </c>
      <c r="AR58" s="12">
        <v>12930.150438589309</v>
      </c>
      <c r="AS58" s="12">
        <v>13973.633574047361</v>
      </c>
      <c r="AT58" s="12">
        <v>16293.239385948091</v>
      </c>
      <c r="AU58" s="12">
        <v>14646.80599462214</v>
      </c>
      <c r="AV58" s="12">
        <v>17610.484899692521</v>
      </c>
      <c r="AW58" s="12">
        <v>17295.31475415645</v>
      </c>
      <c r="AX58" s="12">
        <v>22473.37413244645</v>
      </c>
      <c r="AY58" s="12">
        <v>24417.934998429191</v>
      </c>
      <c r="AZ58" s="12">
        <v>65353.745767506443</v>
      </c>
      <c r="BA58" s="12">
        <v>6162.8379941794728</v>
      </c>
      <c r="BB58" s="12">
        <v>5695543.2884098766</v>
      </c>
      <c r="BC58" s="12">
        <v>0</v>
      </c>
      <c r="BD58" s="12">
        <v>0</v>
      </c>
      <c r="BE58" s="12">
        <v>0</v>
      </c>
      <c r="BF58" s="12">
        <v>0</v>
      </c>
      <c r="BG58" s="12">
        <v>0</v>
      </c>
      <c r="BH58" s="12">
        <v>0</v>
      </c>
      <c r="BI58" s="12">
        <v>0</v>
      </c>
      <c r="BJ58" s="12">
        <v>0</v>
      </c>
      <c r="BK58" s="12">
        <v>0</v>
      </c>
      <c r="BL58" s="12">
        <v>9.2396341771834405E-4</v>
      </c>
      <c r="BM58" s="12">
        <v>5.7126253418622799</v>
      </c>
      <c r="BN58" s="12">
        <v>0</v>
      </c>
      <c r="BO58" s="12">
        <v>0</v>
      </c>
      <c r="BP58" s="12">
        <v>0</v>
      </c>
      <c r="BQ58" s="12" t="s">
        <v>731</v>
      </c>
    </row>
    <row r="59" spans="1:69" x14ac:dyDescent="0.25">
      <c r="A59" s="12" t="s">
        <v>732</v>
      </c>
      <c r="B59" s="12" t="s">
        <v>29</v>
      </c>
      <c r="C59" s="12">
        <v>2017</v>
      </c>
      <c r="D59" s="12" t="s">
        <v>385</v>
      </c>
      <c r="E59" s="12" t="s">
        <v>145</v>
      </c>
      <c r="F59" s="12" t="s">
        <v>72</v>
      </c>
      <c r="G59" s="12">
        <v>3</v>
      </c>
      <c r="H59" s="12">
        <v>1.3959861588107509</v>
      </c>
      <c r="I59" s="12">
        <v>0</v>
      </c>
      <c r="J59" s="12">
        <v>3.7191363587564181</v>
      </c>
      <c r="K59" s="12">
        <v>5.9136245808171957</v>
      </c>
      <c r="L59" s="12">
        <v>0</v>
      </c>
      <c r="M59" s="12">
        <v>1.9410183413969291</v>
      </c>
      <c r="N59" s="12">
        <v>0</v>
      </c>
      <c r="O59" s="12">
        <v>2.3521571651836659</v>
      </c>
      <c r="P59" s="12">
        <v>0</v>
      </c>
      <c r="Q59" s="12">
        <v>3.1850872205604048</v>
      </c>
      <c r="R59" s="12">
        <v>62.892769041910221</v>
      </c>
      <c r="S59" s="12">
        <v>0</v>
      </c>
      <c r="T59" s="12">
        <v>0</v>
      </c>
      <c r="U59" s="12">
        <v>2.270742835978059</v>
      </c>
      <c r="V59" s="12">
        <v>2.6146695683970091</v>
      </c>
      <c r="W59" s="12">
        <v>0</v>
      </c>
      <c r="X59" s="12">
        <v>2.558088753380261</v>
      </c>
      <c r="Y59" s="12">
        <v>0</v>
      </c>
      <c r="Z59" s="12">
        <v>0</v>
      </c>
      <c r="AA59" s="12">
        <v>0</v>
      </c>
      <c r="AB59" s="12">
        <v>1.8940535943973389</v>
      </c>
      <c r="AC59" s="12">
        <v>3.791009674673206</v>
      </c>
      <c r="AD59" s="12">
        <v>5.3785548385064779</v>
      </c>
      <c r="AE59" s="12">
        <v>0</v>
      </c>
      <c r="AF59" s="12">
        <v>3.334056705547308</v>
      </c>
      <c r="AG59" s="12">
        <v>2999.2285312144409</v>
      </c>
      <c r="AH59" s="12">
        <v>6983.8449101998131</v>
      </c>
      <c r="AI59" s="12">
        <v>7690.0800003545392</v>
      </c>
      <c r="AJ59" s="12">
        <v>8179.287810948189</v>
      </c>
      <c r="AK59" s="12">
        <v>8535.2667916650989</v>
      </c>
      <c r="AL59" s="12">
        <v>9839.2252120135854</v>
      </c>
      <c r="AM59" s="12">
        <v>9491.4943259357206</v>
      </c>
      <c r="AN59" s="12">
        <v>10243.544378053841</v>
      </c>
      <c r="AO59" s="12">
        <v>11586.086509864361</v>
      </c>
      <c r="AP59" s="12">
        <v>12157.647338978921</v>
      </c>
      <c r="AQ59" s="12">
        <v>12335.428249518989</v>
      </c>
      <c r="AR59" s="12">
        <v>14846.92128840099</v>
      </c>
      <c r="AS59" s="12">
        <v>14604.0467693422</v>
      </c>
      <c r="AT59" s="12">
        <v>16249.126846315439</v>
      </c>
      <c r="AU59" s="12">
        <v>15204.73132790646</v>
      </c>
      <c r="AV59" s="12">
        <v>17607.988772973509</v>
      </c>
      <c r="AW59" s="12">
        <v>19478.517470467828</v>
      </c>
      <c r="AX59" s="12">
        <v>24313.698362523719</v>
      </c>
      <c r="AY59" s="12">
        <v>21909.728691346281</v>
      </c>
      <c r="AZ59" s="12">
        <v>65658.080331389312</v>
      </c>
      <c r="BA59" s="12">
        <v>8105.5485785825213</v>
      </c>
      <c r="BB59" s="12">
        <v>5424167.3955691066</v>
      </c>
      <c r="BC59" s="12">
        <v>0</v>
      </c>
      <c r="BD59" s="12">
        <v>0</v>
      </c>
      <c r="BE59" s="12">
        <v>0</v>
      </c>
      <c r="BF59" s="12">
        <v>0</v>
      </c>
      <c r="BG59" s="12">
        <v>0</v>
      </c>
      <c r="BH59" s="12">
        <v>0</v>
      </c>
      <c r="BI59" s="12">
        <v>0</v>
      </c>
      <c r="BJ59" s="12">
        <v>0</v>
      </c>
      <c r="BK59" s="12">
        <v>0</v>
      </c>
      <c r="BL59" s="12">
        <v>0</v>
      </c>
      <c r="BM59" s="12">
        <v>5.9428108983141641</v>
      </c>
      <c r="BN59" s="12">
        <v>0</v>
      </c>
      <c r="BO59" s="12">
        <v>0</v>
      </c>
      <c r="BP59" s="12">
        <v>0</v>
      </c>
      <c r="BQ59" s="12" t="s">
        <v>733</v>
      </c>
    </row>
    <row r="60" spans="1:69" x14ac:dyDescent="0.25">
      <c r="A60" s="12" t="s">
        <v>734</v>
      </c>
      <c r="B60" s="12" t="s">
        <v>29</v>
      </c>
      <c r="C60" s="12">
        <v>2017</v>
      </c>
      <c r="D60" s="12" t="s">
        <v>385</v>
      </c>
      <c r="E60" s="12" t="s">
        <v>145</v>
      </c>
      <c r="F60" s="12" t="s">
        <v>72</v>
      </c>
      <c r="G60" s="12">
        <v>4</v>
      </c>
      <c r="H60" s="12">
        <v>1.5210246772073781</v>
      </c>
      <c r="I60" s="12">
        <v>0</v>
      </c>
      <c r="J60" s="12">
        <v>3.6657436335018199</v>
      </c>
      <c r="K60" s="12">
        <v>6.0694705732441943</v>
      </c>
      <c r="L60" s="12">
        <v>0</v>
      </c>
      <c r="M60" s="12">
        <v>1.8206127679368691</v>
      </c>
      <c r="N60" s="12">
        <v>0</v>
      </c>
      <c r="O60" s="12">
        <v>2.3661634914706648</v>
      </c>
      <c r="P60" s="12">
        <v>0</v>
      </c>
      <c r="Q60" s="12">
        <v>2.817611024946002</v>
      </c>
      <c r="R60" s="12">
        <v>63.024780588580128</v>
      </c>
      <c r="S60" s="12">
        <v>0</v>
      </c>
      <c r="T60" s="12">
        <v>0</v>
      </c>
      <c r="U60" s="12">
        <v>2.3516429356275621</v>
      </c>
      <c r="V60" s="12">
        <v>2.8616338955135259</v>
      </c>
      <c r="W60" s="12">
        <v>0</v>
      </c>
      <c r="X60" s="12">
        <v>2.1455683242223049</v>
      </c>
      <c r="Y60" s="12">
        <v>0</v>
      </c>
      <c r="Z60" s="12">
        <v>0</v>
      </c>
      <c r="AA60" s="12">
        <v>0</v>
      </c>
      <c r="AB60" s="12">
        <v>1.7551504921389709</v>
      </c>
      <c r="AC60" s="12">
        <v>3.7051719630437212</v>
      </c>
      <c r="AD60" s="12">
        <v>5.2286160490811131</v>
      </c>
      <c r="AE60" s="12">
        <v>0</v>
      </c>
      <c r="AF60" s="12">
        <v>3.1544169217106579</v>
      </c>
      <c r="AG60" s="12">
        <v>3158.8516883966972</v>
      </c>
      <c r="AH60" s="12">
        <v>7024.9708872786359</v>
      </c>
      <c r="AI60" s="12">
        <v>7085.9862000507201</v>
      </c>
      <c r="AJ60" s="12">
        <v>7964.2549999171024</v>
      </c>
      <c r="AK60" s="12">
        <v>9193.8140099162611</v>
      </c>
      <c r="AL60" s="12">
        <v>9388.3564909589422</v>
      </c>
      <c r="AM60" s="12">
        <v>10282.068878814111</v>
      </c>
      <c r="AN60" s="12">
        <v>10921.693188674089</v>
      </c>
      <c r="AO60" s="12">
        <v>10902.58984320655</v>
      </c>
      <c r="AP60" s="12">
        <v>12208.3801484139</v>
      </c>
      <c r="AQ60" s="12">
        <v>11704.7580540539</v>
      </c>
      <c r="AR60" s="12">
        <v>13142.370299656181</v>
      </c>
      <c r="AS60" s="12">
        <v>14281.533910168961</v>
      </c>
      <c r="AT60" s="12">
        <v>15759.64383653014</v>
      </c>
      <c r="AU60" s="12">
        <v>14922.662829287859</v>
      </c>
      <c r="AV60" s="12">
        <v>19273.752198197009</v>
      </c>
      <c r="AW60" s="12">
        <v>18042.021053352801</v>
      </c>
      <c r="AX60" s="12">
        <v>22313.307853692731</v>
      </c>
      <c r="AY60" s="12">
        <v>23483.78063092304</v>
      </c>
      <c r="AZ60" s="12">
        <v>69444.116659778592</v>
      </c>
      <c r="BA60" s="12">
        <v>8813.2211363565293</v>
      </c>
      <c r="BB60" s="12">
        <v>5351816.8624203764</v>
      </c>
      <c r="BC60" s="12">
        <v>0</v>
      </c>
      <c r="BD60" s="12">
        <v>0</v>
      </c>
      <c r="BE60" s="12">
        <v>0</v>
      </c>
      <c r="BF60" s="12">
        <v>0</v>
      </c>
      <c r="BG60" s="12">
        <v>0</v>
      </c>
      <c r="BH60" s="12">
        <v>0</v>
      </c>
      <c r="BI60" s="12">
        <v>0</v>
      </c>
      <c r="BJ60" s="12">
        <v>0</v>
      </c>
      <c r="BK60" s="12">
        <v>0</v>
      </c>
      <c r="BL60" s="12">
        <v>0</v>
      </c>
      <c r="BM60" s="12">
        <v>5.2333676112781387</v>
      </c>
      <c r="BN60" s="12">
        <v>0</v>
      </c>
      <c r="BO60" s="12">
        <v>0</v>
      </c>
      <c r="BP60" s="12">
        <v>0</v>
      </c>
      <c r="BQ60" s="12" t="s">
        <v>735</v>
      </c>
    </row>
    <row r="61" spans="1:69" x14ac:dyDescent="0.25">
      <c r="A61" s="12" t="s">
        <v>736</v>
      </c>
      <c r="B61" s="12" t="s">
        <v>29</v>
      </c>
      <c r="C61" s="12">
        <v>2017</v>
      </c>
      <c r="D61" s="12" t="s">
        <v>385</v>
      </c>
      <c r="E61" s="12" t="s">
        <v>145</v>
      </c>
      <c r="F61" s="12" t="s">
        <v>72</v>
      </c>
      <c r="G61" s="12">
        <v>5</v>
      </c>
      <c r="H61" s="12">
        <v>1.3396922494074719</v>
      </c>
      <c r="I61" s="12">
        <v>0</v>
      </c>
      <c r="J61" s="12">
        <v>3.2675856683345019</v>
      </c>
      <c r="K61" s="12">
        <v>5.984431818873186</v>
      </c>
      <c r="L61" s="12">
        <v>0</v>
      </c>
      <c r="M61" s="12">
        <v>1.871240806230035</v>
      </c>
      <c r="N61" s="12">
        <v>0</v>
      </c>
      <c r="O61" s="12">
        <v>2.4129870276215959</v>
      </c>
      <c r="P61" s="12">
        <v>0</v>
      </c>
      <c r="Q61" s="12">
        <v>2.8702639823743321</v>
      </c>
      <c r="R61" s="12">
        <v>61.159022239666392</v>
      </c>
      <c r="S61" s="12">
        <v>0</v>
      </c>
      <c r="T61" s="12">
        <v>0</v>
      </c>
      <c r="U61" s="12">
        <v>2.55052567920582</v>
      </c>
      <c r="V61" s="12">
        <v>2.712973624052283</v>
      </c>
      <c r="W61" s="12">
        <v>0</v>
      </c>
      <c r="X61" s="12">
        <v>2.0665850213778731</v>
      </c>
      <c r="Y61" s="12">
        <v>0</v>
      </c>
      <c r="Z61" s="12">
        <v>0</v>
      </c>
      <c r="AA61" s="12">
        <v>0</v>
      </c>
      <c r="AB61" s="12">
        <v>1.7071799134517529</v>
      </c>
      <c r="AC61" s="12">
        <v>4.2409445732709763</v>
      </c>
      <c r="AD61" s="12">
        <v>5.4075698303497521</v>
      </c>
      <c r="AE61" s="12">
        <v>0</v>
      </c>
      <c r="AF61" s="12">
        <v>3.4801474167343431</v>
      </c>
      <c r="AG61" s="12">
        <v>3035.6366091938899</v>
      </c>
      <c r="AH61" s="12">
        <v>7240.2642219269292</v>
      </c>
      <c r="AI61" s="12">
        <v>6941.0737244868606</v>
      </c>
      <c r="AJ61" s="12">
        <v>8959.7448782129868</v>
      </c>
      <c r="AK61" s="12">
        <v>9086.8678124496237</v>
      </c>
      <c r="AL61" s="12">
        <v>10028.892676531321</v>
      </c>
      <c r="AM61" s="12">
        <v>10542.720491014539</v>
      </c>
      <c r="AN61" s="12">
        <v>11369.52836878641</v>
      </c>
      <c r="AO61" s="12">
        <v>10167.33297916286</v>
      </c>
      <c r="AP61" s="12">
        <v>11682.54557858903</v>
      </c>
      <c r="AQ61" s="12">
        <v>12327.801160612031</v>
      </c>
      <c r="AR61" s="12">
        <v>13884.68920938723</v>
      </c>
      <c r="AS61" s="12">
        <v>14354.42484475671</v>
      </c>
      <c r="AT61" s="12">
        <v>16809.491530296389</v>
      </c>
      <c r="AU61" s="12">
        <v>15651.981241571721</v>
      </c>
      <c r="AV61" s="12">
        <v>19159.88966878075</v>
      </c>
      <c r="AW61" s="12">
        <v>19467.54685238755</v>
      </c>
      <c r="AX61" s="12">
        <v>22859.432321843771</v>
      </c>
      <c r="AY61" s="12">
        <v>22587.5456393612</v>
      </c>
      <c r="AZ61" s="12">
        <v>63468.43333490911</v>
      </c>
      <c r="BA61" s="12">
        <v>9835.5536873544788</v>
      </c>
      <c r="BB61" s="12">
        <v>5697832.4741511606</v>
      </c>
      <c r="BC61" s="12">
        <v>0</v>
      </c>
      <c r="BD61" s="12">
        <v>0</v>
      </c>
      <c r="BE61" s="12">
        <v>0</v>
      </c>
      <c r="BF61" s="12">
        <v>0</v>
      </c>
      <c r="BG61" s="12">
        <v>0</v>
      </c>
      <c r="BH61" s="12">
        <v>0</v>
      </c>
      <c r="BI61" s="12">
        <v>0</v>
      </c>
      <c r="BJ61" s="12">
        <v>0</v>
      </c>
      <c r="BK61" s="12">
        <v>0</v>
      </c>
      <c r="BL61" s="12">
        <v>0</v>
      </c>
      <c r="BM61" s="12">
        <v>1.664658393297193</v>
      </c>
      <c r="BN61" s="12">
        <v>0</v>
      </c>
      <c r="BO61" s="12">
        <v>0</v>
      </c>
      <c r="BP61" s="12">
        <v>0</v>
      </c>
      <c r="BQ61" s="12" t="s">
        <v>737</v>
      </c>
    </row>
    <row r="62" spans="1:69" x14ac:dyDescent="0.25">
      <c r="A62" s="12" t="s">
        <v>738</v>
      </c>
      <c r="B62" s="12" t="s">
        <v>29</v>
      </c>
      <c r="C62" s="12">
        <v>2017</v>
      </c>
      <c r="D62" s="12" t="s">
        <v>385</v>
      </c>
      <c r="E62" s="12" t="s">
        <v>145</v>
      </c>
      <c r="F62" s="12" t="s">
        <v>72</v>
      </c>
      <c r="G62" s="12">
        <v>6</v>
      </c>
      <c r="H62" s="12">
        <v>1.395856541749404</v>
      </c>
      <c r="I62" s="12">
        <v>0</v>
      </c>
      <c r="J62" s="12">
        <v>3.3477815329286829</v>
      </c>
      <c r="K62" s="12">
        <v>5.7137690051266024</v>
      </c>
      <c r="L62" s="12">
        <v>0</v>
      </c>
      <c r="M62" s="12">
        <v>2.1803771040423361</v>
      </c>
      <c r="N62" s="12">
        <v>0</v>
      </c>
      <c r="O62" s="12">
        <v>2.2885753171255332</v>
      </c>
      <c r="P62" s="12">
        <v>0</v>
      </c>
      <c r="Q62" s="12">
        <v>2.7647628779504929</v>
      </c>
      <c r="R62" s="12">
        <v>55.61599171816956</v>
      </c>
      <c r="S62" s="12">
        <v>0</v>
      </c>
      <c r="T62" s="12">
        <v>0</v>
      </c>
      <c r="U62" s="12">
        <v>2.8390206848759778</v>
      </c>
      <c r="V62" s="12">
        <v>2.947317076242054</v>
      </c>
      <c r="W62" s="12">
        <v>0</v>
      </c>
      <c r="X62" s="12">
        <v>1.90963628249332</v>
      </c>
      <c r="Y62" s="12">
        <v>0</v>
      </c>
      <c r="Z62" s="12">
        <v>0</v>
      </c>
      <c r="AA62" s="12">
        <v>0</v>
      </c>
      <c r="AB62" s="12">
        <v>1.8329129976757941</v>
      </c>
      <c r="AC62" s="12">
        <v>4.6194752868405251</v>
      </c>
      <c r="AD62" s="12">
        <v>4.9716717853171613</v>
      </c>
      <c r="AE62" s="12">
        <v>0</v>
      </c>
      <c r="AF62" s="12">
        <v>3.3824774456157849</v>
      </c>
      <c r="AG62" s="12">
        <v>3425.7794691505778</v>
      </c>
      <c r="AH62" s="12">
        <v>6623.3895831229238</v>
      </c>
      <c r="AI62" s="12">
        <v>7566.4224038941893</v>
      </c>
      <c r="AJ62" s="12">
        <v>9124.6128100103124</v>
      </c>
      <c r="AK62" s="12">
        <v>8128.9238134922889</v>
      </c>
      <c r="AL62" s="12">
        <v>9052.3074843297036</v>
      </c>
      <c r="AM62" s="12">
        <v>9855.4610439589396</v>
      </c>
      <c r="AN62" s="12">
        <v>10413.07303356042</v>
      </c>
      <c r="AO62" s="12">
        <v>10589.241914733229</v>
      </c>
      <c r="AP62" s="12">
        <v>11964.87488172218</v>
      </c>
      <c r="AQ62" s="12">
        <v>13144.972729577299</v>
      </c>
      <c r="AR62" s="12">
        <v>14259.913844054059</v>
      </c>
      <c r="AS62" s="12">
        <v>13977.916572987169</v>
      </c>
      <c r="AT62" s="12">
        <v>14588.486564591831</v>
      </c>
      <c r="AU62" s="12">
        <v>16937.58481298291</v>
      </c>
      <c r="AV62" s="12">
        <v>19742.542201752141</v>
      </c>
      <c r="AW62" s="12">
        <v>17845.585058384429</v>
      </c>
      <c r="AX62" s="12">
        <v>22413.325307095922</v>
      </c>
      <c r="AY62" s="12">
        <v>22045.50353215991</v>
      </c>
      <c r="AZ62" s="12">
        <v>66800.263417260823</v>
      </c>
      <c r="BA62" s="12">
        <v>11149.987310338431</v>
      </c>
      <c r="BB62" s="12">
        <v>5622989.9945454868</v>
      </c>
      <c r="BC62" s="12">
        <v>0</v>
      </c>
      <c r="BD62" s="12">
        <v>0</v>
      </c>
      <c r="BE62" s="12">
        <v>0</v>
      </c>
      <c r="BF62" s="12">
        <v>0</v>
      </c>
      <c r="BG62" s="12">
        <v>0</v>
      </c>
      <c r="BH62" s="12">
        <v>0</v>
      </c>
      <c r="BI62" s="12">
        <v>0</v>
      </c>
      <c r="BJ62" s="12">
        <v>0</v>
      </c>
      <c r="BK62" s="12">
        <v>0</v>
      </c>
      <c r="BL62" s="12">
        <v>0</v>
      </c>
      <c r="BM62" s="12">
        <v>0.16493189616611881</v>
      </c>
      <c r="BN62" s="12">
        <v>0</v>
      </c>
      <c r="BO62" s="12">
        <v>0</v>
      </c>
      <c r="BP62" s="12">
        <v>0</v>
      </c>
      <c r="BQ62" s="12" t="s">
        <v>739</v>
      </c>
    </row>
    <row r="63" spans="1:69" x14ac:dyDescent="0.25">
      <c r="A63" s="12" t="s">
        <v>740</v>
      </c>
      <c r="B63" s="12" t="s">
        <v>29</v>
      </c>
      <c r="C63" s="12">
        <v>2017</v>
      </c>
      <c r="D63" s="12" t="s">
        <v>385</v>
      </c>
      <c r="E63" s="12" t="s">
        <v>145</v>
      </c>
      <c r="F63" s="12" t="s">
        <v>72</v>
      </c>
      <c r="G63" s="12">
        <v>7</v>
      </c>
      <c r="H63" s="12">
        <v>1.3261400146402169</v>
      </c>
      <c r="I63" s="12">
        <v>0</v>
      </c>
      <c r="J63" s="12">
        <v>3.5898058163594282</v>
      </c>
      <c r="K63" s="12">
        <v>5.918959368356564</v>
      </c>
      <c r="L63" s="12">
        <v>0</v>
      </c>
      <c r="M63" s="12">
        <v>2.113945535686113</v>
      </c>
      <c r="N63" s="12">
        <v>0</v>
      </c>
      <c r="O63" s="12">
        <v>1.489257910683951</v>
      </c>
      <c r="P63" s="12">
        <v>0</v>
      </c>
      <c r="Q63" s="12">
        <v>3.0298649159232061</v>
      </c>
      <c r="R63" s="12">
        <v>60.592518406060471</v>
      </c>
      <c r="S63" s="12">
        <v>0</v>
      </c>
      <c r="T63" s="12">
        <v>0</v>
      </c>
      <c r="U63" s="12">
        <v>2.910387799217764</v>
      </c>
      <c r="V63" s="12">
        <v>2.6297390154134641</v>
      </c>
      <c r="W63" s="12">
        <v>0</v>
      </c>
      <c r="X63" s="12">
        <v>2.1503483158063972</v>
      </c>
      <c r="Y63" s="12">
        <v>0</v>
      </c>
      <c r="Z63" s="12">
        <v>0</v>
      </c>
      <c r="AA63" s="12">
        <v>0</v>
      </c>
      <c r="AB63" s="12">
        <v>1.345765932545349</v>
      </c>
      <c r="AC63" s="12">
        <v>5.1037191250804774</v>
      </c>
      <c r="AD63" s="12">
        <v>5.2236703061507468</v>
      </c>
      <c r="AE63" s="12">
        <v>0</v>
      </c>
      <c r="AF63" s="12">
        <v>3.3634653348110111</v>
      </c>
      <c r="AG63" s="12">
        <v>3385.2868542067959</v>
      </c>
      <c r="AH63" s="12">
        <v>7165.0917066584898</v>
      </c>
      <c r="AI63" s="12">
        <v>7385.3950325117203</v>
      </c>
      <c r="AJ63" s="12">
        <v>9045.2501293485147</v>
      </c>
      <c r="AK63" s="12">
        <v>9050.7370827859286</v>
      </c>
      <c r="AL63" s="12">
        <v>9228.2031616832719</v>
      </c>
      <c r="AM63" s="12">
        <v>10490.599792994881</v>
      </c>
      <c r="AN63" s="12">
        <v>11581.356273151639</v>
      </c>
      <c r="AO63" s="12">
        <v>10935.843076675659</v>
      </c>
      <c r="AP63" s="12">
        <v>11879.34651201415</v>
      </c>
      <c r="AQ63" s="12">
        <v>12276.83478819574</v>
      </c>
      <c r="AR63" s="12">
        <v>13762.4784144854</v>
      </c>
      <c r="AS63" s="12">
        <v>13963.773630768639</v>
      </c>
      <c r="AT63" s="12">
        <v>16615.516461300522</v>
      </c>
      <c r="AU63" s="12">
        <v>15379.23107313742</v>
      </c>
      <c r="AV63" s="12">
        <v>18295.96396006233</v>
      </c>
      <c r="AW63" s="12">
        <v>18419.348395947731</v>
      </c>
      <c r="AX63" s="12">
        <v>24564.81001665158</v>
      </c>
      <c r="AY63" s="12">
        <v>24931.581845155131</v>
      </c>
      <c r="AZ63" s="12">
        <v>62707.192534322712</v>
      </c>
      <c r="BA63" s="12">
        <v>11946.536444403169</v>
      </c>
      <c r="BB63" s="12">
        <v>5499314.248013637</v>
      </c>
      <c r="BC63" s="12">
        <v>0</v>
      </c>
      <c r="BD63" s="12">
        <v>0</v>
      </c>
      <c r="BE63" s="12">
        <v>0</v>
      </c>
      <c r="BF63" s="12">
        <v>0</v>
      </c>
      <c r="BG63" s="12">
        <v>0</v>
      </c>
      <c r="BH63" s="12">
        <v>0</v>
      </c>
      <c r="BI63" s="12">
        <v>0</v>
      </c>
      <c r="BJ63" s="12">
        <v>0</v>
      </c>
      <c r="BK63" s="12">
        <v>0</v>
      </c>
      <c r="BL63" s="12">
        <v>0</v>
      </c>
      <c r="BM63" s="12">
        <v>1.8673728922376311E-2</v>
      </c>
      <c r="BN63" s="12">
        <v>0</v>
      </c>
      <c r="BO63" s="12">
        <v>0</v>
      </c>
      <c r="BP63" s="12">
        <v>0</v>
      </c>
      <c r="BQ63" s="12" t="s">
        <v>741</v>
      </c>
    </row>
    <row r="64" spans="1:69" x14ac:dyDescent="0.25">
      <c r="A64" s="12" t="s">
        <v>742</v>
      </c>
      <c r="B64" s="12" t="s">
        <v>29</v>
      </c>
      <c r="C64" s="12">
        <v>2017</v>
      </c>
      <c r="D64" s="12" t="s">
        <v>385</v>
      </c>
      <c r="E64" s="12" t="s">
        <v>145</v>
      </c>
      <c r="F64" s="12" t="s">
        <v>72</v>
      </c>
      <c r="G64" s="12">
        <v>8</v>
      </c>
      <c r="H64" s="12">
        <v>1.2074335646654299</v>
      </c>
      <c r="I64" s="12">
        <v>0</v>
      </c>
      <c r="J64" s="12">
        <v>3.2556117165324792</v>
      </c>
      <c r="K64" s="12">
        <v>4.9266723504910708</v>
      </c>
      <c r="L64" s="12">
        <v>0</v>
      </c>
      <c r="M64" s="12">
        <v>2.0034653095537021</v>
      </c>
      <c r="N64" s="12">
        <v>0</v>
      </c>
      <c r="O64" s="12">
        <v>0.36225185349016231</v>
      </c>
      <c r="P64" s="12">
        <v>0</v>
      </c>
      <c r="Q64" s="12">
        <v>2.9851342047914682</v>
      </c>
      <c r="R64" s="12">
        <v>55.559267443362629</v>
      </c>
      <c r="S64" s="12">
        <v>0</v>
      </c>
      <c r="T64" s="12">
        <v>0</v>
      </c>
      <c r="U64" s="12">
        <v>3.4518866436488178</v>
      </c>
      <c r="V64" s="12">
        <v>2.8060916956947359</v>
      </c>
      <c r="W64" s="12">
        <v>0</v>
      </c>
      <c r="X64" s="12">
        <v>1.91790281432819</v>
      </c>
      <c r="Y64" s="12">
        <v>0</v>
      </c>
      <c r="Z64" s="12">
        <v>0</v>
      </c>
      <c r="AA64" s="12">
        <v>0</v>
      </c>
      <c r="AB64" s="12">
        <v>0.89808213063655318</v>
      </c>
      <c r="AC64" s="12">
        <v>5.4589890750704324</v>
      </c>
      <c r="AD64" s="12">
        <v>4.6204849791457754</v>
      </c>
      <c r="AE64" s="12">
        <v>0</v>
      </c>
      <c r="AF64" s="12">
        <v>3.3841575547033829</v>
      </c>
      <c r="AG64" s="12">
        <v>3387.888909012443</v>
      </c>
      <c r="AH64" s="12">
        <v>7537.7934939837551</v>
      </c>
      <c r="AI64" s="12">
        <v>7229.2892058303296</v>
      </c>
      <c r="AJ64" s="12">
        <v>8020.7074712312888</v>
      </c>
      <c r="AK64" s="12">
        <v>8807.893479216531</v>
      </c>
      <c r="AL64" s="12">
        <v>10139.08055833909</v>
      </c>
      <c r="AM64" s="12">
        <v>9832.6284218827277</v>
      </c>
      <c r="AN64" s="12">
        <v>10315.008618833461</v>
      </c>
      <c r="AO64" s="12">
        <v>11039.228929040441</v>
      </c>
      <c r="AP64" s="12">
        <v>13099.63302530526</v>
      </c>
      <c r="AQ64" s="12">
        <v>13175.92990013716</v>
      </c>
      <c r="AR64" s="12">
        <v>13729.294927148811</v>
      </c>
      <c r="AS64" s="12">
        <v>13743.02926645679</v>
      </c>
      <c r="AT64" s="12">
        <v>15726.619291235431</v>
      </c>
      <c r="AU64" s="12">
        <v>14857.713290428699</v>
      </c>
      <c r="AV64" s="12">
        <v>17582.267894348901</v>
      </c>
      <c r="AW64" s="12">
        <v>17892.917030762481</v>
      </c>
      <c r="AX64" s="12">
        <v>22916.23180296108</v>
      </c>
      <c r="AY64" s="12">
        <v>24686.907733039501</v>
      </c>
      <c r="AZ64" s="12">
        <v>68402.620719956045</v>
      </c>
      <c r="BA64" s="12">
        <v>12438.41134042404</v>
      </c>
      <c r="BB64" s="12">
        <v>5534922.1544206953</v>
      </c>
      <c r="BC64" s="12">
        <v>0</v>
      </c>
      <c r="BD64" s="12">
        <v>0</v>
      </c>
      <c r="BE64" s="12">
        <v>0</v>
      </c>
      <c r="BF64" s="12">
        <v>0</v>
      </c>
      <c r="BG64" s="12">
        <v>0</v>
      </c>
      <c r="BH64" s="12">
        <v>0</v>
      </c>
      <c r="BI64" s="12">
        <v>0</v>
      </c>
      <c r="BJ64" s="12">
        <v>0</v>
      </c>
      <c r="BK64" s="12">
        <v>0</v>
      </c>
      <c r="BL64" s="12">
        <v>0</v>
      </c>
      <c r="BM64" s="12">
        <v>0</v>
      </c>
      <c r="BN64" s="12">
        <v>0</v>
      </c>
      <c r="BO64" s="12">
        <v>0</v>
      </c>
      <c r="BP64" s="12">
        <v>0</v>
      </c>
      <c r="BQ64" s="12" t="s">
        <v>743</v>
      </c>
    </row>
    <row r="65" spans="1:69" x14ac:dyDescent="0.25">
      <c r="A65" s="12" t="s">
        <v>744</v>
      </c>
      <c r="B65" s="12" t="s">
        <v>29</v>
      </c>
      <c r="C65" s="12">
        <v>2017</v>
      </c>
      <c r="D65" s="12" t="s">
        <v>385</v>
      </c>
      <c r="E65" s="12" t="s">
        <v>145</v>
      </c>
      <c r="F65" s="12" t="s">
        <v>72</v>
      </c>
      <c r="G65" s="12">
        <v>9</v>
      </c>
      <c r="H65" s="12">
        <v>1.4175094417400369</v>
      </c>
      <c r="I65" s="12">
        <v>0</v>
      </c>
      <c r="J65" s="12">
        <v>3.2994634282273809</v>
      </c>
      <c r="K65" s="12">
        <v>4.7177199668955181</v>
      </c>
      <c r="L65" s="12">
        <v>0</v>
      </c>
      <c r="M65" s="12">
        <v>2.102704831937519</v>
      </c>
      <c r="N65" s="12">
        <v>0</v>
      </c>
      <c r="O65" s="12">
        <v>0</v>
      </c>
      <c r="P65" s="12">
        <v>0</v>
      </c>
      <c r="Q65" s="12">
        <v>2.946601512625771</v>
      </c>
      <c r="R65" s="12">
        <v>54.547595167359681</v>
      </c>
      <c r="S65" s="12">
        <v>0</v>
      </c>
      <c r="T65" s="12">
        <v>0</v>
      </c>
      <c r="U65" s="12">
        <v>3.7274893598579699</v>
      </c>
      <c r="V65" s="12">
        <v>2.8070892008749539</v>
      </c>
      <c r="W65" s="12">
        <v>0</v>
      </c>
      <c r="X65" s="12">
        <v>1.951369394184516</v>
      </c>
      <c r="Y65" s="12">
        <v>0</v>
      </c>
      <c r="Z65" s="12">
        <v>0</v>
      </c>
      <c r="AA65" s="12">
        <v>0</v>
      </c>
      <c r="AB65" s="12">
        <v>0.52737776697242966</v>
      </c>
      <c r="AC65" s="12">
        <v>6.9686163891457911</v>
      </c>
      <c r="AD65" s="12">
        <v>4.7396892043915129</v>
      </c>
      <c r="AE65" s="12">
        <v>0</v>
      </c>
      <c r="AF65" s="12">
        <v>3.532725147081123</v>
      </c>
      <c r="AG65" s="12">
        <v>3251.9197050519838</v>
      </c>
      <c r="AH65" s="12">
        <v>7423.3874400539844</v>
      </c>
      <c r="AI65" s="12">
        <v>7094.9585081548476</v>
      </c>
      <c r="AJ65" s="12">
        <v>8215.9591317580762</v>
      </c>
      <c r="AK65" s="12">
        <v>8305.0729650802132</v>
      </c>
      <c r="AL65" s="12">
        <v>9555.5219164814625</v>
      </c>
      <c r="AM65" s="12">
        <v>10338.86231210611</v>
      </c>
      <c r="AN65" s="12">
        <v>11004.8757172516</v>
      </c>
      <c r="AO65" s="12">
        <v>11103.32919606366</v>
      </c>
      <c r="AP65" s="12">
        <v>12839.417929834141</v>
      </c>
      <c r="AQ65" s="12">
        <v>12238.09602110844</v>
      </c>
      <c r="AR65" s="12">
        <v>14041.592782228619</v>
      </c>
      <c r="AS65" s="12">
        <v>12927.72353376002</v>
      </c>
      <c r="AT65" s="12">
        <v>15301.665178093979</v>
      </c>
      <c r="AU65" s="12">
        <v>16896.01950873193</v>
      </c>
      <c r="AV65" s="12">
        <v>19082.431614210502</v>
      </c>
      <c r="AW65" s="12">
        <v>19679.29381943199</v>
      </c>
      <c r="AX65" s="12">
        <v>22944.140399205629</v>
      </c>
      <c r="AY65" s="12">
        <v>23250.757726315689</v>
      </c>
      <c r="AZ65" s="12">
        <v>60604.040464255813</v>
      </c>
      <c r="BA65" s="12">
        <v>15300.96453668285</v>
      </c>
      <c r="BB65" s="12">
        <v>6074234.4286522483</v>
      </c>
      <c r="BC65" s="12">
        <v>0</v>
      </c>
      <c r="BD65" s="12">
        <v>0</v>
      </c>
      <c r="BE65" s="12">
        <v>0</v>
      </c>
      <c r="BF65" s="12">
        <v>0</v>
      </c>
      <c r="BG65" s="12">
        <v>0</v>
      </c>
      <c r="BH65" s="12">
        <v>0</v>
      </c>
      <c r="BI65" s="12">
        <v>0</v>
      </c>
      <c r="BJ65" s="12">
        <v>0</v>
      </c>
      <c r="BK65" s="12">
        <v>0</v>
      </c>
      <c r="BL65" s="12">
        <v>0</v>
      </c>
      <c r="BM65" s="12">
        <v>9.3224510440556715E-4</v>
      </c>
      <c r="BN65" s="12">
        <v>0</v>
      </c>
      <c r="BO65" s="12">
        <v>0</v>
      </c>
      <c r="BP65" s="12">
        <v>0</v>
      </c>
      <c r="BQ65" s="12" t="s">
        <v>745</v>
      </c>
    </row>
    <row r="66" spans="1:69" x14ac:dyDescent="0.25">
      <c r="A66" s="12" t="s">
        <v>746</v>
      </c>
      <c r="B66" s="12" t="s">
        <v>29</v>
      </c>
      <c r="C66" s="12">
        <v>2017</v>
      </c>
      <c r="D66" s="12" t="s">
        <v>385</v>
      </c>
      <c r="E66" s="12" t="s">
        <v>145</v>
      </c>
      <c r="F66" s="12" t="s">
        <v>72</v>
      </c>
      <c r="G66" s="12">
        <v>10</v>
      </c>
      <c r="H66" s="12">
        <v>1.114004542924423</v>
      </c>
      <c r="I66" s="12">
        <v>0</v>
      </c>
      <c r="J66" s="12">
        <v>3.3687503874615419</v>
      </c>
      <c r="K66" s="12">
        <v>3.6126585598234899</v>
      </c>
      <c r="L66" s="12">
        <v>0</v>
      </c>
      <c r="M66" s="12">
        <v>1.77032147149633</v>
      </c>
      <c r="N66" s="12">
        <v>0</v>
      </c>
      <c r="O66" s="12">
        <v>0</v>
      </c>
      <c r="P66" s="12">
        <v>0</v>
      </c>
      <c r="Q66" s="12">
        <v>3.3485327015147881</v>
      </c>
      <c r="R66" s="12">
        <v>52.51606266532405</v>
      </c>
      <c r="S66" s="12">
        <v>0</v>
      </c>
      <c r="T66" s="12">
        <v>0</v>
      </c>
      <c r="U66" s="12">
        <v>4.6096753364863119</v>
      </c>
      <c r="V66" s="12">
        <v>3.099565336569623</v>
      </c>
      <c r="W66" s="12">
        <v>0</v>
      </c>
      <c r="X66" s="12">
        <v>1.8964212355780941</v>
      </c>
      <c r="Y66" s="12">
        <v>0</v>
      </c>
      <c r="Z66" s="12">
        <v>0</v>
      </c>
      <c r="AA66" s="12">
        <v>0</v>
      </c>
      <c r="AB66" s="12">
        <v>0.32236167557862699</v>
      </c>
      <c r="AC66" s="12">
        <v>9.3490029787392022</v>
      </c>
      <c r="AD66" s="12">
        <v>3.28630418421535</v>
      </c>
      <c r="AE66" s="12">
        <v>0</v>
      </c>
      <c r="AF66" s="12">
        <v>3.2803952477411742</v>
      </c>
      <c r="AG66" s="12">
        <v>3168.5563069908471</v>
      </c>
      <c r="AH66" s="12">
        <v>7578.6422180169093</v>
      </c>
      <c r="AI66" s="12">
        <v>7021.8553433509478</v>
      </c>
      <c r="AJ66" s="12">
        <v>8748.0737172667796</v>
      </c>
      <c r="AK66" s="12">
        <v>8387.1592823321316</v>
      </c>
      <c r="AL66" s="12">
        <v>10050.81145863376</v>
      </c>
      <c r="AM66" s="12">
        <v>9372.8809657030051</v>
      </c>
      <c r="AN66" s="12">
        <v>10230.2142980806</v>
      </c>
      <c r="AO66" s="12">
        <v>10640.54617456901</v>
      </c>
      <c r="AP66" s="12">
        <v>11551.533771552689</v>
      </c>
      <c r="AQ66" s="12">
        <v>11727.59431144084</v>
      </c>
      <c r="AR66" s="12">
        <v>13558.60178565052</v>
      </c>
      <c r="AS66" s="12">
        <v>14916.37942879736</v>
      </c>
      <c r="AT66" s="12">
        <v>15545.02481415637</v>
      </c>
      <c r="AU66" s="12">
        <v>16771.497681388711</v>
      </c>
      <c r="AV66" s="12">
        <v>19224.861682432409</v>
      </c>
      <c r="AW66" s="12">
        <v>17441.1480671768</v>
      </c>
      <c r="AX66" s="12">
        <v>22088.867384942139</v>
      </c>
      <c r="AY66" s="12">
        <v>25176.611944827309</v>
      </c>
      <c r="AZ66" s="12">
        <v>62951.399773656784</v>
      </c>
      <c r="BA66" s="12">
        <v>20988.24908993769</v>
      </c>
      <c r="BB66" s="12">
        <v>5265719.833151144</v>
      </c>
      <c r="BC66" s="12">
        <v>0</v>
      </c>
      <c r="BD66" s="12">
        <v>0</v>
      </c>
      <c r="BE66" s="12">
        <v>0</v>
      </c>
      <c r="BF66" s="12">
        <v>0</v>
      </c>
      <c r="BG66" s="12">
        <v>0</v>
      </c>
      <c r="BH66" s="12">
        <v>0</v>
      </c>
      <c r="BI66" s="12">
        <v>0</v>
      </c>
      <c r="BJ66" s="12">
        <v>0</v>
      </c>
      <c r="BK66" s="12">
        <v>0</v>
      </c>
      <c r="BL66" s="12">
        <v>0</v>
      </c>
      <c r="BM66" s="12">
        <v>0</v>
      </c>
      <c r="BN66" s="12">
        <v>0</v>
      </c>
      <c r="BO66" s="12">
        <v>0</v>
      </c>
      <c r="BP66" s="12">
        <v>0</v>
      </c>
      <c r="BQ66" s="12" t="s">
        <v>747</v>
      </c>
    </row>
    <row r="67" spans="1:69" x14ac:dyDescent="0.25">
      <c r="A67" s="12" t="s">
        <v>748</v>
      </c>
      <c r="B67" s="12" t="s">
        <v>29</v>
      </c>
      <c r="C67" s="12">
        <v>2017</v>
      </c>
      <c r="D67" s="12" t="s">
        <v>385</v>
      </c>
      <c r="E67" s="12" t="s">
        <v>382</v>
      </c>
      <c r="F67" s="12" t="s">
        <v>72</v>
      </c>
      <c r="G67" s="12">
        <v>9999</v>
      </c>
      <c r="H67" s="12">
        <v>1.428506191146528</v>
      </c>
      <c r="I67" s="12">
        <v>0</v>
      </c>
      <c r="J67" s="12">
        <v>3.1971362006865038</v>
      </c>
      <c r="K67" s="12">
        <v>5.7909599602671618</v>
      </c>
      <c r="L67" s="12">
        <v>0</v>
      </c>
      <c r="M67" s="12">
        <v>1.9861280288092871</v>
      </c>
      <c r="N67" s="12">
        <v>0</v>
      </c>
      <c r="O67" s="12">
        <v>1.288223382001406</v>
      </c>
      <c r="P67" s="12">
        <v>0</v>
      </c>
      <c r="Q67" s="12">
        <v>3.150179900051024</v>
      </c>
      <c r="R67" s="12">
        <v>59.269025727882187</v>
      </c>
      <c r="S67" s="12">
        <v>0</v>
      </c>
      <c r="T67" s="12">
        <v>0</v>
      </c>
      <c r="U67" s="12">
        <v>2.8697301938633148</v>
      </c>
      <c r="V67" s="12">
        <v>2.7460332895199171</v>
      </c>
      <c r="W67" s="12">
        <v>0</v>
      </c>
      <c r="X67" s="12">
        <v>2.3441688228499551</v>
      </c>
      <c r="Y67" s="12">
        <v>0</v>
      </c>
      <c r="Z67" s="12">
        <v>0</v>
      </c>
      <c r="AA67" s="12">
        <v>0</v>
      </c>
      <c r="AB67" s="12">
        <v>1.4337676656625169</v>
      </c>
      <c r="AC67" s="12">
        <v>4.7679041064133347</v>
      </c>
      <c r="AD67" s="12">
        <v>5.0751998845030597</v>
      </c>
      <c r="AE67" s="12">
        <v>0</v>
      </c>
      <c r="AF67" s="12">
        <v>3.132538707642023</v>
      </c>
      <c r="AG67" s="12">
        <v>3097.4106627464239</v>
      </c>
      <c r="AH67" s="12">
        <v>7028.3844941832322</v>
      </c>
      <c r="AI67" s="12">
        <v>7450.7518161156713</v>
      </c>
      <c r="AJ67" s="12">
        <v>8443.2998206494194</v>
      </c>
      <c r="AK67" s="12">
        <v>8283.0111940283841</v>
      </c>
      <c r="AL67" s="12">
        <v>10371.24211449645</v>
      </c>
      <c r="AM67" s="12">
        <v>9580.8483268225609</v>
      </c>
      <c r="AN67" s="12">
        <v>10277.03184070207</v>
      </c>
      <c r="AO67" s="12">
        <v>11055.01458117835</v>
      </c>
      <c r="AP67" s="12">
        <v>11859.31878934349</v>
      </c>
      <c r="AQ67" s="12">
        <v>12201.901424642259</v>
      </c>
      <c r="AR67" s="12">
        <v>12805.122920381669</v>
      </c>
      <c r="AS67" s="12">
        <v>13958.27191422211</v>
      </c>
      <c r="AT67" s="12">
        <v>16411.077372849279</v>
      </c>
      <c r="AU67" s="12">
        <v>15790.12145263001</v>
      </c>
      <c r="AV67" s="12">
        <v>17858.947123837799</v>
      </c>
      <c r="AW67" s="12">
        <v>17659.152755817511</v>
      </c>
      <c r="AX67" s="12">
        <v>22024.196017629329</v>
      </c>
      <c r="AY67" s="12">
        <v>24772.136387862869</v>
      </c>
      <c r="AZ67" s="12">
        <v>67589.672353712609</v>
      </c>
      <c r="BA67" s="12">
        <v>10605.297150293371</v>
      </c>
      <c r="BB67" s="12">
        <v>52245932.675906889</v>
      </c>
      <c r="BC67" s="12">
        <v>0</v>
      </c>
      <c r="BD67" s="12">
        <v>0</v>
      </c>
      <c r="BE67" s="12">
        <v>0</v>
      </c>
      <c r="BF67" s="12">
        <v>0</v>
      </c>
      <c r="BG67" s="12">
        <v>0</v>
      </c>
      <c r="BH67" s="12">
        <v>0</v>
      </c>
      <c r="BI67" s="12">
        <v>0</v>
      </c>
      <c r="BJ67" s="12">
        <v>0</v>
      </c>
      <c r="BK67" s="12">
        <v>0.11349301660087641</v>
      </c>
      <c r="BL67" s="12">
        <v>2.2129313256782188</v>
      </c>
      <c r="BM67" s="12">
        <v>22.845575000722519</v>
      </c>
      <c r="BN67" s="12">
        <v>0</v>
      </c>
      <c r="BO67" s="12">
        <v>0</v>
      </c>
      <c r="BP67" s="12">
        <v>0</v>
      </c>
      <c r="BQ67" s="12" t="s">
        <v>749</v>
      </c>
    </row>
    <row r="68" spans="1:69" x14ac:dyDescent="0.25">
      <c r="A68" s="12" t="s">
        <v>750</v>
      </c>
      <c r="B68" s="12" t="s">
        <v>29</v>
      </c>
      <c r="C68" s="12">
        <v>2017</v>
      </c>
      <c r="D68" s="12" t="s">
        <v>385</v>
      </c>
      <c r="E68" s="12" t="s">
        <v>145</v>
      </c>
      <c r="F68" s="12" t="s">
        <v>75</v>
      </c>
      <c r="G68" s="12">
        <v>1</v>
      </c>
      <c r="H68" s="12">
        <v>0.85487269211841344</v>
      </c>
      <c r="I68" s="12">
        <v>0</v>
      </c>
      <c r="J68" s="12">
        <v>3.2352398779306988</v>
      </c>
      <c r="K68" s="12">
        <v>2.7501071211029409</v>
      </c>
      <c r="L68" s="12">
        <v>0</v>
      </c>
      <c r="M68" s="12">
        <v>1.151228200507409</v>
      </c>
      <c r="N68" s="12">
        <v>0</v>
      </c>
      <c r="O68" s="12">
        <v>0.49261459355372827</v>
      </c>
      <c r="P68" s="12">
        <v>0</v>
      </c>
      <c r="Q68" s="12">
        <v>2.5370567558042931</v>
      </c>
      <c r="R68" s="12">
        <v>54.529194931422069</v>
      </c>
      <c r="S68" s="12">
        <v>0</v>
      </c>
      <c r="T68" s="12">
        <v>0</v>
      </c>
      <c r="U68" s="12">
        <v>0.68561446912389989</v>
      </c>
      <c r="V68" s="12">
        <v>1.882779727131894</v>
      </c>
      <c r="W68" s="12">
        <v>0</v>
      </c>
      <c r="X68" s="12">
        <v>2.4166374515134268</v>
      </c>
      <c r="Y68" s="12">
        <v>0</v>
      </c>
      <c r="Z68" s="12">
        <v>0</v>
      </c>
      <c r="AA68" s="12">
        <v>0</v>
      </c>
      <c r="AB68" s="12">
        <v>0.88841751351880816</v>
      </c>
      <c r="AC68" s="12">
        <v>1.657116739222386</v>
      </c>
      <c r="AD68" s="12">
        <v>3.3940521462537201</v>
      </c>
      <c r="AE68" s="12">
        <v>0</v>
      </c>
      <c r="AF68" s="12">
        <v>2.2852554420184141</v>
      </c>
      <c r="AG68" s="12">
        <v>2991.1419798461811</v>
      </c>
      <c r="AH68" s="12">
        <v>7252.9855286184911</v>
      </c>
      <c r="AI68" s="12">
        <v>7114.0724878972269</v>
      </c>
      <c r="AJ68" s="12">
        <v>8846.8360673249972</v>
      </c>
      <c r="AK68" s="12">
        <v>8768.0240182043144</v>
      </c>
      <c r="AL68" s="12">
        <v>9028.9582396314927</v>
      </c>
      <c r="AM68" s="12">
        <v>10471.226587173809</v>
      </c>
      <c r="AN68" s="12">
        <v>11373.36817859833</v>
      </c>
      <c r="AO68" s="12">
        <v>10989.96360224274</v>
      </c>
      <c r="AP68" s="12">
        <v>12614.394667998031</v>
      </c>
      <c r="AQ68" s="12">
        <v>11587.950353385781</v>
      </c>
      <c r="AR68" s="12">
        <v>14857.849043957551</v>
      </c>
      <c r="AS68" s="12">
        <v>14893.43479094376</v>
      </c>
      <c r="AT68" s="12">
        <v>16364.78387025442</v>
      </c>
      <c r="AU68" s="12">
        <v>15371.3630661809</v>
      </c>
      <c r="AV68" s="12">
        <v>18882.684563089111</v>
      </c>
      <c r="AW68" s="12">
        <v>17288.766870848809</v>
      </c>
      <c r="AX68" s="12">
        <v>21887.178142154258</v>
      </c>
      <c r="AY68" s="12">
        <v>24332.311715249529</v>
      </c>
      <c r="AZ68" s="12">
        <v>69611.283055486958</v>
      </c>
      <c r="BA68" s="12">
        <v>4369.4457756544152</v>
      </c>
      <c r="BB68" s="12">
        <v>5737198.0774525451</v>
      </c>
      <c r="BC68" s="12">
        <v>0</v>
      </c>
      <c r="BD68" s="12">
        <v>0</v>
      </c>
      <c r="BE68" s="12">
        <v>111.85255957388181</v>
      </c>
      <c r="BF68" s="12">
        <v>18.056080114935359</v>
      </c>
      <c r="BG68" s="12">
        <v>22.144788934637159</v>
      </c>
      <c r="BH68" s="12">
        <v>88.001525682424514</v>
      </c>
      <c r="BI68" s="12">
        <v>100.17067303904</v>
      </c>
      <c r="BJ68" s="12">
        <v>71.156839051429444</v>
      </c>
      <c r="BK68" s="12">
        <v>0.11623376564958129</v>
      </c>
      <c r="BL68" s="12">
        <v>2.3211990427754978</v>
      </c>
      <c r="BM68" s="12">
        <v>5.7689529727822313</v>
      </c>
      <c r="BN68" s="12">
        <v>0</v>
      </c>
      <c r="BO68" s="12">
        <v>0</v>
      </c>
      <c r="BP68" s="12">
        <v>0</v>
      </c>
      <c r="BQ68" s="12" t="s">
        <v>751</v>
      </c>
    </row>
    <row r="69" spans="1:69" x14ac:dyDescent="0.25">
      <c r="A69" s="12" t="s">
        <v>752</v>
      </c>
      <c r="B69" s="12" t="s">
        <v>29</v>
      </c>
      <c r="C69" s="12">
        <v>2017</v>
      </c>
      <c r="D69" s="12" t="s">
        <v>385</v>
      </c>
      <c r="E69" s="12" t="s">
        <v>145</v>
      </c>
      <c r="F69" s="12" t="s">
        <v>75</v>
      </c>
      <c r="G69" s="12">
        <v>2</v>
      </c>
      <c r="H69" s="12">
        <v>0.93608998971924018</v>
      </c>
      <c r="I69" s="12">
        <v>0</v>
      </c>
      <c r="J69" s="12">
        <v>3.235906444542767</v>
      </c>
      <c r="K69" s="12">
        <v>3.4514351870922839</v>
      </c>
      <c r="L69" s="12">
        <v>0</v>
      </c>
      <c r="M69" s="12">
        <v>1.093891228437939</v>
      </c>
      <c r="N69" s="12">
        <v>0</v>
      </c>
      <c r="O69" s="12">
        <v>0.47116416934674871</v>
      </c>
      <c r="P69" s="12">
        <v>0</v>
      </c>
      <c r="Q69" s="12">
        <v>2.3770166856368848</v>
      </c>
      <c r="R69" s="12">
        <v>51.688933124142039</v>
      </c>
      <c r="S69" s="12">
        <v>0</v>
      </c>
      <c r="T69" s="12">
        <v>0</v>
      </c>
      <c r="U69" s="12">
        <v>0.83601793264748803</v>
      </c>
      <c r="V69" s="12">
        <v>1.7362040367101499</v>
      </c>
      <c r="W69" s="12">
        <v>0</v>
      </c>
      <c r="X69" s="12">
        <v>2.1846662931092302</v>
      </c>
      <c r="Y69" s="12">
        <v>0</v>
      </c>
      <c r="Z69" s="12">
        <v>0</v>
      </c>
      <c r="AA69" s="12">
        <v>0</v>
      </c>
      <c r="AB69" s="12">
        <v>1.0895984712727591</v>
      </c>
      <c r="AC69" s="12">
        <v>1.7392075428331619</v>
      </c>
      <c r="AD69" s="12">
        <v>3.7231702980991588</v>
      </c>
      <c r="AE69" s="12">
        <v>0</v>
      </c>
      <c r="AF69" s="12">
        <v>1.812279169744571</v>
      </c>
      <c r="AG69" s="12">
        <v>3283.1896627769279</v>
      </c>
      <c r="AH69" s="12">
        <v>7263.0365488095067</v>
      </c>
      <c r="AI69" s="12">
        <v>7037.5831644883083</v>
      </c>
      <c r="AJ69" s="12">
        <v>8698.1397597841333</v>
      </c>
      <c r="AK69" s="12">
        <v>8939.7887427177611</v>
      </c>
      <c r="AL69" s="12">
        <v>9468.7975467211345</v>
      </c>
      <c r="AM69" s="12">
        <v>10457.883407224839</v>
      </c>
      <c r="AN69" s="12">
        <v>10983.631125322199</v>
      </c>
      <c r="AO69" s="12">
        <v>10715.77371474042</v>
      </c>
      <c r="AP69" s="12">
        <v>12757.070916650309</v>
      </c>
      <c r="AQ69" s="12">
        <v>12755.736240922721</v>
      </c>
      <c r="AR69" s="12">
        <v>13682.82807563934</v>
      </c>
      <c r="AS69" s="12">
        <v>13375.26265749324</v>
      </c>
      <c r="AT69" s="12">
        <v>15183.01144842658</v>
      </c>
      <c r="AU69" s="12">
        <v>15911.608719848849</v>
      </c>
      <c r="AV69" s="12">
        <v>19722.906935028539</v>
      </c>
      <c r="AW69" s="12">
        <v>17221.265278463849</v>
      </c>
      <c r="AX69" s="12">
        <v>22073.49927974795</v>
      </c>
      <c r="AY69" s="12">
        <v>24017.709388141709</v>
      </c>
      <c r="AZ69" s="12">
        <v>66540.995738692509</v>
      </c>
      <c r="BA69" s="12">
        <v>6372.1494139975648</v>
      </c>
      <c r="BB69" s="12">
        <v>5577158.3752638558</v>
      </c>
      <c r="BC69" s="12">
        <v>0</v>
      </c>
      <c r="BD69" s="12">
        <v>0</v>
      </c>
      <c r="BE69" s="12">
        <v>110.9991919440651</v>
      </c>
      <c r="BF69" s="12">
        <v>29.309379832073809</v>
      </c>
      <c r="BG69" s="12">
        <v>43.985003198484691</v>
      </c>
      <c r="BH69" s="12">
        <v>93.390968647158815</v>
      </c>
      <c r="BI69" s="12">
        <v>108.6266048196661</v>
      </c>
      <c r="BJ69" s="12">
        <v>80.672377909075848</v>
      </c>
      <c r="BK69" s="12">
        <v>0</v>
      </c>
      <c r="BL69" s="12">
        <v>9.0978171358528214E-4</v>
      </c>
      <c r="BM69" s="12">
        <v>5.9592271117935907</v>
      </c>
      <c r="BN69" s="12">
        <v>0</v>
      </c>
      <c r="BO69" s="12">
        <v>0</v>
      </c>
      <c r="BP69" s="12">
        <v>0</v>
      </c>
      <c r="BQ69" s="12" t="s">
        <v>753</v>
      </c>
    </row>
    <row r="70" spans="1:69" x14ac:dyDescent="0.25">
      <c r="A70" s="12" t="s">
        <v>754</v>
      </c>
      <c r="B70" s="12" t="s">
        <v>29</v>
      </c>
      <c r="C70" s="12">
        <v>2017</v>
      </c>
      <c r="D70" s="12" t="s">
        <v>385</v>
      </c>
      <c r="E70" s="12" t="s">
        <v>145</v>
      </c>
      <c r="F70" s="12" t="s">
        <v>75</v>
      </c>
      <c r="G70" s="12">
        <v>3</v>
      </c>
      <c r="H70" s="12">
        <v>0.82360156809188634</v>
      </c>
      <c r="I70" s="12">
        <v>0</v>
      </c>
      <c r="J70" s="12">
        <v>2.6783825892500519</v>
      </c>
      <c r="K70" s="12">
        <v>3.5403452556285591</v>
      </c>
      <c r="L70" s="12">
        <v>0</v>
      </c>
      <c r="M70" s="12">
        <v>1.3644030153086</v>
      </c>
      <c r="N70" s="12">
        <v>0</v>
      </c>
      <c r="O70" s="12">
        <v>0.45418204204993401</v>
      </c>
      <c r="P70" s="12">
        <v>0</v>
      </c>
      <c r="Q70" s="12">
        <v>2.2542181315243388</v>
      </c>
      <c r="R70" s="12">
        <v>55.609771436717438</v>
      </c>
      <c r="S70" s="12">
        <v>0</v>
      </c>
      <c r="T70" s="12">
        <v>0</v>
      </c>
      <c r="U70" s="12">
        <v>0.98301057412684489</v>
      </c>
      <c r="V70" s="12">
        <v>1.8256672731488639</v>
      </c>
      <c r="W70" s="12">
        <v>0</v>
      </c>
      <c r="X70" s="12">
        <v>1.8681383213293741</v>
      </c>
      <c r="Y70" s="12">
        <v>0</v>
      </c>
      <c r="Z70" s="12">
        <v>0</v>
      </c>
      <c r="AA70" s="12">
        <v>0</v>
      </c>
      <c r="AB70" s="12">
        <v>0.85944177886505047</v>
      </c>
      <c r="AC70" s="12">
        <v>1.8534422858468831</v>
      </c>
      <c r="AD70" s="12">
        <v>3.8749587998360129</v>
      </c>
      <c r="AE70" s="12">
        <v>0</v>
      </c>
      <c r="AF70" s="12">
        <v>2.0910181662771299</v>
      </c>
      <c r="AG70" s="12">
        <v>3175.1035683192922</v>
      </c>
      <c r="AH70" s="12">
        <v>7463.8051323805103</v>
      </c>
      <c r="AI70" s="12">
        <v>7077.7328140654563</v>
      </c>
      <c r="AJ70" s="12">
        <v>8428.587764446791</v>
      </c>
      <c r="AK70" s="12">
        <v>7969.4767026343816</v>
      </c>
      <c r="AL70" s="12">
        <v>9256.080695081082</v>
      </c>
      <c r="AM70" s="12">
        <v>10174.68684521614</v>
      </c>
      <c r="AN70" s="12">
        <v>11092.03358756411</v>
      </c>
      <c r="AO70" s="12">
        <v>10225.064760532499</v>
      </c>
      <c r="AP70" s="12">
        <v>13048.310397434559</v>
      </c>
      <c r="AQ70" s="12">
        <v>12692.684273630601</v>
      </c>
      <c r="AR70" s="12">
        <v>13447.773184080639</v>
      </c>
      <c r="AS70" s="12">
        <v>13491.217456001739</v>
      </c>
      <c r="AT70" s="12">
        <v>14730.62869805445</v>
      </c>
      <c r="AU70" s="12">
        <v>16190.8275466786</v>
      </c>
      <c r="AV70" s="12">
        <v>19453.558684058731</v>
      </c>
      <c r="AW70" s="12">
        <v>17564.00965051274</v>
      </c>
      <c r="AX70" s="12">
        <v>23862.566994478231</v>
      </c>
      <c r="AY70" s="12">
        <v>22760.094285032581</v>
      </c>
      <c r="AZ70" s="12">
        <v>67719.397428387078</v>
      </c>
      <c r="BA70" s="12">
        <v>7654.3957524767984</v>
      </c>
      <c r="BB70" s="12">
        <v>5563492.7740785973</v>
      </c>
      <c r="BC70" s="12">
        <v>0</v>
      </c>
      <c r="BD70" s="12">
        <v>0</v>
      </c>
      <c r="BE70" s="12">
        <v>113.85761144441599</v>
      </c>
      <c r="BF70" s="12">
        <v>40.257796498633027</v>
      </c>
      <c r="BG70" s="12">
        <v>55.493529609213169</v>
      </c>
      <c r="BH70" s="12">
        <v>97.021976337474698</v>
      </c>
      <c r="BI70" s="12">
        <v>113.09527120645861</v>
      </c>
      <c r="BJ70" s="12">
        <v>78.792946565927963</v>
      </c>
      <c r="BK70" s="12">
        <v>0</v>
      </c>
      <c r="BL70" s="12">
        <v>0</v>
      </c>
      <c r="BM70" s="12">
        <v>6.0389041030806707</v>
      </c>
      <c r="BN70" s="12">
        <v>0</v>
      </c>
      <c r="BO70" s="12">
        <v>0</v>
      </c>
      <c r="BP70" s="12">
        <v>0</v>
      </c>
      <c r="BQ70" s="12" t="s">
        <v>755</v>
      </c>
    </row>
    <row r="71" spans="1:69" x14ac:dyDescent="0.25">
      <c r="A71" s="12" t="s">
        <v>756</v>
      </c>
      <c r="B71" s="12" t="s">
        <v>29</v>
      </c>
      <c r="C71" s="12">
        <v>2017</v>
      </c>
      <c r="D71" s="12" t="s">
        <v>385</v>
      </c>
      <c r="E71" s="12" t="s">
        <v>145</v>
      </c>
      <c r="F71" s="12" t="s">
        <v>75</v>
      </c>
      <c r="G71" s="12">
        <v>4</v>
      </c>
      <c r="H71" s="12">
        <v>0.87116459649296341</v>
      </c>
      <c r="I71" s="12">
        <v>0</v>
      </c>
      <c r="J71" s="12">
        <v>2.7146847757834052</v>
      </c>
      <c r="K71" s="12">
        <v>3.9745675111868932</v>
      </c>
      <c r="L71" s="12">
        <v>0</v>
      </c>
      <c r="M71" s="12">
        <v>1.3196158236090429</v>
      </c>
      <c r="N71" s="12">
        <v>0</v>
      </c>
      <c r="O71" s="12">
        <v>0.35406775143946539</v>
      </c>
      <c r="P71" s="12">
        <v>0</v>
      </c>
      <c r="Q71" s="12">
        <v>2.1478528177416281</v>
      </c>
      <c r="R71" s="12">
        <v>55.506390836729047</v>
      </c>
      <c r="S71" s="12">
        <v>0</v>
      </c>
      <c r="T71" s="12">
        <v>0</v>
      </c>
      <c r="U71" s="12">
        <v>1.0192916917105059</v>
      </c>
      <c r="V71" s="12">
        <v>1.813819498165324</v>
      </c>
      <c r="W71" s="12">
        <v>0</v>
      </c>
      <c r="X71" s="12">
        <v>1.799629287148536</v>
      </c>
      <c r="Y71" s="12">
        <v>0</v>
      </c>
      <c r="Z71" s="12">
        <v>0</v>
      </c>
      <c r="AA71" s="12">
        <v>0</v>
      </c>
      <c r="AB71" s="12">
        <v>0.90409089869255743</v>
      </c>
      <c r="AC71" s="12">
        <v>1.9195491812488099</v>
      </c>
      <c r="AD71" s="12">
        <v>3.7339039318853691</v>
      </c>
      <c r="AE71" s="12">
        <v>0</v>
      </c>
      <c r="AF71" s="12">
        <v>2.1644449553395542</v>
      </c>
      <c r="AG71" s="12">
        <v>3306.5585014812982</v>
      </c>
      <c r="AH71" s="12">
        <v>7291.8737354292161</v>
      </c>
      <c r="AI71" s="12">
        <v>7390.49841583946</v>
      </c>
      <c r="AJ71" s="12">
        <v>8954.4874988321044</v>
      </c>
      <c r="AK71" s="12">
        <v>9094.5115268392383</v>
      </c>
      <c r="AL71" s="12">
        <v>9338.3110215147171</v>
      </c>
      <c r="AM71" s="12">
        <v>10096.083308189411</v>
      </c>
      <c r="AN71" s="12">
        <v>11495.73548048361</v>
      </c>
      <c r="AO71" s="12">
        <v>10597.743862787251</v>
      </c>
      <c r="AP71" s="12">
        <v>12508.232847490661</v>
      </c>
      <c r="AQ71" s="12">
        <v>11356.09213040571</v>
      </c>
      <c r="AR71" s="12">
        <v>14389.62032838441</v>
      </c>
      <c r="AS71" s="12">
        <v>12842.265298570001</v>
      </c>
      <c r="AT71" s="12">
        <v>16752.310816184341</v>
      </c>
      <c r="AU71" s="12">
        <v>14599.950602285389</v>
      </c>
      <c r="AV71" s="12">
        <v>18700.09636725661</v>
      </c>
      <c r="AW71" s="12">
        <v>18106.082237555551</v>
      </c>
      <c r="AX71" s="12">
        <v>24467.784944721989</v>
      </c>
      <c r="AY71" s="12">
        <v>24724.978433911001</v>
      </c>
      <c r="AZ71" s="12">
        <v>65386.599582145427</v>
      </c>
      <c r="BA71" s="12">
        <v>7700.4813903066424</v>
      </c>
      <c r="BB71" s="12">
        <v>5521502.9851072468</v>
      </c>
      <c r="BC71" s="12">
        <v>0</v>
      </c>
      <c r="BD71" s="12">
        <v>0</v>
      </c>
      <c r="BE71" s="12">
        <v>108.3598401791061</v>
      </c>
      <c r="BF71" s="12">
        <v>45.122093343557033</v>
      </c>
      <c r="BG71" s="12">
        <v>54.588165214455131</v>
      </c>
      <c r="BH71" s="12">
        <v>104.5161560406996</v>
      </c>
      <c r="BI71" s="12">
        <v>111.86212188469101</v>
      </c>
      <c r="BJ71" s="12">
        <v>89.846818275384578</v>
      </c>
      <c r="BK71" s="12">
        <v>0</v>
      </c>
      <c r="BL71" s="12">
        <v>0</v>
      </c>
      <c r="BM71" s="12">
        <v>5.3027107608728494</v>
      </c>
      <c r="BN71" s="12">
        <v>0</v>
      </c>
      <c r="BO71" s="12">
        <v>0</v>
      </c>
      <c r="BP71" s="12">
        <v>0</v>
      </c>
      <c r="BQ71" s="12" t="s">
        <v>757</v>
      </c>
    </row>
    <row r="72" spans="1:69" x14ac:dyDescent="0.25">
      <c r="A72" s="12" t="s">
        <v>758</v>
      </c>
      <c r="B72" s="12" t="s">
        <v>29</v>
      </c>
      <c r="C72" s="12">
        <v>2017</v>
      </c>
      <c r="D72" s="12" t="s">
        <v>385</v>
      </c>
      <c r="E72" s="12" t="s">
        <v>145</v>
      </c>
      <c r="F72" s="12" t="s">
        <v>75</v>
      </c>
      <c r="G72" s="12">
        <v>5</v>
      </c>
      <c r="H72" s="12">
        <v>0.87882438462460599</v>
      </c>
      <c r="I72" s="12">
        <v>0</v>
      </c>
      <c r="J72" s="12">
        <v>2.7164449647621218</v>
      </c>
      <c r="K72" s="12">
        <v>3.4671572836229489</v>
      </c>
      <c r="L72" s="12">
        <v>0</v>
      </c>
      <c r="M72" s="12">
        <v>1.196740167254031</v>
      </c>
      <c r="N72" s="12">
        <v>0</v>
      </c>
      <c r="O72" s="12">
        <v>0.16476873758314869</v>
      </c>
      <c r="P72" s="12">
        <v>0</v>
      </c>
      <c r="Q72" s="12">
        <v>2.1718482262256029</v>
      </c>
      <c r="R72" s="12">
        <v>54.007779638741148</v>
      </c>
      <c r="S72" s="12">
        <v>0</v>
      </c>
      <c r="T72" s="12">
        <v>0</v>
      </c>
      <c r="U72" s="12">
        <v>1.1685779020166689</v>
      </c>
      <c r="V72" s="12">
        <v>1.626570022947883</v>
      </c>
      <c r="W72" s="12">
        <v>0</v>
      </c>
      <c r="X72" s="12">
        <v>1.600510860178459</v>
      </c>
      <c r="Y72" s="12">
        <v>0</v>
      </c>
      <c r="Z72" s="12">
        <v>0</v>
      </c>
      <c r="AA72" s="12">
        <v>0</v>
      </c>
      <c r="AB72" s="12">
        <v>0.75657728974247374</v>
      </c>
      <c r="AC72" s="12">
        <v>1.9586239930909799</v>
      </c>
      <c r="AD72" s="12">
        <v>3.9451079298458489</v>
      </c>
      <c r="AE72" s="12">
        <v>0</v>
      </c>
      <c r="AF72" s="12">
        <v>1.9904115120699919</v>
      </c>
      <c r="AG72" s="12">
        <v>3005.5547018395891</v>
      </c>
      <c r="AH72" s="12">
        <v>7485.5388055232979</v>
      </c>
      <c r="AI72" s="12">
        <v>7415.9218686906897</v>
      </c>
      <c r="AJ72" s="12">
        <v>8402.3186261725896</v>
      </c>
      <c r="AK72" s="12">
        <v>9036.4443665492327</v>
      </c>
      <c r="AL72" s="12">
        <v>9250.3204832597985</v>
      </c>
      <c r="AM72" s="12">
        <v>9386.964634715936</v>
      </c>
      <c r="AN72" s="12">
        <v>11686.464264017661</v>
      </c>
      <c r="AO72" s="12">
        <v>10487.954683010161</v>
      </c>
      <c r="AP72" s="12">
        <v>12068.918544372051</v>
      </c>
      <c r="AQ72" s="12">
        <v>12773.830162935659</v>
      </c>
      <c r="AR72" s="12">
        <v>14418.494009605371</v>
      </c>
      <c r="AS72" s="12">
        <v>13986.72964706442</v>
      </c>
      <c r="AT72" s="12">
        <v>16411.695797545301</v>
      </c>
      <c r="AU72" s="12">
        <v>16777.370217386921</v>
      </c>
      <c r="AV72" s="12">
        <v>19218.498913558102</v>
      </c>
      <c r="AW72" s="12">
        <v>19272.114365273159</v>
      </c>
      <c r="AX72" s="12">
        <v>25051.898825399039</v>
      </c>
      <c r="AY72" s="12">
        <v>23688.44334605195</v>
      </c>
      <c r="AZ72" s="12">
        <v>63563.905752318991</v>
      </c>
      <c r="BA72" s="12">
        <v>8986.0174177803601</v>
      </c>
      <c r="BB72" s="12">
        <v>5490251.2768051084</v>
      </c>
      <c r="BC72" s="12">
        <v>0</v>
      </c>
      <c r="BD72" s="12">
        <v>0</v>
      </c>
      <c r="BE72" s="12">
        <v>115.1423832182584</v>
      </c>
      <c r="BF72" s="12">
        <v>48.760707869649529</v>
      </c>
      <c r="BG72" s="12">
        <v>60.232257332400927</v>
      </c>
      <c r="BH72" s="12">
        <v>92.89781734920399</v>
      </c>
      <c r="BI72" s="12">
        <v>112.7319215504064</v>
      </c>
      <c r="BJ72" s="12">
        <v>78.967223013877501</v>
      </c>
      <c r="BK72" s="12">
        <v>0</v>
      </c>
      <c r="BL72" s="12">
        <v>0</v>
      </c>
      <c r="BM72" s="12">
        <v>1.546712468732041</v>
      </c>
      <c r="BN72" s="12">
        <v>0</v>
      </c>
      <c r="BO72" s="12">
        <v>0</v>
      </c>
      <c r="BP72" s="12">
        <v>0</v>
      </c>
      <c r="BQ72" s="12" t="s">
        <v>759</v>
      </c>
    </row>
    <row r="73" spans="1:69" x14ac:dyDescent="0.25">
      <c r="A73" s="12" t="s">
        <v>760</v>
      </c>
      <c r="B73" s="12" t="s">
        <v>29</v>
      </c>
      <c r="C73" s="12">
        <v>2017</v>
      </c>
      <c r="D73" s="12" t="s">
        <v>385</v>
      </c>
      <c r="E73" s="12" t="s">
        <v>145</v>
      </c>
      <c r="F73" s="12" t="s">
        <v>75</v>
      </c>
      <c r="G73" s="12">
        <v>6</v>
      </c>
      <c r="H73" s="12">
        <v>0.78265124138746145</v>
      </c>
      <c r="I73" s="12">
        <v>0</v>
      </c>
      <c r="J73" s="12">
        <v>2.7498309213617751</v>
      </c>
      <c r="K73" s="12">
        <v>3.6031541750107849</v>
      </c>
      <c r="L73" s="12">
        <v>0</v>
      </c>
      <c r="M73" s="12">
        <v>1.347055785448245</v>
      </c>
      <c r="N73" s="12">
        <v>0</v>
      </c>
      <c r="O73" s="12">
        <v>0</v>
      </c>
      <c r="P73" s="12">
        <v>0</v>
      </c>
      <c r="Q73" s="12">
        <v>2.1186351932558498</v>
      </c>
      <c r="R73" s="12">
        <v>49.748729656746512</v>
      </c>
      <c r="S73" s="12">
        <v>0</v>
      </c>
      <c r="T73" s="12">
        <v>0</v>
      </c>
      <c r="U73" s="12">
        <v>1.2188757619470161</v>
      </c>
      <c r="V73" s="12">
        <v>1.869823386455342</v>
      </c>
      <c r="W73" s="12">
        <v>0</v>
      </c>
      <c r="X73" s="12">
        <v>1.715775363860899</v>
      </c>
      <c r="Y73" s="12">
        <v>0</v>
      </c>
      <c r="Z73" s="12">
        <v>0</v>
      </c>
      <c r="AA73" s="12">
        <v>0</v>
      </c>
      <c r="AB73" s="12">
        <v>0.59861898993912332</v>
      </c>
      <c r="AC73" s="12">
        <v>2.20194670887419</v>
      </c>
      <c r="AD73" s="12">
        <v>3.5021993315826569</v>
      </c>
      <c r="AE73" s="12">
        <v>0</v>
      </c>
      <c r="AF73" s="12">
        <v>2.0864558812849441</v>
      </c>
      <c r="AG73" s="12">
        <v>3039.81575362886</v>
      </c>
      <c r="AH73" s="12">
        <v>7420.3999756841877</v>
      </c>
      <c r="AI73" s="12">
        <v>7464.4931459487216</v>
      </c>
      <c r="AJ73" s="12">
        <v>9127.0596928271971</v>
      </c>
      <c r="AK73" s="12">
        <v>8217.6580296033735</v>
      </c>
      <c r="AL73" s="12">
        <v>9976.7454997768145</v>
      </c>
      <c r="AM73" s="12">
        <v>10091.326155194891</v>
      </c>
      <c r="AN73" s="12">
        <v>11173.915213992161</v>
      </c>
      <c r="AO73" s="12">
        <v>11744.626066706311</v>
      </c>
      <c r="AP73" s="12">
        <v>12497.577217368251</v>
      </c>
      <c r="AQ73" s="12">
        <v>13033.38881930059</v>
      </c>
      <c r="AR73" s="12">
        <v>13670.96883915213</v>
      </c>
      <c r="AS73" s="12">
        <v>14296.6036302923</v>
      </c>
      <c r="AT73" s="12">
        <v>15721.609926390331</v>
      </c>
      <c r="AU73" s="12">
        <v>16883.70815545505</v>
      </c>
      <c r="AV73" s="12">
        <v>18282.822466981372</v>
      </c>
      <c r="AW73" s="12">
        <v>18506.893476756952</v>
      </c>
      <c r="AX73" s="12">
        <v>24070.693776904431</v>
      </c>
      <c r="AY73" s="12">
        <v>24165.996141805132</v>
      </c>
      <c r="AZ73" s="12">
        <v>60797.53500832936</v>
      </c>
      <c r="BA73" s="12">
        <v>9888.5145729904179</v>
      </c>
      <c r="BB73" s="12">
        <v>6032545.5775587736</v>
      </c>
      <c r="BC73" s="12">
        <v>0</v>
      </c>
      <c r="BD73" s="12">
        <v>0</v>
      </c>
      <c r="BE73" s="12">
        <v>111.4212350195177</v>
      </c>
      <c r="BF73" s="12">
        <v>44.444204325884009</v>
      </c>
      <c r="BG73" s="12">
        <v>60.235864682014551</v>
      </c>
      <c r="BH73" s="12">
        <v>93.907927625868965</v>
      </c>
      <c r="BI73" s="12">
        <v>114.3371109429592</v>
      </c>
      <c r="BJ73" s="12">
        <v>79.949440244742433</v>
      </c>
      <c r="BK73" s="12">
        <v>0</v>
      </c>
      <c r="BL73" s="12">
        <v>0</v>
      </c>
      <c r="BM73" s="12">
        <v>0.18377828479040981</v>
      </c>
      <c r="BN73" s="12">
        <v>0</v>
      </c>
      <c r="BO73" s="12">
        <v>0</v>
      </c>
      <c r="BP73" s="12">
        <v>0</v>
      </c>
      <c r="BQ73" s="12" t="s">
        <v>761</v>
      </c>
    </row>
    <row r="74" spans="1:69" x14ac:dyDescent="0.25">
      <c r="A74" s="12" t="s">
        <v>762</v>
      </c>
      <c r="B74" s="12" t="s">
        <v>29</v>
      </c>
      <c r="C74" s="12">
        <v>2017</v>
      </c>
      <c r="D74" s="12" t="s">
        <v>385</v>
      </c>
      <c r="E74" s="12" t="s">
        <v>145</v>
      </c>
      <c r="F74" s="12" t="s">
        <v>75</v>
      </c>
      <c r="G74" s="12">
        <v>7</v>
      </c>
      <c r="H74" s="12">
        <v>0.80649425290217969</v>
      </c>
      <c r="I74" s="12">
        <v>0</v>
      </c>
      <c r="J74" s="12">
        <v>2.64348443590479</v>
      </c>
      <c r="K74" s="12">
        <v>3.074801572902353</v>
      </c>
      <c r="L74" s="12">
        <v>0</v>
      </c>
      <c r="M74" s="12">
        <v>1.3412244505534181</v>
      </c>
      <c r="N74" s="12">
        <v>0</v>
      </c>
      <c r="O74" s="12">
        <v>0</v>
      </c>
      <c r="P74" s="12">
        <v>0</v>
      </c>
      <c r="Q74" s="12">
        <v>2.0547293936930471</v>
      </c>
      <c r="R74" s="12">
        <v>48.826100380874507</v>
      </c>
      <c r="S74" s="12">
        <v>0</v>
      </c>
      <c r="T74" s="12">
        <v>0</v>
      </c>
      <c r="U74" s="12">
        <v>1.4495813357905449</v>
      </c>
      <c r="V74" s="12">
        <v>1.73957446699195</v>
      </c>
      <c r="W74" s="12">
        <v>0</v>
      </c>
      <c r="X74" s="12">
        <v>1.4468800714242549</v>
      </c>
      <c r="Y74" s="12">
        <v>0</v>
      </c>
      <c r="Z74" s="12">
        <v>0</v>
      </c>
      <c r="AA74" s="12">
        <v>0</v>
      </c>
      <c r="AB74" s="12">
        <v>0.39675893069113299</v>
      </c>
      <c r="AC74" s="12">
        <v>2.1111393938482408</v>
      </c>
      <c r="AD74" s="12">
        <v>3.3178205954991662</v>
      </c>
      <c r="AE74" s="12">
        <v>0</v>
      </c>
      <c r="AF74" s="12">
        <v>2.183815005159873</v>
      </c>
      <c r="AG74" s="12">
        <v>3126.2968741751479</v>
      </c>
      <c r="AH74" s="12">
        <v>7457.0301047595649</v>
      </c>
      <c r="AI74" s="12">
        <v>7061.830495067421</v>
      </c>
      <c r="AJ74" s="12">
        <v>8528.1250097844477</v>
      </c>
      <c r="AK74" s="12">
        <v>9062.5307529113034</v>
      </c>
      <c r="AL74" s="12">
        <v>9910.0892568742256</v>
      </c>
      <c r="AM74" s="12">
        <v>9867.0975597347788</v>
      </c>
      <c r="AN74" s="12">
        <v>10749.855752207721</v>
      </c>
      <c r="AO74" s="12">
        <v>11381.59001886616</v>
      </c>
      <c r="AP74" s="12">
        <v>12460.875274035991</v>
      </c>
      <c r="AQ74" s="12">
        <v>12836.97171279563</v>
      </c>
      <c r="AR74" s="12">
        <v>14041.792439984671</v>
      </c>
      <c r="AS74" s="12">
        <v>13340.01492332992</v>
      </c>
      <c r="AT74" s="12">
        <v>15948.61279109826</v>
      </c>
      <c r="AU74" s="12">
        <v>15575.48670195567</v>
      </c>
      <c r="AV74" s="12">
        <v>19576.725933683949</v>
      </c>
      <c r="AW74" s="12">
        <v>19682.08396682774</v>
      </c>
      <c r="AX74" s="12">
        <v>22873.014686412331</v>
      </c>
      <c r="AY74" s="12">
        <v>22737.81640278186</v>
      </c>
      <c r="AZ74" s="12">
        <v>61936.841923524473</v>
      </c>
      <c r="BA74" s="12">
        <v>10841.300405458311</v>
      </c>
      <c r="BB74" s="12">
        <v>5274358.5953500457</v>
      </c>
      <c r="BC74" s="12">
        <v>0</v>
      </c>
      <c r="BD74" s="12">
        <v>0</v>
      </c>
      <c r="BE74" s="12">
        <v>110.1980086058123</v>
      </c>
      <c r="BF74" s="12">
        <v>46.349576811173719</v>
      </c>
      <c r="BG74" s="12">
        <v>61.66342134742893</v>
      </c>
      <c r="BH74" s="12">
        <v>104.9286714131876</v>
      </c>
      <c r="BI74" s="12">
        <v>107.80099131261539</v>
      </c>
      <c r="BJ74" s="12">
        <v>84.717728742921054</v>
      </c>
      <c r="BK74" s="12">
        <v>0</v>
      </c>
      <c r="BL74" s="12">
        <v>0</v>
      </c>
      <c r="BM74" s="12">
        <v>1.9331203148611049E-2</v>
      </c>
      <c r="BN74" s="12">
        <v>0</v>
      </c>
      <c r="BO74" s="12">
        <v>0</v>
      </c>
      <c r="BP74" s="12">
        <v>0</v>
      </c>
      <c r="BQ74" s="12" t="s">
        <v>763</v>
      </c>
    </row>
    <row r="75" spans="1:69" x14ac:dyDescent="0.25">
      <c r="A75" s="12" t="s">
        <v>764</v>
      </c>
      <c r="B75" s="12" t="s">
        <v>29</v>
      </c>
      <c r="C75" s="12">
        <v>2017</v>
      </c>
      <c r="D75" s="12" t="s">
        <v>385</v>
      </c>
      <c r="E75" s="12" t="s">
        <v>145</v>
      </c>
      <c r="F75" s="12" t="s">
        <v>75</v>
      </c>
      <c r="G75" s="12">
        <v>8</v>
      </c>
      <c r="H75" s="12">
        <v>0.81436788308788233</v>
      </c>
      <c r="I75" s="12">
        <v>0</v>
      </c>
      <c r="J75" s="12">
        <v>2.667110695202302</v>
      </c>
      <c r="K75" s="12">
        <v>2.5337497377108411</v>
      </c>
      <c r="L75" s="12">
        <v>0</v>
      </c>
      <c r="M75" s="12">
        <v>1.2226415151753689</v>
      </c>
      <c r="N75" s="12">
        <v>0</v>
      </c>
      <c r="O75" s="12">
        <v>0</v>
      </c>
      <c r="P75" s="12">
        <v>0</v>
      </c>
      <c r="Q75" s="12">
        <v>2.033630615103978</v>
      </c>
      <c r="R75" s="12">
        <v>45.796017136306013</v>
      </c>
      <c r="S75" s="12">
        <v>0</v>
      </c>
      <c r="T75" s="12">
        <v>0</v>
      </c>
      <c r="U75" s="12">
        <v>1.6020757646646331</v>
      </c>
      <c r="V75" s="12">
        <v>1.7099088356472141</v>
      </c>
      <c r="W75" s="12">
        <v>0</v>
      </c>
      <c r="X75" s="12">
        <v>1.5790852672890801</v>
      </c>
      <c r="Y75" s="12">
        <v>0</v>
      </c>
      <c r="Z75" s="12">
        <v>0</v>
      </c>
      <c r="AA75" s="12">
        <v>0</v>
      </c>
      <c r="AB75" s="12">
        <v>0.238909660835111</v>
      </c>
      <c r="AC75" s="12">
        <v>2.5656851721054541</v>
      </c>
      <c r="AD75" s="12">
        <v>3.277324640768859</v>
      </c>
      <c r="AE75" s="12">
        <v>0</v>
      </c>
      <c r="AF75" s="12">
        <v>2.2087959377101929</v>
      </c>
      <c r="AG75" s="12">
        <v>3400.852830825168</v>
      </c>
      <c r="AH75" s="12">
        <v>6652.4505960030592</v>
      </c>
      <c r="AI75" s="12">
        <v>6887.7829516778784</v>
      </c>
      <c r="AJ75" s="12">
        <v>8966.0105283704215</v>
      </c>
      <c r="AK75" s="12">
        <v>8549.9668408101716</v>
      </c>
      <c r="AL75" s="12">
        <v>10254.73743413836</v>
      </c>
      <c r="AM75" s="12">
        <v>10209.624452355991</v>
      </c>
      <c r="AN75" s="12">
        <v>10957.98122561415</v>
      </c>
      <c r="AO75" s="12">
        <v>10916.802423953121</v>
      </c>
      <c r="AP75" s="12">
        <v>12612.751633363039</v>
      </c>
      <c r="AQ75" s="12">
        <v>12823.75168742928</v>
      </c>
      <c r="AR75" s="12">
        <v>14802.39469035072</v>
      </c>
      <c r="AS75" s="12">
        <v>13308.62619170765</v>
      </c>
      <c r="AT75" s="12">
        <v>16579.589238432829</v>
      </c>
      <c r="AU75" s="12">
        <v>16582.694442844411</v>
      </c>
      <c r="AV75" s="12">
        <v>18927.785107809861</v>
      </c>
      <c r="AW75" s="12">
        <v>18564.64997924355</v>
      </c>
      <c r="AX75" s="12">
        <v>23406.91905978549</v>
      </c>
      <c r="AY75" s="12">
        <v>24741.244675686179</v>
      </c>
      <c r="AZ75" s="12">
        <v>69247.37401531107</v>
      </c>
      <c r="BA75" s="12">
        <v>12316.83852374993</v>
      </c>
      <c r="BB75" s="12">
        <v>5722370.1322000641</v>
      </c>
      <c r="BC75" s="12">
        <v>0</v>
      </c>
      <c r="BD75" s="12">
        <v>0</v>
      </c>
      <c r="BE75" s="12">
        <v>103.67066305524359</v>
      </c>
      <c r="BF75" s="12">
        <v>36.347276944609547</v>
      </c>
      <c r="BG75" s="12">
        <v>65.442505059809946</v>
      </c>
      <c r="BH75" s="12">
        <v>104.59547658312999</v>
      </c>
      <c r="BI75" s="12">
        <v>97.542516299452487</v>
      </c>
      <c r="BJ75" s="12">
        <v>78.331149142202179</v>
      </c>
      <c r="BK75" s="12">
        <v>0</v>
      </c>
      <c r="BL75" s="12">
        <v>0</v>
      </c>
      <c r="BM75" s="12">
        <v>0</v>
      </c>
      <c r="BN75" s="12">
        <v>0</v>
      </c>
      <c r="BO75" s="12">
        <v>0</v>
      </c>
      <c r="BP75" s="12">
        <v>0</v>
      </c>
      <c r="BQ75" s="12" t="s">
        <v>765</v>
      </c>
    </row>
    <row r="76" spans="1:69" x14ac:dyDescent="0.25">
      <c r="A76" s="12" t="s">
        <v>766</v>
      </c>
      <c r="B76" s="12" t="s">
        <v>29</v>
      </c>
      <c r="C76" s="12">
        <v>2017</v>
      </c>
      <c r="D76" s="12" t="s">
        <v>385</v>
      </c>
      <c r="E76" s="12" t="s">
        <v>145</v>
      </c>
      <c r="F76" s="12" t="s">
        <v>75</v>
      </c>
      <c r="G76" s="12">
        <v>9</v>
      </c>
      <c r="H76" s="12">
        <v>0.71360281350039656</v>
      </c>
      <c r="I76" s="12">
        <v>0</v>
      </c>
      <c r="J76" s="12">
        <v>2.509457970070164</v>
      </c>
      <c r="K76" s="12">
        <v>1.829824753152181</v>
      </c>
      <c r="L76" s="12">
        <v>0</v>
      </c>
      <c r="M76" s="12">
        <v>1.1712624382939909</v>
      </c>
      <c r="N76" s="12">
        <v>0</v>
      </c>
      <c r="O76" s="12">
        <v>0</v>
      </c>
      <c r="P76" s="12">
        <v>0</v>
      </c>
      <c r="Q76" s="12">
        <v>2.291341541498364</v>
      </c>
      <c r="R76" s="12">
        <v>52.022832619141013</v>
      </c>
      <c r="S76" s="12">
        <v>0</v>
      </c>
      <c r="T76" s="12">
        <v>0</v>
      </c>
      <c r="U76" s="12">
        <v>1.744991691050805</v>
      </c>
      <c r="V76" s="12">
        <v>1.927891304121605</v>
      </c>
      <c r="W76" s="12">
        <v>0</v>
      </c>
      <c r="X76" s="12">
        <v>1.4201703445294389</v>
      </c>
      <c r="Y76" s="12">
        <v>0</v>
      </c>
      <c r="Z76" s="12">
        <v>0</v>
      </c>
      <c r="AA76" s="12">
        <v>0</v>
      </c>
      <c r="AB76" s="12">
        <v>0.12859665403079651</v>
      </c>
      <c r="AC76" s="12">
        <v>3.2358442065908002</v>
      </c>
      <c r="AD76" s="12">
        <v>3.1138017378715648</v>
      </c>
      <c r="AE76" s="12">
        <v>0</v>
      </c>
      <c r="AF76" s="12">
        <v>2.1351331865659291</v>
      </c>
      <c r="AG76" s="12">
        <v>3116.300417863064</v>
      </c>
      <c r="AH76" s="12">
        <v>7448.5764766115863</v>
      </c>
      <c r="AI76" s="12">
        <v>6990.9939377101364</v>
      </c>
      <c r="AJ76" s="12">
        <v>8427.7228815551898</v>
      </c>
      <c r="AK76" s="12">
        <v>8754.8561769597</v>
      </c>
      <c r="AL76" s="12">
        <v>10475.97390815467</v>
      </c>
      <c r="AM76" s="12">
        <v>9099.8337744089094</v>
      </c>
      <c r="AN76" s="12">
        <v>10510.42471812523</v>
      </c>
      <c r="AO76" s="12">
        <v>10347.27420344737</v>
      </c>
      <c r="AP76" s="12">
        <v>11608.52948790944</v>
      </c>
      <c r="AQ76" s="12">
        <v>12780.8024339685</v>
      </c>
      <c r="AR76" s="12">
        <v>14044.10795952789</v>
      </c>
      <c r="AS76" s="12">
        <v>13219.59036905187</v>
      </c>
      <c r="AT76" s="12">
        <v>14727.04775836501</v>
      </c>
      <c r="AU76" s="12">
        <v>14846.350923364551</v>
      </c>
      <c r="AV76" s="12">
        <v>17764.667131782939</v>
      </c>
      <c r="AW76" s="12">
        <v>19460.51317595315</v>
      </c>
      <c r="AX76" s="12">
        <v>22364.683884124941</v>
      </c>
      <c r="AY76" s="12">
        <v>23983.7837664164</v>
      </c>
      <c r="AZ76" s="12">
        <v>67006.389885181532</v>
      </c>
      <c r="BA76" s="12">
        <v>15928.372119321501</v>
      </c>
      <c r="BB76" s="12">
        <v>5597709.2197357472</v>
      </c>
      <c r="BC76" s="12">
        <v>0</v>
      </c>
      <c r="BD76" s="12">
        <v>0</v>
      </c>
      <c r="BE76" s="12">
        <v>103.82708335477849</v>
      </c>
      <c r="BF76" s="12">
        <v>32.177403182832059</v>
      </c>
      <c r="BG76" s="12">
        <v>65.499403551799432</v>
      </c>
      <c r="BH76" s="12">
        <v>97.65158968164512</v>
      </c>
      <c r="BI76" s="12">
        <v>108.5751512658405</v>
      </c>
      <c r="BJ76" s="12">
        <v>77.501931021829165</v>
      </c>
      <c r="BK76" s="12">
        <v>0</v>
      </c>
      <c r="BL76" s="12">
        <v>0</v>
      </c>
      <c r="BM76" s="12">
        <v>9.0158019909132104E-4</v>
      </c>
      <c r="BN76" s="12">
        <v>0</v>
      </c>
      <c r="BO76" s="12">
        <v>0</v>
      </c>
      <c r="BP76" s="12">
        <v>0</v>
      </c>
      <c r="BQ76" s="12" t="s">
        <v>767</v>
      </c>
    </row>
    <row r="77" spans="1:69" x14ac:dyDescent="0.25">
      <c r="A77" s="12" t="s">
        <v>768</v>
      </c>
      <c r="B77" s="12" t="s">
        <v>29</v>
      </c>
      <c r="C77" s="12">
        <v>2017</v>
      </c>
      <c r="D77" s="12" t="s">
        <v>385</v>
      </c>
      <c r="E77" s="12" t="s">
        <v>145</v>
      </c>
      <c r="F77" s="12" t="s">
        <v>75</v>
      </c>
      <c r="G77" s="12">
        <v>10</v>
      </c>
      <c r="H77" s="12">
        <v>0.6850823938806756</v>
      </c>
      <c r="I77" s="12">
        <v>0</v>
      </c>
      <c r="J77" s="12">
        <v>2.4792568611832242</v>
      </c>
      <c r="K77" s="12">
        <v>1.4777576968817761</v>
      </c>
      <c r="L77" s="12">
        <v>0</v>
      </c>
      <c r="M77" s="12">
        <v>0.8254660661598977</v>
      </c>
      <c r="N77" s="12">
        <v>0</v>
      </c>
      <c r="O77" s="12">
        <v>0</v>
      </c>
      <c r="P77" s="12">
        <v>0</v>
      </c>
      <c r="Q77" s="12">
        <v>2.461379490417074</v>
      </c>
      <c r="R77" s="12">
        <v>48.785791569043319</v>
      </c>
      <c r="S77" s="12">
        <v>0</v>
      </c>
      <c r="T77" s="12">
        <v>0</v>
      </c>
      <c r="U77" s="12">
        <v>1.9980582966397269</v>
      </c>
      <c r="V77" s="12">
        <v>1.873509554164271</v>
      </c>
      <c r="W77" s="12">
        <v>0</v>
      </c>
      <c r="X77" s="12">
        <v>1.4744236860755571</v>
      </c>
      <c r="Y77" s="12">
        <v>0</v>
      </c>
      <c r="Z77" s="12">
        <v>0</v>
      </c>
      <c r="AA77" s="12">
        <v>0</v>
      </c>
      <c r="AB77" s="12">
        <v>9.2008766797072053E-2</v>
      </c>
      <c r="AC77" s="12">
        <v>4.0909853164805634</v>
      </c>
      <c r="AD77" s="12">
        <v>2.0466639105398081</v>
      </c>
      <c r="AE77" s="12">
        <v>0</v>
      </c>
      <c r="AF77" s="12">
        <v>1.8408906854154909</v>
      </c>
      <c r="AG77" s="12">
        <v>3139.223735443747</v>
      </c>
      <c r="AH77" s="12">
        <v>7032.0910240972626</v>
      </c>
      <c r="AI77" s="12">
        <v>7580.6968859413382</v>
      </c>
      <c r="AJ77" s="12">
        <v>8626.6855762985342</v>
      </c>
      <c r="AK77" s="12">
        <v>8840.0667625149745</v>
      </c>
      <c r="AL77" s="12">
        <v>9078.05576292564</v>
      </c>
      <c r="AM77" s="12">
        <v>10392.77754061449</v>
      </c>
      <c r="AN77" s="12">
        <v>10752.14141424612</v>
      </c>
      <c r="AO77" s="12">
        <v>11172.956574383619</v>
      </c>
      <c r="AP77" s="12">
        <v>12315.95232885252</v>
      </c>
      <c r="AQ77" s="12">
        <v>11850.80101487633</v>
      </c>
      <c r="AR77" s="12">
        <v>14521.879508902441</v>
      </c>
      <c r="AS77" s="12">
        <v>13955.96055988638</v>
      </c>
      <c r="AT77" s="12">
        <v>15951.149993221399</v>
      </c>
      <c r="AU77" s="12">
        <v>15869.563629167391</v>
      </c>
      <c r="AV77" s="12">
        <v>17546.43912726632</v>
      </c>
      <c r="AW77" s="12">
        <v>18916.286710403219</v>
      </c>
      <c r="AX77" s="12">
        <v>22237.852395646671</v>
      </c>
      <c r="AY77" s="12">
        <v>23488.45585958779</v>
      </c>
      <c r="AZ77" s="12">
        <v>61458.088048459547</v>
      </c>
      <c r="BA77" s="12">
        <v>18810.72153253889</v>
      </c>
      <c r="BB77" s="12">
        <v>5929703.9223334733</v>
      </c>
      <c r="BC77" s="12">
        <v>0</v>
      </c>
      <c r="BD77" s="12">
        <v>0</v>
      </c>
      <c r="BE77" s="12">
        <v>103.0622261489526</v>
      </c>
      <c r="BF77" s="12">
        <v>37.594346591217707</v>
      </c>
      <c r="BG77" s="12">
        <v>70.695070211112636</v>
      </c>
      <c r="BH77" s="12">
        <v>108.27456441881451</v>
      </c>
      <c r="BI77" s="12">
        <v>98.897760371719627</v>
      </c>
      <c r="BJ77" s="12">
        <v>88.433974132393175</v>
      </c>
      <c r="BK77" s="12">
        <v>0</v>
      </c>
      <c r="BL77" s="12">
        <v>0</v>
      </c>
      <c r="BM77" s="12">
        <v>0</v>
      </c>
      <c r="BN77" s="12">
        <v>0</v>
      </c>
      <c r="BO77" s="12">
        <v>0</v>
      </c>
      <c r="BP77" s="12">
        <v>0</v>
      </c>
      <c r="BQ77" s="12" t="s">
        <v>769</v>
      </c>
    </row>
    <row r="78" spans="1:69" x14ac:dyDescent="0.25">
      <c r="A78" s="12" t="s">
        <v>770</v>
      </c>
      <c r="B78" s="12" t="s">
        <v>29</v>
      </c>
      <c r="C78" s="12">
        <v>2017</v>
      </c>
      <c r="D78" s="12" t="s">
        <v>385</v>
      </c>
      <c r="E78" s="12" t="s">
        <v>382</v>
      </c>
      <c r="F78" s="12" t="s">
        <v>75</v>
      </c>
      <c r="G78" s="12">
        <v>9999</v>
      </c>
      <c r="H78" s="12">
        <v>0.85939210252455367</v>
      </c>
      <c r="I78" s="12">
        <v>0</v>
      </c>
      <c r="J78" s="12">
        <v>2.9506814663689251</v>
      </c>
      <c r="K78" s="12">
        <v>3.039766120611298</v>
      </c>
      <c r="L78" s="12">
        <v>0</v>
      </c>
      <c r="M78" s="12">
        <v>1.302738241324348</v>
      </c>
      <c r="N78" s="12">
        <v>0</v>
      </c>
      <c r="O78" s="12">
        <v>0</v>
      </c>
      <c r="P78" s="12">
        <v>0</v>
      </c>
      <c r="Q78" s="12">
        <v>2.4112433062834349</v>
      </c>
      <c r="R78" s="12">
        <v>49.677333350113088</v>
      </c>
      <c r="S78" s="12">
        <v>0</v>
      </c>
      <c r="T78" s="12">
        <v>0</v>
      </c>
      <c r="U78" s="12">
        <v>1.114005333292271</v>
      </c>
      <c r="V78" s="12">
        <v>1.8912699280040559</v>
      </c>
      <c r="W78" s="12">
        <v>0</v>
      </c>
      <c r="X78" s="12">
        <v>1.617188023566253</v>
      </c>
      <c r="Y78" s="12">
        <v>0</v>
      </c>
      <c r="Z78" s="12">
        <v>0</v>
      </c>
      <c r="AA78" s="12">
        <v>0</v>
      </c>
      <c r="AB78" s="12">
        <v>0.48351758887929691</v>
      </c>
      <c r="AC78" s="12">
        <v>2.0495675658690402</v>
      </c>
      <c r="AD78" s="12">
        <v>3.1720254981910809</v>
      </c>
      <c r="AE78" s="12">
        <v>0</v>
      </c>
      <c r="AF78" s="12">
        <v>1.936176344733856</v>
      </c>
      <c r="AG78" s="12">
        <v>3153.497615270056</v>
      </c>
      <c r="AH78" s="12">
        <v>7318.0631235779811</v>
      </c>
      <c r="AI78" s="12">
        <v>6952.9428732888809</v>
      </c>
      <c r="AJ78" s="12">
        <v>9089.783821004974</v>
      </c>
      <c r="AK78" s="12">
        <v>8910.21257463642</v>
      </c>
      <c r="AL78" s="12">
        <v>9011.90944765108</v>
      </c>
      <c r="AM78" s="12">
        <v>10331.72357653134</v>
      </c>
      <c r="AN78" s="12">
        <v>11467.84378274484</v>
      </c>
      <c r="AO78" s="12">
        <v>10587.083260744101</v>
      </c>
      <c r="AP78" s="12">
        <v>11331.623621948789</v>
      </c>
      <c r="AQ78" s="12">
        <v>11573.223690927791</v>
      </c>
      <c r="AR78" s="12">
        <v>14430.723573337629</v>
      </c>
      <c r="AS78" s="12">
        <v>13303.013083535199</v>
      </c>
      <c r="AT78" s="12">
        <v>15824.68122120549</v>
      </c>
      <c r="AU78" s="12">
        <v>14662.46612393993</v>
      </c>
      <c r="AV78" s="12">
        <v>18825.16974003402</v>
      </c>
      <c r="AW78" s="12">
        <v>18203.825320534139</v>
      </c>
      <c r="AX78" s="12">
        <v>21972.390578654598</v>
      </c>
      <c r="AY78" s="12">
        <v>23793.44952007406</v>
      </c>
      <c r="AZ78" s="12">
        <v>66660.427527343505</v>
      </c>
      <c r="BA78" s="12">
        <v>7318.7920135101613</v>
      </c>
      <c r="BB78" s="12">
        <v>58134661.552177697</v>
      </c>
      <c r="BC78" s="12">
        <v>0</v>
      </c>
      <c r="BD78" s="12">
        <v>0</v>
      </c>
      <c r="BE78" s="12">
        <v>104.02183074523209</v>
      </c>
      <c r="BF78" s="12">
        <v>31.09786591554484</v>
      </c>
      <c r="BG78" s="12">
        <v>37.560851471979021</v>
      </c>
      <c r="BH78" s="12">
        <v>97.380261714909821</v>
      </c>
      <c r="BI78" s="12">
        <v>110.8987156837652</v>
      </c>
      <c r="BJ78" s="12">
        <v>75.659419548118564</v>
      </c>
      <c r="BK78" s="12">
        <v>0.1135256124267781</v>
      </c>
      <c r="BL78" s="12">
        <v>2.2141402832884021</v>
      </c>
      <c r="BM78" s="12">
        <v>22.791790747359119</v>
      </c>
      <c r="BN78" s="12">
        <v>0</v>
      </c>
      <c r="BO78" s="12">
        <v>0</v>
      </c>
      <c r="BP78" s="12">
        <v>0</v>
      </c>
      <c r="BQ78" s="12" t="s">
        <v>771</v>
      </c>
    </row>
    <row r="79" spans="1:69" x14ac:dyDescent="0.25">
      <c r="A79" s="12" t="s">
        <v>772</v>
      </c>
      <c r="B79" s="12" t="s">
        <v>29</v>
      </c>
      <c r="C79" s="12">
        <v>2017</v>
      </c>
      <c r="D79" s="12" t="s">
        <v>385</v>
      </c>
      <c r="E79" s="12" t="s">
        <v>145</v>
      </c>
      <c r="F79" s="12" t="s">
        <v>78</v>
      </c>
      <c r="G79" s="12">
        <v>1</v>
      </c>
      <c r="H79" s="12">
        <v>2.103301596915836</v>
      </c>
      <c r="I79" s="12">
        <v>0</v>
      </c>
      <c r="J79" s="12">
        <v>5.5478242675742893</v>
      </c>
      <c r="K79" s="12">
        <v>7.7805692515269609</v>
      </c>
      <c r="L79" s="12">
        <v>0</v>
      </c>
      <c r="M79" s="12">
        <v>2.3132025319821339</v>
      </c>
      <c r="N79" s="12">
        <v>0</v>
      </c>
      <c r="O79" s="12">
        <v>3.64047392415599</v>
      </c>
      <c r="P79" s="12">
        <v>0</v>
      </c>
      <c r="Q79" s="12">
        <v>4.1994836724911373</v>
      </c>
      <c r="R79" s="12">
        <v>73.062007691847057</v>
      </c>
      <c r="S79" s="12">
        <v>0</v>
      </c>
      <c r="T79" s="12">
        <v>0</v>
      </c>
      <c r="U79" s="12">
        <v>4.0527473188855794</v>
      </c>
      <c r="V79" s="12">
        <v>4.2283600666949264</v>
      </c>
      <c r="W79" s="12">
        <v>0</v>
      </c>
      <c r="X79" s="12">
        <v>4.0014624893478112</v>
      </c>
      <c r="Y79" s="12">
        <v>0</v>
      </c>
      <c r="Z79" s="12">
        <v>0</v>
      </c>
      <c r="AA79" s="12">
        <v>0</v>
      </c>
      <c r="AB79" s="12">
        <v>2.687248502234409</v>
      </c>
      <c r="AC79" s="12">
        <v>6.1296246192942911</v>
      </c>
      <c r="AD79" s="12">
        <v>8.2449294989449928</v>
      </c>
      <c r="AE79" s="12">
        <v>0</v>
      </c>
      <c r="AF79" s="12">
        <v>5.0351804569681757</v>
      </c>
      <c r="AG79" s="12">
        <v>3140.772976071999</v>
      </c>
      <c r="AH79" s="12">
        <v>7656.2144363837688</v>
      </c>
      <c r="AI79" s="12">
        <v>7040.6941288848302</v>
      </c>
      <c r="AJ79" s="12">
        <v>8146.7788064292208</v>
      </c>
      <c r="AK79" s="12">
        <v>8977.3388695092071</v>
      </c>
      <c r="AL79" s="12">
        <v>9666.1610913173008</v>
      </c>
      <c r="AM79" s="12">
        <v>9194.3637256248585</v>
      </c>
      <c r="AN79" s="12">
        <v>11530.68246690325</v>
      </c>
      <c r="AO79" s="12">
        <v>11417.20325837428</v>
      </c>
      <c r="AP79" s="12">
        <v>12909.611557552969</v>
      </c>
      <c r="AQ79" s="12">
        <v>13239.068134933819</v>
      </c>
      <c r="AR79" s="12">
        <v>13327.578003128339</v>
      </c>
      <c r="AS79" s="12">
        <v>14148.80571706467</v>
      </c>
      <c r="AT79" s="12">
        <v>16072.61244143743</v>
      </c>
      <c r="AU79" s="12">
        <v>16123.17317123714</v>
      </c>
      <c r="AV79" s="12">
        <v>19494.175319024271</v>
      </c>
      <c r="AW79" s="12">
        <v>17245.41808245557</v>
      </c>
      <c r="AX79" s="12">
        <v>23332.937556471668</v>
      </c>
      <c r="AY79" s="12">
        <v>22792.088895986919</v>
      </c>
      <c r="AZ79" s="12">
        <v>67468.141272220004</v>
      </c>
      <c r="BA79" s="12">
        <v>5482.8114314867444</v>
      </c>
      <c r="BB79" s="12">
        <v>5540911.1000395911</v>
      </c>
      <c r="BC79" s="12">
        <v>0</v>
      </c>
      <c r="BD79" s="12">
        <v>0</v>
      </c>
      <c r="BE79" s="12">
        <v>99.796936824841808</v>
      </c>
      <c r="BF79" s="12">
        <v>22.8767424063854</v>
      </c>
      <c r="BG79" s="12">
        <v>33.107955833877881</v>
      </c>
      <c r="BH79" s="12">
        <v>89.710487160230954</v>
      </c>
      <c r="BI79" s="12">
        <v>99.36425690122681</v>
      </c>
      <c r="BJ79" s="12">
        <v>72.371211425900356</v>
      </c>
      <c r="BK79" s="12">
        <v>0.107475258312749</v>
      </c>
      <c r="BL79" s="12">
        <v>2.3099480911596251</v>
      </c>
      <c r="BM79" s="12">
        <v>6.2880524543356326</v>
      </c>
      <c r="BN79" s="12">
        <v>0</v>
      </c>
      <c r="BO79" s="12">
        <v>0</v>
      </c>
      <c r="BP79" s="12">
        <v>0</v>
      </c>
      <c r="BQ79" s="12" t="s">
        <v>773</v>
      </c>
    </row>
    <row r="80" spans="1:69" x14ac:dyDescent="0.25">
      <c r="A80" s="12" t="s">
        <v>774</v>
      </c>
      <c r="B80" s="12" t="s">
        <v>29</v>
      </c>
      <c r="C80" s="12">
        <v>2017</v>
      </c>
      <c r="D80" s="12" t="s">
        <v>385</v>
      </c>
      <c r="E80" s="12" t="s">
        <v>145</v>
      </c>
      <c r="F80" s="12" t="s">
        <v>78</v>
      </c>
      <c r="G80" s="12">
        <v>2</v>
      </c>
      <c r="H80" s="12">
        <v>2.368533159507308</v>
      </c>
      <c r="I80" s="12">
        <v>0</v>
      </c>
      <c r="J80" s="12">
        <v>4.335839441147801</v>
      </c>
      <c r="K80" s="12">
        <v>8.1861094427974148</v>
      </c>
      <c r="L80" s="12">
        <v>0</v>
      </c>
      <c r="M80" s="12">
        <v>2.701379974009424</v>
      </c>
      <c r="N80" s="12">
        <v>0</v>
      </c>
      <c r="O80" s="12">
        <v>4.4399802115114397</v>
      </c>
      <c r="P80" s="12">
        <v>0</v>
      </c>
      <c r="Q80" s="12">
        <v>4.4064453511466279</v>
      </c>
      <c r="R80" s="12">
        <v>70.993391336085836</v>
      </c>
      <c r="S80" s="12">
        <v>0</v>
      </c>
      <c r="T80" s="12">
        <v>0</v>
      </c>
      <c r="U80" s="12">
        <v>4.1162493904226602</v>
      </c>
      <c r="V80" s="12">
        <v>4.3145772864384977</v>
      </c>
      <c r="W80" s="12">
        <v>0</v>
      </c>
      <c r="X80" s="12">
        <v>3.034722492866277</v>
      </c>
      <c r="Y80" s="12">
        <v>0</v>
      </c>
      <c r="Z80" s="12">
        <v>0</v>
      </c>
      <c r="AA80" s="12">
        <v>0</v>
      </c>
      <c r="AB80" s="12">
        <v>2.800848871067906</v>
      </c>
      <c r="AC80" s="12">
        <v>6.1084049607523463</v>
      </c>
      <c r="AD80" s="12">
        <v>8.0970332927611093</v>
      </c>
      <c r="AE80" s="12">
        <v>0</v>
      </c>
      <c r="AF80" s="12">
        <v>5.1988179480670373</v>
      </c>
      <c r="AG80" s="12">
        <v>2958.667927677328</v>
      </c>
      <c r="AH80" s="12">
        <v>6860.0097827503678</v>
      </c>
      <c r="AI80" s="12">
        <v>6869.9859576057324</v>
      </c>
      <c r="AJ80" s="12">
        <v>8934.6735630629664</v>
      </c>
      <c r="AK80" s="12">
        <v>8945.4783093824644</v>
      </c>
      <c r="AL80" s="12">
        <v>10330.42378847697</v>
      </c>
      <c r="AM80" s="12">
        <v>9663.9670644189064</v>
      </c>
      <c r="AN80" s="12">
        <v>11205.062163607059</v>
      </c>
      <c r="AO80" s="12">
        <v>11152.713302903991</v>
      </c>
      <c r="AP80" s="12">
        <v>11327.4610845516</v>
      </c>
      <c r="AQ80" s="12">
        <v>11681.464185674589</v>
      </c>
      <c r="AR80" s="12">
        <v>14148.500496281369</v>
      </c>
      <c r="AS80" s="12">
        <v>13536.745918572589</v>
      </c>
      <c r="AT80" s="12">
        <v>16606.976232388261</v>
      </c>
      <c r="AU80" s="12">
        <v>15771.066995617781</v>
      </c>
      <c r="AV80" s="12">
        <v>18767.573835623749</v>
      </c>
      <c r="AW80" s="12">
        <v>18188.420015705029</v>
      </c>
      <c r="AX80" s="12">
        <v>21503.2115201534</v>
      </c>
      <c r="AY80" s="12">
        <v>23875.77290230885</v>
      </c>
      <c r="AZ80" s="12">
        <v>61829.851556210437</v>
      </c>
      <c r="BA80" s="12">
        <v>6695.4031197512631</v>
      </c>
      <c r="BB80" s="12">
        <v>5491999.3614660623</v>
      </c>
      <c r="BC80" s="12">
        <v>0</v>
      </c>
      <c r="BD80" s="12">
        <v>0</v>
      </c>
      <c r="BE80" s="12">
        <v>108.3132818447453</v>
      </c>
      <c r="BF80" s="12">
        <v>36.458002718817298</v>
      </c>
      <c r="BG80" s="12">
        <v>33.260018949847279</v>
      </c>
      <c r="BH80" s="12">
        <v>94.096540348229965</v>
      </c>
      <c r="BI80" s="12">
        <v>113.70213251756731</v>
      </c>
      <c r="BJ80" s="12">
        <v>70.938556383593905</v>
      </c>
      <c r="BK80" s="12">
        <v>0</v>
      </c>
      <c r="BL80" s="12">
        <v>9.4019250843918405E-4</v>
      </c>
      <c r="BM80" s="12">
        <v>5.9800508220512878</v>
      </c>
      <c r="BN80" s="12">
        <v>0</v>
      </c>
      <c r="BO80" s="12">
        <v>0</v>
      </c>
      <c r="BP80" s="12">
        <v>0</v>
      </c>
      <c r="BQ80" s="12" t="s">
        <v>775</v>
      </c>
    </row>
    <row r="81" spans="1:69" x14ac:dyDescent="0.25">
      <c r="A81" s="12" t="s">
        <v>776</v>
      </c>
      <c r="B81" s="12" t="s">
        <v>29</v>
      </c>
      <c r="C81" s="12">
        <v>2017</v>
      </c>
      <c r="D81" s="12" t="s">
        <v>385</v>
      </c>
      <c r="E81" s="12" t="s">
        <v>145</v>
      </c>
      <c r="F81" s="12" t="s">
        <v>78</v>
      </c>
      <c r="G81" s="12">
        <v>3</v>
      </c>
      <c r="H81" s="12">
        <v>2.1030146753770431</v>
      </c>
      <c r="I81" s="12">
        <v>0</v>
      </c>
      <c r="J81" s="12">
        <v>4.3917776881046926</v>
      </c>
      <c r="K81" s="12">
        <v>8.8698982781921547</v>
      </c>
      <c r="L81" s="12">
        <v>0</v>
      </c>
      <c r="M81" s="12">
        <v>2.6115784910494981</v>
      </c>
      <c r="N81" s="12">
        <v>0</v>
      </c>
      <c r="O81" s="12">
        <v>5.0151768748039167</v>
      </c>
      <c r="P81" s="12">
        <v>0</v>
      </c>
      <c r="Q81" s="12">
        <v>4.2867269573619762</v>
      </c>
      <c r="R81" s="12">
        <v>70.613799297531216</v>
      </c>
      <c r="S81" s="12">
        <v>0</v>
      </c>
      <c r="T81" s="12">
        <v>0</v>
      </c>
      <c r="U81" s="12">
        <v>3.8905036874980921</v>
      </c>
      <c r="V81" s="12">
        <v>4.3046685402041422</v>
      </c>
      <c r="W81" s="12">
        <v>0</v>
      </c>
      <c r="X81" s="12">
        <v>2.8380796793248431</v>
      </c>
      <c r="Y81" s="12">
        <v>0</v>
      </c>
      <c r="Z81" s="12">
        <v>0</v>
      </c>
      <c r="AA81" s="12">
        <v>0</v>
      </c>
      <c r="AB81" s="12">
        <v>2.9079442085997602</v>
      </c>
      <c r="AC81" s="12">
        <v>6.6322865053739877</v>
      </c>
      <c r="AD81" s="12">
        <v>7.6086260672280446</v>
      </c>
      <c r="AE81" s="12">
        <v>0</v>
      </c>
      <c r="AF81" s="12">
        <v>4.4818677949264529</v>
      </c>
      <c r="AG81" s="12">
        <v>3412.8899636889341</v>
      </c>
      <c r="AH81" s="12">
        <v>7108.6732849968848</v>
      </c>
      <c r="AI81" s="12">
        <v>6717.2575503414701</v>
      </c>
      <c r="AJ81" s="12">
        <v>8701.9696843512229</v>
      </c>
      <c r="AK81" s="12">
        <v>8332.5664707695651</v>
      </c>
      <c r="AL81" s="12">
        <v>9692.1695717544408</v>
      </c>
      <c r="AM81" s="12">
        <v>10085.559860677769</v>
      </c>
      <c r="AN81" s="12">
        <v>10918.580386765079</v>
      </c>
      <c r="AO81" s="12">
        <v>11365.887333191829</v>
      </c>
      <c r="AP81" s="12">
        <v>12133.289784758699</v>
      </c>
      <c r="AQ81" s="12">
        <v>11938.156464414271</v>
      </c>
      <c r="AR81" s="12">
        <v>13284.328004765621</v>
      </c>
      <c r="AS81" s="12">
        <v>14130.084191448261</v>
      </c>
      <c r="AT81" s="12">
        <v>15506.13453556031</v>
      </c>
      <c r="AU81" s="12">
        <v>15169.62813872516</v>
      </c>
      <c r="AV81" s="12">
        <v>19812.230107177529</v>
      </c>
      <c r="AW81" s="12">
        <v>17932.989524287808</v>
      </c>
      <c r="AX81" s="12">
        <v>24907.082575222201</v>
      </c>
      <c r="AY81" s="12">
        <v>23792.021646592551</v>
      </c>
      <c r="AZ81" s="12">
        <v>62375.04377009235</v>
      </c>
      <c r="BA81" s="12">
        <v>7855.0133629651473</v>
      </c>
      <c r="BB81" s="12">
        <v>5285317.2568925256</v>
      </c>
      <c r="BC81" s="12">
        <v>0</v>
      </c>
      <c r="BD81" s="12">
        <v>0</v>
      </c>
      <c r="BE81" s="12">
        <v>105.7045189936251</v>
      </c>
      <c r="BF81" s="12">
        <v>43.476236649707559</v>
      </c>
      <c r="BG81" s="12">
        <v>46.807365294181743</v>
      </c>
      <c r="BH81" s="12">
        <v>91.134738641997927</v>
      </c>
      <c r="BI81" s="12">
        <v>104.79791956324939</v>
      </c>
      <c r="BJ81" s="12">
        <v>80.962761000271357</v>
      </c>
      <c r="BK81" s="12">
        <v>0</v>
      </c>
      <c r="BL81" s="12">
        <v>0</v>
      </c>
      <c r="BM81" s="12">
        <v>5.7323354861330458</v>
      </c>
      <c r="BN81" s="12">
        <v>0</v>
      </c>
      <c r="BO81" s="12">
        <v>0</v>
      </c>
      <c r="BP81" s="12">
        <v>0</v>
      </c>
      <c r="BQ81" s="12" t="s">
        <v>777</v>
      </c>
    </row>
    <row r="82" spans="1:69" x14ac:dyDescent="0.25">
      <c r="A82" s="12" t="s">
        <v>778</v>
      </c>
      <c r="B82" s="12" t="s">
        <v>29</v>
      </c>
      <c r="C82" s="12">
        <v>2017</v>
      </c>
      <c r="D82" s="12" t="s">
        <v>385</v>
      </c>
      <c r="E82" s="12" t="s">
        <v>145</v>
      </c>
      <c r="F82" s="12" t="s">
        <v>78</v>
      </c>
      <c r="G82" s="12">
        <v>4</v>
      </c>
      <c r="H82" s="12">
        <v>2.3457033818832498</v>
      </c>
      <c r="I82" s="12">
        <v>0</v>
      </c>
      <c r="J82" s="12">
        <v>4.307629497976035</v>
      </c>
      <c r="K82" s="12">
        <v>8.6344626670675453</v>
      </c>
      <c r="L82" s="12">
        <v>0</v>
      </c>
      <c r="M82" s="12">
        <v>2.9484269634431892</v>
      </c>
      <c r="N82" s="12">
        <v>0</v>
      </c>
      <c r="O82" s="12">
        <v>5.8447657588901203</v>
      </c>
      <c r="P82" s="12">
        <v>0</v>
      </c>
      <c r="Q82" s="12">
        <v>4.1441257041331028</v>
      </c>
      <c r="R82" s="12">
        <v>63.356357278738187</v>
      </c>
      <c r="S82" s="12">
        <v>0</v>
      </c>
      <c r="T82" s="12">
        <v>0</v>
      </c>
      <c r="U82" s="12">
        <v>4.8311810583425716</v>
      </c>
      <c r="V82" s="12">
        <v>4.0139808885920862</v>
      </c>
      <c r="W82" s="12">
        <v>0</v>
      </c>
      <c r="X82" s="12">
        <v>2.797124212580957</v>
      </c>
      <c r="Y82" s="12">
        <v>0</v>
      </c>
      <c r="Z82" s="12">
        <v>0</v>
      </c>
      <c r="AA82" s="12">
        <v>0</v>
      </c>
      <c r="AB82" s="12">
        <v>2.7691897180573499</v>
      </c>
      <c r="AC82" s="12">
        <v>6.8911470702834361</v>
      </c>
      <c r="AD82" s="12">
        <v>8.1789227381708667</v>
      </c>
      <c r="AE82" s="12">
        <v>0</v>
      </c>
      <c r="AF82" s="12">
        <v>4.7689688530468342</v>
      </c>
      <c r="AG82" s="12">
        <v>3177.4462822603991</v>
      </c>
      <c r="AH82" s="12">
        <v>7439.9460366443027</v>
      </c>
      <c r="AI82" s="12">
        <v>6814.2610352654792</v>
      </c>
      <c r="AJ82" s="12">
        <v>8270.0243150408824</v>
      </c>
      <c r="AK82" s="12">
        <v>8618.9769863821493</v>
      </c>
      <c r="AL82" s="12">
        <v>9460.9497232707981</v>
      </c>
      <c r="AM82" s="12">
        <v>10378.30984438568</v>
      </c>
      <c r="AN82" s="12">
        <v>11688.72803622123</v>
      </c>
      <c r="AO82" s="12">
        <v>11606.4830057704</v>
      </c>
      <c r="AP82" s="12">
        <v>12886.858819251371</v>
      </c>
      <c r="AQ82" s="12">
        <v>11970.17005442725</v>
      </c>
      <c r="AR82" s="12">
        <v>14790.44445561212</v>
      </c>
      <c r="AS82" s="12">
        <v>14491.14213217121</v>
      </c>
      <c r="AT82" s="12">
        <v>15288.54850837501</v>
      </c>
      <c r="AU82" s="12">
        <v>16052.042695181681</v>
      </c>
      <c r="AV82" s="12">
        <v>18558.223954698129</v>
      </c>
      <c r="AW82" s="12">
        <v>18583.439378277209</v>
      </c>
      <c r="AX82" s="12">
        <v>23348.446049787632</v>
      </c>
      <c r="AY82" s="12">
        <v>22750.24110670462</v>
      </c>
      <c r="AZ82" s="12">
        <v>65291.588319318587</v>
      </c>
      <c r="BA82" s="12">
        <v>8521.0083254268357</v>
      </c>
      <c r="BB82" s="12">
        <v>5365263.7439335091</v>
      </c>
      <c r="BC82" s="12">
        <v>0</v>
      </c>
      <c r="BD82" s="12">
        <v>0</v>
      </c>
      <c r="BE82" s="12">
        <v>102.10307400220699</v>
      </c>
      <c r="BF82" s="12">
        <v>49.758183852002418</v>
      </c>
      <c r="BG82" s="12">
        <v>47.490265522504998</v>
      </c>
      <c r="BH82" s="12">
        <v>94.17453337608174</v>
      </c>
      <c r="BI82" s="12">
        <v>102.1205751856056</v>
      </c>
      <c r="BJ82" s="12">
        <v>77.153541377707199</v>
      </c>
      <c r="BK82" s="12">
        <v>0</v>
      </c>
      <c r="BL82" s="12">
        <v>0</v>
      </c>
      <c r="BM82" s="12">
        <v>5.4480702125399283</v>
      </c>
      <c r="BN82" s="12">
        <v>0</v>
      </c>
      <c r="BO82" s="12">
        <v>0</v>
      </c>
      <c r="BP82" s="12">
        <v>0</v>
      </c>
      <c r="BQ82" s="12" t="s">
        <v>779</v>
      </c>
    </row>
    <row r="83" spans="1:69" x14ac:dyDescent="0.25">
      <c r="A83" s="12" t="s">
        <v>780</v>
      </c>
      <c r="B83" s="12" t="s">
        <v>29</v>
      </c>
      <c r="C83" s="12">
        <v>2017</v>
      </c>
      <c r="D83" s="12" t="s">
        <v>385</v>
      </c>
      <c r="E83" s="12" t="s">
        <v>145</v>
      </c>
      <c r="F83" s="12" t="s">
        <v>78</v>
      </c>
      <c r="G83" s="12">
        <v>5</v>
      </c>
      <c r="H83" s="12">
        <v>2.0996042953222989</v>
      </c>
      <c r="I83" s="12">
        <v>0</v>
      </c>
      <c r="J83" s="12">
        <v>3.9279784329146019</v>
      </c>
      <c r="K83" s="12">
        <v>8.4149882963130516</v>
      </c>
      <c r="L83" s="12">
        <v>0</v>
      </c>
      <c r="M83" s="12">
        <v>2.9851157238882959</v>
      </c>
      <c r="N83" s="12">
        <v>0</v>
      </c>
      <c r="O83" s="12">
        <v>5.4598184904547056</v>
      </c>
      <c r="P83" s="12">
        <v>0</v>
      </c>
      <c r="Q83" s="12">
        <v>3.835487874468746</v>
      </c>
      <c r="R83" s="12">
        <v>62.268386600916877</v>
      </c>
      <c r="S83" s="12">
        <v>0</v>
      </c>
      <c r="T83" s="12">
        <v>0</v>
      </c>
      <c r="U83" s="12">
        <v>5.2637746008604562</v>
      </c>
      <c r="V83" s="12">
        <v>3.7755127739651209</v>
      </c>
      <c r="W83" s="12">
        <v>0</v>
      </c>
      <c r="X83" s="12">
        <v>2.6044678602638198</v>
      </c>
      <c r="Y83" s="12">
        <v>0</v>
      </c>
      <c r="Z83" s="12">
        <v>0</v>
      </c>
      <c r="AA83" s="12">
        <v>0</v>
      </c>
      <c r="AB83" s="12">
        <v>2.697311010939806</v>
      </c>
      <c r="AC83" s="12">
        <v>8.0415700911220895</v>
      </c>
      <c r="AD83" s="12">
        <v>7.2931380101945988</v>
      </c>
      <c r="AE83" s="12">
        <v>0</v>
      </c>
      <c r="AF83" s="12">
        <v>5.2809528207876006</v>
      </c>
      <c r="AG83" s="12">
        <v>3412.8235942279748</v>
      </c>
      <c r="AH83" s="12">
        <v>7304.3278919760851</v>
      </c>
      <c r="AI83" s="12">
        <v>7535.5125921394156</v>
      </c>
      <c r="AJ83" s="12">
        <v>8924.3686213890051</v>
      </c>
      <c r="AK83" s="12">
        <v>8404.1109482419997</v>
      </c>
      <c r="AL83" s="12">
        <v>10047.98390028018</v>
      </c>
      <c r="AM83" s="12">
        <v>10443.90374362611</v>
      </c>
      <c r="AN83" s="12">
        <v>10795.234544708121</v>
      </c>
      <c r="AO83" s="12">
        <v>11359.782859429441</v>
      </c>
      <c r="AP83" s="12">
        <v>12164.06005818775</v>
      </c>
      <c r="AQ83" s="12">
        <v>11468.46968050653</v>
      </c>
      <c r="AR83" s="12">
        <v>14510.9518815642</v>
      </c>
      <c r="AS83" s="12">
        <v>13465.357789174521</v>
      </c>
      <c r="AT83" s="12">
        <v>16720.686368398969</v>
      </c>
      <c r="AU83" s="12">
        <v>16968.4513809727</v>
      </c>
      <c r="AV83" s="12">
        <v>19392.480708572089</v>
      </c>
      <c r="AW83" s="12">
        <v>19277.466183430141</v>
      </c>
      <c r="AX83" s="12">
        <v>22536.38807844443</v>
      </c>
      <c r="AY83" s="12">
        <v>24948.48137623509</v>
      </c>
      <c r="AZ83" s="12">
        <v>61896.323743245273</v>
      </c>
      <c r="BA83" s="12">
        <v>9378.6850246421945</v>
      </c>
      <c r="BB83" s="12">
        <v>6018420.2245183783</v>
      </c>
      <c r="BC83" s="12">
        <v>0</v>
      </c>
      <c r="BD83" s="12">
        <v>0</v>
      </c>
      <c r="BE83" s="12">
        <v>110.9218731183585</v>
      </c>
      <c r="BF83" s="12">
        <v>54.80623842615195</v>
      </c>
      <c r="BG83" s="12">
        <v>45.776234189221647</v>
      </c>
      <c r="BH83" s="12">
        <v>108.3290846887481</v>
      </c>
      <c r="BI83" s="12">
        <v>110.0336357442016</v>
      </c>
      <c r="BJ83" s="12">
        <v>80.664190397540963</v>
      </c>
      <c r="BK83" s="12">
        <v>0</v>
      </c>
      <c r="BL83" s="12">
        <v>0</v>
      </c>
      <c r="BM83" s="12">
        <v>1.461974953859801</v>
      </c>
      <c r="BN83" s="12">
        <v>0</v>
      </c>
      <c r="BO83" s="12">
        <v>0</v>
      </c>
      <c r="BP83" s="12">
        <v>0</v>
      </c>
      <c r="BQ83" s="12" t="s">
        <v>781</v>
      </c>
    </row>
    <row r="84" spans="1:69" x14ac:dyDescent="0.25">
      <c r="A84" s="12" t="s">
        <v>782</v>
      </c>
      <c r="B84" s="12" t="s">
        <v>29</v>
      </c>
      <c r="C84" s="12">
        <v>2017</v>
      </c>
      <c r="D84" s="12" t="s">
        <v>385</v>
      </c>
      <c r="E84" s="12" t="s">
        <v>145</v>
      </c>
      <c r="F84" s="12" t="s">
        <v>78</v>
      </c>
      <c r="G84" s="12">
        <v>6</v>
      </c>
      <c r="H84" s="12">
        <v>2.1509314527816601</v>
      </c>
      <c r="I84" s="12">
        <v>0</v>
      </c>
      <c r="J84" s="12">
        <v>4.2038555542850444</v>
      </c>
      <c r="K84" s="12">
        <v>9.3334072213967776</v>
      </c>
      <c r="L84" s="12">
        <v>0</v>
      </c>
      <c r="M84" s="12">
        <v>2.941375373778401</v>
      </c>
      <c r="N84" s="12">
        <v>0</v>
      </c>
      <c r="O84" s="12">
        <v>5.8946110356792296</v>
      </c>
      <c r="P84" s="12">
        <v>0</v>
      </c>
      <c r="Q84" s="12">
        <v>4.1461150131247999</v>
      </c>
      <c r="R84" s="12">
        <v>66.011890911299687</v>
      </c>
      <c r="S84" s="12">
        <v>0</v>
      </c>
      <c r="T84" s="12">
        <v>0</v>
      </c>
      <c r="U84" s="12">
        <v>5.4523936367981154</v>
      </c>
      <c r="V84" s="12">
        <v>4.5281907334846458</v>
      </c>
      <c r="W84" s="12">
        <v>0</v>
      </c>
      <c r="X84" s="12">
        <v>2.4504841018946499</v>
      </c>
      <c r="Y84" s="12">
        <v>0</v>
      </c>
      <c r="Z84" s="12">
        <v>0</v>
      </c>
      <c r="AA84" s="12">
        <v>0</v>
      </c>
      <c r="AB84" s="12">
        <v>2.7342977130030861</v>
      </c>
      <c r="AC84" s="12">
        <v>8.4501609133717608</v>
      </c>
      <c r="AD84" s="12">
        <v>7.1838089759031867</v>
      </c>
      <c r="AE84" s="12">
        <v>0</v>
      </c>
      <c r="AF84" s="12">
        <v>5.3194718003951849</v>
      </c>
      <c r="AG84" s="12">
        <v>3057.698764056423</v>
      </c>
      <c r="AH84" s="12">
        <v>7180.544205306187</v>
      </c>
      <c r="AI84" s="12">
        <v>7470.4835103159412</v>
      </c>
      <c r="AJ84" s="12">
        <v>9207.4804687045344</v>
      </c>
      <c r="AK84" s="12">
        <v>8579.6861703418708</v>
      </c>
      <c r="AL84" s="12">
        <v>9148.1133553403106</v>
      </c>
      <c r="AM84" s="12">
        <v>10230.09003120029</v>
      </c>
      <c r="AN84" s="12">
        <v>10633.358090166101</v>
      </c>
      <c r="AO84" s="12">
        <v>11712.194233002119</v>
      </c>
      <c r="AP84" s="12">
        <v>11415.838416800139</v>
      </c>
      <c r="AQ84" s="12">
        <v>11797.451640218789</v>
      </c>
      <c r="AR84" s="12">
        <v>14054.922496770299</v>
      </c>
      <c r="AS84" s="12">
        <v>13800.47716661925</v>
      </c>
      <c r="AT84" s="12">
        <v>15030.937825590219</v>
      </c>
      <c r="AU84" s="12">
        <v>16239.843590596611</v>
      </c>
      <c r="AV84" s="12">
        <v>17097.329341240398</v>
      </c>
      <c r="AW84" s="12">
        <v>18413.730652986778</v>
      </c>
      <c r="AX84" s="12">
        <v>24068.393667227028</v>
      </c>
      <c r="AY84" s="12">
        <v>23304.906310554808</v>
      </c>
      <c r="AZ84" s="12">
        <v>61321.389046094198</v>
      </c>
      <c r="BA84" s="12">
        <v>10606.78477603341</v>
      </c>
      <c r="BB84" s="12">
        <v>6086259.3216088181</v>
      </c>
      <c r="BC84" s="12">
        <v>0</v>
      </c>
      <c r="BD84" s="12">
        <v>0</v>
      </c>
      <c r="BE84" s="12">
        <v>99.905103913043021</v>
      </c>
      <c r="BF84" s="12">
        <v>69.850031059425007</v>
      </c>
      <c r="BG84" s="12">
        <v>57.172541498639177</v>
      </c>
      <c r="BH84" s="12">
        <v>91.532683844315756</v>
      </c>
      <c r="BI84" s="12">
        <v>103.5380076672368</v>
      </c>
      <c r="BJ84" s="12">
        <v>82.353864702273697</v>
      </c>
      <c r="BK84" s="12">
        <v>0</v>
      </c>
      <c r="BL84" s="12">
        <v>0</v>
      </c>
      <c r="BM84" s="12">
        <v>0.16796539642736771</v>
      </c>
      <c r="BN84" s="12">
        <v>0</v>
      </c>
      <c r="BO84" s="12">
        <v>0</v>
      </c>
      <c r="BP84" s="12">
        <v>0</v>
      </c>
      <c r="BQ84" s="12" t="s">
        <v>783</v>
      </c>
    </row>
    <row r="85" spans="1:69" x14ac:dyDescent="0.25">
      <c r="A85" s="12" t="s">
        <v>784</v>
      </c>
      <c r="B85" s="12" t="s">
        <v>29</v>
      </c>
      <c r="C85" s="12">
        <v>2017</v>
      </c>
      <c r="D85" s="12" t="s">
        <v>385</v>
      </c>
      <c r="E85" s="12" t="s">
        <v>145</v>
      </c>
      <c r="F85" s="12" t="s">
        <v>78</v>
      </c>
      <c r="G85" s="12">
        <v>7</v>
      </c>
      <c r="H85" s="12">
        <v>2.3373731551867079</v>
      </c>
      <c r="I85" s="12">
        <v>0</v>
      </c>
      <c r="J85" s="12">
        <v>4.3681468790654732</v>
      </c>
      <c r="K85" s="12">
        <v>9.1888693307840281</v>
      </c>
      <c r="L85" s="12">
        <v>0</v>
      </c>
      <c r="M85" s="12">
        <v>3.219909959836345</v>
      </c>
      <c r="N85" s="12">
        <v>0</v>
      </c>
      <c r="O85" s="12">
        <v>5.6816762195600976</v>
      </c>
      <c r="P85" s="12">
        <v>0</v>
      </c>
      <c r="Q85" s="12">
        <v>4.1192123186944674</v>
      </c>
      <c r="R85" s="12">
        <v>68.951415445967072</v>
      </c>
      <c r="S85" s="12">
        <v>0</v>
      </c>
      <c r="T85" s="12">
        <v>0</v>
      </c>
      <c r="U85" s="12">
        <v>6.1895836596057228</v>
      </c>
      <c r="V85" s="12">
        <v>4.4342573446382527</v>
      </c>
      <c r="W85" s="12">
        <v>0</v>
      </c>
      <c r="X85" s="12">
        <v>2.5682440922339298</v>
      </c>
      <c r="Y85" s="12">
        <v>0</v>
      </c>
      <c r="Z85" s="12">
        <v>0</v>
      </c>
      <c r="AA85" s="12">
        <v>0</v>
      </c>
      <c r="AB85" s="12">
        <v>2.5995326656268838</v>
      </c>
      <c r="AC85" s="12">
        <v>9.3422823143535165</v>
      </c>
      <c r="AD85" s="12">
        <v>7.0133447776996478</v>
      </c>
      <c r="AE85" s="12">
        <v>0</v>
      </c>
      <c r="AF85" s="12">
        <v>5.2510061167659057</v>
      </c>
      <c r="AG85" s="12">
        <v>3228.1826613065768</v>
      </c>
      <c r="AH85" s="12">
        <v>7100.5147310043521</v>
      </c>
      <c r="AI85" s="12">
        <v>6801.8731160556526</v>
      </c>
      <c r="AJ85" s="12">
        <v>8032.2132207628483</v>
      </c>
      <c r="AK85" s="12">
        <v>8259.1295840276853</v>
      </c>
      <c r="AL85" s="12">
        <v>9465.8892619400776</v>
      </c>
      <c r="AM85" s="12">
        <v>10253.799612660459</v>
      </c>
      <c r="AN85" s="12">
        <v>10572.783674108519</v>
      </c>
      <c r="AO85" s="12">
        <v>10584.82563090787</v>
      </c>
      <c r="AP85" s="12">
        <v>12120.308974202961</v>
      </c>
      <c r="AQ85" s="12">
        <v>12625.472636193639</v>
      </c>
      <c r="AR85" s="12">
        <v>13510.76439390369</v>
      </c>
      <c r="AS85" s="12">
        <v>13198.849990805629</v>
      </c>
      <c r="AT85" s="12">
        <v>16222.397850504891</v>
      </c>
      <c r="AU85" s="12">
        <v>16536.431181760519</v>
      </c>
      <c r="AV85" s="12">
        <v>17269.23245046609</v>
      </c>
      <c r="AW85" s="12">
        <v>18386.360612921631</v>
      </c>
      <c r="AX85" s="12">
        <v>24735.811466931569</v>
      </c>
      <c r="AY85" s="12">
        <v>24612.717024558169</v>
      </c>
      <c r="AZ85" s="12">
        <v>66842.270368585509</v>
      </c>
      <c r="BA85" s="12">
        <v>12103.45447715973</v>
      </c>
      <c r="BB85" s="12">
        <v>5704103.3817192437</v>
      </c>
      <c r="BC85" s="12">
        <v>0</v>
      </c>
      <c r="BD85" s="12">
        <v>0</v>
      </c>
      <c r="BE85" s="12">
        <v>111.57587844929679</v>
      </c>
      <c r="BF85" s="12">
        <v>70.968840955549098</v>
      </c>
      <c r="BG85" s="12">
        <v>63.47580392909844</v>
      </c>
      <c r="BH85" s="12">
        <v>96.918146455533204</v>
      </c>
      <c r="BI85" s="12">
        <v>109.37973274688341</v>
      </c>
      <c r="BJ85" s="12">
        <v>86.616382478608543</v>
      </c>
      <c r="BK85" s="12">
        <v>0</v>
      </c>
      <c r="BL85" s="12">
        <v>0</v>
      </c>
      <c r="BM85" s="12">
        <v>1.998852639022991E-2</v>
      </c>
      <c r="BN85" s="12">
        <v>0</v>
      </c>
      <c r="BO85" s="12">
        <v>0</v>
      </c>
      <c r="BP85" s="12">
        <v>0</v>
      </c>
      <c r="BQ85" s="12" t="s">
        <v>785</v>
      </c>
    </row>
    <row r="86" spans="1:69" x14ac:dyDescent="0.25">
      <c r="A86" s="12" t="s">
        <v>786</v>
      </c>
      <c r="B86" s="12" t="s">
        <v>29</v>
      </c>
      <c r="C86" s="12">
        <v>2017</v>
      </c>
      <c r="D86" s="12" t="s">
        <v>385</v>
      </c>
      <c r="E86" s="12" t="s">
        <v>145</v>
      </c>
      <c r="F86" s="12" t="s">
        <v>78</v>
      </c>
      <c r="G86" s="12">
        <v>8</v>
      </c>
      <c r="H86" s="12">
        <v>2.1615900778364439</v>
      </c>
      <c r="I86" s="12">
        <v>0</v>
      </c>
      <c r="J86" s="12">
        <v>4.1783433963035499</v>
      </c>
      <c r="K86" s="12">
        <v>7.9617455518745412</v>
      </c>
      <c r="L86" s="12">
        <v>0</v>
      </c>
      <c r="M86" s="12">
        <v>3.4543822303456109</v>
      </c>
      <c r="N86" s="12">
        <v>0</v>
      </c>
      <c r="O86" s="12">
        <v>4.4222955822640522</v>
      </c>
      <c r="P86" s="12">
        <v>0</v>
      </c>
      <c r="Q86" s="12">
        <v>4.0642753885033036</v>
      </c>
      <c r="R86" s="12">
        <v>61.513643710267267</v>
      </c>
      <c r="S86" s="12">
        <v>0</v>
      </c>
      <c r="T86" s="12">
        <v>0</v>
      </c>
      <c r="U86" s="12">
        <v>6.4124723036545088</v>
      </c>
      <c r="V86" s="12">
        <v>4.1394800784515908</v>
      </c>
      <c r="W86" s="12">
        <v>0</v>
      </c>
      <c r="X86" s="12">
        <v>2.838328283741534</v>
      </c>
      <c r="Y86" s="12">
        <v>0</v>
      </c>
      <c r="Z86" s="12">
        <v>0</v>
      </c>
      <c r="AA86" s="12">
        <v>0</v>
      </c>
      <c r="AB86" s="12">
        <v>2.406892933245524</v>
      </c>
      <c r="AC86" s="12">
        <v>9.3236298683946472</v>
      </c>
      <c r="AD86" s="12">
        <v>7.3695923032080319</v>
      </c>
      <c r="AE86" s="12">
        <v>0</v>
      </c>
      <c r="AF86" s="12">
        <v>5.9160499473738763</v>
      </c>
      <c r="AG86" s="12">
        <v>3159.8718907569742</v>
      </c>
      <c r="AH86" s="12">
        <v>6981.6669308321461</v>
      </c>
      <c r="AI86" s="12">
        <v>7090.4262964149329</v>
      </c>
      <c r="AJ86" s="12">
        <v>8657.4449301523691</v>
      </c>
      <c r="AK86" s="12">
        <v>8628.364210611051</v>
      </c>
      <c r="AL86" s="12">
        <v>9163.4248015726207</v>
      </c>
      <c r="AM86" s="12">
        <v>9413.0826289669312</v>
      </c>
      <c r="AN86" s="12">
        <v>10440.73471084942</v>
      </c>
      <c r="AO86" s="12">
        <v>10591.89227975312</v>
      </c>
      <c r="AP86" s="12">
        <v>12570.250631389919</v>
      </c>
      <c r="AQ86" s="12">
        <v>12121.20774503042</v>
      </c>
      <c r="AR86" s="12">
        <v>14450.90278206408</v>
      </c>
      <c r="AS86" s="12">
        <v>13038.702684925371</v>
      </c>
      <c r="AT86" s="12">
        <v>15973.218799220151</v>
      </c>
      <c r="AU86" s="12">
        <v>15975.57654547854</v>
      </c>
      <c r="AV86" s="12">
        <v>19636.211703592449</v>
      </c>
      <c r="AW86" s="12">
        <v>18012.617120563409</v>
      </c>
      <c r="AX86" s="12">
        <v>25006.86227583166</v>
      </c>
      <c r="AY86" s="12">
        <v>24570.136303163748</v>
      </c>
      <c r="AZ86" s="12">
        <v>66685.812912602109</v>
      </c>
      <c r="BA86" s="12">
        <v>14173.833336140809</v>
      </c>
      <c r="BB86" s="12">
        <v>5542335.1019629641</v>
      </c>
      <c r="BC86" s="12">
        <v>0</v>
      </c>
      <c r="BD86" s="12">
        <v>0</v>
      </c>
      <c r="BE86" s="12">
        <v>112.19883976899369</v>
      </c>
      <c r="BF86" s="12">
        <v>67.243216991415125</v>
      </c>
      <c r="BG86" s="12">
        <v>67.155458147972041</v>
      </c>
      <c r="BH86" s="12">
        <v>98.397402080318926</v>
      </c>
      <c r="BI86" s="12">
        <v>109.84415984240469</v>
      </c>
      <c r="BJ86" s="12">
        <v>92.83357331170356</v>
      </c>
      <c r="BK86" s="12">
        <v>0</v>
      </c>
      <c r="BL86" s="12">
        <v>0</v>
      </c>
      <c r="BM86" s="12">
        <v>0</v>
      </c>
      <c r="BN86" s="12">
        <v>0</v>
      </c>
      <c r="BO86" s="12">
        <v>0</v>
      </c>
      <c r="BP86" s="12">
        <v>0</v>
      </c>
      <c r="BQ86" s="12" t="s">
        <v>787</v>
      </c>
    </row>
    <row r="87" spans="1:69" x14ac:dyDescent="0.25">
      <c r="A87" s="12" t="s">
        <v>788</v>
      </c>
      <c r="B87" s="12" t="s">
        <v>29</v>
      </c>
      <c r="C87" s="12">
        <v>2017</v>
      </c>
      <c r="D87" s="12" t="s">
        <v>385</v>
      </c>
      <c r="E87" s="12" t="s">
        <v>145</v>
      </c>
      <c r="F87" s="12" t="s">
        <v>78</v>
      </c>
      <c r="G87" s="12">
        <v>9</v>
      </c>
      <c r="H87" s="12">
        <v>2.0488739354035079</v>
      </c>
      <c r="I87" s="12">
        <v>0</v>
      </c>
      <c r="J87" s="12">
        <v>4.1718027243377724</v>
      </c>
      <c r="K87" s="12">
        <v>7.6027102015316466</v>
      </c>
      <c r="L87" s="12">
        <v>0</v>
      </c>
      <c r="M87" s="12">
        <v>3.0073050684029501</v>
      </c>
      <c r="N87" s="12">
        <v>0</v>
      </c>
      <c r="O87" s="12">
        <v>2.8417407510814372</v>
      </c>
      <c r="P87" s="12">
        <v>0</v>
      </c>
      <c r="Q87" s="12">
        <v>4.4422315038136508</v>
      </c>
      <c r="R87" s="12">
        <v>62.862102466795278</v>
      </c>
      <c r="S87" s="12">
        <v>0</v>
      </c>
      <c r="T87" s="12">
        <v>0</v>
      </c>
      <c r="U87" s="12">
        <v>6.7869219977883892</v>
      </c>
      <c r="V87" s="12">
        <v>4.4767332788704826</v>
      </c>
      <c r="W87" s="12">
        <v>0</v>
      </c>
      <c r="X87" s="12">
        <v>2.54142812905808</v>
      </c>
      <c r="Y87" s="12">
        <v>0</v>
      </c>
      <c r="Z87" s="12">
        <v>0</v>
      </c>
      <c r="AA87" s="12">
        <v>0</v>
      </c>
      <c r="AB87" s="12">
        <v>1.862514088440693</v>
      </c>
      <c r="AC87" s="12">
        <v>12.235917667087669</v>
      </c>
      <c r="AD87" s="12">
        <v>6.600220568624632</v>
      </c>
      <c r="AE87" s="12">
        <v>0</v>
      </c>
      <c r="AF87" s="12">
        <v>5.3564605810842822</v>
      </c>
      <c r="AG87" s="12">
        <v>3394.603438309593</v>
      </c>
      <c r="AH87" s="12">
        <v>7530.275845196702</v>
      </c>
      <c r="AI87" s="12">
        <v>6928.5358422155623</v>
      </c>
      <c r="AJ87" s="12">
        <v>8034.7146876254119</v>
      </c>
      <c r="AK87" s="12">
        <v>7942.0831601957989</v>
      </c>
      <c r="AL87" s="12">
        <v>10319.77604805153</v>
      </c>
      <c r="AM87" s="12">
        <v>9444.6490730484147</v>
      </c>
      <c r="AN87" s="12">
        <v>10970.597612162441</v>
      </c>
      <c r="AO87" s="12">
        <v>10707.381939687381</v>
      </c>
      <c r="AP87" s="12">
        <v>12301.445596290319</v>
      </c>
      <c r="AQ87" s="12">
        <v>12032.659222112639</v>
      </c>
      <c r="AR87" s="12">
        <v>14451.3291457497</v>
      </c>
      <c r="AS87" s="12">
        <v>14639.832021587519</v>
      </c>
      <c r="AT87" s="12">
        <v>15741.13770577168</v>
      </c>
      <c r="AU87" s="12">
        <v>16718.300032486841</v>
      </c>
      <c r="AV87" s="12">
        <v>18282.48098554942</v>
      </c>
      <c r="AW87" s="12">
        <v>18118.13664036923</v>
      </c>
      <c r="AX87" s="12">
        <v>25018.231784612319</v>
      </c>
      <c r="AY87" s="12">
        <v>24874.344922233369</v>
      </c>
      <c r="AZ87" s="12">
        <v>62375.562920956538</v>
      </c>
      <c r="BA87" s="12">
        <v>16698.877403900911</v>
      </c>
      <c r="BB87" s="12">
        <v>5681957.8272953779</v>
      </c>
      <c r="BC87" s="12">
        <v>0</v>
      </c>
      <c r="BD87" s="12">
        <v>0</v>
      </c>
      <c r="BE87" s="12">
        <v>101.156462383939</v>
      </c>
      <c r="BF87" s="12">
        <v>54.907058297305731</v>
      </c>
      <c r="BG87" s="12">
        <v>68.974143340433884</v>
      </c>
      <c r="BH87" s="12">
        <v>100.93089677403729</v>
      </c>
      <c r="BI87" s="12">
        <v>115.3909156138196</v>
      </c>
      <c r="BJ87" s="12">
        <v>83.111198853006158</v>
      </c>
      <c r="BK87" s="12">
        <v>0</v>
      </c>
      <c r="BL87" s="12">
        <v>0</v>
      </c>
      <c r="BM87" s="12">
        <v>9.8849239379190067E-4</v>
      </c>
      <c r="BN87" s="12">
        <v>0</v>
      </c>
      <c r="BO87" s="12">
        <v>0</v>
      </c>
      <c r="BP87" s="12">
        <v>0</v>
      </c>
      <c r="BQ87" s="12" t="s">
        <v>789</v>
      </c>
    </row>
    <row r="88" spans="1:69" x14ac:dyDescent="0.25">
      <c r="A88" s="12" t="s">
        <v>790</v>
      </c>
      <c r="B88" s="12" t="s">
        <v>29</v>
      </c>
      <c r="C88" s="12">
        <v>2017</v>
      </c>
      <c r="D88" s="12" t="s">
        <v>385</v>
      </c>
      <c r="E88" s="12" t="s">
        <v>145</v>
      </c>
      <c r="F88" s="12" t="s">
        <v>78</v>
      </c>
      <c r="G88" s="12">
        <v>10</v>
      </c>
      <c r="H88" s="12">
        <v>1.9989358865143589</v>
      </c>
      <c r="I88" s="12">
        <v>0</v>
      </c>
      <c r="J88" s="12">
        <v>3.9149792596045132</v>
      </c>
      <c r="K88" s="12">
        <v>6.7656937552006173</v>
      </c>
      <c r="L88" s="12">
        <v>0</v>
      </c>
      <c r="M88" s="12">
        <v>3.1269709770583538</v>
      </c>
      <c r="N88" s="12">
        <v>0</v>
      </c>
      <c r="O88" s="12">
        <v>0</v>
      </c>
      <c r="P88" s="12">
        <v>0</v>
      </c>
      <c r="Q88" s="12">
        <v>4.7230719263417926</v>
      </c>
      <c r="R88" s="12">
        <v>67.354428672245746</v>
      </c>
      <c r="S88" s="12">
        <v>0</v>
      </c>
      <c r="T88" s="12">
        <v>0</v>
      </c>
      <c r="U88" s="12">
        <v>9.3107500927260602</v>
      </c>
      <c r="V88" s="12">
        <v>4.8976892609884706</v>
      </c>
      <c r="W88" s="12">
        <v>0</v>
      </c>
      <c r="X88" s="12">
        <v>2.8691736932826188</v>
      </c>
      <c r="Y88" s="12">
        <v>0</v>
      </c>
      <c r="Z88" s="12">
        <v>0</v>
      </c>
      <c r="AA88" s="12">
        <v>0</v>
      </c>
      <c r="AB88" s="12">
        <v>0.73281551129815137</v>
      </c>
      <c r="AC88" s="12">
        <v>16.74522933134298</v>
      </c>
      <c r="AD88" s="12">
        <v>5.6201580205978807</v>
      </c>
      <c r="AE88" s="12">
        <v>0</v>
      </c>
      <c r="AF88" s="12">
        <v>5.029398585711867</v>
      </c>
      <c r="AG88" s="12">
        <v>3266.3968282357591</v>
      </c>
      <c r="AH88" s="12">
        <v>6967.8805520489632</v>
      </c>
      <c r="AI88" s="12">
        <v>7121.0704597903514</v>
      </c>
      <c r="AJ88" s="12">
        <v>8071.3156267483182</v>
      </c>
      <c r="AK88" s="12">
        <v>8563.5264112290315</v>
      </c>
      <c r="AL88" s="12">
        <v>9229.1295578077697</v>
      </c>
      <c r="AM88" s="12">
        <v>9756.5721445942945</v>
      </c>
      <c r="AN88" s="12">
        <v>10808.857154059961</v>
      </c>
      <c r="AO88" s="12">
        <v>11710.177759065929</v>
      </c>
      <c r="AP88" s="12">
        <v>12424.183732118699</v>
      </c>
      <c r="AQ88" s="12">
        <v>13202.80978609371</v>
      </c>
      <c r="AR88" s="12">
        <v>13662.47881194707</v>
      </c>
      <c r="AS88" s="12">
        <v>14854.841046860671</v>
      </c>
      <c r="AT88" s="12">
        <v>15428.29072859392</v>
      </c>
      <c r="AU88" s="12">
        <v>15155.524004727749</v>
      </c>
      <c r="AV88" s="12">
        <v>19588.109189047249</v>
      </c>
      <c r="AW88" s="12">
        <v>18209.07454964385</v>
      </c>
      <c r="AX88" s="12">
        <v>24718.709191196151</v>
      </c>
      <c r="AY88" s="12">
        <v>23031.277800757649</v>
      </c>
      <c r="AZ88" s="12">
        <v>65300.763699686802</v>
      </c>
      <c r="BA88" s="12">
        <v>23089.085120963598</v>
      </c>
      <c r="BB88" s="12">
        <v>5229279.7337693414</v>
      </c>
      <c r="BC88" s="12">
        <v>0</v>
      </c>
      <c r="BD88" s="12">
        <v>0</v>
      </c>
      <c r="BE88" s="12">
        <v>100.6048340697896</v>
      </c>
      <c r="BF88" s="12">
        <v>34.545948044980769</v>
      </c>
      <c r="BG88" s="12">
        <v>77.074721199272545</v>
      </c>
      <c r="BH88" s="12">
        <v>98.510562480342585</v>
      </c>
      <c r="BI88" s="12">
        <v>110.6877499611533</v>
      </c>
      <c r="BJ88" s="12">
        <v>87.548555827652493</v>
      </c>
      <c r="BK88" s="12">
        <v>0</v>
      </c>
      <c r="BL88" s="12">
        <v>0</v>
      </c>
      <c r="BM88" s="12">
        <v>0</v>
      </c>
      <c r="BN88" s="12">
        <v>0</v>
      </c>
      <c r="BO88" s="12">
        <v>0</v>
      </c>
      <c r="BP88" s="12">
        <v>0</v>
      </c>
      <c r="BQ88" s="12" t="s">
        <v>791</v>
      </c>
    </row>
    <row r="89" spans="1:69" x14ac:dyDescent="0.25">
      <c r="A89" s="12" t="s">
        <v>792</v>
      </c>
      <c r="B89" s="12" t="s">
        <v>29</v>
      </c>
      <c r="C89" s="12">
        <v>2017</v>
      </c>
      <c r="D89" s="12" t="s">
        <v>385</v>
      </c>
      <c r="E89" s="12" t="s">
        <v>382</v>
      </c>
      <c r="F89" s="12" t="s">
        <v>78</v>
      </c>
      <c r="G89" s="12">
        <v>9999</v>
      </c>
      <c r="H89" s="12">
        <v>2.1910190145120572</v>
      </c>
      <c r="I89" s="12">
        <v>0</v>
      </c>
      <c r="J89" s="12">
        <v>4.2764790357867151</v>
      </c>
      <c r="K89" s="12">
        <v>8.3003387837437472</v>
      </c>
      <c r="L89" s="12">
        <v>0</v>
      </c>
      <c r="M89" s="12">
        <v>2.9763160216607099</v>
      </c>
      <c r="N89" s="12">
        <v>0</v>
      </c>
      <c r="O89" s="12">
        <v>4.4071875743023918</v>
      </c>
      <c r="P89" s="12">
        <v>0</v>
      </c>
      <c r="Q89" s="12">
        <v>3.9042624582704102</v>
      </c>
      <c r="R89" s="12">
        <v>69.129582596988271</v>
      </c>
      <c r="S89" s="12">
        <v>0</v>
      </c>
      <c r="T89" s="12">
        <v>0</v>
      </c>
      <c r="U89" s="12">
        <v>5.9399096262657931</v>
      </c>
      <c r="V89" s="12">
        <v>4.5473809409530928</v>
      </c>
      <c r="W89" s="12">
        <v>0</v>
      </c>
      <c r="X89" s="12">
        <v>2.8816264113005681</v>
      </c>
      <c r="Y89" s="12">
        <v>0</v>
      </c>
      <c r="Z89" s="12">
        <v>0</v>
      </c>
      <c r="AA89" s="12">
        <v>0</v>
      </c>
      <c r="AB89" s="12">
        <v>2.6583893153318199</v>
      </c>
      <c r="AC89" s="12">
        <v>9.4896468282012378</v>
      </c>
      <c r="AD89" s="12">
        <v>7.507703922973116</v>
      </c>
      <c r="AE89" s="12">
        <v>0</v>
      </c>
      <c r="AF89" s="12">
        <v>5.2028184441300818</v>
      </c>
      <c r="AG89" s="12">
        <v>3175.4359627492772</v>
      </c>
      <c r="AH89" s="12">
        <v>6725.3350460033016</v>
      </c>
      <c r="AI89" s="12">
        <v>7272.0996205817082</v>
      </c>
      <c r="AJ89" s="12">
        <v>8647.4294480747485</v>
      </c>
      <c r="AK89" s="12">
        <v>8808.69439175154</v>
      </c>
      <c r="AL89" s="12">
        <v>10139.886418364409</v>
      </c>
      <c r="AM89" s="12">
        <v>10381.178937045939</v>
      </c>
      <c r="AN89" s="12">
        <v>10571.141072671609</v>
      </c>
      <c r="AO89" s="12">
        <v>11075.04694335882</v>
      </c>
      <c r="AP89" s="12">
        <v>13081.75217801193</v>
      </c>
      <c r="AQ89" s="12">
        <v>11363.53805556853</v>
      </c>
      <c r="AR89" s="12">
        <v>13795.333157479619</v>
      </c>
      <c r="AS89" s="12">
        <v>13994.460317564381</v>
      </c>
      <c r="AT89" s="12">
        <v>15640.67203097638</v>
      </c>
      <c r="AU89" s="12">
        <v>14664.07097172127</v>
      </c>
      <c r="AV89" s="12">
        <v>19001.845479049869</v>
      </c>
      <c r="AW89" s="12">
        <v>18908.473353417379</v>
      </c>
      <c r="AX89" s="12">
        <v>24362.447141124219</v>
      </c>
      <c r="AY89" s="12">
        <v>21650.31431372006</v>
      </c>
      <c r="AZ89" s="12">
        <v>61589.44150338391</v>
      </c>
      <c r="BA89" s="12">
        <v>14047.146174538389</v>
      </c>
      <c r="BB89" s="12">
        <v>56689376.736119807</v>
      </c>
      <c r="BC89" s="12">
        <v>0</v>
      </c>
      <c r="BD89" s="12">
        <v>0</v>
      </c>
      <c r="BE89" s="12">
        <v>112.60854034539339</v>
      </c>
      <c r="BF89" s="12">
        <v>50.200294868436778</v>
      </c>
      <c r="BG89" s="12">
        <v>64.486666179096687</v>
      </c>
      <c r="BH89" s="12">
        <v>105.7913555115252</v>
      </c>
      <c r="BI89" s="12">
        <v>111.2098302613548</v>
      </c>
      <c r="BJ89" s="12">
        <v>87.040580227562671</v>
      </c>
      <c r="BK89" s="12">
        <v>0.10892223768034</v>
      </c>
      <c r="BL89" s="12">
        <v>2.2990142767521191</v>
      </c>
      <c r="BM89" s="12">
        <v>26.232472036773679</v>
      </c>
      <c r="BN89" s="12">
        <v>0</v>
      </c>
      <c r="BO89" s="12">
        <v>0</v>
      </c>
      <c r="BP89" s="12">
        <v>0</v>
      </c>
      <c r="BQ89" s="12" t="s">
        <v>793</v>
      </c>
    </row>
    <row r="90" spans="1:69" x14ac:dyDescent="0.25">
      <c r="A90" s="12" t="s">
        <v>794</v>
      </c>
      <c r="B90" s="12" t="s">
        <v>29</v>
      </c>
      <c r="C90" s="12">
        <v>2017</v>
      </c>
      <c r="D90" s="12" t="s">
        <v>384</v>
      </c>
      <c r="E90" s="12" t="s">
        <v>145</v>
      </c>
      <c r="F90" s="12" t="s">
        <v>69</v>
      </c>
      <c r="G90" s="12">
        <v>1</v>
      </c>
      <c r="H90" s="12">
        <v>1.383052947185039</v>
      </c>
      <c r="I90" s="12">
        <v>1.98506312246979E-3</v>
      </c>
      <c r="J90" s="12">
        <v>3.845034585906955</v>
      </c>
      <c r="K90" s="12">
        <v>5.7505186540267923</v>
      </c>
      <c r="L90" s="12">
        <v>0</v>
      </c>
      <c r="M90" s="12">
        <v>2.84214683039544</v>
      </c>
      <c r="N90" s="12">
        <v>0</v>
      </c>
      <c r="O90" s="12">
        <v>3.6032102827065411</v>
      </c>
      <c r="P90" s="12">
        <v>0</v>
      </c>
      <c r="Q90" s="12">
        <v>3.55452048907051</v>
      </c>
      <c r="R90" s="12">
        <v>50.355240403409731</v>
      </c>
      <c r="S90" s="12">
        <v>1.046384311123321E-4</v>
      </c>
      <c r="T90" s="12">
        <v>0.26238125556965991</v>
      </c>
      <c r="U90" s="12">
        <v>2.6540162207783511</v>
      </c>
      <c r="V90" s="12">
        <v>7.7108575479537889</v>
      </c>
      <c r="W90" s="12">
        <v>3.073367142350549E-5</v>
      </c>
      <c r="X90" s="12">
        <v>1.82850426640524</v>
      </c>
      <c r="Y90" s="12">
        <v>0.67576783116329942</v>
      </c>
      <c r="Z90" s="12">
        <v>9.0090464591542935E-2</v>
      </c>
      <c r="AA90" s="12">
        <v>1.6761380814052651E-2</v>
      </c>
      <c r="AB90" s="12">
        <v>2.6949765189362531</v>
      </c>
      <c r="AC90" s="12">
        <v>5.2041181056880319</v>
      </c>
      <c r="AD90" s="12">
        <v>8.038654381120887</v>
      </c>
      <c r="AE90" s="12">
        <v>0.48907826423413431</v>
      </c>
      <c r="AF90" s="12">
        <v>5.4585463426819514</v>
      </c>
      <c r="AG90" s="12">
        <v>3313.6958036631768</v>
      </c>
      <c r="AH90" s="12">
        <v>7358.8973177419484</v>
      </c>
      <c r="AI90" s="12">
        <v>7657.9226589463888</v>
      </c>
      <c r="AJ90" s="12">
        <v>9196.9480836271377</v>
      </c>
      <c r="AK90" s="12">
        <v>8752.3261306597487</v>
      </c>
      <c r="AL90" s="12">
        <v>9136.0192970185944</v>
      </c>
      <c r="AM90" s="12">
        <v>9675.1501590692242</v>
      </c>
      <c r="AN90" s="12">
        <v>10888.10811240437</v>
      </c>
      <c r="AO90" s="12">
        <v>11581.923901689661</v>
      </c>
      <c r="AP90" s="12">
        <v>12882.752404949901</v>
      </c>
      <c r="AQ90" s="12">
        <v>13176.324310455841</v>
      </c>
      <c r="AR90" s="12">
        <v>13843.869670596179</v>
      </c>
      <c r="AS90" s="12">
        <v>13449.87734676828</v>
      </c>
      <c r="AT90" s="12">
        <v>16453.210103036909</v>
      </c>
      <c r="AU90" s="12">
        <v>16982.07025378451</v>
      </c>
      <c r="AV90" s="12">
        <v>18425.39564101466</v>
      </c>
      <c r="AW90" s="12">
        <v>18324.95776329303</v>
      </c>
      <c r="AX90" s="12">
        <v>22060.926107956679</v>
      </c>
      <c r="AY90" s="12">
        <v>21679.344251309169</v>
      </c>
      <c r="AZ90" s="12">
        <v>65202.434672166928</v>
      </c>
      <c r="BA90" s="12">
        <v>5668.8030210297557</v>
      </c>
      <c r="BB90" s="12">
        <v>4804647.2134293662</v>
      </c>
      <c r="BC90" s="12">
        <v>107.1924559968397</v>
      </c>
      <c r="BD90" s="12">
        <v>114.1808266904347</v>
      </c>
      <c r="BE90" s="12">
        <v>104.6011198459675</v>
      </c>
      <c r="BF90" s="12">
        <v>51.400440097541903</v>
      </c>
      <c r="BG90" s="12">
        <v>84.358503674997507</v>
      </c>
      <c r="BH90" s="12">
        <v>109.8152374734765</v>
      </c>
      <c r="BI90" s="12">
        <v>110.6492794153414</v>
      </c>
      <c r="BJ90" s="12">
        <v>84.191904612427521</v>
      </c>
      <c r="BK90" s="12">
        <v>5.9093597687407413E-2</v>
      </c>
      <c r="BL90" s="12">
        <v>0.90884691903089587</v>
      </c>
      <c r="BM90" s="12">
        <v>4.8593162331186583</v>
      </c>
      <c r="BN90" s="12">
        <v>0</v>
      </c>
      <c r="BO90" s="12">
        <v>0</v>
      </c>
      <c r="BP90" s="12">
        <v>0</v>
      </c>
      <c r="BQ90" s="12" t="s">
        <v>795</v>
      </c>
    </row>
    <row r="91" spans="1:69" x14ac:dyDescent="0.25">
      <c r="A91" s="12" t="s">
        <v>796</v>
      </c>
      <c r="B91" s="12" t="s">
        <v>29</v>
      </c>
      <c r="C91" s="12">
        <v>2017</v>
      </c>
      <c r="D91" s="12" t="s">
        <v>384</v>
      </c>
      <c r="E91" s="12" t="s">
        <v>145</v>
      </c>
      <c r="F91" s="12" t="s">
        <v>69</v>
      </c>
      <c r="G91" s="12">
        <v>2</v>
      </c>
      <c r="H91" s="12">
        <v>1.515877846078082</v>
      </c>
      <c r="I91" s="12">
        <v>1.7026308654231959E-3</v>
      </c>
      <c r="J91" s="12">
        <v>4.0223490230005989</v>
      </c>
      <c r="K91" s="12">
        <v>5.2808999183538479</v>
      </c>
      <c r="L91" s="12">
        <v>0</v>
      </c>
      <c r="M91" s="12">
        <v>2.9970476425745711</v>
      </c>
      <c r="N91" s="12">
        <v>0</v>
      </c>
      <c r="O91" s="12">
        <v>4.8221196271919853</v>
      </c>
      <c r="P91" s="12">
        <v>0</v>
      </c>
      <c r="Q91" s="12">
        <v>3.2407243909892038</v>
      </c>
      <c r="R91" s="12">
        <v>54.473510154975102</v>
      </c>
      <c r="S91" s="12">
        <v>8.9833794609710284E-5</v>
      </c>
      <c r="T91" s="12">
        <v>0.38236434712420952</v>
      </c>
      <c r="U91" s="12">
        <v>3.1398734800670982</v>
      </c>
      <c r="V91" s="12">
        <v>6.7401140011908884</v>
      </c>
      <c r="W91" s="12">
        <v>0</v>
      </c>
      <c r="X91" s="12">
        <v>1.3381325305485099</v>
      </c>
      <c r="Y91" s="12">
        <v>0.63733205096475609</v>
      </c>
      <c r="Z91" s="12">
        <v>9.6336437024470326E-2</v>
      </c>
      <c r="AA91" s="12">
        <v>9.1078087071932573E-3</v>
      </c>
      <c r="AB91" s="12">
        <v>2.1528971213151551</v>
      </c>
      <c r="AC91" s="12">
        <v>5.2023562980284863</v>
      </c>
      <c r="AD91" s="12">
        <v>7.3089055307546076</v>
      </c>
      <c r="AE91" s="12">
        <v>0.34082404688274109</v>
      </c>
      <c r="AF91" s="12">
        <v>5.3892854445527778</v>
      </c>
      <c r="AG91" s="12">
        <v>3254.5667333352681</v>
      </c>
      <c r="AH91" s="12">
        <v>6710.8175832605293</v>
      </c>
      <c r="AI91" s="12">
        <v>7694.0927708833169</v>
      </c>
      <c r="AJ91" s="12">
        <v>8842.3113495544676</v>
      </c>
      <c r="AK91" s="12">
        <v>8159.4602657754813</v>
      </c>
      <c r="AL91" s="12">
        <v>9058.8183431172147</v>
      </c>
      <c r="AM91" s="12">
        <v>10467.47941979699</v>
      </c>
      <c r="AN91" s="12">
        <v>11116.029570852001</v>
      </c>
      <c r="AO91" s="12">
        <v>11444.543646160901</v>
      </c>
      <c r="AP91" s="12">
        <v>12237.315359054999</v>
      </c>
      <c r="AQ91" s="12">
        <v>11631.01129392953</v>
      </c>
      <c r="AR91" s="12">
        <v>12963.08920772246</v>
      </c>
      <c r="AS91" s="12">
        <v>14099.839376256859</v>
      </c>
      <c r="AT91" s="12">
        <v>16852.502072042651</v>
      </c>
      <c r="AU91" s="12">
        <v>14847.795728307859</v>
      </c>
      <c r="AV91" s="12">
        <v>18139.485642348831</v>
      </c>
      <c r="AW91" s="12">
        <v>17443.664809294442</v>
      </c>
      <c r="AX91" s="12">
        <v>22100.78480774158</v>
      </c>
      <c r="AY91" s="12">
        <v>24197.489481160919</v>
      </c>
      <c r="AZ91" s="12">
        <v>62156.530865230139</v>
      </c>
      <c r="BA91" s="12">
        <v>7985.5703405077074</v>
      </c>
      <c r="BB91" s="12">
        <v>4632608.0175969591</v>
      </c>
      <c r="BC91" s="12">
        <v>114.461494342157</v>
      </c>
      <c r="BD91" s="12">
        <v>106.7323172922095</v>
      </c>
      <c r="BE91" s="12">
        <v>108.0575621533047</v>
      </c>
      <c r="BF91" s="12">
        <v>61.838652460000453</v>
      </c>
      <c r="BG91" s="12">
        <v>83.412719284741911</v>
      </c>
      <c r="BH91" s="12">
        <v>104.24105068035129</v>
      </c>
      <c r="BI91" s="12">
        <v>109.213254406633</v>
      </c>
      <c r="BJ91" s="12">
        <v>92.290446366902515</v>
      </c>
      <c r="BK91" s="12">
        <v>9.8774275886557381E-3</v>
      </c>
      <c r="BL91" s="12">
        <v>1.755549804002373E-2</v>
      </c>
      <c r="BM91" s="12">
        <v>4.4683775661284839</v>
      </c>
      <c r="BN91" s="12">
        <v>0</v>
      </c>
      <c r="BO91" s="12">
        <v>0</v>
      </c>
      <c r="BP91" s="12">
        <v>0</v>
      </c>
      <c r="BQ91" s="12" t="s">
        <v>797</v>
      </c>
    </row>
    <row r="92" spans="1:69" x14ac:dyDescent="0.25">
      <c r="A92" s="12" t="s">
        <v>798</v>
      </c>
      <c r="B92" s="12" t="s">
        <v>29</v>
      </c>
      <c r="C92" s="12">
        <v>2017</v>
      </c>
      <c r="D92" s="12" t="s">
        <v>384</v>
      </c>
      <c r="E92" s="12" t="s">
        <v>145</v>
      </c>
      <c r="F92" s="12" t="s">
        <v>69</v>
      </c>
      <c r="G92" s="12">
        <v>3</v>
      </c>
      <c r="H92" s="12">
        <v>1.5658667265439199</v>
      </c>
      <c r="I92" s="12">
        <v>1.6131502831240091E-3</v>
      </c>
      <c r="J92" s="12">
        <v>4.2183003827210417</v>
      </c>
      <c r="K92" s="12">
        <v>5.6717379251446776</v>
      </c>
      <c r="L92" s="12">
        <v>0</v>
      </c>
      <c r="M92" s="12">
        <v>3.2910235649278108</v>
      </c>
      <c r="N92" s="12">
        <v>0</v>
      </c>
      <c r="O92" s="12">
        <v>5.0074856286995697</v>
      </c>
      <c r="P92" s="12">
        <v>0</v>
      </c>
      <c r="Q92" s="12">
        <v>3.441799663455984</v>
      </c>
      <c r="R92" s="12">
        <v>55.249240351568098</v>
      </c>
      <c r="S92" s="12">
        <v>9.0524935523921964E-5</v>
      </c>
      <c r="T92" s="12">
        <v>0.42916289025176968</v>
      </c>
      <c r="U92" s="12">
        <v>3.5062830111483381</v>
      </c>
      <c r="V92" s="12">
        <v>6.0151884504047759</v>
      </c>
      <c r="W92" s="12">
        <v>2.1291130629747369E-5</v>
      </c>
      <c r="X92" s="12">
        <v>1.1473254702729829</v>
      </c>
      <c r="Y92" s="12">
        <v>0.65030086099638074</v>
      </c>
      <c r="Z92" s="12">
        <v>8.1636514513335201E-2</v>
      </c>
      <c r="AA92" s="12">
        <v>5.8423266792647288E-3</v>
      </c>
      <c r="AB92" s="12">
        <v>2.336400368790494</v>
      </c>
      <c r="AC92" s="12">
        <v>5.4427186808997581</v>
      </c>
      <c r="AD92" s="12">
        <v>7.6090871187454043</v>
      </c>
      <c r="AE92" s="12">
        <v>0.27162417173527198</v>
      </c>
      <c r="AF92" s="12">
        <v>5.3814697286939008</v>
      </c>
      <c r="AG92" s="12">
        <v>3290.671505822143</v>
      </c>
      <c r="AH92" s="12">
        <v>7321.180808436271</v>
      </c>
      <c r="AI92" s="12">
        <v>7695.5987880297389</v>
      </c>
      <c r="AJ92" s="12">
        <v>9080.213706495213</v>
      </c>
      <c r="AK92" s="12">
        <v>8613.3202714528361</v>
      </c>
      <c r="AL92" s="12">
        <v>9505.6369919920126</v>
      </c>
      <c r="AM92" s="12">
        <v>9603.2843191766442</v>
      </c>
      <c r="AN92" s="12">
        <v>11056.83418519157</v>
      </c>
      <c r="AO92" s="12">
        <v>11153.18372335596</v>
      </c>
      <c r="AP92" s="12">
        <v>11993.26317855703</v>
      </c>
      <c r="AQ92" s="12">
        <v>11962.794565881661</v>
      </c>
      <c r="AR92" s="12">
        <v>14250.278998128641</v>
      </c>
      <c r="AS92" s="12">
        <v>14509.115928085421</v>
      </c>
      <c r="AT92" s="12">
        <v>14857.98993074019</v>
      </c>
      <c r="AU92" s="12">
        <v>16928.3643573226</v>
      </c>
      <c r="AV92" s="12">
        <v>17129.06744852776</v>
      </c>
      <c r="AW92" s="12">
        <v>18721.65800843382</v>
      </c>
      <c r="AX92" s="12">
        <v>23023.69613100533</v>
      </c>
      <c r="AY92" s="12">
        <v>21645.7710538461</v>
      </c>
      <c r="AZ92" s="12">
        <v>67011.987639348648</v>
      </c>
      <c r="BA92" s="12">
        <v>9214.2389785832474</v>
      </c>
      <c r="BB92" s="12">
        <v>4701104.6275642049</v>
      </c>
      <c r="BC92" s="12">
        <v>108.1819553626586</v>
      </c>
      <c r="BD92" s="12">
        <v>107.5072283261069</v>
      </c>
      <c r="BE92" s="12">
        <v>101.987193435487</v>
      </c>
      <c r="BF92" s="12">
        <v>67.794817189050946</v>
      </c>
      <c r="BG92" s="12">
        <v>86.612938118440738</v>
      </c>
      <c r="BH92" s="12">
        <v>100.0827430474796</v>
      </c>
      <c r="BI92" s="12">
        <v>109.1064383638128</v>
      </c>
      <c r="BJ92" s="12">
        <v>101.8560086588796</v>
      </c>
      <c r="BK92" s="12">
        <v>0</v>
      </c>
      <c r="BL92" s="12">
        <v>0</v>
      </c>
      <c r="BM92" s="12">
        <v>2.4291415416275148</v>
      </c>
      <c r="BN92" s="12">
        <v>0</v>
      </c>
      <c r="BO92" s="12">
        <v>0</v>
      </c>
      <c r="BP92" s="12">
        <v>0</v>
      </c>
      <c r="BQ92" s="12" t="s">
        <v>799</v>
      </c>
    </row>
    <row r="93" spans="1:69" x14ac:dyDescent="0.25">
      <c r="A93" s="12" t="s">
        <v>800</v>
      </c>
      <c r="B93" s="12" t="s">
        <v>29</v>
      </c>
      <c r="C93" s="12">
        <v>2017</v>
      </c>
      <c r="D93" s="12" t="s">
        <v>384</v>
      </c>
      <c r="E93" s="12" t="s">
        <v>145</v>
      </c>
      <c r="F93" s="12" t="s">
        <v>69</v>
      </c>
      <c r="G93" s="12">
        <v>4</v>
      </c>
      <c r="H93" s="12">
        <v>1.4581611252814151</v>
      </c>
      <c r="I93" s="12">
        <v>1.7038644412586421E-3</v>
      </c>
      <c r="J93" s="12">
        <v>3.7589086433892538</v>
      </c>
      <c r="K93" s="12">
        <v>5.7484628262839941</v>
      </c>
      <c r="L93" s="12">
        <v>0</v>
      </c>
      <c r="M93" s="12">
        <v>3.5743658221320369</v>
      </c>
      <c r="N93" s="12">
        <v>0</v>
      </c>
      <c r="O93" s="12">
        <v>4.7436371874053744</v>
      </c>
      <c r="P93" s="12">
        <v>0</v>
      </c>
      <c r="Q93" s="12">
        <v>3.2620834311048341</v>
      </c>
      <c r="R93" s="12">
        <v>54.015618141855782</v>
      </c>
      <c r="S93" s="12">
        <v>9.3963254538326649E-5</v>
      </c>
      <c r="T93" s="12">
        <v>0.51686422371741214</v>
      </c>
      <c r="U93" s="12">
        <v>3.701333686001008</v>
      </c>
      <c r="V93" s="12">
        <v>5.5514535217077317</v>
      </c>
      <c r="W93" s="12">
        <v>0</v>
      </c>
      <c r="X93" s="12">
        <v>0.97276648184695591</v>
      </c>
      <c r="Y93" s="12">
        <v>0.64024450718954917</v>
      </c>
      <c r="Z93" s="12">
        <v>0.115563842611627</v>
      </c>
      <c r="AA93" s="12">
        <v>2.613973510302911E-2</v>
      </c>
      <c r="AB93" s="12">
        <v>2.247392634320609</v>
      </c>
      <c r="AC93" s="12">
        <v>5.7905058742853823</v>
      </c>
      <c r="AD93" s="12">
        <v>7.5275852240733334</v>
      </c>
      <c r="AE93" s="12">
        <v>0.3043230133472703</v>
      </c>
      <c r="AF93" s="12">
        <v>5.4782180363484354</v>
      </c>
      <c r="AG93" s="12">
        <v>3027.3501486498849</v>
      </c>
      <c r="AH93" s="12">
        <v>7162.293934863972</v>
      </c>
      <c r="AI93" s="12">
        <v>6997.9111501837651</v>
      </c>
      <c r="AJ93" s="12">
        <v>8851.9093036173272</v>
      </c>
      <c r="AK93" s="12">
        <v>8735.1777449250312</v>
      </c>
      <c r="AL93" s="12">
        <v>9654.0232194590026</v>
      </c>
      <c r="AM93" s="12">
        <v>9055.7102188722456</v>
      </c>
      <c r="AN93" s="12">
        <v>10494.94226134032</v>
      </c>
      <c r="AO93" s="12">
        <v>11358.66546054046</v>
      </c>
      <c r="AP93" s="12">
        <v>11933.48654163756</v>
      </c>
      <c r="AQ93" s="12">
        <v>11937.952244400631</v>
      </c>
      <c r="AR93" s="12">
        <v>13621.078143800911</v>
      </c>
      <c r="AS93" s="12">
        <v>13148.15716206465</v>
      </c>
      <c r="AT93" s="12">
        <v>15450.82881099812</v>
      </c>
      <c r="AU93" s="12">
        <v>15721.468103324351</v>
      </c>
      <c r="AV93" s="12">
        <v>19403.551561397151</v>
      </c>
      <c r="AW93" s="12">
        <v>19117.269275580009</v>
      </c>
      <c r="AX93" s="12">
        <v>23430.17433897861</v>
      </c>
      <c r="AY93" s="12">
        <v>22001.651164581799</v>
      </c>
      <c r="AZ93" s="12">
        <v>69742.398506395752</v>
      </c>
      <c r="BA93" s="12">
        <v>9828.767330654764</v>
      </c>
      <c r="BB93" s="12">
        <v>4804021.089343342</v>
      </c>
      <c r="BC93" s="12">
        <v>104.4287271036101</v>
      </c>
      <c r="BD93" s="12">
        <v>106.93339168560949</v>
      </c>
      <c r="BE93" s="12">
        <v>110.9038538245065</v>
      </c>
      <c r="BF93" s="12">
        <v>76.395572505415728</v>
      </c>
      <c r="BG93" s="12">
        <v>96.775629558823695</v>
      </c>
      <c r="BH93" s="12">
        <v>105.6877070916475</v>
      </c>
      <c r="BI93" s="12">
        <v>103.6318640133528</v>
      </c>
      <c r="BJ93" s="12">
        <v>91.418420337300773</v>
      </c>
      <c r="BK93" s="12">
        <v>0</v>
      </c>
      <c r="BL93" s="12">
        <v>0</v>
      </c>
      <c r="BM93" s="12">
        <v>0.48307820774460719</v>
      </c>
      <c r="BN93" s="12">
        <v>0</v>
      </c>
      <c r="BO93" s="12">
        <v>0</v>
      </c>
      <c r="BP93" s="12">
        <v>0</v>
      </c>
      <c r="BQ93" s="12" t="s">
        <v>801</v>
      </c>
    </row>
    <row r="94" spans="1:69" x14ac:dyDescent="0.25">
      <c r="A94" s="12" t="s">
        <v>802</v>
      </c>
      <c r="B94" s="12" t="s">
        <v>29</v>
      </c>
      <c r="C94" s="12">
        <v>2017</v>
      </c>
      <c r="D94" s="12" t="s">
        <v>384</v>
      </c>
      <c r="E94" s="12" t="s">
        <v>145</v>
      </c>
      <c r="F94" s="12" t="s">
        <v>69</v>
      </c>
      <c r="G94" s="12">
        <v>5</v>
      </c>
      <c r="H94" s="12">
        <v>1.5986446058200621</v>
      </c>
      <c r="I94" s="12">
        <v>1.133855069828469E-3</v>
      </c>
      <c r="J94" s="12">
        <v>3.648587107034158</v>
      </c>
      <c r="K94" s="12">
        <v>5.820476067832673</v>
      </c>
      <c r="L94" s="12">
        <v>0</v>
      </c>
      <c r="M94" s="12">
        <v>3.2944108060874409</v>
      </c>
      <c r="N94" s="12">
        <v>0</v>
      </c>
      <c r="O94" s="12">
        <v>4.9697458585428311</v>
      </c>
      <c r="P94" s="12">
        <v>1.100634911237018E-5</v>
      </c>
      <c r="Q94" s="12">
        <v>3.1417736979929121</v>
      </c>
      <c r="R94" s="12">
        <v>50.299948770122818</v>
      </c>
      <c r="S94" s="12">
        <v>6.276557662923427E-5</v>
      </c>
      <c r="T94" s="12">
        <v>0.5247433923760948</v>
      </c>
      <c r="U94" s="12">
        <v>4.0745367969842867</v>
      </c>
      <c r="V94" s="12">
        <v>5.6185491645642269</v>
      </c>
      <c r="W94" s="12">
        <v>8.7271114629409357E-5</v>
      </c>
      <c r="X94" s="12">
        <v>0.83140551138016883</v>
      </c>
      <c r="Y94" s="12">
        <v>0.73127457280982888</v>
      </c>
      <c r="Z94" s="12">
        <v>0.1365879055836253</v>
      </c>
      <c r="AA94" s="12">
        <v>2.0798071952603692E-2</v>
      </c>
      <c r="AB94" s="12">
        <v>2.0804484438645439</v>
      </c>
      <c r="AC94" s="12">
        <v>5.9180837873056689</v>
      </c>
      <c r="AD94" s="12">
        <v>7.6405023409864601</v>
      </c>
      <c r="AE94" s="12">
        <v>0.49483272469712752</v>
      </c>
      <c r="AF94" s="12">
        <v>5.6401757992254602</v>
      </c>
      <c r="AG94" s="12">
        <v>3033.9166040439532</v>
      </c>
      <c r="AH94" s="12">
        <v>7569.7013029356494</v>
      </c>
      <c r="AI94" s="12">
        <v>7229.641353422101</v>
      </c>
      <c r="AJ94" s="12">
        <v>9194.2993405303405</v>
      </c>
      <c r="AK94" s="12">
        <v>8721.5803968472301</v>
      </c>
      <c r="AL94" s="12">
        <v>9036.2098357345312</v>
      </c>
      <c r="AM94" s="12">
        <v>9434.6695535794497</v>
      </c>
      <c r="AN94" s="12">
        <v>10792.80997972264</v>
      </c>
      <c r="AO94" s="12">
        <v>11738.92383530649</v>
      </c>
      <c r="AP94" s="12">
        <v>12469.095745965749</v>
      </c>
      <c r="AQ94" s="12">
        <v>13158.59067787389</v>
      </c>
      <c r="AR94" s="12">
        <v>12801.17126926564</v>
      </c>
      <c r="AS94" s="12">
        <v>12904.86804273616</v>
      </c>
      <c r="AT94" s="12">
        <v>16143.187214433759</v>
      </c>
      <c r="AU94" s="12">
        <v>15727.33046428363</v>
      </c>
      <c r="AV94" s="12">
        <v>19106.20357084191</v>
      </c>
      <c r="AW94" s="12">
        <v>17513.7915627271</v>
      </c>
      <c r="AX94" s="12">
        <v>23240.63054474007</v>
      </c>
      <c r="AY94" s="12">
        <v>22949.548627072119</v>
      </c>
      <c r="AZ94" s="12">
        <v>67996.406940458852</v>
      </c>
      <c r="BA94" s="12">
        <v>12510.724975375349</v>
      </c>
      <c r="BB94" s="12">
        <v>5105464.0875934744</v>
      </c>
      <c r="BC94" s="12">
        <v>105.0313452370481</v>
      </c>
      <c r="BD94" s="12">
        <v>106.75629531361329</v>
      </c>
      <c r="BE94" s="12">
        <v>106.4759147889125</v>
      </c>
      <c r="BF94" s="12">
        <v>77.706317565382918</v>
      </c>
      <c r="BG94" s="12">
        <v>100.04030467311109</v>
      </c>
      <c r="BH94" s="12">
        <v>113.8500088772459</v>
      </c>
      <c r="BI94" s="12">
        <v>114.75302733707809</v>
      </c>
      <c r="BJ94" s="12">
        <v>97.988414519903074</v>
      </c>
      <c r="BK94" s="12">
        <v>0</v>
      </c>
      <c r="BL94" s="12">
        <v>0</v>
      </c>
      <c r="BM94" s="12">
        <v>0.1619579629008516</v>
      </c>
      <c r="BN94" s="12">
        <v>0</v>
      </c>
      <c r="BO94" s="12">
        <v>0</v>
      </c>
      <c r="BP94" s="12">
        <v>0</v>
      </c>
      <c r="BQ94" s="12" t="s">
        <v>803</v>
      </c>
    </row>
    <row r="95" spans="1:69" x14ac:dyDescent="0.25">
      <c r="A95" s="12" t="s">
        <v>804</v>
      </c>
      <c r="B95" s="12" t="s">
        <v>29</v>
      </c>
      <c r="C95" s="12">
        <v>2017</v>
      </c>
      <c r="D95" s="12" t="s">
        <v>384</v>
      </c>
      <c r="E95" s="12" t="s">
        <v>145</v>
      </c>
      <c r="F95" s="12" t="s">
        <v>69</v>
      </c>
      <c r="G95" s="12">
        <v>6</v>
      </c>
      <c r="H95" s="12">
        <v>1.7092725671667519</v>
      </c>
      <c r="I95" s="12">
        <v>1.472354041388291E-3</v>
      </c>
      <c r="J95" s="12">
        <v>3.9942640679858759</v>
      </c>
      <c r="K95" s="12">
        <v>5.4420761710771419</v>
      </c>
      <c r="L95" s="12">
        <v>0</v>
      </c>
      <c r="M95" s="12">
        <v>3.375000477552399</v>
      </c>
      <c r="N95" s="12">
        <v>0</v>
      </c>
      <c r="O95" s="12">
        <v>4.8800671297164824</v>
      </c>
      <c r="P95" s="12">
        <v>0</v>
      </c>
      <c r="Q95" s="12">
        <v>3.13223180160709</v>
      </c>
      <c r="R95" s="12">
        <v>50.211598185615522</v>
      </c>
      <c r="S95" s="12">
        <v>7.5054651612214981E-5</v>
      </c>
      <c r="T95" s="12">
        <v>0.59973853671518218</v>
      </c>
      <c r="U95" s="12">
        <v>3.8075168125433021</v>
      </c>
      <c r="V95" s="12">
        <v>5.1506122639290703</v>
      </c>
      <c r="W95" s="12">
        <v>4.5634281538054748E-5</v>
      </c>
      <c r="X95" s="12">
        <v>0.92812792087590834</v>
      </c>
      <c r="Y95" s="12">
        <v>0.70956797226344759</v>
      </c>
      <c r="Z95" s="12">
        <v>9.8411559255739453E-2</v>
      </c>
      <c r="AA95" s="12">
        <v>1.627627307484052E-2</v>
      </c>
      <c r="AB95" s="12">
        <v>1.76475555312546</v>
      </c>
      <c r="AC95" s="12">
        <v>6.0012117052174716</v>
      </c>
      <c r="AD95" s="12">
        <v>8.2209507063365521</v>
      </c>
      <c r="AE95" s="12">
        <v>0.52330933446504746</v>
      </c>
      <c r="AF95" s="12">
        <v>5.5354602331326532</v>
      </c>
      <c r="AG95" s="12">
        <v>3386.3908318893909</v>
      </c>
      <c r="AH95" s="12">
        <v>7265.1348919907969</v>
      </c>
      <c r="AI95" s="12">
        <v>7176.2726801881972</v>
      </c>
      <c r="AJ95" s="12">
        <v>8166.2813252547103</v>
      </c>
      <c r="AK95" s="12">
        <v>8894.7748668626846</v>
      </c>
      <c r="AL95" s="12">
        <v>9491.4342829753714</v>
      </c>
      <c r="AM95" s="12">
        <v>9810.5493753519677</v>
      </c>
      <c r="AN95" s="12">
        <v>10428.53514374674</v>
      </c>
      <c r="AO95" s="12">
        <v>11114.461827856379</v>
      </c>
      <c r="AP95" s="12">
        <v>12690.962295349809</v>
      </c>
      <c r="AQ95" s="12">
        <v>11402.8196041092</v>
      </c>
      <c r="AR95" s="12">
        <v>13014.494873350141</v>
      </c>
      <c r="AS95" s="12">
        <v>13083.097172842419</v>
      </c>
      <c r="AT95" s="12">
        <v>15310.9449054211</v>
      </c>
      <c r="AU95" s="12">
        <v>16431.204332071069</v>
      </c>
      <c r="AV95" s="12">
        <v>19003.732963081529</v>
      </c>
      <c r="AW95" s="12">
        <v>18116.9528769108</v>
      </c>
      <c r="AX95" s="12">
        <v>23540.403648272451</v>
      </c>
      <c r="AY95" s="12">
        <v>23432.87951387772</v>
      </c>
      <c r="AZ95" s="12">
        <v>64503.04980946819</v>
      </c>
      <c r="BA95" s="12">
        <v>12380.264334791471</v>
      </c>
      <c r="BB95" s="12">
        <v>5004890.23761902</v>
      </c>
      <c r="BC95" s="12">
        <v>107.33241706262309</v>
      </c>
      <c r="BD95" s="12">
        <v>104.8327505485139</v>
      </c>
      <c r="BE95" s="12">
        <v>107.82379528103669</v>
      </c>
      <c r="BF95" s="12">
        <v>74.527781883660452</v>
      </c>
      <c r="BG95" s="12">
        <v>103.48187609134079</v>
      </c>
      <c r="BH95" s="12">
        <v>111.6615451815528</v>
      </c>
      <c r="BI95" s="12">
        <v>102.5494025319267</v>
      </c>
      <c r="BJ95" s="12">
        <v>92.838280106157882</v>
      </c>
      <c r="BK95" s="12">
        <v>0</v>
      </c>
      <c r="BL95" s="12">
        <v>0</v>
      </c>
      <c r="BM95" s="12">
        <v>2.3847247715333222E-2</v>
      </c>
      <c r="BN95" s="12">
        <v>0</v>
      </c>
      <c r="BO95" s="12">
        <v>0</v>
      </c>
      <c r="BP95" s="12">
        <v>0</v>
      </c>
      <c r="BQ95" s="12" t="s">
        <v>805</v>
      </c>
    </row>
    <row r="96" spans="1:69" x14ac:dyDescent="0.25">
      <c r="A96" s="12" t="s">
        <v>806</v>
      </c>
      <c r="B96" s="12" t="s">
        <v>29</v>
      </c>
      <c r="C96" s="12">
        <v>2017</v>
      </c>
      <c r="D96" s="12" t="s">
        <v>384</v>
      </c>
      <c r="E96" s="12" t="s">
        <v>145</v>
      </c>
      <c r="F96" s="12" t="s">
        <v>69</v>
      </c>
      <c r="G96" s="12">
        <v>7</v>
      </c>
      <c r="H96" s="12">
        <v>1.4819920814090419</v>
      </c>
      <c r="I96" s="12">
        <v>1.3326922271863269E-3</v>
      </c>
      <c r="J96" s="12">
        <v>3.9311148242808298</v>
      </c>
      <c r="K96" s="12">
        <v>5.4118811175568844</v>
      </c>
      <c r="L96" s="12">
        <v>0</v>
      </c>
      <c r="M96" s="12">
        <v>3.4753993065040469</v>
      </c>
      <c r="N96" s="12">
        <v>0</v>
      </c>
      <c r="O96" s="12">
        <v>4.2787790082262127</v>
      </c>
      <c r="P96" s="12">
        <v>2.2179181307386211E-5</v>
      </c>
      <c r="Q96" s="12">
        <v>3.480589636108443</v>
      </c>
      <c r="R96" s="12">
        <v>53.520364559586383</v>
      </c>
      <c r="S96" s="12">
        <v>7.2435396929113283E-5</v>
      </c>
      <c r="T96" s="12">
        <v>0.73543872033694191</v>
      </c>
      <c r="U96" s="12">
        <v>4.3749805936347457</v>
      </c>
      <c r="V96" s="12">
        <v>5.1088696724860094</v>
      </c>
      <c r="W96" s="12">
        <v>1.126583580232338E-4</v>
      </c>
      <c r="X96" s="12">
        <v>0.87663810737171033</v>
      </c>
      <c r="Y96" s="12">
        <v>0.81406101542559617</v>
      </c>
      <c r="Z96" s="12">
        <v>0.15839330050225739</v>
      </c>
      <c r="AA96" s="12">
        <v>2.277187261159393E-2</v>
      </c>
      <c r="AB96" s="12">
        <v>1.554813321674235</v>
      </c>
      <c r="AC96" s="12">
        <v>7.2790018504767477</v>
      </c>
      <c r="AD96" s="12">
        <v>7.837146058666252</v>
      </c>
      <c r="AE96" s="12">
        <v>0.65041012030327094</v>
      </c>
      <c r="AF96" s="12">
        <v>4.985797308842737</v>
      </c>
      <c r="AG96" s="12">
        <v>3042.0156476635339</v>
      </c>
      <c r="AH96" s="12">
        <v>6922.6942356434711</v>
      </c>
      <c r="AI96" s="12">
        <v>7213.2489279290548</v>
      </c>
      <c r="AJ96" s="12">
        <v>9099.4753139014647</v>
      </c>
      <c r="AK96" s="12">
        <v>7976.7009788042014</v>
      </c>
      <c r="AL96" s="12">
        <v>9759.7016903617496</v>
      </c>
      <c r="AM96" s="12">
        <v>10329.724862796171</v>
      </c>
      <c r="AN96" s="12">
        <v>10179.31637622909</v>
      </c>
      <c r="AO96" s="12">
        <v>11310.42164997194</v>
      </c>
      <c r="AP96" s="12">
        <v>13001.63921266479</v>
      </c>
      <c r="AQ96" s="12">
        <v>12425.31929398011</v>
      </c>
      <c r="AR96" s="12">
        <v>14732.34834624766</v>
      </c>
      <c r="AS96" s="12">
        <v>14217.324696779369</v>
      </c>
      <c r="AT96" s="12">
        <v>15651.310524627001</v>
      </c>
      <c r="AU96" s="12">
        <v>16005.32389714306</v>
      </c>
      <c r="AV96" s="12">
        <v>18089.26615908683</v>
      </c>
      <c r="AW96" s="12">
        <v>19750.11434324404</v>
      </c>
      <c r="AX96" s="12">
        <v>22038.596174630238</v>
      </c>
      <c r="AY96" s="12">
        <v>23029.716333503289</v>
      </c>
      <c r="AZ96" s="12">
        <v>67284.424213031525</v>
      </c>
      <c r="BA96" s="12">
        <v>13852.734205946759</v>
      </c>
      <c r="BB96" s="12">
        <v>5145810.1874926444</v>
      </c>
      <c r="BC96" s="12">
        <v>105.979931620326</v>
      </c>
      <c r="BD96" s="12">
        <v>108.7696675286923</v>
      </c>
      <c r="BE96" s="12">
        <v>100.3242696196897</v>
      </c>
      <c r="BF96" s="12">
        <v>85.759231001122146</v>
      </c>
      <c r="BG96" s="12">
        <v>92.75799510626544</v>
      </c>
      <c r="BH96" s="12">
        <v>102.1025286275522</v>
      </c>
      <c r="BI96" s="12">
        <v>112.47402157288229</v>
      </c>
      <c r="BJ96" s="12">
        <v>97.027396939996535</v>
      </c>
      <c r="BK96" s="12">
        <v>0</v>
      </c>
      <c r="BL96" s="12">
        <v>0</v>
      </c>
      <c r="BM96" s="12">
        <v>2.2454447874308399E-2</v>
      </c>
      <c r="BN96" s="12">
        <v>0</v>
      </c>
      <c r="BO96" s="12">
        <v>0</v>
      </c>
      <c r="BP96" s="12">
        <v>0</v>
      </c>
      <c r="BQ96" s="12" t="s">
        <v>807</v>
      </c>
    </row>
    <row r="97" spans="1:69" x14ac:dyDescent="0.25">
      <c r="A97" s="12" t="s">
        <v>808</v>
      </c>
      <c r="B97" s="12" t="s">
        <v>29</v>
      </c>
      <c r="C97" s="12">
        <v>2017</v>
      </c>
      <c r="D97" s="12" t="s">
        <v>384</v>
      </c>
      <c r="E97" s="12" t="s">
        <v>145</v>
      </c>
      <c r="F97" s="12" t="s">
        <v>69</v>
      </c>
      <c r="G97" s="12">
        <v>8</v>
      </c>
      <c r="H97" s="12">
        <v>1.5031604677336139</v>
      </c>
      <c r="I97" s="12">
        <v>7.0850830501382165E-4</v>
      </c>
      <c r="J97" s="12">
        <v>3.5250187163064788</v>
      </c>
      <c r="K97" s="12">
        <v>5.0504046022150106</v>
      </c>
      <c r="L97" s="12">
        <v>0</v>
      </c>
      <c r="M97" s="12">
        <v>3.828739259506976</v>
      </c>
      <c r="N97" s="12">
        <v>0</v>
      </c>
      <c r="O97" s="12">
        <v>3.9656080637696278</v>
      </c>
      <c r="P97" s="12">
        <v>2.2619174846021442E-5</v>
      </c>
      <c r="Q97" s="12">
        <v>3.386240193152231</v>
      </c>
      <c r="R97" s="12">
        <v>52.050341945767592</v>
      </c>
      <c r="S97" s="12">
        <v>4.4908931873238152E-5</v>
      </c>
      <c r="T97" s="12">
        <v>0.64223430001357906</v>
      </c>
      <c r="U97" s="12">
        <v>4.3055811662032948</v>
      </c>
      <c r="V97" s="12">
        <v>5.2474268861298743</v>
      </c>
      <c r="W97" s="12">
        <v>9.7758312145287924E-5</v>
      </c>
      <c r="X97" s="12">
        <v>0.66672755429294206</v>
      </c>
      <c r="Y97" s="12">
        <v>0.79442807514263725</v>
      </c>
      <c r="Z97" s="12">
        <v>0.14203226271604269</v>
      </c>
      <c r="AA97" s="12">
        <v>2.6149500972908541E-2</v>
      </c>
      <c r="AB97" s="12">
        <v>1.434096734545214</v>
      </c>
      <c r="AC97" s="12">
        <v>7.4996699721012172</v>
      </c>
      <c r="AD97" s="12">
        <v>7.6922990527745636</v>
      </c>
      <c r="AE97" s="12">
        <v>0.6697309952094086</v>
      </c>
      <c r="AF97" s="12">
        <v>5.4693851479821856</v>
      </c>
      <c r="AG97" s="12">
        <v>3222.4671899568511</v>
      </c>
      <c r="AH97" s="12">
        <v>7242.7182315495074</v>
      </c>
      <c r="AI97" s="12">
        <v>7280.833040564522</v>
      </c>
      <c r="AJ97" s="12">
        <v>9056.1398900076256</v>
      </c>
      <c r="AK97" s="12">
        <v>8890.1526461689955</v>
      </c>
      <c r="AL97" s="12">
        <v>9398.8418027492753</v>
      </c>
      <c r="AM97" s="12">
        <v>9641.4356298615094</v>
      </c>
      <c r="AN97" s="12">
        <v>10196.184131421731</v>
      </c>
      <c r="AO97" s="12">
        <v>10679.443938597429</v>
      </c>
      <c r="AP97" s="12">
        <v>11608.581480290301</v>
      </c>
      <c r="AQ97" s="12">
        <v>11894.29586845895</v>
      </c>
      <c r="AR97" s="12">
        <v>14215.075363756619</v>
      </c>
      <c r="AS97" s="12">
        <v>14112.67191980572</v>
      </c>
      <c r="AT97" s="12">
        <v>16450.901108016209</v>
      </c>
      <c r="AU97" s="12">
        <v>15707.01717698243</v>
      </c>
      <c r="AV97" s="12">
        <v>18731.52417026781</v>
      </c>
      <c r="AW97" s="12">
        <v>18435.894281275479</v>
      </c>
      <c r="AX97" s="12">
        <v>23713.387158014611</v>
      </c>
      <c r="AY97" s="12">
        <v>23982.14829769983</v>
      </c>
      <c r="AZ97" s="12">
        <v>65787.42920811646</v>
      </c>
      <c r="BA97" s="12">
        <v>16438.208590447121</v>
      </c>
      <c r="BB97" s="12">
        <v>5047163.0168794999</v>
      </c>
      <c r="BC97" s="12">
        <v>111.13144974095231</v>
      </c>
      <c r="BD97" s="12">
        <v>106.2385886178501</v>
      </c>
      <c r="BE97" s="12">
        <v>99.228105263522792</v>
      </c>
      <c r="BF97" s="12">
        <v>76.38940238423821</v>
      </c>
      <c r="BG97" s="12">
        <v>97.66435913858146</v>
      </c>
      <c r="BH97" s="12">
        <v>101.1260102961087</v>
      </c>
      <c r="BI97" s="12">
        <v>113.9024124545742</v>
      </c>
      <c r="BJ97" s="12">
        <v>99.383532430713359</v>
      </c>
      <c r="BK97" s="12">
        <v>0</v>
      </c>
      <c r="BL97" s="12">
        <v>0</v>
      </c>
      <c r="BM97" s="12">
        <v>0</v>
      </c>
      <c r="BN97" s="12">
        <v>0</v>
      </c>
      <c r="BO97" s="12">
        <v>0</v>
      </c>
      <c r="BP97" s="12">
        <v>0</v>
      </c>
      <c r="BQ97" s="12" t="s">
        <v>809</v>
      </c>
    </row>
    <row r="98" spans="1:69" x14ac:dyDescent="0.25">
      <c r="A98" s="12" t="s">
        <v>810</v>
      </c>
      <c r="B98" s="12" t="s">
        <v>29</v>
      </c>
      <c r="C98" s="12">
        <v>2017</v>
      </c>
      <c r="D98" s="12" t="s">
        <v>384</v>
      </c>
      <c r="E98" s="12" t="s">
        <v>145</v>
      </c>
      <c r="F98" s="12" t="s">
        <v>69</v>
      </c>
      <c r="G98" s="12">
        <v>9</v>
      </c>
      <c r="H98" s="12">
        <v>1.5675504800749871</v>
      </c>
      <c r="I98" s="12">
        <v>8.0849655312316545E-4</v>
      </c>
      <c r="J98" s="12">
        <v>3.9061342707817239</v>
      </c>
      <c r="K98" s="12">
        <v>4.708279296828449</v>
      </c>
      <c r="L98" s="12">
        <v>0</v>
      </c>
      <c r="M98" s="12">
        <v>3.4075041532736901</v>
      </c>
      <c r="N98" s="12">
        <v>0</v>
      </c>
      <c r="O98" s="12">
        <v>3.048532358861435</v>
      </c>
      <c r="P98" s="12">
        <v>1.162899321145572E-5</v>
      </c>
      <c r="Q98" s="12">
        <v>3.3776943910551749</v>
      </c>
      <c r="R98" s="12">
        <v>49.287316351608247</v>
      </c>
      <c r="S98" s="12">
        <v>4.2459760633697291E-5</v>
      </c>
      <c r="T98" s="12">
        <v>0.86623833286202601</v>
      </c>
      <c r="U98" s="12">
        <v>4.7894922889295648</v>
      </c>
      <c r="V98" s="12">
        <v>5.8402497224559804</v>
      </c>
      <c r="W98" s="12">
        <v>5.7401157998373053E-5</v>
      </c>
      <c r="X98" s="12">
        <v>0.69144940688870193</v>
      </c>
      <c r="Y98" s="12">
        <v>0.8318338421506033</v>
      </c>
      <c r="Z98" s="12">
        <v>0.159041513450425</v>
      </c>
      <c r="AA98" s="12">
        <v>2.6429334565123141E-2</v>
      </c>
      <c r="AB98" s="12">
        <v>1.093810788670702</v>
      </c>
      <c r="AC98" s="12">
        <v>9.0135689805460899</v>
      </c>
      <c r="AD98" s="12">
        <v>8.6611793517103131</v>
      </c>
      <c r="AE98" s="12">
        <v>0.63630165940263361</v>
      </c>
      <c r="AF98" s="12">
        <v>4.7442810921311498</v>
      </c>
      <c r="AG98" s="12">
        <v>3317.7211237952001</v>
      </c>
      <c r="AH98" s="12">
        <v>7271.6142083871828</v>
      </c>
      <c r="AI98" s="12">
        <v>7714.3203809093784</v>
      </c>
      <c r="AJ98" s="12">
        <v>9044.3077839604393</v>
      </c>
      <c r="AK98" s="12">
        <v>8597.597210946491</v>
      </c>
      <c r="AL98" s="12">
        <v>10501.22234798743</v>
      </c>
      <c r="AM98" s="12">
        <v>10112.434975275521</v>
      </c>
      <c r="AN98" s="12">
        <v>10919.373604898619</v>
      </c>
      <c r="AO98" s="12">
        <v>11658.210064526311</v>
      </c>
      <c r="AP98" s="12">
        <v>12622.283478483199</v>
      </c>
      <c r="AQ98" s="12">
        <v>12230.521803722389</v>
      </c>
      <c r="AR98" s="12">
        <v>13281.426602751049</v>
      </c>
      <c r="AS98" s="12">
        <v>13009.84431086159</v>
      </c>
      <c r="AT98" s="12">
        <v>15786.01040494591</v>
      </c>
      <c r="AU98" s="12">
        <v>16931.839571971748</v>
      </c>
      <c r="AV98" s="12">
        <v>17589.045249145729</v>
      </c>
      <c r="AW98" s="12">
        <v>18487.543703788699</v>
      </c>
      <c r="AX98" s="12">
        <v>21789.528763073929</v>
      </c>
      <c r="AY98" s="12">
        <v>24846.11238253468</v>
      </c>
      <c r="AZ98" s="12">
        <v>69899.045016611315</v>
      </c>
      <c r="BA98" s="12">
        <v>20805.202551064089</v>
      </c>
      <c r="BB98" s="12">
        <v>4779926.4219289701</v>
      </c>
      <c r="BC98" s="12">
        <v>111.4918275218444</v>
      </c>
      <c r="BD98" s="12">
        <v>100.8981174274933</v>
      </c>
      <c r="BE98" s="12">
        <v>109.9013845227706</v>
      </c>
      <c r="BF98" s="12">
        <v>74.012466749694141</v>
      </c>
      <c r="BG98" s="12">
        <v>99.119308713287907</v>
      </c>
      <c r="BH98" s="12">
        <v>106.0924817424865</v>
      </c>
      <c r="BI98" s="12">
        <v>106.3038394676674</v>
      </c>
      <c r="BJ98" s="12">
        <v>100.6182417236196</v>
      </c>
      <c r="BK98" s="12">
        <v>0</v>
      </c>
      <c r="BL98" s="12">
        <v>0</v>
      </c>
      <c r="BM98" s="12">
        <v>0</v>
      </c>
      <c r="BN98" s="12">
        <v>0</v>
      </c>
      <c r="BO98" s="12">
        <v>0</v>
      </c>
      <c r="BP98" s="12">
        <v>0</v>
      </c>
      <c r="BQ98" s="12" t="s">
        <v>811</v>
      </c>
    </row>
    <row r="99" spans="1:69" x14ac:dyDescent="0.25">
      <c r="A99" s="12" t="s">
        <v>812</v>
      </c>
      <c r="B99" s="12" t="s">
        <v>29</v>
      </c>
      <c r="C99" s="12">
        <v>2017</v>
      </c>
      <c r="D99" s="12" t="s">
        <v>384</v>
      </c>
      <c r="E99" s="12" t="s">
        <v>145</v>
      </c>
      <c r="F99" s="12" t="s">
        <v>69</v>
      </c>
      <c r="G99" s="12">
        <v>10</v>
      </c>
      <c r="H99" s="12">
        <v>1.7737084382900059</v>
      </c>
      <c r="I99" s="12">
        <v>1.6429071874666249E-4</v>
      </c>
      <c r="J99" s="12">
        <v>3.5635747454610041</v>
      </c>
      <c r="K99" s="12">
        <v>4.2706887333401884</v>
      </c>
      <c r="L99" s="12">
        <v>0</v>
      </c>
      <c r="M99" s="12">
        <v>3.5036110586324161</v>
      </c>
      <c r="N99" s="12">
        <v>0</v>
      </c>
      <c r="O99" s="12">
        <v>1.426531336263007</v>
      </c>
      <c r="P99" s="12">
        <v>0</v>
      </c>
      <c r="Q99" s="12">
        <v>3.7063932454710882</v>
      </c>
      <c r="R99" s="12">
        <v>46.594047746208183</v>
      </c>
      <c r="S99" s="12">
        <v>1.0807282057186199E-5</v>
      </c>
      <c r="T99" s="12">
        <v>0.94234154103502077</v>
      </c>
      <c r="U99" s="12">
        <v>6.0759633439225924</v>
      </c>
      <c r="V99" s="12">
        <v>6.4814796738216094</v>
      </c>
      <c r="W99" s="12">
        <v>1.2169036170610711E-4</v>
      </c>
      <c r="X99" s="12">
        <v>0.51113906363480022</v>
      </c>
      <c r="Y99" s="12">
        <v>0.8518410383375894</v>
      </c>
      <c r="Z99" s="12">
        <v>0.17379625602650051</v>
      </c>
      <c r="AA99" s="12">
        <v>3.829517182096092E-2</v>
      </c>
      <c r="AB99" s="12">
        <v>0.91714484186902756</v>
      </c>
      <c r="AC99" s="12">
        <v>10.04800099085479</v>
      </c>
      <c r="AD99" s="12">
        <v>8.0339558817097849</v>
      </c>
      <c r="AE99" s="12">
        <v>0.97821685421914784</v>
      </c>
      <c r="AF99" s="12">
        <v>4.3606064288909074</v>
      </c>
      <c r="AG99" s="12">
        <v>2993.2180342098159</v>
      </c>
      <c r="AH99" s="12">
        <v>7429.0839134445623</v>
      </c>
      <c r="AI99" s="12">
        <v>7530.7982672437483</v>
      </c>
      <c r="AJ99" s="12">
        <v>8590.3281801358789</v>
      </c>
      <c r="AK99" s="12">
        <v>8024.9844192245982</v>
      </c>
      <c r="AL99" s="12">
        <v>10440.27269229412</v>
      </c>
      <c r="AM99" s="12">
        <v>9072.7016688671119</v>
      </c>
      <c r="AN99" s="12">
        <v>10304.21760814657</v>
      </c>
      <c r="AO99" s="12">
        <v>11617.43103202495</v>
      </c>
      <c r="AP99" s="12">
        <v>11724.95184508181</v>
      </c>
      <c r="AQ99" s="12">
        <v>12127.50524683695</v>
      </c>
      <c r="AR99" s="12">
        <v>13562.9709377783</v>
      </c>
      <c r="AS99" s="12">
        <v>13828.177084660891</v>
      </c>
      <c r="AT99" s="12">
        <v>14993.082836141441</v>
      </c>
      <c r="AU99" s="12">
        <v>16201.65274990246</v>
      </c>
      <c r="AV99" s="12">
        <v>19009.98536953401</v>
      </c>
      <c r="AW99" s="12">
        <v>18311.84693183401</v>
      </c>
      <c r="AX99" s="12">
        <v>23102.28969436861</v>
      </c>
      <c r="AY99" s="12">
        <v>25002.953191593631</v>
      </c>
      <c r="AZ99" s="12">
        <v>65530.390981200777</v>
      </c>
      <c r="BA99" s="12">
        <v>30139.938924192898</v>
      </c>
      <c r="BB99" s="12">
        <v>5116305.2970963446</v>
      </c>
      <c r="BC99" s="12">
        <v>109.6798943198043</v>
      </c>
      <c r="BD99" s="12">
        <v>100.7871918503328</v>
      </c>
      <c r="BE99" s="12">
        <v>111.0417636524631</v>
      </c>
      <c r="BF99" s="12">
        <v>68.390903617544637</v>
      </c>
      <c r="BG99" s="12">
        <v>100.9988061338739</v>
      </c>
      <c r="BH99" s="12">
        <v>108.652948682518</v>
      </c>
      <c r="BI99" s="12">
        <v>102.75271826269839</v>
      </c>
      <c r="BJ99" s="12">
        <v>99.820442040707334</v>
      </c>
      <c r="BK99" s="12">
        <v>0</v>
      </c>
      <c r="BL99" s="12">
        <v>0</v>
      </c>
      <c r="BM99" s="12">
        <v>0</v>
      </c>
      <c r="BN99" s="12">
        <v>0</v>
      </c>
      <c r="BO99" s="12">
        <v>0</v>
      </c>
      <c r="BP99" s="12">
        <v>0</v>
      </c>
      <c r="BQ99" s="12" t="s">
        <v>813</v>
      </c>
    </row>
    <row r="100" spans="1:69" x14ac:dyDescent="0.25">
      <c r="A100" s="12" t="s">
        <v>814</v>
      </c>
      <c r="B100" s="12" t="s">
        <v>29</v>
      </c>
      <c r="C100" s="12">
        <v>2017</v>
      </c>
      <c r="D100" s="12" t="s">
        <v>384</v>
      </c>
      <c r="E100" s="12" t="s">
        <v>382</v>
      </c>
      <c r="F100" s="12" t="s">
        <v>69</v>
      </c>
      <c r="G100" s="12">
        <v>9999</v>
      </c>
      <c r="H100" s="12">
        <v>1.634503259298848</v>
      </c>
      <c r="I100" s="12">
        <v>1.3095572587426339E-3</v>
      </c>
      <c r="J100" s="12">
        <v>3.534302834142554</v>
      </c>
      <c r="K100" s="12">
        <v>5.1638461535446121</v>
      </c>
      <c r="L100" s="12">
        <v>0</v>
      </c>
      <c r="M100" s="12">
        <v>3.3217664675514338</v>
      </c>
      <c r="N100" s="12">
        <v>0</v>
      </c>
      <c r="O100" s="12">
        <v>4.0594779681158224</v>
      </c>
      <c r="P100" s="12">
        <v>1.039885072440221E-5</v>
      </c>
      <c r="Q100" s="12">
        <v>3.6297624734483409</v>
      </c>
      <c r="R100" s="12">
        <v>52.150616270495497</v>
      </c>
      <c r="S100" s="12">
        <v>6.08880612086865E-5</v>
      </c>
      <c r="T100" s="12">
        <v>0.59470366479125847</v>
      </c>
      <c r="U100" s="12">
        <v>3.7358589949451289</v>
      </c>
      <c r="V100" s="12">
        <v>6.2816296179197924</v>
      </c>
      <c r="W100" s="12">
        <v>5.3203165032422087E-5</v>
      </c>
      <c r="X100" s="12">
        <v>0.93181419420515232</v>
      </c>
      <c r="Y100" s="12">
        <v>0.74737610184850056</v>
      </c>
      <c r="Z100" s="12">
        <v>0.1202021038091617</v>
      </c>
      <c r="AA100" s="12">
        <v>2.1610618736301029E-2</v>
      </c>
      <c r="AB100" s="12">
        <v>1.8961701037095009</v>
      </c>
      <c r="AC100" s="12">
        <v>6.6507528384237373</v>
      </c>
      <c r="AD100" s="12">
        <v>7.6510786556437331</v>
      </c>
      <c r="AE100" s="12">
        <v>0.54882698752432801</v>
      </c>
      <c r="AF100" s="12">
        <v>5.3710173712461309</v>
      </c>
      <c r="AG100" s="12">
        <v>3338.6716705050681</v>
      </c>
      <c r="AH100" s="12">
        <v>6988.6112950959932</v>
      </c>
      <c r="AI100" s="12">
        <v>7580.9654409066889</v>
      </c>
      <c r="AJ100" s="12">
        <v>8264.4569403733749</v>
      </c>
      <c r="AK100" s="12">
        <v>8169.5384998559621</v>
      </c>
      <c r="AL100" s="12">
        <v>9738.2589844189752</v>
      </c>
      <c r="AM100" s="12">
        <v>10048.064263116439</v>
      </c>
      <c r="AN100" s="12">
        <v>11174.90990254367</v>
      </c>
      <c r="AO100" s="12">
        <v>11508.33123798325</v>
      </c>
      <c r="AP100" s="12">
        <v>12631.438107189329</v>
      </c>
      <c r="AQ100" s="12">
        <v>11840.19450313764</v>
      </c>
      <c r="AR100" s="12">
        <v>14127.221452227361</v>
      </c>
      <c r="AS100" s="12">
        <v>14830.58588449178</v>
      </c>
      <c r="AT100" s="12">
        <v>16446.089457110611</v>
      </c>
      <c r="AU100" s="12">
        <v>16224.66867919417</v>
      </c>
      <c r="AV100" s="12">
        <v>17254.72386104412</v>
      </c>
      <c r="AW100" s="12">
        <v>19248.985488385169</v>
      </c>
      <c r="AX100" s="12">
        <v>24213.47729529061</v>
      </c>
      <c r="AY100" s="12">
        <v>23286.864653625391</v>
      </c>
      <c r="AZ100" s="12">
        <v>69355.085783842762</v>
      </c>
      <c r="BA100" s="12">
        <v>13687.95828829528</v>
      </c>
      <c r="BB100" s="12">
        <v>44984958.921710797</v>
      </c>
      <c r="BC100" s="12">
        <v>104.52727068521369</v>
      </c>
      <c r="BD100" s="12">
        <v>116.2211506075691</v>
      </c>
      <c r="BE100" s="12">
        <v>104.6387518525552</v>
      </c>
      <c r="BF100" s="12">
        <v>72.845204096510301</v>
      </c>
      <c r="BG100" s="12">
        <v>102.93141132489021</v>
      </c>
      <c r="BH100" s="12">
        <v>104.24629640894641</v>
      </c>
      <c r="BI100" s="12">
        <v>109.7345036665041</v>
      </c>
      <c r="BJ100" s="12">
        <v>97.996107804286964</v>
      </c>
      <c r="BK100" s="12">
        <v>6.5781665063907091E-2</v>
      </c>
      <c r="BL100" s="12">
        <v>0.955061202467405</v>
      </c>
      <c r="BM100" s="12">
        <v>12.530380490140921</v>
      </c>
      <c r="BN100" s="12">
        <v>0</v>
      </c>
      <c r="BO100" s="12">
        <v>0</v>
      </c>
      <c r="BP100" s="12">
        <v>0</v>
      </c>
      <c r="BQ100" s="12" t="s">
        <v>815</v>
      </c>
    </row>
    <row r="101" spans="1:69" x14ac:dyDescent="0.25">
      <c r="A101" s="12" t="s">
        <v>816</v>
      </c>
      <c r="B101" s="12" t="s">
        <v>29</v>
      </c>
      <c r="C101" s="12">
        <v>2017</v>
      </c>
      <c r="D101" s="12" t="s">
        <v>384</v>
      </c>
      <c r="E101" s="12" t="s">
        <v>145</v>
      </c>
      <c r="F101" s="12" t="s">
        <v>72</v>
      </c>
      <c r="G101" s="12">
        <v>1</v>
      </c>
      <c r="H101" s="12">
        <v>0.92286513071047604</v>
      </c>
      <c r="I101" s="12">
        <v>0</v>
      </c>
      <c r="J101" s="12">
        <v>3.702132862946125</v>
      </c>
      <c r="K101" s="12">
        <v>4.9848458271352207</v>
      </c>
      <c r="L101" s="12">
        <v>0</v>
      </c>
      <c r="M101" s="12">
        <v>2.2619812911587038</v>
      </c>
      <c r="N101" s="12">
        <v>0</v>
      </c>
      <c r="O101" s="12">
        <v>2.1432725618081121</v>
      </c>
      <c r="P101" s="12">
        <v>0</v>
      </c>
      <c r="Q101" s="12">
        <v>3.1137647792350491</v>
      </c>
      <c r="R101" s="12">
        <v>54.932235024761468</v>
      </c>
      <c r="S101" s="12">
        <v>0</v>
      </c>
      <c r="T101" s="12">
        <v>0</v>
      </c>
      <c r="U101" s="12">
        <v>1.159903370557235</v>
      </c>
      <c r="V101" s="12">
        <v>4.3537459096055864</v>
      </c>
      <c r="W101" s="12">
        <v>0</v>
      </c>
      <c r="X101" s="12">
        <v>1.800052251903469</v>
      </c>
      <c r="Y101" s="12">
        <v>0</v>
      </c>
      <c r="Z101" s="12">
        <v>0</v>
      </c>
      <c r="AA101" s="12">
        <v>0</v>
      </c>
      <c r="AB101" s="12">
        <v>1.957029364415559</v>
      </c>
      <c r="AC101" s="12">
        <v>3.392769324336808</v>
      </c>
      <c r="AD101" s="12">
        <v>7.6998853792756341</v>
      </c>
      <c r="AE101" s="12">
        <v>0</v>
      </c>
      <c r="AF101" s="12">
        <v>3.8904297503214118</v>
      </c>
      <c r="AG101" s="12">
        <v>3235.1439647445591</v>
      </c>
      <c r="AH101" s="12">
        <v>6923.065176196088</v>
      </c>
      <c r="AI101" s="12">
        <v>6895.6432947722378</v>
      </c>
      <c r="AJ101" s="12">
        <v>8240.6275441818088</v>
      </c>
      <c r="AK101" s="12">
        <v>8237.7212293086868</v>
      </c>
      <c r="AL101" s="12">
        <v>10121.87676379927</v>
      </c>
      <c r="AM101" s="12">
        <v>10351.14621606422</v>
      </c>
      <c r="AN101" s="12">
        <v>11534.78924562001</v>
      </c>
      <c r="AO101" s="12">
        <v>10715.621885183051</v>
      </c>
      <c r="AP101" s="12">
        <v>11403.54122748189</v>
      </c>
      <c r="AQ101" s="12">
        <v>11355.848441171789</v>
      </c>
      <c r="AR101" s="12">
        <v>13650.31458246406</v>
      </c>
      <c r="AS101" s="12">
        <v>13896.98554643325</v>
      </c>
      <c r="AT101" s="12">
        <v>16516.04733199357</v>
      </c>
      <c r="AU101" s="12">
        <v>16392.38216867287</v>
      </c>
      <c r="AV101" s="12">
        <v>17213.293044218801</v>
      </c>
      <c r="AW101" s="12">
        <v>19377.713114182388</v>
      </c>
      <c r="AX101" s="12">
        <v>24322.656121036522</v>
      </c>
      <c r="AY101" s="12">
        <v>24966.434081743118</v>
      </c>
      <c r="AZ101" s="12">
        <v>63776.961634490297</v>
      </c>
      <c r="BA101" s="12">
        <v>5573.9727510503317</v>
      </c>
      <c r="BB101" s="12">
        <v>4850806.4630560251</v>
      </c>
      <c r="BC101" s="12">
        <v>0</v>
      </c>
      <c r="BD101" s="12">
        <v>0</v>
      </c>
      <c r="BE101" s="12">
        <v>0</v>
      </c>
      <c r="BF101" s="12">
        <v>0</v>
      </c>
      <c r="BG101" s="12">
        <v>0</v>
      </c>
      <c r="BH101" s="12">
        <v>0</v>
      </c>
      <c r="BI101" s="12">
        <v>0</v>
      </c>
      <c r="BJ101" s="12">
        <v>0</v>
      </c>
      <c r="BK101" s="12">
        <v>5.4607070404052431E-2</v>
      </c>
      <c r="BL101" s="12">
        <v>0.8596625372363238</v>
      </c>
      <c r="BM101" s="12">
        <v>5.0170914526281436</v>
      </c>
      <c r="BN101" s="12">
        <v>0</v>
      </c>
      <c r="BO101" s="12">
        <v>0</v>
      </c>
      <c r="BP101" s="12">
        <v>0</v>
      </c>
      <c r="BQ101" s="12" t="s">
        <v>817</v>
      </c>
    </row>
    <row r="102" spans="1:69" x14ac:dyDescent="0.25">
      <c r="A102" s="12" t="s">
        <v>818</v>
      </c>
      <c r="B102" s="12" t="s">
        <v>29</v>
      </c>
      <c r="C102" s="12">
        <v>2017</v>
      </c>
      <c r="D102" s="12" t="s">
        <v>384</v>
      </c>
      <c r="E102" s="12" t="s">
        <v>145</v>
      </c>
      <c r="F102" s="12" t="s">
        <v>72</v>
      </c>
      <c r="G102" s="12">
        <v>2</v>
      </c>
      <c r="H102" s="12">
        <v>1.0342763382402189</v>
      </c>
      <c r="I102" s="12">
        <v>0</v>
      </c>
      <c r="J102" s="12">
        <v>3.729402859902375</v>
      </c>
      <c r="K102" s="12">
        <v>4.7995408506521269</v>
      </c>
      <c r="L102" s="12">
        <v>0</v>
      </c>
      <c r="M102" s="12">
        <v>2.481678092332813</v>
      </c>
      <c r="N102" s="12">
        <v>0</v>
      </c>
      <c r="O102" s="12">
        <v>2.721616325427668</v>
      </c>
      <c r="P102" s="12">
        <v>0</v>
      </c>
      <c r="Q102" s="12">
        <v>3.0963756877363542</v>
      </c>
      <c r="R102" s="12">
        <v>54.998346639196903</v>
      </c>
      <c r="S102" s="12">
        <v>0</v>
      </c>
      <c r="T102" s="12">
        <v>0</v>
      </c>
      <c r="U102" s="12">
        <v>1.6822296802512291</v>
      </c>
      <c r="V102" s="12">
        <v>3.7646105235204219</v>
      </c>
      <c r="W102" s="12">
        <v>0</v>
      </c>
      <c r="X102" s="12">
        <v>1.1348740334585581</v>
      </c>
      <c r="Y102" s="12">
        <v>0</v>
      </c>
      <c r="Z102" s="12">
        <v>0</v>
      </c>
      <c r="AA102" s="12">
        <v>0</v>
      </c>
      <c r="AB102" s="12">
        <v>2.0025747029586962</v>
      </c>
      <c r="AC102" s="12">
        <v>3.2717018368030808</v>
      </c>
      <c r="AD102" s="12">
        <v>6.7229863653849797</v>
      </c>
      <c r="AE102" s="12">
        <v>0</v>
      </c>
      <c r="AF102" s="12">
        <v>4.8331498557466732</v>
      </c>
      <c r="AG102" s="12">
        <v>3001.4872773640159</v>
      </c>
      <c r="AH102" s="12">
        <v>6786.1523036931048</v>
      </c>
      <c r="AI102" s="12">
        <v>7672.1678642160214</v>
      </c>
      <c r="AJ102" s="12">
        <v>9065.4700463871213</v>
      </c>
      <c r="AK102" s="12">
        <v>8947.881112125775</v>
      </c>
      <c r="AL102" s="12">
        <v>9897.4697209536716</v>
      </c>
      <c r="AM102" s="12">
        <v>9469.2630491702876</v>
      </c>
      <c r="AN102" s="12">
        <v>10436.822280733841</v>
      </c>
      <c r="AO102" s="12">
        <v>10206.233568246271</v>
      </c>
      <c r="AP102" s="12">
        <v>11957.339536639611</v>
      </c>
      <c r="AQ102" s="12">
        <v>11901.590742023929</v>
      </c>
      <c r="AR102" s="12">
        <v>13251.773122772231</v>
      </c>
      <c r="AS102" s="12">
        <v>14587.8987513635</v>
      </c>
      <c r="AT102" s="12">
        <v>15497.77698562379</v>
      </c>
      <c r="AU102" s="12">
        <v>16958.4293520301</v>
      </c>
      <c r="AV102" s="12">
        <v>19084.481721637781</v>
      </c>
      <c r="AW102" s="12">
        <v>19196.165012105201</v>
      </c>
      <c r="AX102" s="12">
        <v>23907.98005870256</v>
      </c>
      <c r="AY102" s="12">
        <v>23733.339390977319</v>
      </c>
      <c r="AZ102" s="12">
        <v>63491.098414856708</v>
      </c>
      <c r="BA102" s="12">
        <v>8494.0942540960878</v>
      </c>
      <c r="BB102" s="12">
        <v>4685186.35082296</v>
      </c>
      <c r="BC102" s="12">
        <v>0</v>
      </c>
      <c r="BD102" s="12">
        <v>0</v>
      </c>
      <c r="BE102" s="12">
        <v>0</v>
      </c>
      <c r="BF102" s="12">
        <v>0</v>
      </c>
      <c r="BG102" s="12">
        <v>0</v>
      </c>
      <c r="BH102" s="12">
        <v>0</v>
      </c>
      <c r="BI102" s="12">
        <v>0</v>
      </c>
      <c r="BJ102" s="12">
        <v>0</v>
      </c>
      <c r="BK102" s="12">
        <v>8.890734325835108E-3</v>
      </c>
      <c r="BL102" s="12">
        <v>1.6698337154385429E-2</v>
      </c>
      <c r="BM102" s="12">
        <v>5.1485316084834807</v>
      </c>
      <c r="BN102" s="12">
        <v>0</v>
      </c>
      <c r="BO102" s="12">
        <v>0</v>
      </c>
      <c r="BP102" s="12">
        <v>0</v>
      </c>
      <c r="BQ102" s="12" t="s">
        <v>819</v>
      </c>
    </row>
    <row r="103" spans="1:69" x14ac:dyDescent="0.25">
      <c r="A103" s="12" t="s">
        <v>820</v>
      </c>
      <c r="B103" s="12" t="s">
        <v>29</v>
      </c>
      <c r="C103" s="12">
        <v>2017</v>
      </c>
      <c r="D103" s="12" t="s">
        <v>384</v>
      </c>
      <c r="E103" s="12" t="s">
        <v>145</v>
      </c>
      <c r="F103" s="12" t="s">
        <v>72</v>
      </c>
      <c r="G103" s="12">
        <v>3</v>
      </c>
      <c r="H103" s="12">
        <v>1.182530509206696</v>
      </c>
      <c r="I103" s="12">
        <v>0</v>
      </c>
      <c r="J103" s="12">
        <v>3.6470280873053529</v>
      </c>
      <c r="K103" s="12">
        <v>5.628634344415433</v>
      </c>
      <c r="L103" s="12">
        <v>0</v>
      </c>
      <c r="M103" s="12">
        <v>2.525181053833554</v>
      </c>
      <c r="N103" s="12">
        <v>0</v>
      </c>
      <c r="O103" s="12">
        <v>2.5264349958111851</v>
      </c>
      <c r="P103" s="12">
        <v>0</v>
      </c>
      <c r="Q103" s="12">
        <v>2.957069507853916</v>
      </c>
      <c r="R103" s="12">
        <v>51.766020489136437</v>
      </c>
      <c r="S103" s="12">
        <v>0</v>
      </c>
      <c r="T103" s="12">
        <v>0</v>
      </c>
      <c r="U103" s="12">
        <v>1.8250894573183221</v>
      </c>
      <c r="V103" s="12">
        <v>3.3769191741546618</v>
      </c>
      <c r="W103" s="12">
        <v>0</v>
      </c>
      <c r="X103" s="12">
        <v>0.91636960427922354</v>
      </c>
      <c r="Y103" s="12">
        <v>0.43604586177151028</v>
      </c>
      <c r="Z103" s="12">
        <v>0</v>
      </c>
      <c r="AA103" s="12">
        <v>0</v>
      </c>
      <c r="AB103" s="12">
        <v>1.792454016215002</v>
      </c>
      <c r="AC103" s="12">
        <v>3.1490617333461661</v>
      </c>
      <c r="AD103" s="12">
        <v>6.4579572609270572</v>
      </c>
      <c r="AE103" s="12">
        <v>0</v>
      </c>
      <c r="AF103" s="12">
        <v>4.1100651493165339</v>
      </c>
      <c r="AG103" s="12">
        <v>3079.0229789406521</v>
      </c>
      <c r="AH103" s="12">
        <v>7272.6561256448413</v>
      </c>
      <c r="AI103" s="12">
        <v>7055.4116799441772</v>
      </c>
      <c r="AJ103" s="12">
        <v>8697.5477240758391</v>
      </c>
      <c r="AK103" s="12">
        <v>8321.2447806817072</v>
      </c>
      <c r="AL103" s="12">
        <v>10058.487227594631</v>
      </c>
      <c r="AM103" s="12">
        <v>9695.452391427978</v>
      </c>
      <c r="AN103" s="12">
        <v>11286.968358422049</v>
      </c>
      <c r="AO103" s="12">
        <v>11290.937970406359</v>
      </c>
      <c r="AP103" s="12">
        <v>12308.580143439291</v>
      </c>
      <c r="AQ103" s="12">
        <v>13026.337202942281</v>
      </c>
      <c r="AR103" s="12">
        <v>13159.146550906789</v>
      </c>
      <c r="AS103" s="12">
        <v>12882.335945938081</v>
      </c>
      <c r="AT103" s="12">
        <v>16426.589122726738</v>
      </c>
      <c r="AU103" s="12">
        <v>16653.32473334008</v>
      </c>
      <c r="AV103" s="12">
        <v>19171.63860537939</v>
      </c>
      <c r="AW103" s="12">
        <v>18249.83991056159</v>
      </c>
      <c r="AX103" s="12">
        <v>23640.658989798449</v>
      </c>
      <c r="AY103" s="12">
        <v>24551.646363700151</v>
      </c>
      <c r="AZ103" s="12">
        <v>68865.274620208787</v>
      </c>
      <c r="BA103" s="12">
        <v>8570.3177014811336</v>
      </c>
      <c r="BB103" s="12">
        <v>5006451.6168816881</v>
      </c>
      <c r="BC103" s="12">
        <v>0</v>
      </c>
      <c r="BD103" s="12">
        <v>0</v>
      </c>
      <c r="BE103" s="12">
        <v>0</v>
      </c>
      <c r="BF103" s="12">
        <v>0</v>
      </c>
      <c r="BG103" s="12">
        <v>0</v>
      </c>
      <c r="BH103" s="12">
        <v>0</v>
      </c>
      <c r="BI103" s="12">
        <v>0</v>
      </c>
      <c r="BJ103" s="12">
        <v>0</v>
      </c>
      <c r="BK103" s="12">
        <v>0</v>
      </c>
      <c r="BL103" s="12">
        <v>0</v>
      </c>
      <c r="BM103" s="12">
        <v>2.4511037544246541</v>
      </c>
      <c r="BN103" s="12">
        <v>0</v>
      </c>
      <c r="BO103" s="12">
        <v>0</v>
      </c>
      <c r="BP103" s="12">
        <v>0</v>
      </c>
      <c r="BQ103" s="12" t="s">
        <v>821</v>
      </c>
    </row>
    <row r="104" spans="1:69" x14ac:dyDescent="0.25">
      <c r="A104" s="12" t="s">
        <v>822</v>
      </c>
      <c r="B104" s="12" t="s">
        <v>29</v>
      </c>
      <c r="C104" s="12">
        <v>2017</v>
      </c>
      <c r="D104" s="12" t="s">
        <v>384</v>
      </c>
      <c r="E104" s="12" t="s">
        <v>145</v>
      </c>
      <c r="F104" s="12" t="s">
        <v>72</v>
      </c>
      <c r="G104" s="12">
        <v>4</v>
      </c>
      <c r="H104" s="12">
        <v>1.0296045610410809</v>
      </c>
      <c r="I104" s="12">
        <v>0</v>
      </c>
      <c r="J104" s="12">
        <v>3.6704776480498582</v>
      </c>
      <c r="K104" s="12">
        <v>5.2852364357919841</v>
      </c>
      <c r="L104" s="12">
        <v>0</v>
      </c>
      <c r="M104" s="12">
        <v>2.856467647857611</v>
      </c>
      <c r="N104" s="12">
        <v>0</v>
      </c>
      <c r="O104" s="12">
        <v>2.4981728084173418</v>
      </c>
      <c r="P104" s="12">
        <v>0</v>
      </c>
      <c r="Q104" s="12">
        <v>3.0727129407206322</v>
      </c>
      <c r="R104" s="12">
        <v>57.310100957213081</v>
      </c>
      <c r="S104" s="12">
        <v>0</v>
      </c>
      <c r="T104" s="12">
        <v>0</v>
      </c>
      <c r="U104" s="12">
        <v>1.987820567096013</v>
      </c>
      <c r="V104" s="12">
        <v>3.2784964939824812</v>
      </c>
      <c r="W104" s="12">
        <v>0</v>
      </c>
      <c r="X104" s="12">
        <v>0</v>
      </c>
      <c r="Y104" s="12">
        <v>0.48447618585150681</v>
      </c>
      <c r="Z104" s="12">
        <v>0</v>
      </c>
      <c r="AA104" s="12">
        <v>0</v>
      </c>
      <c r="AB104" s="12">
        <v>1.7216623607815189</v>
      </c>
      <c r="AC104" s="12">
        <v>3.627585483517092</v>
      </c>
      <c r="AD104" s="12">
        <v>6.8304600035614538</v>
      </c>
      <c r="AE104" s="12">
        <v>0</v>
      </c>
      <c r="AF104" s="12">
        <v>4.4679803232008926</v>
      </c>
      <c r="AG104" s="12">
        <v>3261.697867463381</v>
      </c>
      <c r="AH104" s="12">
        <v>7222.6470663285072</v>
      </c>
      <c r="AI104" s="12">
        <v>7031.3711746936833</v>
      </c>
      <c r="AJ104" s="12">
        <v>8134.8642405225082</v>
      </c>
      <c r="AK104" s="12">
        <v>8710.2834979586005</v>
      </c>
      <c r="AL104" s="12">
        <v>9308.4681337919992</v>
      </c>
      <c r="AM104" s="12">
        <v>10075.874187998739</v>
      </c>
      <c r="AN104" s="12">
        <v>11304.324726841931</v>
      </c>
      <c r="AO104" s="12">
        <v>10881.05870750575</v>
      </c>
      <c r="AP104" s="12">
        <v>11343.80094069505</v>
      </c>
      <c r="AQ104" s="12">
        <v>13018.92306962879</v>
      </c>
      <c r="AR104" s="12">
        <v>14333.349084152689</v>
      </c>
      <c r="AS104" s="12">
        <v>13116.135136980911</v>
      </c>
      <c r="AT104" s="12">
        <v>16578.595553214971</v>
      </c>
      <c r="AU104" s="12">
        <v>16021.34636311539</v>
      </c>
      <c r="AV104" s="12">
        <v>19483.662565635212</v>
      </c>
      <c r="AW104" s="12">
        <v>18923.858892875731</v>
      </c>
      <c r="AX104" s="12">
        <v>23007.500757339862</v>
      </c>
      <c r="AY104" s="12">
        <v>24829.461015931789</v>
      </c>
      <c r="AZ104" s="12">
        <v>67527.797786891388</v>
      </c>
      <c r="BA104" s="12">
        <v>10861.75904903286</v>
      </c>
      <c r="BB104" s="12">
        <v>4489176.6354787117</v>
      </c>
      <c r="BC104" s="12">
        <v>0</v>
      </c>
      <c r="BD104" s="12">
        <v>0</v>
      </c>
      <c r="BE104" s="12">
        <v>0</v>
      </c>
      <c r="BF104" s="12">
        <v>0</v>
      </c>
      <c r="BG104" s="12">
        <v>0</v>
      </c>
      <c r="BH104" s="12">
        <v>0</v>
      </c>
      <c r="BI104" s="12">
        <v>0</v>
      </c>
      <c r="BJ104" s="12">
        <v>0</v>
      </c>
      <c r="BK104" s="12">
        <v>0</v>
      </c>
      <c r="BL104" s="12">
        <v>0</v>
      </c>
      <c r="BM104" s="12">
        <v>0.49748740588388102</v>
      </c>
      <c r="BN104" s="12">
        <v>0</v>
      </c>
      <c r="BO104" s="12">
        <v>0</v>
      </c>
      <c r="BP104" s="12">
        <v>0</v>
      </c>
      <c r="BQ104" s="12" t="s">
        <v>823</v>
      </c>
    </row>
    <row r="105" spans="1:69" x14ac:dyDescent="0.25">
      <c r="A105" s="12" t="s">
        <v>824</v>
      </c>
      <c r="B105" s="12" t="s">
        <v>29</v>
      </c>
      <c r="C105" s="12">
        <v>2017</v>
      </c>
      <c r="D105" s="12" t="s">
        <v>384</v>
      </c>
      <c r="E105" s="12" t="s">
        <v>145</v>
      </c>
      <c r="F105" s="12" t="s">
        <v>72</v>
      </c>
      <c r="G105" s="12">
        <v>5</v>
      </c>
      <c r="H105" s="12">
        <v>1.033966582315512</v>
      </c>
      <c r="I105" s="12">
        <v>0</v>
      </c>
      <c r="J105" s="12">
        <v>3.923301569692093</v>
      </c>
      <c r="K105" s="12">
        <v>5.1792756752554654</v>
      </c>
      <c r="L105" s="12">
        <v>0</v>
      </c>
      <c r="M105" s="12">
        <v>2.9988994811585581</v>
      </c>
      <c r="N105" s="12">
        <v>0</v>
      </c>
      <c r="O105" s="12">
        <v>1.702194639003916</v>
      </c>
      <c r="P105" s="12">
        <v>0</v>
      </c>
      <c r="Q105" s="12">
        <v>3.0007688357990561</v>
      </c>
      <c r="R105" s="12">
        <v>51.852147357834284</v>
      </c>
      <c r="S105" s="12">
        <v>0</v>
      </c>
      <c r="T105" s="12">
        <v>0</v>
      </c>
      <c r="U105" s="12">
        <v>2.0526157468960071</v>
      </c>
      <c r="V105" s="12">
        <v>3.419751958509035</v>
      </c>
      <c r="W105" s="12">
        <v>0</v>
      </c>
      <c r="X105" s="12">
        <v>0</v>
      </c>
      <c r="Y105" s="12">
        <v>0.62633076846505631</v>
      </c>
      <c r="Z105" s="12">
        <v>0</v>
      </c>
      <c r="AA105" s="12">
        <v>0</v>
      </c>
      <c r="AB105" s="12">
        <v>1.5805764954333721</v>
      </c>
      <c r="AC105" s="12">
        <v>4.3715050233878534</v>
      </c>
      <c r="AD105" s="12">
        <v>6.6247915979009031</v>
      </c>
      <c r="AE105" s="12">
        <v>0</v>
      </c>
      <c r="AF105" s="12">
        <v>4.578157951807917</v>
      </c>
      <c r="AG105" s="12">
        <v>3135.573126627909</v>
      </c>
      <c r="AH105" s="12">
        <v>7117.172390744955</v>
      </c>
      <c r="AI105" s="12">
        <v>7397.0558023246103</v>
      </c>
      <c r="AJ105" s="12">
        <v>8153.0027763439948</v>
      </c>
      <c r="AK105" s="12">
        <v>8808.5175303000469</v>
      </c>
      <c r="AL105" s="12">
        <v>10019.6853800479</v>
      </c>
      <c r="AM105" s="12">
        <v>10063.61333925643</v>
      </c>
      <c r="AN105" s="12">
        <v>11087.36506174651</v>
      </c>
      <c r="AO105" s="12">
        <v>10875.660569915901</v>
      </c>
      <c r="AP105" s="12">
        <v>11625.38070990718</v>
      </c>
      <c r="AQ105" s="12">
        <v>11443.05176836548</v>
      </c>
      <c r="AR105" s="12">
        <v>13731.987357683571</v>
      </c>
      <c r="AS105" s="12">
        <v>13436.090291712109</v>
      </c>
      <c r="AT105" s="12">
        <v>15764.56971568134</v>
      </c>
      <c r="AU105" s="12">
        <v>15342.678668647881</v>
      </c>
      <c r="AV105" s="12">
        <v>19526.290869525379</v>
      </c>
      <c r="AW105" s="12">
        <v>17612.7814934909</v>
      </c>
      <c r="AX105" s="12">
        <v>22676.405473340339</v>
      </c>
      <c r="AY105" s="12">
        <v>22710.367579990529</v>
      </c>
      <c r="AZ105" s="12">
        <v>68456.602528973963</v>
      </c>
      <c r="BA105" s="12">
        <v>11094.56464736719</v>
      </c>
      <c r="BB105" s="12">
        <v>4808909.8277536826</v>
      </c>
      <c r="BC105" s="12">
        <v>0</v>
      </c>
      <c r="BD105" s="12">
        <v>0</v>
      </c>
      <c r="BE105" s="12">
        <v>0</v>
      </c>
      <c r="BF105" s="12">
        <v>0</v>
      </c>
      <c r="BG105" s="12">
        <v>0</v>
      </c>
      <c r="BH105" s="12">
        <v>0</v>
      </c>
      <c r="BI105" s="12">
        <v>0</v>
      </c>
      <c r="BJ105" s="12">
        <v>0</v>
      </c>
      <c r="BK105" s="12">
        <v>0</v>
      </c>
      <c r="BL105" s="12">
        <v>0</v>
      </c>
      <c r="BM105" s="12">
        <v>0.1607018986139522</v>
      </c>
      <c r="BN105" s="12">
        <v>0</v>
      </c>
      <c r="BO105" s="12">
        <v>0</v>
      </c>
      <c r="BP105" s="12">
        <v>0</v>
      </c>
      <c r="BQ105" s="12" t="s">
        <v>825</v>
      </c>
    </row>
    <row r="106" spans="1:69" x14ac:dyDescent="0.25">
      <c r="A106" s="12" t="s">
        <v>826</v>
      </c>
      <c r="B106" s="12" t="s">
        <v>29</v>
      </c>
      <c r="C106" s="12">
        <v>2017</v>
      </c>
      <c r="D106" s="12" t="s">
        <v>384</v>
      </c>
      <c r="E106" s="12" t="s">
        <v>145</v>
      </c>
      <c r="F106" s="12" t="s">
        <v>72</v>
      </c>
      <c r="G106" s="12">
        <v>6</v>
      </c>
      <c r="H106" s="12">
        <v>1.1309368231916539</v>
      </c>
      <c r="I106" s="12">
        <v>0</v>
      </c>
      <c r="J106" s="12">
        <v>3.5614940312032721</v>
      </c>
      <c r="K106" s="12">
        <v>4.7785298411338966</v>
      </c>
      <c r="L106" s="12">
        <v>0</v>
      </c>
      <c r="M106" s="12">
        <v>3.1917088724663492</v>
      </c>
      <c r="N106" s="12">
        <v>0</v>
      </c>
      <c r="O106" s="12">
        <v>1.1881903392075459</v>
      </c>
      <c r="P106" s="12">
        <v>0</v>
      </c>
      <c r="Q106" s="12">
        <v>2.9536270251362651</v>
      </c>
      <c r="R106" s="12">
        <v>49.695390838204901</v>
      </c>
      <c r="S106" s="12">
        <v>0</v>
      </c>
      <c r="T106" s="12">
        <v>0</v>
      </c>
      <c r="U106" s="12">
        <v>2.4242480476872368</v>
      </c>
      <c r="V106" s="12">
        <v>3.4512023819683249</v>
      </c>
      <c r="W106" s="12">
        <v>0</v>
      </c>
      <c r="X106" s="12">
        <v>0</v>
      </c>
      <c r="Y106" s="12">
        <v>0.56991104375932189</v>
      </c>
      <c r="Z106" s="12">
        <v>0</v>
      </c>
      <c r="AA106" s="12">
        <v>0</v>
      </c>
      <c r="AB106" s="12">
        <v>1.434495231285454</v>
      </c>
      <c r="AC106" s="12">
        <v>4.5304667384364707</v>
      </c>
      <c r="AD106" s="12">
        <v>7.1378388695461981</v>
      </c>
      <c r="AE106" s="12">
        <v>0</v>
      </c>
      <c r="AF106" s="12">
        <v>4.2043578476615346</v>
      </c>
      <c r="AG106" s="12">
        <v>2965.3555545629629</v>
      </c>
      <c r="AH106" s="12">
        <v>6908.3154676179847</v>
      </c>
      <c r="AI106" s="12">
        <v>7078.7455195918701</v>
      </c>
      <c r="AJ106" s="12">
        <v>8391.029217751844</v>
      </c>
      <c r="AK106" s="12">
        <v>8412.3237798507089</v>
      </c>
      <c r="AL106" s="12">
        <v>9474.9818057959437</v>
      </c>
      <c r="AM106" s="12">
        <v>9934.4308458107498</v>
      </c>
      <c r="AN106" s="12">
        <v>11403.80595952337</v>
      </c>
      <c r="AO106" s="12">
        <v>11591.910527361069</v>
      </c>
      <c r="AP106" s="12">
        <v>12922.834427909171</v>
      </c>
      <c r="AQ106" s="12">
        <v>12287.807873894841</v>
      </c>
      <c r="AR106" s="12">
        <v>13450.01704702915</v>
      </c>
      <c r="AS106" s="12">
        <v>14745.49436215471</v>
      </c>
      <c r="AT106" s="12">
        <v>14868.39764023538</v>
      </c>
      <c r="AU106" s="12">
        <v>14818.609485255271</v>
      </c>
      <c r="AV106" s="12">
        <v>17379.365643895821</v>
      </c>
      <c r="AW106" s="12">
        <v>19865.605879437378</v>
      </c>
      <c r="AX106" s="12">
        <v>23790.68520126673</v>
      </c>
      <c r="AY106" s="12">
        <v>23588.454333013811</v>
      </c>
      <c r="AZ106" s="12">
        <v>66325.633910738776</v>
      </c>
      <c r="BA106" s="12">
        <v>13568.67651425935</v>
      </c>
      <c r="BB106" s="12">
        <v>4807764.7876152983</v>
      </c>
      <c r="BC106" s="12">
        <v>0</v>
      </c>
      <c r="BD106" s="12">
        <v>0</v>
      </c>
      <c r="BE106" s="12">
        <v>0</v>
      </c>
      <c r="BF106" s="12">
        <v>0</v>
      </c>
      <c r="BG106" s="12">
        <v>0</v>
      </c>
      <c r="BH106" s="12">
        <v>0</v>
      </c>
      <c r="BI106" s="12">
        <v>0</v>
      </c>
      <c r="BJ106" s="12">
        <v>0</v>
      </c>
      <c r="BK106" s="12">
        <v>0</v>
      </c>
      <c r="BL106" s="12">
        <v>0</v>
      </c>
      <c r="BM106" s="12">
        <v>2.6689601714689981E-2</v>
      </c>
      <c r="BN106" s="12">
        <v>0</v>
      </c>
      <c r="BO106" s="12">
        <v>0</v>
      </c>
      <c r="BP106" s="12">
        <v>0</v>
      </c>
      <c r="BQ106" s="12" t="s">
        <v>827</v>
      </c>
    </row>
    <row r="107" spans="1:69" x14ac:dyDescent="0.25">
      <c r="A107" s="12" t="s">
        <v>828</v>
      </c>
      <c r="B107" s="12" t="s">
        <v>29</v>
      </c>
      <c r="C107" s="12">
        <v>2017</v>
      </c>
      <c r="D107" s="12" t="s">
        <v>384</v>
      </c>
      <c r="E107" s="12" t="s">
        <v>145</v>
      </c>
      <c r="F107" s="12" t="s">
        <v>72</v>
      </c>
      <c r="G107" s="12">
        <v>7</v>
      </c>
      <c r="H107" s="12">
        <v>0.99005078288572224</v>
      </c>
      <c r="I107" s="12">
        <v>0</v>
      </c>
      <c r="J107" s="12">
        <v>3.5424802750094222</v>
      </c>
      <c r="K107" s="12">
        <v>4.7572072599254813</v>
      </c>
      <c r="L107" s="12">
        <v>0</v>
      </c>
      <c r="M107" s="12">
        <v>3.529353272083509</v>
      </c>
      <c r="N107" s="12">
        <v>0</v>
      </c>
      <c r="O107" s="12">
        <v>0</v>
      </c>
      <c r="P107" s="12">
        <v>0</v>
      </c>
      <c r="Q107" s="12">
        <v>2.9509858735798602</v>
      </c>
      <c r="R107" s="12">
        <v>52.780791118873218</v>
      </c>
      <c r="S107" s="12">
        <v>0</v>
      </c>
      <c r="T107" s="12">
        <v>0</v>
      </c>
      <c r="U107" s="12">
        <v>2.791714955542834</v>
      </c>
      <c r="V107" s="12">
        <v>3.465073215304133</v>
      </c>
      <c r="W107" s="12">
        <v>0</v>
      </c>
      <c r="X107" s="12">
        <v>0</v>
      </c>
      <c r="Y107" s="12">
        <v>0.55753947552864858</v>
      </c>
      <c r="Z107" s="12">
        <v>0</v>
      </c>
      <c r="AA107" s="12">
        <v>0</v>
      </c>
      <c r="AB107" s="12">
        <v>1.1304428424580031</v>
      </c>
      <c r="AC107" s="12">
        <v>5.1782211253448516</v>
      </c>
      <c r="AD107" s="12">
        <v>6.9222629947376033</v>
      </c>
      <c r="AE107" s="12">
        <v>0</v>
      </c>
      <c r="AF107" s="12">
        <v>4.3876878582902448</v>
      </c>
      <c r="AG107" s="12">
        <v>3382.5463268960712</v>
      </c>
      <c r="AH107" s="12">
        <v>7237.0824506434419</v>
      </c>
      <c r="AI107" s="12">
        <v>7534.3056342283817</v>
      </c>
      <c r="AJ107" s="12">
        <v>8039.2259936050314</v>
      </c>
      <c r="AK107" s="12">
        <v>9027.3132549597249</v>
      </c>
      <c r="AL107" s="12">
        <v>10290.786965843619</v>
      </c>
      <c r="AM107" s="12">
        <v>10217.57216548376</v>
      </c>
      <c r="AN107" s="12">
        <v>10731.12371316618</v>
      </c>
      <c r="AO107" s="12">
        <v>11628.71359678623</v>
      </c>
      <c r="AP107" s="12">
        <v>11654.464078571909</v>
      </c>
      <c r="AQ107" s="12">
        <v>12743.657606576069</v>
      </c>
      <c r="AR107" s="12">
        <v>13693.819944623951</v>
      </c>
      <c r="AS107" s="12">
        <v>14917.950016949129</v>
      </c>
      <c r="AT107" s="12">
        <v>15961.57637152029</v>
      </c>
      <c r="AU107" s="12">
        <v>15137.189296962681</v>
      </c>
      <c r="AV107" s="12">
        <v>19833.258846836361</v>
      </c>
      <c r="AW107" s="12">
        <v>19703.574757285769</v>
      </c>
      <c r="AX107" s="12">
        <v>23621.349907159649</v>
      </c>
      <c r="AY107" s="12">
        <v>22514.35363127468</v>
      </c>
      <c r="AZ107" s="12">
        <v>68366.361272022914</v>
      </c>
      <c r="BA107" s="12">
        <v>15198.69905315801</v>
      </c>
      <c r="BB107" s="12">
        <v>4880050.5176406978</v>
      </c>
      <c r="BC107" s="12">
        <v>0</v>
      </c>
      <c r="BD107" s="12">
        <v>0</v>
      </c>
      <c r="BE107" s="12">
        <v>0</v>
      </c>
      <c r="BF107" s="12">
        <v>0</v>
      </c>
      <c r="BG107" s="12">
        <v>0</v>
      </c>
      <c r="BH107" s="12">
        <v>0</v>
      </c>
      <c r="BI107" s="12">
        <v>0</v>
      </c>
      <c r="BJ107" s="12">
        <v>0</v>
      </c>
      <c r="BK107" s="12">
        <v>0</v>
      </c>
      <c r="BL107" s="12">
        <v>0</v>
      </c>
      <c r="BM107" s="12">
        <v>2.4805059272934419E-2</v>
      </c>
      <c r="BN107" s="12">
        <v>0</v>
      </c>
      <c r="BO107" s="12">
        <v>0</v>
      </c>
      <c r="BP107" s="12">
        <v>0</v>
      </c>
      <c r="BQ107" s="12" t="s">
        <v>829</v>
      </c>
    </row>
    <row r="108" spans="1:69" x14ac:dyDescent="0.25">
      <c r="A108" s="12" t="s">
        <v>830</v>
      </c>
      <c r="B108" s="12" t="s">
        <v>29</v>
      </c>
      <c r="C108" s="12">
        <v>2017</v>
      </c>
      <c r="D108" s="12" t="s">
        <v>384</v>
      </c>
      <c r="E108" s="12" t="s">
        <v>145</v>
      </c>
      <c r="F108" s="12" t="s">
        <v>72</v>
      </c>
      <c r="G108" s="12">
        <v>8</v>
      </c>
      <c r="H108" s="12">
        <v>1.186538989486871</v>
      </c>
      <c r="I108" s="12">
        <v>0</v>
      </c>
      <c r="J108" s="12">
        <v>3.667194700438436</v>
      </c>
      <c r="K108" s="12">
        <v>4.7553673344968326</v>
      </c>
      <c r="L108" s="12">
        <v>0</v>
      </c>
      <c r="M108" s="12">
        <v>3.361963673845767</v>
      </c>
      <c r="N108" s="12">
        <v>0</v>
      </c>
      <c r="O108" s="12">
        <v>0</v>
      </c>
      <c r="P108" s="12">
        <v>0</v>
      </c>
      <c r="Q108" s="12">
        <v>3.1144119597012629</v>
      </c>
      <c r="R108" s="12">
        <v>50.641170683706783</v>
      </c>
      <c r="S108" s="12">
        <v>0</v>
      </c>
      <c r="T108" s="12">
        <v>0</v>
      </c>
      <c r="U108" s="12">
        <v>2.487631191530439</v>
      </c>
      <c r="V108" s="12">
        <v>3.31877805523402</v>
      </c>
      <c r="W108" s="12">
        <v>0</v>
      </c>
      <c r="X108" s="12">
        <v>0</v>
      </c>
      <c r="Y108" s="12">
        <v>0.60101661939618389</v>
      </c>
      <c r="Z108" s="12">
        <v>0</v>
      </c>
      <c r="AA108" s="12">
        <v>0</v>
      </c>
      <c r="AB108" s="12">
        <v>0.85882520519885464</v>
      </c>
      <c r="AC108" s="12">
        <v>5.3786840597704559</v>
      </c>
      <c r="AD108" s="12">
        <v>6.9285255807685129</v>
      </c>
      <c r="AE108" s="12">
        <v>0</v>
      </c>
      <c r="AF108" s="12">
        <v>4.8417644590296449</v>
      </c>
      <c r="AG108" s="12">
        <v>3044.849304527705</v>
      </c>
      <c r="AH108" s="12">
        <v>7704.7550690277503</v>
      </c>
      <c r="AI108" s="12">
        <v>7431.6629864288188</v>
      </c>
      <c r="AJ108" s="12">
        <v>8654.7376437065159</v>
      </c>
      <c r="AK108" s="12">
        <v>9089.3744279697039</v>
      </c>
      <c r="AL108" s="12">
        <v>10373.00546165826</v>
      </c>
      <c r="AM108" s="12">
        <v>9111.0333416248704</v>
      </c>
      <c r="AN108" s="12">
        <v>11621.76308070816</v>
      </c>
      <c r="AO108" s="12">
        <v>11081.832302645311</v>
      </c>
      <c r="AP108" s="12">
        <v>11418.054736657319</v>
      </c>
      <c r="AQ108" s="12">
        <v>12802.903815707001</v>
      </c>
      <c r="AR108" s="12">
        <v>12975.268155074569</v>
      </c>
      <c r="AS108" s="12">
        <v>14050.184094144201</v>
      </c>
      <c r="AT108" s="12">
        <v>16437.142556856299</v>
      </c>
      <c r="AU108" s="12">
        <v>16833.07440258214</v>
      </c>
      <c r="AV108" s="12">
        <v>19405.929342326079</v>
      </c>
      <c r="AW108" s="12">
        <v>18248.290262217761</v>
      </c>
      <c r="AX108" s="12">
        <v>24850.296331013698</v>
      </c>
      <c r="AY108" s="12">
        <v>23355.647281687969</v>
      </c>
      <c r="AZ108" s="12">
        <v>62381.017869586067</v>
      </c>
      <c r="BA108" s="12">
        <v>16738.031699059429</v>
      </c>
      <c r="BB108" s="12">
        <v>4569498.0636968408</v>
      </c>
      <c r="BC108" s="12">
        <v>0</v>
      </c>
      <c r="BD108" s="12">
        <v>0</v>
      </c>
      <c r="BE108" s="12">
        <v>0</v>
      </c>
      <c r="BF108" s="12">
        <v>0</v>
      </c>
      <c r="BG108" s="12">
        <v>0</v>
      </c>
      <c r="BH108" s="12">
        <v>0</v>
      </c>
      <c r="BI108" s="12">
        <v>0</v>
      </c>
      <c r="BJ108" s="12">
        <v>0</v>
      </c>
      <c r="BK108" s="12">
        <v>0</v>
      </c>
      <c r="BL108" s="12">
        <v>0</v>
      </c>
      <c r="BM108" s="12">
        <v>0</v>
      </c>
      <c r="BN108" s="12">
        <v>0</v>
      </c>
      <c r="BO108" s="12">
        <v>0</v>
      </c>
      <c r="BP108" s="12">
        <v>0</v>
      </c>
      <c r="BQ108" s="12" t="s">
        <v>831</v>
      </c>
    </row>
    <row r="109" spans="1:69" x14ac:dyDescent="0.25">
      <c r="A109" s="12" t="s">
        <v>832</v>
      </c>
      <c r="B109" s="12" t="s">
        <v>29</v>
      </c>
      <c r="C109" s="12">
        <v>2017</v>
      </c>
      <c r="D109" s="12" t="s">
        <v>384</v>
      </c>
      <c r="E109" s="12" t="s">
        <v>145</v>
      </c>
      <c r="F109" s="12" t="s">
        <v>72</v>
      </c>
      <c r="G109" s="12">
        <v>9</v>
      </c>
      <c r="H109" s="12">
        <v>0.99120357596986708</v>
      </c>
      <c r="I109" s="12">
        <v>0</v>
      </c>
      <c r="J109" s="12">
        <v>3.5122901216961848</v>
      </c>
      <c r="K109" s="12">
        <v>3.8338372363505449</v>
      </c>
      <c r="L109" s="12">
        <v>0</v>
      </c>
      <c r="M109" s="12">
        <v>3.3988917339685329</v>
      </c>
      <c r="N109" s="12">
        <v>0</v>
      </c>
      <c r="O109" s="12">
        <v>0</v>
      </c>
      <c r="P109" s="12">
        <v>0</v>
      </c>
      <c r="Q109" s="12">
        <v>3.272622841706526</v>
      </c>
      <c r="R109" s="12">
        <v>49.575838132599628</v>
      </c>
      <c r="S109" s="12">
        <v>0</v>
      </c>
      <c r="T109" s="12">
        <v>0</v>
      </c>
      <c r="U109" s="12">
        <v>2.9629549541182878</v>
      </c>
      <c r="V109" s="12">
        <v>3.4332694689493128</v>
      </c>
      <c r="W109" s="12">
        <v>0</v>
      </c>
      <c r="X109" s="12">
        <v>0</v>
      </c>
      <c r="Y109" s="12">
        <v>0.6532848224748562</v>
      </c>
      <c r="Z109" s="12">
        <v>0</v>
      </c>
      <c r="AA109" s="12">
        <v>0</v>
      </c>
      <c r="AB109" s="12">
        <v>0.7398901375558119</v>
      </c>
      <c r="AC109" s="12">
        <v>5.9004752312980369</v>
      </c>
      <c r="AD109" s="12">
        <v>6.1056850470120416</v>
      </c>
      <c r="AE109" s="12">
        <v>0</v>
      </c>
      <c r="AF109" s="12">
        <v>4.3681674459058843</v>
      </c>
      <c r="AG109" s="12">
        <v>3103.7557431057471</v>
      </c>
      <c r="AH109" s="12">
        <v>6667.6892030024173</v>
      </c>
      <c r="AI109" s="12">
        <v>6922.4971521036659</v>
      </c>
      <c r="AJ109" s="12">
        <v>8250.7041866520594</v>
      </c>
      <c r="AK109" s="12">
        <v>7989.9247361329999</v>
      </c>
      <c r="AL109" s="12">
        <v>9258.4481721519551</v>
      </c>
      <c r="AM109" s="12">
        <v>10160.64148171321</v>
      </c>
      <c r="AN109" s="12">
        <v>10539.987272959939</v>
      </c>
      <c r="AO109" s="12">
        <v>11019.118623195531</v>
      </c>
      <c r="AP109" s="12">
        <v>13081.3239621338</v>
      </c>
      <c r="AQ109" s="12">
        <v>11815.842853097271</v>
      </c>
      <c r="AR109" s="12">
        <v>13931.821767771031</v>
      </c>
      <c r="AS109" s="12">
        <v>14355.62398790344</v>
      </c>
      <c r="AT109" s="12">
        <v>15991.043160481369</v>
      </c>
      <c r="AU109" s="12">
        <v>15201.99171287128</v>
      </c>
      <c r="AV109" s="12">
        <v>18945.382497473121</v>
      </c>
      <c r="AW109" s="12">
        <v>18481.9586141207</v>
      </c>
      <c r="AX109" s="12">
        <v>24554.083071845991</v>
      </c>
      <c r="AY109" s="12">
        <v>22406.094319664269</v>
      </c>
      <c r="AZ109" s="12">
        <v>65624.326839217174</v>
      </c>
      <c r="BA109" s="12">
        <v>20867.242582869239</v>
      </c>
      <c r="BB109" s="12">
        <v>4894961.9717708416</v>
      </c>
      <c r="BC109" s="12">
        <v>0</v>
      </c>
      <c r="BD109" s="12">
        <v>0</v>
      </c>
      <c r="BE109" s="12">
        <v>0</v>
      </c>
      <c r="BF109" s="12">
        <v>0</v>
      </c>
      <c r="BG109" s="12">
        <v>0</v>
      </c>
      <c r="BH109" s="12">
        <v>0</v>
      </c>
      <c r="BI109" s="12">
        <v>0</v>
      </c>
      <c r="BJ109" s="12">
        <v>0</v>
      </c>
      <c r="BK109" s="12">
        <v>0</v>
      </c>
      <c r="BL109" s="12">
        <v>0</v>
      </c>
      <c r="BM109" s="12">
        <v>0</v>
      </c>
      <c r="BN109" s="12">
        <v>0</v>
      </c>
      <c r="BO109" s="12">
        <v>0</v>
      </c>
      <c r="BP109" s="12">
        <v>0</v>
      </c>
      <c r="BQ109" s="12" t="s">
        <v>833</v>
      </c>
    </row>
    <row r="110" spans="1:69" x14ac:dyDescent="0.25">
      <c r="A110" s="12" t="s">
        <v>834</v>
      </c>
      <c r="B110" s="12" t="s">
        <v>29</v>
      </c>
      <c r="C110" s="12">
        <v>2017</v>
      </c>
      <c r="D110" s="12" t="s">
        <v>384</v>
      </c>
      <c r="E110" s="12" t="s">
        <v>145</v>
      </c>
      <c r="F110" s="12" t="s">
        <v>72</v>
      </c>
      <c r="G110" s="12">
        <v>10</v>
      </c>
      <c r="H110" s="12">
        <v>0.93246557187737422</v>
      </c>
      <c r="I110" s="12">
        <v>0</v>
      </c>
      <c r="J110" s="12">
        <v>3.297206506550876</v>
      </c>
      <c r="K110" s="12">
        <v>3.6191963307364401</v>
      </c>
      <c r="L110" s="12">
        <v>0</v>
      </c>
      <c r="M110" s="12">
        <v>3.273835876624811</v>
      </c>
      <c r="N110" s="12">
        <v>0</v>
      </c>
      <c r="O110" s="12">
        <v>0</v>
      </c>
      <c r="P110" s="12">
        <v>0</v>
      </c>
      <c r="Q110" s="12">
        <v>3.6063510636895688</v>
      </c>
      <c r="R110" s="12">
        <v>48.275391093702702</v>
      </c>
      <c r="S110" s="12">
        <v>0</v>
      </c>
      <c r="T110" s="12">
        <v>0</v>
      </c>
      <c r="U110" s="12">
        <v>3.2752763933354849</v>
      </c>
      <c r="V110" s="12">
        <v>4.7092671192331741</v>
      </c>
      <c r="W110" s="12">
        <v>0</v>
      </c>
      <c r="X110" s="12">
        <v>0</v>
      </c>
      <c r="Y110" s="12">
        <v>0.64725677694785666</v>
      </c>
      <c r="Z110" s="12">
        <v>0</v>
      </c>
      <c r="AA110" s="12">
        <v>0</v>
      </c>
      <c r="AB110" s="12">
        <v>0.50088362171233014</v>
      </c>
      <c r="AC110" s="12">
        <v>6.5818623874713493</v>
      </c>
      <c r="AD110" s="12">
        <v>5.2125590521868412</v>
      </c>
      <c r="AE110" s="12">
        <v>0</v>
      </c>
      <c r="AF110" s="12">
        <v>3.2802754858470649</v>
      </c>
      <c r="AG110" s="12">
        <v>3263.878029885555</v>
      </c>
      <c r="AH110" s="12">
        <v>7394.0176741905234</v>
      </c>
      <c r="AI110" s="12">
        <v>6972.2407142139873</v>
      </c>
      <c r="AJ110" s="12">
        <v>8107.1263869938994</v>
      </c>
      <c r="AK110" s="12">
        <v>9219.2706245415757</v>
      </c>
      <c r="AL110" s="12">
        <v>9320.4039347214202</v>
      </c>
      <c r="AM110" s="12">
        <v>10021.40636737806</v>
      </c>
      <c r="AN110" s="12">
        <v>11141.74329829998</v>
      </c>
      <c r="AO110" s="12">
        <v>10728.231287767099</v>
      </c>
      <c r="AP110" s="12">
        <v>12446.036392452679</v>
      </c>
      <c r="AQ110" s="12">
        <v>13181.325326841061</v>
      </c>
      <c r="AR110" s="12">
        <v>13984.972832714149</v>
      </c>
      <c r="AS110" s="12">
        <v>13088.29491405346</v>
      </c>
      <c r="AT110" s="12">
        <v>15261.35003713054</v>
      </c>
      <c r="AU110" s="12">
        <v>15250.0020590236</v>
      </c>
      <c r="AV110" s="12">
        <v>18756.200318439362</v>
      </c>
      <c r="AW110" s="12">
        <v>19315.545865381049</v>
      </c>
      <c r="AX110" s="12">
        <v>22517.920803972451</v>
      </c>
      <c r="AY110" s="12">
        <v>22104.285484031741</v>
      </c>
      <c r="AZ110" s="12">
        <v>67320.026847863599</v>
      </c>
      <c r="BA110" s="12">
        <v>28527.779106927112</v>
      </c>
      <c r="BB110" s="12">
        <v>4597818.3608355233</v>
      </c>
      <c r="BC110" s="12">
        <v>0</v>
      </c>
      <c r="BD110" s="12">
        <v>0</v>
      </c>
      <c r="BE110" s="12">
        <v>0</v>
      </c>
      <c r="BF110" s="12">
        <v>0</v>
      </c>
      <c r="BG110" s="12">
        <v>0</v>
      </c>
      <c r="BH110" s="12">
        <v>0</v>
      </c>
      <c r="BI110" s="12">
        <v>0</v>
      </c>
      <c r="BJ110" s="12">
        <v>0</v>
      </c>
      <c r="BK110" s="12">
        <v>0</v>
      </c>
      <c r="BL110" s="12">
        <v>0</v>
      </c>
      <c r="BM110" s="12">
        <v>0</v>
      </c>
      <c r="BN110" s="12">
        <v>0</v>
      </c>
      <c r="BO110" s="12">
        <v>0</v>
      </c>
      <c r="BP110" s="12">
        <v>0</v>
      </c>
      <c r="BQ110" s="12" t="s">
        <v>835</v>
      </c>
    </row>
    <row r="111" spans="1:69" x14ac:dyDescent="0.25">
      <c r="A111" s="12" t="s">
        <v>836</v>
      </c>
      <c r="B111" s="12" t="s">
        <v>29</v>
      </c>
      <c r="C111" s="12">
        <v>2017</v>
      </c>
      <c r="D111" s="12" t="s">
        <v>384</v>
      </c>
      <c r="E111" s="12" t="s">
        <v>382</v>
      </c>
      <c r="F111" s="12" t="s">
        <v>72</v>
      </c>
      <c r="G111" s="12">
        <v>9999</v>
      </c>
      <c r="H111" s="12">
        <v>1.0430424997838521</v>
      </c>
      <c r="I111" s="12">
        <v>0</v>
      </c>
      <c r="J111" s="12">
        <v>3.879684082133076</v>
      </c>
      <c r="K111" s="12">
        <v>4.8073980840906252</v>
      </c>
      <c r="L111" s="12">
        <v>0</v>
      </c>
      <c r="M111" s="12">
        <v>2.8837635273408511</v>
      </c>
      <c r="N111" s="12">
        <v>0</v>
      </c>
      <c r="O111" s="12">
        <v>0.74434188406699964</v>
      </c>
      <c r="P111" s="12">
        <v>0</v>
      </c>
      <c r="Q111" s="12">
        <v>2.9334716282078031</v>
      </c>
      <c r="R111" s="12">
        <v>51.751780839186011</v>
      </c>
      <c r="S111" s="12">
        <v>0</v>
      </c>
      <c r="T111" s="12">
        <v>0</v>
      </c>
      <c r="U111" s="12">
        <v>2.310193371653356</v>
      </c>
      <c r="V111" s="12">
        <v>3.5508275039373309</v>
      </c>
      <c r="W111" s="12">
        <v>0</v>
      </c>
      <c r="X111" s="12">
        <v>0</v>
      </c>
      <c r="Y111" s="12">
        <v>0.56070648796279887</v>
      </c>
      <c r="Z111" s="12">
        <v>0</v>
      </c>
      <c r="AA111" s="12">
        <v>0</v>
      </c>
      <c r="AB111" s="12">
        <v>1.3789504207232659</v>
      </c>
      <c r="AC111" s="12">
        <v>4.4955054024518883</v>
      </c>
      <c r="AD111" s="12">
        <v>7.1138982375554161</v>
      </c>
      <c r="AE111" s="12">
        <v>0</v>
      </c>
      <c r="AF111" s="12">
        <v>4.0960192231079509</v>
      </c>
      <c r="AG111" s="12">
        <v>2985.1531710190079</v>
      </c>
      <c r="AH111" s="12">
        <v>6972.4822290892507</v>
      </c>
      <c r="AI111" s="12">
        <v>6916.427575407638</v>
      </c>
      <c r="AJ111" s="12">
        <v>7921.0399631962428</v>
      </c>
      <c r="AK111" s="12">
        <v>8394.0640112604178</v>
      </c>
      <c r="AL111" s="12">
        <v>10449.50193338704</v>
      </c>
      <c r="AM111" s="12">
        <v>10532.46922340353</v>
      </c>
      <c r="AN111" s="12">
        <v>10542.465327672209</v>
      </c>
      <c r="AO111" s="12">
        <v>10335.624031613699</v>
      </c>
      <c r="AP111" s="12">
        <v>12838.678173902839</v>
      </c>
      <c r="AQ111" s="12">
        <v>12896.13293136185</v>
      </c>
      <c r="AR111" s="12">
        <v>13588.50206489258</v>
      </c>
      <c r="AS111" s="12">
        <v>13310.06837796987</v>
      </c>
      <c r="AT111" s="12">
        <v>16323.662693430049</v>
      </c>
      <c r="AU111" s="12">
        <v>16490.20749059003</v>
      </c>
      <c r="AV111" s="12">
        <v>18980.941611760929</v>
      </c>
      <c r="AW111" s="12">
        <v>18119.508192323581</v>
      </c>
      <c r="AX111" s="12">
        <v>23413.267148739389</v>
      </c>
      <c r="AY111" s="12">
        <v>23252.29811940861</v>
      </c>
      <c r="AZ111" s="12">
        <v>60900.839353807758</v>
      </c>
      <c r="BA111" s="12">
        <v>12942.866729926751</v>
      </c>
      <c r="BB111" s="12">
        <v>48593936.317324787</v>
      </c>
      <c r="BC111" s="12">
        <v>0</v>
      </c>
      <c r="BD111" s="12">
        <v>0</v>
      </c>
      <c r="BE111" s="12">
        <v>0</v>
      </c>
      <c r="BF111" s="12">
        <v>0</v>
      </c>
      <c r="BG111" s="12">
        <v>0</v>
      </c>
      <c r="BH111" s="12">
        <v>0</v>
      </c>
      <c r="BI111" s="12">
        <v>0</v>
      </c>
      <c r="BJ111" s="12">
        <v>0</v>
      </c>
      <c r="BK111" s="12">
        <v>6.784610663734808E-2</v>
      </c>
      <c r="BL111" s="12">
        <v>0.95025388724363746</v>
      </c>
      <c r="BM111" s="12">
        <v>13.65729260074054</v>
      </c>
      <c r="BN111" s="12">
        <v>0</v>
      </c>
      <c r="BO111" s="12">
        <v>0</v>
      </c>
      <c r="BP111" s="12">
        <v>0</v>
      </c>
      <c r="BQ111" s="12" t="s">
        <v>837</v>
      </c>
    </row>
    <row r="112" spans="1:69" x14ac:dyDescent="0.25">
      <c r="A112" s="12" t="s">
        <v>838</v>
      </c>
      <c r="B112" s="12" t="s">
        <v>29</v>
      </c>
      <c r="C112" s="12">
        <v>2017</v>
      </c>
      <c r="D112" s="12" t="s">
        <v>384</v>
      </c>
      <c r="E112" s="12" t="s">
        <v>145</v>
      </c>
      <c r="F112" s="12" t="s">
        <v>75</v>
      </c>
      <c r="G112" s="12">
        <v>1</v>
      </c>
      <c r="H112" s="12">
        <v>0.46154199854340849</v>
      </c>
      <c r="I112" s="12">
        <v>0</v>
      </c>
      <c r="J112" s="12">
        <v>2.8166294834286218</v>
      </c>
      <c r="K112" s="12">
        <v>2.815716416832803</v>
      </c>
      <c r="L112" s="12">
        <v>0</v>
      </c>
      <c r="M112" s="12">
        <v>1.3584689566600141</v>
      </c>
      <c r="N112" s="12">
        <v>0</v>
      </c>
      <c r="O112" s="12">
        <v>0.29659163934669708</v>
      </c>
      <c r="P112" s="12">
        <v>0</v>
      </c>
      <c r="Q112" s="12">
        <v>2.1274881473137048</v>
      </c>
      <c r="R112" s="12">
        <v>47.379220974254487</v>
      </c>
      <c r="S112" s="12">
        <v>0</v>
      </c>
      <c r="T112" s="12">
        <v>0</v>
      </c>
      <c r="U112" s="12">
        <v>0.32115374369493149</v>
      </c>
      <c r="V112" s="12">
        <v>2.2516687694432611</v>
      </c>
      <c r="W112" s="12">
        <v>0</v>
      </c>
      <c r="X112" s="12">
        <v>0</v>
      </c>
      <c r="Y112" s="12">
        <v>0</v>
      </c>
      <c r="Z112" s="12">
        <v>0</v>
      </c>
      <c r="AA112" s="12">
        <v>0</v>
      </c>
      <c r="AB112" s="12">
        <v>1.170402077577404</v>
      </c>
      <c r="AC112" s="12">
        <v>1.116482346693221</v>
      </c>
      <c r="AD112" s="12">
        <v>4.9254224549226846</v>
      </c>
      <c r="AE112" s="12">
        <v>0</v>
      </c>
      <c r="AF112" s="12">
        <v>2.2497745507801938</v>
      </c>
      <c r="AG112" s="12">
        <v>3378.9595410362599</v>
      </c>
      <c r="AH112" s="12">
        <v>7088.8511638178989</v>
      </c>
      <c r="AI112" s="12">
        <v>7698.9734049969393</v>
      </c>
      <c r="AJ112" s="12">
        <v>8651.9620094096135</v>
      </c>
      <c r="AK112" s="12">
        <v>8852.7898306972074</v>
      </c>
      <c r="AL112" s="12">
        <v>10373.59041616799</v>
      </c>
      <c r="AM112" s="12">
        <v>10203.303195562299</v>
      </c>
      <c r="AN112" s="12">
        <v>11397.659780837481</v>
      </c>
      <c r="AO112" s="12">
        <v>10710.35450526901</v>
      </c>
      <c r="AP112" s="12">
        <v>13134.402717719709</v>
      </c>
      <c r="AQ112" s="12">
        <v>12543.69257810363</v>
      </c>
      <c r="AR112" s="12">
        <v>14432.39040703136</v>
      </c>
      <c r="AS112" s="12">
        <v>13558.56499230623</v>
      </c>
      <c r="AT112" s="12">
        <v>15729.80203813681</v>
      </c>
      <c r="AU112" s="12">
        <v>16764.99904386271</v>
      </c>
      <c r="AV112" s="12">
        <v>17076.23340287467</v>
      </c>
      <c r="AW112" s="12">
        <v>18005.548720000839</v>
      </c>
      <c r="AX112" s="12">
        <v>24737.718133422259</v>
      </c>
      <c r="AY112" s="12">
        <v>23197.68116856254</v>
      </c>
      <c r="AZ112" s="12">
        <v>69554.098734083978</v>
      </c>
      <c r="BA112" s="12">
        <v>5077.8007408941112</v>
      </c>
      <c r="BB112" s="12">
        <v>5135572.5415868796</v>
      </c>
      <c r="BC112" s="12">
        <v>0</v>
      </c>
      <c r="BD112" s="12">
        <v>0</v>
      </c>
      <c r="BE112" s="12">
        <v>110.9423124730135</v>
      </c>
      <c r="BF112" s="12">
        <v>47.416833775654951</v>
      </c>
      <c r="BG112" s="12">
        <v>80.363176998571646</v>
      </c>
      <c r="BH112" s="12">
        <v>91.722872640968717</v>
      </c>
      <c r="BI112" s="12">
        <v>97.191997428460908</v>
      </c>
      <c r="BJ112" s="12">
        <v>82.630060472480267</v>
      </c>
      <c r="BK112" s="12">
        <v>5.7141355805738481E-2</v>
      </c>
      <c r="BL112" s="12">
        <v>0.88641189777616614</v>
      </c>
      <c r="BM112" s="12">
        <v>4.7909693437822076</v>
      </c>
      <c r="BN112" s="12">
        <v>0</v>
      </c>
      <c r="BO112" s="12">
        <v>0</v>
      </c>
      <c r="BP112" s="12">
        <v>0</v>
      </c>
      <c r="BQ112" s="12" t="s">
        <v>839</v>
      </c>
    </row>
    <row r="113" spans="1:69" x14ac:dyDescent="0.25">
      <c r="A113" s="12" t="s">
        <v>840</v>
      </c>
      <c r="B113" s="12" t="s">
        <v>29</v>
      </c>
      <c r="C113" s="12">
        <v>2017</v>
      </c>
      <c r="D113" s="12" t="s">
        <v>384</v>
      </c>
      <c r="E113" s="12" t="s">
        <v>145</v>
      </c>
      <c r="F113" s="12" t="s">
        <v>75</v>
      </c>
      <c r="G113" s="12">
        <v>2</v>
      </c>
      <c r="H113" s="12">
        <v>0.58858473993704774</v>
      </c>
      <c r="I113" s="12">
        <v>0</v>
      </c>
      <c r="J113" s="12">
        <v>2.9710306482542741</v>
      </c>
      <c r="K113" s="12">
        <v>3.057403388734615</v>
      </c>
      <c r="L113" s="12">
        <v>0</v>
      </c>
      <c r="M113" s="12">
        <v>1.7031916741175179</v>
      </c>
      <c r="N113" s="12">
        <v>0</v>
      </c>
      <c r="O113" s="12">
        <v>0.50716895722924504</v>
      </c>
      <c r="P113" s="12">
        <v>0</v>
      </c>
      <c r="Q113" s="12">
        <v>2.0045702754041481</v>
      </c>
      <c r="R113" s="12">
        <v>47.238159712912903</v>
      </c>
      <c r="S113" s="12">
        <v>0</v>
      </c>
      <c r="T113" s="12">
        <v>0</v>
      </c>
      <c r="U113" s="12">
        <v>0.44001469970326151</v>
      </c>
      <c r="V113" s="12">
        <v>2.1798577888080648</v>
      </c>
      <c r="W113" s="12">
        <v>0</v>
      </c>
      <c r="X113" s="12">
        <v>0</v>
      </c>
      <c r="Y113" s="12">
        <v>0</v>
      </c>
      <c r="Z113" s="12">
        <v>0</v>
      </c>
      <c r="AA113" s="12">
        <v>0</v>
      </c>
      <c r="AB113" s="12">
        <v>1.051065203493188</v>
      </c>
      <c r="AC113" s="12">
        <v>1.313803722386323</v>
      </c>
      <c r="AD113" s="12">
        <v>5.0038081515884194</v>
      </c>
      <c r="AE113" s="12">
        <v>0</v>
      </c>
      <c r="AF113" s="12">
        <v>2.630702474687423</v>
      </c>
      <c r="AG113" s="12">
        <v>3114.446110884172</v>
      </c>
      <c r="AH113" s="12">
        <v>7454.2874609238279</v>
      </c>
      <c r="AI113" s="12">
        <v>6769.3380325422659</v>
      </c>
      <c r="AJ113" s="12">
        <v>8871.5009217317875</v>
      </c>
      <c r="AK113" s="12">
        <v>8011.5916864155861</v>
      </c>
      <c r="AL113" s="12">
        <v>9197.1273253733489</v>
      </c>
      <c r="AM113" s="12">
        <v>9838.2153550402199</v>
      </c>
      <c r="AN113" s="12">
        <v>10761.619847759021</v>
      </c>
      <c r="AO113" s="12">
        <v>11703.164734430509</v>
      </c>
      <c r="AP113" s="12">
        <v>12936.079352544109</v>
      </c>
      <c r="AQ113" s="12">
        <v>11564.459245043259</v>
      </c>
      <c r="AR113" s="12">
        <v>14500.374310223129</v>
      </c>
      <c r="AS113" s="12">
        <v>12807.42405967878</v>
      </c>
      <c r="AT113" s="12">
        <v>16051.34106653289</v>
      </c>
      <c r="AU113" s="12">
        <v>16761.212976214221</v>
      </c>
      <c r="AV113" s="12">
        <v>18547.434652419601</v>
      </c>
      <c r="AW113" s="12">
        <v>19752.25101692207</v>
      </c>
      <c r="AX113" s="12">
        <v>22151.574153326739</v>
      </c>
      <c r="AY113" s="12">
        <v>24783.077336132821</v>
      </c>
      <c r="AZ113" s="12">
        <v>68081.615343590965</v>
      </c>
      <c r="BA113" s="12">
        <v>7376.7983776922574</v>
      </c>
      <c r="BB113" s="12">
        <v>4461857.0641152458</v>
      </c>
      <c r="BC113" s="12">
        <v>0</v>
      </c>
      <c r="BD113" s="12">
        <v>0</v>
      </c>
      <c r="BE113" s="12">
        <v>99.924628791480714</v>
      </c>
      <c r="BF113" s="12">
        <v>67.628667935325794</v>
      </c>
      <c r="BG113" s="12">
        <v>86.839958156041405</v>
      </c>
      <c r="BH113" s="12">
        <v>113.9821514568558</v>
      </c>
      <c r="BI113" s="12">
        <v>101.2942914865899</v>
      </c>
      <c r="BJ113" s="12">
        <v>97.274003579357441</v>
      </c>
      <c r="BK113" s="12">
        <v>1.0333020962558099E-2</v>
      </c>
      <c r="BL113" s="12">
        <v>1.7355557109343899E-2</v>
      </c>
      <c r="BM113" s="12">
        <v>4.7974090501767401</v>
      </c>
      <c r="BN113" s="12">
        <v>0</v>
      </c>
      <c r="BO113" s="12">
        <v>0</v>
      </c>
      <c r="BP113" s="12">
        <v>0</v>
      </c>
      <c r="BQ113" s="12" t="s">
        <v>841</v>
      </c>
    </row>
    <row r="114" spans="1:69" x14ac:dyDescent="0.25">
      <c r="A114" s="12" t="s">
        <v>842</v>
      </c>
      <c r="B114" s="12" t="s">
        <v>29</v>
      </c>
      <c r="C114" s="12">
        <v>2017</v>
      </c>
      <c r="D114" s="12" t="s">
        <v>384</v>
      </c>
      <c r="E114" s="12" t="s">
        <v>145</v>
      </c>
      <c r="F114" s="12" t="s">
        <v>75</v>
      </c>
      <c r="G114" s="12">
        <v>3</v>
      </c>
      <c r="H114" s="12">
        <v>0.53821717119709456</v>
      </c>
      <c r="I114" s="12">
        <v>0</v>
      </c>
      <c r="J114" s="12">
        <v>2.9996899196018578</v>
      </c>
      <c r="K114" s="12">
        <v>3.5947115050936862</v>
      </c>
      <c r="L114" s="12">
        <v>0</v>
      </c>
      <c r="M114" s="12">
        <v>1.593231658302154</v>
      </c>
      <c r="N114" s="12">
        <v>0</v>
      </c>
      <c r="O114" s="12">
        <v>0</v>
      </c>
      <c r="P114" s="12">
        <v>0</v>
      </c>
      <c r="Q114" s="12">
        <v>2.1123961118423402</v>
      </c>
      <c r="R114" s="12">
        <v>50.052239713286433</v>
      </c>
      <c r="S114" s="12">
        <v>0</v>
      </c>
      <c r="T114" s="12">
        <v>0</v>
      </c>
      <c r="U114" s="12">
        <v>0.6880238527309992</v>
      </c>
      <c r="V114" s="12">
        <v>2.3398525500341658</v>
      </c>
      <c r="W114" s="12">
        <v>0</v>
      </c>
      <c r="X114" s="12">
        <v>0</v>
      </c>
      <c r="Y114" s="12">
        <v>0</v>
      </c>
      <c r="Z114" s="12">
        <v>0</v>
      </c>
      <c r="AA114" s="12">
        <v>0</v>
      </c>
      <c r="AB114" s="12">
        <v>1.0403310118823259</v>
      </c>
      <c r="AC114" s="12">
        <v>1.266804690903653</v>
      </c>
      <c r="AD114" s="12">
        <v>4.5990668059365563</v>
      </c>
      <c r="AE114" s="12">
        <v>0</v>
      </c>
      <c r="AF114" s="12">
        <v>2.376439373002269</v>
      </c>
      <c r="AG114" s="12">
        <v>3175.1631242400681</v>
      </c>
      <c r="AH114" s="12">
        <v>6640.384065535708</v>
      </c>
      <c r="AI114" s="12">
        <v>6849.4718036540771</v>
      </c>
      <c r="AJ114" s="12">
        <v>8412.9825009138931</v>
      </c>
      <c r="AK114" s="12">
        <v>7934.527072239066</v>
      </c>
      <c r="AL114" s="12">
        <v>9949.9879415155829</v>
      </c>
      <c r="AM114" s="12">
        <v>9289.9334798929667</v>
      </c>
      <c r="AN114" s="12">
        <v>11022.272034636229</v>
      </c>
      <c r="AO114" s="12">
        <v>11232.089559743619</v>
      </c>
      <c r="AP114" s="12">
        <v>11904.20532435219</v>
      </c>
      <c r="AQ114" s="12">
        <v>12568.777125965989</v>
      </c>
      <c r="AR114" s="12">
        <v>12809.748759155809</v>
      </c>
      <c r="AS114" s="12">
        <v>14152.188845503069</v>
      </c>
      <c r="AT114" s="12">
        <v>15133.78970835859</v>
      </c>
      <c r="AU114" s="12">
        <v>16353.969734951799</v>
      </c>
      <c r="AV114" s="12">
        <v>19519.304684504808</v>
      </c>
      <c r="AW114" s="12">
        <v>17150.559941121432</v>
      </c>
      <c r="AX114" s="12">
        <v>23525.006459737138</v>
      </c>
      <c r="AY114" s="12">
        <v>22917.341297164901</v>
      </c>
      <c r="AZ114" s="12">
        <v>66146.078667690614</v>
      </c>
      <c r="BA114" s="12">
        <v>8792.4765471721694</v>
      </c>
      <c r="BB114" s="12">
        <v>5006166.4097725218</v>
      </c>
      <c r="BC114" s="12">
        <v>0</v>
      </c>
      <c r="BD114" s="12">
        <v>0</v>
      </c>
      <c r="BE114" s="12">
        <v>103.5587890963543</v>
      </c>
      <c r="BF114" s="12">
        <v>73.575029783782341</v>
      </c>
      <c r="BG114" s="12">
        <v>97.445906041362619</v>
      </c>
      <c r="BH114" s="12">
        <v>112.4422462071084</v>
      </c>
      <c r="BI114" s="12">
        <v>103.8290619246831</v>
      </c>
      <c r="BJ114" s="12">
        <v>103.3124389454737</v>
      </c>
      <c r="BK114" s="12">
        <v>0</v>
      </c>
      <c r="BL114" s="12">
        <v>0</v>
      </c>
      <c r="BM114" s="12">
        <v>2.5533457110664148</v>
      </c>
      <c r="BN114" s="12">
        <v>0</v>
      </c>
      <c r="BO114" s="12">
        <v>0</v>
      </c>
      <c r="BP114" s="12">
        <v>0</v>
      </c>
      <c r="BQ114" s="12" t="s">
        <v>843</v>
      </c>
    </row>
    <row r="115" spans="1:69" x14ac:dyDescent="0.25">
      <c r="A115" s="12" t="s">
        <v>844</v>
      </c>
      <c r="B115" s="12" t="s">
        <v>29</v>
      </c>
      <c r="C115" s="12">
        <v>2017</v>
      </c>
      <c r="D115" s="12" t="s">
        <v>384</v>
      </c>
      <c r="E115" s="12" t="s">
        <v>145</v>
      </c>
      <c r="F115" s="12" t="s">
        <v>75</v>
      </c>
      <c r="G115" s="12">
        <v>4</v>
      </c>
      <c r="H115" s="12">
        <v>0.54496988916945843</v>
      </c>
      <c r="I115" s="12">
        <v>0</v>
      </c>
      <c r="J115" s="12">
        <v>2.6240741507780232</v>
      </c>
      <c r="K115" s="12">
        <v>3.1041838725230639</v>
      </c>
      <c r="L115" s="12">
        <v>0</v>
      </c>
      <c r="M115" s="12">
        <v>1.7718168634604909</v>
      </c>
      <c r="N115" s="12">
        <v>0</v>
      </c>
      <c r="O115" s="12">
        <v>0</v>
      </c>
      <c r="P115" s="12">
        <v>0</v>
      </c>
      <c r="Q115" s="12">
        <v>2.105007209048801</v>
      </c>
      <c r="R115" s="12">
        <v>42.138062432500227</v>
      </c>
      <c r="S115" s="12">
        <v>0</v>
      </c>
      <c r="T115" s="12">
        <v>0</v>
      </c>
      <c r="U115" s="12">
        <v>0.63649836133026216</v>
      </c>
      <c r="V115" s="12">
        <v>1.8625921828772729</v>
      </c>
      <c r="W115" s="12">
        <v>0</v>
      </c>
      <c r="X115" s="12">
        <v>0</v>
      </c>
      <c r="Y115" s="12">
        <v>0</v>
      </c>
      <c r="Z115" s="12">
        <v>0</v>
      </c>
      <c r="AA115" s="12">
        <v>0</v>
      </c>
      <c r="AB115" s="12">
        <v>0.80403199746393061</v>
      </c>
      <c r="AC115" s="12">
        <v>1.646248840416686</v>
      </c>
      <c r="AD115" s="12">
        <v>4.3561305543497699</v>
      </c>
      <c r="AE115" s="12">
        <v>0</v>
      </c>
      <c r="AF115" s="12">
        <v>2.6477707863410962</v>
      </c>
      <c r="AG115" s="12">
        <v>3408.6596403951239</v>
      </c>
      <c r="AH115" s="12">
        <v>7123.8238646778918</v>
      </c>
      <c r="AI115" s="12">
        <v>6882.719892322064</v>
      </c>
      <c r="AJ115" s="12">
        <v>8361.6089800867539</v>
      </c>
      <c r="AK115" s="12">
        <v>8430.2505560845602</v>
      </c>
      <c r="AL115" s="12">
        <v>9953.8234559297271</v>
      </c>
      <c r="AM115" s="12">
        <v>9925.3091614691457</v>
      </c>
      <c r="AN115" s="12">
        <v>11193.44941031083</v>
      </c>
      <c r="AO115" s="12">
        <v>11758.605205583221</v>
      </c>
      <c r="AP115" s="12">
        <v>12170.69990175288</v>
      </c>
      <c r="AQ115" s="12">
        <v>12401.118885174539</v>
      </c>
      <c r="AR115" s="12">
        <v>12859.216740811669</v>
      </c>
      <c r="AS115" s="12">
        <v>13525.050408663121</v>
      </c>
      <c r="AT115" s="12">
        <v>14910.051845798909</v>
      </c>
      <c r="AU115" s="12">
        <v>14754.96074197147</v>
      </c>
      <c r="AV115" s="12">
        <v>17614.454557036919</v>
      </c>
      <c r="AW115" s="12">
        <v>18844.88422478826</v>
      </c>
      <c r="AX115" s="12">
        <v>23306.461165366309</v>
      </c>
      <c r="AY115" s="12">
        <v>25179.611676524852</v>
      </c>
      <c r="AZ115" s="12">
        <v>64346.411825610063</v>
      </c>
      <c r="BA115" s="12">
        <v>10509.169868929839</v>
      </c>
      <c r="BB115" s="12">
        <v>4971366.4617592422</v>
      </c>
      <c r="BC115" s="12">
        <v>0</v>
      </c>
      <c r="BD115" s="12">
        <v>0</v>
      </c>
      <c r="BE115" s="12">
        <v>104.2436906591909</v>
      </c>
      <c r="BF115" s="12">
        <v>75.455264036568423</v>
      </c>
      <c r="BG115" s="12">
        <v>100.3267401378473</v>
      </c>
      <c r="BH115" s="12">
        <v>110.6761569623883</v>
      </c>
      <c r="BI115" s="12">
        <v>114.8313109410681</v>
      </c>
      <c r="BJ115" s="12">
        <v>99.11900448084269</v>
      </c>
      <c r="BK115" s="12">
        <v>0</v>
      </c>
      <c r="BL115" s="12">
        <v>0</v>
      </c>
      <c r="BM115" s="12">
        <v>0.52099203017757956</v>
      </c>
      <c r="BN115" s="12">
        <v>0</v>
      </c>
      <c r="BO115" s="12">
        <v>0</v>
      </c>
      <c r="BP115" s="12">
        <v>0</v>
      </c>
      <c r="BQ115" s="12" t="s">
        <v>845</v>
      </c>
    </row>
    <row r="116" spans="1:69" x14ac:dyDescent="0.25">
      <c r="A116" s="12" t="s">
        <v>846</v>
      </c>
      <c r="B116" s="12" t="s">
        <v>29</v>
      </c>
      <c r="C116" s="12">
        <v>2017</v>
      </c>
      <c r="D116" s="12" t="s">
        <v>384</v>
      </c>
      <c r="E116" s="12" t="s">
        <v>145</v>
      </c>
      <c r="F116" s="12" t="s">
        <v>75</v>
      </c>
      <c r="G116" s="12">
        <v>5</v>
      </c>
      <c r="H116" s="12">
        <v>0.59466986754585793</v>
      </c>
      <c r="I116" s="12">
        <v>0</v>
      </c>
      <c r="J116" s="12">
        <v>2.6796394010180151</v>
      </c>
      <c r="K116" s="12">
        <v>2.9826588066884749</v>
      </c>
      <c r="L116" s="12">
        <v>0</v>
      </c>
      <c r="M116" s="12">
        <v>1.857636932329372</v>
      </c>
      <c r="N116" s="12">
        <v>0</v>
      </c>
      <c r="O116" s="12">
        <v>0</v>
      </c>
      <c r="P116" s="12">
        <v>0</v>
      </c>
      <c r="Q116" s="12">
        <v>2.1212602877161659</v>
      </c>
      <c r="R116" s="12">
        <v>42.717253256459081</v>
      </c>
      <c r="S116" s="12">
        <v>0</v>
      </c>
      <c r="T116" s="12">
        <v>0</v>
      </c>
      <c r="U116" s="12">
        <v>0.87783862452927508</v>
      </c>
      <c r="V116" s="12">
        <v>2.090105248777121</v>
      </c>
      <c r="W116" s="12">
        <v>0</v>
      </c>
      <c r="X116" s="12">
        <v>0</v>
      </c>
      <c r="Y116" s="12">
        <v>0</v>
      </c>
      <c r="Z116" s="12">
        <v>0</v>
      </c>
      <c r="AA116" s="12">
        <v>0</v>
      </c>
      <c r="AB116" s="12">
        <v>0.72520797082765587</v>
      </c>
      <c r="AC116" s="12">
        <v>1.746509907350289</v>
      </c>
      <c r="AD116" s="12">
        <v>4.9624836743616454</v>
      </c>
      <c r="AE116" s="12">
        <v>0</v>
      </c>
      <c r="AF116" s="12">
        <v>2.6824953150587278</v>
      </c>
      <c r="AG116" s="12">
        <v>3270.0445559963641</v>
      </c>
      <c r="AH116" s="12">
        <v>6975.091160937005</v>
      </c>
      <c r="AI116" s="12">
        <v>7611.6601796510249</v>
      </c>
      <c r="AJ116" s="12">
        <v>9206.1994493899674</v>
      </c>
      <c r="AK116" s="12">
        <v>8601.7416367593796</v>
      </c>
      <c r="AL116" s="12">
        <v>9233.8648414194577</v>
      </c>
      <c r="AM116" s="12">
        <v>9709.79812531672</v>
      </c>
      <c r="AN116" s="12">
        <v>10854.14731493697</v>
      </c>
      <c r="AO116" s="12">
        <v>10901.727156646861</v>
      </c>
      <c r="AP116" s="12">
        <v>12923.542499216681</v>
      </c>
      <c r="AQ116" s="12">
        <v>12112.92586500676</v>
      </c>
      <c r="AR116" s="12">
        <v>14709.53668051603</v>
      </c>
      <c r="AS116" s="12">
        <v>14084.8542033174</v>
      </c>
      <c r="AT116" s="12">
        <v>16172.44154291114</v>
      </c>
      <c r="AU116" s="12">
        <v>15219.793499840251</v>
      </c>
      <c r="AV116" s="12">
        <v>18999.556258447941</v>
      </c>
      <c r="AW116" s="12">
        <v>19586.179426012779</v>
      </c>
      <c r="AX116" s="12">
        <v>24953.514694337471</v>
      </c>
      <c r="AY116" s="12">
        <v>21923.386746265191</v>
      </c>
      <c r="AZ116" s="12">
        <v>63319.106181562667</v>
      </c>
      <c r="BA116" s="12">
        <v>10865.607958254181</v>
      </c>
      <c r="BB116" s="12">
        <v>4708267.2801797418</v>
      </c>
      <c r="BC116" s="12">
        <v>0</v>
      </c>
      <c r="BD116" s="12">
        <v>0</v>
      </c>
      <c r="BE116" s="12">
        <v>111.72422581010591</v>
      </c>
      <c r="BF116" s="12">
        <v>73.395375615450973</v>
      </c>
      <c r="BG116" s="12">
        <v>98.932968468459322</v>
      </c>
      <c r="BH116" s="12">
        <v>103.2684336457434</v>
      </c>
      <c r="BI116" s="12">
        <v>113.5045472170343</v>
      </c>
      <c r="BJ116" s="12">
        <v>99.340021854598191</v>
      </c>
      <c r="BK116" s="12">
        <v>0</v>
      </c>
      <c r="BL116" s="12">
        <v>0</v>
      </c>
      <c r="BM116" s="12">
        <v>0.1579913100866486</v>
      </c>
      <c r="BN116" s="12">
        <v>0</v>
      </c>
      <c r="BO116" s="12">
        <v>0</v>
      </c>
      <c r="BP116" s="12">
        <v>0</v>
      </c>
      <c r="BQ116" s="12" t="s">
        <v>847</v>
      </c>
    </row>
    <row r="117" spans="1:69" x14ac:dyDescent="0.25">
      <c r="A117" s="12" t="s">
        <v>848</v>
      </c>
      <c r="B117" s="12" t="s">
        <v>29</v>
      </c>
      <c r="C117" s="12">
        <v>2017</v>
      </c>
      <c r="D117" s="12" t="s">
        <v>384</v>
      </c>
      <c r="E117" s="12" t="s">
        <v>145</v>
      </c>
      <c r="F117" s="12" t="s">
        <v>75</v>
      </c>
      <c r="G117" s="12">
        <v>6</v>
      </c>
      <c r="H117" s="12">
        <v>0.55730846982613769</v>
      </c>
      <c r="I117" s="12">
        <v>0</v>
      </c>
      <c r="J117" s="12">
        <v>2.9365588154555682</v>
      </c>
      <c r="K117" s="12">
        <v>2.7218039470178619</v>
      </c>
      <c r="L117" s="12">
        <v>0</v>
      </c>
      <c r="M117" s="12">
        <v>2.1544010455760261</v>
      </c>
      <c r="N117" s="12">
        <v>0</v>
      </c>
      <c r="O117" s="12">
        <v>0</v>
      </c>
      <c r="P117" s="12">
        <v>0</v>
      </c>
      <c r="Q117" s="12">
        <v>2.1676766826780871</v>
      </c>
      <c r="R117" s="12">
        <v>44.421456573755123</v>
      </c>
      <c r="S117" s="12">
        <v>0</v>
      </c>
      <c r="T117" s="12">
        <v>0</v>
      </c>
      <c r="U117" s="12">
        <v>0.90586209111955029</v>
      </c>
      <c r="V117" s="12">
        <v>1.998523085131878</v>
      </c>
      <c r="W117" s="12">
        <v>0</v>
      </c>
      <c r="X117" s="12">
        <v>0</v>
      </c>
      <c r="Y117" s="12">
        <v>0</v>
      </c>
      <c r="Z117" s="12">
        <v>0</v>
      </c>
      <c r="AA117" s="12">
        <v>0</v>
      </c>
      <c r="AB117" s="12">
        <v>0.52454146950732716</v>
      </c>
      <c r="AC117" s="12">
        <v>1.6402535636119819</v>
      </c>
      <c r="AD117" s="12">
        <v>4.7997782693438484</v>
      </c>
      <c r="AE117" s="12">
        <v>0</v>
      </c>
      <c r="AF117" s="12">
        <v>2.920789190478839</v>
      </c>
      <c r="AG117" s="12">
        <v>3142.6807350639178</v>
      </c>
      <c r="AH117" s="12">
        <v>6945.2221790418589</v>
      </c>
      <c r="AI117" s="12">
        <v>7702.3296115304684</v>
      </c>
      <c r="AJ117" s="12">
        <v>8981.5368226061109</v>
      </c>
      <c r="AK117" s="12">
        <v>8471.9673129165858</v>
      </c>
      <c r="AL117" s="12">
        <v>10259.851242862451</v>
      </c>
      <c r="AM117" s="12">
        <v>10490.42333875849</v>
      </c>
      <c r="AN117" s="12">
        <v>11293.46468549684</v>
      </c>
      <c r="AO117" s="12">
        <v>11710.17869197198</v>
      </c>
      <c r="AP117" s="12">
        <v>12433.310278029159</v>
      </c>
      <c r="AQ117" s="12">
        <v>12527.20985095695</v>
      </c>
      <c r="AR117" s="12">
        <v>13349.386339810449</v>
      </c>
      <c r="AS117" s="12">
        <v>12823.295936584291</v>
      </c>
      <c r="AT117" s="12">
        <v>16052.63905888887</v>
      </c>
      <c r="AU117" s="12">
        <v>15322.069596680531</v>
      </c>
      <c r="AV117" s="12">
        <v>19071.938830671392</v>
      </c>
      <c r="AW117" s="12">
        <v>18549.90038432302</v>
      </c>
      <c r="AX117" s="12">
        <v>21639.34141468925</v>
      </c>
      <c r="AY117" s="12">
        <v>23730.41961354229</v>
      </c>
      <c r="AZ117" s="12">
        <v>69878.132715579952</v>
      </c>
      <c r="BA117" s="12">
        <v>11882.89040649549</v>
      </c>
      <c r="BB117" s="12">
        <v>4845717.898418339</v>
      </c>
      <c r="BC117" s="12">
        <v>0</v>
      </c>
      <c r="BD117" s="12">
        <v>0</v>
      </c>
      <c r="BE117" s="12">
        <v>100.2977293807796</v>
      </c>
      <c r="BF117" s="12">
        <v>67.642085816884304</v>
      </c>
      <c r="BG117" s="12">
        <v>95.907083634121477</v>
      </c>
      <c r="BH117" s="12">
        <v>99.769013057043438</v>
      </c>
      <c r="BI117" s="12">
        <v>102.0095903056622</v>
      </c>
      <c r="BJ117" s="12">
        <v>100.2106182183752</v>
      </c>
      <c r="BK117" s="12">
        <v>0</v>
      </c>
      <c r="BL117" s="12">
        <v>0</v>
      </c>
      <c r="BM117" s="12">
        <v>2.3925674659610669E-2</v>
      </c>
      <c r="BN117" s="12">
        <v>0</v>
      </c>
      <c r="BO117" s="12">
        <v>0</v>
      </c>
      <c r="BP117" s="12">
        <v>0</v>
      </c>
      <c r="BQ117" s="12" t="s">
        <v>849</v>
      </c>
    </row>
    <row r="118" spans="1:69" x14ac:dyDescent="0.25">
      <c r="A118" s="12" t="s">
        <v>850</v>
      </c>
      <c r="B118" s="12" t="s">
        <v>29</v>
      </c>
      <c r="C118" s="12">
        <v>2017</v>
      </c>
      <c r="D118" s="12" t="s">
        <v>384</v>
      </c>
      <c r="E118" s="12" t="s">
        <v>145</v>
      </c>
      <c r="F118" s="12" t="s">
        <v>75</v>
      </c>
      <c r="G118" s="12">
        <v>7</v>
      </c>
      <c r="H118" s="12">
        <v>0.52681704372618354</v>
      </c>
      <c r="I118" s="12">
        <v>0</v>
      </c>
      <c r="J118" s="12">
        <v>2.5618209382590789</v>
      </c>
      <c r="K118" s="12">
        <v>2.457495105809735</v>
      </c>
      <c r="L118" s="12">
        <v>0</v>
      </c>
      <c r="M118" s="12">
        <v>1.868693744020379</v>
      </c>
      <c r="N118" s="12">
        <v>0</v>
      </c>
      <c r="O118" s="12">
        <v>0</v>
      </c>
      <c r="P118" s="12">
        <v>0</v>
      </c>
      <c r="Q118" s="12">
        <v>2.187639832796715</v>
      </c>
      <c r="R118" s="12">
        <v>45.943137468079733</v>
      </c>
      <c r="S118" s="12">
        <v>0</v>
      </c>
      <c r="T118" s="12">
        <v>0</v>
      </c>
      <c r="U118" s="12">
        <v>1.0395193057976739</v>
      </c>
      <c r="V118" s="12">
        <v>2.0062262213309099</v>
      </c>
      <c r="W118" s="12">
        <v>0</v>
      </c>
      <c r="X118" s="12">
        <v>0</v>
      </c>
      <c r="Y118" s="12">
        <v>0</v>
      </c>
      <c r="Z118" s="12">
        <v>0</v>
      </c>
      <c r="AA118" s="12">
        <v>0</v>
      </c>
      <c r="AB118" s="12">
        <v>0.43093849993520589</v>
      </c>
      <c r="AC118" s="12">
        <v>1.6416238471292759</v>
      </c>
      <c r="AD118" s="12">
        <v>4.0300723524312803</v>
      </c>
      <c r="AE118" s="12">
        <v>0</v>
      </c>
      <c r="AF118" s="12">
        <v>2.6762835220238301</v>
      </c>
      <c r="AG118" s="12">
        <v>2960.7590143877842</v>
      </c>
      <c r="AH118" s="12">
        <v>7630.0700529561591</v>
      </c>
      <c r="AI118" s="12">
        <v>6748.0078551171182</v>
      </c>
      <c r="AJ118" s="12">
        <v>8462.8664925177145</v>
      </c>
      <c r="AK118" s="12">
        <v>8837.7202976963799</v>
      </c>
      <c r="AL118" s="12">
        <v>9295.2323617768088</v>
      </c>
      <c r="AM118" s="12">
        <v>10350.83798908726</v>
      </c>
      <c r="AN118" s="12">
        <v>10354.260565931019</v>
      </c>
      <c r="AO118" s="12">
        <v>11361.644666749789</v>
      </c>
      <c r="AP118" s="12">
        <v>12880.141817272761</v>
      </c>
      <c r="AQ118" s="12">
        <v>11969.807525004089</v>
      </c>
      <c r="AR118" s="12">
        <v>13131.31867468336</v>
      </c>
      <c r="AS118" s="12">
        <v>14914.1573148387</v>
      </c>
      <c r="AT118" s="12">
        <v>15553.61983394032</v>
      </c>
      <c r="AU118" s="12">
        <v>16188.854659293669</v>
      </c>
      <c r="AV118" s="12">
        <v>17196.107039432041</v>
      </c>
      <c r="AW118" s="12">
        <v>17820.328035924449</v>
      </c>
      <c r="AX118" s="12">
        <v>23104.450347977629</v>
      </c>
      <c r="AY118" s="12">
        <v>25212.186463694939</v>
      </c>
      <c r="AZ118" s="12">
        <v>65403.892574025267</v>
      </c>
      <c r="BA118" s="12">
        <v>14639.03181519638</v>
      </c>
      <c r="BB118" s="12">
        <v>5082765.5715078162</v>
      </c>
      <c r="BC118" s="12">
        <v>0</v>
      </c>
      <c r="BD118" s="12">
        <v>0</v>
      </c>
      <c r="BE118" s="12">
        <v>102.8079198687219</v>
      </c>
      <c r="BF118" s="12">
        <v>70.984111483149675</v>
      </c>
      <c r="BG118" s="12">
        <v>95.82584352361927</v>
      </c>
      <c r="BH118" s="12">
        <v>107.7976308464112</v>
      </c>
      <c r="BI118" s="12">
        <v>103.9533561248638</v>
      </c>
      <c r="BJ118" s="12">
        <v>100.0455389653067</v>
      </c>
      <c r="BK118" s="12">
        <v>0</v>
      </c>
      <c r="BL118" s="12">
        <v>0</v>
      </c>
      <c r="BM118" s="12">
        <v>2.170747748831775E-2</v>
      </c>
      <c r="BN118" s="12">
        <v>0</v>
      </c>
      <c r="BO118" s="12">
        <v>0</v>
      </c>
      <c r="BP118" s="12">
        <v>0</v>
      </c>
      <c r="BQ118" s="12" t="s">
        <v>851</v>
      </c>
    </row>
    <row r="119" spans="1:69" x14ac:dyDescent="0.25">
      <c r="A119" s="12" t="s">
        <v>852</v>
      </c>
      <c r="B119" s="12" t="s">
        <v>29</v>
      </c>
      <c r="C119" s="12">
        <v>2017</v>
      </c>
      <c r="D119" s="12" t="s">
        <v>384</v>
      </c>
      <c r="E119" s="12" t="s">
        <v>145</v>
      </c>
      <c r="F119" s="12" t="s">
        <v>75</v>
      </c>
      <c r="G119" s="12">
        <v>8</v>
      </c>
      <c r="H119" s="12">
        <v>0.58476918077923423</v>
      </c>
      <c r="I119" s="12">
        <v>0</v>
      </c>
      <c r="J119" s="12">
        <v>2.5915878035194568</v>
      </c>
      <c r="K119" s="12">
        <v>2.3532220685982281</v>
      </c>
      <c r="L119" s="12">
        <v>0</v>
      </c>
      <c r="M119" s="12">
        <v>2.1175682193154639</v>
      </c>
      <c r="N119" s="12">
        <v>0</v>
      </c>
      <c r="O119" s="12">
        <v>0</v>
      </c>
      <c r="P119" s="12">
        <v>0</v>
      </c>
      <c r="Q119" s="12">
        <v>2.0178414794236388</v>
      </c>
      <c r="R119" s="12">
        <v>42.440168437680882</v>
      </c>
      <c r="S119" s="12">
        <v>0</v>
      </c>
      <c r="T119" s="12">
        <v>0</v>
      </c>
      <c r="U119" s="12">
        <v>1.0329434066376999</v>
      </c>
      <c r="V119" s="12">
        <v>2.0476232571891262</v>
      </c>
      <c r="W119" s="12">
        <v>0</v>
      </c>
      <c r="X119" s="12">
        <v>0</v>
      </c>
      <c r="Y119" s="12">
        <v>0</v>
      </c>
      <c r="Z119" s="12">
        <v>0</v>
      </c>
      <c r="AA119" s="12">
        <v>0</v>
      </c>
      <c r="AB119" s="12">
        <v>0.31879731726650667</v>
      </c>
      <c r="AC119" s="12">
        <v>1.6983813246243029</v>
      </c>
      <c r="AD119" s="12">
        <v>4.2331760995557639</v>
      </c>
      <c r="AE119" s="12">
        <v>0</v>
      </c>
      <c r="AF119" s="12">
        <v>2.398740282486798</v>
      </c>
      <c r="AG119" s="12">
        <v>3201.3893297532359</v>
      </c>
      <c r="AH119" s="12">
        <v>7514.3564717957825</v>
      </c>
      <c r="AI119" s="12">
        <v>7353.145518254476</v>
      </c>
      <c r="AJ119" s="12">
        <v>8042.3882897806288</v>
      </c>
      <c r="AK119" s="12">
        <v>8612.222254506738</v>
      </c>
      <c r="AL119" s="12">
        <v>10489.587093312861</v>
      </c>
      <c r="AM119" s="12">
        <v>9130.2090048889313</v>
      </c>
      <c r="AN119" s="12">
        <v>10757.71318691044</v>
      </c>
      <c r="AO119" s="12">
        <v>10765.31178110055</v>
      </c>
      <c r="AP119" s="12">
        <v>11556.970661595389</v>
      </c>
      <c r="AQ119" s="12">
        <v>12354.728497657479</v>
      </c>
      <c r="AR119" s="12">
        <v>13262.31751327774</v>
      </c>
      <c r="AS119" s="12">
        <v>14571.27711091204</v>
      </c>
      <c r="AT119" s="12">
        <v>15812.01649395881</v>
      </c>
      <c r="AU119" s="12">
        <v>15985.08945055089</v>
      </c>
      <c r="AV119" s="12">
        <v>18222.47068922974</v>
      </c>
      <c r="AW119" s="12">
        <v>19007.507426491131</v>
      </c>
      <c r="AX119" s="12">
        <v>23492.51788462172</v>
      </c>
      <c r="AY119" s="12">
        <v>21884.815848567949</v>
      </c>
      <c r="AZ119" s="12">
        <v>68524.887927700547</v>
      </c>
      <c r="BA119" s="12">
        <v>14632.950801815559</v>
      </c>
      <c r="BB119" s="12">
        <v>4677031.3298649034</v>
      </c>
      <c r="BC119" s="12">
        <v>0</v>
      </c>
      <c r="BD119" s="12">
        <v>0</v>
      </c>
      <c r="BE119" s="12">
        <v>105.8821276439823</v>
      </c>
      <c r="BF119" s="12">
        <v>67.210261589811083</v>
      </c>
      <c r="BG119" s="12">
        <v>98.648103966037922</v>
      </c>
      <c r="BH119" s="12">
        <v>98.033186128508433</v>
      </c>
      <c r="BI119" s="12">
        <v>98.646525120893472</v>
      </c>
      <c r="BJ119" s="12">
        <v>99.970526596433274</v>
      </c>
      <c r="BK119" s="12">
        <v>0</v>
      </c>
      <c r="BL119" s="12">
        <v>0</v>
      </c>
      <c r="BM119" s="12">
        <v>0</v>
      </c>
      <c r="BN119" s="12">
        <v>0</v>
      </c>
      <c r="BO119" s="12">
        <v>0</v>
      </c>
      <c r="BP119" s="12">
        <v>0</v>
      </c>
      <c r="BQ119" s="12" t="s">
        <v>853</v>
      </c>
    </row>
    <row r="120" spans="1:69" x14ac:dyDescent="0.25">
      <c r="A120" s="12" t="s">
        <v>854</v>
      </c>
      <c r="B120" s="12" t="s">
        <v>29</v>
      </c>
      <c r="C120" s="12">
        <v>2017</v>
      </c>
      <c r="D120" s="12" t="s">
        <v>384</v>
      </c>
      <c r="E120" s="12" t="s">
        <v>145</v>
      </c>
      <c r="F120" s="12" t="s">
        <v>75</v>
      </c>
      <c r="G120" s="12">
        <v>9</v>
      </c>
      <c r="H120" s="12">
        <v>0.49938956914537852</v>
      </c>
      <c r="I120" s="12">
        <v>0</v>
      </c>
      <c r="J120" s="12">
        <v>2.5147320647528941</v>
      </c>
      <c r="K120" s="12">
        <v>1.416924209340271</v>
      </c>
      <c r="L120" s="12">
        <v>0</v>
      </c>
      <c r="M120" s="12">
        <v>1.844298288344586</v>
      </c>
      <c r="N120" s="12">
        <v>0</v>
      </c>
      <c r="O120" s="12">
        <v>0</v>
      </c>
      <c r="P120" s="12">
        <v>0</v>
      </c>
      <c r="Q120" s="12">
        <v>2.3516581257301219</v>
      </c>
      <c r="R120" s="12">
        <v>45.297606771636431</v>
      </c>
      <c r="S120" s="12">
        <v>0</v>
      </c>
      <c r="T120" s="12">
        <v>0</v>
      </c>
      <c r="U120" s="12">
        <v>1.1034854233637581</v>
      </c>
      <c r="V120" s="12">
        <v>2.1296956027939111</v>
      </c>
      <c r="W120" s="12">
        <v>0</v>
      </c>
      <c r="X120" s="12">
        <v>0</v>
      </c>
      <c r="Y120" s="12">
        <v>0</v>
      </c>
      <c r="Z120" s="12">
        <v>0</v>
      </c>
      <c r="AA120" s="12">
        <v>0</v>
      </c>
      <c r="AB120" s="12">
        <v>0.26750291456803132</v>
      </c>
      <c r="AC120" s="12">
        <v>1.821020937126125</v>
      </c>
      <c r="AD120" s="12">
        <v>3.9069114999240711</v>
      </c>
      <c r="AE120" s="12">
        <v>0</v>
      </c>
      <c r="AF120" s="12">
        <v>2.1337530092250541</v>
      </c>
      <c r="AG120" s="12">
        <v>3213.6794621129679</v>
      </c>
      <c r="AH120" s="12">
        <v>7504.096733542674</v>
      </c>
      <c r="AI120" s="12">
        <v>6733.0456803288589</v>
      </c>
      <c r="AJ120" s="12">
        <v>8117.2692205741241</v>
      </c>
      <c r="AK120" s="12">
        <v>8024.434379255169</v>
      </c>
      <c r="AL120" s="12">
        <v>9906.540800480976</v>
      </c>
      <c r="AM120" s="12">
        <v>10542.578889131661</v>
      </c>
      <c r="AN120" s="12">
        <v>10733.89137476748</v>
      </c>
      <c r="AO120" s="12">
        <v>10247.133232256419</v>
      </c>
      <c r="AP120" s="12">
        <v>12307.254206253599</v>
      </c>
      <c r="AQ120" s="12">
        <v>11564.92144274876</v>
      </c>
      <c r="AR120" s="12">
        <v>13154.838047186429</v>
      </c>
      <c r="AS120" s="12">
        <v>14412.16856392296</v>
      </c>
      <c r="AT120" s="12">
        <v>15018.774971903569</v>
      </c>
      <c r="AU120" s="12">
        <v>15658.250656719831</v>
      </c>
      <c r="AV120" s="12">
        <v>17438.732663936731</v>
      </c>
      <c r="AW120" s="12">
        <v>18278.168750092089</v>
      </c>
      <c r="AX120" s="12">
        <v>22095.999778458929</v>
      </c>
      <c r="AY120" s="12">
        <v>23387.767260651559</v>
      </c>
      <c r="AZ120" s="12">
        <v>69472.860365959292</v>
      </c>
      <c r="BA120" s="12">
        <v>17404.43388587654</v>
      </c>
      <c r="BB120" s="12">
        <v>4806722.9491040735</v>
      </c>
      <c r="BC120" s="12">
        <v>0</v>
      </c>
      <c r="BD120" s="12">
        <v>0</v>
      </c>
      <c r="BE120" s="12">
        <v>101.3676165761962</v>
      </c>
      <c r="BF120" s="12">
        <v>56.7840239730291</v>
      </c>
      <c r="BG120" s="12">
        <v>102.40146206150681</v>
      </c>
      <c r="BH120" s="12">
        <v>104.82936878163061</v>
      </c>
      <c r="BI120" s="12">
        <v>103.56423177256519</v>
      </c>
      <c r="BJ120" s="12">
        <v>100.3258435775461</v>
      </c>
      <c r="BK120" s="12">
        <v>0</v>
      </c>
      <c r="BL120" s="12">
        <v>0</v>
      </c>
      <c r="BM120" s="12">
        <v>0</v>
      </c>
      <c r="BN120" s="12">
        <v>0</v>
      </c>
      <c r="BO120" s="12">
        <v>0</v>
      </c>
      <c r="BP120" s="12">
        <v>0</v>
      </c>
      <c r="BQ120" s="12" t="s">
        <v>855</v>
      </c>
    </row>
    <row r="121" spans="1:69" x14ac:dyDescent="0.25">
      <c r="A121" s="12" t="s">
        <v>856</v>
      </c>
      <c r="B121" s="12" t="s">
        <v>29</v>
      </c>
      <c r="C121" s="12">
        <v>2017</v>
      </c>
      <c r="D121" s="12" t="s">
        <v>384</v>
      </c>
      <c r="E121" s="12" t="s">
        <v>145</v>
      </c>
      <c r="F121" s="12" t="s">
        <v>75</v>
      </c>
      <c r="G121" s="12">
        <v>10</v>
      </c>
      <c r="H121" s="12">
        <v>0.42143884121795411</v>
      </c>
      <c r="I121" s="12">
        <v>0</v>
      </c>
      <c r="J121" s="12">
        <v>2.6455608456512469</v>
      </c>
      <c r="K121" s="12">
        <v>1.2081308077272199</v>
      </c>
      <c r="L121" s="12">
        <v>0</v>
      </c>
      <c r="M121" s="12">
        <v>1.770019778018046</v>
      </c>
      <c r="N121" s="12">
        <v>0</v>
      </c>
      <c r="O121" s="12">
        <v>0</v>
      </c>
      <c r="P121" s="12">
        <v>0</v>
      </c>
      <c r="Q121" s="12">
        <v>2.30464214479364</v>
      </c>
      <c r="R121" s="12">
        <v>38.058823021053144</v>
      </c>
      <c r="S121" s="12">
        <v>0</v>
      </c>
      <c r="T121" s="12">
        <v>0</v>
      </c>
      <c r="U121" s="12">
        <v>1.3430251363556811</v>
      </c>
      <c r="V121" s="12">
        <v>2.2424438132227471</v>
      </c>
      <c r="W121" s="12">
        <v>0</v>
      </c>
      <c r="X121" s="12">
        <v>0</v>
      </c>
      <c r="Y121" s="12">
        <v>0</v>
      </c>
      <c r="Z121" s="12">
        <v>0</v>
      </c>
      <c r="AA121" s="12">
        <v>0</v>
      </c>
      <c r="AB121" s="12">
        <v>0.20670823471927779</v>
      </c>
      <c r="AC121" s="12">
        <v>1.478116395179178</v>
      </c>
      <c r="AD121" s="12">
        <v>2.210825145512096</v>
      </c>
      <c r="AE121" s="12">
        <v>0</v>
      </c>
      <c r="AF121" s="12">
        <v>1.6157479639004071</v>
      </c>
      <c r="AG121" s="12">
        <v>3313.292999555199</v>
      </c>
      <c r="AH121" s="12">
        <v>7555.0809089644736</v>
      </c>
      <c r="AI121" s="12">
        <v>6831.5410615935316</v>
      </c>
      <c r="AJ121" s="12">
        <v>8554.3145821840371</v>
      </c>
      <c r="AK121" s="12">
        <v>8187.6603135440146</v>
      </c>
      <c r="AL121" s="12">
        <v>9641.9353094040525</v>
      </c>
      <c r="AM121" s="12">
        <v>9589.5607762079253</v>
      </c>
      <c r="AN121" s="12">
        <v>10137.532957431191</v>
      </c>
      <c r="AO121" s="12">
        <v>10378.82962054087</v>
      </c>
      <c r="AP121" s="12">
        <v>12897.60922437352</v>
      </c>
      <c r="AQ121" s="12">
        <v>12068.93445418718</v>
      </c>
      <c r="AR121" s="12">
        <v>14842.579570855591</v>
      </c>
      <c r="AS121" s="12">
        <v>14297.18792825841</v>
      </c>
      <c r="AT121" s="12">
        <v>16429.012587582849</v>
      </c>
      <c r="AU121" s="12">
        <v>14879.79045183362</v>
      </c>
      <c r="AV121" s="12">
        <v>18709.96998189357</v>
      </c>
      <c r="AW121" s="12">
        <v>18074.404333389681</v>
      </c>
      <c r="AX121" s="12">
        <v>22764.30999582</v>
      </c>
      <c r="AY121" s="12">
        <v>22681.493945903701</v>
      </c>
      <c r="AZ121" s="12">
        <v>65154.780163289128</v>
      </c>
      <c r="BA121" s="12">
        <v>24905.569762419909</v>
      </c>
      <c r="BB121" s="12">
        <v>4814080.8025029777</v>
      </c>
      <c r="BC121" s="12">
        <v>0</v>
      </c>
      <c r="BD121" s="12">
        <v>0</v>
      </c>
      <c r="BE121" s="12">
        <v>106.5584315855605</v>
      </c>
      <c r="BF121" s="12">
        <v>54.270807015588503</v>
      </c>
      <c r="BG121" s="12">
        <v>108.26330453835079</v>
      </c>
      <c r="BH121" s="12">
        <v>106.6638041365066</v>
      </c>
      <c r="BI121" s="12">
        <v>107.8292920637555</v>
      </c>
      <c r="BJ121" s="12">
        <v>93.608466157199857</v>
      </c>
      <c r="BK121" s="12">
        <v>0</v>
      </c>
      <c r="BL121" s="12">
        <v>0</v>
      </c>
      <c r="BM121" s="12">
        <v>0</v>
      </c>
      <c r="BN121" s="12">
        <v>0</v>
      </c>
      <c r="BO121" s="12">
        <v>0</v>
      </c>
      <c r="BP121" s="12">
        <v>0</v>
      </c>
      <c r="BQ121" s="12" t="s">
        <v>857</v>
      </c>
    </row>
    <row r="122" spans="1:69" x14ac:dyDescent="0.25">
      <c r="A122" s="12" t="s">
        <v>858</v>
      </c>
      <c r="B122" s="12" t="s">
        <v>29</v>
      </c>
      <c r="C122" s="12">
        <v>2017</v>
      </c>
      <c r="D122" s="12" t="s">
        <v>384</v>
      </c>
      <c r="E122" s="12" t="s">
        <v>382</v>
      </c>
      <c r="F122" s="12" t="s">
        <v>75</v>
      </c>
      <c r="G122" s="12">
        <v>9999</v>
      </c>
      <c r="H122" s="12">
        <v>0.52450259629901752</v>
      </c>
      <c r="I122" s="12">
        <v>0</v>
      </c>
      <c r="J122" s="12">
        <v>2.6628518387293578</v>
      </c>
      <c r="K122" s="12">
        <v>2.3848232065406791</v>
      </c>
      <c r="L122" s="12">
        <v>0</v>
      </c>
      <c r="M122" s="12">
        <v>1.638988607515049</v>
      </c>
      <c r="N122" s="12">
        <v>0</v>
      </c>
      <c r="O122" s="12">
        <v>0</v>
      </c>
      <c r="P122" s="12">
        <v>0</v>
      </c>
      <c r="Q122" s="12">
        <v>1.988064242402876</v>
      </c>
      <c r="R122" s="12">
        <v>47.694482096557849</v>
      </c>
      <c r="S122" s="12">
        <v>0</v>
      </c>
      <c r="T122" s="12">
        <v>0</v>
      </c>
      <c r="U122" s="12">
        <v>0.73445985857359752</v>
      </c>
      <c r="V122" s="12">
        <v>2.061486850025589</v>
      </c>
      <c r="W122" s="12">
        <v>0</v>
      </c>
      <c r="X122" s="12">
        <v>0</v>
      </c>
      <c r="Y122" s="12">
        <v>0</v>
      </c>
      <c r="Z122" s="12">
        <v>0</v>
      </c>
      <c r="AA122" s="12">
        <v>0</v>
      </c>
      <c r="AB122" s="12">
        <v>0.48871846626599491</v>
      </c>
      <c r="AC122" s="12">
        <v>1.391202650479306</v>
      </c>
      <c r="AD122" s="12">
        <v>4.272445416223241</v>
      </c>
      <c r="AE122" s="12">
        <v>0</v>
      </c>
      <c r="AF122" s="12">
        <v>2.591800016756745</v>
      </c>
      <c r="AG122" s="12">
        <v>3094.08647827185</v>
      </c>
      <c r="AH122" s="12">
        <v>7441.4698204519646</v>
      </c>
      <c r="AI122" s="12">
        <v>7182.4116823641862</v>
      </c>
      <c r="AJ122" s="12">
        <v>8690.5485985272735</v>
      </c>
      <c r="AK122" s="12">
        <v>8978.8683336685735</v>
      </c>
      <c r="AL122" s="12">
        <v>9620.110062742775</v>
      </c>
      <c r="AM122" s="12">
        <v>10416.002059403991</v>
      </c>
      <c r="AN122" s="12">
        <v>11303.500989800399</v>
      </c>
      <c r="AO122" s="12">
        <v>10290.52309468971</v>
      </c>
      <c r="AP122" s="12">
        <v>11910.61810323441</v>
      </c>
      <c r="AQ122" s="12">
        <v>12884.002728009311</v>
      </c>
      <c r="AR122" s="12">
        <v>14402.26749250606</v>
      </c>
      <c r="AS122" s="12">
        <v>13259.252432998779</v>
      </c>
      <c r="AT122" s="12">
        <v>16266.456343770909</v>
      </c>
      <c r="AU122" s="12">
        <v>14807.840055376189</v>
      </c>
      <c r="AV122" s="12">
        <v>18695.017277414991</v>
      </c>
      <c r="AW122" s="12">
        <v>17575.624898130729</v>
      </c>
      <c r="AX122" s="12">
        <v>21864.515807216689</v>
      </c>
      <c r="AY122" s="12">
        <v>23044.4357807661</v>
      </c>
      <c r="AZ122" s="12">
        <v>69566.747174395176</v>
      </c>
      <c r="BA122" s="12">
        <v>9727.264074196306</v>
      </c>
      <c r="BB122" s="12">
        <v>50750503.224416971</v>
      </c>
      <c r="BC122" s="12">
        <v>0</v>
      </c>
      <c r="BD122" s="12">
        <v>0</v>
      </c>
      <c r="BE122" s="12">
        <v>102.13562920714109</v>
      </c>
      <c r="BF122" s="12">
        <v>59.990623549448323</v>
      </c>
      <c r="BG122" s="12">
        <v>86.505768322953386</v>
      </c>
      <c r="BH122" s="12">
        <v>99.329096747718765</v>
      </c>
      <c r="BI122" s="12">
        <v>109.91023289541521</v>
      </c>
      <c r="BJ122" s="12">
        <v>91.757003194674482</v>
      </c>
      <c r="BK122" s="12">
        <v>7.0579916391656713E-2</v>
      </c>
      <c r="BL122" s="12">
        <v>0.86337446439958965</v>
      </c>
      <c r="BM122" s="12">
        <v>12.5212170015617</v>
      </c>
      <c r="BN122" s="12">
        <v>0</v>
      </c>
      <c r="BO122" s="12">
        <v>0</v>
      </c>
      <c r="BP122" s="12">
        <v>0</v>
      </c>
      <c r="BQ122" s="12" t="s">
        <v>859</v>
      </c>
    </row>
    <row r="123" spans="1:69" x14ac:dyDescent="0.25">
      <c r="A123" s="12" t="s">
        <v>860</v>
      </c>
      <c r="B123" s="12" t="s">
        <v>29</v>
      </c>
      <c r="C123" s="12">
        <v>2017</v>
      </c>
      <c r="D123" s="12" t="s">
        <v>384</v>
      </c>
      <c r="E123" s="12" t="s">
        <v>145</v>
      </c>
      <c r="F123" s="12" t="s">
        <v>78</v>
      </c>
      <c r="G123" s="12">
        <v>1</v>
      </c>
      <c r="H123" s="12">
        <v>1.604989815450524</v>
      </c>
      <c r="I123" s="12">
        <v>0</v>
      </c>
      <c r="J123" s="12">
        <v>4.6677806536956048</v>
      </c>
      <c r="K123" s="12">
        <v>7.1611138409744806</v>
      </c>
      <c r="L123" s="12">
        <v>0</v>
      </c>
      <c r="M123" s="12">
        <v>3.4658503328073471</v>
      </c>
      <c r="N123" s="12">
        <v>0</v>
      </c>
      <c r="O123" s="12">
        <v>4.6696217473770938</v>
      </c>
      <c r="P123" s="12">
        <v>0</v>
      </c>
      <c r="Q123" s="12">
        <v>4.4118255628484411</v>
      </c>
      <c r="R123" s="12">
        <v>63.253129662754667</v>
      </c>
      <c r="S123" s="12">
        <v>0</v>
      </c>
      <c r="T123" s="12">
        <v>0</v>
      </c>
      <c r="U123" s="12">
        <v>3.4699034081313398</v>
      </c>
      <c r="V123" s="12">
        <v>10.000985092801461</v>
      </c>
      <c r="W123" s="12">
        <v>0</v>
      </c>
      <c r="X123" s="12">
        <v>2.9866424100396731</v>
      </c>
      <c r="Y123" s="12">
        <v>1.291172639064839</v>
      </c>
      <c r="Z123" s="12">
        <v>0</v>
      </c>
      <c r="AA123" s="12">
        <v>0</v>
      </c>
      <c r="AB123" s="12">
        <v>3.4723951277340102</v>
      </c>
      <c r="AC123" s="12">
        <v>7.1205158507562603</v>
      </c>
      <c r="AD123" s="12">
        <v>10.672550385156031</v>
      </c>
      <c r="AE123" s="12">
        <v>0</v>
      </c>
      <c r="AF123" s="12">
        <v>6.5148994687746056</v>
      </c>
      <c r="AG123" s="12">
        <v>3077.3369302471351</v>
      </c>
      <c r="AH123" s="12">
        <v>7334.7092733740374</v>
      </c>
      <c r="AI123" s="12">
        <v>6846.4791911272387</v>
      </c>
      <c r="AJ123" s="12">
        <v>7927.4583662663536</v>
      </c>
      <c r="AK123" s="12">
        <v>8731.7376373279731</v>
      </c>
      <c r="AL123" s="12">
        <v>9586.1834274641587</v>
      </c>
      <c r="AM123" s="12">
        <v>10299.312898266529</v>
      </c>
      <c r="AN123" s="12">
        <v>11058.705135030101</v>
      </c>
      <c r="AO123" s="12">
        <v>11794.398167439111</v>
      </c>
      <c r="AP123" s="12">
        <v>12404.059106881599</v>
      </c>
      <c r="AQ123" s="12">
        <v>12303.65139821963</v>
      </c>
      <c r="AR123" s="12">
        <v>14771.175650611811</v>
      </c>
      <c r="AS123" s="12">
        <v>13282.61639957968</v>
      </c>
      <c r="AT123" s="12">
        <v>16197.802769762469</v>
      </c>
      <c r="AU123" s="12">
        <v>15931.40135353776</v>
      </c>
      <c r="AV123" s="12">
        <v>19416.009611220172</v>
      </c>
      <c r="AW123" s="12">
        <v>17789.3131994914</v>
      </c>
      <c r="AX123" s="12">
        <v>22897.504105632739</v>
      </c>
      <c r="AY123" s="12">
        <v>23866.486536106331</v>
      </c>
      <c r="AZ123" s="12">
        <v>66285.47334043408</v>
      </c>
      <c r="BA123" s="12">
        <v>6749.1663666695767</v>
      </c>
      <c r="BB123" s="12">
        <v>4868951.1201030696</v>
      </c>
      <c r="BC123" s="12">
        <v>0</v>
      </c>
      <c r="BD123" s="12">
        <v>0</v>
      </c>
      <c r="BE123" s="12">
        <v>102.1196690471948</v>
      </c>
      <c r="BF123" s="12">
        <v>62.87976556290176</v>
      </c>
      <c r="BG123" s="12">
        <v>92.085712303579896</v>
      </c>
      <c r="BH123" s="12">
        <v>106.287783541731</v>
      </c>
      <c r="BI123" s="12">
        <v>102.5318126930122</v>
      </c>
      <c r="BJ123" s="12">
        <v>99.861119636842858</v>
      </c>
      <c r="BK123" s="12">
        <v>5.3896180214766033E-2</v>
      </c>
      <c r="BL123" s="12">
        <v>0.88925871225216746</v>
      </c>
      <c r="BM123" s="12">
        <v>4.8061898464218844</v>
      </c>
      <c r="BN123" s="12">
        <v>0</v>
      </c>
      <c r="BO123" s="12">
        <v>0</v>
      </c>
      <c r="BP123" s="12">
        <v>0</v>
      </c>
      <c r="BQ123" s="12" t="s">
        <v>861</v>
      </c>
    </row>
    <row r="124" spans="1:69" x14ac:dyDescent="0.25">
      <c r="A124" s="12" t="s">
        <v>862</v>
      </c>
      <c r="B124" s="12" t="s">
        <v>29</v>
      </c>
      <c r="C124" s="12">
        <v>2017</v>
      </c>
      <c r="D124" s="12" t="s">
        <v>384</v>
      </c>
      <c r="E124" s="12" t="s">
        <v>145</v>
      </c>
      <c r="F124" s="12" t="s">
        <v>78</v>
      </c>
      <c r="G124" s="12">
        <v>2</v>
      </c>
      <c r="H124" s="12">
        <v>1.768433913690681</v>
      </c>
      <c r="I124" s="12">
        <v>0</v>
      </c>
      <c r="J124" s="12">
        <v>4.6647367703679166</v>
      </c>
      <c r="K124" s="12">
        <v>7.9843842057980448</v>
      </c>
      <c r="L124" s="12">
        <v>0</v>
      </c>
      <c r="M124" s="12">
        <v>3.971165012859839</v>
      </c>
      <c r="N124" s="12">
        <v>0</v>
      </c>
      <c r="O124" s="12">
        <v>7.0832645095593278</v>
      </c>
      <c r="P124" s="12">
        <v>0</v>
      </c>
      <c r="Q124" s="12">
        <v>4.223206779889094</v>
      </c>
      <c r="R124" s="12">
        <v>65.331820086836885</v>
      </c>
      <c r="S124" s="12">
        <v>0</v>
      </c>
      <c r="T124" s="12">
        <v>0</v>
      </c>
      <c r="U124" s="12">
        <v>3.5658844800125258</v>
      </c>
      <c r="V124" s="12">
        <v>8.1119227847409974</v>
      </c>
      <c r="W124" s="12">
        <v>0</v>
      </c>
      <c r="X124" s="12">
        <v>2.4158082615042971</v>
      </c>
      <c r="Y124" s="12">
        <v>1.231742207282092</v>
      </c>
      <c r="Z124" s="12">
        <v>0</v>
      </c>
      <c r="AA124" s="12">
        <v>0</v>
      </c>
      <c r="AB124" s="12">
        <v>2.9995507808204209</v>
      </c>
      <c r="AC124" s="12">
        <v>6.8500099061654494</v>
      </c>
      <c r="AD124" s="12">
        <v>9.2542968277349313</v>
      </c>
      <c r="AE124" s="12">
        <v>0</v>
      </c>
      <c r="AF124" s="12">
        <v>6.6801951072683181</v>
      </c>
      <c r="AG124" s="12">
        <v>3192.3170775357999</v>
      </c>
      <c r="AH124" s="12">
        <v>6885.27281555016</v>
      </c>
      <c r="AI124" s="12">
        <v>6857.4142176989853</v>
      </c>
      <c r="AJ124" s="12">
        <v>8772.2773904371061</v>
      </c>
      <c r="AK124" s="12">
        <v>9039.9526229096227</v>
      </c>
      <c r="AL124" s="12">
        <v>9604.4687451369718</v>
      </c>
      <c r="AM124" s="12">
        <v>9152.3267095776991</v>
      </c>
      <c r="AN124" s="12">
        <v>10620.62325476781</v>
      </c>
      <c r="AO124" s="12">
        <v>10877.136687360629</v>
      </c>
      <c r="AP124" s="12">
        <v>12537.819548723979</v>
      </c>
      <c r="AQ124" s="12">
        <v>12570.162298946199</v>
      </c>
      <c r="AR124" s="12">
        <v>12796.590386876809</v>
      </c>
      <c r="AS124" s="12">
        <v>14135.42028118457</v>
      </c>
      <c r="AT124" s="12">
        <v>15618.490354175479</v>
      </c>
      <c r="AU124" s="12">
        <v>16579.360834339612</v>
      </c>
      <c r="AV124" s="12">
        <v>17717.913792598181</v>
      </c>
      <c r="AW124" s="12">
        <v>19363.9343001948</v>
      </c>
      <c r="AX124" s="12">
        <v>24345.7837633462</v>
      </c>
      <c r="AY124" s="12">
        <v>21797.511359166969</v>
      </c>
      <c r="AZ124" s="12">
        <v>69658.913866323608</v>
      </c>
      <c r="BA124" s="12">
        <v>8717.1381138662855</v>
      </c>
      <c r="BB124" s="12">
        <v>4431167.1225252738</v>
      </c>
      <c r="BC124" s="12">
        <v>0</v>
      </c>
      <c r="BD124" s="12">
        <v>0</v>
      </c>
      <c r="BE124" s="12">
        <v>99.912431182756279</v>
      </c>
      <c r="BF124" s="12">
        <v>71.498283805925823</v>
      </c>
      <c r="BG124" s="12">
        <v>97.881344616684359</v>
      </c>
      <c r="BH124" s="12">
        <v>114.93840270608951</v>
      </c>
      <c r="BI124" s="12">
        <v>103.23583843562341</v>
      </c>
      <c r="BJ124" s="12">
        <v>101.89590396555801</v>
      </c>
      <c r="BK124" s="12">
        <v>9.9610290901442806E-3</v>
      </c>
      <c r="BL124" s="12">
        <v>1.8557039405817249E-2</v>
      </c>
      <c r="BM124" s="12">
        <v>4.4883750604241506</v>
      </c>
      <c r="BN124" s="12">
        <v>0</v>
      </c>
      <c r="BO124" s="12">
        <v>0</v>
      </c>
      <c r="BP124" s="12">
        <v>0</v>
      </c>
      <c r="BQ124" s="12" t="s">
        <v>863</v>
      </c>
    </row>
    <row r="125" spans="1:69" x14ac:dyDescent="0.25">
      <c r="A125" s="12" t="s">
        <v>864</v>
      </c>
      <c r="B125" s="12" t="s">
        <v>29</v>
      </c>
      <c r="C125" s="12">
        <v>2017</v>
      </c>
      <c r="D125" s="12" t="s">
        <v>384</v>
      </c>
      <c r="E125" s="12" t="s">
        <v>145</v>
      </c>
      <c r="F125" s="12" t="s">
        <v>78</v>
      </c>
      <c r="G125" s="12">
        <v>3</v>
      </c>
      <c r="H125" s="12">
        <v>1.91332845128583</v>
      </c>
      <c r="I125" s="12">
        <v>0</v>
      </c>
      <c r="J125" s="12">
        <v>4.4921214087288774</v>
      </c>
      <c r="K125" s="12">
        <v>7.8215067575232684</v>
      </c>
      <c r="L125" s="12">
        <v>0</v>
      </c>
      <c r="M125" s="12">
        <v>4.1458217935089987</v>
      </c>
      <c r="N125" s="12">
        <v>0</v>
      </c>
      <c r="O125" s="12">
        <v>7.4843939712893448</v>
      </c>
      <c r="P125" s="12">
        <v>0</v>
      </c>
      <c r="Q125" s="12">
        <v>4.1443383303762538</v>
      </c>
      <c r="R125" s="12">
        <v>64.737995831979418</v>
      </c>
      <c r="S125" s="12">
        <v>0</v>
      </c>
      <c r="T125" s="12">
        <v>0</v>
      </c>
      <c r="U125" s="12">
        <v>4.3213966048372736</v>
      </c>
      <c r="V125" s="12">
        <v>8.1457978780714413</v>
      </c>
      <c r="W125" s="12">
        <v>0</v>
      </c>
      <c r="X125" s="12">
        <v>2.303674173436542</v>
      </c>
      <c r="Y125" s="12">
        <v>1.046976078827633</v>
      </c>
      <c r="Z125" s="12">
        <v>0</v>
      </c>
      <c r="AA125" s="12">
        <v>0</v>
      </c>
      <c r="AB125" s="12">
        <v>3.2158747062106161</v>
      </c>
      <c r="AC125" s="12">
        <v>6.9911874093859927</v>
      </c>
      <c r="AD125" s="12">
        <v>9.0701964104639519</v>
      </c>
      <c r="AE125" s="12">
        <v>0</v>
      </c>
      <c r="AF125" s="12">
        <v>6.3454707378299009</v>
      </c>
      <c r="AG125" s="12">
        <v>3039.0342348664221</v>
      </c>
      <c r="AH125" s="12">
        <v>6703.4764357465556</v>
      </c>
      <c r="AI125" s="12">
        <v>7662.7616305111396</v>
      </c>
      <c r="AJ125" s="12">
        <v>8685.835819681286</v>
      </c>
      <c r="AK125" s="12">
        <v>9209.8853770895039</v>
      </c>
      <c r="AL125" s="12">
        <v>9987.463343345431</v>
      </c>
      <c r="AM125" s="12">
        <v>9957.9440890712594</v>
      </c>
      <c r="AN125" s="12">
        <v>10911.916559391941</v>
      </c>
      <c r="AO125" s="12">
        <v>11471.57524356192</v>
      </c>
      <c r="AP125" s="12">
        <v>12391.273780248301</v>
      </c>
      <c r="AQ125" s="12">
        <v>11426.787057556319</v>
      </c>
      <c r="AR125" s="12">
        <v>12856.038454960541</v>
      </c>
      <c r="AS125" s="12">
        <v>13238.969534302791</v>
      </c>
      <c r="AT125" s="12">
        <v>14955.55797413039</v>
      </c>
      <c r="AU125" s="12">
        <v>16059.50810093224</v>
      </c>
      <c r="AV125" s="12">
        <v>17723.231075308991</v>
      </c>
      <c r="AW125" s="12">
        <v>18562.467586234241</v>
      </c>
      <c r="AX125" s="12">
        <v>22791.121643239341</v>
      </c>
      <c r="AY125" s="12">
        <v>23260.8294912417</v>
      </c>
      <c r="AZ125" s="12">
        <v>70025.444800645651</v>
      </c>
      <c r="BA125" s="12">
        <v>10321.76775663628</v>
      </c>
      <c r="BB125" s="12">
        <v>4793921.8405513791</v>
      </c>
      <c r="BC125" s="12">
        <v>0</v>
      </c>
      <c r="BD125" s="12">
        <v>0</v>
      </c>
      <c r="BE125" s="12">
        <v>100.5808274207743</v>
      </c>
      <c r="BF125" s="12">
        <v>72.711572202538676</v>
      </c>
      <c r="BG125" s="12">
        <v>92.025714057487008</v>
      </c>
      <c r="BH125" s="12">
        <v>111.7530372369942</v>
      </c>
      <c r="BI125" s="12">
        <v>107.87166343161179</v>
      </c>
      <c r="BJ125" s="12">
        <v>96.346323903919028</v>
      </c>
      <c r="BK125" s="12">
        <v>0</v>
      </c>
      <c r="BL125" s="12">
        <v>0</v>
      </c>
      <c r="BM125" s="12">
        <v>2.6267381490664361</v>
      </c>
      <c r="BN125" s="12">
        <v>0</v>
      </c>
      <c r="BO125" s="12">
        <v>0</v>
      </c>
      <c r="BP125" s="12">
        <v>0</v>
      </c>
      <c r="BQ125" s="12" t="s">
        <v>865</v>
      </c>
    </row>
    <row r="126" spans="1:69" x14ac:dyDescent="0.25">
      <c r="A126" s="12" t="s">
        <v>866</v>
      </c>
      <c r="B126" s="12" t="s">
        <v>29</v>
      </c>
      <c r="C126" s="12">
        <v>2017</v>
      </c>
      <c r="D126" s="12" t="s">
        <v>384</v>
      </c>
      <c r="E126" s="12" t="s">
        <v>145</v>
      </c>
      <c r="F126" s="12" t="s">
        <v>78</v>
      </c>
      <c r="G126" s="12">
        <v>4</v>
      </c>
      <c r="H126" s="12">
        <v>1.732969469806251</v>
      </c>
      <c r="I126" s="12">
        <v>0</v>
      </c>
      <c r="J126" s="12">
        <v>4.7659514808041594</v>
      </c>
      <c r="K126" s="12">
        <v>8.0123475846792136</v>
      </c>
      <c r="L126" s="12">
        <v>0</v>
      </c>
      <c r="M126" s="12">
        <v>4.0956206894816436</v>
      </c>
      <c r="N126" s="12">
        <v>0</v>
      </c>
      <c r="O126" s="12">
        <v>7.4297797737399582</v>
      </c>
      <c r="P126" s="12">
        <v>0</v>
      </c>
      <c r="Q126" s="12">
        <v>3.9583491536337712</v>
      </c>
      <c r="R126" s="12">
        <v>59.179544662125537</v>
      </c>
      <c r="S126" s="12">
        <v>0</v>
      </c>
      <c r="T126" s="12">
        <v>0</v>
      </c>
      <c r="U126" s="12">
        <v>4.008047869517207</v>
      </c>
      <c r="V126" s="12">
        <v>6.9856429998815699</v>
      </c>
      <c r="W126" s="12">
        <v>0</v>
      </c>
      <c r="X126" s="12">
        <v>2.0826743030329311</v>
      </c>
      <c r="Y126" s="12">
        <v>1.1166413724822699</v>
      </c>
      <c r="Z126" s="12">
        <v>0</v>
      </c>
      <c r="AA126" s="12">
        <v>0</v>
      </c>
      <c r="AB126" s="12">
        <v>3.3730277802505291</v>
      </c>
      <c r="AC126" s="12">
        <v>8.198598836064896</v>
      </c>
      <c r="AD126" s="12">
        <v>9.5674679530014703</v>
      </c>
      <c r="AE126" s="12">
        <v>0</v>
      </c>
      <c r="AF126" s="12">
        <v>7.5979743834900564</v>
      </c>
      <c r="AG126" s="12">
        <v>3131.5090051545221</v>
      </c>
      <c r="AH126" s="12">
        <v>7108.4210619700034</v>
      </c>
      <c r="AI126" s="12">
        <v>7369.8936654898944</v>
      </c>
      <c r="AJ126" s="12">
        <v>9142.0115728552009</v>
      </c>
      <c r="AK126" s="12">
        <v>8035.9693466372746</v>
      </c>
      <c r="AL126" s="12">
        <v>9246.0802749661962</v>
      </c>
      <c r="AM126" s="12">
        <v>10106.82470318472</v>
      </c>
      <c r="AN126" s="12">
        <v>10299.51142227837</v>
      </c>
      <c r="AO126" s="12">
        <v>11086.601027704921</v>
      </c>
      <c r="AP126" s="12">
        <v>12363.650177138899</v>
      </c>
      <c r="AQ126" s="12">
        <v>11833.998562593821</v>
      </c>
      <c r="AR126" s="12">
        <v>14420.91168007817</v>
      </c>
      <c r="AS126" s="12">
        <v>14776.31316465901</v>
      </c>
      <c r="AT126" s="12">
        <v>14932.913922759561</v>
      </c>
      <c r="AU126" s="12">
        <v>16282.50080892778</v>
      </c>
      <c r="AV126" s="12">
        <v>19731.817314040662</v>
      </c>
      <c r="AW126" s="12">
        <v>18035.47730015207</v>
      </c>
      <c r="AX126" s="12">
        <v>23304.61190681018</v>
      </c>
      <c r="AY126" s="12">
        <v>23017.563075339291</v>
      </c>
      <c r="AZ126" s="12">
        <v>67153.622862183125</v>
      </c>
      <c r="BA126" s="12">
        <v>10966.21469646484</v>
      </c>
      <c r="BB126" s="12">
        <v>4423040.3549116431</v>
      </c>
      <c r="BC126" s="12">
        <v>0</v>
      </c>
      <c r="BD126" s="12">
        <v>0</v>
      </c>
      <c r="BE126" s="12">
        <v>109.3291291830662</v>
      </c>
      <c r="BF126" s="12">
        <v>76.259666917917684</v>
      </c>
      <c r="BG126" s="12">
        <v>107.53306447874</v>
      </c>
      <c r="BH126" s="12">
        <v>99.321520154920094</v>
      </c>
      <c r="BI126" s="12">
        <v>110.4254237709703</v>
      </c>
      <c r="BJ126" s="12">
        <v>100.9903175488286</v>
      </c>
      <c r="BK126" s="12">
        <v>0</v>
      </c>
      <c r="BL126" s="12">
        <v>0</v>
      </c>
      <c r="BM126" s="12">
        <v>0.50334314872018926</v>
      </c>
      <c r="BN126" s="12">
        <v>0</v>
      </c>
      <c r="BO126" s="12">
        <v>0</v>
      </c>
      <c r="BP126" s="12">
        <v>0</v>
      </c>
      <c r="BQ126" s="12" t="s">
        <v>867</v>
      </c>
    </row>
    <row r="127" spans="1:69" x14ac:dyDescent="0.25">
      <c r="A127" s="12" t="s">
        <v>868</v>
      </c>
      <c r="B127" s="12" t="s">
        <v>29</v>
      </c>
      <c r="C127" s="12">
        <v>2017</v>
      </c>
      <c r="D127" s="12" t="s">
        <v>384</v>
      </c>
      <c r="E127" s="12" t="s">
        <v>145</v>
      </c>
      <c r="F127" s="12" t="s">
        <v>78</v>
      </c>
      <c r="G127" s="12">
        <v>5</v>
      </c>
      <c r="H127" s="12">
        <v>1.909981087124542</v>
      </c>
      <c r="I127" s="12">
        <v>0</v>
      </c>
      <c r="J127" s="12">
        <v>4.7383960132888081</v>
      </c>
      <c r="K127" s="12">
        <v>8.2052706119846945</v>
      </c>
      <c r="L127" s="12">
        <v>0</v>
      </c>
      <c r="M127" s="12">
        <v>4.666943923584097</v>
      </c>
      <c r="N127" s="12">
        <v>0</v>
      </c>
      <c r="O127" s="12">
        <v>7.6903068696877197</v>
      </c>
      <c r="P127" s="12">
        <v>0</v>
      </c>
      <c r="Q127" s="12">
        <v>4.2429674300791653</v>
      </c>
      <c r="R127" s="12">
        <v>60.544881059818053</v>
      </c>
      <c r="S127" s="12">
        <v>0</v>
      </c>
      <c r="T127" s="12">
        <v>0</v>
      </c>
      <c r="U127" s="12">
        <v>4.8250462600784729</v>
      </c>
      <c r="V127" s="12">
        <v>6.9264420629823276</v>
      </c>
      <c r="W127" s="12">
        <v>0</v>
      </c>
      <c r="X127" s="12">
        <v>1.9667008854157939</v>
      </c>
      <c r="Y127" s="12">
        <v>1.1500584657953381</v>
      </c>
      <c r="Z127" s="12">
        <v>0</v>
      </c>
      <c r="AA127" s="12">
        <v>0</v>
      </c>
      <c r="AB127" s="12">
        <v>2.9899507893219508</v>
      </c>
      <c r="AC127" s="12">
        <v>8.2520244420082971</v>
      </c>
      <c r="AD127" s="12">
        <v>10.320011815137031</v>
      </c>
      <c r="AE127" s="12">
        <v>0</v>
      </c>
      <c r="AF127" s="12">
        <v>6.5584323204933197</v>
      </c>
      <c r="AG127" s="12">
        <v>2969.0976674128528</v>
      </c>
      <c r="AH127" s="12">
        <v>7670.8080456255957</v>
      </c>
      <c r="AI127" s="12">
        <v>7221.9309169891421</v>
      </c>
      <c r="AJ127" s="12">
        <v>8273.2149017344782</v>
      </c>
      <c r="AK127" s="12">
        <v>8375.443160539684</v>
      </c>
      <c r="AL127" s="12">
        <v>9865.283264255746</v>
      </c>
      <c r="AM127" s="12">
        <v>9657.2944666619351</v>
      </c>
      <c r="AN127" s="12">
        <v>11247.46749362333</v>
      </c>
      <c r="AO127" s="12">
        <v>10287.717130866889</v>
      </c>
      <c r="AP127" s="12">
        <v>13200.067965741</v>
      </c>
      <c r="AQ127" s="12">
        <v>12424.864038438</v>
      </c>
      <c r="AR127" s="12">
        <v>14219.18927565438</v>
      </c>
      <c r="AS127" s="12">
        <v>14108.449456683211</v>
      </c>
      <c r="AT127" s="12">
        <v>15024.97825638555</v>
      </c>
      <c r="AU127" s="12">
        <v>15268.04061274762</v>
      </c>
      <c r="AV127" s="12">
        <v>17662.999641407809</v>
      </c>
      <c r="AW127" s="12">
        <v>18312.757401323481</v>
      </c>
      <c r="AX127" s="12">
        <v>23616.974776079489</v>
      </c>
      <c r="AY127" s="12">
        <v>24001.109328253471</v>
      </c>
      <c r="AZ127" s="12">
        <v>68932.441936755422</v>
      </c>
      <c r="BA127" s="12">
        <v>13172.63579375291</v>
      </c>
      <c r="BB127" s="12">
        <v>5016739.6954498934</v>
      </c>
      <c r="BC127" s="12">
        <v>0</v>
      </c>
      <c r="BD127" s="12">
        <v>0</v>
      </c>
      <c r="BE127" s="12">
        <v>114.4390930030622</v>
      </c>
      <c r="BF127" s="12">
        <v>81.255087138760572</v>
      </c>
      <c r="BG127" s="12">
        <v>97.649548719275501</v>
      </c>
      <c r="BH127" s="12">
        <v>115.0348368179697</v>
      </c>
      <c r="BI127" s="12">
        <v>98.601387110137395</v>
      </c>
      <c r="BJ127" s="12">
        <v>106.19094783043241</v>
      </c>
      <c r="BK127" s="12">
        <v>0</v>
      </c>
      <c r="BL127" s="12">
        <v>0</v>
      </c>
      <c r="BM127" s="12">
        <v>0.15207658329411561</v>
      </c>
      <c r="BN127" s="12">
        <v>0</v>
      </c>
      <c r="BO127" s="12">
        <v>0</v>
      </c>
      <c r="BP127" s="12">
        <v>0</v>
      </c>
      <c r="BQ127" s="12" t="s">
        <v>869</v>
      </c>
    </row>
    <row r="128" spans="1:69" x14ac:dyDescent="0.25">
      <c r="A128" s="12" t="s">
        <v>870</v>
      </c>
      <c r="B128" s="12" t="s">
        <v>29</v>
      </c>
      <c r="C128" s="12">
        <v>2017</v>
      </c>
      <c r="D128" s="12" t="s">
        <v>384</v>
      </c>
      <c r="E128" s="12" t="s">
        <v>145</v>
      </c>
      <c r="F128" s="12" t="s">
        <v>78</v>
      </c>
      <c r="G128" s="12">
        <v>6</v>
      </c>
      <c r="H128" s="12">
        <v>2.0815186829532988</v>
      </c>
      <c r="I128" s="12">
        <v>0</v>
      </c>
      <c r="J128" s="12">
        <v>4.6517256429197502</v>
      </c>
      <c r="K128" s="12">
        <v>6.8413462420018201</v>
      </c>
      <c r="L128" s="12">
        <v>0</v>
      </c>
      <c r="M128" s="12">
        <v>4.7237129650993959</v>
      </c>
      <c r="N128" s="12">
        <v>0</v>
      </c>
      <c r="O128" s="12">
        <v>6.938499941272485</v>
      </c>
      <c r="P128" s="12">
        <v>0</v>
      </c>
      <c r="Q128" s="12">
        <v>3.9437587559675462</v>
      </c>
      <c r="R128" s="12">
        <v>60.039066579184741</v>
      </c>
      <c r="S128" s="12">
        <v>0</v>
      </c>
      <c r="T128" s="12">
        <v>0</v>
      </c>
      <c r="U128" s="12">
        <v>4.4911599900728376</v>
      </c>
      <c r="V128" s="12">
        <v>6.4521773025550484</v>
      </c>
      <c r="W128" s="12">
        <v>0</v>
      </c>
      <c r="X128" s="12">
        <v>1.5930835102988989</v>
      </c>
      <c r="Y128" s="12">
        <v>1.117046607453599</v>
      </c>
      <c r="Z128" s="12">
        <v>0</v>
      </c>
      <c r="AA128" s="12">
        <v>0</v>
      </c>
      <c r="AB128" s="12">
        <v>2.8338714287732989</v>
      </c>
      <c r="AC128" s="12">
        <v>9.4526145414551213</v>
      </c>
      <c r="AD128" s="12">
        <v>9.2450735963525723</v>
      </c>
      <c r="AE128" s="12">
        <v>0</v>
      </c>
      <c r="AF128" s="12">
        <v>7.2619761715995512</v>
      </c>
      <c r="AG128" s="12">
        <v>2966.2265935182149</v>
      </c>
      <c r="AH128" s="12">
        <v>7317.5484287258832</v>
      </c>
      <c r="AI128" s="12">
        <v>7538.3522906682101</v>
      </c>
      <c r="AJ128" s="12">
        <v>8721.7333176905249</v>
      </c>
      <c r="AK128" s="12">
        <v>7987.9611587792579</v>
      </c>
      <c r="AL128" s="12">
        <v>10330.71596590214</v>
      </c>
      <c r="AM128" s="12">
        <v>10252.02586561964</v>
      </c>
      <c r="AN128" s="12">
        <v>10208.53824297569</v>
      </c>
      <c r="AO128" s="12">
        <v>10877.324974840751</v>
      </c>
      <c r="AP128" s="12">
        <v>11585.505484880599</v>
      </c>
      <c r="AQ128" s="12">
        <v>12447.77016160568</v>
      </c>
      <c r="AR128" s="12">
        <v>14391.715221699829</v>
      </c>
      <c r="AS128" s="12">
        <v>13463.7684060499</v>
      </c>
      <c r="AT128" s="12">
        <v>15616.691631633401</v>
      </c>
      <c r="AU128" s="12">
        <v>16588.683334071691</v>
      </c>
      <c r="AV128" s="12">
        <v>17115.099175690881</v>
      </c>
      <c r="AW128" s="12">
        <v>18760.717781644329</v>
      </c>
      <c r="AX128" s="12">
        <v>23776.041874008839</v>
      </c>
      <c r="AY128" s="12">
        <v>24620.20326644295</v>
      </c>
      <c r="AZ128" s="12">
        <v>61534.109882410448</v>
      </c>
      <c r="BA128" s="12">
        <v>14077.853843555569</v>
      </c>
      <c r="BB128" s="12">
        <v>5069923.7191943694</v>
      </c>
      <c r="BC128" s="12">
        <v>0</v>
      </c>
      <c r="BD128" s="12">
        <v>0</v>
      </c>
      <c r="BE128" s="12">
        <v>114.3023000197948</v>
      </c>
      <c r="BF128" s="12">
        <v>83.460239609562024</v>
      </c>
      <c r="BG128" s="12">
        <v>102.54968536020149</v>
      </c>
      <c r="BH128" s="12">
        <v>110.60240813719641</v>
      </c>
      <c r="BI128" s="12">
        <v>107.13224662541769</v>
      </c>
      <c r="BJ128" s="12">
        <v>100.7373293256675</v>
      </c>
      <c r="BK128" s="12">
        <v>0</v>
      </c>
      <c r="BL128" s="12">
        <v>0</v>
      </c>
      <c r="BM128" s="12">
        <v>2.351343300144814E-2</v>
      </c>
      <c r="BN128" s="12">
        <v>0</v>
      </c>
      <c r="BO128" s="12">
        <v>0</v>
      </c>
      <c r="BP128" s="12">
        <v>0</v>
      </c>
      <c r="BQ128" s="12" t="s">
        <v>871</v>
      </c>
    </row>
    <row r="129" spans="1:69" x14ac:dyDescent="0.25">
      <c r="A129" s="12" t="s">
        <v>872</v>
      </c>
      <c r="B129" s="12" t="s">
        <v>29</v>
      </c>
      <c r="C129" s="12">
        <v>2017</v>
      </c>
      <c r="D129" s="12" t="s">
        <v>384</v>
      </c>
      <c r="E129" s="12" t="s">
        <v>145</v>
      </c>
      <c r="F129" s="12" t="s">
        <v>78</v>
      </c>
      <c r="G129" s="12">
        <v>7</v>
      </c>
      <c r="H129" s="12">
        <v>1.824861436076183</v>
      </c>
      <c r="I129" s="12">
        <v>0</v>
      </c>
      <c r="J129" s="12">
        <v>4.5657592909171694</v>
      </c>
      <c r="K129" s="12">
        <v>7.3153238398379292</v>
      </c>
      <c r="L129" s="12">
        <v>0</v>
      </c>
      <c r="M129" s="12">
        <v>4.9370473039604796</v>
      </c>
      <c r="N129" s="12">
        <v>0</v>
      </c>
      <c r="O129" s="12">
        <v>6.6793619816238801</v>
      </c>
      <c r="P129" s="12">
        <v>0</v>
      </c>
      <c r="Q129" s="12">
        <v>4.2544300884049813</v>
      </c>
      <c r="R129" s="12">
        <v>62.184427611900269</v>
      </c>
      <c r="S129" s="12">
        <v>0</v>
      </c>
      <c r="T129" s="12">
        <v>0</v>
      </c>
      <c r="U129" s="12">
        <v>5.4730451786088601</v>
      </c>
      <c r="V129" s="12">
        <v>6.2694380051397411</v>
      </c>
      <c r="W129" s="12">
        <v>0</v>
      </c>
      <c r="X129" s="12">
        <v>1.598837409894752</v>
      </c>
      <c r="Y129" s="12">
        <v>1.167766253883763</v>
      </c>
      <c r="Z129" s="12">
        <v>0</v>
      </c>
      <c r="AA129" s="12">
        <v>0</v>
      </c>
      <c r="AB129" s="12">
        <v>2.3282289068816069</v>
      </c>
      <c r="AC129" s="12">
        <v>11.25890597526587</v>
      </c>
      <c r="AD129" s="12">
        <v>10.633518217628261</v>
      </c>
      <c r="AE129" s="12">
        <v>0</v>
      </c>
      <c r="AF129" s="12">
        <v>7.2255148161886824</v>
      </c>
      <c r="AG129" s="12">
        <v>3340.532451475573</v>
      </c>
      <c r="AH129" s="12">
        <v>6957.8191275485242</v>
      </c>
      <c r="AI129" s="12">
        <v>7159.1043751792977</v>
      </c>
      <c r="AJ129" s="12">
        <v>8715.4480484960895</v>
      </c>
      <c r="AK129" s="12">
        <v>8691.3462729182884</v>
      </c>
      <c r="AL129" s="12">
        <v>9461.4322801734925</v>
      </c>
      <c r="AM129" s="12">
        <v>9745.4393953668914</v>
      </c>
      <c r="AN129" s="12">
        <v>10769.059856190341</v>
      </c>
      <c r="AO129" s="12">
        <v>10593.809643963061</v>
      </c>
      <c r="AP129" s="12">
        <v>12802.675944617</v>
      </c>
      <c r="AQ129" s="12">
        <v>12160.28518113823</v>
      </c>
      <c r="AR129" s="12">
        <v>14616.97294155939</v>
      </c>
      <c r="AS129" s="12">
        <v>13103.003748365711</v>
      </c>
      <c r="AT129" s="12">
        <v>15226.10202532378</v>
      </c>
      <c r="AU129" s="12">
        <v>16843.261579969188</v>
      </c>
      <c r="AV129" s="12">
        <v>19774.393865899321</v>
      </c>
      <c r="AW129" s="12">
        <v>18088.203765879749</v>
      </c>
      <c r="AX129" s="12">
        <v>24516.78981862414</v>
      </c>
      <c r="AY129" s="12">
        <v>24975.28624925212</v>
      </c>
      <c r="AZ129" s="12">
        <v>69124.389057378212</v>
      </c>
      <c r="BA129" s="12">
        <v>16024.51954214851</v>
      </c>
      <c r="BB129" s="12">
        <v>4835130.6961498037</v>
      </c>
      <c r="BC129" s="12">
        <v>0</v>
      </c>
      <c r="BD129" s="12">
        <v>0</v>
      </c>
      <c r="BE129" s="12">
        <v>111.94146700000719</v>
      </c>
      <c r="BF129" s="12">
        <v>87.863039240180512</v>
      </c>
      <c r="BG129" s="12">
        <v>99.513224154894985</v>
      </c>
      <c r="BH129" s="12">
        <v>108.3313246683322</v>
      </c>
      <c r="BI129" s="12">
        <v>110.45081846055621</v>
      </c>
      <c r="BJ129" s="12">
        <v>104.3573993060393</v>
      </c>
      <c r="BK129" s="12">
        <v>0</v>
      </c>
      <c r="BL129" s="12">
        <v>0</v>
      </c>
      <c r="BM129" s="12">
        <v>2.509539397411624E-2</v>
      </c>
      <c r="BN129" s="12">
        <v>0</v>
      </c>
      <c r="BO129" s="12">
        <v>0</v>
      </c>
      <c r="BP129" s="12">
        <v>0</v>
      </c>
      <c r="BQ129" s="12" t="s">
        <v>873</v>
      </c>
    </row>
    <row r="130" spans="1:69" x14ac:dyDescent="0.25">
      <c r="A130" s="12" t="s">
        <v>874</v>
      </c>
      <c r="B130" s="12" t="s">
        <v>29</v>
      </c>
      <c r="C130" s="12">
        <v>2017</v>
      </c>
      <c r="D130" s="12" t="s">
        <v>384</v>
      </c>
      <c r="E130" s="12" t="s">
        <v>145</v>
      </c>
      <c r="F130" s="12" t="s">
        <v>78</v>
      </c>
      <c r="G130" s="12">
        <v>8</v>
      </c>
      <c r="H130" s="12">
        <v>1.938883893665073</v>
      </c>
      <c r="I130" s="12">
        <v>0</v>
      </c>
      <c r="J130" s="12">
        <v>4.5047555370126364</v>
      </c>
      <c r="K130" s="12">
        <v>7.4267975259232344</v>
      </c>
      <c r="L130" s="12">
        <v>0</v>
      </c>
      <c r="M130" s="12">
        <v>4.9098278766155747</v>
      </c>
      <c r="N130" s="12">
        <v>0</v>
      </c>
      <c r="O130" s="12">
        <v>4.7042372258479332</v>
      </c>
      <c r="P130" s="12">
        <v>0</v>
      </c>
      <c r="Q130" s="12">
        <v>4.415303641972157</v>
      </c>
      <c r="R130" s="12">
        <v>63.183446769596017</v>
      </c>
      <c r="S130" s="12">
        <v>0</v>
      </c>
      <c r="T130" s="12">
        <v>0</v>
      </c>
      <c r="U130" s="12">
        <v>5.189894949489017</v>
      </c>
      <c r="V130" s="12">
        <v>6.6561996154174983</v>
      </c>
      <c r="W130" s="12">
        <v>0</v>
      </c>
      <c r="X130" s="12">
        <v>1.25155226464265</v>
      </c>
      <c r="Y130" s="12">
        <v>1.1864769628158049</v>
      </c>
      <c r="Z130" s="12">
        <v>0</v>
      </c>
      <c r="AA130" s="12">
        <v>0</v>
      </c>
      <c r="AB130" s="12">
        <v>2.05068794426517</v>
      </c>
      <c r="AC130" s="12">
        <v>9.9401382071247308</v>
      </c>
      <c r="AD130" s="12">
        <v>10.751344451521661</v>
      </c>
      <c r="AE130" s="12">
        <v>0</v>
      </c>
      <c r="AF130" s="12">
        <v>7.3804922840738492</v>
      </c>
      <c r="AG130" s="12">
        <v>3407.5081994767329</v>
      </c>
      <c r="AH130" s="12">
        <v>7393.1871419595391</v>
      </c>
      <c r="AI130" s="12">
        <v>6857.4811590638328</v>
      </c>
      <c r="AJ130" s="12">
        <v>8388.354051446302</v>
      </c>
      <c r="AK130" s="12">
        <v>9143.3549274894031</v>
      </c>
      <c r="AL130" s="12">
        <v>10115.68488323728</v>
      </c>
      <c r="AM130" s="12">
        <v>9490.0368377032664</v>
      </c>
      <c r="AN130" s="12">
        <v>11749.71935746668</v>
      </c>
      <c r="AO130" s="12">
        <v>11297.956503726309</v>
      </c>
      <c r="AP130" s="12">
        <v>11888.98162544634</v>
      </c>
      <c r="AQ130" s="12">
        <v>13054.49428178951</v>
      </c>
      <c r="AR130" s="12">
        <v>13275.102817987379</v>
      </c>
      <c r="AS130" s="12">
        <v>13653.34426960185</v>
      </c>
      <c r="AT130" s="12">
        <v>16632.2801700946</v>
      </c>
      <c r="AU130" s="12">
        <v>15800.27927817739</v>
      </c>
      <c r="AV130" s="12">
        <v>18086.892911965278</v>
      </c>
      <c r="AW130" s="12">
        <v>17289.349326491261</v>
      </c>
      <c r="AX130" s="12">
        <v>22022.895277985299</v>
      </c>
      <c r="AY130" s="12">
        <v>22228.384201840079</v>
      </c>
      <c r="AZ130" s="12">
        <v>67395.468790431099</v>
      </c>
      <c r="BA130" s="12">
        <v>19885.274864166699</v>
      </c>
      <c r="BB130" s="12">
        <v>5029117.0821097037</v>
      </c>
      <c r="BC130" s="12">
        <v>0</v>
      </c>
      <c r="BD130" s="12">
        <v>0</v>
      </c>
      <c r="BE130" s="12">
        <v>112.8722055571332</v>
      </c>
      <c r="BF130" s="12">
        <v>80.016052910510908</v>
      </c>
      <c r="BG130" s="12">
        <v>106.2185136221034</v>
      </c>
      <c r="BH130" s="12">
        <v>98.78261585308627</v>
      </c>
      <c r="BI130" s="12">
        <v>99.352278486043758</v>
      </c>
      <c r="BJ130" s="12">
        <v>107.2689795833558</v>
      </c>
      <c r="BK130" s="12">
        <v>0</v>
      </c>
      <c r="BL130" s="12">
        <v>0</v>
      </c>
      <c r="BM130" s="12">
        <v>0</v>
      </c>
      <c r="BN130" s="12">
        <v>0</v>
      </c>
      <c r="BO130" s="12">
        <v>0</v>
      </c>
      <c r="BP130" s="12">
        <v>0</v>
      </c>
      <c r="BQ130" s="12" t="s">
        <v>875</v>
      </c>
    </row>
    <row r="131" spans="1:69" x14ac:dyDescent="0.25">
      <c r="A131" s="12" t="s">
        <v>876</v>
      </c>
      <c r="B131" s="12" t="s">
        <v>29</v>
      </c>
      <c r="C131" s="12">
        <v>2017</v>
      </c>
      <c r="D131" s="12" t="s">
        <v>384</v>
      </c>
      <c r="E131" s="12" t="s">
        <v>145</v>
      </c>
      <c r="F131" s="12" t="s">
        <v>78</v>
      </c>
      <c r="G131" s="12">
        <v>9</v>
      </c>
      <c r="H131" s="12">
        <v>1.880594623818477</v>
      </c>
      <c r="I131" s="12">
        <v>0</v>
      </c>
      <c r="J131" s="12">
        <v>4.6325764321859841</v>
      </c>
      <c r="K131" s="12">
        <v>6.5026629577750832</v>
      </c>
      <c r="L131" s="12">
        <v>0</v>
      </c>
      <c r="M131" s="12">
        <v>4.7023655853761133</v>
      </c>
      <c r="N131" s="12">
        <v>0</v>
      </c>
      <c r="O131" s="12">
        <v>1.414436782648165</v>
      </c>
      <c r="P131" s="12">
        <v>0</v>
      </c>
      <c r="Q131" s="12">
        <v>4.3667792011848059</v>
      </c>
      <c r="R131" s="12">
        <v>59.571990144249547</v>
      </c>
      <c r="S131" s="12">
        <v>0</v>
      </c>
      <c r="T131" s="12">
        <v>0</v>
      </c>
      <c r="U131" s="12">
        <v>5.7221221761586429</v>
      </c>
      <c r="V131" s="12">
        <v>6.7417721136352569</v>
      </c>
      <c r="W131" s="12">
        <v>0</v>
      </c>
      <c r="X131" s="12">
        <v>1.187036550066604</v>
      </c>
      <c r="Y131" s="12">
        <v>1.186754299391662</v>
      </c>
      <c r="Z131" s="12">
        <v>0</v>
      </c>
      <c r="AA131" s="12">
        <v>0</v>
      </c>
      <c r="AB131" s="12">
        <v>1.641460739240636</v>
      </c>
      <c r="AC131" s="12">
        <v>12.6565507741378</v>
      </c>
      <c r="AD131" s="12">
        <v>11.382235431272999</v>
      </c>
      <c r="AE131" s="12">
        <v>0</v>
      </c>
      <c r="AF131" s="12">
        <v>7.1155042481691213</v>
      </c>
      <c r="AG131" s="12">
        <v>3368.3523706634019</v>
      </c>
      <c r="AH131" s="12">
        <v>7125.7411726116752</v>
      </c>
      <c r="AI131" s="12">
        <v>7626.9525055870317</v>
      </c>
      <c r="AJ131" s="12">
        <v>8869.2481031092084</v>
      </c>
      <c r="AK131" s="12">
        <v>8176.9244622773294</v>
      </c>
      <c r="AL131" s="12">
        <v>9533.0906952709847</v>
      </c>
      <c r="AM131" s="12">
        <v>9114.0829278888887</v>
      </c>
      <c r="AN131" s="12">
        <v>10374.997796986059</v>
      </c>
      <c r="AO131" s="12">
        <v>10730.052943982429</v>
      </c>
      <c r="AP131" s="12">
        <v>11575.293630587759</v>
      </c>
      <c r="AQ131" s="12">
        <v>11507.63435286714</v>
      </c>
      <c r="AR131" s="12">
        <v>14605.46047686997</v>
      </c>
      <c r="AS131" s="12">
        <v>13217.59017463971</v>
      </c>
      <c r="AT131" s="12">
        <v>14557.195242950551</v>
      </c>
      <c r="AU131" s="12">
        <v>15669.101546490971</v>
      </c>
      <c r="AV131" s="12">
        <v>17803.213224098639</v>
      </c>
      <c r="AW131" s="12">
        <v>18668.635075277969</v>
      </c>
      <c r="AX131" s="12">
        <v>21582.891007932081</v>
      </c>
      <c r="AY131" s="12">
        <v>22028.978853830358</v>
      </c>
      <c r="AZ131" s="12">
        <v>64327.423098947707</v>
      </c>
      <c r="BA131" s="12">
        <v>21284.27143910385</v>
      </c>
      <c r="BB131" s="12">
        <v>4808226.3283291431</v>
      </c>
      <c r="BC131" s="12">
        <v>0</v>
      </c>
      <c r="BD131" s="12">
        <v>0</v>
      </c>
      <c r="BE131" s="12">
        <v>108.4803775271193</v>
      </c>
      <c r="BF131" s="12">
        <v>73.433566838364726</v>
      </c>
      <c r="BG131" s="12">
        <v>103.06188785347609</v>
      </c>
      <c r="BH131" s="12">
        <v>102.7415812425084</v>
      </c>
      <c r="BI131" s="12">
        <v>97.302999336084355</v>
      </c>
      <c r="BJ131" s="12">
        <v>95.346700256873703</v>
      </c>
      <c r="BK131" s="12">
        <v>0</v>
      </c>
      <c r="BL131" s="12">
        <v>0</v>
      </c>
      <c r="BM131" s="12">
        <v>0</v>
      </c>
      <c r="BN131" s="12">
        <v>0</v>
      </c>
      <c r="BO131" s="12">
        <v>0</v>
      </c>
      <c r="BP131" s="12">
        <v>0</v>
      </c>
      <c r="BQ131" s="12" t="s">
        <v>877</v>
      </c>
    </row>
    <row r="132" spans="1:69" x14ac:dyDescent="0.25">
      <c r="A132" s="12" t="s">
        <v>878</v>
      </c>
      <c r="B132" s="12" t="s">
        <v>29</v>
      </c>
      <c r="C132" s="12">
        <v>2017</v>
      </c>
      <c r="D132" s="12" t="s">
        <v>384</v>
      </c>
      <c r="E132" s="12" t="s">
        <v>145</v>
      </c>
      <c r="F132" s="12" t="s">
        <v>78</v>
      </c>
      <c r="G132" s="12">
        <v>10</v>
      </c>
      <c r="H132" s="12">
        <v>1.9166540304330379</v>
      </c>
      <c r="I132" s="12">
        <v>0</v>
      </c>
      <c r="J132" s="12">
        <v>4.7542187120560717</v>
      </c>
      <c r="K132" s="12">
        <v>6.5950636386851684</v>
      </c>
      <c r="L132" s="12">
        <v>0</v>
      </c>
      <c r="M132" s="12">
        <v>5.0431136199497661</v>
      </c>
      <c r="N132" s="12">
        <v>0</v>
      </c>
      <c r="O132" s="12">
        <v>0</v>
      </c>
      <c r="P132" s="12">
        <v>0</v>
      </c>
      <c r="Q132" s="12">
        <v>4.8669360781652964</v>
      </c>
      <c r="R132" s="12">
        <v>56.028247420883233</v>
      </c>
      <c r="S132" s="12">
        <v>0</v>
      </c>
      <c r="T132" s="12">
        <v>0</v>
      </c>
      <c r="U132" s="12">
        <v>6.8405756031417928</v>
      </c>
      <c r="V132" s="12">
        <v>8.1048458322250845</v>
      </c>
      <c r="W132" s="12">
        <v>0</v>
      </c>
      <c r="X132" s="12">
        <v>0.7911170157210653</v>
      </c>
      <c r="Y132" s="12">
        <v>1.194249787940056</v>
      </c>
      <c r="Z132" s="12">
        <v>0</v>
      </c>
      <c r="AA132" s="12">
        <v>0</v>
      </c>
      <c r="AB132" s="12">
        <v>1.0344690716954339</v>
      </c>
      <c r="AC132" s="12">
        <v>16.055134283897779</v>
      </c>
      <c r="AD132" s="12">
        <v>11.6017074914389</v>
      </c>
      <c r="AE132" s="12">
        <v>0</v>
      </c>
      <c r="AF132" s="12">
        <v>5.9075693767767383</v>
      </c>
      <c r="AG132" s="12">
        <v>3361.4668308943778</v>
      </c>
      <c r="AH132" s="12">
        <v>6880.2840230087431</v>
      </c>
      <c r="AI132" s="12">
        <v>7644.9571751867988</v>
      </c>
      <c r="AJ132" s="12">
        <v>9022.0034318128</v>
      </c>
      <c r="AK132" s="12">
        <v>9183.3643710529486</v>
      </c>
      <c r="AL132" s="12">
        <v>9565.4085850855972</v>
      </c>
      <c r="AM132" s="12">
        <v>9235.6194315590565</v>
      </c>
      <c r="AN132" s="12">
        <v>10805.73981913438</v>
      </c>
      <c r="AO132" s="12">
        <v>10849.309031168979</v>
      </c>
      <c r="AP132" s="12">
        <v>11860.300672193929</v>
      </c>
      <c r="AQ132" s="12">
        <v>12550.776930206959</v>
      </c>
      <c r="AR132" s="12">
        <v>13244.218159110909</v>
      </c>
      <c r="AS132" s="12">
        <v>13756.120808842699</v>
      </c>
      <c r="AT132" s="12">
        <v>16517.535098150209</v>
      </c>
      <c r="AU132" s="12">
        <v>15868.41515129266</v>
      </c>
      <c r="AV132" s="12">
        <v>19299.144333238892</v>
      </c>
      <c r="AW132" s="12">
        <v>18836.707546183981</v>
      </c>
      <c r="AX132" s="12">
        <v>24986.156454206081</v>
      </c>
      <c r="AY132" s="12">
        <v>24666.942017901951</v>
      </c>
      <c r="AZ132" s="12">
        <v>70092.23364155204</v>
      </c>
      <c r="BA132" s="12">
        <v>31659.931516237841</v>
      </c>
      <c r="BB132" s="12">
        <v>4505304.7616429441</v>
      </c>
      <c r="BC132" s="12">
        <v>0</v>
      </c>
      <c r="BD132" s="12">
        <v>0</v>
      </c>
      <c r="BE132" s="12">
        <v>104.7787011451731</v>
      </c>
      <c r="BF132" s="12">
        <v>81.720607500123492</v>
      </c>
      <c r="BG132" s="12">
        <v>100.8430904047059</v>
      </c>
      <c r="BH132" s="12">
        <v>113.8594817223662</v>
      </c>
      <c r="BI132" s="12">
        <v>90.705765813255127</v>
      </c>
      <c r="BJ132" s="12">
        <v>100.42006578341091</v>
      </c>
      <c r="BK132" s="12">
        <v>0</v>
      </c>
      <c r="BL132" s="12">
        <v>0</v>
      </c>
      <c r="BM132" s="12">
        <v>0</v>
      </c>
      <c r="BN132" s="12">
        <v>0</v>
      </c>
      <c r="BO132" s="12">
        <v>0</v>
      </c>
      <c r="BP132" s="12">
        <v>0</v>
      </c>
      <c r="BQ132" s="12" t="s">
        <v>879</v>
      </c>
    </row>
    <row r="133" spans="1:69" x14ac:dyDescent="0.25">
      <c r="A133" s="12" t="s">
        <v>880</v>
      </c>
      <c r="B133" s="12" t="s">
        <v>29</v>
      </c>
      <c r="C133" s="12">
        <v>2017</v>
      </c>
      <c r="D133" s="12" t="s">
        <v>384</v>
      </c>
      <c r="E133" s="12" t="s">
        <v>382</v>
      </c>
      <c r="F133" s="12" t="s">
        <v>78</v>
      </c>
      <c r="G133" s="12">
        <v>9999</v>
      </c>
      <c r="H133" s="12">
        <v>1.8796701264169671</v>
      </c>
      <c r="I133" s="12">
        <v>0</v>
      </c>
      <c r="J133" s="12">
        <v>4.5154900234173523</v>
      </c>
      <c r="K133" s="12">
        <v>7.5412824598598212</v>
      </c>
      <c r="L133" s="12">
        <v>0</v>
      </c>
      <c r="M133" s="12">
        <v>4.7412333639819169</v>
      </c>
      <c r="N133" s="12">
        <v>0</v>
      </c>
      <c r="O133" s="12">
        <v>6.166496847833363</v>
      </c>
      <c r="P133" s="12">
        <v>0</v>
      </c>
      <c r="Q133" s="12">
        <v>4.3400895248766629</v>
      </c>
      <c r="R133" s="12">
        <v>64.51429359446135</v>
      </c>
      <c r="S133" s="12">
        <v>0</v>
      </c>
      <c r="T133" s="12">
        <v>0</v>
      </c>
      <c r="U133" s="12">
        <v>4.6090732168737567</v>
      </c>
      <c r="V133" s="12">
        <v>6.9573508733432528</v>
      </c>
      <c r="W133" s="12">
        <v>0</v>
      </c>
      <c r="X133" s="12">
        <v>1.9764965521364231</v>
      </c>
      <c r="Y133" s="12">
        <v>1.084789754121475</v>
      </c>
      <c r="Z133" s="12">
        <v>0</v>
      </c>
      <c r="AA133" s="12">
        <v>0</v>
      </c>
      <c r="AB133" s="12">
        <v>2.4665126683847198</v>
      </c>
      <c r="AC133" s="12">
        <v>9.9046748697238574</v>
      </c>
      <c r="AD133" s="12">
        <v>9.5815759627674861</v>
      </c>
      <c r="AE133" s="12">
        <v>0</v>
      </c>
      <c r="AF133" s="12">
        <v>7.2238763293650914</v>
      </c>
      <c r="AG133" s="12">
        <v>3246.979441389542</v>
      </c>
      <c r="AH133" s="12">
        <v>6931.9748903944419</v>
      </c>
      <c r="AI133" s="12">
        <v>7576.4629289579916</v>
      </c>
      <c r="AJ133" s="12">
        <v>8306.4270597168506</v>
      </c>
      <c r="AK133" s="12">
        <v>8142.4287721432747</v>
      </c>
      <c r="AL133" s="12">
        <v>9449.7041155336628</v>
      </c>
      <c r="AM133" s="12">
        <v>9418.2429495927572</v>
      </c>
      <c r="AN133" s="12">
        <v>11398.729872237989</v>
      </c>
      <c r="AO133" s="12">
        <v>11491.12125129615</v>
      </c>
      <c r="AP133" s="12">
        <v>11894.598109851009</v>
      </c>
      <c r="AQ133" s="12">
        <v>12130.872029384111</v>
      </c>
      <c r="AR133" s="12">
        <v>14087.96391014236</v>
      </c>
      <c r="AS133" s="12">
        <v>14346.014940577659</v>
      </c>
      <c r="AT133" s="12">
        <v>14954.802276910919</v>
      </c>
      <c r="AU133" s="12">
        <v>14870.44675365657</v>
      </c>
      <c r="AV133" s="12">
        <v>19495.062177234689</v>
      </c>
      <c r="AW133" s="12">
        <v>18983.475948650292</v>
      </c>
      <c r="AX133" s="12">
        <v>23039.929889955889</v>
      </c>
      <c r="AY133" s="12">
        <v>24648.208696852249</v>
      </c>
      <c r="AZ133" s="12">
        <v>63858.442237889431</v>
      </c>
      <c r="BA133" s="12">
        <v>16628.045086731661</v>
      </c>
      <c r="BB133" s="12">
        <v>44990247.228586167</v>
      </c>
      <c r="BC133" s="12">
        <v>0</v>
      </c>
      <c r="BD133" s="12">
        <v>0</v>
      </c>
      <c r="BE133" s="12">
        <v>110.3998049299507</v>
      </c>
      <c r="BF133" s="12">
        <v>78.027230113455147</v>
      </c>
      <c r="BG133" s="12">
        <v>110.0014892613456</v>
      </c>
      <c r="BH133" s="12">
        <v>105.29043761997821</v>
      </c>
      <c r="BI133" s="12">
        <v>99.925302327931419</v>
      </c>
      <c r="BJ133" s="12">
        <v>96.0865577412319</v>
      </c>
      <c r="BK133" s="12">
        <v>6.3895324295229816E-2</v>
      </c>
      <c r="BL133" s="12">
        <v>0.90985350158880429</v>
      </c>
      <c r="BM133" s="12">
        <v>12.954728640806779</v>
      </c>
      <c r="BN133" s="12">
        <v>0</v>
      </c>
      <c r="BO133" s="12">
        <v>0</v>
      </c>
      <c r="BP133" s="12">
        <v>0</v>
      </c>
      <c r="BQ133" s="12" t="s">
        <v>881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F12"/>
  <sheetViews>
    <sheetView workbookViewId="0">
      <pane ySplit="1" topLeftCell="A2" activePane="bottomLeft" state="frozen"/>
      <selection pane="bottomLeft"/>
    </sheetView>
  </sheetViews>
  <sheetFormatPr defaultRowHeight="15" x14ac:dyDescent="0.25"/>
  <cols>
    <col min="1" max="32" width="15" customWidth="1"/>
  </cols>
  <sheetData>
    <row r="1" spans="1:32" x14ac:dyDescent="0.25">
      <c r="A1" s="11" t="s">
        <v>550</v>
      </c>
      <c r="B1" s="11" t="s">
        <v>551</v>
      </c>
      <c r="C1" s="11" t="s">
        <v>552</v>
      </c>
      <c r="D1" s="11" t="s">
        <v>553</v>
      </c>
      <c r="E1" s="11" t="s">
        <v>554</v>
      </c>
      <c r="F1" s="11" t="s">
        <v>555</v>
      </c>
      <c r="G1" s="11" t="s">
        <v>556</v>
      </c>
      <c r="H1" s="11" t="s">
        <v>882</v>
      </c>
      <c r="I1" s="11" t="s">
        <v>883</v>
      </c>
      <c r="J1" s="11" t="s">
        <v>884</v>
      </c>
      <c r="K1" s="11" t="s">
        <v>885</v>
      </c>
      <c r="L1" s="11" t="s">
        <v>886</v>
      </c>
      <c r="M1" s="11" t="s">
        <v>887</v>
      </c>
      <c r="N1" s="11" t="s">
        <v>888</v>
      </c>
      <c r="O1" s="11" t="s">
        <v>889</v>
      </c>
      <c r="P1" s="11" t="s">
        <v>890</v>
      </c>
      <c r="Q1" s="11" t="s">
        <v>891</v>
      </c>
      <c r="R1" s="11" t="s">
        <v>892</v>
      </c>
      <c r="S1" s="11" t="s">
        <v>893</v>
      </c>
      <c r="T1" s="11" t="s">
        <v>894</v>
      </c>
      <c r="U1" s="11" t="s">
        <v>895</v>
      </c>
      <c r="V1" s="11" t="s">
        <v>896</v>
      </c>
      <c r="W1" s="11" t="s">
        <v>897</v>
      </c>
      <c r="X1" s="11" t="s">
        <v>898</v>
      </c>
      <c r="Y1" s="11" t="s">
        <v>899</v>
      </c>
      <c r="Z1" s="11" t="s">
        <v>900</v>
      </c>
      <c r="AA1" s="11" t="s">
        <v>901</v>
      </c>
      <c r="AB1" s="11" t="s">
        <v>902</v>
      </c>
      <c r="AC1" s="11" t="s">
        <v>903</v>
      </c>
      <c r="AD1" s="11" t="s">
        <v>904</v>
      </c>
      <c r="AE1" s="11" t="s">
        <v>905</v>
      </c>
      <c r="AF1" s="11" t="s">
        <v>617</v>
      </c>
    </row>
    <row r="2" spans="1:32" x14ac:dyDescent="0.25">
      <c r="A2" s="12" t="s">
        <v>906</v>
      </c>
      <c r="B2" s="12" t="s">
        <v>29</v>
      </c>
      <c r="C2" s="12">
        <v>2005</v>
      </c>
      <c r="D2" s="12" t="s">
        <v>381</v>
      </c>
      <c r="E2" s="12" t="s">
        <v>145</v>
      </c>
      <c r="F2" s="12" t="s">
        <v>69</v>
      </c>
      <c r="G2" s="12">
        <v>1</v>
      </c>
      <c r="H2" s="12">
        <v>-0.79025691747665405</v>
      </c>
      <c r="I2" s="12">
        <v>-0.79025691747665405</v>
      </c>
      <c r="J2" s="12">
        <v>-0.90366601943969727</v>
      </c>
      <c r="K2" s="12">
        <v>-0.90366601943969727</v>
      </c>
      <c r="L2" s="12">
        <v>-0.79025691747665405</v>
      </c>
      <c r="M2" s="12">
        <v>-0.79025691747665405</v>
      </c>
      <c r="N2" s="12">
        <v>-0.79025691747665405</v>
      </c>
      <c r="O2" s="12">
        <v>-0.79025691747665405</v>
      </c>
      <c r="P2" s="12">
        <v>-0.79025691747665405</v>
      </c>
      <c r="Q2" s="12">
        <v>-0.79025691747665405</v>
      </c>
      <c r="R2" s="12">
        <v>-0.77447527647018433</v>
      </c>
      <c r="S2" s="12">
        <v>-1.5078303813934331</v>
      </c>
      <c r="T2" s="12">
        <v>-0.71045464277267456</v>
      </c>
      <c r="U2" s="12">
        <v>-0.90366601943969727</v>
      </c>
      <c r="V2" s="12">
        <v>-0.68496525287628174</v>
      </c>
      <c r="W2" s="12">
        <v>-0.63568931818008423</v>
      </c>
      <c r="X2" s="12">
        <v>-1.4495524168014531</v>
      </c>
      <c r="Y2" s="12">
        <v>-0.79025691747665405</v>
      </c>
      <c r="Z2" s="12">
        <v>-1.5078303813934331</v>
      </c>
      <c r="AA2" s="12">
        <v>-1.5078303813934331</v>
      </c>
      <c r="AB2" s="12">
        <v>-1.4495524168014531</v>
      </c>
      <c r="AC2" s="12">
        <v>-2.3751218318939209</v>
      </c>
      <c r="AD2" s="12">
        <v>-0.90366601943969727</v>
      </c>
      <c r="AE2" s="12">
        <v>-0.90366601943969727</v>
      </c>
      <c r="AF2" s="12" t="s">
        <v>619</v>
      </c>
    </row>
    <row r="3" spans="1:32" x14ac:dyDescent="0.25">
      <c r="A3" s="12" t="s">
        <v>907</v>
      </c>
      <c r="B3" s="12" t="s">
        <v>29</v>
      </c>
      <c r="C3" s="12">
        <v>2005</v>
      </c>
      <c r="D3" s="12" t="s">
        <v>381</v>
      </c>
      <c r="E3" s="12" t="s">
        <v>145</v>
      </c>
      <c r="F3" s="12" t="s">
        <v>69</v>
      </c>
      <c r="G3" s="12">
        <v>2</v>
      </c>
      <c r="H3" s="12">
        <v>-0.79025691747665405</v>
      </c>
      <c r="I3" s="12">
        <v>-0.79025691747665405</v>
      </c>
      <c r="J3" s="12">
        <v>-0.90366601943969727</v>
      </c>
      <c r="K3" s="12">
        <v>-0.90366601943969727</v>
      </c>
      <c r="L3" s="12">
        <v>-0.79025691747665405</v>
      </c>
      <c r="M3" s="12">
        <v>-0.79025691747665405</v>
      </c>
      <c r="N3" s="12">
        <v>-0.79025691747665405</v>
      </c>
      <c r="O3" s="12">
        <v>-0.79025691747665405</v>
      </c>
      <c r="P3" s="12">
        <v>-0.79025691747665405</v>
      </c>
      <c r="Q3" s="12">
        <v>-0.79025691747665405</v>
      </c>
      <c r="R3" s="12">
        <v>-0.77447527647018433</v>
      </c>
      <c r="S3" s="12">
        <v>-1.5078303813934331</v>
      </c>
      <c r="T3" s="12">
        <v>-0.71045464277267456</v>
      </c>
      <c r="U3" s="12">
        <v>-0.90366601943969727</v>
      </c>
      <c r="V3" s="12">
        <v>-0.68496525287628174</v>
      </c>
      <c r="W3" s="12">
        <v>-0.63568931818008423</v>
      </c>
      <c r="X3" s="12">
        <v>-1.4495524168014531</v>
      </c>
      <c r="Y3" s="12">
        <v>-0.79025691747665405</v>
      </c>
      <c r="Z3" s="12">
        <v>-1.5078303813934331</v>
      </c>
      <c r="AA3" s="12">
        <v>-1.5078303813934331</v>
      </c>
      <c r="AB3" s="12">
        <v>-1.4495524168014531</v>
      </c>
      <c r="AC3" s="12">
        <v>-2.3751218318939209</v>
      </c>
      <c r="AD3" s="12">
        <v>-0.90366601943969727</v>
      </c>
      <c r="AE3" s="12">
        <v>-0.90366601943969727</v>
      </c>
      <c r="AF3" s="12" t="s">
        <v>621</v>
      </c>
    </row>
    <row r="4" spans="1:32" x14ac:dyDescent="0.25">
      <c r="A4" s="12" t="s">
        <v>908</v>
      </c>
      <c r="B4" s="12" t="s">
        <v>29</v>
      </c>
      <c r="C4" s="12">
        <v>2005</v>
      </c>
      <c r="D4" s="12" t="s">
        <v>381</v>
      </c>
      <c r="E4" s="12" t="s">
        <v>145</v>
      </c>
      <c r="F4" s="12" t="s">
        <v>69</v>
      </c>
      <c r="G4" s="12">
        <v>3</v>
      </c>
      <c r="H4" s="12">
        <v>-0.79025691747665405</v>
      </c>
      <c r="I4" s="12">
        <v>-0.79025691747665405</v>
      </c>
      <c r="J4" s="12">
        <v>-0.90366601943969727</v>
      </c>
      <c r="K4" s="12">
        <v>-0.90366601943969727</v>
      </c>
      <c r="L4" s="12">
        <v>-0.79025691747665405</v>
      </c>
      <c r="M4" s="12">
        <v>-0.79025691747665405</v>
      </c>
      <c r="N4" s="12">
        <v>-0.79025691747665405</v>
      </c>
      <c r="O4" s="12">
        <v>-0.79025691747665405</v>
      </c>
      <c r="P4" s="12">
        <v>-0.79025691747665405</v>
      </c>
      <c r="Q4" s="12">
        <v>-0.79025691747665405</v>
      </c>
      <c r="R4" s="12">
        <v>-0.77447527647018433</v>
      </c>
      <c r="S4" s="12">
        <v>-1.5078303813934331</v>
      </c>
      <c r="T4" s="12">
        <v>-0.71045464277267456</v>
      </c>
      <c r="U4" s="12">
        <v>-0.90366601943969727</v>
      </c>
      <c r="V4" s="12">
        <v>-0.68496525287628174</v>
      </c>
      <c r="W4" s="12">
        <v>-0.63568931818008423</v>
      </c>
      <c r="X4" s="12">
        <v>-1.4495524168014531</v>
      </c>
      <c r="Y4" s="12">
        <v>-0.79025691747665405</v>
      </c>
      <c r="Z4" s="12">
        <v>-1.5078303813934331</v>
      </c>
      <c r="AA4" s="12">
        <v>-1.5078303813934331</v>
      </c>
      <c r="AB4" s="12">
        <v>-1.4495524168014531</v>
      </c>
      <c r="AC4" s="12">
        <v>-2.3751218318939209</v>
      </c>
      <c r="AD4" s="12">
        <v>-0.90366601943969727</v>
      </c>
      <c r="AE4" s="12">
        <v>-0.90366601943969727</v>
      </c>
      <c r="AF4" s="12" t="s">
        <v>623</v>
      </c>
    </row>
    <row r="5" spans="1:32" x14ac:dyDescent="0.25">
      <c r="A5" s="12" t="s">
        <v>909</v>
      </c>
      <c r="B5" s="12" t="s">
        <v>29</v>
      </c>
      <c r="C5" s="12">
        <v>2005</v>
      </c>
      <c r="D5" s="12" t="s">
        <v>381</v>
      </c>
      <c r="E5" s="12" t="s">
        <v>145</v>
      </c>
      <c r="F5" s="12" t="s">
        <v>69</v>
      </c>
      <c r="G5" s="12">
        <v>4</v>
      </c>
      <c r="H5" s="12">
        <v>-0.7839999794960022</v>
      </c>
      <c r="I5" s="12">
        <v>-0.7839999794960022</v>
      </c>
      <c r="J5" s="12">
        <v>-0.86000001430511475</v>
      </c>
      <c r="K5" s="12">
        <v>-0.86000001430511475</v>
      </c>
      <c r="L5" s="12">
        <v>-0.7839999794960022</v>
      </c>
      <c r="M5" s="12">
        <v>-0.7839999794960022</v>
      </c>
      <c r="N5" s="12">
        <v>-0.7839999794960022</v>
      </c>
      <c r="O5" s="12">
        <v>-0.7839999794960022</v>
      </c>
      <c r="P5" s="12">
        <v>-0.7839999794960022</v>
      </c>
      <c r="Q5" s="12">
        <v>-0.7839999794960022</v>
      </c>
      <c r="R5" s="12">
        <v>-0.77100002765655518</v>
      </c>
      <c r="S5" s="12">
        <v>-1.026999950408936</v>
      </c>
      <c r="T5" s="12">
        <v>-0.70899999141693115</v>
      </c>
      <c r="U5" s="12">
        <v>-0.86000001430511475</v>
      </c>
      <c r="V5" s="12">
        <v>-0.67799997329711914</v>
      </c>
      <c r="W5" s="12">
        <v>-0.5350000262260437</v>
      </c>
      <c r="X5" s="12">
        <v>-1.0230000019073491</v>
      </c>
      <c r="Y5" s="12">
        <v>-0.7839999794960022</v>
      </c>
      <c r="Z5" s="12">
        <v>-1.026999950408936</v>
      </c>
      <c r="AA5" s="12">
        <v>-1.026999950408936</v>
      </c>
      <c r="AB5" s="12">
        <v>-1.0230000019073491</v>
      </c>
      <c r="AC5" s="12">
        <v>-1.1469999551773069</v>
      </c>
      <c r="AD5" s="12">
        <v>-0.86000001430511475</v>
      </c>
      <c r="AE5" s="12">
        <v>-0.86000001430511475</v>
      </c>
      <c r="AF5" s="12" t="s">
        <v>625</v>
      </c>
    </row>
    <row r="6" spans="1:32" x14ac:dyDescent="0.25">
      <c r="A6" s="12" t="s">
        <v>910</v>
      </c>
      <c r="B6" s="12" t="s">
        <v>29</v>
      </c>
      <c r="C6" s="12">
        <v>2005</v>
      </c>
      <c r="D6" s="12" t="s">
        <v>381</v>
      </c>
      <c r="E6" s="12" t="s">
        <v>145</v>
      </c>
      <c r="F6" s="12" t="s">
        <v>69</v>
      </c>
      <c r="G6" s="12">
        <v>5</v>
      </c>
      <c r="H6" s="12">
        <v>-0.7839999794960022</v>
      </c>
      <c r="I6" s="12">
        <v>-0.7839999794960022</v>
      </c>
      <c r="J6" s="12">
        <v>-0.86000001430511475</v>
      </c>
      <c r="K6" s="12">
        <v>-0.86000001430511475</v>
      </c>
      <c r="L6" s="12">
        <v>-0.7839999794960022</v>
      </c>
      <c r="M6" s="12">
        <v>-0.7839999794960022</v>
      </c>
      <c r="N6" s="12">
        <v>-0.7839999794960022</v>
      </c>
      <c r="O6" s="12">
        <v>-0.7839999794960022</v>
      </c>
      <c r="P6" s="12">
        <v>-0.7839999794960022</v>
      </c>
      <c r="Q6" s="12">
        <v>-0.7839999794960022</v>
      </c>
      <c r="R6" s="12">
        <v>-0.77100002765655518</v>
      </c>
      <c r="S6" s="12">
        <v>-1.026999950408936</v>
      </c>
      <c r="T6" s="12">
        <v>-0.70899999141693115</v>
      </c>
      <c r="U6" s="12">
        <v>-0.86000001430511475</v>
      </c>
      <c r="V6" s="12">
        <v>-0.67799997329711914</v>
      </c>
      <c r="W6" s="12">
        <v>-0.5350000262260437</v>
      </c>
      <c r="X6" s="12">
        <v>-1.0230000019073491</v>
      </c>
      <c r="Y6" s="12">
        <v>-0.7839999794960022</v>
      </c>
      <c r="Z6" s="12">
        <v>-1.026999950408936</v>
      </c>
      <c r="AA6" s="12">
        <v>-1.026999950408936</v>
      </c>
      <c r="AB6" s="12">
        <v>-1.0230000019073491</v>
      </c>
      <c r="AC6" s="12">
        <v>-1.1469999551773069</v>
      </c>
      <c r="AD6" s="12">
        <v>-0.86000001430511475</v>
      </c>
      <c r="AE6" s="12">
        <v>-0.86000001430511475</v>
      </c>
      <c r="AF6" s="12" t="s">
        <v>627</v>
      </c>
    </row>
    <row r="7" spans="1:32" x14ac:dyDescent="0.25">
      <c r="A7" s="12" t="s">
        <v>911</v>
      </c>
      <c r="B7" s="12" t="s">
        <v>29</v>
      </c>
      <c r="C7" s="12">
        <v>2005</v>
      </c>
      <c r="D7" s="12" t="s">
        <v>381</v>
      </c>
      <c r="E7" s="12" t="s">
        <v>145</v>
      </c>
      <c r="F7" s="12" t="s">
        <v>69</v>
      </c>
      <c r="G7" s="12">
        <v>6</v>
      </c>
      <c r="H7" s="12">
        <v>-0.7839999794960022</v>
      </c>
      <c r="I7" s="12">
        <v>-0.7839999794960022</v>
      </c>
      <c r="J7" s="12">
        <v>-0.86000001430511475</v>
      </c>
      <c r="K7" s="12">
        <v>-0.86000001430511475</v>
      </c>
      <c r="L7" s="12">
        <v>-0.7839999794960022</v>
      </c>
      <c r="M7" s="12">
        <v>-0.7839999794960022</v>
      </c>
      <c r="N7" s="12">
        <v>-0.7839999794960022</v>
      </c>
      <c r="O7" s="12">
        <v>-0.7839999794960022</v>
      </c>
      <c r="P7" s="12">
        <v>-0.7839999794960022</v>
      </c>
      <c r="Q7" s="12">
        <v>-0.7839999794960022</v>
      </c>
      <c r="R7" s="12">
        <v>-0.77100002765655518</v>
      </c>
      <c r="S7" s="12">
        <v>-1.026999950408936</v>
      </c>
      <c r="T7" s="12">
        <v>-0.70899999141693115</v>
      </c>
      <c r="U7" s="12">
        <v>-0.86000001430511475</v>
      </c>
      <c r="V7" s="12">
        <v>-0.67799997329711914</v>
      </c>
      <c r="W7" s="12">
        <v>-0.5350000262260437</v>
      </c>
      <c r="X7" s="12">
        <v>-1.0230000019073491</v>
      </c>
      <c r="Y7" s="12">
        <v>-0.7839999794960022</v>
      </c>
      <c r="Z7" s="12">
        <v>-1.026999950408936</v>
      </c>
      <c r="AA7" s="12">
        <v>-1.026999950408936</v>
      </c>
      <c r="AB7" s="12">
        <v>-1.0230000019073491</v>
      </c>
      <c r="AC7" s="12">
        <v>-1.1469999551773069</v>
      </c>
      <c r="AD7" s="12">
        <v>-0.86000001430511475</v>
      </c>
      <c r="AE7" s="12">
        <v>-0.86000001430511475</v>
      </c>
      <c r="AF7" s="12" t="s">
        <v>629</v>
      </c>
    </row>
    <row r="8" spans="1:32" x14ac:dyDescent="0.25">
      <c r="A8" s="12" t="s">
        <v>912</v>
      </c>
      <c r="B8" s="12" t="s">
        <v>29</v>
      </c>
      <c r="C8" s="12">
        <v>2005</v>
      </c>
      <c r="D8" s="12" t="s">
        <v>381</v>
      </c>
      <c r="E8" s="12" t="s">
        <v>145</v>
      </c>
      <c r="F8" s="12" t="s">
        <v>69</v>
      </c>
      <c r="G8" s="12">
        <v>7</v>
      </c>
      <c r="H8" s="12">
        <v>-0.7839999794960022</v>
      </c>
      <c r="I8" s="12">
        <v>-0.7839999794960022</v>
      </c>
      <c r="J8" s="12">
        <v>-0.86000001430511475</v>
      </c>
      <c r="K8" s="12">
        <v>-0.86000001430511475</v>
      </c>
      <c r="L8" s="12">
        <v>-0.7839999794960022</v>
      </c>
      <c r="M8" s="12">
        <v>-0.7839999794960022</v>
      </c>
      <c r="N8" s="12">
        <v>-0.7839999794960022</v>
      </c>
      <c r="O8" s="12">
        <v>-0.7839999794960022</v>
      </c>
      <c r="P8" s="12">
        <v>-0.7839999794960022</v>
      </c>
      <c r="Q8" s="12">
        <v>-0.7839999794960022</v>
      </c>
      <c r="R8" s="12">
        <v>-0.77100002765655518</v>
      </c>
      <c r="S8" s="12">
        <v>-1.026999950408936</v>
      </c>
      <c r="T8" s="12">
        <v>-0.70899999141693115</v>
      </c>
      <c r="U8" s="12">
        <v>-0.86000001430511475</v>
      </c>
      <c r="V8" s="12">
        <v>-0.67799997329711914</v>
      </c>
      <c r="W8" s="12">
        <v>-0.5350000262260437</v>
      </c>
      <c r="X8" s="12">
        <v>-1.0230000019073491</v>
      </c>
      <c r="Y8" s="12">
        <v>-0.7839999794960022</v>
      </c>
      <c r="Z8" s="12">
        <v>-1.026999950408936</v>
      </c>
      <c r="AA8" s="12">
        <v>-1.026999950408936</v>
      </c>
      <c r="AB8" s="12">
        <v>-1.0230000019073491</v>
      </c>
      <c r="AC8" s="12">
        <v>-1.1469999551773069</v>
      </c>
      <c r="AD8" s="12">
        <v>-0.86000001430511475</v>
      </c>
      <c r="AE8" s="12">
        <v>-0.86000001430511475</v>
      </c>
      <c r="AF8" s="12" t="s">
        <v>631</v>
      </c>
    </row>
    <row r="9" spans="1:32" x14ac:dyDescent="0.25">
      <c r="A9" s="12" t="s">
        <v>913</v>
      </c>
      <c r="B9" s="12" t="s">
        <v>29</v>
      </c>
      <c r="C9" s="12">
        <v>2005</v>
      </c>
      <c r="D9" s="12" t="s">
        <v>381</v>
      </c>
      <c r="E9" s="12" t="s">
        <v>145</v>
      </c>
      <c r="F9" s="12" t="s">
        <v>69</v>
      </c>
      <c r="G9" s="12">
        <v>8</v>
      </c>
      <c r="H9" s="12">
        <v>-0.78437769412994385</v>
      </c>
      <c r="I9" s="12">
        <v>-0.78437769412994385</v>
      </c>
      <c r="J9" s="12">
        <v>-0.8623199462890625</v>
      </c>
      <c r="K9" s="12">
        <v>-0.8623199462890625</v>
      </c>
      <c r="L9" s="12">
        <v>-0.78437769412994385</v>
      </c>
      <c r="M9" s="12">
        <v>-0.78437769412994385</v>
      </c>
      <c r="N9" s="12">
        <v>-0.78437769412994385</v>
      </c>
      <c r="O9" s="12">
        <v>-0.78437769412994385</v>
      </c>
      <c r="P9" s="12">
        <v>-0.78437769412994385</v>
      </c>
      <c r="Q9" s="12">
        <v>-0.78437769412994385</v>
      </c>
      <c r="R9" s="12">
        <v>-0.77125358581542969</v>
      </c>
      <c r="S9" s="12">
        <v>-1.0365563631057739</v>
      </c>
      <c r="T9" s="12">
        <v>-0.70904088020324707</v>
      </c>
      <c r="U9" s="12">
        <v>-0.8623199462890625</v>
      </c>
      <c r="V9" s="12">
        <v>-0.67870092391967773</v>
      </c>
      <c r="W9" s="12">
        <v>-0.54932665824890137</v>
      </c>
      <c r="X9" s="12">
        <v>-1.032321572303772</v>
      </c>
      <c r="Y9" s="12">
        <v>-0.78437769412994385</v>
      </c>
      <c r="Z9" s="12">
        <v>-1.0365563631057739</v>
      </c>
      <c r="AA9" s="12">
        <v>-1.0365563631057739</v>
      </c>
      <c r="AB9" s="12">
        <v>-1.032321572303772</v>
      </c>
      <c r="AC9" s="12">
        <v>-1.163357734680176</v>
      </c>
      <c r="AD9" s="12">
        <v>-0.8623199462890625</v>
      </c>
      <c r="AE9" s="12">
        <v>-0.8623199462890625</v>
      </c>
      <c r="AF9" s="12" t="s">
        <v>633</v>
      </c>
    </row>
    <row r="10" spans="1:32" x14ac:dyDescent="0.25">
      <c r="A10" s="12" t="s">
        <v>914</v>
      </c>
      <c r="B10" s="12" t="s">
        <v>29</v>
      </c>
      <c r="C10" s="12">
        <v>2005</v>
      </c>
      <c r="D10" s="12" t="s">
        <v>381</v>
      </c>
      <c r="E10" s="12" t="s">
        <v>145</v>
      </c>
      <c r="F10" s="12" t="s">
        <v>69</v>
      </c>
      <c r="G10" s="12">
        <v>9</v>
      </c>
      <c r="H10" s="12">
        <v>-0.78437769412994385</v>
      </c>
      <c r="I10" s="12">
        <v>-0.78437769412994385</v>
      </c>
      <c r="J10" s="12">
        <v>-0.8623199462890625</v>
      </c>
      <c r="K10" s="12">
        <v>-0.8623199462890625</v>
      </c>
      <c r="L10" s="12">
        <v>-0.78437769412994385</v>
      </c>
      <c r="M10" s="12">
        <v>-0.78437769412994385</v>
      </c>
      <c r="N10" s="12">
        <v>-0.78437769412994385</v>
      </c>
      <c r="O10" s="12">
        <v>-0.78437769412994385</v>
      </c>
      <c r="P10" s="12">
        <v>-0.78437769412994385</v>
      </c>
      <c r="Q10" s="12">
        <v>-0.78437769412994385</v>
      </c>
      <c r="R10" s="12">
        <v>-0.77125358581542969</v>
      </c>
      <c r="S10" s="12">
        <v>-1.0365563631057739</v>
      </c>
      <c r="T10" s="12">
        <v>-0.70904088020324707</v>
      </c>
      <c r="U10" s="12">
        <v>-0.8623199462890625</v>
      </c>
      <c r="V10" s="12">
        <v>-0.67870092391967773</v>
      </c>
      <c r="W10" s="12">
        <v>-0.54932665824890137</v>
      </c>
      <c r="X10" s="12">
        <v>-1.032321572303772</v>
      </c>
      <c r="Y10" s="12">
        <v>-0.78437769412994385</v>
      </c>
      <c r="Z10" s="12">
        <v>-1.0365563631057739</v>
      </c>
      <c r="AA10" s="12">
        <v>-1.0365563631057739</v>
      </c>
      <c r="AB10" s="12">
        <v>-1.032321572303772</v>
      </c>
      <c r="AC10" s="12">
        <v>-1.163357734680176</v>
      </c>
      <c r="AD10" s="12">
        <v>-0.8623199462890625</v>
      </c>
      <c r="AE10" s="12">
        <v>-0.8623199462890625</v>
      </c>
      <c r="AF10" s="12" t="s">
        <v>635</v>
      </c>
    </row>
    <row r="11" spans="1:32" x14ac:dyDescent="0.25">
      <c r="A11" s="12" t="s">
        <v>915</v>
      </c>
      <c r="B11" s="12" t="s">
        <v>29</v>
      </c>
      <c r="C11" s="12">
        <v>2005</v>
      </c>
      <c r="D11" s="12" t="s">
        <v>381</v>
      </c>
      <c r="E11" s="12" t="s">
        <v>145</v>
      </c>
      <c r="F11" s="12" t="s">
        <v>69</v>
      </c>
      <c r="G11" s="12">
        <v>10</v>
      </c>
      <c r="H11" s="12">
        <v>-0.78437769412994385</v>
      </c>
      <c r="I11" s="12">
        <v>-0.78437769412994385</v>
      </c>
      <c r="J11" s="12">
        <v>-0.8623199462890625</v>
      </c>
      <c r="K11" s="12">
        <v>-0.8623199462890625</v>
      </c>
      <c r="L11" s="12">
        <v>-0.78437769412994385</v>
      </c>
      <c r="M11" s="12">
        <v>-0.78437769412994385</v>
      </c>
      <c r="N11" s="12">
        <v>-0.78437769412994385</v>
      </c>
      <c r="O11" s="12">
        <v>-0.78437769412994385</v>
      </c>
      <c r="P11" s="12">
        <v>-0.78437769412994385</v>
      </c>
      <c r="Q11" s="12">
        <v>-0.78437769412994385</v>
      </c>
      <c r="R11" s="12">
        <v>-0.77125358581542969</v>
      </c>
      <c r="S11" s="12">
        <v>-1.0365563631057739</v>
      </c>
      <c r="T11" s="12">
        <v>-0.70904088020324707</v>
      </c>
      <c r="U11" s="12">
        <v>-0.8623199462890625</v>
      </c>
      <c r="V11" s="12">
        <v>-0.67870092391967773</v>
      </c>
      <c r="W11" s="12">
        <v>-0.54932665824890137</v>
      </c>
      <c r="X11" s="12">
        <v>-1.032321572303772</v>
      </c>
      <c r="Y11" s="12">
        <v>-0.78437769412994385</v>
      </c>
      <c r="Z11" s="12">
        <v>-1.0365563631057739</v>
      </c>
      <c r="AA11" s="12">
        <v>-1.0365563631057739</v>
      </c>
      <c r="AB11" s="12">
        <v>-1.032321572303772</v>
      </c>
      <c r="AC11" s="12">
        <v>-1.163357734680176</v>
      </c>
      <c r="AD11" s="12">
        <v>-0.8623199462890625</v>
      </c>
      <c r="AE11" s="12">
        <v>-0.8623199462890625</v>
      </c>
      <c r="AF11" s="12" t="s">
        <v>637</v>
      </c>
    </row>
    <row r="12" spans="1:32" x14ac:dyDescent="0.25">
      <c r="A12" s="12" t="s">
        <v>916</v>
      </c>
      <c r="B12" s="12" t="s">
        <v>29</v>
      </c>
      <c r="C12" s="12">
        <v>2005</v>
      </c>
      <c r="D12" s="12" t="s">
        <v>381</v>
      </c>
      <c r="E12" s="12" t="s">
        <v>382</v>
      </c>
      <c r="F12" s="12" t="s">
        <v>69</v>
      </c>
      <c r="G12" s="12">
        <v>9999</v>
      </c>
      <c r="H12" s="12">
        <v>-0.78599035739898682</v>
      </c>
      <c r="I12" s="12">
        <v>-0.78599035739898682</v>
      </c>
      <c r="J12" s="12">
        <v>-0.87379580736160278</v>
      </c>
      <c r="K12" s="12">
        <v>-0.87379580736160278</v>
      </c>
      <c r="L12" s="12">
        <v>-0.78599035739898682</v>
      </c>
      <c r="M12" s="12">
        <v>-0.78599035739898682</v>
      </c>
      <c r="N12" s="12">
        <v>-0.78599035739898682</v>
      </c>
      <c r="O12" s="12">
        <v>-0.78599035739898682</v>
      </c>
      <c r="P12" s="12">
        <v>-0.78599035739898682</v>
      </c>
      <c r="Q12" s="12">
        <v>-0.78599035739898682</v>
      </c>
      <c r="R12" s="12">
        <v>-0.77211868762969971</v>
      </c>
      <c r="S12" s="12">
        <v>-1.1741160154342649</v>
      </c>
      <c r="T12" s="12">
        <v>-0.70944863557815552</v>
      </c>
      <c r="U12" s="12">
        <v>-0.87379580736160278</v>
      </c>
      <c r="V12" s="12">
        <v>-0.68029981851577759</v>
      </c>
      <c r="W12" s="12">
        <v>-0.56950479745864868</v>
      </c>
      <c r="X12" s="12">
        <v>-1.153762221336365</v>
      </c>
      <c r="Y12" s="12">
        <v>-0.78599035739898682</v>
      </c>
      <c r="Z12" s="12">
        <v>-1.1741160154342649</v>
      </c>
      <c r="AA12" s="12">
        <v>-1.1741160154342649</v>
      </c>
      <c r="AB12" s="12">
        <v>-1.153762221336365</v>
      </c>
      <c r="AC12" s="12">
        <v>-1.5203438997268679</v>
      </c>
      <c r="AD12" s="12">
        <v>-0.87379580736160278</v>
      </c>
      <c r="AE12" s="12">
        <v>-0.87379580736160278</v>
      </c>
      <c r="AF12" s="12" t="s">
        <v>639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41"/>
  <sheetViews>
    <sheetView workbookViewId="0">
      <pane ySplit="35" topLeftCell="A36" activePane="bottomLeft" state="frozen"/>
      <selection pane="bottomLeft"/>
    </sheetView>
  </sheetViews>
  <sheetFormatPr defaultRowHeight="15" x14ac:dyDescent="0.25"/>
  <cols>
    <col min="1" max="8" width="15" customWidth="1"/>
  </cols>
  <sheetData>
    <row r="1" spans="1:8" x14ac:dyDescent="0.25">
      <c r="A1" s="11" t="s">
        <v>917</v>
      </c>
      <c r="B1" s="11" t="s">
        <v>918</v>
      </c>
      <c r="C1" s="11" t="s">
        <v>919</v>
      </c>
      <c r="D1" s="11" t="s">
        <v>920</v>
      </c>
      <c r="E1" s="11" t="s">
        <v>921</v>
      </c>
      <c r="F1" s="11" t="s">
        <v>922</v>
      </c>
      <c r="G1" s="11" t="s">
        <v>923</v>
      </c>
      <c r="H1" s="11" t="s">
        <v>924</v>
      </c>
    </row>
    <row r="2" spans="1:8" x14ac:dyDescent="0.25">
      <c r="A2" s="12" t="s">
        <v>925</v>
      </c>
      <c r="B2" s="12" t="s">
        <v>926</v>
      </c>
      <c r="C2" s="12" t="s">
        <v>29</v>
      </c>
      <c r="D2" s="12">
        <v>2008</v>
      </c>
      <c r="E2" s="12">
        <v>1.701829075813293</v>
      </c>
      <c r="F2" s="12" t="s">
        <v>927</v>
      </c>
      <c r="G2" s="12" t="s">
        <v>192</v>
      </c>
      <c r="H2" s="12" t="s">
        <v>192</v>
      </c>
    </row>
    <row r="3" spans="1:8" x14ac:dyDescent="0.25">
      <c r="A3" s="12" t="s">
        <v>928</v>
      </c>
      <c r="B3" s="12" t="s">
        <v>926</v>
      </c>
      <c r="C3" s="12" t="s">
        <v>29</v>
      </c>
      <c r="D3" s="12">
        <v>2008</v>
      </c>
      <c r="E3" s="12">
        <v>1.4042809009552</v>
      </c>
      <c r="F3" s="12" t="s">
        <v>929</v>
      </c>
      <c r="G3" s="12" t="s">
        <v>192</v>
      </c>
      <c r="H3" s="12" t="s">
        <v>192</v>
      </c>
    </row>
    <row r="4" spans="1:8" x14ac:dyDescent="0.25">
      <c r="A4" s="12" t="s">
        <v>930</v>
      </c>
      <c r="B4" s="12" t="s">
        <v>926</v>
      </c>
      <c r="C4" s="12" t="s">
        <v>29</v>
      </c>
      <c r="D4" s="12">
        <v>2008</v>
      </c>
      <c r="E4" s="12">
        <v>1.858706116676331</v>
      </c>
      <c r="F4" s="12" t="s">
        <v>931</v>
      </c>
      <c r="G4" s="12" t="s">
        <v>192</v>
      </c>
      <c r="H4" s="12" t="s">
        <v>192</v>
      </c>
    </row>
    <row r="5" spans="1:8" x14ac:dyDescent="0.25">
      <c r="A5" s="12" t="s">
        <v>932</v>
      </c>
      <c r="B5" s="12" t="s">
        <v>926</v>
      </c>
      <c r="C5" s="12" t="s">
        <v>29</v>
      </c>
      <c r="D5" s="12">
        <v>2008</v>
      </c>
      <c r="E5" s="12">
        <v>1.829251289367676</v>
      </c>
      <c r="F5" s="12" t="s">
        <v>933</v>
      </c>
      <c r="G5" s="12" t="s">
        <v>192</v>
      </c>
      <c r="H5" s="12" t="s">
        <v>192</v>
      </c>
    </row>
    <row r="6" spans="1:8" x14ac:dyDescent="0.25">
      <c r="A6" s="12" t="s">
        <v>934</v>
      </c>
      <c r="B6" s="12" t="s">
        <v>926</v>
      </c>
      <c r="C6" s="12" t="s">
        <v>29</v>
      </c>
      <c r="D6" s="12">
        <v>2008</v>
      </c>
      <c r="E6" s="12">
        <v>4.4065060615539551</v>
      </c>
      <c r="F6" s="12" t="s">
        <v>935</v>
      </c>
      <c r="G6" s="12" t="s">
        <v>192</v>
      </c>
      <c r="H6" s="12" t="s">
        <v>192</v>
      </c>
    </row>
    <row r="7" spans="1:8" x14ac:dyDescent="0.25">
      <c r="A7" s="12" t="s">
        <v>936</v>
      </c>
      <c r="B7" s="12" t="s">
        <v>926</v>
      </c>
      <c r="C7" s="12" t="s">
        <v>29</v>
      </c>
      <c r="D7" s="12">
        <v>2008</v>
      </c>
      <c r="E7" s="12">
        <v>0.35475590825080872</v>
      </c>
      <c r="F7" s="12" t="s">
        <v>937</v>
      </c>
      <c r="G7" s="12" t="s">
        <v>938</v>
      </c>
      <c r="H7" s="12" t="s">
        <v>188</v>
      </c>
    </row>
    <row r="8" spans="1:8" x14ac:dyDescent="0.25">
      <c r="A8" s="12" t="s">
        <v>939</v>
      </c>
      <c r="B8" s="12" t="s">
        <v>926</v>
      </c>
      <c r="C8" s="12" t="s">
        <v>29</v>
      </c>
      <c r="D8" s="12">
        <v>2008</v>
      </c>
      <c r="E8" s="12">
        <v>0.2657167911529541</v>
      </c>
      <c r="F8" s="12" t="s">
        <v>940</v>
      </c>
      <c r="G8" s="12" t="s">
        <v>938</v>
      </c>
      <c r="H8" s="12" t="s">
        <v>188</v>
      </c>
    </row>
    <row r="9" spans="1:8" x14ac:dyDescent="0.25">
      <c r="A9" s="12" t="s">
        <v>941</v>
      </c>
      <c r="B9" s="12" t="s">
        <v>926</v>
      </c>
      <c r="C9" s="12" t="s">
        <v>29</v>
      </c>
      <c r="D9" s="12">
        <v>2008</v>
      </c>
      <c r="E9" s="12">
        <v>0.33260950446128851</v>
      </c>
      <c r="F9" s="12" t="s">
        <v>942</v>
      </c>
      <c r="G9" s="12" t="s">
        <v>938</v>
      </c>
      <c r="H9" s="12" t="s">
        <v>188</v>
      </c>
    </row>
    <row r="10" spans="1:8" x14ac:dyDescent="0.25">
      <c r="A10" s="12" t="s">
        <v>943</v>
      </c>
      <c r="B10" s="12" t="s">
        <v>926</v>
      </c>
      <c r="C10" s="12" t="s">
        <v>29</v>
      </c>
      <c r="D10" s="12">
        <v>2008</v>
      </c>
      <c r="E10" s="12">
        <v>0.3066478967666626</v>
      </c>
      <c r="F10" s="12" t="s">
        <v>944</v>
      </c>
      <c r="G10" s="12" t="s">
        <v>938</v>
      </c>
      <c r="H10" s="12" t="s">
        <v>188</v>
      </c>
    </row>
    <row r="11" spans="1:8" x14ac:dyDescent="0.25">
      <c r="A11" s="12" t="s">
        <v>945</v>
      </c>
      <c r="B11" s="12" t="s">
        <v>926</v>
      </c>
      <c r="C11" s="12" t="s">
        <v>29</v>
      </c>
      <c r="D11" s="12">
        <v>2008</v>
      </c>
      <c r="E11" s="12">
        <v>0.37103480100631708</v>
      </c>
      <c r="F11" s="12" t="s">
        <v>946</v>
      </c>
      <c r="G11" s="12" t="s">
        <v>938</v>
      </c>
      <c r="H11" s="12" t="s">
        <v>188</v>
      </c>
    </row>
    <row r="12" spans="1:8" x14ac:dyDescent="0.25">
      <c r="A12" s="12" t="s">
        <v>947</v>
      </c>
      <c r="B12" s="12" t="s">
        <v>926</v>
      </c>
      <c r="C12" s="12" t="s">
        <v>29</v>
      </c>
      <c r="D12" s="12">
        <v>2008</v>
      </c>
      <c r="E12" s="12">
        <v>1.0246937274932859</v>
      </c>
      <c r="F12" s="12" t="s">
        <v>948</v>
      </c>
      <c r="G12" s="12" t="s">
        <v>938</v>
      </c>
      <c r="H12" s="12" t="s">
        <v>194</v>
      </c>
    </row>
    <row r="13" spans="1:8" x14ac:dyDescent="0.25">
      <c r="A13" s="12" t="s">
        <v>949</v>
      </c>
      <c r="B13" s="12" t="s">
        <v>926</v>
      </c>
      <c r="C13" s="12" t="s">
        <v>29</v>
      </c>
      <c r="D13" s="12">
        <v>2008</v>
      </c>
      <c r="E13" s="12">
        <v>0.70783787965774536</v>
      </c>
      <c r="F13" s="12" t="s">
        <v>950</v>
      </c>
      <c r="G13" s="12" t="s">
        <v>938</v>
      </c>
      <c r="H13" s="12" t="s">
        <v>194</v>
      </c>
    </row>
    <row r="14" spans="1:8" x14ac:dyDescent="0.25">
      <c r="A14" s="12" t="s">
        <v>951</v>
      </c>
      <c r="B14" s="12" t="s">
        <v>926</v>
      </c>
      <c r="C14" s="12" t="s">
        <v>29</v>
      </c>
      <c r="D14" s="12">
        <v>2008</v>
      </c>
      <c r="E14" s="12">
        <v>1.0856959819793699</v>
      </c>
      <c r="F14" s="12" t="s">
        <v>952</v>
      </c>
      <c r="G14" s="12" t="s">
        <v>938</v>
      </c>
      <c r="H14" s="12" t="s">
        <v>194</v>
      </c>
    </row>
    <row r="15" spans="1:8" x14ac:dyDescent="0.25">
      <c r="A15" s="12" t="s">
        <v>953</v>
      </c>
      <c r="B15" s="12" t="s">
        <v>926</v>
      </c>
      <c r="C15" s="12" t="s">
        <v>29</v>
      </c>
      <c r="D15" s="12">
        <v>2008</v>
      </c>
      <c r="E15" s="12">
        <v>0.78486806154251099</v>
      </c>
      <c r="F15" s="12" t="s">
        <v>954</v>
      </c>
      <c r="G15" s="12" t="s">
        <v>938</v>
      </c>
      <c r="H15" s="12" t="s">
        <v>194</v>
      </c>
    </row>
    <row r="16" spans="1:8" x14ac:dyDescent="0.25">
      <c r="A16" s="12" t="s">
        <v>955</v>
      </c>
      <c r="B16" s="12" t="s">
        <v>926</v>
      </c>
      <c r="C16" s="12" t="s">
        <v>29</v>
      </c>
      <c r="D16" s="12">
        <v>2008</v>
      </c>
      <c r="E16" s="12">
        <v>0.96504706144332886</v>
      </c>
      <c r="F16" s="12" t="s">
        <v>956</v>
      </c>
      <c r="G16" s="12" t="s">
        <v>938</v>
      </c>
      <c r="H16" s="12" t="s">
        <v>194</v>
      </c>
    </row>
    <row r="17" spans="1:8" x14ac:dyDescent="0.25">
      <c r="A17" s="12" t="s">
        <v>957</v>
      </c>
      <c r="B17" s="12" t="s">
        <v>926</v>
      </c>
      <c r="C17" s="12" t="s">
        <v>29</v>
      </c>
      <c r="D17" s="12">
        <v>2008</v>
      </c>
      <c r="E17" s="12">
        <v>0.1784599423408508</v>
      </c>
      <c r="F17" s="12" t="s">
        <v>958</v>
      </c>
      <c r="G17" s="12" t="s">
        <v>938</v>
      </c>
      <c r="H17" s="12" t="s">
        <v>202</v>
      </c>
    </row>
    <row r="18" spans="1:8" x14ac:dyDescent="0.25">
      <c r="A18" s="12" t="s">
        <v>959</v>
      </c>
      <c r="B18" s="12" t="s">
        <v>926</v>
      </c>
      <c r="C18" s="12" t="s">
        <v>29</v>
      </c>
      <c r="D18" s="12">
        <v>2008</v>
      </c>
      <c r="E18" s="12">
        <v>0.19862560927867889</v>
      </c>
      <c r="F18" s="12" t="s">
        <v>960</v>
      </c>
      <c r="G18" s="12" t="s">
        <v>938</v>
      </c>
      <c r="H18" s="12" t="s">
        <v>202</v>
      </c>
    </row>
    <row r="19" spans="1:8" x14ac:dyDescent="0.25">
      <c r="A19" s="12" t="s">
        <v>961</v>
      </c>
      <c r="B19" s="12" t="s">
        <v>926</v>
      </c>
      <c r="C19" s="12" t="s">
        <v>29</v>
      </c>
      <c r="D19" s="12">
        <v>2008</v>
      </c>
      <c r="E19" s="12">
        <v>0.2165990024805069</v>
      </c>
      <c r="F19" s="12" t="s">
        <v>962</v>
      </c>
      <c r="G19" s="12" t="s">
        <v>938</v>
      </c>
      <c r="H19" s="12" t="s">
        <v>202</v>
      </c>
    </row>
    <row r="20" spans="1:8" x14ac:dyDescent="0.25">
      <c r="A20" s="12" t="s">
        <v>963</v>
      </c>
      <c r="B20" s="12" t="s">
        <v>926</v>
      </c>
      <c r="C20" s="12" t="s">
        <v>29</v>
      </c>
      <c r="D20" s="12">
        <v>2008</v>
      </c>
      <c r="E20" s="12">
        <v>0.23412464559078219</v>
      </c>
      <c r="F20" s="12" t="s">
        <v>964</v>
      </c>
      <c r="G20" s="12" t="s">
        <v>938</v>
      </c>
      <c r="H20" s="12" t="s">
        <v>202</v>
      </c>
    </row>
    <row r="21" spans="1:8" x14ac:dyDescent="0.25">
      <c r="A21" s="12" t="s">
        <v>965</v>
      </c>
      <c r="B21" s="12" t="s">
        <v>926</v>
      </c>
      <c r="C21" s="12" t="s">
        <v>29</v>
      </c>
      <c r="D21" s="12">
        <v>2008</v>
      </c>
      <c r="E21" s="12">
        <v>0.3122527003288269</v>
      </c>
      <c r="F21" s="12" t="s">
        <v>966</v>
      </c>
      <c r="G21" s="12" t="s">
        <v>938</v>
      </c>
      <c r="H21" s="12" t="s">
        <v>202</v>
      </c>
    </row>
    <row r="22" spans="1:8" x14ac:dyDescent="0.25">
      <c r="A22" s="12" t="s">
        <v>967</v>
      </c>
      <c r="B22" s="12" t="s">
        <v>926</v>
      </c>
      <c r="C22" s="12" t="s">
        <v>29</v>
      </c>
      <c r="D22" s="12">
        <v>2008</v>
      </c>
      <c r="E22" s="12">
        <v>3.410625696182251</v>
      </c>
      <c r="F22" s="12" t="s">
        <v>968</v>
      </c>
      <c r="G22" s="12" t="s">
        <v>969</v>
      </c>
      <c r="H22" s="12" t="s">
        <v>190</v>
      </c>
    </row>
    <row r="23" spans="1:8" x14ac:dyDescent="0.25">
      <c r="A23" s="12" t="s">
        <v>970</v>
      </c>
      <c r="B23" s="12" t="s">
        <v>926</v>
      </c>
      <c r="C23" s="12" t="s">
        <v>29</v>
      </c>
      <c r="D23" s="12">
        <v>2008</v>
      </c>
      <c r="E23" s="12">
        <v>3.6530997753143311</v>
      </c>
      <c r="F23" s="12" t="s">
        <v>971</v>
      </c>
      <c r="G23" s="12" t="s">
        <v>969</v>
      </c>
      <c r="H23" s="12" t="s">
        <v>190</v>
      </c>
    </row>
    <row r="24" spans="1:8" x14ac:dyDescent="0.25">
      <c r="A24" s="12" t="s">
        <v>972</v>
      </c>
      <c r="B24" s="12" t="s">
        <v>926</v>
      </c>
      <c r="C24" s="12" t="s">
        <v>29</v>
      </c>
      <c r="D24" s="12">
        <v>2008</v>
      </c>
      <c r="E24" s="12">
        <v>4.5442018508911133</v>
      </c>
      <c r="F24" s="12" t="s">
        <v>973</v>
      </c>
      <c r="G24" s="12" t="s">
        <v>969</v>
      </c>
      <c r="H24" s="12" t="s">
        <v>190</v>
      </c>
    </row>
    <row r="25" spans="1:8" x14ac:dyDescent="0.25">
      <c r="A25" s="12" t="s">
        <v>974</v>
      </c>
      <c r="B25" s="12" t="s">
        <v>926</v>
      </c>
      <c r="C25" s="12" t="s">
        <v>29</v>
      </c>
      <c r="D25" s="12">
        <v>2008</v>
      </c>
      <c r="E25" s="12">
        <v>4.6913223266601563</v>
      </c>
      <c r="F25" s="12" t="s">
        <v>975</v>
      </c>
      <c r="G25" s="12" t="s">
        <v>969</v>
      </c>
      <c r="H25" s="12" t="s">
        <v>190</v>
      </c>
    </row>
    <row r="26" spans="1:8" x14ac:dyDescent="0.25">
      <c r="A26" s="12" t="s">
        <v>976</v>
      </c>
      <c r="B26" s="12" t="s">
        <v>926</v>
      </c>
      <c r="C26" s="12" t="s">
        <v>29</v>
      </c>
      <c r="D26" s="12">
        <v>2008</v>
      </c>
      <c r="E26" s="12">
        <v>7.7904367446899414</v>
      </c>
      <c r="F26" s="12" t="s">
        <v>977</v>
      </c>
      <c r="G26" s="12" t="s">
        <v>969</v>
      </c>
      <c r="H26" s="12" t="s">
        <v>190</v>
      </c>
    </row>
    <row r="27" spans="1:8" x14ac:dyDescent="0.25">
      <c r="A27" s="12" t="s">
        <v>978</v>
      </c>
      <c r="B27" s="12" t="s">
        <v>926</v>
      </c>
      <c r="C27" s="12" t="s">
        <v>29</v>
      </c>
      <c r="D27" s="12">
        <v>2008</v>
      </c>
      <c r="E27" s="12">
        <v>3.410625696182251</v>
      </c>
      <c r="F27" s="12" t="s">
        <v>979</v>
      </c>
      <c r="G27" s="12" t="s">
        <v>969</v>
      </c>
      <c r="H27" s="12" t="s">
        <v>198</v>
      </c>
    </row>
    <row r="28" spans="1:8" x14ac:dyDescent="0.25">
      <c r="A28" s="12" t="s">
        <v>980</v>
      </c>
      <c r="B28" s="12" t="s">
        <v>926</v>
      </c>
      <c r="C28" s="12" t="s">
        <v>29</v>
      </c>
      <c r="D28" s="12">
        <v>2008</v>
      </c>
      <c r="E28" s="12">
        <v>3.6530997753143311</v>
      </c>
      <c r="F28" s="12" t="s">
        <v>981</v>
      </c>
      <c r="G28" s="12" t="s">
        <v>969</v>
      </c>
      <c r="H28" s="12" t="s">
        <v>198</v>
      </c>
    </row>
    <row r="29" spans="1:8" x14ac:dyDescent="0.25">
      <c r="A29" s="12" t="s">
        <v>982</v>
      </c>
      <c r="B29" s="12" t="s">
        <v>926</v>
      </c>
      <c r="C29" s="12" t="s">
        <v>29</v>
      </c>
      <c r="D29" s="12">
        <v>2008</v>
      </c>
      <c r="E29" s="12">
        <v>4.5442018508911133</v>
      </c>
      <c r="F29" s="12" t="s">
        <v>983</v>
      </c>
      <c r="G29" s="12" t="s">
        <v>969</v>
      </c>
      <c r="H29" s="12" t="s">
        <v>198</v>
      </c>
    </row>
    <row r="30" spans="1:8" x14ac:dyDescent="0.25">
      <c r="A30" s="12" t="s">
        <v>984</v>
      </c>
      <c r="B30" s="12" t="s">
        <v>926</v>
      </c>
      <c r="C30" s="12" t="s">
        <v>29</v>
      </c>
      <c r="D30" s="12">
        <v>2008</v>
      </c>
      <c r="E30" s="12">
        <v>4.6913223266601563</v>
      </c>
      <c r="F30" s="12" t="s">
        <v>985</v>
      </c>
      <c r="G30" s="12" t="s">
        <v>969</v>
      </c>
      <c r="H30" s="12" t="s">
        <v>198</v>
      </c>
    </row>
    <row r="31" spans="1:8" x14ac:dyDescent="0.25">
      <c r="A31" s="12" t="s">
        <v>986</v>
      </c>
      <c r="B31" s="12" t="s">
        <v>926</v>
      </c>
      <c r="C31" s="12" t="s">
        <v>29</v>
      </c>
      <c r="D31" s="12">
        <v>2008</v>
      </c>
      <c r="E31" s="12">
        <v>7.7904367446899414</v>
      </c>
      <c r="F31" s="12" t="s">
        <v>987</v>
      </c>
      <c r="G31" s="12" t="s">
        <v>969</v>
      </c>
      <c r="H31" s="12" t="s">
        <v>198</v>
      </c>
    </row>
    <row r="34" spans="1:7" x14ac:dyDescent="0.25">
      <c r="A34" s="3" t="s">
        <v>988</v>
      </c>
    </row>
    <row r="35" spans="1:7" x14ac:dyDescent="0.25">
      <c r="A35" s="11" t="s">
        <v>989</v>
      </c>
      <c r="B35" s="11" t="s">
        <v>990</v>
      </c>
      <c r="C35" s="11" t="s">
        <v>991</v>
      </c>
      <c r="D35" s="11" t="s">
        <v>992</v>
      </c>
      <c r="E35" s="11" t="s">
        <v>993</v>
      </c>
      <c r="F35" s="11" t="s">
        <v>994</v>
      </c>
      <c r="G35" s="11" t="s">
        <v>995</v>
      </c>
    </row>
    <row r="36" spans="1:7" x14ac:dyDescent="0.25">
      <c r="A36" s="12" t="s">
        <v>996</v>
      </c>
      <c r="B36" s="12" t="s">
        <v>192</v>
      </c>
      <c r="C36" s="12">
        <v>1.701829075813293</v>
      </c>
      <c r="D36" s="12">
        <v>1.4042809009552</v>
      </c>
      <c r="E36" s="12">
        <v>1.858706116676331</v>
      </c>
      <c r="F36" s="12">
        <v>1.829251289367676</v>
      </c>
      <c r="G36" s="12">
        <v>4.4065060615539551</v>
      </c>
    </row>
    <row r="37" spans="1:7" x14ac:dyDescent="0.25">
      <c r="A37" s="12" t="s">
        <v>997</v>
      </c>
      <c r="B37" s="12" t="s">
        <v>188</v>
      </c>
      <c r="C37" s="12">
        <v>0.35475590825080872</v>
      </c>
      <c r="D37" s="12">
        <v>0.2657167911529541</v>
      </c>
      <c r="E37" s="12">
        <v>0.33260950446128851</v>
      </c>
      <c r="F37" s="12">
        <v>0.3066478967666626</v>
      </c>
      <c r="G37" s="12">
        <v>0.37103480100631708</v>
      </c>
    </row>
    <row r="38" spans="1:7" x14ac:dyDescent="0.25">
      <c r="A38" s="12" t="s">
        <v>998</v>
      </c>
      <c r="B38" s="12" t="s">
        <v>194</v>
      </c>
      <c r="C38" s="12">
        <v>1.0246937274932859</v>
      </c>
      <c r="D38" s="12">
        <v>0.70783787965774536</v>
      </c>
      <c r="E38" s="12">
        <v>1.0856959819793699</v>
      </c>
      <c r="F38" s="12">
        <v>0.78486806154251099</v>
      </c>
      <c r="G38" s="12">
        <v>0.96504706144332886</v>
      </c>
    </row>
    <row r="39" spans="1:7" x14ac:dyDescent="0.25">
      <c r="A39" s="12" t="s">
        <v>999</v>
      </c>
      <c r="B39" s="12" t="s">
        <v>202</v>
      </c>
      <c r="C39" s="12">
        <v>0.1784599423408508</v>
      </c>
      <c r="D39" s="12">
        <v>0.19862560927867889</v>
      </c>
      <c r="E39" s="12">
        <v>0.2165990024805069</v>
      </c>
      <c r="F39" s="12">
        <v>0.23412464559078219</v>
      </c>
      <c r="G39" s="12">
        <v>0.3122527003288269</v>
      </c>
    </row>
    <row r="40" spans="1:7" x14ac:dyDescent="0.25">
      <c r="A40" s="12" t="s">
        <v>1000</v>
      </c>
      <c r="B40" s="12" t="s">
        <v>190</v>
      </c>
      <c r="C40" s="12">
        <v>3.410625696182251</v>
      </c>
      <c r="D40" s="12">
        <v>3.6530997753143311</v>
      </c>
      <c r="E40" s="12">
        <v>4.5442018508911133</v>
      </c>
      <c r="F40" s="12">
        <v>4.6913223266601563</v>
      </c>
      <c r="G40" s="12">
        <v>7.7904367446899414</v>
      </c>
    </row>
    <row r="41" spans="1:7" x14ac:dyDescent="0.25">
      <c r="A41" s="12" t="s">
        <v>1001</v>
      </c>
      <c r="B41" s="12" t="s">
        <v>198</v>
      </c>
      <c r="C41" s="12">
        <v>3.410625696182251</v>
      </c>
      <c r="D41" s="12">
        <v>3.6530997753143311</v>
      </c>
      <c r="E41" s="12">
        <v>4.5442018508911133</v>
      </c>
      <c r="F41" s="12">
        <v>4.6913223266601563</v>
      </c>
      <c r="G41" s="12">
        <v>7.7904367446899414</v>
      </c>
    </row>
  </sheetData>
  <pageMargins left="0.75" right="0.75" top="1" bottom="1" header="0.5" footer="0.5"/>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4"/>
  <sheetViews>
    <sheetView workbookViewId="0">
      <pane ySplit="1" topLeftCell="A2" activePane="bottomLeft" state="frozen"/>
      <selection pane="bottomLeft"/>
    </sheetView>
  </sheetViews>
  <sheetFormatPr defaultRowHeight="15" x14ac:dyDescent="0.25"/>
  <cols>
    <col min="1" max="6" width="15" customWidth="1"/>
  </cols>
  <sheetData>
    <row r="1" spans="1:6" x14ac:dyDescent="0.25">
      <c r="A1" s="11" t="s">
        <v>550</v>
      </c>
      <c r="B1" s="11" t="s">
        <v>551</v>
      </c>
      <c r="C1" s="11" t="s">
        <v>552</v>
      </c>
      <c r="D1" s="11" t="s">
        <v>553</v>
      </c>
      <c r="E1" s="11" t="s">
        <v>1002</v>
      </c>
      <c r="F1" s="11" t="s">
        <v>1003</v>
      </c>
    </row>
    <row r="2" spans="1:6" x14ac:dyDescent="0.25">
      <c r="A2" s="12" t="s">
        <v>1004</v>
      </c>
      <c r="B2" s="12" t="s">
        <v>29</v>
      </c>
      <c r="C2" s="12">
        <v>2017</v>
      </c>
      <c r="D2" s="12" t="s">
        <v>381</v>
      </c>
      <c r="E2" s="12" t="s">
        <v>349</v>
      </c>
      <c r="F2" s="12">
        <v>74.050003051757813</v>
      </c>
    </row>
    <row r="3" spans="1:6" x14ac:dyDescent="0.25">
      <c r="A3" s="12" t="s">
        <v>1005</v>
      </c>
      <c r="B3" s="12" t="s">
        <v>29</v>
      </c>
      <c r="C3" s="12">
        <v>2017</v>
      </c>
      <c r="D3" s="12" t="s">
        <v>385</v>
      </c>
      <c r="E3" s="12" t="s">
        <v>349</v>
      </c>
      <c r="F3" s="12">
        <v>96.480003356933594</v>
      </c>
    </row>
    <row r="4" spans="1:6" x14ac:dyDescent="0.25">
      <c r="A4" s="12" t="s">
        <v>1006</v>
      </c>
      <c r="B4" s="12" t="s">
        <v>29</v>
      </c>
      <c r="C4" s="12">
        <v>2017</v>
      </c>
      <c r="D4" s="12" t="s">
        <v>384</v>
      </c>
      <c r="E4" s="12" t="s">
        <v>339</v>
      </c>
      <c r="F4" s="12">
        <v>54.294998168945313</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Q2"/>
  <sheetViews>
    <sheetView workbookViewId="0">
      <pane ySplit="1" topLeftCell="A2" activePane="bottomLeft" state="frozen"/>
      <selection pane="bottomLeft"/>
    </sheetView>
  </sheetViews>
  <sheetFormatPr defaultRowHeight="15" x14ac:dyDescent="0.25"/>
  <cols>
    <col min="1" max="69" width="15" customWidth="1"/>
  </cols>
  <sheetData>
    <row r="1" spans="1:69" x14ac:dyDescent="0.25">
      <c r="A1" s="11" t="s">
        <v>918</v>
      </c>
      <c r="B1" s="11" t="s">
        <v>1007</v>
      </c>
      <c r="C1" s="11" t="s">
        <v>1008</v>
      </c>
      <c r="D1" s="11" t="s">
        <v>1009</v>
      </c>
      <c r="E1" s="11" t="s">
        <v>1010</v>
      </c>
      <c r="F1" s="11" t="s">
        <v>1011</v>
      </c>
      <c r="G1" s="11" t="s">
        <v>1012</v>
      </c>
      <c r="H1" s="11" t="s">
        <v>1013</v>
      </c>
      <c r="I1" s="11" t="s">
        <v>1014</v>
      </c>
      <c r="J1" s="11" t="s">
        <v>1015</v>
      </c>
      <c r="K1" s="11" t="s">
        <v>1016</v>
      </c>
      <c r="L1" s="11" t="s">
        <v>1017</v>
      </c>
      <c r="M1" s="11" t="s">
        <v>1018</v>
      </c>
      <c r="N1" s="11" t="s">
        <v>1019</v>
      </c>
      <c r="O1" s="11" t="s">
        <v>1020</v>
      </c>
      <c r="P1" s="11" t="s">
        <v>1021</v>
      </c>
      <c r="Q1" s="11" t="s">
        <v>1022</v>
      </c>
      <c r="R1" s="11" t="s">
        <v>1023</v>
      </c>
      <c r="S1" s="11" t="s">
        <v>1024</v>
      </c>
      <c r="T1" s="11" t="s">
        <v>1025</v>
      </c>
      <c r="U1" s="11" t="s">
        <v>1026</v>
      </c>
      <c r="V1" s="11" t="s">
        <v>1027</v>
      </c>
      <c r="W1" s="11" t="s">
        <v>1028</v>
      </c>
      <c r="X1" s="11" t="s">
        <v>1029</v>
      </c>
      <c r="Y1" s="11" t="s">
        <v>1030</v>
      </c>
      <c r="Z1" s="11" t="s">
        <v>1031</v>
      </c>
      <c r="AA1" s="11" t="s">
        <v>1032</v>
      </c>
      <c r="AB1" s="11" t="s">
        <v>1033</v>
      </c>
      <c r="AC1" s="11" t="s">
        <v>1034</v>
      </c>
      <c r="AD1" s="11" t="s">
        <v>1035</v>
      </c>
      <c r="AE1" s="11" t="s">
        <v>1036</v>
      </c>
      <c r="AF1" s="11" t="s">
        <v>1037</v>
      </c>
      <c r="AG1" s="11" t="s">
        <v>1038</v>
      </c>
      <c r="AH1" s="11" t="s">
        <v>1039</v>
      </c>
      <c r="AI1" s="11" t="s">
        <v>1040</v>
      </c>
      <c r="AJ1" s="11" t="s">
        <v>1041</v>
      </c>
      <c r="AK1" s="11" t="s">
        <v>1042</v>
      </c>
      <c r="AL1" s="11" t="s">
        <v>1043</v>
      </c>
      <c r="AM1" s="11" t="s">
        <v>1044</v>
      </c>
      <c r="AN1" s="11" t="s">
        <v>1045</v>
      </c>
      <c r="AO1" s="11" t="s">
        <v>1046</v>
      </c>
      <c r="AP1" s="11" t="s">
        <v>1047</v>
      </c>
      <c r="AQ1" s="11" t="s">
        <v>1048</v>
      </c>
      <c r="AR1" s="11" t="s">
        <v>1049</v>
      </c>
      <c r="AS1" s="11" t="s">
        <v>1050</v>
      </c>
      <c r="AT1" s="11" t="s">
        <v>1051</v>
      </c>
      <c r="AU1" s="11" t="s">
        <v>1052</v>
      </c>
      <c r="AV1" s="11" t="s">
        <v>1053</v>
      </c>
      <c r="AW1" s="11" t="s">
        <v>1054</v>
      </c>
      <c r="AX1" s="11" t="s">
        <v>1055</v>
      </c>
      <c r="AY1" s="11" t="s">
        <v>1056</v>
      </c>
      <c r="AZ1" s="11" t="s">
        <v>1057</v>
      </c>
      <c r="BA1" s="11" t="s">
        <v>1058</v>
      </c>
      <c r="BB1" s="11" t="s">
        <v>1059</v>
      </c>
      <c r="BC1" s="11" t="s">
        <v>1060</v>
      </c>
      <c r="BD1" s="11" t="s">
        <v>1061</v>
      </c>
      <c r="BE1" s="11" t="s">
        <v>1062</v>
      </c>
      <c r="BF1" s="11" t="s">
        <v>1063</v>
      </c>
      <c r="BG1" s="11" t="s">
        <v>1064</v>
      </c>
      <c r="BH1" s="11" t="s">
        <v>1065</v>
      </c>
      <c r="BI1" s="11" t="s">
        <v>1066</v>
      </c>
      <c r="BJ1" s="11" t="s">
        <v>1067</v>
      </c>
      <c r="BK1" s="11" t="s">
        <v>1068</v>
      </c>
      <c r="BL1" s="11" t="s">
        <v>1069</v>
      </c>
      <c r="BM1" s="11" t="s">
        <v>1070</v>
      </c>
      <c r="BN1" s="11" t="s">
        <v>1071</v>
      </c>
      <c r="BO1" s="11" t="s">
        <v>1072</v>
      </c>
      <c r="BP1" s="11" t="s">
        <v>1073</v>
      </c>
      <c r="BQ1" s="11" t="s">
        <v>1074</v>
      </c>
    </row>
    <row r="2" spans="1:69" x14ac:dyDescent="0.25">
      <c r="A2" s="12" t="s">
        <v>926</v>
      </c>
      <c r="B2" s="12" t="s">
        <v>29</v>
      </c>
      <c r="C2" s="12" t="s">
        <v>1075</v>
      </c>
      <c r="D2" s="12" t="s">
        <v>288</v>
      </c>
      <c r="E2" s="12">
        <v>2023</v>
      </c>
      <c r="F2" s="12">
        <v>70.951665756417256</v>
      </c>
      <c r="G2" s="12">
        <v>69.67799642218246</v>
      </c>
      <c r="H2" s="12">
        <v>71.463578998958525</v>
      </c>
      <c r="I2" s="12">
        <v>69.881900576764622</v>
      </c>
      <c r="J2" s="12">
        <v>67.44810744810745</v>
      </c>
      <c r="K2" s="12">
        <v>67.084528801589045</v>
      </c>
      <c r="L2" s="12">
        <v>68.048910154173313</v>
      </c>
      <c r="M2" s="12">
        <v>68.952185576771342</v>
      </c>
      <c r="N2" s="12">
        <v>70.500196927924378</v>
      </c>
      <c r="O2" s="12">
        <v>68.403473613894462</v>
      </c>
      <c r="P2" s="12">
        <v>66.626061969015495</v>
      </c>
      <c r="Q2" s="12">
        <v>67.343069585567434</v>
      </c>
      <c r="R2" s="12">
        <v>67.66561952684107</v>
      </c>
      <c r="S2" s="12">
        <v>67.047785839379543</v>
      </c>
      <c r="T2" s="12">
        <v>66.88804340484927</v>
      </c>
      <c r="U2" s="12">
        <v>66.104473674292379</v>
      </c>
      <c r="V2" s="12">
        <v>65.684753751155924</v>
      </c>
      <c r="W2" s="12">
        <v>65.120159807062208</v>
      </c>
      <c r="X2" s="12">
        <v>66.592970173391478</v>
      </c>
      <c r="Y2" s="12">
        <v>68.087265347539315</v>
      </c>
      <c r="Z2" s="12">
        <v>69.170150473398849</v>
      </c>
      <c r="AA2" s="12">
        <v>63.098646577985058</v>
      </c>
      <c r="AB2" s="12">
        <v>64.503918774492348</v>
      </c>
      <c r="AC2" s="12">
        <v>64.661654135338338</v>
      </c>
      <c r="AD2" s="12">
        <v>65.506329113924053</v>
      </c>
      <c r="AE2" s="12">
        <v>64.611260053619304</v>
      </c>
      <c r="AF2" s="12">
        <v>64.172335600907033</v>
      </c>
      <c r="AG2" s="12">
        <v>69.708734368932028</v>
      </c>
      <c r="AH2" s="12">
        <v>70.779220779220779</v>
      </c>
      <c r="AI2" s="12">
        <v>70.2597412987013</v>
      </c>
      <c r="AJ2" s="12">
        <v>71.920668058455121</v>
      </c>
      <c r="AK2" s="12">
        <v>73.066666666666663</v>
      </c>
      <c r="AL2" s="12">
        <v>72.609633357296914</v>
      </c>
      <c r="AM2" s="12">
        <v>74.097938144329902</v>
      </c>
      <c r="AN2" s="12">
        <v>74.571428571428569</v>
      </c>
      <c r="AO2" s="12">
        <v>74.460784313725497</v>
      </c>
      <c r="AP2" s="12">
        <v>76.939843068875319</v>
      </c>
      <c r="AQ2" s="12">
        <v>77.17186912373073</v>
      </c>
      <c r="AR2" s="12">
        <v>76.687543493389015</v>
      </c>
      <c r="AS2" s="12">
        <v>75.032509752925876</v>
      </c>
      <c r="AT2" s="12">
        <v>75.860041164363423</v>
      </c>
      <c r="AU2" s="12">
        <v>75.271814887092276</v>
      </c>
      <c r="AV2" s="12">
        <v>73.766165215096336</v>
      </c>
      <c r="AW2" s="12">
        <v>73.029940119760482</v>
      </c>
      <c r="AX2" s="12">
        <v>71.667010096847306</v>
      </c>
      <c r="AY2" s="12">
        <v>71.5506035283194</v>
      </c>
      <c r="AZ2" s="12">
        <v>70.600615185365072</v>
      </c>
      <c r="BA2" s="12">
        <v>72.395273899033299</v>
      </c>
      <c r="BB2" s="12">
        <v>72.317141261864876</v>
      </c>
      <c r="BC2" s="12">
        <v>76.098637497601231</v>
      </c>
      <c r="BD2" s="12">
        <v>74.573180838720376</v>
      </c>
      <c r="BE2" s="12">
        <v>75.567062942163219</v>
      </c>
      <c r="BF2" s="12">
        <v>80.712963515853588</v>
      </c>
      <c r="BG2" s="12">
        <v>80.772952053321873</v>
      </c>
      <c r="BH2" s="12">
        <v>82.938967136150239</v>
      </c>
      <c r="BI2" s="12">
        <v>82.429722983755468</v>
      </c>
      <c r="BJ2" s="12">
        <v>83.088506680445846</v>
      </c>
      <c r="BK2" s="12">
        <v>86.080035011898573</v>
      </c>
      <c r="BL2" s="12">
        <v>83.290471904333288</v>
      </c>
      <c r="BM2" s="12">
        <v>80.496783416726231</v>
      </c>
      <c r="BN2" s="12">
        <v>83.645938302506266</v>
      </c>
      <c r="BO2" s="12">
        <v>86.005012681784748</v>
      </c>
      <c r="BP2" s="12">
        <v>82.522154925087662</v>
      </c>
      <c r="BQ2" s="12">
        <v>82.57183370423617</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P12"/>
  <sheetViews>
    <sheetView workbookViewId="0">
      <pane ySplit="1" topLeftCell="A2" activePane="bottomLeft" state="frozen"/>
      <selection pane="bottomLeft"/>
    </sheetView>
  </sheetViews>
  <sheetFormatPr defaultRowHeight="15" x14ac:dyDescent="0.25"/>
  <cols>
    <col min="1" max="68" width="15" customWidth="1"/>
  </cols>
  <sheetData>
    <row r="1" spans="1:68" x14ac:dyDescent="0.25">
      <c r="A1" s="11" t="s">
        <v>1076</v>
      </c>
      <c r="B1" s="11" t="s">
        <v>551</v>
      </c>
      <c r="C1" s="11" t="s">
        <v>552</v>
      </c>
      <c r="D1" s="11" t="s">
        <v>1077</v>
      </c>
      <c r="E1" s="11" t="s">
        <v>1078</v>
      </c>
      <c r="F1" s="11" t="s">
        <v>1079</v>
      </c>
      <c r="G1" s="11" t="s">
        <v>1080</v>
      </c>
      <c r="H1" s="11" t="s">
        <v>1081</v>
      </c>
      <c r="I1" s="11" t="s">
        <v>1082</v>
      </c>
      <c r="J1" s="11" t="s">
        <v>1083</v>
      </c>
      <c r="K1" s="11" t="s">
        <v>1084</v>
      </c>
      <c r="L1" s="11" t="s">
        <v>1085</v>
      </c>
      <c r="M1" s="11" t="s">
        <v>1086</v>
      </c>
      <c r="N1" s="11" t="s">
        <v>335</v>
      </c>
      <c r="O1" s="11" t="s">
        <v>1087</v>
      </c>
      <c r="P1" s="11" t="s">
        <v>1088</v>
      </c>
      <c r="Q1" s="11" t="s">
        <v>359</v>
      </c>
      <c r="R1" s="11" t="s">
        <v>1089</v>
      </c>
      <c r="S1" s="11" t="s">
        <v>1090</v>
      </c>
      <c r="T1" s="11" t="s">
        <v>337</v>
      </c>
      <c r="U1" s="11" t="s">
        <v>1091</v>
      </c>
      <c r="V1" s="11" t="s">
        <v>1092</v>
      </c>
      <c r="W1" s="11" t="s">
        <v>1093</v>
      </c>
      <c r="X1" s="11" t="s">
        <v>1094</v>
      </c>
      <c r="Y1" s="11" t="s">
        <v>1095</v>
      </c>
      <c r="Z1" s="11" t="s">
        <v>1096</v>
      </c>
      <c r="AA1" s="11" t="s">
        <v>1097</v>
      </c>
      <c r="AB1" s="11" t="s">
        <v>1098</v>
      </c>
      <c r="AC1" s="11" t="s">
        <v>1099</v>
      </c>
      <c r="AD1" s="11" t="s">
        <v>1100</v>
      </c>
      <c r="AE1" s="11" t="s">
        <v>1101</v>
      </c>
      <c r="AF1" s="11" t="s">
        <v>1102</v>
      </c>
      <c r="AG1" s="11" t="s">
        <v>339</v>
      </c>
      <c r="AH1" s="11" t="s">
        <v>1103</v>
      </c>
      <c r="AI1" s="11" t="s">
        <v>1104</v>
      </c>
      <c r="AJ1" s="11" t="s">
        <v>1105</v>
      </c>
      <c r="AK1" s="11" t="s">
        <v>1106</v>
      </c>
      <c r="AL1" s="11" t="s">
        <v>1107</v>
      </c>
      <c r="AM1" s="11" t="s">
        <v>1108</v>
      </c>
      <c r="AN1" s="11" t="s">
        <v>341</v>
      </c>
      <c r="AO1" s="11" t="s">
        <v>1109</v>
      </c>
      <c r="AP1" s="11" t="s">
        <v>1110</v>
      </c>
      <c r="AQ1" s="11" t="s">
        <v>1111</v>
      </c>
      <c r="AR1" s="11" t="s">
        <v>1112</v>
      </c>
      <c r="AS1" s="11" t="s">
        <v>1113</v>
      </c>
      <c r="AT1" s="11" t="s">
        <v>1114</v>
      </c>
      <c r="AU1" s="11" t="s">
        <v>1115</v>
      </c>
      <c r="AV1" s="11" t="s">
        <v>1116</v>
      </c>
      <c r="AW1" s="11" t="s">
        <v>1117</v>
      </c>
      <c r="AX1" s="11" t="s">
        <v>1118</v>
      </c>
      <c r="AY1" s="11" t="s">
        <v>1119</v>
      </c>
      <c r="AZ1" s="11" t="s">
        <v>1120</v>
      </c>
      <c r="BA1" s="11" t="s">
        <v>1121</v>
      </c>
      <c r="BB1" s="11" t="s">
        <v>1122</v>
      </c>
      <c r="BC1" s="11" t="s">
        <v>1123</v>
      </c>
      <c r="BD1" s="11" t="s">
        <v>1124</v>
      </c>
      <c r="BE1" s="11" t="s">
        <v>1125</v>
      </c>
      <c r="BF1" s="11" t="s">
        <v>1126</v>
      </c>
      <c r="BG1" s="11" t="s">
        <v>1127</v>
      </c>
      <c r="BH1" s="11" t="s">
        <v>1128</v>
      </c>
      <c r="BI1" s="11" t="s">
        <v>1129</v>
      </c>
      <c r="BJ1" s="11" t="s">
        <v>1130</v>
      </c>
      <c r="BK1" s="11" t="s">
        <v>1131</v>
      </c>
      <c r="BL1" s="11" t="s">
        <v>1132</v>
      </c>
      <c r="BM1" s="11" t="s">
        <v>1133</v>
      </c>
      <c r="BN1" s="11" t="s">
        <v>1134</v>
      </c>
      <c r="BO1" s="11" t="s">
        <v>1135</v>
      </c>
      <c r="BP1" s="11" t="s">
        <v>1136</v>
      </c>
    </row>
    <row r="2" spans="1:68" x14ac:dyDescent="0.25">
      <c r="A2" s="12" t="s">
        <v>1137</v>
      </c>
      <c r="B2" s="12" t="s">
        <v>49</v>
      </c>
      <c r="C2" s="12">
        <v>2014</v>
      </c>
      <c r="D2" s="12" t="s">
        <v>1138</v>
      </c>
      <c r="E2" s="12">
        <v>0</v>
      </c>
      <c r="F2" s="12">
        <v>0</v>
      </c>
      <c r="G2" s="12">
        <v>0</v>
      </c>
      <c r="H2" s="12">
        <v>0</v>
      </c>
      <c r="I2" s="12">
        <v>0</v>
      </c>
      <c r="J2" s="12">
        <v>0</v>
      </c>
      <c r="K2" s="12">
        <v>0</v>
      </c>
      <c r="L2" s="12">
        <v>0</v>
      </c>
      <c r="M2" s="12">
        <v>0</v>
      </c>
      <c r="N2" s="12">
        <v>64.596914467911077</v>
      </c>
      <c r="O2" s="12">
        <v>0</v>
      </c>
      <c r="P2" s="12">
        <v>0</v>
      </c>
      <c r="Q2" s="12">
        <v>0</v>
      </c>
      <c r="R2" s="12">
        <v>0</v>
      </c>
      <c r="S2" s="12">
        <v>0</v>
      </c>
      <c r="T2" s="12">
        <v>6813.0913596909286</v>
      </c>
      <c r="U2" s="12">
        <v>0</v>
      </c>
      <c r="V2" s="12">
        <v>0</v>
      </c>
      <c r="W2" s="12">
        <v>0</v>
      </c>
      <c r="X2" s="12">
        <v>0</v>
      </c>
      <c r="Y2" s="12">
        <v>0</v>
      </c>
      <c r="Z2" s="12">
        <v>0</v>
      </c>
      <c r="AA2" s="12">
        <v>0</v>
      </c>
      <c r="AB2" s="12">
        <v>0</v>
      </c>
      <c r="AC2" s="12">
        <v>0</v>
      </c>
      <c r="AD2" s="12">
        <v>0</v>
      </c>
      <c r="AE2" s="12">
        <v>0</v>
      </c>
      <c r="AF2" s="12">
        <v>0</v>
      </c>
      <c r="AG2" s="12">
        <v>4463.1385083789801</v>
      </c>
      <c r="AH2" s="12">
        <v>0</v>
      </c>
      <c r="AI2" s="12">
        <v>0</v>
      </c>
      <c r="AJ2" s="12">
        <v>0</v>
      </c>
      <c r="AK2" s="12">
        <v>0</v>
      </c>
      <c r="AL2" s="12">
        <v>0</v>
      </c>
      <c r="AM2" s="12">
        <v>0</v>
      </c>
      <c r="AN2" s="12">
        <v>13191.641841612251</v>
      </c>
      <c r="AO2" s="12">
        <v>0</v>
      </c>
      <c r="AP2" s="12">
        <v>0</v>
      </c>
      <c r="AQ2" s="12">
        <v>0</v>
      </c>
      <c r="AR2" s="12">
        <v>0</v>
      </c>
      <c r="AS2" s="12">
        <v>0</v>
      </c>
      <c r="AT2" s="12">
        <v>0</v>
      </c>
      <c r="AU2" s="12">
        <v>0</v>
      </c>
      <c r="AV2" s="12">
        <v>0</v>
      </c>
      <c r="AW2" s="12">
        <v>15651.84162723344</v>
      </c>
      <c r="AX2" s="12">
        <v>0</v>
      </c>
      <c r="AY2" s="12">
        <v>0</v>
      </c>
      <c r="AZ2" s="12">
        <v>0</v>
      </c>
      <c r="BA2" s="12">
        <v>0</v>
      </c>
      <c r="BB2" s="12">
        <v>0</v>
      </c>
      <c r="BC2" s="12">
        <v>0</v>
      </c>
      <c r="BD2" s="12">
        <v>0</v>
      </c>
      <c r="BE2" s="12">
        <v>0</v>
      </c>
      <c r="BF2" s="12">
        <v>0</v>
      </c>
      <c r="BG2" s="12">
        <v>0</v>
      </c>
      <c r="BH2" s="12">
        <v>0</v>
      </c>
      <c r="BI2" s="12">
        <v>0</v>
      </c>
      <c r="BJ2" s="12">
        <v>0</v>
      </c>
      <c r="BK2" s="12">
        <v>0</v>
      </c>
      <c r="BL2" s="12">
        <v>0</v>
      </c>
      <c r="BM2" s="12">
        <v>0</v>
      </c>
      <c r="BN2" s="12">
        <v>0</v>
      </c>
      <c r="BO2" s="12">
        <v>0</v>
      </c>
      <c r="BP2" s="12">
        <v>0</v>
      </c>
    </row>
    <row r="3" spans="1:68" x14ac:dyDescent="0.25">
      <c r="A3" s="12" t="s">
        <v>1139</v>
      </c>
      <c r="B3" s="12" t="s">
        <v>49</v>
      </c>
      <c r="C3" s="12">
        <v>2014</v>
      </c>
      <c r="D3" s="12" t="s">
        <v>1140</v>
      </c>
      <c r="E3" s="12">
        <v>335.52828564517552</v>
      </c>
      <c r="F3" s="12">
        <v>1632.764478285377</v>
      </c>
      <c r="G3" s="12">
        <v>278.7427461310844</v>
      </c>
      <c r="H3" s="12">
        <v>439.72570397448652</v>
      </c>
      <c r="I3" s="12">
        <v>8.3749820798946786</v>
      </c>
      <c r="J3" s="12">
        <v>4260.2374474263106</v>
      </c>
      <c r="K3" s="12">
        <v>1542.7195893935609</v>
      </c>
      <c r="L3" s="12">
        <v>81.171090706053192</v>
      </c>
      <c r="M3" s="12">
        <v>1252.2507173472229</v>
      </c>
      <c r="N3" s="12">
        <v>0.27140063228783329</v>
      </c>
      <c r="O3" s="12">
        <v>10.61536166341131</v>
      </c>
      <c r="P3" s="12">
        <v>2.8357241190271091E-18</v>
      </c>
      <c r="Q3" s="12">
        <v>626.67494708824597</v>
      </c>
      <c r="R3" s="12">
        <v>1783.0819588151719</v>
      </c>
      <c r="S3" s="12">
        <v>935.6651027733634</v>
      </c>
      <c r="T3" s="12">
        <v>37.250148461463667</v>
      </c>
      <c r="U3" s="12">
        <v>386.7738191023405</v>
      </c>
      <c r="V3" s="12">
        <v>4.1842305515174054</v>
      </c>
      <c r="W3" s="12">
        <v>120.7069449267197</v>
      </c>
      <c r="X3" s="12">
        <v>17.57535349378789</v>
      </c>
      <c r="Y3" s="12">
        <v>359.09715820732009</v>
      </c>
      <c r="Z3" s="12">
        <v>1020.299515710827</v>
      </c>
      <c r="AA3" s="12">
        <v>308.61700386456511</v>
      </c>
      <c r="AB3" s="12">
        <v>270.1322826101171</v>
      </c>
      <c r="AC3" s="12">
        <v>199.88002008491321</v>
      </c>
      <c r="AD3" s="12">
        <v>530.56016524892436</v>
      </c>
      <c r="AE3" s="12">
        <v>316.31173044801329</v>
      </c>
      <c r="AF3" s="12">
        <v>1756.1208363785911</v>
      </c>
      <c r="AG3" s="12">
        <v>1147.189066238858</v>
      </c>
      <c r="AH3" s="12">
        <v>1438.0564253857381</v>
      </c>
      <c r="AI3" s="12">
        <v>48.492386409036229</v>
      </c>
      <c r="AJ3" s="12">
        <v>1622.6313643770461</v>
      </c>
      <c r="AK3" s="12">
        <v>298.07881730932792</v>
      </c>
      <c r="AL3" s="12">
        <v>2222.98909327719</v>
      </c>
      <c r="AM3" s="12">
        <v>339.82367970305182</v>
      </c>
      <c r="AN3" s="12">
        <v>6625.5057622960076</v>
      </c>
      <c r="AO3" s="12">
        <v>208.70906373127019</v>
      </c>
      <c r="AP3" s="12">
        <v>398.69292463534379</v>
      </c>
      <c r="AQ3" s="12">
        <v>21.245498008713</v>
      </c>
      <c r="AR3" s="12">
        <v>89.554736324994366</v>
      </c>
      <c r="AS3" s="12">
        <v>223.2710065469071</v>
      </c>
      <c r="AT3" s="12">
        <v>56.96858223830781</v>
      </c>
      <c r="AU3" s="12">
        <v>8226.6337911677929</v>
      </c>
      <c r="AV3" s="12">
        <v>783.06052787969111</v>
      </c>
      <c r="AW3" s="12">
        <v>2662.4989650171469</v>
      </c>
      <c r="AX3" s="12">
        <v>88.541018492548034</v>
      </c>
      <c r="AY3" s="12">
        <v>8.8485520839305138</v>
      </c>
      <c r="AZ3" s="12">
        <v>175.26619959331629</v>
      </c>
      <c r="BA3" s="12">
        <v>686.31885001655223</v>
      </c>
      <c r="BB3" s="12">
        <v>7.8260544333154964</v>
      </c>
      <c r="BC3" s="12">
        <v>1222.420771564812</v>
      </c>
      <c r="BD3" s="12">
        <v>994.8345202094124</v>
      </c>
      <c r="BE3" s="12">
        <v>84.314362268598103</v>
      </c>
      <c r="BF3" s="12">
        <v>384.07869757150053</v>
      </c>
      <c r="BG3" s="12">
        <v>2462.5065090845092</v>
      </c>
      <c r="BH3" s="12">
        <v>529.99366813139625</v>
      </c>
      <c r="BI3" s="12">
        <v>2770.8880733112351</v>
      </c>
      <c r="BJ3" s="12">
        <v>198.7691201600127</v>
      </c>
      <c r="BK3" s="12">
        <v>3309.5057364745171</v>
      </c>
      <c r="BL3" s="12">
        <v>873.79921986328554</v>
      </c>
      <c r="BM3" s="12">
        <v>19.66831206773589</v>
      </c>
      <c r="BN3" s="12">
        <v>53.649985931407208</v>
      </c>
      <c r="BO3" s="12">
        <v>257.77688575318717</v>
      </c>
      <c r="BP3" s="12">
        <v>28.53510701889304</v>
      </c>
    </row>
    <row r="4" spans="1:68" x14ac:dyDescent="0.25">
      <c r="A4" s="12" t="s">
        <v>1141</v>
      </c>
      <c r="B4" s="12" t="s">
        <v>49</v>
      </c>
      <c r="C4" s="12">
        <v>2014</v>
      </c>
      <c r="D4" s="12" t="s">
        <v>1142</v>
      </c>
      <c r="E4" s="12">
        <v>11788.17417907898</v>
      </c>
      <c r="F4" s="12">
        <v>1557.20125781555</v>
      </c>
      <c r="G4" s="12">
        <v>12253.56372105347</v>
      </c>
      <c r="H4" s="12">
        <v>1465.5469642053699</v>
      </c>
      <c r="I4" s="12">
        <v>1413.9763515634879</v>
      </c>
      <c r="J4" s="12">
        <v>3664.884924652531</v>
      </c>
      <c r="K4" s="12">
        <v>21384.12869234012</v>
      </c>
      <c r="L4" s="12">
        <v>2437.6122491850228</v>
      </c>
      <c r="M4" s="12">
        <v>2943.2550231888331</v>
      </c>
      <c r="N4" s="12">
        <v>7.8435407410183034E-6</v>
      </c>
      <c r="O4" s="12">
        <v>1292.016071156633</v>
      </c>
      <c r="P4" s="12">
        <v>15164.096575661149</v>
      </c>
      <c r="Q4" s="12">
        <v>5220.0982865187671</v>
      </c>
      <c r="R4" s="12">
        <v>28.102438293536871</v>
      </c>
      <c r="S4" s="12">
        <v>2965.06129478206</v>
      </c>
      <c r="T4" s="12">
        <v>5392.294091528629</v>
      </c>
      <c r="U4" s="12">
        <v>747.26571852161385</v>
      </c>
      <c r="V4" s="12">
        <v>1.9604136075386771</v>
      </c>
      <c r="W4" s="12">
        <v>4076.7703659931062</v>
      </c>
      <c r="X4" s="12">
        <v>2255.6068266445532</v>
      </c>
      <c r="Y4" s="12">
        <v>7403.5922530606649</v>
      </c>
      <c r="Z4" s="12">
        <v>463.4370203303788</v>
      </c>
      <c r="AA4" s="12">
        <v>5392.7925209649493</v>
      </c>
      <c r="AB4" s="12">
        <v>149.67560693544061</v>
      </c>
      <c r="AC4" s="12">
        <v>4777.1009963566912</v>
      </c>
      <c r="AD4" s="12">
        <v>6467.3791185490072</v>
      </c>
      <c r="AE4" s="12">
        <v>4516.1642719272086</v>
      </c>
      <c r="AF4" s="12">
        <v>724.0018512535388</v>
      </c>
      <c r="AG4" s="12">
        <v>152.9609722836253</v>
      </c>
      <c r="AH4" s="12">
        <v>4391.3517949041907</v>
      </c>
      <c r="AI4" s="12">
        <v>1388.461755614373</v>
      </c>
      <c r="AJ4" s="12">
        <v>673.00711183749991</v>
      </c>
      <c r="AK4" s="12">
        <v>35.143321190964123</v>
      </c>
      <c r="AL4" s="12">
        <v>20188.426714619061</v>
      </c>
      <c r="AM4" s="12">
        <v>7797.1218932667998</v>
      </c>
      <c r="AN4" s="12">
        <v>26.992396587699389</v>
      </c>
      <c r="AO4" s="12">
        <v>76.15088497392864</v>
      </c>
      <c r="AP4" s="12">
        <v>264.34024447373338</v>
      </c>
      <c r="AQ4" s="12">
        <v>1230.235917095529</v>
      </c>
      <c r="AR4" s="12">
        <v>1348.999808029183</v>
      </c>
      <c r="AS4" s="12">
        <v>1920.1034034270131</v>
      </c>
      <c r="AT4" s="12">
        <v>721.93243933654776</v>
      </c>
      <c r="AU4" s="12">
        <v>11607.092908329219</v>
      </c>
      <c r="AV4" s="12">
        <v>233.7447425339156</v>
      </c>
      <c r="AW4" s="12">
        <v>6077.7968653083062</v>
      </c>
      <c r="AX4" s="12">
        <v>4766.9016298632214</v>
      </c>
      <c r="AY4" s="12">
        <v>1420.6561104841901</v>
      </c>
      <c r="AZ4" s="12">
        <v>1565.9294380396259</v>
      </c>
      <c r="BA4" s="12">
        <v>1656.168993933371</v>
      </c>
      <c r="BB4" s="12">
        <v>1479.9827020605501</v>
      </c>
      <c r="BC4" s="12">
        <v>13448.618964081081</v>
      </c>
      <c r="BD4" s="12">
        <v>1191.277707940329</v>
      </c>
      <c r="BE4" s="12">
        <v>2650.9939750210169</v>
      </c>
      <c r="BF4" s="12">
        <v>1332.7563089067189</v>
      </c>
      <c r="BG4" s="12">
        <v>9507.2376265205257</v>
      </c>
      <c r="BH4" s="12">
        <v>18701.51101350466</v>
      </c>
      <c r="BI4" s="12">
        <v>11829.7772976423</v>
      </c>
      <c r="BJ4" s="12">
        <v>56.498773024290692</v>
      </c>
      <c r="BK4" s="12">
        <v>23189.65613278986</v>
      </c>
      <c r="BL4" s="12">
        <v>2617.8163237470822</v>
      </c>
      <c r="BM4" s="12">
        <v>3876.4571053984851</v>
      </c>
      <c r="BN4" s="12">
        <v>11.83708862046136</v>
      </c>
      <c r="BO4" s="12">
        <v>670.34182007609365</v>
      </c>
      <c r="BP4" s="12">
        <v>963.37127104972717</v>
      </c>
    </row>
    <row r="5" spans="1:68" x14ac:dyDescent="0.25">
      <c r="A5" s="12" t="s">
        <v>1143</v>
      </c>
      <c r="B5" s="12" t="s">
        <v>49</v>
      </c>
      <c r="C5" s="12">
        <v>2014</v>
      </c>
      <c r="D5" s="12" t="s">
        <v>1144</v>
      </c>
      <c r="E5" s="12">
        <v>247.90220623545821</v>
      </c>
      <c r="F5" s="12">
        <v>1018.126970914398</v>
      </c>
      <c r="G5" s="12">
        <v>830.1149301253048</v>
      </c>
      <c r="H5" s="12">
        <v>2298.9870512355751</v>
      </c>
      <c r="I5" s="12">
        <v>25.750080784637401</v>
      </c>
      <c r="J5" s="12">
        <v>8300.2522602022691</v>
      </c>
      <c r="K5" s="12">
        <v>878.46559552184306</v>
      </c>
      <c r="L5" s="12">
        <v>1526.660157320114</v>
      </c>
      <c r="M5" s="12">
        <v>427.91369369854272</v>
      </c>
      <c r="N5" s="12">
        <v>65.545075683058002</v>
      </c>
      <c r="O5" s="12">
        <v>126.8749588064658</v>
      </c>
      <c r="P5" s="12">
        <v>2.993118485905269E-18</v>
      </c>
      <c r="Q5" s="12">
        <v>1559.768769910856</v>
      </c>
      <c r="R5" s="12">
        <v>3213.0161346002678</v>
      </c>
      <c r="S5" s="12">
        <v>4306.2705308431623</v>
      </c>
      <c r="T5" s="12">
        <v>18.038047628421332</v>
      </c>
      <c r="U5" s="12">
        <v>1849.2180204313991</v>
      </c>
      <c r="V5" s="12">
        <v>35.124721335394298</v>
      </c>
      <c r="W5" s="12">
        <v>12.83981522639677</v>
      </c>
      <c r="X5" s="12">
        <v>2247.5408024392918</v>
      </c>
      <c r="Y5" s="12">
        <v>247.25803362338101</v>
      </c>
      <c r="Z5" s="12">
        <v>5159.5780165554961</v>
      </c>
      <c r="AA5" s="12">
        <v>1130.9698506552529</v>
      </c>
      <c r="AB5" s="12">
        <v>776.81543499578561</v>
      </c>
      <c r="AC5" s="12">
        <v>2054.5778295694522</v>
      </c>
      <c r="AD5" s="12">
        <v>1021.33907546877</v>
      </c>
      <c r="AE5" s="12">
        <v>6392.3577251405477</v>
      </c>
      <c r="AF5" s="12">
        <v>2758.0064953241008</v>
      </c>
      <c r="AG5" s="12">
        <v>4.7696465720280417</v>
      </c>
      <c r="AH5" s="12">
        <v>1180.326767193251</v>
      </c>
      <c r="AI5" s="12">
        <v>135.3778033361356</v>
      </c>
      <c r="AJ5" s="12">
        <v>3402.3122167869178</v>
      </c>
      <c r="AK5" s="12">
        <v>661.26900205246022</v>
      </c>
      <c r="AL5" s="12">
        <v>2029.8675386977391</v>
      </c>
      <c r="AM5" s="12">
        <v>328.5707378057748</v>
      </c>
      <c r="AN5" s="12">
        <v>1722.344298191249</v>
      </c>
      <c r="AO5" s="12">
        <v>6360.1916608430984</v>
      </c>
      <c r="AP5" s="12">
        <v>1184.508460630489</v>
      </c>
      <c r="AQ5" s="12">
        <v>192.0085067399105</v>
      </c>
      <c r="AR5" s="12">
        <v>1412.005529979685</v>
      </c>
      <c r="AS5" s="12">
        <v>202.18786689327149</v>
      </c>
      <c r="AT5" s="12">
        <v>594.6133636948025</v>
      </c>
      <c r="AU5" s="12">
        <v>1130.9986458947501</v>
      </c>
      <c r="AV5" s="12">
        <v>868.4118158171699</v>
      </c>
      <c r="AW5" s="12">
        <v>7150.2810671933503</v>
      </c>
      <c r="AX5" s="12">
        <v>30.65085523778745</v>
      </c>
      <c r="AY5" s="12">
        <v>0.58927999923415908</v>
      </c>
      <c r="AZ5" s="12">
        <v>200.89054554412999</v>
      </c>
      <c r="BA5" s="12">
        <v>1863.555105885506</v>
      </c>
      <c r="BB5" s="12">
        <v>1.069458336622275</v>
      </c>
      <c r="BC5" s="12">
        <v>517.4615894935896</v>
      </c>
      <c r="BD5" s="12">
        <v>2399.6692695490351</v>
      </c>
      <c r="BE5" s="12">
        <v>108.0675866685043</v>
      </c>
      <c r="BF5" s="12">
        <v>740.3520527634779</v>
      </c>
      <c r="BG5" s="12">
        <v>3643.1801796122791</v>
      </c>
      <c r="BH5" s="12">
        <v>467.24845552126823</v>
      </c>
      <c r="BI5" s="12">
        <v>1255.1321525671201</v>
      </c>
      <c r="BJ5" s="12">
        <v>2893.0528167385141</v>
      </c>
      <c r="BK5" s="12">
        <v>1715.5599090340249</v>
      </c>
      <c r="BL5" s="12">
        <v>162.96267017702269</v>
      </c>
      <c r="BM5" s="12">
        <v>3221.1801095467458</v>
      </c>
      <c r="BN5" s="12">
        <v>64.431380426097164</v>
      </c>
      <c r="BO5" s="12">
        <v>83.225590946435929</v>
      </c>
      <c r="BP5" s="12">
        <v>23.559815534883711</v>
      </c>
    </row>
    <row r="6" spans="1:68" x14ac:dyDescent="0.25">
      <c r="A6" s="12" t="s">
        <v>1145</v>
      </c>
      <c r="B6" s="12" t="s">
        <v>49</v>
      </c>
      <c r="C6" s="12">
        <v>2014</v>
      </c>
      <c r="D6" s="12" t="s">
        <v>1146</v>
      </c>
      <c r="E6" s="12">
        <v>11731.59750451262</v>
      </c>
      <c r="F6" s="12">
        <v>4450.8480638613228</v>
      </c>
      <c r="G6" s="12">
        <v>13553.694383579599</v>
      </c>
      <c r="H6" s="12">
        <v>3432.7670860193771</v>
      </c>
      <c r="I6" s="12">
        <v>3000.6574412403088</v>
      </c>
      <c r="J6" s="12">
        <v>11936.22459086004</v>
      </c>
      <c r="K6" s="12">
        <v>30021.985384498788</v>
      </c>
      <c r="L6" s="12">
        <v>3509.220653306335</v>
      </c>
      <c r="M6" s="12">
        <v>37477.111712229816</v>
      </c>
      <c r="N6" s="12">
        <v>0.42352410606140728</v>
      </c>
      <c r="O6" s="12">
        <v>1726.8657298647749</v>
      </c>
      <c r="P6" s="12">
        <v>16149.001230515531</v>
      </c>
      <c r="Q6" s="12">
        <v>14646.15309162843</v>
      </c>
      <c r="R6" s="12">
        <v>1941.111950252229</v>
      </c>
      <c r="S6" s="12">
        <v>7750.8552280888935</v>
      </c>
      <c r="T6" s="12">
        <v>11898.186494680909</v>
      </c>
      <c r="U6" s="12">
        <v>7808.3393152253248</v>
      </c>
      <c r="V6" s="12">
        <v>7.747437637158308</v>
      </c>
      <c r="W6" s="12">
        <v>5459.564148495775</v>
      </c>
      <c r="X6" s="12">
        <v>6060.817917495634</v>
      </c>
      <c r="Y6" s="12">
        <v>26941.523038211119</v>
      </c>
      <c r="Z6" s="12">
        <v>3711.7795056160498</v>
      </c>
      <c r="AA6" s="12">
        <v>6363.3075767313967</v>
      </c>
      <c r="AB6" s="12">
        <v>1573.4162897699091</v>
      </c>
      <c r="AC6" s="12">
        <v>6480.7666518303249</v>
      </c>
      <c r="AD6" s="12">
        <v>9527.3346515853282</v>
      </c>
      <c r="AE6" s="12">
        <v>7734.1403686073163</v>
      </c>
      <c r="AF6" s="12">
        <v>6751.6591113030081</v>
      </c>
      <c r="AG6" s="12">
        <v>4904.6813578869214</v>
      </c>
      <c r="AH6" s="12">
        <v>14403.83429574703</v>
      </c>
      <c r="AI6" s="12">
        <v>1584.8492287769759</v>
      </c>
      <c r="AJ6" s="12">
        <v>11886.374132642661</v>
      </c>
      <c r="AK6" s="12">
        <v>475.40893874526802</v>
      </c>
      <c r="AL6" s="12">
        <v>29488.736709461409</v>
      </c>
      <c r="AM6" s="12">
        <v>12675.70435870827</v>
      </c>
      <c r="AN6" s="12">
        <v>20621.575659620721</v>
      </c>
      <c r="AO6" s="12">
        <v>773.04235689145412</v>
      </c>
      <c r="AP6" s="12">
        <v>2126.2195325495891</v>
      </c>
      <c r="AQ6" s="12">
        <v>1678.755393158988</v>
      </c>
      <c r="AR6" s="12">
        <v>3878.772080737207</v>
      </c>
      <c r="AS6" s="12">
        <v>18185.060119430109</v>
      </c>
      <c r="AT6" s="12">
        <v>1867.4304737776749</v>
      </c>
      <c r="AU6" s="12">
        <v>25946.798693154851</v>
      </c>
      <c r="AV6" s="12">
        <v>1421.8922842844181</v>
      </c>
      <c r="AW6" s="12">
        <v>16463.943677574229</v>
      </c>
      <c r="AX6" s="12">
        <v>5281.8198923626769</v>
      </c>
      <c r="AY6" s="12">
        <v>7408.0362366617774</v>
      </c>
      <c r="AZ6" s="12">
        <v>4632.6937859470436</v>
      </c>
      <c r="BA6" s="12">
        <v>3806.835862464427</v>
      </c>
      <c r="BB6" s="12">
        <v>2167.7973333647851</v>
      </c>
      <c r="BC6" s="12">
        <v>15412.83834625354</v>
      </c>
      <c r="BD6" s="12">
        <v>3796.6064944963609</v>
      </c>
      <c r="BE6" s="12">
        <v>4943.6899578445</v>
      </c>
      <c r="BF6" s="12">
        <v>2364.3846607716332</v>
      </c>
      <c r="BG6" s="12">
        <v>29477.482303264329</v>
      </c>
      <c r="BH6" s="12">
        <v>31388.29450041565</v>
      </c>
      <c r="BI6" s="12">
        <v>23161.298157801899</v>
      </c>
      <c r="BJ6" s="12">
        <v>485.60532635373829</v>
      </c>
      <c r="BK6" s="12">
        <v>26445.587686009549</v>
      </c>
      <c r="BL6" s="12">
        <v>4901.8107766893136</v>
      </c>
      <c r="BM6" s="12">
        <v>6144.4896348912216</v>
      </c>
      <c r="BN6" s="12">
        <v>45.713489167747518</v>
      </c>
      <c r="BO6" s="12">
        <v>2251.4415213166449</v>
      </c>
      <c r="BP6" s="12">
        <v>4214.9539137896554</v>
      </c>
    </row>
    <row r="7" spans="1:68" x14ac:dyDescent="0.25">
      <c r="A7" s="12" t="s">
        <v>1147</v>
      </c>
      <c r="B7" s="12" t="s">
        <v>49</v>
      </c>
      <c r="C7" s="12">
        <v>2014</v>
      </c>
      <c r="D7" s="12" t="s">
        <v>1148</v>
      </c>
      <c r="E7" s="12">
        <v>10499.3468152939</v>
      </c>
      <c r="F7" s="12">
        <v>1832.975955786213</v>
      </c>
      <c r="G7" s="12">
        <v>11831.717213423581</v>
      </c>
      <c r="H7" s="12">
        <v>1756.0943691099269</v>
      </c>
      <c r="I7" s="12">
        <v>1536.3406592273491</v>
      </c>
      <c r="J7" s="12">
        <v>4534.1095532453237</v>
      </c>
      <c r="K7" s="12">
        <v>24110.797160405589</v>
      </c>
      <c r="L7" s="12">
        <v>2739.611542807153</v>
      </c>
      <c r="M7" s="12">
        <v>31339.648866991221</v>
      </c>
      <c r="N7" s="12">
        <v>7.5745954947897526E-6</v>
      </c>
      <c r="O7" s="12">
        <v>1376.8178446593461</v>
      </c>
      <c r="P7" s="12">
        <v>14612.490046525731</v>
      </c>
      <c r="Q7" s="12">
        <v>12144.34000744335</v>
      </c>
      <c r="R7" s="12">
        <v>74.825939858852692</v>
      </c>
      <c r="S7" s="12">
        <v>3272.899786464166</v>
      </c>
      <c r="T7" s="12">
        <v>5180.8417418319004</v>
      </c>
      <c r="U7" s="12">
        <v>2428.6832410184479</v>
      </c>
      <c r="V7" s="12">
        <v>8.3813529582237347</v>
      </c>
      <c r="W7" s="12">
        <v>4286.6661186574129</v>
      </c>
      <c r="X7" s="12">
        <v>2460.653708163486</v>
      </c>
      <c r="Y7" s="12">
        <v>25178.050508702119</v>
      </c>
      <c r="Z7" s="12">
        <v>568.06226445723473</v>
      </c>
      <c r="AA7" s="12">
        <v>5505.9110106122007</v>
      </c>
      <c r="AB7" s="12">
        <v>162.96646342514131</v>
      </c>
      <c r="AC7" s="12">
        <v>4882.6678290146974</v>
      </c>
      <c r="AD7" s="12">
        <v>7383.8307716869658</v>
      </c>
      <c r="AE7" s="12">
        <v>6357.5596217801376</v>
      </c>
      <c r="AF7" s="12">
        <v>861.53615203678669</v>
      </c>
      <c r="AG7" s="12">
        <v>158.74308666925899</v>
      </c>
      <c r="AH7" s="12">
        <v>4422.1385881316428</v>
      </c>
      <c r="AI7" s="12">
        <v>1551.606415432982</v>
      </c>
      <c r="AJ7" s="12">
        <v>1356.934839060141</v>
      </c>
      <c r="AK7" s="12">
        <v>39.523510681900362</v>
      </c>
      <c r="AL7" s="12">
        <v>24084.782257903818</v>
      </c>
      <c r="AM7" s="12">
        <v>8105.6780522110921</v>
      </c>
      <c r="AN7" s="12">
        <v>26.691690405514429</v>
      </c>
      <c r="AO7" s="12">
        <v>222.5191502055778</v>
      </c>
      <c r="AP7" s="12">
        <v>490.28018258286568</v>
      </c>
      <c r="AQ7" s="12">
        <v>1280.1940025119429</v>
      </c>
      <c r="AR7" s="12">
        <v>1412.404081741528</v>
      </c>
      <c r="AS7" s="12">
        <v>17354.53836988219</v>
      </c>
      <c r="AT7" s="12">
        <v>1123.413755797229</v>
      </c>
      <c r="AU7" s="12">
        <v>13811.756981642549</v>
      </c>
      <c r="AV7" s="12">
        <v>233.89952003681171</v>
      </c>
      <c r="AW7" s="12">
        <v>5423.0441741659724</v>
      </c>
      <c r="AX7" s="12">
        <v>4966.5057852613936</v>
      </c>
      <c r="AY7" s="12">
        <v>1459.5704850578979</v>
      </c>
      <c r="AZ7" s="12">
        <v>1681.654910641402</v>
      </c>
      <c r="BA7" s="12">
        <v>1867.689113504892</v>
      </c>
      <c r="BB7" s="12">
        <v>1565.284816973023</v>
      </c>
      <c r="BC7" s="12">
        <v>14716.00751829925</v>
      </c>
      <c r="BD7" s="12">
        <v>1519.9646951207469</v>
      </c>
      <c r="BE7" s="12">
        <v>2805.6558932356538</v>
      </c>
      <c r="BF7" s="12">
        <v>1525.1163140676599</v>
      </c>
      <c r="BG7" s="12">
        <v>9075.3296625236017</v>
      </c>
      <c r="BH7" s="12">
        <v>19885.505995945961</v>
      </c>
      <c r="BI7" s="12">
        <v>11558.837347571371</v>
      </c>
      <c r="BJ7" s="12">
        <v>57.14124484371122</v>
      </c>
      <c r="BK7" s="12">
        <v>20780.17968296375</v>
      </c>
      <c r="BL7" s="12">
        <v>2734.1582435314331</v>
      </c>
      <c r="BM7" s="12">
        <v>3734.5963828283989</v>
      </c>
      <c r="BN7" s="12">
        <v>17.587891837081081</v>
      </c>
      <c r="BO7" s="12">
        <v>812.71107334168516</v>
      </c>
      <c r="BP7" s="12">
        <v>1453.4462606031791</v>
      </c>
    </row>
    <row r="8" spans="1:68" x14ac:dyDescent="0.25">
      <c r="A8" s="12" t="s">
        <v>1149</v>
      </c>
      <c r="B8" s="12" t="s">
        <v>49</v>
      </c>
      <c r="C8" s="12">
        <v>2014</v>
      </c>
      <c r="D8" s="12" t="s">
        <v>335</v>
      </c>
      <c r="E8" s="12">
        <v>7.9327203684455023E-4</v>
      </c>
      <c r="F8" s="12">
        <v>4.014047983231313E-3</v>
      </c>
      <c r="G8" s="12">
        <v>1.764082914968031E-3</v>
      </c>
      <c r="H8" s="12">
        <v>2.4933310288001529E-3</v>
      </c>
      <c r="I8" s="12">
        <v>1.1807300052000271E-3</v>
      </c>
      <c r="J8" s="12">
        <v>6.2259308485636197E-3</v>
      </c>
      <c r="K8" s="12">
        <v>9.0935561775494554E-4</v>
      </c>
      <c r="L8" s="12">
        <v>3.6038759278445969E-4</v>
      </c>
      <c r="M8" s="12">
        <v>5.4000996603902722E-3</v>
      </c>
      <c r="N8" s="12">
        <v>1.221704767903891</v>
      </c>
      <c r="O8" s="12">
        <v>9.083924933240608E-4</v>
      </c>
      <c r="P8" s="12">
        <v>3.7344005952982281E-4</v>
      </c>
      <c r="Q8" s="12">
        <v>1.239528188710211E-3</v>
      </c>
      <c r="R8" s="12">
        <v>7.3625987605478926E-3</v>
      </c>
      <c r="S8" s="12">
        <v>4.2721554343937594E-3</v>
      </c>
      <c r="T8" s="12">
        <v>5.1605366578545047E-3</v>
      </c>
      <c r="U8" s="12">
        <v>7.9727298725951051E-3</v>
      </c>
      <c r="V8" s="12">
        <v>2.0452841460616819E-3</v>
      </c>
      <c r="W8" s="12">
        <v>7.0734145212383187E-4</v>
      </c>
      <c r="X8" s="12">
        <v>9.469181085721215E-4</v>
      </c>
      <c r="Y8" s="12">
        <v>2.318666211585415E-3</v>
      </c>
      <c r="Z8" s="12">
        <v>9.2870540339736168E-3</v>
      </c>
      <c r="AA8" s="12">
        <v>4.6805614355909149E-4</v>
      </c>
      <c r="AB8" s="12">
        <v>3.0107361134634231E-3</v>
      </c>
      <c r="AC8" s="12">
        <v>3.4824758328502918E-3</v>
      </c>
      <c r="AD8" s="12">
        <v>7.644032875026509E-4</v>
      </c>
      <c r="AE8" s="12">
        <v>5.8381376491448908E-3</v>
      </c>
      <c r="AF8" s="12">
        <v>1.085376372782099E-2</v>
      </c>
      <c r="AG8" s="12">
        <v>2.268702811063842E-3</v>
      </c>
      <c r="AH8" s="12">
        <v>2.589122729820465E-3</v>
      </c>
      <c r="AI8" s="12">
        <v>1.019523393930502E-3</v>
      </c>
      <c r="AJ8" s="12">
        <v>1.1404334418155259E-3</v>
      </c>
      <c r="AK8" s="12">
        <v>3.5768220088317002E-4</v>
      </c>
      <c r="AL8" s="12">
        <v>2.379063597163166E-3</v>
      </c>
      <c r="AM8" s="12">
        <v>4.139119039684352E-4</v>
      </c>
      <c r="AN8" s="12">
        <v>4.6934296364746568E-4</v>
      </c>
      <c r="AO8" s="12">
        <v>8.3936360008361709E-3</v>
      </c>
      <c r="AP8" s="12">
        <v>1.000789187068566E-2</v>
      </c>
      <c r="AQ8" s="12">
        <v>2.1417667983518709E-4</v>
      </c>
      <c r="AR8" s="12">
        <v>7.179413029673238E-4</v>
      </c>
      <c r="AS8" s="12">
        <v>2.0512540661795958E-3</v>
      </c>
      <c r="AT8" s="12">
        <v>5.6035065788408783E-3</v>
      </c>
      <c r="AU8" s="12">
        <v>3.1500706458734789E-3</v>
      </c>
      <c r="AV8" s="12">
        <v>3.7599704079576781E-3</v>
      </c>
      <c r="AW8" s="12">
        <v>5.0299501157276931E-3</v>
      </c>
      <c r="AX8" s="12">
        <v>1.325918870467849E-3</v>
      </c>
      <c r="AY8" s="12">
        <v>7.557348997883251E-4</v>
      </c>
      <c r="AZ8" s="12">
        <v>2.3893025463725859E-3</v>
      </c>
      <c r="BA8" s="12">
        <v>3.1627201061721791E-3</v>
      </c>
      <c r="BB8" s="12">
        <v>9.8922398333320632E-4</v>
      </c>
      <c r="BC8" s="12">
        <v>1.16599493868962E-3</v>
      </c>
      <c r="BD8" s="12">
        <v>5.9314926114374979E-3</v>
      </c>
      <c r="BE8" s="12">
        <v>3.8588520544700249E-4</v>
      </c>
      <c r="BF8" s="12">
        <v>2.2966083663713342E-3</v>
      </c>
      <c r="BG8" s="12">
        <v>1.9838472876406248E-3</v>
      </c>
      <c r="BH8" s="12">
        <v>7.5848972806407961E-4</v>
      </c>
      <c r="BI8" s="12">
        <v>7.1860984125514621E-4</v>
      </c>
      <c r="BJ8" s="12">
        <v>7.2901505292680504E-4</v>
      </c>
      <c r="BK8" s="12">
        <v>1.9477065895741881E-3</v>
      </c>
      <c r="BL8" s="12">
        <v>2.5645944341826541E-3</v>
      </c>
      <c r="BM8" s="12">
        <v>1.174537739301165E-3</v>
      </c>
      <c r="BN8" s="12">
        <v>3.390206499307677E-3</v>
      </c>
      <c r="BO8" s="12">
        <v>4.3085841704484486E-3</v>
      </c>
      <c r="BP8" s="12">
        <v>4.4842841817570476E-3</v>
      </c>
    </row>
    <row r="9" spans="1:68" x14ac:dyDescent="0.25">
      <c r="A9" s="12" t="s">
        <v>1150</v>
      </c>
      <c r="B9" s="12" t="s">
        <v>49</v>
      </c>
      <c r="C9" s="12">
        <v>2014</v>
      </c>
      <c r="D9" s="12" t="s">
        <v>337</v>
      </c>
      <c r="E9" s="12">
        <v>5.5200186919146061E-3</v>
      </c>
      <c r="F9" s="12">
        <v>2.678859182272062E-3</v>
      </c>
      <c r="G9" s="12">
        <v>1.937491786022612E-3</v>
      </c>
      <c r="H9" s="12">
        <v>3.6433607709278311E-3</v>
      </c>
      <c r="I9" s="12">
        <v>2.3606404060368649E-3</v>
      </c>
      <c r="J9" s="12">
        <v>1.247330359167915E-2</v>
      </c>
      <c r="K9" s="12">
        <v>1.485328143046926E-3</v>
      </c>
      <c r="L9" s="12">
        <v>1.6660950008744171E-3</v>
      </c>
      <c r="M9" s="12">
        <v>5.1274153282818936E-3</v>
      </c>
      <c r="N9" s="12">
        <v>5.876205277924147E-3</v>
      </c>
      <c r="O9" s="12">
        <v>2.0639858896132229E-3</v>
      </c>
      <c r="P9" s="12">
        <v>4.6520607222589851E-4</v>
      </c>
      <c r="Q9" s="12">
        <v>7.0290364743753001E-3</v>
      </c>
      <c r="R9" s="12">
        <v>8.5374530689963073E-3</v>
      </c>
      <c r="S9" s="12">
        <v>1.135431974376769E-2</v>
      </c>
      <c r="T9" s="12">
        <v>1.0852137553551831</v>
      </c>
      <c r="U9" s="12">
        <v>8.0007169905098249E-3</v>
      </c>
      <c r="V9" s="12">
        <v>3.3846108028942308E-3</v>
      </c>
      <c r="W9" s="12">
        <v>5.9140310475794657E-3</v>
      </c>
      <c r="X9" s="12">
        <v>2.023296374269457E-3</v>
      </c>
      <c r="Y9" s="12">
        <v>4.9478416190941853E-3</v>
      </c>
      <c r="Z9" s="12">
        <v>2.5165469763173701E-2</v>
      </c>
      <c r="AA9" s="12">
        <v>1.6429226397947699E-3</v>
      </c>
      <c r="AB9" s="12">
        <v>3.304737361025436E-3</v>
      </c>
      <c r="AC9" s="12">
        <v>4.6204298961791583E-3</v>
      </c>
      <c r="AD9" s="12">
        <v>1.8011305816717561E-3</v>
      </c>
      <c r="AE9" s="12">
        <v>6.8119863979713294E-3</v>
      </c>
      <c r="AF9" s="12">
        <v>1.4930284233289671E-2</v>
      </c>
      <c r="AG9" s="12">
        <v>5.2544119213068818E-4</v>
      </c>
      <c r="AH9" s="12">
        <v>5.5341828543603484E-3</v>
      </c>
      <c r="AI9" s="12">
        <v>2.068200412853668E-3</v>
      </c>
      <c r="AJ9" s="12">
        <v>2.2819556256096661E-3</v>
      </c>
      <c r="AK9" s="12">
        <v>7.7765476653570353E-4</v>
      </c>
      <c r="AL9" s="12">
        <v>3.7379494222926539E-3</v>
      </c>
      <c r="AM9" s="12">
        <v>1.5837326295343921E-3</v>
      </c>
      <c r="AN9" s="12">
        <v>5.3536362760168077E-4</v>
      </c>
      <c r="AO9" s="12">
        <v>9.1668183318100189E-3</v>
      </c>
      <c r="AP9" s="12">
        <v>2.040135701233424E-2</v>
      </c>
      <c r="AQ9" s="12">
        <v>8.9503493916117305E-4</v>
      </c>
      <c r="AR9" s="12">
        <v>1.4358260148089549E-3</v>
      </c>
      <c r="AS9" s="12">
        <v>4.5904299692602884E-3</v>
      </c>
      <c r="AT9" s="12">
        <v>6.935930991794171E-3</v>
      </c>
      <c r="AU9" s="12">
        <v>2.9609658269714148E-3</v>
      </c>
      <c r="AV9" s="12">
        <v>1.7031750892652381E-2</v>
      </c>
      <c r="AW9" s="12">
        <v>7.1492930963179275E-4</v>
      </c>
      <c r="AX9" s="12">
        <v>2.3879879647635662E-3</v>
      </c>
      <c r="AY9" s="12">
        <v>1.6383654504214069E-3</v>
      </c>
      <c r="AZ9" s="12">
        <v>4.7520304010679601E-3</v>
      </c>
      <c r="BA9" s="12">
        <v>9.5356881451588282E-3</v>
      </c>
      <c r="BB9" s="12">
        <v>1.9917422155616179E-3</v>
      </c>
      <c r="BC9" s="12">
        <v>5.5023614162592032E-3</v>
      </c>
      <c r="BD9" s="12">
        <v>7.1959882952056563E-3</v>
      </c>
      <c r="BE9" s="12">
        <v>4.7553077433962771E-3</v>
      </c>
      <c r="BF9" s="12">
        <v>3.2324896711845639E-3</v>
      </c>
      <c r="BG9" s="12">
        <v>3.6426545578752442E-3</v>
      </c>
      <c r="BH9" s="12">
        <v>4.4695982897660427E-3</v>
      </c>
      <c r="BI9" s="12">
        <v>1.4096682688098151E-3</v>
      </c>
      <c r="BJ9" s="12">
        <v>1.39304700084053E-3</v>
      </c>
      <c r="BK9" s="12">
        <v>2.8772939638582211E-3</v>
      </c>
      <c r="BL9" s="12">
        <v>3.8930016112881409E-3</v>
      </c>
      <c r="BM9" s="12">
        <v>2.6769011429075801E-3</v>
      </c>
      <c r="BN9" s="12">
        <v>3.9604537058675129E-3</v>
      </c>
      <c r="BO9" s="12">
        <v>3.3026137539479208E-3</v>
      </c>
      <c r="BP9" s="12">
        <v>1.480074054369559E-2</v>
      </c>
    </row>
    <row r="10" spans="1:68" x14ac:dyDescent="0.25">
      <c r="A10" s="12" t="s">
        <v>1151</v>
      </c>
      <c r="B10" s="12" t="s">
        <v>49</v>
      </c>
      <c r="C10" s="12">
        <v>2014</v>
      </c>
      <c r="D10" s="12" t="s">
        <v>339</v>
      </c>
      <c r="E10" s="12">
        <v>3.0031995335650899E-3</v>
      </c>
      <c r="F10" s="12">
        <v>9.8066022556448449E-3</v>
      </c>
      <c r="G10" s="12">
        <v>2.6611586500143291E-3</v>
      </c>
      <c r="H10" s="12">
        <v>2.345698537221505E-2</v>
      </c>
      <c r="I10" s="12">
        <v>4.0381282536803044E-3</v>
      </c>
      <c r="J10" s="12">
        <v>3.6116935358118579E-2</v>
      </c>
      <c r="K10" s="12">
        <v>1.609467676019006E-3</v>
      </c>
      <c r="L10" s="12">
        <v>1.523946503288381E-3</v>
      </c>
      <c r="M10" s="12">
        <v>6.8032239682300428E-3</v>
      </c>
      <c r="N10" s="12">
        <v>6.6513943464506786E-3</v>
      </c>
      <c r="O10" s="12">
        <v>2.8619891443656411E-3</v>
      </c>
      <c r="P10" s="12">
        <v>5.8618270568032925E-4</v>
      </c>
      <c r="Q10" s="12">
        <v>4.355621339302054E-3</v>
      </c>
      <c r="R10" s="12">
        <v>8.915331917523325E-3</v>
      </c>
      <c r="S10" s="12">
        <v>8.4972853805666132E-3</v>
      </c>
      <c r="T10" s="12">
        <v>0.38682948395941152</v>
      </c>
      <c r="U10" s="12">
        <v>1.2403697687735121E-2</v>
      </c>
      <c r="V10" s="12">
        <v>3.432624139145986E-3</v>
      </c>
      <c r="W10" s="12">
        <v>3.5720415656789379E-3</v>
      </c>
      <c r="X10" s="12">
        <v>3.7770728282831931E-3</v>
      </c>
      <c r="Y10" s="12">
        <v>5.2769905156351106E-3</v>
      </c>
      <c r="Z10" s="12">
        <v>2.6135189118198371E-2</v>
      </c>
      <c r="AA10" s="12">
        <v>1.15700220550698E-3</v>
      </c>
      <c r="AB10" s="12">
        <v>4.5781612774432436E-3</v>
      </c>
      <c r="AC10" s="12">
        <v>6.2222493607723183E-3</v>
      </c>
      <c r="AD10" s="12">
        <v>2.2063189637703089E-3</v>
      </c>
      <c r="AE10" s="12">
        <v>7.1703889518398688E-3</v>
      </c>
      <c r="AF10" s="12">
        <v>1.6426399748507091E-2</v>
      </c>
      <c r="AG10" s="12">
        <v>1.2320240210762889</v>
      </c>
      <c r="AH10" s="12">
        <v>7.619395482237337E-3</v>
      </c>
      <c r="AI10" s="12">
        <v>3.2623787192993981E-3</v>
      </c>
      <c r="AJ10" s="12">
        <v>2.1584844437853011E-3</v>
      </c>
      <c r="AK10" s="12">
        <v>1.111894889614408E-3</v>
      </c>
      <c r="AL10" s="12">
        <v>6.3181707656595086E-3</v>
      </c>
      <c r="AM10" s="12">
        <v>9.8805835128444965E-4</v>
      </c>
      <c r="AN10" s="12">
        <v>7.7889379481823227E-3</v>
      </c>
      <c r="AO10" s="12">
        <v>8.7567554797417027E-3</v>
      </c>
      <c r="AP10" s="12">
        <v>2.4171584869655701E-2</v>
      </c>
      <c r="AQ10" s="12">
        <v>7.9486724675752857E-4</v>
      </c>
      <c r="AR10" s="12">
        <v>2.2705237191521579E-3</v>
      </c>
      <c r="AS10" s="12">
        <v>4.1291305425889104E-3</v>
      </c>
      <c r="AT10" s="12">
        <v>7.0729236527341576E-3</v>
      </c>
      <c r="AU10" s="12">
        <v>8.9860177369045918E-3</v>
      </c>
      <c r="AV10" s="12">
        <v>1.470505881485692E-2</v>
      </c>
      <c r="AW10" s="12">
        <v>1.2245436117279081E-2</v>
      </c>
      <c r="AX10" s="12">
        <v>3.425531302358419E-3</v>
      </c>
      <c r="AY10" s="12">
        <v>2.562351723541328E-3</v>
      </c>
      <c r="AZ10" s="12">
        <v>7.4754789450016106E-3</v>
      </c>
      <c r="BA10" s="12">
        <v>1.24264802490617E-2</v>
      </c>
      <c r="BB10" s="12">
        <v>3.056527095007441E-3</v>
      </c>
      <c r="BC10" s="12">
        <v>4.1418004510942602E-3</v>
      </c>
      <c r="BD10" s="12">
        <v>2.9245874808273089E-2</v>
      </c>
      <c r="BE10" s="12">
        <v>2.027650707302227E-3</v>
      </c>
      <c r="BF10" s="12">
        <v>5.2923979421461206E-3</v>
      </c>
      <c r="BG10" s="12">
        <v>4.7119988767248822E-3</v>
      </c>
      <c r="BH10" s="12">
        <v>2.2108199927777438E-3</v>
      </c>
      <c r="BI10" s="12">
        <v>2.473214309174888E-3</v>
      </c>
      <c r="BJ10" s="12">
        <v>2.5744165585490611E-3</v>
      </c>
      <c r="BK10" s="12">
        <v>4.4109586404462867E-3</v>
      </c>
      <c r="BL10" s="12">
        <v>4.1228397676033651E-3</v>
      </c>
      <c r="BM10" s="12">
        <v>4.2130913487135602E-3</v>
      </c>
      <c r="BN10" s="12">
        <v>5.3001090741031332E-3</v>
      </c>
      <c r="BO10" s="12">
        <v>1.178790360519727E-2</v>
      </c>
      <c r="BP10" s="12">
        <v>9.4371669835720678E-3</v>
      </c>
    </row>
    <row r="11" spans="1:68" x14ac:dyDescent="0.25">
      <c r="A11" s="12" t="s">
        <v>1152</v>
      </c>
      <c r="B11" s="12" t="s">
        <v>49</v>
      </c>
      <c r="C11" s="12">
        <v>2014</v>
      </c>
      <c r="D11" s="12" t="s">
        <v>341</v>
      </c>
      <c r="E11" s="12">
        <v>1.253536127353448E-2</v>
      </c>
      <c r="F11" s="12">
        <v>0.22413755931130941</v>
      </c>
      <c r="G11" s="12">
        <v>1.2286120145307861E-2</v>
      </c>
      <c r="H11" s="12">
        <v>2.892549047393277E-2</v>
      </c>
      <c r="I11" s="12">
        <v>3.7770736138218422E-2</v>
      </c>
      <c r="J11" s="12">
        <v>0.1449576776297411</v>
      </c>
      <c r="K11" s="12">
        <v>8.208035347478904E-3</v>
      </c>
      <c r="L11" s="12">
        <v>6.5337890291618126E-3</v>
      </c>
      <c r="M11" s="12">
        <v>3.9027826775599267E-2</v>
      </c>
      <c r="N11" s="12">
        <v>3.9811411206221607E-2</v>
      </c>
      <c r="O11" s="12">
        <v>3.2093641943734159E-2</v>
      </c>
      <c r="P11" s="12">
        <v>2.579941804734409E-3</v>
      </c>
      <c r="Q11" s="12">
        <v>1.7390505848873489E-2</v>
      </c>
      <c r="R11" s="12">
        <v>3.7684422177725649E-2</v>
      </c>
      <c r="S11" s="12">
        <v>3.2263065501299461E-2</v>
      </c>
      <c r="T11" s="12">
        <v>0.46972634780449868</v>
      </c>
      <c r="U11" s="12">
        <v>5.073666941559625E-2</v>
      </c>
      <c r="V11" s="12">
        <v>4.55893446728537E-2</v>
      </c>
      <c r="W11" s="12">
        <v>2.302115491184719E-2</v>
      </c>
      <c r="X11" s="12">
        <v>3.1856207353411589E-2</v>
      </c>
      <c r="Y11" s="12">
        <v>2.1450273820188211E-2</v>
      </c>
      <c r="Z11" s="12">
        <v>9.5060293919800976E-2</v>
      </c>
      <c r="AA11" s="12">
        <v>9.7193636523316401E-3</v>
      </c>
      <c r="AB11" s="12">
        <v>2.552229482808099E-2</v>
      </c>
      <c r="AC11" s="12">
        <v>3.5573219740484642E-2</v>
      </c>
      <c r="AD11" s="12">
        <v>1.3190809279301529E-2</v>
      </c>
      <c r="AE11" s="12">
        <v>3.5924036048233361E-2</v>
      </c>
      <c r="AF11" s="12">
        <v>7.1888414871630571E-2</v>
      </c>
      <c r="AG11" s="12">
        <v>4.3752064784366343E-2</v>
      </c>
      <c r="AH11" s="12">
        <v>4.1755958869957963E-2</v>
      </c>
      <c r="AI11" s="12">
        <v>3.2750277504051989E-2</v>
      </c>
      <c r="AJ11" s="12">
        <v>1.5550246975639699E-2</v>
      </c>
      <c r="AK11" s="12">
        <v>1.124949135115254E-2</v>
      </c>
      <c r="AL11" s="12">
        <v>3.5822711506517363E-2</v>
      </c>
      <c r="AM11" s="12">
        <v>6.9345887346894874E-3</v>
      </c>
      <c r="AN11" s="12">
        <v>1.1024777281588269</v>
      </c>
      <c r="AO11" s="12">
        <v>3.7233539976843699E-2</v>
      </c>
      <c r="AP11" s="12">
        <v>9.4940985355366325E-2</v>
      </c>
      <c r="AQ11" s="12">
        <v>4.5915696642849458E-3</v>
      </c>
      <c r="AR11" s="12">
        <v>2.489668625055259E-2</v>
      </c>
      <c r="AS11" s="12">
        <v>2.3577982065413141E-2</v>
      </c>
      <c r="AT11" s="12">
        <v>3.076985672971019E-2</v>
      </c>
      <c r="AU11" s="12">
        <v>0.2033292388677006</v>
      </c>
      <c r="AV11" s="12">
        <v>0.17838925280235121</v>
      </c>
      <c r="AW11" s="12">
        <v>0.98193377849420416</v>
      </c>
      <c r="AX11" s="12">
        <v>2.8576624392320071E-2</v>
      </c>
      <c r="AY11" s="12">
        <v>2.6289883803342549E-2</v>
      </c>
      <c r="AZ11" s="12">
        <v>8.6311154123078909E-2</v>
      </c>
      <c r="BA11" s="12">
        <v>5.3162503864988227E-2</v>
      </c>
      <c r="BB11" s="12">
        <v>3.098305371923751E-2</v>
      </c>
      <c r="BC11" s="12">
        <v>1.935321814877318E-2</v>
      </c>
      <c r="BD11" s="12">
        <v>4.0359635251776708E-2</v>
      </c>
      <c r="BE11" s="12">
        <v>7.3367372636681484E-3</v>
      </c>
      <c r="BF11" s="12">
        <v>4.202710187504799E-2</v>
      </c>
      <c r="BG11" s="12">
        <v>3.0217059280733091E-2</v>
      </c>
      <c r="BH11" s="12">
        <v>1.6247953860545051E-2</v>
      </c>
      <c r="BI11" s="12">
        <v>2.206215447469511E-2</v>
      </c>
      <c r="BJ11" s="12">
        <v>2.3065987925935422E-2</v>
      </c>
      <c r="BK11" s="12">
        <v>2.2020533025901821E-2</v>
      </c>
      <c r="BL11" s="12">
        <v>2.0220316532282789E-2</v>
      </c>
      <c r="BM11" s="12">
        <v>4.1059743821506491E-2</v>
      </c>
      <c r="BN11" s="12">
        <v>5.5399646070040887E-2</v>
      </c>
      <c r="BO11" s="12">
        <v>0.21768320306619679</v>
      </c>
      <c r="BP11" s="12">
        <v>4.1305355375516557E-2</v>
      </c>
    </row>
    <row r="12" spans="1:68" x14ac:dyDescent="0.25">
      <c r="A12" s="12" t="s">
        <v>1153</v>
      </c>
      <c r="B12" s="12" t="s">
        <v>49</v>
      </c>
      <c r="C12" s="12">
        <v>2014</v>
      </c>
      <c r="D12" s="12" t="s">
        <v>1117</v>
      </c>
      <c r="E12" s="12">
        <v>1.8506098822338529E-2</v>
      </c>
      <c r="F12" s="12">
        <v>0.31349195231089921</v>
      </c>
      <c r="G12" s="12">
        <v>1.76337403947785E-2</v>
      </c>
      <c r="H12" s="12">
        <v>4.222068613688184E-2</v>
      </c>
      <c r="I12" s="12">
        <v>5.1771712568278748E-2</v>
      </c>
      <c r="J12" s="12">
        <v>0.23416920695088819</v>
      </c>
      <c r="K12" s="12">
        <v>1.309351016532765E-2</v>
      </c>
      <c r="L12" s="12">
        <v>9.8237447557030077E-3</v>
      </c>
      <c r="M12" s="12">
        <v>5.4591045352671598E-2</v>
      </c>
      <c r="N12" s="12">
        <v>6.2786323896517643E-2</v>
      </c>
      <c r="O12" s="12">
        <v>4.3201745296534311E-2</v>
      </c>
      <c r="P12" s="12">
        <v>4.189850380665717E-3</v>
      </c>
      <c r="Q12" s="12">
        <v>2.3232602439667679E-2</v>
      </c>
      <c r="R12" s="12">
        <v>6.3172925321000384E-2</v>
      </c>
      <c r="S12" s="12">
        <v>4.7476983673034587E-2</v>
      </c>
      <c r="T12" s="12">
        <v>0.60995239587770955</v>
      </c>
      <c r="U12" s="12">
        <v>8.5903115925821463E-2</v>
      </c>
      <c r="V12" s="12">
        <v>6.1805757736345217E-2</v>
      </c>
      <c r="W12" s="12">
        <v>2.9697238604740991E-2</v>
      </c>
      <c r="X12" s="12">
        <v>4.4062176662466188E-2</v>
      </c>
      <c r="Y12" s="12">
        <v>3.4974133208944443E-2</v>
      </c>
      <c r="Z12" s="12">
        <v>0.14807983687191539</v>
      </c>
      <c r="AA12" s="12">
        <v>1.488094070682291E-2</v>
      </c>
      <c r="AB12" s="12">
        <v>3.8364843533488187E-2</v>
      </c>
      <c r="AC12" s="12">
        <v>5.5890037986969468E-2</v>
      </c>
      <c r="AD12" s="12">
        <v>1.9780645252017431E-2</v>
      </c>
      <c r="AE12" s="12">
        <v>4.9953971990056238E-2</v>
      </c>
      <c r="AF12" s="12">
        <v>0.1076763912288226</v>
      </c>
      <c r="AG12" s="12">
        <v>5.0452222216392312E-2</v>
      </c>
      <c r="AH12" s="12">
        <v>6.4041264278197729E-2</v>
      </c>
      <c r="AI12" s="12">
        <v>4.4605452784952267E-2</v>
      </c>
      <c r="AJ12" s="12">
        <v>2.0841607547893711E-2</v>
      </c>
      <c r="AK12" s="12">
        <v>1.6814391635180861E-2</v>
      </c>
      <c r="AL12" s="12">
        <v>5.4736009718705098E-2</v>
      </c>
      <c r="AM12" s="12">
        <v>9.8292002972009684E-3</v>
      </c>
      <c r="AN12" s="12">
        <v>1.232842202713587E-2</v>
      </c>
      <c r="AO12" s="12">
        <v>6.5599933466073956E-2</v>
      </c>
      <c r="AP12" s="12">
        <v>0.1685770645489173</v>
      </c>
      <c r="AQ12" s="12">
        <v>6.6305603089607552E-3</v>
      </c>
      <c r="AR12" s="12">
        <v>3.385408609566383E-2</v>
      </c>
      <c r="AS12" s="12">
        <v>3.2360000524375918E-2</v>
      </c>
      <c r="AT12" s="12">
        <v>4.9803917756341173E-2</v>
      </c>
      <c r="AU12" s="12">
        <v>0.23755181700639941</v>
      </c>
      <c r="AV12" s="12">
        <v>0.22859878374100751</v>
      </c>
      <c r="AW12" s="12">
        <v>1.085053101049811</v>
      </c>
      <c r="AX12" s="12">
        <v>4.5196266767479162E-2</v>
      </c>
      <c r="AY12" s="12">
        <v>3.721000931724705E-2</v>
      </c>
      <c r="AZ12" s="12">
        <v>0.1176729970963193</v>
      </c>
      <c r="BA12" s="12">
        <v>8.2698108543525981E-2</v>
      </c>
      <c r="BB12" s="12">
        <v>4.2922609096398813E-2</v>
      </c>
      <c r="BC12" s="12">
        <v>2.66548624758976E-2</v>
      </c>
      <c r="BD12" s="12">
        <v>6.9827396298109745E-2</v>
      </c>
      <c r="BE12" s="12">
        <v>1.14767208151841E-2</v>
      </c>
      <c r="BF12" s="12">
        <v>6.083222815214525E-2</v>
      </c>
      <c r="BG12" s="12">
        <v>4.2726922460202571E-2</v>
      </c>
      <c r="BH12" s="12">
        <v>2.5854198817083261E-2</v>
      </c>
      <c r="BI12" s="12">
        <v>3.5640422273432157E-2</v>
      </c>
      <c r="BJ12" s="12">
        <v>3.2898812859950492E-2</v>
      </c>
      <c r="BK12" s="12">
        <v>3.0624899257676929E-2</v>
      </c>
      <c r="BL12" s="12">
        <v>2.7919590124601379E-2</v>
      </c>
      <c r="BM12" s="12">
        <v>6.0456042893371392E-2</v>
      </c>
      <c r="BN12" s="12">
        <v>8.798171537508559E-2</v>
      </c>
      <c r="BO12" s="12">
        <v>0.28325981040571319</v>
      </c>
      <c r="BP12" s="12">
        <v>5.8627531858914339E-2</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C000"/>
  </sheetPr>
  <dimension ref="A1:K54"/>
  <sheetViews>
    <sheetView workbookViewId="0">
      <pane ySplit="32" topLeftCell="A33" activePane="bottomLeft" state="frozen"/>
      <selection pane="bottomLeft"/>
    </sheetView>
  </sheetViews>
  <sheetFormatPr defaultRowHeight="15" x14ac:dyDescent="0.25"/>
  <cols>
    <col min="1" max="11" width="15" customWidth="1"/>
  </cols>
  <sheetData>
    <row r="1" spans="1:3" x14ac:dyDescent="0.25">
      <c r="A1" s="3" t="s">
        <v>1154</v>
      </c>
    </row>
    <row r="2" spans="1:3" x14ac:dyDescent="0.25">
      <c r="A2" s="11" t="s">
        <v>550</v>
      </c>
      <c r="B2" s="11" t="s">
        <v>1155</v>
      </c>
      <c r="C2" s="11" t="s">
        <v>1156</v>
      </c>
    </row>
    <row r="3" spans="1:3" x14ac:dyDescent="0.25">
      <c r="A3" s="12" t="s">
        <v>335</v>
      </c>
      <c r="B3" s="12" t="s">
        <v>334</v>
      </c>
      <c r="C3" s="12">
        <v>37.812025966892151</v>
      </c>
    </row>
    <row r="4" spans="1:3" x14ac:dyDescent="0.25">
      <c r="A4" s="12" t="s">
        <v>337</v>
      </c>
      <c r="B4" s="12" t="s">
        <v>336</v>
      </c>
      <c r="C4" s="12">
        <v>25.453525713581591</v>
      </c>
    </row>
    <row r="5" spans="1:3" x14ac:dyDescent="0.25">
      <c r="A5" s="12" t="s">
        <v>339</v>
      </c>
      <c r="B5" s="12" t="s">
        <v>338</v>
      </c>
      <c r="C5" s="12">
        <v>59.439297123777443</v>
      </c>
    </row>
    <row r="6" spans="1:3" x14ac:dyDescent="0.25">
      <c r="A6" s="12" t="s">
        <v>341</v>
      </c>
      <c r="B6" s="12" t="s">
        <v>340</v>
      </c>
      <c r="C6" s="12">
        <v>103.9578829680615</v>
      </c>
    </row>
    <row r="7" spans="1:3" x14ac:dyDescent="0.25">
      <c r="A7" s="12" t="s">
        <v>343</v>
      </c>
      <c r="B7" s="12" t="s">
        <v>342</v>
      </c>
      <c r="C7" s="12">
        <v>19.170744285566329</v>
      </c>
    </row>
    <row r="8" spans="1:3" x14ac:dyDescent="0.25">
      <c r="A8" s="12" t="s">
        <v>345</v>
      </c>
      <c r="B8" s="12" t="s">
        <v>344</v>
      </c>
      <c r="C8" s="12">
        <v>28.067927548660251</v>
      </c>
    </row>
    <row r="9" spans="1:3" x14ac:dyDescent="0.25">
      <c r="A9" s="12" t="s">
        <v>347</v>
      </c>
      <c r="B9" s="12" t="s">
        <v>346</v>
      </c>
      <c r="C9" s="12">
        <v>30.10178078204742</v>
      </c>
    </row>
    <row r="10" spans="1:3" x14ac:dyDescent="0.25">
      <c r="A10" s="12" t="s">
        <v>349</v>
      </c>
      <c r="B10" s="12" t="s">
        <v>348</v>
      </c>
      <c r="C10" s="12">
        <v>58.672200106214881</v>
      </c>
    </row>
    <row r="13" spans="1:3" x14ac:dyDescent="0.25">
      <c r="A13" s="3" t="s">
        <v>1157</v>
      </c>
    </row>
    <row r="14" spans="1:3" x14ac:dyDescent="0.25">
      <c r="A14" s="11" t="s">
        <v>550</v>
      </c>
      <c r="B14" s="11" t="s">
        <v>1158</v>
      </c>
      <c r="C14" s="11" t="s">
        <v>1156</v>
      </c>
    </row>
    <row r="15" spans="1:3" x14ac:dyDescent="0.25">
      <c r="A15" s="12" t="s">
        <v>361</v>
      </c>
      <c r="B15" s="12" t="s">
        <v>360</v>
      </c>
      <c r="C15" s="12">
        <v>0.32758851614686207</v>
      </c>
    </row>
    <row r="16" spans="1:3" x14ac:dyDescent="0.25">
      <c r="A16" s="12" t="s">
        <v>359</v>
      </c>
      <c r="B16" s="12" t="s">
        <v>358</v>
      </c>
      <c r="C16" s="12">
        <v>0.3293440561892309</v>
      </c>
    </row>
    <row r="17" spans="1:11" x14ac:dyDescent="0.25">
      <c r="A17" s="12" t="s">
        <v>363</v>
      </c>
      <c r="B17" s="12" t="s">
        <v>362</v>
      </c>
      <c r="C17" s="12">
        <v>0.38341667072847541</v>
      </c>
    </row>
    <row r="18" spans="1:11" x14ac:dyDescent="0.25">
      <c r="A18" s="12" t="s">
        <v>355</v>
      </c>
      <c r="B18" s="12" t="s">
        <v>354</v>
      </c>
      <c r="C18" s="12">
        <v>0.33898893210947528</v>
      </c>
    </row>
    <row r="19" spans="1:11" x14ac:dyDescent="0.25">
      <c r="A19" s="12" t="s">
        <v>365</v>
      </c>
      <c r="B19" s="12" t="s">
        <v>364</v>
      </c>
      <c r="C19" s="12">
        <v>0.28468405484019133</v>
      </c>
    </row>
    <row r="20" spans="1:11" x14ac:dyDescent="0.25">
      <c r="A20" s="12" t="s">
        <v>351</v>
      </c>
      <c r="B20" s="12" t="s">
        <v>350</v>
      </c>
      <c r="C20" s="12">
        <v>0.81558202754130138</v>
      </c>
    </row>
    <row r="21" spans="1:11" x14ac:dyDescent="0.25">
      <c r="A21" s="12" t="s">
        <v>353</v>
      </c>
      <c r="B21" s="12" t="s">
        <v>352</v>
      </c>
      <c r="C21" s="12">
        <v>2.0485463731703168</v>
      </c>
    </row>
    <row r="22" spans="1:11" x14ac:dyDescent="0.25">
      <c r="A22" s="12" t="s">
        <v>377</v>
      </c>
      <c r="B22" s="12" t="s">
        <v>376</v>
      </c>
      <c r="C22" s="12">
        <v>1.292222813050284</v>
      </c>
    </row>
    <row r="23" spans="1:11" x14ac:dyDescent="0.25">
      <c r="A23" s="12" t="s">
        <v>375</v>
      </c>
      <c r="B23" s="12" t="s">
        <v>374</v>
      </c>
      <c r="C23" s="12">
        <v>0.30525948394884889</v>
      </c>
    </row>
    <row r="24" spans="1:11" x14ac:dyDescent="0.25">
      <c r="A24" s="12" t="s">
        <v>369</v>
      </c>
      <c r="B24" s="12" t="s">
        <v>368</v>
      </c>
      <c r="C24" s="12">
        <v>0.59919614110901398</v>
      </c>
    </row>
    <row r="25" spans="1:11" x14ac:dyDescent="0.25">
      <c r="A25" s="12" t="s">
        <v>357</v>
      </c>
      <c r="B25" s="12" t="s">
        <v>356</v>
      </c>
      <c r="C25" s="12">
        <v>0.1284830643537952</v>
      </c>
    </row>
    <row r="26" spans="1:11" x14ac:dyDescent="0.25">
      <c r="A26" s="12" t="s">
        <v>371</v>
      </c>
      <c r="B26" s="12" t="s">
        <v>370</v>
      </c>
      <c r="C26" s="12">
        <v>0.97576492317560548</v>
      </c>
    </row>
    <row r="27" spans="1:11" x14ac:dyDescent="0.25">
      <c r="A27" s="12" t="s">
        <v>373</v>
      </c>
      <c r="B27" s="12" t="s">
        <v>372</v>
      </c>
      <c r="C27" s="12">
        <v>0.28272666392578533</v>
      </c>
    </row>
    <row r="28" spans="1:11" x14ac:dyDescent="0.25">
      <c r="A28" s="12" t="s">
        <v>367</v>
      </c>
      <c r="B28" s="12" t="s">
        <v>366</v>
      </c>
      <c r="C28" s="12">
        <v>0.14209358578975489</v>
      </c>
    </row>
    <row r="31" spans="1:11" x14ac:dyDescent="0.25">
      <c r="A31" s="3" t="s">
        <v>1159</v>
      </c>
    </row>
    <row r="32" spans="1:11" x14ac:dyDescent="0.25">
      <c r="A32" s="11" t="s">
        <v>550</v>
      </c>
      <c r="B32" s="11" t="s">
        <v>1160</v>
      </c>
      <c r="C32" s="11" t="s">
        <v>1161</v>
      </c>
      <c r="D32" s="11" t="s">
        <v>1162</v>
      </c>
      <c r="E32" s="11" t="s">
        <v>1163</v>
      </c>
      <c r="F32" s="11" t="s">
        <v>1164</v>
      </c>
      <c r="G32" s="11" t="s">
        <v>1165</v>
      </c>
      <c r="H32" s="11" t="s">
        <v>1166</v>
      </c>
      <c r="I32" s="11" t="s">
        <v>1167</v>
      </c>
      <c r="J32" s="11" t="s">
        <v>1168</v>
      </c>
      <c r="K32" s="11" t="s">
        <v>1169</v>
      </c>
    </row>
    <row r="33" spans="1:11" x14ac:dyDescent="0.25">
      <c r="A33" s="12" t="s">
        <v>335</v>
      </c>
      <c r="B33" s="12">
        <v>0.77611734981202662</v>
      </c>
      <c r="C33" s="12">
        <v>0.77611734981202662</v>
      </c>
      <c r="D33" s="12">
        <v>0.77611734981202662</v>
      </c>
      <c r="E33" s="12">
        <v>0.77767636989441824</v>
      </c>
      <c r="F33" s="12">
        <v>0.77767636989441824</v>
      </c>
      <c r="G33" s="12">
        <v>0.77767636989441824</v>
      </c>
      <c r="H33" s="12">
        <v>0.77767636989441824</v>
      </c>
      <c r="I33" s="12">
        <v>0.77758216726005558</v>
      </c>
      <c r="J33" s="12">
        <v>0.77758216726005558</v>
      </c>
      <c r="K33" s="12">
        <v>0.77758216726005558</v>
      </c>
    </row>
    <row r="34" spans="1:11" x14ac:dyDescent="0.25">
      <c r="A34" s="12" t="s">
        <v>337</v>
      </c>
      <c r="B34" s="12">
        <v>0.8359363870814297</v>
      </c>
      <c r="C34" s="12">
        <v>0.8359363870814297</v>
      </c>
      <c r="D34" s="12">
        <v>0.8359363870814297</v>
      </c>
      <c r="E34" s="12">
        <v>0.83712330205062269</v>
      </c>
      <c r="F34" s="12">
        <v>0.83712330205062269</v>
      </c>
      <c r="G34" s="12">
        <v>0.83712330205062269</v>
      </c>
      <c r="H34" s="12">
        <v>0.83712330205062269</v>
      </c>
      <c r="I34" s="12">
        <v>0.83705160339159324</v>
      </c>
      <c r="J34" s="12">
        <v>0.83705160339159324</v>
      </c>
      <c r="K34" s="12">
        <v>0.83705160339159324</v>
      </c>
    </row>
    <row r="35" spans="1:11" x14ac:dyDescent="0.25">
      <c r="A35" s="12" t="s">
        <v>339</v>
      </c>
      <c r="B35" s="12">
        <v>0.69166787734331536</v>
      </c>
      <c r="C35" s="12">
        <v>0.69166787734331536</v>
      </c>
      <c r="D35" s="12">
        <v>0.69166787734331536</v>
      </c>
      <c r="E35" s="12">
        <v>0.69368967938793491</v>
      </c>
      <c r="F35" s="12">
        <v>0.69368967938793491</v>
      </c>
      <c r="G35" s="12">
        <v>0.69368967938793491</v>
      </c>
      <c r="H35" s="12">
        <v>0.69368967938793491</v>
      </c>
      <c r="I35" s="12">
        <v>0.69356746115775858</v>
      </c>
      <c r="J35" s="12">
        <v>0.69356746115775858</v>
      </c>
      <c r="K35" s="12">
        <v>0.69356746115775858</v>
      </c>
    </row>
    <row r="36" spans="1:11" x14ac:dyDescent="0.25">
      <c r="A36" s="12" t="s">
        <v>341</v>
      </c>
      <c r="B36" s="12">
        <v>0.56935545007816701</v>
      </c>
      <c r="C36" s="12">
        <v>0.56935545007816701</v>
      </c>
      <c r="D36" s="12">
        <v>0.56935545007816701</v>
      </c>
      <c r="E36" s="12">
        <v>0.57190021249589351</v>
      </c>
      <c r="F36" s="12">
        <v>0.57190021249589351</v>
      </c>
      <c r="G36" s="12">
        <v>0.57190021249589351</v>
      </c>
      <c r="H36" s="12">
        <v>0.57190021249589351</v>
      </c>
      <c r="I36" s="12">
        <v>0.57174626991140065</v>
      </c>
      <c r="J36" s="12">
        <v>0.57174626991140065</v>
      </c>
      <c r="K36" s="12">
        <v>0.57174626991140065</v>
      </c>
    </row>
    <row r="37" spans="1:11" x14ac:dyDescent="0.25">
      <c r="A37" s="12" t="s">
        <v>343</v>
      </c>
      <c r="B37" s="12">
        <v>0.85343033164397764</v>
      </c>
      <c r="C37" s="12">
        <v>0.85343033164397764</v>
      </c>
      <c r="D37" s="12">
        <v>0.85343033164397764</v>
      </c>
      <c r="E37" s="12">
        <v>0.85999138044079271</v>
      </c>
      <c r="F37" s="12">
        <v>0.85999138044079271</v>
      </c>
      <c r="G37" s="12">
        <v>0.85999138044079271</v>
      </c>
      <c r="H37" s="12">
        <v>0.85999138044079271</v>
      </c>
      <c r="I37" s="12">
        <v>0.85964153303464585</v>
      </c>
      <c r="J37" s="12">
        <v>0.85964153303464585</v>
      </c>
      <c r="K37" s="12">
        <v>0.85964153303464585</v>
      </c>
    </row>
    <row r="38" spans="1:11" x14ac:dyDescent="0.25">
      <c r="A38" s="12" t="s">
        <v>345</v>
      </c>
      <c r="B38" s="12">
        <v>0.79966811163045515</v>
      </c>
      <c r="C38" s="12">
        <v>0.79966811163045515</v>
      </c>
      <c r="D38" s="12">
        <v>0.79966811163045515</v>
      </c>
      <c r="E38" s="12">
        <v>0.8083534017161581</v>
      </c>
      <c r="F38" s="12">
        <v>0.8083534017161581</v>
      </c>
      <c r="G38" s="12">
        <v>0.8083534017161581</v>
      </c>
      <c r="H38" s="12">
        <v>0.8083534017161581</v>
      </c>
      <c r="I38" s="12">
        <v>0.80788959702989538</v>
      </c>
      <c r="J38" s="12">
        <v>0.80788959702989538</v>
      </c>
      <c r="K38" s="12">
        <v>0.80788959702989538</v>
      </c>
    </row>
    <row r="39" spans="1:11" x14ac:dyDescent="0.25">
      <c r="A39" s="12" t="s">
        <v>347</v>
      </c>
      <c r="B39" s="12">
        <v>0.81224468504825076</v>
      </c>
      <c r="C39" s="12">
        <v>0.81224468504825076</v>
      </c>
      <c r="D39" s="12">
        <v>0.81224468504825076</v>
      </c>
      <c r="E39" s="12">
        <v>0.81358314242674079</v>
      </c>
      <c r="F39" s="12">
        <v>0.81358314242674079</v>
      </c>
      <c r="G39" s="12">
        <v>0.81358314242674079</v>
      </c>
      <c r="H39" s="12">
        <v>0.81358314242674079</v>
      </c>
      <c r="I39" s="12">
        <v>0.81350228081255604</v>
      </c>
      <c r="J39" s="12">
        <v>0.81350228081255604</v>
      </c>
      <c r="K39" s="12">
        <v>0.81350228081255604</v>
      </c>
    </row>
    <row r="40" spans="1:11" x14ac:dyDescent="0.25">
      <c r="A40" s="12" t="s">
        <v>349</v>
      </c>
      <c r="B40" s="12">
        <v>0.69430904243690006</v>
      </c>
      <c r="C40" s="12">
        <v>0.69430904243690006</v>
      </c>
      <c r="D40" s="12">
        <v>0.69430904243690006</v>
      </c>
      <c r="E40" s="12">
        <v>0.69631755233452508</v>
      </c>
      <c r="F40" s="12">
        <v>0.69631755233452508</v>
      </c>
      <c r="G40" s="12">
        <v>0.69631755233452508</v>
      </c>
      <c r="H40" s="12">
        <v>0.69631755233452508</v>
      </c>
      <c r="I40" s="12">
        <v>0.69619613933701463</v>
      </c>
      <c r="J40" s="12">
        <v>0.69619613933701463</v>
      </c>
      <c r="K40" s="12">
        <v>0.69619613933701463</v>
      </c>
    </row>
    <row r="41" spans="1:11" x14ac:dyDescent="0.25">
      <c r="A41" s="12" t="s">
        <v>351</v>
      </c>
      <c r="B41" s="12">
        <v>0.9937288837251963</v>
      </c>
      <c r="C41" s="12">
        <v>0.9937288837251963</v>
      </c>
      <c r="D41" s="12">
        <v>0.9937288837251963</v>
      </c>
      <c r="E41" s="12">
        <v>0.99375693564372303</v>
      </c>
      <c r="F41" s="12">
        <v>0.99375693564372303</v>
      </c>
      <c r="G41" s="12">
        <v>0.99375693564372303</v>
      </c>
      <c r="H41" s="12">
        <v>0.99375693564372303</v>
      </c>
      <c r="I41" s="12">
        <v>0.99375488891663555</v>
      </c>
      <c r="J41" s="12">
        <v>0.99375488891663555</v>
      </c>
      <c r="K41" s="12">
        <v>0.99375488891663555</v>
      </c>
    </row>
    <row r="42" spans="1:11" x14ac:dyDescent="0.25">
      <c r="A42" s="12" t="s">
        <v>353</v>
      </c>
      <c r="B42" s="12">
        <v>0.96988625579704224</v>
      </c>
      <c r="C42" s="12">
        <v>0.96988625579704224</v>
      </c>
      <c r="D42" s="12">
        <v>0.96988625579704224</v>
      </c>
      <c r="E42" s="12">
        <v>0.97938938671471798</v>
      </c>
      <c r="F42" s="12">
        <v>0.97938938671471798</v>
      </c>
      <c r="G42" s="12">
        <v>0.97938938671471798</v>
      </c>
      <c r="H42" s="12">
        <v>0.97938938671471798</v>
      </c>
      <c r="I42" s="12">
        <v>0.97919960989829435</v>
      </c>
      <c r="J42" s="12">
        <v>0.97919960989829435</v>
      </c>
      <c r="K42" s="12">
        <v>0.97919960989829435</v>
      </c>
    </row>
    <row r="43" spans="1:11" x14ac:dyDescent="0.25">
      <c r="A43" s="12" t="s">
        <v>355</v>
      </c>
      <c r="B43" s="12">
        <v>0.99759859822261887</v>
      </c>
      <c r="C43" s="12">
        <v>0.99759859822261887</v>
      </c>
      <c r="D43" s="12">
        <v>0.99759859822261887</v>
      </c>
      <c r="E43" s="12">
        <v>0.99760350918114638</v>
      </c>
      <c r="F43" s="12">
        <v>0.99760350918114638</v>
      </c>
      <c r="G43" s="12">
        <v>0.99760350918114638</v>
      </c>
      <c r="H43" s="12">
        <v>0.99760350918114638</v>
      </c>
      <c r="I43" s="12">
        <v>0.99760337113871211</v>
      </c>
      <c r="J43" s="12">
        <v>0.99760337113871211</v>
      </c>
      <c r="K43" s="12">
        <v>0.99760337113871211</v>
      </c>
    </row>
    <row r="44" spans="1:11" x14ac:dyDescent="0.25">
      <c r="A44" s="12" t="s">
        <v>357</v>
      </c>
      <c r="B44" s="12">
        <v>0.99884036035206625</v>
      </c>
      <c r="C44" s="12">
        <v>0.99884036035206625</v>
      </c>
      <c r="D44" s="12">
        <v>0.99884036035206625</v>
      </c>
      <c r="E44" s="12">
        <v>0.99889636431467999</v>
      </c>
      <c r="F44" s="12">
        <v>0.99889636431467999</v>
      </c>
      <c r="G44" s="12">
        <v>0.99889636431467999</v>
      </c>
      <c r="H44" s="12">
        <v>0.99889636431467999</v>
      </c>
      <c r="I44" s="12">
        <v>0.99889338880014644</v>
      </c>
      <c r="J44" s="12">
        <v>0.99889338880014644</v>
      </c>
      <c r="K44" s="12">
        <v>0.99889338880014644</v>
      </c>
    </row>
    <row r="45" spans="1:11" x14ac:dyDescent="0.25">
      <c r="A45" s="12" t="s">
        <v>359</v>
      </c>
      <c r="B45" s="12">
        <v>0.99775034860731671</v>
      </c>
      <c r="C45" s="12">
        <v>0.99775034860731671</v>
      </c>
      <c r="D45" s="12">
        <v>0.99775034860731671</v>
      </c>
      <c r="E45" s="12">
        <v>0.99777319938907183</v>
      </c>
      <c r="F45" s="12">
        <v>0.99777319938907183</v>
      </c>
      <c r="G45" s="12">
        <v>0.99777319938907183</v>
      </c>
      <c r="H45" s="12">
        <v>0.99777319938907183</v>
      </c>
      <c r="I45" s="12">
        <v>0.99777089977791145</v>
      </c>
      <c r="J45" s="12">
        <v>0.99777089977791145</v>
      </c>
      <c r="K45" s="12">
        <v>0.99777089977791145</v>
      </c>
    </row>
    <row r="46" spans="1:11" x14ac:dyDescent="0.25">
      <c r="A46" s="12" t="s">
        <v>361</v>
      </c>
      <c r="B46" s="12">
        <v>0.99792311800024369</v>
      </c>
      <c r="C46" s="12">
        <v>0.99792311800024369</v>
      </c>
      <c r="D46" s="12">
        <v>0.99792311800024369</v>
      </c>
      <c r="E46" s="12">
        <v>0.99825179564725486</v>
      </c>
      <c r="F46" s="12">
        <v>0.99825179564725486</v>
      </c>
      <c r="G46" s="12">
        <v>0.99825179564725486</v>
      </c>
      <c r="H46" s="12">
        <v>0.99825179564725486</v>
      </c>
      <c r="I46" s="12">
        <v>0.99820502296022728</v>
      </c>
      <c r="J46" s="12">
        <v>0.99820502296022728</v>
      </c>
      <c r="K46" s="12">
        <v>0.99820502296022728</v>
      </c>
    </row>
    <row r="47" spans="1:11" x14ac:dyDescent="0.25">
      <c r="A47" s="12" t="s">
        <v>363</v>
      </c>
      <c r="B47" s="12">
        <v>0.99446815933402244</v>
      </c>
      <c r="C47" s="12">
        <v>0.99446815933402244</v>
      </c>
      <c r="D47" s="12">
        <v>0.99446815933402244</v>
      </c>
      <c r="E47" s="12">
        <v>0.99609280080631568</v>
      </c>
      <c r="F47" s="12">
        <v>0.99609280080631568</v>
      </c>
      <c r="G47" s="12">
        <v>0.99609280080631568</v>
      </c>
      <c r="H47" s="12">
        <v>0.99609280080631568</v>
      </c>
      <c r="I47" s="12">
        <v>0.99605726870604105</v>
      </c>
      <c r="J47" s="12">
        <v>0.99605726870604105</v>
      </c>
      <c r="K47" s="12">
        <v>0.99605726870604105</v>
      </c>
    </row>
    <row r="48" spans="1:11" x14ac:dyDescent="0.25">
      <c r="A48" s="12" t="s">
        <v>365</v>
      </c>
      <c r="B48" s="12">
        <v>0.99775598239850827</v>
      </c>
      <c r="C48" s="12">
        <v>0.99775598239850827</v>
      </c>
      <c r="D48" s="12">
        <v>0.99775598239850827</v>
      </c>
      <c r="E48" s="12">
        <v>0.99777372983965051</v>
      </c>
      <c r="F48" s="12">
        <v>0.99777372983965051</v>
      </c>
      <c r="G48" s="12">
        <v>0.99777372983965051</v>
      </c>
      <c r="H48" s="12">
        <v>0.99777372983965051</v>
      </c>
      <c r="I48" s="12">
        <v>0.99777265846507812</v>
      </c>
      <c r="J48" s="12">
        <v>0.99777265846507812</v>
      </c>
      <c r="K48" s="12">
        <v>0.99777265846507812</v>
      </c>
    </row>
    <row r="49" spans="1:11" x14ac:dyDescent="0.25">
      <c r="A49" s="12" t="s">
        <v>367</v>
      </c>
      <c r="B49" s="12">
        <v>0.9978612808280618</v>
      </c>
      <c r="C49" s="12">
        <v>0.9978612808280618</v>
      </c>
      <c r="D49" s="12">
        <v>0.9978612808280618</v>
      </c>
      <c r="E49" s="12">
        <v>0.99854279750202646</v>
      </c>
      <c r="F49" s="12">
        <v>0.99854279750202646</v>
      </c>
      <c r="G49" s="12">
        <v>0.99854279750202646</v>
      </c>
      <c r="H49" s="12">
        <v>0.99854279750202646</v>
      </c>
      <c r="I49" s="12">
        <v>0.99852924795621223</v>
      </c>
      <c r="J49" s="12">
        <v>0.99852924795621223</v>
      </c>
      <c r="K49" s="12">
        <v>0.99852924795621223</v>
      </c>
    </row>
    <row r="50" spans="1:11" x14ac:dyDescent="0.25">
      <c r="A50" s="12" t="s">
        <v>369</v>
      </c>
      <c r="B50" s="12">
        <v>0.99103254875870839</v>
      </c>
      <c r="C50" s="12">
        <v>0.99103254875870839</v>
      </c>
      <c r="D50" s="12">
        <v>0.99103254875870839</v>
      </c>
      <c r="E50" s="12">
        <v>0.99388340212471904</v>
      </c>
      <c r="F50" s="12">
        <v>0.99388340212471904</v>
      </c>
      <c r="G50" s="12">
        <v>0.99388340212471904</v>
      </c>
      <c r="H50" s="12">
        <v>0.99388340212471904</v>
      </c>
      <c r="I50" s="12">
        <v>0.99382666216223814</v>
      </c>
      <c r="J50" s="12">
        <v>0.99382666216223814</v>
      </c>
      <c r="K50" s="12">
        <v>0.99382666216223814</v>
      </c>
    </row>
    <row r="51" spans="1:11" x14ac:dyDescent="0.25">
      <c r="A51" s="12" t="s">
        <v>371</v>
      </c>
      <c r="B51" s="12">
        <v>0.98602293650287764</v>
      </c>
      <c r="C51" s="12">
        <v>0.98602293650287764</v>
      </c>
      <c r="D51" s="12">
        <v>0.98602293650287764</v>
      </c>
      <c r="E51" s="12">
        <v>0.99011548722776987</v>
      </c>
      <c r="F51" s="12">
        <v>0.99011548722776987</v>
      </c>
      <c r="G51" s="12">
        <v>0.99011548722776987</v>
      </c>
      <c r="H51" s="12">
        <v>0.99011548722776987</v>
      </c>
      <c r="I51" s="12">
        <v>0.99002587026888067</v>
      </c>
      <c r="J51" s="12">
        <v>0.99002587026888067</v>
      </c>
      <c r="K51" s="12">
        <v>0.99002587026888067</v>
      </c>
    </row>
    <row r="52" spans="1:11" x14ac:dyDescent="0.25">
      <c r="A52" s="12" t="s">
        <v>373</v>
      </c>
      <c r="B52" s="12">
        <v>0.9933168046722477</v>
      </c>
      <c r="C52" s="12">
        <v>0.9933168046722477</v>
      </c>
      <c r="D52" s="12">
        <v>0.9933168046722477</v>
      </c>
      <c r="E52" s="12">
        <v>0.99676693854025822</v>
      </c>
      <c r="F52" s="12">
        <v>0.99676693854025822</v>
      </c>
      <c r="G52" s="12">
        <v>0.99676693854025822</v>
      </c>
      <c r="H52" s="12">
        <v>0.99676693854025822</v>
      </c>
      <c r="I52" s="12">
        <v>0.99672090636442068</v>
      </c>
      <c r="J52" s="12">
        <v>0.99672090636442068</v>
      </c>
      <c r="K52" s="12">
        <v>0.99672090636442068</v>
      </c>
    </row>
    <row r="53" spans="1:11" x14ac:dyDescent="0.25">
      <c r="A53" s="12" t="s">
        <v>375</v>
      </c>
      <c r="B53" s="12">
        <v>0.99724946522662583</v>
      </c>
      <c r="C53" s="12">
        <v>0.99724946522662583</v>
      </c>
      <c r="D53" s="12">
        <v>0.99724946522662583</v>
      </c>
      <c r="E53" s="12">
        <v>0.99738219957408214</v>
      </c>
      <c r="F53" s="12">
        <v>0.99738219957408214</v>
      </c>
      <c r="G53" s="12">
        <v>0.99738219957408214</v>
      </c>
      <c r="H53" s="12">
        <v>0.99738219957408214</v>
      </c>
      <c r="I53" s="12">
        <v>0.99737514708415276</v>
      </c>
      <c r="J53" s="12">
        <v>0.99737514708415276</v>
      </c>
      <c r="K53" s="12">
        <v>0.99737514708415276</v>
      </c>
    </row>
    <row r="54" spans="1:11" x14ac:dyDescent="0.25">
      <c r="A54" s="12" t="s">
        <v>377</v>
      </c>
      <c r="B54" s="12">
        <v>0.98846447695852668</v>
      </c>
      <c r="C54" s="12">
        <v>0.98846447695852668</v>
      </c>
      <c r="D54" s="12">
        <v>0.98846447695852668</v>
      </c>
      <c r="E54" s="12">
        <v>0.98901881240062495</v>
      </c>
      <c r="F54" s="12">
        <v>0.98901881240062495</v>
      </c>
      <c r="G54" s="12">
        <v>0.98901881240062495</v>
      </c>
      <c r="H54" s="12">
        <v>0.98901881240062495</v>
      </c>
      <c r="I54" s="12">
        <v>0.98898935328487958</v>
      </c>
      <c r="J54" s="12">
        <v>0.98898935328487958</v>
      </c>
      <c r="K54" s="12">
        <v>0.98898935328487958</v>
      </c>
    </row>
  </sheetData>
  <pageMargins left="0.75" right="0.75" top="1" bottom="1" header="0.5" footer="0.5"/>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S554"/>
  <sheetViews>
    <sheetView workbookViewId="0">
      <pane ySplit="348" topLeftCell="A349" activePane="bottomLeft" state="frozen"/>
      <selection pane="bottomLeft"/>
    </sheetView>
  </sheetViews>
  <sheetFormatPr defaultRowHeight="15" x14ac:dyDescent="0.25"/>
  <cols>
    <col min="1" max="19" width="15" customWidth="1"/>
  </cols>
  <sheetData>
    <row r="1" spans="1:19" x14ac:dyDescent="0.25">
      <c r="A1" s="3" t="s">
        <v>1170</v>
      </c>
    </row>
    <row r="2" spans="1:19" x14ac:dyDescent="0.25">
      <c r="A2" s="11" t="s">
        <v>1171</v>
      </c>
      <c r="B2" s="11" t="s">
        <v>1172</v>
      </c>
      <c r="C2" s="11" t="s">
        <v>1173</v>
      </c>
      <c r="D2" s="11" t="s">
        <v>1174</v>
      </c>
      <c r="E2" s="11" t="s">
        <v>1175</v>
      </c>
      <c r="F2" s="11" t="s">
        <v>1176</v>
      </c>
      <c r="G2" s="11" t="s">
        <v>1177</v>
      </c>
      <c r="H2" s="11" t="s">
        <v>1178</v>
      </c>
      <c r="I2" s="11" t="s">
        <v>1179</v>
      </c>
      <c r="J2" s="11" t="s">
        <v>1180</v>
      </c>
      <c r="K2" s="11" t="s">
        <v>1181</v>
      </c>
      <c r="L2" s="11" t="s">
        <v>1182</v>
      </c>
      <c r="M2" s="11" t="s">
        <v>1183</v>
      </c>
      <c r="N2" s="11" t="s">
        <v>1184</v>
      </c>
      <c r="O2" s="11" t="s">
        <v>1185</v>
      </c>
      <c r="P2" s="11" t="s">
        <v>1186</v>
      </c>
      <c r="Q2" s="11" t="s">
        <v>1187</v>
      </c>
      <c r="R2" s="11" t="s">
        <v>1188</v>
      </c>
      <c r="S2" s="11" t="s">
        <v>1189</v>
      </c>
    </row>
    <row r="3" spans="1:19" x14ac:dyDescent="0.25">
      <c r="A3" s="12" t="s">
        <v>1190</v>
      </c>
      <c r="B3" s="12" t="s">
        <v>1134</v>
      </c>
      <c r="C3" s="12">
        <v>12</v>
      </c>
      <c r="D3" s="12" t="s">
        <v>1191</v>
      </c>
      <c r="E3" s="12" t="s">
        <v>1134</v>
      </c>
      <c r="F3" s="12">
        <v>12</v>
      </c>
      <c r="G3" s="12" t="s">
        <v>1192</v>
      </c>
      <c r="H3" s="12" t="s">
        <v>1193</v>
      </c>
      <c r="I3" s="12" t="s">
        <v>1194</v>
      </c>
      <c r="J3" s="12" t="s">
        <v>1195</v>
      </c>
      <c r="K3" s="12" t="s">
        <v>1196</v>
      </c>
      <c r="L3" s="12" t="s">
        <v>1197</v>
      </c>
      <c r="M3" s="12">
        <v>22</v>
      </c>
      <c r="N3" s="12">
        <v>1</v>
      </c>
      <c r="O3" s="12" t="s">
        <v>307</v>
      </c>
      <c r="P3" s="12" t="s">
        <v>1198</v>
      </c>
      <c r="Q3" s="12" t="s">
        <v>1199</v>
      </c>
      <c r="R3" s="12" t="s">
        <v>1200</v>
      </c>
      <c r="S3" s="12" t="s">
        <v>1200</v>
      </c>
    </row>
    <row r="4" spans="1:19" x14ac:dyDescent="0.25">
      <c r="A4" s="12" t="s">
        <v>1201</v>
      </c>
      <c r="B4" s="12" t="s">
        <v>1119</v>
      </c>
      <c r="C4" s="12">
        <v>1</v>
      </c>
      <c r="D4" s="12" t="s">
        <v>1202</v>
      </c>
      <c r="E4" s="12" t="s">
        <v>1119</v>
      </c>
      <c r="F4" s="12">
        <v>1</v>
      </c>
      <c r="G4" s="12" t="s">
        <v>1201</v>
      </c>
      <c r="H4" s="12" t="s">
        <v>1193</v>
      </c>
      <c r="I4" s="12" t="s">
        <v>1194</v>
      </c>
      <c r="J4" s="12" t="s">
        <v>1195</v>
      </c>
      <c r="K4" s="12" t="s">
        <v>1196</v>
      </c>
      <c r="L4" s="12" t="s">
        <v>1197</v>
      </c>
      <c r="M4" s="12">
        <v>113</v>
      </c>
      <c r="N4" s="12">
        <v>1</v>
      </c>
      <c r="O4" s="12" t="s">
        <v>307</v>
      </c>
      <c r="P4" s="12" t="s">
        <v>1198</v>
      </c>
      <c r="Q4" s="12" t="s">
        <v>1199</v>
      </c>
      <c r="R4" s="12" t="s">
        <v>361</v>
      </c>
      <c r="S4" s="12" t="s">
        <v>361</v>
      </c>
    </row>
    <row r="5" spans="1:19" x14ac:dyDescent="0.25">
      <c r="A5" s="12" t="s">
        <v>1203</v>
      </c>
      <c r="B5" s="12" t="s">
        <v>1133</v>
      </c>
      <c r="C5" s="12">
        <v>2</v>
      </c>
      <c r="D5" s="12" t="s">
        <v>1204</v>
      </c>
      <c r="E5" s="12" t="s">
        <v>1133</v>
      </c>
      <c r="F5" s="12">
        <v>2</v>
      </c>
      <c r="G5" s="12" t="s">
        <v>1203</v>
      </c>
      <c r="H5" s="12" t="s">
        <v>1193</v>
      </c>
      <c r="I5" s="12" t="s">
        <v>1194</v>
      </c>
      <c r="J5" s="12" t="s">
        <v>1195</v>
      </c>
      <c r="K5" s="12" t="s">
        <v>1196</v>
      </c>
      <c r="L5" s="12" t="s">
        <v>1197</v>
      </c>
      <c r="M5" s="12">
        <v>111</v>
      </c>
      <c r="N5" s="12">
        <v>1</v>
      </c>
      <c r="O5" s="12" t="s">
        <v>307</v>
      </c>
      <c r="P5" s="12" t="s">
        <v>1198</v>
      </c>
      <c r="Q5" s="12" t="s">
        <v>1199</v>
      </c>
      <c r="R5" s="12" t="s">
        <v>361</v>
      </c>
      <c r="S5" s="12" t="s">
        <v>361</v>
      </c>
    </row>
    <row r="6" spans="1:19" x14ac:dyDescent="0.25">
      <c r="A6" s="12" t="s">
        <v>1205</v>
      </c>
      <c r="B6" s="12" t="s">
        <v>1094</v>
      </c>
      <c r="C6" s="12">
        <v>3</v>
      </c>
      <c r="D6" s="12" t="s">
        <v>1206</v>
      </c>
      <c r="E6" s="12" t="s">
        <v>1094</v>
      </c>
      <c r="F6" s="12">
        <v>3</v>
      </c>
      <c r="G6" s="12" t="s">
        <v>1207</v>
      </c>
      <c r="H6" s="12" t="s">
        <v>1193</v>
      </c>
      <c r="I6" s="12" t="s">
        <v>1194</v>
      </c>
      <c r="J6" s="12" t="s">
        <v>1195</v>
      </c>
      <c r="K6" s="12" t="s">
        <v>1196</v>
      </c>
      <c r="L6" s="12" t="s">
        <v>1197</v>
      </c>
      <c r="M6" s="12">
        <v>119</v>
      </c>
      <c r="N6" s="12">
        <v>1</v>
      </c>
      <c r="O6" s="12" t="s">
        <v>307</v>
      </c>
      <c r="P6" s="12" t="s">
        <v>1198</v>
      </c>
      <c r="Q6" s="12" t="s">
        <v>1199</v>
      </c>
      <c r="R6" s="12" t="s">
        <v>361</v>
      </c>
      <c r="S6" s="12" t="s">
        <v>361</v>
      </c>
    </row>
    <row r="7" spans="1:19" x14ac:dyDescent="0.25">
      <c r="A7" s="12" t="s">
        <v>1208</v>
      </c>
      <c r="B7" s="12" t="s">
        <v>1094</v>
      </c>
      <c r="C7" s="12">
        <v>3</v>
      </c>
      <c r="D7" s="12" t="s">
        <v>1206</v>
      </c>
      <c r="E7" s="12" t="s">
        <v>1094</v>
      </c>
      <c r="F7" s="12">
        <v>3</v>
      </c>
      <c r="G7" s="12" t="s">
        <v>1207</v>
      </c>
      <c r="H7" s="12" t="s">
        <v>1193</v>
      </c>
      <c r="I7" s="12" t="s">
        <v>1194</v>
      </c>
      <c r="J7" s="12" t="s">
        <v>1195</v>
      </c>
      <c r="K7" s="12" t="s">
        <v>1196</v>
      </c>
      <c r="L7" s="12" t="s">
        <v>1197</v>
      </c>
      <c r="M7" s="12">
        <v>119</v>
      </c>
      <c r="N7" s="12">
        <v>1</v>
      </c>
      <c r="O7" s="12" t="s">
        <v>307</v>
      </c>
      <c r="P7" s="12" t="s">
        <v>1198</v>
      </c>
      <c r="Q7" s="12" t="s">
        <v>1199</v>
      </c>
      <c r="R7" s="12" t="s">
        <v>361</v>
      </c>
      <c r="S7" s="12" t="s">
        <v>361</v>
      </c>
    </row>
    <row r="8" spans="1:19" x14ac:dyDescent="0.25">
      <c r="A8" s="12" t="s">
        <v>1209</v>
      </c>
      <c r="B8" s="12" t="s">
        <v>1094</v>
      </c>
      <c r="C8" s="12">
        <v>3</v>
      </c>
      <c r="D8" s="12" t="s">
        <v>1206</v>
      </c>
      <c r="E8" s="12" t="s">
        <v>1094</v>
      </c>
      <c r="F8" s="12">
        <v>3</v>
      </c>
      <c r="G8" s="12" t="s">
        <v>1207</v>
      </c>
      <c r="H8" s="12" t="s">
        <v>1193</v>
      </c>
      <c r="I8" s="12" t="s">
        <v>1194</v>
      </c>
      <c r="J8" s="12" t="s">
        <v>1195</v>
      </c>
      <c r="K8" s="12" t="s">
        <v>1196</v>
      </c>
      <c r="L8" s="12" t="s">
        <v>1197</v>
      </c>
      <c r="M8" s="12">
        <v>119</v>
      </c>
      <c r="N8" s="12">
        <v>1</v>
      </c>
      <c r="O8" s="12" t="s">
        <v>307</v>
      </c>
      <c r="P8" s="12" t="s">
        <v>1198</v>
      </c>
      <c r="Q8" s="12" t="s">
        <v>1199</v>
      </c>
      <c r="R8" s="12" t="s">
        <v>361</v>
      </c>
      <c r="S8" s="12" t="s">
        <v>361</v>
      </c>
    </row>
    <row r="9" spans="1:19" x14ac:dyDescent="0.25">
      <c r="A9" s="12" t="s">
        <v>1210</v>
      </c>
      <c r="B9" s="12" t="s">
        <v>1094</v>
      </c>
      <c r="C9" s="12">
        <v>3</v>
      </c>
      <c r="D9" s="12" t="s">
        <v>1206</v>
      </c>
      <c r="E9" s="12" t="s">
        <v>1094</v>
      </c>
      <c r="F9" s="12">
        <v>3</v>
      </c>
      <c r="G9" s="12" t="s">
        <v>1207</v>
      </c>
      <c r="H9" s="12" t="s">
        <v>1193</v>
      </c>
      <c r="I9" s="12" t="s">
        <v>1194</v>
      </c>
      <c r="J9" s="12" t="s">
        <v>1195</v>
      </c>
      <c r="K9" s="12" t="s">
        <v>1196</v>
      </c>
      <c r="L9" s="12" t="s">
        <v>1197</v>
      </c>
      <c r="M9" s="12">
        <v>119</v>
      </c>
      <c r="N9" s="12">
        <v>1</v>
      </c>
      <c r="O9" s="12" t="s">
        <v>307</v>
      </c>
      <c r="P9" s="12" t="s">
        <v>1198</v>
      </c>
      <c r="Q9" s="12" t="s">
        <v>1199</v>
      </c>
      <c r="R9" s="12" t="s">
        <v>361</v>
      </c>
      <c r="S9" s="12" t="s">
        <v>361</v>
      </c>
    </row>
    <row r="10" spans="1:19" x14ac:dyDescent="0.25">
      <c r="A10" s="12" t="s">
        <v>1211</v>
      </c>
      <c r="B10" s="12" t="s">
        <v>1094</v>
      </c>
      <c r="C10" s="12">
        <v>3</v>
      </c>
      <c r="D10" s="12" t="s">
        <v>1206</v>
      </c>
      <c r="E10" s="12" t="s">
        <v>1094</v>
      </c>
      <c r="F10" s="12">
        <v>3</v>
      </c>
      <c r="G10" s="12" t="s">
        <v>1207</v>
      </c>
      <c r="H10" s="12" t="s">
        <v>1193</v>
      </c>
      <c r="I10" s="12" t="s">
        <v>1194</v>
      </c>
      <c r="J10" s="12" t="s">
        <v>1195</v>
      </c>
      <c r="K10" s="12" t="s">
        <v>1196</v>
      </c>
      <c r="L10" s="12" t="s">
        <v>1197</v>
      </c>
      <c r="M10" s="12">
        <v>119</v>
      </c>
      <c r="N10" s="12">
        <v>1</v>
      </c>
      <c r="O10" s="12" t="s">
        <v>307</v>
      </c>
      <c r="P10" s="12" t="s">
        <v>1198</v>
      </c>
      <c r="Q10" s="12" t="s">
        <v>1199</v>
      </c>
      <c r="R10" s="12" t="s">
        <v>361</v>
      </c>
      <c r="S10" s="12" t="s">
        <v>361</v>
      </c>
    </row>
    <row r="11" spans="1:19" x14ac:dyDescent="0.25">
      <c r="A11" s="12" t="s">
        <v>1212</v>
      </c>
      <c r="B11" s="12" t="s">
        <v>1094</v>
      </c>
      <c r="C11" s="12">
        <v>3</v>
      </c>
      <c r="D11" s="12" t="s">
        <v>1206</v>
      </c>
      <c r="E11" s="12" t="s">
        <v>1094</v>
      </c>
      <c r="F11" s="12">
        <v>3</v>
      </c>
      <c r="G11" s="12" t="s">
        <v>1207</v>
      </c>
      <c r="H11" s="12" t="s">
        <v>1193</v>
      </c>
      <c r="I11" s="12" t="s">
        <v>1194</v>
      </c>
      <c r="J11" s="12" t="s">
        <v>1195</v>
      </c>
      <c r="K11" s="12" t="s">
        <v>1196</v>
      </c>
      <c r="L11" s="12" t="s">
        <v>1197</v>
      </c>
      <c r="M11" s="12">
        <v>119</v>
      </c>
      <c r="N11" s="12">
        <v>1</v>
      </c>
      <c r="O11" s="12" t="s">
        <v>307</v>
      </c>
      <c r="P11" s="12" t="s">
        <v>1198</v>
      </c>
      <c r="Q11" s="12" t="s">
        <v>1199</v>
      </c>
      <c r="R11" s="12" t="s">
        <v>361</v>
      </c>
      <c r="S11" s="12" t="s">
        <v>361</v>
      </c>
    </row>
    <row r="12" spans="1:19" x14ac:dyDescent="0.25">
      <c r="A12" s="12" t="s">
        <v>1213</v>
      </c>
      <c r="B12" s="12" t="s">
        <v>1094</v>
      </c>
      <c r="C12" s="12">
        <v>3</v>
      </c>
      <c r="D12" s="12" t="s">
        <v>1206</v>
      </c>
      <c r="E12" s="12" t="s">
        <v>1094</v>
      </c>
      <c r="F12" s="12">
        <v>3</v>
      </c>
      <c r="G12" s="12" t="s">
        <v>1207</v>
      </c>
      <c r="H12" s="12" t="s">
        <v>1193</v>
      </c>
      <c r="I12" s="12" t="s">
        <v>1194</v>
      </c>
      <c r="J12" s="12" t="s">
        <v>1195</v>
      </c>
      <c r="K12" s="12" t="s">
        <v>1196</v>
      </c>
      <c r="L12" s="12" t="s">
        <v>1197</v>
      </c>
      <c r="M12" s="12">
        <v>119</v>
      </c>
      <c r="N12" s="12">
        <v>1</v>
      </c>
      <c r="O12" s="12" t="s">
        <v>307</v>
      </c>
      <c r="P12" s="12" t="s">
        <v>1198</v>
      </c>
      <c r="Q12" s="12" t="s">
        <v>1199</v>
      </c>
      <c r="R12" s="12" t="s">
        <v>361</v>
      </c>
      <c r="S12" s="12" t="s">
        <v>361</v>
      </c>
    </row>
    <row r="13" spans="1:19" x14ac:dyDescent="0.25">
      <c r="A13" s="12" t="s">
        <v>1214</v>
      </c>
      <c r="B13" s="12" t="s">
        <v>1129</v>
      </c>
      <c r="C13" s="12">
        <v>4</v>
      </c>
      <c r="D13" s="12" t="s">
        <v>1215</v>
      </c>
      <c r="E13" s="12" t="s">
        <v>1129</v>
      </c>
      <c r="F13" s="12">
        <v>4</v>
      </c>
      <c r="G13" s="12" t="s">
        <v>1216</v>
      </c>
      <c r="H13" s="12" t="s">
        <v>1193</v>
      </c>
      <c r="I13" s="12" t="s">
        <v>1194</v>
      </c>
      <c r="J13" s="12" t="s">
        <v>1195</v>
      </c>
      <c r="K13" s="12" t="s">
        <v>1196</v>
      </c>
      <c r="L13" s="12" t="s">
        <v>1197</v>
      </c>
      <c r="M13" s="12">
        <v>17</v>
      </c>
      <c r="N13" s="12">
        <v>1</v>
      </c>
      <c r="O13" s="12" t="s">
        <v>307</v>
      </c>
      <c r="P13" s="12" t="s">
        <v>1198</v>
      </c>
      <c r="Q13" s="12" t="s">
        <v>1199</v>
      </c>
      <c r="R13" s="12" t="s">
        <v>361</v>
      </c>
      <c r="S13" s="12" t="s">
        <v>361</v>
      </c>
    </row>
    <row r="14" spans="1:19" x14ac:dyDescent="0.25">
      <c r="A14" s="12" t="s">
        <v>1217</v>
      </c>
      <c r="B14" s="12" t="s">
        <v>1129</v>
      </c>
      <c r="C14" s="12">
        <v>4</v>
      </c>
      <c r="D14" s="12" t="s">
        <v>1215</v>
      </c>
      <c r="E14" s="12" t="s">
        <v>1129</v>
      </c>
      <c r="F14" s="12">
        <v>4</v>
      </c>
      <c r="G14" s="12" t="s">
        <v>1216</v>
      </c>
      <c r="H14" s="12" t="s">
        <v>1193</v>
      </c>
      <c r="I14" s="12" t="s">
        <v>1194</v>
      </c>
      <c r="J14" s="12" t="s">
        <v>1195</v>
      </c>
      <c r="K14" s="12" t="s">
        <v>1196</v>
      </c>
      <c r="L14" s="12" t="s">
        <v>1197</v>
      </c>
      <c r="M14" s="12">
        <v>17</v>
      </c>
      <c r="N14" s="12">
        <v>1</v>
      </c>
      <c r="O14" s="12" t="s">
        <v>307</v>
      </c>
      <c r="P14" s="12" t="s">
        <v>1198</v>
      </c>
      <c r="Q14" s="12" t="s">
        <v>1199</v>
      </c>
      <c r="R14" s="12" t="s">
        <v>361</v>
      </c>
      <c r="S14" s="12" t="s">
        <v>361</v>
      </c>
    </row>
    <row r="15" spans="1:19" x14ac:dyDescent="0.25">
      <c r="A15" s="12" t="s">
        <v>1218</v>
      </c>
      <c r="B15" s="12" t="s">
        <v>1129</v>
      </c>
      <c r="C15" s="12">
        <v>4</v>
      </c>
      <c r="D15" s="12" t="s">
        <v>1215</v>
      </c>
      <c r="E15" s="12" t="s">
        <v>1129</v>
      </c>
      <c r="F15" s="12">
        <v>4</v>
      </c>
      <c r="G15" s="12" t="s">
        <v>1216</v>
      </c>
      <c r="H15" s="12" t="s">
        <v>1193</v>
      </c>
      <c r="I15" s="12" t="s">
        <v>1194</v>
      </c>
      <c r="J15" s="12" t="s">
        <v>1195</v>
      </c>
      <c r="K15" s="12" t="s">
        <v>1196</v>
      </c>
      <c r="L15" s="12" t="s">
        <v>1197</v>
      </c>
      <c r="M15" s="12">
        <v>17</v>
      </c>
      <c r="N15" s="12">
        <v>1</v>
      </c>
      <c r="O15" s="12" t="s">
        <v>307</v>
      </c>
      <c r="P15" s="12" t="s">
        <v>1198</v>
      </c>
      <c r="Q15" s="12" t="s">
        <v>1199</v>
      </c>
      <c r="R15" s="12" t="s">
        <v>361</v>
      </c>
      <c r="S15" s="12" t="s">
        <v>361</v>
      </c>
    </row>
    <row r="16" spans="1:19" x14ac:dyDescent="0.25">
      <c r="A16" s="12" t="s">
        <v>1219</v>
      </c>
      <c r="B16" s="12" t="s">
        <v>1129</v>
      </c>
      <c r="C16" s="12">
        <v>4</v>
      </c>
      <c r="D16" s="12" t="s">
        <v>1215</v>
      </c>
      <c r="E16" s="12" t="s">
        <v>1129</v>
      </c>
      <c r="F16" s="12">
        <v>4</v>
      </c>
      <c r="G16" s="12" t="s">
        <v>1216</v>
      </c>
      <c r="H16" s="12" t="s">
        <v>1193</v>
      </c>
      <c r="I16" s="12" t="s">
        <v>1194</v>
      </c>
      <c r="J16" s="12" t="s">
        <v>1195</v>
      </c>
      <c r="K16" s="12" t="s">
        <v>1196</v>
      </c>
      <c r="L16" s="12" t="s">
        <v>1197</v>
      </c>
      <c r="M16" s="12">
        <v>17</v>
      </c>
      <c r="N16" s="12">
        <v>1</v>
      </c>
      <c r="O16" s="12" t="s">
        <v>307</v>
      </c>
      <c r="P16" s="12" t="s">
        <v>1198</v>
      </c>
      <c r="Q16" s="12" t="s">
        <v>1199</v>
      </c>
      <c r="R16" s="12" t="s">
        <v>361</v>
      </c>
      <c r="S16" s="12" t="s">
        <v>361</v>
      </c>
    </row>
    <row r="17" spans="1:19" x14ac:dyDescent="0.25">
      <c r="A17" s="12" t="s">
        <v>1220</v>
      </c>
      <c r="B17" s="12" t="s">
        <v>1112</v>
      </c>
      <c r="C17" s="12">
        <v>5</v>
      </c>
      <c r="D17" s="12" t="s">
        <v>1221</v>
      </c>
      <c r="E17" s="12" t="s">
        <v>1112</v>
      </c>
      <c r="F17" s="12">
        <v>5</v>
      </c>
      <c r="G17" s="12" t="s">
        <v>1222</v>
      </c>
      <c r="H17" s="12" t="s">
        <v>1193</v>
      </c>
      <c r="I17" s="12" t="s">
        <v>1194</v>
      </c>
      <c r="J17" s="12" t="s">
        <v>1195</v>
      </c>
      <c r="K17" s="12" t="s">
        <v>1196</v>
      </c>
      <c r="L17" s="12" t="s">
        <v>1197</v>
      </c>
      <c r="M17" s="12">
        <v>14</v>
      </c>
      <c r="N17" s="12">
        <v>1</v>
      </c>
      <c r="O17" s="12" t="s">
        <v>307</v>
      </c>
      <c r="P17" s="12" t="s">
        <v>1198</v>
      </c>
      <c r="Q17" s="12" t="s">
        <v>1199</v>
      </c>
      <c r="R17" s="12" t="s">
        <v>361</v>
      </c>
      <c r="S17" s="12" t="s">
        <v>361</v>
      </c>
    </row>
    <row r="18" spans="1:19" x14ac:dyDescent="0.25">
      <c r="A18" s="12" t="s">
        <v>1223</v>
      </c>
      <c r="B18" s="12" t="s">
        <v>1082</v>
      </c>
      <c r="C18" s="12">
        <v>6</v>
      </c>
      <c r="D18" s="12" t="s">
        <v>1224</v>
      </c>
      <c r="E18" s="12" t="s">
        <v>1082</v>
      </c>
      <c r="F18" s="12">
        <v>6</v>
      </c>
      <c r="G18" s="12" t="s">
        <v>1225</v>
      </c>
      <c r="H18" s="12" t="s">
        <v>1193</v>
      </c>
      <c r="I18" s="12" t="s">
        <v>1194</v>
      </c>
      <c r="J18" s="12" t="s">
        <v>1195</v>
      </c>
      <c r="K18" s="12" t="s">
        <v>1196</v>
      </c>
      <c r="L18" s="12" t="s">
        <v>1197</v>
      </c>
      <c r="M18" s="12">
        <v>18</v>
      </c>
      <c r="N18" s="12">
        <v>1</v>
      </c>
      <c r="O18" s="12" t="s">
        <v>307</v>
      </c>
      <c r="P18" s="12" t="s">
        <v>1198</v>
      </c>
      <c r="Q18" s="12" t="s">
        <v>1199</v>
      </c>
      <c r="R18" s="12" t="s">
        <v>361</v>
      </c>
      <c r="S18" s="12" t="s">
        <v>361</v>
      </c>
    </row>
    <row r="19" spans="1:19" x14ac:dyDescent="0.25">
      <c r="A19" s="12" t="s">
        <v>1226</v>
      </c>
      <c r="B19" s="12" t="s">
        <v>1120</v>
      </c>
      <c r="C19" s="12">
        <v>7</v>
      </c>
      <c r="D19" s="12" t="s">
        <v>1227</v>
      </c>
      <c r="E19" s="12" t="s">
        <v>1120</v>
      </c>
      <c r="F19" s="12">
        <v>7</v>
      </c>
      <c r="G19" s="12" t="s">
        <v>1227</v>
      </c>
      <c r="H19" s="12" t="s">
        <v>1193</v>
      </c>
      <c r="I19" s="12" t="s">
        <v>1194</v>
      </c>
      <c r="J19" s="12" t="s">
        <v>1195</v>
      </c>
      <c r="K19" s="12" t="s">
        <v>1196</v>
      </c>
      <c r="L19" s="12" t="s">
        <v>1197</v>
      </c>
      <c r="M19" s="12">
        <v>192</v>
      </c>
      <c r="N19" s="12">
        <v>1</v>
      </c>
      <c r="O19" s="12" t="s">
        <v>307</v>
      </c>
      <c r="P19" s="12" t="s">
        <v>1198</v>
      </c>
      <c r="Q19" s="12" t="s">
        <v>1199</v>
      </c>
      <c r="R19" s="12" t="s">
        <v>361</v>
      </c>
      <c r="S19" s="12" t="s">
        <v>361</v>
      </c>
    </row>
    <row r="20" spans="1:19" x14ac:dyDescent="0.25">
      <c r="A20" s="12" t="s">
        <v>1228</v>
      </c>
      <c r="B20" s="12" t="s">
        <v>1106</v>
      </c>
      <c r="C20" s="12">
        <v>8</v>
      </c>
      <c r="D20" s="12" t="s">
        <v>1229</v>
      </c>
      <c r="E20" s="12" t="s">
        <v>1106</v>
      </c>
      <c r="F20" s="12">
        <v>8</v>
      </c>
      <c r="G20" s="12" t="s">
        <v>1230</v>
      </c>
      <c r="H20" s="12" t="s">
        <v>1193</v>
      </c>
      <c r="I20" s="12" t="s">
        <v>1194</v>
      </c>
      <c r="J20" s="12" t="s">
        <v>1195</v>
      </c>
      <c r="K20" s="12" t="s">
        <v>1196</v>
      </c>
      <c r="L20" s="12" t="s">
        <v>1197</v>
      </c>
      <c r="M20" s="12">
        <v>199</v>
      </c>
      <c r="N20" s="12">
        <v>1</v>
      </c>
      <c r="O20" s="12" t="s">
        <v>307</v>
      </c>
      <c r="P20" s="12" t="s">
        <v>1198</v>
      </c>
      <c r="Q20" s="12" t="s">
        <v>1199</v>
      </c>
      <c r="R20" s="12" t="s">
        <v>361</v>
      </c>
      <c r="S20" s="12" t="s">
        <v>361</v>
      </c>
    </row>
    <row r="21" spans="1:19" x14ac:dyDescent="0.25">
      <c r="A21" s="12" t="s">
        <v>1231</v>
      </c>
      <c r="B21" s="12" t="s">
        <v>1106</v>
      </c>
      <c r="C21" s="12">
        <v>8</v>
      </c>
      <c r="D21" s="12" t="s">
        <v>1229</v>
      </c>
      <c r="E21" s="12" t="s">
        <v>1106</v>
      </c>
      <c r="F21" s="12">
        <v>8</v>
      </c>
      <c r="G21" s="12" t="s">
        <v>1230</v>
      </c>
      <c r="H21" s="12" t="s">
        <v>1193</v>
      </c>
      <c r="I21" s="12" t="s">
        <v>1194</v>
      </c>
      <c r="J21" s="12" t="s">
        <v>1195</v>
      </c>
      <c r="K21" s="12" t="s">
        <v>1196</v>
      </c>
      <c r="L21" s="12" t="s">
        <v>1197</v>
      </c>
      <c r="M21" s="12">
        <v>199</v>
      </c>
      <c r="N21" s="12">
        <v>1</v>
      </c>
      <c r="O21" s="12" t="s">
        <v>307</v>
      </c>
      <c r="P21" s="12" t="s">
        <v>1198</v>
      </c>
      <c r="Q21" s="12" t="s">
        <v>1199</v>
      </c>
      <c r="R21" s="12" t="s">
        <v>361</v>
      </c>
      <c r="S21" s="12" t="s">
        <v>361</v>
      </c>
    </row>
    <row r="22" spans="1:19" x14ac:dyDescent="0.25">
      <c r="A22" s="12" t="s">
        <v>1232</v>
      </c>
      <c r="B22" s="12" t="s">
        <v>1106</v>
      </c>
      <c r="C22" s="12">
        <v>8</v>
      </c>
      <c r="D22" s="12" t="s">
        <v>1229</v>
      </c>
      <c r="E22" s="12" t="s">
        <v>1106</v>
      </c>
      <c r="F22" s="12">
        <v>8</v>
      </c>
      <c r="G22" s="12" t="s">
        <v>1230</v>
      </c>
      <c r="H22" s="12" t="s">
        <v>1193</v>
      </c>
      <c r="I22" s="12" t="s">
        <v>1194</v>
      </c>
      <c r="J22" s="12" t="s">
        <v>1195</v>
      </c>
      <c r="K22" s="12" t="s">
        <v>1196</v>
      </c>
      <c r="L22" s="12" t="s">
        <v>1197</v>
      </c>
      <c r="M22" s="12">
        <v>199</v>
      </c>
      <c r="N22" s="12">
        <v>1</v>
      </c>
      <c r="O22" s="12" t="s">
        <v>307</v>
      </c>
      <c r="P22" s="12" t="s">
        <v>1198</v>
      </c>
      <c r="Q22" s="12" t="s">
        <v>1199</v>
      </c>
      <c r="R22" s="12" t="s">
        <v>361</v>
      </c>
      <c r="S22" s="12" t="s">
        <v>361</v>
      </c>
    </row>
    <row r="23" spans="1:19" x14ac:dyDescent="0.25">
      <c r="A23" s="12" t="s">
        <v>1233</v>
      </c>
      <c r="B23" s="12" t="s">
        <v>1106</v>
      </c>
      <c r="C23" s="12">
        <v>8</v>
      </c>
      <c r="D23" s="12" t="s">
        <v>1229</v>
      </c>
      <c r="E23" s="12" t="s">
        <v>1106</v>
      </c>
      <c r="F23" s="12">
        <v>8</v>
      </c>
      <c r="G23" s="12" t="s">
        <v>1230</v>
      </c>
      <c r="H23" s="12" t="s">
        <v>1193</v>
      </c>
      <c r="I23" s="12" t="s">
        <v>1194</v>
      </c>
      <c r="J23" s="12" t="s">
        <v>1195</v>
      </c>
      <c r="K23" s="12" t="s">
        <v>1196</v>
      </c>
      <c r="L23" s="12" t="s">
        <v>1197</v>
      </c>
      <c r="M23" s="12">
        <v>199</v>
      </c>
      <c r="N23" s="12">
        <v>1</v>
      </c>
      <c r="O23" s="12" t="s">
        <v>307</v>
      </c>
      <c r="P23" s="12" t="s">
        <v>1198</v>
      </c>
      <c r="Q23" s="12" t="s">
        <v>1199</v>
      </c>
      <c r="R23" s="12" t="s">
        <v>361</v>
      </c>
      <c r="S23" s="12" t="s">
        <v>361</v>
      </c>
    </row>
    <row r="24" spans="1:19" x14ac:dyDescent="0.25">
      <c r="A24" s="12" t="s">
        <v>1234</v>
      </c>
      <c r="B24" s="12" t="s">
        <v>1106</v>
      </c>
      <c r="C24" s="12">
        <v>8</v>
      </c>
      <c r="D24" s="12" t="s">
        <v>1229</v>
      </c>
      <c r="E24" s="12" t="s">
        <v>1106</v>
      </c>
      <c r="F24" s="12">
        <v>8</v>
      </c>
      <c r="G24" s="12" t="s">
        <v>1230</v>
      </c>
      <c r="H24" s="12" t="s">
        <v>1193</v>
      </c>
      <c r="I24" s="12" t="s">
        <v>1194</v>
      </c>
      <c r="J24" s="12" t="s">
        <v>1195</v>
      </c>
      <c r="K24" s="12" t="s">
        <v>1196</v>
      </c>
      <c r="L24" s="12" t="s">
        <v>1197</v>
      </c>
      <c r="M24" s="12">
        <v>199</v>
      </c>
      <c r="N24" s="12">
        <v>1</v>
      </c>
      <c r="O24" s="12" t="s">
        <v>307</v>
      </c>
      <c r="P24" s="12" t="s">
        <v>1198</v>
      </c>
      <c r="Q24" s="12" t="s">
        <v>1199</v>
      </c>
      <c r="R24" s="12" t="s">
        <v>361</v>
      </c>
      <c r="S24" s="12" t="s">
        <v>361</v>
      </c>
    </row>
    <row r="25" spans="1:19" x14ac:dyDescent="0.25">
      <c r="A25" s="12" t="s">
        <v>1235</v>
      </c>
      <c r="B25" s="12" t="s">
        <v>1106</v>
      </c>
      <c r="C25" s="12">
        <v>8</v>
      </c>
      <c r="D25" s="12" t="s">
        <v>1229</v>
      </c>
      <c r="E25" s="12" t="s">
        <v>1106</v>
      </c>
      <c r="F25" s="12">
        <v>8</v>
      </c>
      <c r="G25" s="12" t="s">
        <v>1230</v>
      </c>
      <c r="H25" s="12" t="s">
        <v>1193</v>
      </c>
      <c r="I25" s="12" t="s">
        <v>1194</v>
      </c>
      <c r="J25" s="12" t="s">
        <v>1195</v>
      </c>
      <c r="K25" s="12" t="s">
        <v>1196</v>
      </c>
      <c r="L25" s="12" t="s">
        <v>1197</v>
      </c>
      <c r="M25" s="12">
        <v>199</v>
      </c>
      <c r="N25" s="12">
        <v>1</v>
      </c>
      <c r="O25" s="12" t="s">
        <v>307</v>
      </c>
      <c r="P25" s="12" t="s">
        <v>1198</v>
      </c>
      <c r="Q25" s="12" t="s">
        <v>1199</v>
      </c>
      <c r="R25" s="12" t="s">
        <v>361</v>
      </c>
      <c r="S25" s="12" t="s">
        <v>361</v>
      </c>
    </row>
    <row r="26" spans="1:19" x14ac:dyDescent="0.25">
      <c r="A26" s="12" t="s">
        <v>1236</v>
      </c>
      <c r="B26" s="12" t="s">
        <v>1106</v>
      </c>
      <c r="C26" s="12">
        <v>8</v>
      </c>
      <c r="D26" s="12" t="s">
        <v>1229</v>
      </c>
      <c r="E26" s="12" t="s">
        <v>1106</v>
      </c>
      <c r="F26" s="12">
        <v>8</v>
      </c>
      <c r="G26" s="12" t="s">
        <v>1230</v>
      </c>
      <c r="H26" s="12" t="s">
        <v>1193</v>
      </c>
      <c r="I26" s="12" t="s">
        <v>1194</v>
      </c>
      <c r="J26" s="12" t="s">
        <v>1195</v>
      </c>
      <c r="K26" s="12" t="s">
        <v>1196</v>
      </c>
      <c r="L26" s="12" t="s">
        <v>1197</v>
      </c>
      <c r="M26" s="12">
        <v>199</v>
      </c>
      <c r="N26" s="12">
        <v>1</v>
      </c>
      <c r="O26" s="12" t="s">
        <v>307</v>
      </c>
      <c r="P26" s="12" t="s">
        <v>1198</v>
      </c>
      <c r="Q26" s="12" t="s">
        <v>1199</v>
      </c>
      <c r="R26" s="12" t="s">
        <v>361</v>
      </c>
      <c r="S26" s="12" t="s">
        <v>361</v>
      </c>
    </row>
    <row r="27" spans="1:19" x14ac:dyDescent="0.25">
      <c r="A27" s="12" t="s">
        <v>1237</v>
      </c>
      <c r="B27" s="12" t="s">
        <v>1106</v>
      </c>
      <c r="C27" s="12">
        <v>8</v>
      </c>
      <c r="D27" s="12" t="s">
        <v>1229</v>
      </c>
      <c r="E27" s="12" t="s">
        <v>1106</v>
      </c>
      <c r="F27" s="12">
        <v>8</v>
      </c>
      <c r="G27" s="12" t="s">
        <v>1230</v>
      </c>
      <c r="H27" s="12" t="s">
        <v>1193</v>
      </c>
      <c r="I27" s="12" t="s">
        <v>1194</v>
      </c>
      <c r="J27" s="12" t="s">
        <v>1195</v>
      </c>
      <c r="K27" s="12" t="s">
        <v>1196</v>
      </c>
      <c r="L27" s="12" t="s">
        <v>1197</v>
      </c>
      <c r="M27" s="12">
        <v>199</v>
      </c>
      <c r="N27" s="12">
        <v>1</v>
      </c>
      <c r="O27" s="12" t="s">
        <v>307</v>
      </c>
      <c r="P27" s="12" t="s">
        <v>1198</v>
      </c>
      <c r="Q27" s="12" t="s">
        <v>1199</v>
      </c>
      <c r="R27" s="12" t="s">
        <v>361</v>
      </c>
      <c r="S27" s="12" t="s">
        <v>361</v>
      </c>
    </row>
    <row r="28" spans="1:19" x14ac:dyDescent="0.25">
      <c r="A28" s="12" t="s">
        <v>1238</v>
      </c>
      <c r="B28" s="12" t="s">
        <v>1087</v>
      </c>
      <c r="C28" s="12">
        <v>9</v>
      </c>
      <c r="D28" s="12" t="s">
        <v>1239</v>
      </c>
      <c r="E28" s="12" t="s">
        <v>1087</v>
      </c>
      <c r="F28" s="12">
        <v>9</v>
      </c>
      <c r="G28" s="12" t="s">
        <v>1240</v>
      </c>
      <c r="H28" s="12" t="s">
        <v>1193</v>
      </c>
      <c r="I28" s="12" t="s">
        <v>1194</v>
      </c>
      <c r="J28" s="12" t="s">
        <v>1195</v>
      </c>
      <c r="K28" s="12" t="s">
        <v>1196</v>
      </c>
      <c r="L28" s="12" t="s">
        <v>1197</v>
      </c>
      <c r="M28" s="12">
        <v>2411</v>
      </c>
      <c r="N28" s="12">
        <v>1</v>
      </c>
      <c r="O28" s="12" t="s">
        <v>307</v>
      </c>
      <c r="P28" s="12" t="s">
        <v>1198</v>
      </c>
      <c r="Q28" s="12" t="s">
        <v>1199</v>
      </c>
      <c r="R28" s="12" t="s">
        <v>361</v>
      </c>
      <c r="S28" s="12" t="s">
        <v>361</v>
      </c>
    </row>
    <row r="29" spans="1:19" x14ac:dyDescent="0.25">
      <c r="A29" s="12" t="s">
        <v>1241</v>
      </c>
      <c r="B29" s="12" t="s">
        <v>1087</v>
      </c>
      <c r="C29" s="12">
        <v>9</v>
      </c>
      <c r="D29" s="12" t="s">
        <v>1239</v>
      </c>
      <c r="E29" s="12" t="s">
        <v>1087</v>
      </c>
      <c r="F29" s="12">
        <v>9</v>
      </c>
      <c r="G29" s="12" t="s">
        <v>1240</v>
      </c>
      <c r="H29" s="12" t="s">
        <v>1193</v>
      </c>
      <c r="I29" s="12" t="s">
        <v>1194</v>
      </c>
      <c r="J29" s="12" t="s">
        <v>1195</v>
      </c>
      <c r="K29" s="12" t="s">
        <v>1196</v>
      </c>
      <c r="L29" s="12" t="s">
        <v>1197</v>
      </c>
      <c r="M29" s="12">
        <v>2411</v>
      </c>
      <c r="N29" s="12">
        <v>1</v>
      </c>
      <c r="O29" s="12" t="s">
        <v>307</v>
      </c>
      <c r="P29" s="12" t="s">
        <v>1198</v>
      </c>
      <c r="Q29" s="12" t="s">
        <v>1199</v>
      </c>
      <c r="R29" s="12" t="s">
        <v>361</v>
      </c>
      <c r="S29" s="12" t="s">
        <v>361</v>
      </c>
    </row>
    <row r="30" spans="1:19" x14ac:dyDescent="0.25">
      <c r="A30" s="12" t="s">
        <v>1242</v>
      </c>
      <c r="B30" s="12" t="s">
        <v>1087</v>
      </c>
      <c r="C30" s="12">
        <v>9</v>
      </c>
      <c r="D30" s="12" t="s">
        <v>1239</v>
      </c>
      <c r="E30" s="12" t="s">
        <v>1087</v>
      </c>
      <c r="F30" s="12">
        <v>9</v>
      </c>
      <c r="G30" s="12" t="s">
        <v>1240</v>
      </c>
      <c r="H30" s="12" t="s">
        <v>1193</v>
      </c>
      <c r="I30" s="12" t="s">
        <v>1194</v>
      </c>
      <c r="J30" s="12" t="s">
        <v>1195</v>
      </c>
      <c r="K30" s="12" t="s">
        <v>1196</v>
      </c>
      <c r="L30" s="12" t="s">
        <v>1197</v>
      </c>
      <c r="M30" s="12">
        <v>2411</v>
      </c>
      <c r="N30" s="12">
        <v>1</v>
      </c>
      <c r="O30" s="12" t="s">
        <v>307</v>
      </c>
      <c r="P30" s="12" t="s">
        <v>1198</v>
      </c>
      <c r="Q30" s="12" t="s">
        <v>1199</v>
      </c>
      <c r="R30" s="12" t="s">
        <v>361</v>
      </c>
      <c r="S30" s="12" t="s">
        <v>361</v>
      </c>
    </row>
    <row r="31" spans="1:19" x14ac:dyDescent="0.25">
      <c r="A31" s="12" t="s">
        <v>1243</v>
      </c>
      <c r="B31" s="12" t="s">
        <v>1087</v>
      </c>
      <c r="C31" s="12">
        <v>9</v>
      </c>
      <c r="D31" s="12" t="s">
        <v>1239</v>
      </c>
      <c r="E31" s="12" t="s">
        <v>1087</v>
      </c>
      <c r="F31" s="12">
        <v>9</v>
      </c>
      <c r="G31" s="12" t="s">
        <v>1240</v>
      </c>
      <c r="H31" s="12" t="s">
        <v>1193</v>
      </c>
      <c r="I31" s="12" t="s">
        <v>1194</v>
      </c>
      <c r="J31" s="12" t="s">
        <v>1195</v>
      </c>
      <c r="K31" s="12" t="s">
        <v>1196</v>
      </c>
      <c r="L31" s="12" t="s">
        <v>1197</v>
      </c>
      <c r="M31" s="12">
        <v>2411</v>
      </c>
      <c r="N31" s="12">
        <v>1</v>
      </c>
      <c r="O31" s="12" t="s">
        <v>307</v>
      </c>
      <c r="P31" s="12" t="s">
        <v>1198</v>
      </c>
      <c r="Q31" s="12" t="s">
        <v>1199</v>
      </c>
      <c r="R31" s="12" t="s">
        <v>361</v>
      </c>
      <c r="S31" s="12" t="s">
        <v>361</v>
      </c>
    </row>
    <row r="32" spans="1:19" x14ac:dyDescent="0.25">
      <c r="A32" s="12" t="s">
        <v>1244</v>
      </c>
      <c r="B32" s="12" t="s">
        <v>1104</v>
      </c>
      <c r="C32" s="12">
        <v>10</v>
      </c>
      <c r="D32" s="12" t="s">
        <v>1245</v>
      </c>
      <c r="E32" s="12" t="s">
        <v>1104</v>
      </c>
      <c r="F32" s="12">
        <v>10</v>
      </c>
      <c r="G32" s="12" t="s">
        <v>1246</v>
      </c>
      <c r="H32" s="12" t="s">
        <v>1193</v>
      </c>
      <c r="I32" s="12" t="s">
        <v>1194</v>
      </c>
      <c r="J32" s="12" t="s">
        <v>1195</v>
      </c>
      <c r="K32" s="12" t="s">
        <v>1196</v>
      </c>
      <c r="L32" s="12" t="s">
        <v>1197</v>
      </c>
      <c r="M32" s="12">
        <v>2419</v>
      </c>
      <c r="N32" s="12">
        <v>1</v>
      </c>
      <c r="O32" s="12" t="s">
        <v>307</v>
      </c>
      <c r="P32" s="12" t="s">
        <v>1198</v>
      </c>
      <c r="Q32" s="12" t="s">
        <v>1199</v>
      </c>
      <c r="R32" s="12" t="s">
        <v>361</v>
      </c>
      <c r="S32" s="12" t="s">
        <v>361</v>
      </c>
    </row>
    <row r="33" spans="1:19" x14ac:dyDescent="0.25">
      <c r="A33" s="12" t="s">
        <v>1247</v>
      </c>
      <c r="B33" s="12" t="s">
        <v>1104</v>
      </c>
      <c r="C33" s="12">
        <v>10</v>
      </c>
      <c r="D33" s="12" t="s">
        <v>1245</v>
      </c>
      <c r="E33" s="12" t="s">
        <v>1104</v>
      </c>
      <c r="F33" s="12">
        <v>10</v>
      </c>
      <c r="G33" s="12" t="s">
        <v>1246</v>
      </c>
      <c r="H33" s="12" t="s">
        <v>1193</v>
      </c>
      <c r="I33" s="12" t="s">
        <v>1194</v>
      </c>
      <c r="J33" s="12" t="s">
        <v>1195</v>
      </c>
      <c r="K33" s="12" t="s">
        <v>1196</v>
      </c>
      <c r="L33" s="12" t="s">
        <v>1197</v>
      </c>
      <c r="M33" s="12">
        <v>2419</v>
      </c>
      <c r="N33" s="12">
        <v>1</v>
      </c>
      <c r="O33" s="12" t="s">
        <v>307</v>
      </c>
      <c r="P33" s="12" t="s">
        <v>1198</v>
      </c>
      <c r="Q33" s="12" t="s">
        <v>1199</v>
      </c>
      <c r="R33" s="12" t="s">
        <v>361</v>
      </c>
      <c r="S33" s="12" t="s">
        <v>361</v>
      </c>
    </row>
    <row r="34" spans="1:19" x14ac:dyDescent="0.25">
      <c r="A34" s="12" t="s">
        <v>1248</v>
      </c>
      <c r="B34" s="12" t="s">
        <v>1104</v>
      </c>
      <c r="C34" s="12">
        <v>10</v>
      </c>
      <c r="D34" s="12" t="s">
        <v>1245</v>
      </c>
      <c r="E34" s="12" t="s">
        <v>1104</v>
      </c>
      <c r="F34" s="12">
        <v>10</v>
      </c>
      <c r="G34" s="12" t="s">
        <v>1246</v>
      </c>
      <c r="H34" s="12" t="s">
        <v>1193</v>
      </c>
      <c r="I34" s="12" t="s">
        <v>1194</v>
      </c>
      <c r="J34" s="12" t="s">
        <v>1195</v>
      </c>
      <c r="K34" s="12" t="s">
        <v>1196</v>
      </c>
      <c r="L34" s="12" t="s">
        <v>1197</v>
      </c>
      <c r="M34" s="12">
        <v>2419</v>
      </c>
      <c r="N34" s="12">
        <v>1</v>
      </c>
      <c r="O34" s="12" t="s">
        <v>307</v>
      </c>
      <c r="P34" s="12" t="s">
        <v>1198</v>
      </c>
      <c r="Q34" s="12" t="s">
        <v>1199</v>
      </c>
      <c r="R34" s="12" t="s">
        <v>361</v>
      </c>
      <c r="S34" s="12" t="s">
        <v>361</v>
      </c>
    </row>
    <row r="35" spans="1:19" x14ac:dyDescent="0.25">
      <c r="A35" s="12" t="s">
        <v>1249</v>
      </c>
      <c r="B35" s="12" t="s">
        <v>1104</v>
      </c>
      <c r="C35" s="12">
        <v>10</v>
      </c>
      <c r="D35" s="12" t="s">
        <v>1245</v>
      </c>
      <c r="E35" s="12" t="s">
        <v>1104</v>
      </c>
      <c r="F35" s="12">
        <v>10</v>
      </c>
      <c r="G35" s="12" t="s">
        <v>1246</v>
      </c>
      <c r="H35" s="12" t="s">
        <v>1193</v>
      </c>
      <c r="I35" s="12" t="s">
        <v>1194</v>
      </c>
      <c r="J35" s="12" t="s">
        <v>1195</v>
      </c>
      <c r="K35" s="12" t="s">
        <v>1196</v>
      </c>
      <c r="L35" s="12" t="s">
        <v>1197</v>
      </c>
      <c r="M35" s="12">
        <v>2419</v>
      </c>
      <c r="N35" s="12">
        <v>1</v>
      </c>
      <c r="O35" s="12" t="s">
        <v>307</v>
      </c>
      <c r="P35" s="12" t="s">
        <v>1198</v>
      </c>
      <c r="Q35" s="12" t="s">
        <v>1199</v>
      </c>
      <c r="R35" s="12" t="s">
        <v>361</v>
      </c>
      <c r="S35" s="12" t="s">
        <v>361</v>
      </c>
    </row>
    <row r="36" spans="1:19" x14ac:dyDescent="0.25">
      <c r="A36" s="12" t="s">
        <v>1250</v>
      </c>
      <c r="B36" s="12" t="s">
        <v>1104</v>
      </c>
      <c r="C36" s="12">
        <v>10</v>
      </c>
      <c r="D36" s="12" t="s">
        <v>1245</v>
      </c>
      <c r="E36" s="12" t="s">
        <v>1104</v>
      </c>
      <c r="F36" s="12">
        <v>10</v>
      </c>
      <c r="G36" s="12" t="s">
        <v>1246</v>
      </c>
      <c r="H36" s="12" t="s">
        <v>1193</v>
      </c>
      <c r="I36" s="12" t="s">
        <v>1194</v>
      </c>
      <c r="J36" s="12" t="s">
        <v>1195</v>
      </c>
      <c r="K36" s="12" t="s">
        <v>1196</v>
      </c>
      <c r="L36" s="12" t="s">
        <v>1197</v>
      </c>
      <c r="M36" s="12">
        <v>2419</v>
      </c>
      <c r="N36" s="12">
        <v>1</v>
      </c>
      <c r="O36" s="12" t="s">
        <v>307</v>
      </c>
      <c r="P36" s="12" t="s">
        <v>1198</v>
      </c>
      <c r="Q36" s="12" t="s">
        <v>1199</v>
      </c>
      <c r="R36" s="12" t="s">
        <v>361</v>
      </c>
      <c r="S36" s="12" t="s">
        <v>361</v>
      </c>
    </row>
    <row r="37" spans="1:19" x14ac:dyDescent="0.25">
      <c r="A37" s="12" t="s">
        <v>1251</v>
      </c>
      <c r="B37" s="12" t="s">
        <v>1104</v>
      </c>
      <c r="C37" s="12">
        <v>10</v>
      </c>
      <c r="D37" s="12" t="s">
        <v>1245</v>
      </c>
      <c r="E37" s="12" t="s">
        <v>1104</v>
      </c>
      <c r="F37" s="12">
        <v>10</v>
      </c>
      <c r="G37" s="12" t="s">
        <v>1246</v>
      </c>
      <c r="H37" s="12" t="s">
        <v>1193</v>
      </c>
      <c r="I37" s="12" t="s">
        <v>1194</v>
      </c>
      <c r="J37" s="12" t="s">
        <v>1195</v>
      </c>
      <c r="K37" s="12" t="s">
        <v>1196</v>
      </c>
      <c r="L37" s="12" t="s">
        <v>1197</v>
      </c>
      <c r="M37" s="12">
        <v>2419</v>
      </c>
      <c r="N37" s="12">
        <v>1</v>
      </c>
      <c r="O37" s="12" t="s">
        <v>307</v>
      </c>
      <c r="P37" s="12" t="s">
        <v>1198</v>
      </c>
      <c r="Q37" s="12" t="s">
        <v>1199</v>
      </c>
      <c r="R37" s="12" t="s">
        <v>361</v>
      </c>
      <c r="S37" s="12" t="s">
        <v>361</v>
      </c>
    </row>
    <row r="38" spans="1:19" x14ac:dyDescent="0.25">
      <c r="A38" s="12" t="s">
        <v>1252</v>
      </c>
      <c r="B38" s="12" t="s">
        <v>1104</v>
      </c>
      <c r="C38" s="12">
        <v>10</v>
      </c>
      <c r="D38" s="12" t="s">
        <v>1245</v>
      </c>
      <c r="E38" s="12" t="s">
        <v>1104</v>
      </c>
      <c r="F38" s="12">
        <v>10</v>
      </c>
      <c r="G38" s="12" t="s">
        <v>1246</v>
      </c>
      <c r="H38" s="12" t="s">
        <v>1193</v>
      </c>
      <c r="I38" s="12" t="s">
        <v>1194</v>
      </c>
      <c r="J38" s="12" t="s">
        <v>1195</v>
      </c>
      <c r="K38" s="12" t="s">
        <v>1196</v>
      </c>
      <c r="L38" s="12" t="s">
        <v>1197</v>
      </c>
      <c r="M38" s="12">
        <v>2419</v>
      </c>
      <c r="N38" s="12">
        <v>1</v>
      </c>
      <c r="O38" s="12" t="s">
        <v>307</v>
      </c>
      <c r="P38" s="12" t="s">
        <v>1198</v>
      </c>
      <c r="Q38" s="12" t="s">
        <v>1199</v>
      </c>
      <c r="R38" s="12" t="s">
        <v>361</v>
      </c>
      <c r="S38" s="12" t="s">
        <v>361</v>
      </c>
    </row>
    <row r="39" spans="1:19" x14ac:dyDescent="0.25">
      <c r="A39" s="12" t="s">
        <v>1253</v>
      </c>
      <c r="B39" s="12" t="s">
        <v>1104</v>
      </c>
      <c r="C39" s="12">
        <v>10</v>
      </c>
      <c r="D39" s="12" t="s">
        <v>1245</v>
      </c>
      <c r="E39" s="12" t="s">
        <v>1104</v>
      </c>
      <c r="F39" s="12">
        <v>10</v>
      </c>
      <c r="G39" s="12" t="s">
        <v>1246</v>
      </c>
      <c r="H39" s="12" t="s">
        <v>1193</v>
      </c>
      <c r="I39" s="12" t="s">
        <v>1194</v>
      </c>
      <c r="J39" s="12" t="s">
        <v>1195</v>
      </c>
      <c r="K39" s="12" t="s">
        <v>1196</v>
      </c>
      <c r="L39" s="12" t="s">
        <v>1197</v>
      </c>
      <c r="M39" s="12">
        <v>2419</v>
      </c>
      <c r="N39" s="12">
        <v>1</v>
      </c>
      <c r="O39" s="12" t="s">
        <v>307</v>
      </c>
      <c r="P39" s="12" t="s">
        <v>1198</v>
      </c>
      <c r="Q39" s="12" t="s">
        <v>1199</v>
      </c>
      <c r="R39" s="12" t="s">
        <v>361</v>
      </c>
      <c r="S39" s="12" t="s">
        <v>361</v>
      </c>
    </row>
    <row r="40" spans="1:19" x14ac:dyDescent="0.25">
      <c r="A40" s="12" t="s">
        <v>1254</v>
      </c>
      <c r="B40" s="12" t="s">
        <v>1104</v>
      </c>
      <c r="C40" s="12">
        <v>10</v>
      </c>
      <c r="D40" s="12" t="s">
        <v>1245</v>
      </c>
      <c r="E40" s="12" t="s">
        <v>1104</v>
      </c>
      <c r="F40" s="12">
        <v>10</v>
      </c>
      <c r="G40" s="12" t="s">
        <v>1246</v>
      </c>
      <c r="H40" s="12" t="s">
        <v>1193</v>
      </c>
      <c r="I40" s="12" t="s">
        <v>1194</v>
      </c>
      <c r="J40" s="12" t="s">
        <v>1195</v>
      </c>
      <c r="K40" s="12" t="s">
        <v>1196</v>
      </c>
      <c r="L40" s="12" t="s">
        <v>1197</v>
      </c>
      <c r="M40" s="12">
        <v>2419</v>
      </c>
      <c r="N40" s="12">
        <v>1</v>
      </c>
      <c r="O40" s="12" t="s">
        <v>307</v>
      </c>
      <c r="P40" s="12" t="s">
        <v>1198</v>
      </c>
      <c r="Q40" s="12" t="s">
        <v>1199</v>
      </c>
      <c r="R40" s="12" t="s">
        <v>361</v>
      </c>
      <c r="S40" s="12" t="s">
        <v>361</v>
      </c>
    </row>
    <row r="41" spans="1:19" x14ac:dyDescent="0.25">
      <c r="A41" s="12" t="s">
        <v>1255</v>
      </c>
      <c r="B41" s="12" t="s">
        <v>1104</v>
      </c>
      <c r="C41" s="12">
        <v>10</v>
      </c>
      <c r="D41" s="12" t="s">
        <v>1245</v>
      </c>
      <c r="E41" s="12" t="s">
        <v>1104</v>
      </c>
      <c r="F41" s="12">
        <v>10</v>
      </c>
      <c r="G41" s="12" t="s">
        <v>1246</v>
      </c>
      <c r="H41" s="12" t="s">
        <v>1193</v>
      </c>
      <c r="I41" s="12" t="s">
        <v>1194</v>
      </c>
      <c r="J41" s="12" t="s">
        <v>1195</v>
      </c>
      <c r="K41" s="12" t="s">
        <v>1196</v>
      </c>
      <c r="L41" s="12" t="s">
        <v>1197</v>
      </c>
      <c r="M41" s="12">
        <v>2419</v>
      </c>
      <c r="N41" s="12">
        <v>1</v>
      </c>
      <c r="O41" s="12" t="s">
        <v>307</v>
      </c>
      <c r="P41" s="12" t="s">
        <v>1198</v>
      </c>
      <c r="Q41" s="12" t="s">
        <v>1199</v>
      </c>
      <c r="R41" s="12" t="s">
        <v>361</v>
      </c>
      <c r="S41" s="12" t="s">
        <v>361</v>
      </c>
    </row>
    <row r="42" spans="1:19" x14ac:dyDescent="0.25">
      <c r="A42" s="12" t="s">
        <v>1256</v>
      </c>
      <c r="B42" s="12" t="s">
        <v>1122</v>
      </c>
      <c r="C42" s="12">
        <v>11</v>
      </c>
      <c r="D42" s="12" t="s">
        <v>1256</v>
      </c>
      <c r="E42" s="12" t="s">
        <v>1122</v>
      </c>
      <c r="F42" s="12">
        <v>11</v>
      </c>
      <c r="G42" s="12" t="s">
        <v>1256</v>
      </c>
      <c r="H42" s="12" t="s">
        <v>1193</v>
      </c>
      <c r="I42" s="12" t="s">
        <v>1194</v>
      </c>
      <c r="J42" s="12" t="s">
        <v>1195</v>
      </c>
      <c r="K42" s="12" t="s">
        <v>1196</v>
      </c>
      <c r="L42" s="12" t="s">
        <v>1197</v>
      </c>
      <c r="M42" s="12">
        <v>22</v>
      </c>
      <c r="N42" s="12">
        <v>1</v>
      </c>
      <c r="O42" s="12" t="s">
        <v>307</v>
      </c>
      <c r="P42" s="12" t="s">
        <v>1198</v>
      </c>
      <c r="Q42" s="12" t="s">
        <v>1199</v>
      </c>
      <c r="R42" s="12" t="s">
        <v>361</v>
      </c>
      <c r="S42" s="12" t="s">
        <v>361</v>
      </c>
    </row>
    <row r="43" spans="1:19" x14ac:dyDescent="0.25">
      <c r="A43" s="12" t="s">
        <v>1257</v>
      </c>
      <c r="B43" s="12" t="s">
        <v>1092</v>
      </c>
      <c r="C43" s="12">
        <v>13</v>
      </c>
      <c r="D43" s="12" t="s">
        <v>1258</v>
      </c>
      <c r="E43" s="12" t="s">
        <v>1092</v>
      </c>
      <c r="F43" s="12">
        <v>13</v>
      </c>
      <c r="G43" s="12" t="s">
        <v>1259</v>
      </c>
      <c r="H43" s="12" t="s">
        <v>1260</v>
      </c>
      <c r="I43" s="12" t="s">
        <v>1261</v>
      </c>
      <c r="J43" s="12" t="s">
        <v>1262</v>
      </c>
      <c r="K43" s="12" t="s">
        <v>1196</v>
      </c>
      <c r="L43" s="12" t="s">
        <v>1197</v>
      </c>
      <c r="M43" s="12">
        <v>22</v>
      </c>
      <c r="N43" s="12">
        <v>1</v>
      </c>
      <c r="O43" s="12" t="s">
        <v>307</v>
      </c>
      <c r="P43" s="12" t="s">
        <v>1198</v>
      </c>
      <c r="Q43" s="12" t="s">
        <v>1199</v>
      </c>
      <c r="R43" s="12" t="s">
        <v>1200</v>
      </c>
      <c r="S43" s="12" t="s">
        <v>1200</v>
      </c>
    </row>
    <row r="44" spans="1:19" x14ac:dyDescent="0.25">
      <c r="A44" s="12" t="s">
        <v>1263</v>
      </c>
      <c r="B44" s="12" t="s">
        <v>1083</v>
      </c>
      <c r="C44" s="12">
        <v>33</v>
      </c>
      <c r="D44" s="12" t="s">
        <v>1263</v>
      </c>
      <c r="E44" s="12" t="s">
        <v>1083</v>
      </c>
      <c r="F44" s="12">
        <v>33</v>
      </c>
      <c r="G44" s="12" t="s">
        <v>352</v>
      </c>
      <c r="H44" s="12" t="s">
        <v>1264</v>
      </c>
      <c r="I44" s="12" t="s">
        <v>1265</v>
      </c>
      <c r="J44" s="12" t="s">
        <v>1266</v>
      </c>
      <c r="K44" s="12" t="s">
        <v>1267</v>
      </c>
      <c r="L44" s="12" t="s">
        <v>1268</v>
      </c>
      <c r="M44" s="12">
        <v>20</v>
      </c>
      <c r="N44" s="12">
        <v>20</v>
      </c>
      <c r="O44" s="12" t="s">
        <v>309</v>
      </c>
      <c r="P44" s="12" t="s">
        <v>1198</v>
      </c>
      <c r="Q44" s="12" t="s">
        <v>1269</v>
      </c>
      <c r="R44" s="12" t="s">
        <v>1270</v>
      </c>
      <c r="S44" s="12" t="s">
        <v>353</v>
      </c>
    </row>
    <row r="45" spans="1:19" x14ac:dyDescent="0.25">
      <c r="A45" s="12" t="s">
        <v>1271</v>
      </c>
      <c r="B45" s="12" t="s">
        <v>1081</v>
      </c>
      <c r="C45" s="12">
        <v>34</v>
      </c>
      <c r="D45" s="12" t="s">
        <v>1271</v>
      </c>
      <c r="E45" s="12" t="s">
        <v>1081</v>
      </c>
      <c r="F45" s="12">
        <v>34</v>
      </c>
      <c r="G45" s="12" t="s">
        <v>370</v>
      </c>
      <c r="H45" s="12" t="s">
        <v>1272</v>
      </c>
      <c r="I45" s="12" t="s">
        <v>1273</v>
      </c>
      <c r="J45" s="12" t="s">
        <v>1266</v>
      </c>
      <c r="K45" s="12" t="s">
        <v>1267</v>
      </c>
      <c r="L45" s="12" t="s">
        <v>1268</v>
      </c>
      <c r="M45" s="12">
        <v>21</v>
      </c>
      <c r="N45" s="12">
        <v>21</v>
      </c>
      <c r="O45" s="12" t="s">
        <v>309</v>
      </c>
      <c r="P45" s="12" t="s">
        <v>1198</v>
      </c>
      <c r="Q45" s="12" t="s">
        <v>1269</v>
      </c>
      <c r="R45" s="12" t="s">
        <v>1274</v>
      </c>
      <c r="S45" s="12" t="s">
        <v>371</v>
      </c>
    </row>
    <row r="46" spans="1:19" x14ac:dyDescent="0.25">
      <c r="A46" s="12" t="s">
        <v>1275</v>
      </c>
      <c r="B46" s="12" t="s">
        <v>1084</v>
      </c>
      <c r="C46" s="12">
        <v>56</v>
      </c>
      <c r="D46" s="12" t="s">
        <v>1276</v>
      </c>
      <c r="E46" s="12" t="s">
        <v>1084</v>
      </c>
      <c r="F46" s="12">
        <v>56</v>
      </c>
      <c r="G46" s="12" t="s">
        <v>1277</v>
      </c>
      <c r="H46" s="12" t="s">
        <v>1278</v>
      </c>
      <c r="I46" s="12" t="s">
        <v>1279</v>
      </c>
      <c r="J46" s="12" t="s">
        <v>1280</v>
      </c>
      <c r="K46" s="12" t="s">
        <v>1281</v>
      </c>
      <c r="L46" s="12" t="s">
        <v>1282</v>
      </c>
      <c r="M46" s="12">
        <v>63</v>
      </c>
      <c r="N46" s="12">
        <v>63</v>
      </c>
      <c r="O46" s="12" t="s">
        <v>308</v>
      </c>
      <c r="P46" s="12" t="s">
        <v>1198</v>
      </c>
      <c r="Q46" s="12" t="s">
        <v>1283</v>
      </c>
      <c r="R46" s="12" t="s">
        <v>1284</v>
      </c>
      <c r="S46" s="12" t="s">
        <v>357</v>
      </c>
    </row>
    <row r="47" spans="1:19" x14ac:dyDescent="0.25">
      <c r="A47" s="12" t="s">
        <v>1285</v>
      </c>
      <c r="B47" s="12" t="s">
        <v>1084</v>
      </c>
      <c r="C47" s="12">
        <v>56</v>
      </c>
      <c r="D47" s="12" t="s">
        <v>1276</v>
      </c>
      <c r="E47" s="12" t="s">
        <v>1084</v>
      </c>
      <c r="F47" s="12">
        <v>56</v>
      </c>
      <c r="G47" s="12" t="s">
        <v>1277</v>
      </c>
      <c r="H47" s="12" t="s">
        <v>1278</v>
      </c>
      <c r="I47" s="12" t="s">
        <v>1279</v>
      </c>
      <c r="J47" s="12" t="s">
        <v>1280</v>
      </c>
      <c r="K47" s="12" t="s">
        <v>1281</v>
      </c>
      <c r="L47" s="12" t="s">
        <v>1282</v>
      </c>
      <c r="M47" s="12">
        <v>63</v>
      </c>
      <c r="N47" s="12">
        <v>63</v>
      </c>
      <c r="O47" s="12" t="s">
        <v>308</v>
      </c>
      <c r="P47" s="12" t="s">
        <v>1198</v>
      </c>
      <c r="Q47" s="12" t="s">
        <v>1283</v>
      </c>
      <c r="R47" s="12" t="s">
        <v>1284</v>
      </c>
      <c r="S47" s="12" t="s">
        <v>357</v>
      </c>
    </row>
    <row r="48" spans="1:19" x14ac:dyDescent="0.25">
      <c r="A48" s="12" t="s">
        <v>1286</v>
      </c>
      <c r="B48" s="12" t="s">
        <v>1084</v>
      </c>
      <c r="C48" s="12">
        <v>56</v>
      </c>
      <c r="D48" s="12" t="s">
        <v>1276</v>
      </c>
      <c r="E48" s="12" t="s">
        <v>1084</v>
      </c>
      <c r="F48" s="12">
        <v>56</v>
      </c>
      <c r="G48" s="12" t="s">
        <v>1277</v>
      </c>
      <c r="H48" s="12" t="s">
        <v>1278</v>
      </c>
      <c r="I48" s="12" t="s">
        <v>1279</v>
      </c>
      <c r="J48" s="12" t="s">
        <v>1280</v>
      </c>
      <c r="K48" s="12" t="s">
        <v>1281</v>
      </c>
      <c r="L48" s="12" t="s">
        <v>1282</v>
      </c>
      <c r="M48" s="12">
        <v>63</v>
      </c>
      <c r="N48" s="12">
        <v>63</v>
      </c>
      <c r="O48" s="12" t="s">
        <v>308</v>
      </c>
      <c r="P48" s="12" t="s">
        <v>1198</v>
      </c>
      <c r="Q48" s="12" t="s">
        <v>1283</v>
      </c>
      <c r="R48" s="12" t="s">
        <v>1284</v>
      </c>
      <c r="S48" s="12" t="s">
        <v>357</v>
      </c>
    </row>
    <row r="49" spans="1:19" x14ac:dyDescent="0.25">
      <c r="A49" s="12" t="s">
        <v>1287</v>
      </c>
      <c r="B49" s="12" t="s">
        <v>1084</v>
      </c>
      <c r="C49" s="12">
        <v>56</v>
      </c>
      <c r="D49" s="12" t="s">
        <v>1276</v>
      </c>
      <c r="E49" s="12" t="s">
        <v>1084</v>
      </c>
      <c r="F49" s="12">
        <v>56</v>
      </c>
      <c r="G49" s="12" t="s">
        <v>1277</v>
      </c>
      <c r="H49" s="12" t="s">
        <v>1288</v>
      </c>
      <c r="I49" s="12" t="s">
        <v>1289</v>
      </c>
      <c r="J49" s="12" t="s">
        <v>1280</v>
      </c>
      <c r="K49" s="12" t="s">
        <v>1281</v>
      </c>
      <c r="L49" s="12" t="s">
        <v>1282</v>
      </c>
      <c r="M49" s="12">
        <v>63</v>
      </c>
      <c r="N49" s="12">
        <v>63</v>
      </c>
      <c r="O49" s="12" t="s">
        <v>308</v>
      </c>
      <c r="P49" s="12" t="s">
        <v>1198</v>
      </c>
      <c r="Q49" s="12" t="s">
        <v>1283</v>
      </c>
      <c r="R49" s="12" t="s">
        <v>1284</v>
      </c>
      <c r="S49" s="12" t="s">
        <v>357</v>
      </c>
    </row>
    <row r="50" spans="1:19" x14ac:dyDescent="0.25">
      <c r="A50" s="12" t="s">
        <v>1290</v>
      </c>
      <c r="B50" s="12" t="s">
        <v>1084</v>
      </c>
      <c r="C50" s="12">
        <v>56</v>
      </c>
      <c r="D50" s="12" t="s">
        <v>1276</v>
      </c>
      <c r="E50" s="12" t="s">
        <v>1084</v>
      </c>
      <c r="F50" s="12">
        <v>56</v>
      </c>
      <c r="G50" s="12" t="s">
        <v>1277</v>
      </c>
      <c r="H50" s="12" t="s">
        <v>1290</v>
      </c>
      <c r="I50" s="12" t="s">
        <v>1291</v>
      </c>
      <c r="J50" s="12" t="s">
        <v>1280</v>
      </c>
      <c r="K50" s="12" t="s">
        <v>1281</v>
      </c>
      <c r="L50" s="12" t="s">
        <v>1282</v>
      </c>
      <c r="M50" s="12">
        <v>63</v>
      </c>
      <c r="N50" s="12">
        <v>63</v>
      </c>
      <c r="O50" s="12" t="s">
        <v>308</v>
      </c>
      <c r="P50" s="12" t="s">
        <v>1198</v>
      </c>
      <c r="Q50" s="12" t="s">
        <v>1283</v>
      </c>
      <c r="R50" s="12" t="s">
        <v>1284</v>
      </c>
      <c r="S50" s="12" t="s">
        <v>357</v>
      </c>
    </row>
    <row r="51" spans="1:19" x14ac:dyDescent="0.25">
      <c r="A51" s="12" t="s">
        <v>1292</v>
      </c>
      <c r="B51" s="12" t="s">
        <v>1084</v>
      </c>
      <c r="C51" s="12">
        <v>56</v>
      </c>
      <c r="D51" s="12" t="s">
        <v>1276</v>
      </c>
      <c r="E51" s="12" t="s">
        <v>1084</v>
      </c>
      <c r="F51" s="12">
        <v>56</v>
      </c>
      <c r="G51" s="12" t="s">
        <v>1277</v>
      </c>
      <c r="H51" s="12" t="s">
        <v>1292</v>
      </c>
      <c r="I51" s="12" t="s">
        <v>1293</v>
      </c>
      <c r="J51" s="12" t="s">
        <v>1280</v>
      </c>
      <c r="K51" s="12" t="s">
        <v>1281</v>
      </c>
      <c r="L51" s="12" t="s">
        <v>1282</v>
      </c>
      <c r="M51" s="12">
        <v>63</v>
      </c>
      <c r="N51" s="12">
        <v>63</v>
      </c>
      <c r="O51" s="12" t="s">
        <v>308</v>
      </c>
      <c r="P51" s="12" t="s">
        <v>1198</v>
      </c>
      <c r="Q51" s="12" t="s">
        <v>1283</v>
      </c>
      <c r="R51" s="12" t="s">
        <v>1284</v>
      </c>
      <c r="S51" s="12" t="s">
        <v>357</v>
      </c>
    </row>
    <row r="52" spans="1:19" x14ac:dyDescent="0.25">
      <c r="A52" s="12" t="s">
        <v>1294</v>
      </c>
      <c r="B52" s="12" t="s">
        <v>1084</v>
      </c>
      <c r="C52" s="12">
        <v>56</v>
      </c>
      <c r="D52" s="12" t="s">
        <v>1276</v>
      </c>
      <c r="E52" s="12" t="s">
        <v>1084</v>
      </c>
      <c r="F52" s="12">
        <v>56</v>
      </c>
      <c r="G52" s="12" t="s">
        <v>1277</v>
      </c>
      <c r="H52" s="12" t="s">
        <v>1294</v>
      </c>
      <c r="I52" s="12" t="s">
        <v>1295</v>
      </c>
      <c r="J52" s="12" t="s">
        <v>1280</v>
      </c>
      <c r="K52" s="12" t="s">
        <v>1281</v>
      </c>
      <c r="L52" s="12" t="s">
        <v>1282</v>
      </c>
      <c r="M52" s="12">
        <v>63</v>
      </c>
      <c r="N52" s="12">
        <v>63</v>
      </c>
      <c r="O52" s="12" t="s">
        <v>308</v>
      </c>
      <c r="P52" s="12" t="s">
        <v>1198</v>
      </c>
      <c r="Q52" s="12" t="s">
        <v>1283</v>
      </c>
      <c r="R52" s="12" t="s">
        <v>1284</v>
      </c>
      <c r="S52" s="12" t="s">
        <v>357</v>
      </c>
    </row>
    <row r="53" spans="1:19" x14ac:dyDescent="0.25">
      <c r="A53" s="12" t="s">
        <v>1296</v>
      </c>
      <c r="B53" s="12" t="s">
        <v>1110</v>
      </c>
      <c r="C53" s="12">
        <v>45</v>
      </c>
      <c r="D53" s="12" t="s">
        <v>1297</v>
      </c>
      <c r="E53" s="12" t="s">
        <v>1110</v>
      </c>
      <c r="F53" s="12">
        <v>45</v>
      </c>
      <c r="G53" s="12" t="s">
        <v>1298</v>
      </c>
      <c r="H53" s="12" t="s">
        <v>1296</v>
      </c>
      <c r="I53" s="12" t="s">
        <v>1299</v>
      </c>
      <c r="J53" s="12" t="s">
        <v>1300</v>
      </c>
      <c r="K53" s="12" t="s">
        <v>1281</v>
      </c>
      <c r="L53" s="12" t="s">
        <v>1282</v>
      </c>
      <c r="M53" s="12">
        <v>33</v>
      </c>
      <c r="N53" s="12">
        <v>33</v>
      </c>
      <c r="O53" s="12" t="s">
        <v>308</v>
      </c>
      <c r="P53" s="12" t="s">
        <v>1198</v>
      </c>
      <c r="Q53" s="12" t="s">
        <v>1283</v>
      </c>
      <c r="R53" s="12" t="s">
        <v>1301</v>
      </c>
      <c r="S53" s="12" t="s">
        <v>365</v>
      </c>
    </row>
    <row r="54" spans="1:19" x14ac:dyDescent="0.25">
      <c r="A54" s="12" t="s">
        <v>1302</v>
      </c>
      <c r="B54" s="12" t="s">
        <v>1125</v>
      </c>
      <c r="C54" s="12">
        <v>59</v>
      </c>
      <c r="D54" s="12" t="s">
        <v>1302</v>
      </c>
      <c r="E54" s="12" t="s">
        <v>1125</v>
      </c>
      <c r="F54" s="12">
        <v>59</v>
      </c>
      <c r="G54" s="12" t="s">
        <v>1302</v>
      </c>
      <c r="H54" s="12" t="s">
        <v>1302</v>
      </c>
      <c r="I54" s="12" t="s">
        <v>1303</v>
      </c>
      <c r="J54" s="12" t="s">
        <v>1304</v>
      </c>
      <c r="K54" s="12" t="s">
        <v>1281</v>
      </c>
      <c r="L54" s="12" t="s">
        <v>1282</v>
      </c>
      <c r="M54" s="12">
        <v>662</v>
      </c>
      <c r="N54" s="12">
        <v>662</v>
      </c>
      <c r="O54" s="12" t="s">
        <v>308</v>
      </c>
      <c r="P54" s="12" t="s">
        <v>1198</v>
      </c>
      <c r="Q54" s="12" t="s">
        <v>1283</v>
      </c>
      <c r="R54" s="12" t="s">
        <v>1305</v>
      </c>
      <c r="S54" s="12" t="s">
        <v>367</v>
      </c>
    </row>
    <row r="55" spans="1:19" x14ac:dyDescent="0.25">
      <c r="A55" s="12" t="s">
        <v>1306</v>
      </c>
      <c r="B55" s="12" t="s">
        <v>1132</v>
      </c>
      <c r="C55" s="12">
        <v>55</v>
      </c>
      <c r="D55" s="12" t="s">
        <v>1307</v>
      </c>
      <c r="E55" s="12" t="s">
        <v>1132</v>
      </c>
      <c r="F55" s="12">
        <v>55</v>
      </c>
      <c r="G55" s="12" t="s">
        <v>1308</v>
      </c>
      <c r="H55" s="12" t="s">
        <v>1306</v>
      </c>
      <c r="I55" s="12" t="s">
        <v>1309</v>
      </c>
      <c r="J55" s="12" t="s">
        <v>1304</v>
      </c>
      <c r="K55" s="12" t="s">
        <v>1281</v>
      </c>
      <c r="L55" s="12" t="s">
        <v>1282</v>
      </c>
      <c r="M55" s="12">
        <v>52</v>
      </c>
      <c r="N55" s="12">
        <v>52</v>
      </c>
      <c r="O55" s="12" t="s">
        <v>308</v>
      </c>
      <c r="P55" s="12" t="s">
        <v>1198</v>
      </c>
      <c r="Q55" s="12" t="s">
        <v>1283</v>
      </c>
      <c r="R55" s="12" t="s">
        <v>1310</v>
      </c>
      <c r="S55" s="12" t="s">
        <v>377</v>
      </c>
    </row>
    <row r="56" spans="1:19" x14ac:dyDescent="0.25">
      <c r="A56" s="12" t="s">
        <v>1311</v>
      </c>
      <c r="B56" s="12" t="s">
        <v>1108</v>
      </c>
      <c r="C56" s="12">
        <v>57</v>
      </c>
      <c r="D56" s="12" t="s">
        <v>1312</v>
      </c>
      <c r="E56" s="12" t="s">
        <v>1108</v>
      </c>
      <c r="F56" s="12">
        <v>57</v>
      </c>
      <c r="G56" s="12" t="s">
        <v>1313</v>
      </c>
      <c r="H56" s="12" t="s">
        <v>1314</v>
      </c>
      <c r="I56" s="12" t="s">
        <v>1315</v>
      </c>
      <c r="J56" s="12" t="s">
        <v>1304</v>
      </c>
      <c r="K56" s="12" t="s">
        <v>1281</v>
      </c>
      <c r="L56" s="12" t="s">
        <v>1282</v>
      </c>
      <c r="M56" s="12">
        <v>663</v>
      </c>
      <c r="N56" s="12">
        <v>663</v>
      </c>
      <c r="O56" s="12" t="s">
        <v>308</v>
      </c>
      <c r="P56" s="12" t="s">
        <v>1198</v>
      </c>
      <c r="Q56" s="12" t="s">
        <v>1283</v>
      </c>
      <c r="R56" s="12" t="s">
        <v>1305</v>
      </c>
      <c r="S56" s="12" t="s">
        <v>367</v>
      </c>
    </row>
    <row r="57" spans="1:19" x14ac:dyDescent="0.25">
      <c r="A57" s="12" t="s">
        <v>1316</v>
      </c>
      <c r="B57" s="12" t="s">
        <v>1108</v>
      </c>
      <c r="C57" s="12">
        <v>57</v>
      </c>
      <c r="D57" s="12" t="s">
        <v>1312</v>
      </c>
      <c r="E57" s="12" t="s">
        <v>1108</v>
      </c>
      <c r="F57" s="12">
        <v>57</v>
      </c>
      <c r="G57" s="12" t="s">
        <v>1313</v>
      </c>
      <c r="H57" s="12" t="s">
        <v>1316</v>
      </c>
      <c r="I57" s="12" t="s">
        <v>1317</v>
      </c>
      <c r="J57" s="12" t="s">
        <v>1304</v>
      </c>
      <c r="K57" s="12" t="s">
        <v>1281</v>
      </c>
      <c r="L57" s="12" t="s">
        <v>1282</v>
      </c>
      <c r="M57" s="12">
        <v>663</v>
      </c>
      <c r="N57" s="12">
        <v>663</v>
      </c>
      <c r="O57" s="12" t="s">
        <v>308</v>
      </c>
      <c r="P57" s="12" t="s">
        <v>1198</v>
      </c>
      <c r="Q57" s="12" t="s">
        <v>1283</v>
      </c>
      <c r="R57" s="12" t="s">
        <v>1305</v>
      </c>
      <c r="S57" s="12" t="s">
        <v>367</v>
      </c>
    </row>
    <row r="58" spans="1:19" x14ac:dyDescent="0.25">
      <c r="A58" s="12" t="s">
        <v>1318</v>
      </c>
      <c r="B58" s="12" t="s">
        <v>1108</v>
      </c>
      <c r="C58" s="12">
        <v>57</v>
      </c>
      <c r="D58" s="12" t="s">
        <v>1312</v>
      </c>
      <c r="E58" s="12" t="s">
        <v>1108</v>
      </c>
      <c r="F58" s="12">
        <v>57</v>
      </c>
      <c r="G58" s="12" t="s">
        <v>1313</v>
      </c>
      <c r="H58" s="12" t="s">
        <v>1319</v>
      </c>
      <c r="I58" s="12" t="s">
        <v>1320</v>
      </c>
      <c r="J58" s="12" t="s">
        <v>1304</v>
      </c>
      <c r="K58" s="12" t="s">
        <v>1281</v>
      </c>
      <c r="L58" s="12" t="s">
        <v>1282</v>
      </c>
      <c r="M58" s="12">
        <v>663</v>
      </c>
      <c r="N58" s="12">
        <v>663</v>
      </c>
      <c r="O58" s="12" t="s">
        <v>308</v>
      </c>
      <c r="P58" s="12" t="s">
        <v>1198</v>
      </c>
      <c r="Q58" s="12" t="s">
        <v>1283</v>
      </c>
      <c r="R58" s="12" t="s">
        <v>1305</v>
      </c>
      <c r="S58" s="12" t="s">
        <v>367</v>
      </c>
    </row>
    <row r="59" spans="1:19" x14ac:dyDescent="0.25">
      <c r="A59" s="12" t="s">
        <v>1314</v>
      </c>
      <c r="B59" s="12" t="s">
        <v>1097</v>
      </c>
      <c r="C59" s="12">
        <v>58</v>
      </c>
      <c r="D59" s="12" t="s">
        <v>1321</v>
      </c>
      <c r="E59" s="12" t="s">
        <v>1097</v>
      </c>
      <c r="F59" s="12">
        <v>58</v>
      </c>
      <c r="G59" s="12" t="s">
        <v>1322</v>
      </c>
      <c r="H59" s="12" t="s">
        <v>1314</v>
      </c>
      <c r="I59" s="12" t="s">
        <v>1315</v>
      </c>
      <c r="J59" s="12" t="s">
        <v>1304</v>
      </c>
      <c r="K59" s="12" t="s">
        <v>1281</v>
      </c>
      <c r="L59" s="12" t="s">
        <v>1282</v>
      </c>
      <c r="M59" s="12">
        <v>662</v>
      </c>
      <c r="N59" s="12">
        <v>662</v>
      </c>
      <c r="O59" s="12" t="s">
        <v>308</v>
      </c>
      <c r="P59" s="12" t="s">
        <v>1198</v>
      </c>
      <c r="Q59" s="12" t="s">
        <v>1283</v>
      </c>
      <c r="R59" s="12" t="s">
        <v>1305</v>
      </c>
      <c r="S59" s="12" t="s">
        <v>367</v>
      </c>
    </row>
    <row r="60" spans="1:19" x14ac:dyDescent="0.25">
      <c r="A60" s="12" t="s">
        <v>1323</v>
      </c>
      <c r="B60" s="12" t="s">
        <v>1097</v>
      </c>
      <c r="C60" s="12">
        <v>58</v>
      </c>
      <c r="D60" s="12" t="s">
        <v>1321</v>
      </c>
      <c r="E60" s="12" t="s">
        <v>1097</v>
      </c>
      <c r="F60" s="12">
        <v>58</v>
      </c>
      <c r="G60" s="12" t="s">
        <v>1322</v>
      </c>
      <c r="H60" s="12" t="s">
        <v>1319</v>
      </c>
      <c r="I60" s="12" t="s">
        <v>1320</v>
      </c>
      <c r="J60" s="12" t="s">
        <v>1304</v>
      </c>
      <c r="K60" s="12" t="s">
        <v>1281</v>
      </c>
      <c r="L60" s="12" t="s">
        <v>1282</v>
      </c>
      <c r="M60" s="12">
        <v>662</v>
      </c>
      <c r="N60" s="12">
        <v>662</v>
      </c>
      <c r="O60" s="12" t="s">
        <v>308</v>
      </c>
      <c r="P60" s="12" t="s">
        <v>1198</v>
      </c>
      <c r="Q60" s="12" t="s">
        <v>1283</v>
      </c>
      <c r="R60" s="12" t="s">
        <v>1305</v>
      </c>
      <c r="S60" s="12" t="s">
        <v>367</v>
      </c>
    </row>
    <row r="61" spans="1:19" x14ac:dyDescent="0.25">
      <c r="A61" s="12" t="s">
        <v>1324</v>
      </c>
      <c r="B61" s="12" t="s">
        <v>1105</v>
      </c>
      <c r="C61" s="12">
        <v>60</v>
      </c>
      <c r="D61" s="12" t="s">
        <v>1325</v>
      </c>
      <c r="E61" s="12" t="s">
        <v>1105</v>
      </c>
      <c r="F61" s="12">
        <v>60</v>
      </c>
      <c r="G61" s="12" t="s">
        <v>1326</v>
      </c>
      <c r="H61" s="12" t="s">
        <v>1327</v>
      </c>
      <c r="I61" s="12" t="s">
        <v>1328</v>
      </c>
      <c r="J61" s="12" t="s">
        <v>1304</v>
      </c>
      <c r="K61" s="12" t="s">
        <v>1281</v>
      </c>
      <c r="L61" s="12" t="s">
        <v>1282</v>
      </c>
      <c r="M61" s="12" t="s">
        <v>1329</v>
      </c>
      <c r="N61" s="12" t="s">
        <v>1330</v>
      </c>
      <c r="O61" s="12" t="s">
        <v>308</v>
      </c>
      <c r="P61" s="12" t="s">
        <v>1198</v>
      </c>
      <c r="Q61" s="12" t="s">
        <v>1283</v>
      </c>
      <c r="R61" s="12" t="s">
        <v>1305</v>
      </c>
      <c r="S61" s="12" t="s">
        <v>367</v>
      </c>
    </row>
    <row r="62" spans="1:19" x14ac:dyDescent="0.25">
      <c r="A62" s="12" t="s">
        <v>1331</v>
      </c>
      <c r="B62" s="12" t="s">
        <v>1113</v>
      </c>
      <c r="C62" s="12">
        <v>62</v>
      </c>
      <c r="D62" s="12" t="s">
        <v>1332</v>
      </c>
      <c r="E62" s="12" t="s">
        <v>1113</v>
      </c>
      <c r="F62" s="12">
        <v>62</v>
      </c>
      <c r="G62" s="12" t="s">
        <v>1333</v>
      </c>
      <c r="H62" s="12" t="s">
        <v>1331</v>
      </c>
      <c r="I62" s="12" t="s">
        <v>1334</v>
      </c>
      <c r="J62" s="12" t="s">
        <v>1335</v>
      </c>
      <c r="K62" s="12" t="s">
        <v>1281</v>
      </c>
      <c r="L62" s="12" t="s">
        <v>1282</v>
      </c>
      <c r="M62" s="12">
        <v>99</v>
      </c>
      <c r="N62" s="12">
        <v>99</v>
      </c>
      <c r="O62" s="12" t="s">
        <v>308</v>
      </c>
      <c r="P62" s="12" t="s">
        <v>1198</v>
      </c>
      <c r="Q62" s="12" t="s">
        <v>1283</v>
      </c>
      <c r="R62" s="12" t="s">
        <v>1305</v>
      </c>
      <c r="S62" s="12" t="s">
        <v>367</v>
      </c>
    </row>
    <row r="63" spans="1:19" x14ac:dyDescent="0.25">
      <c r="A63" s="12" t="s">
        <v>1336</v>
      </c>
      <c r="B63" s="12" t="s">
        <v>1078</v>
      </c>
      <c r="C63" s="12">
        <v>51</v>
      </c>
      <c r="D63" s="12" t="s">
        <v>1337</v>
      </c>
      <c r="E63" s="12" t="s">
        <v>1078</v>
      </c>
      <c r="F63" s="12">
        <v>51</v>
      </c>
      <c r="G63" s="12" t="s">
        <v>1338</v>
      </c>
      <c r="H63" s="12" t="s">
        <v>1339</v>
      </c>
      <c r="I63" s="12" t="s">
        <v>1340</v>
      </c>
      <c r="J63" s="12" t="s">
        <v>1341</v>
      </c>
      <c r="K63" s="12" t="s">
        <v>1281</v>
      </c>
      <c r="L63" s="12" t="s">
        <v>1282</v>
      </c>
      <c r="M63" s="12">
        <v>56</v>
      </c>
      <c r="N63" s="12">
        <v>56</v>
      </c>
      <c r="O63" s="12" t="s">
        <v>308</v>
      </c>
      <c r="P63" s="12" t="s">
        <v>1198</v>
      </c>
      <c r="Q63" s="12" t="s">
        <v>1283</v>
      </c>
      <c r="R63" s="12" t="s">
        <v>1342</v>
      </c>
      <c r="S63" s="12" t="s">
        <v>373</v>
      </c>
    </row>
    <row r="64" spans="1:19" x14ac:dyDescent="0.25">
      <c r="A64" s="12" t="s">
        <v>1343</v>
      </c>
      <c r="B64" s="12" t="s">
        <v>1078</v>
      </c>
      <c r="C64" s="12">
        <v>51</v>
      </c>
      <c r="D64" s="12" t="s">
        <v>1337</v>
      </c>
      <c r="E64" s="12" t="s">
        <v>1078</v>
      </c>
      <c r="F64" s="12">
        <v>51</v>
      </c>
      <c r="G64" s="12" t="s">
        <v>1338</v>
      </c>
      <c r="H64" s="12" t="s">
        <v>1339</v>
      </c>
      <c r="I64" s="12" t="s">
        <v>1340</v>
      </c>
      <c r="J64" s="12" t="s">
        <v>1341</v>
      </c>
      <c r="K64" s="12" t="s">
        <v>1281</v>
      </c>
      <c r="L64" s="12" t="s">
        <v>1282</v>
      </c>
      <c r="M64" s="12">
        <v>56</v>
      </c>
      <c r="N64" s="12">
        <v>56</v>
      </c>
      <c r="O64" s="12" t="s">
        <v>308</v>
      </c>
      <c r="P64" s="12" t="s">
        <v>1198</v>
      </c>
      <c r="Q64" s="12" t="s">
        <v>1283</v>
      </c>
      <c r="R64" s="12" t="s">
        <v>1342</v>
      </c>
      <c r="S64" s="12" t="s">
        <v>373</v>
      </c>
    </row>
    <row r="65" spans="1:19" x14ac:dyDescent="0.25">
      <c r="A65" s="12" t="s">
        <v>1344</v>
      </c>
      <c r="B65" s="12" t="s">
        <v>1128</v>
      </c>
      <c r="C65" s="12">
        <v>50</v>
      </c>
      <c r="D65" s="12" t="s">
        <v>1345</v>
      </c>
      <c r="E65" s="12" t="s">
        <v>1128</v>
      </c>
      <c r="F65" s="12">
        <v>50</v>
      </c>
      <c r="G65" s="12" t="s">
        <v>1346</v>
      </c>
      <c r="H65" s="12" t="s">
        <v>1344</v>
      </c>
      <c r="I65" s="12" t="s">
        <v>1347</v>
      </c>
      <c r="J65" s="12" t="s">
        <v>1348</v>
      </c>
      <c r="K65" s="12" t="s">
        <v>1281</v>
      </c>
      <c r="L65" s="12" t="s">
        <v>1282</v>
      </c>
      <c r="M65" s="12">
        <v>47</v>
      </c>
      <c r="N65" s="12">
        <v>47</v>
      </c>
      <c r="O65" s="12" t="s">
        <v>308</v>
      </c>
      <c r="P65" s="12" t="s">
        <v>1198</v>
      </c>
      <c r="Q65" s="12" t="s">
        <v>1283</v>
      </c>
      <c r="R65" s="12" t="s">
        <v>1349</v>
      </c>
      <c r="S65" s="12" t="s">
        <v>375</v>
      </c>
    </row>
    <row r="66" spans="1:19" x14ac:dyDescent="0.25">
      <c r="A66" s="12" t="s">
        <v>1350</v>
      </c>
      <c r="B66" s="12" t="s">
        <v>1128</v>
      </c>
      <c r="C66" s="12">
        <v>50</v>
      </c>
      <c r="D66" s="12" t="s">
        <v>1345</v>
      </c>
      <c r="E66" s="12" t="s">
        <v>1128</v>
      </c>
      <c r="F66" s="12">
        <v>50</v>
      </c>
      <c r="G66" s="12" t="s">
        <v>1346</v>
      </c>
      <c r="H66" s="12" t="s">
        <v>1350</v>
      </c>
      <c r="I66" s="12" t="s">
        <v>1351</v>
      </c>
      <c r="J66" s="12" t="s">
        <v>1352</v>
      </c>
      <c r="K66" s="12" t="s">
        <v>1281</v>
      </c>
      <c r="L66" s="12" t="s">
        <v>1282</v>
      </c>
      <c r="M66" s="12">
        <v>47</v>
      </c>
      <c r="N66" s="12">
        <v>47</v>
      </c>
      <c r="O66" s="12" t="s">
        <v>308</v>
      </c>
      <c r="P66" s="12" t="s">
        <v>1198</v>
      </c>
      <c r="Q66" s="12" t="s">
        <v>1283</v>
      </c>
      <c r="R66" s="12" t="s">
        <v>1349</v>
      </c>
      <c r="S66" s="12" t="s">
        <v>375</v>
      </c>
    </row>
    <row r="67" spans="1:19" x14ac:dyDescent="0.25">
      <c r="A67" s="12" t="s">
        <v>1353</v>
      </c>
      <c r="B67" s="12" t="s">
        <v>1128</v>
      </c>
      <c r="C67" s="12">
        <v>50</v>
      </c>
      <c r="D67" s="12" t="s">
        <v>1345</v>
      </c>
      <c r="E67" s="12" t="s">
        <v>1128</v>
      </c>
      <c r="F67" s="12">
        <v>50</v>
      </c>
      <c r="G67" s="12" t="s">
        <v>1346</v>
      </c>
      <c r="H67" s="12" t="s">
        <v>1353</v>
      </c>
      <c r="I67" s="12" t="s">
        <v>1354</v>
      </c>
      <c r="J67" s="12" t="s">
        <v>1348</v>
      </c>
      <c r="K67" s="12" t="s">
        <v>1281</v>
      </c>
      <c r="L67" s="12" t="s">
        <v>1282</v>
      </c>
      <c r="M67" s="12">
        <v>47</v>
      </c>
      <c r="N67" s="12">
        <v>47</v>
      </c>
      <c r="O67" s="12" t="s">
        <v>308</v>
      </c>
      <c r="P67" s="12" t="s">
        <v>1198</v>
      </c>
      <c r="Q67" s="12" t="s">
        <v>1283</v>
      </c>
      <c r="R67" s="12" t="s">
        <v>1349</v>
      </c>
      <c r="S67" s="12" t="s">
        <v>375</v>
      </c>
    </row>
    <row r="68" spans="1:19" x14ac:dyDescent="0.25">
      <c r="A68" s="12" t="s">
        <v>1355</v>
      </c>
      <c r="B68" s="12" t="s">
        <v>1086</v>
      </c>
      <c r="C68" s="12">
        <v>49</v>
      </c>
      <c r="D68" s="12" t="s">
        <v>1356</v>
      </c>
      <c r="E68" s="12" t="s">
        <v>1086</v>
      </c>
      <c r="F68" s="12">
        <v>49</v>
      </c>
      <c r="G68" s="12" t="s">
        <v>315</v>
      </c>
      <c r="H68" s="12" t="s">
        <v>315</v>
      </c>
      <c r="I68" s="12" t="s">
        <v>1357</v>
      </c>
      <c r="J68" s="12" t="s">
        <v>315</v>
      </c>
      <c r="K68" s="12" t="s">
        <v>315</v>
      </c>
      <c r="L68" s="12" t="s">
        <v>1358</v>
      </c>
      <c r="M68" s="12">
        <v>43</v>
      </c>
      <c r="N68" s="12">
        <v>43</v>
      </c>
      <c r="O68" s="12" t="s">
        <v>315</v>
      </c>
      <c r="P68" s="12" t="s">
        <v>1198</v>
      </c>
      <c r="Q68" s="12" t="s">
        <v>1359</v>
      </c>
      <c r="R68" s="12" t="s">
        <v>1301</v>
      </c>
      <c r="S68" s="12" t="s">
        <v>365</v>
      </c>
    </row>
    <row r="69" spans="1:19" x14ac:dyDescent="0.25">
      <c r="A69" s="12" t="s">
        <v>1360</v>
      </c>
      <c r="B69" s="12" t="s">
        <v>1086</v>
      </c>
      <c r="C69" s="12">
        <v>49</v>
      </c>
      <c r="D69" s="12" t="s">
        <v>1356</v>
      </c>
      <c r="E69" s="12" t="s">
        <v>1086</v>
      </c>
      <c r="F69" s="12">
        <v>49</v>
      </c>
      <c r="G69" s="12" t="s">
        <v>315</v>
      </c>
      <c r="H69" s="12" t="s">
        <v>315</v>
      </c>
      <c r="I69" s="12" t="s">
        <v>1357</v>
      </c>
      <c r="J69" s="12" t="s">
        <v>315</v>
      </c>
      <c r="K69" s="12" t="s">
        <v>315</v>
      </c>
      <c r="L69" s="12" t="s">
        <v>1358</v>
      </c>
      <c r="M69" s="12">
        <v>43</v>
      </c>
      <c r="N69" s="12">
        <v>43</v>
      </c>
      <c r="O69" s="12" t="s">
        <v>315</v>
      </c>
      <c r="P69" s="12" t="s">
        <v>1198</v>
      </c>
      <c r="Q69" s="12" t="s">
        <v>1359</v>
      </c>
      <c r="R69" s="12" t="s">
        <v>1301</v>
      </c>
      <c r="S69" s="12" t="s">
        <v>365</v>
      </c>
    </row>
    <row r="70" spans="1:19" x14ac:dyDescent="0.25">
      <c r="A70" s="12" t="s">
        <v>1361</v>
      </c>
      <c r="B70" s="12" t="s">
        <v>1086</v>
      </c>
      <c r="C70" s="12">
        <v>49</v>
      </c>
      <c r="D70" s="12" t="s">
        <v>1356</v>
      </c>
      <c r="E70" s="12" t="s">
        <v>1086</v>
      </c>
      <c r="F70" s="12">
        <v>49</v>
      </c>
      <c r="G70" s="12" t="s">
        <v>315</v>
      </c>
      <c r="H70" s="12" t="s">
        <v>1362</v>
      </c>
      <c r="I70" s="12" t="s">
        <v>1363</v>
      </c>
      <c r="J70" s="12" t="s">
        <v>315</v>
      </c>
      <c r="K70" s="12" t="s">
        <v>315</v>
      </c>
      <c r="L70" s="12" t="s">
        <v>1358</v>
      </c>
      <c r="M70" s="12">
        <v>43</v>
      </c>
      <c r="N70" s="12">
        <v>43</v>
      </c>
      <c r="O70" s="12" t="s">
        <v>315</v>
      </c>
      <c r="P70" s="12" t="s">
        <v>1198</v>
      </c>
      <c r="Q70" s="12" t="s">
        <v>1359</v>
      </c>
      <c r="R70" s="12" t="s">
        <v>1301</v>
      </c>
      <c r="S70" s="12" t="s">
        <v>365</v>
      </c>
    </row>
    <row r="71" spans="1:19" x14ac:dyDescent="0.25">
      <c r="A71" s="12" t="s">
        <v>1364</v>
      </c>
      <c r="B71" s="12" t="s">
        <v>1093</v>
      </c>
      <c r="C71" s="12">
        <v>14</v>
      </c>
      <c r="D71" s="12" t="s">
        <v>1365</v>
      </c>
      <c r="E71" s="12" t="s">
        <v>1093</v>
      </c>
      <c r="F71" s="12">
        <v>14</v>
      </c>
      <c r="G71" s="12" t="s">
        <v>1366</v>
      </c>
      <c r="H71" s="12" t="s">
        <v>1364</v>
      </c>
      <c r="I71" s="12" t="s">
        <v>1367</v>
      </c>
      <c r="J71" s="12" t="s">
        <v>1366</v>
      </c>
      <c r="K71" s="12" t="s">
        <v>1366</v>
      </c>
      <c r="L71" s="12" t="s">
        <v>1368</v>
      </c>
      <c r="M71" s="12">
        <v>17</v>
      </c>
      <c r="N71" s="12">
        <v>3</v>
      </c>
      <c r="O71" s="12" t="s">
        <v>307</v>
      </c>
      <c r="P71" s="12" t="s">
        <v>1198</v>
      </c>
      <c r="Q71" s="12" t="s">
        <v>1199</v>
      </c>
      <c r="R71" s="12" t="s">
        <v>361</v>
      </c>
      <c r="S71" s="12" t="s">
        <v>361</v>
      </c>
    </row>
    <row r="72" spans="1:19" x14ac:dyDescent="0.25">
      <c r="A72" s="12" t="s">
        <v>1369</v>
      </c>
      <c r="B72" s="12" t="s">
        <v>1093</v>
      </c>
      <c r="C72" s="12">
        <v>14</v>
      </c>
      <c r="D72" s="12" t="s">
        <v>1365</v>
      </c>
      <c r="E72" s="12" t="s">
        <v>1093</v>
      </c>
      <c r="F72" s="12">
        <v>14</v>
      </c>
      <c r="G72" s="12" t="s">
        <v>1366</v>
      </c>
      <c r="H72" s="12" t="s">
        <v>1364</v>
      </c>
      <c r="I72" s="12" t="s">
        <v>1367</v>
      </c>
      <c r="J72" s="12" t="s">
        <v>1366</v>
      </c>
      <c r="K72" s="12" t="s">
        <v>1366</v>
      </c>
      <c r="L72" s="12" t="s">
        <v>1368</v>
      </c>
      <c r="M72" s="12">
        <v>17</v>
      </c>
      <c r="N72" s="12">
        <v>3</v>
      </c>
      <c r="O72" s="12" t="s">
        <v>307</v>
      </c>
      <c r="P72" s="12" t="s">
        <v>1198</v>
      </c>
      <c r="Q72" s="12" t="s">
        <v>1199</v>
      </c>
      <c r="R72" s="12" t="s">
        <v>361</v>
      </c>
      <c r="S72" s="12" t="s">
        <v>361</v>
      </c>
    </row>
    <row r="73" spans="1:19" x14ac:dyDescent="0.25">
      <c r="A73" s="12" t="s">
        <v>1370</v>
      </c>
      <c r="B73" s="12" t="s">
        <v>1080</v>
      </c>
      <c r="C73" s="12">
        <v>26</v>
      </c>
      <c r="D73" s="12" t="s">
        <v>1371</v>
      </c>
      <c r="E73" s="12" t="s">
        <v>1080</v>
      </c>
      <c r="F73" s="12">
        <v>26</v>
      </c>
      <c r="G73" s="12" t="s">
        <v>1372</v>
      </c>
      <c r="H73" s="12" t="s">
        <v>1373</v>
      </c>
      <c r="I73" s="12" t="s">
        <v>1374</v>
      </c>
      <c r="J73" s="12" t="s">
        <v>1375</v>
      </c>
      <c r="K73" s="12" t="s">
        <v>1376</v>
      </c>
      <c r="L73" s="12" t="s">
        <v>1377</v>
      </c>
      <c r="M73" s="12">
        <v>25</v>
      </c>
      <c r="N73" s="12" t="s">
        <v>1378</v>
      </c>
      <c r="O73" s="12" t="s">
        <v>307</v>
      </c>
      <c r="P73" s="12" t="s">
        <v>1198</v>
      </c>
      <c r="Q73" s="12" t="s">
        <v>1199</v>
      </c>
      <c r="R73" s="12" t="s">
        <v>361</v>
      </c>
      <c r="S73" s="12" t="s">
        <v>361</v>
      </c>
    </row>
    <row r="74" spans="1:19" x14ac:dyDescent="0.25">
      <c r="A74" s="12" t="s">
        <v>1379</v>
      </c>
      <c r="B74" s="12" t="s">
        <v>1080</v>
      </c>
      <c r="C74" s="12">
        <v>26</v>
      </c>
      <c r="D74" s="12" t="s">
        <v>1371</v>
      </c>
      <c r="E74" s="12" t="s">
        <v>1080</v>
      </c>
      <c r="F74" s="12">
        <v>26</v>
      </c>
      <c r="G74" s="12" t="s">
        <v>1372</v>
      </c>
      <c r="H74" s="12" t="s">
        <v>1373</v>
      </c>
      <c r="I74" s="12" t="s">
        <v>1374</v>
      </c>
      <c r="J74" s="12" t="s">
        <v>1375</v>
      </c>
      <c r="K74" s="12" t="s">
        <v>1376</v>
      </c>
      <c r="L74" s="12" t="s">
        <v>1377</v>
      </c>
      <c r="M74" s="12">
        <v>25</v>
      </c>
      <c r="N74" s="12" t="s">
        <v>1378</v>
      </c>
      <c r="O74" s="12" t="s">
        <v>307</v>
      </c>
      <c r="P74" s="12" t="s">
        <v>1198</v>
      </c>
      <c r="Q74" s="12" t="s">
        <v>1199</v>
      </c>
      <c r="R74" s="12" t="s">
        <v>361</v>
      </c>
      <c r="S74" s="12" t="s">
        <v>361</v>
      </c>
    </row>
    <row r="75" spans="1:19" x14ac:dyDescent="0.25">
      <c r="A75" s="12" t="s">
        <v>1380</v>
      </c>
      <c r="B75" s="12" t="s">
        <v>1085</v>
      </c>
      <c r="C75" s="12">
        <v>19</v>
      </c>
      <c r="D75" s="12" t="s">
        <v>1381</v>
      </c>
      <c r="E75" s="12" t="s">
        <v>1085</v>
      </c>
      <c r="F75" s="12">
        <v>19</v>
      </c>
      <c r="G75" s="12" t="s">
        <v>1382</v>
      </c>
      <c r="H75" s="12" t="s">
        <v>1373</v>
      </c>
      <c r="I75" s="12" t="s">
        <v>1374</v>
      </c>
      <c r="J75" s="12" t="s">
        <v>1375</v>
      </c>
      <c r="K75" s="12" t="s">
        <v>1376</v>
      </c>
      <c r="L75" s="12" t="s">
        <v>1377</v>
      </c>
      <c r="M75" s="12">
        <v>21119</v>
      </c>
      <c r="N75" s="12" t="s">
        <v>1378</v>
      </c>
      <c r="O75" s="12" t="s">
        <v>307</v>
      </c>
      <c r="P75" s="12" t="s">
        <v>1198</v>
      </c>
      <c r="Q75" s="12" t="s">
        <v>1199</v>
      </c>
      <c r="R75" s="12" t="s">
        <v>361</v>
      </c>
      <c r="S75" s="12" t="s">
        <v>361</v>
      </c>
    </row>
    <row r="76" spans="1:19" x14ac:dyDescent="0.25">
      <c r="A76" s="12" t="s">
        <v>1383</v>
      </c>
      <c r="B76" s="12" t="s">
        <v>1085</v>
      </c>
      <c r="C76" s="12">
        <v>19</v>
      </c>
      <c r="D76" s="12" t="s">
        <v>1381</v>
      </c>
      <c r="E76" s="12" t="s">
        <v>1085</v>
      </c>
      <c r="F76" s="12">
        <v>19</v>
      </c>
      <c r="G76" s="12" t="s">
        <v>1382</v>
      </c>
      <c r="H76" s="12" t="s">
        <v>1373</v>
      </c>
      <c r="I76" s="12" t="s">
        <v>1374</v>
      </c>
      <c r="J76" s="12" t="s">
        <v>1375</v>
      </c>
      <c r="K76" s="12" t="s">
        <v>1376</v>
      </c>
      <c r="L76" s="12" t="s">
        <v>1377</v>
      </c>
      <c r="M76" s="12">
        <v>21119</v>
      </c>
      <c r="N76" s="12" t="s">
        <v>1378</v>
      </c>
      <c r="O76" s="12" t="s">
        <v>307</v>
      </c>
      <c r="P76" s="12" t="s">
        <v>1198</v>
      </c>
      <c r="Q76" s="12" t="s">
        <v>1199</v>
      </c>
      <c r="R76" s="12" t="s">
        <v>361</v>
      </c>
      <c r="S76" s="12" t="s">
        <v>361</v>
      </c>
    </row>
    <row r="77" spans="1:19" x14ac:dyDescent="0.25">
      <c r="A77" s="12" t="s">
        <v>1384</v>
      </c>
      <c r="B77" s="12" t="s">
        <v>1085</v>
      </c>
      <c r="C77" s="12">
        <v>19</v>
      </c>
      <c r="D77" s="12" t="s">
        <v>1381</v>
      </c>
      <c r="E77" s="12" t="s">
        <v>1085</v>
      </c>
      <c r="F77" s="12">
        <v>19</v>
      </c>
      <c r="G77" s="12" t="s">
        <v>1382</v>
      </c>
      <c r="H77" s="12" t="s">
        <v>1373</v>
      </c>
      <c r="I77" s="12" t="s">
        <v>1374</v>
      </c>
      <c r="J77" s="12" t="s">
        <v>1375</v>
      </c>
      <c r="K77" s="12" t="s">
        <v>1376</v>
      </c>
      <c r="L77" s="12" t="s">
        <v>1377</v>
      </c>
      <c r="M77" s="12">
        <v>21119</v>
      </c>
      <c r="N77" s="12" t="s">
        <v>1378</v>
      </c>
      <c r="O77" s="12" t="s">
        <v>307</v>
      </c>
      <c r="P77" s="12" t="s">
        <v>1198</v>
      </c>
      <c r="Q77" s="12" t="s">
        <v>1199</v>
      </c>
      <c r="R77" s="12" t="s">
        <v>361</v>
      </c>
      <c r="S77" s="12" t="s">
        <v>361</v>
      </c>
    </row>
    <row r="78" spans="1:19" x14ac:dyDescent="0.25">
      <c r="A78" s="12" t="s">
        <v>1385</v>
      </c>
      <c r="B78" s="12" t="s">
        <v>1085</v>
      </c>
      <c r="C78" s="12">
        <v>19</v>
      </c>
      <c r="D78" s="12" t="s">
        <v>1381</v>
      </c>
      <c r="E78" s="12" t="s">
        <v>1085</v>
      </c>
      <c r="F78" s="12">
        <v>19</v>
      </c>
      <c r="G78" s="12" t="s">
        <v>1382</v>
      </c>
      <c r="H78" s="12" t="s">
        <v>1373</v>
      </c>
      <c r="I78" s="12" t="s">
        <v>1374</v>
      </c>
      <c r="J78" s="12" t="s">
        <v>1375</v>
      </c>
      <c r="K78" s="12" t="s">
        <v>1376</v>
      </c>
      <c r="L78" s="12" t="s">
        <v>1377</v>
      </c>
      <c r="M78" s="12">
        <v>21119</v>
      </c>
      <c r="N78" s="12" t="s">
        <v>1378</v>
      </c>
      <c r="O78" s="12" t="s">
        <v>307</v>
      </c>
      <c r="P78" s="12" t="s">
        <v>1198</v>
      </c>
      <c r="Q78" s="12" t="s">
        <v>1199</v>
      </c>
      <c r="R78" s="12" t="s">
        <v>361</v>
      </c>
      <c r="S78" s="12" t="s">
        <v>361</v>
      </c>
    </row>
    <row r="79" spans="1:19" x14ac:dyDescent="0.25">
      <c r="A79" s="12" t="s">
        <v>1386</v>
      </c>
      <c r="B79" s="12" t="s">
        <v>1085</v>
      </c>
      <c r="C79" s="12">
        <v>19</v>
      </c>
      <c r="D79" s="12" t="s">
        <v>1381</v>
      </c>
      <c r="E79" s="12" t="s">
        <v>1085</v>
      </c>
      <c r="F79" s="12">
        <v>19</v>
      </c>
      <c r="G79" s="12" t="s">
        <v>1382</v>
      </c>
      <c r="H79" s="12" t="s">
        <v>1373</v>
      </c>
      <c r="I79" s="12" t="s">
        <v>1374</v>
      </c>
      <c r="J79" s="12" t="s">
        <v>1375</v>
      </c>
      <c r="K79" s="12" t="s">
        <v>1376</v>
      </c>
      <c r="L79" s="12" t="s">
        <v>1377</v>
      </c>
      <c r="M79" s="12">
        <v>21119</v>
      </c>
      <c r="N79" s="12" t="s">
        <v>1378</v>
      </c>
      <c r="O79" s="12" t="s">
        <v>307</v>
      </c>
      <c r="P79" s="12" t="s">
        <v>1198</v>
      </c>
      <c r="Q79" s="12" t="s">
        <v>1199</v>
      </c>
      <c r="R79" s="12" t="s">
        <v>361</v>
      </c>
      <c r="S79" s="12" t="s">
        <v>361</v>
      </c>
    </row>
    <row r="80" spans="1:19" x14ac:dyDescent="0.25">
      <c r="A80" s="12" t="s">
        <v>1387</v>
      </c>
      <c r="B80" s="12" t="s">
        <v>1085</v>
      </c>
      <c r="C80" s="12">
        <v>19</v>
      </c>
      <c r="D80" s="12" t="s">
        <v>1381</v>
      </c>
      <c r="E80" s="12" t="s">
        <v>1085</v>
      </c>
      <c r="F80" s="12">
        <v>19</v>
      </c>
      <c r="G80" s="12" t="s">
        <v>1382</v>
      </c>
      <c r="H80" s="12" t="s">
        <v>1373</v>
      </c>
      <c r="I80" s="12" t="s">
        <v>1374</v>
      </c>
      <c r="J80" s="12" t="s">
        <v>1375</v>
      </c>
      <c r="K80" s="12" t="s">
        <v>1376</v>
      </c>
      <c r="L80" s="12" t="s">
        <v>1377</v>
      </c>
      <c r="M80" s="12">
        <v>21119</v>
      </c>
      <c r="N80" s="12" t="s">
        <v>1378</v>
      </c>
      <c r="O80" s="12" t="s">
        <v>307</v>
      </c>
      <c r="P80" s="12" t="s">
        <v>1198</v>
      </c>
      <c r="Q80" s="12" t="s">
        <v>1199</v>
      </c>
      <c r="R80" s="12" t="s">
        <v>361</v>
      </c>
      <c r="S80" s="12" t="s">
        <v>361</v>
      </c>
    </row>
    <row r="81" spans="1:19" x14ac:dyDescent="0.25">
      <c r="A81" s="12" t="s">
        <v>1388</v>
      </c>
      <c r="B81" s="12" t="s">
        <v>1085</v>
      </c>
      <c r="C81" s="12">
        <v>19</v>
      </c>
      <c r="D81" s="12" t="s">
        <v>1381</v>
      </c>
      <c r="E81" s="12" t="s">
        <v>1085</v>
      </c>
      <c r="F81" s="12">
        <v>19</v>
      </c>
      <c r="G81" s="12" t="s">
        <v>1382</v>
      </c>
      <c r="H81" s="12" t="s">
        <v>1373</v>
      </c>
      <c r="I81" s="12" t="s">
        <v>1374</v>
      </c>
      <c r="J81" s="12" t="s">
        <v>1375</v>
      </c>
      <c r="K81" s="12" t="s">
        <v>1376</v>
      </c>
      <c r="L81" s="12" t="s">
        <v>1377</v>
      </c>
      <c r="M81" s="12">
        <v>21119</v>
      </c>
      <c r="N81" s="12" t="s">
        <v>1378</v>
      </c>
      <c r="O81" s="12" t="s">
        <v>307</v>
      </c>
      <c r="P81" s="12" t="s">
        <v>1198</v>
      </c>
      <c r="Q81" s="12" t="s">
        <v>1199</v>
      </c>
      <c r="R81" s="12" t="s">
        <v>361</v>
      </c>
      <c r="S81" s="12" t="s">
        <v>361</v>
      </c>
    </row>
    <row r="82" spans="1:19" x14ac:dyDescent="0.25">
      <c r="A82" s="12" t="s">
        <v>1389</v>
      </c>
      <c r="B82" s="12" t="s">
        <v>1085</v>
      </c>
      <c r="C82" s="12">
        <v>19</v>
      </c>
      <c r="D82" s="12" t="s">
        <v>1381</v>
      </c>
      <c r="E82" s="12" t="s">
        <v>1085</v>
      </c>
      <c r="F82" s="12">
        <v>19</v>
      </c>
      <c r="G82" s="12" t="s">
        <v>1382</v>
      </c>
      <c r="H82" s="12" t="s">
        <v>1373</v>
      </c>
      <c r="I82" s="12" t="s">
        <v>1374</v>
      </c>
      <c r="J82" s="12" t="s">
        <v>1375</v>
      </c>
      <c r="K82" s="12" t="s">
        <v>1376</v>
      </c>
      <c r="L82" s="12" t="s">
        <v>1377</v>
      </c>
      <c r="M82" s="12">
        <v>21119</v>
      </c>
      <c r="N82" s="12" t="s">
        <v>1378</v>
      </c>
      <c r="O82" s="12" t="s">
        <v>307</v>
      </c>
      <c r="P82" s="12" t="s">
        <v>1198</v>
      </c>
      <c r="Q82" s="12" t="s">
        <v>1199</v>
      </c>
      <c r="R82" s="12" t="s">
        <v>361</v>
      </c>
      <c r="S82" s="12" t="s">
        <v>361</v>
      </c>
    </row>
    <row r="83" spans="1:19" x14ac:dyDescent="0.25">
      <c r="A83" s="12" t="s">
        <v>1390</v>
      </c>
      <c r="B83" s="12" t="s">
        <v>1085</v>
      </c>
      <c r="C83" s="12">
        <v>19</v>
      </c>
      <c r="D83" s="12" t="s">
        <v>1381</v>
      </c>
      <c r="E83" s="12" t="s">
        <v>1085</v>
      </c>
      <c r="F83" s="12">
        <v>19</v>
      </c>
      <c r="G83" s="12" t="s">
        <v>1382</v>
      </c>
      <c r="H83" s="12" t="s">
        <v>1373</v>
      </c>
      <c r="I83" s="12" t="s">
        <v>1374</v>
      </c>
      <c r="J83" s="12" t="s">
        <v>1375</v>
      </c>
      <c r="K83" s="12" t="s">
        <v>1376</v>
      </c>
      <c r="L83" s="12" t="s">
        <v>1377</v>
      </c>
      <c r="M83" s="12">
        <v>21119</v>
      </c>
      <c r="N83" s="12" t="s">
        <v>1378</v>
      </c>
      <c r="O83" s="12" t="s">
        <v>307</v>
      </c>
      <c r="P83" s="12" t="s">
        <v>1198</v>
      </c>
      <c r="Q83" s="12" t="s">
        <v>1199</v>
      </c>
      <c r="R83" s="12" t="s">
        <v>361</v>
      </c>
      <c r="S83" s="12" t="s">
        <v>361</v>
      </c>
    </row>
    <row r="84" spans="1:19" x14ac:dyDescent="0.25">
      <c r="A84" s="12" t="s">
        <v>1391</v>
      </c>
      <c r="B84" s="12" t="s">
        <v>1111</v>
      </c>
      <c r="C84" s="12">
        <v>20</v>
      </c>
      <c r="D84" s="12" t="s">
        <v>1392</v>
      </c>
      <c r="E84" s="12" t="s">
        <v>1111</v>
      </c>
      <c r="F84" s="12">
        <v>20</v>
      </c>
      <c r="G84" s="12" t="s">
        <v>1393</v>
      </c>
      <c r="H84" s="12" t="s">
        <v>1373</v>
      </c>
      <c r="I84" s="12" t="s">
        <v>1374</v>
      </c>
      <c r="J84" s="12" t="s">
        <v>1375</v>
      </c>
      <c r="K84" s="12" t="s">
        <v>1376</v>
      </c>
      <c r="L84" s="12" t="s">
        <v>1377</v>
      </c>
      <c r="M84" s="12">
        <v>21114</v>
      </c>
      <c r="N84" s="12" t="s">
        <v>1378</v>
      </c>
      <c r="O84" s="12" t="s">
        <v>307</v>
      </c>
      <c r="P84" s="12" t="s">
        <v>1198</v>
      </c>
      <c r="Q84" s="12" t="s">
        <v>1199</v>
      </c>
      <c r="R84" s="12" t="s">
        <v>361</v>
      </c>
      <c r="S84" s="12" t="s">
        <v>361</v>
      </c>
    </row>
    <row r="85" spans="1:19" x14ac:dyDescent="0.25">
      <c r="A85" s="12" t="s">
        <v>1394</v>
      </c>
      <c r="B85" s="12" t="s">
        <v>1111</v>
      </c>
      <c r="C85" s="12">
        <v>20</v>
      </c>
      <c r="D85" s="12" t="s">
        <v>1392</v>
      </c>
      <c r="E85" s="12" t="s">
        <v>1111</v>
      </c>
      <c r="F85" s="12">
        <v>20</v>
      </c>
      <c r="G85" s="12" t="s">
        <v>1393</v>
      </c>
      <c r="H85" s="12" t="s">
        <v>1373</v>
      </c>
      <c r="I85" s="12" t="s">
        <v>1374</v>
      </c>
      <c r="J85" s="12" t="s">
        <v>1375</v>
      </c>
      <c r="K85" s="12" t="s">
        <v>1376</v>
      </c>
      <c r="L85" s="12" t="s">
        <v>1377</v>
      </c>
      <c r="M85" s="12">
        <v>21114</v>
      </c>
      <c r="N85" s="12" t="s">
        <v>1378</v>
      </c>
      <c r="O85" s="12" t="s">
        <v>307</v>
      </c>
      <c r="P85" s="12" t="s">
        <v>1198</v>
      </c>
      <c r="Q85" s="12" t="s">
        <v>1199</v>
      </c>
      <c r="R85" s="12" t="s">
        <v>361</v>
      </c>
      <c r="S85" s="12" t="s">
        <v>361</v>
      </c>
    </row>
    <row r="86" spans="1:19" x14ac:dyDescent="0.25">
      <c r="A86" s="12" t="s">
        <v>1395</v>
      </c>
      <c r="B86" s="12" t="s">
        <v>1111</v>
      </c>
      <c r="C86" s="12">
        <v>20</v>
      </c>
      <c r="D86" s="12" t="s">
        <v>1392</v>
      </c>
      <c r="E86" s="12" t="s">
        <v>1111</v>
      </c>
      <c r="F86" s="12">
        <v>20</v>
      </c>
      <c r="G86" s="12" t="s">
        <v>1393</v>
      </c>
      <c r="H86" s="12" t="s">
        <v>1373</v>
      </c>
      <c r="I86" s="12" t="s">
        <v>1374</v>
      </c>
      <c r="J86" s="12" t="s">
        <v>1375</v>
      </c>
      <c r="K86" s="12" t="s">
        <v>1376</v>
      </c>
      <c r="L86" s="12" t="s">
        <v>1377</v>
      </c>
      <c r="M86" s="12">
        <v>21114</v>
      </c>
      <c r="N86" s="12" t="s">
        <v>1378</v>
      </c>
      <c r="O86" s="12" t="s">
        <v>307</v>
      </c>
      <c r="P86" s="12" t="s">
        <v>1198</v>
      </c>
      <c r="Q86" s="12" t="s">
        <v>1199</v>
      </c>
      <c r="R86" s="12" t="s">
        <v>361</v>
      </c>
      <c r="S86" s="12" t="s">
        <v>361</v>
      </c>
    </row>
    <row r="87" spans="1:19" x14ac:dyDescent="0.25">
      <c r="A87" s="12" t="s">
        <v>1396</v>
      </c>
      <c r="B87" s="12" t="s">
        <v>1111</v>
      </c>
      <c r="C87" s="12">
        <v>20</v>
      </c>
      <c r="D87" s="12" t="s">
        <v>1392</v>
      </c>
      <c r="E87" s="12" t="s">
        <v>1111</v>
      </c>
      <c r="F87" s="12">
        <v>20</v>
      </c>
      <c r="G87" s="12" t="s">
        <v>1393</v>
      </c>
      <c r="H87" s="12" t="s">
        <v>1373</v>
      </c>
      <c r="I87" s="12" t="s">
        <v>1374</v>
      </c>
      <c r="J87" s="12" t="s">
        <v>1375</v>
      </c>
      <c r="K87" s="12" t="s">
        <v>1376</v>
      </c>
      <c r="L87" s="12" t="s">
        <v>1377</v>
      </c>
      <c r="M87" s="12">
        <v>21114</v>
      </c>
      <c r="N87" s="12" t="s">
        <v>1378</v>
      </c>
      <c r="O87" s="12" t="s">
        <v>307</v>
      </c>
      <c r="P87" s="12" t="s">
        <v>1198</v>
      </c>
      <c r="Q87" s="12" t="s">
        <v>1199</v>
      </c>
      <c r="R87" s="12" t="s">
        <v>361</v>
      </c>
      <c r="S87" s="12" t="s">
        <v>361</v>
      </c>
    </row>
    <row r="88" spans="1:19" x14ac:dyDescent="0.25">
      <c r="A88" s="12" t="s">
        <v>1397</v>
      </c>
      <c r="B88" s="12" t="s">
        <v>1111</v>
      </c>
      <c r="C88" s="12">
        <v>20</v>
      </c>
      <c r="D88" s="12" t="s">
        <v>1392</v>
      </c>
      <c r="E88" s="12" t="s">
        <v>1111</v>
      </c>
      <c r="F88" s="12">
        <v>20</v>
      </c>
      <c r="G88" s="12" t="s">
        <v>1393</v>
      </c>
      <c r="H88" s="12" t="s">
        <v>1373</v>
      </c>
      <c r="I88" s="12" t="s">
        <v>1374</v>
      </c>
      <c r="J88" s="12" t="s">
        <v>1375</v>
      </c>
      <c r="K88" s="12" t="s">
        <v>1376</v>
      </c>
      <c r="L88" s="12" t="s">
        <v>1377</v>
      </c>
      <c r="M88" s="12">
        <v>21114</v>
      </c>
      <c r="N88" s="12" t="s">
        <v>1378</v>
      </c>
      <c r="O88" s="12" t="s">
        <v>307</v>
      </c>
      <c r="P88" s="12" t="s">
        <v>1198</v>
      </c>
      <c r="Q88" s="12" t="s">
        <v>1199</v>
      </c>
      <c r="R88" s="12" t="s">
        <v>361</v>
      </c>
      <c r="S88" s="12" t="s">
        <v>361</v>
      </c>
    </row>
    <row r="89" spans="1:19" x14ac:dyDescent="0.25">
      <c r="A89" s="12" t="s">
        <v>1398</v>
      </c>
      <c r="B89" s="12" t="s">
        <v>1111</v>
      </c>
      <c r="C89" s="12">
        <v>20</v>
      </c>
      <c r="D89" s="12" t="s">
        <v>1392</v>
      </c>
      <c r="E89" s="12" t="s">
        <v>1111</v>
      </c>
      <c r="F89" s="12">
        <v>20</v>
      </c>
      <c r="G89" s="12" t="s">
        <v>1393</v>
      </c>
      <c r="H89" s="12" t="s">
        <v>1373</v>
      </c>
      <c r="I89" s="12" t="s">
        <v>1374</v>
      </c>
      <c r="J89" s="12" t="s">
        <v>1375</v>
      </c>
      <c r="K89" s="12" t="s">
        <v>1376</v>
      </c>
      <c r="L89" s="12" t="s">
        <v>1377</v>
      </c>
      <c r="M89" s="12">
        <v>21114</v>
      </c>
      <c r="N89" s="12" t="s">
        <v>1378</v>
      </c>
      <c r="O89" s="12" t="s">
        <v>307</v>
      </c>
      <c r="P89" s="12" t="s">
        <v>1198</v>
      </c>
      <c r="Q89" s="12" t="s">
        <v>1199</v>
      </c>
      <c r="R89" s="12" t="s">
        <v>361</v>
      </c>
      <c r="S89" s="12" t="s">
        <v>361</v>
      </c>
    </row>
    <row r="90" spans="1:19" x14ac:dyDescent="0.25">
      <c r="A90" s="12" t="s">
        <v>1399</v>
      </c>
      <c r="B90" s="12" t="s">
        <v>1111</v>
      </c>
      <c r="C90" s="12">
        <v>20</v>
      </c>
      <c r="D90" s="12" t="s">
        <v>1392</v>
      </c>
      <c r="E90" s="12" t="s">
        <v>1111</v>
      </c>
      <c r="F90" s="12">
        <v>20</v>
      </c>
      <c r="G90" s="12" t="s">
        <v>1393</v>
      </c>
      <c r="H90" s="12" t="s">
        <v>1373</v>
      </c>
      <c r="I90" s="12" t="s">
        <v>1374</v>
      </c>
      <c r="J90" s="12" t="s">
        <v>1375</v>
      </c>
      <c r="K90" s="12" t="s">
        <v>1376</v>
      </c>
      <c r="L90" s="12" t="s">
        <v>1377</v>
      </c>
      <c r="M90" s="12">
        <v>21114</v>
      </c>
      <c r="N90" s="12" t="s">
        <v>1378</v>
      </c>
      <c r="O90" s="12" t="s">
        <v>307</v>
      </c>
      <c r="P90" s="12" t="s">
        <v>1198</v>
      </c>
      <c r="Q90" s="12" t="s">
        <v>1199</v>
      </c>
      <c r="R90" s="12" t="s">
        <v>361</v>
      </c>
      <c r="S90" s="12" t="s">
        <v>361</v>
      </c>
    </row>
    <row r="91" spans="1:19" x14ac:dyDescent="0.25">
      <c r="A91" s="12" t="s">
        <v>1400</v>
      </c>
      <c r="B91" s="12" t="s">
        <v>1111</v>
      </c>
      <c r="C91" s="12">
        <v>20</v>
      </c>
      <c r="D91" s="12" t="s">
        <v>1392</v>
      </c>
      <c r="E91" s="12" t="s">
        <v>1111</v>
      </c>
      <c r="F91" s="12">
        <v>20</v>
      </c>
      <c r="G91" s="12" t="s">
        <v>1393</v>
      </c>
      <c r="H91" s="12" t="s">
        <v>1373</v>
      </c>
      <c r="I91" s="12" t="s">
        <v>1374</v>
      </c>
      <c r="J91" s="12" t="s">
        <v>1375</v>
      </c>
      <c r="K91" s="12" t="s">
        <v>1376</v>
      </c>
      <c r="L91" s="12" t="s">
        <v>1377</v>
      </c>
      <c r="M91" s="12">
        <v>21114</v>
      </c>
      <c r="N91" s="12" t="s">
        <v>1378</v>
      </c>
      <c r="O91" s="12" t="s">
        <v>307</v>
      </c>
      <c r="P91" s="12" t="s">
        <v>1198</v>
      </c>
      <c r="Q91" s="12" t="s">
        <v>1199</v>
      </c>
      <c r="R91" s="12" t="s">
        <v>361</v>
      </c>
      <c r="S91" s="12" t="s">
        <v>361</v>
      </c>
    </row>
    <row r="92" spans="1:19" x14ac:dyDescent="0.25">
      <c r="A92" s="12" t="s">
        <v>1401</v>
      </c>
      <c r="B92" s="12" t="s">
        <v>1130</v>
      </c>
      <c r="C92" s="12">
        <v>21</v>
      </c>
      <c r="D92" s="12" t="s">
        <v>1402</v>
      </c>
      <c r="E92" s="12" t="s">
        <v>1130</v>
      </c>
      <c r="F92" s="12">
        <v>21</v>
      </c>
      <c r="G92" s="12" t="s">
        <v>1403</v>
      </c>
      <c r="H92" s="12" t="s">
        <v>1373</v>
      </c>
      <c r="I92" s="12" t="s">
        <v>1374</v>
      </c>
      <c r="J92" s="12" t="s">
        <v>1375</v>
      </c>
      <c r="K92" s="12" t="s">
        <v>1376</v>
      </c>
      <c r="L92" s="12" t="s">
        <v>1377</v>
      </c>
      <c r="M92" s="12">
        <v>219</v>
      </c>
      <c r="N92" s="12" t="s">
        <v>1378</v>
      </c>
      <c r="O92" s="12" t="s">
        <v>307</v>
      </c>
      <c r="P92" s="12" t="s">
        <v>1198</v>
      </c>
      <c r="Q92" s="12" t="s">
        <v>1199</v>
      </c>
      <c r="R92" s="12" t="s">
        <v>361</v>
      </c>
      <c r="S92" s="12" t="s">
        <v>361</v>
      </c>
    </row>
    <row r="93" spans="1:19" x14ac:dyDescent="0.25">
      <c r="A93" s="12" t="s">
        <v>1404</v>
      </c>
      <c r="B93" s="12" t="s">
        <v>1130</v>
      </c>
      <c r="C93" s="12">
        <v>21</v>
      </c>
      <c r="D93" s="12" t="s">
        <v>1402</v>
      </c>
      <c r="E93" s="12" t="s">
        <v>1130</v>
      </c>
      <c r="F93" s="12">
        <v>21</v>
      </c>
      <c r="G93" s="12" t="s">
        <v>1403</v>
      </c>
      <c r="H93" s="12" t="s">
        <v>1373</v>
      </c>
      <c r="I93" s="12" t="s">
        <v>1374</v>
      </c>
      <c r="J93" s="12" t="s">
        <v>1375</v>
      </c>
      <c r="K93" s="12" t="s">
        <v>1376</v>
      </c>
      <c r="L93" s="12" t="s">
        <v>1377</v>
      </c>
      <c r="M93" s="12">
        <v>219</v>
      </c>
      <c r="N93" s="12" t="s">
        <v>1378</v>
      </c>
      <c r="O93" s="12" t="s">
        <v>307</v>
      </c>
      <c r="P93" s="12" t="s">
        <v>1198</v>
      </c>
      <c r="Q93" s="12" t="s">
        <v>1199</v>
      </c>
      <c r="R93" s="12" t="s">
        <v>361</v>
      </c>
      <c r="S93" s="12" t="s">
        <v>361</v>
      </c>
    </row>
    <row r="94" spans="1:19" x14ac:dyDescent="0.25">
      <c r="A94" s="12" t="s">
        <v>1405</v>
      </c>
      <c r="B94" s="12" t="s">
        <v>1130</v>
      </c>
      <c r="C94" s="12">
        <v>21</v>
      </c>
      <c r="D94" s="12" t="s">
        <v>1402</v>
      </c>
      <c r="E94" s="12" t="s">
        <v>1130</v>
      </c>
      <c r="F94" s="12">
        <v>21</v>
      </c>
      <c r="G94" s="12" t="s">
        <v>1403</v>
      </c>
      <c r="H94" s="12" t="s">
        <v>1373</v>
      </c>
      <c r="I94" s="12" t="s">
        <v>1374</v>
      </c>
      <c r="J94" s="12" t="s">
        <v>1375</v>
      </c>
      <c r="K94" s="12" t="s">
        <v>1376</v>
      </c>
      <c r="L94" s="12" t="s">
        <v>1377</v>
      </c>
      <c r="M94" s="12">
        <v>219</v>
      </c>
      <c r="N94" s="12" t="s">
        <v>1378</v>
      </c>
      <c r="O94" s="12" t="s">
        <v>307</v>
      </c>
      <c r="P94" s="12" t="s">
        <v>1198</v>
      </c>
      <c r="Q94" s="12" t="s">
        <v>1199</v>
      </c>
      <c r="R94" s="12" t="s">
        <v>361</v>
      </c>
      <c r="S94" s="12" t="s">
        <v>361</v>
      </c>
    </row>
    <row r="95" spans="1:19" x14ac:dyDescent="0.25">
      <c r="A95" s="12" t="s">
        <v>1406</v>
      </c>
      <c r="B95" s="12" t="s">
        <v>1130</v>
      </c>
      <c r="C95" s="12">
        <v>21</v>
      </c>
      <c r="D95" s="12" t="s">
        <v>1402</v>
      </c>
      <c r="E95" s="12" t="s">
        <v>1130</v>
      </c>
      <c r="F95" s="12">
        <v>21</v>
      </c>
      <c r="G95" s="12" t="s">
        <v>1403</v>
      </c>
      <c r="H95" s="12" t="s">
        <v>1373</v>
      </c>
      <c r="I95" s="12" t="s">
        <v>1374</v>
      </c>
      <c r="J95" s="12" t="s">
        <v>1375</v>
      </c>
      <c r="K95" s="12" t="s">
        <v>1376</v>
      </c>
      <c r="L95" s="12" t="s">
        <v>1377</v>
      </c>
      <c r="M95" s="12">
        <v>219</v>
      </c>
      <c r="N95" s="12" t="s">
        <v>1378</v>
      </c>
      <c r="O95" s="12" t="s">
        <v>307</v>
      </c>
      <c r="P95" s="12" t="s">
        <v>1198</v>
      </c>
      <c r="Q95" s="12" t="s">
        <v>1199</v>
      </c>
      <c r="R95" s="12" t="s">
        <v>361</v>
      </c>
      <c r="S95" s="12" t="s">
        <v>361</v>
      </c>
    </row>
    <row r="96" spans="1:19" x14ac:dyDescent="0.25">
      <c r="A96" s="12" t="s">
        <v>1407</v>
      </c>
      <c r="B96" s="12" t="s">
        <v>1130</v>
      </c>
      <c r="C96" s="12">
        <v>21</v>
      </c>
      <c r="D96" s="12" t="s">
        <v>1402</v>
      </c>
      <c r="E96" s="12" t="s">
        <v>1130</v>
      </c>
      <c r="F96" s="12">
        <v>21</v>
      </c>
      <c r="G96" s="12" t="s">
        <v>1403</v>
      </c>
      <c r="H96" s="12" t="s">
        <v>1373</v>
      </c>
      <c r="I96" s="12" t="s">
        <v>1374</v>
      </c>
      <c r="J96" s="12" t="s">
        <v>1375</v>
      </c>
      <c r="K96" s="12" t="s">
        <v>1376</v>
      </c>
      <c r="L96" s="12" t="s">
        <v>1377</v>
      </c>
      <c r="M96" s="12">
        <v>219</v>
      </c>
      <c r="N96" s="12" t="s">
        <v>1378</v>
      </c>
      <c r="O96" s="12" t="s">
        <v>307</v>
      </c>
      <c r="P96" s="12" t="s">
        <v>1198</v>
      </c>
      <c r="Q96" s="12" t="s">
        <v>1199</v>
      </c>
      <c r="R96" s="12" t="s">
        <v>361</v>
      </c>
      <c r="S96" s="12" t="s">
        <v>361</v>
      </c>
    </row>
    <row r="97" spans="1:19" x14ac:dyDescent="0.25">
      <c r="A97" s="12" t="s">
        <v>1408</v>
      </c>
      <c r="B97" s="12" t="s">
        <v>1100</v>
      </c>
      <c r="C97" s="12">
        <v>22</v>
      </c>
      <c r="D97" s="12" t="s">
        <v>1409</v>
      </c>
      <c r="E97" s="12" t="s">
        <v>1100</v>
      </c>
      <c r="F97" s="12">
        <v>22</v>
      </c>
      <c r="G97" s="12" t="s">
        <v>1410</v>
      </c>
      <c r="H97" s="12" t="s">
        <v>1373</v>
      </c>
      <c r="I97" s="12" t="s">
        <v>1374</v>
      </c>
      <c r="J97" s="12" t="s">
        <v>1375</v>
      </c>
      <c r="K97" s="12" t="s">
        <v>1376</v>
      </c>
      <c r="L97" s="12" t="s">
        <v>1377</v>
      </c>
      <c r="M97" s="12">
        <v>22</v>
      </c>
      <c r="N97" s="12" t="s">
        <v>1378</v>
      </c>
      <c r="O97" s="12" t="s">
        <v>307</v>
      </c>
      <c r="P97" s="12" t="s">
        <v>1198</v>
      </c>
      <c r="Q97" s="12" t="s">
        <v>1199</v>
      </c>
      <c r="R97" s="12" t="s">
        <v>361</v>
      </c>
      <c r="S97" s="12" t="s">
        <v>361</v>
      </c>
    </row>
    <row r="98" spans="1:19" x14ac:dyDescent="0.25">
      <c r="A98" s="12" t="s">
        <v>1411</v>
      </c>
      <c r="B98" s="12" t="s">
        <v>1118</v>
      </c>
      <c r="C98" s="12">
        <v>23</v>
      </c>
      <c r="D98" s="12" t="s">
        <v>1412</v>
      </c>
      <c r="E98" s="12" t="s">
        <v>1118</v>
      </c>
      <c r="F98" s="12">
        <v>23</v>
      </c>
      <c r="G98" s="12" t="s">
        <v>1413</v>
      </c>
      <c r="H98" s="12" t="s">
        <v>1373</v>
      </c>
      <c r="I98" s="12" t="s">
        <v>1374</v>
      </c>
      <c r="J98" s="12" t="s">
        <v>1375</v>
      </c>
      <c r="K98" s="12" t="s">
        <v>1376</v>
      </c>
      <c r="L98" s="12" t="s">
        <v>1377</v>
      </c>
      <c r="M98" s="12">
        <v>2316</v>
      </c>
      <c r="N98" s="12" t="s">
        <v>1378</v>
      </c>
      <c r="O98" s="12" t="s">
        <v>307</v>
      </c>
      <c r="P98" s="12" t="s">
        <v>1198</v>
      </c>
      <c r="Q98" s="12" t="s">
        <v>1199</v>
      </c>
      <c r="R98" s="12" t="s">
        <v>361</v>
      </c>
      <c r="S98" s="12" t="s">
        <v>361</v>
      </c>
    </row>
    <row r="99" spans="1:19" x14ac:dyDescent="0.25">
      <c r="A99" s="12" t="s">
        <v>1414</v>
      </c>
      <c r="B99" s="12" t="s">
        <v>1126</v>
      </c>
      <c r="C99" s="12">
        <v>24</v>
      </c>
      <c r="D99" s="12" t="s">
        <v>1414</v>
      </c>
      <c r="E99" s="12" t="s">
        <v>1126</v>
      </c>
      <c r="F99" s="12">
        <v>24</v>
      </c>
      <c r="G99" s="12" t="s">
        <v>1414</v>
      </c>
      <c r="H99" s="12" t="s">
        <v>1373</v>
      </c>
      <c r="I99" s="12" t="s">
        <v>1374</v>
      </c>
      <c r="J99" s="12" t="s">
        <v>1375</v>
      </c>
      <c r="K99" s="12" t="s">
        <v>1376</v>
      </c>
      <c r="L99" s="12" t="s">
        <v>1377</v>
      </c>
      <c r="M99" s="12">
        <v>235</v>
      </c>
      <c r="N99" s="12" t="s">
        <v>1378</v>
      </c>
      <c r="O99" s="12" t="s">
        <v>307</v>
      </c>
      <c r="P99" s="12" t="s">
        <v>1198</v>
      </c>
      <c r="Q99" s="12" t="s">
        <v>1199</v>
      </c>
      <c r="R99" s="12" t="s">
        <v>361</v>
      </c>
      <c r="S99" s="12" t="s">
        <v>361</v>
      </c>
    </row>
    <row r="100" spans="1:19" x14ac:dyDescent="0.25">
      <c r="A100" s="12" t="s">
        <v>1415</v>
      </c>
      <c r="B100" s="12" t="s">
        <v>1107</v>
      </c>
      <c r="C100" s="12">
        <v>25</v>
      </c>
      <c r="D100" s="12" t="s">
        <v>1416</v>
      </c>
      <c r="E100" s="12" t="s">
        <v>1107</v>
      </c>
      <c r="F100" s="12">
        <v>25</v>
      </c>
      <c r="G100" s="12" t="s">
        <v>1417</v>
      </c>
      <c r="H100" s="12" t="s">
        <v>1373</v>
      </c>
      <c r="I100" s="12" t="s">
        <v>1374</v>
      </c>
      <c r="J100" s="12" t="s">
        <v>1375</v>
      </c>
      <c r="K100" s="12" t="s">
        <v>1376</v>
      </c>
      <c r="L100" s="12" t="s">
        <v>1377</v>
      </c>
      <c r="M100" s="12">
        <v>2318</v>
      </c>
      <c r="N100" s="12" t="s">
        <v>1378</v>
      </c>
      <c r="O100" s="12" t="s">
        <v>307</v>
      </c>
      <c r="P100" s="12" t="s">
        <v>1198</v>
      </c>
      <c r="Q100" s="12" t="s">
        <v>1199</v>
      </c>
      <c r="R100" s="12" t="s">
        <v>361</v>
      </c>
      <c r="S100" s="12" t="s">
        <v>361</v>
      </c>
    </row>
    <row r="101" spans="1:19" x14ac:dyDescent="0.25">
      <c r="A101" s="12" t="s">
        <v>1418</v>
      </c>
      <c r="B101" s="12" t="s">
        <v>1107</v>
      </c>
      <c r="C101" s="12">
        <v>25</v>
      </c>
      <c r="D101" s="12" t="s">
        <v>1416</v>
      </c>
      <c r="E101" s="12" t="s">
        <v>1107</v>
      </c>
      <c r="F101" s="12">
        <v>25</v>
      </c>
      <c r="G101" s="12" t="s">
        <v>1417</v>
      </c>
      <c r="H101" s="12" t="s">
        <v>1373</v>
      </c>
      <c r="I101" s="12" t="s">
        <v>1374</v>
      </c>
      <c r="J101" s="12" t="s">
        <v>1375</v>
      </c>
      <c r="K101" s="12" t="s">
        <v>1376</v>
      </c>
      <c r="L101" s="12" t="s">
        <v>1377</v>
      </c>
      <c r="M101" s="12">
        <v>2318</v>
      </c>
      <c r="N101" s="12" t="s">
        <v>1378</v>
      </c>
      <c r="O101" s="12" t="s">
        <v>307</v>
      </c>
      <c r="P101" s="12" t="s">
        <v>1198</v>
      </c>
      <c r="Q101" s="12" t="s">
        <v>1199</v>
      </c>
      <c r="R101" s="12" t="s">
        <v>361</v>
      </c>
      <c r="S101" s="12" t="s">
        <v>361</v>
      </c>
    </row>
    <row r="102" spans="1:19" x14ac:dyDescent="0.25">
      <c r="A102" s="12" t="s">
        <v>1419</v>
      </c>
      <c r="B102" s="12" t="s">
        <v>1107</v>
      </c>
      <c r="C102" s="12">
        <v>25</v>
      </c>
      <c r="D102" s="12" t="s">
        <v>1416</v>
      </c>
      <c r="E102" s="12" t="s">
        <v>1107</v>
      </c>
      <c r="F102" s="12">
        <v>25</v>
      </c>
      <c r="G102" s="12" t="s">
        <v>1417</v>
      </c>
      <c r="H102" s="12" t="s">
        <v>1373</v>
      </c>
      <c r="I102" s="12" t="s">
        <v>1374</v>
      </c>
      <c r="J102" s="12" t="s">
        <v>1375</v>
      </c>
      <c r="K102" s="12" t="s">
        <v>1376</v>
      </c>
      <c r="L102" s="12" t="s">
        <v>1377</v>
      </c>
      <c r="M102" s="12">
        <v>2318</v>
      </c>
      <c r="N102" s="12" t="s">
        <v>1378</v>
      </c>
      <c r="O102" s="12" t="s">
        <v>307</v>
      </c>
      <c r="P102" s="12" t="s">
        <v>1198</v>
      </c>
      <c r="Q102" s="12" t="s">
        <v>1199</v>
      </c>
      <c r="R102" s="12" t="s">
        <v>361</v>
      </c>
      <c r="S102" s="12" t="s">
        <v>361</v>
      </c>
    </row>
    <row r="103" spans="1:19" x14ac:dyDescent="0.25">
      <c r="A103" s="12" t="s">
        <v>1420</v>
      </c>
      <c r="B103" s="12" t="s">
        <v>1107</v>
      </c>
      <c r="C103" s="12">
        <v>25</v>
      </c>
      <c r="D103" s="12" t="s">
        <v>1416</v>
      </c>
      <c r="E103" s="12" t="s">
        <v>1107</v>
      </c>
      <c r="F103" s="12">
        <v>25</v>
      </c>
      <c r="G103" s="12" t="s">
        <v>1417</v>
      </c>
      <c r="H103" s="12" t="s">
        <v>1373</v>
      </c>
      <c r="I103" s="12" t="s">
        <v>1374</v>
      </c>
      <c r="J103" s="12" t="s">
        <v>1375</v>
      </c>
      <c r="K103" s="12" t="s">
        <v>1376</v>
      </c>
      <c r="L103" s="12" t="s">
        <v>1377</v>
      </c>
      <c r="M103" s="12">
        <v>2318</v>
      </c>
      <c r="N103" s="12" t="s">
        <v>1378</v>
      </c>
      <c r="O103" s="12" t="s">
        <v>307</v>
      </c>
      <c r="P103" s="12" t="s">
        <v>1198</v>
      </c>
      <c r="Q103" s="12" t="s">
        <v>1199</v>
      </c>
      <c r="R103" s="12" t="s">
        <v>361</v>
      </c>
      <c r="S103" s="12" t="s">
        <v>361</v>
      </c>
    </row>
    <row r="104" spans="1:19" x14ac:dyDescent="0.25">
      <c r="A104" s="12" t="s">
        <v>1421</v>
      </c>
      <c r="B104" s="12" t="s">
        <v>1107</v>
      </c>
      <c r="C104" s="12">
        <v>25</v>
      </c>
      <c r="D104" s="12" t="s">
        <v>1416</v>
      </c>
      <c r="E104" s="12" t="s">
        <v>1107</v>
      </c>
      <c r="F104" s="12">
        <v>25</v>
      </c>
      <c r="G104" s="12" t="s">
        <v>1417</v>
      </c>
      <c r="H104" s="12" t="s">
        <v>1373</v>
      </c>
      <c r="I104" s="12" t="s">
        <v>1374</v>
      </c>
      <c r="J104" s="12" t="s">
        <v>1375</v>
      </c>
      <c r="K104" s="12" t="s">
        <v>1376</v>
      </c>
      <c r="L104" s="12" t="s">
        <v>1377</v>
      </c>
      <c r="M104" s="12">
        <v>2318</v>
      </c>
      <c r="N104" s="12" t="s">
        <v>1378</v>
      </c>
      <c r="O104" s="12" t="s">
        <v>307</v>
      </c>
      <c r="P104" s="12" t="s">
        <v>1198</v>
      </c>
      <c r="Q104" s="12" t="s">
        <v>1199</v>
      </c>
      <c r="R104" s="12" t="s">
        <v>361</v>
      </c>
      <c r="S104" s="12" t="s">
        <v>361</v>
      </c>
    </row>
    <row r="105" spans="1:19" x14ac:dyDescent="0.25">
      <c r="A105" s="12" t="s">
        <v>1422</v>
      </c>
      <c r="B105" s="12" t="s">
        <v>1107</v>
      </c>
      <c r="C105" s="12">
        <v>25</v>
      </c>
      <c r="D105" s="12" t="s">
        <v>1416</v>
      </c>
      <c r="E105" s="12" t="s">
        <v>1107</v>
      </c>
      <c r="F105" s="12">
        <v>25</v>
      </c>
      <c r="G105" s="12" t="s">
        <v>1417</v>
      </c>
      <c r="H105" s="12" t="s">
        <v>1373</v>
      </c>
      <c r="I105" s="12" t="s">
        <v>1374</v>
      </c>
      <c r="J105" s="12" t="s">
        <v>1375</v>
      </c>
      <c r="K105" s="12" t="s">
        <v>1376</v>
      </c>
      <c r="L105" s="12" t="s">
        <v>1377</v>
      </c>
      <c r="M105" s="12">
        <v>2318</v>
      </c>
      <c r="N105" s="12" t="s">
        <v>1378</v>
      </c>
      <c r="O105" s="12" t="s">
        <v>307</v>
      </c>
      <c r="P105" s="12" t="s">
        <v>1198</v>
      </c>
      <c r="Q105" s="12" t="s">
        <v>1199</v>
      </c>
      <c r="R105" s="12" t="s">
        <v>361</v>
      </c>
      <c r="S105" s="12" t="s">
        <v>361</v>
      </c>
    </row>
    <row r="106" spans="1:19" x14ac:dyDescent="0.25">
      <c r="A106" s="12" t="s">
        <v>1423</v>
      </c>
      <c r="B106" s="12" t="s">
        <v>1107</v>
      </c>
      <c r="C106" s="12">
        <v>25</v>
      </c>
      <c r="D106" s="12" t="s">
        <v>1416</v>
      </c>
      <c r="E106" s="12" t="s">
        <v>1107</v>
      </c>
      <c r="F106" s="12">
        <v>25</v>
      </c>
      <c r="G106" s="12" t="s">
        <v>1417</v>
      </c>
      <c r="H106" s="12" t="s">
        <v>1373</v>
      </c>
      <c r="I106" s="12" t="s">
        <v>1374</v>
      </c>
      <c r="J106" s="12" t="s">
        <v>1375</v>
      </c>
      <c r="K106" s="12" t="s">
        <v>1376</v>
      </c>
      <c r="L106" s="12" t="s">
        <v>1377</v>
      </c>
      <c r="M106" s="12">
        <v>2318</v>
      </c>
      <c r="N106" s="12" t="s">
        <v>1378</v>
      </c>
      <c r="O106" s="12" t="s">
        <v>307</v>
      </c>
      <c r="P106" s="12" t="s">
        <v>1198</v>
      </c>
      <c r="Q106" s="12" t="s">
        <v>1199</v>
      </c>
      <c r="R106" s="12" t="s">
        <v>361</v>
      </c>
      <c r="S106" s="12" t="s">
        <v>361</v>
      </c>
    </row>
    <row r="107" spans="1:19" x14ac:dyDescent="0.25">
      <c r="A107" s="12" t="s">
        <v>1424</v>
      </c>
      <c r="B107" s="12" t="s">
        <v>1107</v>
      </c>
      <c r="C107" s="12">
        <v>25</v>
      </c>
      <c r="D107" s="12" t="s">
        <v>1416</v>
      </c>
      <c r="E107" s="12" t="s">
        <v>1107</v>
      </c>
      <c r="F107" s="12">
        <v>25</v>
      </c>
      <c r="G107" s="12" t="s">
        <v>1417</v>
      </c>
      <c r="H107" s="12" t="s">
        <v>1373</v>
      </c>
      <c r="I107" s="12" t="s">
        <v>1374</v>
      </c>
      <c r="J107" s="12" t="s">
        <v>1375</v>
      </c>
      <c r="K107" s="12" t="s">
        <v>1376</v>
      </c>
      <c r="L107" s="12" t="s">
        <v>1377</v>
      </c>
      <c r="M107" s="12">
        <v>2318</v>
      </c>
      <c r="N107" s="12" t="s">
        <v>1378</v>
      </c>
      <c r="O107" s="12" t="s">
        <v>307</v>
      </c>
      <c r="P107" s="12" t="s">
        <v>1198</v>
      </c>
      <c r="Q107" s="12" t="s">
        <v>1199</v>
      </c>
      <c r="R107" s="12" t="s">
        <v>361</v>
      </c>
      <c r="S107" s="12" t="s">
        <v>361</v>
      </c>
    </row>
    <row r="108" spans="1:19" x14ac:dyDescent="0.25">
      <c r="A108" s="12" t="s">
        <v>1425</v>
      </c>
      <c r="B108" s="12" t="s">
        <v>1107</v>
      </c>
      <c r="C108" s="12">
        <v>25</v>
      </c>
      <c r="D108" s="12" t="s">
        <v>1416</v>
      </c>
      <c r="E108" s="12" t="s">
        <v>1107</v>
      </c>
      <c r="F108" s="12">
        <v>25</v>
      </c>
      <c r="G108" s="12" t="s">
        <v>1417</v>
      </c>
      <c r="H108" s="12" t="s">
        <v>1373</v>
      </c>
      <c r="I108" s="12" t="s">
        <v>1374</v>
      </c>
      <c r="J108" s="12" t="s">
        <v>1375</v>
      </c>
      <c r="K108" s="12" t="s">
        <v>1376</v>
      </c>
      <c r="L108" s="12" t="s">
        <v>1377</v>
      </c>
      <c r="M108" s="12">
        <v>2318</v>
      </c>
      <c r="N108" s="12" t="s">
        <v>1378</v>
      </c>
      <c r="O108" s="12" t="s">
        <v>307</v>
      </c>
      <c r="P108" s="12" t="s">
        <v>1198</v>
      </c>
      <c r="Q108" s="12" t="s">
        <v>1199</v>
      </c>
      <c r="R108" s="12" t="s">
        <v>361</v>
      </c>
      <c r="S108" s="12" t="s">
        <v>361</v>
      </c>
    </row>
    <row r="109" spans="1:19" x14ac:dyDescent="0.25">
      <c r="A109" s="12" t="s">
        <v>1426</v>
      </c>
      <c r="B109" s="12" t="s">
        <v>1107</v>
      </c>
      <c r="C109" s="12">
        <v>25</v>
      </c>
      <c r="D109" s="12" t="s">
        <v>1416</v>
      </c>
      <c r="E109" s="12" t="s">
        <v>1107</v>
      </c>
      <c r="F109" s="12">
        <v>25</v>
      </c>
      <c r="G109" s="12" t="s">
        <v>1417</v>
      </c>
      <c r="H109" s="12" t="s">
        <v>1373</v>
      </c>
      <c r="I109" s="12" t="s">
        <v>1374</v>
      </c>
      <c r="J109" s="12" t="s">
        <v>1375</v>
      </c>
      <c r="K109" s="12" t="s">
        <v>1376</v>
      </c>
      <c r="L109" s="12" t="s">
        <v>1377</v>
      </c>
      <c r="M109" s="12">
        <v>2318</v>
      </c>
      <c r="N109" s="12" t="s">
        <v>1378</v>
      </c>
      <c r="O109" s="12" t="s">
        <v>307</v>
      </c>
      <c r="P109" s="12" t="s">
        <v>1198</v>
      </c>
      <c r="Q109" s="12" t="s">
        <v>1199</v>
      </c>
      <c r="R109" s="12" t="s">
        <v>361</v>
      </c>
      <c r="S109" s="12" t="s">
        <v>361</v>
      </c>
    </row>
    <row r="110" spans="1:19" x14ac:dyDescent="0.25">
      <c r="A110" s="12" t="s">
        <v>1427</v>
      </c>
      <c r="B110" s="12" t="s">
        <v>1107</v>
      </c>
      <c r="C110" s="12">
        <v>25</v>
      </c>
      <c r="D110" s="12" t="s">
        <v>1416</v>
      </c>
      <c r="E110" s="12" t="s">
        <v>1107</v>
      </c>
      <c r="F110" s="12">
        <v>25</v>
      </c>
      <c r="G110" s="12" t="s">
        <v>1417</v>
      </c>
      <c r="H110" s="12" t="s">
        <v>1373</v>
      </c>
      <c r="I110" s="12" t="s">
        <v>1374</v>
      </c>
      <c r="J110" s="12" t="s">
        <v>1375</v>
      </c>
      <c r="K110" s="12" t="s">
        <v>1376</v>
      </c>
      <c r="L110" s="12" t="s">
        <v>1377</v>
      </c>
      <c r="M110" s="12">
        <v>2318</v>
      </c>
      <c r="N110" s="12" t="s">
        <v>1378</v>
      </c>
      <c r="O110" s="12" t="s">
        <v>307</v>
      </c>
      <c r="P110" s="12" t="s">
        <v>1198</v>
      </c>
      <c r="Q110" s="12" t="s">
        <v>1199</v>
      </c>
      <c r="R110" s="12" t="s">
        <v>361</v>
      </c>
      <c r="S110" s="12" t="s">
        <v>361</v>
      </c>
    </row>
    <row r="111" spans="1:19" x14ac:dyDescent="0.25">
      <c r="A111" s="12" t="s">
        <v>1428</v>
      </c>
      <c r="B111" s="12" t="s">
        <v>1107</v>
      </c>
      <c r="C111" s="12">
        <v>25</v>
      </c>
      <c r="D111" s="12" t="s">
        <v>1416</v>
      </c>
      <c r="E111" s="12" t="s">
        <v>1107</v>
      </c>
      <c r="F111" s="12">
        <v>25</v>
      </c>
      <c r="G111" s="12" t="s">
        <v>1417</v>
      </c>
      <c r="H111" s="12" t="s">
        <v>1373</v>
      </c>
      <c r="I111" s="12" t="s">
        <v>1374</v>
      </c>
      <c r="J111" s="12" t="s">
        <v>1375</v>
      </c>
      <c r="K111" s="12" t="s">
        <v>1376</v>
      </c>
      <c r="L111" s="12" t="s">
        <v>1377</v>
      </c>
      <c r="M111" s="12">
        <v>2318</v>
      </c>
      <c r="N111" s="12" t="s">
        <v>1378</v>
      </c>
      <c r="O111" s="12" t="s">
        <v>307</v>
      </c>
      <c r="P111" s="12" t="s">
        <v>1198</v>
      </c>
      <c r="Q111" s="12" t="s">
        <v>1199</v>
      </c>
      <c r="R111" s="12" t="s">
        <v>361</v>
      </c>
      <c r="S111" s="12" t="s">
        <v>361</v>
      </c>
    </row>
    <row r="112" spans="1:19" x14ac:dyDescent="0.25">
      <c r="A112" s="12" t="s">
        <v>1429</v>
      </c>
      <c r="B112" s="12" t="s">
        <v>1107</v>
      </c>
      <c r="C112" s="12">
        <v>25</v>
      </c>
      <c r="D112" s="12" t="s">
        <v>1416</v>
      </c>
      <c r="E112" s="12" t="s">
        <v>1107</v>
      </c>
      <c r="F112" s="12">
        <v>25</v>
      </c>
      <c r="G112" s="12" t="s">
        <v>1417</v>
      </c>
      <c r="H112" s="12" t="s">
        <v>1373</v>
      </c>
      <c r="I112" s="12" t="s">
        <v>1374</v>
      </c>
      <c r="J112" s="12" t="s">
        <v>1375</v>
      </c>
      <c r="K112" s="12" t="s">
        <v>1376</v>
      </c>
      <c r="L112" s="12" t="s">
        <v>1377</v>
      </c>
      <c r="M112" s="12">
        <v>2318</v>
      </c>
      <c r="N112" s="12" t="s">
        <v>1378</v>
      </c>
      <c r="O112" s="12" t="s">
        <v>307</v>
      </c>
      <c r="P112" s="12" t="s">
        <v>1198</v>
      </c>
      <c r="Q112" s="12" t="s">
        <v>1199</v>
      </c>
      <c r="R112" s="12" t="s">
        <v>361</v>
      </c>
      <c r="S112" s="12" t="s">
        <v>361</v>
      </c>
    </row>
    <row r="113" spans="1:19" x14ac:dyDescent="0.25">
      <c r="A113" s="12" t="s">
        <v>1430</v>
      </c>
      <c r="B113" s="12" t="s">
        <v>1107</v>
      </c>
      <c r="C113" s="12">
        <v>25</v>
      </c>
      <c r="D113" s="12" t="s">
        <v>1416</v>
      </c>
      <c r="E113" s="12" t="s">
        <v>1107</v>
      </c>
      <c r="F113" s="12">
        <v>25</v>
      </c>
      <c r="G113" s="12" t="s">
        <v>1417</v>
      </c>
      <c r="H113" s="12" t="s">
        <v>1373</v>
      </c>
      <c r="I113" s="12" t="s">
        <v>1374</v>
      </c>
      <c r="J113" s="12" t="s">
        <v>1375</v>
      </c>
      <c r="K113" s="12" t="s">
        <v>1376</v>
      </c>
      <c r="L113" s="12" t="s">
        <v>1377</v>
      </c>
      <c r="M113" s="12">
        <v>2318</v>
      </c>
      <c r="N113" s="12" t="s">
        <v>1378</v>
      </c>
      <c r="O113" s="12" t="s">
        <v>307</v>
      </c>
      <c r="P113" s="12" t="s">
        <v>1198</v>
      </c>
      <c r="Q113" s="12" t="s">
        <v>1199</v>
      </c>
      <c r="R113" s="12" t="s">
        <v>361</v>
      </c>
      <c r="S113" s="12" t="s">
        <v>361</v>
      </c>
    </row>
    <row r="114" spans="1:19" x14ac:dyDescent="0.25">
      <c r="A114" s="12" t="s">
        <v>1431</v>
      </c>
      <c r="B114" s="12" t="s">
        <v>1107</v>
      </c>
      <c r="C114" s="12">
        <v>25</v>
      </c>
      <c r="D114" s="12" t="s">
        <v>1416</v>
      </c>
      <c r="E114" s="12" t="s">
        <v>1107</v>
      </c>
      <c r="F114" s="12">
        <v>25</v>
      </c>
      <c r="G114" s="12" t="s">
        <v>1417</v>
      </c>
      <c r="H114" s="12" t="s">
        <v>1373</v>
      </c>
      <c r="I114" s="12" t="s">
        <v>1374</v>
      </c>
      <c r="J114" s="12" t="s">
        <v>1375</v>
      </c>
      <c r="K114" s="12" t="s">
        <v>1376</v>
      </c>
      <c r="L114" s="12" t="s">
        <v>1377</v>
      </c>
      <c r="M114" s="12">
        <v>2318</v>
      </c>
      <c r="N114" s="12" t="s">
        <v>1378</v>
      </c>
      <c r="O114" s="12" t="s">
        <v>307</v>
      </c>
      <c r="P114" s="12" t="s">
        <v>1198</v>
      </c>
      <c r="Q114" s="12" t="s">
        <v>1199</v>
      </c>
      <c r="R114" s="12" t="s">
        <v>361</v>
      </c>
      <c r="S114" s="12" t="s">
        <v>361</v>
      </c>
    </row>
    <row r="115" spans="1:19" x14ac:dyDescent="0.25">
      <c r="A115" s="12" t="s">
        <v>1432</v>
      </c>
      <c r="B115" s="12" t="s">
        <v>1124</v>
      </c>
      <c r="C115" s="12">
        <v>35</v>
      </c>
      <c r="D115" s="12" t="s">
        <v>1432</v>
      </c>
      <c r="E115" s="12" t="s">
        <v>1124</v>
      </c>
      <c r="F115" s="12">
        <v>35</v>
      </c>
      <c r="G115" s="12" t="s">
        <v>1433</v>
      </c>
      <c r="H115" s="12" t="s">
        <v>1434</v>
      </c>
      <c r="I115" s="12" t="s">
        <v>1435</v>
      </c>
      <c r="J115" s="12" t="s">
        <v>1266</v>
      </c>
      <c r="K115" s="12" t="s">
        <v>1436</v>
      </c>
      <c r="L115" s="12" t="s">
        <v>1437</v>
      </c>
      <c r="M115" s="12">
        <v>22</v>
      </c>
      <c r="N115" s="12">
        <v>22</v>
      </c>
      <c r="O115" s="12" t="s">
        <v>314</v>
      </c>
      <c r="P115" s="12" t="s">
        <v>1198</v>
      </c>
      <c r="Q115" s="12" t="s">
        <v>1438</v>
      </c>
      <c r="R115" s="12" t="s">
        <v>1270</v>
      </c>
      <c r="S115" s="12" t="s">
        <v>353</v>
      </c>
    </row>
    <row r="116" spans="1:19" x14ac:dyDescent="0.25">
      <c r="A116" s="12" t="s">
        <v>314</v>
      </c>
      <c r="B116" s="12" t="s">
        <v>1110</v>
      </c>
      <c r="C116" s="12">
        <v>45</v>
      </c>
      <c r="D116" s="12" t="s">
        <v>1297</v>
      </c>
      <c r="E116" s="12" t="s">
        <v>1110</v>
      </c>
      <c r="F116" s="12">
        <v>45</v>
      </c>
      <c r="G116" s="12" t="s">
        <v>1298</v>
      </c>
      <c r="H116" s="12" t="s">
        <v>1439</v>
      </c>
      <c r="I116" s="12" t="s">
        <v>1440</v>
      </c>
      <c r="J116" s="12" t="s">
        <v>1298</v>
      </c>
      <c r="K116" s="12" t="s">
        <v>1436</v>
      </c>
      <c r="L116" s="12" t="s">
        <v>1437</v>
      </c>
      <c r="M116" s="12">
        <v>33</v>
      </c>
      <c r="N116" s="12">
        <v>33</v>
      </c>
      <c r="O116" s="12" t="s">
        <v>314</v>
      </c>
      <c r="P116" s="12" t="s">
        <v>1198</v>
      </c>
      <c r="Q116" s="12" t="s">
        <v>1438</v>
      </c>
      <c r="R116" s="12" t="s">
        <v>1301</v>
      </c>
      <c r="S116" s="12" t="s">
        <v>365</v>
      </c>
    </row>
    <row r="117" spans="1:19" x14ac:dyDescent="0.25">
      <c r="A117" s="12" t="s">
        <v>1441</v>
      </c>
      <c r="B117" s="12" t="s">
        <v>1110</v>
      </c>
      <c r="C117" s="12">
        <v>45</v>
      </c>
      <c r="D117" s="12" t="s">
        <v>1297</v>
      </c>
      <c r="E117" s="12" t="s">
        <v>1110</v>
      </c>
      <c r="F117" s="12">
        <v>45</v>
      </c>
      <c r="G117" s="12" t="s">
        <v>1298</v>
      </c>
      <c r="H117" s="12" t="s">
        <v>1439</v>
      </c>
      <c r="I117" s="12" t="s">
        <v>1440</v>
      </c>
      <c r="J117" s="12" t="s">
        <v>1298</v>
      </c>
      <c r="K117" s="12" t="s">
        <v>1436</v>
      </c>
      <c r="L117" s="12" t="s">
        <v>1437</v>
      </c>
      <c r="M117" s="12">
        <v>33</v>
      </c>
      <c r="N117" s="12">
        <v>33</v>
      </c>
      <c r="O117" s="12" t="s">
        <v>314</v>
      </c>
      <c r="P117" s="12" t="s">
        <v>1198</v>
      </c>
      <c r="Q117" s="12" t="s">
        <v>1438</v>
      </c>
      <c r="R117" s="12" t="s">
        <v>1301</v>
      </c>
      <c r="S117" s="12" t="s">
        <v>365</v>
      </c>
    </row>
    <row r="118" spans="1:19" x14ac:dyDescent="0.25">
      <c r="A118" s="12" t="s">
        <v>1442</v>
      </c>
      <c r="B118" s="12" t="s">
        <v>1096</v>
      </c>
      <c r="C118" s="12">
        <v>37</v>
      </c>
      <c r="D118" s="12" t="s">
        <v>1443</v>
      </c>
      <c r="E118" s="12" t="s">
        <v>1096</v>
      </c>
      <c r="F118" s="12">
        <v>37</v>
      </c>
      <c r="G118" s="12" t="s">
        <v>1444</v>
      </c>
      <c r="H118" s="12" t="s">
        <v>1445</v>
      </c>
      <c r="I118" s="12" t="s">
        <v>1446</v>
      </c>
      <c r="J118" s="12" t="s">
        <v>1447</v>
      </c>
      <c r="K118" s="12" t="s">
        <v>310</v>
      </c>
      <c r="L118" s="12" t="s">
        <v>1448</v>
      </c>
      <c r="M118" s="12">
        <v>22</v>
      </c>
      <c r="N118" s="12">
        <v>22</v>
      </c>
      <c r="O118" s="12" t="s">
        <v>310</v>
      </c>
      <c r="P118" s="12" t="s">
        <v>1198</v>
      </c>
      <c r="Q118" s="12" t="s">
        <v>1449</v>
      </c>
      <c r="R118" s="12" t="s">
        <v>1200</v>
      </c>
      <c r="S118" s="12" t="s">
        <v>1200</v>
      </c>
    </row>
    <row r="119" spans="1:19" x14ac:dyDescent="0.25">
      <c r="A119" s="12" t="s">
        <v>1450</v>
      </c>
      <c r="B119" s="12" t="s">
        <v>1096</v>
      </c>
      <c r="C119" s="12">
        <v>37</v>
      </c>
      <c r="D119" s="12" t="s">
        <v>1443</v>
      </c>
      <c r="E119" s="12" t="s">
        <v>1096</v>
      </c>
      <c r="F119" s="12">
        <v>37</v>
      </c>
      <c r="G119" s="12" t="s">
        <v>1444</v>
      </c>
      <c r="H119" s="12" t="s">
        <v>1445</v>
      </c>
      <c r="I119" s="12" t="s">
        <v>1446</v>
      </c>
      <c r="J119" s="12" t="s">
        <v>1447</v>
      </c>
      <c r="K119" s="12" t="s">
        <v>310</v>
      </c>
      <c r="L119" s="12" t="s">
        <v>1448</v>
      </c>
      <c r="M119" s="12">
        <v>22</v>
      </c>
      <c r="N119" s="12">
        <v>22</v>
      </c>
      <c r="O119" s="12" t="s">
        <v>310</v>
      </c>
      <c r="P119" s="12" t="s">
        <v>1198</v>
      </c>
      <c r="Q119" s="12" t="s">
        <v>1449</v>
      </c>
      <c r="R119" s="12" t="s">
        <v>1200</v>
      </c>
      <c r="S119" s="12" t="s">
        <v>1200</v>
      </c>
    </row>
    <row r="120" spans="1:19" x14ac:dyDescent="0.25">
      <c r="A120" s="12" t="s">
        <v>1451</v>
      </c>
      <c r="B120" s="12" t="s">
        <v>1090</v>
      </c>
      <c r="C120" s="12">
        <v>40</v>
      </c>
      <c r="D120" s="12" t="s">
        <v>1451</v>
      </c>
      <c r="E120" s="12" t="s">
        <v>1090</v>
      </c>
      <c r="F120" s="12">
        <v>40</v>
      </c>
      <c r="G120" s="12" t="s">
        <v>1452</v>
      </c>
      <c r="H120" s="12" t="s">
        <v>1451</v>
      </c>
      <c r="I120" s="12" t="s">
        <v>1453</v>
      </c>
      <c r="J120" s="12" t="s">
        <v>1454</v>
      </c>
      <c r="K120" s="12" t="s">
        <v>312</v>
      </c>
      <c r="L120" s="12" t="s">
        <v>1455</v>
      </c>
      <c r="M120" s="12">
        <v>26</v>
      </c>
      <c r="N120" s="12">
        <v>26</v>
      </c>
      <c r="O120" s="12" t="s">
        <v>312</v>
      </c>
      <c r="P120" s="12" t="s">
        <v>1198</v>
      </c>
      <c r="Q120" s="12" t="s">
        <v>1456</v>
      </c>
      <c r="R120" s="12" t="s">
        <v>1457</v>
      </c>
      <c r="S120" s="12" t="s">
        <v>351</v>
      </c>
    </row>
    <row r="121" spans="1:19" x14ac:dyDescent="0.25">
      <c r="A121" s="12" t="s">
        <v>1458</v>
      </c>
      <c r="B121" s="12" t="s">
        <v>1089</v>
      </c>
      <c r="C121" s="12">
        <v>41</v>
      </c>
      <c r="D121" s="12" t="s">
        <v>1458</v>
      </c>
      <c r="E121" s="12" t="s">
        <v>1089</v>
      </c>
      <c r="F121" s="12">
        <v>41</v>
      </c>
      <c r="G121" s="12" t="s">
        <v>1459</v>
      </c>
      <c r="H121" s="12" t="s">
        <v>1458</v>
      </c>
      <c r="I121" s="12" t="s">
        <v>1460</v>
      </c>
      <c r="J121" s="12" t="s">
        <v>1454</v>
      </c>
      <c r="K121" s="12" t="s">
        <v>312</v>
      </c>
      <c r="L121" s="12" t="s">
        <v>1455</v>
      </c>
      <c r="M121" s="12">
        <v>27</v>
      </c>
      <c r="N121" s="12">
        <v>27</v>
      </c>
      <c r="O121" s="12" t="s">
        <v>312</v>
      </c>
      <c r="P121" s="12" t="s">
        <v>1198</v>
      </c>
      <c r="Q121" s="12" t="s">
        <v>1456</v>
      </c>
      <c r="R121" s="12" t="s">
        <v>1457</v>
      </c>
      <c r="S121" s="12" t="s">
        <v>351</v>
      </c>
    </row>
    <row r="122" spans="1:19" x14ac:dyDescent="0.25">
      <c r="A122" s="12" t="s">
        <v>1461</v>
      </c>
      <c r="B122" s="12" t="s">
        <v>1109</v>
      </c>
      <c r="C122" s="12">
        <v>42</v>
      </c>
      <c r="D122" s="12" t="s">
        <v>1461</v>
      </c>
      <c r="E122" s="12" t="s">
        <v>1109</v>
      </c>
      <c r="F122" s="12">
        <v>42</v>
      </c>
      <c r="G122" s="12" t="s">
        <v>312</v>
      </c>
      <c r="H122" s="12" t="s">
        <v>1461</v>
      </c>
      <c r="I122" s="12" t="s">
        <v>1462</v>
      </c>
      <c r="J122" s="12" t="s">
        <v>1454</v>
      </c>
      <c r="K122" s="12" t="s">
        <v>312</v>
      </c>
      <c r="L122" s="12" t="s">
        <v>1455</v>
      </c>
      <c r="M122" s="12">
        <v>28</v>
      </c>
      <c r="N122" s="12">
        <v>28</v>
      </c>
      <c r="O122" s="12" t="s">
        <v>312</v>
      </c>
      <c r="P122" s="12" t="s">
        <v>1198</v>
      </c>
      <c r="Q122" s="12" t="s">
        <v>1456</v>
      </c>
      <c r="R122" s="12" t="s">
        <v>1457</v>
      </c>
      <c r="S122" s="12" t="s">
        <v>351</v>
      </c>
    </row>
    <row r="123" spans="1:19" x14ac:dyDescent="0.25">
      <c r="A123" s="12" t="s">
        <v>1463</v>
      </c>
      <c r="B123" s="12" t="s">
        <v>1091</v>
      </c>
      <c r="C123" s="12">
        <v>39</v>
      </c>
      <c r="D123" s="12" t="s">
        <v>1463</v>
      </c>
      <c r="E123" s="12" t="s">
        <v>1091</v>
      </c>
      <c r="F123" s="12">
        <v>39</v>
      </c>
      <c r="G123" s="12" t="s">
        <v>1464</v>
      </c>
      <c r="H123" s="12" t="s">
        <v>1463</v>
      </c>
      <c r="I123" s="12" t="s">
        <v>1465</v>
      </c>
      <c r="J123" s="12" t="s">
        <v>1447</v>
      </c>
      <c r="K123" s="12" t="s">
        <v>312</v>
      </c>
      <c r="L123" s="12" t="s">
        <v>1455</v>
      </c>
      <c r="M123" s="12">
        <v>22</v>
      </c>
      <c r="N123" s="12">
        <v>22</v>
      </c>
      <c r="O123" s="12" t="s">
        <v>312</v>
      </c>
      <c r="P123" s="12" t="s">
        <v>1198</v>
      </c>
      <c r="Q123" s="12" t="s">
        <v>1456</v>
      </c>
      <c r="R123" s="12" t="s">
        <v>1200</v>
      </c>
      <c r="S123" s="12" t="s">
        <v>1200</v>
      </c>
    </row>
    <row r="124" spans="1:19" x14ac:dyDescent="0.25">
      <c r="A124" s="12" t="s">
        <v>1466</v>
      </c>
      <c r="B124" s="12" t="s">
        <v>1116</v>
      </c>
      <c r="C124" s="12">
        <v>18</v>
      </c>
      <c r="D124" s="12" t="s">
        <v>1467</v>
      </c>
      <c r="E124" s="12" t="s">
        <v>1116</v>
      </c>
      <c r="F124" s="12">
        <v>18</v>
      </c>
      <c r="G124" s="12" t="s">
        <v>1468</v>
      </c>
      <c r="H124" s="12" t="s">
        <v>1469</v>
      </c>
      <c r="I124" s="12" t="s">
        <v>1470</v>
      </c>
      <c r="J124" s="12" t="s">
        <v>1471</v>
      </c>
      <c r="K124" s="12" t="s">
        <v>1469</v>
      </c>
      <c r="L124" s="12" t="s">
        <v>1472</v>
      </c>
      <c r="M124" s="12">
        <v>17</v>
      </c>
      <c r="N124" s="12">
        <v>3</v>
      </c>
      <c r="O124" s="12" t="s">
        <v>309</v>
      </c>
      <c r="P124" s="12" t="s">
        <v>1198</v>
      </c>
      <c r="Q124" s="12" t="s">
        <v>1269</v>
      </c>
      <c r="R124" s="12" t="s">
        <v>1200</v>
      </c>
      <c r="S124" s="12" t="s">
        <v>1200</v>
      </c>
    </row>
    <row r="125" spans="1:19" x14ac:dyDescent="0.25">
      <c r="A125" s="12" t="s">
        <v>1473</v>
      </c>
      <c r="B125" s="12" t="s">
        <v>1116</v>
      </c>
      <c r="C125" s="12">
        <v>18</v>
      </c>
      <c r="D125" s="12" t="s">
        <v>1467</v>
      </c>
      <c r="E125" s="12" t="s">
        <v>1116</v>
      </c>
      <c r="F125" s="12">
        <v>18</v>
      </c>
      <c r="G125" s="12" t="s">
        <v>1468</v>
      </c>
      <c r="H125" s="12" t="s">
        <v>1469</v>
      </c>
      <c r="I125" s="12" t="s">
        <v>1470</v>
      </c>
      <c r="J125" s="12" t="s">
        <v>1471</v>
      </c>
      <c r="K125" s="12" t="s">
        <v>1469</v>
      </c>
      <c r="L125" s="12" t="s">
        <v>1472</v>
      </c>
      <c r="M125" s="12">
        <v>17</v>
      </c>
      <c r="N125" s="12">
        <v>3</v>
      </c>
      <c r="O125" s="12" t="s">
        <v>309</v>
      </c>
      <c r="P125" s="12" t="s">
        <v>1198</v>
      </c>
      <c r="Q125" s="12" t="s">
        <v>1269</v>
      </c>
      <c r="R125" s="12" t="s">
        <v>1200</v>
      </c>
      <c r="S125" s="12" t="s">
        <v>1200</v>
      </c>
    </row>
    <row r="126" spans="1:19" x14ac:dyDescent="0.25">
      <c r="A126" s="12" t="s">
        <v>1474</v>
      </c>
      <c r="B126" s="12" t="s">
        <v>1116</v>
      </c>
      <c r="C126" s="12">
        <v>18</v>
      </c>
      <c r="D126" s="12" t="s">
        <v>1467</v>
      </c>
      <c r="E126" s="12" t="s">
        <v>1116</v>
      </c>
      <c r="F126" s="12">
        <v>18</v>
      </c>
      <c r="G126" s="12" t="s">
        <v>1468</v>
      </c>
      <c r="H126" s="12" t="s">
        <v>1469</v>
      </c>
      <c r="I126" s="12" t="s">
        <v>1470</v>
      </c>
      <c r="J126" s="12" t="s">
        <v>1471</v>
      </c>
      <c r="K126" s="12" t="s">
        <v>1469</v>
      </c>
      <c r="L126" s="12" t="s">
        <v>1472</v>
      </c>
      <c r="M126" s="12">
        <v>17</v>
      </c>
      <c r="N126" s="12">
        <v>3</v>
      </c>
      <c r="O126" s="12" t="s">
        <v>309</v>
      </c>
      <c r="P126" s="12" t="s">
        <v>1198</v>
      </c>
      <c r="Q126" s="12" t="s">
        <v>1269</v>
      </c>
      <c r="R126" s="12" t="s">
        <v>1200</v>
      </c>
      <c r="S126" s="12" t="s">
        <v>1200</v>
      </c>
    </row>
    <row r="127" spans="1:19" x14ac:dyDescent="0.25">
      <c r="A127" s="12" t="s">
        <v>1475</v>
      </c>
      <c r="B127" s="12" t="s">
        <v>1113</v>
      </c>
      <c r="C127" s="12">
        <v>62</v>
      </c>
      <c r="D127" s="12" t="s">
        <v>1332</v>
      </c>
      <c r="E127" s="12" t="s">
        <v>1113</v>
      </c>
      <c r="F127" s="12">
        <v>62</v>
      </c>
      <c r="G127" s="12" t="s">
        <v>1333</v>
      </c>
      <c r="H127" s="12" t="s">
        <v>1475</v>
      </c>
      <c r="I127" s="12" t="s">
        <v>1476</v>
      </c>
      <c r="J127" s="12" t="s">
        <v>1477</v>
      </c>
      <c r="K127" s="12" t="s">
        <v>1469</v>
      </c>
      <c r="L127" s="12" t="s">
        <v>1472</v>
      </c>
      <c r="M127" s="12">
        <v>99</v>
      </c>
      <c r="N127" s="12">
        <v>99</v>
      </c>
      <c r="O127" s="12" t="s">
        <v>309</v>
      </c>
      <c r="P127" s="12" t="s">
        <v>1198</v>
      </c>
      <c r="Q127" s="12" t="s">
        <v>1269</v>
      </c>
      <c r="R127" s="12" t="s">
        <v>1305</v>
      </c>
      <c r="S127" s="12" t="s">
        <v>367</v>
      </c>
    </row>
    <row r="128" spans="1:19" x14ac:dyDescent="0.25">
      <c r="A128" s="12" t="s">
        <v>1478</v>
      </c>
      <c r="B128" s="12" t="s">
        <v>1102</v>
      </c>
      <c r="C128" s="12">
        <v>38</v>
      </c>
      <c r="D128" s="12" t="s">
        <v>1479</v>
      </c>
      <c r="E128" s="12" t="s">
        <v>1102</v>
      </c>
      <c r="F128" s="12">
        <v>38</v>
      </c>
      <c r="G128" s="12" t="s">
        <v>1480</v>
      </c>
      <c r="H128" s="12" t="s">
        <v>1445</v>
      </c>
      <c r="I128" s="12" t="s">
        <v>1446</v>
      </c>
      <c r="J128" s="12" t="s">
        <v>1447</v>
      </c>
      <c r="K128" s="12" t="s">
        <v>311</v>
      </c>
      <c r="L128" s="12" t="s">
        <v>1481</v>
      </c>
      <c r="M128" s="12">
        <v>22</v>
      </c>
      <c r="N128" s="12">
        <v>22</v>
      </c>
      <c r="O128" s="12" t="s">
        <v>311</v>
      </c>
      <c r="P128" s="12" t="s">
        <v>1198</v>
      </c>
      <c r="Q128" s="12" t="s">
        <v>1102</v>
      </c>
      <c r="R128" s="12" t="s">
        <v>1200</v>
      </c>
      <c r="S128" s="12" t="s">
        <v>1200</v>
      </c>
    </row>
    <row r="129" spans="1:19" x14ac:dyDescent="0.25">
      <c r="A129" s="12" t="s">
        <v>1482</v>
      </c>
      <c r="B129" s="12" t="s">
        <v>1102</v>
      </c>
      <c r="C129" s="12">
        <v>38</v>
      </c>
      <c r="D129" s="12" t="s">
        <v>1479</v>
      </c>
      <c r="E129" s="12" t="s">
        <v>1102</v>
      </c>
      <c r="F129" s="12">
        <v>38</v>
      </c>
      <c r="G129" s="12" t="s">
        <v>1480</v>
      </c>
      <c r="H129" s="12" t="s">
        <v>1445</v>
      </c>
      <c r="I129" s="12" t="s">
        <v>1446</v>
      </c>
      <c r="J129" s="12" t="s">
        <v>1447</v>
      </c>
      <c r="K129" s="12" t="s">
        <v>311</v>
      </c>
      <c r="L129" s="12" t="s">
        <v>1481</v>
      </c>
      <c r="M129" s="12">
        <v>22</v>
      </c>
      <c r="N129" s="12">
        <v>22</v>
      </c>
      <c r="O129" s="12" t="s">
        <v>311</v>
      </c>
      <c r="P129" s="12" t="s">
        <v>1198</v>
      </c>
      <c r="Q129" s="12" t="s">
        <v>1102</v>
      </c>
      <c r="R129" s="12" t="s">
        <v>1200</v>
      </c>
      <c r="S129" s="12" t="s">
        <v>1200</v>
      </c>
    </row>
    <row r="130" spans="1:19" x14ac:dyDescent="0.25">
      <c r="A130" s="12" t="s">
        <v>1483</v>
      </c>
      <c r="B130" s="12" t="s">
        <v>1103</v>
      </c>
      <c r="C130" s="12">
        <v>36</v>
      </c>
      <c r="D130" s="12" t="s">
        <v>1483</v>
      </c>
      <c r="E130" s="12" t="s">
        <v>1103</v>
      </c>
      <c r="F130" s="12">
        <v>36</v>
      </c>
      <c r="G130" s="12" t="s">
        <v>1484</v>
      </c>
      <c r="H130" s="12" t="s">
        <v>1483</v>
      </c>
      <c r="I130" s="12" t="s">
        <v>1485</v>
      </c>
      <c r="J130" s="12" t="s">
        <v>1447</v>
      </c>
      <c r="K130" s="12" t="s">
        <v>1484</v>
      </c>
      <c r="L130" s="12" t="s">
        <v>1486</v>
      </c>
      <c r="M130" s="12">
        <v>22</v>
      </c>
      <c r="N130" s="12">
        <v>22</v>
      </c>
      <c r="O130" s="12" t="s">
        <v>313</v>
      </c>
      <c r="P130" s="12" t="s">
        <v>1198</v>
      </c>
      <c r="Q130" s="12" t="s">
        <v>1487</v>
      </c>
      <c r="R130" s="12" t="s">
        <v>1200</v>
      </c>
      <c r="S130" s="12" t="s">
        <v>1200</v>
      </c>
    </row>
    <row r="131" spans="1:19" x14ac:dyDescent="0.25">
      <c r="A131" s="12" t="s">
        <v>1488</v>
      </c>
      <c r="B131" s="12" t="s">
        <v>1121</v>
      </c>
      <c r="C131" s="12">
        <v>31</v>
      </c>
      <c r="D131" s="12" t="s">
        <v>1489</v>
      </c>
      <c r="E131" s="12" t="s">
        <v>1121</v>
      </c>
      <c r="F131" s="12">
        <v>31</v>
      </c>
      <c r="G131" s="12" t="s">
        <v>368</v>
      </c>
      <c r="H131" s="12" t="s">
        <v>1490</v>
      </c>
      <c r="I131" s="12" t="s">
        <v>1491</v>
      </c>
      <c r="J131" s="12" t="s">
        <v>1492</v>
      </c>
      <c r="K131" s="12" t="s">
        <v>1493</v>
      </c>
      <c r="L131" s="12" t="s">
        <v>1494</v>
      </c>
      <c r="M131" s="12">
        <v>18</v>
      </c>
      <c r="N131" s="12" t="s">
        <v>1495</v>
      </c>
      <c r="O131" s="12" t="s">
        <v>314</v>
      </c>
      <c r="P131" s="12" t="s">
        <v>1198</v>
      </c>
      <c r="Q131" s="12" t="s">
        <v>1438</v>
      </c>
      <c r="R131" s="12" t="s">
        <v>1496</v>
      </c>
      <c r="S131" s="12" t="s">
        <v>369</v>
      </c>
    </row>
    <row r="132" spans="1:19" x14ac:dyDescent="0.25">
      <c r="A132" s="12" t="s">
        <v>1497</v>
      </c>
      <c r="B132" s="12" t="s">
        <v>1121</v>
      </c>
      <c r="C132" s="12">
        <v>31</v>
      </c>
      <c r="D132" s="12" t="s">
        <v>1489</v>
      </c>
      <c r="E132" s="12" t="s">
        <v>1121</v>
      </c>
      <c r="F132" s="12">
        <v>31</v>
      </c>
      <c r="G132" s="12" t="s">
        <v>368</v>
      </c>
      <c r="H132" s="12" t="s">
        <v>1497</v>
      </c>
      <c r="I132" s="12" t="s">
        <v>1498</v>
      </c>
      <c r="J132" s="12" t="s">
        <v>1298</v>
      </c>
      <c r="K132" s="12" t="s">
        <v>1493</v>
      </c>
      <c r="L132" s="12" t="s">
        <v>1494</v>
      </c>
      <c r="M132" s="12">
        <v>18</v>
      </c>
      <c r="N132" s="12" t="s">
        <v>1495</v>
      </c>
      <c r="O132" s="12" t="s">
        <v>314</v>
      </c>
      <c r="P132" s="12" t="s">
        <v>1198</v>
      </c>
      <c r="Q132" s="12" t="s">
        <v>1438</v>
      </c>
      <c r="R132" s="12" t="s">
        <v>1496</v>
      </c>
      <c r="S132" s="12" t="s">
        <v>369</v>
      </c>
    </row>
    <row r="133" spans="1:19" x14ac:dyDescent="0.25">
      <c r="A133" s="12" t="s">
        <v>1499</v>
      </c>
      <c r="B133" s="12" t="s">
        <v>1136</v>
      </c>
      <c r="C133" s="12">
        <v>48</v>
      </c>
      <c r="D133" s="12" t="s">
        <v>1500</v>
      </c>
      <c r="E133" s="12" t="s">
        <v>1136</v>
      </c>
      <c r="F133" s="12">
        <v>48</v>
      </c>
      <c r="G133" s="12" t="s">
        <v>1501</v>
      </c>
      <c r="H133" s="12" t="s">
        <v>1502</v>
      </c>
      <c r="I133" s="12" t="s">
        <v>1503</v>
      </c>
      <c r="J133" s="12" t="s">
        <v>1504</v>
      </c>
      <c r="K133" s="12" t="s">
        <v>1281</v>
      </c>
      <c r="L133" s="12" t="s">
        <v>1282</v>
      </c>
      <c r="M133" s="12">
        <v>39</v>
      </c>
      <c r="N133" s="12">
        <v>36</v>
      </c>
      <c r="O133" s="12" t="s">
        <v>308</v>
      </c>
      <c r="P133" s="12" t="s">
        <v>1198</v>
      </c>
      <c r="Q133" s="12" t="s">
        <v>1283</v>
      </c>
      <c r="R133" s="12" t="s">
        <v>1301</v>
      </c>
      <c r="S133" s="12" t="s">
        <v>365</v>
      </c>
    </row>
    <row r="134" spans="1:19" x14ac:dyDescent="0.25">
      <c r="A134" s="12" t="s">
        <v>1505</v>
      </c>
      <c r="B134" s="12" t="s">
        <v>1136</v>
      </c>
      <c r="C134" s="12">
        <v>48</v>
      </c>
      <c r="D134" s="12" t="s">
        <v>1500</v>
      </c>
      <c r="E134" s="12" t="s">
        <v>1136</v>
      </c>
      <c r="F134" s="12">
        <v>48</v>
      </c>
      <c r="G134" s="12" t="s">
        <v>1501</v>
      </c>
      <c r="H134" s="12" t="s">
        <v>1502</v>
      </c>
      <c r="I134" s="12" t="s">
        <v>1503</v>
      </c>
      <c r="J134" s="12" t="s">
        <v>1504</v>
      </c>
      <c r="K134" s="12" t="s">
        <v>1281</v>
      </c>
      <c r="L134" s="12" t="s">
        <v>1282</v>
      </c>
      <c r="M134" s="12">
        <v>39</v>
      </c>
      <c r="N134" s="12">
        <v>36</v>
      </c>
      <c r="O134" s="12" t="s">
        <v>308</v>
      </c>
      <c r="P134" s="12" t="s">
        <v>1198</v>
      </c>
      <c r="Q134" s="12" t="s">
        <v>1283</v>
      </c>
      <c r="R134" s="12" t="s">
        <v>1301</v>
      </c>
      <c r="S134" s="12" t="s">
        <v>365</v>
      </c>
    </row>
    <row r="135" spans="1:19" x14ac:dyDescent="0.25">
      <c r="A135" s="12" t="s">
        <v>1506</v>
      </c>
      <c r="B135" s="12" t="s">
        <v>1136</v>
      </c>
      <c r="C135" s="12">
        <v>48</v>
      </c>
      <c r="D135" s="12" t="s">
        <v>1500</v>
      </c>
      <c r="E135" s="12" t="s">
        <v>1136</v>
      </c>
      <c r="F135" s="12">
        <v>48</v>
      </c>
      <c r="G135" s="12" t="s">
        <v>1501</v>
      </c>
      <c r="H135" s="12" t="s">
        <v>1507</v>
      </c>
      <c r="I135" s="12" t="s">
        <v>1508</v>
      </c>
      <c r="J135" s="12" t="s">
        <v>1509</v>
      </c>
      <c r="K135" s="12" t="s">
        <v>1281</v>
      </c>
      <c r="L135" s="12" t="s">
        <v>1282</v>
      </c>
      <c r="M135" s="12">
        <v>39</v>
      </c>
      <c r="N135" s="12">
        <v>36</v>
      </c>
      <c r="O135" s="12" t="s">
        <v>308</v>
      </c>
      <c r="P135" s="12" t="s">
        <v>1198</v>
      </c>
      <c r="Q135" s="12" t="s">
        <v>1283</v>
      </c>
      <c r="R135" s="12" t="s">
        <v>1301</v>
      </c>
      <c r="S135" s="12" t="s">
        <v>365</v>
      </c>
    </row>
    <row r="136" spans="1:19" x14ac:dyDescent="0.25">
      <c r="A136" s="12" t="s">
        <v>1510</v>
      </c>
      <c r="B136" s="12" t="s">
        <v>1136</v>
      </c>
      <c r="C136" s="12">
        <v>48</v>
      </c>
      <c r="D136" s="12" t="s">
        <v>1500</v>
      </c>
      <c r="E136" s="12" t="s">
        <v>1136</v>
      </c>
      <c r="F136" s="12">
        <v>48</v>
      </c>
      <c r="G136" s="12" t="s">
        <v>1501</v>
      </c>
      <c r="H136" s="12" t="s">
        <v>1502</v>
      </c>
      <c r="I136" s="12" t="s">
        <v>1503</v>
      </c>
      <c r="J136" s="12" t="s">
        <v>1509</v>
      </c>
      <c r="K136" s="12" t="s">
        <v>1281</v>
      </c>
      <c r="L136" s="12" t="s">
        <v>1282</v>
      </c>
      <c r="M136" s="12">
        <v>39</v>
      </c>
      <c r="N136" s="12">
        <v>36</v>
      </c>
      <c r="O136" s="12" t="s">
        <v>308</v>
      </c>
      <c r="P136" s="12" t="s">
        <v>1198</v>
      </c>
      <c r="Q136" s="12" t="s">
        <v>1283</v>
      </c>
      <c r="R136" s="12" t="s">
        <v>1301</v>
      </c>
      <c r="S136" s="12" t="s">
        <v>365</v>
      </c>
    </row>
    <row r="137" spans="1:19" x14ac:dyDescent="0.25">
      <c r="A137" s="12" t="s">
        <v>1511</v>
      </c>
      <c r="B137" s="12" t="s">
        <v>1512</v>
      </c>
      <c r="C137" s="12">
        <v>47</v>
      </c>
      <c r="D137" s="12" t="s">
        <v>1513</v>
      </c>
      <c r="E137" s="12" t="s">
        <v>1512</v>
      </c>
      <c r="F137" s="12">
        <v>47</v>
      </c>
      <c r="G137" s="12" t="s">
        <v>1514</v>
      </c>
      <c r="H137" s="12" t="s">
        <v>1515</v>
      </c>
      <c r="I137" s="12" t="s">
        <v>1516</v>
      </c>
      <c r="J137" s="12" t="s">
        <v>1504</v>
      </c>
      <c r="K137" s="12" t="s">
        <v>1517</v>
      </c>
      <c r="L137" s="12" t="s">
        <v>1518</v>
      </c>
      <c r="M137" s="12">
        <v>33</v>
      </c>
      <c r="N137" s="12">
        <v>33</v>
      </c>
      <c r="O137" s="12" t="s">
        <v>301</v>
      </c>
      <c r="P137" s="12" t="s">
        <v>1519</v>
      </c>
      <c r="Q137" s="12" t="s">
        <v>1520</v>
      </c>
      <c r="R137" s="12" t="s">
        <v>339</v>
      </c>
      <c r="S137" s="12" t="s">
        <v>339</v>
      </c>
    </row>
    <row r="138" spans="1:19" x14ac:dyDescent="0.25">
      <c r="A138" s="12" t="s">
        <v>1521</v>
      </c>
      <c r="B138" s="12" t="s">
        <v>339</v>
      </c>
      <c r="C138" s="12"/>
      <c r="D138" s="12" t="s">
        <v>1521</v>
      </c>
      <c r="E138" s="12" t="s">
        <v>339</v>
      </c>
      <c r="F138" s="12"/>
      <c r="G138" s="12" t="s">
        <v>1521</v>
      </c>
      <c r="H138" s="12" t="s">
        <v>1521</v>
      </c>
      <c r="I138" s="12"/>
      <c r="J138" s="12"/>
      <c r="K138" s="12"/>
      <c r="L138" s="12"/>
      <c r="M138" s="12"/>
      <c r="N138" s="12"/>
      <c r="O138" s="12"/>
      <c r="P138" s="12"/>
      <c r="Q138" s="12" t="s">
        <v>1520</v>
      </c>
      <c r="R138" s="12" t="s">
        <v>339</v>
      </c>
      <c r="S138" s="12" t="s">
        <v>339</v>
      </c>
    </row>
    <row r="139" spans="1:19" x14ac:dyDescent="0.25">
      <c r="A139" s="12" t="s">
        <v>1522</v>
      </c>
      <c r="B139" s="12" t="s">
        <v>1123</v>
      </c>
      <c r="C139" s="12">
        <v>61</v>
      </c>
      <c r="D139" s="12" t="s">
        <v>1523</v>
      </c>
      <c r="E139" s="12" t="s">
        <v>1123</v>
      </c>
      <c r="F139" s="12">
        <v>61</v>
      </c>
      <c r="G139" s="12" t="s">
        <v>1524</v>
      </c>
      <c r="H139" s="12" t="s">
        <v>1525</v>
      </c>
      <c r="I139" s="12" t="s">
        <v>1526</v>
      </c>
      <c r="J139" s="12" t="s">
        <v>1527</v>
      </c>
      <c r="K139" s="12" t="s">
        <v>1528</v>
      </c>
      <c r="L139" s="12" t="s">
        <v>1529</v>
      </c>
      <c r="M139" s="12" t="s">
        <v>1530</v>
      </c>
      <c r="N139" s="12" t="s">
        <v>1531</v>
      </c>
      <c r="O139" s="12" t="s">
        <v>306</v>
      </c>
      <c r="P139" s="12" t="s">
        <v>306</v>
      </c>
      <c r="Q139" s="12" t="s">
        <v>1532</v>
      </c>
      <c r="R139" s="12" t="s">
        <v>1342</v>
      </c>
      <c r="S139" s="12" t="s">
        <v>373</v>
      </c>
    </row>
    <row r="140" spans="1:19" x14ac:dyDescent="0.25">
      <c r="A140" s="12" t="s">
        <v>1533</v>
      </c>
      <c r="B140" s="12" t="s">
        <v>1127</v>
      </c>
      <c r="C140" s="12">
        <v>27</v>
      </c>
      <c r="D140" s="12" t="s">
        <v>1533</v>
      </c>
      <c r="E140" s="12" t="s">
        <v>1127</v>
      </c>
      <c r="F140" s="12">
        <v>27</v>
      </c>
      <c r="G140" s="12" t="s">
        <v>1534</v>
      </c>
      <c r="H140" s="12" t="s">
        <v>1535</v>
      </c>
      <c r="I140" s="12" t="s">
        <v>1536</v>
      </c>
      <c r="J140" s="12" t="s">
        <v>1537</v>
      </c>
      <c r="K140" s="12" t="s">
        <v>1538</v>
      </c>
      <c r="L140" s="12" t="s">
        <v>1539</v>
      </c>
      <c r="M140" s="12">
        <v>13</v>
      </c>
      <c r="N140" s="12">
        <v>13</v>
      </c>
      <c r="O140" s="12" t="s">
        <v>314</v>
      </c>
      <c r="P140" s="12" t="s">
        <v>1198</v>
      </c>
      <c r="Q140" s="12" t="s">
        <v>1438</v>
      </c>
      <c r="R140" s="12" t="s">
        <v>1540</v>
      </c>
      <c r="S140" s="12" t="s">
        <v>355</v>
      </c>
    </row>
    <row r="141" spans="1:19" x14ac:dyDescent="0.25">
      <c r="A141" s="12" t="s">
        <v>1541</v>
      </c>
      <c r="B141" s="12" t="s">
        <v>1131</v>
      </c>
      <c r="C141" s="12">
        <v>28</v>
      </c>
      <c r="D141" s="12" t="s">
        <v>1541</v>
      </c>
      <c r="E141" s="12" t="s">
        <v>1131</v>
      </c>
      <c r="F141" s="12">
        <v>28</v>
      </c>
      <c r="G141" s="12" t="s">
        <v>1542</v>
      </c>
      <c r="H141" s="12" t="s">
        <v>1535</v>
      </c>
      <c r="I141" s="12" t="s">
        <v>1536</v>
      </c>
      <c r="J141" s="12" t="s">
        <v>1537</v>
      </c>
      <c r="K141" s="12" t="s">
        <v>1538</v>
      </c>
      <c r="L141" s="12" t="s">
        <v>1539</v>
      </c>
      <c r="M141" s="12">
        <v>14</v>
      </c>
      <c r="N141" s="12">
        <v>14</v>
      </c>
      <c r="O141" s="12" t="s">
        <v>314</v>
      </c>
      <c r="P141" s="12" t="s">
        <v>1198</v>
      </c>
      <c r="Q141" s="12" t="s">
        <v>1438</v>
      </c>
      <c r="R141" s="12" t="s">
        <v>1540</v>
      </c>
      <c r="S141" s="12" t="s">
        <v>355</v>
      </c>
    </row>
    <row r="142" spans="1:19" x14ac:dyDescent="0.25">
      <c r="A142" s="12" t="s">
        <v>1543</v>
      </c>
      <c r="B142" s="12" t="s">
        <v>1098</v>
      </c>
      <c r="C142" s="12">
        <v>29</v>
      </c>
      <c r="D142" s="12" t="s">
        <v>1543</v>
      </c>
      <c r="E142" s="12" t="s">
        <v>1098</v>
      </c>
      <c r="F142" s="12">
        <v>29</v>
      </c>
      <c r="G142" s="12" t="s">
        <v>1544</v>
      </c>
      <c r="H142" s="12" t="s">
        <v>1535</v>
      </c>
      <c r="I142" s="12" t="s">
        <v>1536</v>
      </c>
      <c r="J142" s="12" t="s">
        <v>1537</v>
      </c>
      <c r="K142" s="12" t="s">
        <v>1538</v>
      </c>
      <c r="L142" s="12" t="s">
        <v>1539</v>
      </c>
      <c r="M142" s="12">
        <v>15</v>
      </c>
      <c r="N142" s="12">
        <v>15</v>
      </c>
      <c r="O142" s="12" t="s">
        <v>314</v>
      </c>
      <c r="P142" s="12" t="s">
        <v>1198</v>
      </c>
      <c r="Q142" s="12" t="s">
        <v>1438</v>
      </c>
      <c r="R142" s="12" t="s">
        <v>1540</v>
      </c>
      <c r="S142" s="12" t="s">
        <v>355</v>
      </c>
    </row>
    <row r="143" spans="1:19" x14ac:dyDescent="0.25">
      <c r="A143" s="12" t="s">
        <v>1545</v>
      </c>
      <c r="B143" s="12" t="s">
        <v>1115</v>
      </c>
      <c r="C143" s="12">
        <v>52</v>
      </c>
      <c r="D143" s="12" t="s">
        <v>1545</v>
      </c>
      <c r="E143" s="12" t="s">
        <v>1115</v>
      </c>
      <c r="F143" s="12">
        <v>52</v>
      </c>
      <c r="G143" s="12" t="s">
        <v>1546</v>
      </c>
      <c r="H143" s="12" t="s">
        <v>1545</v>
      </c>
      <c r="I143" s="12" t="s">
        <v>1547</v>
      </c>
      <c r="J143" s="12" t="s">
        <v>1548</v>
      </c>
      <c r="K143" s="12" t="s">
        <v>1548</v>
      </c>
      <c r="L143" s="12" t="s">
        <v>1549</v>
      </c>
      <c r="M143" s="12">
        <v>49</v>
      </c>
      <c r="N143" s="12">
        <v>49</v>
      </c>
      <c r="O143" s="12" t="s">
        <v>305</v>
      </c>
      <c r="P143" s="12" t="s">
        <v>1548</v>
      </c>
      <c r="Q143" s="12" t="s">
        <v>1550</v>
      </c>
      <c r="R143" s="12" t="s">
        <v>1310</v>
      </c>
      <c r="S143" s="12" t="s">
        <v>377</v>
      </c>
    </row>
    <row r="144" spans="1:19" x14ac:dyDescent="0.25">
      <c r="A144" s="12" t="s">
        <v>1551</v>
      </c>
      <c r="B144" s="12" t="s">
        <v>1135</v>
      </c>
      <c r="C144" s="12">
        <v>53</v>
      </c>
      <c r="D144" s="12" t="s">
        <v>1551</v>
      </c>
      <c r="E144" s="12" t="s">
        <v>1135</v>
      </c>
      <c r="F144" s="12">
        <v>53</v>
      </c>
      <c r="G144" s="12" t="s">
        <v>1551</v>
      </c>
      <c r="H144" s="12" t="s">
        <v>1551</v>
      </c>
      <c r="I144" s="12" t="s">
        <v>1552</v>
      </c>
      <c r="J144" s="12" t="s">
        <v>1548</v>
      </c>
      <c r="K144" s="12" t="s">
        <v>1548</v>
      </c>
      <c r="L144" s="12" t="s">
        <v>1549</v>
      </c>
      <c r="M144" s="12">
        <v>50</v>
      </c>
      <c r="N144" s="12">
        <v>50</v>
      </c>
      <c r="O144" s="12" t="s">
        <v>305</v>
      </c>
      <c r="P144" s="12" t="s">
        <v>1548</v>
      </c>
      <c r="Q144" s="12" t="s">
        <v>1550</v>
      </c>
      <c r="R144" s="12" t="s">
        <v>1310</v>
      </c>
      <c r="S144" s="12" t="s">
        <v>377</v>
      </c>
    </row>
    <row r="145" spans="1:19" x14ac:dyDescent="0.25">
      <c r="A145" s="12" t="s">
        <v>1553</v>
      </c>
      <c r="B145" s="12" t="s">
        <v>1079</v>
      </c>
      <c r="C145" s="12">
        <v>54</v>
      </c>
      <c r="D145" s="12" t="s">
        <v>1553</v>
      </c>
      <c r="E145" s="12" t="s">
        <v>1079</v>
      </c>
      <c r="F145" s="12">
        <v>54</v>
      </c>
      <c r="G145" s="12" t="s">
        <v>1553</v>
      </c>
      <c r="H145" s="12" t="s">
        <v>1553</v>
      </c>
      <c r="I145" s="12" t="s">
        <v>1554</v>
      </c>
      <c r="J145" s="12" t="s">
        <v>1548</v>
      </c>
      <c r="K145" s="12" t="s">
        <v>1548</v>
      </c>
      <c r="L145" s="12" t="s">
        <v>1549</v>
      </c>
      <c r="M145" s="12">
        <v>51</v>
      </c>
      <c r="N145" s="12">
        <v>51</v>
      </c>
      <c r="O145" s="12" t="s">
        <v>304</v>
      </c>
      <c r="P145" s="12" t="s">
        <v>1548</v>
      </c>
      <c r="Q145" s="12" t="s">
        <v>1555</v>
      </c>
      <c r="R145" s="12" t="s">
        <v>1310</v>
      </c>
      <c r="S145" s="12" t="s">
        <v>377</v>
      </c>
    </row>
    <row r="146" spans="1:19" x14ac:dyDescent="0.25">
      <c r="A146" s="12" t="s">
        <v>1556</v>
      </c>
      <c r="B146" s="12" t="s">
        <v>1101</v>
      </c>
      <c r="C146" s="12">
        <v>43</v>
      </c>
      <c r="D146" s="12" t="s">
        <v>1556</v>
      </c>
      <c r="E146" s="12" t="s">
        <v>1101</v>
      </c>
      <c r="F146" s="12">
        <v>43</v>
      </c>
      <c r="G146" s="12" t="s">
        <v>1557</v>
      </c>
      <c r="H146" s="12" t="s">
        <v>1556</v>
      </c>
      <c r="I146" s="12" t="s">
        <v>1558</v>
      </c>
      <c r="J146" s="12" t="s">
        <v>1559</v>
      </c>
      <c r="K146" s="12" t="s">
        <v>1560</v>
      </c>
      <c r="L146" s="12" t="s">
        <v>1561</v>
      </c>
      <c r="M146" s="12">
        <v>29</v>
      </c>
      <c r="N146" s="12">
        <v>29</v>
      </c>
      <c r="O146" s="12" t="s">
        <v>312</v>
      </c>
      <c r="P146" s="12" t="s">
        <v>1198</v>
      </c>
      <c r="Q146" s="12" t="s">
        <v>1456</v>
      </c>
      <c r="R146" s="12" t="s">
        <v>1349</v>
      </c>
      <c r="S146" s="12" t="s">
        <v>375</v>
      </c>
    </row>
    <row r="147" spans="1:19" x14ac:dyDescent="0.25">
      <c r="A147" s="12" t="s">
        <v>1562</v>
      </c>
      <c r="B147" s="12" t="s">
        <v>1114</v>
      </c>
      <c r="C147" s="12">
        <v>44</v>
      </c>
      <c r="D147" s="12" t="s">
        <v>1562</v>
      </c>
      <c r="E147" s="12" t="s">
        <v>1114</v>
      </c>
      <c r="F147" s="12">
        <v>44</v>
      </c>
      <c r="G147" s="12" t="s">
        <v>1563</v>
      </c>
      <c r="H147" s="12" t="s">
        <v>1562</v>
      </c>
      <c r="I147" s="12" t="s">
        <v>1564</v>
      </c>
      <c r="J147" s="12" t="s">
        <v>1559</v>
      </c>
      <c r="K147" s="12" t="s">
        <v>1560</v>
      </c>
      <c r="L147" s="12" t="s">
        <v>1561</v>
      </c>
      <c r="M147" s="12">
        <v>30</v>
      </c>
      <c r="N147" s="12">
        <v>30</v>
      </c>
      <c r="O147" s="12" t="s">
        <v>312</v>
      </c>
      <c r="P147" s="12" t="s">
        <v>1198</v>
      </c>
      <c r="Q147" s="12" t="s">
        <v>1456</v>
      </c>
      <c r="R147" s="12" t="s">
        <v>1349</v>
      </c>
      <c r="S147" s="12" t="s">
        <v>375</v>
      </c>
    </row>
    <row r="148" spans="1:19" x14ac:dyDescent="0.25">
      <c r="A148" s="12" t="s">
        <v>1565</v>
      </c>
      <c r="B148" s="12" t="s">
        <v>1099</v>
      </c>
      <c r="C148" s="12">
        <v>30</v>
      </c>
      <c r="D148" s="12" t="s">
        <v>1566</v>
      </c>
      <c r="E148" s="12" t="s">
        <v>1099</v>
      </c>
      <c r="F148" s="12">
        <v>30</v>
      </c>
      <c r="G148" s="12" t="s">
        <v>1567</v>
      </c>
      <c r="H148" s="12" t="s">
        <v>1565</v>
      </c>
      <c r="I148" s="12" t="s">
        <v>1568</v>
      </c>
      <c r="J148" s="12" t="s">
        <v>1298</v>
      </c>
      <c r="K148" s="12" t="s">
        <v>1569</v>
      </c>
      <c r="L148" s="12" t="s">
        <v>1570</v>
      </c>
      <c r="M148" s="12">
        <v>16</v>
      </c>
      <c r="N148" s="12">
        <v>16</v>
      </c>
      <c r="O148" s="12" t="s">
        <v>307</v>
      </c>
      <c r="P148" s="12" t="s">
        <v>1198</v>
      </c>
      <c r="Q148" s="12" t="s">
        <v>1199</v>
      </c>
      <c r="R148" s="12" t="s">
        <v>1496</v>
      </c>
      <c r="S148" s="12" t="s">
        <v>369</v>
      </c>
    </row>
    <row r="149" spans="1:19" x14ac:dyDescent="0.25">
      <c r="A149" s="12" t="s">
        <v>1571</v>
      </c>
      <c r="B149" s="12" t="s">
        <v>335</v>
      </c>
      <c r="C149" s="12">
        <v>15</v>
      </c>
      <c r="D149" s="12" t="s">
        <v>1572</v>
      </c>
      <c r="E149" s="12" t="s">
        <v>335</v>
      </c>
      <c r="F149" s="12">
        <v>15</v>
      </c>
      <c r="G149" s="12" t="s">
        <v>334</v>
      </c>
      <c r="H149" s="12" t="s">
        <v>1573</v>
      </c>
      <c r="I149" s="12" t="s">
        <v>1574</v>
      </c>
      <c r="J149" s="12" t="s">
        <v>1266</v>
      </c>
      <c r="K149" s="12" t="s">
        <v>1517</v>
      </c>
      <c r="L149" s="12" t="s">
        <v>1518</v>
      </c>
      <c r="M149" s="12">
        <v>17</v>
      </c>
      <c r="N149" s="12">
        <v>3</v>
      </c>
      <c r="O149" s="12" t="s">
        <v>307</v>
      </c>
      <c r="P149" s="12" t="s">
        <v>1198</v>
      </c>
      <c r="Q149" s="12" t="s">
        <v>1199</v>
      </c>
      <c r="R149" s="12" t="s">
        <v>335</v>
      </c>
      <c r="S149" s="12" t="s">
        <v>335</v>
      </c>
    </row>
    <row r="150" spans="1:19" x14ac:dyDescent="0.25">
      <c r="A150" s="12" t="s">
        <v>358</v>
      </c>
      <c r="B150" s="12" t="s">
        <v>359</v>
      </c>
      <c r="C150" s="12">
        <v>63</v>
      </c>
      <c r="D150" s="12" t="s">
        <v>358</v>
      </c>
      <c r="E150" s="12" t="s">
        <v>359</v>
      </c>
      <c r="F150" s="12">
        <v>63</v>
      </c>
      <c r="G150" s="12" t="s">
        <v>358</v>
      </c>
      <c r="H150" s="12" t="s">
        <v>358</v>
      </c>
      <c r="I150" s="12" t="s">
        <v>1575</v>
      </c>
      <c r="J150" s="12" t="s">
        <v>1492</v>
      </c>
      <c r="K150" s="12" t="s">
        <v>1281</v>
      </c>
      <c r="L150" s="12" t="s">
        <v>1282</v>
      </c>
      <c r="M150" s="12">
        <v>85</v>
      </c>
      <c r="N150" s="12">
        <v>85</v>
      </c>
      <c r="O150" s="12" t="s">
        <v>308</v>
      </c>
      <c r="P150" s="12" t="s">
        <v>1198</v>
      </c>
      <c r="Q150" s="12" t="s">
        <v>1283</v>
      </c>
      <c r="R150" s="12" t="s">
        <v>1576</v>
      </c>
      <c r="S150" s="12" t="s">
        <v>359</v>
      </c>
    </row>
    <row r="151" spans="1:19" x14ac:dyDescent="0.25">
      <c r="A151" s="12" t="s">
        <v>1577</v>
      </c>
      <c r="B151" s="12" t="s">
        <v>337</v>
      </c>
      <c r="C151" s="12">
        <v>46</v>
      </c>
      <c r="D151" s="12" t="s">
        <v>1578</v>
      </c>
      <c r="E151" s="12" t="s">
        <v>337</v>
      </c>
      <c r="F151" s="12">
        <v>46</v>
      </c>
      <c r="G151" s="12" t="s">
        <v>1579</v>
      </c>
      <c r="H151" s="12" t="s">
        <v>1515</v>
      </c>
      <c r="I151" s="12" t="s">
        <v>1516</v>
      </c>
      <c r="J151" s="12" t="s">
        <v>1504</v>
      </c>
      <c r="K151" s="12" t="s">
        <v>1580</v>
      </c>
      <c r="L151" s="12" t="s">
        <v>1581</v>
      </c>
      <c r="M151" s="12">
        <v>33</v>
      </c>
      <c r="N151" s="12">
        <v>33</v>
      </c>
      <c r="O151" s="12" t="s">
        <v>316</v>
      </c>
      <c r="P151" s="12" t="s">
        <v>1198</v>
      </c>
      <c r="Q151" s="12" t="s">
        <v>1520</v>
      </c>
      <c r="R151" s="12" t="s">
        <v>337</v>
      </c>
      <c r="S151" s="12" t="s">
        <v>337</v>
      </c>
    </row>
    <row r="152" spans="1:19" x14ac:dyDescent="0.25">
      <c r="A152" s="12" t="s">
        <v>1582</v>
      </c>
      <c r="B152" s="12" t="s">
        <v>337</v>
      </c>
      <c r="C152" s="12">
        <v>46</v>
      </c>
      <c r="D152" s="12" t="s">
        <v>1578</v>
      </c>
      <c r="E152" s="12" t="s">
        <v>337</v>
      </c>
      <c r="F152" s="12">
        <v>46</v>
      </c>
      <c r="G152" s="12" t="s">
        <v>1579</v>
      </c>
      <c r="H152" s="12" t="s">
        <v>1515</v>
      </c>
      <c r="I152" s="12" t="s">
        <v>1516</v>
      </c>
      <c r="J152" s="12" t="s">
        <v>1504</v>
      </c>
      <c r="K152" s="12" t="s">
        <v>1281</v>
      </c>
      <c r="L152" s="12" t="s">
        <v>1282</v>
      </c>
      <c r="M152" s="12">
        <v>33</v>
      </c>
      <c r="N152" s="12">
        <v>33</v>
      </c>
      <c r="O152" s="12" t="s">
        <v>316</v>
      </c>
      <c r="P152" s="12" t="s">
        <v>1198</v>
      </c>
      <c r="Q152" s="12" t="s">
        <v>1520</v>
      </c>
      <c r="R152" s="12" t="s">
        <v>337</v>
      </c>
      <c r="S152" s="12" t="s">
        <v>337</v>
      </c>
    </row>
    <row r="153" spans="1:19" x14ac:dyDescent="0.25">
      <c r="A153" s="12" t="s">
        <v>1583</v>
      </c>
      <c r="B153" s="12" t="s">
        <v>341</v>
      </c>
      <c r="C153" s="12">
        <v>16</v>
      </c>
      <c r="D153" s="12" t="s">
        <v>1584</v>
      </c>
      <c r="E153" s="12" t="s">
        <v>341</v>
      </c>
      <c r="F153" s="12">
        <v>16</v>
      </c>
      <c r="G153" s="12" t="s">
        <v>1585</v>
      </c>
      <c r="H153" s="12" t="s">
        <v>1573</v>
      </c>
      <c r="I153" s="12" t="s">
        <v>1574</v>
      </c>
      <c r="J153" s="12" t="s">
        <v>1266</v>
      </c>
      <c r="K153" s="12" t="s">
        <v>1517</v>
      </c>
      <c r="L153" s="12" t="s">
        <v>1518</v>
      </c>
      <c r="M153" s="12">
        <v>17</v>
      </c>
      <c r="N153" s="12">
        <v>3</v>
      </c>
      <c r="O153" s="12" t="s">
        <v>316</v>
      </c>
      <c r="P153" s="12" t="s">
        <v>1198</v>
      </c>
      <c r="Q153" s="12" t="s">
        <v>1586</v>
      </c>
      <c r="R153" s="12" t="s">
        <v>341</v>
      </c>
      <c r="S153" s="12" t="s">
        <v>341</v>
      </c>
    </row>
    <row r="154" spans="1:19" x14ac:dyDescent="0.25">
      <c r="A154" s="12" t="s">
        <v>1587</v>
      </c>
      <c r="B154" s="12" t="s">
        <v>341</v>
      </c>
      <c r="C154" s="12">
        <v>16</v>
      </c>
      <c r="D154" s="12" t="s">
        <v>1584</v>
      </c>
      <c r="E154" s="12" t="s">
        <v>341</v>
      </c>
      <c r="F154" s="12">
        <v>16</v>
      </c>
      <c r="G154" s="12" t="s">
        <v>1585</v>
      </c>
      <c r="H154" s="12" t="s">
        <v>1573</v>
      </c>
      <c r="I154" s="12" t="s">
        <v>1574</v>
      </c>
      <c r="J154" s="12" t="s">
        <v>1266</v>
      </c>
      <c r="K154" s="12" t="s">
        <v>1517</v>
      </c>
      <c r="L154" s="12" t="s">
        <v>1518</v>
      </c>
      <c r="M154" s="12">
        <v>17</v>
      </c>
      <c r="N154" s="12">
        <v>3</v>
      </c>
      <c r="O154" s="12" t="s">
        <v>316</v>
      </c>
      <c r="P154" s="12" t="s">
        <v>1198</v>
      </c>
      <c r="Q154" s="12" t="s">
        <v>1586</v>
      </c>
      <c r="R154" s="12" t="s">
        <v>341</v>
      </c>
      <c r="S154" s="12" t="s">
        <v>341</v>
      </c>
    </row>
    <row r="155" spans="1:19" x14ac:dyDescent="0.25">
      <c r="A155" s="12" t="s">
        <v>1588</v>
      </c>
      <c r="B155" s="12" t="s">
        <v>1589</v>
      </c>
      <c r="C155" s="12">
        <v>17</v>
      </c>
      <c r="D155" s="12" t="s">
        <v>1590</v>
      </c>
      <c r="E155" s="12" t="s">
        <v>1589</v>
      </c>
      <c r="F155" s="12">
        <v>17</v>
      </c>
      <c r="G155" s="12" t="s">
        <v>1591</v>
      </c>
      <c r="H155" s="12" t="s">
        <v>1573</v>
      </c>
      <c r="I155" s="12" t="s">
        <v>1574</v>
      </c>
      <c r="J155" s="12" t="s">
        <v>1266</v>
      </c>
      <c r="K155" s="12" t="s">
        <v>1517</v>
      </c>
      <c r="L155" s="12" t="s">
        <v>1518</v>
      </c>
      <c r="M155" s="12">
        <v>17</v>
      </c>
      <c r="N155" s="12">
        <v>3</v>
      </c>
      <c r="O155" s="12" t="s">
        <v>316</v>
      </c>
      <c r="P155" s="12" t="s">
        <v>1198</v>
      </c>
      <c r="Q155" s="12" t="s">
        <v>1586</v>
      </c>
      <c r="R155" s="12" t="s">
        <v>339</v>
      </c>
      <c r="S155" s="12" t="s">
        <v>339</v>
      </c>
    </row>
    <row r="156" spans="1:19" x14ac:dyDescent="0.25">
      <c r="A156" s="12" t="s">
        <v>1592</v>
      </c>
      <c r="B156" s="12" t="s">
        <v>1589</v>
      </c>
      <c r="C156" s="12">
        <v>17</v>
      </c>
      <c r="D156" s="12" t="s">
        <v>1590</v>
      </c>
      <c r="E156" s="12" t="s">
        <v>1589</v>
      </c>
      <c r="F156" s="12">
        <v>17</v>
      </c>
      <c r="G156" s="12" t="s">
        <v>1591</v>
      </c>
      <c r="H156" s="12" t="s">
        <v>1573</v>
      </c>
      <c r="I156" s="12" t="s">
        <v>1574</v>
      </c>
      <c r="J156" s="12" t="s">
        <v>1266</v>
      </c>
      <c r="K156" s="12" t="s">
        <v>1517</v>
      </c>
      <c r="L156" s="12" t="s">
        <v>1518</v>
      </c>
      <c r="M156" s="12">
        <v>17</v>
      </c>
      <c r="N156" s="12">
        <v>3</v>
      </c>
      <c r="O156" s="12" t="s">
        <v>316</v>
      </c>
      <c r="P156" s="12" t="s">
        <v>1198</v>
      </c>
      <c r="Q156" s="12" t="s">
        <v>1586</v>
      </c>
      <c r="R156" s="12" t="s">
        <v>339</v>
      </c>
      <c r="S156" s="12" t="s">
        <v>339</v>
      </c>
    </row>
    <row r="157" spans="1:19" x14ac:dyDescent="0.25">
      <c r="A157" s="12" t="s">
        <v>1593</v>
      </c>
      <c r="B157" s="12" t="s">
        <v>1117</v>
      </c>
      <c r="C157" s="12">
        <v>32</v>
      </c>
      <c r="D157" s="12" t="s">
        <v>1594</v>
      </c>
      <c r="E157" s="12" t="s">
        <v>1117</v>
      </c>
      <c r="F157" s="12">
        <v>32</v>
      </c>
      <c r="G157" s="12" t="s">
        <v>1595</v>
      </c>
      <c r="H157" s="12" t="s">
        <v>1573</v>
      </c>
      <c r="I157" s="12" t="s">
        <v>1574</v>
      </c>
      <c r="J157" s="12" t="s">
        <v>1266</v>
      </c>
      <c r="K157" s="12" t="s">
        <v>1267</v>
      </c>
      <c r="L157" s="12" t="s">
        <v>1268</v>
      </c>
      <c r="M157" s="12">
        <v>18</v>
      </c>
      <c r="N157" s="12" t="s">
        <v>1495</v>
      </c>
      <c r="O157" s="12" t="s">
        <v>316</v>
      </c>
      <c r="P157" s="12" t="s">
        <v>1198</v>
      </c>
      <c r="Q157" s="12" t="s">
        <v>1586</v>
      </c>
      <c r="R157" s="12" t="s">
        <v>1596</v>
      </c>
      <c r="S157" s="12" t="s">
        <v>1596</v>
      </c>
    </row>
    <row r="158" spans="1:19" x14ac:dyDescent="0.25">
      <c r="A158" s="12" t="s">
        <v>1597</v>
      </c>
      <c r="B158" s="12" t="s">
        <v>1095</v>
      </c>
      <c r="C158" s="12">
        <v>64</v>
      </c>
      <c r="D158" s="12" t="s">
        <v>1598</v>
      </c>
      <c r="E158" s="12" t="s">
        <v>1095</v>
      </c>
      <c r="F158" s="12">
        <v>64</v>
      </c>
      <c r="G158" s="12" t="s">
        <v>1599</v>
      </c>
      <c r="H158" s="12" t="s">
        <v>1597</v>
      </c>
      <c r="I158" s="12" t="s">
        <v>1600</v>
      </c>
      <c r="J158" s="12" t="s">
        <v>1492</v>
      </c>
      <c r="K158" s="12" t="s">
        <v>1281</v>
      </c>
      <c r="L158" s="12" t="s">
        <v>1282</v>
      </c>
      <c r="M158" s="12" t="s">
        <v>1600</v>
      </c>
      <c r="N158" s="12" t="s">
        <v>1601</v>
      </c>
      <c r="O158" s="12" t="s">
        <v>308</v>
      </c>
      <c r="P158" s="12" t="s">
        <v>1198</v>
      </c>
      <c r="Q158" s="12" t="s">
        <v>1283</v>
      </c>
      <c r="R158" s="12" t="s">
        <v>1602</v>
      </c>
      <c r="S158" s="12" t="s">
        <v>363</v>
      </c>
    </row>
    <row r="159" spans="1:19" x14ac:dyDescent="0.25">
      <c r="A159" s="12"/>
      <c r="B159" s="12"/>
      <c r="C159" s="12"/>
      <c r="D159" s="12" t="s">
        <v>1325</v>
      </c>
      <c r="E159" s="12" t="s">
        <v>1105</v>
      </c>
      <c r="F159" s="12"/>
      <c r="G159" s="12" t="s">
        <v>1326</v>
      </c>
      <c r="H159" s="12" t="s">
        <v>1603</v>
      </c>
      <c r="I159" s="12" t="s">
        <v>1604</v>
      </c>
      <c r="J159" s="12" t="s">
        <v>1492</v>
      </c>
      <c r="K159" s="12" t="s">
        <v>1281</v>
      </c>
      <c r="L159" s="12" t="s">
        <v>1282</v>
      </c>
      <c r="M159" s="12" t="s">
        <v>1604</v>
      </c>
      <c r="N159" s="12" t="s">
        <v>1330</v>
      </c>
      <c r="O159" s="12" t="s">
        <v>308</v>
      </c>
      <c r="P159" s="12" t="s">
        <v>1198</v>
      </c>
      <c r="Q159" s="12" t="s">
        <v>1283</v>
      </c>
      <c r="R159" s="12" t="s">
        <v>1305</v>
      </c>
      <c r="S159" s="12" t="s">
        <v>367</v>
      </c>
    </row>
    <row r="160" spans="1:19" x14ac:dyDescent="0.25">
      <c r="A160" s="12"/>
      <c r="B160" s="12"/>
      <c r="C160" s="12"/>
      <c r="D160" s="12" t="s">
        <v>1325</v>
      </c>
      <c r="E160" s="12" t="s">
        <v>1105</v>
      </c>
      <c r="F160" s="12"/>
      <c r="G160" s="12" t="s">
        <v>1326</v>
      </c>
      <c r="H160" s="12" t="s">
        <v>1605</v>
      </c>
      <c r="I160" s="12" t="s">
        <v>1606</v>
      </c>
      <c r="J160" s="12" t="s">
        <v>1492</v>
      </c>
      <c r="K160" s="12" t="s">
        <v>1281</v>
      </c>
      <c r="L160" s="12" t="s">
        <v>1282</v>
      </c>
      <c r="M160" s="12" t="s">
        <v>1606</v>
      </c>
      <c r="N160" s="12" t="s">
        <v>1330</v>
      </c>
      <c r="O160" s="12" t="s">
        <v>308</v>
      </c>
      <c r="P160" s="12" t="s">
        <v>1198</v>
      </c>
      <c r="Q160" s="12" t="s">
        <v>1283</v>
      </c>
      <c r="R160" s="12" t="s">
        <v>1305</v>
      </c>
      <c r="S160" s="12" t="s">
        <v>367</v>
      </c>
    </row>
    <row r="161" spans="1:19" x14ac:dyDescent="0.25">
      <c r="A161" s="12"/>
      <c r="B161" s="12"/>
      <c r="C161" s="12"/>
      <c r="D161" s="12" t="s">
        <v>1325</v>
      </c>
      <c r="E161" s="12" t="s">
        <v>1105</v>
      </c>
      <c r="F161" s="12"/>
      <c r="G161" s="12" t="s">
        <v>1326</v>
      </c>
      <c r="H161" s="12" t="s">
        <v>1607</v>
      </c>
      <c r="I161" s="12" t="s">
        <v>1608</v>
      </c>
      <c r="J161" s="12" t="s">
        <v>1492</v>
      </c>
      <c r="K161" s="12" t="s">
        <v>1281</v>
      </c>
      <c r="L161" s="12" t="s">
        <v>1282</v>
      </c>
      <c r="M161" s="12" t="s">
        <v>1608</v>
      </c>
      <c r="N161" s="12" t="s">
        <v>1330</v>
      </c>
      <c r="O161" s="12" t="s">
        <v>308</v>
      </c>
      <c r="P161" s="12" t="s">
        <v>1198</v>
      </c>
      <c r="Q161" s="12" t="s">
        <v>1283</v>
      </c>
      <c r="R161" s="12" t="s">
        <v>1305</v>
      </c>
      <c r="S161" s="12" t="s">
        <v>367</v>
      </c>
    </row>
    <row r="162" spans="1:19" x14ac:dyDescent="0.25">
      <c r="A162" s="12"/>
      <c r="B162" s="12"/>
      <c r="C162" s="12"/>
      <c r="D162" s="12" t="s">
        <v>1325</v>
      </c>
      <c r="E162" s="12" t="s">
        <v>1105</v>
      </c>
      <c r="F162" s="12"/>
      <c r="G162" s="12" t="s">
        <v>1326</v>
      </c>
      <c r="H162" s="12" t="s">
        <v>1609</v>
      </c>
      <c r="I162" s="12" t="s">
        <v>1610</v>
      </c>
      <c r="J162" s="12" t="s">
        <v>1492</v>
      </c>
      <c r="K162" s="12" t="s">
        <v>1281</v>
      </c>
      <c r="L162" s="12" t="s">
        <v>1282</v>
      </c>
      <c r="M162" s="12" t="s">
        <v>1610</v>
      </c>
      <c r="N162" s="12" t="s">
        <v>1330</v>
      </c>
      <c r="O162" s="12" t="s">
        <v>308</v>
      </c>
      <c r="P162" s="12" t="s">
        <v>1198</v>
      </c>
      <c r="Q162" s="12" t="s">
        <v>1283</v>
      </c>
      <c r="R162" s="12" t="s">
        <v>1305</v>
      </c>
      <c r="S162" s="12" t="s">
        <v>367</v>
      </c>
    </row>
    <row r="163" spans="1:19" x14ac:dyDescent="0.25">
      <c r="A163" s="12"/>
      <c r="B163" s="12"/>
      <c r="C163" s="12"/>
      <c r="D163" s="12" t="s">
        <v>1611</v>
      </c>
      <c r="E163" s="12" t="s">
        <v>1088</v>
      </c>
      <c r="F163" s="12">
        <v>65</v>
      </c>
      <c r="G163" s="12" t="s">
        <v>1612</v>
      </c>
      <c r="H163" s="12" t="s">
        <v>1613</v>
      </c>
      <c r="I163" s="12" t="s">
        <v>1614</v>
      </c>
      <c r="J163" s="12" t="s">
        <v>1492</v>
      </c>
      <c r="K163" s="12" t="s">
        <v>1281</v>
      </c>
      <c r="L163" s="12" t="s">
        <v>1282</v>
      </c>
      <c r="M163" s="12" t="s">
        <v>1614</v>
      </c>
      <c r="N163" s="12" t="s">
        <v>1601</v>
      </c>
      <c r="O163" s="12" t="s">
        <v>308</v>
      </c>
      <c r="P163" s="12" t="s">
        <v>1198</v>
      </c>
      <c r="Q163" s="12" t="s">
        <v>1283</v>
      </c>
      <c r="R163" s="12" t="s">
        <v>1301</v>
      </c>
      <c r="S163" s="12" t="s">
        <v>365</v>
      </c>
    </row>
    <row r="164" spans="1:19" x14ac:dyDescent="0.25">
      <c r="A164" s="12"/>
      <c r="B164" s="12"/>
      <c r="C164" s="12"/>
      <c r="D164" s="12"/>
      <c r="E164" s="12"/>
      <c r="F164" s="12"/>
      <c r="G164" s="12"/>
      <c r="H164" s="12"/>
      <c r="I164" s="12"/>
      <c r="J164" s="12"/>
      <c r="K164" s="12"/>
      <c r="L164" s="12"/>
      <c r="M164" s="12"/>
      <c r="N164" s="12"/>
      <c r="O164" s="12" t="s">
        <v>366</v>
      </c>
      <c r="P164" s="12" t="s">
        <v>366</v>
      </c>
      <c r="Q164" s="12" t="s">
        <v>1615</v>
      </c>
      <c r="R164" s="12" t="s">
        <v>1305</v>
      </c>
      <c r="S164" s="12" t="s">
        <v>367</v>
      </c>
    </row>
    <row r="167" spans="1:19" x14ac:dyDescent="0.25">
      <c r="A167" s="3" t="s">
        <v>1616</v>
      </c>
    </row>
    <row r="168" spans="1:19" x14ac:dyDescent="0.25">
      <c r="A168" s="11" t="s">
        <v>1617</v>
      </c>
      <c r="B168" s="11" t="s">
        <v>1618</v>
      </c>
      <c r="C168" s="11" t="s">
        <v>1619</v>
      </c>
      <c r="D168" s="11" t="s">
        <v>1620</v>
      </c>
      <c r="E168" s="11" t="s">
        <v>1621</v>
      </c>
    </row>
    <row r="169" spans="1:19" x14ac:dyDescent="0.25">
      <c r="A169" s="12" t="s">
        <v>1519</v>
      </c>
      <c r="B169" s="12" t="s">
        <v>1520</v>
      </c>
      <c r="C169" s="12" t="s">
        <v>301</v>
      </c>
      <c r="D169" s="12" t="s">
        <v>1520</v>
      </c>
      <c r="E169" s="12" t="s">
        <v>1622</v>
      </c>
    </row>
    <row r="170" spans="1:19" x14ac:dyDescent="0.25">
      <c r="A170" s="12" t="s">
        <v>1548</v>
      </c>
      <c r="B170" s="12" t="s">
        <v>1623</v>
      </c>
      <c r="C170" s="12" t="s">
        <v>302</v>
      </c>
      <c r="D170" s="12" t="s">
        <v>1624</v>
      </c>
      <c r="E170" s="12" t="s">
        <v>1625</v>
      </c>
    </row>
    <row r="171" spans="1:19" x14ac:dyDescent="0.25">
      <c r="A171" s="12" t="s">
        <v>1548</v>
      </c>
      <c r="B171" s="12" t="s">
        <v>1623</v>
      </c>
      <c r="C171" s="12" t="s">
        <v>303</v>
      </c>
      <c r="D171" s="12" t="s">
        <v>1626</v>
      </c>
      <c r="E171" s="12" t="s">
        <v>1627</v>
      </c>
    </row>
    <row r="172" spans="1:19" x14ac:dyDescent="0.25">
      <c r="A172" s="12" t="s">
        <v>1548</v>
      </c>
      <c r="B172" s="12" t="s">
        <v>1623</v>
      </c>
      <c r="C172" s="12" t="s">
        <v>304</v>
      </c>
      <c r="D172" s="12" t="s">
        <v>1555</v>
      </c>
      <c r="E172" s="12" t="s">
        <v>1628</v>
      </c>
    </row>
    <row r="173" spans="1:19" x14ac:dyDescent="0.25">
      <c r="A173" s="12" t="s">
        <v>1548</v>
      </c>
      <c r="B173" s="12" t="s">
        <v>1623</v>
      </c>
      <c r="C173" s="12" t="s">
        <v>305</v>
      </c>
      <c r="D173" s="12" t="s">
        <v>1550</v>
      </c>
      <c r="E173" s="12" t="s">
        <v>1629</v>
      </c>
    </row>
    <row r="174" spans="1:19" x14ac:dyDescent="0.25">
      <c r="A174" s="12" t="s">
        <v>306</v>
      </c>
      <c r="B174" s="12" t="s">
        <v>1532</v>
      </c>
      <c r="C174" s="12" t="s">
        <v>306</v>
      </c>
      <c r="D174" s="12" t="s">
        <v>1532</v>
      </c>
      <c r="E174" s="12" t="s">
        <v>1630</v>
      </c>
    </row>
    <row r="175" spans="1:19" x14ac:dyDescent="0.25">
      <c r="A175" s="12" t="s">
        <v>1198</v>
      </c>
      <c r="B175" s="12" t="s">
        <v>1631</v>
      </c>
      <c r="C175" s="12" t="s">
        <v>307</v>
      </c>
      <c r="D175" s="12" t="s">
        <v>1199</v>
      </c>
      <c r="E175" s="12" t="s">
        <v>1632</v>
      </c>
    </row>
    <row r="176" spans="1:19" x14ac:dyDescent="0.25">
      <c r="A176" s="12" t="s">
        <v>1198</v>
      </c>
      <c r="B176" s="12" t="s">
        <v>1631</v>
      </c>
      <c r="C176" s="12" t="s">
        <v>307</v>
      </c>
      <c r="D176" s="12" t="s">
        <v>1199</v>
      </c>
      <c r="E176" s="12" t="s">
        <v>1633</v>
      </c>
    </row>
    <row r="177" spans="1:5" x14ac:dyDescent="0.25">
      <c r="A177" s="12" t="s">
        <v>1198</v>
      </c>
      <c r="B177" s="12" t="s">
        <v>1631</v>
      </c>
      <c r="C177" s="12" t="s">
        <v>307</v>
      </c>
      <c r="D177" s="12" t="s">
        <v>1199</v>
      </c>
      <c r="E177" s="12" t="s">
        <v>1634</v>
      </c>
    </row>
    <row r="178" spans="1:5" x14ac:dyDescent="0.25">
      <c r="A178" s="12" t="s">
        <v>1198</v>
      </c>
      <c r="B178" s="12" t="s">
        <v>1631</v>
      </c>
      <c r="C178" s="12" t="s">
        <v>307</v>
      </c>
      <c r="D178" s="12" t="s">
        <v>1199</v>
      </c>
      <c r="E178" s="12" t="s">
        <v>1635</v>
      </c>
    </row>
    <row r="179" spans="1:5" x14ac:dyDescent="0.25">
      <c r="A179" s="12" t="s">
        <v>1198</v>
      </c>
      <c r="B179" s="12" t="s">
        <v>1631</v>
      </c>
      <c r="C179" s="12" t="s">
        <v>308</v>
      </c>
      <c r="D179" s="12" t="s">
        <v>1283</v>
      </c>
      <c r="E179" s="12" t="s">
        <v>1636</v>
      </c>
    </row>
    <row r="180" spans="1:5" x14ac:dyDescent="0.25">
      <c r="A180" s="12" t="s">
        <v>1198</v>
      </c>
      <c r="B180" s="12" t="s">
        <v>1631</v>
      </c>
      <c r="C180" s="12" t="s">
        <v>309</v>
      </c>
      <c r="D180" s="12" t="s">
        <v>1269</v>
      </c>
      <c r="E180" s="12" t="s">
        <v>1637</v>
      </c>
    </row>
    <row r="181" spans="1:5" x14ac:dyDescent="0.25">
      <c r="A181" s="12" t="s">
        <v>1198</v>
      </c>
      <c r="B181" s="12" t="s">
        <v>1631</v>
      </c>
      <c r="C181" s="12" t="s">
        <v>309</v>
      </c>
      <c r="D181" s="12" t="s">
        <v>1269</v>
      </c>
      <c r="E181" s="12" t="s">
        <v>1638</v>
      </c>
    </row>
    <row r="182" spans="1:5" x14ac:dyDescent="0.25">
      <c r="A182" s="12" t="s">
        <v>1198</v>
      </c>
      <c r="B182" s="12" t="s">
        <v>1631</v>
      </c>
      <c r="C182" s="12" t="s">
        <v>310</v>
      </c>
      <c r="D182" s="12" t="s">
        <v>1449</v>
      </c>
      <c r="E182" s="12" t="s">
        <v>1639</v>
      </c>
    </row>
    <row r="183" spans="1:5" x14ac:dyDescent="0.25">
      <c r="A183" s="12" t="s">
        <v>1198</v>
      </c>
      <c r="B183" s="12" t="s">
        <v>1631</v>
      </c>
      <c r="C183" s="12" t="s">
        <v>311</v>
      </c>
      <c r="D183" s="12" t="s">
        <v>1102</v>
      </c>
      <c r="E183" s="12" t="s">
        <v>1640</v>
      </c>
    </row>
    <row r="184" spans="1:5" x14ac:dyDescent="0.25">
      <c r="A184" s="12" t="s">
        <v>1198</v>
      </c>
      <c r="B184" s="12" t="s">
        <v>1631</v>
      </c>
      <c r="C184" s="12" t="s">
        <v>312</v>
      </c>
      <c r="D184" s="12" t="s">
        <v>1456</v>
      </c>
      <c r="E184" s="12" t="s">
        <v>1641</v>
      </c>
    </row>
    <row r="185" spans="1:5" x14ac:dyDescent="0.25">
      <c r="A185" s="12" t="s">
        <v>1198</v>
      </c>
      <c r="B185" s="12" t="s">
        <v>1631</v>
      </c>
      <c r="C185" s="12" t="s">
        <v>312</v>
      </c>
      <c r="D185" s="12" t="s">
        <v>1456</v>
      </c>
      <c r="E185" s="12" t="s">
        <v>1642</v>
      </c>
    </row>
    <row r="186" spans="1:5" x14ac:dyDescent="0.25">
      <c r="A186" s="12" t="s">
        <v>1198</v>
      </c>
      <c r="B186" s="12" t="s">
        <v>1631</v>
      </c>
      <c r="C186" s="12" t="s">
        <v>313</v>
      </c>
      <c r="D186" s="12" t="s">
        <v>1487</v>
      </c>
      <c r="E186" s="12" t="s">
        <v>1643</v>
      </c>
    </row>
    <row r="187" spans="1:5" x14ac:dyDescent="0.25">
      <c r="A187" s="12" t="s">
        <v>1198</v>
      </c>
      <c r="B187" s="12" t="s">
        <v>1631</v>
      </c>
      <c r="C187" s="12" t="s">
        <v>314</v>
      </c>
      <c r="D187" s="12" t="s">
        <v>1438</v>
      </c>
      <c r="E187" s="12" t="s">
        <v>1644</v>
      </c>
    </row>
    <row r="188" spans="1:5" x14ac:dyDescent="0.25">
      <c r="A188" s="12" t="s">
        <v>1198</v>
      </c>
      <c r="B188" s="12" t="s">
        <v>1631</v>
      </c>
      <c r="C188" s="12" t="s">
        <v>314</v>
      </c>
      <c r="D188" s="12" t="s">
        <v>1438</v>
      </c>
      <c r="E188" s="12" t="s">
        <v>1645</v>
      </c>
    </row>
    <row r="189" spans="1:5" x14ac:dyDescent="0.25">
      <c r="A189" s="12" t="s">
        <v>1198</v>
      </c>
      <c r="B189" s="12" t="s">
        <v>1631</v>
      </c>
      <c r="C189" s="12" t="s">
        <v>314</v>
      </c>
      <c r="D189" s="12" t="s">
        <v>1438</v>
      </c>
      <c r="E189" s="12" t="s">
        <v>1646</v>
      </c>
    </row>
    <row r="190" spans="1:5" x14ac:dyDescent="0.25">
      <c r="A190" s="12" t="s">
        <v>1198</v>
      </c>
      <c r="B190" s="12" t="s">
        <v>1631</v>
      </c>
      <c r="C190" s="12" t="s">
        <v>315</v>
      </c>
      <c r="D190" s="12" t="s">
        <v>1359</v>
      </c>
      <c r="E190" s="12" t="s">
        <v>1647</v>
      </c>
    </row>
    <row r="191" spans="1:5" x14ac:dyDescent="0.25">
      <c r="A191" s="12" t="s">
        <v>1198</v>
      </c>
      <c r="B191" s="12" t="s">
        <v>1631</v>
      </c>
      <c r="C191" s="12" t="s">
        <v>316</v>
      </c>
      <c r="D191" s="12" t="s">
        <v>1586</v>
      </c>
      <c r="E191" s="12" t="s">
        <v>1648</v>
      </c>
    </row>
    <row r="192" spans="1:5" x14ac:dyDescent="0.25">
      <c r="A192" s="12" t="s">
        <v>1198</v>
      </c>
      <c r="B192" s="12" t="s">
        <v>1631</v>
      </c>
      <c r="C192" s="12" t="s">
        <v>316</v>
      </c>
      <c r="D192" s="12" t="s">
        <v>1586</v>
      </c>
      <c r="E192" s="12" t="s">
        <v>1649</v>
      </c>
    </row>
    <row r="193" spans="1:5" x14ac:dyDescent="0.25">
      <c r="A193" s="12" t="s">
        <v>366</v>
      </c>
      <c r="B193" s="12" t="s">
        <v>367</v>
      </c>
      <c r="C193" s="12" t="s">
        <v>366</v>
      </c>
      <c r="D193" s="12" t="s">
        <v>1615</v>
      </c>
      <c r="E193" s="12" t="s">
        <v>1650</v>
      </c>
    </row>
    <row r="194" spans="1:5" x14ac:dyDescent="0.25">
      <c r="A194" s="12" t="s">
        <v>366</v>
      </c>
      <c r="B194" s="12" t="s">
        <v>367</v>
      </c>
      <c r="C194" s="12" t="s">
        <v>366</v>
      </c>
      <c r="D194" s="12" t="s">
        <v>1615</v>
      </c>
      <c r="E194" s="12"/>
    </row>
    <row r="197" spans="1:5" x14ac:dyDescent="0.25">
      <c r="A197" s="3" t="s">
        <v>1651</v>
      </c>
    </row>
    <row r="198" spans="1:5" x14ac:dyDescent="0.25">
      <c r="A198" s="11" t="s">
        <v>1652</v>
      </c>
      <c r="B198" s="11" t="s">
        <v>1653</v>
      </c>
      <c r="C198" s="11" t="s">
        <v>1654</v>
      </c>
    </row>
    <row r="199" spans="1:5" x14ac:dyDescent="0.25">
      <c r="A199" s="12" t="s">
        <v>1655</v>
      </c>
      <c r="B199" s="12" t="s">
        <v>1656</v>
      </c>
      <c r="C199" s="12" t="s">
        <v>1622</v>
      </c>
    </row>
    <row r="200" spans="1:5" x14ac:dyDescent="0.25">
      <c r="A200" s="12" t="s">
        <v>1657</v>
      </c>
      <c r="B200" s="12" t="s">
        <v>1658</v>
      </c>
      <c r="C200" s="12" t="s">
        <v>1622</v>
      </c>
    </row>
    <row r="201" spans="1:5" x14ac:dyDescent="0.25">
      <c r="A201" s="12" t="s">
        <v>1659</v>
      </c>
      <c r="B201" s="12" t="s">
        <v>1660</v>
      </c>
      <c r="C201" s="12" t="s">
        <v>1622</v>
      </c>
    </row>
    <row r="202" spans="1:5" x14ac:dyDescent="0.25">
      <c r="A202" s="12" t="s">
        <v>1661</v>
      </c>
      <c r="B202" s="12" t="s">
        <v>1662</v>
      </c>
      <c r="C202" s="12" t="s">
        <v>1622</v>
      </c>
    </row>
    <row r="203" spans="1:5" x14ac:dyDescent="0.25">
      <c r="A203" s="12" t="s">
        <v>302</v>
      </c>
      <c r="B203" s="12" t="s">
        <v>1663</v>
      </c>
      <c r="C203" s="12" t="s">
        <v>1625</v>
      </c>
    </row>
    <row r="204" spans="1:5" x14ac:dyDescent="0.25">
      <c r="A204" s="12" t="s">
        <v>303</v>
      </c>
      <c r="B204" s="12" t="s">
        <v>1664</v>
      </c>
      <c r="C204" s="12" t="s">
        <v>1627</v>
      </c>
    </row>
    <row r="205" spans="1:5" x14ac:dyDescent="0.25">
      <c r="A205" s="12" t="s">
        <v>304</v>
      </c>
      <c r="B205" s="12" t="s">
        <v>1665</v>
      </c>
      <c r="C205" s="12" t="s">
        <v>1628</v>
      </c>
    </row>
    <row r="206" spans="1:5" x14ac:dyDescent="0.25">
      <c r="A206" s="12" t="s">
        <v>305</v>
      </c>
      <c r="B206" s="12" t="s">
        <v>1666</v>
      </c>
      <c r="C206" s="12" t="s">
        <v>1629</v>
      </c>
    </row>
    <row r="207" spans="1:5" x14ac:dyDescent="0.25">
      <c r="A207" s="12" t="s">
        <v>1528</v>
      </c>
      <c r="B207" s="12" t="s">
        <v>1529</v>
      </c>
      <c r="C207" s="12" t="s">
        <v>1630</v>
      </c>
    </row>
    <row r="208" spans="1:5" x14ac:dyDescent="0.25">
      <c r="A208" s="12" t="s">
        <v>1196</v>
      </c>
      <c r="B208" s="12" t="s">
        <v>1197</v>
      </c>
      <c r="C208" s="12" t="s">
        <v>1632</v>
      </c>
    </row>
    <row r="209" spans="1:3" x14ac:dyDescent="0.25">
      <c r="A209" s="12" t="s">
        <v>1366</v>
      </c>
      <c r="B209" s="12" t="s">
        <v>1368</v>
      </c>
      <c r="C209" s="12" t="s">
        <v>1633</v>
      </c>
    </row>
    <row r="210" spans="1:3" x14ac:dyDescent="0.25">
      <c r="A210" s="12" t="s">
        <v>1376</v>
      </c>
      <c r="B210" s="12" t="s">
        <v>1377</v>
      </c>
      <c r="C210" s="12" t="s">
        <v>1634</v>
      </c>
    </row>
    <row r="211" spans="1:3" x14ac:dyDescent="0.25">
      <c r="A211" s="12" t="s">
        <v>1569</v>
      </c>
      <c r="B211" s="12" t="s">
        <v>1570</v>
      </c>
      <c r="C211" s="12" t="s">
        <v>1635</v>
      </c>
    </row>
    <row r="212" spans="1:3" x14ac:dyDescent="0.25">
      <c r="A212" s="12" t="s">
        <v>1281</v>
      </c>
      <c r="B212" s="12" t="s">
        <v>1282</v>
      </c>
      <c r="C212" s="12" t="s">
        <v>1636</v>
      </c>
    </row>
    <row r="213" spans="1:3" x14ac:dyDescent="0.25">
      <c r="A213" s="12" t="s">
        <v>1469</v>
      </c>
      <c r="B213" s="12" t="s">
        <v>1472</v>
      </c>
      <c r="C213" s="12" t="s">
        <v>1637</v>
      </c>
    </row>
    <row r="214" spans="1:3" x14ac:dyDescent="0.25">
      <c r="A214" s="12" t="s">
        <v>1267</v>
      </c>
      <c r="B214" s="12" t="s">
        <v>1268</v>
      </c>
      <c r="C214" s="12" t="s">
        <v>1638</v>
      </c>
    </row>
    <row r="215" spans="1:3" x14ac:dyDescent="0.25">
      <c r="A215" s="12" t="s">
        <v>310</v>
      </c>
      <c r="B215" s="12" t="s">
        <v>1448</v>
      </c>
      <c r="C215" s="12" t="s">
        <v>1639</v>
      </c>
    </row>
    <row r="216" spans="1:3" x14ac:dyDescent="0.25">
      <c r="A216" s="12" t="s">
        <v>311</v>
      </c>
      <c r="B216" s="12" t="s">
        <v>1481</v>
      </c>
      <c r="C216" s="12" t="s">
        <v>1640</v>
      </c>
    </row>
    <row r="217" spans="1:3" x14ac:dyDescent="0.25">
      <c r="A217" s="12" t="s">
        <v>312</v>
      </c>
      <c r="B217" s="12" t="s">
        <v>1455</v>
      </c>
      <c r="C217" s="12" t="s">
        <v>1641</v>
      </c>
    </row>
    <row r="218" spans="1:3" x14ac:dyDescent="0.25">
      <c r="A218" s="12" t="s">
        <v>1560</v>
      </c>
      <c r="B218" s="12" t="s">
        <v>1561</v>
      </c>
      <c r="C218" s="12" t="s">
        <v>1642</v>
      </c>
    </row>
    <row r="219" spans="1:3" x14ac:dyDescent="0.25">
      <c r="A219" s="12" t="s">
        <v>1484</v>
      </c>
      <c r="B219" s="12" t="s">
        <v>1486</v>
      </c>
      <c r="C219" s="12" t="s">
        <v>1643</v>
      </c>
    </row>
    <row r="220" spans="1:3" x14ac:dyDescent="0.25">
      <c r="A220" s="12" t="s">
        <v>1538</v>
      </c>
      <c r="B220" s="12" t="s">
        <v>1539</v>
      </c>
      <c r="C220" s="12" t="s">
        <v>1644</v>
      </c>
    </row>
    <row r="221" spans="1:3" x14ac:dyDescent="0.25">
      <c r="A221" s="12" t="s">
        <v>1667</v>
      </c>
      <c r="B221" s="12" t="s">
        <v>1437</v>
      </c>
      <c r="C221" s="12" t="s">
        <v>1645</v>
      </c>
    </row>
    <row r="222" spans="1:3" x14ac:dyDescent="0.25">
      <c r="A222" s="12" t="s">
        <v>1493</v>
      </c>
      <c r="B222" s="12" t="s">
        <v>1494</v>
      </c>
      <c r="C222" s="12" t="s">
        <v>1646</v>
      </c>
    </row>
    <row r="223" spans="1:3" x14ac:dyDescent="0.25">
      <c r="A223" s="12" t="s">
        <v>315</v>
      </c>
      <c r="B223" s="12" t="s">
        <v>1358</v>
      </c>
      <c r="C223" s="12" t="s">
        <v>1647</v>
      </c>
    </row>
    <row r="224" spans="1:3" x14ac:dyDescent="0.25">
      <c r="A224" s="12" t="s">
        <v>1668</v>
      </c>
      <c r="B224" s="12" t="s">
        <v>1669</v>
      </c>
      <c r="C224" s="12" t="s">
        <v>1648</v>
      </c>
    </row>
    <row r="225" spans="1:4" x14ac:dyDescent="0.25">
      <c r="A225" s="12" t="s">
        <v>317</v>
      </c>
      <c r="B225" s="12" t="s">
        <v>1670</v>
      </c>
      <c r="C225" s="12" t="s">
        <v>1649</v>
      </c>
    </row>
    <row r="226" spans="1:4" x14ac:dyDescent="0.25">
      <c r="A226" s="12" t="s">
        <v>1671</v>
      </c>
      <c r="B226" s="12" t="s">
        <v>1672</v>
      </c>
      <c r="C226" s="12" t="s">
        <v>1650</v>
      </c>
    </row>
    <row r="227" spans="1:4" x14ac:dyDescent="0.25">
      <c r="A227" s="12" t="s">
        <v>1673</v>
      </c>
      <c r="B227" s="12" t="s">
        <v>1674</v>
      </c>
      <c r="C227" s="12"/>
    </row>
    <row r="230" spans="1:4" x14ac:dyDescent="0.25">
      <c r="A230" s="3" t="s">
        <v>1675</v>
      </c>
    </row>
    <row r="231" spans="1:4" x14ac:dyDescent="0.25">
      <c r="A231" s="11" t="s">
        <v>1654</v>
      </c>
      <c r="B231" s="11" t="s">
        <v>1676</v>
      </c>
      <c r="C231" s="11" t="s">
        <v>1618</v>
      </c>
      <c r="D231" s="11" t="s">
        <v>1677</v>
      </c>
    </row>
    <row r="232" spans="1:4" x14ac:dyDescent="0.25">
      <c r="A232" s="12" t="s">
        <v>1678</v>
      </c>
      <c r="B232" s="12" t="s">
        <v>1193</v>
      </c>
      <c r="C232" s="12" t="s">
        <v>1199</v>
      </c>
      <c r="D232" s="12" t="s">
        <v>307</v>
      </c>
    </row>
    <row r="233" spans="1:4" x14ac:dyDescent="0.25">
      <c r="A233" s="12" t="s">
        <v>1679</v>
      </c>
      <c r="B233" s="12" t="s">
        <v>1260</v>
      </c>
      <c r="C233" s="12" t="s">
        <v>1199</v>
      </c>
      <c r="D233" s="12" t="s">
        <v>307</v>
      </c>
    </row>
    <row r="234" spans="1:4" x14ac:dyDescent="0.25">
      <c r="A234" s="12" t="s">
        <v>1633</v>
      </c>
      <c r="B234" s="12" t="s">
        <v>1364</v>
      </c>
      <c r="C234" s="12" t="s">
        <v>1199</v>
      </c>
      <c r="D234" s="12" t="s">
        <v>307</v>
      </c>
    </row>
    <row r="235" spans="1:4" x14ac:dyDescent="0.25">
      <c r="A235" s="12" t="s">
        <v>1680</v>
      </c>
      <c r="B235" s="12" t="s">
        <v>1571</v>
      </c>
      <c r="C235" s="12" t="s">
        <v>1586</v>
      </c>
      <c r="D235" s="12" t="s">
        <v>316</v>
      </c>
    </row>
    <row r="236" spans="1:4" x14ac:dyDescent="0.25">
      <c r="A236" s="12" t="s">
        <v>1681</v>
      </c>
      <c r="B236" s="12" t="s">
        <v>1682</v>
      </c>
      <c r="C236" s="12" t="s">
        <v>1586</v>
      </c>
      <c r="D236" s="12" t="s">
        <v>316</v>
      </c>
    </row>
    <row r="237" spans="1:4" x14ac:dyDescent="0.25">
      <c r="A237" s="12" t="s">
        <v>1683</v>
      </c>
      <c r="B237" s="12" t="s">
        <v>1466</v>
      </c>
      <c r="C237" s="12" t="s">
        <v>1684</v>
      </c>
      <c r="D237" s="12" t="s">
        <v>1684</v>
      </c>
    </row>
    <row r="238" spans="1:4" x14ac:dyDescent="0.25">
      <c r="A238" s="12" t="s">
        <v>1685</v>
      </c>
      <c r="B238" s="12" t="s">
        <v>1686</v>
      </c>
      <c r="C238" s="12" t="s">
        <v>1269</v>
      </c>
      <c r="D238" s="12" t="s">
        <v>309</v>
      </c>
    </row>
    <row r="239" spans="1:4" x14ac:dyDescent="0.25">
      <c r="A239" s="12" t="s">
        <v>1687</v>
      </c>
      <c r="B239" s="12" t="s">
        <v>1688</v>
      </c>
      <c r="C239" s="12" t="s">
        <v>1684</v>
      </c>
      <c r="D239" s="12" t="s">
        <v>1684</v>
      </c>
    </row>
    <row r="240" spans="1:4" x14ac:dyDescent="0.25">
      <c r="A240" s="12" t="s">
        <v>1689</v>
      </c>
      <c r="B240" s="12" t="s">
        <v>1690</v>
      </c>
      <c r="C240" s="12" t="s">
        <v>1586</v>
      </c>
      <c r="D240" s="12" t="s">
        <v>316</v>
      </c>
    </row>
    <row r="241" spans="1:4" x14ac:dyDescent="0.25">
      <c r="A241" s="12" t="s">
        <v>1691</v>
      </c>
      <c r="B241" s="12" t="s">
        <v>1692</v>
      </c>
      <c r="C241" s="12" t="s">
        <v>1269</v>
      </c>
      <c r="D241" s="12" t="s">
        <v>309</v>
      </c>
    </row>
    <row r="242" spans="1:4" x14ac:dyDescent="0.25">
      <c r="A242" s="12" t="s">
        <v>1693</v>
      </c>
      <c r="B242" s="12" t="s">
        <v>1473</v>
      </c>
      <c r="C242" s="12" t="s">
        <v>1684</v>
      </c>
      <c r="D242" s="12" t="s">
        <v>1684</v>
      </c>
    </row>
    <row r="243" spans="1:4" x14ac:dyDescent="0.25">
      <c r="A243" s="12" t="s">
        <v>1694</v>
      </c>
      <c r="B243" s="12" t="s">
        <v>1695</v>
      </c>
      <c r="C243" s="12" t="s">
        <v>1269</v>
      </c>
      <c r="D243" s="12" t="s">
        <v>309</v>
      </c>
    </row>
    <row r="244" spans="1:4" x14ac:dyDescent="0.25">
      <c r="A244" s="12" t="s">
        <v>1696</v>
      </c>
      <c r="B244" s="12" t="s">
        <v>1697</v>
      </c>
      <c r="C244" s="12" t="s">
        <v>1269</v>
      </c>
      <c r="D244" s="12" t="s">
        <v>309</v>
      </c>
    </row>
    <row r="245" spans="1:4" x14ac:dyDescent="0.25">
      <c r="A245" s="12" t="s">
        <v>1698</v>
      </c>
      <c r="B245" s="12" t="s">
        <v>1699</v>
      </c>
      <c r="C245" s="12" t="s">
        <v>1269</v>
      </c>
      <c r="D245" s="12" t="s">
        <v>309</v>
      </c>
    </row>
    <row r="246" spans="1:4" x14ac:dyDescent="0.25">
      <c r="A246" s="12" t="s">
        <v>1700</v>
      </c>
      <c r="B246" s="12" t="s">
        <v>1701</v>
      </c>
      <c r="C246" s="12" t="s">
        <v>1586</v>
      </c>
      <c r="D246" s="12" t="s">
        <v>316</v>
      </c>
    </row>
    <row r="247" spans="1:4" x14ac:dyDescent="0.25">
      <c r="A247" s="12" t="s">
        <v>1702</v>
      </c>
      <c r="B247" s="12" t="s">
        <v>1703</v>
      </c>
      <c r="C247" s="12" t="s">
        <v>1269</v>
      </c>
      <c r="D247" s="12" t="s">
        <v>309</v>
      </c>
    </row>
    <row r="248" spans="1:4" x14ac:dyDescent="0.25">
      <c r="A248" s="12" t="s">
        <v>1704</v>
      </c>
      <c r="B248" s="12" t="s">
        <v>1705</v>
      </c>
      <c r="C248" s="12" t="s">
        <v>1269</v>
      </c>
      <c r="D248" s="12" t="s">
        <v>309</v>
      </c>
    </row>
    <row r="249" spans="1:4" x14ac:dyDescent="0.25">
      <c r="A249" s="12" t="s">
        <v>1706</v>
      </c>
      <c r="B249" s="12" t="s">
        <v>1707</v>
      </c>
      <c r="C249" s="12" t="s">
        <v>1684</v>
      </c>
      <c r="D249" s="12" t="s">
        <v>1684</v>
      </c>
    </row>
    <row r="250" spans="1:4" x14ac:dyDescent="0.25">
      <c r="A250" s="12" t="s">
        <v>1708</v>
      </c>
      <c r="B250" s="12" t="s">
        <v>1709</v>
      </c>
      <c r="C250" s="12" t="s">
        <v>1586</v>
      </c>
      <c r="D250" s="12" t="s">
        <v>316</v>
      </c>
    </row>
    <row r="251" spans="1:4" x14ac:dyDescent="0.25">
      <c r="A251" s="12" t="s">
        <v>1710</v>
      </c>
      <c r="B251" s="12" t="s">
        <v>1474</v>
      </c>
      <c r="C251" s="12" t="s">
        <v>1269</v>
      </c>
      <c r="D251" s="12" t="s">
        <v>309</v>
      </c>
    </row>
    <row r="252" spans="1:4" x14ac:dyDescent="0.25">
      <c r="A252" s="12" t="s">
        <v>1711</v>
      </c>
      <c r="B252" s="12" t="s">
        <v>1712</v>
      </c>
      <c r="C252" s="12" t="s">
        <v>1199</v>
      </c>
      <c r="D252" s="12" t="s">
        <v>307</v>
      </c>
    </row>
    <row r="253" spans="1:4" x14ac:dyDescent="0.25">
      <c r="A253" s="12" t="s">
        <v>1713</v>
      </c>
      <c r="B253" s="12" t="s">
        <v>1714</v>
      </c>
      <c r="C253" s="12" t="s">
        <v>1199</v>
      </c>
      <c r="D253" s="12" t="s">
        <v>307</v>
      </c>
    </row>
    <row r="254" spans="1:4" x14ac:dyDescent="0.25">
      <c r="A254" s="12" t="s">
        <v>1715</v>
      </c>
      <c r="B254" s="12" t="s">
        <v>1716</v>
      </c>
      <c r="C254" s="12" t="s">
        <v>1199</v>
      </c>
      <c r="D254" s="12" t="s">
        <v>307</v>
      </c>
    </row>
    <row r="255" spans="1:4" x14ac:dyDescent="0.25">
      <c r="A255" s="12" t="s">
        <v>1717</v>
      </c>
      <c r="B255" s="12" t="s">
        <v>1533</v>
      </c>
      <c r="C255" s="12" t="s">
        <v>1438</v>
      </c>
      <c r="D255" s="12" t="s">
        <v>314</v>
      </c>
    </row>
    <row r="256" spans="1:4" x14ac:dyDescent="0.25">
      <c r="A256" s="12" t="s">
        <v>1718</v>
      </c>
      <c r="B256" s="12" t="s">
        <v>1541</v>
      </c>
      <c r="C256" s="12" t="s">
        <v>1438</v>
      </c>
      <c r="D256" s="12" t="s">
        <v>314</v>
      </c>
    </row>
    <row r="257" spans="1:4" x14ac:dyDescent="0.25">
      <c r="A257" s="12" t="s">
        <v>1719</v>
      </c>
      <c r="B257" s="12" t="s">
        <v>1543</v>
      </c>
      <c r="C257" s="12" t="s">
        <v>1438</v>
      </c>
      <c r="D257" s="12" t="s">
        <v>314</v>
      </c>
    </row>
    <row r="258" spans="1:4" x14ac:dyDescent="0.25">
      <c r="A258" s="12" t="s">
        <v>1635</v>
      </c>
      <c r="B258" s="12" t="s">
        <v>1565</v>
      </c>
      <c r="C258" s="12" t="s">
        <v>1199</v>
      </c>
      <c r="D258" s="12" t="s">
        <v>307</v>
      </c>
    </row>
    <row r="259" spans="1:4" x14ac:dyDescent="0.25">
      <c r="A259" s="12" t="s">
        <v>1720</v>
      </c>
      <c r="B259" s="12" t="s">
        <v>1497</v>
      </c>
      <c r="C259" s="12" t="s">
        <v>1438</v>
      </c>
      <c r="D259" s="12" t="s">
        <v>314</v>
      </c>
    </row>
    <row r="260" spans="1:4" x14ac:dyDescent="0.25">
      <c r="A260" s="12" t="s">
        <v>1721</v>
      </c>
      <c r="B260" s="12" t="s">
        <v>1490</v>
      </c>
      <c r="C260" s="12" t="s">
        <v>1438</v>
      </c>
      <c r="D260" s="12" t="s">
        <v>314</v>
      </c>
    </row>
    <row r="261" spans="1:4" x14ac:dyDescent="0.25">
      <c r="A261" s="12" t="s">
        <v>1722</v>
      </c>
      <c r="B261" s="12" t="s">
        <v>1593</v>
      </c>
      <c r="C261" s="12" t="s">
        <v>1586</v>
      </c>
      <c r="D261" s="12" t="s">
        <v>316</v>
      </c>
    </row>
    <row r="262" spans="1:4" x14ac:dyDescent="0.25">
      <c r="A262" s="12" t="s">
        <v>1723</v>
      </c>
      <c r="B262" s="12" t="s">
        <v>1263</v>
      </c>
      <c r="C262" s="12" t="s">
        <v>1269</v>
      </c>
      <c r="D262" s="12" t="s">
        <v>309</v>
      </c>
    </row>
    <row r="263" spans="1:4" x14ac:dyDescent="0.25">
      <c r="A263" s="12" t="s">
        <v>1724</v>
      </c>
      <c r="B263" s="12" t="s">
        <v>1271</v>
      </c>
      <c r="C263" s="12" t="s">
        <v>1269</v>
      </c>
      <c r="D263" s="12" t="s">
        <v>309</v>
      </c>
    </row>
    <row r="264" spans="1:4" x14ac:dyDescent="0.25">
      <c r="A264" s="12" t="s">
        <v>1725</v>
      </c>
      <c r="B264" s="12" t="s">
        <v>1432</v>
      </c>
      <c r="C264" s="12" t="s">
        <v>1438</v>
      </c>
      <c r="D264" s="12" t="s">
        <v>314</v>
      </c>
    </row>
    <row r="265" spans="1:4" x14ac:dyDescent="0.25">
      <c r="A265" s="12" t="s">
        <v>1643</v>
      </c>
      <c r="B265" s="12" t="s">
        <v>1483</v>
      </c>
      <c r="C265" s="12" t="s">
        <v>1487</v>
      </c>
      <c r="D265" s="12" t="s">
        <v>313</v>
      </c>
    </row>
    <row r="266" spans="1:4" x14ac:dyDescent="0.25">
      <c r="A266" s="12" t="s">
        <v>1726</v>
      </c>
      <c r="B266" s="12" t="s">
        <v>1445</v>
      </c>
      <c r="C266" s="12" t="s">
        <v>1684</v>
      </c>
      <c r="D266" s="12" t="s">
        <v>1684</v>
      </c>
    </row>
    <row r="267" spans="1:4" x14ac:dyDescent="0.25">
      <c r="A267" s="12" t="s">
        <v>1727</v>
      </c>
      <c r="B267" s="12" t="s">
        <v>1450</v>
      </c>
      <c r="C267" s="12" t="s">
        <v>1449</v>
      </c>
      <c r="D267" s="12" t="s">
        <v>310</v>
      </c>
    </row>
    <row r="268" spans="1:4" x14ac:dyDescent="0.25">
      <c r="A268" s="12" t="s">
        <v>1728</v>
      </c>
      <c r="B268" s="12" t="s">
        <v>1442</v>
      </c>
      <c r="C268" s="12" t="s">
        <v>1449</v>
      </c>
      <c r="D268" s="12" t="s">
        <v>310</v>
      </c>
    </row>
    <row r="269" spans="1:4" x14ac:dyDescent="0.25">
      <c r="A269" s="12" t="s">
        <v>1729</v>
      </c>
      <c r="B269" s="12" t="s">
        <v>1478</v>
      </c>
      <c r="C269" s="12" t="s">
        <v>1102</v>
      </c>
      <c r="D269" s="12" t="s">
        <v>311</v>
      </c>
    </row>
    <row r="270" spans="1:4" x14ac:dyDescent="0.25">
      <c r="A270" s="12" t="s">
        <v>1730</v>
      </c>
      <c r="B270" s="12" t="s">
        <v>1482</v>
      </c>
      <c r="C270" s="12" t="s">
        <v>1102</v>
      </c>
      <c r="D270" s="12" t="s">
        <v>311</v>
      </c>
    </row>
    <row r="271" spans="1:4" x14ac:dyDescent="0.25">
      <c r="A271" s="12" t="s">
        <v>1731</v>
      </c>
      <c r="B271" s="12" t="s">
        <v>1463</v>
      </c>
      <c r="C271" s="12" t="s">
        <v>1456</v>
      </c>
      <c r="D271" s="12" t="s">
        <v>312</v>
      </c>
    </row>
    <row r="272" spans="1:4" x14ac:dyDescent="0.25">
      <c r="A272" s="12" t="s">
        <v>1732</v>
      </c>
      <c r="B272" s="12" t="s">
        <v>1451</v>
      </c>
      <c r="C272" s="12" t="s">
        <v>1456</v>
      </c>
      <c r="D272" s="12" t="s">
        <v>312</v>
      </c>
    </row>
    <row r="273" spans="1:4" x14ac:dyDescent="0.25">
      <c r="A273" s="12" t="s">
        <v>1733</v>
      </c>
      <c r="B273" s="12" t="s">
        <v>1458</v>
      </c>
      <c r="C273" s="12" t="s">
        <v>1456</v>
      </c>
      <c r="D273" s="12" t="s">
        <v>312</v>
      </c>
    </row>
    <row r="274" spans="1:4" x14ac:dyDescent="0.25">
      <c r="A274" s="12" t="s">
        <v>1734</v>
      </c>
      <c r="B274" s="12" t="s">
        <v>1735</v>
      </c>
      <c r="C274" s="12" t="s">
        <v>1456</v>
      </c>
      <c r="D274" s="12" t="s">
        <v>312</v>
      </c>
    </row>
    <row r="275" spans="1:4" x14ac:dyDescent="0.25">
      <c r="A275" s="12" t="s">
        <v>1736</v>
      </c>
      <c r="B275" s="12" t="s">
        <v>1556</v>
      </c>
      <c r="C275" s="12" t="s">
        <v>1456</v>
      </c>
      <c r="D275" s="12" t="s">
        <v>312</v>
      </c>
    </row>
    <row r="276" spans="1:4" x14ac:dyDescent="0.25">
      <c r="A276" s="12" t="s">
        <v>1737</v>
      </c>
      <c r="B276" s="12" t="s">
        <v>1562</v>
      </c>
      <c r="C276" s="12" t="s">
        <v>1456</v>
      </c>
      <c r="D276" s="12" t="s">
        <v>312</v>
      </c>
    </row>
    <row r="277" spans="1:4" x14ac:dyDescent="0.25">
      <c r="A277" s="12" t="s">
        <v>1738</v>
      </c>
      <c r="B277" s="12" t="s">
        <v>1441</v>
      </c>
      <c r="C277" s="12" t="s">
        <v>1438</v>
      </c>
      <c r="D277" s="12" t="s">
        <v>314</v>
      </c>
    </row>
    <row r="278" spans="1:4" x14ac:dyDescent="0.25">
      <c r="A278" s="12" t="s">
        <v>1739</v>
      </c>
      <c r="B278" s="12" t="s">
        <v>314</v>
      </c>
      <c r="C278" s="12" t="s">
        <v>1438</v>
      </c>
      <c r="D278" s="12" t="s">
        <v>314</v>
      </c>
    </row>
    <row r="279" spans="1:4" x14ac:dyDescent="0.25">
      <c r="A279" s="12" t="s">
        <v>1740</v>
      </c>
      <c r="B279" s="12" t="s">
        <v>1296</v>
      </c>
      <c r="C279" s="12" t="s">
        <v>1283</v>
      </c>
      <c r="D279" s="12" t="s">
        <v>308</v>
      </c>
    </row>
    <row r="280" spans="1:4" x14ac:dyDescent="0.25">
      <c r="A280" s="12" t="s">
        <v>1622</v>
      </c>
      <c r="B280" s="12" t="s">
        <v>1515</v>
      </c>
      <c r="C280" s="12" t="s">
        <v>1520</v>
      </c>
      <c r="D280" s="12" t="s">
        <v>301</v>
      </c>
    </row>
    <row r="281" spans="1:4" x14ac:dyDescent="0.25">
      <c r="A281" s="12" t="s">
        <v>1741</v>
      </c>
      <c r="B281" s="12" t="s">
        <v>1507</v>
      </c>
      <c r="C281" s="12" t="s">
        <v>1283</v>
      </c>
      <c r="D281" s="12" t="s">
        <v>308</v>
      </c>
    </row>
    <row r="282" spans="1:4" x14ac:dyDescent="0.25">
      <c r="A282" s="12" t="s">
        <v>1742</v>
      </c>
      <c r="B282" s="12" t="s">
        <v>1499</v>
      </c>
      <c r="C282" s="12" t="s">
        <v>1283</v>
      </c>
      <c r="D282" s="12" t="s">
        <v>308</v>
      </c>
    </row>
    <row r="283" spans="1:4" x14ac:dyDescent="0.25">
      <c r="A283" s="12" t="s">
        <v>1743</v>
      </c>
      <c r="B283" s="12" t="s">
        <v>1506</v>
      </c>
      <c r="C283" s="12" t="s">
        <v>1283</v>
      </c>
      <c r="D283" s="12" t="s">
        <v>308</v>
      </c>
    </row>
    <row r="284" spans="1:4" x14ac:dyDescent="0.25">
      <c r="A284" s="12" t="s">
        <v>1744</v>
      </c>
      <c r="B284" s="12" t="s">
        <v>1510</v>
      </c>
      <c r="C284" s="12" t="s">
        <v>1283</v>
      </c>
      <c r="D284" s="12" t="s">
        <v>308</v>
      </c>
    </row>
    <row r="285" spans="1:4" x14ac:dyDescent="0.25">
      <c r="A285" s="12" t="s">
        <v>1745</v>
      </c>
      <c r="B285" s="12" t="s">
        <v>1360</v>
      </c>
      <c r="C285" s="12" t="s">
        <v>1359</v>
      </c>
      <c r="D285" s="12" t="s">
        <v>315</v>
      </c>
    </row>
    <row r="286" spans="1:4" x14ac:dyDescent="0.25">
      <c r="A286" s="12" t="s">
        <v>1746</v>
      </c>
      <c r="B286" s="12" t="s">
        <v>1361</v>
      </c>
      <c r="C286" s="12" t="s">
        <v>1359</v>
      </c>
      <c r="D286" s="12" t="s">
        <v>315</v>
      </c>
    </row>
    <row r="287" spans="1:4" x14ac:dyDescent="0.25">
      <c r="A287" s="12" t="s">
        <v>1747</v>
      </c>
      <c r="B287" s="12" t="s">
        <v>1355</v>
      </c>
      <c r="C287" s="12" t="s">
        <v>1359</v>
      </c>
      <c r="D287" s="12" t="s">
        <v>315</v>
      </c>
    </row>
    <row r="288" spans="1:4" x14ac:dyDescent="0.25">
      <c r="A288" s="12" t="s">
        <v>1748</v>
      </c>
      <c r="B288" s="12" t="s">
        <v>1353</v>
      </c>
      <c r="C288" s="12" t="s">
        <v>1283</v>
      </c>
      <c r="D288" s="12" t="s">
        <v>308</v>
      </c>
    </row>
    <row r="289" spans="1:4" x14ac:dyDescent="0.25">
      <c r="A289" s="12" t="s">
        <v>1749</v>
      </c>
      <c r="B289" s="12" t="s">
        <v>1344</v>
      </c>
      <c r="C289" s="12" t="s">
        <v>1283</v>
      </c>
      <c r="D289" s="12" t="s">
        <v>308</v>
      </c>
    </row>
    <row r="290" spans="1:4" x14ac:dyDescent="0.25">
      <c r="A290" s="12" t="s">
        <v>1750</v>
      </c>
      <c r="B290" s="12" t="s">
        <v>1350</v>
      </c>
      <c r="C290" s="12" t="s">
        <v>1283</v>
      </c>
      <c r="D290" s="12" t="s">
        <v>308</v>
      </c>
    </row>
    <row r="291" spans="1:4" x14ac:dyDescent="0.25">
      <c r="A291" s="12" t="s">
        <v>1751</v>
      </c>
      <c r="B291" s="12" t="s">
        <v>1545</v>
      </c>
      <c r="C291" s="12" t="s">
        <v>1684</v>
      </c>
      <c r="D291" s="12" t="s">
        <v>1684</v>
      </c>
    </row>
    <row r="292" spans="1:4" x14ac:dyDescent="0.25">
      <c r="A292" s="12" t="s">
        <v>1752</v>
      </c>
      <c r="B292" s="12" t="s">
        <v>1753</v>
      </c>
      <c r="C292" s="12" t="s">
        <v>1624</v>
      </c>
      <c r="D292" s="12" t="s">
        <v>302</v>
      </c>
    </row>
    <row r="293" spans="1:4" x14ac:dyDescent="0.25">
      <c r="A293" s="12" t="s">
        <v>1754</v>
      </c>
      <c r="B293" s="12" t="s">
        <v>1755</v>
      </c>
      <c r="C293" s="12" t="s">
        <v>1626</v>
      </c>
      <c r="D293" s="12" t="s">
        <v>303</v>
      </c>
    </row>
    <row r="294" spans="1:4" x14ac:dyDescent="0.25">
      <c r="A294" s="12" t="s">
        <v>1649</v>
      </c>
      <c r="B294" s="12" t="s">
        <v>1756</v>
      </c>
      <c r="C294" s="12" t="s">
        <v>1586</v>
      </c>
      <c r="D294" s="12" t="s">
        <v>316</v>
      </c>
    </row>
    <row r="295" spans="1:4" x14ac:dyDescent="0.25">
      <c r="A295" s="12" t="s">
        <v>1629</v>
      </c>
      <c r="B295" s="12" t="s">
        <v>1551</v>
      </c>
      <c r="C295" s="12" t="s">
        <v>1550</v>
      </c>
      <c r="D295" s="12" t="s">
        <v>305</v>
      </c>
    </row>
    <row r="296" spans="1:4" x14ac:dyDescent="0.25">
      <c r="A296" s="12" t="s">
        <v>1628</v>
      </c>
      <c r="B296" s="12" t="s">
        <v>1553</v>
      </c>
      <c r="C296" s="12" t="s">
        <v>1555</v>
      </c>
      <c r="D296" s="12" t="s">
        <v>304</v>
      </c>
    </row>
    <row r="297" spans="1:4" x14ac:dyDescent="0.25">
      <c r="A297" s="12" t="s">
        <v>1757</v>
      </c>
      <c r="B297" s="12" t="s">
        <v>1306</v>
      </c>
      <c r="C297" s="12" t="s">
        <v>1283</v>
      </c>
      <c r="D297" s="12" t="s">
        <v>308</v>
      </c>
    </row>
    <row r="298" spans="1:4" x14ac:dyDescent="0.25">
      <c r="A298" s="12" t="s">
        <v>1758</v>
      </c>
      <c r="B298" s="12" t="s">
        <v>1292</v>
      </c>
      <c r="C298" s="12" t="s">
        <v>1283</v>
      </c>
      <c r="D298" s="12" t="s">
        <v>308</v>
      </c>
    </row>
    <row r="299" spans="1:4" x14ac:dyDescent="0.25">
      <c r="A299" s="12" t="s">
        <v>1759</v>
      </c>
      <c r="B299" s="12" t="s">
        <v>1343</v>
      </c>
      <c r="C299" s="12" t="s">
        <v>1283</v>
      </c>
      <c r="D299" s="12" t="s">
        <v>308</v>
      </c>
    </row>
    <row r="300" spans="1:4" x14ac:dyDescent="0.25">
      <c r="A300" s="12" t="s">
        <v>1760</v>
      </c>
      <c r="B300" s="12" t="s">
        <v>1336</v>
      </c>
      <c r="C300" s="12" t="s">
        <v>1283</v>
      </c>
      <c r="D300" s="12" t="s">
        <v>308</v>
      </c>
    </row>
    <row r="301" spans="1:4" x14ac:dyDescent="0.25">
      <c r="A301" s="12" t="s">
        <v>1761</v>
      </c>
      <c r="B301" s="12" t="s">
        <v>1294</v>
      </c>
      <c r="C301" s="12" t="s">
        <v>1283</v>
      </c>
      <c r="D301" s="12" t="s">
        <v>308</v>
      </c>
    </row>
    <row r="302" spans="1:4" x14ac:dyDescent="0.25">
      <c r="A302" s="12" t="s">
        <v>1762</v>
      </c>
      <c r="B302" s="12" t="s">
        <v>1287</v>
      </c>
      <c r="C302" s="12" t="s">
        <v>1283</v>
      </c>
      <c r="D302" s="12" t="s">
        <v>308</v>
      </c>
    </row>
    <row r="303" spans="1:4" x14ac:dyDescent="0.25">
      <c r="A303" s="12" t="s">
        <v>1763</v>
      </c>
      <c r="B303" s="12" t="s">
        <v>1286</v>
      </c>
      <c r="C303" s="12" t="s">
        <v>1283</v>
      </c>
      <c r="D303" s="12" t="s">
        <v>308</v>
      </c>
    </row>
    <row r="304" spans="1:4" x14ac:dyDescent="0.25">
      <c r="A304" s="12" t="s">
        <v>1764</v>
      </c>
      <c r="B304" s="12" t="s">
        <v>1290</v>
      </c>
      <c r="C304" s="12" t="s">
        <v>1283</v>
      </c>
      <c r="D304" s="12" t="s">
        <v>308</v>
      </c>
    </row>
    <row r="305" spans="1:4" x14ac:dyDescent="0.25">
      <c r="A305" s="12" t="s">
        <v>1765</v>
      </c>
      <c r="B305" s="12" t="s">
        <v>1285</v>
      </c>
      <c r="C305" s="12" t="s">
        <v>1283</v>
      </c>
      <c r="D305" s="12" t="s">
        <v>308</v>
      </c>
    </row>
    <row r="306" spans="1:4" x14ac:dyDescent="0.25">
      <c r="A306" s="12" t="s">
        <v>1766</v>
      </c>
      <c r="B306" s="12" t="s">
        <v>1275</v>
      </c>
      <c r="C306" s="12" t="s">
        <v>1283</v>
      </c>
      <c r="D306" s="12" t="s">
        <v>308</v>
      </c>
    </row>
    <row r="307" spans="1:4" x14ac:dyDescent="0.25">
      <c r="A307" s="12" t="s">
        <v>1767</v>
      </c>
      <c r="B307" s="12" t="s">
        <v>1316</v>
      </c>
      <c r="C307" s="12" t="s">
        <v>1283</v>
      </c>
      <c r="D307" s="12" t="s">
        <v>308</v>
      </c>
    </row>
    <row r="308" spans="1:4" x14ac:dyDescent="0.25">
      <c r="A308" s="12" t="s">
        <v>1768</v>
      </c>
      <c r="B308" s="12" t="s">
        <v>1314</v>
      </c>
      <c r="C308" s="12" t="s">
        <v>1283</v>
      </c>
      <c r="D308" s="12" t="s">
        <v>308</v>
      </c>
    </row>
    <row r="309" spans="1:4" x14ac:dyDescent="0.25">
      <c r="A309" s="12" t="s">
        <v>1769</v>
      </c>
      <c r="B309" s="12" t="s">
        <v>1770</v>
      </c>
      <c r="C309" s="12" t="s">
        <v>1283</v>
      </c>
      <c r="D309" s="12" t="s">
        <v>308</v>
      </c>
    </row>
    <row r="310" spans="1:4" x14ac:dyDescent="0.25">
      <c r="A310" s="12" t="s">
        <v>1771</v>
      </c>
      <c r="B310" s="12" t="s">
        <v>1302</v>
      </c>
      <c r="C310" s="12" t="s">
        <v>1283</v>
      </c>
      <c r="D310" s="12" t="s">
        <v>308</v>
      </c>
    </row>
    <row r="311" spans="1:4" x14ac:dyDescent="0.25">
      <c r="A311" s="12" t="s">
        <v>1772</v>
      </c>
      <c r="B311" s="12" t="s">
        <v>1773</v>
      </c>
      <c r="C311" s="12" t="s">
        <v>1283</v>
      </c>
      <c r="D311" s="12" t="s">
        <v>308</v>
      </c>
    </row>
    <row r="312" spans="1:4" x14ac:dyDescent="0.25">
      <c r="A312" s="12" t="s">
        <v>1774</v>
      </c>
      <c r="B312" s="12" t="s">
        <v>1775</v>
      </c>
      <c r="C312" s="12" t="s">
        <v>1283</v>
      </c>
      <c r="D312" s="12" t="s">
        <v>308</v>
      </c>
    </row>
    <row r="313" spans="1:4" x14ac:dyDescent="0.25">
      <c r="A313" s="12" t="s">
        <v>1776</v>
      </c>
      <c r="B313" s="12" t="s">
        <v>1362</v>
      </c>
      <c r="C313" s="12" t="s">
        <v>1283</v>
      </c>
      <c r="D313" s="12" t="s">
        <v>308</v>
      </c>
    </row>
    <row r="314" spans="1:4" x14ac:dyDescent="0.25">
      <c r="A314" s="12" t="s">
        <v>1777</v>
      </c>
      <c r="B314" s="12" t="s">
        <v>1607</v>
      </c>
      <c r="C314" s="12" t="s">
        <v>1283</v>
      </c>
      <c r="D314" s="12" t="s">
        <v>308</v>
      </c>
    </row>
    <row r="315" spans="1:4" x14ac:dyDescent="0.25">
      <c r="A315" s="12" t="s">
        <v>1778</v>
      </c>
      <c r="B315" s="12" t="s">
        <v>1605</v>
      </c>
      <c r="C315" s="12" t="s">
        <v>1283</v>
      </c>
      <c r="D315" s="12" t="s">
        <v>308</v>
      </c>
    </row>
    <row r="316" spans="1:4" x14ac:dyDescent="0.25">
      <c r="A316" s="12" t="s">
        <v>1779</v>
      </c>
      <c r="B316" s="12" t="s">
        <v>1780</v>
      </c>
      <c r="C316" s="12" t="s">
        <v>1283</v>
      </c>
      <c r="D316" s="12" t="s">
        <v>308</v>
      </c>
    </row>
    <row r="317" spans="1:4" x14ac:dyDescent="0.25">
      <c r="A317" s="12" t="s">
        <v>1781</v>
      </c>
      <c r="B317" s="12" t="s">
        <v>1782</v>
      </c>
      <c r="C317" s="12" t="s">
        <v>1283</v>
      </c>
      <c r="D317" s="12" t="s">
        <v>308</v>
      </c>
    </row>
    <row r="318" spans="1:4" x14ac:dyDescent="0.25">
      <c r="A318" s="12" t="s">
        <v>1783</v>
      </c>
      <c r="B318" s="12" t="s">
        <v>1784</v>
      </c>
      <c r="C318" s="12" t="s">
        <v>1283</v>
      </c>
      <c r="D318" s="12" t="s">
        <v>308</v>
      </c>
    </row>
    <row r="319" spans="1:4" x14ac:dyDescent="0.25">
      <c r="A319" s="12" t="s">
        <v>1785</v>
      </c>
      <c r="B319" s="12" t="s">
        <v>1786</v>
      </c>
      <c r="C319" s="12" t="s">
        <v>1283</v>
      </c>
      <c r="D319" s="12" t="s">
        <v>308</v>
      </c>
    </row>
    <row r="320" spans="1:4" x14ac:dyDescent="0.25">
      <c r="A320" s="12" t="s">
        <v>1787</v>
      </c>
      <c r="B320" s="12" t="s">
        <v>1788</v>
      </c>
      <c r="C320" s="12" t="s">
        <v>1283</v>
      </c>
      <c r="D320" s="12" t="s">
        <v>308</v>
      </c>
    </row>
    <row r="321" spans="1:4" x14ac:dyDescent="0.25">
      <c r="A321" s="12" t="s">
        <v>1789</v>
      </c>
      <c r="B321" s="12" t="s">
        <v>1790</v>
      </c>
      <c r="C321" s="12" t="s">
        <v>1283</v>
      </c>
      <c r="D321" s="12" t="s">
        <v>308</v>
      </c>
    </row>
    <row r="322" spans="1:4" x14ac:dyDescent="0.25">
      <c r="A322" s="12" t="s">
        <v>1791</v>
      </c>
      <c r="B322" s="12" t="s">
        <v>1792</v>
      </c>
      <c r="C322" s="12" t="s">
        <v>1283</v>
      </c>
      <c r="D322" s="12" t="s">
        <v>308</v>
      </c>
    </row>
    <row r="323" spans="1:4" x14ac:dyDescent="0.25">
      <c r="A323" s="12" t="s">
        <v>1793</v>
      </c>
      <c r="B323" s="12" t="s">
        <v>1794</v>
      </c>
      <c r="C323" s="12" t="s">
        <v>1283</v>
      </c>
      <c r="D323" s="12" t="s">
        <v>308</v>
      </c>
    </row>
    <row r="324" spans="1:4" x14ac:dyDescent="0.25">
      <c r="A324" s="12" t="s">
        <v>1795</v>
      </c>
      <c r="B324" s="12" t="s">
        <v>1331</v>
      </c>
      <c r="C324" s="12" t="s">
        <v>1684</v>
      </c>
      <c r="D324" s="12" t="s">
        <v>1684</v>
      </c>
    </row>
    <row r="325" spans="1:4" x14ac:dyDescent="0.25">
      <c r="A325" s="12" t="s">
        <v>1796</v>
      </c>
      <c r="B325" s="12" t="s">
        <v>1797</v>
      </c>
      <c r="C325" s="12" t="s">
        <v>1283</v>
      </c>
      <c r="D325" s="12" t="s">
        <v>308</v>
      </c>
    </row>
    <row r="326" spans="1:4" x14ac:dyDescent="0.25">
      <c r="A326" s="12" t="s">
        <v>1798</v>
      </c>
      <c r="B326" s="12" t="s">
        <v>1799</v>
      </c>
      <c r="C326" s="12" t="s">
        <v>1684</v>
      </c>
      <c r="D326" s="12" t="s">
        <v>1684</v>
      </c>
    </row>
    <row r="327" spans="1:4" x14ac:dyDescent="0.25">
      <c r="A327" s="12" t="s">
        <v>1800</v>
      </c>
      <c r="B327" s="12" t="s">
        <v>1801</v>
      </c>
      <c r="C327" s="12" t="s">
        <v>1283</v>
      </c>
      <c r="D327" s="12" t="s">
        <v>308</v>
      </c>
    </row>
    <row r="328" spans="1:4" x14ac:dyDescent="0.25">
      <c r="A328" s="12" t="s">
        <v>1650</v>
      </c>
      <c r="B328" s="12" t="s">
        <v>1802</v>
      </c>
      <c r="C328" s="12" t="s">
        <v>1615</v>
      </c>
      <c r="D328" s="12" t="s">
        <v>366</v>
      </c>
    </row>
    <row r="329" spans="1:4" x14ac:dyDescent="0.25">
      <c r="A329" s="12" t="s">
        <v>1803</v>
      </c>
      <c r="B329" s="12" t="s">
        <v>1804</v>
      </c>
      <c r="C329" s="12" t="s">
        <v>1283</v>
      </c>
      <c r="D329" s="12" t="s">
        <v>308</v>
      </c>
    </row>
    <row r="330" spans="1:4" x14ac:dyDescent="0.25">
      <c r="A330" s="12" t="s">
        <v>1805</v>
      </c>
      <c r="B330" s="12" t="s">
        <v>1806</v>
      </c>
      <c r="C330" s="12" t="s">
        <v>1283</v>
      </c>
      <c r="D330" s="12" t="s">
        <v>308</v>
      </c>
    </row>
    <row r="331" spans="1:4" x14ac:dyDescent="0.25">
      <c r="A331" s="12" t="s">
        <v>1807</v>
      </c>
      <c r="B331" s="12" t="s">
        <v>358</v>
      </c>
      <c r="C331" s="12" t="s">
        <v>1283</v>
      </c>
      <c r="D331" s="12" t="s">
        <v>308</v>
      </c>
    </row>
    <row r="332" spans="1:4" x14ac:dyDescent="0.25">
      <c r="A332" s="12" t="s">
        <v>1808</v>
      </c>
      <c r="B332" s="12" t="s">
        <v>1809</v>
      </c>
      <c r="C332" s="12" t="s">
        <v>1283</v>
      </c>
      <c r="D332" s="12" t="s">
        <v>308</v>
      </c>
    </row>
    <row r="333" spans="1:4" x14ac:dyDescent="0.25">
      <c r="A333" s="12" t="s">
        <v>1810</v>
      </c>
      <c r="B333" s="12" t="s">
        <v>1811</v>
      </c>
      <c r="C333" s="12" t="s">
        <v>1283</v>
      </c>
      <c r="D333" s="12" t="s">
        <v>308</v>
      </c>
    </row>
    <row r="334" spans="1:4" x14ac:dyDescent="0.25">
      <c r="A334" s="12" t="s">
        <v>1812</v>
      </c>
      <c r="B334" s="12" t="s">
        <v>1813</v>
      </c>
      <c r="C334" s="12" t="s">
        <v>1283</v>
      </c>
      <c r="D334" s="12" t="s">
        <v>308</v>
      </c>
    </row>
    <row r="335" spans="1:4" x14ac:dyDescent="0.25">
      <c r="A335" s="12" t="s">
        <v>1814</v>
      </c>
      <c r="B335" s="12" t="s">
        <v>1815</v>
      </c>
      <c r="C335" s="12" t="s">
        <v>1283</v>
      </c>
      <c r="D335" s="12" t="s">
        <v>308</v>
      </c>
    </row>
    <row r="336" spans="1:4" x14ac:dyDescent="0.25">
      <c r="A336" s="12" t="s">
        <v>1816</v>
      </c>
      <c r="B336" s="12" t="s">
        <v>1817</v>
      </c>
      <c r="C336" s="12" t="s">
        <v>1283</v>
      </c>
      <c r="D336" s="12" t="s">
        <v>308</v>
      </c>
    </row>
    <row r="337" spans="1:4" x14ac:dyDescent="0.25">
      <c r="A337" s="12" t="s">
        <v>1818</v>
      </c>
      <c r="B337" s="12" t="s">
        <v>1819</v>
      </c>
      <c r="C337" s="12" t="s">
        <v>1283</v>
      </c>
      <c r="D337" s="12" t="s">
        <v>308</v>
      </c>
    </row>
    <row r="338" spans="1:4" x14ac:dyDescent="0.25">
      <c r="A338" s="12" t="s">
        <v>1820</v>
      </c>
      <c r="B338" s="12" t="s">
        <v>1821</v>
      </c>
      <c r="C338" s="12" t="s">
        <v>1283</v>
      </c>
      <c r="D338" s="12" t="s">
        <v>308</v>
      </c>
    </row>
    <row r="339" spans="1:4" x14ac:dyDescent="0.25">
      <c r="A339" s="12" t="s">
        <v>1822</v>
      </c>
      <c r="B339" s="12" t="s">
        <v>1823</v>
      </c>
      <c r="C339" s="12" t="s">
        <v>1283</v>
      </c>
      <c r="D339" s="12" t="s">
        <v>308</v>
      </c>
    </row>
    <row r="340" spans="1:4" x14ac:dyDescent="0.25">
      <c r="A340" s="12" t="s">
        <v>1824</v>
      </c>
      <c r="B340" s="12" t="s">
        <v>1825</v>
      </c>
      <c r="C340" s="12" t="s">
        <v>1283</v>
      </c>
      <c r="D340" s="12" t="s">
        <v>308</v>
      </c>
    </row>
    <row r="341" spans="1:4" x14ac:dyDescent="0.25">
      <c r="A341" s="12" t="s">
        <v>1826</v>
      </c>
      <c r="B341" s="12" t="s">
        <v>1827</v>
      </c>
      <c r="C341" s="12" t="s">
        <v>1283</v>
      </c>
      <c r="D341" s="12" t="s">
        <v>308</v>
      </c>
    </row>
    <row r="342" spans="1:4" x14ac:dyDescent="0.25">
      <c r="A342" s="12" t="s">
        <v>1828</v>
      </c>
      <c r="B342" s="12" t="s">
        <v>1829</v>
      </c>
      <c r="C342" s="12" t="s">
        <v>1532</v>
      </c>
      <c r="D342" s="12" t="s">
        <v>306</v>
      </c>
    </row>
    <row r="343" spans="1:4" x14ac:dyDescent="0.25">
      <c r="A343" s="12" t="s">
        <v>1830</v>
      </c>
      <c r="B343" s="12" t="s">
        <v>1831</v>
      </c>
      <c r="C343" s="12" t="s">
        <v>1532</v>
      </c>
      <c r="D343" s="12" t="s">
        <v>306</v>
      </c>
    </row>
    <row r="344" spans="1:4" x14ac:dyDescent="0.25">
      <c r="A344" s="12" t="s">
        <v>1832</v>
      </c>
      <c r="B344" s="12" t="s">
        <v>1475</v>
      </c>
      <c r="C344" s="12" t="s">
        <v>1283</v>
      </c>
      <c r="D344" s="12" t="s">
        <v>308</v>
      </c>
    </row>
    <row r="347" spans="1:4" x14ac:dyDescent="0.25">
      <c r="A347" s="3" t="s">
        <v>1833</v>
      </c>
    </row>
    <row r="348" spans="1:4" x14ac:dyDescent="0.25">
      <c r="A348" s="11" t="s">
        <v>1834</v>
      </c>
      <c r="B348" s="11" t="s">
        <v>551</v>
      </c>
      <c r="C348" s="11" t="s">
        <v>1835</v>
      </c>
    </row>
    <row r="349" spans="1:4" x14ac:dyDescent="0.25">
      <c r="A349" s="12" t="s">
        <v>1836</v>
      </c>
      <c r="B349" s="12" t="s">
        <v>1837</v>
      </c>
      <c r="C349" s="12" t="s">
        <v>1837</v>
      </c>
    </row>
    <row r="350" spans="1:4" x14ac:dyDescent="0.25">
      <c r="A350" s="12" t="s">
        <v>1838</v>
      </c>
      <c r="B350" s="12" t="s">
        <v>1839</v>
      </c>
      <c r="C350" s="12" t="s">
        <v>1837</v>
      </c>
    </row>
    <row r="351" spans="1:4" x14ac:dyDescent="0.25">
      <c r="A351" s="12" t="s">
        <v>1840</v>
      </c>
      <c r="B351" s="12" t="s">
        <v>1841</v>
      </c>
      <c r="C351" s="12" t="s">
        <v>1837</v>
      </c>
    </row>
    <row r="352" spans="1:4" x14ac:dyDescent="0.25">
      <c r="A352" s="12" t="s">
        <v>1842</v>
      </c>
      <c r="B352" s="12" t="s">
        <v>1843</v>
      </c>
      <c r="C352" s="12" t="s">
        <v>1837</v>
      </c>
    </row>
    <row r="353" spans="1:3" x14ac:dyDescent="0.25">
      <c r="A353" s="12" t="s">
        <v>1844</v>
      </c>
      <c r="B353" s="12" t="s">
        <v>1845</v>
      </c>
      <c r="C353" s="12" t="s">
        <v>1837</v>
      </c>
    </row>
    <row r="354" spans="1:3" x14ac:dyDescent="0.25">
      <c r="A354" s="12" t="s">
        <v>1846</v>
      </c>
      <c r="B354" s="12" t="s">
        <v>1847</v>
      </c>
      <c r="C354" s="12" t="s">
        <v>1837</v>
      </c>
    </row>
    <row r="355" spans="1:3" x14ac:dyDescent="0.25">
      <c r="A355" s="12" t="s">
        <v>1848</v>
      </c>
      <c r="B355" s="12" t="s">
        <v>1849</v>
      </c>
      <c r="C355" s="12" t="s">
        <v>1837</v>
      </c>
    </row>
    <row r="356" spans="1:3" x14ac:dyDescent="0.25">
      <c r="A356" s="12" t="s">
        <v>1850</v>
      </c>
      <c r="B356" s="12" t="s">
        <v>1851</v>
      </c>
      <c r="C356" s="12" t="s">
        <v>1837</v>
      </c>
    </row>
    <row r="357" spans="1:3" x14ac:dyDescent="0.25">
      <c r="A357" s="12" t="s">
        <v>1852</v>
      </c>
      <c r="B357" s="12" t="s">
        <v>1853</v>
      </c>
      <c r="C357" s="12" t="s">
        <v>1837</v>
      </c>
    </row>
    <row r="358" spans="1:3" x14ac:dyDescent="0.25">
      <c r="A358" s="12" t="s">
        <v>1854</v>
      </c>
      <c r="B358" s="12" t="s">
        <v>1855</v>
      </c>
      <c r="C358" s="12" t="s">
        <v>1837</v>
      </c>
    </row>
    <row r="359" spans="1:3" x14ac:dyDescent="0.25">
      <c r="A359" s="12" t="s">
        <v>1856</v>
      </c>
      <c r="B359" s="12" t="s">
        <v>1857</v>
      </c>
      <c r="C359" s="12" t="s">
        <v>1837</v>
      </c>
    </row>
    <row r="360" spans="1:3" x14ac:dyDescent="0.25">
      <c r="A360" s="12" t="s">
        <v>1858</v>
      </c>
      <c r="B360" s="12" t="s">
        <v>1859</v>
      </c>
      <c r="C360" s="12" t="s">
        <v>1837</v>
      </c>
    </row>
    <row r="361" spans="1:3" x14ac:dyDescent="0.25">
      <c r="A361" s="12" t="s">
        <v>1860</v>
      </c>
      <c r="B361" s="12" t="s">
        <v>1861</v>
      </c>
      <c r="C361" s="12" t="s">
        <v>1837</v>
      </c>
    </row>
    <row r="362" spans="1:3" x14ac:dyDescent="0.25">
      <c r="A362" s="12" t="s">
        <v>1862</v>
      </c>
      <c r="B362" s="12" t="s">
        <v>1863</v>
      </c>
      <c r="C362" s="12" t="s">
        <v>1863</v>
      </c>
    </row>
    <row r="363" spans="1:3" x14ac:dyDescent="0.25">
      <c r="A363" s="12" t="s">
        <v>1864</v>
      </c>
      <c r="B363" s="12" t="s">
        <v>1865</v>
      </c>
      <c r="C363" s="12" t="s">
        <v>1863</v>
      </c>
    </row>
    <row r="364" spans="1:3" x14ac:dyDescent="0.25">
      <c r="A364" s="12" t="s">
        <v>1866</v>
      </c>
      <c r="B364" s="12" t="s">
        <v>1867</v>
      </c>
      <c r="C364" s="12" t="s">
        <v>1863</v>
      </c>
    </row>
    <row r="365" spans="1:3" x14ac:dyDescent="0.25">
      <c r="A365" s="12" t="s">
        <v>1868</v>
      </c>
      <c r="B365" s="12" t="s">
        <v>1869</v>
      </c>
      <c r="C365" s="12" t="s">
        <v>1869</v>
      </c>
    </row>
    <row r="366" spans="1:3" x14ac:dyDescent="0.25">
      <c r="A366" s="12" t="s">
        <v>1870</v>
      </c>
      <c r="B366" s="12" t="s">
        <v>1871</v>
      </c>
      <c r="C366" s="12" t="s">
        <v>1869</v>
      </c>
    </row>
    <row r="367" spans="1:3" x14ac:dyDescent="0.25">
      <c r="A367" s="12" t="s">
        <v>1872</v>
      </c>
      <c r="B367" s="12" t="s">
        <v>1873</v>
      </c>
      <c r="C367" s="12" t="s">
        <v>1869</v>
      </c>
    </row>
    <row r="368" spans="1:3" x14ac:dyDescent="0.25">
      <c r="A368" s="12" t="s">
        <v>1874</v>
      </c>
      <c r="B368" s="12" t="s">
        <v>1875</v>
      </c>
      <c r="C368" s="12" t="s">
        <v>1869</v>
      </c>
    </row>
    <row r="369" spans="1:3" x14ac:dyDescent="0.25">
      <c r="A369" s="12" t="s">
        <v>1876</v>
      </c>
      <c r="B369" s="12" t="s">
        <v>1877</v>
      </c>
      <c r="C369" s="12" t="s">
        <v>1877</v>
      </c>
    </row>
    <row r="370" spans="1:3" x14ac:dyDescent="0.25">
      <c r="A370" s="12" t="s">
        <v>1878</v>
      </c>
      <c r="B370" s="12" t="s">
        <v>1879</v>
      </c>
      <c r="C370" s="12" t="s">
        <v>1877</v>
      </c>
    </row>
    <row r="371" spans="1:3" x14ac:dyDescent="0.25">
      <c r="A371" s="12" t="s">
        <v>1880</v>
      </c>
      <c r="B371" s="12" t="s">
        <v>1881</v>
      </c>
      <c r="C371" s="12" t="s">
        <v>1877</v>
      </c>
    </row>
    <row r="372" spans="1:3" x14ac:dyDescent="0.25">
      <c r="A372" s="12" t="s">
        <v>1882</v>
      </c>
      <c r="B372" s="12" t="s">
        <v>1883</v>
      </c>
      <c r="C372" s="12" t="s">
        <v>1883</v>
      </c>
    </row>
    <row r="373" spans="1:3" x14ac:dyDescent="0.25">
      <c r="A373" s="12" t="s">
        <v>1884</v>
      </c>
      <c r="B373" s="12" t="s">
        <v>1885</v>
      </c>
      <c r="C373" s="12" t="s">
        <v>1883</v>
      </c>
    </row>
    <row r="374" spans="1:3" x14ac:dyDescent="0.25">
      <c r="A374" s="12" t="s">
        <v>1886</v>
      </c>
      <c r="B374" s="12" t="s">
        <v>1887</v>
      </c>
      <c r="C374" s="12" t="s">
        <v>1883</v>
      </c>
    </row>
    <row r="375" spans="1:3" x14ac:dyDescent="0.25">
      <c r="A375" s="12" t="s">
        <v>1888</v>
      </c>
      <c r="B375" s="12" t="s">
        <v>1889</v>
      </c>
      <c r="C375" s="12" t="s">
        <v>1883</v>
      </c>
    </row>
    <row r="376" spans="1:3" x14ac:dyDescent="0.25">
      <c r="A376" s="12" t="s">
        <v>1890</v>
      </c>
      <c r="B376" s="12" t="s">
        <v>1891</v>
      </c>
      <c r="C376" s="12" t="s">
        <v>1883</v>
      </c>
    </row>
    <row r="377" spans="1:3" x14ac:dyDescent="0.25">
      <c r="A377" s="12" t="s">
        <v>1892</v>
      </c>
      <c r="B377" s="12" t="s">
        <v>1893</v>
      </c>
      <c r="C377" s="12" t="s">
        <v>1883</v>
      </c>
    </row>
    <row r="378" spans="1:3" x14ac:dyDescent="0.25">
      <c r="A378" s="12" t="s">
        <v>1894</v>
      </c>
      <c r="B378" s="12" t="s">
        <v>1895</v>
      </c>
      <c r="C378" s="12" t="s">
        <v>1883</v>
      </c>
    </row>
    <row r="379" spans="1:3" x14ac:dyDescent="0.25">
      <c r="A379" s="12" t="s">
        <v>1896</v>
      </c>
      <c r="B379" s="12" t="s">
        <v>1897</v>
      </c>
      <c r="C379" s="12" t="s">
        <v>1883</v>
      </c>
    </row>
    <row r="380" spans="1:3" x14ac:dyDescent="0.25">
      <c r="A380" s="12" t="s">
        <v>1898</v>
      </c>
      <c r="B380" s="12" t="s">
        <v>1899</v>
      </c>
      <c r="C380" s="12" t="s">
        <v>1883</v>
      </c>
    </row>
    <row r="381" spans="1:3" x14ac:dyDescent="0.25">
      <c r="A381" s="12" t="s">
        <v>1900</v>
      </c>
      <c r="B381" s="12" t="s">
        <v>1901</v>
      </c>
      <c r="C381" s="12" t="s">
        <v>1883</v>
      </c>
    </row>
    <row r="382" spans="1:3" x14ac:dyDescent="0.25">
      <c r="A382" s="12" t="s">
        <v>1902</v>
      </c>
      <c r="B382" s="12" t="s">
        <v>1903</v>
      </c>
      <c r="C382" s="12" t="s">
        <v>1903</v>
      </c>
    </row>
    <row r="383" spans="1:3" x14ac:dyDescent="0.25">
      <c r="A383" s="12" t="s">
        <v>1904</v>
      </c>
      <c r="B383" s="12" t="s">
        <v>1905</v>
      </c>
      <c r="C383" s="12" t="s">
        <v>1903</v>
      </c>
    </row>
    <row r="384" spans="1:3" x14ac:dyDescent="0.25">
      <c r="A384" s="12" t="s">
        <v>1906</v>
      </c>
      <c r="B384" s="12" t="s">
        <v>1907</v>
      </c>
      <c r="C384" s="12" t="s">
        <v>1907</v>
      </c>
    </row>
    <row r="385" spans="1:3" x14ac:dyDescent="0.25">
      <c r="A385" s="12" t="s">
        <v>1908</v>
      </c>
      <c r="B385" s="12" t="s">
        <v>1909</v>
      </c>
      <c r="C385" s="12" t="s">
        <v>1907</v>
      </c>
    </row>
    <row r="386" spans="1:3" x14ac:dyDescent="0.25">
      <c r="A386" s="12" t="s">
        <v>1910</v>
      </c>
      <c r="B386" s="12" t="s">
        <v>1911</v>
      </c>
      <c r="C386" s="12" t="s">
        <v>1911</v>
      </c>
    </row>
    <row r="387" spans="1:3" x14ac:dyDescent="0.25">
      <c r="A387" s="12" t="s">
        <v>1912</v>
      </c>
      <c r="B387" s="12" t="s">
        <v>1913</v>
      </c>
      <c r="C387" s="12" t="s">
        <v>1911</v>
      </c>
    </row>
    <row r="388" spans="1:3" x14ac:dyDescent="0.25">
      <c r="A388" s="12" t="s">
        <v>1914</v>
      </c>
      <c r="B388" s="12" t="s">
        <v>1915</v>
      </c>
      <c r="C388" s="12" t="s">
        <v>1911</v>
      </c>
    </row>
    <row r="389" spans="1:3" x14ac:dyDescent="0.25">
      <c r="A389" s="12" t="s">
        <v>1916</v>
      </c>
      <c r="B389" s="12" t="s">
        <v>1917</v>
      </c>
      <c r="C389" s="12" t="s">
        <v>1911</v>
      </c>
    </row>
    <row r="390" spans="1:3" x14ac:dyDescent="0.25">
      <c r="A390" s="12" t="s">
        <v>1918</v>
      </c>
      <c r="B390" s="12" t="s">
        <v>1919</v>
      </c>
      <c r="C390" s="12" t="s">
        <v>1911</v>
      </c>
    </row>
    <row r="391" spans="1:3" x14ac:dyDescent="0.25">
      <c r="A391" s="12" t="s">
        <v>1920</v>
      </c>
      <c r="B391" s="12" t="s">
        <v>1921</v>
      </c>
      <c r="C391" s="12" t="s">
        <v>1911</v>
      </c>
    </row>
    <row r="392" spans="1:3" x14ac:dyDescent="0.25">
      <c r="A392" s="12" t="s">
        <v>1922</v>
      </c>
      <c r="B392" s="12" t="s">
        <v>1923</v>
      </c>
      <c r="C392" s="12" t="s">
        <v>1911</v>
      </c>
    </row>
    <row r="393" spans="1:3" x14ac:dyDescent="0.25">
      <c r="A393" s="12" t="s">
        <v>1924</v>
      </c>
      <c r="B393" s="12" t="s">
        <v>1925</v>
      </c>
      <c r="C393" s="12" t="s">
        <v>1925</v>
      </c>
    </row>
    <row r="394" spans="1:3" x14ac:dyDescent="0.25">
      <c r="A394" s="12" t="s">
        <v>1926</v>
      </c>
      <c r="B394" s="12" t="s">
        <v>1927</v>
      </c>
      <c r="C394" s="12" t="s">
        <v>1927</v>
      </c>
    </row>
    <row r="395" spans="1:3" x14ac:dyDescent="0.25">
      <c r="A395" s="12" t="s">
        <v>1928</v>
      </c>
      <c r="B395" s="12" t="s">
        <v>1929</v>
      </c>
      <c r="C395" s="12" t="s">
        <v>1927</v>
      </c>
    </row>
    <row r="396" spans="1:3" x14ac:dyDescent="0.25">
      <c r="A396" s="12" t="s">
        <v>1930</v>
      </c>
      <c r="B396" s="12" t="s">
        <v>1931</v>
      </c>
      <c r="C396" s="12" t="s">
        <v>1927</v>
      </c>
    </row>
    <row r="397" spans="1:3" x14ac:dyDescent="0.25">
      <c r="A397" s="12" t="s">
        <v>1932</v>
      </c>
      <c r="B397" s="12" t="s">
        <v>1933</v>
      </c>
      <c r="C397" s="12" t="s">
        <v>1933</v>
      </c>
    </row>
    <row r="398" spans="1:3" x14ac:dyDescent="0.25">
      <c r="A398" s="12" t="s">
        <v>1934</v>
      </c>
      <c r="B398" s="12" t="s">
        <v>1935</v>
      </c>
      <c r="C398" s="12" t="s">
        <v>1933</v>
      </c>
    </row>
    <row r="399" spans="1:3" x14ac:dyDescent="0.25">
      <c r="A399" s="12" t="s">
        <v>1936</v>
      </c>
      <c r="B399" s="12" t="s">
        <v>1937</v>
      </c>
      <c r="C399" s="12" t="s">
        <v>1933</v>
      </c>
    </row>
    <row r="400" spans="1:3" x14ac:dyDescent="0.25">
      <c r="A400" s="12" t="s">
        <v>1938</v>
      </c>
      <c r="B400" s="12" t="s">
        <v>1939</v>
      </c>
      <c r="C400" s="12" t="s">
        <v>1933</v>
      </c>
    </row>
    <row r="401" spans="1:3" x14ac:dyDescent="0.25">
      <c r="A401" s="12" t="s">
        <v>1940</v>
      </c>
      <c r="B401" s="12" t="s">
        <v>1941</v>
      </c>
      <c r="C401" s="12" t="s">
        <v>1933</v>
      </c>
    </row>
    <row r="402" spans="1:3" x14ac:dyDescent="0.25">
      <c r="A402" s="12" t="s">
        <v>1942</v>
      </c>
      <c r="B402" s="12" t="s">
        <v>1943</v>
      </c>
      <c r="C402" s="12" t="s">
        <v>1943</v>
      </c>
    </row>
    <row r="403" spans="1:3" x14ac:dyDescent="0.25">
      <c r="A403" s="12" t="s">
        <v>1944</v>
      </c>
      <c r="B403" s="12" t="s">
        <v>1945</v>
      </c>
      <c r="C403" s="12" t="s">
        <v>1943</v>
      </c>
    </row>
    <row r="404" spans="1:3" x14ac:dyDescent="0.25">
      <c r="A404" s="12" t="s">
        <v>1946</v>
      </c>
      <c r="B404" s="12" t="s">
        <v>1947</v>
      </c>
      <c r="C404" s="12" t="s">
        <v>1943</v>
      </c>
    </row>
    <row r="405" spans="1:3" x14ac:dyDescent="0.25">
      <c r="A405" s="12" t="s">
        <v>1948</v>
      </c>
      <c r="B405" s="12" t="s">
        <v>1949</v>
      </c>
      <c r="C405" s="12" t="s">
        <v>1949</v>
      </c>
    </row>
    <row r="406" spans="1:3" x14ac:dyDescent="0.25">
      <c r="A406" s="12" t="s">
        <v>1950</v>
      </c>
      <c r="B406" s="12" t="s">
        <v>1951</v>
      </c>
      <c r="C406" s="12" t="s">
        <v>1949</v>
      </c>
    </row>
    <row r="407" spans="1:3" x14ac:dyDescent="0.25">
      <c r="A407" s="12" t="s">
        <v>1952</v>
      </c>
      <c r="B407" s="12" t="s">
        <v>1953</v>
      </c>
      <c r="C407" s="12" t="s">
        <v>1949</v>
      </c>
    </row>
    <row r="408" spans="1:3" x14ac:dyDescent="0.25">
      <c r="A408" s="12" t="s">
        <v>1954</v>
      </c>
      <c r="B408" s="12" t="s">
        <v>1955</v>
      </c>
      <c r="C408" s="12" t="s">
        <v>1955</v>
      </c>
    </row>
    <row r="409" spans="1:3" x14ac:dyDescent="0.25">
      <c r="A409" s="12" t="s">
        <v>1956</v>
      </c>
      <c r="B409" s="12" t="s">
        <v>1957</v>
      </c>
      <c r="C409" s="12" t="s">
        <v>1955</v>
      </c>
    </row>
    <row r="410" spans="1:3" x14ac:dyDescent="0.25">
      <c r="A410" s="12" t="s">
        <v>1958</v>
      </c>
      <c r="B410" s="12" t="s">
        <v>1959</v>
      </c>
      <c r="C410" s="12" t="s">
        <v>1955</v>
      </c>
    </row>
    <row r="411" spans="1:3" x14ac:dyDescent="0.25">
      <c r="A411" s="12" t="s">
        <v>1960</v>
      </c>
      <c r="B411" s="12" t="s">
        <v>1961</v>
      </c>
      <c r="C411" s="12" t="s">
        <v>1955</v>
      </c>
    </row>
    <row r="412" spans="1:3" x14ac:dyDescent="0.25">
      <c r="A412" s="12" t="s">
        <v>1962</v>
      </c>
      <c r="B412" s="12" t="s">
        <v>1963</v>
      </c>
      <c r="C412" s="12" t="s">
        <v>1955</v>
      </c>
    </row>
    <row r="413" spans="1:3" x14ac:dyDescent="0.25">
      <c r="A413" s="12" t="s">
        <v>1964</v>
      </c>
      <c r="B413" s="12" t="s">
        <v>1965</v>
      </c>
      <c r="C413" s="12" t="s">
        <v>1955</v>
      </c>
    </row>
    <row r="414" spans="1:3" x14ac:dyDescent="0.25">
      <c r="A414" s="12" t="s">
        <v>1966</v>
      </c>
      <c r="B414" s="12" t="s">
        <v>1967</v>
      </c>
      <c r="C414" s="12" t="s">
        <v>1955</v>
      </c>
    </row>
    <row r="415" spans="1:3" x14ac:dyDescent="0.25">
      <c r="A415" s="12" t="s">
        <v>1968</v>
      </c>
      <c r="B415" s="12" t="s">
        <v>1969</v>
      </c>
      <c r="C415" s="12" t="s">
        <v>1955</v>
      </c>
    </row>
    <row r="416" spans="1:3" x14ac:dyDescent="0.25">
      <c r="A416" s="12" t="s">
        <v>1970</v>
      </c>
      <c r="B416" s="12" t="s">
        <v>1971</v>
      </c>
      <c r="C416" s="12" t="s">
        <v>1971</v>
      </c>
    </row>
    <row r="417" spans="1:3" x14ac:dyDescent="0.25">
      <c r="A417" s="12" t="s">
        <v>1972</v>
      </c>
      <c r="B417" s="12" t="s">
        <v>1973</v>
      </c>
      <c r="C417" s="12" t="s">
        <v>1971</v>
      </c>
    </row>
    <row r="418" spans="1:3" x14ac:dyDescent="0.25">
      <c r="A418" s="12" t="s">
        <v>1974</v>
      </c>
      <c r="B418" s="12" t="s">
        <v>1975</v>
      </c>
      <c r="C418" s="12" t="s">
        <v>1971</v>
      </c>
    </row>
    <row r="419" spans="1:3" x14ac:dyDescent="0.25">
      <c r="A419" s="12" t="s">
        <v>1976</v>
      </c>
      <c r="B419" s="12" t="s">
        <v>1977</v>
      </c>
      <c r="C419" s="12" t="s">
        <v>1971</v>
      </c>
    </row>
    <row r="420" spans="1:3" x14ac:dyDescent="0.25">
      <c r="A420" s="12" t="s">
        <v>1978</v>
      </c>
      <c r="B420" s="12" t="s">
        <v>1979</v>
      </c>
      <c r="C420" s="12" t="s">
        <v>1971</v>
      </c>
    </row>
    <row r="421" spans="1:3" x14ac:dyDescent="0.25">
      <c r="A421" s="12" t="s">
        <v>1980</v>
      </c>
      <c r="B421" s="12" t="s">
        <v>1981</v>
      </c>
      <c r="C421" s="12" t="s">
        <v>1971</v>
      </c>
    </row>
    <row r="422" spans="1:3" x14ac:dyDescent="0.25">
      <c r="A422" s="12" t="s">
        <v>1982</v>
      </c>
      <c r="B422" s="12" t="s">
        <v>1983</v>
      </c>
      <c r="C422" s="12" t="s">
        <v>1971</v>
      </c>
    </row>
    <row r="423" spans="1:3" x14ac:dyDescent="0.25">
      <c r="A423" s="12" t="s">
        <v>1984</v>
      </c>
      <c r="B423" s="12" t="s">
        <v>1985</v>
      </c>
      <c r="C423" s="12" t="s">
        <v>1985</v>
      </c>
    </row>
    <row r="424" spans="1:3" x14ac:dyDescent="0.25">
      <c r="A424" s="12" t="s">
        <v>1986</v>
      </c>
      <c r="B424" s="12" t="s">
        <v>1987</v>
      </c>
      <c r="C424" s="12" t="s">
        <v>1985</v>
      </c>
    </row>
    <row r="425" spans="1:3" x14ac:dyDescent="0.25">
      <c r="A425" s="12" t="s">
        <v>1988</v>
      </c>
      <c r="B425" s="12" t="s">
        <v>1989</v>
      </c>
      <c r="C425" s="12" t="s">
        <v>1985</v>
      </c>
    </row>
    <row r="426" spans="1:3" x14ac:dyDescent="0.25">
      <c r="A426" s="12" t="s">
        <v>1990</v>
      </c>
      <c r="B426" s="12" t="s">
        <v>1991</v>
      </c>
      <c r="C426" s="12" t="s">
        <v>1991</v>
      </c>
    </row>
    <row r="427" spans="1:3" x14ac:dyDescent="0.25">
      <c r="A427" s="12" t="s">
        <v>1992</v>
      </c>
      <c r="B427" s="12" t="s">
        <v>1993</v>
      </c>
      <c r="C427" s="12" t="s">
        <v>1991</v>
      </c>
    </row>
    <row r="428" spans="1:3" x14ac:dyDescent="0.25">
      <c r="A428" s="12" t="s">
        <v>1994</v>
      </c>
      <c r="B428" s="12" t="s">
        <v>1995</v>
      </c>
      <c r="C428" s="12" t="s">
        <v>1991</v>
      </c>
    </row>
    <row r="429" spans="1:3" x14ac:dyDescent="0.25">
      <c r="A429" s="12" t="s">
        <v>1996</v>
      </c>
      <c r="B429" s="12" t="s">
        <v>1997</v>
      </c>
      <c r="C429" s="12" t="s">
        <v>1991</v>
      </c>
    </row>
    <row r="430" spans="1:3" x14ac:dyDescent="0.25">
      <c r="A430" s="12" t="s">
        <v>1998</v>
      </c>
      <c r="B430" s="12" t="s">
        <v>1999</v>
      </c>
      <c r="C430" s="12" t="s">
        <v>1991</v>
      </c>
    </row>
    <row r="431" spans="1:3" x14ac:dyDescent="0.25">
      <c r="A431" s="12" t="s">
        <v>2000</v>
      </c>
      <c r="B431" s="12" t="s">
        <v>2001</v>
      </c>
      <c r="C431" s="12" t="s">
        <v>1991</v>
      </c>
    </row>
    <row r="432" spans="1:3" x14ac:dyDescent="0.25">
      <c r="A432" s="12" t="s">
        <v>2002</v>
      </c>
      <c r="B432" s="12" t="s">
        <v>2003</v>
      </c>
      <c r="C432" s="12" t="s">
        <v>1991</v>
      </c>
    </row>
    <row r="433" spans="1:3" x14ac:dyDescent="0.25">
      <c r="A433" s="12" t="s">
        <v>2004</v>
      </c>
      <c r="B433" s="12" t="s">
        <v>2005</v>
      </c>
      <c r="C433" s="12" t="s">
        <v>1991</v>
      </c>
    </row>
    <row r="434" spans="1:3" x14ac:dyDescent="0.25">
      <c r="A434" s="12" t="s">
        <v>2006</v>
      </c>
      <c r="B434" s="12" t="s">
        <v>2007</v>
      </c>
      <c r="C434" s="12" t="s">
        <v>2007</v>
      </c>
    </row>
    <row r="435" spans="1:3" x14ac:dyDescent="0.25">
      <c r="A435" s="12" t="s">
        <v>2008</v>
      </c>
      <c r="B435" s="12" t="s">
        <v>2009</v>
      </c>
      <c r="C435" s="12" t="s">
        <v>2009</v>
      </c>
    </row>
    <row r="436" spans="1:3" x14ac:dyDescent="0.25">
      <c r="A436" s="12" t="s">
        <v>2010</v>
      </c>
      <c r="B436" s="12" t="s">
        <v>2011</v>
      </c>
      <c r="C436" s="12" t="s">
        <v>2011</v>
      </c>
    </row>
    <row r="437" spans="1:3" x14ac:dyDescent="0.25">
      <c r="A437" s="12" t="s">
        <v>2012</v>
      </c>
      <c r="B437" s="12" t="s">
        <v>2013</v>
      </c>
      <c r="C437" s="12" t="s">
        <v>2013</v>
      </c>
    </row>
    <row r="438" spans="1:3" x14ac:dyDescent="0.25">
      <c r="A438" s="12" t="s">
        <v>2014</v>
      </c>
      <c r="B438" s="12" t="s">
        <v>2015</v>
      </c>
      <c r="C438" s="12" t="s">
        <v>2015</v>
      </c>
    </row>
    <row r="439" spans="1:3" x14ac:dyDescent="0.25">
      <c r="A439" s="12" t="s">
        <v>2016</v>
      </c>
      <c r="B439" s="12" t="s">
        <v>2017</v>
      </c>
      <c r="C439" s="12" t="s">
        <v>2017</v>
      </c>
    </row>
    <row r="440" spans="1:3" x14ac:dyDescent="0.25">
      <c r="A440" s="12" t="s">
        <v>2018</v>
      </c>
      <c r="B440" s="12" t="s">
        <v>2019</v>
      </c>
      <c r="C440" s="12" t="s">
        <v>2019</v>
      </c>
    </row>
    <row r="441" spans="1:3" x14ac:dyDescent="0.25">
      <c r="A441" s="12" t="s">
        <v>2020</v>
      </c>
      <c r="B441" s="12" t="s">
        <v>2021</v>
      </c>
      <c r="C441" s="12" t="s">
        <v>2021</v>
      </c>
    </row>
    <row r="442" spans="1:3" x14ac:dyDescent="0.25">
      <c r="A442" s="12" t="s">
        <v>2022</v>
      </c>
      <c r="B442" s="12" t="s">
        <v>2023</v>
      </c>
      <c r="C442" s="12" t="s">
        <v>2023</v>
      </c>
    </row>
    <row r="443" spans="1:3" x14ac:dyDescent="0.25">
      <c r="A443" s="12" t="s">
        <v>2024</v>
      </c>
      <c r="B443" s="12" t="s">
        <v>2025</v>
      </c>
      <c r="C443" s="12" t="s">
        <v>2025</v>
      </c>
    </row>
    <row r="444" spans="1:3" x14ac:dyDescent="0.25">
      <c r="A444" s="12" t="s">
        <v>2026</v>
      </c>
      <c r="B444" s="12" t="s">
        <v>2027</v>
      </c>
      <c r="C444" s="12" t="s">
        <v>2027</v>
      </c>
    </row>
    <row r="445" spans="1:3" x14ac:dyDescent="0.25">
      <c r="A445" s="12" t="s">
        <v>2028</v>
      </c>
      <c r="B445" s="12" t="s">
        <v>2029</v>
      </c>
      <c r="C445" s="12" t="s">
        <v>2029</v>
      </c>
    </row>
    <row r="446" spans="1:3" x14ac:dyDescent="0.25">
      <c r="A446" s="12" t="s">
        <v>2030</v>
      </c>
      <c r="B446" s="12" t="s">
        <v>2031</v>
      </c>
      <c r="C446" s="12" t="s">
        <v>2031</v>
      </c>
    </row>
    <row r="447" spans="1:3" x14ac:dyDescent="0.25">
      <c r="A447" s="12" t="s">
        <v>2032</v>
      </c>
      <c r="B447" s="12" t="s">
        <v>2033</v>
      </c>
      <c r="C447" s="12" t="s">
        <v>2033</v>
      </c>
    </row>
    <row r="448" spans="1:3" x14ac:dyDescent="0.25">
      <c r="A448" s="12" t="s">
        <v>2034</v>
      </c>
      <c r="B448" s="12" t="s">
        <v>2035</v>
      </c>
      <c r="C448" s="12" t="s">
        <v>2035</v>
      </c>
    </row>
    <row r="449" spans="1:3" x14ac:dyDescent="0.25">
      <c r="A449" s="12" t="s">
        <v>2036</v>
      </c>
      <c r="B449" s="12" t="s">
        <v>2037</v>
      </c>
      <c r="C449" s="12" t="s">
        <v>2037</v>
      </c>
    </row>
    <row r="450" spans="1:3" x14ac:dyDescent="0.25">
      <c r="A450" s="12" t="s">
        <v>2038</v>
      </c>
      <c r="B450" s="12" t="s">
        <v>2039</v>
      </c>
      <c r="C450" s="12" t="s">
        <v>2039</v>
      </c>
    </row>
    <row r="451" spans="1:3" x14ac:dyDescent="0.25">
      <c r="A451" s="12" t="s">
        <v>2040</v>
      </c>
      <c r="B451" s="12" t="s">
        <v>2041</v>
      </c>
      <c r="C451" s="12" t="s">
        <v>2041</v>
      </c>
    </row>
    <row r="452" spans="1:3" x14ac:dyDescent="0.25">
      <c r="A452" s="12" t="s">
        <v>2042</v>
      </c>
      <c r="B452" s="12" t="s">
        <v>2043</v>
      </c>
      <c r="C452" s="12" t="s">
        <v>2043</v>
      </c>
    </row>
    <row r="453" spans="1:3" x14ac:dyDescent="0.25">
      <c r="A453" s="12" t="s">
        <v>2044</v>
      </c>
      <c r="B453" s="12" t="s">
        <v>2045</v>
      </c>
      <c r="C453" s="12" t="s">
        <v>2045</v>
      </c>
    </row>
    <row r="454" spans="1:3" x14ac:dyDescent="0.25">
      <c r="A454" s="12" t="s">
        <v>2046</v>
      </c>
      <c r="B454" s="12" t="s">
        <v>2047</v>
      </c>
      <c r="C454" s="12" t="s">
        <v>2047</v>
      </c>
    </row>
    <row r="455" spans="1:3" x14ac:dyDescent="0.25">
      <c r="A455" s="12" t="s">
        <v>2048</v>
      </c>
      <c r="B455" s="12" t="s">
        <v>2049</v>
      </c>
      <c r="C455" s="12" t="s">
        <v>2049</v>
      </c>
    </row>
    <row r="456" spans="1:3" x14ac:dyDescent="0.25">
      <c r="A456" s="12" t="s">
        <v>2050</v>
      </c>
      <c r="B456" s="12" t="s">
        <v>2051</v>
      </c>
      <c r="C456" s="12" t="s">
        <v>2051</v>
      </c>
    </row>
    <row r="457" spans="1:3" x14ac:dyDescent="0.25">
      <c r="A457" s="12" t="s">
        <v>2052</v>
      </c>
      <c r="B457" s="12" t="s">
        <v>2053</v>
      </c>
      <c r="C457" s="12" t="s">
        <v>2053</v>
      </c>
    </row>
    <row r="458" spans="1:3" x14ac:dyDescent="0.25">
      <c r="A458" s="12" t="s">
        <v>2054</v>
      </c>
      <c r="B458" s="12" t="s">
        <v>2055</v>
      </c>
      <c r="C458" s="12" t="s">
        <v>2055</v>
      </c>
    </row>
    <row r="459" spans="1:3" x14ac:dyDescent="0.25">
      <c r="A459" s="12" t="s">
        <v>2056</v>
      </c>
      <c r="B459" s="12" t="s">
        <v>2057</v>
      </c>
      <c r="C459" s="12" t="s">
        <v>2057</v>
      </c>
    </row>
    <row r="460" spans="1:3" x14ac:dyDescent="0.25">
      <c r="A460" s="12" t="s">
        <v>2058</v>
      </c>
      <c r="B460" s="12" t="s">
        <v>2059</v>
      </c>
      <c r="C460" s="12" t="s">
        <v>2059</v>
      </c>
    </row>
    <row r="461" spans="1:3" x14ac:dyDescent="0.25">
      <c r="A461" s="12" t="s">
        <v>2060</v>
      </c>
      <c r="B461" s="12" t="s">
        <v>2061</v>
      </c>
      <c r="C461" s="12" t="s">
        <v>2061</v>
      </c>
    </row>
    <row r="462" spans="1:3" x14ac:dyDescent="0.25">
      <c r="A462" s="12" t="s">
        <v>2062</v>
      </c>
      <c r="B462" s="12" t="s">
        <v>2063</v>
      </c>
      <c r="C462" s="12" t="s">
        <v>2063</v>
      </c>
    </row>
    <row r="463" spans="1:3" x14ac:dyDescent="0.25">
      <c r="A463" s="12" t="s">
        <v>2064</v>
      </c>
      <c r="B463" s="12" t="s">
        <v>2065</v>
      </c>
      <c r="C463" s="12" t="s">
        <v>2065</v>
      </c>
    </row>
    <row r="464" spans="1:3" x14ac:dyDescent="0.25">
      <c r="A464" s="12" t="s">
        <v>2066</v>
      </c>
      <c r="B464" s="12" t="s">
        <v>2067</v>
      </c>
      <c r="C464" s="12" t="s">
        <v>2067</v>
      </c>
    </row>
    <row r="465" spans="1:3" x14ac:dyDescent="0.25">
      <c r="A465" s="12" t="s">
        <v>2068</v>
      </c>
      <c r="B465" s="12" t="s">
        <v>2069</v>
      </c>
      <c r="C465" s="12" t="s">
        <v>2069</v>
      </c>
    </row>
    <row r="466" spans="1:3" x14ac:dyDescent="0.25">
      <c r="A466" s="12" t="s">
        <v>926</v>
      </c>
      <c r="B466" s="12" t="s">
        <v>29</v>
      </c>
      <c r="C466" s="12" t="s">
        <v>29</v>
      </c>
    </row>
    <row r="467" spans="1:3" x14ac:dyDescent="0.25">
      <c r="A467" s="12" t="s">
        <v>2070</v>
      </c>
      <c r="B467" s="12" t="s">
        <v>2071</v>
      </c>
      <c r="C467" s="12" t="s">
        <v>2071</v>
      </c>
    </row>
    <row r="468" spans="1:3" x14ac:dyDescent="0.25">
      <c r="A468" s="12" t="s">
        <v>2072</v>
      </c>
      <c r="B468" s="12" t="s">
        <v>2073</v>
      </c>
      <c r="C468" s="12" t="s">
        <v>2073</v>
      </c>
    </row>
    <row r="469" spans="1:3" x14ac:dyDescent="0.25">
      <c r="A469" s="12" t="s">
        <v>2074</v>
      </c>
      <c r="B469" s="12" t="s">
        <v>2075</v>
      </c>
      <c r="C469" s="12" t="s">
        <v>2075</v>
      </c>
    </row>
    <row r="470" spans="1:3" x14ac:dyDescent="0.25">
      <c r="A470" s="12" t="s">
        <v>2076</v>
      </c>
      <c r="B470" s="12" t="s">
        <v>2077</v>
      </c>
      <c r="C470" s="12" t="s">
        <v>2077</v>
      </c>
    </row>
    <row r="471" spans="1:3" x14ac:dyDescent="0.25">
      <c r="A471" s="12" t="s">
        <v>2078</v>
      </c>
      <c r="B471" s="12" t="s">
        <v>2079</v>
      </c>
      <c r="C471" s="12" t="s">
        <v>2079</v>
      </c>
    </row>
    <row r="472" spans="1:3" x14ac:dyDescent="0.25">
      <c r="A472" s="12" t="s">
        <v>2080</v>
      </c>
      <c r="B472" s="12" t="s">
        <v>2081</v>
      </c>
      <c r="C472" s="12" t="s">
        <v>2081</v>
      </c>
    </row>
    <row r="473" spans="1:3" x14ac:dyDescent="0.25">
      <c r="A473" s="12" t="s">
        <v>2082</v>
      </c>
      <c r="B473" s="12" t="s">
        <v>2083</v>
      </c>
      <c r="C473" s="12" t="s">
        <v>2083</v>
      </c>
    </row>
    <row r="474" spans="1:3" x14ac:dyDescent="0.25">
      <c r="A474" s="12" t="s">
        <v>2084</v>
      </c>
      <c r="B474" s="12" t="s">
        <v>2085</v>
      </c>
      <c r="C474" s="12" t="s">
        <v>2085</v>
      </c>
    </row>
    <row r="475" spans="1:3" x14ac:dyDescent="0.25">
      <c r="A475" s="12" t="s">
        <v>2086</v>
      </c>
      <c r="B475" s="12" t="s">
        <v>2087</v>
      </c>
      <c r="C475" s="12" t="s">
        <v>2087</v>
      </c>
    </row>
    <row r="476" spans="1:3" x14ac:dyDescent="0.25">
      <c r="A476" s="12" t="s">
        <v>2088</v>
      </c>
      <c r="B476" s="12" t="s">
        <v>2089</v>
      </c>
      <c r="C476" s="12" t="s">
        <v>2089</v>
      </c>
    </row>
    <row r="477" spans="1:3" x14ac:dyDescent="0.25">
      <c r="A477" s="12" t="s">
        <v>2090</v>
      </c>
      <c r="B477" s="12" t="s">
        <v>2091</v>
      </c>
      <c r="C477" s="12" t="s">
        <v>2091</v>
      </c>
    </row>
    <row r="478" spans="1:3" x14ac:dyDescent="0.25">
      <c r="A478" s="12" t="s">
        <v>2092</v>
      </c>
      <c r="B478" s="12" t="s">
        <v>2093</v>
      </c>
      <c r="C478" s="12" t="s">
        <v>2093</v>
      </c>
    </row>
    <row r="479" spans="1:3" x14ac:dyDescent="0.25">
      <c r="A479" s="12" t="s">
        <v>2094</v>
      </c>
      <c r="B479" s="12" t="s">
        <v>2095</v>
      </c>
      <c r="C479" s="12" t="s">
        <v>2095</v>
      </c>
    </row>
    <row r="480" spans="1:3" x14ac:dyDescent="0.25">
      <c r="A480" s="12" t="s">
        <v>2096</v>
      </c>
      <c r="B480" s="12" t="s">
        <v>2097</v>
      </c>
      <c r="C480" s="12" t="s">
        <v>2097</v>
      </c>
    </row>
    <row r="481" spans="1:3" x14ac:dyDescent="0.25">
      <c r="A481" s="12" t="s">
        <v>2098</v>
      </c>
      <c r="B481" s="12" t="s">
        <v>2099</v>
      </c>
      <c r="C481" s="12" t="s">
        <v>2099</v>
      </c>
    </row>
    <row r="482" spans="1:3" x14ac:dyDescent="0.25">
      <c r="A482" s="12" t="s">
        <v>2100</v>
      </c>
      <c r="B482" s="12" t="s">
        <v>2101</v>
      </c>
      <c r="C482" s="12" t="s">
        <v>2101</v>
      </c>
    </row>
    <row r="483" spans="1:3" x14ac:dyDescent="0.25">
      <c r="A483" s="12" t="s">
        <v>2102</v>
      </c>
      <c r="B483" s="12" t="s">
        <v>2103</v>
      </c>
      <c r="C483" s="12" t="s">
        <v>2103</v>
      </c>
    </row>
    <row r="484" spans="1:3" x14ac:dyDescent="0.25">
      <c r="A484" s="12" t="s">
        <v>2104</v>
      </c>
      <c r="B484" s="12" t="s">
        <v>2105</v>
      </c>
      <c r="C484" s="12" t="s">
        <v>2105</v>
      </c>
    </row>
    <row r="485" spans="1:3" x14ac:dyDescent="0.25">
      <c r="A485" s="12" t="s">
        <v>2106</v>
      </c>
      <c r="B485" s="12" t="s">
        <v>2107</v>
      </c>
      <c r="C485" s="12" t="s">
        <v>2107</v>
      </c>
    </row>
    <row r="486" spans="1:3" x14ac:dyDescent="0.25">
      <c r="A486" s="12" t="s">
        <v>2108</v>
      </c>
      <c r="B486" s="12" t="s">
        <v>2109</v>
      </c>
      <c r="C486" s="12" t="s">
        <v>2109</v>
      </c>
    </row>
    <row r="487" spans="1:3" x14ac:dyDescent="0.25">
      <c r="A487" s="12" t="s">
        <v>2110</v>
      </c>
      <c r="B487" s="12" t="s">
        <v>2111</v>
      </c>
      <c r="C487" s="12" t="s">
        <v>2111</v>
      </c>
    </row>
    <row r="488" spans="1:3" x14ac:dyDescent="0.25">
      <c r="A488" s="12" t="s">
        <v>2112</v>
      </c>
      <c r="B488" s="12" t="s">
        <v>2113</v>
      </c>
      <c r="C488" s="12" t="s">
        <v>2113</v>
      </c>
    </row>
    <row r="489" spans="1:3" x14ac:dyDescent="0.25">
      <c r="A489" s="12" t="s">
        <v>2114</v>
      </c>
      <c r="B489" s="12" t="s">
        <v>2115</v>
      </c>
      <c r="C489" s="12" t="s">
        <v>2115</v>
      </c>
    </row>
    <row r="490" spans="1:3" x14ac:dyDescent="0.25">
      <c r="A490" s="12" t="s">
        <v>2116</v>
      </c>
      <c r="B490" s="12" t="s">
        <v>2117</v>
      </c>
      <c r="C490" s="12" t="s">
        <v>2117</v>
      </c>
    </row>
    <row r="491" spans="1:3" x14ac:dyDescent="0.25">
      <c r="A491" s="12" t="s">
        <v>2118</v>
      </c>
      <c r="B491" s="12" t="s">
        <v>2119</v>
      </c>
      <c r="C491" s="12" t="s">
        <v>2119</v>
      </c>
    </row>
    <row r="492" spans="1:3" x14ac:dyDescent="0.25">
      <c r="A492" s="12" t="s">
        <v>2120</v>
      </c>
      <c r="B492" s="12" t="s">
        <v>2121</v>
      </c>
      <c r="C492" s="12" t="s">
        <v>2121</v>
      </c>
    </row>
    <row r="493" spans="1:3" x14ac:dyDescent="0.25">
      <c r="A493" s="12" t="s">
        <v>2122</v>
      </c>
      <c r="B493" s="12" t="s">
        <v>2123</v>
      </c>
      <c r="C493" s="12" t="s">
        <v>2123</v>
      </c>
    </row>
    <row r="494" spans="1:3" x14ac:dyDescent="0.25">
      <c r="A494" s="12" t="s">
        <v>2124</v>
      </c>
      <c r="B494" s="12" t="s">
        <v>2125</v>
      </c>
      <c r="C494" s="12" t="s">
        <v>2125</v>
      </c>
    </row>
    <row r="495" spans="1:3" x14ac:dyDescent="0.25">
      <c r="A495" s="12" t="s">
        <v>2126</v>
      </c>
      <c r="B495" s="12" t="s">
        <v>2127</v>
      </c>
      <c r="C495" s="12" t="s">
        <v>2127</v>
      </c>
    </row>
    <row r="496" spans="1:3" x14ac:dyDescent="0.25">
      <c r="A496" s="12" t="s">
        <v>2128</v>
      </c>
      <c r="B496" s="12" t="s">
        <v>2129</v>
      </c>
      <c r="C496" s="12" t="s">
        <v>2129</v>
      </c>
    </row>
    <row r="497" spans="1:3" x14ac:dyDescent="0.25">
      <c r="A497" s="12" t="s">
        <v>2130</v>
      </c>
      <c r="B497" s="12" t="s">
        <v>2131</v>
      </c>
      <c r="C497" s="12" t="s">
        <v>2131</v>
      </c>
    </row>
    <row r="498" spans="1:3" x14ac:dyDescent="0.25">
      <c r="A498" s="12" t="s">
        <v>2132</v>
      </c>
      <c r="B498" s="12" t="s">
        <v>2133</v>
      </c>
      <c r="C498" s="12" t="s">
        <v>2133</v>
      </c>
    </row>
    <row r="499" spans="1:3" x14ac:dyDescent="0.25">
      <c r="A499" s="12" t="s">
        <v>2134</v>
      </c>
      <c r="B499" s="12" t="s">
        <v>2135</v>
      </c>
      <c r="C499" s="12" t="s">
        <v>2135</v>
      </c>
    </row>
    <row r="500" spans="1:3" x14ac:dyDescent="0.25">
      <c r="A500" s="12" t="s">
        <v>2136</v>
      </c>
      <c r="B500" s="12" t="s">
        <v>2137</v>
      </c>
      <c r="C500" s="12" t="s">
        <v>2137</v>
      </c>
    </row>
    <row r="501" spans="1:3" x14ac:dyDescent="0.25">
      <c r="A501" s="12" t="s">
        <v>2138</v>
      </c>
      <c r="B501" s="12" t="s">
        <v>2139</v>
      </c>
      <c r="C501" s="12" t="s">
        <v>2139</v>
      </c>
    </row>
    <row r="502" spans="1:3" x14ac:dyDescent="0.25">
      <c r="A502" s="12" t="s">
        <v>2140</v>
      </c>
      <c r="B502" s="12" t="s">
        <v>2141</v>
      </c>
      <c r="C502" s="12" t="s">
        <v>2141</v>
      </c>
    </row>
    <row r="503" spans="1:3" x14ac:dyDescent="0.25">
      <c r="A503" s="12" t="s">
        <v>2142</v>
      </c>
      <c r="B503" s="12" t="s">
        <v>2143</v>
      </c>
      <c r="C503" s="12" t="s">
        <v>2143</v>
      </c>
    </row>
    <row r="504" spans="1:3" x14ac:dyDescent="0.25">
      <c r="A504" s="12" t="s">
        <v>2144</v>
      </c>
      <c r="B504" s="12" t="s">
        <v>2145</v>
      </c>
      <c r="C504" s="12" t="s">
        <v>2145</v>
      </c>
    </row>
    <row r="505" spans="1:3" x14ac:dyDescent="0.25">
      <c r="A505" s="12" t="s">
        <v>2146</v>
      </c>
      <c r="B505" s="12" t="s">
        <v>2147</v>
      </c>
      <c r="C505" s="12" t="s">
        <v>2147</v>
      </c>
    </row>
    <row r="506" spans="1:3" x14ac:dyDescent="0.25">
      <c r="A506" s="12" t="s">
        <v>2148</v>
      </c>
      <c r="B506" s="12" t="s">
        <v>2149</v>
      </c>
      <c r="C506" s="12" t="s">
        <v>2149</v>
      </c>
    </row>
    <row r="507" spans="1:3" x14ac:dyDescent="0.25">
      <c r="A507" s="12" t="s">
        <v>2150</v>
      </c>
      <c r="B507" s="12" t="s">
        <v>2151</v>
      </c>
      <c r="C507" s="12" t="s">
        <v>2151</v>
      </c>
    </row>
    <row r="508" spans="1:3" x14ac:dyDescent="0.25">
      <c r="A508" s="12" t="s">
        <v>2152</v>
      </c>
      <c r="B508" s="12" t="s">
        <v>2153</v>
      </c>
      <c r="C508" s="12" t="s">
        <v>2153</v>
      </c>
    </row>
    <row r="509" spans="1:3" x14ac:dyDescent="0.25">
      <c r="A509" s="12" t="s">
        <v>2154</v>
      </c>
      <c r="B509" s="12" t="s">
        <v>2155</v>
      </c>
      <c r="C509" s="12" t="s">
        <v>2155</v>
      </c>
    </row>
    <row r="510" spans="1:3" x14ac:dyDescent="0.25">
      <c r="A510" s="12" t="s">
        <v>2156</v>
      </c>
      <c r="B510" s="12" t="s">
        <v>2157</v>
      </c>
      <c r="C510" s="12" t="s">
        <v>2157</v>
      </c>
    </row>
    <row r="511" spans="1:3" x14ac:dyDescent="0.25">
      <c r="A511" s="12" t="s">
        <v>2158</v>
      </c>
      <c r="B511" s="12" t="s">
        <v>2159</v>
      </c>
      <c r="C511" s="12" t="s">
        <v>2159</v>
      </c>
    </row>
    <row r="512" spans="1:3" x14ac:dyDescent="0.25">
      <c r="A512" s="12" t="s">
        <v>2160</v>
      </c>
      <c r="B512" s="12" t="s">
        <v>2161</v>
      </c>
      <c r="C512" s="12" t="s">
        <v>2161</v>
      </c>
    </row>
    <row r="513" spans="1:3" x14ac:dyDescent="0.25">
      <c r="A513" s="12" t="s">
        <v>2162</v>
      </c>
      <c r="B513" s="12" t="s">
        <v>2163</v>
      </c>
      <c r="C513" s="12" t="s">
        <v>2163</v>
      </c>
    </row>
    <row r="514" spans="1:3" x14ac:dyDescent="0.25">
      <c r="A514" s="12" t="s">
        <v>2164</v>
      </c>
      <c r="B514" s="12" t="s">
        <v>2165</v>
      </c>
      <c r="C514" s="12" t="s">
        <v>2165</v>
      </c>
    </row>
    <row r="515" spans="1:3" x14ac:dyDescent="0.25">
      <c r="A515" s="12" t="s">
        <v>2166</v>
      </c>
      <c r="B515" s="12" t="s">
        <v>2167</v>
      </c>
      <c r="C515" s="12" t="s">
        <v>2167</v>
      </c>
    </row>
    <row r="516" spans="1:3" x14ac:dyDescent="0.25">
      <c r="A516" s="12" t="s">
        <v>2168</v>
      </c>
      <c r="B516" s="12" t="s">
        <v>2169</v>
      </c>
      <c r="C516" s="12" t="s">
        <v>2169</v>
      </c>
    </row>
    <row r="517" spans="1:3" x14ac:dyDescent="0.25">
      <c r="A517" s="12" t="s">
        <v>2170</v>
      </c>
      <c r="B517" s="12" t="s">
        <v>2171</v>
      </c>
      <c r="C517" s="12" t="s">
        <v>2171</v>
      </c>
    </row>
    <row r="518" spans="1:3" x14ac:dyDescent="0.25">
      <c r="A518" s="12" t="s">
        <v>2172</v>
      </c>
      <c r="B518" s="12" t="s">
        <v>2173</v>
      </c>
      <c r="C518" s="12" t="s">
        <v>2173</v>
      </c>
    </row>
    <row r="519" spans="1:3" x14ac:dyDescent="0.25">
      <c r="A519" s="12" t="s">
        <v>2174</v>
      </c>
      <c r="B519" s="12" t="s">
        <v>2175</v>
      </c>
      <c r="C519" s="12" t="s">
        <v>2175</v>
      </c>
    </row>
    <row r="520" spans="1:3" x14ac:dyDescent="0.25">
      <c r="A520" s="12" t="s">
        <v>2176</v>
      </c>
      <c r="B520" s="12" t="s">
        <v>2177</v>
      </c>
      <c r="C520" s="12" t="s">
        <v>2177</v>
      </c>
    </row>
    <row r="521" spans="1:3" x14ac:dyDescent="0.25">
      <c r="A521" s="12" t="s">
        <v>2178</v>
      </c>
      <c r="B521" s="12" t="s">
        <v>2179</v>
      </c>
      <c r="C521" s="12" t="s">
        <v>2179</v>
      </c>
    </row>
    <row r="522" spans="1:3" x14ac:dyDescent="0.25">
      <c r="A522" s="12" t="s">
        <v>2180</v>
      </c>
      <c r="B522" s="12" t="s">
        <v>2181</v>
      </c>
      <c r="C522" s="12" t="s">
        <v>2181</v>
      </c>
    </row>
    <row r="523" spans="1:3" x14ac:dyDescent="0.25">
      <c r="A523" s="12" t="s">
        <v>2182</v>
      </c>
      <c r="B523" s="12" t="s">
        <v>2183</v>
      </c>
      <c r="C523" s="12" t="s">
        <v>2183</v>
      </c>
    </row>
    <row r="524" spans="1:3" x14ac:dyDescent="0.25">
      <c r="A524" s="12" t="s">
        <v>2184</v>
      </c>
      <c r="B524" s="12" t="s">
        <v>2185</v>
      </c>
      <c r="C524" s="12" t="s">
        <v>2185</v>
      </c>
    </row>
    <row r="525" spans="1:3" x14ac:dyDescent="0.25">
      <c r="A525" s="12" t="s">
        <v>2186</v>
      </c>
      <c r="B525" s="12" t="s">
        <v>2187</v>
      </c>
      <c r="C525" s="12" t="s">
        <v>2187</v>
      </c>
    </row>
    <row r="526" spans="1:3" x14ac:dyDescent="0.25">
      <c r="A526" s="12" t="s">
        <v>2188</v>
      </c>
      <c r="B526" s="12" t="s">
        <v>2189</v>
      </c>
      <c r="C526" s="12" t="s">
        <v>2189</v>
      </c>
    </row>
    <row r="527" spans="1:3" x14ac:dyDescent="0.25">
      <c r="A527" s="12" t="s">
        <v>2190</v>
      </c>
      <c r="B527" s="12" t="s">
        <v>2191</v>
      </c>
      <c r="C527" s="12" t="s">
        <v>2191</v>
      </c>
    </row>
    <row r="528" spans="1:3" x14ac:dyDescent="0.25">
      <c r="A528" s="12" t="s">
        <v>2192</v>
      </c>
      <c r="B528" s="12" t="s">
        <v>2193</v>
      </c>
      <c r="C528" s="12" t="s">
        <v>2193</v>
      </c>
    </row>
    <row r="529" spans="1:3" x14ac:dyDescent="0.25">
      <c r="A529" s="12" t="s">
        <v>2194</v>
      </c>
      <c r="B529" s="12" t="s">
        <v>2195</v>
      </c>
      <c r="C529" s="12" t="s">
        <v>2195</v>
      </c>
    </row>
    <row r="530" spans="1:3" x14ac:dyDescent="0.25">
      <c r="A530" s="12" t="s">
        <v>2196</v>
      </c>
      <c r="B530" s="12" t="s">
        <v>2197</v>
      </c>
      <c r="C530" s="12" t="s">
        <v>2197</v>
      </c>
    </row>
    <row r="531" spans="1:3" x14ac:dyDescent="0.25">
      <c r="A531" s="12" t="s">
        <v>2198</v>
      </c>
      <c r="B531" s="12" t="s">
        <v>2199</v>
      </c>
      <c r="C531" s="12" t="s">
        <v>2199</v>
      </c>
    </row>
    <row r="532" spans="1:3" x14ac:dyDescent="0.25">
      <c r="A532" s="12" t="s">
        <v>2200</v>
      </c>
      <c r="B532" s="12" t="s">
        <v>2201</v>
      </c>
      <c r="C532" s="12" t="s">
        <v>2201</v>
      </c>
    </row>
    <row r="533" spans="1:3" x14ac:dyDescent="0.25">
      <c r="A533" s="12" t="s">
        <v>2202</v>
      </c>
      <c r="B533" s="12" t="s">
        <v>2203</v>
      </c>
      <c r="C533" s="12" t="s">
        <v>2203</v>
      </c>
    </row>
    <row r="534" spans="1:3" x14ac:dyDescent="0.25">
      <c r="A534" s="12" t="s">
        <v>2204</v>
      </c>
      <c r="B534" s="12" t="s">
        <v>2205</v>
      </c>
      <c r="C534" s="12" t="s">
        <v>2205</v>
      </c>
    </row>
    <row r="535" spans="1:3" x14ac:dyDescent="0.25">
      <c r="A535" s="12" t="s">
        <v>2206</v>
      </c>
      <c r="B535" s="12" t="s">
        <v>2207</v>
      </c>
      <c r="C535" s="12" t="s">
        <v>2207</v>
      </c>
    </row>
    <row r="536" spans="1:3" x14ac:dyDescent="0.25">
      <c r="A536" s="12" t="s">
        <v>2208</v>
      </c>
      <c r="B536" s="12" t="s">
        <v>2209</v>
      </c>
      <c r="C536" s="12" t="s">
        <v>2209</v>
      </c>
    </row>
    <row r="537" spans="1:3" x14ac:dyDescent="0.25">
      <c r="A537" s="12" t="s">
        <v>2210</v>
      </c>
      <c r="B537" s="12" t="s">
        <v>2211</v>
      </c>
      <c r="C537" s="12" t="s">
        <v>2211</v>
      </c>
    </row>
    <row r="538" spans="1:3" x14ac:dyDescent="0.25">
      <c r="A538" s="12" t="s">
        <v>2212</v>
      </c>
      <c r="B538" s="12" t="s">
        <v>2213</v>
      </c>
      <c r="C538" s="12" t="s">
        <v>2213</v>
      </c>
    </row>
    <row r="539" spans="1:3" x14ac:dyDescent="0.25">
      <c r="A539" s="12" t="s">
        <v>2214</v>
      </c>
      <c r="B539" s="12" t="s">
        <v>2215</v>
      </c>
      <c r="C539" s="12" t="s">
        <v>2215</v>
      </c>
    </row>
    <row r="540" spans="1:3" x14ac:dyDescent="0.25">
      <c r="A540" s="12" t="s">
        <v>2216</v>
      </c>
      <c r="B540" s="12" t="s">
        <v>2217</v>
      </c>
      <c r="C540" s="12" t="s">
        <v>2217</v>
      </c>
    </row>
    <row r="541" spans="1:3" x14ac:dyDescent="0.25">
      <c r="A541" s="12" t="s">
        <v>2218</v>
      </c>
      <c r="B541" s="12" t="s">
        <v>2219</v>
      </c>
      <c r="C541" s="12" t="s">
        <v>2219</v>
      </c>
    </row>
    <row r="542" spans="1:3" x14ac:dyDescent="0.25">
      <c r="A542" s="12" t="s">
        <v>2220</v>
      </c>
      <c r="B542" s="12" t="s">
        <v>2221</v>
      </c>
      <c r="C542" s="12" t="s">
        <v>2221</v>
      </c>
    </row>
    <row r="543" spans="1:3" x14ac:dyDescent="0.25">
      <c r="A543" s="12" t="s">
        <v>2222</v>
      </c>
      <c r="B543" s="12" t="s">
        <v>2223</v>
      </c>
      <c r="C543" s="12" t="s">
        <v>2223</v>
      </c>
    </row>
    <row r="544" spans="1:3" x14ac:dyDescent="0.25">
      <c r="A544" s="12" t="s">
        <v>2224</v>
      </c>
      <c r="B544" s="12" t="s">
        <v>2225</v>
      </c>
      <c r="C544" s="12" t="s">
        <v>2225</v>
      </c>
    </row>
    <row r="545" spans="1:3" x14ac:dyDescent="0.25">
      <c r="A545" s="12" t="s">
        <v>2226</v>
      </c>
      <c r="B545" s="12" t="s">
        <v>2227</v>
      </c>
      <c r="C545" s="12" t="s">
        <v>2227</v>
      </c>
    </row>
    <row r="546" spans="1:3" x14ac:dyDescent="0.25">
      <c r="A546" s="12" t="s">
        <v>2228</v>
      </c>
      <c r="B546" s="12" t="s">
        <v>2229</v>
      </c>
      <c r="C546" s="12" t="s">
        <v>2229</v>
      </c>
    </row>
    <row r="547" spans="1:3" x14ac:dyDescent="0.25">
      <c r="A547" s="12" t="s">
        <v>2230</v>
      </c>
      <c r="B547" s="12" t="s">
        <v>2231</v>
      </c>
      <c r="C547" s="12" t="s">
        <v>2231</v>
      </c>
    </row>
    <row r="548" spans="1:3" x14ac:dyDescent="0.25">
      <c r="A548" s="12" t="s">
        <v>2232</v>
      </c>
      <c r="B548" s="12" t="s">
        <v>2233</v>
      </c>
      <c r="C548" s="12" t="s">
        <v>2233</v>
      </c>
    </row>
    <row r="549" spans="1:3" x14ac:dyDescent="0.25">
      <c r="A549" s="12" t="s">
        <v>2234</v>
      </c>
      <c r="B549" s="12" t="s">
        <v>2235</v>
      </c>
      <c r="C549" s="12" t="s">
        <v>2235</v>
      </c>
    </row>
    <row r="550" spans="1:3" x14ac:dyDescent="0.25">
      <c r="A550" s="12" t="s">
        <v>2236</v>
      </c>
      <c r="B550" s="12" t="s">
        <v>2237</v>
      </c>
      <c r="C550" s="12" t="s">
        <v>2237</v>
      </c>
    </row>
    <row r="551" spans="1:3" x14ac:dyDescent="0.25">
      <c r="A551" s="12" t="s">
        <v>2238</v>
      </c>
      <c r="B551" s="12" t="s">
        <v>2239</v>
      </c>
      <c r="C551" s="12" t="s">
        <v>2239</v>
      </c>
    </row>
    <row r="552" spans="1:3" x14ac:dyDescent="0.25">
      <c r="A552" s="12" t="s">
        <v>2240</v>
      </c>
      <c r="B552" s="12" t="s">
        <v>2241</v>
      </c>
      <c r="C552" s="12" t="s">
        <v>2241</v>
      </c>
    </row>
    <row r="553" spans="1:3" x14ac:dyDescent="0.25">
      <c r="A553" s="12" t="s">
        <v>2242</v>
      </c>
      <c r="B553" s="12" t="s">
        <v>2243</v>
      </c>
      <c r="C553" s="12" t="s">
        <v>2243</v>
      </c>
    </row>
    <row r="554" spans="1:3" x14ac:dyDescent="0.25">
      <c r="A554" s="12" t="s">
        <v>2244</v>
      </c>
      <c r="B554" s="12" t="s">
        <v>2245</v>
      </c>
      <c r="C554" s="12" t="s">
        <v>2245</v>
      </c>
    </row>
  </sheetData>
  <pageMargins left="0.75" right="0.75" top="1" bottom="1" header="0.5" footer="0.5"/>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43</vt:i4>
      </vt:variant>
    </vt:vector>
  </HeadingPairs>
  <TitlesOfParts>
    <vt:vector size="54" baseType="lpstr">
      <vt:lpstr>ReadMe</vt:lpstr>
      <vt:lpstr>Distribution_Inputs</vt:lpstr>
      <vt:lpstr>Distribution_Outputs</vt:lpstr>
      <vt:lpstr>HHSurvey</vt:lpstr>
      <vt:lpstr>HH_Elast</vt:lpstr>
      <vt:lpstr>ASPIRE</vt:lpstr>
      <vt:lpstr>WHOCooking</vt:lpstr>
      <vt:lpstr>GDPRatios</vt:lpstr>
      <vt:lpstr>IO_GTAP</vt:lpstr>
      <vt:lpstr>Price_Changes</vt:lpstr>
      <vt:lpstr>Mapping</vt:lpstr>
      <vt:lpstr>AdjustBehaviorSwitch</vt:lpstr>
      <vt:lpstr>AdjustDWLSwitch</vt:lpstr>
      <vt:lpstr>ASPIRE_Programs</vt:lpstr>
      <vt:lpstr>ASPIRE_Quintiles</vt:lpstr>
      <vt:lpstr>ASPIRE_Values</vt:lpstr>
      <vt:lpstr>BehaviorAdjFactor</vt:lpstr>
      <vt:lpstr>CurrentSpendCode</vt:lpstr>
      <vt:lpstr>ElastAdj_Codes</vt:lpstr>
      <vt:lpstr>ElastAdj_Data</vt:lpstr>
      <vt:lpstr>ExemptBottomDeciles_PIT</vt:lpstr>
      <vt:lpstr>ExemptDeciles</vt:lpstr>
      <vt:lpstr>ExemptFuelLabel</vt:lpstr>
      <vt:lpstr>ExemptShare</vt:lpstr>
      <vt:lpstr>ExemptSwitch</vt:lpstr>
      <vt:lpstr>GDPDeflatorRatioSvy</vt:lpstr>
      <vt:lpstr>HH_Elast_Data</vt:lpstr>
      <vt:lpstr>HH_Elast_Headers</vt:lpstr>
      <vt:lpstr>HH_Elast_Key</vt:lpstr>
      <vt:lpstr>HHConsAdjFactor</vt:lpstr>
      <vt:lpstr>HHSurvey_Data</vt:lpstr>
      <vt:lpstr>HHSurvey_Headers</vt:lpstr>
      <vt:lpstr>HHSurvey_Key</vt:lpstr>
      <vt:lpstr>InfraAccessCode</vt:lpstr>
      <vt:lpstr>LaborTaxCutCoef</vt:lpstr>
      <vt:lpstr>LaborTaxMethod</vt:lpstr>
      <vt:lpstr>PITBaselineLCU</vt:lpstr>
      <vt:lpstr>PITSourceSwitch</vt:lpstr>
      <vt:lpstr>PopAdjFactor</vt:lpstr>
      <vt:lpstr>PopAnalysisYear</vt:lpstr>
      <vt:lpstr>PopSurveyYear</vt:lpstr>
      <vt:lpstr>PriceDirect_Codes</vt:lpstr>
      <vt:lpstr>PriceDirect_Values</vt:lpstr>
      <vt:lpstr>PriceIndirect_Codes</vt:lpstr>
      <vt:lpstr>PriceIndirect_Values</vt:lpstr>
      <vt:lpstr>RevCurrentSpendLCU</vt:lpstr>
      <vt:lpstr>RevLaborTaxLCU</vt:lpstr>
      <vt:lpstr>RevPublicInvestLCU</vt:lpstr>
      <vt:lpstr>RevTargetedTransferLCU</vt:lpstr>
      <vt:lpstr>StatOutputs</vt:lpstr>
      <vt:lpstr>TargetedTransferASPIREUsed</vt:lpstr>
      <vt:lpstr>TargetedTransferCode</vt:lpstr>
      <vt:lpstr>TotConsSurveyYear</vt:lpstr>
      <vt:lpstr>UseDecileElastSwitch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Stretton</cp:lastModifiedBy>
  <dcterms:created xsi:type="dcterms:W3CDTF">2026-09-22T00:45:37Z</dcterms:created>
  <dcterms:modified xsi:type="dcterms:W3CDTF">2026-09-22T00:49:22Z</dcterms:modified>
</cp:coreProperties>
</file>