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ce67bfbe7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d2c05a8e0e204aba"/>
    <x:sheet xmlns:r="http://schemas.openxmlformats.org/officeDocument/2006/relationships" name="Inputs" sheetId="2" r:id="R1361ee15122a46aa"/>
    <x:sheet xmlns:r="http://schemas.openxmlformats.org/officeDocument/2006/relationships" name="Scenario" sheetId="3" r:id="Rde703e46e3274e07"/>
    <x:sheet xmlns:r="http://schemas.openxmlformats.org/officeDocument/2006/relationships" name="Fuel Model" sheetId="4" r:id="R6f6a9cf5c11243b5"/>
    <x:sheet xmlns:r="http://schemas.openxmlformats.org/officeDocument/2006/relationships" name="Summary" sheetId="5" r:id="R848807450770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%"/>
    <x:numFmt numFmtId="201" formatCode="0%"/>
    <x:numFmt numFmtId="202" formatCode="0.000"/>
    <x:numFmt numFmtId="203" formatCode="0.0"/>
    <x:numFmt numFmtId="204" formatCode="$0.0"/>
    <x:numFmt numFmtId="205" formatCode="0"/>
    <x:numFmt numFmtId="206" formatCode="0.00"/>
    <x:numFmt numFmtId="207" formatCode="0.0000"/>
    <x:numFmt numFmtId="208" formatCode="$0.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6" borderId="0" xfId="0" applyNumberFormat="1" applyFont="1" applyFill="1" applyBorder="1"/>
    <x:xf numFmtId="202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7" borderId="1" xfId="0" applyNumberFormat="1" applyFont="1" applyFill="1" applyBorder="1"/>
    <x:xf numFmtId="204" fontId="0" fillId="7" borderId="0" xfId="0" applyNumberFormat="1" applyFont="1" applyFill="1" applyBorder="1"/>
    <x:xf numFmtId="204" fontId="0" fillId="7" borderId="1" xfId="0" applyNumberFormat="1" applyFont="1" applyFill="1" applyBorder="1"/>
    <x:xf numFmtId="203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7" borderId="0" xfId="0" applyNumberFormat="1" applyFont="1" applyFill="1" applyBorder="1"/>
    <x:xf numFmtId="206" fontId="0" fillId="7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207" fontId="0" fillId="7" borderId="0" xfId="0" applyNumberFormat="1" applyFont="1" applyFill="1" applyBorder="1"/>
    <x:xf numFmtId="207" fontId="0" fillId="7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208" fontId="0" fillId="7" borderId="0" xfId="0" applyNumberFormat="1" applyFont="1" applyFill="1" applyBorder="1"/>
    <x:xf numFmtId="208" fontId="0" fillId="7" borderId="1" xfId="0" applyNumberFormat="1" applyFont="1" applyFill="1" applyBorder="1"/>
    <x:xf numFmtId="205" fontId="0" fillId="0" borderId="0" xfId="0" applyNumberFormat="1" applyFont="1" applyFill="1" applyBorder="1" applyAlignment="1">
      <x:alignment wrapText="1"/>
    </x:xf>
    <x:xf numFmtId="206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207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8" fontId="0" fillId="7" borderId="0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6" fontId="0" fillId="7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7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8" fontId="0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de28fe0b6b4912" /><Relationship Type="http://schemas.openxmlformats.org/officeDocument/2006/relationships/theme" Target="/xl/theme/theme1.xml" Id="Ra7c1d63e5f6c4121" /><Relationship Type="http://schemas.openxmlformats.org/officeDocument/2006/relationships/sharedStrings" Target="/xl/sharedStrings.xml" Id="R532c4ac0bec045d5" /><Relationship Type="http://schemas.openxmlformats.org/officeDocument/2006/relationships/worksheet" Target="/xl/worksheets/sheet1.xml" Id="Rd2c05a8e0e204aba" /><Relationship Type="http://schemas.openxmlformats.org/officeDocument/2006/relationships/worksheet" Target="/xl/worksheets/sheet2.xml" Id="R1361ee15122a46aa" /><Relationship Type="http://schemas.openxmlformats.org/officeDocument/2006/relationships/worksheet" Target="/xl/worksheets/sheet3.xml" Id="Rde703e46e3274e07" /><Relationship Type="http://schemas.openxmlformats.org/officeDocument/2006/relationships/worksheet" Target="/xl/worksheets/sheet4.xml" Id="R6f6a9cf5c11243b5" /><Relationship Type="http://schemas.openxmlformats.org/officeDocument/2006/relationships/worksheet" Target="/xl/worksheets/sheet5.xml" Id="R848807450770498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e756de1b094db3" /><Relationship Type="http://schemas.openxmlformats.org/officeDocument/2006/relationships/chart" Target="/xl/drawings/charts/chart2.xml" Id="R3bfb56c622bf490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Baseline CO2</c:v>
          </c:tx>
          <c:marker>
            <c:symbol val="none"/>
          </c:marker>
          <c:cat>
            <c:strRef>
              <c:f>'Summary'!$A$4:$A$14</c:f>
              <c:strCache>
                <c:ptCount val="0"/>
              </c:strCache>
            </c:strRef>
          </c:cat>
          <c:val>
            <c:numRef>
              <c:f>'Summary'!$F$4:$F$14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Policy CO2</c:v>
          </c:tx>
          <c:marker>
            <c:symbol val="none"/>
          </c:marker>
          <c:cat>
            <c:strRef>
              <c:f>'Summary'!$A$4:$A$14</c:f>
              <c:strCache>
                <c:ptCount val="0"/>
              </c:strCache>
            </c:strRef>
          </c:cat>
          <c:val>
            <c:numRef>
              <c:f>'Summary'!$G$4:$G$14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Mt CO₂</a:t>
                </a:r>
              </a:p>
            </c:rich>
          </c:tx>
        </c:title>
        <c:numFmt formatCode="0.0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Reduction %</c:v>
          </c:tx>
          <c:cat>
            <c:strRef>
              <c:f>'Summary'!$A$4:$A$14</c:f>
              <c:strCache>
                <c:ptCount val="0"/>
              </c:strCache>
            </c:strRef>
          </c:cat>
          <c:val>
            <c:numRef>
              <c:f>'Summary'!$I$4:$I$14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% vs baseline</a:t>
                </a:r>
              </a:p>
            </c:rich>
          </c:tx>
        </c:title>
        <c:numFmt formatCode="0%" sourceLinked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6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e756de1b094db3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fb56c622bf49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9395c44c7e042b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72" hidden="0" customWidth="1"/>
    <x:col min="4" max="4" width="4" hidden="0" customWidth="1"/>
    <x:col min="5" max="5" width="4" hidden="0" customWidth="1"/>
    <x:col min="6" max="6" width="4" hidden="0" customWidth="1"/>
  </x:cols>
  <x:sheetData>
    <x:row r="1" ht="28" customHeight="1">
      <x:c r="A1" s="4" t="str">
        <x:v>CPAT Mitigation Equations — Proof of Concept</x:v>
      </x:c>
      <x:c r="B1" s="4"/>
      <x:c r="C1" s="4"/>
      <x:c r="D1" s="4"/>
      <x:c r="E1" s="4"/>
      <x:c r="F1" s="4"/>
    </x:row>
    <x:row r="3">
      <x:c r="A3" s="10" t="str">
        <x:v>Purpose</x:v>
      </x:c>
      <x:c r="B3" s="10"/>
      <x:c r="C3" s="10"/>
      <x:c r="D3" s="10"/>
      <x:c r="E3" s="10"/>
      <x:c r="F3" s="10"/>
    </x:row>
    <x:row r="4">
      <x:c r="A4" s="14" t="str">
        <x:v>This workbook implements the central reduced-form CPAT mitigation logic in a transparent toy model.</x:v>
      </x:c>
      <x:c r="B4" s="14"/>
      <x:c r="C4" s="14"/>
      <x:c r="D4" s="14"/>
      <x:c r="E4" s="14"/>
      <x:c r="F4" s="14"/>
    </x:row>
    <x:row r="5">
      <x:c r="A5" s="14" t="str">
        <x:v>It compares a baseline with a carbon-pricing policy for a small set of sector–fuel pairs.</x:v>
      </x:c>
      <x:c r="B5" s="14"/>
      <x:c r="C5" s="14"/>
      <x:c r="D5" s="14"/>
      <x:c r="E5" s="14"/>
      <x:c r="F5" s="14"/>
    </x:row>
    <x:row r="6">
      <x:c r="A6" s="14" t="str">
        <x:v>All key derived values are Excel formulas and assumptions are editable.</x:v>
      </x:c>
      <x:c r="B6" s="14"/>
      <x:c r="C6" s="14"/>
      <x:c r="D6" s="14"/>
      <x:c r="E6" s="14"/>
      <x:c r="F6" s="14"/>
    </x:row>
    <x:row r="7">
      <x:c r="A7" s="14" t="str">
        <x:v>It is not a full reproduction of CPAT. Power-supply models, cross-price substitution, non-energy emissions, calibration, endogenous GDP feedbacks, VAT/excise/subsidy detail, and other policy instruments are excluded.</x:v>
      </x:c>
      <x:c r="B7" s="14"/>
      <x:c r="C7" s="14"/>
      <x:c r="D7" s="14"/>
      <x:c r="E7" s="14"/>
      <x:c r="F7" s="14"/>
    </x:row>
    <x:row r="8">
      <x:c r="A8" s="14" t="str">
        <x:v>Illustrative numeric inputs are placeholders; replace them with CPAT country/sector/fuel data for an applied model.</x:v>
      </x:c>
      <x:c r="B8" s="14"/>
      <x:c r="C8" s="14"/>
      <x:c r="D8" s="14"/>
      <x:c r="E8" s="14"/>
      <x:c r="F8" s="14"/>
    </x:row>
    <x:row r="10">
      <x:c r="A10" s="10" t="str">
        <x:v>Core equations implemented</x:v>
      </x:c>
      <x:c r="B10" s="10"/>
      <x:c r="C10" s="10"/>
      <x:c r="D10" s="10"/>
      <x:c r="E10" s="10"/>
      <x:c r="F10" s="10"/>
    </x:row>
    <x:row r="11">
      <x:c r="A11" s="14" t="str">
        <x:v>1</x:v>
      </x:c>
      <x:c r="B11" s="14" t="str">
        <x:v>Carbon-price surcharge</x:v>
      </x:c>
      <x:c r="C11" s="14" t="str">
        <x:v>Δp = Carbon price ($/tCO₂) × emissions factor (tCO₂/GJ) × coverage</x:v>
      </x:c>
    </x:row>
    <x:row r="12">
      <x:c r="A12" s="14" t="str">
        <x:v>2</x:v>
      </x:c>
      <x:c r="B12" s="14" t="str">
        <x:v>Retail fuel price</x:v>
      </x:c>
      <x:c r="C12" s="14" t="str">
        <x:v>p(policy) = market retail price + Δp</x:v>
      </x:c>
    </x:row>
    <x:row r="13">
      <x:c r="A13" s="14" t="str">
        <x:v>3</x:v>
      </x:c>
      <x:c r="B13" s="14" t="str">
        <x:v>Fuel demand</x:v>
      </x:c>
      <x:c r="C13" s="14" t="str">
        <x:v>Fₜ/Fₜ₋₁ = (1/(1+α))^(1+εU) × (Yₜ/Yₜ₋₁)^εY × (pₜ/pₜ₋₁)^εU × (pₜ/pₜ₋₁)^[εF(1+εU)]</x:v>
      </x:c>
    </x:row>
    <x:row r="14">
      <x:c r="A14" s="14" t="str">
        <x:v>4</x:v>
      </x:c>
      <x:c r="B14" s="14" t="str">
        <x:v>CO₂ emissions</x:v>
      </x:c>
      <x:c r="C14" s="14" t="str">
        <x:v>Emissions = fuel use (ktoe) × 41,868 GJ/ktoe × EF (tCO₂/GJ) ÷ 1,000,000</x:v>
      </x:c>
    </x:row>
    <x:row r="15">
      <x:c r="A15" s="14" t="str">
        <x:v>5</x:v>
      </x:c>
      <x:c r="B15" s="14" t="str">
        <x:v>Carbon revenue</x:v>
      </x:c>
      <x:c r="C15" s="14" t="str">
        <x:v>Revenue = policy fuel use × 41,868 × carbon-price surcharge ÷ 1,000,000 ($m)</x:v>
      </x:c>
    </x:row>
    <x:row r="16">
      <x:c r="A16" s="14" t="str">
        <x:v>6</x:v>
      </x:c>
      <x:c r="B16" s="14" t="str">
        <x:v>Combined price elasticity</x:v>
      </x:c>
      <x:c r="C16" s="14" t="str">
        <x:v>εprice = εU + εF(1+εU) = εU + εF + εF·εU</x:v>
      </x:c>
    </x:row>
    <x:row r="18">
      <x:c r="A18" s="10" t="str">
        <x:v>Documentation sources</x:v>
      </x:c>
      <x:c r="B18" s="10"/>
      <x:c r="C18" s="10"/>
      <x:c r="D18" s="10"/>
      <x:c r="E18" s="10"/>
      <x:c r="F18" s="10"/>
    </x:row>
    <x:row r="19">
      <x:c r="A19" t="str">
        <x:v>CPAT documentation home</x:v>
      </x:c>
      <x:c r="B19" t="str">
        <x:v>https://cpmodel.github.io/cpat_public/</x:v>
      </x:c>
    </x:row>
    <x:row r="20">
      <x:c r="A20" t="str">
        <x:v>Mitigation chapter</x:v>
      </x:c>
      <x:c r="B20" t="str">
        <x:v>https://cpmodel.github.io/cpat_public/03_Mitigation.html</x:v>
      </x:c>
    </x:row>
    <x:row r="21">
      <x:c r="A21" t="str">
        <x:v>Fuel demand equation</x:v>
      </x:c>
      <x:c r="B21" t="str">
        <x:v>https://cpmodel.github.io/cpat_public/03_Mitigation.html#fuel-consumption-dynamics</x:v>
      </x:c>
    </x:row>
    <x:row r="22">
      <x:c r="A22" t="str">
        <x:v>Emissions and revenues</x:v>
      </x:c>
      <x:c r="B22" t="str">
        <x:v>https://cpmodel.github.io/cpat_public/03_Mitigation.html#emissions</x:v>
      </x:c>
    </x:row>
    <x:row r="24">
      <x:c r="A24" s="10" t="str">
        <x:v>Interpretation note</x:v>
      </x:c>
      <x:c r="B24" s="10"/>
      <x:c r="C24" s="10"/>
      <x:c r="D24" s="10"/>
      <x:c r="E24" s="10"/>
      <x:c r="F24" s="10"/>
    </x:row>
    <x:row r="25">
      <x:c r="A25" s="18" t="str">
        <x:v>Yellow cells are intended inputs; green cells are formulas/derived values. Toy emission factors and elasticities are illustrative, not calibrated CPAT defaults.</x:v>
      </x:c>
      <x:c r="B25" s="18"/>
      <x:c r="C25" s="18"/>
      <x:c r="D25" s="18"/>
      <x:c r="E25" s="18"/>
      <x:c r="F25" s="18"/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10:F10"/>
    <x:mergeCell ref="A18:F18"/>
    <x:mergeCell ref="A24:F24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8" hidden="0" customWidth="1"/>
    <x:col min="4" max="4" width="16" hidden="0" customWidth="1"/>
    <x:col min="5" max="5" width="17" hidden="0" customWidth="1"/>
    <x:col min="6" max="6" width="16" hidden="0" customWidth="1"/>
    <x:col min="7" max="7" width="15" hidden="0" customWidth="1"/>
    <x:col min="8" max="8" width="11" hidden="0" customWidth="1"/>
    <x:col min="9" max="9" width="15" hidden="0" customWidth="1"/>
    <x:col min="10" max="10" width="15" hidden="0" customWidth="1"/>
    <x:col min="11" max="11" width="16" hidden="0" customWidth="1"/>
    <x:col min="12" max="12" width="18" hidden="0" customWidth="1"/>
  </x:cols>
  <x:sheetData>
    <x:row r="1">
      <x:c r="A1" s="40" t="str">
        <x:v>Editable assumptions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</x:row>
    <x:row r="3">
      <x:c r="A3" s="41" t="str">
        <x:v>General scenario assumptions</x:v>
      </x:c>
      <x:c r="B3" s="41"/>
      <x:c r="C3" s="41"/>
      <x:c r="D3" s="41"/>
      <x:c r="E3" s="14"/>
      <x:c r="F3" s="14"/>
      <x:c r="G3" s="14"/>
      <x:c r="H3" s="14"/>
      <x:c r="I3" s="14"/>
      <x:c r="J3" s="14"/>
      <x:c r="K3" s="14"/>
      <x:c r="L3" s="14"/>
    </x:row>
    <x:row r="4">
      <x:c r="A4" s="26" t="str">
        <x:v>Parameter</x:v>
      </x:c>
      <x:c r="B4" s="26" t="str">
        <x:v>Value</x:v>
      </x:c>
      <x:c r="C4" s="26" t="str">
        <x:v>Unit / option</x:v>
      </x:c>
      <x:c r="D4" s="26" t="str">
        <x:v>Comment</x:v>
      </x:c>
      <x:c r="E4" s="14"/>
      <x:c r="F4" s="14"/>
      <x:c r="G4" s="14"/>
      <x:c r="H4" s="14"/>
      <x:c r="I4" s="14"/>
      <x:c r="J4" s="14"/>
      <x:c r="K4" s="14"/>
      <x:c r="L4" s="14"/>
    </x:row>
    <x:row r="5">
      <x:c r="A5" s="14" t="str">
        <x:v>Start year</x:v>
      </x:c>
      <x:c r="B5" s="42" t="n">
        <x:v>2025</x:v>
      </x:c>
      <x:c r="C5" s="14" t="str">
        <x:v>year</x:v>
      </x:c>
      <x:c r="D5" s="14" t="str">
        <x:v>Toy model base year</x:v>
      </x:c>
      <x:c r="E5" s="14"/>
      <x:c r="F5" s="14"/>
      <x:c r="G5" s="14"/>
      <x:c r="H5" s="14"/>
      <x:c r="I5" s="14"/>
      <x:c r="J5" s="14"/>
      <x:c r="K5" s="14"/>
      <x:c r="L5" s="14"/>
    </x:row>
    <x:row r="6">
      <x:c r="A6" s="14" t="str">
        <x:v>End year</x:v>
      </x:c>
      <x:c r="B6" s="42" t="n">
        <x:v>2035</x:v>
      </x:c>
      <x:c r="C6" s="14" t="str">
        <x:v>year</x:v>
      </x:c>
      <x:c r="D6" s="14" t="str">
        <x:v>Model prebuilt to 2035</x:v>
      </x:c>
      <x:c r="E6" s="14"/>
      <x:c r="F6" s="14"/>
      <x:c r="G6" s="14"/>
      <x:c r="H6" s="14"/>
      <x:c r="I6" s="14"/>
      <x:c r="J6" s="14"/>
      <x:c r="K6" s="14"/>
      <x:c r="L6" s="14"/>
    </x:row>
    <x:row r="7">
      <x:c r="A7" s="14" t="str">
        <x:v>Base GDP index</x:v>
      </x:c>
      <x:c r="B7" s="42" t="n">
        <x:v>100</x:v>
      </x:c>
      <x:c r="C7" s="14" t="str">
        <x:v>index</x:v>
      </x:c>
      <x:c r="D7" s="14" t="str">
        <x:v>Arbitrary index</x:v>
      </x:c>
      <x:c r="E7" s="14"/>
      <x:c r="F7" s="14"/>
      <x:c r="G7" s="14"/>
      <x:c r="H7" s="14"/>
      <x:c r="I7" s="14"/>
      <x:c r="J7" s="14"/>
      <x:c r="K7" s="14"/>
      <x:c r="L7" s="14"/>
    </x:row>
    <x:row r="8">
      <x:c r="A8" s="14" t="str">
        <x:v>Annual real GDP growth</x:v>
      </x:c>
      <x:c r="B8" s="43" t="n">
        <x:v>0.03</x:v>
      </x:c>
      <x:c r="C8" s="14" t="str">
        <x:v>% p.a.</x:v>
      </x:c>
      <x:c r="D8" s="14" t="str">
        <x:v>Same in baseline and policy in this PoC</x:v>
      </x:c>
      <x:c r="E8" s="14"/>
      <x:c r="F8" s="14"/>
      <x:c r="G8" s="14"/>
      <x:c r="H8" s="14"/>
      <x:c r="I8" s="14"/>
      <x:c r="J8" s="14"/>
      <x:c r="K8" s="14"/>
      <x:c r="L8" s="14"/>
    </x:row>
    <x:row r="9">
      <x:c r="A9" s="14" t="str">
        <x:v>Carbon price at start</x:v>
      </x:c>
      <x:c r="B9" s="42" t="n">
        <x:v>0</x:v>
      </x:c>
      <x:c r="C9" s="14" t="str">
        <x:v>$/tCO2</x:v>
      </x:c>
      <x:c r="D9" s="14" t="str">
        <x:v>New policy price in the start year</x:v>
      </x:c>
      <x:c r="E9" s="14"/>
      <x:c r="F9" s="14"/>
      <x:c r="G9" s="14"/>
      <x:c r="H9" s="14"/>
      <x:c r="I9" s="14"/>
      <x:c r="J9" s="14"/>
      <x:c r="K9" s="14"/>
      <x:c r="L9" s="14"/>
    </x:row>
    <x:row r="10">
      <x:c r="A10" s="14" t="str">
        <x:v>Carbon price start year</x:v>
      </x:c>
      <x:c r="B10" s="42" t="n">
        <x:v>2025</x:v>
      </x:c>
      <x:c r="C10" s="14" t="str">
        <x:v>year</x:v>
      </x:c>
      <x:c r="D10" s="14" t="str">
        <x:v>Policy starts here</x:v>
      </x:c>
      <x:c r="E10" s="14"/>
      <x:c r="F10" s="14"/>
      <x:c r="G10" s="14"/>
      <x:c r="H10" s="14"/>
      <x:c r="I10" s="14"/>
      <x:c r="J10" s="14"/>
      <x:c r="K10" s="14"/>
      <x:c r="L10" s="14"/>
    </x:row>
    <x:row r="11">
      <x:c r="A11" s="14" t="str">
        <x:v>Target carbon price</x:v>
      </x:c>
      <x:c r="B11" s="42" t="n">
        <x:v>75</x:v>
      </x:c>
      <x:c r="C11" s="14" t="str">
        <x:v>$/tCO2</x:v>
      </x:c>
      <x:c r="D11" s="14" t="str">
        <x:v>Illustrative</x:v>
      </x:c>
      <x:c r="E11" s="14"/>
      <x:c r="F11" s="14"/>
      <x:c r="G11" s="14"/>
      <x:c r="H11" s="14"/>
      <x:c r="I11" s="14"/>
      <x:c r="J11" s="14"/>
      <x:c r="K11" s="14"/>
      <x:c r="L11" s="14"/>
    </x:row>
    <x:row r="12">
      <x:c r="A12" s="14" t="str">
        <x:v>Target year</x:v>
      </x:c>
      <x:c r="B12" s="42" t="n">
        <x:v>2030</x:v>
      </x:c>
      <x:c r="C12" s="14" t="str">
        <x:v>year</x:v>
      </x:c>
      <x:c r="D12" s="14" t="str">
        <x:v>Linear ramp to target</x:v>
      </x:c>
      <x:c r="E12" s="14"/>
      <x:c r="F12" s="14"/>
      <x:c r="G12" s="14"/>
      <x:c r="H12" s="14"/>
      <x:c r="I12" s="14"/>
      <x:c r="J12" s="14"/>
      <x:c r="K12" s="14"/>
      <x:c r="L12" s="14"/>
    </x:row>
    <x:row r="13">
      <x:c r="A13" s="14" t="str">
        <x:v>Post-target pathway</x:v>
      </x:c>
      <x:c r="B13" s="42" t="str">
        <x:v>Linear</x:v>
      </x:c>
      <x:c r="C13" s="14" t="str">
        <x:v>Linear / Flat</x:v>
      </x:c>
      <x:c r="D13" s="14" t="str">
        <x:v>CPAT documentation default allows continued linear rise</x:v>
      </x:c>
      <x:c r="E13" s="14"/>
      <x:c r="F13" s="14"/>
      <x:c r="G13" s="14"/>
      <x:c r="H13" s="14"/>
      <x:c r="I13" s="14"/>
      <x:c r="J13" s="14"/>
      <x:c r="K13" s="14"/>
      <x:c r="L13" s="14"/>
    </x:row>
    <x:row r="14">
      <x:c r="A14" s="14" t="str">
        <x:v>GJ per ktoe</x:v>
      </x:c>
      <x:c r="B14" s="42" t="n">
        <x:v>41868</x:v>
      </x:c>
      <x:c r="C14" s="14" t="str">
        <x:v>GJ/ktoe</x:v>
      </x:c>
      <x:c r="D14" s="14" t="str">
        <x:v>CPAT documentation conversion factor</x:v>
      </x:c>
      <x:c r="E14" s="14"/>
      <x:c r="F14" s="14"/>
      <x:c r="G14" s="14"/>
      <x:c r="H14" s="14"/>
      <x:c r="I14" s="14"/>
      <x:c r="J14" s="14"/>
      <x:c r="K14" s="14"/>
      <x:c r="L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</x:row>
    <x:row r="16">
      <x:c r="A16" s="41" t="str">
        <x:v>Sector–fuel assumptions (illustrative values — replace with country-specific CPAT inputs)</x:v>
      </x:c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</x:row>
    <x:row r="17">
      <x:c r="A17" s="26" t="str">
        <x:v>ID</x:v>
      </x:c>
      <x:c r="B17" s="26" t="str">
        <x:v>Sector</x:v>
      </x:c>
      <x:c r="C17" s="26" t="str">
        <x:v>Fuel</x:v>
      </x:c>
      <x:c r="D17" s="26" t="str">
        <x:v>Base fuel use
(ktoe)</x:v>
      </x:c>
      <x:c r="E17" s="26" t="str">
        <x:v>Base retail price
($/GJ)</x:v>
      </x:c>
      <x:c r="F17" s="26" t="str">
        <x:v>Market price growth
(% p.a.)</x:v>
      </x:c>
      <x:c r="G17" s="26" t="str">
        <x:v>CO2 EF
(tCO2/GJ)</x:v>
      </x:c>
      <x:c r="H17" s="26" t="str">
        <x:v>Coverage</x:v>
      </x:c>
      <x:c r="I17" s="26" t="str">
        <x:v>Income elasticity
εY</x:v>
      </x:c>
      <x:c r="J17" s="26" t="str">
        <x:v>Usage elasticity
εU</x:v>
      </x:c>
      <x:c r="K17" s="26" t="str">
        <x:v>Efficiency elasticity
εF</x:v>
      </x:c>
      <x:c r="L17" s="26" t="str">
        <x:v>Autonomous efficiency
α</x:v>
      </x:c>
    </x:row>
    <x:row r="18">
      <x:c r="A18" s="14" t="n">
        <x:v>1</x:v>
      </x:c>
      <x:c r="B18" s="14" t="str">
        <x:v>Road transport</x:v>
      </x:c>
      <x:c r="C18" s="14" t="str">
        <x:v>Gasoline</x:v>
      </x:c>
      <x:c r="D18" s="42" t="n">
        <x:v>1000</x:v>
      </x:c>
      <x:c r="E18" s="42" t="n">
        <x:v>24</x:v>
      </x:c>
      <x:c r="F18" s="43" t="n">
        <x:v>0.01</x:v>
      </x:c>
      <x:c r="G18" s="42" t="n">
        <x:v>0.0693</x:v>
      </x:c>
      <x:c r="H18" s="44" t="n">
        <x:v>1</x:v>
      </x:c>
      <x:c r="I18" s="45" t="n">
        <x:v>0.8</x:v>
      </x:c>
      <x:c r="J18" s="45" t="n">
        <x:v>-0.2</x:v>
      </x:c>
      <x:c r="K18" s="45" t="n">
        <x:v>-0.15</x:v>
      </x:c>
      <x:c r="L18" s="45" t="n">
        <x:v>0.005</x:v>
      </x:c>
    </x:row>
    <x:row r="19">
      <x:c r="A19" s="14" t="n">
        <x:v>2</x:v>
      </x:c>
      <x:c r="B19" s="14" t="str">
        <x:v>Road transport</x:v>
      </x:c>
      <x:c r="C19" s="14" t="str">
        <x:v>Diesel</x:v>
      </x:c>
      <x:c r="D19" s="42" t="n">
        <x:v>700</x:v>
      </x:c>
      <x:c r="E19" s="42" t="n">
        <x:v>22</x:v>
      </x:c>
      <x:c r="F19" s="43" t="n">
        <x:v>0.01</x:v>
      </x:c>
      <x:c r="G19" s="42" t="n">
        <x:v>0.0741</x:v>
      </x:c>
      <x:c r="H19" s="44" t="n">
        <x:v>1</x:v>
      </x:c>
      <x:c r="I19" s="45" t="n">
        <x:v>0.8</x:v>
      </x:c>
      <x:c r="J19" s="45" t="n">
        <x:v>-0.18</x:v>
      </x:c>
      <x:c r="K19" s="45" t="n">
        <x:v>-0.14</x:v>
      </x:c>
      <x:c r="L19" s="45" t="n">
        <x:v>0.005</x:v>
      </x:c>
    </x:row>
    <x:row r="20">
      <x:c r="A20" s="14" t="n">
        <x:v>3</x:v>
      </x:c>
      <x:c r="B20" s="14" t="str">
        <x:v>Industry</x:v>
      </x:c>
      <x:c r="C20" s="14" t="str">
        <x:v>Natural gas</x:v>
      </x:c>
      <x:c r="D20" s="42" t="n">
        <x:v>800</x:v>
      </x:c>
      <x:c r="E20" s="42" t="n">
        <x:v>12</x:v>
      </x:c>
      <x:c r="F20" s="43" t="n">
        <x:v>0.01</x:v>
      </x:c>
      <x:c r="G20" s="42" t="n">
        <x:v>0.0561</x:v>
      </x:c>
      <x:c r="H20" s="44" t="n">
        <x:v>1</x:v>
      </x:c>
      <x:c r="I20" s="45" t="n">
        <x:v>0.6</x:v>
      </x:c>
      <x:c r="J20" s="45" t="n">
        <x:v>-0.1</x:v>
      </x:c>
      <x:c r="K20" s="45" t="n">
        <x:v>-0.15</x:v>
      </x:c>
      <x:c r="L20" s="45" t="n">
        <x:v>0.01</x:v>
      </x:c>
    </x:row>
    <x:row r="21">
      <x:c r="A21" s="14" t="n">
        <x:v>4</x:v>
      </x:c>
      <x:c r="B21" s="14" t="str">
        <x:v>Industry</x:v>
      </x:c>
      <x:c r="C21" s="14" t="str">
        <x:v>Coal</x:v>
      </x:c>
      <x:c r="D21" s="42" t="n">
        <x:v>500</x:v>
      </x:c>
      <x:c r="E21" s="42" t="n">
        <x:v>7</x:v>
      </x:c>
      <x:c r="F21" s="43" t="n">
        <x:v>0.01</x:v>
      </x:c>
      <x:c r="G21" s="42" t="n">
        <x:v>0.0946</x:v>
      </x:c>
      <x:c r="H21" s="44" t="n">
        <x:v>1</x:v>
      </x:c>
      <x:c r="I21" s="45" t="n">
        <x:v>0.6</x:v>
      </x:c>
      <x:c r="J21" s="45" t="n">
        <x:v>-0.12</x:v>
      </x:c>
      <x:c r="K21" s="45" t="n">
        <x:v>-0.18</x:v>
      </x:c>
      <x:c r="L21" s="45" t="n">
        <x:v>0.01</x:v>
      </x:c>
    </x:row>
    <x:row r="22">
      <x:c r="A22" s="14" t="n">
        <x:v>5</x:v>
      </x:c>
      <x:c r="B22" s="14" t="str">
        <x:v>Buildings</x:v>
      </x:c>
      <x:c r="C22" s="14" t="str">
        <x:v>Natural gas</x:v>
      </x:c>
      <x:c r="D22" s="42" t="n">
        <x:v>600</x:v>
      </x:c>
      <x:c r="E22" s="42" t="n">
        <x:v>15</x:v>
      </x:c>
      <x:c r="F22" s="43" t="n">
        <x:v>0.01</x:v>
      </x:c>
      <x:c r="G22" s="42" t="n">
        <x:v>0.0561</x:v>
      </x:c>
      <x:c r="H22" s="44" t="n">
        <x:v>0.8</x:v>
      </x:c>
      <x:c r="I22" s="45" t="n">
        <x:v>0.4</x:v>
      </x:c>
      <x:c r="J22" s="45" t="n">
        <x:v>-0.15</x:v>
      </x:c>
      <x:c r="K22" s="45" t="n">
        <x:v>-0.12</x:v>
      </x:c>
      <x:c r="L22" s="45" t="n">
        <x:v>0.005</x:v>
      </x:c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</x:row>
    <x:row r="24">
      <x:c r="A24" s="41" t="str">
        <x:v>Input caveat</x:v>
      </x:c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</x:row>
    <x:row r="25">
      <x:c r="A25" s="18" t="str">
        <x:v>The emission factors and elasticities above are deliberately illustrative. CPAT uses country-, sector- and fuel-specific inputs and offers IIASA/IEA emissions-factor options. The purpose here is to expose the model mechanics.</x:v>
      </x:c>
      <x:c r="B25" s="18"/>
      <x:c r="C25" s="18"/>
      <x:c r="D25" s="18"/>
      <x:c r="E25" s="18"/>
      <x:c r="F25" s="18"/>
      <x:c r="G25" s="18"/>
      <x:c r="H25" s="18"/>
      <x:c r="I25" s="18"/>
      <x:c r="J25" s="18"/>
      <x:c r="K25" s="18"/>
      <x:c r="L25" s="18"/>
    </x:row>
    <x:row r="26">
      <x:c r="A26" s="18"/>
      <x:c r="B26" s="18"/>
      <x:c r="C26" s="18"/>
      <x:c r="D26" s="18"/>
      <x:c r="E26" s="18"/>
      <x:c r="F26" s="18"/>
      <x:c r="G26" s="18"/>
      <x:c r="H26" s="18"/>
      <x:c r="I26" s="18"/>
      <x:c r="J26" s="18"/>
      <x:c r="K26" s="18"/>
      <x:c r="L26" s="18"/>
    </x:row>
  </x:sheetData>
  <x:mergeCells>
    <x:mergeCell ref="A1:L1"/>
    <x:mergeCell ref="A3:D3"/>
    <x:mergeCell ref="A16:L16"/>
    <x:mergeCell ref="A24:L24"/>
    <x:mergeCell ref="A25:L26"/>
  </x:mergeCells>
  <x:dataValidations count="1">
    <x:dataValidation type="list" sqref="B13">
      <x:formula1>"Linear,Flat"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3" hidden="0" customWidth="1"/>
    <x:col min="3" max="3" width="13" hidden="0" customWidth="1"/>
    <x:col min="4" max="4" width="22" hidden="0" customWidth="1"/>
    <x:col min="5" max="5" width="20" hidden="0" customWidth="1"/>
    <x:col min="6" max="6" width="45" hidden="0" customWidth="1"/>
  </x:cols>
  <x:sheetData>
    <x:row r="1">
      <x:c r="A1" s="40" t="str">
        <x:v>Macro &amp; carbon-price pathway</x:v>
      </x:c>
      <x:c r="B1" s="40"/>
      <x:c r="C1" s="40"/>
      <x:c r="D1" s="40"/>
      <x:c r="E1" s="40"/>
      <x:c r="F1" s="40"/>
    </x:row>
    <x:row r="2">
      <x:c r="A2" s="14"/>
      <x:c r="B2" s="14"/>
      <x:c r="C2" s="14"/>
      <x:c r="D2" s="14"/>
      <x:c r="E2" s="14"/>
      <x:c r="F2" s="14"/>
    </x:row>
    <x:row r="3">
      <x:c r="A3" s="26" t="str">
        <x:v>Year</x:v>
      </x:c>
      <x:c r="B3" s="26" t="str">
        <x:v>GDP index</x:v>
      </x:c>
      <x:c r="C3" s="26" t="str">
        <x:v>GDP growth</x:v>
      </x:c>
      <x:c r="D3" s="26" t="str">
        <x:v>Carbon price ($/tCO2)</x:v>
      </x:c>
      <x:c r="E3" s="26" t="str">
        <x:v>Annual CP increment</x:v>
      </x:c>
      <x:c r="F3" s="26" t="str">
        <x:v>Notes</x:v>
      </x:c>
    </x:row>
    <x:row r="4">
      <x:c r="A4" s="14" t="n">
        <x:v>2025</x:v>
      </x:c>
      <x:c r="B4" s="60" t="n">
        <x:f>Inputs!$B$7</x:f>
        <x:v>100</x:v>
      </x:c>
      <x:c r="C4" s="61" t="n">
        <x:f>Inputs!$B$8</x:f>
        <x:v>0.03</x:v>
      </x:c>
      <x:c r="D4" s="62" t="n">
        <x:f>IF(A4&lt;Inputs!$B$10,0,IF(A4&lt;=Inputs!$B$12,Inputs!$B$9+(A4-Inputs!$B$10)*(Inputs!$B$11-Inputs!$B$9)/(Inputs!$B$12-Inputs!$B$10),IF(Inputs!$B$13="Linear",Inputs!$B$11+(A4-Inputs!$B$12)*(Inputs!$B$11-Inputs!$B$9)/(Inputs!$B$12-Inputs!$B$10),Inputs!$B$11)))</x:f>
        <x:v>0</x:v>
      </x:c>
      <x:c r="E4" s="62" t="n">
        <x:v>0</x:v>
      </x:c>
      <x:c r="F4" s="14" t="str">
        <x:v>Linear ramp; post-target behavior controlled in Inputs</x:v>
      </x:c>
    </x:row>
    <x:row r="5">
      <x:c r="A5" s="14" t="n">
        <x:v>2026</x:v>
      </x:c>
      <x:c r="B5" s="60" t="n">
        <x:f>B4*(1+Inputs!$B$8)</x:f>
        <x:v>103</x:v>
      </x:c>
      <x:c r="C5" s="61" t="n">
        <x:f>Inputs!$B$8</x:f>
        <x:v>0.03</x:v>
      </x:c>
      <x:c r="D5" s="62" t="n">
        <x:f>IF(A5&lt;Inputs!$B$10,0,IF(A5&lt;=Inputs!$B$12,Inputs!$B$9+(A5-Inputs!$B$10)*(Inputs!$B$11-Inputs!$B$9)/(Inputs!$B$12-Inputs!$B$10),IF(Inputs!$B$13="Linear",Inputs!$B$11+(A5-Inputs!$B$12)*(Inputs!$B$11-Inputs!$B$9)/(Inputs!$B$12-Inputs!$B$10),Inputs!$B$11)))</x:f>
        <x:v>15</x:v>
      </x:c>
      <x:c r="E5" s="62" t="n">
        <x:f>D5-D4</x:f>
        <x:v>15</x:v>
      </x:c>
      <x:c r="F5" s="14" t="str">
        <x:v>Linear ramp; post-target behavior controlled in Inputs</x:v>
      </x:c>
    </x:row>
    <x:row r="6">
      <x:c r="A6" s="14" t="n">
        <x:v>2027</x:v>
      </x:c>
      <x:c r="B6" s="60" t="n">
        <x:f>B5*(1+Inputs!$B$8)</x:f>
        <x:v>106.09</x:v>
      </x:c>
      <x:c r="C6" s="61" t="n">
        <x:f>Inputs!$B$8</x:f>
        <x:v>0.03</x:v>
      </x:c>
      <x:c r="D6" s="62" t="n">
        <x:f>IF(A6&lt;Inputs!$B$10,0,IF(A6&lt;=Inputs!$B$12,Inputs!$B$9+(A6-Inputs!$B$10)*(Inputs!$B$11-Inputs!$B$9)/(Inputs!$B$12-Inputs!$B$10),IF(Inputs!$B$13="Linear",Inputs!$B$11+(A6-Inputs!$B$12)*(Inputs!$B$11-Inputs!$B$9)/(Inputs!$B$12-Inputs!$B$10),Inputs!$B$11)))</x:f>
        <x:v>30</x:v>
      </x:c>
      <x:c r="E6" s="62" t="n">
        <x:f>D6-D5</x:f>
        <x:v>15</x:v>
      </x:c>
      <x:c r="F6" s="14" t="str">
        <x:v>Linear ramp; post-target behavior controlled in Inputs</x:v>
      </x:c>
    </x:row>
    <x:row r="7">
      <x:c r="A7" s="14" t="n">
        <x:v>2028</x:v>
      </x:c>
      <x:c r="B7" s="60" t="n">
        <x:f>B6*(1+Inputs!$B$8)</x:f>
        <x:v>109.2727</x:v>
      </x:c>
      <x:c r="C7" s="61" t="n">
        <x:f>Inputs!$B$8</x:f>
        <x:v>0.03</x:v>
      </x:c>
      <x:c r="D7" s="62" t="n">
        <x:f>IF(A7&lt;Inputs!$B$10,0,IF(A7&lt;=Inputs!$B$12,Inputs!$B$9+(A7-Inputs!$B$10)*(Inputs!$B$11-Inputs!$B$9)/(Inputs!$B$12-Inputs!$B$10),IF(Inputs!$B$13="Linear",Inputs!$B$11+(A7-Inputs!$B$12)*(Inputs!$B$11-Inputs!$B$9)/(Inputs!$B$12-Inputs!$B$10),Inputs!$B$11)))</x:f>
        <x:v>45</x:v>
      </x:c>
      <x:c r="E7" s="62" t="n">
        <x:f>D7-D6</x:f>
        <x:v>15</x:v>
      </x:c>
      <x:c r="F7" s="14" t="str">
        <x:v>Linear ramp; post-target behavior controlled in Inputs</x:v>
      </x:c>
    </x:row>
    <x:row r="8">
      <x:c r="A8" s="14" t="n">
        <x:v>2029</x:v>
      </x:c>
      <x:c r="B8" s="60" t="n">
        <x:f>B7*(1+Inputs!$B$8)</x:f>
        <x:v>112.550881</x:v>
      </x:c>
      <x:c r="C8" s="61" t="n">
        <x:f>Inputs!$B$8</x:f>
        <x:v>0.03</x:v>
      </x:c>
      <x:c r="D8" s="62" t="n">
        <x:f>IF(A8&lt;Inputs!$B$10,0,IF(A8&lt;=Inputs!$B$12,Inputs!$B$9+(A8-Inputs!$B$10)*(Inputs!$B$11-Inputs!$B$9)/(Inputs!$B$12-Inputs!$B$10),IF(Inputs!$B$13="Linear",Inputs!$B$11+(A8-Inputs!$B$12)*(Inputs!$B$11-Inputs!$B$9)/(Inputs!$B$12-Inputs!$B$10),Inputs!$B$11)))</x:f>
        <x:v>60</x:v>
      </x:c>
      <x:c r="E8" s="62" t="n">
        <x:f>D8-D7</x:f>
        <x:v>15</x:v>
      </x:c>
      <x:c r="F8" s="14" t="str">
        <x:v>Linear ramp; post-target behavior controlled in Inputs</x:v>
      </x:c>
    </x:row>
    <x:row r="9">
      <x:c r="A9" s="14" t="n">
        <x:v>2030</x:v>
      </x:c>
      <x:c r="B9" s="60" t="n">
        <x:f>B8*(1+Inputs!$B$8)</x:f>
        <x:v>115.92740743</x:v>
      </x:c>
      <x:c r="C9" s="61" t="n">
        <x:f>Inputs!$B$8</x:f>
        <x:v>0.03</x:v>
      </x:c>
      <x:c r="D9" s="62" t="n">
        <x:f>IF(A9&lt;Inputs!$B$10,0,IF(A9&lt;=Inputs!$B$12,Inputs!$B$9+(A9-Inputs!$B$10)*(Inputs!$B$11-Inputs!$B$9)/(Inputs!$B$12-Inputs!$B$10),IF(Inputs!$B$13="Linear",Inputs!$B$11+(A9-Inputs!$B$12)*(Inputs!$B$11-Inputs!$B$9)/(Inputs!$B$12-Inputs!$B$10),Inputs!$B$11)))</x:f>
        <x:v>75</x:v>
      </x:c>
      <x:c r="E9" s="62" t="n">
        <x:f>D9-D8</x:f>
        <x:v>15</x:v>
      </x:c>
      <x:c r="F9" s="14" t="str">
        <x:v>Linear ramp; post-target behavior controlled in Inputs</x:v>
      </x:c>
    </x:row>
    <x:row r="10">
      <x:c r="A10" s="14" t="n">
        <x:v>2031</x:v>
      </x:c>
      <x:c r="B10" s="60" t="n">
        <x:f>B9*(1+Inputs!$B$8)</x:f>
        <x:v>119.4052296529</x:v>
      </x:c>
      <x:c r="C10" s="61" t="n">
        <x:f>Inputs!$B$8</x:f>
        <x:v>0.03</x:v>
      </x:c>
      <x:c r="D10" s="62" t="n">
        <x:f>IF(A10&lt;Inputs!$B$10,0,IF(A10&lt;=Inputs!$B$12,Inputs!$B$9+(A10-Inputs!$B$10)*(Inputs!$B$11-Inputs!$B$9)/(Inputs!$B$12-Inputs!$B$10),IF(Inputs!$B$13="Linear",Inputs!$B$11+(A10-Inputs!$B$12)*(Inputs!$B$11-Inputs!$B$9)/(Inputs!$B$12-Inputs!$B$10),Inputs!$B$11)))</x:f>
        <x:v>90</x:v>
      </x:c>
      <x:c r="E10" s="62" t="n">
        <x:f>D10-D9</x:f>
        <x:v>15</x:v>
      </x:c>
      <x:c r="F10" s="14" t="str">
        <x:v>Linear ramp; post-target behavior controlled in Inputs</x:v>
      </x:c>
    </x:row>
    <x:row r="11">
      <x:c r="A11" s="14" t="n">
        <x:v>2032</x:v>
      </x:c>
      <x:c r="B11" s="60" t="n">
        <x:f>B10*(1+Inputs!$B$8)</x:f>
        <x:v>122.987386542487</x:v>
      </x:c>
      <x:c r="C11" s="61" t="n">
        <x:f>Inputs!$B$8</x:f>
        <x:v>0.03</x:v>
      </x:c>
      <x:c r="D11" s="62" t="n">
        <x:f>IF(A11&lt;Inputs!$B$10,0,IF(A11&lt;=Inputs!$B$12,Inputs!$B$9+(A11-Inputs!$B$10)*(Inputs!$B$11-Inputs!$B$9)/(Inputs!$B$12-Inputs!$B$10),IF(Inputs!$B$13="Linear",Inputs!$B$11+(A11-Inputs!$B$12)*(Inputs!$B$11-Inputs!$B$9)/(Inputs!$B$12-Inputs!$B$10),Inputs!$B$11)))</x:f>
        <x:v>105</x:v>
      </x:c>
      <x:c r="E11" s="62" t="n">
        <x:f>D11-D10</x:f>
        <x:v>15</x:v>
      </x:c>
      <x:c r="F11" s="14" t="str">
        <x:v>Linear ramp; post-target behavior controlled in Inputs</x:v>
      </x:c>
    </x:row>
    <x:row r="12">
      <x:c r="A12" s="14" t="n">
        <x:v>2033</x:v>
      </x:c>
      <x:c r="B12" s="60" t="n">
        <x:f>B11*(1+Inputs!$B$8)</x:f>
        <x:v>126.67700813876162</x:v>
      </x:c>
      <x:c r="C12" s="61" t="n">
        <x:f>Inputs!$B$8</x:f>
        <x:v>0.03</x:v>
      </x:c>
      <x:c r="D12" s="62" t="n">
        <x:f>IF(A12&lt;Inputs!$B$10,0,IF(A12&lt;=Inputs!$B$12,Inputs!$B$9+(A12-Inputs!$B$10)*(Inputs!$B$11-Inputs!$B$9)/(Inputs!$B$12-Inputs!$B$10),IF(Inputs!$B$13="Linear",Inputs!$B$11+(A12-Inputs!$B$12)*(Inputs!$B$11-Inputs!$B$9)/(Inputs!$B$12-Inputs!$B$10),Inputs!$B$11)))</x:f>
        <x:v>120</x:v>
      </x:c>
      <x:c r="E12" s="62" t="n">
        <x:f>D12-D11</x:f>
        <x:v>15</x:v>
      </x:c>
      <x:c r="F12" s="14" t="str">
        <x:v>Linear ramp; post-target behavior controlled in Inputs</x:v>
      </x:c>
    </x:row>
    <x:row r="13">
      <x:c r="A13" s="14" t="n">
        <x:v>2034</x:v>
      </x:c>
      <x:c r="B13" s="60" t="n">
        <x:f>B12*(1+Inputs!$B$8)</x:f>
        <x:v>130.47731838292447</x:v>
      </x:c>
      <x:c r="C13" s="61" t="n">
        <x:f>Inputs!$B$8</x:f>
        <x:v>0.03</x:v>
      </x:c>
      <x:c r="D13" s="62" t="n">
        <x:f>IF(A13&lt;Inputs!$B$10,0,IF(A13&lt;=Inputs!$B$12,Inputs!$B$9+(A13-Inputs!$B$10)*(Inputs!$B$11-Inputs!$B$9)/(Inputs!$B$12-Inputs!$B$10),IF(Inputs!$B$13="Linear",Inputs!$B$11+(A13-Inputs!$B$12)*(Inputs!$B$11-Inputs!$B$9)/(Inputs!$B$12-Inputs!$B$10),Inputs!$B$11)))</x:f>
        <x:v>135</x:v>
      </x:c>
      <x:c r="E13" s="62" t="n">
        <x:f>D13-D12</x:f>
        <x:v>15</x:v>
      </x:c>
      <x:c r="F13" s="14" t="str">
        <x:v>Linear ramp; post-target behavior controlled in Inputs</x:v>
      </x:c>
    </x:row>
    <x:row r="14">
      <x:c r="A14" s="14" t="n">
        <x:v>2035</x:v>
      </x:c>
      <x:c r="B14" s="60" t="n">
        <x:f>B13*(1+Inputs!$B$8)</x:f>
        <x:v>134.39163793441222</x:v>
      </x:c>
      <x:c r="C14" s="61" t="n">
        <x:f>Inputs!$B$8</x:f>
        <x:v>0.03</x:v>
      </x:c>
      <x:c r="D14" s="62" t="n">
        <x:f>IF(A14&lt;Inputs!$B$10,0,IF(A14&lt;=Inputs!$B$12,Inputs!$B$9+(A14-Inputs!$B$10)*(Inputs!$B$11-Inputs!$B$9)/(Inputs!$B$12-Inputs!$B$10),IF(Inputs!$B$13="Linear",Inputs!$B$11+(A14-Inputs!$B$12)*(Inputs!$B$11-Inputs!$B$9)/(Inputs!$B$12-Inputs!$B$10),Inputs!$B$11)))</x:f>
        <x:v>150</x:v>
      </x:c>
      <x:c r="E14" s="62" t="n">
        <x:f>D14-D13</x:f>
        <x:v>15</x:v>
      </x:c>
      <x:c r="F14" s="14" t="str">
        <x:v>Linear ramp; post-target behavior controlled in Inputs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5" hidden="0" customWidth="1"/>
    <x:col min="4" max="4" width="8" hidden="0" customWidth="1"/>
    <x:col min="5" max="5" width="11" hidden="0" customWidth="1"/>
    <x:col min="6" max="6" width="13" hidden="0" customWidth="1"/>
    <x:col min="7" max="7" width="13" hidden="0" customWidth="1"/>
    <x:col min="8" max="8" width="10" hidden="0" customWidth="1"/>
    <x:col min="9" max="9" width="11" hidden="0" customWidth="1"/>
    <x:col min="10" max="10" width="15" hidden="0" customWidth="1"/>
    <x:col min="11" max="11" width="13" hidden="0" customWidth="1"/>
    <x:col min="12" max="12" width="13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1" hidden="0" customWidth="1"/>
    <x:col min="18" max="18" width="13" hidden="0" customWidth="1"/>
    <x:col min="19" max="19" width="14" hidden="0" customWidth="1"/>
    <x:col min="20" max="20" width="15" hidden="0" customWidth="1"/>
    <x:col min="21" max="21" width="14" hidden="0" customWidth="1"/>
    <x:col min="22" max="22" width="15" hidden="0" customWidth="1"/>
    <x:col min="23" max="23" width="14" hidden="0" customWidth="1"/>
    <x:col min="24" max="24" width="14" hidden="0" customWidth="1"/>
    <x:col min="25" max="25" width="12" hidden="0" customWidth="1"/>
    <x:col min="26" max="26" width="12" hidden="0" customWidth="1"/>
    <x:col min="27" max="27" width="11" hidden="0" customWidth="1"/>
    <x:col min="28" max="28" width="11" hidden="0" customWidth="1"/>
    <x:col min="29" max="29" width="14" hidden="0" customWidth="1"/>
    <x:col min="30" max="30" width="14" hidden="0" customWidth="1"/>
  </x:cols>
  <x:sheetData>
    <x:row r="1">
      <x:c r="A1" s="40" t="str">
        <x:v>Core CPAT-style reduced-form fuel model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0"/>
      <x:c r="N1" s="40"/>
      <x:c r="O1" s="40"/>
      <x:c r="P1" s="40"/>
      <x:c r="Q1" s="40"/>
      <x:c r="R1" s="40"/>
      <x:c r="S1" s="40"/>
      <x:c r="T1" s="40"/>
      <x:c r="U1" s="40"/>
      <x:c r="V1" s="40"/>
      <x:c r="W1" s="40"/>
      <x:c r="X1" s="40"/>
      <x:c r="Y1" s="40"/>
      <x:c r="Z1" s="40"/>
      <x:c r="AA1" s="40"/>
      <x:c r="AB1" s="40"/>
      <x:c r="AC1" s="40"/>
      <x:c r="AD1" s="40"/>
    </x:row>
    <x:row r="2">
      <x:c r="A2" s="18" t="str">
        <x:v>Each sector–fuel block is recursive over time. Baseline and policy use the same GDP and market-price path; policy adds the carbon-price surcharge.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  <x:c r="AC2" s="18"/>
      <x:c r="AD2" s="18"/>
    </x:row>
    <x:row r="3">
      <x:c r="A3" s="26" t="str">
        <x:v>ID</x:v>
      </x:c>
      <x:c r="B3" s="26" t="str">
        <x:v>Sector</x:v>
      </x:c>
      <x:c r="C3" s="26" t="str">
        <x:v>Fuel</x:v>
      </x:c>
      <x:c r="D3" s="26" t="str">
        <x:v>Year</x:v>
      </x:c>
      <x:c r="E3" s="26" t="str">
        <x:v>GDP index</x:v>
      </x:c>
      <x:c r="F3" s="26" t="str">
        <x:v>Carbon price
$/tCO2</x:v>
      </x:c>
      <x:c r="G3" s="26" t="str">
        <x:v>Market price
$/GJ</x:v>
      </x:c>
      <x:c r="H3" s="26" t="str">
        <x:v>Coverage</x:v>
      </x:c>
      <x:c r="I3" s="26" t="str">
        <x:v>EF
tCO2/GJ</x:v>
      </x:c>
      <x:c r="J3" s="26" t="str">
        <x:v>Carbon surcharge
$/GJ</x:v>
      </x:c>
      <x:c r="K3" s="26" t="str">
        <x:v>Baseline price
$/GJ</x:v>
      </x:c>
      <x:c r="L3" s="26" t="str">
        <x:v>Policy price
$/GJ</x:v>
      </x:c>
      <x:c r="M3" s="26" t="str">
        <x:v>εY</x:v>
      </x:c>
      <x:c r="N3" s="26" t="str">
        <x:v>εU</x:v>
      </x:c>
      <x:c r="O3" s="26" t="str">
        <x:v>εF</x:v>
      </x:c>
      <x:c r="P3" s="26" t="str">
        <x:v>α</x:v>
      </x:c>
      <x:c r="Q3" s="26" t="str">
        <x:v>GDP factor</x:v>
      </x:c>
      <x:c r="R3" s="26" t="str">
        <x:v>Autonomous factor</x:v>
      </x:c>
      <x:c r="S3" s="26" t="str">
        <x:v>Baseline usage
price factor</x:v>
      </x:c>
      <x:c r="T3" s="26" t="str">
        <x:v>Baseline efficiency
price factor</x:v>
      </x:c>
      <x:c r="U3" s="26" t="str">
        <x:v>Policy usage
price factor</x:v>
      </x:c>
      <x:c r="V3" s="26" t="str">
        <x:v>Policy efficiency
price factor</x:v>
      </x:c>
      <x:c r="W3" s="26" t="str">
        <x:v>Baseline fuel use
ktoe</x:v>
      </x:c>
      <x:c r="X3" s="26" t="str">
        <x:v>Policy fuel use
ktoe</x:v>
      </x:c>
      <x:c r="Y3" s="26" t="str">
        <x:v>Baseline CO2
Mt</x:v>
      </x:c>
      <x:c r="Z3" s="26" t="str">
        <x:v>Policy CO2
Mt</x:v>
      </x:c>
      <x:c r="AA3" s="26" t="str">
        <x:v>Reduction
Mt</x:v>
      </x:c>
      <x:c r="AB3" s="26" t="str">
        <x:v>Reduction
%</x:v>
      </x:c>
      <x:c r="AC3" s="26" t="str">
        <x:v>Carbon revenue
$m</x:v>
      </x:c>
      <x:c r="AD3" s="26" t="str">
        <x:v>Combined price
elasticity</x:v>
      </x:c>
    </x:row>
    <x:row r="4">
      <x:c r="A4" s="14" t="n">
        <x:v>1</x:v>
      </x:c>
      <x:c r="B4" s="14" t="str">
        <x:f>Inputs!B18</x:f>
        <x:v>Road transport</x:v>
      </x:c>
      <x:c r="C4" s="14" t="str">
        <x:f>Inputs!C18</x:f>
        <x:v>Gasoline</x:v>
      </x:c>
      <x:c r="D4" s="78" t="n">
        <x:v>2025</x:v>
      </x:c>
      <x:c r="E4" s="60" t="n">
        <x:f>Scenario!B4</x:f>
        <x:v>100</x:v>
      </x:c>
      <x:c r="F4" s="79" t="n">
        <x:f>Scenario!D4</x:f>
        <x:v>0</x:v>
      </x:c>
      <x:c r="G4" s="79" t="n">
        <x:f>Inputs!E18*(1+Inputs!F18)^(D4-Inputs!$B$5)</x:f>
        <x:v>24</x:v>
      </x:c>
      <x:c r="H4" s="80" t="n">
        <x:f>Inputs!H18</x:f>
        <x:v>1</x:v>
      </x:c>
      <x:c r="I4" s="81" t="n">
        <x:f>Inputs!G18</x:f>
        <x:v>0.0693</x:v>
      </x:c>
      <x:c r="J4" s="79" t="n">
        <x:f>F4*I4*H4</x:f>
        <x:v>0</x:v>
      </x:c>
      <x:c r="K4" s="79" t="n">
        <x:f>G4</x:f>
        <x:v>24</x:v>
      </x:c>
      <x:c r="L4" s="79" t="n">
        <x:f>G4+J4</x:f>
        <x:v>24</x:v>
      </x:c>
      <x:c r="M4" s="82" t="n">
        <x:f>Inputs!I18</x:f>
        <x:v>0.8</x:v>
      </x:c>
      <x:c r="N4" s="82" t="n">
        <x:f>Inputs!J18</x:f>
        <x:v>-0.2</x:v>
      </x:c>
      <x:c r="O4" s="82" t="n">
        <x:f>Inputs!K18</x:f>
        <x:v>-0.15</x:v>
      </x:c>
      <x:c r="P4" s="82" t="n">
        <x:f>Inputs!L18</x:f>
        <x:v>0.005</x:v>
      </x:c>
      <x:c r="Q4" s="81" t="n">
        <x:v>1</x:v>
      </x:c>
      <x:c r="R4" s="81" t="n">
        <x:v>1</x:v>
      </x:c>
      <x:c r="S4" s="81" t="n">
        <x:v>1</x:v>
      </x:c>
      <x:c r="T4" s="81" t="n">
        <x:v>1</x:v>
      </x:c>
      <x:c r="U4" s="81" t="n">
        <x:v>1</x:v>
      </x:c>
      <x:c r="V4" s="81" t="n">
        <x:v>1</x:v>
      </x:c>
      <x:c r="W4" s="60" t="n">
        <x:f>Inputs!D18</x:f>
        <x:v>1000</x:v>
      </x:c>
      <x:c r="X4" s="60" t="n">
        <x:f>Inputs!D18</x:f>
        <x:v>1000</x:v>
      </x:c>
      <x:c r="Y4" s="82" t="n">
        <x:f>W4*Inputs!$B$14*I4/1000000</x:f>
        <x:v>2.9014523999999997</x:v>
      </x:c>
      <x:c r="Z4" s="82" t="n">
        <x:f>X4*Inputs!$B$14*I4/1000000</x:f>
        <x:v>2.9014523999999997</x:v>
      </x:c>
      <x:c r="AA4" s="82" t="n">
        <x:f>Y4-Z4</x:f>
        <x:v>0</x:v>
      </x:c>
      <x:c r="AB4" s="61" t="n">
        <x:f>IF(Y4=0,0,AA4/Y4)</x:f>
        <x:v>0</x:v>
      </x:c>
      <x:c r="AC4" s="83" t="n">
        <x:f>X4*Inputs!$B$14*J4/1000000</x:f>
        <x:v>0</x:v>
      </x:c>
      <x:c r="AD4" s="82" t="n">
        <x:f>N4+O4*(1+N4)</x:f>
        <x:v>-0.32</x:v>
      </x:c>
    </x:row>
    <x:row r="5">
      <x:c r="A5" s="14" t="n">
        <x:v>1</x:v>
      </x:c>
      <x:c r="B5" s="14" t="str">
        <x:f>Inputs!B18</x:f>
        <x:v>Road transport</x:v>
      </x:c>
      <x:c r="C5" s="14" t="str">
        <x:f>Inputs!C18</x:f>
        <x:v>Gasoline</x:v>
      </x:c>
      <x:c r="D5" s="78" t="n">
        <x:v>2026</x:v>
      </x:c>
      <x:c r="E5" s="60" t="n">
        <x:f>Scenario!B5</x:f>
        <x:v>103</x:v>
      </x:c>
      <x:c r="F5" s="79" t="n">
        <x:f>Scenario!D5</x:f>
        <x:v>15</x:v>
      </x:c>
      <x:c r="G5" s="79" t="n">
        <x:f>Inputs!E18*(1+Inputs!F18)^(D5-Inputs!$B$5)</x:f>
        <x:v>24.240000000000002</x:v>
      </x:c>
      <x:c r="H5" s="80" t="n">
        <x:f>Inputs!H18</x:f>
        <x:v>1</x:v>
      </x:c>
      <x:c r="I5" s="81" t="n">
        <x:f>Inputs!G18</x:f>
        <x:v>0.0693</x:v>
      </x:c>
      <x:c r="J5" s="79" t="n">
        <x:f>F5*I5*H5</x:f>
        <x:v>1.0395</x:v>
      </x:c>
      <x:c r="K5" s="79" t="n">
        <x:f>G5</x:f>
        <x:v>24.240000000000002</x:v>
      </x:c>
      <x:c r="L5" s="79" t="n">
        <x:f>G5+J5</x:f>
        <x:v>25.279500000000002</x:v>
      </x:c>
      <x:c r="M5" s="82" t="n">
        <x:f>Inputs!I18</x:f>
        <x:v>0.8</x:v>
      </x:c>
      <x:c r="N5" s="82" t="n">
        <x:f>Inputs!J18</x:f>
        <x:v>-0.2</x:v>
      </x:c>
      <x:c r="O5" s="82" t="n">
        <x:f>Inputs!K18</x:f>
        <x:v>-0.15</x:v>
      </x:c>
      <x:c r="P5" s="82" t="n">
        <x:f>Inputs!L18</x:f>
        <x:v>0.005</x:v>
      </x:c>
      <x:c r="Q5" s="81" t="n">
        <x:f>(E5/E4)^M5</x:f>
        <x:v>1.0239288500120924</x:v>
      </x:c>
      <x:c r="R5" s="81" t="n">
        <x:f>(1/(1+P5))^(1+N5)</x:f>
        <x:v>0.9960179163970941</x:v>
      </x:c>
      <x:c r="S5" s="81" t="n">
        <x:f>(K5/K4)^N5</x:f>
        <x:v>0.9980119126981372</x:v>
      </x:c>
      <x:c r="T5" s="81" t="n">
        <x:f>(K5/K4)^(O5*(1+N5))</x:f>
        <x:v>0.9988066728793801</x:v>
      </x:c>
      <x:c r="U5" s="81" t="n">
        <x:f>(L5/L4)^N5</x:f>
        <x:v>0.9896657767940981</x:v>
      </x:c>
      <x:c r="V5" s="81" t="n">
        <x:f>(L5/L4)^(O5*(1+N5))</x:f>
        <x:v>0.9937865883455056</x:v>
      </x:c>
      <x:c r="W5" s="60" t="n">
        <x:f>W4*Q5*R5*S5*T5</x:f>
        <x:v>1016.6093290564304</x:v>
      </x:c>
      <x:c r="X5" s="60" t="n">
        <x:f>X4*Q5*R5*U5*V5</x:f>
        <x:v>1003.0408352915074</x:v>
      </x:c>
      <x:c r="Y5" s="82" t="n">
        <x:f>W5*Inputs!$B$14*I5/1000000</x:f>
        <x:v>2.9496435776531698</x:v>
      </x:c>
      <x:c r="Z5" s="82" t="n">
        <x:f>X5*Inputs!$B$14*I5/1000000</x:f>
        <x:v>2.910275238854549</x:v>
      </x:c>
      <x:c r="AA5" s="82" t="n">
        <x:f>Y5-Z5</x:f>
        <x:v>0.03936833879862078</x:v>
      </x:c>
      <x:c r="AB5" s="61" t="n">
        <x:f>IF(Y5=0,0,AA5/Y5)</x:f>
        <x:v>0.013346812169741365</x:v>
      </x:c>
      <x:c r="AC5" s="83" t="n">
        <x:f>X5*Inputs!$B$14*J5/1000000</x:f>
        <x:v>43.65412858281824</x:v>
      </x:c>
      <x:c r="AD5" s="82" t="n">
        <x:f>N5+O5*(1+N5)</x:f>
        <x:v>-0.32</x:v>
      </x:c>
    </x:row>
    <x:row r="6">
      <x:c r="A6" s="14" t="n">
        <x:v>1</x:v>
      </x:c>
      <x:c r="B6" s="14" t="str">
        <x:f>Inputs!B18</x:f>
        <x:v>Road transport</x:v>
      </x:c>
      <x:c r="C6" s="14" t="str">
        <x:f>Inputs!C18</x:f>
        <x:v>Gasoline</x:v>
      </x:c>
      <x:c r="D6" s="78" t="n">
        <x:v>2027</x:v>
      </x:c>
      <x:c r="E6" s="60" t="n">
        <x:f>Scenario!B6</x:f>
        <x:v>106.09</x:v>
      </x:c>
      <x:c r="F6" s="79" t="n">
        <x:f>Scenario!D6</x:f>
        <x:v>30</x:v>
      </x:c>
      <x:c r="G6" s="79" t="n">
        <x:f>Inputs!E18*(1+Inputs!F18)^(D6-Inputs!$B$5)</x:f>
        <x:v>24.4824</x:v>
      </x:c>
      <x:c r="H6" s="80" t="n">
        <x:f>Inputs!H18</x:f>
        <x:v>1</x:v>
      </x:c>
      <x:c r="I6" s="81" t="n">
        <x:f>Inputs!G18</x:f>
        <x:v>0.0693</x:v>
      </x:c>
      <x:c r="J6" s="79" t="n">
        <x:f>F6*I6*H6</x:f>
        <x:v>2.079</x:v>
      </x:c>
      <x:c r="K6" s="79" t="n">
        <x:f>G6</x:f>
        <x:v>24.4824</x:v>
      </x:c>
      <x:c r="L6" s="79" t="n">
        <x:f>G6+J6</x:f>
        <x:v>26.5614</x:v>
      </x:c>
      <x:c r="M6" s="82" t="n">
        <x:f>Inputs!I18</x:f>
        <x:v>0.8</x:v>
      </x:c>
      <x:c r="N6" s="82" t="n">
        <x:f>Inputs!J18</x:f>
        <x:v>-0.2</x:v>
      </x:c>
      <x:c r="O6" s="82" t="n">
        <x:f>Inputs!K18</x:f>
        <x:v>-0.15</x:v>
      </x:c>
      <x:c r="P6" s="82" t="n">
        <x:f>Inputs!L18</x:f>
        <x:v>0.005</x:v>
      </x:c>
      <x:c r="Q6" s="81" t="n">
        <x:f>(E6/E5)^M6</x:f>
        <x:v>1.0239288500120924</x:v>
      </x:c>
      <x:c r="R6" s="81" t="n">
        <x:f>(1/(1+P6))^(1+N6)</x:f>
        <x:v>0.9960179163970941</x:v>
      </x:c>
      <x:c r="S6" s="81" t="n">
        <x:f>(K6/K5)^N6</x:f>
        <x:v>0.9980119126981373</x:v>
      </x:c>
      <x:c r="T6" s="81" t="n">
        <x:f>(K6/K5)^(O6*(1+N6))</x:f>
        <x:v>0.9988066728793801</x:v>
      </x:c>
      <x:c r="U6" s="81" t="n">
        <x:f>(L6/L5)^N6</x:f>
        <x:v>0.9901557265363803</x:v>
      </x:c>
      <x:c r="V6" s="81" t="n">
        <x:f>(L6/L5)^(O6*(1+N6))</x:f>
        <x:v>0.9940817530134191</x:v>
      </x:c>
      <x:c r="W6" s="60" t="n">
        <x:f>W5*Q6*R6*S6*T6</x:f>
        <x:v>1033.4945279245658</x:v>
      </x:c>
      <x:c r="X6" s="60" t="n">
        <x:f>X5*Q6*R6*U6*V6</x:f>
        <x:v>1006.887965644137</x:v>
      </x:c>
      <x:c r="Y6" s="82" t="n">
        <x:f>W6*Inputs!$B$14*I6/1000000</x:f>
        <x:v>2.9986351784335983</x:v>
      </x:c>
      <x:c r="Z6" s="82" t="n">
        <x:f>X6*Inputs!$B$14*I6/1000000</x:f>
        <x:v>2.9214375044492993</x:v>
      </x:c>
      <x:c r="AA6" s="82" t="n">
        <x:f>Y6-Z6</x:f>
        <x:v>0.077197673984299</x:v>
      </x:c>
      <x:c r="AB6" s="61" t="n">
        <x:f>IF(Y6=0,0,AA6/Y6)</x:f>
        <x:v>0.025744270106450518</x:v>
      </x:c>
      <x:c r="AC6" s="83" t="n">
        <x:f>X6*Inputs!$B$14*J6/1000000</x:f>
        <x:v>87.64312513347897</x:v>
      </x:c>
      <x:c r="AD6" s="82" t="n">
        <x:f>N6+O6*(1+N6)</x:f>
        <x:v>-0.32</x:v>
      </x:c>
    </x:row>
    <x:row r="7">
      <x:c r="A7" s="14" t="n">
        <x:v>1</x:v>
      </x:c>
      <x:c r="B7" s="14" t="str">
        <x:f>Inputs!B18</x:f>
        <x:v>Road transport</x:v>
      </x:c>
      <x:c r="C7" s="14" t="str">
        <x:f>Inputs!C18</x:f>
        <x:v>Gasoline</x:v>
      </x:c>
      <x:c r="D7" s="78" t="n">
        <x:v>2028</x:v>
      </x:c>
      <x:c r="E7" s="60" t="n">
        <x:f>Scenario!B7</x:f>
        <x:v>109.2727</x:v>
      </x:c>
      <x:c r="F7" s="79" t="n">
        <x:f>Scenario!D7</x:f>
        <x:v>45</x:v>
      </x:c>
      <x:c r="G7" s="79" t="n">
        <x:f>Inputs!E18*(1+Inputs!F18)^(D7-Inputs!$B$5)</x:f>
        <x:v>24.727224</x:v>
      </x:c>
      <x:c r="H7" s="80" t="n">
        <x:f>Inputs!H18</x:f>
        <x:v>1</x:v>
      </x:c>
      <x:c r="I7" s="81" t="n">
        <x:f>Inputs!G18</x:f>
        <x:v>0.0693</x:v>
      </x:c>
      <x:c r="J7" s="79" t="n">
        <x:f>F7*I7*H7</x:f>
        <x:v>3.1185</x:v>
      </x:c>
      <x:c r="K7" s="79" t="n">
        <x:f>G7</x:f>
        <x:v>24.727224</x:v>
      </x:c>
      <x:c r="L7" s="79" t="n">
        <x:f>G7+J7</x:f>
        <x:v>27.845724</x:v>
      </x:c>
      <x:c r="M7" s="82" t="n">
        <x:f>Inputs!I18</x:f>
        <x:v>0.8</x:v>
      </x:c>
      <x:c r="N7" s="82" t="n">
        <x:f>Inputs!J18</x:f>
        <x:v>-0.2</x:v>
      </x:c>
      <x:c r="O7" s="82" t="n">
        <x:f>Inputs!K18</x:f>
        <x:v>-0.15</x:v>
      </x:c>
      <x:c r="P7" s="82" t="n">
        <x:f>Inputs!L18</x:f>
        <x:v>0.005</x:v>
      </x:c>
      <x:c r="Q7" s="81" t="n">
        <x:f>(E7/E6)^M7</x:f>
        <x:v>1.0239288500120924</x:v>
      </x:c>
      <x:c r="R7" s="81" t="n">
        <x:f>(1/(1+P7))^(1+N7)</x:f>
        <x:v>0.9960179163970941</x:v>
      </x:c>
      <x:c r="S7" s="81" t="n">
        <x:f>(K7/K6)^N7</x:f>
        <x:v>0.9980119126981372</x:v>
      </x:c>
      <x:c r="T7" s="81" t="n">
        <x:f>(K7/K6)^(O7*(1+N7))</x:f>
        <x:v>0.9988066728793801</x:v>
      </x:c>
      <x:c r="U7" s="81" t="n">
        <x:f>(L7/L6)^N7</x:f>
        <x:v>0.990600378492767</x:v>
      </x:c>
      <x:c r="V7" s="81" t="n">
        <x:f>(L7/L6)^(O7*(1+N7))</x:f>
        <x:v>0.9943495779784595</x:v>
      </x:c>
      <x:c r="W7" s="60" t="n">
        <x:f>W6*Q7*R7*S7*T7</x:f>
        <x:v>1050.6601786168849</x:v>
      </x:c>
      <x:c r="X7" s="60" t="n">
        <x:f>X6*Q7*R7*U7*V7</x:f>
        <x:v>1011.4761897209313</x:v>
      </x:c>
      <x:c r="Y7" s="82" t="n">
        <x:f>W7*Inputs!$B$14*I7/1000000</x:f>
        <x:v>3.048440496832389</x:v>
      </x:c>
      <x:c r="Z7" s="82" t="n">
        <x:f>X7*Inputs!$B$14*I7/1000000</x:f>
        <x:v>2.9347500182086517</x:v>
      </x:c>
      <x:c r="AA7" s="82" t="n">
        <x:f>Y7-Z7</x:f>
        <x:v>0.11369047862373716</x:v>
      </x:c>
      <x:c r="AB7" s="61" t="n">
        <x:f>IF(Y7=0,0,AA7/Y7)</x:f>
        <x:v>0.037294635975959535</x:v>
      </x:c>
      <x:c r="AC7" s="83" t="n">
        <x:f>X7*Inputs!$B$14*J7/1000000</x:f>
        <x:v>132.06375081938933</x:v>
      </x:c>
      <x:c r="AD7" s="82" t="n">
        <x:f>N7+O7*(1+N7)</x:f>
        <x:v>-0.32</x:v>
      </x:c>
    </x:row>
    <x:row r="8">
      <x:c r="A8" s="14" t="n">
        <x:v>1</x:v>
      </x:c>
      <x:c r="B8" s="14" t="str">
        <x:f>Inputs!B18</x:f>
        <x:v>Road transport</x:v>
      </x:c>
      <x:c r="C8" s="14" t="str">
        <x:f>Inputs!C18</x:f>
        <x:v>Gasoline</x:v>
      </x:c>
      <x:c r="D8" s="78" t="n">
        <x:v>2029</x:v>
      </x:c>
      <x:c r="E8" s="60" t="n">
        <x:f>Scenario!B8</x:f>
        <x:v>112.550881</x:v>
      </x:c>
      <x:c r="F8" s="79" t="n">
        <x:f>Scenario!D8</x:f>
        <x:v>60</x:v>
      </x:c>
      <x:c r="G8" s="79" t="n">
        <x:f>Inputs!E18*(1+Inputs!F18)^(D8-Inputs!$B$5)</x:f>
        <x:v>24.97449624</x:v>
      </x:c>
      <x:c r="H8" s="80" t="n">
        <x:f>Inputs!H18</x:f>
        <x:v>1</x:v>
      </x:c>
      <x:c r="I8" s="81" t="n">
        <x:f>Inputs!G18</x:f>
        <x:v>0.0693</x:v>
      </x:c>
      <x:c r="J8" s="79" t="n">
        <x:f>F8*I8*H8</x:f>
        <x:v>4.158</x:v>
      </x:c>
      <x:c r="K8" s="79" t="n">
        <x:f>G8</x:f>
        <x:v>24.97449624</x:v>
      </x:c>
      <x:c r="L8" s="79" t="n">
        <x:f>G8+J8</x:f>
        <x:v>29.132496240000002</x:v>
      </x:c>
      <x:c r="M8" s="82" t="n">
        <x:f>Inputs!I18</x:f>
        <x:v>0.8</x:v>
      </x:c>
      <x:c r="N8" s="82" t="n">
        <x:f>Inputs!J18</x:f>
        <x:v>-0.2</x:v>
      </x:c>
      <x:c r="O8" s="82" t="n">
        <x:f>Inputs!K18</x:f>
        <x:v>-0.15</x:v>
      </x:c>
      <x:c r="P8" s="82" t="n">
        <x:f>Inputs!L18</x:f>
        <x:v>0.005</x:v>
      </x:c>
      <x:c r="Q8" s="81" t="n">
        <x:f>(E8/E7)^M8</x:f>
        <x:v>1.0239288500120924</x:v>
      </x:c>
      <x:c r="R8" s="81" t="n">
        <x:f>(1/(1+P8))^(1+N8)</x:f>
        <x:v>0.9960179163970941</x:v>
      </x:c>
      <x:c r="S8" s="81" t="n">
        <x:f>(K8/K7)^N8</x:f>
        <x:v>0.9980119126981372</x:v>
      </x:c>
      <x:c r="T8" s="81" t="n">
        <x:f>(K8/K7)^(O8*(1+N8))</x:f>
        <x:v>0.9988066728793801</x:v>
      </x:c>
      <x:c r="U8" s="81" t="n">
        <x:f>(L8/L7)^N8</x:f>
        <x:v>0.9910057241597665</x:v>
      </x:c>
      <x:c r="V8" s="81" t="n">
        <x:f>(L8/L7)^(O8*(1+N8))</x:f>
        <x:v>0.9945936858887148</x:v>
      </x:c>
      <x:c r="W8" s="60" t="n">
        <x:f>W7*Q8*R8*S8*T8</x:f>
        <x:v>1068.1109392500205</x:v>
      </x:c>
      <x:c r="X8" s="60" t="n">
        <x:f>X7*Q8*R8*U8*V8</x:f>
        <x:v>1016.7506414838709</x:v>
      </x:c>
      <x:c r="Y8" s="82" t="n">
        <x:f>W8*Inputs!$B$14*I8/1000000</x:f>
        <x:v>3.0990730481532256</x:v>
      </x:c>
      <x:c r="Z8" s="82" t="n">
        <x:f>X8*Inputs!$B$14*I8/1000000</x:f>
        <x:v>2.950053588934917</x:v>
      </x:c>
      <x:c r="AA8" s="82" t="n">
        <x:f>Y8-Z8</x:f>
        <x:v>0.14901945921830873</x:v>
      </x:c>
      <x:c r="AB8" s="61" t="n">
        <x:f>IF(Y8=0,0,AA8/Y8)</x:f>
        <x:v>0.04808517156674032</x:v>
      </x:c>
      <x:c r="AC8" s="83" t="n">
        <x:f>X8*Inputs!$B$14*J8/1000000</x:f>
        <x:v>177.00321533609502</x:v>
      </x:c>
      <x:c r="AD8" s="82" t="n">
        <x:f>N8+O8*(1+N8)</x:f>
        <x:v>-0.32</x:v>
      </x:c>
    </x:row>
    <x:row r="9">
      <x:c r="A9" s="14" t="n">
        <x:v>1</x:v>
      </x:c>
      <x:c r="B9" s="14" t="str">
        <x:f>Inputs!B18</x:f>
        <x:v>Road transport</x:v>
      </x:c>
      <x:c r="C9" s="14" t="str">
        <x:f>Inputs!C18</x:f>
        <x:v>Gasoline</x:v>
      </x:c>
      <x:c r="D9" s="78" t="n">
        <x:v>2030</x:v>
      </x:c>
      <x:c r="E9" s="60" t="n">
        <x:f>Scenario!B9</x:f>
        <x:v>115.92740743</x:v>
      </x:c>
      <x:c r="F9" s="79" t="n">
        <x:f>Scenario!D9</x:f>
        <x:v>75</x:v>
      </x:c>
      <x:c r="G9" s="79" t="n">
        <x:f>Inputs!E18*(1+Inputs!F18)^(D9-Inputs!$B$5)</x:f>
        <x:v>25.2242412024</x:v>
      </x:c>
      <x:c r="H9" s="80" t="n">
        <x:f>Inputs!H18</x:f>
        <x:v>1</x:v>
      </x:c>
      <x:c r="I9" s="81" t="n">
        <x:f>Inputs!G18</x:f>
        <x:v>0.0693</x:v>
      </x:c>
      <x:c r="J9" s="79" t="n">
        <x:f>F9*I9*H9</x:f>
        <x:v>5.1975</x:v>
      </x:c>
      <x:c r="K9" s="79" t="n">
        <x:f>G9</x:f>
        <x:v>25.2242412024</x:v>
      </x:c>
      <x:c r="L9" s="79" t="n">
        <x:f>G9+J9</x:f>
        <x:v>30.4217412024</x:v>
      </x:c>
      <x:c r="M9" s="82" t="n">
        <x:f>Inputs!I18</x:f>
        <x:v>0.8</x:v>
      </x:c>
      <x:c r="N9" s="82" t="n">
        <x:f>Inputs!J18</x:f>
        <x:v>-0.2</x:v>
      </x:c>
      <x:c r="O9" s="82" t="n">
        <x:f>Inputs!K18</x:f>
        <x:v>-0.15</x:v>
      </x:c>
      <x:c r="P9" s="82" t="n">
        <x:f>Inputs!L18</x:f>
        <x:v>0.005</x:v>
      </x:c>
      <x:c r="Q9" s="81" t="n">
        <x:f>(E9/E8)^M9</x:f>
        <x:v>1.0239288500120924</x:v>
      </x:c>
      <x:c r="R9" s="81" t="n">
        <x:f>(1/(1+P9))^(1+N9)</x:f>
        <x:v>0.9960179163970941</x:v>
      </x:c>
      <x:c r="S9" s="81" t="n">
        <x:f>(K9/K8)^N9</x:f>
        <x:v>0.9980119126981372</x:v>
      </x:c>
      <x:c r="T9" s="81" t="n">
        <x:f>(K9/K8)^(O9*(1+N9))</x:f>
        <x:v>0.9988066728793801</x:v>
      </x:c>
      <x:c r="U9" s="81" t="n">
        <x:f>(L9/L8)^N9</x:f>
        <x:v>0.9913767427123453</x:v>
      </x:c>
      <x:c r="V9" s="81" t="n">
        <x:f>(L9/L8)^(O9*(1+N9))</x:f>
        <x:v>0.9948170862636734</x:v>
      </x:c>
      <x:c r="W9" s="60" t="n">
        <x:f>W8*Q9*R9*S9*T9</x:f>
        <x:v>1085.851545308797</x:v>
      </x:c>
      <x:c r="X9" s="60" t="n">
        <x:f>X8*Q9*R9*U9*V9</x:f>
        <x:v>1022.6648935059721</x:v>
      </x:c>
      <x:c r="Y9" s="82" t="n">
        <x:f>W9*Inputs!$B$14*I9/1000000</x:f>
        <x:v>3.150546572179918</x:v>
      </x:c>
      <x:c r="Z9" s="82" t="n">
        <x:f>X9*Inputs!$B$14*I9/1000000</x:f>
        <x:v>2.967213509658648</x:v>
      </x:c>
      <x:c r="AA9" s="82" t="n">
        <x:f>Y9-Z9</x:f>
        <x:v>0.18333306252127013</x:v>
      </x:c>
      <x:c r="AB9" s="61" t="n">
        <x:f>IF(Y9=0,0,AA9/Y9)</x:f>
        <x:v>0.05819087524055193</x:v>
      </x:c>
      <x:c r="AC9" s="83" t="n">
        <x:f>X9*Inputs!$B$14*J9/1000000</x:f>
        <x:v>222.54101322439854</x:v>
      </x:c>
      <x:c r="AD9" s="82" t="n">
        <x:f>N9+O9*(1+N9)</x:f>
        <x:v>-0.32</x:v>
      </x:c>
    </x:row>
    <x:row r="10">
      <x:c r="A10" s="14" t="n">
        <x:v>1</x:v>
      </x:c>
      <x:c r="B10" s="14" t="str">
        <x:f>Inputs!B18</x:f>
        <x:v>Road transport</x:v>
      </x:c>
      <x:c r="C10" s="14" t="str">
        <x:f>Inputs!C18</x:f>
        <x:v>Gasoline</x:v>
      </x:c>
      <x:c r="D10" s="78" t="n">
        <x:v>2031</x:v>
      </x:c>
      <x:c r="E10" s="60" t="n">
        <x:f>Scenario!B10</x:f>
        <x:v>119.4052296529</x:v>
      </x:c>
      <x:c r="F10" s="79" t="n">
        <x:f>Scenario!D10</x:f>
        <x:v>90</x:v>
      </x:c>
      <x:c r="G10" s="79" t="n">
        <x:f>Inputs!E18*(1+Inputs!F18)^(D10-Inputs!$B$5)</x:f>
        <x:v>25.476483614424005</x:v>
      </x:c>
      <x:c r="H10" s="80" t="n">
        <x:f>Inputs!H18</x:f>
        <x:v>1</x:v>
      </x:c>
      <x:c r="I10" s="81" t="n">
        <x:f>Inputs!G18</x:f>
        <x:v>0.0693</x:v>
      </x:c>
      <x:c r="J10" s="79" t="n">
        <x:f>F10*I10*H10</x:f>
        <x:v>6.237</x:v>
      </x:c>
      <x:c r="K10" s="79" t="n">
        <x:f>G10</x:f>
        <x:v>25.476483614424005</x:v>
      </x:c>
      <x:c r="L10" s="79" t="n">
        <x:f>G10+J10</x:f>
        <x:v>31.713483614424007</x:v>
      </x:c>
      <x:c r="M10" s="82" t="n">
        <x:f>Inputs!I18</x:f>
        <x:v>0.8</x:v>
      </x:c>
      <x:c r="N10" s="82" t="n">
        <x:f>Inputs!J18</x:f>
        <x:v>-0.2</x:v>
      </x:c>
      <x:c r="O10" s="82" t="n">
        <x:f>Inputs!K18</x:f>
        <x:v>-0.15</x:v>
      </x:c>
      <x:c r="P10" s="82" t="n">
        <x:f>Inputs!L18</x:f>
        <x:v>0.005</x:v>
      </x:c>
      <x:c r="Q10" s="81" t="n">
        <x:f>(E10/E9)^M10</x:f>
        <x:v>1.0239288500120924</x:v>
      </x:c>
      <x:c r="R10" s="81" t="n">
        <x:f>(1/(1+P10))^(1+N10)</x:f>
        <x:v>0.9960179163970941</x:v>
      </x:c>
      <x:c r="S10" s="81" t="n">
        <x:f>(K10/K9)^N10</x:f>
        <x:v>0.9980119126981372</x:v>
      </x:c>
      <x:c r="T10" s="81" t="n">
        <x:f>(K10/K9)^(O10*(1+N10))</x:f>
        <x:v>0.9988066728793801</x:v>
      </x:c>
      <x:c r="U10" s="81" t="n">
        <x:f>(L10/L9)^N10</x:f>
        <x:v>0.9917176061675574</x:v>
      </x:c>
      <x:c r="V10" s="81" t="n">
        <x:f>(L10/L9)^(O10*(1+N10))</x:f>
        <x:v>0.9950222999590772</x:v>
      </x:c>
      <x:c r="W10" s="60" t="n">
        <x:f>W9*Q10*R10*S10*T10</x:f>
        <x:v>1103.8868109312643</x:v>
      </x:c>
      <x:c r="X10" s="60" t="n">
        <x:f>X9*Q10*R10*U10*V10</x:f>
        <x:v>1029.1794724536862</x:v>
      </x:c>
      <x:c r="Y10" s="82" t="n">
        <x:f>W10*Inputs!$B$14*I10/1000000</x:f>
        <x:v>3.202875036904863</x:v>
      </x:c>
      <x:c r="Z10" s="82" t="n">
        <x:f>X10*Inputs!$B$14*I10/1000000</x:f>
        <x:v>2.9861152503814816</x:v>
      </x:c>
      <x:c r="AA10" s="82" t="n">
        <x:f>Y10-Z10</x:f>
        <x:v>0.21675978652338124</x:v>
      </x:c>
      <x:c r="AB10" s="61" t="n">
        <x:f>IF(Y10=0,0,AA10/Y10)</x:f>
        <x:v>0.06767662928643313</x:v>
      </x:c>
      <x:c r="AC10" s="83" t="n">
        <x:f>X10*Inputs!$B$14*J10/1000000</x:f>
        <x:v>268.75037253433334</x:v>
      </x:c>
      <x:c r="AD10" s="82" t="n">
        <x:f>N10+O10*(1+N10)</x:f>
        <x:v>-0.32</x:v>
      </x:c>
    </x:row>
    <x:row r="11">
      <x:c r="A11" s="14" t="n">
        <x:v>1</x:v>
      </x:c>
      <x:c r="B11" s="14" t="str">
        <x:f>Inputs!B18</x:f>
        <x:v>Road transport</x:v>
      </x:c>
      <x:c r="C11" s="14" t="str">
        <x:f>Inputs!C18</x:f>
        <x:v>Gasoline</x:v>
      </x:c>
      <x:c r="D11" s="78" t="n">
        <x:v>2032</x:v>
      </x:c>
      <x:c r="E11" s="60" t="n">
        <x:f>Scenario!B11</x:f>
        <x:v>122.987386542487</x:v>
      </x:c>
      <x:c r="F11" s="79" t="n">
        <x:f>Scenario!D11</x:f>
        <x:v>105</x:v>
      </x:c>
      <x:c r="G11" s="79" t="n">
        <x:f>Inputs!E18*(1+Inputs!F18)^(D11-Inputs!$B$5)</x:f>
        <x:v>25.731248450568238</x:v>
      </x:c>
      <x:c r="H11" s="80" t="n">
        <x:f>Inputs!H18</x:f>
        <x:v>1</x:v>
      </x:c>
      <x:c r="I11" s="81" t="n">
        <x:f>Inputs!G18</x:f>
        <x:v>0.0693</x:v>
      </x:c>
      <x:c r="J11" s="79" t="n">
        <x:f>F11*I11*H11</x:f>
        <x:v>7.2765</x:v>
      </x:c>
      <x:c r="K11" s="79" t="n">
        <x:f>G11</x:f>
        <x:v>25.731248450568238</x:v>
      </x:c>
      <x:c r="L11" s="79" t="n">
        <x:f>G11+J11</x:f>
        <x:v>33.007748450568236</x:v>
      </x:c>
      <x:c r="M11" s="82" t="n">
        <x:f>Inputs!I18</x:f>
        <x:v>0.8</x:v>
      </x:c>
      <x:c r="N11" s="82" t="n">
        <x:f>Inputs!J18</x:f>
        <x:v>-0.2</x:v>
      </x:c>
      <x:c r="O11" s="82" t="n">
        <x:f>Inputs!K18</x:f>
        <x:v>-0.15</x:v>
      </x:c>
      <x:c r="P11" s="82" t="n">
        <x:f>Inputs!L18</x:f>
        <x:v>0.005</x:v>
      </x:c>
      <x:c r="Q11" s="81" t="n">
        <x:f>(E11/E10)^M11</x:f>
        <x:v>1.0239288500120924</x:v>
      </x:c>
      <x:c r="R11" s="81" t="n">
        <x:f>(1/(1+P11))^(1+N11)</x:f>
        <x:v>0.9960179163970941</x:v>
      </x:c>
      <x:c r="S11" s="81" t="n">
        <x:f>(K11/K10)^N11</x:f>
        <x:v>0.9980119126981373</x:v>
      </x:c>
      <x:c r="T11" s="81" t="n">
        <x:f>(K11/K10)^(O11*(1+N11))</x:f>
        <x:v>0.9988066728793801</x:v>
      </x:c>
      <x:c r="U11" s="81" t="n">
        <x:f>(L11/L10)^N11</x:f>
        <x:v>0.9920318365901032</x:v>
      </x:c>
      <x:c r="V11" s="81" t="n">
        <x:f>(L11/L10)^(O11*(1+N11))</x:f>
        <x:v>0.9952114544914472</x:v>
      </x:c>
      <x:c r="W11" s="60" t="n">
        <x:f>W10*Q11*R11*S11*T11</x:f>
        <x:v>1122.2216302150753</x:v>
      </x:c>
      <x:c r="X11" s="60" t="n">
        <x:f>X10*Q11*R11*U11*V11</x:f>
        <x:v>1036.2606848235241</x:v>
      </x:c>
      <x:c r="Y11" s="82" t="n">
        <x:f>W11*Inputs!$B$14*I11/1000000</x:f>
        <x:v>3.2560726423194426</x:v>
      </x:c>
      <x:c r="Z11" s="82" t="n">
        <x:f>X11*Inputs!$B$14*I11/1000000</x:f>
        <x:v>3.0066610510068577</x:v>
      </x:c>
      <x:c r="AA11" s="82" t="n">
        <x:f>Y11-Z11</x:f>
        <x:v>0.24941159131258495</x:v>
      </x:c>
      <x:c r="AB11" s="61" t="n">
        <x:f>IF(Y11=0,0,AA11/Y11)</x:f>
        <x:v>0.07659890263840004</x:v>
      </x:c>
      <x:c r="AC11" s="83" t="n">
        <x:f>X11*Inputs!$B$14*J11/1000000</x:f>
        <x:v>315.69941035572003</x:v>
      </x:c>
      <x:c r="AD11" s="82" t="n">
        <x:f>N11+O11*(1+N11)</x:f>
        <x:v>-0.32</x:v>
      </x:c>
    </x:row>
    <x:row r="12">
      <x:c r="A12" s="14" t="n">
        <x:v>1</x:v>
      </x:c>
      <x:c r="B12" s="14" t="str">
        <x:f>Inputs!B18</x:f>
        <x:v>Road transport</x:v>
      </x:c>
      <x:c r="C12" s="14" t="str">
        <x:f>Inputs!C18</x:f>
        <x:v>Gasoline</x:v>
      </x:c>
      <x:c r="D12" s="78" t="n">
        <x:v>2033</x:v>
      </x:c>
      <x:c r="E12" s="60" t="n">
        <x:f>Scenario!B12</x:f>
        <x:v>126.67700813876162</x:v>
      </x:c>
      <x:c r="F12" s="79" t="n">
        <x:f>Scenario!D12</x:f>
        <x:v>120</x:v>
      </x:c>
      <x:c r="G12" s="79" t="n">
        <x:f>Inputs!E18*(1+Inputs!F18)^(D12-Inputs!$B$5)</x:f>
        <x:v>25.988560935073927</x:v>
      </x:c>
      <x:c r="H12" s="80" t="n">
        <x:f>Inputs!H18</x:f>
        <x:v>1</x:v>
      </x:c>
      <x:c r="I12" s="81" t="n">
        <x:f>Inputs!G18</x:f>
        <x:v>0.0693</x:v>
      </x:c>
      <x:c r="J12" s="79" t="n">
        <x:f>F12*I12*H12</x:f>
        <x:v>8.316</x:v>
      </x:c>
      <x:c r="K12" s="79" t="n">
        <x:f>G12</x:f>
        <x:v>25.988560935073927</x:v>
      </x:c>
      <x:c r="L12" s="79" t="n">
        <x:f>G12+J12</x:f>
        <x:v>34.30456093507393</x:v>
      </x:c>
      <x:c r="M12" s="82" t="n">
        <x:f>Inputs!I18</x:f>
        <x:v>0.8</x:v>
      </x:c>
      <x:c r="N12" s="82" t="n">
        <x:f>Inputs!J18</x:f>
        <x:v>-0.2</x:v>
      </x:c>
      <x:c r="O12" s="82" t="n">
        <x:f>Inputs!K18</x:f>
        <x:v>-0.15</x:v>
      </x:c>
      <x:c r="P12" s="82" t="n">
        <x:f>Inputs!L18</x:f>
        <x:v>0.005</x:v>
      </x:c>
      <x:c r="Q12" s="81" t="n">
        <x:f>(E12/E11)^M12</x:f>
        <x:v>1.0239288500120924</x:v>
      </x:c>
      <x:c r="R12" s="81" t="n">
        <x:f>(1/(1+P12))^(1+N12)</x:f>
        <x:v>0.9960179163970941</x:v>
      </x:c>
      <x:c r="S12" s="81" t="n">
        <x:f>(K12/K11)^N12</x:f>
        <x:v>0.9980119126981372</x:v>
      </x:c>
      <x:c r="T12" s="81" t="n">
        <x:f>(K12/K11)^(O12*(1+N12))</x:f>
        <x:v>0.9988066728793801</x:v>
      </x:c>
      <x:c r="U12" s="81" t="n">
        <x:f>(L12/L11)^N12</x:f>
        <x:v>0.9923224279296969</x:v>
      </x:c>
      <x:c r="V12" s="81" t="n">
        <x:f>(L12/L11)^(O12*(1+N12))</x:f>
        <x:v>0.995386357883814</x:v>
      </x:c>
      <x:c r="W12" s="60" t="n">
        <x:f>W11*Q12*R12*S12*T12</x:f>
        <x:v>1140.8609785455612</x:v>
      </x:c>
      <x:c r="X12" s="60" t="n">
        <x:f>X11*Q12*R12*U12*V12</x:f>
        <x:v>1043.8796790667395</x:v>
      </x:c>
      <x:c r="Y12" s="82" t="n">
        <x:f>W12*Inputs!$B$14*I12/1000000</x:f>
        <x:v>3.3101538242673674</x:v>
      </x:c>
      <x:c r="Z12" s="82" t="n">
        <x:f>X12*Inputs!$B$14*I12/1000000</x:f>
        <x:v>3.0287672001394212</x:v>
      </x:c>
      <x:c r="AA12" s="82" t="n">
        <x:f>Y12-Z12</x:f>
        <x:v>0.28138662412794613</x:v>
      </x:c>
      <x:c r="AB12" s="61" t="n">
        <x:f>IF(Y12=0,0,AA12/Y12)</x:f>
        <x:v>0.08500711419059961</x:v>
      </x:c>
      <x:c r="AC12" s="83" t="n">
        <x:f>X12*Inputs!$B$14*J12/1000000</x:f>
        <x:v>363.45206401673056</x:v>
      </x:c>
      <x:c r="AD12" s="82" t="n">
        <x:f>N12+O12*(1+N12)</x:f>
        <x:v>-0.32</x:v>
      </x:c>
    </x:row>
    <x:row r="13">
      <x:c r="A13" s="14" t="n">
        <x:v>1</x:v>
      </x:c>
      <x:c r="B13" s="14" t="str">
        <x:f>Inputs!B18</x:f>
        <x:v>Road transport</x:v>
      </x:c>
      <x:c r="C13" s="14" t="str">
        <x:f>Inputs!C18</x:f>
        <x:v>Gasoline</x:v>
      </x:c>
      <x:c r="D13" s="78" t="n">
        <x:v>2034</x:v>
      </x:c>
      <x:c r="E13" s="60" t="n">
        <x:f>Scenario!B13</x:f>
        <x:v>130.47731838292447</x:v>
      </x:c>
      <x:c r="F13" s="79" t="n">
        <x:f>Scenario!D13</x:f>
        <x:v>135</x:v>
      </x:c>
      <x:c r="G13" s="79" t="n">
        <x:f>Inputs!E18*(1+Inputs!F18)^(D13-Inputs!$B$5)</x:f>
        <x:v>26.248446544424667</x:v>
      </x:c>
      <x:c r="H13" s="80" t="n">
        <x:f>Inputs!H18</x:f>
        <x:v>1</x:v>
      </x:c>
      <x:c r="I13" s="81" t="n">
        <x:f>Inputs!G18</x:f>
        <x:v>0.0693</x:v>
      </x:c>
      <x:c r="J13" s="79" t="n">
        <x:f>F13*I13*H13</x:f>
        <x:v>9.3555</x:v>
      </x:c>
      <x:c r="K13" s="79" t="n">
        <x:f>G13</x:f>
        <x:v>26.248446544424667</x:v>
      </x:c>
      <x:c r="L13" s="79" t="n">
        <x:f>G13+J13</x:f>
        <x:v>35.603946544424666</x:v>
      </x:c>
      <x:c r="M13" s="82" t="n">
        <x:f>Inputs!I18</x:f>
        <x:v>0.8</x:v>
      </x:c>
      <x:c r="N13" s="82" t="n">
        <x:f>Inputs!J18</x:f>
        <x:v>-0.2</x:v>
      </x:c>
      <x:c r="O13" s="82" t="n">
        <x:f>Inputs!K18</x:f>
        <x:v>-0.15</x:v>
      </x:c>
      <x:c r="P13" s="82" t="n">
        <x:f>Inputs!L18</x:f>
        <x:v>0.005</x:v>
      </x:c>
      <x:c r="Q13" s="81" t="n">
        <x:f>(E13/E12)^M13</x:f>
        <x:v>1.0239288500120924</x:v>
      </x:c>
      <x:c r="R13" s="81" t="n">
        <x:f>(1/(1+P13))^(1+N13)</x:f>
        <x:v>0.9960179163970941</x:v>
      </x:c>
      <x:c r="S13" s="81" t="n">
        <x:f>(K13/K12)^N13</x:f>
        <x:v>0.9980119126981372</x:v>
      </x:c>
      <x:c r="T13" s="81" t="n">
        <x:f>(K13/K12)^(O13*(1+N13))</x:f>
        <x:v>0.9988066728793801</x:v>
      </x:c>
      <x:c r="U13" s="81" t="n">
        <x:f>(L13/L12)^N13</x:f>
        <x:v>0.9925919414390436</x:v>
      </x:c>
      <x:c r="V13" s="81" t="n">
        <x:f>(L13/L12)^(O13*(1+N13))</x:f>
        <x:v>0.995548556475161</x:v>
      </x:c>
      <x:c r="W13" s="60" t="n">
        <x:f>W12*Q13*R13*S13*T13</x:f>
        <x:v>1159.8099139458657</x:v>
      </x:c>
      <x:c r="X13" s="60" t="n">
        <x:f>X12*Q13*R13*U13*V13</x:f>
        <x:v>1052.0116898368287</x:v>
      </x:c>
      <x:c r="Y13" s="82" t="n">
        <x:f>W13*Inputs!$B$14*I13/1000000</x:f>
        <x:v>3.365133258362025</x:v>
      </x:c>
      <x:c r="Z13" s="82" t="n">
        <x:f>X13*Inputs!$B$14*I13/1000000</x:f>
        <x:v>3.0523618423051224</x:v>
      </x:c>
      <x:c r="AA13" s="82" t="n">
        <x:f>Y13-Z13</x:f>
        <x:v>0.3127714160569024</x:v>
      </x:c>
      <x:c r="AB13" s="61" t="n">
        <x:f>IF(Y13=0,0,AA13/Y13)</x:f>
        <x:v>0.09294473414379541</x:v>
      </x:c>
      <x:c r="AC13" s="83" t="n">
        <x:f>X13*Inputs!$B$14*J13/1000000</x:f>
        <x:v>412.06884871119155</x:v>
      </x:c>
      <x:c r="AD13" s="82" t="n">
        <x:f>N13+O13*(1+N13)</x:f>
        <x:v>-0.32</x:v>
      </x:c>
    </x:row>
    <x:row r="14">
      <x:c r="A14" s="14" t="n">
        <x:v>1</x:v>
      </x:c>
      <x:c r="B14" s="14" t="str">
        <x:f>Inputs!B18</x:f>
        <x:v>Road transport</x:v>
      </x:c>
      <x:c r="C14" s="14" t="str">
        <x:f>Inputs!C18</x:f>
        <x:v>Gasoline</x:v>
      </x:c>
      <x:c r="D14" s="78" t="n">
        <x:v>2035</x:v>
      </x:c>
      <x:c r="E14" s="60" t="n">
        <x:f>Scenario!B14</x:f>
        <x:v>134.39163793441222</x:v>
      </x:c>
      <x:c r="F14" s="79" t="n">
        <x:f>Scenario!D14</x:f>
        <x:v>150</x:v>
      </x:c>
      <x:c r="G14" s="79" t="n">
        <x:f>Inputs!E18*(1+Inputs!F18)^(D14-Inputs!$B$5)</x:f>
        <x:v>26.510931009868912</x:v>
      </x:c>
      <x:c r="H14" s="80" t="n">
        <x:f>Inputs!H18</x:f>
        <x:v>1</x:v>
      </x:c>
      <x:c r="I14" s="81" t="n">
        <x:f>Inputs!G18</x:f>
        <x:v>0.0693</x:v>
      </x:c>
      <x:c r="J14" s="79" t="n">
        <x:f>F14*I14*H14</x:f>
        <x:v>10.395</x:v>
      </x:c>
      <x:c r="K14" s="79" t="n">
        <x:f>G14</x:f>
        <x:v>26.510931009868912</x:v>
      </x:c>
      <x:c r="L14" s="79" t="n">
        <x:f>G14+J14</x:f>
        <x:v>36.90593100986891</x:v>
      </x:c>
      <x:c r="M14" s="82" t="n">
        <x:f>Inputs!I18</x:f>
        <x:v>0.8</x:v>
      </x:c>
      <x:c r="N14" s="82" t="n">
        <x:f>Inputs!J18</x:f>
        <x:v>-0.2</x:v>
      </x:c>
      <x:c r="O14" s="82" t="n">
        <x:f>Inputs!K18</x:f>
        <x:v>-0.15</x:v>
      </x:c>
      <x:c r="P14" s="82" t="n">
        <x:f>Inputs!L18</x:f>
        <x:v>0.005</x:v>
      </x:c>
      <x:c r="Q14" s="81" t="n">
        <x:f>(E14/E13)^M14</x:f>
        <x:v>1.0239288500120924</x:v>
      </x:c>
      <x:c r="R14" s="81" t="n">
        <x:f>(1/(1+P14))^(1+N14)</x:f>
        <x:v>0.9960179163970941</x:v>
      </x:c>
      <x:c r="S14" s="81" t="n">
        <x:f>(K14/K13)^N14</x:f>
        <x:v>0.9980119126981372</x:v>
      </x:c>
      <x:c r="T14" s="81" t="n">
        <x:f>(K14/K13)^(O14*(1+N14))</x:f>
        <x:v>0.9988066728793801</x:v>
      </x:c>
      <x:c r="U14" s="81" t="n">
        <x:f>(L14/L13)^N14</x:f>
        <x:v>0.9928425811235627</x:v>
      </x:c>
      <x:c r="V14" s="81" t="n">
        <x:f>(L14/L13)^(O14*(1+N14))</x:f>
        <x:v>0.9956993806148977</x:v>
      </x:c>
      <x:c r="W14" s="60" t="n">
        <x:f>W13*Q14*R14*S14*T14</x:f>
        <x:v>1179.0735784495027</x:v>
      </x:c>
      <x:c r="X14" s="60" t="n">
        <x:f>X13*Q14*R14*U14*V14</x:f>
        <x:v>1060.6354239960708</x:v>
      </x:c>
      <x:c r="Y14" s="82" t="n">
        <x:f>W14*Inputs!$B$14*I14/1000000</x:f>
        <x:v>3.421025863968898</x:v>
      </x:c>
      <x:c r="Z14" s="82" t="n">
        <x:f>X14*Inputs!$B$14*I14/1000000</x:f>
        <x:v>3.0773831964784177</x:v>
      </x:c>
      <x:c r="AA14" s="82" t="n">
        <x:f>Y14-Z14</x:f>
        <x:v>0.3436426674904802</x:v>
      </x:c>
      <x:c r="AB14" s="61" t="n">
        <x:f>IF(Y14=0,0,AA14/Y14)</x:f>
        <x:v>0.10045018107282115</x:v>
      </x:c>
      <x:c r="AC14" s="83" t="n">
        <x:f>X14*Inputs!$B$14*J14/1000000</x:f>
        <x:v>461.6074794717626</x:v>
      </x:c>
      <x:c r="AD14" s="82" t="n">
        <x:f>N14+O14*(1+N14)</x:f>
        <x:v>-0.32</x:v>
      </x:c>
    </x:row>
    <x:row r="15">
      <x:c r="A15" s="14" t="n">
        <x:v>2</x:v>
      </x:c>
      <x:c r="B15" s="14" t="str">
        <x:f>Inputs!B19</x:f>
        <x:v>Road transport</x:v>
      </x:c>
      <x:c r="C15" s="14" t="str">
        <x:f>Inputs!C19</x:f>
        <x:v>Diesel</x:v>
      </x:c>
      <x:c r="D15" s="78" t="n">
        <x:v>2025</x:v>
      </x:c>
      <x:c r="E15" s="60" t="n">
        <x:f>Scenario!B4</x:f>
        <x:v>100</x:v>
      </x:c>
      <x:c r="F15" s="79" t="n">
        <x:f>Scenario!D4</x:f>
        <x:v>0</x:v>
      </x:c>
      <x:c r="G15" s="79" t="n">
        <x:f>Inputs!E19*(1+Inputs!F19)^(D15-Inputs!$B$5)</x:f>
        <x:v>22</x:v>
      </x:c>
      <x:c r="H15" s="80" t="n">
        <x:f>Inputs!H19</x:f>
        <x:v>1</x:v>
      </x:c>
      <x:c r="I15" s="81" t="n">
        <x:f>Inputs!G19</x:f>
        <x:v>0.0741</x:v>
      </x:c>
      <x:c r="J15" s="79" t="n">
        <x:f>F15*I15*H15</x:f>
        <x:v>0</x:v>
      </x:c>
      <x:c r="K15" s="79" t="n">
        <x:f>G15</x:f>
        <x:v>22</x:v>
      </x:c>
      <x:c r="L15" s="79" t="n">
        <x:f>G15+J15</x:f>
        <x:v>22</x:v>
      </x:c>
      <x:c r="M15" s="82" t="n">
        <x:f>Inputs!I19</x:f>
        <x:v>0.8</x:v>
      </x:c>
      <x:c r="N15" s="82" t="n">
        <x:f>Inputs!J19</x:f>
        <x:v>-0.18</x:v>
      </x:c>
      <x:c r="O15" s="82" t="n">
        <x:f>Inputs!K19</x:f>
        <x:v>-0.14</x:v>
      </x:c>
      <x:c r="P15" s="82" t="n">
        <x:f>Inputs!L19</x:f>
        <x:v>0.005</x:v>
      </x:c>
      <x:c r="Q15" s="81" t="n">
        <x:v>1</x:v>
      </x:c>
      <x:c r="R15" s="81" t="n">
        <x:v>1</x:v>
      </x:c>
      <x:c r="S15" s="81" t="n">
        <x:v>1</x:v>
      </x:c>
      <x:c r="T15" s="81" t="n">
        <x:v>1</x:v>
      </x:c>
      <x:c r="U15" s="81" t="n">
        <x:v>1</x:v>
      </x:c>
      <x:c r="V15" s="81" t="n">
        <x:v>1</x:v>
      </x:c>
      <x:c r="W15" s="60" t="n">
        <x:f>Inputs!D19</x:f>
        <x:v>700</x:v>
      </x:c>
      <x:c r="X15" s="60" t="n">
        <x:f>Inputs!D19</x:f>
        <x:v>700</x:v>
      </x:c>
      <x:c r="Y15" s="82" t="n">
        <x:f>W15*Inputs!$B$14*I15/1000000</x:f>
        <x:v>2.1716931600000002</x:v>
      </x:c>
      <x:c r="Z15" s="82" t="n">
        <x:f>X15*Inputs!$B$14*I15/1000000</x:f>
        <x:v>2.1716931600000002</x:v>
      </x:c>
      <x:c r="AA15" s="82" t="n">
        <x:f>Y15-Z15</x:f>
        <x:v>0</x:v>
      </x:c>
      <x:c r="AB15" s="61" t="n">
        <x:f>IF(Y15=0,0,AA15/Y15)</x:f>
        <x:v>0</x:v>
      </x:c>
      <x:c r="AC15" s="83" t="n">
        <x:f>X15*Inputs!$B$14*J15/1000000</x:f>
        <x:v>0</x:v>
      </x:c>
      <x:c r="AD15" s="82" t="n">
        <x:f>N15+O15*(1+N15)</x:f>
        <x:v>-0.2948</x:v>
      </x:c>
    </x:row>
    <x:row r="16">
      <x:c r="A16" s="14" t="n">
        <x:v>2</x:v>
      </x:c>
      <x:c r="B16" s="14" t="str">
        <x:f>Inputs!B19</x:f>
        <x:v>Road transport</x:v>
      </x:c>
      <x:c r="C16" s="14" t="str">
        <x:f>Inputs!C19</x:f>
        <x:v>Diesel</x:v>
      </x:c>
      <x:c r="D16" s="78" t="n">
        <x:v>2026</x:v>
      </x:c>
      <x:c r="E16" s="60" t="n">
        <x:f>Scenario!B5</x:f>
        <x:v>103</x:v>
      </x:c>
      <x:c r="F16" s="79" t="n">
        <x:f>Scenario!D5</x:f>
        <x:v>15</x:v>
      </x:c>
      <x:c r="G16" s="79" t="n">
        <x:f>Inputs!E19*(1+Inputs!F19)^(D16-Inputs!$B$5)</x:f>
        <x:v>22.22</x:v>
      </x:c>
      <x:c r="H16" s="80" t="n">
        <x:f>Inputs!H19</x:f>
        <x:v>1</x:v>
      </x:c>
      <x:c r="I16" s="81" t="n">
        <x:f>Inputs!G19</x:f>
        <x:v>0.0741</x:v>
      </x:c>
      <x:c r="J16" s="79" t="n">
        <x:f>F16*I16*H16</x:f>
        <x:v>1.1115</x:v>
      </x:c>
      <x:c r="K16" s="79" t="n">
        <x:f>G16</x:f>
        <x:v>22.22</x:v>
      </x:c>
      <x:c r="L16" s="79" t="n">
        <x:f>G16+J16</x:f>
        <x:v>23.3315</x:v>
      </x:c>
      <x:c r="M16" s="82" t="n">
        <x:f>Inputs!I19</x:f>
        <x:v>0.8</x:v>
      </x:c>
      <x:c r="N16" s="82" t="n">
        <x:f>Inputs!J19</x:f>
        <x:v>-0.18</x:v>
      </x:c>
      <x:c r="O16" s="82" t="n">
        <x:f>Inputs!K19</x:f>
        <x:v>-0.14</x:v>
      </x:c>
      <x:c r="P16" s="82" t="n">
        <x:f>Inputs!L19</x:f>
        <x:v>0.005</x:v>
      </x:c>
      <x:c r="Q16" s="81" t="n">
        <x:f>(E16/E15)^M16</x:f>
        <x:v>1.0239288500120924</x:v>
      </x:c>
      <x:c r="R16" s="81" t="n">
        <x:f>(1/(1+P16))^(1+N16)</x:f>
        <x:v>0.9959185677381567</x:v>
      </x:c>
      <x:c r="S16" s="81" t="n">
        <x:f>(K16/K15)^N16</x:f>
        <x:v>0.9982105434364323</x:v>
      </x:c>
      <x:c r="T16" s="81" t="n">
        <x:f>(K16/K15)^(O16*(1+N16))</x:f>
        <x:v>0.9988583541920467</x:v>
      </x:c>
      <x:c r="U16" s="81" t="n">
        <x:f>(L16/L15)^N16</x:f>
        <x:v>0.9894785947225443</x:v>
      </x:c>
      <x:c r="V16" s="81" t="n">
        <x:f>(L16/L15)^(O16*(1+N16))</x:f>
        <x:v>0.9932768332487589</x:v>
      </x:c>
      <x:c r="W16" s="60" t="n">
        <x:f>W15*Q16*R16*S16*T16</x:f>
        <x:v>711.733992284735</x:v>
      </x:c>
      <x:c r="X16" s="60" t="n">
        <x:f>X15*Q16*R16*U16*V16</x:f>
        <x:v>701.5657179253546</x:v>
      </x:c>
      <x:c r="Y16" s="82" t="n">
        <x:f>W16*Inputs!$B$14*I16/1000000</x:f>
        <x:v>2.2080969182632164</x:v>
      </x:c>
      <x:c r="Z16" s="82" t="n">
        <x:f>X16*Inputs!$B$14*I16/1000000</x:f>
        <x:v>2.1765506727271173</x:v>
      </x:c>
      <x:c r="AA16" s="82" t="n">
        <x:f>Y16-Z16</x:f>
        <x:v>0.03154624553609908</x:v>
      </x:c>
      <x:c r="AB16" s="61" t="n">
        <x:f>IF(Y16=0,0,AA16/Y16)</x:f>
        <x:v>0.014286621785112518</x:v>
      </x:c>
      <x:c r="AC16" s="83" t="n">
        <x:f>X16*Inputs!$B$14*J16/1000000</x:f>
        <x:v>32.64826009090676</x:v>
      </x:c>
      <x:c r="AD16" s="82" t="n">
        <x:f>N16+O16*(1+N16)</x:f>
        <x:v>-0.2948</x:v>
      </x:c>
    </x:row>
    <x:row r="17">
      <x:c r="A17" s="14" t="n">
        <x:v>2</x:v>
      </x:c>
      <x:c r="B17" s="14" t="str">
        <x:f>Inputs!B19</x:f>
        <x:v>Road transport</x:v>
      </x:c>
      <x:c r="C17" s="14" t="str">
        <x:f>Inputs!C19</x:f>
        <x:v>Diesel</x:v>
      </x:c>
      <x:c r="D17" s="78" t="n">
        <x:v>2027</x:v>
      </x:c>
      <x:c r="E17" s="60" t="n">
        <x:f>Scenario!B6</x:f>
        <x:v>106.09</x:v>
      </x:c>
      <x:c r="F17" s="79" t="n">
        <x:f>Scenario!D6</x:f>
        <x:v>30</x:v>
      </x:c>
      <x:c r="G17" s="79" t="n">
        <x:f>Inputs!E19*(1+Inputs!F19)^(D17-Inputs!$B$5)</x:f>
        <x:v>22.4422</x:v>
      </x:c>
      <x:c r="H17" s="80" t="n">
        <x:f>Inputs!H19</x:f>
        <x:v>1</x:v>
      </x:c>
      <x:c r="I17" s="81" t="n">
        <x:f>Inputs!G19</x:f>
        <x:v>0.0741</x:v>
      </x:c>
      <x:c r="J17" s="79" t="n">
        <x:f>F17*I17*H17</x:f>
        <x:v>2.223</x:v>
      </x:c>
      <x:c r="K17" s="79" t="n">
        <x:f>G17</x:f>
        <x:v>22.4422</x:v>
      </x:c>
      <x:c r="L17" s="79" t="n">
        <x:f>G17+J17</x:f>
        <x:v>24.6652</x:v>
      </x:c>
      <x:c r="M17" s="82" t="n">
        <x:f>Inputs!I19</x:f>
        <x:v>0.8</x:v>
      </x:c>
      <x:c r="N17" s="82" t="n">
        <x:f>Inputs!J19</x:f>
        <x:v>-0.18</x:v>
      </x:c>
      <x:c r="O17" s="82" t="n">
        <x:f>Inputs!K19</x:f>
        <x:v>-0.14</x:v>
      </x:c>
      <x:c r="P17" s="82" t="n">
        <x:f>Inputs!L19</x:f>
        <x:v>0.005</x:v>
      </x:c>
      <x:c r="Q17" s="81" t="n">
        <x:f>(E17/E16)^M17</x:f>
        <x:v>1.0239288500120924</x:v>
      </x:c>
      <x:c r="R17" s="81" t="n">
        <x:f>(1/(1+P17))^(1+N17)</x:f>
        <x:v>0.9959185677381567</x:v>
      </x:c>
      <x:c r="S17" s="81" t="n">
        <x:f>(K17/K16)^N17</x:f>
        <x:v>0.9982105434364323</x:v>
      </x:c>
      <x:c r="T17" s="81" t="n">
        <x:f>(K17/K16)^(O17*(1+N17))</x:f>
        <x:v>0.9988583541920467</x:v>
      </x:c>
      <x:c r="U17" s="81" t="n">
        <x:f>(L17/L16)^N17</x:f>
        <x:v>0.9900438800036406</x:v>
      </x:c>
      <x:c r="V17" s="81" t="n">
        <x:f>(L17/L16)^(O17*(1+N17))</x:f>
        <x:v>0.9936387061287668</x:v>
      </x:c>
      <x:c r="W17" s="60" t="n">
        <x:f>W16*Q17*R17*S17*T17</x:f>
        <x:v>723.6646796765244</x:v>
      </x:c>
      <x:c r="X17" s="60" t="n">
        <x:f>X16*Q17*R17*U17*V17</x:f>
        <x:v>703.7929502866892</x:v>
      </x:c>
      <x:c r="Y17" s="82" t="n">
        <x:f>W17*Inputs!$B$14*I17/1000000</x:f>
        <x:v>2.245110907124427</x:v>
      </x:c>
      <x:c r="Z17" s="82" t="n">
        <x:f>X17*Inputs!$B$14*I17/1000000</x:f>
        <x:v>2.18346048027689</x:v>
      </x:c>
      <x:c r="AA17" s="82" t="n">
        <x:f>Y17-Z17</x:f>
        <x:v>0.061650426847537076</x:v>
      </x:c>
      <x:c r="AB17" s="61" t="n">
        <x:f>IF(Y17=0,0,AA17/Y17)</x:f>
        <x:v>0.027459858063983083</x:v>
      </x:c>
      <x:c r="AC17" s="83" t="n">
        <x:f>X17*Inputs!$B$14*J17/1000000</x:f>
        <x:v>65.5038144083067</x:v>
      </x:c>
      <x:c r="AD17" s="82" t="n">
        <x:f>N17+O17*(1+N17)</x:f>
        <x:v>-0.2948</x:v>
      </x:c>
    </x:row>
    <x:row r="18">
      <x:c r="A18" s="14" t="n">
        <x:v>2</x:v>
      </x:c>
      <x:c r="B18" s="14" t="str">
        <x:f>Inputs!B19</x:f>
        <x:v>Road transport</x:v>
      </x:c>
      <x:c r="C18" s="14" t="str">
        <x:f>Inputs!C19</x:f>
        <x:v>Diesel</x:v>
      </x:c>
      <x:c r="D18" s="78" t="n">
        <x:v>2028</x:v>
      </x:c>
      <x:c r="E18" s="60" t="n">
        <x:f>Scenario!B7</x:f>
        <x:v>109.2727</x:v>
      </x:c>
      <x:c r="F18" s="79" t="n">
        <x:f>Scenario!D7</x:f>
        <x:v>45</x:v>
      </x:c>
      <x:c r="G18" s="79" t="n">
        <x:f>Inputs!E19*(1+Inputs!F19)^(D18-Inputs!$B$5)</x:f>
        <x:v>22.666621999999997</x:v>
      </x:c>
      <x:c r="H18" s="80" t="n">
        <x:f>Inputs!H19</x:f>
        <x:v>1</x:v>
      </x:c>
      <x:c r="I18" s="81" t="n">
        <x:f>Inputs!G19</x:f>
        <x:v>0.0741</x:v>
      </x:c>
      <x:c r="J18" s="79" t="n">
        <x:f>F18*I18*H18</x:f>
        <x:v>3.3345</x:v>
      </x:c>
      <x:c r="K18" s="79" t="n">
        <x:f>G18</x:f>
        <x:v>22.666621999999997</x:v>
      </x:c>
      <x:c r="L18" s="79" t="n">
        <x:f>G18+J18</x:f>
        <x:v>26.001121999999995</x:v>
      </x:c>
      <x:c r="M18" s="82" t="n">
        <x:f>Inputs!I19</x:f>
        <x:v>0.8</x:v>
      </x:c>
      <x:c r="N18" s="82" t="n">
        <x:f>Inputs!J19</x:f>
        <x:v>-0.18</x:v>
      </x:c>
      <x:c r="O18" s="82" t="n">
        <x:f>Inputs!K19</x:f>
        <x:v>-0.14</x:v>
      </x:c>
      <x:c r="P18" s="82" t="n">
        <x:f>Inputs!L19</x:f>
        <x:v>0.005</x:v>
      </x:c>
      <x:c r="Q18" s="81" t="n">
        <x:f>(E18/E17)^M18</x:f>
        <x:v>1.0239288500120924</x:v>
      </x:c>
      <x:c r="R18" s="81" t="n">
        <x:f>(1/(1+P18))^(1+N18)</x:f>
        <x:v>0.9959185677381567</x:v>
      </x:c>
      <x:c r="S18" s="81" t="n">
        <x:f>(K18/K17)^N18</x:f>
        <x:v>0.9982105434364323</x:v>
      </x:c>
      <x:c r="T18" s="81" t="n">
        <x:f>(K18/K17)^(O18*(1+N18))</x:f>
        <x:v>0.9988583541920468</x:v>
      </x:c>
      <x:c r="U18" s="81" t="n">
        <x:f>(L18/L17)^N18</x:f>
        <x:v>0.9905505863946914</x:v>
      </x:c>
      <x:c r="V18" s="81" t="n">
        <x:f>(L18/L17)^(O18*(1+N18))</x:f>
        <x:v>0.9939630155562634</x:v>
      </x:c>
      <x:c r="W18" s="60" t="n">
        <x:f>W17*Q18*R18*S18*T18</x:f>
        <x:v>735.7953593451808</x:v>
      </x:c>
      <x:c r="X18" s="60" t="n">
        <x:f>X17*Q18*R18*U18*V18</x:f>
        <x:v>706.6191545907167</x:v>
      </x:c>
      <x:c r="Y18" s="82" t="n">
        <x:f>W18*Inputs!$B$14*I18/1000000</x:f>
        <x:v>2.2827453557852446</x:v>
      </x:c>
      <x:c r="Z18" s="82" t="n">
        <x:f>X18*Inputs!$B$14*I18/1000000</x:f>
        <x:v>2.192228549642346</x:v>
      </x:c>
      <x:c r="AA18" s="82" t="n">
        <x:f>Y18-Z18</x:f>
        <x:v>0.0905168061428987</x:v>
      </x:c>
      <x:c r="AB18" s="61" t="n">
        <x:f>IF(Y18=0,0,AA18/Y18)</x:f>
        <x:v>0.039652607731080765</x:v>
      </x:c>
      <x:c r="AC18" s="83" t="n">
        <x:f>X18*Inputs!$B$14*J18/1000000</x:f>
        <x:v>98.65028473390555</x:v>
      </x:c>
      <x:c r="AD18" s="82" t="n">
        <x:f>N18+O18*(1+N18)</x:f>
        <x:v>-0.2948</x:v>
      </x:c>
    </x:row>
    <x:row r="19">
      <x:c r="A19" s="14" t="n">
        <x:v>2</x:v>
      </x:c>
      <x:c r="B19" s="14" t="str">
        <x:f>Inputs!B19</x:f>
        <x:v>Road transport</x:v>
      </x:c>
      <x:c r="C19" s="14" t="str">
        <x:f>Inputs!C19</x:f>
        <x:v>Diesel</x:v>
      </x:c>
      <x:c r="D19" s="78" t="n">
        <x:v>2029</x:v>
      </x:c>
      <x:c r="E19" s="60" t="n">
        <x:f>Scenario!B8</x:f>
        <x:v>112.550881</x:v>
      </x:c>
      <x:c r="F19" s="79" t="n">
        <x:f>Scenario!D8</x:f>
        <x:v>60</x:v>
      </x:c>
      <x:c r="G19" s="79" t="n">
        <x:f>Inputs!E19*(1+Inputs!F19)^(D19-Inputs!$B$5)</x:f>
        <x:v>22.893288220000002</x:v>
      </x:c>
      <x:c r="H19" s="80" t="n">
        <x:f>Inputs!H19</x:f>
        <x:v>1</x:v>
      </x:c>
      <x:c r="I19" s="81" t="n">
        <x:f>Inputs!G19</x:f>
        <x:v>0.0741</x:v>
      </x:c>
      <x:c r="J19" s="79" t="n">
        <x:f>F19*I19*H19</x:f>
        <x:v>4.446</x:v>
      </x:c>
      <x:c r="K19" s="79" t="n">
        <x:f>G19</x:f>
        <x:v>22.893288220000002</x:v>
      </x:c>
      <x:c r="L19" s="79" t="n">
        <x:f>G19+J19</x:f>
        <x:v>27.33928822</x:v>
      </x:c>
      <x:c r="M19" s="82" t="n">
        <x:f>Inputs!I19</x:f>
        <x:v>0.8</x:v>
      </x:c>
      <x:c r="N19" s="82" t="n">
        <x:f>Inputs!J19</x:f>
        <x:v>-0.18</x:v>
      </x:c>
      <x:c r="O19" s="82" t="n">
        <x:f>Inputs!K19</x:f>
        <x:v>-0.14</x:v>
      </x:c>
      <x:c r="P19" s="82" t="n">
        <x:f>Inputs!L19</x:f>
        <x:v>0.005</x:v>
      </x:c>
      <x:c r="Q19" s="81" t="n">
        <x:f>(E19/E18)^M19</x:f>
        <x:v>1.0239288500120924</x:v>
      </x:c>
      <x:c r="R19" s="81" t="n">
        <x:f>(1/(1+P19))^(1+N19)</x:f>
        <x:v>0.9959185677381567</x:v>
      </x:c>
      <x:c r="S19" s="81" t="n">
        <x:f>(K19/K18)^N19</x:f>
        <x:v>0.9982105434364322</x:v>
      </x:c>
      <x:c r="T19" s="81" t="n">
        <x:f>(K19/K18)^(O19*(1+N19))</x:f>
        <x:v>0.9988583541920467</x:v>
      </x:c>
      <x:c r="U19" s="81" t="n">
        <x:f>(L19/L18)^N19</x:f>
        <x:v>0.9910073588338043</x:v>
      </x:c>
      <x:c r="V19" s="81" t="n">
        <x:f>(L19/L18)^(O19*(1+N19))</x:f>
        <x:v>0.9942553140488268</x:v>
      </x:c>
      <x:c r="W19" s="60" t="n">
        <x:f>W18*Q19*R19*S19*T19</x:f>
        <x:v>748.1293837304667</x:v>
      </x:c>
      <x:c r="X19" s="60" t="n">
        <x:f>X18*Q19*R19*U19*V19</x:f>
        <x:v>709.9925885222686</x:v>
      </x:c>
      <x:c r="Y19" s="82" t="n">
        <x:f>W19*Inputs!$B$14*I19/1000000</x:f>
        <x:v>2.321010664917814</x:v>
      </x:c>
      <x:c r="Z19" s="82" t="n">
        <x:f>X19*Inputs!$B$14*I19/1000000</x:f>
        <x:v>2.202694354492151</x:v>
      </x:c>
      <x:c r="AA19" s="82" t="n">
        <x:f>Y19-Z19</x:f>
        <x:v>0.11831631042566304</x:v>
      </x:c>
      <x:c r="AB19" s="61" t="n">
        <x:f>IF(Y19=0,0,AA19/Y19)</x:f>
        <x:v>0.050976202830094526</x:v>
      </x:c>
      <x:c r="AC19" s="83" t="n">
        <x:f>X19*Inputs!$B$14*J19/1000000</x:f>
        <x:v>132.16166126952902</x:v>
      </x:c>
      <x:c r="AD19" s="82" t="n">
        <x:f>N19+O19*(1+N19)</x:f>
        <x:v>-0.2948</x:v>
      </x:c>
    </x:row>
    <x:row r="20">
      <x:c r="A20" s="14" t="n">
        <x:v>2</x:v>
      </x:c>
      <x:c r="B20" s="14" t="str">
        <x:f>Inputs!B19</x:f>
        <x:v>Road transport</x:v>
      </x:c>
      <x:c r="C20" s="14" t="str">
        <x:f>Inputs!C19</x:f>
        <x:v>Diesel</x:v>
      </x:c>
      <x:c r="D20" s="78" t="n">
        <x:v>2030</x:v>
      </x:c>
      <x:c r="E20" s="60" t="n">
        <x:f>Scenario!B9</x:f>
        <x:v>115.92740743</x:v>
      </x:c>
      <x:c r="F20" s="79" t="n">
        <x:f>Scenario!D9</x:f>
        <x:v>75</x:v>
      </x:c>
      <x:c r="G20" s="79" t="n">
        <x:f>Inputs!E19*(1+Inputs!F19)^(D20-Inputs!$B$5)</x:f>
        <x:v>23.122221102199997</x:v>
      </x:c>
      <x:c r="H20" s="80" t="n">
        <x:f>Inputs!H19</x:f>
        <x:v>1</x:v>
      </x:c>
      <x:c r="I20" s="81" t="n">
        <x:f>Inputs!G19</x:f>
        <x:v>0.0741</x:v>
      </x:c>
      <x:c r="J20" s="79" t="n">
        <x:f>F20*I20*H20</x:f>
        <x:v>5.5575</x:v>
      </x:c>
      <x:c r="K20" s="79" t="n">
        <x:f>G20</x:f>
        <x:v>23.122221102199997</x:v>
      </x:c>
      <x:c r="L20" s="79" t="n">
        <x:f>G20+J20</x:f>
        <x:v>28.6797211022</x:v>
      </x:c>
      <x:c r="M20" s="82" t="n">
        <x:f>Inputs!I19</x:f>
        <x:v>0.8</x:v>
      </x:c>
      <x:c r="N20" s="82" t="n">
        <x:f>Inputs!J19</x:f>
        <x:v>-0.18</x:v>
      </x:c>
      <x:c r="O20" s="82" t="n">
        <x:f>Inputs!K19</x:f>
        <x:v>-0.14</x:v>
      </x:c>
      <x:c r="P20" s="82" t="n">
        <x:f>Inputs!L19</x:f>
        <x:v>0.005</x:v>
      </x:c>
      <x:c r="Q20" s="81" t="n">
        <x:f>(E20/E19)^M20</x:f>
        <x:v>1.0239288500120924</x:v>
      </x:c>
      <x:c r="R20" s="81" t="n">
        <x:f>(1/(1+P20))^(1+N20)</x:f>
        <x:v>0.9959185677381567</x:v>
      </x:c>
      <x:c r="S20" s="81" t="n">
        <x:f>(K20/K19)^N20</x:f>
        <x:v>0.9982105434364323</x:v>
      </x:c>
      <x:c r="T20" s="81" t="n">
        <x:f>(K20/K19)^(O20*(1+N20))</x:f>
        <x:v>0.9988583541920468</x:v>
      </x:c>
      <x:c r="U20" s="81" t="n">
        <x:f>(L20/L19)^N20</x:f>
        <x:v>0.9914212205102331</x:v>
      </x:c>
      <x:c r="V20" s="81" t="n">
        <x:f>(L20/L19)^(O20*(1+N20))</x:f>
        <x:v>0.9945201108864141</x:v>
      </x:c>
      <x:c r="W20" s="60" t="n">
        <x:f>W19*Q20*R20*S20*T20</x:f>
        <x:v>760.6701614685763</x:v>
      </x:c>
      <x:c r="X20" s="60" t="n">
        <x:f>X19*Q20*R20*U20*V20</x:f>
        <x:v>713.8701201309445</x:v>
      </x:c>
      <x:c r="Y20" s="82" t="n">
        <x:f>W20*Inputs!$B$14*I20/1000000</x:f>
        <x:v>2.359917409539147</x:v>
      </x:c>
      <x:c r="Z20" s="82" t="n">
        <x:f>X20*Inputs!$B$14*I20/1000000</x:f>
        <x:v>2.2147240814525007</x:v>
      </x:c>
      <x:c r="AA20" s="82" t="n">
        <x:f>Y20-Z20</x:f>
        <x:v>0.1451933280866462</x:v>
      </x:c>
      <x:c r="AB20" s="61" t="n">
        <x:f>IF(Y20=0,0,AA20/Y20)</x:f>
        <x:v>0.061524749764442</x:v>
      </x:c>
      <x:c r="AC20" s="83" t="n">
        <x:f>X20*Inputs!$B$14*J20/1000000</x:f>
        <x:v>166.10430610893755</x:v>
      </x:c>
      <x:c r="AD20" s="82" t="n">
        <x:f>N20+O20*(1+N20)</x:f>
        <x:v>-0.2948</x:v>
      </x:c>
    </x:row>
    <x:row r="21">
      <x:c r="A21" s="14" t="n">
        <x:v>2</x:v>
      </x:c>
      <x:c r="B21" s="14" t="str">
        <x:f>Inputs!B19</x:f>
        <x:v>Road transport</x:v>
      </x:c>
      <x:c r="C21" s="14" t="str">
        <x:f>Inputs!C19</x:f>
        <x:v>Diesel</x:v>
      </x:c>
      <x:c r="D21" s="78" t="n">
        <x:v>2031</x:v>
      </x:c>
      <x:c r="E21" s="60" t="n">
        <x:f>Scenario!B10</x:f>
        <x:v>119.4052296529</x:v>
      </x:c>
      <x:c r="F21" s="79" t="n">
        <x:f>Scenario!D10</x:f>
        <x:v>90</x:v>
      </x:c>
      <x:c r="G21" s="79" t="n">
        <x:f>Inputs!E19*(1+Inputs!F19)^(D21-Inputs!$B$5)</x:f>
        <x:v>23.353443313222</x:v>
      </x:c>
      <x:c r="H21" s="80" t="n">
        <x:f>Inputs!H19</x:f>
        <x:v>1</x:v>
      </x:c>
      <x:c r="I21" s="81" t="n">
        <x:f>Inputs!G19</x:f>
        <x:v>0.0741</x:v>
      </x:c>
      <x:c r="J21" s="79" t="n">
        <x:f>F21*I21*H21</x:f>
        <x:v>6.669</x:v>
      </x:c>
      <x:c r="K21" s="79" t="n">
        <x:f>G21</x:f>
        <x:v>23.353443313222</x:v>
      </x:c>
      <x:c r="L21" s="79" t="n">
        <x:f>G21+J21</x:f>
        <x:v>30.022443313222002</x:v>
      </x:c>
      <x:c r="M21" s="82" t="n">
        <x:f>Inputs!I19</x:f>
        <x:v>0.8</x:v>
      </x:c>
      <x:c r="N21" s="82" t="n">
        <x:f>Inputs!J19</x:f>
        <x:v>-0.18</x:v>
      </x:c>
      <x:c r="O21" s="82" t="n">
        <x:f>Inputs!K19</x:f>
        <x:v>-0.14</x:v>
      </x:c>
      <x:c r="P21" s="82" t="n">
        <x:f>Inputs!L19</x:f>
        <x:v>0.005</x:v>
      </x:c>
      <x:c r="Q21" s="81" t="n">
        <x:f>(E21/E20)^M21</x:f>
        <x:v>1.0239288500120924</x:v>
      </x:c>
      <x:c r="R21" s="81" t="n">
        <x:f>(1/(1+P21))^(1+N21)</x:f>
        <x:v>0.9959185677381567</x:v>
      </x:c>
      <x:c r="S21" s="81" t="n">
        <x:f>(K21/K20)^N21</x:f>
        <x:v>0.9982105434364322</x:v>
      </x:c>
      <x:c r="T21" s="81" t="n">
        <x:f>(K21/K20)^(O21*(1+N21))</x:f>
        <x:v>0.9988583541920467</x:v>
      </x:c>
      <x:c r="U21" s="81" t="n">
        <x:f>(L21/L20)^N21</x:f>
        <x:v>0.9917979361776758</x:v>
      </x:c>
      <x:c r="V21" s="81" t="n">
        <x:f>(L21/L20)^(O21*(1+N21))</x:f>
        <x:v>0.9947611061692772</x:v>
      </x:c>
      <x:c r="W21" s="60" t="n">
        <x:f>W20*Q21*R21*S21*T21</x:f>
        <x:v>773.4211583341482</x:v>
      </x:c>
      <x:c r="X21" s="60" t="n">
        <x:f>X20*Q21*R21*U21*V21</x:f>
        <x:v>718.2155609833374</x:v>
      </x:c>
      <x:c r="Y21" s="82" t="n">
        <x:f>W21*Inputs!$B$14*I21/1000000</x:f>
        <x:v>2.3994763419336382</x:v>
      </x:c>
      <x:c r="Z21" s="82" t="n">
        <x:f>X21*Inputs!$B$14*I21/1000000</x:f>
        <x:v>2.228205458847252</x:v>
      </x:c>
      <x:c r="AA21" s="82" t="n">
        <x:f>Y21-Z21</x:f>
        <x:v>0.17127088308638605</x:v>
      </x:c>
      <x:c r="AB21" s="61" t="n">
        <x:f>IF(Y21=0,0,AA21/Y21)</x:f>
        <x:v>0.0713784420763932</x:v>
      </x:c>
      <x:c r="AC21" s="83" t="n">
        <x:f>X21*Inputs!$B$14*J21/1000000</x:f>
        <x:v>200.5384912962527</x:v>
      </x:c>
      <x:c r="AD21" s="82" t="n">
        <x:f>N21+O21*(1+N21)</x:f>
        <x:v>-0.2948</x:v>
      </x:c>
    </x:row>
    <x:row r="22">
      <x:c r="A22" s="14" t="n">
        <x:v>2</x:v>
      </x:c>
      <x:c r="B22" s="14" t="str">
        <x:f>Inputs!B19</x:f>
        <x:v>Road transport</x:v>
      </x:c>
      <x:c r="C22" s="14" t="str">
        <x:f>Inputs!C19</x:f>
        <x:v>Diesel</x:v>
      </x:c>
      <x:c r="D22" s="78" t="n">
        <x:v>2032</x:v>
      </x:c>
      <x:c r="E22" s="60" t="n">
        <x:f>Scenario!B11</x:f>
        <x:v>122.987386542487</x:v>
      </x:c>
      <x:c r="F22" s="79" t="n">
        <x:f>Scenario!D11</x:f>
        <x:v>105</x:v>
      </x:c>
      <x:c r="G22" s="79" t="n">
        <x:f>Inputs!E19*(1+Inputs!F19)^(D22-Inputs!$B$5)</x:f>
        <x:v>23.586977746354215</x:v>
      </x:c>
      <x:c r="H22" s="80" t="n">
        <x:f>Inputs!H19</x:f>
        <x:v>1</x:v>
      </x:c>
      <x:c r="I22" s="81" t="n">
        <x:f>Inputs!G19</x:f>
        <x:v>0.0741</x:v>
      </x:c>
      <x:c r="J22" s="79" t="n">
        <x:f>F22*I22*H22</x:f>
        <x:v>7.7805</x:v>
      </x:c>
      <x:c r="K22" s="79" t="n">
        <x:f>G22</x:f>
        <x:v>23.586977746354215</x:v>
      </x:c>
      <x:c r="L22" s="79" t="n">
        <x:f>G22+J22</x:f>
        <x:v>31.367477746354215</x:v>
      </x:c>
      <x:c r="M22" s="82" t="n">
        <x:f>Inputs!I19</x:f>
        <x:v>0.8</x:v>
      </x:c>
      <x:c r="N22" s="82" t="n">
        <x:f>Inputs!J19</x:f>
        <x:v>-0.18</x:v>
      </x:c>
      <x:c r="O22" s="82" t="n">
        <x:f>Inputs!K19</x:f>
        <x:v>-0.14</x:v>
      </x:c>
      <x:c r="P22" s="82" t="n">
        <x:f>Inputs!L19</x:f>
        <x:v>0.005</x:v>
      </x:c>
      <x:c r="Q22" s="81" t="n">
        <x:f>(E22/E21)^M22</x:f>
        <x:v>1.0239288500120924</x:v>
      </x:c>
      <x:c r="R22" s="81" t="n">
        <x:f>(1/(1+P22))^(1+N22)</x:f>
        <x:v>0.9959185677381567</x:v>
      </x:c>
      <x:c r="S22" s="81" t="n">
        <x:f>(K22/K21)^N22</x:f>
        <x:v>0.9982105434364323</x:v>
      </x:c>
      <x:c r="T22" s="81" t="n">
        <x:f>(K22/K21)^(O22*(1+N22))</x:f>
        <x:v>0.9988583541920468</x:v>
      </x:c>
      <x:c r="U22" s="81" t="n">
        <x:f>(L22/L21)^N22</x:f>
        <x:v>0.9921422819719976</x:v>
      </x:c>
      <x:c r="V22" s="81" t="n">
        <x:f>(L22/L21)^(O22*(1+N22))</x:f>
        <x:v>0.9949813645576382</x:v>
      </x:c>
      <x:c r="W22" s="60" t="n">
        <x:f>W21*Q22*R22*S22*T22</x:f>
        <x:v>786.3858981980678</x:v>
      </x:c>
      <x:c r="X22" s="60" t="n">
        <x:f>X21*Q22*R22*U22*V22</x:f>
        <x:v>722.9983805789775</x:v>
      </x:c>
      <x:c r="Y22" s="82" t="n">
        <x:f>W22*Inputs!$B$14*I22/1000000</x:f>
        <x:v>2.4396983946245716</x:v>
      </x:c>
      <x:c r="Z22" s="82" t="n">
        <x:f>X22*Inputs!$B$14*I22/1000000</x:f>
        <x:v>2.2430437682777744</x:v>
      </x:c>
      <x:c r="AA22" s="82" t="n">
        <x:f>Y22-Z22</x:f>
        <x:v>0.1966546263467972</x:v>
      </x:c>
      <x:c r="AB22" s="61" t="n">
        <x:f>IF(Y22=0,0,AA22/Y22)</x:f>
        <x:v>0.08060612196166937</x:v>
      </x:c>
      <x:c r="AC22" s="83" t="n">
        <x:f>X22*Inputs!$B$14*J22/1000000</x:f>
        <x:v>235.51959566916634</x:v>
      </x:c>
      <x:c r="AD22" s="82" t="n">
        <x:f>N22+O22*(1+N22)</x:f>
        <x:v>-0.2948</x:v>
      </x:c>
    </x:row>
    <x:row r="23">
      <x:c r="A23" s="14" t="n">
        <x:v>2</x:v>
      </x:c>
      <x:c r="B23" s="14" t="str">
        <x:f>Inputs!B19</x:f>
        <x:v>Road transport</x:v>
      </x:c>
      <x:c r="C23" s="14" t="str">
        <x:f>Inputs!C19</x:f>
        <x:v>Diesel</x:v>
      </x:c>
      <x:c r="D23" s="78" t="n">
        <x:v>2033</x:v>
      </x:c>
      <x:c r="E23" s="60" t="n">
        <x:f>Scenario!B12</x:f>
        <x:v>126.67700813876162</x:v>
      </x:c>
      <x:c r="F23" s="79" t="n">
        <x:f>Scenario!D12</x:f>
        <x:v>120</x:v>
      </x:c>
      <x:c r="G23" s="79" t="n">
        <x:f>Inputs!E19*(1+Inputs!F19)^(D23-Inputs!$B$5)</x:f>
        <x:v>23.822847523817764</x:v>
      </x:c>
      <x:c r="H23" s="80" t="n">
        <x:f>Inputs!H19</x:f>
        <x:v>1</x:v>
      </x:c>
      <x:c r="I23" s="81" t="n">
        <x:f>Inputs!G19</x:f>
        <x:v>0.0741</x:v>
      </x:c>
      <x:c r="J23" s="79" t="n">
        <x:f>F23*I23*H23</x:f>
        <x:v>8.892</x:v>
      </x:c>
      <x:c r="K23" s="79" t="n">
        <x:f>G23</x:f>
        <x:v>23.822847523817764</x:v>
      </x:c>
      <x:c r="L23" s="79" t="n">
        <x:f>G23+J23</x:f>
        <x:v>32.71484752381777</x:v>
      </x:c>
      <x:c r="M23" s="82" t="n">
        <x:f>Inputs!I19</x:f>
        <x:v>0.8</x:v>
      </x:c>
      <x:c r="N23" s="82" t="n">
        <x:f>Inputs!J19</x:f>
        <x:v>-0.18</x:v>
      </x:c>
      <x:c r="O23" s="82" t="n">
        <x:f>Inputs!K19</x:f>
        <x:v>-0.14</x:v>
      </x:c>
      <x:c r="P23" s="82" t="n">
        <x:f>Inputs!L19</x:f>
        <x:v>0.005</x:v>
      </x:c>
      <x:c r="Q23" s="81" t="n">
        <x:f>(E23/E22)^M23</x:f>
        <x:v>1.0239288500120924</x:v>
      </x:c>
      <x:c r="R23" s="81" t="n">
        <x:f>(1/(1+P23))^(1+N23)</x:f>
        <x:v>0.9959185677381567</x:v>
      </x:c>
      <x:c r="S23" s="81" t="n">
        <x:f>(K23/K22)^N23</x:f>
        <x:v>0.9982105434364322</x:v>
      </x:c>
      <x:c r="T23" s="81" t="n">
        <x:f>(K23/K22)^(O23*(1+N23))</x:f>
        <x:v>0.9988583541920467</x:v>
      </x:c>
      <x:c r="U23" s="81" t="n">
        <x:f>(L23/L22)^N23</x:f>
        <x:v>0.9924582486530589</x:v>
      </x:c>
      <x:c r="V23" s="81" t="n">
        <x:f>(L23/L22)^(O23*(1+N23))</x:f>
        <x:v>0.9951834460838753</x:v>
      </x:c>
      <x:c r="W23" s="60" t="n">
        <x:f>W22*Q23*R23*S23*T23</x:f>
        <x:v>799.5679640013255</x:v>
      </x:c>
      <x:c r="X23" s="60" t="n">
        <x:f>X22*Q23*R23*U23*V23</x:f>
        <x:v>728.1927029324894</x:v>
      </x:c>
      <x:c r="Y23" s="82" t="n">
        <x:f>W23*Inputs!$B$14*I23/1000000</x:f>
        <x:v>2.4805946833954358</x:v>
      </x:c>
      <x:c r="Z23" s="82" t="n">
        <x:f>X23*Inputs!$B$14*I23/1000000</x:f>
        <x:v>2.25915873160057</x:v>
      </x:c>
      <x:c r="AA23" s="82" t="n">
        <x:f>Y23-Z23</x:f>
        <x:v>0.22143595179486564</x:v>
      </x:c>
      <x:c r="AB23" s="61" t="n">
        <x:f>IF(Y23=0,0,AA23/Y23)</x:f>
        <x:v>0.08926728468665598</x:v>
      </x:c>
      <x:c r="AC23" s="83" t="n">
        <x:f>X23*Inputs!$B$14*J23/1000000</x:f>
        <x:v>271.0990477920684</x:v>
      </x:c>
      <x:c r="AD23" s="82" t="n">
        <x:f>N23+O23*(1+N23)</x:f>
        <x:v>-0.2948</x:v>
      </x:c>
    </x:row>
    <x:row r="24">
      <x:c r="A24" s="14" t="n">
        <x:v>2</x:v>
      </x:c>
      <x:c r="B24" s="14" t="str">
        <x:f>Inputs!B19</x:f>
        <x:v>Road transport</x:v>
      </x:c>
      <x:c r="C24" s="14" t="str">
        <x:f>Inputs!C19</x:f>
        <x:v>Diesel</x:v>
      </x:c>
      <x:c r="D24" s="78" t="n">
        <x:v>2034</x:v>
      </x:c>
      <x:c r="E24" s="60" t="n">
        <x:f>Scenario!B13</x:f>
        <x:v>130.47731838292447</x:v>
      </x:c>
      <x:c r="F24" s="79" t="n">
        <x:f>Scenario!D13</x:f>
        <x:v>135</x:v>
      </x:c>
      <x:c r="G24" s="79" t="n">
        <x:f>Inputs!E19*(1+Inputs!F19)^(D24-Inputs!$B$5)</x:f>
        <x:v>24.061075999055944</x:v>
      </x:c>
      <x:c r="H24" s="80" t="n">
        <x:f>Inputs!H19</x:f>
        <x:v>1</x:v>
      </x:c>
      <x:c r="I24" s="81" t="n">
        <x:f>Inputs!G19</x:f>
        <x:v>0.0741</x:v>
      </x:c>
      <x:c r="J24" s="79" t="n">
        <x:f>F24*I24*H24</x:f>
        <x:v>10.0035</x:v>
      </x:c>
      <x:c r="K24" s="79" t="n">
        <x:f>G24</x:f>
        <x:v>24.061075999055944</x:v>
      </x:c>
      <x:c r="L24" s="79" t="n">
        <x:f>G24+J24</x:f>
        <x:v>34.06457599905595</x:v>
      </x:c>
      <x:c r="M24" s="82" t="n">
        <x:f>Inputs!I19</x:f>
        <x:v>0.8</x:v>
      </x:c>
      <x:c r="N24" s="82" t="n">
        <x:f>Inputs!J19</x:f>
        <x:v>-0.18</x:v>
      </x:c>
      <x:c r="O24" s="82" t="n">
        <x:f>Inputs!K19</x:f>
        <x:v>-0.14</x:v>
      </x:c>
      <x:c r="P24" s="82" t="n">
        <x:f>Inputs!L19</x:f>
        <x:v>0.005</x:v>
      </x:c>
      <x:c r="Q24" s="81" t="n">
        <x:f>(E24/E23)^M24</x:f>
        <x:v>1.0239288500120924</x:v>
      </x:c>
      <x:c r="R24" s="81" t="n">
        <x:f>(1/(1+P24))^(1+N24)</x:f>
        <x:v>0.9959185677381567</x:v>
      </x:c>
      <x:c r="S24" s="81" t="n">
        <x:f>(K24/K23)^N24</x:f>
        <x:v>0.9982105434364322</x:v>
      </x:c>
      <x:c r="T24" s="81" t="n">
        <x:f>(K24/K23)^(O24*(1+N24))</x:f>
        <x:v>0.9988583541920467</x:v>
      </x:c>
      <x:c r="U24" s="81" t="n">
        <x:f>(L24/L23)^N24</x:f>
        <x:v>0.9927491966810867</x:v>
      </x:c>
      <x:c r="V24" s="81" t="n">
        <x:f>(L24/L23)^(O24*(1+N24))</x:f>
        <x:v>0.9953695059236043</x:v>
      </x:c>
      <x:c r="W24" s="60" t="n">
        <x:f>W23*Q24*R24*S24*T24</x:f>
        <x:v>812.9709987452009</x:v>
      </x:c>
      <x:c r="X24" s="60" t="n">
        <x:f>X23*Q24*R24*U24*V24</x:f>
        <x:v>733.7765148512756</x:v>
      </x:c>
      <x:c r="Y24" s="82" t="n">
        <x:f>W24*Inputs!$B$14*I24/1000000</x:f>
        <x:v>2.522176510361888</x:v>
      </x:c>
      <x:c r="Z24" s="82" t="n">
        <x:f>X24*Inputs!$B$14*I24/1000000</x:f>
        <x:v>2.2764820546730764</x:v>
      </x:c>
      <x:c r="AA24" s="82" t="n">
        <x:f>Y24-Z24</x:f>
        <x:v>0.24569445568881143</x:v>
      </x:c>
      <x:c r="AB24" s="61" t="n">
        <x:f>IF(Y24=0,0,AA24/Y24)</x:f>
        <x:v>0.09741366422192181</x:v>
      </x:c>
      <x:c r="AC24" s="83" t="n">
        <x:f>X24*Inputs!$B$14*J24/1000000</x:f>
        <x:v>307.3250773808654</x:v>
      </x:c>
      <x:c r="AD24" s="82" t="n">
        <x:f>N24+O24*(1+N24)</x:f>
        <x:v>-0.2948</x:v>
      </x:c>
    </x:row>
    <x:row r="25">
      <x:c r="A25" s="14" t="n">
        <x:v>2</x:v>
      </x:c>
      <x:c r="B25" s="14" t="str">
        <x:f>Inputs!B19</x:f>
        <x:v>Road transport</x:v>
      </x:c>
      <x:c r="C25" s="14" t="str">
        <x:f>Inputs!C19</x:f>
        <x:v>Diesel</x:v>
      </x:c>
      <x:c r="D25" s="78" t="n">
        <x:v>2035</x:v>
      </x:c>
      <x:c r="E25" s="60" t="n">
        <x:f>Scenario!B14</x:f>
        <x:v>134.39163793441222</x:v>
      </x:c>
      <x:c r="F25" s="79" t="n">
        <x:f>Scenario!D14</x:f>
        <x:v>150</x:v>
      </x:c>
      <x:c r="G25" s="79" t="n">
        <x:f>Inputs!E19*(1+Inputs!F19)^(D25-Inputs!$B$5)</x:f>
        <x:v>24.301686759046504</x:v>
      </x:c>
      <x:c r="H25" s="80" t="n">
        <x:f>Inputs!H19</x:f>
        <x:v>1</x:v>
      </x:c>
      <x:c r="I25" s="81" t="n">
        <x:f>Inputs!G19</x:f>
        <x:v>0.0741</x:v>
      </x:c>
      <x:c r="J25" s="79" t="n">
        <x:f>F25*I25*H25</x:f>
        <x:v>11.115</x:v>
      </x:c>
      <x:c r="K25" s="79" t="n">
        <x:f>G25</x:f>
        <x:v>24.301686759046504</x:v>
      </x:c>
      <x:c r="L25" s="79" t="n">
        <x:f>G25+J25</x:f>
        <x:v>35.416686759046506</x:v>
      </x:c>
      <x:c r="M25" s="82" t="n">
        <x:f>Inputs!I19</x:f>
        <x:v>0.8</x:v>
      </x:c>
      <x:c r="N25" s="82" t="n">
        <x:f>Inputs!J19</x:f>
        <x:v>-0.18</x:v>
      </x:c>
      <x:c r="O25" s="82" t="n">
        <x:f>Inputs!K19</x:f>
        <x:v>-0.14</x:v>
      </x:c>
      <x:c r="P25" s="82" t="n">
        <x:f>Inputs!L19</x:f>
        <x:v>0.005</x:v>
      </x:c>
      <x:c r="Q25" s="81" t="n">
        <x:f>(E25/E24)^M25</x:f>
        <x:v>1.0239288500120924</x:v>
      </x:c>
      <x:c r="R25" s="81" t="n">
        <x:f>(1/(1+P25))^(1+N25)</x:f>
        <x:v>0.9959185677381567</x:v>
      </x:c>
      <x:c r="S25" s="81" t="n">
        <x:f>(K25/K24)^N25</x:f>
        <x:v>0.9982105434364323</x:v>
      </x:c>
      <x:c r="T25" s="81" t="n">
        <x:f>(K25/K24)^(O25*(1+N25))</x:f>
        <x:v>0.9988583541920467</x:v>
      </x:c>
      <x:c r="U25" s="81" t="n">
        <x:f>(L25/L24)^N25</x:f>
        <x:v>0.9930179759400738</x:v>
      </x:c>
      <x:c r="V25" s="81" t="n">
        <x:f>(L25/L24)^(O25*(1+N25))</x:f>
        <x:v>0.9955413713932706</x:v>
      </x:c>
      <x:c r="W25" s="60" t="n">
        <x:f>W24*Q25*R25*S25*T25</x:f>
        <x:v>826.598706498043</x:v>
      </x:c>
      <x:c r="X25" s="60" t="n">
        <x:f>X24*Q25*R25*U25*V25</x:f>
        <x:v>739.7310350277528</x:v>
      </x:c>
      <x:c r="Y25" s="82" t="n">
        <x:f>W25*Inputs!$B$14*I25/1000000</x:f>
        <x:v>2.5644553670952113</x:v>
      </x:c>
      <x:c r="Z25" s="82" t="n">
        <x:f>X25*Inputs!$B$14*I25/1000000</x:f>
        <x:v>2.294955470013559</x:v>
      </x:c>
      <x:c r="AA25" s="82" t="n">
        <x:f>Y25-Z25</x:f>
        <x:v>0.26949989708165223</x:v>
      </x:c>
      <x:c r="AB25" s="61" t="n">
        <x:f>IF(Y25=0,0,AA25/Y25)</x:f>
        <x:v>0.10509050012709635</x:v>
      </x:c>
      <x:c r="AC25" s="83" t="n">
        <x:f>X25*Inputs!$B$14*J25/1000000</x:f>
        <x:v>344.24332050203384</x:v>
      </x:c>
      <x:c r="AD25" s="82" t="n">
        <x:f>N25+O25*(1+N25)</x:f>
        <x:v>-0.2948</x:v>
      </x:c>
    </x:row>
    <x:row r="26">
      <x:c r="A26" s="14" t="n">
        <x:v>3</x:v>
      </x:c>
      <x:c r="B26" s="14" t="str">
        <x:f>Inputs!B20</x:f>
        <x:v>Industry</x:v>
      </x:c>
      <x:c r="C26" s="14" t="str">
        <x:f>Inputs!C20</x:f>
        <x:v>Natural gas</x:v>
      </x:c>
      <x:c r="D26" s="78" t="n">
        <x:v>2025</x:v>
      </x:c>
      <x:c r="E26" s="60" t="n">
        <x:f>Scenario!B4</x:f>
        <x:v>100</x:v>
      </x:c>
      <x:c r="F26" s="79" t="n">
        <x:f>Scenario!D4</x:f>
        <x:v>0</x:v>
      </x:c>
      <x:c r="G26" s="79" t="n">
        <x:f>Inputs!E20*(1+Inputs!F20)^(D26-Inputs!$B$5)</x:f>
        <x:v>12</x:v>
      </x:c>
      <x:c r="H26" s="80" t="n">
        <x:f>Inputs!H20</x:f>
        <x:v>1</x:v>
      </x:c>
      <x:c r="I26" s="81" t="n">
        <x:f>Inputs!G20</x:f>
        <x:v>0.0561</x:v>
      </x:c>
      <x:c r="J26" s="79" t="n">
        <x:f>F26*I26*H26</x:f>
        <x:v>0</x:v>
      </x:c>
      <x:c r="K26" s="79" t="n">
        <x:f>G26</x:f>
        <x:v>12</x:v>
      </x:c>
      <x:c r="L26" s="79" t="n">
        <x:f>G26+J26</x:f>
        <x:v>12</x:v>
      </x:c>
      <x:c r="M26" s="82" t="n">
        <x:f>Inputs!I20</x:f>
        <x:v>0.6</x:v>
      </x:c>
      <x:c r="N26" s="82" t="n">
        <x:f>Inputs!J20</x:f>
        <x:v>-0.1</x:v>
      </x:c>
      <x:c r="O26" s="82" t="n">
        <x:f>Inputs!K20</x:f>
        <x:v>-0.15</x:v>
      </x:c>
      <x:c r="P26" s="82" t="n">
        <x:f>Inputs!L20</x:f>
        <x:v>0.01</x:v>
      </x:c>
      <x:c r="Q26" s="81" t="n">
        <x:v>1</x:v>
      </x:c>
      <x:c r="R26" s="81" t="n">
        <x:v>1</x:v>
      </x:c>
      <x:c r="S26" s="81" t="n">
        <x:v>1</x:v>
      </x:c>
      <x:c r="T26" s="81" t="n">
        <x:v>1</x:v>
      </x:c>
      <x:c r="U26" s="81" t="n">
        <x:v>1</x:v>
      </x:c>
      <x:c r="V26" s="81" t="n">
        <x:v>1</x:v>
      </x:c>
      <x:c r="W26" s="60" t="n">
        <x:f>Inputs!D20</x:f>
        <x:v>800</x:v>
      </x:c>
      <x:c r="X26" s="60" t="n">
        <x:f>Inputs!D20</x:f>
        <x:v>800</x:v>
      </x:c>
      <x:c r="Y26" s="82" t="n">
        <x:f>W26*Inputs!$B$14*I26/1000000</x:f>
        <x:v>1.8790358399999998</x:v>
      </x:c>
      <x:c r="Z26" s="82" t="n">
        <x:f>X26*Inputs!$B$14*I26/1000000</x:f>
        <x:v>1.8790358399999998</x:v>
      </x:c>
      <x:c r="AA26" s="82" t="n">
        <x:f>Y26-Z26</x:f>
        <x:v>0</x:v>
      </x:c>
      <x:c r="AB26" s="61" t="n">
        <x:f>IF(Y26=0,0,AA26/Y26)</x:f>
        <x:v>0</x:v>
      </x:c>
      <x:c r="AC26" s="83" t="n">
        <x:f>X26*Inputs!$B$14*J26/1000000</x:f>
        <x:v>0</x:v>
      </x:c>
      <x:c r="AD26" s="82" t="n">
        <x:f>N26+O26*(1+N26)</x:f>
        <x:v>-0.23500000000000001</x:v>
      </x:c>
    </x:row>
    <x:row r="27">
      <x:c r="A27" s="14" t="n">
        <x:v>3</x:v>
      </x:c>
      <x:c r="B27" s="14" t="str">
        <x:f>Inputs!B20</x:f>
        <x:v>Industry</x:v>
      </x:c>
      <x:c r="C27" s="14" t="str">
        <x:f>Inputs!C20</x:f>
        <x:v>Natural gas</x:v>
      </x:c>
      <x:c r="D27" s="78" t="n">
        <x:v>2026</x:v>
      </x:c>
      <x:c r="E27" s="60" t="n">
        <x:f>Scenario!B5</x:f>
        <x:v>103</x:v>
      </x:c>
      <x:c r="F27" s="79" t="n">
        <x:f>Scenario!D5</x:f>
        <x:v>15</x:v>
      </x:c>
      <x:c r="G27" s="79" t="n">
        <x:f>Inputs!E20*(1+Inputs!F20)^(D27-Inputs!$B$5)</x:f>
        <x:v>12.120000000000001</x:v>
      </x:c>
      <x:c r="H27" s="80" t="n">
        <x:f>Inputs!H20</x:f>
        <x:v>1</x:v>
      </x:c>
      <x:c r="I27" s="81" t="n">
        <x:f>Inputs!G20</x:f>
        <x:v>0.0561</x:v>
      </x:c>
      <x:c r="J27" s="79" t="n">
        <x:f>F27*I27*H27</x:f>
        <x:v>0.8414999999999999</x:v>
      </x:c>
      <x:c r="K27" s="79" t="n">
        <x:f>G27</x:f>
        <x:v>12.120000000000001</x:v>
      </x:c>
      <x:c r="L27" s="79" t="n">
        <x:f>G27+J27</x:f>
        <x:v>12.961500000000001</x:v>
      </x:c>
      <x:c r="M27" s="82" t="n">
        <x:f>Inputs!I20</x:f>
        <x:v>0.6</x:v>
      </x:c>
      <x:c r="N27" s="82" t="n">
        <x:f>Inputs!J20</x:f>
        <x:v>-0.1</x:v>
      </x:c>
      <x:c r="O27" s="82" t="n">
        <x:f>Inputs!K20</x:f>
        <x:v>-0.15</x:v>
      </x:c>
      <x:c r="P27" s="82" t="n">
        <x:f>Inputs!L20</x:f>
        <x:v>0.01</x:v>
      </x:c>
      <x:c r="Q27" s="81" t="n">
        <x:f>(E27/E26)^M27</x:f>
        <x:v>1.0178934853272679</x:v>
      </x:c>
      <x:c r="R27" s="81" t="n">
        <x:f>(1/(1+P27))^(1+N27)</x:f>
        <x:v>0.9910846814801719</x:v>
      </x:c>
      <x:c r="S27" s="81" t="n">
        <x:f>(K27/K26)^N27</x:f>
        <x:v>0.999005461795949</x:v>
      </x:c>
      <x:c r="T27" s="81" t="n">
        <x:f>(K27/K26)^(O27*(1+N27))</x:f>
        <x:v>0.9986576071512541</x:v>
      </x:c>
      <x:c r="U27" s="81" t="n">
        <x:f>(L27/L26)^N27</x:f>
        <x:v>0.992321950458587</x:v>
      </x:c>
      <x:c r="V27" s="81" t="n">
        <x:f>(L27/L26)^(O27*(1+N27))</x:f>
        <x:v>0.9896485838773487</x:v>
      </x:c>
      <x:c r="W27" s="60" t="n">
        <x:f>W26*Q27*R27*S27*T27</x:f>
        <x:v>805.1699583301225</x:v>
      </x:c>
      <x:c r="X27" s="60" t="n">
        <x:f>X26*Q27*R27*U27*V27</x:f>
        <x:v>792.568287378065</x:v>
      </x:c>
      <x:c r="Y27" s="82" t="n">
        <x:f>W27*Inputs!$B$14*I27/1000000</x:f>
        <x:v>1.8911790112420084</x:v>
      </x:c>
      <x:c r="Z27" s="82" t="n">
        <x:f>X27*Inputs!$B$14*I27/1000000</x:f>
        <x:v>1.8615802720385044</x:v>
      </x:c>
      <x:c r="AA27" s="82" t="n">
        <x:f>Y27-Z27</x:f>
        <x:v>0.029598739203503976</x:v>
      </x:c>
      <x:c r="AB27" s="61" t="n">
        <x:f>IF(Y27=0,0,AA27/Y27)</x:f>
        <x:v>0.015650945271471352</x:v>
      </x:c>
      <x:c r="AC27" s="83" t="n">
        <x:f>X27*Inputs!$B$14*J27/1000000</x:f>
        <x:v>27.92370408057757</x:v>
      </x:c>
      <x:c r="AD27" s="82" t="n">
        <x:f>N27+O27*(1+N27)</x:f>
        <x:v>-0.23500000000000001</x:v>
      </x:c>
    </x:row>
    <x:row r="28">
      <x:c r="A28" s="14" t="n">
        <x:v>3</x:v>
      </x:c>
      <x:c r="B28" s="14" t="str">
        <x:f>Inputs!B20</x:f>
        <x:v>Industry</x:v>
      </x:c>
      <x:c r="C28" s="14" t="str">
        <x:f>Inputs!C20</x:f>
        <x:v>Natural gas</x:v>
      </x:c>
      <x:c r="D28" s="78" t="n">
        <x:v>2027</x:v>
      </x:c>
      <x:c r="E28" s="60" t="n">
        <x:f>Scenario!B6</x:f>
        <x:v>106.09</x:v>
      </x:c>
      <x:c r="F28" s="79" t="n">
        <x:f>Scenario!D6</x:f>
        <x:v>30</x:v>
      </x:c>
      <x:c r="G28" s="79" t="n">
        <x:f>Inputs!E20*(1+Inputs!F20)^(D28-Inputs!$B$5)</x:f>
        <x:v>12.2412</x:v>
      </x:c>
      <x:c r="H28" s="80" t="n">
        <x:f>Inputs!H20</x:f>
        <x:v>1</x:v>
      </x:c>
      <x:c r="I28" s="81" t="n">
        <x:f>Inputs!G20</x:f>
        <x:v>0.0561</x:v>
      </x:c>
      <x:c r="J28" s="79" t="n">
        <x:f>F28*I28*H28</x:f>
        <x:v>1.6829999999999998</x:v>
      </x:c>
      <x:c r="K28" s="79" t="n">
        <x:f>G28</x:f>
        <x:v>12.2412</x:v>
      </x:c>
      <x:c r="L28" s="79" t="n">
        <x:f>G28+J28</x:f>
        <x:v>13.924199999999999</x:v>
      </x:c>
      <x:c r="M28" s="82" t="n">
        <x:f>Inputs!I20</x:f>
        <x:v>0.6</x:v>
      </x:c>
      <x:c r="N28" s="82" t="n">
        <x:f>Inputs!J20</x:f>
        <x:v>-0.1</x:v>
      </x:c>
      <x:c r="O28" s="82" t="n">
        <x:f>Inputs!K20</x:f>
        <x:v>-0.15</x:v>
      </x:c>
      <x:c r="P28" s="82" t="n">
        <x:f>Inputs!L20</x:f>
        <x:v>0.01</x:v>
      </x:c>
      <x:c r="Q28" s="81" t="n">
        <x:f>(E28/E27)^M28</x:f>
        <x:v>1.0178934853272679</x:v>
      </x:c>
      <x:c r="R28" s="81" t="n">
        <x:f>(1/(1+P28))^(1+N28)</x:f>
        <x:v>0.9910846814801719</x:v>
      </x:c>
      <x:c r="S28" s="81" t="n">
        <x:f>(K28/K27)^N28</x:f>
        <x:v>0.999005461795949</x:v>
      </x:c>
      <x:c r="T28" s="81" t="n">
        <x:f>(K28/K27)^(O28*(1+N28))</x:f>
        <x:v>0.9986576071512542</x:v>
      </x:c>
      <x:c r="U28" s="81" t="n">
        <x:f>(L28/L27)^N28</x:f>
        <x:v>0.9928611129253875</x:v>
      </x:c>
      <x:c r="V28" s="81" t="n">
        <x:f>(L28/L27)^(O28*(1+N28))</x:f>
        <x:v>0.9903745613037441</x:v>
      </x:c>
      <x:c r="W28" s="60" t="n">
        <x:f>W27*Q28*R28*S28*T28</x:f>
        <x:v>810.3733272466641</x:v>
      </x:c>
      <x:c r="X28" s="60" t="n">
        <x:f>X27*Q28*R28*U28*V28</x:f>
        <x:v>786.2085587407504</x:v>
      </x:c>
      <x:c r="Y28" s="82" t="n">
        <x:f>W28*Inputs!$B$14*I28/1000000</x:f>
        <x:v>1.903400657095663</x:v>
      </x:c>
      <x:c r="Z28" s="82" t="n">
        <x:f>X28*Inputs!$B$14*I28/1000000</x:f>
        <x:v>1.846642574485769</x:v>
      </x:c>
      <x:c r="AA28" s="82" t="n">
        <x:f>Y28-Z28</x:f>
        <x:v>0.0567580826098939</x:v>
      </x:c>
      <x:c r="AB28" s="61" t="n">
        <x:f>IF(Y28=0,0,AA28/Y28)</x:f>
        <x:v>0.029819303885551457</x:v>
      </x:c>
      <x:c r="AC28" s="83" t="n">
        <x:f>X28*Inputs!$B$14*J28/1000000</x:f>
        <x:v>55.39927723457306</x:v>
      </x:c>
      <x:c r="AD28" s="82" t="n">
        <x:f>N28+O28*(1+N28)</x:f>
        <x:v>-0.23500000000000001</x:v>
      </x:c>
    </x:row>
    <x:row r="29">
      <x:c r="A29" s="14" t="n">
        <x:v>3</x:v>
      </x:c>
      <x:c r="B29" s="14" t="str">
        <x:f>Inputs!B20</x:f>
        <x:v>Industry</x:v>
      </x:c>
      <x:c r="C29" s="14" t="str">
        <x:f>Inputs!C20</x:f>
        <x:v>Natural gas</x:v>
      </x:c>
      <x:c r="D29" s="78" t="n">
        <x:v>2028</x:v>
      </x:c>
      <x:c r="E29" s="60" t="n">
        <x:f>Scenario!B7</x:f>
        <x:v>109.2727</x:v>
      </x:c>
      <x:c r="F29" s="79" t="n">
        <x:f>Scenario!D7</x:f>
        <x:v>45</x:v>
      </x:c>
      <x:c r="G29" s="79" t="n">
        <x:f>Inputs!E20*(1+Inputs!F20)^(D29-Inputs!$B$5)</x:f>
        <x:v>12.363612</x:v>
      </x:c>
      <x:c r="H29" s="80" t="n">
        <x:f>Inputs!H20</x:f>
        <x:v>1</x:v>
      </x:c>
      <x:c r="I29" s="81" t="n">
        <x:f>Inputs!G20</x:f>
        <x:v>0.0561</x:v>
      </x:c>
      <x:c r="J29" s="79" t="n">
        <x:f>F29*I29*H29</x:f>
        <x:v>2.5244999999999997</x:v>
      </x:c>
      <x:c r="K29" s="79" t="n">
        <x:f>G29</x:f>
        <x:v>12.363612</x:v>
      </x:c>
      <x:c r="L29" s="79" t="n">
        <x:f>G29+J29</x:f>
        <x:v>14.888112</x:v>
      </x:c>
      <x:c r="M29" s="82" t="n">
        <x:f>Inputs!I20</x:f>
        <x:v>0.6</x:v>
      </x:c>
      <x:c r="N29" s="82" t="n">
        <x:f>Inputs!J20</x:f>
        <x:v>-0.1</x:v>
      </x:c>
      <x:c r="O29" s="82" t="n">
        <x:f>Inputs!K20</x:f>
        <x:v>-0.15</x:v>
      </x:c>
      <x:c r="P29" s="82" t="n">
        <x:f>Inputs!L20</x:f>
        <x:v>0.01</x:v>
      </x:c>
      <x:c r="Q29" s="81" t="n">
        <x:f>(E29/E28)^M29</x:f>
        <x:v>1.0178934853272679</x:v>
      </x:c>
      <x:c r="R29" s="81" t="n">
        <x:f>(1/(1+P29))^(1+N29)</x:f>
        <x:v>0.9910846814801719</x:v>
      </x:c>
      <x:c r="S29" s="81" t="n">
        <x:f>(K29/K28)^N29</x:f>
        <x:v>0.999005461795949</x:v>
      </x:c>
      <x:c r="T29" s="81" t="n">
        <x:f>(K29/K28)^(O29*(1+N29))</x:f>
        <x:v>0.9986576071512541</x:v>
      </x:c>
      <x:c r="U29" s="81" t="n">
        <x:f>(L29/L28)^N29</x:f>
        <x:v>0.9933288805174272</x:v>
      </x:c>
      <x:c r="V29" s="81" t="n">
        <x:f>(L29/L28)^(O29*(1+N29))</x:f>
        <x:v>0.9910045179686268</x:v>
      </x:c>
      <x:c r="W29" s="60" t="n">
        <x:f>W28*Q29*R29*S29*T29</x:f>
        <x:v>815.6103226637988</x:v>
      </x:c>
      <x:c r="X29" s="60" t="n">
        <x:f>X28*Q29*R29*U29*V29</x:f>
        <x:v>780.7636086154339</x:v>
      </x:c>
      <x:c r="Y29" s="82" t="n">
        <x:f>W29*Inputs!$B$14*I29/1000000</x:f>
        <x:v>1.9157012846990527</x:v>
      </x:c>
      <x:c r="Z29" s="82" t="n">
        <x:f>X29*Inputs!$B$14*I29/1000000</x:f>
        <x:v>1.8338535039451662</x:v>
      </x:c>
      <x:c r="AA29" s="82" t="n">
        <x:f>Y29-Z29</x:f>
        <x:v>0.08184778075388643</x:v>
      </x:c>
      <x:c r="AB29" s="61" t="n">
        <x:f>IF(Y29=0,0,AA29/Y29)</x:f>
        <x:v>0.04272470943545059</x:v>
      </x:c>
      <x:c r="AC29" s="83" t="n">
        <x:f>X29*Inputs!$B$14*J29/1000000</x:f>
        <x:v>82.52340767753248</x:v>
      </x:c>
      <x:c r="AD29" s="82" t="n">
        <x:f>N29+O29*(1+N29)</x:f>
        <x:v>-0.23500000000000001</x:v>
      </x:c>
    </x:row>
    <x:row r="30">
      <x:c r="A30" s="14" t="n">
        <x:v>3</x:v>
      </x:c>
      <x:c r="B30" s="14" t="str">
        <x:f>Inputs!B20</x:f>
        <x:v>Industry</x:v>
      </x:c>
      <x:c r="C30" s="14" t="str">
        <x:f>Inputs!C20</x:f>
        <x:v>Natural gas</x:v>
      </x:c>
      <x:c r="D30" s="78" t="n">
        <x:v>2029</x:v>
      </x:c>
      <x:c r="E30" s="60" t="n">
        <x:f>Scenario!B8</x:f>
        <x:v>112.550881</x:v>
      </x:c>
      <x:c r="F30" s="79" t="n">
        <x:f>Scenario!D8</x:f>
        <x:v>60</x:v>
      </x:c>
      <x:c r="G30" s="79" t="n">
        <x:f>Inputs!E20*(1+Inputs!F20)^(D30-Inputs!$B$5)</x:f>
        <x:v>12.48724812</x:v>
      </x:c>
      <x:c r="H30" s="80" t="n">
        <x:f>Inputs!H20</x:f>
        <x:v>1</x:v>
      </x:c>
      <x:c r="I30" s="81" t="n">
        <x:f>Inputs!G20</x:f>
        <x:v>0.0561</x:v>
      </x:c>
      <x:c r="J30" s="79" t="n">
        <x:f>F30*I30*H30</x:f>
        <x:v>3.3659999999999997</x:v>
      </x:c>
      <x:c r="K30" s="79" t="n">
        <x:f>G30</x:f>
        <x:v>12.48724812</x:v>
      </x:c>
      <x:c r="L30" s="79" t="n">
        <x:f>G30+J30</x:f>
        <x:v>15.85324812</x:v>
      </x:c>
      <x:c r="M30" s="82" t="n">
        <x:f>Inputs!I20</x:f>
        <x:v>0.6</x:v>
      </x:c>
      <x:c r="N30" s="82" t="n">
        <x:f>Inputs!J20</x:f>
        <x:v>-0.1</x:v>
      </x:c>
      <x:c r="O30" s="82" t="n">
        <x:f>Inputs!K20</x:f>
        <x:v>-0.15</x:v>
      </x:c>
      <x:c r="P30" s="82" t="n">
        <x:f>Inputs!L20</x:f>
        <x:v>0.01</x:v>
      </x:c>
      <x:c r="Q30" s="81" t="n">
        <x:f>(E30/E29)^M30</x:f>
        <x:v>1.0178934853272679</x:v>
      </x:c>
      <x:c r="R30" s="81" t="n">
        <x:f>(1/(1+P30))^(1+N30)</x:f>
        <x:v>0.9910846814801719</x:v>
      </x:c>
      <x:c r="S30" s="81" t="n">
        <x:f>(K30/K29)^N30</x:f>
        <x:v>0.999005461795949</x:v>
      </x:c>
      <x:c r="T30" s="81" t="n">
        <x:f>(K30/K29)^(O30*(1+N30))</x:f>
        <x:v>0.9986576071512541</x:v>
      </x:c>
      <x:c r="U30" s="81" t="n">
        <x:f>(L30/L29)^N30</x:f>
        <x:v>0.9937385485133147</x:v>
      </x:c>
      <x:c r="V30" s="81" t="n">
        <x:f>(L30/L29)^(O30*(1+N30))</x:f>
        <x:v>0.9915563154555823</x:v>
      </x:c>
      <x:c r="W30" s="60" t="n">
        <x:f>W29*Q30*R30*S30*T30</x:f>
        <x:v>820.8811618910357</x:v>
      </x:c>
      <x:c r="X30" s="60" t="n">
        <x:f>X29*Q30*R30*U30*V30</x:f>
        <x:v>776.1080411579671</x:v>
      </x:c>
      <x:c r="Y30" s="82" t="n">
        <x:f>W30*Inputs!$B$14*I30/1000000</x:f>
        <x:v>1.9280814044676227</x:v>
      </x:c>
      <x:c r="Z30" s="82" t="n">
        <x:f>X30*Inputs!$B$14*I30/1000000</x:f>
        <x:v>1.8229185313100191</x:v>
      </x:c>
      <x:c r="AA30" s="82" t="n">
        <x:f>Y30-Z30</x:f>
        <x:v>0.10516287315760353</x:v>
      </x:c>
      <x:c r="AB30" s="61" t="n">
        <x:f>IF(Y30=0,0,AA30/Y30)</x:f>
        <x:v>0.05454275577469244</x:v>
      </x:c>
      <x:c r="AC30" s="83" t="n">
        <x:f>X30*Inputs!$B$14*J30/1000000</x:f>
        <x:v>109.37511187860115</x:v>
      </x:c>
      <x:c r="AD30" s="82" t="n">
        <x:f>N30+O30*(1+N30)</x:f>
        <x:v>-0.23500000000000001</x:v>
      </x:c>
    </x:row>
    <x:row r="31">
      <x:c r="A31" s="14" t="n">
        <x:v>3</x:v>
      </x:c>
      <x:c r="B31" s="14" t="str">
        <x:f>Inputs!B20</x:f>
        <x:v>Industry</x:v>
      </x:c>
      <x:c r="C31" s="14" t="str">
        <x:f>Inputs!C20</x:f>
        <x:v>Natural gas</x:v>
      </x:c>
      <x:c r="D31" s="78" t="n">
        <x:v>2030</x:v>
      </x:c>
      <x:c r="E31" s="60" t="n">
        <x:f>Scenario!B9</x:f>
        <x:v>115.92740743</x:v>
      </x:c>
      <x:c r="F31" s="79" t="n">
        <x:f>Scenario!D9</x:f>
        <x:v>75</x:v>
      </x:c>
      <x:c r="G31" s="79" t="n">
        <x:f>Inputs!E20*(1+Inputs!F20)^(D31-Inputs!$B$5)</x:f>
        <x:v>12.6121206012</x:v>
      </x:c>
      <x:c r="H31" s="80" t="n">
        <x:f>Inputs!H20</x:f>
        <x:v>1</x:v>
      </x:c>
      <x:c r="I31" s="81" t="n">
        <x:f>Inputs!G20</x:f>
        <x:v>0.0561</x:v>
      </x:c>
      <x:c r="J31" s="79" t="n">
        <x:f>F31*I31*H31</x:f>
        <x:v>4.2075</x:v>
      </x:c>
      <x:c r="K31" s="79" t="n">
        <x:f>G31</x:f>
        <x:v>12.6121206012</x:v>
      </x:c>
      <x:c r="L31" s="79" t="n">
        <x:f>G31+J31</x:f>
        <x:v>16.8196206012</x:v>
      </x:c>
      <x:c r="M31" s="82" t="n">
        <x:f>Inputs!I20</x:f>
        <x:v>0.6</x:v>
      </x:c>
      <x:c r="N31" s="82" t="n">
        <x:f>Inputs!J20</x:f>
        <x:v>-0.1</x:v>
      </x:c>
      <x:c r="O31" s="82" t="n">
        <x:f>Inputs!K20</x:f>
        <x:v>-0.15</x:v>
      </x:c>
      <x:c r="P31" s="82" t="n">
        <x:f>Inputs!L20</x:f>
        <x:v>0.01</x:v>
      </x:c>
      <x:c r="Q31" s="81" t="n">
        <x:f>(E31/E30)^M31</x:f>
        <x:v>1.0178934853272679</x:v>
      </x:c>
      <x:c r="R31" s="81" t="n">
        <x:f>(1/(1+P31))^(1+N31)</x:f>
        <x:v>0.9910846814801719</x:v>
      </x:c>
      <x:c r="S31" s="81" t="n">
        <x:f>(K31/K30)^N31</x:f>
        <x:v>0.999005461795949</x:v>
      </x:c>
      <x:c r="T31" s="81" t="n">
        <x:f>(K31/K30)^(O31*(1+N31))</x:f>
        <x:v>0.9986576071512541</x:v>
      </x:c>
      <x:c r="U31" s="81" t="n">
        <x:f>(L31/L30)^N31</x:f>
        <x:v>0.9941003029812383</x:v>
      </x:c>
      <x:c r="V31" s="81" t="n">
        <x:f>(L31/L30)^(O31*(1+N31))</x:f>
        <x:v>0.9920436425794362</x:v>
      </x:c>
      <x:c r="W31" s="60" t="n">
        <x:f>W30*Q31*R31*S31*T31</x:f>
        <x:v>826.1860636422346</x:v>
      </x:c>
      <x:c r="X31" s="60" t="n">
        <x:f>X30*Q31*R31*U31*V31</x:f>
        <x:v>772.1403818370181</x:v>
      </x:c>
      <x:c r="Y31" s="82" t="n">
        <x:f>W31*Inputs!$B$14*I31/1000000</x:f>
        <x:v>1.9405415301153497</x:v>
      </x:c>
      <x:c r="Z31" s="82" t="n">
        <x:f>X31*Inputs!$B$14*I31/1000000</x:f>
        <x:v>1.8135993137288027</x:v>
      </x:c>
      <x:c r="AA31" s="82" t="n">
        <x:f>Y31-Z31</x:f>
        <x:v>0.126942216386547</x:v>
      </x:c>
      <x:c r="AB31" s="61" t="n">
        <x:f>IF(Y31=0,0,AA31/Y31)</x:f>
        <x:v>0.06541587202155952</x:v>
      </x:c>
      <x:c r="AC31" s="83" t="n">
        <x:f>X31*Inputs!$B$14*J31/1000000</x:f>
        <x:v>136.01994852966018</x:v>
      </x:c>
      <x:c r="AD31" s="82" t="n">
        <x:f>N31+O31*(1+N31)</x:f>
        <x:v>-0.23500000000000001</x:v>
      </x:c>
    </x:row>
    <x:row r="32">
      <x:c r="A32" s="14" t="n">
        <x:v>3</x:v>
      </x:c>
      <x:c r="B32" s="14" t="str">
        <x:f>Inputs!B20</x:f>
        <x:v>Industry</x:v>
      </x:c>
      <x:c r="C32" s="14" t="str">
        <x:f>Inputs!C20</x:f>
        <x:v>Natural gas</x:v>
      </x:c>
      <x:c r="D32" s="78" t="n">
        <x:v>2031</x:v>
      </x:c>
      <x:c r="E32" s="60" t="n">
        <x:f>Scenario!B10</x:f>
        <x:v>119.4052296529</x:v>
      </x:c>
      <x:c r="F32" s="79" t="n">
        <x:f>Scenario!D10</x:f>
        <x:v>90</x:v>
      </x:c>
      <x:c r="G32" s="79" t="n">
        <x:f>Inputs!E20*(1+Inputs!F20)^(D32-Inputs!$B$5)</x:f>
        <x:v>12.738241807212002</x:v>
      </x:c>
      <x:c r="H32" s="80" t="n">
        <x:f>Inputs!H20</x:f>
        <x:v>1</x:v>
      </x:c>
      <x:c r="I32" s="81" t="n">
        <x:f>Inputs!G20</x:f>
        <x:v>0.0561</x:v>
      </x:c>
      <x:c r="J32" s="79" t="n">
        <x:f>F32*I32*H32</x:f>
        <x:v>5.0489999999999995</x:v>
      </x:c>
      <x:c r="K32" s="79" t="n">
        <x:f>G32</x:f>
        <x:v>12.738241807212002</x:v>
      </x:c>
      <x:c r="L32" s="79" t="n">
        <x:f>G32+J32</x:f>
        <x:v>17.787241807212002</x:v>
      </x:c>
      <x:c r="M32" s="82" t="n">
        <x:f>Inputs!I20</x:f>
        <x:v>0.6</x:v>
      </x:c>
      <x:c r="N32" s="82" t="n">
        <x:f>Inputs!J20</x:f>
        <x:v>-0.1</x:v>
      </x:c>
      <x:c r="O32" s="82" t="n">
        <x:f>Inputs!K20</x:f>
        <x:v>-0.15</x:v>
      </x:c>
      <x:c r="P32" s="82" t="n">
        <x:f>Inputs!L20</x:f>
        <x:v>0.01</x:v>
      </x:c>
      <x:c r="Q32" s="81" t="n">
        <x:f>(E32/E31)^M32</x:f>
        <x:v>1.0178934853272679</x:v>
      </x:c>
      <x:c r="R32" s="81" t="n">
        <x:f>(1/(1+P32))^(1+N32)</x:f>
        <x:v>0.9910846814801719</x:v>
      </x:c>
      <x:c r="S32" s="81" t="n">
        <x:f>(K32/K31)^N32</x:f>
        <x:v>0.999005461795949</x:v>
      </x:c>
      <x:c r="T32" s="81" t="n">
        <x:f>(K32/K31)^(O32*(1+N32))</x:f>
        <x:v>0.9986576071512541</x:v>
      </x:c>
      <x:c r="U32" s="81" t="n">
        <x:f>(L32/L31)^N32</x:f>
        <x:v>0.99442207968727</x:v>
      </x:c>
      <x:c r="V32" s="81" t="n">
        <x:f>(L32/L31)^(O32*(1+N32))</x:f>
        <x:v>0.9924771669740705</x:v>
      </x:c>
      <x:c r="W32" s="60" t="n">
        <x:f>W31*Q32*R32*S32*T32</x:f>
        <x:v>831.5252480446823</x:v>
      </x:c>
      <x:c r="X32" s="60" t="n">
        <x:f>X31*Q32*R32*U32*V32</x:f>
        <x:v>768.7774698134813</x:v>
      </x:c>
      <x:c r="Y32" s="82" t="n">
        <x:f>W32*Inputs!$B$14*I32/1000000</x:f>
        <x:v>1.95308217867606</x:v>
      </x:c>
      <x:c r="Z32" s="82" t="n">
        <x:f>X32*Inputs!$B$14*I32/1000000</x:f>
        <x:v>1.8057005234550618</x:v>
      </x:c>
      <x:c r="AA32" s="82" t="n">
        <x:f>Y32-Z32</x:f>
        <x:v>0.1473816552209981</x:v>
      </x:c>
      <x:c r="AB32" s="61" t="n">
        <x:f>IF(Y32=0,0,AA32/Y32)</x:f>
        <x:v>0.07546106192055065</x:v>
      </x:c>
      <x:c r="AC32" s="83" t="n">
        <x:f>X32*Inputs!$B$14*J32/1000000</x:f>
        <x:v>162.51304711095557</x:v>
      </x:c>
      <x:c r="AD32" s="82" t="n">
        <x:f>N32+O32*(1+N32)</x:f>
        <x:v>-0.23500000000000001</x:v>
      </x:c>
    </x:row>
    <x:row r="33">
      <x:c r="A33" s="14" t="n">
        <x:v>3</x:v>
      </x:c>
      <x:c r="B33" s="14" t="str">
        <x:f>Inputs!B20</x:f>
        <x:v>Industry</x:v>
      </x:c>
      <x:c r="C33" s="14" t="str">
        <x:f>Inputs!C20</x:f>
        <x:v>Natural gas</x:v>
      </x:c>
      <x:c r="D33" s="78" t="n">
        <x:v>2032</x:v>
      </x:c>
      <x:c r="E33" s="60" t="n">
        <x:f>Scenario!B11</x:f>
        <x:v>122.987386542487</x:v>
      </x:c>
      <x:c r="F33" s="79" t="n">
        <x:f>Scenario!D11</x:f>
        <x:v>105</x:v>
      </x:c>
      <x:c r="G33" s="79" t="n">
        <x:f>Inputs!E20*(1+Inputs!F20)^(D33-Inputs!$B$5)</x:f>
        <x:v>12.865624225284119</x:v>
      </x:c>
      <x:c r="H33" s="80" t="n">
        <x:f>Inputs!H20</x:f>
        <x:v>1</x:v>
      </x:c>
      <x:c r="I33" s="81" t="n">
        <x:f>Inputs!G20</x:f>
        <x:v>0.0561</x:v>
      </x:c>
      <x:c r="J33" s="79" t="n">
        <x:f>F33*I33*H33</x:f>
        <x:v>5.890499999999999</x:v>
      </x:c>
      <x:c r="K33" s="79" t="n">
        <x:f>G33</x:f>
        <x:v>12.865624225284119</x:v>
      </x:c>
      <x:c r="L33" s="79" t="n">
        <x:f>G33+J33</x:f>
        <x:v>18.75612422528412</x:v>
      </x:c>
      <x:c r="M33" s="82" t="n">
        <x:f>Inputs!I20</x:f>
        <x:v>0.6</x:v>
      </x:c>
      <x:c r="N33" s="82" t="n">
        <x:f>Inputs!J20</x:f>
        <x:v>-0.1</x:v>
      </x:c>
      <x:c r="O33" s="82" t="n">
        <x:f>Inputs!K20</x:f>
        <x:v>-0.15</x:v>
      </x:c>
      <x:c r="P33" s="82" t="n">
        <x:f>Inputs!L20</x:f>
        <x:v>0.01</x:v>
      </x:c>
      <x:c r="Q33" s="81" t="n">
        <x:f>(E33/E32)^M33</x:f>
        <x:v>1.0178934853272679</x:v>
      </x:c>
      <x:c r="R33" s="81" t="n">
        <x:f>(1/(1+P33))^(1+N33)</x:f>
        <x:v>0.9910846814801719</x:v>
      </x:c>
      <x:c r="S33" s="81" t="n">
        <x:f>(K33/K32)^N33</x:f>
        <x:v>0.999005461795949</x:v>
      </x:c>
      <x:c r="T33" s="81" t="n">
        <x:f>(K33/K32)^(O33*(1+N33))</x:f>
        <x:v>0.9986576071512542</x:v>
      </x:c>
      <x:c r="U33" s="81" t="n">
        <x:f>(L33/L32)^N33</x:f>
        <x:v>0.994710153124576</x:v>
      </x:c>
      <x:c r="V33" s="81" t="n">
        <x:f>(L33/L32)^(O33*(1+N33))</x:f>
        <x:v>0.9928653251725783</x:v>
      </x:c>
      <x:c r="W33" s="60" t="n">
        <x:f>W32*Q33*R33*S33*T33</x:f>
        <x:v>836.8989366482269</x:v>
      </x:c>
      <x:c r="X33" s="60" t="n">
        <x:f>X32*Q33*R33*U33*V33</x:f>
        <x:v>765.9503873462457</x:v>
      </x:c>
      <x:c r="Y33" s="82" t="n">
        <x:f>W33*Inputs!$B$14*I33/1000000</x:f>
        <x:v>1.9657038705248848</x:v>
      </x:c>
      <x:c r="Z33" s="82" t="n">
        <x:f>X33*Inputs!$B$14*I33/1000000</x:f>
        <x:v>1.7990602868568477</x:v>
      </x:c>
      <x:c r="AA33" s="82" t="n">
        <x:f>Y33-Z33</x:f>
        <x:v>0.1666435836680371</x:v>
      </x:c>
      <x:c r="AB33" s="61" t="n">
        <x:f>IF(Y33=0,0,AA33/Y33)</x:f>
        <x:v>0.08477552807765482</x:v>
      </x:c>
      <x:c r="AC33" s="83" t="n">
        <x:f>X33*Inputs!$B$14*J33/1000000</x:f>
        <x:v>188.901330119969</x:v>
      </x:c>
      <x:c r="AD33" s="82" t="n">
        <x:f>N33+O33*(1+N33)</x:f>
        <x:v>-0.23500000000000001</x:v>
      </x:c>
    </x:row>
    <x:row r="34">
      <x:c r="A34" s="14" t="n">
        <x:v>3</x:v>
      </x:c>
      <x:c r="B34" s="14" t="str">
        <x:f>Inputs!B20</x:f>
        <x:v>Industry</x:v>
      </x:c>
      <x:c r="C34" s="14" t="str">
        <x:f>Inputs!C20</x:f>
        <x:v>Natural gas</x:v>
      </x:c>
      <x:c r="D34" s="78" t="n">
        <x:v>2033</x:v>
      </x:c>
      <x:c r="E34" s="60" t="n">
        <x:f>Scenario!B12</x:f>
        <x:v>126.67700813876162</x:v>
      </x:c>
      <x:c r="F34" s="79" t="n">
        <x:f>Scenario!D12</x:f>
        <x:v>120</x:v>
      </x:c>
      <x:c r="G34" s="79" t="n">
        <x:f>Inputs!E20*(1+Inputs!F20)^(D34-Inputs!$B$5)</x:f>
        <x:v>12.994280467536964</x:v>
      </x:c>
      <x:c r="H34" s="80" t="n">
        <x:f>Inputs!H20</x:f>
        <x:v>1</x:v>
      </x:c>
      <x:c r="I34" s="81" t="n">
        <x:f>Inputs!G20</x:f>
        <x:v>0.0561</x:v>
      </x:c>
      <x:c r="J34" s="79" t="n">
        <x:f>F34*I34*H34</x:f>
        <x:v>6.731999999999999</x:v>
      </x:c>
      <x:c r="K34" s="79" t="n">
        <x:f>G34</x:f>
        <x:v>12.994280467536964</x:v>
      </x:c>
      <x:c r="L34" s="79" t="n">
        <x:f>G34+J34</x:f>
        <x:v>19.726280467536963</x:v>
      </x:c>
      <x:c r="M34" s="82" t="n">
        <x:f>Inputs!I20</x:f>
        <x:v>0.6</x:v>
      </x:c>
      <x:c r="N34" s="82" t="n">
        <x:f>Inputs!J20</x:f>
        <x:v>-0.1</x:v>
      </x:c>
      <x:c r="O34" s="82" t="n">
        <x:f>Inputs!K20</x:f>
        <x:v>-0.15</x:v>
      </x:c>
      <x:c r="P34" s="82" t="n">
        <x:f>Inputs!L20</x:f>
        <x:v>0.01</x:v>
      </x:c>
      <x:c r="Q34" s="81" t="n">
        <x:f>(E34/E33)^M34</x:f>
        <x:v>1.0178934853272679</x:v>
      </x:c>
      <x:c r="R34" s="81" t="n">
        <x:f>(1/(1+P34))^(1+N34)</x:f>
        <x:v>0.9910846814801719</x:v>
      </x:c>
      <x:c r="S34" s="81" t="n">
        <x:f>(K34/K33)^N34</x:f>
        <x:v>0.999005461795949</x:v>
      </x:c>
      <x:c r="T34" s="81" t="n">
        <x:f>(K34/K33)^(O34*(1+N34))</x:f>
        <x:v>0.9986576071512541</x:v>
      </x:c>
      <x:c r="U34" s="81" t="n">
        <x:f>(L34/L33)^N34</x:f>
        <x:v>0.994969549692259</x:v>
      </x:c>
      <x:c r="V34" s="81" t="n">
        <x:f>(L34/L33)^(O34*(1+N34))</x:f>
        <x:v>0.9932148770220666</x:v>
      </x:c>
      <x:c r="W34" s="60" t="n">
        <x:f>W33*Q34*R34*S34*T34</x:f>
        <x:v>842.3073524344708</x:v>
      </x:c>
      <x:c r="X34" s="60" t="n">
        <x:f>X33*Q34*R34*U34*V34</x:f>
        <x:v>763.6014498433158</x:v>
      </x:c>
      <x:c r="Y34" s="82" t="n">
        <x:f>W34*Inputs!$B$14*I34/1000000</x:f>
        <x:v>1.9784071293998522</x:v>
      </x:c>
      <x:c r="Z34" s="82" t="n">
        <x:f>X34*Inputs!$B$14*I34/1000000</x:f>
        <x:v>1.793543114664441</x:v>
      </x:c>
      <x:c r="AA34" s="82" t="n">
        <x:f>Y34-Z34</x:f>
        <x:v>0.18486401473541125</x:v>
      </x:c>
      <x:c r="AB34" s="61" t="n">
        <x:f>IF(Y34=0,0,AA34/Y34)</x:f>
        <x:v>0.09344083530041138</x:v>
      </x:c>
      <x:c r="AC34" s="83" t="n">
        <x:f>X34*Inputs!$B$14*J34/1000000</x:f>
        <x:v>215.2251737597329</x:v>
      </x:c>
      <x:c r="AD34" s="82" t="n">
        <x:f>N34+O34*(1+N34)</x:f>
        <x:v>-0.23500000000000001</x:v>
      </x:c>
    </x:row>
    <x:row r="35">
      <x:c r="A35" s="14" t="n">
        <x:v>3</x:v>
      </x:c>
      <x:c r="B35" s="14" t="str">
        <x:f>Inputs!B20</x:f>
        <x:v>Industry</x:v>
      </x:c>
      <x:c r="C35" s="14" t="str">
        <x:f>Inputs!C20</x:f>
        <x:v>Natural gas</x:v>
      </x:c>
      <x:c r="D35" s="78" t="n">
        <x:v>2034</x:v>
      </x:c>
      <x:c r="E35" s="60" t="n">
        <x:f>Scenario!B13</x:f>
        <x:v>130.47731838292447</x:v>
      </x:c>
      <x:c r="F35" s="79" t="n">
        <x:f>Scenario!D13</x:f>
        <x:v>135</x:v>
      </x:c>
      <x:c r="G35" s="79" t="n">
        <x:f>Inputs!E20*(1+Inputs!F20)^(D35-Inputs!$B$5)</x:f>
        <x:v>13.124223272212333</x:v>
      </x:c>
      <x:c r="H35" s="80" t="n">
        <x:f>Inputs!H20</x:f>
        <x:v>1</x:v>
      </x:c>
      <x:c r="I35" s="81" t="n">
        <x:f>Inputs!G20</x:f>
        <x:v>0.0561</x:v>
      </x:c>
      <x:c r="J35" s="79" t="n">
        <x:f>F35*I35*H35</x:f>
        <x:v>7.573499999999999</x:v>
      </x:c>
      <x:c r="K35" s="79" t="n">
        <x:f>G35</x:f>
        <x:v>13.124223272212333</x:v>
      </x:c>
      <x:c r="L35" s="79" t="n">
        <x:f>G35+J35</x:f>
        <x:v>20.697723272212333</x:v>
      </x:c>
      <x:c r="M35" s="82" t="n">
        <x:f>Inputs!I20</x:f>
        <x:v>0.6</x:v>
      </x:c>
      <x:c r="N35" s="82" t="n">
        <x:f>Inputs!J20</x:f>
        <x:v>-0.1</x:v>
      </x:c>
      <x:c r="O35" s="82" t="n">
        <x:f>Inputs!K20</x:f>
        <x:v>-0.15</x:v>
      </x:c>
      <x:c r="P35" s="82" t="n">
        <x:f>Inputs!L20</x:f>
        <x:v>0.01</x:v>
      </x:c>
      <x:c r="Q35" s="81" t="n">
        <x:f>(E35/E34)^M35</x:f>
        <x:v>1.0178934853272679</x:v>
      </x:c>
      <x:c r="R35" s="81" t="n">
        <x:f>(1/(1+P35))^(1+N35)</x:f>
        <x:v>0.9910846814801719</x:v>
      </x:c>
      <x:c r="S35" s="81" t="n">
        <x:f>(K35/K34)^N35</x:f>
        <x:v>0.999005461795949</x:v>
      </x:c>
      <x:c r="T35" s="81" t="n">
        <x:f>(K35/K34)^(O35*(1+N35))</x:f>
        <x:v>0.9986576071512541</x:v>
      </x:c>
      <x:c r="U35" s="81" t="n">
        <x:f>(L35/L34)^N35</x:f>
        <x:v>0.9952043433803421</x:v>
      </x:c>
      <x:c r="V35" s="81" t="n">
        <x:f>(L35/L34)^(O35*(1+N35))</x:f>
        <x:v>0.9935313025739034</x:v>
      </x:c>
      <x:c r="W35" s="60" t="n">
        <x:f>W34*Q35*R35*S35*T35</x:f>
        <x:v>847.7507198260232</x:v>
      </x:c>
      <x:c r="X35" s="60" t="n">
        <x:f>X34*Q35*R35*U35*V35</x:f>
        <x:v>761.681943316095</x:v>
      </x:c>
      <x:c r="Y35" s="82" t="n">
        <x:f>W35*Inputs!$B$14*I35/1000000</x:f>
        <x:v>1.9911924824236202</x:v>
      </x:c>
      <x:c r="Z35" s="82" t="n">
        <x:f>X35*Inputs!$B$14*I35/1000000</x:f>
        <x:v>1.7890345877147387</x:v>
      </x:c>
      <x:c r="AA35" s="82" t="n">
        <x:f>Y35-Z35</x:f>
        <x:v>0.20215789470888157</x:v>
      </x:c>
      <x:c r="AB35" s="61" t="n">
        <x:f>IF(Y35=0,0,AA35/Y35)</x:f>
        <x:v>0.1015260435610027</x:v>
      </x:c>
      <x:c r="AC35" s="83" t="n">
        <x:f>X35*Inputs!$B$14*J35/1000000</x:f>
        <x:v>241.5196693414897</x:v>
      </x:c>
      <x:c r="AD35" s="82" t="n">
        <x:f>N35+O35*(1+N35)</x:f>
        <x:v>-0.23500000000000001</x:v>
      </x:c>
    </x:row>
    <x:row r="36">
      <x:c r="A36" s="14" t="n">
        <x:v>3</x:v>
      </x:c>
      <x:c r="B36" s="14" t="str">
        <x:f>Inputs!B20</x:f>
        <x:v>Industry</x:v>
      </x:c>
      <x:c r="C36" s="14" t="str">
        <x:f>Inputs!C20</x:f>
        <x:v>Natural gas</x:v>
      </x:c>
      <x:c r="D36" s="78" t="n">
        <x:v>2035</x:v>
      </x:c>
      <x:c r="E36" s="60" t="n">
        <x:f>Scenario!B14</x:f>
        <x:v>134.39163793441222</x:v>
      </x:c>
      <x:c r="F36" s="79" t="n">
        <x:f>Scenario!D14</x:f>
        <x:v>150</x:v>
      </x:c>
      <x:c r="G36" s="79" t="n">
        <x:f>Inputs!E20*(1+Inputs!F20)^(D36-Inputs!$B$5)</x:f>
        <x:v>13.255465504934456</x:v>
      </x:c>
      <x:c r="H36" s="80" t="n">
        <x:f>Inputs!H20</x:f>
        <x:v>1</x:v>
      </x:c>
      <x:c r="I36" s="81" t="n">
        <x:f>Inputs!G20</x:f>
        <x:v>0.0561</x:v>
      </x:c>
      <x:c r="J36" s="79" t="n">
        <x:f>F36*I36*H36</x:f>
        <x:v>8.415</x:v>
      </x:c>
      <x:c r="K36" s="79" t="n">
        <x:f>G36</x:f>
        <x:v>13.255465504934456</x:v>
      </x:c>
      <x:c r="L36" s="79" t="n">
        <x:f>G36+J36</x:f>
        <x:v>21.670465504934455</x:v>
      </x:c>
      <x:c r="M36" s="82" t="n">
        <x:f>Inputs!I20</x:f>
        <x:v>0.6</x:v>
      </x:c>
      <x:c r="N36" s="82" t="n">
        <x:f>Inputs!J20</x:f>
        <x:v>-0.1</x:v>
      </x:c>
      <x:c r="O36" s="82" t="n">
        <x:f>Inputs!K20</x:f>
        <x:v>-0.15</x:v>
      </x:c>
      <x:c r="P36" s="82" t="n">
        <x:f>Inputs!L20</x:f>
        <x:v>0.01</x:v>
      </x:c>
      <x:c r="Q36" s="81" t="n">
        <x:f>(E36/E35)^M36</x:f>
        <x:v>1.0178934853272679</x:v>
      </x:c>
      <x:c r="R36" s="81" t="n">
        <x:f>(1/(1+P36))^(1+N36)</x:f>
        <x:v>0.9910846814801719</x:v>
      </x:c>
      <x:c r="S36" s="81" t="n">
        <x:f>(K36/K35)^N36</x:f>
        <x:v>0.999005461795949</x:v>
      </x:c>
      <x:c r="T36" s="81" t="n">
        <x:f>(K36/K35)^(O36*(1+N36))</x:f>
        <x:v>0.9986576071512541</x:v>
      </x:c>
      <x:c r="U36" s="81" t="n">
        <x:f>(L36/L35)^N36</x:f>
        <x:v>0.9954178711831919</x:v>
      </x:c>
      <x:c r="V36" s="81" t="n">
        <x:f>(L36/L35)^(O36*(1+N36))</x:f>
        <x:v>0.9938190913136179</x:v>
      </x:c>
      <x:c r="W36" s="60" t="n">
        <x:f>W35*Q36*R36*S36*T36</x:f>
        <x:v>853.229264695813</x:v>
      </x:c>
      <x:c r="X36" s="60" t="n">
        <x:f>X35*Q36*R36*U36*V36</x:f>
        <x:v>760.1503984334098</x:v>
      </x:c>
      <x:c r="Y36" s="82" t="n">
        <x:f>W36*Inputs!$B$14*I36/1000000</x:f>
        <x:v>2.004060460125349</x:v>
      </x:c>
      <x:c r="Z36" s="82" t="n">
        <x:f>X36*Inputs!$B$14*I36/1000000</x:f>
        <x:v>1.785437303058321</x:v>
      </x:c>
      <x:c r="AA36" s="82" t="n">
        <x:f>Y36-Z36</x:f>
        <x:v>0.21862315706702784</x:v>
      </x:c>
      <x:c r="AB36" s="61" t="n">
        <x:f>IF(Y36=0,0,AA36/Y36)</x:f>
        <x:v>0.10909010053187393</x:v>
      </x:c>
      <x:c r="AC36" s="83" t="n">
        <x:f>X36*Inputs!$B$14*J36/1000000</x:f>
        <x:v>267.81559545874813</x:v>
      </x:c>
      <x:c r="AD36" s="82" t="n">
        <x:f>N36+O36*(1+N36)</x:f>
        <x:v>-0.23500000000000001</x:v>
      </x:c>
    </x:row>
    <x:row r="37">
      <x:c r="A37" s="14" t="n">
        <x:v>4</x:v>
      </x:c>
      <x:c r="B37" s="14" t="str">
        <x:f>Inputs!B21</x:f>
        <x:v>Industry</x:v>
      </x:c>
      <x:c r="C37" s="14" t="str">
        <x:f>Inputs!C21</x:f>
        <x:v>Coal</x:v>
      </x:c>
      <x:c r="D37" s="78" t="n">
        <x:v>2025</x:v>
      </x:c>
      <x:c r="E37" s="60" t="n">
        <x:f>Scenario!B4</x:f>
        <x:v>100</x:v>
      </x:c>
      <x:c r="F37" s="79" t="n">
        <x:f>Scenario!D4</x:f>
        <x:v>0</x:v>
      </x:c>
      <x:c r="G37" s="79" t="n">
        <x:f>Inputs!E21*(1+Inputs!F21)^(D37-Inputs!$B$5)</x:f>
        <x:v>7</x:v>
      </x:c>
      <x:c r="H37" s="80" t="n">
        <x:f>Inputs!H21</x:f>
        <x:v>1</x:v>
      </x:c>
      <x:c r="I37" s="81" t="n">
        <x:f>Inputs!G21</x:f>
        <x:v>0.0946</x:v>
      </x:c>
      <x:c r="J37" s="79" t="n">
        <x:f>F37*I37*H37</x:f>
        <x:v>0</x:v>
      </x:c>
      <x:c r="K37" s="79" t="n">
        <x:f>G37</x:f>
        <x:v>7</x:v>
      </x:c>
      <x:c r="L37" s="79" t="n">
        <x:f>G37+J37</x:f>
        <x:v>7</x:v>
      </x:c>
      <x:c r="M37" s="82" t="n">
        <x:f>Inputs!I21</x:f>
        <x:v>0.6</x:v>
      </x:c>
      <x:c r="N37" s="82" t="n">
        <x:f>Inputs!J21</x:f>
        <x:v>-0.12</x:v>
      </x:c>
      <x:c r="O37" s="82" t="n">
        <x:f>Inputs!K21</x:f>
        <x:v>-0.18</x:v>
      </x:c>
      <x:c r="P37" s="82" t="n">
        <x:f>Inputs!L21</x:f>
        <x:v>0.01</x:v>
      </x:c>
      <x:c r="Q37" s="81" t="n">
        <x:v>1</x:v>
      </x:c>
      <x:c r="R37" s="81" t="n">
        <x:v>1</x:v>
      </x:c>
      <x:c r="S37" s="81" t="n">
        <x:v>1</x:v>
      </x:c>
      <x:c r="T37" s="81" t="n">
        <x:v>1</x:v>
      </x:c>
      <x:c r="U37" s="81" t="n">
        <x:v>1</x:v>
      </x:c>
      <x:c r="V37" s="81" t="n">
        <x:v>1</x:v>
      </x:c>
      <x:c r="W37" s="60" t="n">
        <x:f>Inputs!D21</x:f>
        <x:v>500</x:v>
      </x:c>
      <x:c r="X37" s="60" t="n">
        <x:f>Inputs!D21</x:f>
        <x:v>500</x:v>
      </x:c>
      <x:c r="Y37" s="82" t="n">
        <x:f>W37*Inputs!$B$14*I37/1000000</x:f>
        <x:v>1.9803564000000002</x:v>
      </x:c>
      <x:c r="Z37" s="82" t="n">
        <x:f>X37*Inputs!$B$14*I37/1000000</x:f>
        <x:v>1.9803564000000002</x:v>
      </x:c>
      <x:c r="AA37" s="82" t="n">
        <x:f>Y37-Z37</x:f>
        <x:v>0</x:v>
      </x:c>
      <x:c r="AB37" s="61" t="n">
        <x:f>IF(Y37=0,0,AA37/Y37)</x:f>
        <x:v>0</x:v>
      </x:c>
      <x:c r="AC37" s="83" t="n">
        <x:f>X37*Inputs!$B$14*J37/1000000</x:f>
        <x:v>0</x:v>
      </x:c>
      <x:c r="AD37" s="82" t="n">
        <x:f>N37+O37*(1+N37)</x:f>
        <x:v>-0.2784</x:v>
      </x:c>
    </x:row>
    <x:row r="38">
      <x:c r="A38" s="14" t="n">
        <x:v>4</x:v>
      </x:c>
      <x:c r="B38" s="14" t="str">
        <x:f>Inputs!B21</x:f>
        <x:v>Industry</x:v>
      </x:c>
      <x:c r="C38" s="14" t="str">
        <x:f>Inputs!C21</x:f>
        <x:v>Coal</x:v>
      </x:c>
      <x:c r="D38" s="78" t="n">
        <x:v>2026</x:v>
      </x:c>
      <x:c r="E38" s="60" t="n">
        <x:f>Scenario!B5</x:f>
        <x:v>103</x:v>
      </x:c>
      <x:c r="F38" s="79" t="n">
        <x:f>Scenario!D5</x:f>
        <x:v>15</x:v>
      </x:c>
      <x:c r="G38" s="79" t="n">
        <x:f>Inputs!E21*(1+Inputs!F21)^(D38-Inputs!$B$5)</x:f>
        <x:v>7.07</x:v>
      </x:c>
      <x:c r="H38" s="80" t="n">
        <x:f>Inputs!H21</x:f>
        <x:v>1</x:v>
      </x:c>
      <x:c r="I38" s="81" t="n">
        <x:f>Inputs!G21</x:f>
        <x:v>0.0946</x:v>
      </x:c>
      <x:c r="J38" s="79" t="n">
        <x:f>F38*I38*H38</x:f>
        <x:v>1.419</x:v>
      </x:c>
      <x:c r="K38" s="79" t="n">
        <x:f>G38</x:f>
        <x:v>7.07</x:v>
      </x:c>
      <x:c r="L38" s="79" t="n">
        <x:f>G38+J38</x:f>
        <x:v>8.489</x:v>
      </x:c>
      <x:c r="M38" s="82" t="n">
        <x:f>Inputs!I21</x:f>
        <x:v>0.6</x:v>
      </x:c>
      <x:c r="N38" s="82" t="n">
        <x:f>Inputs!J21</x:f>
        <x:v>-0.12</x:v>
      </x:c>
      <x:c r="O38" s="82" t="n">
        <x:f>Inputs!K21</x:f>
        <x:v>-0.18</x:v>
      </x:c>
      <x:c r="P38" s="82" t="n">
        <x:f>Inputs!L21</x:f>
        <x:v>0.01</x:v>
      </x:c>
      <x:c r="Q38" s="81" t="n">
        <x:f>(E38/E37)^M38</x:f>
        <x:v>1.0178934853272679</x:v>
      </x:c>
      <x:c r="R38" s="81" t="n">
        <x:f>(1/(1+P38))^(1+N38)</x:f>
        <x:v>0.9912819335164358</x:v>
      </x:c>
      <x:c r="S38" s="81" t="n">
        <x:f>(K38/K37)^N38</x:f>
        <x:v>0.9988066728793801</x:v>
      </x:c>
      <x:c r="T38" s="81" t="n">
        <x:f>(K38/K37)^(O38*(1+N38))</x:f>
        <x:v>0.998425109037228</x:v>
      </x:c>
      <x:c r="U38" s="81" t="n">
        <x:f>(L38/L37)^N38</x:f>
        <x:v>0.977122425667502</x:v>
      </x:c>
      <x:c r="V38" s="81" t="n">
        <x:f>(L38/L37)^(O38*(1+N38))</x:f>
        <x:v>0.9699127192399544</x:v>
      </x:c>
      <x:c r="W38" s="60" t="n">
        <x:f>W37*Q38*R38*S38*T38</x:f>
        <x:v>503.1140663743373</x:v>
      </x:c>
      <x:c r="X38" s="60" t="n">
        <x:f>X37*Q38*R38*U38*V38</x:f>
        <x:v>478.13569352544334</x:v>
      </x:c>
      <x:c r="Y38" s="82" t="n">
        <x:f>W38*Inputs!$B$14*I38/1000000</x:f>
        <x:v>1.9926903225488872</x:v>
      </x:c>
      <x:c r="Z38" s="82" t="n">
        <x:f>X38*Inputs!$B$14*I38/1000000</x:f>
        <x:v>1.893758161483101</x:v>
      </x:c>
      <x:c r="AA38" s="82" t="n">
        <x:f>Y38-Z38</x:f>
        <x:v>0.09893216106578628</x:v>
      </x:c>
      <x:c r="AB38" s="61" t="n">
        <x:f>IF(Y38=0,0,AA38/Y38)</x:f>
        <x:v>0.049647534263748676</x:v>
      </x:c>
      <x:c r="AC38" s="83" t="n">
        <x:f>X38*Inputs!$B$14*J38/1000000</x:f>
        <x:v>28.406372422246513</x:v>
      </x:c>
      <x:c r="AD38" s="82" t="n">
        <x:f>N38+O38*(1+N38)</x:f>
        <x:v>-0.2784</x:v>
      </x:c>
    </x:row>
    <x:row r="39">
      <x:c r="A39" s="14" t="n">
        <x:v>4</x:v>
      </x:c>
      <x:c r="B39" s="14" t="str">
        <x:f>Inputs!B21</x:f>
        <x:v>Industry</x:v>
      </x:c>
      <x:c r="C39" s="14" t="str">
        <x:f>Inputs!C21</x:f>
        <x:v>Coal</x:v>
      </x:c>
      <x:c r="D39" s="78" t="n">
        <x:v>2027</x:v>
      </x:c>
      <x:c r="E39" s="60" t="n">
        <x:f>Scenario!B6</x:f>
        <x:v>106.09</x:v>
      </x:c>
      <x:c r="F39" s="79" t="n">
        <x:f>Scenario!D6</x:f>
        <x:v>30</x:v>
      </x:c>
      <x:c r="G39" s="79" t="n">
        <x:f>Inputs!E21*(1+Inputs!F21)^(D39-Inputs!$B$5)</x:f>
        <x:v>7.1407</x:v>
      </x:c>
      <x:c r="H39" s="80" t="n">
        <x:f>Inputs!H21</x:f>
        <x:v>1</x:v>
      </x:c>
      <x:c r="I39" s="81" t="n">
        <x:f>Inputs!G21</x:f>
        <x:v>0.0946</x:v>
      </x:c>
      <x:c r="J39" s="79" t="n">
        <x:f>F39*I39*H39</x:f>
        <x:v>2.838</x:v>
      </x:c>
      <x:c r="K39" s="79" t="n">
        <x:f>G39</x:f>
        <x:v>7.1407</x:v>
      </x:c>
      <x:c r="L39" s="79" t="n">
        <x:f>G39+J39</x:f>
        <x:v>9.9787</x:v>
      </x:c>
      <x:c r="M39" s="82" t="n">
        <x:f>Inputs!I21</x:f>
        <x:v>0.6</x:v>
      </x:c>
      <x:c r="N39" s="82" t="n">
        <x:f>Inputs!J21</x:f>
        <x:v>-0.12</x:v>
      </x:c>
      <x:c r="O39" s="82" t="n">
        <x:f>Inputs!K21</x:f>
        <x:v>-0.18</x:v>
      </x:c>
      <x:c r="P39" s="82" t="n">
        <x:f>Inputs!L21</x:f>
        <x:v>0.01</x:v>
      </x:c>
      <x:c r="Q39" s="81" t="n">
        <x:f>(E39/E38)^M39</x:f>
        <x:v>1.0178934853272679</x:v>
      </x:c>
      <x:c r="R39" s="81" t="n">
        <x:f>(1/(1+P39))^(1+N39)</x:f>
        <x:v>0.9912819335164358</x:v>
      </x:c>
      <x:c r="S39" s="81" t="n">
        <x:f>(K39/K38)^N39</x:f>
        <x:v>0.9988066728793801</x:v>
      </x:c>
      <x:c r="T39" s="81" t="n">
        <x:f>(K39/K38)^(O39*(1+N39))</x:f>
        <x:v>0.998425109037228</x:v>
      </x:c>
      <x:c r="U39" s="81" t="n">
        <x:f>(L39/L38)^N39</x:f>
        <x:v>0.9807852098169666</x:v>
      </x:c>
      <x:c r="V39" s="81" t="n">
        <x:f>(L39/L38)^(O39*(1+N39))</x:f>
        <x:v>0.9747147961077919</x:v>
      </x:c>
      <x:c r="W39" s="60" t="n">
        <x:f>W38*Q39*R39*S39*T39</x:f>
        <x:v>506.24752756744226</x:v>
      </x:c>
      <x:c r="X39" s="60" t="n">
        <x:f>X38*Q39*R39*U39*V39</x:f>
        <x:v>461.21365654528705</x:v>
      </x:c>
      <x:c r="Y39" s="82" t="n">
        <x:f>W39*Inputs!$B$14*I39/1000000</x:f>
        <x:v>2.0051010624047216</x:v>
      </x:c>
      <x:c r="Z39" s="82" t="n">
        <x:f>X39*Inputs!$B$14*I39/1000000</x:f>
        <x:v>1.8267348330137223</x:v>
      </x:c>
      <x:c r="AA39" s="82" t="n">
        <x:f>Y39-Z39</x:f>
        <x:v>0.17836622939099933</x:v>
      </x:c>
      <x:c r="AB39" s="61" t="n">
        <x:f>IF(Y39=0,0,AA39/Y39)</x:f>
        <x:v>0.08895622905764379</x:v>
      </x:c>
      <x:c r="AC39" s="83" t="n">
        <x:f>X39*Inputs!$B$14*J39/1000000</x:f>
        <x:v>54.80204499041166</x:v>
      </x:c>
      <x:c r="AD39" s="82" t="n">
        <x:f>N39+O39*(1+N39)</x:f>
        <x:v>-0.2784</x:v>
      </x:c>
    </x:row>
    <x:row r="40">
      <x:c r="A40" s="14" t="n">
        <x:v>4</x:v>
      </x:c>
      <x:c r="B40" s="14" t="str">
        <x:f>Inputs!B21</x:f>
        <x:v>Industry</x:v>
      </x:c>
      <x:c r="C40" s="14" t="str">
        <x:f>Inputs!C21</x:f>
        <x:v>Coal</x:v>
      </x:c>
      <x:c r="D40" s="78" t="n">
        <x:v>2028</x:v>
      </x:c>
      <x:c r="E40" s="60" t="n">
        <x:f>Scenario!B7</x:f>
        <x:v>109.2727</x:v>
      </x:c>
      <x:c r="F40" s="79" t="n">
        <x:f>Scenario!D7</x:f>
        <x:v>45</x:v>
      </x:c>
      <x:c r="G40" s="79" t="n">
        <x:f>Inputs!E21*(1+Inputs!F21)^(D40-Inputs!$B$5)</x:f>
        <x:v>7.212107</x:v>
      </x:c>
      <x:c r="H40" s="80" t="n">
        <x:f>Inputs!H21</x:f>
        <x:v>1</x:v>
      </x:c>
      <x:c r="I40" s="81" t="n">
        <x:f>Inputs!G21</x:f>
        <x:v>0.0946</x:v>
      </x:c>
      <x:c r="J40" s="79" t="n">
        <x:f>F40*I40*H40</x:f>
        <x:v>4.257000000000001</x:v>
      </x:c>
      <x:c r="K40" s="79" t="n">
        <x:f>G40</x:f>
        <x:v>7.212107</x:v>
      </x:c>
      <x:c r="L40" s="79" t="n">
        <x:f>G40+J40</x:f>
        <x:v>11.469107000000001</x:v>
      </x:c>
      <x:c r="M40" s="82" t="n">
        <x:f>Inputs!I21</x:f>
        <x:v>0.6</x:v>
      </x:c>
      <x:c r="N40" s="82" t="n">
        <x:f>Inputs!J21</x:f>
        <x:v>-0.12</x:v>
      </x:c>
      <x:c r="O40" s="82" t="n">
        <x:f>Inputs!K21</x:f>
        <x:v>-0.18</x:v>
      </x:c>
      <x:c r="P40" s="82" t="n">
        <x:f>Inputs!L21</x:f>
        <x:v>0.01</x:v>
      </x:c>
      <x:c r="Q40" s="81" t="n">
        <x:f>(E40/E39)^M40</x:f>
        <x:v>1.0178934853272679</x:v>
      </x:c>
      <x:c r="R40" s="81" t="n">
        <x:f>(1/(1+P40))^(1+N40)</x:f>
        <x:v>0.9912819335164358</x:v>
      </x:c>
      <x:c r="S40" s="81" t="n">
        <x:f>(K40/K39)^N40</x:f>
        <x:v>0.9988066728793801</x:v>
      </x:c>
      <x:c r="T40" s="81" t="n">
        <x:f>(K40/K39)^(O40*(1+N40))</x:f>
        <x:v>0.998425109037228</x:v>
      </x:c>
      <x:c r="U40" s="81" t="n">
        <x:f>(L40/L39)^N40</x:f>
        <x:v>0.9834342365086297</x:v>
      </x:c>
      <x:c r="V40" s="81" t="n">
        <x:f>(L40/L39)^(O40*(1+N40))</x:f>
        <x:v>0.978191369806373</x:v>
      </x:c>
      <x:c r="W40" s="60" t="n">
        <x:f>W39*Q40*R40*S40*T40</x:f>
        <x:v>509.40050437282065</x:v>
      </x:c>
      <x:c r="X40" s="60" t="n">
        <x:f>X39*Q40*R40*U40*V40</x:f>
        <x:v>447.6832385051117</x:v>
      </x:c>
      <x:c r="Y40" s="82" t="n">
        <x:f>W40*Inputs!$B$14*I40/1000000</x:f>
        <x:v>2.0175890979958866</x:v>
      </x:c>
      <x:c r="Z40" s="82" t="n">
        <x:f>X40*Inputs!$B$14*I40/1000000</x:f>
        <x:v>1.7731447330926486</x:v>
      </x:c>
      <x:c r="AA40" s="82" t="n">
        <x:f>Y40-Z40</x:f>
        <x:v>0.24444436490323795</x:v>
      </x:c>
      <x:c r="AB40" s="61" t="n">
        <x:f>IF(Y40=0,0,AA40/Y40)</x:f>
        <x:v>0.12115666423160674</x:v>
      </x:c>
      <x:c r="AC40" s="83" t="n">
        <x:f>X40*Inputs!$B$14*J40/1000000</x:f>
        <x:v>79.79151298916919</x:v>
      </x:c>
      <x:c r="AD40" s="82" t="n">
        <x:f>N40+O40*(1+N40)</x:f>
        <x:v>-0.2784</x:v>
      </x:c>
    </x:row>
    <x:row r="41">
      <x:c r="A41" s="14" t="n">
        <x:v>4</x:v>
      </x:c>
      <x:c r="B41" s="14" t="str">
        <x:f>Inputs!B21</x:f>
        <x:v>Industry</x:v>
      </x:c>
      <x:c r="C41" s="14" t="str">
        <x:f>Inputs!C21</x:f>
        <x:v>Coal</x:v>
      </x:c>
      <x:c r="D41" s="78" t="n">
        <x:v>2029</x:v>
      </x:c>
      <x:c r="E41" s="60" t="n">
        <x:f>Scenario!B8</x:f>
        <x:v>112.550881</x:v>
      </x:c>
      <x:c r="F41" s="79" t="n">
        <x:f>Scenario!D8</x:f>
        <x:v>60</x:v>
      </x:c>
      <x:c r="G41" s="79" t="n">
        <x:f>Inputs!E21*(1+Inputs!F21)^(D41-Inputs!$B$5)</x:f>
        <x:v>7.28422807</x:v>
      </x:c>
      <x:c r="H41" s="80" t="n">
        <x:f>Inputs!H21</x:f>
        <x:v>1</x:v>
      </x:c>
      <x:c r="I41" s="81" t="n">
        <x:f>Inputs!G21</x:f>
        <x:v>0.0946</x:v>
      </x:c>
      <x:c r="J41" s="79" t="n">
        <x:f>F41*I41*H41</x:f>
        <x:v>5.676</x:v>
      </x:c>
      <x:c r="K41" s="79" t="n">
        <x:f>G41</x:f>
        <x:v>7.28422807</x:v>
      </x:c>
      <x:c r="L41" s="79" t="n">
        <x:f>G41+J41</x:f>
        <x:v>12.96022807</x:v>
      </x:c>
      <x:c r="M41" s="82" t="n">
        <x:f>Inputs!I21</x:f>
        <x:v>0.6</x:v>
      </x:c>
      <x:c r="N41" s="82" t="n">
        <x:f>Inputs!J21</x:f>
        <x:v>-0.12</x:v>
      </x:c>
      <x:c r="O41" s="82" t="n">
        <x:f>Inputs!K21</x:f>
        <x:v>-0.18</x:v>
      </x:c>
      <x:c r="P41" s="82" t="n">
        <x:f>Inputs!L21</x:f>
        <x:v>0.01</x:v>
      </x:c>
      <x:c r="Q41" s="81" t="n">
        <x:f>(E41/E40)^M41</x:f>
        <x:v>1.0178934853272679</x:v>
      </x:c>
      <x:c r="R41" s="81" t="n">
        <x:f>(1/(1+P41))^(1+N41)</x:f>
        <x:v>0.9912819335164358</x:v>
      </x:c>
      <x:c r="S41" s="81" t="n">
        <x:f>(K41/K40)^N41</x:f>
        <x:v>0.9988066728793801</x:v>
      </x:c>
      <x:c r="T41" s="81" t="n">
        <x:f>(K41/K40)^(O41*(1+N41))</x:f>
        <x:v>0.998425109037228</x:v>
      </x:c>
      <x:c r="U41" s="81" t="n">
        <x:f>(L41/L40)^N41</x:f>
        <x:v>0.9854396562116992</x:v>
      </x:c>
      <x:c r="V41" s="81" t="n">
        <x:f>(L41/L40)^(O41*(1+N41))</x:f>
        <x:v>0.9808252700464033</x:v>
      </x:c>
      <x:c r="W41" s="60" t="n">
        <x:f>W40*Q41*R41*S41*T41</x:f>
        <x:v>512.5731183362965</x:v>
      </x:c>
      <x:c r="X41" s="60" t="n">
        <x:f>X40*Q41*R41*U41*V41</x:f>
        <x:v>436.608354939731</x:v>
      </x:c>
      <x:c r="Y41" s="82" t="n">
        <x:f>W41*Inputs!$B$14*I41/1000000</x:f>
        <x:v>2.0301549107304844</x:v>
      </x:c>
      <x:c r="Z41" s="82" t="n">
        <x:f>X41*Inputs!$B$14*I41/1000000</x:f>
        <x:v>1.7292802999967358</x:v>
      </x:c>
      <x:c r="AA41" s="82" t="n">
        <x:f>Y41-Z41</x:f>
        <x:v>0.30087461073374855</x:v>
      </x:c>
      <x:c r="AB41" s="61" t="n">
        <x:f>IF(Y41=0,0,AA41/Y41)</x:f>
        <x:v>0.14820278449859214</x:v>
      </x:c>
      <x:c r="AC41" s="83" t="n">
        <x:f>X41*Inputs!$B$14*J41/1000000</x:f>
        <x:v>103.75681799980416</x:v>
      </x:c>
      <x:c r="AD41" s="82" t="n">
        <x:f>N41+O41*(1+N41)</x:f>
        <x:v>-0.2784</x:v>
      </x:c>
    </x:row>
    <x:row r="42">
      <x:c r="A42" s="14" t="n">
        <x:v>4</x:v>
      </x:c>
      <x:c r="B42" s="14" t="str">
        <x:f>Inputs!B21</x:f>
        <x:v>Industry</x:v>
      </x:c>
      <x:c r="C42" s="14" t="str">
        <x:f>Inputs!C21</x:f>
        <x:v>Coal</x:v>
      </x:c>
      <x:c r="D42" s="78" t="n">
        <x:v>2030</x:v>
      </x:c>
      <x:c r="E42" s="60" t="n">
        <x:f>Scenario!B9</x:f>
        <x:v>115.92740743</x:v>
      </x:c>
      <x:c r="F42" s="79" t="n">
        <x:f>Scenario!D9</x:f>
        <x:v>75</x:v>
      </x:c>
      <x:c r="G42" s="79" t="n">
        <x:f>Inputs!E21*(1+Inputs!F21)^(D42-Inputs!$B$5)</x:f>
        <x:v>7.357070350699999</x:v>
      </x:c>
      <x:c r="H42" s="80" t="n">
        <x:f>Inputs!H21</x:f>
        <x:v>1</x:v>
      </x:c>
      <x:c r="I42" s="81" t="n">
        <x:f>Inputs!G21</x:f>
        <x:v>0.0946</x:v>
      </x:c>
      <x:c r="J42" s="79" t="n">
        <x:f>F42*I42*H42</x:f>
        <x:v>7.095000000000001</x:v>
      </x:c>
      <x:c r="K42" s="79" t="n">
        <x:f>G42</x:f>
        <x:v>7.357070350699999</x:v>
      </x:c>
      <x:c r="L42" s="79" t="n">
        <x:f>G42+J42</x:f>
        <x:v>14.4520703507</x:v>
      </x:c>
      <x:c r="M42" s="82" t="n">
        <x:f>Inputs!I21</x:f>
        <x:v>0.6</x:v>
      </x:c>
      <x:c r="N42" s="82" t="n">
        <x:f>Inputs!J21</x:f>
        <x:v>-0.12</x:v>
      </x:c>
      <x:c r="O42" s="82" t="n">
        <x:f>Inputs!K21</x:f>
        <x:v>-0.18</x:v>
      </x:c>
      <x:c r="P42" s="82" t="n">
        <x:f>Inputs!L21</x:f>
        <x:v>0.01</x:v>
      </x:c>
      <x:c r="Q42" s="81" t="n">
        <x:f>(E42/E41)^M42</x:f>
        <x:v>1.0178934853272679</x:v>
      </x:c>
      <x:c r="R42" s="81" t="n">
        <x:f>(1/(1+P42))^(1+N42)</x:f>
        <x:v>0.9912819335164358</x:v>
      </x:c>
      <x:c r="S42" s="81" t="n">
        <x:f>(K42/K41)^N42</x:f>
        <x:v>0.9988066728793801</x:v>
      </x:c>
      <x:c r="T42" s="81" t="n">
        <x:f>(K42/K41)^(O42*(1+N42))</x:f>
        <x:v>0.998425109037228</x:v>
      </x:c>
      <x:c r="U42" s="81" t="n">
        <x:f>(L42/L41)^N42</x:f>
        <x:v>0.9870108101381937</x:v>
      </x:c>
      <x:c r="V42" s="81" t="n">
        <x:f>(L42/L41)^(O42*(1+N42))</x:f>
        <x:v>0.982890008335457</x:v>
      </x:c>
      <x:c r="W42" s="60" t="n">
        <x:f>W41*Q42*R42*S42*T42</x:f>
        <x:v>515.765491760697</x:v>
      </x:c>
      <x:c r="X42" s="60" t="n">
        <x:f>X41*Q42*R42*U42*V42</x:f>
        <x:v>427.3841358773587</x:v>
      </x:c>
      <x:c r="Y42" s="82" t="n">
        <x:f>W42*Inputs!$B$14*I42/1000000</x:f>
        <x:v>2.0427989850148873</x:v>
      </x:c>
      <x:c r="Z42" s="82" t="n">
        <x:f>X42*Inputs!$B$14*I42/1000000</x:f>
        <x:v>1.6927458174863939</x:v>
      </x:c>
      <x:c r="AA42" s="82" t="n">
        <x:f>Y42-Z42</x:f>
        <x:v>0.35005316752849347</x:v>
      </x:c>
      <x:c r="AB42" s="61" t="n">
        <x:f>IF(Y42=0,0,AA42/Y42)</x:f>
        <x:v>0.17135957580571365</x:v>
      </x:c>
      <x:c r="AC42" s="83" t="n">
        <x:f>X42*Inputs!$B$14*J42/1000000</x:f>
        <x:v>126.95593631147955</x:v>
      </x:c>
      <x:c r="AD42" s="82" t="n">
        <x:f>N42+O42*(1+N42)</x:f>
        <x:v>-0.2784</x:v>
      </x:c>
    </x:row>
    <x:row r="43">
      <x:c r="A43" s="14" t="n">
        <x:v>4</x:v>
      </x:c>
      <x:c r="B43" s="14" t="str">
        <x:f>Inputs!B21</x:f>
        <x:v>Industry</x:v>
      </x:c>
      <x:c r="C43" s="14" t="str">
        <x:f>Inputs!C21</x:f>
        <x:v>Coal</x:v>
      </x:c>
      <x:c r="D43" s="78" t="n">
        <x:v>2031</x:v>
      </x:c>
      <x:c r="E43" s="60" t="n">
        <x:f>Scenario!B10</x:f>
        <x:v>119.4052296529</x:v>
      </x:c>
      <x:c r="F43" s="79" t="n">
        <x:f>Scenario!D10</x:f>
        <x:v>90</x:v>
      </x:c>
      <x:c r="G43" s="79" t="n">
        <x:f>Inputs!E21*(1+Inputs!F21)^(D43-Inputs!$B$5)</x:f>
        <x:v>7.430641054207001</x:v>
      </x:c>
      <x:c r="H43" s="80" t="n">
        <x:f>Inputs!H21</x:f>
        <x:v>1</x:v>
      </x:c>
      <x:c r="I43" s="81" t="n">
        <x:f>Inputs!G21</x:f>
        <x:v>0.0946</x:v>
      </x:c>
      <x:c r="J43" s="79" t="n">
        <x:f>F43*I43*H43</x:f>
        <x:v>8.514000000000001</x:v>
      </x:c>
      <x:c r="K43" s="79" t="n">
        <x:f>G43</x:f>
        <x:v>7.430641054207001</x:v>
      </x:c>
      <x:c r="L43" s="79" t="n">
        <x:f>G43+J43</x:f>
        <x:v>15.944641054207002</x:v>
      </x:c>
      <x:c r="M43" s="82" t="n">
        <x:f>Inputs!I21</x:f>
        <x:v>0.6</x:v>
      </x:c>
      <x:c r="N43" s="82" t="n">
        <x:f>Inputs!J21</x:f>
        <x:v>-0.12</x:v>
      </x:c>
      <x:c r="O43" s="82" t="n">
        <x:f>Inputs!K21</x:f>
        <x:v>-0.18</x:v>
      </x:c>
      <x:c r="P43" s="82" t="n">
        <x:f>Inputs!L21</x:f>
        <x:v>0.01</x:v>
      </x:c>
      <x:c r="Q43" s="81" t="n">
        <x:f>(E43/E42)^M43</x:f>
        <x:v>1.0178934853272679</x:v>
      </x:c>
      <x:c r="R43" s="81" t="n">
        <x:f>(1/(1+P43))^(1+N43)</x:f>
        <x:v>0.9912819335164358</x:v>
      </x:c>
      <x:c r="S43" s="81" t="n">
        <x:f>(K43/K42)^N43</x:f>
        <x:v>0.9988066728793801</x:v>
      </x:c>
      <x:c r="T43" s="81" t="n">
        <x:f>(K43/K42)^(O43*(1+N43))</x:f>
        <x:v>0.998425109037228</x:v>
      </x:c>
      <x:c r="U43" s="81" t="n">
        <x:f>(L43/L42)^N43</x:f>
        <x:v>0.9882750661910604</x:v>
      </x:c>
      <x:c r="V43" s="81" t="n">
        <x:f>(L43/L42)^(O43*(1+N43))</x:f>
        <x:v>0.9845521994424272</x:v>
      </x:c>
      <x:c r="W43" s="60" t="n">
        <x:f>W42*Q43*R43*S43*T43</x:f>
        <x:v>518.9777477105682</x:v>
      </x:c>
      <x:c r="X43" s="60" t="n">
        <x:f>X42*Q43*R43*U43*V43</x:f>
        <x:v>419.5990618526954</x:v>
      </x:c>
      <x:c r="Y43" s="82" t="n">
        <x:f>W43*Inputs!$B$14*I43/1000000</x:f>
        <x:v>2.0555218082724185</x:v>
      </x:c>
      <x:c r="Z43" s="82" t="n">
        <x:f>X43*Inputs!$B$14*I43/1000000</x:f>
        <x:v>1.6619113751479622</x:v>
      </x:c>
      <x:c r="AA43" s="82" t="n">
        <x:f>Y43-Z43</x:f>
        <x:v>0.3936104331244563</x:v>
      </x:c>
      <x:c r="AB43" s="61" t="n">
        <x:f>IF(Y43=0,0,AA43/Y43)</x:f>
        <x:v>0.19148930044934415</x:v>
      </x:c>
      <x:c r="AC43" s="83" t="n">
        <x:f>X43*Inputs!$B$14*J43/1000000</x:f>
        <x:v>149.57202376331662</x:v>
      </x:c>
      <x:c r="AD43" s="82" t="n">
        <x:f>N43+O43*(1+N43)</x:f>
        <x:v>-0.2784</x:v>
      </x:c>
    </x:row>
    <x:row r="44">
      <x:c r="A44" s="14" t="n">
        <x:v>4</x:v>
      </x:c>
      <x:c r="B44" s="14" t="str">
        <x:f>Inputs!B21</x:f>
        <x:v>Industry</x:v>
      </x:c>
      <x:c r="C44" s="14" t="str">
        <x:f>Inputs!C21</x:f>
        <x:v>Coal</x:v>
      </x:c>
      <x:c r="D44" s="78" t="n">
        <x:v>2032</x:v>
      </x:c>
      <x:c r="E44" s="60" t="n">
        <x:f>Scenario!B11</x:f>
        <x:v>122.987386542487</x:v>
      </x:c>
      <x:c r="F44" s="79" t="n">
        <x:f>Scenario!D11</x:f>
        <x:v>105</x:v>
      </x:c>
      <x:c r="G44" s="79" t="n">
        <x:f>Inputs!E21*(1+Inputs!F21)^(D44-Inputs!$B$5)</x:f>
        <x:v>7.504947464749069</x:v>
      </x:c>
      <x:c r="H44" s="80" t="n">
        <x:f>Inputs!H21</x:f>
        <x:v>1</x:v>
      </x:c>
      <x:c r="I44" s="81" t="n">
        <x:f>Inputs!G21</x:f>
        <x:v>0.0946</x:v>
      </x:c>
      <x:c r="J44" s="79" t="n">
        <x:f>F44*I44*H44</x:f>
        <x:v>9.933</x:v>
      </x:c>
      <x:c r="K44" s="79" t="n">
        <x:f>G44</x:f>
        <x:v>7.504947464749069</x:v>
      </x:c>
      <x:c r="L44" s="79" t="n">
        <x:f>G44+J44</x:f>
        <x:v>17.43794746474907</x:v>
      </x:c>
      <x:c r="M44" s="82" t="n">
        <x:f>Inputs!I21</x:f>
        <x:v>0.6</x:v>
      </x:c>
      <x:c r="N44" s="82" t="n">
        <x:f>Inputs!J21</x:f>
        <x:v>-0.12</x:v>
      </x:c>
      <x:c r="O44" s="82" t="n">
        <x:f>Inputs!K21</x:f>
        <x:v>-0.18</x:v>
      </x:c>
      <x:c r="P44" s="82" t="n">
        <x:f>Inputs!L21</x:f>
        <x:v>0.01</x:v>
      </x:c>
      <x:c r="Q44" s="81" t="n">
        <x:f>(E44/E43)^M44</x:f>
        <x:v>1.0178934853272679</x:v>
      </x:c>
      <x:c r="R44" s="81" t="n">
        <x:f>(1/(1+P44))^(1+N44)</x:f>
        <x:v>0.9912819335164358</x:v>
      </x:c>
      <x:c r="S44" s="81" t="n">
        <x:f>(K44/K43)^N44</x:f>
        <x:v>0.9988066728793801</x:v>
      </x:c>
      <x:c r="T44" s="81" t="n">
        <x:f>(K44/K43)^(O44*(1+N44))</x:f>
        <x:v>0.998425109037228</x:v>
      </x:c>
      <x:c r="U44" s="81" t="n">
        <x:f>(L44/L43)^N44</x:f>
        <x:v>0.9893143893356029</x:v>
      </x:c>
      <x:c r="V44" s="81" t="n">
        <x:f>(L44/L43)^(O44*(1+N44))</x:f>
        <x:v>0.9859191678921598</x:v>
      </x:c>
      <x:c r="W44" s="60" t="n">
        <x:f>W43*Q44*R44*S44*T44</x:f>
        <x:v>522.210010016918</x:v>
      </x:c>
      <x:c r="X44" s="60" t="n">
        <x:f>X43*Q44*R44*U44*V44</x:f>
        <x:v>412.9616004595853</x:v>
      </x:c>
      <x:c r="Y44" s="82" t="n">
        <x:f>W44*Inputs!$B$14*I44/1000000</x:f>
        <x:v>2.068323870962135</x:v>
      </x:c>
      <x:c r="Z44" s="82" t="n">
        <x:f>X44*Inputs!$B$14*I44/1000000</x:f>
        <x:v>1.6356222968487655</x:v>
      </x:c>
      <x:c r="AA44" s="82" t="n">
        <x:f>Y44-Z44</x:f>
        <x:v>0.43270157411336974</x:v>
      </x:c>
      <x:c r="AB44" s="61" t="n">
        <x:f>IF(Y44=0,0,AA44/Y44)</x:f>
        <x:v>0.20920397438148178</x:v>
      </x:c>
      <x:c r="AC44" s="83" t="n">
        <x:f>X44*Inputs!$B$14*J44/1000000</x:f>
        <x:v>171.74034116912037</x:v>
      </x:c>
      <x:c r="AD44" s="82" t="n">
        <x:f>N44+O44*(1+N44)</x:f>
        <x:v>-0.2784</x:v>
      </x:c>
    </x:row>
    <x:row r="45">
      <x:c r="A45" s="14" t="n">
        <x:v>4</x:v>
      </x:c>
      <x:c r="B45" s="14" t="str">
        <x:f>Inputs!B21</x:f>
        <x:v>Industry</x:v>
      </x:c>
      <x:c r="C45" s="14" t="str">
        <x:f>Inputs!C21</x:f>
        <x:v>Coal</x:v>
      </x:c>
      <x:c r="D45" s="78" t="n">
        <x:v>2033</x:v>
      </x:c>
      <x:c r="E45" s="60" t="n">
        <x:f>Scenario!B12</x:f>
        <x:v>126.67700813876162</x:v>
      </x:c>
      <x:c r="F45" s="79" t="n">
        <x:f>Scenario!D12</x:f>
        <x:v>120</x:v>
      </x:c>
      <x:c r="G45" s="79" t="n">
        <x:f>Inputs!E21*(1+Inputs!F21)^(D45-Inputs!$B$5)</x:f>
        <x:v>7.579996939396562</x:v>
      </x:c>
      <x:c r="H45" s="80" t="n">
        <x:f>Inputs!H21</x:f>
        <x:v>1</x:v>
      </x:c>
      <x:c r="I45" s="81" t="n">
        <x:f>Inputs!G21</x:f>
        <x:v>0.0946</x:v>
      </x:c>
      <x:c r="J45" s="79" t="n">
        <x:f>F45*I45*H45</x:f>
        <x:v>11.352</x:v>
      </x:c>
      <x:c r="K45" s="79" t="n">
        <x:f>G45</x:f>
        <x:v>7.579996939396562</x:v>
      </x:c>
      <x:c r="L45" s="79" t="n">
        <x:f>G45+J45</x:f>
        <x:v>18.931996939396562</x:v>
      </x:c>
      <x:c r="M45" s="82" t="n">
        <x:f>Inputs!I21</x:f>
        <x:v>0.6</x:v>
      </x:c>
      <x:c r="N45" s="82" t="n">
        <x:f>Inputs!J21</x:f>
        <x:v>-0.12</x:v>
      </x:c>
      <x:c r="O45" s="82" t="n">
        <x:f>Inputs!K21</x:f>
        <x:v>-0.18</x:v>
      </x:c>
      <x:c r="P45" s="82" t="n">
        <x:f>Inputs!L21</x:f>
        <x:v>0.01</x:v>
      </x:c>
      <x:c r="Q45" s="81" t="n">
        <x:f>(E45/E44)^M45</x:f>
        <x:v>1.0178934853272679</x:v>
      </x:c>
      <x:c r="R45" s="81" t="n">
        <x:f>(1/(1+P45))^(1+N45)</x:f>
        <x:v>0.9912819335164358</x:v>
      </x:c>
      <x:c r="S45" s="81" t="n">
        <x:f>(K45/K44)^N45</x:f>
        <x:v>0.9988066728793801</x:v>
      </x:c>
      <x:c r="T45" s="81" t="n">
        <x:f>(K45/K44)^(O45*(1+N45))</x:f>
        <x:v>0.998425109037228</x:v>
      </x:c>
      <x:c r="U45" s="81" t="n">
        <x:f>(L45/L44)^N45</x:f>
        <x:v>0.9901839276463421</x:v>
      </x:c>
      <x:c r="V45" s="81" t="n">
        <x:f>(L45/L44)^(O45*(1+N45))</x:f>
        <x:v>0.9870631801940107</x:v>
      </x:c>
      <x:c r="W45" s="60" t="n">
        <x:f>W44*Q45*R45*S45*T45</x:f>
        <x:v>525.4624032819901</x:v>
      </x:c>
      <x:c r="X45" s="60" t="n">
        <x:f>X44*Q45*R45*U45*V45</x:f>
        <x:v>407.25837208886185</x:v>
      </x:c>
      <x:c r="Y45" s="82" t="n">
        <x:f>W45*Inputs!$B$14*I45/1000000</x:f>
        <x:v>2.0812056665977403</x:v>
      </x:c>
      <x:c r="Z45" s="82" t="n">
        <x:f>X45*Inputs!$B$14*I45/1000000</x:f>
        <x:v>1.613033447239518</x:v>
      </x:c>
      <x:c r="AA45" s="82" t="n">
        <x:f>Y45-Z45</x:f>
        <x:v>0.4681722193582223</x:v>
      </x:c>
      <x:c r="AB45" s="61" t="n">
        <x:f>IF(Y45=0,0,AA45/Y45)</x:f>
        <x:v>0.22495240469125224</x:v>
      </x:c>
      <x:c r="AC45" s="83" t="n">
        <x:f>X45*Inputs!$B$14*J45/1000000</x:f>
        <x:v>193.56401366874215</x:v>
      </x:c>
      <x:c r="AD45" s="82" t="n">
        <x:f>N45+O45*(1+N45)</x:f>
        <x:v>-0.2784</x:v>
      </x:c>
    </x:row>
    <x:row r="46">
      <x:c r="A46" s="14" t="n">
        <x:v>4</x:v>
      </x:c>
      <x:c r="B46" s="14" t="str">
        <x:f>Inputs!B21</x:f>
        <x:v>Industry</x:v>
      </x:c>
      <x:c r="C46" s="14" t="str">
        <x:f>Inputs!C21</x:f>
        <x:v>Coal</x:v>
      </x:c>
      <x:c r="D46" s="78" t="n">
        <x:v>2034</x:v>
      </x:c>
      <x:c r="E46" s="60" t="n">
        <x:f>Scenario!B13</x:f>
        <x:v>130.47731838292447</x:v>
      </x:c>
      <x:c r="F46" s="79" t="n">
        <x:f>Scenario!D13</x:f>
        <x:v>135</x:v>
      </x:c>
      <x:c r="G46" s="79" t="n">
        <x:f>Inputs!E21*(1+Inputs!F21)^(D46-Inputs!$B$5)</x:f>
        <x:v>7.655796908790528</x:v>
      </x:c>
      <x:c r="H46" s="80" t="n">
        <x:f>Inputs!H21</x:f>
        <x:v>1</x:v>
      </x:c>
      <x:c r="I46" s="81" t="n">
        <x:f>Inputs!G21</x:f>
        <x:v>0.0946</x:v>
      </x:c>
      <x:c r="J46" s="79" t="n">
        <x:f>F46*I46*H46</x:f>
        <x:v>12.771</x:v>
      </x:c>
      <x:c r="K46" s="79" t="n">
        <x:f>G46</x:f>
        <x:v>7.655796908790528</x:v>
      </x:c>
      <x:c r="L46" s="79" t="n">
        <x:f>G46+J46</x:f>
        <x:v>20.42679690879053</x:v>
      </x:c>
      <x:c r="M46" s="82" t="n">
        <x:f>Inputs!I21</x:f>
        <x:v>0.6</x:v>
      </x:c>
      <x:c r="N46" s="82" t="n">
        <x:f>Inputs!J21</x:f>
        <x:v>-0.12</x:v>
      </x:c>
      <x:c r="O46" s="82" t="n">
        <x:f>Inputs!K21</x:f>
        <x:v>-0.18</x:v>
      </x:c>
      <x:c r="P46" s="82" t="n">
        <x:f>Inputs!L21</x:f>
        <x:v>0.01</x:v>
      </x:c>
      <x:c r="Q46" s="81" t="n">
        <x:f>(E46/E45)^M46</x:f>
        <x:v>1.0178934853272679</x:v>
      </x:c>
      <x:c r="R46" s="81" t="n">
        <x:f>(1/(1+P46))^(1+N46)</x:f>
        <x:v>0.9912819335164358</x:v>
      </x:c>
      <x:c r="S46" s="81" t="n">
        <x:f>(K46/K45)^N46</x:f>
        <x:v>0.9988066728793801</x:v>
      </x:c>
      <x:c r="T46" s="81" t="n">
        <x:f>(K46/K45)^(O46*(1+N46))</x:f>
        <x:v>0.998425109037228</x:v>
      </x:c>
      <x:c r="U46" s="81" t="n">
        <x:f>(L46/L45)^N46</x:f>
        <x:v>0.9909221552097873</x:v>
      </x:c>
      <x:c r="V46" s="81" t="n">
        <x:f>(L46/L45)^(O46*(1+N46))</x:f>
        <x:v>0.9880346852408181</x:v>
      </x:c>
      <x:c r="W46" s="60" t="n">
        <x:f>W45*Q46*R46*S46*T46</x:f>
        <x:v>528.735052884068</x:v>
      </x:c>
      <x:c r="X46" s="60" t="n">
        <x:f>X45*Q46*R46*U46*V46</x:f>
        <x:v>402.32894302594144</x:v>
      </x:c>
      <x:c r="Y46" s="82" t="n">
        <x:f>W46*Inputs!$B$14*I46/1000000</x:f>
        <x:v>2.094167691766605</x:v>
      </x:c>
      <x:c r="Z46" s="82" t="n">
        <x:f>X46*Inputs!$B$14*I46/1000000</x:f>
        <x:v>1.5935093944533172</x:v>
      </x:c>
      <x:c r="AA46" s="82" t="n">
        <x:f>Y46-Z46</x:f>
        <x:v>0.5006582973132878</x:v>
      </x:c>
      <x:c r="AB46" s="61" t="n">
        <x:f>IF(Y46=0,0,AA46/Y46)</x:f>
        <x:v>0.23907268710221616</x:v>
      </x:c>
      <x:c r="AC46" s="83" t="n">
        <x:f>X46*Inputs!$B$14*J46/1000000</x:f>
        <x:v>215.12376825119782</x:v>
      </x:c>
      <x:c r="AD46" s="82" t="n">
        <x:f>N46+O46*(1+N46)</x:f>
        <x:v>-0.2784</x:v>
      </x:c>
    </x:row>
    <x:row r="47">
      <x:c r="A47" s="14" t="n">
        <x:v>4</x:v>
      </x:c>
      <x:c r="B47" s="14" t="str">
        <x:f>Inputs!B21</x:f>
        <x:v>Industry</x:v>
      </x:c>
      <x:c r="C47" s="14" t="str">
        <x:f>Inputs!C21</x:f>
        <x:v>Coal</x:v>
      </x:c>
      <x:c r="D47" s="78" t="n">
        <x:v>2035</x:v>
      </x:c>
      <x:c r="E47" s="60" t="n">
        <x:f>Scenario!B14</x:f>
        <x:v>134.39163793441222</x:v>
      </x:c>
      <x:c r="F47" s="79" t="n">
        <x:f>Scenario!D14</x:f>
        <x:v>150</x:v>
      </x:c>
      <x:c r="G47" s="79" t="n">
        <x:f>Inputs!E21*(1+Inputs!F21)^(D47-Inputs!$B$5)</x:f>
        <x:v>7.732354877878433</x:v>
      </x:c>
      <x:c r="H47" s="80" t="n">
        <x:f>Inputs!H21</x:f>
        <x:v>1</x:v>
      </x:c>
      <x:c r="I47" s="81" t="n">
        <x:f>Inputs!G21</x:f>
        <x:v>0.0946</x:v>
      </x:c>
      <x:c r="J47" s="79" t="n">
        <x:f>F47*I47*H47</x:f>
        <x:v>14.190000000000001</x:v>
      </x:c>
      <x:c r="K47" s="79" t="n">
        <x:f>G47</x:f>
        <x:v>7.732354877878433</x:v>
      </x:c>
      <x:c r="L47" s="79" t="n">
        <x:f>G47+J47</x:f>
        <x:v>21.922354877878433</x:v>
      </x:c>
      <x:c r="M47" s="82" t="n">
        <x:f>Inputs!I21</x:f>
        <x:v>0.6</x:v>
      </x:c>
      <x:c r="N47" s="82" t="n">
        <x:f>Inputs!J21</x:f>
        <x:v>-0.12</x:v>
      </x:c>
      <x:c r="O47" s="82" t="n">
        <x:f>Inputs!K21</x:f>
        <x:v>-0.18</x:v>
      </x:c>
      <x:c r="P47" s="82" t="n">
        <x:f>Inputs!L21</x:f>
        <x:v>0.01</x:v>
      </x:c>
      <x:c r="Q47" s="81" t="n">
        <x:f>(E47/E46)^M47</x:f>
        <x:v>1.0178934853272679</x:v>
      </x:c>
      <x:c r="R47" s="81" t="n">
        <x:f>(1/(1+P47))^(1+N47)</x:f>
        <x:v>0.9912819335164358</x:v>
      </x:c>
      <x:c r="S47" s="81" t="n">
        <x:f>(K47/K46)^N47</x:f>
        <x:v>0.9988066728793801</x:v>
      </x:c>
      <x:c r="T47" s="81" t="n">
        <x:f>(K47/K46)^(O47*(1+N47))</x:f>
        <x:v>0.998425109037228</x:v>
      </x:c>
      <x:c r="U47" s="81" t="n">
        <x:f>(L47/L46)^N47</x:f>
        <x:v>0.9915567334060678</x:v>
      </x:c>
      <x:c r="V47" s="81" t="n">
        <x:f>(L47/L46)^(O47*(1+N47))</x:f>
        <x:v>0.988869973197452</x:v>
      </x:c>
      <x:c r="W47" s="60" t="n">
        <x:f>W46*Q47*R47*S47*T47</x:f>
        <x:v>532.0280849823074</x:v>
      </x:c>
      <x:c r="X47" s="60" t="n">
        <x:f>X46*Q47*R47*U47*V47</x:f>
        <x:v>398.0499375146979</x:v>
      </x:c>
      <x:c r="Y47" s="82" t="n">
        <x:f>W47*Inputs!$B$14*I47/1000000</x:f>
        <x:v>2.1072104461489127</x:v>
      </x:c>
      <x:c r="Z47" s="82" t="n">
        <x:f>X47*Inputs!$B$14*I47/1000000</x:f>
        <x:v>1.5765614825536642</x:v>
      </x:c>
      <x:c r="AA47" s="82" t="n">
        <x:f>Y47-Z47</x:f>
        <x:v>0.5306489635952485</x:v>
      </x:c>
      <x:c r="AB47" s="61" t="n">
        <x:f>IF(Y47=0,0,AA47/Y47)</x:f>
        <x:v>0.2518253288678641</x:v>
      </x:c>
      <x:c r="AC47" s="83" t="n">
        <x:f>X47*Inputs!$B$14*J47/1000000</x:f>
        <x:v>236.48422238304963</x:v>
      </x:c>
      <x:c r="AD47" s="82" t="n">
        <x:f>N47+O47*(1+N47)</x:f>
        <x:v>-0.2784</x:v>
      </x:c>
    </x:row>
    <x:row r="48">
      <x:c r="A48" s="14" t="n">
        <x:v>5</x:v>
      </x:c>
      <x:c r="B48" s="14" t="str">
        <x:f>Inputs!B22</x:f>
        <x:v>Buildings</x:v>
      </x:c>
      <x:c r="C48" s="14" t="str">
        <x:f>Inputs!C22</x:f>
        <x:v>Natural gas</x:v>
      </x:c>
      <x:c r="D48" s="78" t="n">
        <x:v>2025</x:v>
      </x:c>
      <x:c r="E48" s="60" t="n">
        <x:f>Scenario!B4</x:f>
        <x:v>100</x:v>
      </x:c>
      <x:c r="F48" s="79" t="n">
        <x:f>Scenario!D4</x:f>
        <x:v>0</x:v>
      </x:c>
      <x:c r="G48" s="79" t="n">
        <x:f>Inputs!E22*(1+Inputs!F22)^(D48-Inputs!$B$5)</x:f>
        <x:v>15</x:v>
      </x:c>
      <x:c r="H48" s="80" t="n">
        <x:f>Inputs!H22</x:f>
        <x:v>0.8</x:v>
      </x:c>
      <x:c r="I48" s="81" t="n">
        <x:f>Inputs!G22</x:f>
        <x:v>0.0561</x:v>
      </x:c>
      <x:c r="J48" s="79" t="n">
        <x:f>F48*I48*H48</x:f>
        <x:v>0</x:v>
      </x:c>
      <x:c r="K48" s="79" t="n">
        <x:f>G48</x:f>
        <x:v>15</x:v>
      </x:c>
      <x:c r="L48" s="79" t="n">
        <x:f>G48+J48</x:f>
        <x:v>15</x:v>
      </x:c>
      <x:c r="M48" s="82" t="n">
        <x:f>Inputs!I22</x:f>
        <x:v>0.4</x:v>
      </x:c>
      <x:c r="N48" s="82" t="n">
        <x:f>Inputs!J22</x:f>
        <x:v>-0.15</x:v>
      </x:c>
      <x:c r="O48" s="82" t="n">
        <x:f>Inputs!K22</x:f>
        <x:v>-0.12</x:v>
      </x:c>
      <x:c r="P48" s="82" t="n">
        <x:f>Inputs!L22</x:f>
        <x:v>0.005</x:v>
      </x:c>
      <x:c r="Q48" s="81" t="n">
        <x:v>1</x:v>
      </x:c>
      <x:c r="R48" s="81" t="n">
        <x:v>1</x:v>
      </x:c>
      <x:c r="S48" s="81" t="n">
        <x:v>1</x:v>
      </x:c>
      <x:c r="T48" s="81" t="n">
        <x:v>1</x:v>
      </x:c>
      <x:c r="U48" s="81" t="n">
        <x:v>1</x:v>
      </x:c>
      <x:c r="V48" s="81" t="n">
        <x:v>1</x:v>
      </x:c>
      <x:c r="W48" s="60" t="n">
        <x:f>Inputs!D22</x:f>
        <x:v>600</x:v>
      </x:c>
      <x:c r="X48" s="60" t="n">
        <x:f>Inputs!D22</x:f>
        <x:v>600</x:v>
      </x:c>
      <x:c r="Y48" s="82" t="n">
        <x:f>W48*Inputs!$B$14*I48/1000000</x:f>
        <x:v>1.40927688</x:v>
      </x:c>
      <x:c r="Z48" s="82" t="n">
        <x:f>X48*Inputs!$B$14*I48/1000000</x:f>
        <x:v>1.40927688</x:v>
      </x:c>
      <x:c r="AA48" s="82" t="n">
        <x:f>Y48-Z48</x:f>
        <x:v>0</x:v>
      </x:c>
      <x:c r="AB48" s="61" t="n">
        <x:f>IF(Y48=0,0,AA48/Y48)</x:f>
        <x:v>0</x:v>
      </x:c>
      <x:c r="AC48" s="83" t="n">
        <x:f>X48*Inputs!$B$14*J48/1000000</x:f>
        <x:v>0</x:v>
      </x:c>
      <x:c r="AD48" s="82" t="n">
        <x:f>N48+O48*(1+N48)</x:f>
        <x:v>-0.252</x:v>
      </x:c>
    </x:row>
    <x:row r="49">
      <x:c r="A49" s="14" t="n">
        <x:v>5</x:v>
      </x:c>
      <x:c r="B49" s="14" t="str">
        <x:f>Inputs!B22</x:f>
        <x:v>Buildings</x:v>
      </x:c>
      <x:c r="C49" s="14" t="str">
        <x:f>Inputs!C22</x:f>
        <x:v>Natural gas</x:v>
      </x:c>
      <x:c r="D49" s="78" t="n">
        <x:v>2026</x:v>
      </x:c>
      <x:c r="E49" s="60" t="n">
        <x:f>Scenario!B5</x:f>
        <x:v>103</x:v>
      </x:c>
      <x:c r="F49" s="79" t="n">
        <x:f>Scenario!D5</x:f>
        <x:v>15</x:v>
      </x:c>
      <x:c r="G49" s="79" t="n">
        <x:f>Inputs!E22*(1+Inputs!F22)^(D49-Inputs!$B$5)</x:f>
        <x:v>15.15</x:v>
      </x:c>
      <x:c r="H49" s="80" t="n">
        <x:f>Inputs!H22</x:f>
        <x:v>0.8</x:v>
      </x:c>
      <x:c r="I49" s="81" t="n">
        <x:f>Inputs!G22</x:f>
        <x:v>0.0561</x:v>
      </x:c>
      <x:c r="J49" s="79" t="n">
        <x:f>F49*I49*H49</x:f>
        <x:v>0.6732</x:v>
      </x:c>
      <x:c r="K49" s="79" t="n">
        <x:f>G49</x:f>
        <x:v>15.15</x:v>
      </x:c>
      <x:c r="L49" s="79" t="n">
        <x:f>G49+J49</x:f>
        <x:v>15.8232</x:v>
      </x:c>
      <x:c r="M49" s="82" t="n">
        <x:f>Inputs!I22</x:f>
        <x:v>0.4</x:v>
      </x:c>
      <x:c r="N49" s="82" t="n">
        <x:f>Inputs!J22</x:f>
        <x:v>-0.15</x:v>
      </x:c>
      <x:c r="O49" s="82" t="n">
        <x:f>Inputs!K22</x:f>
        <x:v>-0.12</x:v>
      </x:c>
      <x:c r="P49" s="82" t="n">
        <x:f>Inputs!L22</x:f>
        <x:v>0.005</x:v>
      </x:c>
      <x:c r="Q49" s="81" t="n">
        <x:f>(E49/E48)^M49</x:f>
        <x:v>1.0118936950154855</x:v>
      </x:c>
      <x:c r="R49" s="81" t="n">
        <x:f>(1/(1+P49))^(1+N49)</x:f>
        <x:v>0.9957695633299736</x:v>
      </x:c>
      <x:c r="S49" s="81" t="n">
        <x:f>(K49/K48)^N49</x:f>
        <x:v>0.9985085636702676</x:v>
      </x:c>
      <x:c r="T49" s="81" t="n">
        <x:f>(K49/K48)^(O49*(1+N49))</x:f>
        <x:v>0.9989855811240309</x:v>
      </x:c>
      <x:c r="U49" s="81" t="n">
        <x:f>(L49/L48)^N49</x:f>
        <x:v>0.9920179744487588</x:v>
      </x:c>
      <x:c r="V49" s="81" t="n">
        <x:f>(L49/L48)^(O49*(1+N49))</x:f>
        <x:v>0.9945652662209904</x:v>
      </x:c>
      <x:c r="W49" s="60" t="n">
        <x:f>W48*Q49*R49*S49*T49</x:f>
        <x:v>603.0537210857524</x:v>
      </x:c>
      <x:c r="X49" s="60" t="n">
        <x:f>X48*Q49*R49*U49*V49</x:f>
        <x:v>596.4826517428702</x:v>
      </x:c>
      <x:c r="Y49" s="82" t="n">
        <x:f>W49*Inputs!$B$14*I49/1000000</x:f>
        <x:v>1.4164494442068656</x:v>
      </x:c>
      <x:c r="Z49" s="82" t="n">
        <x:f>X49*Inputs!$B$14*I49/1000000</x:f>
        <x:v>1.4010153507038643</x:v>
      </x:c>
      <x:c r="AA49" s="82" t="n">
        <x:f>Y49-Z49</x:f>
        <x:v>0.01543409350300129</x:v>
      </x:c>
      <x:c r="AB49" s="61" t="n">
        <x:f>IF(Y49=0,0,AA49/Y49)</x:f>
        <x:v>0.010896325009074743</x:v>
      </x:c>
      <x:c r="AC49" s="83" t="n">
        <x:f>X49*Inputs!$B$14*J49/1000000</x:f>
        <x:v>16.812184208446375</x:v>
      </x:c>
      <x:c r="AD49" s="82" t="n">
        <x:f>N49+O49*(1+N49)</x:f>
        <x:v>-0.252</x:v>
      </x:c>
    </x:row>
    <x:row r="50">
      <x:c r="A50" s="14" t="n">
        <x:v>5</x:v>
      </x:c>
      <x:c r="B50" s="14" t="str">
        <x:f>Inputs!B22</x:f>
        <x:v>Buildings</x:v>
      </x:c>
      <x:c r="C50" s="14" t="str">
        <x:f>Inputs!C22</x:f>
        <x:v>Natural gas</x:v>
      </x:c>
      <x:c r="D50" s="78" t="n">
        <x:v>2027</x:v>
      </x:c>
      <x:c r="E50" s="60" t="n">
        <x:f>Scenario!B6</x:f>
        <x:v>106.09</x:v>
      </x:c>
      <x:c r="F50" s="79" t="n">
        <x:f>Scenario!D6</x:f>
        <x:v>30</x:v>
      </x:c>
      <x:c r="G50" s="79" t="n">
        <x:f>Inputs!E22*(1+Inputs!F22)^(D50-Inputs!$B$5)</x:f>
        <x:v>15.3015</x:v>
      </x:c>
      <x:c r="H50" s="80" t="n">
        <x:f>Inputs!H22</x:f>
        <x:v>0.8</x:v>
      </x:c>
      <x:c r="I50" s="81" t="n">
        <x:f>Inputs!G22</x:f>
        <x:v>0.0561</x:v>
      </x:c>
      <x:c r="J50" s="79" t="n">
        <x:f>F50*I50*H50</x:f>
        <x:v>1.3464</x:v>
      </x:c>
      <x:c r="K50" s="79" t="n">
        <x:f>G50</x:f>
        <x:v>15.3015</x:v>
      </x:c>
      <x:c r="L50" s="79" t="n">
        <x:f>G50+J50</x:f>
        <x:v>16.6479</x:v>
      </x:c>
      <x:c r="M50" s="82" t="n">
        <x:f>Inputs!I22</x:f>
        <x:v>0.4</x:v>
      </x:c>
      <x:c r="N50" s="82" t="n">
        <x:f>Inputs!J22</x:f>
        <x:v>-0.15</x:v>
      </x:c>
      <x:c r="O50" s="82" t="n">
        <x:f>Inputs!K22</x:f>
        <x:v>-0.12</x:v>
      </x:c>
      <x:c r="P50" s="82" t="n">
        <x:f>Inputs!L22</x:f>
        <x:v>0.005</x:v>
      </x:c>
      <x:c r="Q50" s="81" t="n">
        <x:f>(E50/E49)^M50</x:f>
        <x:v>1.0118936950154855</x:v>
      </x:c>
      <x:c r="R50" s="81" t="n">
        <x:f>(1/(1+P50))^(1+N50)</x:f>
        <x:v>0.9957695633299736</x:v>
      </x:c>
      <x:c r="S50" s="81" t="n">
        <x:f>(K50/K49)^N50</x:f>
        <x:v>0.9985085636702676</x:v>
      </x:c>
      <x:c r="T50" s="81" t="n">
        <x:f>(K50/K49)^(O50*(1+N50))</x:f>
        <x:v>0.9989855811240309</x:v>
      </x:c>
      <x:c r="U50" s="81" t="n">
        <x:f>(L50/L49)^N50</x:f>
        <x:v>0.9924079366866144</x:v>
      </x:c>
      <x:c r="V50" s="81" t="n">
        <x:f>(L50/L49)^(O50*(1+N50))</x:f>
        <x:v>0.9948311047358145</x:v>
      </x:c>
      <x:c r="W50" s="60" t="n">
        <x:f>W49*Q50*R50*S50*T50</x:f>
        <x:v>606.1229841922875</x:v>
      </x:c>
      <x:c r="X50" s="60" t="n">
        <x:f>X49*Q50*R50*U50*V50</x:f>
        <x:v>593.3775880081902</x:v>
      </x:c>
      <x:c r="Y50" s="82" t="n">
        <x:f>W50*Inputs!$B$14*I50/1000000</x:f>
        <x:v>1.4236585134313269</x:v>
      </x:c>
      <x:c r="Z50" s="82" t="n">
        <x:f>X50*Inputs!$B$14*I50/1000000</x:f>
        <x:v>1.3937221931501795</x:v>
      </x:c>
      <x:c r="AA50" s="82" t="n">
        <x:f>Y50-Z50</x:f>
        <x:v>0.029936320281147344</x:v>
      </x:c>
      <x:c r="AB50" s="61" t="n">
        <x:f>IF(Y50=0,0,AA50/Y50)</x:f>
        <x:v>0.021027739446445128</x:v>
      </x:c>
      <x:c r="AC50" s="83" t="n">
        <x:f>X50*Inputs!$B$14*J50/1000000</x:f>
        <x:v>33.44933263560431</x:v>
      </x:c>
      <x:c r="AD50" s="82" t="n">
        <x:f>N50+O50*(1+N50)</x:f>
        <x:v>-0.252</x:v>
      </x:c>
    </x:row>
    <x:row r="51">
      <x:c r="A51" s="14" t="n">
        <x:v>5</x:v>
      </x:c>
      <x:c r="B51" s="14" t="str">
        <x:f>Inputs!B22</x:f>
        <x:v>Buildings</x:v>
      </x:c>
      <x:c r="C51" s="14" t="str">
        <x:f>Inputs!C22</x:f>
        <x:v>Natural gas</x:v>
      </x:c>
      <x:c r="D51" s="78" t="n">
        <x:v>2028</x:v>
      </x:c>
      <x:c r="E51" s="60" t="n">
        <x:f>Scenario!B7</x:f>
        <x:v>109.2727</x:v>
      </x:c>
      <x:c r="F51" s="79" t="n">
        <x:f>Scenario!D7</x:f>
        <x:v>45</x:v>
      </x:c>
      <x:c r="G51" s="79" t="n">
        <x:f>Inputs!E22*(1+Inputs!F22)^(D51-Inputs!$B$5)</x:f>
        <x:v>15.454514999999999</x:v>
      </x:c>
      <x:c r="H51" s="80" t="n">
        <x:f>Inputs!H22</x:f>
        <x:v>0.8</x:v>
      </x:c>
      <x:c r="I51" s="81" t="n">
        <x:f>Inputs!G22</x:f>
        <x:v>0.0561</x:v>
      </x:c>
      <x:c r="J51" s="79" t="n">
        <x:f>F51*I51*H51</x:f>
        <x:v>2.0196</x:v>
      </x:c>
      <x:c r="K51" s="79" t="n">
        <x:f>G51</x:f>
        <x:v>15.454514999999999</x:v>
      </x:c>
      <x:c r="L51" s="79" t="n">
        <x:f>G51+J51</x:f>
        <x:v>17.474114999999998</x:v>
      </x:c>
      <x:c r="M51" s="82" t="n">
        <x:f>Inputs!I22</x:f>
        <x:v>0.4</x:v>
      </x:c>
      <x:c r="N51" s="82" t="n">
        <x:f>Inputs!J22</x:f>
        <x:v>-0.15</x:v>
      </x:c>
      <x:c r="O51" s="82" t="n">
        <x:f>Inputs!K22</x:f>
        <x:v>-0.12</x:v>
      </x:c>
      <x:c r="P51" s="82" t="n">
        <x:f>Inputs!L22</x:f>
        <x:v>0.005</x:v>
      </x:c>
      <x:c r="Q51" s="81" t="n">
        <x:f>(E51/E50)^M51</x:f>
        <x:v>1.0118936950154855</x:v>
      </x:c>
      <x:c r="R51" s="81" t="n">
        <x:f>(1/(1+P51))^(1+N51)</x:f>
        <x:v>0.9957695633299736</x:v>
      </x:c>
      <x:c r="S51" s="81" t="n">
        <x:f>(K51/K50)^N51</x:f>
        <x:v>0.9985085636702676</x:v>
      </x:c>
      <x:c r="T51" s="81" t="n">
        <x:f>(K51/K50)^(O51*(1+N51))</x:f>
        <x:v>0.9989855811240309</x:v>
      </x:c>
      <x:c r="U51" s="81" t="n">
        <x:f>(L51/L50)^N51</x:f>
        <x:v>0.9927608457175315</x:v>
      </x:c>
      <x:c r="V51" s="81" t="n">
        <x:f>(L51/L50)^(O51*(1+N51))</x:f>
        <x:v>0.9950716551474831</x:v>
      </x:c>
      <x:c r="W51" s="60" t="n">
        <x:f>W50*Q51*R51*S51*T51</x:f>
        <x:v>609.2078684212661</x:v>
      </x:c>
      <x:c r="X51" s="60" t="n">
        <x:f>X50*Q51*R51*U51*V51</x:f>
        <x:v>590.6413826475825</x:v>
      </x:c>
      <x:c r="Y51" s="82" t="n">
        <x:f>W51*Inputs!$B$14*I51/1000000</x:f>
        <x:v>1.430904273466954</x:v>
      </x:c>
      <x:c r="Z51" s="82" t="n">
        <x:f>X51*Inputs!$B$14*I51/1000000</x:f>
        <x:v>1.387295408227452</x:v>
      </x:c>
      <x:c r="AA51" s="82" t="n">
        <x:f>Y51-Z51</x:f>
        <x:v>0.043608865239501915</x:v>
      </x:c>
      <x:c r="AB51" s="61" t="n">
        <x:f>IF(Y51=0,0,AA51/Y51)</x:f>
        <x:v>0.030476437905829653</x:v>
      </x:c>
      <x:c r="AC51" s="83" t="n">
        <x:f>X51*Inputs!$B$14*J51/1000000</x:f>
        <x:v>49.94263469618828</x:v>
      </x:c>
      <x:c r="AD51" s="82" t="n">
        <x:f>N51+O51*(1+N51)</x:f>
        <x:v>-0.252</x:v>
      </x:c>
    </x:row>
    <x:row r="52">
      <x:c r="A52" s="14" t="n">
        <x:v>5</x:v>
      </x:c>
      <x:c r="B52" s="14" t="str">
        <x:f>Inputs!B22</x:f>
        <x:v>Buildings</x:v>
      </x:c>
      <x:c r="C52" s="14" t="str">
        <x:f>Inputs!C22</x:f>
        <x:v>Natural gas</x:v>
      </x:c>
      <x:c r="D52" s="78" t="n">
        <x:v>2029</x:v>
      </x:c>
      <x:c r="E52" s="60" t="n">
        <x:f>Scenario!B8</x:f>
        <x:v>112.550881</x:v>
      </x:c>
      <x:c r="F52" s="79" t="n">
        <x:f>Scenario!D8</x:f>
        <x:v>60</x:v>
      </x:c>
      <x:c r="G52" s="79" t="n">
        <x:f>Inputs!E22*(1+Inputs!F22)^(D52-Inputs!$B$5)</x:f>
        <x:v>15.609060150000001</x:v>
      </x:c>
      <x:c r="H52" s="80" t="n">
        <x:f>Inputs!H22</x:f>
        <x:v>0.8</x:v>
      </x:c>
      <x:c r="I52" s="81" t="n">
        <x:f>Inputs!G22</x:f>
        <x:v>0.0561</x:v>
      </x:c>
      <x:c r="J52" s="79" t="n">
        <x:f>F52*I52*H52</x:f>
        <x:v>2.6928</x:v>
      </x:c>
      <x:c r="K52" s="79" t="n">
        <x:f>G52</x:f>
        <x:v>15.609060150000001</x:v>
      </x:c>
      <x:c r="L52" s="79" t="n">
        <x:f>G52+J52</x:f>
        <x:v>18.301860150000003</x:v>
      </x:c>
      <x:c r="M52" s="82" t="n">
        <x:f>Inputs!I22</x:f>
        <x:v>0.4</x:v>
      </x:c>
      <x:c r="N52" s="82" t="n">
        <x:f>Inputs!J22</x:f>
        <x:v>-0.15</x:v>
      </x:c>
      <x:c r="O52" s="82" t="n">
        <x:f>Inputs!K22</x:f>
        <x:v>-0.12</x:v>
      </x:c>
      <x:c r="P52" s="82" t="n">
        <x:f>Inputs!L22</x:f>
        <x:v>0.005</x:v>
      </x:c>
      <x:c r="Q52" s="81" t="n">
        <x:f>(E52/E51)^M52</x:f>
        <x:v>1.0118936950154855</x:v>
      </x:c>
      <x:c r="R52" s="81" t="n">
        <x:f>(1/(1+P52))^(1+N52)</x:f>
        <x:v>0.9957695633299736</x:v>
      </x:c>
      <x:c r="S52" s="81" t="n">
        <x:f>(K52/K51)^N52</x:f>
        <x:v>0.9985085636702675</x:v>
      </x:c>
      <x:c r="T52" s="81" t="n">
        <x:f>(K52/K51)^(O52*(1+N52))</x:f>
        <x:v>0.9989855811240309</x:v>
      </x:c>
      <x:c r="U52" s="81" t="n">
        <x:f>(L52/L51)^N52</x:f>
        <x:v>0.9930817332837539</x:v>
      </x:c>
      <x:c r="V52" s="81" t="n">
        <x:f>(L52/L51)^(O52*(1+N52))</x:f>
        <x:v>0.9952903552867574</x:v>
      </x:c>
      <x:c r="W52" s="60" t="n">
        <x:f>W51*Q52*R52*S52*T52</x:f>
        <x:v>612.3084532769399</x:v>
      </x:c>
      <x:c r="X52" s="60" t="n">
        <x:f>X51*Q52*R52*U52*V52</x:f>
        <x:v>588.2370820396471</x:v>
      </x:c>
      <x:c r="Y52" s="82" t="n">
        <x:f>W52*Inputs!$B$14*I52/1000000</x:f>
        <x:v>1.4381869110529193</x:v>
      </x:c>
      <x:c r="Z52" s="82" t="n">
        <x:f>X52*Inputs!$B$14*I52/1000000</x:f>
        <x:v>1.3816481994618965</x:v>
      </x:c>
      <x:c r="AA52" s="82" t="n">
        <x:f>Y52-Z52</x:f>
        <x:v>0.05653871159102275</x:v>
      </x:c>
      <x:c r="AB52" s="61" t="n">
        <x:f>IF(Y52=0,0,AA52/Y52)</x:f>
        <x:v>0.03931249210829618</x:v>
      </x:c>
      <x:c r="AC52" s="83" t="n">
        <x:f>X52*Inputs!$B$14*J52/1000000</x:f>
        <x:v>66.31911357417104</x:v>
      </x:c>
      <x:c r="AD52" s="82" t="n">
        <x:f>N52+O52*(1+N52)</x:f>
        <x:v>-0.252</x:v>
      </x:c>
    </x:row>
    <x:row r="53">
      <x:c r="A53" s="14" t="n">
        <x:v>5</x:v>
      </x:c>
      <x:c r="B53" s="14" t="str">
        <x:f>Inputs!B22</x:f>
        <x:v>Buildings</x:v>
      </x:c>
      <x:c r="C53" s="14" t="str">
        <x:f>Inputs!C22</x:f>
        <x:v>Natural gas</x:v>
      </x:c>
      <x:c r="D53" s="78" t="n">
        <x:v>2030</x:v>
      </x:c>
      <x:c r="E53" s="60" t="n">
        <x:f>Scenario!B9</x:f>
        <x:v>115.92740743</x:v>
      </x:c>
      <x:c r="F53" s="79" t="n">
        <x:f>Scenario!D9</x:f>
        <x:v>75</x:v>
      </x:c>
      <x:c r="G53" s="79" t="n">
        <x:f>Inputs!E22*(1+Inputs!F22)^(D53-Inputs!$B$5)</x:f>
        <x:v>15.765150751499998</x:v>
      </x:c>
      <x:c r="H53" s="80" t="n">
        <x:f>Inputs!H22</x:f>
        <x:v>0.8</x:v>
      </x:c>
      <x:c r="I53" s="81" t="n">
        <x:f>Inputs!G22</x:f>
        <x:v>0.0561</x:v>
      </x:c>
      <x:c r="J53" s="79" t="n">
        <x:f>F53*I53*H53</x:f>
        <x:v>3.3659999999999997</x:v>
      </x:c>
      <x:c r="K53" s="79" t="n">
        <x:f>G53</x:f>
        <x:v>15.765150751499998</x:v>
      </x:c>
      <x:c r="L53" s="79" t="n">
        <x:f>G53+J53</x:f>
        <x:v>19.131150751499998</x:v>
      </x:c>
      <x:c r="M53" s="82" t="n">
        <x:f>Inputs!I22</x:f>
        <x:v>0.4</x:v>
      </x:c>
      <x:c r="N53" s="82" t="n">
        <x:f>Inputs!J22</x:f>
        <x:v>-0.15</x:v>
      </x:c>
      <x:c r="O53" s="82" t="n">
        <x:f>Inputs!K22</x:f>
        <x:v>-0.12</x:v>
      </x:c>
      <x:c r="P53" s="82" t="n">
        <x:f>Inputs!L22</x:f>
        <x:v>0.005</x:v>
      </x:c>
      <x:c r="Q53" s="81" t="n">
        <x:f>(E53/E52)^M53</x:f>
        <x:v>1.0118936950154855</x:v>
      </x:c>
      <x:c r="R53" s="81" t="n">
        <x:f>(1/(1+P53))^(1+N53)</x:f>
        <x:v>0.9957695633299736</x:v>
      </x:c>
      <x:c r="S53" s="81" t="n">
        <x:f>(K53/K52)^N53</x:f>
        <x:v>0.9985085636702676</x:v>
      </x:c>
      <x:c r="T53" s="81" t="n">
        <x:f>(K53/K52)^(O53*(1+N53))</x:f>
        <x:v>0.9989855811240309</x:v>
      </x:c>
      <x:c r="U53" s="81" t="n">
        <x:f>(L53/L52)^N53</x:f>
        <x:v>0.9933747592712628</x:v>
      </x:c>
      <x:c r="V53" s="81" t="n">
        <x:f>(L53/L52)^(O53*(1+N53))</x:f>
        <x:v>0.995490046682169</x:v>
      </x:c>
      <x:c r="W53" s="60" t="n">
        <x:f>W52*Q53*R53*S53*T53</x:f>
        <x:v>615.4248186682003</x:v>
      </x:c>
      <x:c r="X53" s="60" t="n">
        <x:f>X52*Q53*R53*U53*V53</x:f>
        <x:v>586.1330075134005</x:v>
      </x:c>
      <x:c r="Y53" s="82" t="n">
        <x:f>W53*Inputs!$B$14*I53/1000000</x:f>
        <x:v>1.4455066138788115</x:v>
      </x:c>
      <x:c r="Z53" s="82" t="n">
        <x:f>X53*Inputs!$B$14*I53/1000000</x:f>
        <x:v>1.3767061601558357</x:v>
      </x:c>
      <x:c r="AA53" s="82" t="n">
        <x:f>Y53-Z53</x:f>
        <x:v>0.06880045372297583</x:v>
      </x:c>
      <x:c r="AB53" s="61" t="n">
        <x:f>IF(Y53=0,0,AA53/Y53)</x:f>
        <x:v>0.04759608365842034</x:v>
      </x:c>
      <x:c r="AC53" s="83" t="n">
        <x:f>X53*Inputs!$B$14*J53/1000000</x:f>
        <x:v>82.60236960935015</x:v>
      </x:c>
      <x:c r="AD53" s="82" t="n">
        <x:f>N53+O53*(1+N53)</x:f>
        <x:v>-0.252</x:v>
      </x:c>
    </x:row>
    <x:row r="54">
      <x:c r="A54" s="14" t="n">
        <x:v>5</x:v>
      </x:c>
      <x:c r="B54" s="14" t="str">
        <x:f>Inputs!B22</x:f>
        <x:v>Buildings</x:v>
      </x:c>
      <x:c r="C54" s="14" t="str">
        <x:f>Inputs!C22</x:f>
        <x:v>Natural gas</x:v>
      </x:c>
      <x:c r="D54" s="78" t="n">
        <x:v>2031</x:v>
      </x:c>
      <x:c r="E54" s="60" t="n">
        <x:f>Scenario!B10</x:f>
        <x:v>119.4052296529</x:v>
      </x:c>
      <x:c r="F54" s="79" t="n">
        <x:f>Scenario!D10</x:f>
        <x:v>90</x:v>
      </x:c>
      <x:c r="G54" s="79" t="n">
        <x:f>Inputs!E22*(1+Inputs!F22)^(D54-Inputs!$B$5)</x:f>
        <x:v>15.922802259015002</x:v>
      </x:c>
      <x:c r="H54" s="80" t="n">
        <x:f>Inputs!H22</x:f>
        <x:v>0.8</x:v>
      </x:c>
      <x:c r="I54" s="81" t="n">
        <x:f>Inputs!G22</x:f>
        <x:v>0.0561</x:v>
      </x:c>
      <x:c r="J54" s="79" t="n">
        <x:f>F54*I54*H54</x:f>
        <x:v>4.0392</x:v>
      </x:c>
      <x:c r="K54" s="79" t="n">
        <x:f>G54</x:f>
        <x:v>15.922802259015002</x:v>
      </x:c>
      <x:c r="L54" s="79" t="n">
        <x:f>G54+J54</x:f>
        <x:v>19.962002259015</x:v>
      </x:c>
      <x:c r="M54" s="82" t="n">
        <x:f>Inputs!I22</x:f>
        <x:v>0.4</x:v>
      </x:c>
      <x:c r="N54" s="82" t="n">
        <x:f>Inputs!J22</x:f>
        <x:v>-0.15</x:v>
      </x:c>
      <x:c r="O54" s="82" t="n">
        <x:f>Inputs!K22</x:f>
        <x:v>-0.12</x:v>
      </x:c>
      <x:c r="P54" s="82" t="n">
        <x:f>Inputs!L22</x:f>
        <x:v>0.005</x:v>
      </x:c>
      <x:c r="Q54" s="81" t="n">
        <x:f>(E54/E53)^M54</x:f>
        <x:v>1.0118936950154855</x:v>
      </x:c>
      <x:c r="R54" s="81" t="n">
        <x:f>(1/(1+P54))^(1+N54)</x:f>
        <x:v>0.9957695633299736</x:v>
      </x:c>
      <x:c r="S54" s="81" t="n">
        <x:f>(K54/K53)^N54</x:f>
        <x:v>0.9985085636702675</x:v>
      </x:c>
      <x:c r="T54" s="81" t="n">
        <x:f>(K54/K53)^(O54*(1+N54))</x:f>
        <x:v>0.9989855811240309</x:v>
      </x:c>
      <x:c r="U54" s="81" t="n">
        <x:f>(L54/L53)^N54</x:f>
        <x:v>0.9936433927291367</x:v>
      </x:c>
      <x:c r="V54" s="81" t="n">
        <x:f>(L54/L53)^(O54*(1+N54))</x:f>
        <x:v>0.9956730984920495</x:v>
      </x:c>
      <x:c r="W54" s="60" t="n">
        <x:f>W53*Q54*R54*S54*T54</x:f>
        <x:v>618.5570449106376</x:v>
      </x:c>
      <x:c r="X54" s="60" t="n">
        <x:f>X53*Q54*R54*U54*V54</x:f>
        <x:v>584.3018195074947</x:v>
      </x:c>
      <x:c r="Y54" s="82" t="n">
        <x:f>W54*Inputs!$B$14*I54/1000000</x:f>
        <x:v>1.452863570589472</x:v>
      </x:c>
      <x:c r="Z54" s="82" t="n">
        <x:f>X54*Inputs!$B$14*I54/1000000</x:f>
        <x:v>1.372405075289742</x:v>
      </x:c>
      <x:c r="AA54" s="82" t="n">
        <x:f>Y54-Z54</x:f>
        <x:v>0.08045849529972982</x:v>
      </x:c>
      <x:c r="AB54" s="61" t="n">
        <x:f>IF(Y54=0,0,AA54/Y54)</x:f>
        <x:v>0.05537925028093677</x:v>
      </x:c>
      <x:c r="AC54" s="83" t="n">
        <x:f>X54*Inputs!$B$14*J54/1000000</x:f>
        <x:v>98.81316542086144</x:v>
      </x:c>
      <x:c r="AD54" s="82" t="n">
        <x:f>N54+O54*(1+N54)</x:f>
        <x:v>-0.252</x:v>
      </x:c>
    </x:row>
    <x:row r="55">
      <x:c r="A55" s="14" t="n">
        <x:v>5</x:v>
      </x:c>
      <x:c r="B55" s="14" t="str">
        <x:f>Inputs!B22</x:f>
        <x:v>Buildings</x:v>
      </x:c>
      <x:c r="C55" s="14" t="str">
        <x:f>Inputs!C22</x:f>
        <x:v>Natural gas</x:v>
      </x:c>
      <x:c r="D55" s="78" t="n">
        <x:v>2032</x:v>
      </x:c>
      <x:c r="E55" s="60" t="n">
        <x:f>Scenario!B11</x:f>
        <x:v>122.987386542487</x:v>
      </x:c>
      <x:c r="F55" s="79" t="n">
        <x:f>Scenario!D11</x:f>
        <x:v>105</x:v>
      </x:c>
      <x:c r="G55" s="79" t="n">
        <x:f>Inputs!E22*(1+Inputs!F22)^(D55-Inputs!$B$5)</x:f>
        <x:v>16.082030281605146</x:v>
      </x:c>
      <x:c r="H55" s="80" t="n">
        <x:f>Inputs!H22</x:f>
        <x:v>0.8</x:v>
      </x:c>
      <x:c r="I55" s="81" t="n">
        <x:f>Inputs!G22</x:f>
        <x:v>0.0561</x:v>
      </x:c>
      <x:c r="J55" s="79" t="n">
        <x:f>F55*I55*H55</x:f>
        <x:v>4.7124</x:v>
      </x:c>
      <x:c r="K55" s="79" t="n">
        <x:f>G55</x:f>
        <x:v>16.082030281605146</x:v>
      </x:c>
      <x:c r="L55" s="79" t="n">
        <x:f>G55+J55</x:f>
        <x:v>20.794430281605145</x:v>
      </x:c>
      <x:c r="M55" s="82" t="n">
        <x:f>Inputs!I22</x:f>
        <x:v>0.4</x:v>
      </x:c>
      <x:c r="N55" s="82" t="n">
        <x:f>Inputs!J22</x:f>
        <x:v>-0.15</x:v>
      </x:c>
      <x:c r="O55" s="82" t="n">
        <x:f>Inputs!K22</x:f>
        <x:v>-0.12</x:v>
      </x:c>
      <x:c r="P55" s="82" t="n">
        <x:f>Inputs!L22</x:f>
        <x:v>0.005</x:v>
      </x:c>
      <x:c r="Q55" s="81" t="n">
        <x:f>(E55/E54)^M55</x:f>
        <x:v>1.0118936950154855</x:v>
      </x:c>
      <x:c r="R55" s="81" t="n">
        <x:f>(1/(1+P55))^(1+N55)</x:f>
        <x:v>0.9957695633299736</x:v>
      </x:c>
      <x:c r="S55" s="81" t="n">
        <x:f>(K55/K54)^N55</x:f>
        <x:v>0.9985085636702676</x:v>
      </x:c>
      <x:c r="T55" s="81" t="n">
        <x:f>(K55/K54)^(O55*(1+N55))</x:f>
        <x:v>0.9989855811240309</x:v>
      </x:c>
      <x:c r="U55" s="81" t="n">
        <x:f>(L55/L54)^N55</x:f>
        <x:v>0.9938905495803234</x:v>
      </x:c>
      <x:c r="V55" s="81" t="n">
        <x:f>(L55/L54)^(O55*(1+N55))</x:f>
        <x:v>0.9958415017573381</x:v>
      </x:c>
      <x:c r="W55" s="60" t="n">
        <x:f>W54*Q55*R55*S55*T55</x:f>
        <x:v>621.7052127286115</x:v>
      </x:c>
      <x:c r="X55" s="60" t="n">
        <x:f>X54*Q55*R55*U55*V55</x:f>
        <x:v>582.7197781625395</x:v>
      </x:c>
      <x:c r="Y55" s="82" t="n">
        <x:f>W55*Inputs!$B$14*I55/1000000</x:f>
        <x:v>1.4602579707898564</x:v>
      </x:c>
      <x:c r="Z55" s="82" t="n">
        <x:f>X55*Inputs!$B$14*I55/1000000</x:f>
        <x:v>1.3686891848053262</x:v>
      </x:c>
      <x:c r="AA55" s="82" t="n">
        <x:f>Y55-Z55</x:f>
        <x:v>0.09156878598453022</x:v>
      </x:c>
      <x:c r="AB55" s="61" t="n">
        <x:f>IF(Y55=0,0,AA55/Y55)</x:f>
        <x:v>0.06270726667220346</x:v>
      </x:c>
      <x:c r="AC55" s="83" t="n">
        <x:f>X55*Inputs!$B$14*J55/1000000</x:f>
        <x:v>114.96989152364739</x:v>
      </x:c>
      <x:c r="AD55" s="82" t="n">
        <x:f>N55+O55*(1+N55)</x:f>
        <x:v>-0.252</x:v>
      </x:c>
    </x:row>
    <x:row r="56">
      <x:c r="A56" s="14" t="n">
        <x:v>5</x:v>
      </x:c>
      <x:c r="B56" s="14" t="str">
        <x:f>Inputs!B22</x:f>
        <x:v>Buildings</x:v>
      </x:c>
      <x:c r="C56" s="14" t="str">
        <x:f>Inputs!C22</x:f>
        <x:v>Natural gas</x:v>
      </x:c>
      <x:c r="D56" s="78" t="n">
        <x:v>2033</x:v>
      </x:c>
      <x:c r="E56" s="60" t="n">
        <x:f>Scenario!B12</x:f>
        <x:v>126.67700813876162</x:v>
      </x:c>
      <x:c r="F56" s="79" t="n">
        <x:f>Scenario!D12</x:f>
        <x:v>120</x:v>
      </x:c>
      <x:c r="G56" s="79" t="n">
        <x:f>Inputs!E22*(1+Inputs!F22)^(D56-Inputs!$B$5)</x:f>
        <x:v>16.242850584421202</x:v>
      </x:c>
      <x:c r="H56" s="80" t="n">
        <x:f>Inputs!H22</x:f>
        <x:v>0.8</x:v>
      </x:c>
      <x:c r="I56" s="81" t="n">
        <x:f>Inputs!G22</x:f>
        <x:v>0.0561</x:v>
      </x:c>
      <x:c r="J56" s="79" t="n">
        <x:f>F56*I56*H56</x:f>
        <x:v>5.3856</x:v>
      </x:c>
      <x:c r="K56" s="79" t="n">
        <x:f>G56</x:f>
        <x:v>16.242850584421202</x:v>
      </x:c>
      <x:c r="L56" s="79" t="n">
        <x:f>G56+J56</x:f>
        <x:v>21.628450584421202</x:v>
      </x:c>
      <x:c r="M56" s="82" t="n">
        <x:f>Inputs!I22</x:f>
        <x:v>0.4</x:v>
      </x:c>
      <x:c r="N56" s="82" t="n">
        <x:f>Inputs!J22</x:f>
        <x:v>-0.15</x:v>
      </x:c>
      <x:c r="O56" s="82" t="n">
        <x:f>Inputs!K22</x:f>
        <x:v>-0.12</x:v>
      </x:c>
      <x:c r="P56" s="82" t="n">
        <x:f>Inputs!L22</x:f>
        <x:v>0.005</x:v>
      </x:c>
      <x:c r="Q56" s="81" t="n">
        <x:f>(E56/E55)^M56</x:f>
        <x:v>1.0118936950154855</x:v>
      </x:c>
      <x:c r="R56" s="81" t="n">
        <x:f>(1/(1+P56))^(1+N56)</x:f>
        <x:v>0.9957695633299736</x:v>
      </x:c>
      <x:c r="S56" s="81" t="n">
        <x:f>(K56/K55)^N56</x:f>
        <x:v>0.9985085636702675</x:v>
      </x:c>
      <x:c r="T56" s="81" t="n">
        <x:f>(K56/K55)^(O56*(1+N56))</x:f>
        <x:v>0.9989855811240309</x:v>
      </x:c>
      <x:c r="U56" s="81" t="n">
        <x:f>(L56/L55)^N56</x:f>
        <x:v>0.9941186986501311</x:v>
      </x:c>
      <x:c r="V56" s="81" t="n">
        <x:f>(L56/L55)^(O56*(1+N56))</x:f>
        <x:v>0.9959969419500531</x:v>
      </x:c>
      <x:c r="W56" s="60" t="n">
        <x:f>W55*Q56*R56*S56*T56</x:f>
        <x:v>624.8694032573309</x:v>
      </x:c>
      <x:c r="X56" s="60" t="n">
        <x:f>X55*Q56*R56*U56*V56</x:f>
        <x:v>581.3661532063536</x:v>
      </x:c>
      <x:c r="Y56" s="82" t="n">
        <x:f>W56*Inputs!$B$14*I56/1000000</x:f>
        <x:v>1.4676900050499215</x:v>
      </x:c>
      <x:c r="Z56" s="82" t="n">
        <x:f>X56*Inputs!$B$14*I56/1000000</x:f>
        <x:v>1.3655097975470867</x:v>
      </x:c>
      <x:c r="AA56" s="82" t="n">
        <x:f>Y56-Z56</x:f>
        <x:v>0.10218020750283485</x:v>
      </x:c>
      <x:c r="AB56" s="61" t="n">
        <x:f>IF(Y56=0,0,AA56/Y56)</x:f>
        <x:v>0.06961974746115364</x:v>
      </x:c>
      <x:c r="AC56" s="83" t="n">
        <x:f>X56*Inputs!$B$14*J56/1000000</x:f>
        <x:v>131.08894056452033</x:v>
      </x:c>
      <x:c r="AD56" s="82" t="n">
        <x:f>N56+O56*(1+N56)</x:f>
        <x:v>-0.252</x:v>
      </x:c>
    </x:row>
    <x:row r="57">
      <x:c r="A57" s="14" t="n">
        <x:v>5</x:v>
      </x:c>
      <x:c r="B57" s="14" t="str">
        <x:f>Inputs!B22</x:f>
        <x:v>Buildings</x:v>
      </x:c>
      <x:c r="C57" s="14" t="str">
        <x:f>Inputs!C22</x:f>
        <x:v>Natural gas</x:v>
      </x:c>
      <x:c r="D57" s="78" t="n">
        <x:v>2034</x:v>
      </x:c>
      <x:c r="E57" s="60" t="n">
        <x:f>Scenario!B13</x:f>
        <x:v>130.47731838292447</x:v>
      </x:c>
      <x:c r="F57" s="79" t="n">
        <x:f>Scenario!D13</x:f>
        <x:v>135</x:v>
      </x:c>
      <x:c r="G57" s="79" t="n">
        <x:f>Inputs!E22*(1+Inputs!F22)^(D57-Inputs!$B$5)</x:f>
        <x:v>16.405279090265417</x:v>
      </x:c>
      <x:c r="H57" s="80" t="n">
        <x:f>Inputs!H22</x:f>
        <x:v>0.8</x:v>
      </x:c>
      <x:c r="I57" s="81" t="n">
        <x:f>Inputs!G22</x:f>
        <x:v>0.0561</x:v>
      </x:c>
      <x:c r="J57" s="79" t="n">
        <x:f>F57*I57*H57</x:f>
        <x:v>6.0588</x:v>
      </x:c>
      <x:c r="K57" s="79" t="n">
        <x:f>G57</x:f>
        <x:v>16.405279090265417</x:v>
      </x:c>
      <x:c r="L57" s="79" t="n">
        <x:f>G57+J57</x:f>
        <x:v>22.464079090265415</x:v>
      </x:c>
      <x:c r="M57" s="82" t="n">
        <x:f>Inputs!I22</x:f>
        <x:v>0.4</x:v>
      </x:c>
      <x:c r="N57" s="82" t="n">
        <x:f>Inputs!J22</x:f>
        <x:v>-0.15</x:v>
      </x:c>
      <x:c r="O57" s="82" t="n">
        <x:f>Inputs!K22</x:f>
        <x:v>-0.12</x:v>
      </x:c>
      <x:c r="P57" s="82" t="n">
        <x:f>Inputs!L22</x:f>
        <x:v>0.005</x:v>
      </x:c>
      <x:c r="Q57" s="81" t="n">
        <x:f>(E57/E56)^M57</x:f>
        <x:v>1.0118936950154855</x:v>
      </x:c>
      <x:c r="R57" s="81" t="n">
        <x:f>(1/(1+P57))^(1+N57)</x:f>
        <x:v>0.9957695633299736</x:v>
      </x:c>
      <x:c r="S57" s="81" t="n">
        <x:f>(K57/K56)^N57</x:f>
        <x:v>0.9985085636702675</x:v>
      </x:c>
      <x:c r="T57" s="81" t="n">
        <x:f>(K57/K56)^(O57*(1+N57))</x:f>
        <x:v>0.9989855811240309</x:v>
      </x:c>
      <x:c r="U57" s="81" t="n">
        <x:f>(L57/L56)^N57</x:f>
        <x:v>0.9943299442031194</x:v>
      </x:c>
      <x:c r="V57" s="81" t="n">
        <x:f>(L57/L56)^(O57*(1+N57))</x:f>
        <x:v>0.9961408554335822</x:v>
      </x:c>
      <x:c r="W57" s="60" t="n">
        <x:f>W56*Q57*R57*S57*T57</x:f>
        <x:v>628.049698044945</x:v>
      </x:c>
      <x:c r="X57" s="60" t="n">
        <x:f>X56*Q57*R57*U57*V57</x:f>
        <x:v>580.2227486207428</x:v>
      </x:c>
      <x:c r="Y57" s="82" t="n">
        <x:f>W57*Inputs!$B$14*I57/1000000</x:f>
        <x:v>1.475159864909537</x:v>
      </x:c>
      <x:c r="Z57" s="82" t="n">
        <x:f>X57*Inputs!$B$14*I57/1000000</x:f>
        <x:v>1.3628241748021077</x:v>
      </x:c>
      <x:c r="AA57" s="82" t="n">
        <x:f>Y57-Z57</x:f>
        <x:v>0.11233569010742928</x:v>
      </x:c>
      <x:c r="AB57" s="61" t="n">
        <x:f>IF(Y57=0,0,AA57/Y57)</x:f>
        <x:v>0.07615153637217359</x:v>
      </x:c>
      <x:c r="AC57" s="83" t="n">
        <x:f>X57*Inputs!$B$14*J57/1000000</x:f>
        <x:v>147.18501087862762</x:v>
      </x:c>
      <x:c r="AD57" s="82" t="n">
        <x:f>N57+O57*(1+N57)</x:f>
        <x:v>-0.252</x:v>
      </x:c>
    </x:row>
    <x:row r="58">
      <x:c r="A58" s="14" t="n">
        <x:v>5</x:v>
      </x:c>
      <x:c r="B58" s="14" t="str">
        <x:f>Inputs!B22</x:f>
        <x:v>Buildings</x:v>
      </x:c>
      <x:c r="C58" s="14" t="str">
        <x:f>Inputs!C22</x:f>
        <x:v>Natural gas</x:v>
      </x:c>
      <x:c r="D58" s="78" t="n">
        <x:v>2035</x:v>
      </x:c>
      <x:c r="E58" s="60" t="n">
        <x:f>Scenario!B14</x:f>
        <x:v>134.39163793441222</x:v>
      </x:c>
      <x:c r="F58" s="79" t="n">
        <x:f>Scenario!D14</x:f>
        <x:v>150</x:v>
      </x:c>
      <x:c r="G58" s="79" t="n">
        <x:f>Inputs!E22*(1+Inputs!F22)^(D58-Inputs!$B$5)</x:f>
        <x:v>16.569331881168072</x:v>
      </x:c>
      <x:c r="H58" s="80" t="n">
        <x:f>Inputs!H22</x:f>
        <x:v>0.8</x:v>
      </x:c>
      <x:c r="I58" s="81" t="n">
        <x:f>Inputs!G22</x:f>
        <x:v>0.0561</x:v>
      </x:c>
      <x:c r="J58" s="79" t="n">
        <x:f>F58*I58*H58</x:f>
        <x:v>6.731999999999999</x:v>
      </x:c>
      <x:c r="K58" s="79" t="n">
        <x:f>G58</x:f>
        <x:v>16.569331881168072</x:v>
      </x:c>
      <x:c r="L58" s="79" t="n">
        <x:f>G58+J58</x:f>
        <x:v>23.30133188116807</x:v>
      </x:c>
      <x:c r="M58" s="82" t="n">
        <x:f>Inputs!I22</x:f>
        <x:v>0.4</x:v>
      </x:c>
      <x:c r="N58" s="82" t="n">
        <x:f>Inputs!J22</x:f>
        <x:v>-0.15</x:v>
      </x:c>
      <x:c r="O58" s="82" t="n">
        <x:f>Inputs!K22</x:f>
        <x:v>-0.12</x:v>
      </x:c>
      <x:c r="P58" s="82" t="n">
        <x:f>Inputs!L22</x:f>
        <x:v>0.005</x:v>
      </x:c>
      <x:c r="Q58" s="81" t="n">
        <x:f>(E58/E57)^M58</x:f>
        <x:v>1.0118936950154855</x:v>
      </x:c>
      <x:c r="R58" s="81" t="n">
        <x:f>(1/(1+P58))^(1+N58)</x:f>
        <x:v>0.9957695633299736</x:v>
      </x:c>
      <x:c r="S58" s="81" t="n">
        <x:f>(K58/K57)^N58</x:f>
        <x:v>0.9985085636702676</x:v>
      </x:c>
      <x:c r="T58" s="81" t="n">
        <x:f>(K58/K57)^(O58*(1+N58))</x:f>
        <x:v>0.9989855811240309</x:v>
      </x:c>
      <x:c r="U58" s="81" t="n">
        <x:f>(L58/L57)^N58</x:f>
        <x:v>0.9945260908450061</x:v>
      </x:c>
      <x:c r="V58" s="81" t="n">
        <x:f>(L58/L57)^(O58*(1+N58))</x:f>
        <x:v>0.9962744738491519</x:v>
      </x:c>
      <x:c r="W58" s="60" t="n">
        <x:f>W57*Q58*R58*S58*T58</x:f>
        <x:v>631.2461790546455</x:v>
      </x:c>
      <x:c r="X58" s="60" t="n">
        <x:f>X57*Q58*R58*U58*V58</x:f>
        <x:v>579.2735164960244</x:v>
      </x:c>
      <x:c r="Y58" s="82" t="n">
        <x:f>W58*Inputs!$B$14*I58/1000000</x:f>
        <x:v>1.4826677428834203</x:v>
      </x:c>
      <x:c r="Z58" s="82" t="n">
        <x:f>X58*Inputs!$B$14*I58/1000000</x:f>
        <x:v>1.3605946233235764</x:v>
      </x:c>
      <x:c r="AA58" s="82" t="n">
        <x:f>Y58-Z58</x:f>
        <x:v>0.1220731195598439</x:v>
      </x:c>
      <x:c r="AB58" s="61" t="n">
        <x:f>IF(Y58=0,0,AA58/Y58)</x:f>
        <x:v>0.08233342914875993</x:v>
      </x:c>
      <x:c r="AC58" s="83" t="n">
        <x:f>X58*Inputs!$B$14*J58/1000000</x:f>
        <x:v>163.27135479882915</x:v>
      </x:c>
      <x:c r="AD58" s="82" t="n">
        <x:f>N58+O58*(1+N58)</x:f>
        <x:v>-0.252</x:v>
      </x:c>
    </x:row>
  </x:sheetData>
  <x:mergeCells>
    <x:mergeCell ref="A1:AD1"/>
    <x:mergeCell ref="A2:A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5" hidden="0" customWidth="1"/>
    <x:col min="12" max="12" width="18" hidden="0" customWidth="1"/>
    <x:col min="13" max="13" width="15" hidden="0" customWidth="1"/>
  </x:cols>
  <x:sheetData>
    <x:row r="1">
      <x:c r="A1" s="40" t="str">
        <x:v>Mitigation results — toy CPAT PoC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14"/>
      <x:c r="L1" s="41" t="str">
        <x:v>2030 snapshot</x:v>
      </x:c>
      <x:c r="M1" s="41"/>
      <x:c r="N1" s="41"/>
      <x:c r="O1" s="41"/>
      <x:c r="P1" s="14"/>
      <x:c r="Q1" s="14"/>
      <x:c r="R1" s="14"/>
      <x:c r="S1" s="14"/>
      <x:c r="T1" s="14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26" t="str">
        <x:v>Metric</x:v>
      </x:c>
      <x:c r="M2" s="26" t="str">
        <x:v>Value</x:v>
      </x:c>
      <x:c r="N2" s="14"/>
      <x:c r="O2" s="14"/>
      <x:c r="P2" s="14"/>
      <x:c r="Q2" s="14"/>
      <x:c r="R2" s="14"/>
      <x:c r="S2" s="14"/>
      <x:c r="T2" s="14"/>
    </x:row>
    <x:row r="3">
      <x:c r="A3" s="26" t="str">
        <x:v>Year</x:v>
      </x:c>
      <x:c r="B3" s="26" t="str">
        <x:v>GDP index</x:v>
      </x:c>
      <x:c r="C3" s="26" t="str">
        <x:v>Carbon price
$/tCO2</x:v>
      </x:c>
      <x:c r="D3" s="26" t="str">
        <x:v>Baseline fuel use
ktoe</x:v>
      </x:c>
      <x:c r="E3" s="26" t="str">
        <x:v>Policy fuel use
ktoe</x:v>
      </x:c>
      <x:c r="F3" s="26" t="str">
        <x:v>Baseline CO2
Mt</x:v>
      </x:c>
      <x:c r="G3" s="26" t="str">
        <x:v>Policy CO2
Mt</x:v>
      </x:c>
      <x:c r="H3" s="26" t="str">
        <x:v>Reduction
Mt</x:v>
      </x:c>
      <x:c r="I3" s="26" t="str">
        <x:v>Reduction
%</x:v>
      </x:c>
      <x:c r="J3" s="26" t="str">
        <x:v>Carbon revenue
$m</x:v>
      </x:c>
      <x:c r="K3" s="14"/>
      <x:c r="L3" s="14" t="str">
        <x:v>Carbon price</x:v>
      </x:c>
      <x:c r="M3" s="62" t="n">
        <x:f>C9</x:f>
        <x:v>75</x:v>
      </x:c>
      <x:c r="N3" s="14"/>
      <x:c r="O3" s="14"/>
      <x:c r="P3" s="14"/>
      <x:c r="Q3" s="14"/>
      <x:c r="R3" s="14"/>
      <x:c r="S3" s="14"/>
      <x:c r="T3" s="14"/>
    </x:row>
    <x:row r="4">
      <x:c r="A4" s="14" t="n">
        <x:v>2025</x:v>
      </x:c>
      <x:c r="B4" s="60" t="n">
        <x:f>Scenario!B4</x:f>
        <x:v>100</x:v>
      </x:c>
      <x:c r="C4" s="62" t="n">
        <x:f>Scenario!D4</x:f>
        <x:v>0</x:v>
      </x:c>
      <x:c r="D4" s="60" t="n">
        <x:f>SUMIF('Fuel Model'!$D$4:$D$58,A4,'Fuel Model'!$W$4:$W$58)</x:f>
        <x:v>3600</x:v>
      </x:c>
      <x:c r="E4" s="60" t="n">
        <x:f>SUMIF('Fuel Model'!$D$4:$D$58,A4,'Fuel Model'!$X$4:$X$58)</x:f>
        <x:v>3600</x:v>
      </x:c>
      <x:c r="F4" s="82" t="n">
        <x:f>SUMIF('Fuel Model'!$D$4:$D$58,A4,'Fuel Model'!$Y$4:$Y$58)</x:f>
        <x:v>10.34181468</x:v>
      </x:c>
      <x:c r="G4" s="82" t="n">
        <x:f>SUMIF('Fuel Model'!$D$4:$D$58,A4,'Fuel Model'!$Z$4:$Z$58)</x:f>
        <x:v>10.34181468</x:v>
      </x:c>
      <x:c r="H4" s="82" t="n">
        <x:f>F4-G4</x:f>
        <x:v>0</x:v>
      </x:c>
      <x:c r="I4" s="61" t="n">
        <x:f>IF(F4=0,0,H4/F4)</x:f>
        <x:v>0</x:v>
      </x:c>
      <x:c r="J4" s="83" t="n">
        <x:f>SUMIF('Fuel Model'!$D$4:$D$58,A4,'Fuel Model'!$AC$4:$AC$58)</x:f>
        <x:v>0</x:v>
      </x:c>
      <x:c r="K4" s="14"/>
      <x:c r="L4" s="14" t="str">
        <x:v>CO2 reduction</x:v>
      </x:c>
      <x:c r="M4" s="61" t="n">
        <x:f>I9</x:f>
        <x:v>0.07992479776797731</x:v>
      </x:c>
      <x:c r="N4" s="14"/>
      <x:c r="O4" s="14"/>
      <x:c r="P4" s="14"/>
      <x:c r="Q4" s="14"/>
      <x:c r="R4" s="14"/>
      <x:c r="S4" s="14"/>
      <x:c r="T4" s="14"/>
    </x:row>
    <x:row r="5">
      <x:c r="A5" s="14" t="n">
        <x:v>2026</x:v>
      </x:c>
      <x:c r="B5" s="60" t="n">
        <x:f>Scenario!B5</x:f>
        <x:v>103</x:v>
      </x:c>
      <x:c r="C5" s="62" t="n">
        <x:f>Scenario!D5</x:f>
        <x:v>15</x:v>
      </x:c>
      <x:c r="D5" s="60" t="n">
        <x:f>SUMIF('Fuel Model'!$D$4:$D$58,A5,'Fuel Model'!$W$4:$W$58)</x:f>
        <x:v>3639.6810671313774</x:v>
      </x:c>
      <x:c r="E5" s="60" t="n">
        <x:f>SUMIF('Fuel Model'!$D$4:$D$58,A5,'Fuel Model'!$X$4:$X$58)</x:f>
        <x:v>3571.7931858632405</x:v>
      </x:c>
      <x:c r="F5" s="82" t="n">
        <x:f>SUMIF('Fuel Model'!$D$4:$D$58,A5,'Fuel Model'!$Y$4:$Y$58)</x:f>
        <x:v>10.458059273914147</x:v>
      </x:c>
      <x:c r="G5" s="82" t="n">
        <x:f>SUMIF('Fuel Model'!$D$4:$D$58,A5,'Fuel Model'!$Z$4:$Z$58)</x:f>
        <x:v>10.243179695807136</x:v>
      </x:c>
      <x:c r="H5" s="82" t="n">
        <x:f>F5-G5</x:f>
        <x:v>0.21487957810701097</x:v>
      </x:c>
      <x:c r="I5" s="61" t="n">
        <x:f>IF(F5=0,0,H5/F5)</x:f>
        <x:v>0.020546792906690786</x:v>
      </x:c>
      <x:c r="J5" s="83" t="n">
        <x:f>SUMIF('Fuel Model'!$D$4:$D$58,A5,'Fuel Model'!$AC$4:$AC$58)</x:f>
        <x:v>149.44464938499547</x:v>
      </x:c>
      <x:c r="K5" s="14"/>
      <x:c r="L5" s="14" t="str">
        <x:v>Carbon revenue</x:v>
      </x:c>
      <x:c r="M5" s="83" t="n">
        <x:f>J9</x:f>
        <x:v>734.223573783826</x:v>
      </x:c>
      <x:c r="N5" s="14"/>
      <x:c r="O5" s="14"/>
      <x:c r="P5" s="14"/>
      <x:c r="Q5" s="14"/>
      <x:c r="R5" s="14"/>
      <x:c r="S5" s="14"/>
      <x:c r="T5" s="14"/>
    </x:row>
    <x:row r="6">
      <x:c r="A6" s="14" t="n">
        <x:v>2027</x:v>
      </x:c>
      <x:c r="B6" s="60" t="n">
        <x:f>Scenario!B6</x:f>
        <x:v>106.09</x:v>
      </x:c>
      <x:c r="C6" s="62" t="n">
        <x:f>Scenario!D6</x:f>
        <x:v>30</x:v>
      </x:c>
      <x:c r="D6" s="60" t="n">
        <x:f>SUMIF('Fuel Model'!$D$4:$D$58,A6,'Fuel Model'!$W$4:$W$58)</x:f>
        <x:v>3679.9030466074846</x:v>
      </x:c>
      <x:c r="E6" s="60" t="n">
        <x:f>SUMIF('Fuel Model'!$D$4:$D$58,A6,'Fuel Model'!$X$4:$X$58)</x:f>
        <x:v>3551.480719225054</x:v>
      </x:c>
      <x:c r="F6" s="82" t="n">
        <x:f>SUMIF('Fuel Model'!$D$4:$D$58,A6,'Fuel Model'!$Y$4:$Y$58)</x:f>
        <x:v>10.575906318489738</x:v>
      </x:c>
      <x:c r="G6" s="82" t="n">
        <x:f>SUMIF('Fuel Model'!$D$4:$D$58,A6,'Fuel Model'!$Z$4:$Z$58)</x:f>
        <x:v>10.17199758537586</x:v>
      </x:c>
      <x:c r="H6" s="82" t="n">
        <x:f>F6-G6</x:f>
        <x:v>0.40390873311387665</x:v>
      </x:c>
      <x:c r="I6" s="61" t="n">
        <x:f>IF(F6=0,0,H6/F6)</x:f>
        <x:v>0.038191406102730655</x:v>
      </x:c>
      <x:c r="J6" s="83" t="n">
        <x:f>SUMIF('Fuel Model'!$D$4:$D$58,A6,'Fuel Model'!$AC$4:$AC$58)</x:f>
        <x:v>296.7975944023747</x:v>
      </x:c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>
      <x:c r="A7" s="14" t="n">
        <x:v>2028</x:v>
      </x:c>
      <x:c r="B7" s="60" t="n">
        <x:f>Scenario!B7</x:f>
        <x:v>109.2727</x:v>
      </x:c>
      <x:c r="C7" s="62" t="n">
        <x:f>Scenario!D7</x:f>
        <x:v>45</x:v>
      </x:c>
      <x:c r="D7" s="60" t="n">
        <x:f>SUMIF('Fuel Model'!$D$4:$D$58,A7,'Fuel Model'!$W$4:$W$58)</x:f>
        <x:v>3720.674233419951</x:v>
      </x:c>
      <x:c r="E7" s="60" t="n">
        <x:f>SUMIF('Fuel Model'!$D$4:$D$58,A7,'Fuel Model'!$X$4:$X$58)</x:f>
        <x:v>3537.183574079776</x:v>
      </x:c>
      <x:c r="F7" s="82" t="n">
        <x:f>SUMIF('Fuel Model'!$D$4:$D$58,A7,'Fuel Model'!$Y$4:$Y$58)</x:f>
        <x:v>10.695380508779525</x:v>
      </x:c>
      <x:c r="G7" s="82" t="n">
        <x:f>SUMIF('Fuel Model'!$D$4:$D$58,A7,'Fuel Model'!$Z$4:$Z$58)</x:f>
        <x:v>10.121272213116264</x:v>
      </x:c>
      <x:c r="H7" s="82" t="n">
        <x:f>F7-G7</x:f>
        <x:v>0.5741082956632617</x:v>
      </x:c>
      <x:c r="I7" s="61" t="n">
        <x:f>IF(F7=0,0,H7/F7)</x:f>
        <x:v>0.053678155273858</x:v>
      </x:c>
      <x:c r="J7" s="83" t="n">
        <x:f>SUMIF('Fuel Model'!$D$4:$D$58,A7,'Fuel Model'!$AC$4:$AC$58)</x:f>
        <x:v>442.9715909161848</x:v>
      </x:c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>
      <x:c r="A8" s="14" t="n">
        <x:v>2029</x:v>
      </x:c>
      <x:c r="B8" s="60" t="n">
        <x:f>Scenario!B8</x:f>
        <x:v>112.550881</x:v>
      </x:c>
      <x:c r="C8" s="62" t="n">
        <x:f>Scenario!D8</x:f>
        <x:v>60</x:v>
      </x:c>
      <x:c r="D8" s="60" t="n">
        <x:f>SUMIF('Fuel Model'!$D$4:$D$58,A8,'Fuel Model'!$W$4:$W$58)</x:f>
        <x:v>3762.0030564847593</x:v>
      </x:c>
      <x:c r="E8" s="60" t="n">
        <x:f>SUMIF('Fuel Model'!$D$4:$D$58,A8,'Fuel Model'!$X$4:$X$58)</x:f>
        <x:v>3527.696708143485</x:v>
      </x:c>
      <x:c r="F8" s="82" t="n">
        <x:f>SUMIF('Fuel Model'!$D$4:$D$58,A8,'Fuel Model'!$Y$4:$Y$58)</x:f>
        <x:v>10.816506939322068</x:v>
      </x:c>
      <x:c r="G8" s="82" t="n">
        <x:f>SUMIF('Fuel Model'!$D$4:$D$58,A8,'Fuel Model'!$Z$4:$Z$58)</x:f>
        <x:v>10.08659497419572</x:v>
      </x:c>
      <x:c r="H8" s="82" t="n">
        <x:f>F8-G8</x:f>
        <x:v>0.7299119651263482</x:v>
      </x:c>
      <x:c r="I8" s="61" t="n">
        <x:f>IF(F8=0,0,H8/F8)</x:f>
        <x:v>0.06748130142392308</x:v>
      </x:c>
      <x:c r="J8" s="83" t="n">
        <x:f>SUMIF('Fuel Model'!$D$4:$D$58,A8,'Fuel Model'!$AC$4:$AC$58)</x:f>
        <x:v>588.6159200582005</x:v>
      </x:c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>
      <x:c r="A9" s="14" t="n">
        <x:v>2030</x:v>
      </x:c>
      <x:c r="B9" s="60" t="n">
        <x:f>Scenario!B9</x:f>
        <x:v>115.92740743</x:v>
      </x:c>
      <x:c r="C9" s="62" t="n">
        <x:f>Scenario!D9</x:f>
        <x:v>75</x:v>
      </x:c>
      <x:c r="D9" s="60" t="n">
        <x:f>SUMIF('Fuel Model'!$D$4:$D$58,A9,'Fuel Model'!$W$4:$W$58)</x:f>
        <x:v>3803.8980808485053</x:v>
      </x:c>
      <x:c r="E9" s="60" t="n">
        <x:f>SUMIF('Fuel Model'!$D$4:$D$58,A9,'Fuel Model'!$X$4:$X$58)</x:f>
        <x:v>3522.192538864694</x:v>
      </x:c>
      <x:c r="F9" s="82" t="n">
        <x:f>SUMIF('Fuel Model'!$D$4:$D$58,A9,'Fuel Model'!$Y$4:$Y$58)</x:f>
        <x:v>10.939311110728113</x:v>
      </x:c>
      <x:c r="G9" s="82" t="n">
        <x:f>SUMIF('Fuel Model'!$D$4:$D$58,A9,'Fuel Model'!$Z$4:$Z$58)</x:f>
        <x:v>10.064988882482181</x:v>
      </x:c>
      <x:c r="H9" s="82" t="n">
        <x:f>F9-G9</x:f>
        <x:v>0.8743222282459318</x:v>
      </x:c>
      <x:c r="I9" s="61" t="n">
        <x:f>IF(F9=0,0,H9/F9)</x:f>
        <x:v>0.07992479776797731</x:v>
      </x:c>
      <x:c r="J9" s="83" t="n">
        <x:f>SUMIF('Fuel Model'!$D$4:$D$58,A9,'Fuel Model'!$AC$4:$AC$58)</x:f>
        <x:v>734.223573783826</x:v>
      </x:c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>
      <x:c r="A10" s="14" t="n">
        <x:v>2031</x:v>
      </x:c>
      <x:c r="B10" s="60" t="n">
        <x:f>Scenario!B10</x:f>
        <x:v>119.4052296529</x:v>
      </x:c>
      <x:c r="C10" s="62" t="n">
        <x:f>Scenario!D10</x:f>
        <x:v>90</x:v>
      </x:c>
      <x:c r="D10" s="60" t="n">
        <x:f>SUMIF('Fuel Model'!$D$4:$D$58,A10,'Fuel Model'!$W$4:$W$58)</x:f>
        <x:v>3846.3680099313005</x:v>
      </x:c>
      <x:c r="E10" s="60" t="n">
        <x:f>SUMIF('Fuel Model'!$D$4:$D$58,A10,'Fuel Model'!$X$4:$X$58)</x:f>
        <x:v>3520.0733846106946</x:v>
      </x:c>
      <x:c r="F10" s="82" t="n">
        <x:f>SUMIF('Fuel Model'!$D$4:$D$58,A10,'Fuel Model'!$Y$4:$Y$58)</x:f>
        <x:v>11.06381893637645</x:v>
      </x:c>
      <x:c r="G10" s="82" t="n">
        <x:f>SUMIF('Fuel Model'!$D$4:$D$58,A10,'Fuel Model'!$Z$4:$Z$58)</x:f>
        <x:v>10.0543376831215</x:v>
      </x:c>
      <x:c r="H10" s="82" t="n">
        <x:f>F10-G10</x:f>
        <x:v>1.0094812532549504</x:v>
      </x:c>
      <x:c r="I10" s="61" t="n">
        <x:f>IF(F10=0,0,H10/F10)</x:f>
        <x:v>0.09124166429874432</x:v>
      </x:c>
      <x:c r="J10" s="83" t="n">
        <x:f>SUMIF('Fuel Model'!$D$4:$D$58,A10,'Fuel Model'!$AC$4:$AC$58)</x:f>
        <x:v>880.1871001257196</x:v>
      </x:c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>
      <x:c r="A11" s="14" t="n">
        <x:v>2032</x:v>
      </x:c>
      <x:c r="B11" s="60" t="n">
        <x:f>Scenario!B11</x:f>
        <x:v>122.987386542487</x:v>
      </x:c>
      <x:c r="C11" s="62" t="n">
        <x:f>Scenario!D11</x:f>
        <x:v>105</x:v>
      </x:c>
      <x:c r="D11" s="60" t="n">
        <x:f>SUMIF('Fuel Model'!$D$4:$D$58,A11,'Fuel Model'!$W$4:$W$58)</x:f>
        <x:v>3889.421687806899</x:v>
      </x:c>
      <x:c r="E11" s="60" t="n">
        <x:f>SUMIF('Fuel Model'!$D$4:$D$58,A11,'Fuel Model'!$X$4:$X$58)</x:f>
        <x:v>3520.8908313708725</x:v>
      </x:c>
      <x:c r="F11" s="82" t="n">
        <x:f>SUMIF('Fuel Model'!$D$4:$D$58,A11,'Fuel Model'!$Y$4:$Y$58)</x:f>
        <x:v>11.19005674922089</x:v>
      </x:c>
      <x:c r="G11" s="82" t="n">
        <x:f>SUMIF('Fuel Model'!$D$4:$D$58,A11,'Fuel Model'!$Z$4:$Z$58)</x:f>
        <x:v>10.053076587795571</x:v>
      </x:c>
      <x:c r="H11" s="82" t="n">
        <x:f>F11-G11</x:f>
        <x:v>1.1369801614253188</x:v>
      </x:c>
      <x:c r="I11" s="61" t="n">
        <x:f>IF(F11=0,0,H11/F11)</x:f>
        <x:v>0.10160629091577049</x:v>
      </x:c>
      <x:c r="J11" s="83" t="n">
        <x:f>SUMIF('Fuel Model'!$D$4:$D$58,A11,'Fuel Model'!$AC$4:$AC$58)</x:f>
        <x:v>1026.830568837623</x:v>
      </x:c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>
      <x:c r="A12" s="14" t="n">
        <x:v>2033</x:v>
      </x:c>
      <x:c r="B12" s="60" t="n">
        <x:f>Scenario!B12</x:f>
        <x:v>126.67700813876162</x:v>
      </x:c>
      <x:c r="C12" s="62" t="n">
        <x:f>Scenario!D12</x:f>
        <x:v>120</x:v>
      </x:c>
      <x:c r="D12" s="60" t="n">
        <x:f>SUMIF('Fuel Model'!$D$4:$D$58,A12,'Fuel Model'!$W$4:$W$58)</x:f>
        <x:v>3933.0681015206787</x:v>
      </x:c>
      <x:c r="E12" s="60" t="n">
        <x:f>SUMIF('Fuel Model'!$D$4:$D$58,A12,'Fuel Model'!$X$4:$X$58)</x:f>
        <x:v>3524.298357137761</x:v>
      </x:c>
      <x:c r="F12" s="82" t="n">
        <x:f>SUMIF('Fuel Model'!$D$4:$D$58,A12,'Fuel Model'!$Y$4:$Y$58)</x:f>
        <x:v>11.318051308710317</x:v>
      </x:c>
      <x:c r="G12" s="82" t="n">
        <x:f>SUMIF('Fuel Model'!$D$4:$D$58,A12,'Fuel Model'!$Z$4:$Z$58)</x:f>
        <x:v>10.060012291191038</x:v>
      </x:c>
      <x:c r="H12" s="82" t="n">
        <x:f>F12-G12</x:f>
        <x:v>1.2580390175192786</x:v>
      </x:c>
      <x:c r="I12" s="61" t="n">
        <x:f>IF(F12=0,0,H12/F12)</x:f>
        <x:v>0.11115332341275905</x:v>
      </x:c>
      <x:c r="J12" s="83" t="n">
        <x:f>SUMIF('Fuel Model'!$D$4:$D$58,A12,'Fuel Model'!$AC$4:$AC$58)</x:f>
        <x:v>1174.4292398017942</x:v>
      </x:c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>
      <x:c r="A13" s="14" t="n">
        <x:v>2034</x:v>
      </x:c>
      <x:c r="B13" s="60" t="n">
        <x:f>Scenario!B13</x:f>
        <x:v>130.47731838292447</x:v>
      </x:c>
      <x:c r="C13" s="62" t="n">
        <x:f>Scenario!D13</x:f>
        <x:v>135</x:v>
      </x:c>
      <x:c r="D13" s="60" t="n">
        <x:f>SUMIF('Fuel Model'!$D$4:$D$58,A13,'Fuel Model'!$W$4:$W$58)</x:f>
        <x:v>3977.316383446103</x:v>
      </x:c>
      <x:c r="E13" s="60" t="n">
        <x:f>SUMIF('Fuel Model'!$D$4:$D$58,A13,'Fuel Model'!$X$4:$X$58)</x:f>
        <x:v>3530.0218396508835</x:v>
      </x:c>
      <x:c r="F13" s="82" t="n">
        <x:f>SUMIF('Fuel Model'!$D$4:$D$58,A13,'Fuel Model'!$Y$4:$Y$58)</x:f>
        <x:v>11.447829807823675</x:v>
      </x:c>
      <x:c r="G13" s="82" t="n">
        <x:f>SUMIF('Fuel Model'!$D$4:$D$58,A13,'Fuel Model'!$Z$4:$Z$58)</x:f>
        <x:v>10.074212053948362</x:v>
      </x:c>
      <x:c r="H13" s="82" t="n">
        <x:f>F13-G13</x:f>
        <x:v>1.3736177538753136</x:v>
      </x:c>
      <x:c r="I13" s="61" t="n">
        <x:f>IF(F13=0,0,H13/F13)</x:f>
        <x:v>0.11998935841416473</x:v>
      </x:c>
      <x:c r="J13" s="83" t="n">
        <x:f>SUMIF('Fuel Model'!$D$4:$D$58,A13,'Fuel Model'!$AC$4:$AC$58)</x:f>
        <x:v>1323.222374563372</x:v>
      </x:c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</x:row>
    <x:row r="14">
      <x:c r="A14" s="14" t="n">
        <x:v>2035</x:v>
      </x:c>
      <x:c r="B14" s="60" t="n">
        <x:f>Scenario!B14</x:f>
        <x:v>134.39163793441222</x:v>
      </x:c>
      <x:c r="C14" s="62" t="n">
        <x:f>Scenario!D14</x:f>
        <x:v>150</x:v>
      </x:c>
      <x:c r="D14" s="60" t="n">
        <x:f>SUMIF('Fuel Model'!$D$4:$D$58,A14,'Fuel Model'!$W$4:$W$58)</x:f>
        <x:v>4022.175813680312</x:v>
      </x:c>
      <x:c r="E14" s="60" t="n">
        <x:f>SUMIF('Fuel Model'!$D$4:$D$58,A14,'Fuel Model'!$X$4:$X$58)</x:f>
        <x:v>3537.840311467956</x:v>
      </x:c>
      <x:c r="F14" s="82" t="n">
        <x:f>SUMIF('Fuel Model'!$D$4:$D$58,A14,'Fuel Model'!$Y$4:$Y$58)</x:f>
        <x:v>11.57941988022179</x:v>
      </x:c>
      <x:c r="G14" s="82" t="n">
        <x:f>SUMIF('Fuel Model'!$D$4:$D$58,A14,'Fuel Model'!$Z$4:$Z$58)</x:f>
        <x:v>10.09493207542754</x:v>
      </x:c>
      <x:c r="H14" s="82" t="n">
        <x:f>F14-G14</x:f>
        <x:v>1.4844878047942505</x:v>
      </x:c>
      <x:c r="I14" s="61" t="n">
        <x:f>IF(F14=0,0,H14/F14)</x:f>
        <x:v>0.12820053337299112</x:v>
      </x:c>
      <x:c r="J14" s="83" t="n">
        <x:f>SUMIF('Fuel Model'!$D$4:$D$58,A14,'Fuel Model'!$AC$4:$AC$58)</x:f>
        <x:v>1473.4219726144233</x:v>
      </x:c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</x:row>
  </x:sheetData>
  <x:mergeCells>
    <x:mergeCell ref="A1:J1"/>
    <x:mergeCell ref="L1:O1"/>
  </x:mergeCells>
  <x:pageMargins left="0.7" right="0.7" top="0.75" bottom="0.75" header="0.3" footer="0.3"/>
  <x:drawing xmlns:r="http://schemas.openxmlformats.org/officeDocument/2006/relationships" r:id="R69395c44c7e042b3"/>
</x:worksheet>
</file>