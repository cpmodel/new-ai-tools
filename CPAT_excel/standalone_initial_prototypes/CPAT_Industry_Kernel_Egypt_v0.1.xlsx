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Mitigation_Industry" sheetId="2" state="visible" r:id="rId4"/>
    <sheet name="MTInputs" sheetId="3" state="visible" r:id="rId5"/>
    <sheet name="Data_Energy" sheetId="4" state="visible" r:id="rId6"/>
    <sheet name="Data_Prices" sheetId="5" state="visible" r:id="rId7"/>
    <sheet name="Data_Macro" sheetId="6" state="visible" r:id="rId8"/>
    <sheet name="Data_Elast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<sst xmlns="http://schemas.openxmlformats.org/spreadsheetml/2006/main" count="6030" uniqueCount="1311">
  <si>
    <t xml:space="preserve">CPAT industry kernel - Egypt prototype v0.1</t>
  </si>
  <si>
    <t xml:space="preserve">Country code</t>
  </si>
  <si>
    <t xml:space="preserve">egy</t>
  </si>
  <si>
    <t xml:space="preserve">First component of every code; CPAT convention (egy.mit.&lt;var&gt;.&lt;sector&gt;.&lt;fuel&gt;.&lt;type&gt;.&lt;scenario&gt;)</t>
  </si>
  <si>
    <t xml:space="preserve">Price group for industry sectors</t>
  </si>
  <si>
    <t xml:space="preserve">ind</t>
  </si>
  <si>
    <t xml:space="preserve">C2 retail-price group the four sectors read (pow / res / ind / tra)</t>
  </si>
  <si>
    <t xml:space="preserve">Elasticity column</t>
  </si>
  <si>
    <t xml:space="preserve">Industries</t>
  </si>
  <si>
    <t xml:space="preserve">Column of the master elasticity table (Transport / Residential / Industries / Services)</t>
  </si>
  <si>
    <t xml:space="preserve">Base year</t>
  </si>
  <si>
    <t xml:space="preserve">MTInputs FirstYearCalculations; energy in the base year is read from Data_Energy, later years from the kernel</t>
  </si>
  <si>
    <t xml:space="preserve">Additional policy-induced efficiency (alpha+)</t>
  </si>
  <si>
    <t xml:space="preserve">Read from the MTInputs column by NameOfParameter; this is the only MTInputs dependency of the kernel rows</t>
  </si>
  <si>
    <t xml:space="preserve">Carbon price start year (info)</t>
  </si>
  <si>
    <t xml:space="preserve">For reference: the policy scenario new-policy wedge (nce) starts here</t>
  </si>
  <si>
    <t xml:space="preserve">Carbon price target (info)</t>
  </si>
  <si>
    <t xml:space="preserve">$/tCO2</t>
  </si>
  <si>
    <t xml:space="preserve">Kernel (every energy cell, year t &gt;= 2023):</t>
  </si>
  <si>
    <t xml:space="preserve">F(t) = F(t-1) * (1+g)^(eY*delta) * (1+psi) * (p(t)/p(t-1))^eU * [ (s(t)/s(t-1))^eF / (1 + a + a+) ]^(1+eU)</t>
  </si>
  <si>
    <t xml:space="preserve">p = post-tax price (atp), s = shadow price (shp) = atp + sigma*ssc, g = post-policy GDP growth, delta = income-elasticity discount, psi = exogenous shock</t>
  </si>
  <si>
    <t xml:space="preserve">Sheets</t>
  </si>
  <si>
    <t xml:space="preserve">Mitigation_Industry</t>
  </si>
  <si>
    <t xml:space="preserve">Kernel sheet in the CPAT Mitigation layout (columns A-AI, years K-AI): 4 CBAM sectors x 2 scenarios. All formulas; codes built from components.</t>
  </si>
  <si>
    <t xml:space="preserve">MTInputs</t>
  </si>
  <si>
    <t xml:space="preserve">The 415-row CPAT parameter column, copied unchanged (columns A-I of the MTInputs sheet).</t>
  </si>
  <si>
    <t xml:space="preserve">Data_Energy</t>
  </si>
  <si>
    <t xml:space="preserve">Base-year energy matrix, fuel x sector, ktoe (Mitigation B4 rows 583-602).</t>
  </si>
  <si>
    <t xml:space="preserve">Data_Prices</t>
  </si>
  <si>
    <t xml:space="preserve">Pre-tax price before new policies (pbc), new-policy wedge (nce), shadow price (shp), sector coverage (tcf), share of shadow price on efficiency (ssc); both scenarios.</t>
  </si>
  <si>
    <t xml:space="preserve">Data_Macro</t>
  </si>
  <si>
    <t xml:space="preserve">GDP growth, income-elasticity discount factor, exogenous shock; both scenarios.</t>
  </si>
  <si>
    <t xml:space="preserve">Data_Elast</t>
  </si>
  <si>
    <t xml:space="preserve">Master elasticity table (income, usage, efficiency, AEEI) by fuel group x sector group, plus the fuel-group map.</t>
  </si>
  <si>
    <t xml:space="preserve">Check</t>
  </si>
  <si>
    <t xml:space="preserve">Kernel output against the values stored in CPAT_1_0pre_456 for the same rows; max absolute and relative differences.</t>
  </si>
  <si>
    <t xml:space="preserve">Fuel</t>
  </si>
  <si>
    <t xml:space="preserve">Sector</t>
  </si>
  <si>
    <t xml:space="preserve">Description</t>
  </si>
  <si>
    <t xml:space="preserve">Unit</t>
  </si>
  <si>
    <t xml:space="preserve">Source</t>
  </si>
  <si>
    <t xml:space="preserve">Input Code</t>
  </si>
  <si>
    <t xml:space="preserve">Output Code</t>
  </si>
  <si>
    <t xml:space="preserve">Note</t>
  </si>
  <si>
    <t xml:space="preserve">Helper</t>
  </si>
  <si>
    <t xml:space="preserve">Industrial sector - Baseline  (CBAM sectors: iron and steel, cement, non-ferrous metals, mining &amp; chemicals)</t>
  </si>
  <si>
    <t xml:space="preserve">Iron and steel</t>
  </si>
  <si>
    <t xml:space="preserve">irn</t>
  </si>
  <si>
    <t xml:space="preserve">Fuel Type</t>
  </si>
  <si>
    <t xml:space="preserve">Variable Code</t>
  </si>
  <si>
    <t xml:space="preserve">Input Code (data-table key)</t>
  </si>
  <si>
    <t xml:space="preserve">Scenario</t>
  </si>
  <si>
    <t xml:space="preserve">Pre-tax price: price before any new policy (supply cost + VAT + existing excise, subsidies and carbon prices)</t>
  </si>
  <si>
    <t xml:space="preserve">coa</t>
  </si>
  <si>
    <t xml:space="preserve">Coal</t>
  </si>
  <si>
    <t xml:space="preserve">$/GJ</t>
  </si>
  <si>
    <t xml:space="preserve">ptp</t>
  </si>
  <si>
    <t xml:space="preserve">nga</t>
  </si>
  <si>
    <t xml:space="preserve">Natural gas</t>
  </si>
  <si>
    <t xml:space="preserve">gso</t>
  </si>
  <si>
    <t xml:space="preserve">Gasoline</t>
  </si>
  <si>
    <t xml:space="preserve">$/liter</t>
  </si>
  <si>
    <t xml:space="preserve">die</t>
  </si>
  <si>
    <t xml:space="preserve">Diesel</t>
  </si>
  <si>
    <t xml:space="preserve">lpg</t>
  </si>
  <si>
    <t xml:space="preserve">LPG</t>
  </si>
  <si>
    <t xml:space="preserve">ker</t>
  </si>
  <si>
    <t xml:space="preserve">Kerosene</t>
  </si>
  <si>
    <t xml:space="preserve">oop</t>
  </si>
  <si>
    <t xml:space="preserve">Other oil products</t>
  </si>
  <si>
    <t xml:space="preserve">$/bbl</t>
  </si>
  <si>
    <t xml:space="preserve">bio</t>
  </si>
  <si>
    <t xml:space="preserve">Biomass</t>
  </si>
  <si>
    <t xml:space="preserve">ren</t>
  </si>
  <si>
    <t xml:space="preserve">Self-generated renewables</t>
  </si>
  <si>
    <t xml:space="preserve">$/kwh</t>
  </si>
  <si>
    <t xml:space="preserve">Post-tax price: pre-tax + new-policy wedge x sector coverage factor  (= CPAT atp row)</t>
  </si>
  <si>
    <t xml:space="preserve">atp</t>
  </si>
  <si>
    <t xml:space="preserve">Shadow price: post-tax + shadow price of non-price policies x share acting on efficiency</t>
  </si>
  <si>
    <t xml:space="preserve">shp</t>
  </si>
  <si>
    <t xml:space="preserve">Sector policy and macro drivers</t>
  </si>
  <si>
    <t xml:space="preserve">-</t>
  </si>
  <si>
    <t xml:space="preserve">Sector coverage factor of the new-policy wedge</t>
  </si>
  <si>
    <t xml:space="preserve">share</t>
  </si>
  <si>
    <t xml:space="preserve">tcf</t>
  </si>
  <si>
    <t xml:space="preserve">Share of shadow price acting on efficiency</t>
  </si>
  <si>
    <t xml:space="preserve">ssc</t>
  </si>
  <si>
    <t xml:space="preserve">Post-policy real GDP growth</t>
  </si>
  <si>
    <t xml:space="preserve">%</t>
  </si>
  <si>
    <t xml:space="preserve">g</t>
  </si>
  <si>
    <t xml:space="preserve">Income-elasticity discount factor</t>
  </si>
  <si>
    <t xml:space="preserve">ratio</t>
  </si>
  <si>
    <t xml:space="preserve">delta</t>
  </si>
  <si>
    <t xml:space="preserve">Exogenous shock on energy consumption</t>
  </si>
  <si>
    <t xml:space="preserve">psi</t>
  </si>
  <si>
    <t xml:space="preserve">Kernel parameters (looked up from Data_Elast; column = Settings elasticity group)</t>
  </si>
  <si>
    <t xml:space="preserve">Income el. (eY)</t>
  </si>
  <si>
    <t xml:space="preserve">Usage el. (eU)</t>
  </si>
  <si>
    <t xml:space="preserve">Efficiency el. (eF)</t>
  </si>
  <si>
    <t xml:space="preserve">AEEI (a)</t>
  </si>
  <si>
    <t xml:space="preserve">Add. efficiency (a+)</t>
  </si>
  <si>
    <t xml:space="preserve">Elasticity fuel group</t>
  </si>
  <si>
    <t xml:space="preserve">Parameters: Coal</t>
  </si>
  <si>
    <t xml:space="preserve">Parameters: Natural gas</t>
  </si>
  <si>
    <t xml:space="preserve">Parameters: Gasoline</t>
  </si>
  <si>
    <t xml:space="preserve">Parameters: Diesel</t>
  </si>
  <si>
    <t xml:space="preserve">Parameters: LPG</t>
  </si>
  <si>
    <t xml:space="preserve">Parameters: Kerosene</t>
  </si>
  <si>
    <t xml:space="preserve">Parameters: Other oil products</t>
  </si>
  <si>
    <t xml:space="preserve">Parameters: Biomass</t>
  </si>
  <si>
    <t xml:space="preserve">Parameters: Self-generated renewables</t>
  </si>
  <si>
    <t xml:space="preserve">Energy use: base year from Data_Energy, later years from the kernel  (= CPAT ener rows)</t>
  </si>
  <si>
    <t xml:space="preserve">ktoe</t>
  </si>
  <si>
    <t xml:space="preserve">ener</t>
  </si>
  <si>
    <t xml:space="preserve">tot</t>
  </si>
  <si>
    <t xml:space="preserve">Total</t>
  </si>
  <si>
    <t xml:space="preserve">Cement</t>
  </si>
  <si>
    <t xml:space="preserve">cem</t>
  </si>
  <si>
    <t xml:space="preserve">Non-ferrous metals</t>
  </si>
  <si>
    <t xml:space="preserve">nfm</t>
  </si>
  <si>
    <t xml:space="preserve">Mining &amp; Chemicals</t>
  </si>
  <si>
    <t xml:space="preserve">mch</t>
  </si>
  <si>
    <t xml:space="preserve">Industrial sector - Carbon tax  (policy scenario, same four sectors)</t>
  </si>
  <si>
    <t xml:space="preserve">CPAT Inputs</t>
  </si>
  <si>
    <t xml:space="preserve">Links ----&gt;</t>
  </si>
  <si>
    <t xml:space="preserve">Dashboard</t>
  </si>
  <si>
    <t xml:space="preserve">Explanation: this tabs is used for running MT as well as being a convenient place for all CPAT policy and parameter inputs to be viewed</t>
  </si>
  <si>
    <t xml:space="preserve">NB: Please do not change any cells. Make sure that "MT is active" switch is "False"</t>
  </si>
  <si>
    <t xml:space="preserve">&lt;-- Should normally  be "FALSE"!</t>
  </si>
  <si>
    <t xml:space="preserve">Parameters</t>
  </si>
  <si>
    <t xml:space="preserve">unit</t>
  </si>
  <si>
    <t xml:space="preserve">MT values</t>
  </si>
  <si>
    <t xml:space="preserve">"Dashboard" values</t>
  </si>
  <si>
    <t xml:space="preserve">Used for calculation</t>
  </si>
  <si>
    <t xml:space="preserve">Defaults</t>
  </si>
  <si>
    <t xml:space="preserve">NameOfParameter</t>
  </si>
  <si>
    <t xml:space="preserve">Use Dashboard even if Defaults selected</t>
  </si>
  <si>
    <t xml:space="preserve">Country</t>
  </si>
  <si>
    <t xml:space="preserve">Egypt</t>
  </si>
  <si>
    <t xml:space="preserve">Countryname</t>
  </si>
  <si>
    <t xml:space="preserve">Y</t>
  </si>
  <si>
    <t xml:space="preserve">Scenario identification</t>
  </si>
  <si>
    <t xml:space="preserve">Scenario ID</t>
  </si>
  <si>
    <t xml:space="preserve">#</t>
  </si>
  <si>
    <t xml:space="preserve">N/A</t>
  </si>
  <si>
    <t xml:space="preserve">MSTScenarioID</t>
  </si>
  <si>
    <t xml:space="preserve">Scenario status</t>
  </si>
  <si>
    <t xml:space="preserve">switch</t>
  </si>
  <si>
    <t xml:space="preserve">Scenario name</t>
  </si>
  <si>
    <t xml:space="preserve">name</t>
  </si>
  <si>
    <t xml:space="preserve">Chosen policy</t>
  </si>
  <si>
    <t xml:space="preserve"> - Carbon tax</t>
  </si>
  <si>
    <t xml:space="preserve">ScenarioSelected</t>
  </si>
  <si>
    <t xml:space="preserve">Scenario status for macro</t>
  </si>
  <si>
    <t xml:space="preserve">Scenario parameters override?</t>
  </si>
  <si>
    <t xml:space="preserve">CPAT-side parameters override?</t>
  </si>
  <si>
    <t xml:space="preserve">Manual*</t>
  </si>
  <si>
    <t xml:space="preserve">CPATDefaultsOrUserDefined</t>
  </si>
  <si>
    <t xml:space="preserve">Carbon pricing: main inputs</t>
  </si>
  <si>
    <t xml:space="preserve">X</t>
  </si>
  <si>
    <t xml:space="preserve">Carbon pricing start year</t>
  </si>
  <si>
    <t xml:space="preserve">year</t>
  </si>
  <si>
    <t xml:space="preserve">CPIntro</t>
  </si>
  <si>
    <t xml:space="preserve">Starting carbon price</t>
  </si>
  <si>
    <t xml:space="preserve">nom. USD/tCO2</t>
  </si>
  <si>
    <t xml:space="preserve">CPLevelStart</t>
  </si>
  <si>
    <t xml:space="preserve">Target level of carbon price</t>
  </si>
  <si>
    <t xml:space="preserve">CPLevelTarget</t>
  </si>
  <si>
    <t xml:space="preserve">Year to reach target level</t>
  </si>
  <si>
    <t xml:space="preserve">CPOutro</t>
  </si>
  <si>
    <t xml:space="preserve">Carbon pricing: fuel coverage</t>
  </si>
  <si>
    <t xml:space="preserve">Apply tax to coal?</t>
  </si>
  <si>
    <t xml:space="preserve">MCovCoa</t>
  </si>
  <si>
    <t xml:space="preserve">Apply tax to natural gas?</t>
  </si>
  <si>
    <t xml:space="preserve">MCovNga</t>
  </si>
  <si>
    <t xml:space="preserve">Apply tax to gasoline?</t>
  </si>
  <si>
    <t xml:space="preserve">MCovGso</t>
  </si>
  <si>
    <t xml:space="preserve">Apply tax to diesel?</t>
  </si>
  <si>
    <t xml:space="preserve">MCovDie</t>
  </si>
  <si>
    <t xml:space="preserve">Apply tax to LPG?</t>
  </si>
  <si>
    <t xml:space="preserve">MCovLpg</t>
  </si>
  <si>
    <t xml:space="preserve">Apply tax to kerosene?</t>
  </si>
  <si>
    <t xml:space="preserve">MCovKer</t>
  </si>
  <si>
    <t xml:space="preserve">Apply tax to non-road oil products?</t>
  </si>
  <si>
    <t xml:space="preserve">MCovOop</t>
  </si>
  <si>
    <t xml:space="preserve">Carbon pricing: sector coverage</t>
  </si>
  <si>
    <t xml:space="preserve">Apply tax to power sector?</t>
  </si>
  <si>
    <t xml:space="preserve">MCovPow</t>
  </si>
  <si>
    <t xml:space="preserve">Apply tax to road transportation?</t>
  </si>
  <si>
    <t xml:space="preserve">MCovRod</t>
  </si>
  <si>
    <t xml:space="preserve">Apply tax to rail transportation?</t>
  </si>
  <si>
    <t xml:space="preserve">MCovRal</t>
  </si>
  <si>
    <t xml:space="preserve">Apply tax to domestic aviation?</t>
  </si>
  <si>
    <t xml:space="preserve">MCovAvi</t>
  </si>
  <si>
    <t xml:space="preserve">Apply tax to domestic shipping?</t>
  </si>
  <si>
    <t xml:space="preserve">MCovNav</t>
  </si>
  <si>
    <t xml:space="preserve">Apply tax to residential sector?</t>
  </si>
  <si>
    <t xml:space="preserve">MCovRes</t>
  </si>
  <si>
    <t xml:space="preserve">Apply tax to food &amp; forestry?</t>
  </si>
  <si>
    <t xml:space="preserve">MCovFoo</t>
  </si>
  <si>
    <t xml:space="preserve">Apply tax to services (private / public)?</t>
  </si>
  <si>
    <t xml:space="preserve">MCovSrv</t>
  </si>
  <si>
    <t xml:space="preserve">Apply tax to mining &amp; chemicals?</t>
  </si>
  <si>
    <t xml:space="preserve">MCovMch</t>
  </si>
  <si>
    <t xml:space="preserve">Apply tax to iron and steel?</t>
  </si>
  <si>
    <t xml:space="preserve">MCovIrn</t>
  </si>
  <si>
    <t xml:space="preserve">Apply tax to non-ferrous metals?</t>
  </si>
  <si>
    <t xml:space="preserve">MCovNfm</t>
  </si>
  <si>
    <t xml:space="preserve">Apply tax to machinery?</t>
  </si>
  <si>
    <t xml:space="preserve">MCovMac</t>
  </si>
  <si>
    <t xml:space="preserve">Apply tax to cement?</t>
  </si>
  <si>
    <t xml:space="preserve">MCovCem</t>
  </si>
  <si>
    <t xml:space="preserve">Apply tax to other manucfacturing?</t>
  </si>
  <si>
    <t xml:space="preserve">MCovOmn</t>
  </si>
  <si>
    <t xml:space="preserve">Apply tax to construction?</t>
  </si>
  <si>
    <t xml:space="preserve">MCovCst</t>
  </si>
  <si>
    <t xml:space="preserve">Apply tax to fuel transformation?</t>
  </si>
  <si>
    <t xml:space="preserve">MCovFtr</t>
  </si>
  <si>
    <t xml:space="preserve">Apply tax to other energy use?</t>
  </si>
  <si>
    <t xml:space="preserve">MCovOen</t>
  </si>
  <si>
    <t xml:space="preserve">Exemptions phaseout</t>
  </si>
  <si>
    <t xml:space="preserve">Apply exemption phaseout?</t>
  </si>
  <si>
    <t xml:space="preserve">ExemptPhaseout</t>
  </si>
  <si>
    <t xml:space="preserve">Year to start exemption phaseout (if applicable)</t>
  </si>
  <si>
    <t xml:space="preserve">YearPha</t>
  </si>
  <si>
    <t xml:space="preserve">Period to reach full exemption phaseout (if applicable)</t>
  </si>
  <si>
    <t xml:space="preserve">ExemptPhaseoutPeriod</t>
  </si>
  <si>
    <t xml:space="preserve">Feebates: Starting and End Date</t>
  </si>
  <si>
    <t xml:space="preserve">Start date</t>
  </si>
  <si>
    <t xml:space="preserve">D_FeebateIntro</t>
  </si>
  <si>
    <t xml:space="preserve">Target date</t>
  </si>
  <si>
    <t xml:space="preserve">D_FeebateOutro</t>
  </si>
  <si>
    <t xml:space="preserve">Feebates: Feebate starting rate</t>
  </si>
  <si>
    <t xml:space="preserve">Power sector</t>
  </si>
  <si>
    <t xml:space="preserve">USD/tCO2</t>
  </si>
  <si>
    <t xml:space="preserve">D_Feb_Level_Start_Pow</t>
  </si>
  <si>
    <t xml:space="preserve">Transport</t>
  </si>
  <si>
    <t xml:space="preserve">D_Feb_Level_Start_Trans</t>
  </si>
  <si>
    <t xml:space="preserve">Residential</t>
  </si>
  <si>
    <t xml:space="preserve">D_Feb_Level_Start_Res</t>
  </si>
  <si>
    <t xml:space="preserve">Industry</t>
  </si>
  <si>
    <t xml:space="preserve">D_Feb_Level_Start_Ind</t>
  </si>
  <si>
    <t xml:space="preserve">Feebates: Feebate target rate</t>
  </si>
  <si>
    <t xml:space="preserve">D_Feb_Level_Target_Pow</t>
  </si>
  <si>
    <t xml:space="preserve">D_Feb_Level_Target_Trans</t>
  </si>
  <si>
    <t xml:space="preserve">D_Feb_Level_Target_Res</t>
  </si>
  <si>
    <t xml:space="preserve">D_Feb_Level_Target_Ind</t>
  </si>
  <si>
    <t xml:space="preserve">Feebates sector coverage</t>
  </si>
  <si>
    <t xml:space="preserve">ETS Main Characteristics</t>
  </si>
  <si>
    <t xml:space="preserve">Apply new ETS?</t>
  </si>
  <si>
    <t xml:space="preserve">No</t>
  </si>
  <si>
    <t xml:space="preserve">D_NewETS</t>
  </si>
  <si>
    <t xml:space="preserve">Change Relative to Baseline in Start Year</t>
  </si>
  <si>
    <t xml:space="preserve">D_ETSChangeRelStart</t>
  </si>
  <si>
    <t xml:space="preserve">Change Relative to Baseline in Target Year</t>
  </si>
  <si>
    <t xml:space="preserve">D_ETSChangeRelTarget</t>
  </si>
  <si>
    <t xml:space="preserve">Cap continuation after target year?</t>
  </si>
  <si>
    <t xml:space="preserve">Constant</t>
  </si>
  <si>
    <t xml:space="preserve">KeepRelativeCapConstant</t>
  </si>
  <si>
    <t xml:space="preserve">D_ETSCapCont</t>
  </si>
  <si>
    <t xml:space="preserve">ETS Start Year</t>
  </si>
  <si>
    <t xml:space="preserve">D_ETSIntro</t>
  </si>
  <si>
    <t xml:space="preserve">ETS Target Year</t>
  </si>
  <si>
    <t xml:space="preserve">D_ETSOutro</t>
  </si>
  <si>
    <t xml:space="preserve">Proportion Auctioned in Starting Year</t>
  </si>
  <si>
    <t xml:space="preserve">D_ETSAuctStart</t>
  </si>
  <si>
    <t xml:space="preserve">Proportion Auctioned in Target Year</t>
  </si>
  <si>
    <t xml:space="preserve">D_ETSAuctTarget</t>
  </si>
  <si>
    <t xml:space="preserve">Auction proportion continuation after target year?</t>
  </si>
  <si>
    <t xml:space="preserve">D_ETSAuctCont</t>
  </si>
  <si>
    <t xml:space="preserve">Override ETS price</t>
  </si>
  <si>
    <t xml:space="preserve">D_ETSPriceOverride</t>
  </si>
  <si>
    <t xml:space="preserve">ETS: modelling assumptions</t>
  </si>
  <si>
    <t xml:space="preserve">ETS Volatility</t>
  </si>
  <si>
    <t xml:space="preserve">Medium*</t>
  </si>
  <si>
    <t xml:space="preserve">D_ETSVolatility</t>
  </si>
  <si>
    <t xml:space="preserve">Impact of Volatility on Abatement Costs</t>
  </si>
  <si>
    <t xml:space="preserve">D_ETSVolImpact</t>
  </si>
  <si>
    <t xml:space="preserve">Carbon Tax Policy Risk</t>
  </si>
  <si>
    <t xml:space="preserve">D_ETSCTRisk</t>
  </si>
  <si>
    <t xml:space="preserve">ETS: sector coverage</t>
  </si>
  <si>
    <t xml:space="preserve">power sector</t>
  </si>
  <si>
    <t xml:space="preserve">road transportation</t>
  </si>
  <si>
    <t xml:space="preserve">rail transportation</t>
  </si>
  <si>
    <t xml:space="preserve">domestic aviation</t>
  </si>
  <si>
    <t xml:space="preserve">domestic shipping</t>
  </si>
  <si>
    <t xml:space="preserve">residential</t>
  </si>
  <si>
    <t xml:space="preserve">food &amp; forestry</t>
  </si>
  <si>
    <t xml:space="preserve">services (private / public)</t>
  </si>
  <si>
    <t xml:space="preserve">mining &amp; chemicals</t>
  </si>
  <si>
    <t xml:space="preserve">iron and steel</t>
  </si>
  <si>
    <t xml:space="preserve">non-ferrous metals</t>
  </si>
  <si>
    <t xml:space="preserve">machinery</t>
  </si>
  <si>
    <t xml:space="preserve">cement</t>
  </si>
  <si>
    <t xml:space="preserve">other manucfacturing</t>
  </si>
  <si>
    <t xml:space="preserve">construction</t>
  </si>
  <si>
    <t xml:space="preserve">fuel transformation</t>
  </si>
  <si>
    <t xml:space="preserve">other energy use</t>
  </si>
  <si>
    <t xml:space="preserve">CBAM Goods Non-Fuel Process Emissions</t>
  </si>
  <si>
    <t xml:space="preserve">Fossil fuel subsidies (producer-side)</t>
  </si>
  <si>
    <t xml:space="preserve">Apply producer subsidies phaseout in the policy scenario?</t>
  </si>
  <si>
    <t xml:space="preserve">TRUE/FALSE</t>
  </si>
  <si>
    <t xml:space="preserve">ProdSubPh</t>
  </si>
  <si>
    <t xml:space="preserve">Year to start producer subsidies phaseout (if applicable)</t>
  </si>
  <si>
    <t xml:space="preserve">YearProdSubPha</t>
  </si>
  <si>
    <t xml:space="preserve">Period to reach full producer subsidies phaseout (if applicable)</t>
  </si>
  <si>
    <t xml:space="preserve">FFSProdPhaseoutPeriod</t>
  </si>
  <si>
    <t xml:space="preserve">Share of producer subsidies to phase-out</t>
  </si>
  <si>
    <t xml:space="preserve">ShareofProdSubPha</t>
  </si>
  <si>
    <t xml:space="preserve">Apply producer subsidies phaseout in the baseline?</t>
  </si>
  <si>
    <t xml:space="preserve">Yes/No</t>
  </si>
  <si>
    <t xml:space="preserve">ProdSubPhaBaseline</t>
  </si>
  <si>
    <t xml:space="preserve">Period to reach full producer subsidies phaseout (baseline)</t>
  </si>
  <si>
    <t xml:space="preserve">FFSProdPhaseoutPeriodBA</t>
  </si>
  <si>
    <t xml:space="preserve">Share of producer subsidies to phase-out in the baseline</t>
  </si>
  <si>
    <t xml:space="preserve">ShareOfProdSubPhaBA</t>
  </si>
  <si>
    <t xml:space="preserve">Fossil fuel subsidies (consumer-side)</t>
  </si>
  <si>
    <t xml:space="preserve">Apply consumer subsidies phaseout?</t>
  </si>
  <si>
    <t xml:space="preserve">ConsSubPha</t>
  </si>
  <si>
    <t xml:space="preserve">Year to start consumer subsidies phaseout (if applicable)</t>
  </si>
  <si>
    <t xml:space="preserve">YearConsSubPha</t>
  </si>
  <si>
    <t xml:space="preserve">Period to reach full consumer subsidies phaseout (if applicable)</t>
  </si>
  <si>
    <t xml:space="preserve">FFPhaseOut</t>
  </si>
  <si>
    <t xml:space="preserve">Share of consumer subsidies to phase-out</t>
  </si>
  <si>
    <t xml:space="preserve">ShareOfConsSubPha</t>
  </si>
  <si>
    <t xml:space="preserve">Apply consumer subsidies phaseout in the baseline?</t>
  </si>
  <si>
    <t xml:space="preserve">ConsSubPhaBaseline</t>
  </si>
  <si>
    <t xml:space="preserve">Period to reach full consumer subsidies phaseout (baseline)</t>
  </si>
  <si>
    <t xml:space="preserve">FFSConsPhaseoutPeriodBA</t>
  </si>
  <si>
    <t xml:space="preserve">Share of consumer subsidies to phase-out in the baseline</t>
  </si>
  <si>
    <t xml:space="preserve">ShareofConsSubPhaBA</t>
  </si>
  <si>
    <t xml:space="preserve">Include power subsidies in any phase out?</t>
  </si>
  <si>
    <t xml:space="preserve">Exempt/Include*</t>
  </si>
  <si>
    <t xml:space="preserve">DoNotPhaseOut*</t>
  </si>
  <si>
    <t xml:space="preserve">PowerSubsidyExemptInclude</t>
  </si>
  <si>
    <t xml:space="preserve">Fuel Price Reform</t>
  </si>
  <si>
    <t xml:space="preserve">Starting year</t>
  </si>
  <si>
    <t xml:space="preserve">Target year</t>
  </si>
  <si>
    <t xml:space="preserve">Starting price increase, Coal , Power</t>
  </si>
  <si>
    <t xml:space="preserve">Starting price increase, Coal , Residential</t>
  </si>
  <si>
    <t xml:space="preserve">Starting price increase, Coal , Industry</t>
  </si>
  <si>
    <t xml:space="preserve">Starting price increase, Natural gas , Power</t>
  </si>
  <si>
    <t xml:space="preserve">Starting price increase, Natural gas , Residential</t>
  </si>
  <si>
    <t xml:space="preserve">Starting price increase, Natural gas , Industry</t>
  </si>
  <si>
    <t xml:space="preserve">Starting price increase, Electricity , Residential</t>
  </si>
  <si>
    <t xml:space="preserve">Starting price increase, Electricity , Industry</t>
  </si>
  <si>
    <t xml:space="preserve">Starting price increase, Gasoline , All</t>
  </si>
  <si>
    <t xml:space="preserve">Starting price increase, Diesel  , All</t>
  </si>
  <si>
    <t xml:space="preserve">Starting price increase, LPG , All</t>
  </si>
  <si>
    <t xml:space="preserve">Starting price increase, Kerosene , All</t>
  </si>
  <si>
    <t xml:space="preserve">Starting price increase, Other oil products , All</t>
  </si>
  <si>
    <t xml:space="preserve">Starting price increase, Biomass , All</t>
  </si>
  <si>
    <t xml:space="preserve">Final price increase, Coal , Power</t>
  </si>
  <si>
    <t xml:space="preserve">Final price increase, Coal , Residential</t>
  </si>
  <si>
    <t xml:space="preserve">Final price increase, Coal , Industry</t>
  </si>
  <si>
    <t xml:space="preserve">Final price increase, Natural gas , Power</t>
  </si>
  <si>
    <t xml:space="preserve">Final price increase, Natural gas , Residential</t>
  </si>
  <si>
    <t xml:space="preserve">Final price increase, Natural gas , Industry</t>
  </si>
  <si>
    <t xml:space="preserve">Final price increase, Electricity , Residential</t>
  </si>
  <si>
    <t xml:space="preserve">Final price increase, Electricity , Industry</t>
  </si>
  <si>
    <t xml:space="preserve">Final price increase, Gasoline , All</t>
  </si>
  <si>
    <t xml:space="preserve">Final price increase, Diesel  , All</t>
  </si>
  <si>
    <t xml:space="preserve">Final price increase, LPG , All</t>
  </si>
  <si>
    <t xml:space="preserve">Final price increase, Kerosene , All</t>
  </si>
  <si>
    <t xml:space="preserve">Final price increase, Other oil products , All</t>
  </si>
  <si>
    <t xml:space="preserve">Final price increase, Biomass , All</t>
  </si>
  <si>
    <t xml:space="preserve">Price increase units, Coal , Power</t>
  </si>
  <si>
    <t xml:space="preserve">Price increase units, Coal , Residential</t>
  </si>
  <si>
    <t xml:space="preserve">Price increase units, Coal , Industry</t>
  </si>
  <si>
    <t xml:space="preserve">Price increase units, Natural gas , Power</t>
  </si>
  <si>
    <t xml:space="preserve">Price increase units, Natural gas , Residential</t>
  </si>
  <si>
    <t xml:space="preserve">Price increase units, Natural gas , Industry</t>
  </si>
  <si>
    <t xml:space="preserve">Price increase units, Electricity , Residential</t>
  </si>
  <si>
    <t xml:space="preserve">Price increase units, Electricity , Industry</t>
  </si>
  <si>
    <t xml:space="preserve">Price increase units, Gasoline , All</t>
  </si>
  <si>
    <t xml:space="preserve">Price increase units, Diesel  , All</t>
  </si>
  <si>
    <t xml:space="preserve">Price increase units, LPG , All</t>
  </si>
  <si>
    <t xml:space="preserve">Price increase units, Kerosene , All</t>
  </si>
  <si>
    <t xml:space="preserve">Price increase units, Other oil products , All</t>
  </si>
  <si>
    <t xml:space="preserve">$/bbn</t>
  </si>
  <si>
    <t xml:space="preserve">Price increase units, Biomass , All</t>
  </si>
  <si>
    <t xml:space="preserve">Methane tax</t>
  </si>
  <si>
    <t xml:space="preserve">Apply carbon tax to methane</t>
  </si>
  <si>
    <t xml:space="preserve">CTforMethane</t>
  </si>
  <si>
    <t xml:space="preserve">Year of methane fee introduction</t>
  </si>
  <si>
    <t xml:space="preserve">MPIntro</t>
  </si>
  <si>
    <t xml:space="preserve">Starting methane fee (real USD per ton CO2eq)</t>
  </si>
  <si>
    <t xml:space="preserve">USD per ton of CO2 eq</t>
  </si>
  <si>
    <t xml:space="preserve">MPLevelStart</t>
  </si>
  <si>
    <t xml:space="preserve">Target level of methane fee</t>
  </si>
  <si>
    <t xml:space="preserve">MPLevelTarget</t>
  </si>
  <si>
    <t xml:space="preserve">Year to reach target methane fee level</t>
  </si>
  <si>
    <t xml:space="preserve">MPOutro</t>
  </si>
  <si>
    <t xml:space="preserve">Price liberalization</t>
  </si>
  <si>
    <t xml:space="preserve">Apply price controls phaseout?</t>
  </si>
  <si>
    <t xml:space="preserve">PrcContPha</t>
  </si>
  <si>
    <t xml:space="preserve">Year to start price controls phaseout (if applicable)</t>
  </si>
  <si>
    <t xml:space="preserve">YearPrcContPha</t>
  </si>
  <si>
    <t xml:space="preserve">Period to reach full price controls phaseout (if applicable)</t>
  </si>
  <si>
    <t xml:space="preserve">PrcControlPhaseout</t>
  </si>
  <si>
    <t xml:space="preserve">Government energy price controls</t>
  </si>
  <si>
    <t xml:space="preserve">Bucketed*</t>
  </si>
  <si>
    <t xml:space="preserve">GovPriceControls</t>
  </si>
  <si>
    <t xml:space="preserve">Apply price controls phaseout in the baseline scenario?</t>
  </si>
  <si>
    <t xml:space="preserve">PrcContPhaBaseline</t>
  </si>
  <si>
    <t xml:space="preserve">Revenues use</t>
  </si>
  <si>
    <t xml:space="preserve">Labor tax reductions</t>
  </si>
  <si>
    <t xml:space="preserve">% of revenues</t>
  </si>
  <si>
    <t xml:space="preserve">EXPLabortax</t>
  </si>
  <si>
    <t xml:space="preserve">Corporate taxes</t>
  </si>
  <si>
    <t xml:space="preserve">EXPCIT</t>
  </si>
  <si>
    <t xml:space="preserve">Public investment</t>
  </si>
  <si>
    <t xml:space="preserve">EXPCapex</t>
  </si>
  <si>
    <t xml:space="preserve">Current spending</t>
  </si>
  <si>
    <t xml:space="preserve">EXPGoodsandserv</t>
  </si>
  <si>
    <t xml:space="preserve">Targeted transfers</t>
  </si>
  <si>
    <t xml:space="preserve">EXPTransfers</t>
  </si>
  <si>
    <t xml:space="preserve">of which:</t>
  </si>
  <si>
    <t xml:space="preserve">targeted percentile</t>
  </si>
  <si>
    <t xml:space="preserve">% bottom targetting (from bottom of distribution)</t>
  </si>
  <si>
    <t xml:space="preserve">TargettedPercentile</t>
  </si>
  <si>
    <t xml:space="preserve">coverage rate</t>
  </si>
  <si>
    <t xml:space="preserve">% of targeted percentile that receive transfers</t>
  </si>
  <si>
    <t xml:space="preserve">CoverageRate</t>
  </si>
  <si>
    <t xml:space="preserve">leakage rate</t>
  </si>
  <si>
    <t xml:space="preserve">% of untargeted percentile that receive transfers</t>
  </si>
  <si>
    <t xml:space="preserve">LeakageRate</t>
  </si>
  <si>
    <t xml:space="preserve">Policy options</t>
  </si>
  <si>
    <t xml:space="preserve">Additional mitigation policies in non-energy sectors?</t>
  </si>
  <si>
    <t xml:space="preserve">No*</t>
  </si>
  <si>
    <t xml:space="preserve">Yes*</t>
  </si>
  <si>
    <t xml:space="preserve">AdditionMitigationPoliciesNonEnergy</t>
  </si>
  <si>
    <t xml:space="preserve">Apply existing ETS (if exists)?</t>
  </si>
  <si>
    <t xml:space="preserve">ExistingETSApply</t>
  </si>
  <si>
    <t xml:space="preserve">Existing ETS permit price growth per annum (real terms)</t>
  </si>
  <si>
    <t xml:space="preserve">%, real</t>
  </si>
  <si>
    <t xml:space="preserve">ExistingETSGrowth</t>
  </si>
  <si>
    <t xml:space="preserve">New carbon tax complementary to existing ETS coverage</t>
  </si>
  <si>
    <t xml:space="preserve">CTaxComplimentaryToETS</t>
  </si>
  <si>
    <t xml:space="preserve">ETS behavioral responses and revenues adjustment</t>
  </si>
  <si>
    <t xml:space="preserve">ETSBehavioralAdjustment</t>
  </si>
  <si>
    <t xml:space="preserve">Years to phase in Pigouvian tax?</t>
  </si>
  <si>
    <t xml:space="preserve">AddEfficientTaxesPhaseInYears</t>
  </si>
  <si>
    <t xml:space="preserve">Apply existing carbon tax (if exists)?</t>
  </si>
  <si>
    <t xml:space="preserve">ExistingCTApply</t>
  </si>
  <si>
    <t xml:space="preserve">Assumed existing carbon tax growth per annum (real terms)</t>
  </si>
  <si>
    <t xml:space="preserve">ExistingCTGrowth</t>
  </si>
  <si>
    <t xml:space="preserve">Add additional excise tax (see 'Manual inputs' tab)?</t>
  </si>
  <si>
    <t xml:space="preserve">AdditionalExcise</t>
  </si>
  <si>
    <t xml:space="preserve">Include climate externality in Pigouvian tax?</t>
  </si>
  <si>
    <t xml:space="preserve">ClimateEffTax</t>
  </si>
  <si>
    <t xml:space="preserve">Add Pigouvian tax on top?</t>
  </si>
  <si>
    <t xml:space="preserve">AddEfficientTaxes</t>
  </si>
  <si>
    <t xml:space="preserve">Externalities are part of VAT base for optimal taxes?</t>
  </si>
  <si>
    <t xml:space="preserve">ExternalityAddVAT</t>
  </si>
  <si>
    <t xml:space="preserve">Sources for key inputs</t>
  </si>
  <si>
    <t xml:space="preserve">International energy price forecasts</t>
  </si>
  <si>
    <t xml:space="preserve">IMF</t>
  </si>
  <si>
    <t xml:space="preserve">IMF-WB*</t>
  </si>
  <si>
    <t xml:space="preserve">IntEnerPricForeSource</t>
  </si>
  <si>
    <t xml:space="preserve">Global energy demand scenario</t>
  </si>
  <si>
    <t xml:space="preserve">Stated Policies*</t>
  </si>
  <si>
    <t xml:space="preserve">GlobalEnergyDemand</t>
  </si>
  <si>
    <t xml:space="preserve">GDP growth forecasts</t>
  </si>
  <si>
    <t xml:space="preserve">WEO*</t>
  </si>
  <si>
    <t xml:space="preserve">GDPScenario</t>
  </si>
  <si>
    <t xml:space="preserve">Primary source for price elasticities of demand</t>
  </si>
  <si>
    <t xml:space="preserve">Simple*</t>
  </si>
  <si>
    <t xml:space="preserve">ElPrcMainSrc</t>
  </si>
  <si>
    <t xml:space="preserve">Primary source for income elasticities of demand</t>
  </si>
  <si>
    <t xml:space="preserve">ElIncMainSrc</t>
  </si>
  <si>
    <t xml:space="preserve">CO2 emissions factors</t>
  </si>
  <si>
    <t xml:space="preserve">IIASA*</t>
  </si>
  <si>
    <t xml:space="preserve">EmissionsFactCO2</t>
  </si>
  <si>
    <t xml:space="preserve">Fiscal multipliers</t>
  </si>
  <si>
    <t xml:space="preserve">Income-grp*</t>
  </si>
  <si>
    <t xml:space="preserve">MultipliersSource</t>
  </si>
  <si>
    <t xml:space="preserve">Power sector model (elasticity or engineering)?</t>
  </si>
  <si>
    <t xml:space="preserve">Engineer</t>
  </si>
  <si>
    <t xml:space="preserve">PowModelSelected</t>
  </si>
  <si>
    <t xml:space="preserve">NDC submission</t>
  </si>
  <si>
    <t xml:space="preserve">Latest*</t>
  </si>
  <si>
    <t xml:space="preserve">NDCs</t>
  </si>
  <si>
    <t xml:space="preserve">NDC target year</t>
  </si>
  <si>
    <t xml:space="preserve">Main*</t>
  </si>
  <si>
    <t xml:space="preserve">NDCTargetYear</t>
  </si>
  <si>
    <t xml:space="preserve">If conditional NDC, use:</t>
  </si>
  <si>
    <t xml:space="preserve">Average*</t>
  </si>
  <si>
    <t xml:space="preserve">Conditionality</t>
  </si>
  <si>
    <t xml:space="preserve">General assumptions</t>
  </si>
  <si>
    <t xml:space="preserve">First year of model calculations?</t>
  </si>
  <si>
    <t xml:space="preserve">FirstYearCalculations</t>
  </si>
  <si>
    <t xml:space="preserve">Nominal results in real terms of which year?</t>
  </si>
  <si>
    <t xml:space="preserve">ResultsYear</t>
  </si>
  <si>
    <t xml:space="preserve">Use energy balances or (CPAT) energy consumption data</t>
  </si>
  <si>
    <t xml:space="preserve">Balances</t>
  </si>
  <si>
    <t xml:space="preserve">BalancesOrConsumption</t>
  </si>
  <si>
    <t xml:space="preserve">Generate Matrix of Energy Consumption Projections for Year</t>
  </si>
  <si>
    <t xml:space="preserve">EnergyConsumptionsMatrixProjectionsYear</t>
  </si>
  <si>
    <t xml:space="preserve">Start year for GDP calculations</t>
  </si>
  <si>
    <t xml:space="preserve">GDPStartYear</t>
  </si>
  <si>
    <t xml:space="preserve">Adjust Annex I country energy-related CO2 EFs to match UNFCCC GHG inventories?</t>
  </si>
  <si>
    <t xml:space="preserve">EFsAdjustmentAnnexI</t>
  </si>
  <si>
    <t xml:space="preserve">Adjust non-Annex I country energy-related CO2 EFs to match CAIT GHG inventories?</t>
  </si>
  <si>
    <t xml:space="preserve">EFsAdjustmentNonAnnexI</t>
  </si>
  <si>
    <t xml:space="preserve">Industrial process emissions scale with industrial CO2 energy emissions?</t>
  </si>
  <si>
    <t xml:space="preserve">IndustrialProcessEmissionsScaleEner</t>
  </si>
  <si>
    <t xml:space="preserve">LULUCF emissions decline at % pa (in absolute value of start year)?</t>
  </si>
  <si>
    <t xml:space="preserve">LULUCFAnnualEmissionsDecline</t>
  </si>
  <si>
    <t xml:space="preserve">Additional policy-induced efficiency gains pa by sector:</t>
  </si>
  <si>
    <t xml:space="preserve">Power</t>
  </si>
  <si>
    <t xml:space="preserve">AdditionalEfficiencyPower</t>
  </si>
  <si>
    <t xml:space="preserve">Road vehicles</t>
  </si>
  <si>
    <t xml:space="preserve">AdditionalEfficiencyRoadVehicle</t>
  </si>
  <si>
    <t xml:space="preserve">AdditionalEfficiencyResidential</t>
  </si>
  <si>
    <t xml:space="preserve">Industrial</t>
  </si>
  <si>
    <t xml:space="preserve">AdditionalEfficiencyIndustrial</t>
  </si>
  <si>
    <t xml:space="preserve">Adjustment to efficiency margins for shadow pricing policies:</t>
  </si>
  <si>
    <t xml:space="preserve">Energy efficiency regulations</t>
  </si>
  <si>
    <t xml:space="preserve">SPPEffAdjEnergyEfficiencyRegulations</t>
  </si>
  <si>
    <t xml:space="preserve">Vehicle fuel economy</t>
  </si>
  <si>
    <t xml:space="preserve">SPPEffAdjVehicleFuelEconomy</t>
  </si>
  <si>
    <t xml:space="preserve">Residential efficiency regulations</t>
  </si>
  <si>
    <t xml:space="preserve">SPPEffAdjRes</t>
  </si>
  <si>
    <t xml:space="preserve">Industrial efficiency regulations</t>
  </si>
  <si>
    <t xml:space="preserve">SPPEffAdjInd</t>
  </si>
  <si>
    <t xml:space="preserve">Feebates</t>
  </si>
  <si>
    <t xml:space="preserve">SPPEffAdjFeebates</t>
  </si>
  <si>
    <t xml:space="preserve">Residential Substitution Implicit Efficiencies</t>
  </si>
  <si>
    <t xml:space="preserve">ResSubstLPGEff</t>
  </si>
  <si>
    <t xml:space="preserve">ResSubstKerEff</t>
  </si>
  <si>
    <t xml:space="preserve">ResSubstBioEff</t>
  </si>
  <si>
    <t xml:space="preserve">NatGas</t>
  </si>
  <si>
    <t xml:space="preserve">ResSubstNatGasEff</t>
  </si>
  <si>
    <t xml:space="preserve">Uncertainty adjustments</t>
  </si>
  <si>
    <t xml:space="preserve">International energy prices adjustment</t>
  </si>
  <si>
    <t xml:space="preserve">Base*</t>
  </si>
  <si>
    <t xml:space="preserve">IntEnerPricForecastAdjustment</t>
  </si>
  <si>
    <t xml:space="preserve">GDP growth adjustment</t>
  </si>
  <si>
    <t xml:space="preserve">GdpAdj</t>
  </si>
  <si>
    <t xml:space="preserve">Price elasticities adjustment</t>
  </si>
  <si>
    <t xml:space="preserve">ElastPriceAdjustment</t>
  </si>
  <si>
    <t xml:space="preserve">Income elasticities adjustment</t>
  </si>
  <si>
    <t xml:space="preserve">ElastIncAdjustment</t>
  </si>
  <si>
    <t xml:space="preserve">Adjust income elasticities for GDP levels?</t>
  </si>
  <si>
    <t xml:space="preserve">IncElAdj</t>
  </si>
  <si>
    <t xml:space="preserve">Fiscal multipliers adjustment</t>
  </si>
  <si>
    <t xml:space="preserve">FmAdj</t>
  </si>
  <si>
    <t xml:space="preserve">Miscellaneous</t>
  </si>
  <si>
    <t xml:space="preserve">Price pathway continues to rise after target year?</t>
  </si>
  <si>
    <t xml:space="preserve">Linear*</t>
  </si>
  <si>
    <t xml:space="preserve">ExtendCarbonPriceBeyondOutro</t>
  </si>
  <si>
    <t xml:space="preserve">Tax pathway is in nominal or real terms?</t>
  </si>
  <si>
    <t xml:space="preserve">Real*</t>
  </si>
  <si>
    <t xml:space="preserve">NomorReal</t>
  </si>
  <si>
    <t xml:space="preserve">Include endogenous GDP effects?</t>
  </si>
  <si>
    <t xml:space="preserve">GDPEndogenous</t>
  </si>
  <si>
    <t xml:space="preserve">Residential LPG/kerosene always exempted</t>
  </si>
  <si>
    <t xml:space="preserve">AlwaysExemptResLPGKer</t>
  </si>
  <si>
    <t xml:space="preserve">National social cost of carbon (NSCC) source</t>
  </si>
  <si>
    <t xml:space="preserve">Target*</t>
  </si>
  <si>
    <t xml:space="preserve">NSCCSource</t>
  </si>
  <si>
    <t xml:space="preserve">Override dashboard and impose a linear or exponential carbon price trajectory?</t>
  </si>
  <si>
    <t xml:space="preserve">CTaxTrajectoryType</t>
  </si>
  <si>
    <t xml:space="preserve">If overridden and exponential, what is the real escalation rate per year?</t>
  </si>
  <si>
    <t xml:space="preserve">CtaxExponentialEscalationRate</t>
  </si>
  <si>
    <t xml:space="preserve">Social cost of carbon </t>
  </si>
  <si>
    <t xml:space="preserve">NSCC discount rate (ρ)</t>
  </si>
  <si>
    <t xml:space="preserve">2%*</t>
  </si>
  <si>
    <t xml:space="preserve">NSCCDiscountRate</t>
  </si>
  <si>
    <t xml:space="preserve">NSCC elasticity of marginal utility (μ)</t>
  </si>
  <si>
    <t xml:space="preserve">1.5%*</t>
  </si>
  <si>
    <t xml:space="preserve">NSCCMargUtilofCons</t>
  </si>
  <si>
    <t xml:space="preserve">Global social cost of carbon (GSCC) source</t>
  </si>
  <si>
    <t xml:space="preserve">GSCCSource</t>
  </si>
  <si>
    <t xml:space="preserve">Manual - assumed starting in year 2021 </t>
  </si>
  <si>
    <t xml:space="preserve">SCC (both NSCC and GSCC)</t>
  </si>
  <si>
    <t xml:space="preserve">real growth, %</t>
  </si>
  <si>
    <t xml:space="preserve">SCCRise</t>
  </si>
  <si>
    <t xml:space="preserve">Target-consistent carbon price by 2030 (for 'Target' option)</t>
  </si>
  <si>
    <t xml:space="preserve">SCCTargetConsistentCP</t>
  </si>
  <si>
    <t xml:space="preserve">Energy pricing assumptions</t>
  </si>
  <si>
    <t xml:space="preserve">Use manual domestic prices?</t>
  </si>
  <si>
    <t xml:space="preserve">DomPrTax</t>
  </si>
  <si>
    <t xml:space="preserve">Use uniform global assumption for fuel prices (normally 'No')</t>
  </si>
  <si>
    <t xml:space="preserve">UseGlobalPrices</t>
  </si>
  <si>
    <t xml:space="preserve">Year of interest for energy externalities &amp; prices</t>
  </si>
  <si>
    <t xml:space="preserve">YearFuelPrices</t>
  </si>
  <si>
    <t xml:space="preserve">VAT reform</t>
  </si>
  <si>
    <t xml:space="preserve">Apply general VAT rate on residential and transport consumption?</t>
  </si>
  <si>
    <t xml:space="preserve">VatRef</t>
  </si>
  <si>
    <t xml:space="preserve">Existing non-carbon taxes</t>
  </si>
  <si>
    <t xml:space="preserve">Apply existing non-carbon taxes on coal?</t>
  </si>
  <si>
    <t xml:space="preserve">ApplyExistingNonCarbonTaxCoa</t>
  </si>
  <si>
    <t xml:space="preserve">Apply existing non-carbon taxes on natural gas?</t>
  </si>
  <si>
    <t xml:space="preserve">ApplyExistingNonCarbonTaxNga</t>
  </si>
  <si>
    <t xml:space="preserve">Apply existing non-carbon taxes on gasoline?</t>
  </si>
  <si>
    <t xml:space="preserve">ApplyExistingNonCarbonTaxGso</t>
  </si>
  <si>
    <t xml:space="preserve">Apply existing non-carbon taxes on diesel?</t>
  </si>
  <si>
    <t xml:space="preserve">ApplyExistingNonCarbonTaxDie</t>
  </si>
  <si>
    <t xml:space="preserve">Apply existing non-carbon taxes on other oil products?</t>
  </si>
  <si>
    <t xml:space="preserve">ApplyExistingNonCarbonTaxOop</t>
  </si>
  <si>
    <t xml:space="preserve">Apply existing non-carbon taxes on LPG?</t>
  </si>
  <si>
    <t xml:space="preserve">ApplyExistingNonCarbonTaxLpg</t>
  </si>
  <si>
    <t xml:space="preserve">Apply existing non-carbon taxes on kerosene?</t>
  </si>
  <si>
    <t xml:space="preserve">ApplyExistingNonCarbonTaxKer</t>
  </si>
  <si>
    <t xml:space="preserve">Apply existing non-carbon taxes on biomass?</t>
  </si>
  <si>
    <t xml:space="preserve">ApplyExistingNonCarbonTaxBio</t>
  </si>
  <si>
    <t xml:space="preserve">Apply existing non-carbon taxes on electricity?</t>
  </si>
  <si>
    <t xml:space="preserve">ApplyExistingNonCarbonTaxEcy</t>
  </si>
  <si>
    <t xml:space="preserve">Other assumptions: mitigation module</t>
  </si>
  <si>
    <t xml:space="preserve">Use 'world' (USA) or country-specific discount factors?</t>
  </si>
  <si>
    <t xml:space="preserve">World</t>
  </si>
  <si>
    <t xml:space="preserve">DfSelection</t>
  </si>
  <si>
    <t xml:space="preserve">Sum all oil products in industrial transformation sector</t>
  </si>
  <si>
    <t xml:space="preserve">Converted</t>
  </si>
  <si>
    <t xml:space="preserve">NonEnergyTransformationMethod</t>
  </si>
  <si>
    <t xml:space="preserve">LPG in residential implicit (cookstove) efficiency</t>
  </si>
  <si>
    <t xml:space="preserve">LPGEff</t>
  </si>
  <si>
    <t xml:space="preserve">Kerosene in residential implicit (cookstove) efficiency</t>
  </si>
  <si>
    <t xml:space="preserve">KerEff</t>
  </si>
  <si>
    <t xml:space="preserve">Biomass in residential implicit (cookstove) efficiency</t>
  </si>
  <si>
    <t xml:space="preserve">BioEff</t>
  </si>
  <si>
    <t xml:space="preserve">Natural gas in residential implicit (cookstove) efficiency</t>
  </si>
  <si>
    <t xml:space="preserve">NatGasEff</t>
  </si>
  <si>
    <t xml:space="preserve">Include producer-side subsidies as part of TCP measure</t>
  </si>
  <si>
    <t xml:space="preserve">PsInTCP</t>
  </si>
  <si>
    <t xml:space="preserve">Distributional module assumptions</t>
  </si>
  <si>
    <t xml:space="preserve">Analysis year for distributional module</t>
  </si>
  <si>
    <t xml:space="preserve">YearDistn</t>
  </si>
  <si>
    <t xml:space="preserve">Targeted transfer type</t>
  </si>
  <si>
    <t xml:space="preserve">Cash</t>
  </si>
  <si>
    <t xml:space="preserve">TransferType</t>
  </si>
  <si>
    <t xml:space="preserve">Target households below poverty line (2011 PPP$/day)</t>
  </si>
  <si>
    <t xml:space="preserve">number</t>
  </si>
  <si>
    <t xml:space="preserve">TargetBelow</t>
  </si>
  <si>
    <t xml:space="preserve">Public/infrastructure investment type</t>
  </si>
  <si>
    <t xml:space="preserve">All Infr.</t>
  </si>
  <si>
    <t xml:space="preserve">PublicInfrastructureInvType</t>
  </si>
  <si>
    <t xml:space="preserve">Current spending type</t>
  </si>
  <si>
    <t xml:space="preserve">All Social Protection and Labor</t>
  </si>
  <si>
    <t xml:space="preserve">CurrentSpendingType</t>
  </si>
  <si>
    <t xml:space="preserve">Personal Income Tax (PIT) reduction type</t>
  </si>
  <si>
    <t xml:space="preserve">Personal Allowance</t>
  </si>
  <si>
    <t xml:space="preserve">PITReductionType</t>
  </si>
  <si>
    <t xml:space="preserve">"Targeted Exemption" for bottom XX deciles</t>
  </si>
  <si>
    <t xml:space="preserve">DistExcCfDec</t>
  </si>
  <si>
    <t xml:space="preserve">Replace missing labor tax data, grouping by country</t>
  </si>
  <si>
    <t xml:space="preserve">income</t>
  </si>
  <si>
    <t xml:space="preserve">MissingDataReplacement</t>
  </si>
  <si>
    <t xml:space="preserve">Exempt most-used cooking fossil fuel?</t>
  </si>
  <si>
    <t xml:space="preserve">ExemptMostCook</t>
  </si>
  <si>
    <t xml:space="preserve">Exempt cooking fossil fuel for bottom XX deciles:</t>
  </si>
  <si>
    <t xml:space="preserve">ExemptCookDeciles</t>
  </si>
  <si>
    <t xml:space="preserve">Adjust for behavioral &amp; structural change?</t>
  </si>
  <si>
    <t xml:space="preserve">InferredDist</t>
  </si>
  <si>
    <t xml:space="preserve">Include decile-specific price elasticities?</t>
  </si>
  <si>
    <t xml:space="preserve">Yes</t>
  </si>
  <si>
    <t xml:space="preserve">PEDs</t>
  </si>
  <si>
    <t xml:space="preserve">Adjust GTAP-implied CP revenues to CPAT?</t>
  </si>
  <si>
    <t xml:space="preserve">ScaleGTAP</t>
  </si>
  <si>
    <t xml:space="preserve">Adjust for deadweight losses?</t>
  </si>
  <si>
    <t xml:space="preserve">DWLs</t>
  </si>
  <si>
    <t xml:space="preserve">Imperfect pass-through?</t>
  </si>
  <si>
    <t xml:space="preserve">PassthroughDist</t>
  </si>
  <si>
    <t xml:space="preserve">Impacts for average, median, p25, or p75?</t>
  </si>
  <si>
    <t xml:space="preserve">mean</t>
  </si>
  <si>
    <t xml:space="preserve">QuantilesStatistic</t>
  </si>
  <si>
    <t xml:space="preserve">Quantiles in LCU?</t>
  </si>
  <si>
    <t xml:space="preserve">QuantilesLCU</t>
  </si>
  <si>
    <t xml:space="preserve">Air pollution module assumptions</t>
  </si>
  <si>
    <t xml:space="preserve">Emissions to concentrations, PM2.5</t>
  </si>
  <si>
    <t xml:space="preserve">Local study-FASST</t>
  </si>
  <si>
    <t xml:space="preserve">Avg. iF and LS FASST*</t>
  </si>
  <si>
    <t xml:space="preserve">SourceAppSel</t>
  </si>
  <si>
    <t xml:space="preserve">Emissions to concentrations, Ozone</t>
  </si>
  <si>
    <t xml:space="preserve">TM5-FASST</t>
  </si>
  <si>
    <t xml:space="preserve">SourceAppO3</t>
  </si>
  <si>
    <t xml:space="preserve">Emission factors</t>
  </si>
  <si>
    <t xml:space="preserve">Average</t>
  </si>
  <si>
    <t xml:space="preserve">EFSel</t>
  </si>
  <si>
    <t xml:space="preserve">Include leakage to biomass in residential sector</t>
  </si>
  <si>
    <t xml:space="preserve">BiomassLeakage</t>
  </si>
  <si>
    <t xml:space="preserve">Biomass is a normal good</t>
  </si>
  <si>
    <t xml:space="preserve">BiomassNormal</t>
  </si>
  <si>
    <t xml:space="preserve">VSL source</t>
  </si>
  <si>
    <t xml:space="preserve">Transfer from Group</t>
  </si>
  <si>
    <t xml:space="preserve">Transfer from OECD</t>
  </si>
  <si>
    <t xml:space="preserve">VSLMethod</t>
  </si>
  <si>
    <t xml:space="preserve">VSL (where manual source)</t>
  </si>
  <si>
    <t xml:space="preserve">VSLManual</t>
  </si>
  <si>
    <t xml:space="preserve">0x17</t>
  </si>
  <si>
    <t xml:space="preserve">VSL elasticity source</t>
  </si>
  <si>
    <t xml:space="preserve">Income group</t>
  </si>
  <si>
    <t xml:space="preserve">VslElSource</t>
  </si>
  <si>
    <t xml:space="preserve">VSL elasticity (where manual source)</t>
  </si>
  <si>
    <t xml:space="preserve">VslEl</t>
  </si>
  <si>
    <t xml:space="preserve">Discount rate selection</t>
  </si>
  <si>
    <t xml:space="preserve">3% (Robinson 2019)</t>
  </si>
  <si>
    <t xml:space="preserve">DiscSel</t>
  </si>
  <si>
    <t xml:space="preserve">Discount rate (where manual source)</t>
  </si>
  <si>
    <t xml:space="preserve">DiscRate</t>
  </si>
  <si>
    <t xml:space="preserve">Other assumptions: air pollution module</t>
  </si>
  <si>
    <t xml:space="preserve">Number of working days per month</t>
  </si>
  <si>
    <t xml:space="preserve">days</t>
  </si>
  <si>
    <t xml:space="preserve">WorkDays</t>
  </si>
  <si>
    <t xml:space="preserve">Labor share of GDP, default value</t>
  </si>
  <si>
    <t xml:space="preserve">ApLabSh</t>
  </si>
  <si>
    <t xml:space="preserve">Max % of households using solid fuels</t>
  </si>
  <si>
    <t xml:space="preserve">ApMaxSs</t>
  </si>
  <si>
    <t xml:space="preserve">Leakage converted into % HH using solid fuels</t>
  </si>
  <si>
    <t xml:space="preserve">ApLeakHh</t>
  </si>
  <si>
    <t xml:space="preserve">Apply cessation lag when discounting averted deaths</t>
  </si>
  <si>
    <t xml:space="preserve">ApCessLag</t>
  </si>
  <si>
    <t xml:space="preserve">Transportation</t>
  </si>
  <si>
    <t xml:space="preserve">Engineering or elasticity model</t>
  </si>
  <si>
    <t xml:space="preserve">option</t>
  </si>
  <si>
    <t xml:space="preserve">Elasticity</t>
  </si>
  <si>
    <t xml:space="preserve">TrModel</t>
  </si>
  <si>
    <t xml:space="preserve">Power Sector</t>
  </si>
  <si>
    <t xml:space="preserve">Power Rebate</t>
  </si>
  <si>
    <t xml:space="preserve">PowerRebates</t>
  </si>
  <si>
    <t xml:space="preserve">Power price: portion of cost change passed-on:</t>
  </si>
  <si>
    <t xml:space="preserve">PowerSectorPriceChangePassOn</t>
  </si>
  <si>
    <t xml:space="preserve">Year of interest for power sector costs</t>
  </si>
  <si>
    <t xml:space="preserve">CostBreakdownYear</t>
  </si>
  <si>
    <t xml:space="preserve">Estimate economy-wide or sectoral power demand?</t>
  </si>
  <si>
    <t xml:space="preserve">Economy-wide</t>
  </si>
  <si>
    <t xml:space="preserve">ElasticityModel </t>
  </si>
  <si>
    <t xml:space="preserve">k Parameter dispatch</t>
  </si>
  <si>
    <t xml:space="preserve">coefficient</t>
  </si>
  <si>
    <t xml:space="preserve">kDispatch</t>
  </si>
  <si>
    <t xml:space="preserve">k Parameter investment</t>
  </si>
  <si>
    <t xml:space="preserve">kInvestment</t>
  </si>
  <si>
    <t xml:space="preserve">Minimum WACC</t>
  </si>
  <si>
    <t xml:space="preserve">MinimumWACC</t>
  </si>
  <si>
    <t xml:space="preserve">Use old or new generation costs in elasticity model?</t>
  </si>
  <si>
    <t xml:space="preserve">New*</t>
  </si>
  <si>
    <t xml:space="preserve">PowGenCostsOldNew</t>
  </si>
  <si>
    <t xml:space="preserve">Hydro retirement rate set to zero</t>
  </si>
  <si>
    <t xml:space="preserve">HydroDoesntRetire</t>
  </si>
  <si>
    <t xml:space="preserve">Minimum (post subsidy) generation cost $/kwh real</t>
  </si>
  <si>
    <t xml:space="preserve">MinPostSubsidyPowerPrice</t>
  </si>
  <si>
    <t xml:space="preserve">RE Subsidies</t>
  </si>
  <si>
    <t xml:space="preserve">Treat over/underestimate of supply costs as subsidy/tax</t>
  </si>
  <si>
    <t xml:space="preserve">SupplyCostDeltaSubsidy</t>
  </si>
  <si>
    <t xml:space="preserve">Baseline renewable energy subsidy, $/kwh nom</t>
  </si>
  <si>
    <t xml:space="preserve">$/kwh nom</t>
  </si>
  <si>
    <t xml:space="preserve">RenewableSubsidyBL</t>
  </si>
  <si>
    <t xml:space="preserve">New renewable energy subsidy, $/kwh nom</t>
  </si>
  <si>
    <t xml:space="preserve">RenSubsidyAddUSDkwh</t>
  </si>
  <si>
    <t xml:space="preserve">New renewable energy subsidy, phaseout</t>
  </si>
  <si>
    <t xml:space="preserve">years</t>
  </si>
  <si>
    <t xml:space="preserve">RenSubsidyAddPhaseoutYrs</t>
  </si>
  <si>
    <t xml:space="preserve">Apply additional RE subsidy to hydroelectric power?</t>
  </si>
  <si>
    <t xml:space="preserve">RenewableSubsidyHydro</t>
  </si>
  <si>
    <t xml:space="preserve">Electrical Generation Scale-up limits</t>
  </si>
  <si>
    <t xml:space="preserve">Max new investment in coal/gas/hyd as a percentage of total generation</t>
  </si>
  <si>
    <t xml:space="preserve">MaxNonVREAsPCOfTotalGen</t>
  </si>
  <si>
    <t xml:space="preserve">Max new investment oil/nucl/ore/bio as a percentage of total generation</t>
  </si>
  <si>
    <t xml:space="preserve">MaxNonNucOreBioAsPCOfTotalGen</t>
  </si>
  <si>
    <t xml:space="preserve">User-Defined Setting for VRE Max-Scale up (if used)</t>
  </si>
  <si>
    <t xml:space="preserve">MaxWindSolarScaleup</t>
  </si>
  <si>
    <t xml:space="preserve">Max renewable scaleup rate setting</t>
  </si>
  <si>
    <t xml:space="preserve">CtryDefault*</t>
  </si>
  <si>
    <t xml:space="preserve">MaxScaleUpRateCategory</t>
  </si>
  <si>
    <t xml:space="preserve">More Power Generation Settings</t>
  </si>
  <si>
    <t xml:space="preserve">Use Elasticity Model Power Demand In Engineer Model</t>
  </si>
  <si>
    <t xml:space="preserve">UseElasticityModelPowerDemandInEngineerModel</t>
  </si>
  <si>
    <t xml:space="preserve">Cost of capital: User-defined, Inc-dep,  or Tech-dep?</t>
  </si>
  <si>
    <t xml:space="preserve">Tech</t>
  </si>
  <si>
    <t xml:space="preserve">Income*</t>
  </si>
  <si>
    <t xml:space="preserve">WACCSource</t>
  </si>
  <si>
    <t xml:space="preserve">If Global, what Value?</t>
  </si>
  <si>
    <t xml:space="preserve">WACCUserGlobal</t>
  </si>
  <si>
    <t xml:space="preserve">Renewable Cost Declines</t>
  </si>
  <si>
    <t xml:space="preserve">RenewableCostDeclineRate</t>
  </si>
  <si>
    <t xml:space="preserve">Use Spot Fuel Prices in Engineer Power Model</t>
  </si>
  <si>
    <t xml:space="preserve">UseSpotFuelPricesInEngineerModel</t>
  </si>
  <si>
    <t xml:space="preserve">Use Additional Coal Intangible Cost</t>
  </si>
  <si>
    <t xml:space="preserve">AdditionalCoalIntangibleCost</t>
  </si>
  <si>
    <t xml:space="preserve">Manual Coal Intangible Cost (short term)</t>
  </si>
  <si>
    <t xml:space="preserve">ManualCoalIntangibleCostST</t>
  </si>
  <si>
    <t xml:space="preserve">Manual Coal Intangible Cost (long term)</t>
  </si>
  <si>
    <t xml:space="preserve">ManualCoalIntangibleCostLT</t>
  </si>
  <si>
    <t xml:space="preserve">Maximum Coal Capacity Factor</t>
  </si>
  <si>
    <t xml:space="preserve">MaximumCoalCF</t>
  </si>
  <si>
    <t xml:space="preserve">Maximum Gas Capacity Factor</t>
  </si>
  <si>
    <t xml:space="preserve">MaximumGasCF</t>
  </si>
  <si>
    <t xml:space="preserve">Proportion of GHG adjustment passed on to engineer model power demand</t>
  </si>
  <si>
    <t xml:space="preserve">EngineerModelProportionOfCovidFactor</t>
  </si>
  <si>
    <t xml:space="preserve">Override Capacity Factor if below (Wind and Solar)</t>
  </si>
  <si>
    <t xml:space="preserve">CFOverrideIfBelowWndSol</t>
  </si>
  <si>
    <t xml:space="preserve">Override Capacity Factor if below (Others)</t>
  </si>
  <si>
    <t xml:space="preserve">CFOverrideIfBelowFosOth</t>
  </si>
  <si>
    <t xml:space="preserve">Override Capacity Factor if below (All)</t>
  </si>
  <si>
    <t xml:space="preserve">CFOverrideIfAbove</t>
  </si>
  <si>
    <t xml:space="preserve">Proportion of coal capacity that can be retired</t>
  </si>
  <si>
    <t xml:space="preserve">MaxCostBasedEarlyRetirement</t>
  </si>
  <si>
    <t xml:space="preserve">Allow cost-based coal phaseout in baseline?</t>
  </si>
  <si>
    <t xml:space="preserve">EarlyRetirementInBaseline</t>
  </si>
  <si>
    <t xml:space="preserve">Minimum Thermal Efficiency</t>
  </si>
  <si>
    <t xml:space="preserve">MinimumThermalEfficiency</t>
  </si>
  <si>
    <t xml:space="preserve">Coal and Gas Power Purchase Agreements</t>
  </si>
  <si>
    <t xml:space="preserve">Proportion of PPAs in Coal and Gas Generation</t>
  </si>
  <si>
    <t xml:space="preserve">PPAProportionCoalGas</t>
  </si>
  <si>
    <t xml:space="preserve">Phase out any coal and gas PPAs? (Baseline)</t>
  </si>
  <si>
    <t xml:space="preserve">PhaseOutCoalAndGasPPAsBaseline</t>
  </si>
  <si>
    <t xml:space="preserve">Phase out any coal and gas PPAs? (Policy)</t>
  </si>
  <si>
    <t xml:space="preserve">PhaseOutCoalAndGasPPAsPolicy</t>
  </si>
  <si>
    <t xml:space="preserve">Phase begins when?</t>
  </si>
  <si>
    <t xml:space="preserve">YearPPACoalGas</t>
  </si>
  <si>
    <t xml:space="preserve">Phase out coal and gas PPAs over n years?</t>
  </si>
  <si>
    <t xml:space="preserve">YearsToPhaseOutPPAs</t>
  </si>
  <si>
    <t xml:space="preserve">Short Term Storage Parameters</t>
  </si>
  <si>
    <t xml:space="preserve">Percent allocation of ST storage costs to VRE</t>
  </si>
  <si>
    <t xml:space="preserve">AllocateSTStorageToVRE</t>
  </si>
  <si>
    <t xml:space="preserve">Total hours short term strorage for 100% VRE</t>
  </si>
  <si>
    <t xml:space="preserve">TotalHoursStorageFor100pcVRE</t>
  </si>
  <si>
    <t xml:space="preserve">kwh storage to kw interface ratio (hours)</t>
  </si>
  <si>
    <t xml:space="preserve">StorageToInterfaceRatioSTStorage</t>
  </si>
  <si>
    <t xml:space="preserve">Long Term Storage Parameters</t>
  </si>
  <si>
    <t xml:space="preserve">Percent allocation of LT storage costs to VRE</t>
  </si>
  <si>
    <t xml:space="preserve">AllocateLTStorageToVRE</t>
  </si>
  <si>
    <t xml:space="preserve">Starting point of long term storage requirement (%VRE)</t>
  </si>
  <si>
    <t xml:space="preserve">StartingPointWhenLTStorageIsNeeded</t>
  </si>
  <si>
    <t xml:space="preserve">GW electrolyzer per Gwy/y for 100% VRE (%)</t>
  </si>
  <si>
    <t xml:space="preserve">LongTermStorageFor100pcVRE</t>
  </si>
  <si>
    <t xml:space="preserve">Storage hours for LT storage</t>
  </si>
  <si>
    <t xml:space="preserve">StorageHoursForLTStorage</t>
  </si>
  <si>
    <t xml:space="preserve">Allowed New Investments Override if selected</t>
  </si>
  <si>
    <t xml:space="preserve">Coal - New Investment Override</t>
  </si>
  <si>
    <t xml:space="preserve">Switch</t>
  </si>
  <si>
    <t xml:space="preserve">If Present*</t>
  </si>
  <si>
    <t xml:space="preserve">NewInvCoa</t>
  </si>
  <si>
    <t xml:space="preserve">Natural gas - New Investment Override</t>
  </si>
  <si>
    <t xml:space="preserve">NewInvNga</t>
  </si>
  <si>
    <t xml:space="preserve">Oil - New Investment Override</t>
  </si>
  <si>
    <t xml:space="preserve">NewInvOil</t>
  </si>
  <si>
    <t xml:space="preserve">Nuclear - New Investment Override</t>
  </si>
  <si>
    <t xml:space="preserve">NewInvNuc</t>
  </si>
  <si>
    <t xml:space="preserve">Wind - New Investment Override</t>
  </si>
  <si>
    <t xml:space="preserve">NewInvWnd</t>
  </si>
  <si>
    <t xml:space="preserve">Solar - New Investment Override</t>
  </si>
  <si>
    <t xml:space="preserve">NewInvSol</t>
  </si>
  <si>
    <t xml:space="preserve">Hydro - New Investment Override</t>
  </si>
  <si>
    <t xml:space="preserve">NewInvHyd</t>
  </si>
  <si>
    <t xml:space="preserve">Other renewables - New Investment Override</t>
  </si>
  <si>
    <t xml:space="preserve">NewInvOre</t>
  </si>
  <si>
    <t xml:space="preserve">Biomass - New Investment Override</t>
  </si>
  <si>
    <t xml:space="preserve">NewInvBio</t>
  </si>
  <si>
    <t xml:space="preserve">Allowed New Investments (Date of Coming Online)</t>
  </si>
  <si>
    <t xml:space="preserve">Year</t>
  </si>
  <si>
    <t xml:space="preserve">NewInvCoaYear</t>
  </si>
  <si>
    <t xml:space="preserve">NewInvNgaYear</t>
  </si>
  <si>
    <t xml:space="preserve">Oil</t>
  </si>
  <si>
    <t xml:space="preserve">NewInvOilYear</t>
  </si>
  <si>
    <t xml:space="preserve">Nuclear</t>
  </si>
  <si>
    <t xml:space="preserve">NewInvNucYear</t>
  </si>
  <si>
    <t xml:space="preserve">Wind</t>
  </si>
  <si>
    <t xml:space="preserve">NewInvWndYear</t>
  </si>
  <si>
    <t xml:space="preserve">Solar</t>
  </si>
  <si>
    <t xml:space="preserve">NewInvSolYear</t>
  </si>
  <si>
    <t xml:space="preserve">Hydro</t>
  </si>
  <si>
    <t xml:space="preserve">NewInvHydYear</t>
  </si>
  <si>
    <t xml:space="preserve">Other renewables</t>
  </si>
  <si>
    <t xml:space="preserve">NewInvOreYear</t>
  </si>
  <si>
    <t xml:space="preserve">NewInvBioYear</t>
  </si>
  <si>
    <t xml:space="preserve">Base-year energy use by fuel and sector, ktoe (CPAT_1_0pre_456, Mitigation rows 583-602, Egypt)</t>
  </si>
  <si>
    <t xml:space="preserve">Energy used in power generation (ktoe)</t>
  </si>
  <si>
    <t xml:space="preserve">Road</t>
  </si>
  <si>
    <t xml:space="preserve">Rail</t>
  </si>
  <si>
    <t xml:space="preserve">Domestic aviation</t>
  </si>
  <si>
    <t xml:space="preserve">Domestic navigation</t>
  </si>
  <si>
    <t xml:space="preserve">Food &amp; forestry</t>
  </si>
  <si>
    <t xml:space="preserve">Services (public &amp; private)</t>
  </si>
  <si>
    <t xml:space="preserve">Other metals</t>
  </si>
  <si>
    <t xml:space="preserve">Machinery</t>
  </si>
  <si>
    <t xml:space="preserve">Other manufacturing</t>
  </si>
  <si>
    <t xml:space="preserve">Construction</t>
  </si>
  <si>
    <t xml:space="preserve">Fuel transformation</t>
  </si>
  <si>
    <t xml:space="preserve">Other - energy use</t>
  </si>
  <si>
    <t xml:space="preserve">Other - non-energy use</t>
  </si>
  <si>
    <t xml:space="preserve">CPAT code</t>
  </si>
  <si>
    <t xml:space="preserve">fuel</t>
  </si>
  <si>
    <t xml:space="preserve">pow</t>
  </si>
  <si>
    <t xml:space="preserve">rod</t>
  </si>
  <si>
    <t xml:space="preserve">ral</t>
  </si>
  <si>
    <t xml:space="preserve">avi</t>
  </si>
  <si>
    <t xml:space="preserve">nav</t>
  </si>
  <si>
    <t xml:space="preserve">res</t>
  </si>
  <si>
    <t xml:space="preserve">foo</t>
  </si>
  <si>
    <t xml:space="preserve">srv</t>
  </si>
  <si>
    <t xml:space="preserve">mac</t>
  </si>
  <si>
    <t xml:space="preserve">omn</t>
  </si>
  <si>
    <t xml:space="preserve">cst</t>
  </si>
  <si>
    <t xml:space="preserve">ftr</t>
  </si>
  <si>
    <t xml:space="preserve">oen</t>
  </si>
  <si>
    <t xml:space="preserve">egy.mit.enc.ele</t>
  </si>
  <si>
    <t xml:space="preserve">Electricity</t>
  </si>
  <si>
    <t xml:space="preserve">ele</t>
  </si>
  <si>
    <t xml:space="preserve">egy.mit.enc.coa</t>
  </si>
  <si>
    <t xml:space="preserve">egy.mit.enc.nga</t>
  </si>
  <si>
    <t xml:space="preserve">egy.mit.enc.oop</t>
  </si>
  <si>
    <t xml:space="preserve">egy.mit.enc.gso</t>
  </si>
  <si>
    <t xml:space="preserve">egy.mit.enc.die</t>
  </si>
  <si>
    <t xml:space="preserve">egy.mit.enc.ker</t>
  </si>
  <si>
    <t xml:space="preserve">egy.mit.enc.lpg</t>
  </si>
  <si>
    <t xml:space="preserve">egy.mit.enc.jfu</t>
  </si>
  <si>
    <t xml:space="preserve">Jet fuel</t>
  </si>
  <si>
    <t xml:space="preserve">jfu</t>
  </si>
  <si>
    <t xml:space="preserve">egy.mit.enc.wnd</t>
  </si>
  <si>
    <t xml:space="preserve">wnd</t>
  </si>
  <si>
    <t xml:space="preserve">egy.mit.enc.sol</t>
  </si>
  <si>
    <t xml:space="preserve">sol</t>
  </si>
  <si>
    <t xml:space="preserve">egy.mit.enc.hyd</t>
  </si>
  <si>
    <t xml:space="preserve">hyd</t>
  </si>
  <si>
    <t xml:space="preserve">egy.mit.enc.ore</t>
  </si>
  <si>
    <t xml:space="preserve">ore</t>
  </si>
  <si>
    <t xml:space="preserve">egy.mit.enc.nuc</t>
  </si>
  <si>
    <t xml:space="preserve">nuc</t>
  </si>
  <si>
    <t xml:space="preserve">egy.mit.enc.bio</t>
  </si>
  <si>
    <t xml:space="preserve">egy.mit.enc.bgs</t>
  </si>
  <si>
    <t xml:space="preserve">- in which: biogasoline</t>
  </si>
  <si>
    <t xml:space="preserve">bgs</t>
  </si>
  <si>
    <t xml:space="preserve">egy.mit.enc.bdi</t>
  </si>
  <si>
    <t xml:space="preserve">- in which: biodiesel</t>
  </si>
  <si>
    <t xml:space="preserve">bdi</t>
  </si>
  <si>
    <t xml:space="preserve">egy.mit.enc.obf</t>
  </si>
  <si>
    <t xml:space="preserve">- in which: other liquid biofuels</t>
  </si>
  <si>
    <t xml:space="preserve">obf</t>
  </si>
  <si>
    <t xml:space="preserve">egy.mit.enc.heat</t>
  </si>
  <si>
    <t xml:space="preserve">Heat</t>
  </si>
  <si>
    <t xml:space="preserve">heat</t>
  </si>
  <si>
    <t xml:space="preserve">Total self-generated renewables (nonbiomass)</t>
  </si>
  <si>
    <t xml:space="preserve">Code</t>
  </si>
  <si>
    <t xml:space="preserve">Sector / group</t>
  </si>
  <si>
    <t xml:space="preserve">Variable</t>
  </si>
  <si>
    <t xml:space="preserve">CPAT source row</t>
  </si>
  <si>
    <t xml:space="preserve">Source code</t>
  </si>
  <si>
    <t xml:space="preserve">egy.mit.pbc.ind.coa.a.1</t>
  </si>
  <si>
    <t xml:space="preserve">pbc</t>
  </si>
  <si>
    <t xml:space="preserve">Price before any new policy (supply cost + VAT + existing excise, subsidies, carbon prices)</t>
  </si>
  <si>
    <t xml:space="preserve">egy.mit.nce.ind.coa.a.1</t>
  </si>
  <si>
    <t xml:space="preserve">nce</t>
  </si>
  <si>
    <t xml:space="preserve">Total new policy wedge before sector coverage</t>
  </si>
  <si>
    <t xml:space="preserve">egy.mit.pbc.ind.nga.a.1</t>
  </si>
  <si>
    <t xml:space="preserve">egy.mit.nce.ind.nga.a.1</t>
  </si>
  <si>
    <t xml:space="preserve">egy.mit.pbc.ind.gso.a.1</t>
  </si>
  <si>
    <t xml:space="preserve">egy.mit.pbc.all.gso.a.1</t>
  </si>
  <si>
    <t xml:space="preserve">egy.mit.nce.ind.gso.a.1</t>
  </si>
  <si>
    <t xml:space="preserve">egy.mit.nce.all.gso.a.1</t>
  </si>
  <si>
    <t xml:space="preserve">egy.mit.pbc.ind.die.a.1</t>
  </si>
  <si>
    <t xml:space="preserve">egy.mit.pbc.all.die.a.1</t>
  </si>
  <si>
    <t xml:space="preserve">egy.mit.nce.ind.die.a.1</t>
  </si>
  <si>
    <t xml:space="preserve">egy.mit.nce.all.die.a.1</t>
  </si>
  <si>
    <t xml:space="preserve">egy.mit.pbc.ind.lpg.a.1</t>
  </si>
  <si>
    <t xml:space="preserve">egy.mit.pbc.all.lpg.a.1</t>
  </si>
  <si>
    <t xml:space="preserve">egy.mit.nce.ind.lpg.a.1</t>
  </si>
  <si>
    <t xml:space="preserve">egy.mit.nce.all.lpg.a.1</t>
  </si>
  <si>
    <t xml:space="preserve">egy.mit.pbc.ind.ker.a.1</t>
  </si>
  <si>
    <t xml:space="preserve">egy.mit.pbc.ker.a.1</t>
  </si>
  <si>
    <t xml:space="preserve">egy.mit.nce.ind.ker.a.1</t>
  </si>
  <si>
    <t xml:space="preserve">egy.mit.nce.ker.a.1</t>
  </si>
  <si>
    <t xml:space="preserve">egy.mit.pbc.ind.oop.a.1</t>
  </si>
  <si>
    <t xml:space="preserve">egy.mit.pbc.all.oop.all.1</t>
  </si>
  <si>
    <t xml:space="preserve">egy.mit.nce.ind.oop.a.1</t>
  </si>
  <si>
    <t xml:space="preserve">egy.mit.nce.all.oop.a.1</t>
  </si>
  <si>
    <t xml:space="preserve">egy.mit.pbc.ind.bio.a.1</t>
  </si>
  <si>
    <t xml:space="preserve">egy.mit.pbc.all.bio.all.1</t>
  </si>
  <si>
    <t xml:space="preserve">egy.mit.nce.ind.bio.a.1</t>
  </si>
  <si>
    <t xml:space="preserve">egy.mit.nce.all.bio.a.1</t>
  </si>
  <si>
    <t xml:space="preserve">egy.mit.pbc.ind.ren.a.1</t>
  </si>
  <si>
    <t xml:space="preserve">egy.mit.pbc.ren.ind.1</t>
  </si>
  <si>
    <t xml:space="preserve">egy.mit.nce.ind.ren.a.1</t>
  </si>
  <si>
    <t xml:space="preserve">egy.mit.nce.ren.ind.1</t>
  </si>
  <si>
    <t xml:space="preserve">egy.mit.shp.coa.ind.1</t>
  </si>
  <si>
    <t xml:space="preserve">Shadow price of non-price policies ($/unit)</t>
  </si>
  <si>
    <t xml:space="preserve">egy.mit.shp.nga.ind.1</t>
  </si>
  <si>
    <t xml:space="preserve">egy.mit.shp.gso.ind.1</t>
  </si>
  <si>
    <t xml:space="preserve">egy.mit.shp.gso.all.1</t>
  </si>
  <si>
    <t xml:space="preserve">egy.mit.shp.die.ind.1</t>
  </si>
  <si>
    <t xml:space="preserve">egy.mit.shp.die.all.1</t>
  </si>
  <si>
    <t xml:space="preserve">egy.mit.shp.lpg.ind.1</t>
  </si>
  <si>
    <t xml:space="preserve">egy.mit.shp.lpg.all.1</t>
  </si>
  <si>
    <t xml:space="preserve">egy.mit.shp.ker.ind.1</t>
  </si>
  <si>
    <t xml:space="preserve">egy.mit.shp.ker.all.1</t>
  </si>
  <si>
    <t xml:space="preserve">egy.mit.shp.oop.ind.1</t>
  </si>
  <si>
    <t xml:space="preserve">egy.mit.shp.oop.all.1</t>
  </si>
  <si>
    <t xml:space="preserve">egy.mit.shp.bio.ind.1</t>
  </si>
  <si>
    <t xml:space="preserve">egy.mit.shp.bio.all.1</t>
  </si>
  <si>
    <t xml:space="preserve">egy.mit.shp.ren.ind.1</t>
  </si>
  <si>
    <t xml:space="preserve">Shadow price of non-price policies (no CPAT row for self-generated renewables: set to 0)</t>
  </si>
  <si>
    <t xml:space="preserve">egy.mit.tcf.pow.1</t>
  </si>
  <si>
    <t xml:space="preserve">Sector coverage factor of the new policy wedge</t>
  </si>
  <si>
    <t xml:space="preserve">egy.mit.tcf.rod.1</t>
  </si>
  <si>
    <t xml:space="preserve">egy.mit.tcf.ral.1</t>
  </si>
  <si>
    <t xml:space="preserve">egy.mit.tcf.nav.1</t>
  </si>
  <si>
    <t xml:space="preserve">egy.mit.tcf.avi.1</t>
  </si>
  <si>
    <t xml:space="preserve">egy.mit.tcf.res.1</t>
  </si>
  <si>
    <t xml:space="preserve">egy.mit.tcf.foo.1</t>
  </si>
  <si>
    <t xml:space="preserve">egy.mit.tcf.srv.1</t>
  </si>
  <si>
    <t xml:space="preserve">egy.mit.tcf.mch.1</t>
  </si>
  <si>
    <t xml:space="preserve">egy.mit.tcf.irn.1</t>
  </si>
  <si>
    <t xml:space="preserve">egy.mit.tcf.nfm.1</t>
  </si>
  <si>
    <t xml:space="preserve">egy.mit.tcf.mac.1</t>
  </si>
  <si>
    <t xml:space="preserve">egy.mit.tcf.cem.1</t>
  </si>
  <si>
    <t xml:space="preserve">egy.mit.tcf.omn.1</t>
  </si>
  <si>
    <t xml:space="preserve">egy.mit.tcf.cst.1</t>
  </si>
  <si>
    <t xml:space="preserve">egy.mit.tcf.ftr.1</t>
  </si>
  <si>
    <t xml:space="preserve">egy.mit.tcf.oen.1</t>
  </si>
  <si>
    <t xml:space="preserve">egy.mit.ssc.pow.1</t>
  </si>
  <si>
    <t xml:space="preserve">egy.mit.ssc.rod.1</t>
  </si>
  <si>
    <t xml:space="preserve">egy.mit.ssc.ral.1</t>
  </si>
  <si>
    <t xml:space="preserve">egy.mit.ssc.nav.1</t>
  </si>
  <si>
    <t xml:space="preserve">egy.mit.ssc.avi.1</t>
  </si>
  <si>
    <t xml:space="preserve">egy.mit.ssc.res.1</t>
  </si>
  <si>
    <t xml:space="preserve">egy.mit.ssc.foo.1</t>
  </si>
  <si>
    <t xml:space="preserve">egy.mit.ssc.srv.1</t>
  </si>
  <si>
    <t xml:space="preserve">egy.mit.ssc.mch.1</t>
  </si>
  <si>
    <t xml:space="preserve">egy.mit.ssc.irn.1</t>
  </si>
  <si>
    <t xml:space="preserve">egy.mit.ssc.nfm.1</t>
  </si>
  <si>
    <t xml:space="preserve">egy.mit.ssc.mac.1</t>
  </si>
  <si>
    <t xml:space="preserve">egy.mit.ssc.cem.1</t>
  </si>
  <si>
    <t xml:space="preserve">egy.mit.ssc.omn.1</t>
  </si>
  <si>
    <t xml:space="preserve">egy.mit.ssc.cst.1</t>
  </si>
  <si>
    <t xml:space="preserve">egy.mit.ssc.ftr.1</t>
  </si>
  <si>
    <t xml:space="preserve">egy.mit.ssc.oen.1</t>
  </si>
  <si>
    <t xml:space="preserve">egy.mit.pbc.ind.coa.a.2</t>
  </si>
  <si>
    <t xml:space="preserve">egy.mit.nce.ind.coa.a.2</t>
  </si>
  <si>
    <t xml:space="preserve">egy.mit.pbc.ind.nga.a.2</t>
  </si>
  <si>
    <t xml:space="preserve">egy.mit.nce.ind.nga.a.2</t>
  </si>
  <si>
    <t xml:space="preserve">egy.mit.pbc.ind.gso.a.2</t>
  </si>
  <si>
    <t xml:space="preserve">egy.mit.pbc.all.gso.a.2</t>
  </si>
  <si>
    <t xml:space="preserve">egy.mit.nce.ind.gso.a.2</t>
  </si>
  <si>
    <t xml:space="preserve">egy.mit.nce.all.gso.a.2</t>
  </si>
  <si>
    <t xml:space="preserve">egy.mit.pbc.ind.die.a.2</t>
  </si>
  <si>
    <t xml:space="preserve">egy.mit.pbc.all.die.a.2</t>
  </si>
  <si>
    <t xml:space="preserve">egy.mit.nce.ind.die.a.2</t>
  </si>
  <si>
    <t xml:space="preserve">egy.mit.nce.all.die.a.2</t>
  </si>
  <si>
    <t xml:space="preserve">egy.mit.pbc.ind.lpg.a.2</t>
  </si>
  <si>
    <t xml:space="preserve">egy.mit.pbc.all.lpg.a.2</t>
  </si>
  <si>
    <t xml:space="preserve">egy.mit.nce.ind.lpg.a.2</t>
  </si>
  <si>
    <t xml:space="preserve">egy.mit.nce.all.lpg.a.2</t>
  </si>
  <si>
    <t xml:space="preserve">egy.mit.pbc.ind.ker.a.2</t>
  </si>
  <si>
    <t xml:space="preserve">egy.mit.pbc.ker.a.2</t>
  </si>
  <si>
    <t xml:space="preserve">egy.mit.nce.ind.ker.a.2</t>
  </si>
  <si>
    <t xml:space="preserve">egy.mit.nce.ker.a.2</t>
  </si>
  <si>
    <t xml:space="preserve">egy.mit.pbc.ind.oop.a.2</t>
  </si>
  <si>
    <t xml:space="preserve">egy.mit.pbc.all.oop.all.2</t>
  </si>
  <si>
    <t xml:space="preserve">egy.mit.nce.ind.oop.a.2</t>
  </si>
  <si>
    <t xml:space="preserve">egy.mit.nce.all.oop.a.2</t>
  </si>
  <si>
    <t xml:space="preserve">egy.mit.pbc.ind.bio.a.2</t>
  </si>
  <si>
    <t xml:space="preserve">egy.mit.pbc.all.bio.all.2</t>
  </si>
  <si>
    <t xml:space="preserve">egy.mit.nce.ind.bio.a.2</t>
  </si>
  <si>
    <t xml:space="preserve">egy.mit.nce.all.bio.a.2</t>
  </si>
  <si>
    <t xml:space="preserve">egy.mit.pbc.ind.ren.a.2</t>
  </si>
  <si>
    <t xml:space="preserve">egy.mit.pbc.ren.ind.2</t>
  </si>
  <si>
    <t xml:space="preserve">egy.mit.nce.ind.ren.a.2</t>
  </si>
  <si>
    <t xml:space="preserve">egy.mit.nce.ren.ind.2</t>
  </si>
  <si>
    <t xml:space="preserve">egy.mit.shp.coa.ind.2</t>
  </si>
  <si>
    <t xml:space="preserve">egy.mit.shp.nga.ind.2</t>
  </si>
  <si>
    <t xml:space="preserve">egy.mit.shp.gso.ind.2</t>
  </si>
  <si>
    <t xml:space="preserve">egy.mit.shp.gso.all.2</t>
  </si>
  <si>
    <t xml:space="preserve">egy.mit.shp.die.ind.2</t>
  </si>
  <si>
    <t xml:space="preserve">egy.mit.shp.die.all.2</t>
  </si>
  <si>
    <t xml:space="preserve">egy.mit.shp.lpg.ind.2</t>
  </si>
  <si>
    <t xml:space="preserve">egy.mit.shp.lpg.all.2</t>
  </si>
  <si>
    <t xml:space="preserve">egy.mit.shp.ker.ind.2</t>
  </si>
  <si>
    <t xml:space="preserve">egy.mit.shp.ker.all.2</t>
  </si>
  <si>
    <t xml:space="preserve">egy.mit.shp.oop.ind.2</t>
  </si>
  <si>
    <t xml:space="preserve">egy.mit.shp.oop.all.2</t>
  </si>
  <si>
    <t xml:space="preserve">egy.mit.shp.bio.ind.2</t>
  </si>
  <si>
    <t xml:space="preserve">egy.mit.shp.bio.all.2</t>
  </si>
  <si>
    <t xml:space="preserve">egy.mit.shp.ren.ind.2</t>
  </si>
  <si>
    <t xml:space="preserve">egy.mit.tcf.pow.2</t>
  </si>
  <si>
    <t xml:space="preserve">egy.mit.tcf.rod.2</t>
  </si>
  <si>
    <t xml:space="preserve">egy.mit.tcf.ral.2</t>
  </si>
  <si>
    <t xml:space="preserve">egy.mit.tcf.nav.2</t>
  </si>
  <si>
    <t xml:space="preserve">egy.mit.tcf.avi.2</t>
  </si>
  <si>
    <t xml:space="preserve">egy.mit.tcf.res.2</t>
  </si>
  <si>
    <t xml:space="preserve">egy.mit.tcf.foo.2</t>
  </si>
  <si>
    <t xml:space="preserve">egy.mit.tcf.srv.2</t>
  </si>
  <si>
    <t xml:space="preserve">egy.mit.tcf.mch.2</t>
  </si>
  <si>
    <t xml:space="preserve">egy.mit.tcf.irn.2</t>
  </si>
  <si>
    <t xml:space="preserve">egy.mit.tcf.nfm.2</t>
  </si>
  <si>
    <t xml:space="preserve">egy.mit.tcf.mac.2</t>
  </si>
  <si>
    <t xml:space="preserve">egy.mit.tcf.cem.2</t>
  </si>
  <si>
    <t xml:space="preserve">egy.mit.tcf.omn.2</t>
  </si>
  <si>
    <t xml:space="preserve">egy.mit.tcf.cst.2</t>
  </si>
  <si>
    <t xml:space="preserve">egy.mit.tcf.ftr.2</t>
  </si>
  <si>
    <t xml:space="preserve">egy.mit.tcf.oen.2</t>
  </si>
  <si>
    <t xml:space="preserve">egy.mit.ssc.pow.2</t>
  </si>
  <si>
    <t xml:space="preserve">egy.mit.ssc.rod.2</t>
  </si>
  <si>
    <t xml:space="preserve">egy.mit.ssc.ral.2</t>
  </si>
  <si>
    <t xml:space="preserve">egy.mit.ssc.nav.2</t>
  </si>
  <si>
    <t xml:space="preserve">egy.mit.ssc.avi.2</t>
  </si>
  <si>
    <t xml:space="preserve">egy.mit.ssc.res.2</t>
  </si>
  <si>
    <t xml:space="preserve">egy.mit.ssc.foo.2</t>
  </si>
  <si>
    <t xml:space="preserve">egy.mit.ssc.srv.2</t>
  </si>
  <si>
    <t xml:space="preserve">egy.mit.ssc.mch.2</t>
  </si>
  <si>
    <t xml:space="preserve">egy.mit.ssc.irn.2</t>
  </si>
  <si>
    <t xml:space="preserve">egy.mit.ssc.nfm.2</t>
  </si>
  <si>
    <t xml:space="preserve">egy.mit.ssc.mac.2</t>
  </si>
  <si>
    <t xml:space="preserve">egy.mit.ssc.cem.2</t>
  </si>
  <si>
    <t xml:space="preserve">egy.mit.ssc.omn.2</t>
  </si>
  <si>
    <t xml:space="preserve">egy.mit.ssc.cst.2</t>
  </si>
  <si>
    <t xml:space="preserve">egy.mit.ssc.ftr.2</t>
  </si>
  <si>
    <t xml:space="preserve">egy.mit.ssc.oen.2</t>
  </si>
  <si>
    <t xml:space="preserve">egy.mit.gdp.pos.pct.1</t>
  </si>
  <si>
    <t xml:space="preserve">egy.mit.inc.ela.adj.1</t>
  </si>
  <si>
    <t xml:space="preserve">Income-elasticity discount factor (Gertler reverse-U)</t>
  </si>
  <si>
    <t xml:space="preserve">egy.mit.shock.1</t>
  </si>
  <si>
    <t xml:space="preserve">Exogenous shock on energy consumption (Covid calibration; no CPAT code)</t>
  </si>
  <si>
    <t xml:space="preserve">egy.mit.gdp.pos.pct.2</t>
  </si>
  <si>
    <t xml:space="preserve">egy.mit.inc.ela.adj.2</t>
  </si>
  <si>
    <t xml:space="preserve">egy.mit.shock.2</t>
  </si>
  <si>
    <t xml:space="preserve">Kind</t>
  </si>
  <si>
    <t xml:space="preserve">Fuel group</t>
  </si>
  <si>
    <t xml:space="preserve">Services</t>
  </si>
  <si>
    <t xml:space="preserve">Elasticity group</t>
  </si>
  <si>
    <t xml:space="preserve">AEEI group</t>
  </si>
  <si>
    <t xml:space="preserve">el_inc_coa</t>
  </si>
  <si>
    <t xml:space="preserve">el_inc_nga</t>
  </si>
  <si>
    <t xml:space="preserve">el_inc_gso</t>
  </si>
  <si>
    <t xml:space="preserve">oil</t>
  </si>
  <si>
    <t xml:space="preserve">el_inc_die</t>
  </si>
  <si>
    <t xml:space="preserve">el_inc_oil</t>
  </si>
  <si>
    <t xml:space="preserve">el_inc_bio</t>
  </si>
  <si>
    <t xml:space="preserve">el_inc_ren</t>
  </si>
  <si>
    <t xml:space="preserve">el_inc_ecy</t>
  </si>
  <si>
    <t xml:space="preserve">ecy</t>
  </si>
  <si>
    <t xml:space="preserve">el_dem_coa</t>
  </si>
  <si>
    <t xml:space="preserve">usage</t>
  </si>
  <si>
    <t xml:space="preserve">el_dem_nga</t>
  </si>
  <si>
    <t xml:space="preserve">el_dem_gso</t>
  </si>
  <si>
    <t xml:space="preserve">el_dem_die</t>
  </si>
  <si>
    <t xml:space="preserve">el_dem_oil</t>
  </si>
  <si>
    <t xml:space="preserve">el_dem_bio</t>
  </si>
  <si>
    <t xml:space="preserve">el_dem_ren</t>
  </si>
  <si>
    <t xml:space="preserve">el_dem_ecy</t>
  </si>
  <si>
    <t xml:space="preserve">el_eff_coa</t>
  </si>
  <si>
    <t xml:space="preserve">efficiency</t>
  </si>
  <si>
    <t xml:space="preserve">el_eff_nga</t>
  </si>
  <si>
    <t xml:space="preserve">el_eff_gso</t>
  </si>
  <si>
    <t xml:space="preserve">el_eff_die</t>
  </si>
  <si>
    <t xml:space="preserve">el_eff_oil</t>
  </si>
  <si>
    <t xml:space="preserve">el_eff_bio</t>
  </si>
  <si>
    <t xml:space="preserve">el_eff_ren</t>
  </si>
  <si>
    <t xml:space="preserve">el_eff_ecy</t>
  </si>
  <si>
    <t xml:space="preserve">eff_imp_coa</t>
  </si>
  <si>
    <t xml:space="preserve">aeei</t>
  </si>
  <si>
    <t xml:space="preserve">eff_imp_nga</t>
  </si>
  <si>
    <t xml:space="preserve">eff_imp_oil</t>
  </si>
  <si>
    <t xml:space="preserve">eff_imp_bio</t>
  </si>
  <si>
    <t xml:space="preserve">eff_imp_ren</t>
  </si>
  <si>
    <t xml:space="preserve">eff_imp_ecy</t>
  </si>
  <si>
    <t xml:space="preserve">Source: Mitigation B2 rows 297-304 (income), 328-335 (usage), 337-344 (efficiency), 371-376 (autonomous efficiency improvement); columns K-N. Fuel-group map at I:K.</t>
  </si>
  <si>
    <t xml:space="preserve">Kernel output vs values stored in CPAT_1_0pre_456 (Egypt), same Output Codes</t>
  </si>
  <si>
    <t xml:space="preserve">Max |kernel - CPAT| energy, baseline (ktoe)</t>
  </si>
  <si>
    <t xml:space="preserve">Max |kernel - CPAT| energy, policy (ktoe)</t>
  </si>
  <si>
    <t xml:space="preserve">Max |kernel - CPAT| post-tax price (native units)</t>
  </si>
  <si>
    <t xml:space="preserve">Series</t>
  </si>
  <si>
    <t xml:space="preserve">max |diff|</t>
  </si>
  <si>
    <t xml:space="preserve">egy.mit.ener.irn.coa.e.1</t>
  </si>
  <si>
    <t xml:space="preserve">CPAT</t>
  </si>
  <si>
    <t xml:space="preserve">kernel</t>
  </si>
  <si>
    <t xml:space="preserve">diff</t>
  </si>
  <si>
    <t xml:space="preserve">egy.mit.ener.irn.nga.e.1</t>
  </si>
  <si>
    <t xml:space="preserve">egy.mit.ener.irn.gso.e.1</t>
  </si>
  <si>
    <t xml:space="preserve">egy.mit.ener.irn.die.e.1</t>
  </si>
  <si>
    <t xml:space="preserve">egy.mit.ener.irn.lpg.e.1</t>
  </si>
  <si>
    <t xml:space="preserve">egy.mit.ener.irn.ker.e.1</t>
  </si>
  <si>
    <t xml:space="preserve">egy.mit.ener.irn.oop.e.1</t>
  </si>
  <si>
    <t xml:space="preserve">egy.mit.ener.irn.bio.e.1</t>
  </si>
  <si>
    <t xml:space="preserve">egy.mit.ener.irn.ren.e.1</t>
  </si>
  <si>
    <t xml:space="preserve">egy.mit.ener.cem.coa.e.1</t>
  </si>
  <si>
    <t xml:space="preserve">egy.mit.ener.cem.nga.e.1</t>
  </si>
  <si>
    <t xml:space="preserve">egy.mit.ener.cem.gso.e.1</t>
  </si>
  <si>
    <t xml:space="preserve">egy.mit.ener.cem.die.e.1</t>
  </si>
  <si>
    <t xml:space="preserve">egy.mit.ener.cem.lpg.e.1</t>
  </si>
  <si>
    <t xml:space="preserve">egy.mit.ener.cem.ker.e.1</t>
  </si>
  <si>
    <t xml:space="preserve">egy.mit.ener.cem.oop.e.1</t>
  </si>
  <si>
    <t xml:space="preserve">egy.mit.ener.cem.bio.e.1</t>
  </si>
  <si>
    <t xml:space="preserve">egy.mit.ener.cem.ren.e.1</t>
  </si>
  <si>
    <t xml:space="preserve">egy.mit.ener.nfm.coa.e.1</t>
  </si>
  <si>
    <t xml:space="preserve">egy.mit.ener.nfm.nga.e.1</t>
  </si>
  <si>
    <t xml:space="preserve">egy.mit.ener.nfm.gso.e.1</t>
  </si>
  <si>
    <t xml:space="preserve">egy.mit.ener.nfm.die.e.1</t>
  </si>
  <si>
    <t xml:space="preserve">egy.mit.ener.nfm.lpg.e.1</t>
  </si>
  <si>
    <t xml:space="preserve">egy.mit.ener.nfm.ker.e.1</t>
  </si>
  <si>
    <t xml:space="preserve">egy.mit.ener.nfm.oop.e.1</t>
  </si>
  <si>
    <t xml:space="preserve">egy.mit.ener.nfm.bio.e.1</t>
  </si>
  <si>
    <t xml:space="preserve">egy.mit.ener.nfm.ren.e.1</t>
  </si>
  <si>
    <t xml:space="preserve">egy.mit.ener.mch.coa.e.1</t>
  </si>
  <si>
    <t xml:space="preserve">egy.mit.ener.mch.nga.e.1</t>
  </si>
  <si>
    <t xml:space="preserve">egy.mit.ener.mch.gso.e.1</t>
  </si>
  <si>
    <t xml:space="preserve">egy.mit.ener.mch.die.e.1</t>
  </si>
  <si>
    <t xml:space="preserve">egy.mit.ener.mch.lpg.e.1</t>
  </si>
  <si>
    <t xml:space="preserve">egy.mit.ener.mch.ker.e.1</t>
  </si>
  <si>
    <t xml:space="preserve">egy.mit.ener.mch.oop.e.1</t>
  </si>
  <si>
    <t xml:space="preserve">egy.mit.ener.mch.bio.e.1</t>
  </si>
  <si>
    <t xml:space="preserve">egy.mit.ener.mch.ren.e.1</t>
  </si>
  <si>
    <t xml:space="preserve">egy.mit.ener.irn.coa.e.2</t>
  </si>
  <si>
    <t xml:space="preserve">egy.mit.ener.irn.nga.e.2</t>
  </si>
  <si>
    <t xml:space="preserve">egy.mit.ener.irn.gso.e.2</t>
  </si>
  <si>
    <t xml:space="preserve">egy.mit.ener.irn.die.e.2</t>
  </si>
  <si>
    <t xml:space="preserve">egy.mit.ener.irn.lpg.e.2</t>
  </si>
  <si>
    <t xml:space="preserve">egy.mit.ener.irn.ker.e.2</t>
  </si>
  <si>
    <t xml:space="preserve">egy.mit.ener.irn.oop.e.2</t>
  </si>
  <si>
    <t xml:space="preserve">egy.mit.ener.irn.bio.e.2</t>
  </si>
  <si>
    <t xml:space="preserve">egy.mit.ener.irn.ren.e.2</t>
  </si>
  <si>
    <t xml:space="preserve">egy.mit.ener.cem.coa.e.2</t>
  </si>
  <si>
    <t xml:space="preserve">egy.mit.ener.cem.nga.e.2</t>
  </si>
  <si>
    <t xml:space="preserve">egy.mit.ener.cem.gso.e.2</t>
  </si>
  <si>
    <t xml:space="preserve">egy.mit.ener.cem.die.e.2</t>
  </si>
  <si>
    <t xml:space="preserve">egy.mit.ener.cem.lpg.e.2</t>
  </si>
  <si>
    <t xml:space="preserve">egy.mit.ener.cem.ker.e.2</t>
  </si>
  <si>
    <t xml:space="preserve">egy.mit.ener.cem.oop.e.2</t>
  </si>
  <si>
    <t xml:space="preserve">egy.mit.ener.cem.bio.e.2</t>
  </si>
  <si>
    <t xml:space="preserve">egy.mit.ener.cem.ren.e.2</t>
  </si>
  <si>
    <t xml:space="preserve">egy.mit.ener.nfm.coa.e.2</t>
  </si>
  <si>
    <t xml:space="preserve">egy.mit.ener.nfm.nga.e.2</t>
  </si>
  <si>
    <t xml:space="preserve">egy.mit.ener.nfm.gso.e.2</t>
  </si>
  <si>
    <t xml:space="preserve">egy.mit.ener.nfm.die.e.2</t>
  </si>
  <si>
    <t xml:space="preserve">egy.mit.ener.nfm.lpg.e.2</t>
  </si>
  <si>
    <t xml:space="preserve">egy.mit.ener.nfm.ker.e.2</t>
  </si>
  <si>
    <t xml:space="preserve">egy.mit.ener.nfm.oop.e.2</t>
  </si>
  <si>
    <t xml:space="preserve">egy.mit.ener.nfm.bio.e.2</t>
  </si>
  <si>
    <t xml:space="preserve">egy.mit.ener.nfm.ren.e.2</t>
  </si>
  <si>
    <t xml:space="preserve">egy.mit.ener.mch.coa.e.2</t>
  </si>
  <si>
    <t xml:space="preserve">egy.mit.ener.mch.nga.e.2</t>
  </si>
  <si>
    <t xml:space="preserve">egy.mit.ener.mch.gso.e.2</t>
  </si>
  <si>
    <t xml:space="preserve">egy.mit.ener.mch.die.e.2</t>
  </si>
  <si>
    <t xml:space="preserve">egy.mit.ener.mch.lpg.e.2</t>
  </si>
  <si>
    <t xml:space="preserve">egy.mit.ener.mch.ker.e.2</t>
  </si>
  <si>
    <t xml:space="preserve">egy.mit.ener.mch.oop.e.2</t>
  </si>
  <si>
    <t xml:space="preserve">egy.mit.ener.mch.bio.e.2</t>
  </si>
  <si>
    <t xml:space="preserve">egy.mit.ener.mch.ren.e.2</t>
  </si>
  <si>
    <t xml:space="preserve">egy.mit.atp.irn.coa.e.1</t>
  </si>
  <si>
    <t xml:space="preserve">egy.mit.atp.irn.nga.e.1</t>
  </si>
  <si>
    <t xml:space="preserve">egy.mit.atp.irn.gso.e.1</t>
  </si>
  <si>
    <t xml:space="preserve">egy.mit.atp.irn.die.e.1</t>
  </si>
  <si>
    <t xml:space="preserve">egy.mit.atp.irn.lpg.e.1</t>
  </si>
  <si>
    <t xml:space="preserve">egy.mit.atp.irn.ker.e.1</t>
  </si>
  <si>
    <t xml:space="preserve">egy.mit.atp.irn.oop.e.1</t>
  </si>
  <si>
    <t xml:space="preserve">egy.mit.atp.irn.bio.e.1</t>
  </si>
  <si>
    <t xml:space="preserve">egy.mit.atp.irn.ren.e.1</t>
  </si>
  <si>
    <t xml:space="preserve">egy.mit.atp.cem.coa.e.1</t>
  </si>
  <si>
    <t xml:space="preserve">egy.mit.atp.cem.nga.e.1</t>
  </si>
  <si>
    <t xml:space="preserve">egy.mit.atp.cem.gso.e.1</t>
  </si>
  <si>
    <t xml:space="preserve">egy.mit.atp.cem.die.e.1</t>
  </si>
  <si>
    <t xml:space="preserve">egy.mit.atp.cem.lpg.e.1</t>
  </si>
  <si>
    <t xml:space="preserve">egy.mit.atp.cem.ker.e.1</t>
  </si>
  <si>
    <t xml:space="preserve">egy.mit.atp.cem.oop.e.1</t>
  </si>
  <si>
    <t xml:space="preserve">egy.mit.atp.cem.bio.e.1</t>
  </si>
  <si>
    <t xml:space="preserve">egy.mit.atp.cem.ren.e.1</t>
  </si>
  <si>
    <t xml:space="preserve">egy.mit.atp.nfm.coa.e.1</t>
  </si>
  <si>
    <t xml:space="preserve">egy.mit.atp.nfm.nga.e.1</t>
  </si>
  <si>
    <t xml:space="preserve">egy.mit.atp.nfm.gso.e.1</t>
  </si>
  <si>
    <t xml:space="preserve">egy.mit.atp.nfm.die.e.1</t>
  </si>
  <si>
    <t xml:space="preserve">egy.mit.atp.nfm.lpg.e.1</t>
  </si>
  <si>
    <t xml:space="preserve">egy.mit.atp.nfm.ker.e.1</t>
  </si>
  <si>
    <t xml:space="preserve">egy.mit.atp.nfm.oop.e.1</t>
  </si>
  <si>
    <t xml:space="preserve">egy.mit.atp.nfm.bio.e.1</t>
  </si>
  <si>
    <t xml:space="preserve">egy.mit.atp.nfm.ren.e.1</t>
  </si>
  <si>
    <t xml:space="preserve">egy.mit.atp.mch.coa.e.1</t>
  </si>
  <si>
    <t xml:space="preserve">egy.mit.atp.mch.nga.e.1</t>
  </si>
  <si>
    <t xml:space="preserve">egy.mit.atp.mch.gso.e.1</t>
  </si>
  <si>
    <t xml:space="preserve">egy.mit.atp.mch.die.e.1</t>
  </si>
  <si>
    <t xml:space="preserve">egy.mit.atp.mch.lpg.e.1</t>
  </si>
  <si>
    <t xml:space="preserve">egy.mit.atp.mch.ker.e.1</t>
  </si>
  <si>
    <t xml:space="preserve">egy.mit.atp.mch.oop.e.1</t>
  </si>
  <si>
    <t xml:space="preserve">egy.mit.atp.mch.bio.e.1</t>
  </si>
  <si>
    <t xml:space="preserve">egy.mit.atp.mch.ren.e.1</t>
  </si>
  <si>
    <t xml:space="preserve">egy.mit.atp.irn.coa.e.2</t>
  </si>
  <si>
    <t xml:space="preserve">egy.mit.atp.irn.nga.e.2</t>
  </si>
  <si>
    <t xml:space="preserve">egy.mit.atp.irn.gso.e.2</t>
  </si>
  <si>
    <t xml:space="preserve">egy.mit.atp.irn.die.e.2</t>
  </si>
  <si>
    <t xml:space="preserve">egy.mit.atp.irn.lpg.e.2</t>
  </si>
  <si>
    <t xml:space="preserve">egy.mit.atp.irn.ker.e.2</t>
  </si>
  <si>
    <t xml:space="preserve">egy.mit.atp.irn.oop.e.2</t>
  </si>
  <si>
    <t xml:space="preserve">egy.mit.atp.irn.bio.e.2</t>
  </si>
  <si>
    <t xml:space="preserve">egy.mit.atp.irn.ren.e.2</t>
  </si>
  <si>
    <t xml:space="preserve">egy.mit.atp.cem.coa.e.2</t>
  </si>
  <si>
    <t xml:space="preserve">egy.mit.atp.cem.nga.e.2</t>
  </si>
  <si>
    <t xml:space="preserve">egy.mit.atp.cem.gso.e.2</t>
  </si>
  <si>
    <t xml:space="preserve">egy.mit.atp.cem.die.e.2</t>
  </si>
  <si>
    <t xml:space="preserve">egy.mit.atp.cem.lpg.e.2</t>
  </si>
  <si>
    <t xml:space="preserve">egy.mit.atp.cem.ker.e.2</t>
  </si>
  <si>
    <t xml:space="preserve">egy.mit.atp.cem.oop.e.2</t>
  </si>
  <si>
    <t xml:space="preserve">egy.mit.atp.cem.bio.e.2</t>
  </si>
  <si>
    <t xml:space="preserve">egy.mit.atp.cem.ren.e.2</t>
  </si>
  <si>
    <t xml:space="preserve">egy.mit.atp.nfm.coa.e.2</t>
  </si>
  <si>
    <t xml:space="preserve">egy.mit.atp.nfm.nga.e.2</t>
  </si>
  <si>
    <t xml:space="preserve">egy.mit.atp.nfm.gso.e.2</t>
  </si>
  <si>
    <t xml:space="preserve">egy.mit.atp.nfm.die.e.2</t>
  </si>
  <si>
    <t xml:space="preserve">egy.mit.atp.nfm.lpg.e.2</t>
  </si>
  <si>
    <t xml:space="preserve">egy.mit.atp.nfm.ker.e.2</t>
  </si>
  <si>
    <t xml:space="preserve">egy.mit.atp.nfm.oop.e.2</t>
  </si>
  <si>
    <t xml:space="preserve">egy.mit.atp.nfm.bio.e.2</t>
  </si>
  <si>
    <t xml:space="preserve">egy.mit.atp.nfm.ren.e.2</t>
  </si>
  <si>
    <t xml:space="preserve">egy.mit.atp.mch.coa.e.2</t>
  </si>
  <si>
    <t xml:space="preserve">egy.mit.atp.mch.nga.e.2</t>
  </si>
  <si>
    <t xml:space="preserve">egy.mit.atp.mch.gso.e.2</t>
  </si>
  <si>
    <t xml:space="preserve">egy.mit.atp.mch.die.e.2</t>
  </si>
  <si>
    <t xml:space="preserve">egy.mit.atp.mch.lpg.e.2</t>
  </si>
  <si>
    <t xml:space="preserve">egy.mit.atp.mch.ker.e.2</t>
  </si>
  <si>
    <t xml:space="preserve">egy.mit.atp.mch.oop.e.2</t>
  </si>
  <si>
    <t xml:space="preserve">egy.mit.atp.mch.bio.e.2</t>
  </si>
  <si>
    <t xml:space="preserve">egy.mit.atp.mch.ren.e.2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</si>
</sst>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0.0000"/>
    <numFmt numFmtId="167" formatCode="0.00%"/>
    <numFmt numFmtId="168" formatCode="0.000"/>
    <numFmt numFmtId="169" formatCode="_(* #,##0_);_(* \(#,##0\);_(* \-??_);_(@_)"/>
    <numFmt numFmtId="170" formatCode="General"/>
    <numFmt numFmtId="171" formatCode="0.0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7562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name val="Consolas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D9D9D9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37562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D0CECE"/>
        <bgColor rgb="FFD9D9D9"/>
      </patternFill>
    </fill>
    <fill>
      <patternFill patternType="solid">
        <fgColor rgb="FFDAE3F3"/>
        <bgColor rgb="FFD9D9D9"/>
      </patternFill>
    </fill>
    <fill>
      <patternFill patternType="solid">
        <fgColor rgb="FFC6EFCE"/>
        <bgColor rgb="FFDAE3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4" t="s">
        <v>3</v>
      </c>
    </row>
    <row r="4" customFormat="false" ht="15" hidden="false" customHeight="false" outlineLevel="0" collapsed="false">
      <c r="A4" s="2" t="s">
        <v>4</v>
      </c>
      <c r="B4" s="3" t="s">
        <v>5</v>
      </c>
      <c r="C4" s="4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  <c r="C5" s="4" t="s">
        <v>9</v>
      </c>
    </row>
    <row r="6" customFormat="false" ht="15" hidden="false" customHeight="false" outlineLevel="0" collapsed="false">
      <c r="A6" s="2" t="s">
        <v>10</v>
      </c>
      <c r="B6" s="3" t="n">
        <v>2022</v>
      </c>
      <c r="C6" s="4" t="s">
        <v>11</v>
      </c>
    </row>
    <row r="7" customFormat="false" ht="15" hidden="false" customHeight="false" outlineLevel="0" collapsed="false">
      <c r="A7" s="2" t="s">
        <v>12</v>
      </c>
      <c r="B7" s="3" t="n">
        <f aca="false">INDEX(MTInputs!$F$8:$F$415,MATCH("AdditionalEfficiencyIndustrial",MTInputs!$H$8:$H$415,0))</f>
        <v>0</v>
      </c>
      <c r="C7" s="4" t="s">
        <v>13</v>
      </c>
    </row>
    <row r="8" customFormat="false" ht="15" hidden="false" customHeight="false" outlineLevel="0" collapsed="false">
      <c r="A8" s="2" t="s">
        <v>14</v>
      </c>
      <c r="B8" s="3" t="n">
        <f aca="false">INDEX(MTInputs!$F$8:$F$415,MATCH("CPIntro",MTInputs!$H$8:$H$415,0))</f>
        <v>2026</v>
      </c>
      <c r="C8" s="4" t="s">
        <v>15</v>
      </c>
    </row>
    <row r="9" customFormat="false" ht="15" hidden="false" customHeight="false" outlineLevel="0" collapsed="false">
      <c r="A9" s="2" t="s">
        <v>16</v>
      </c>
      <c r="B9" s="3" t="n">
        <f aca="false">INDEX(MTInputs!$F$8:$F$415,MATCH("CPLevelTarget",MTInputs!$H$8:$H$415,0))</f>
        <v>50</v>
      </c>
      <c r="C9" s="4" t="s">
        <v>17</v>
      </c>
    </row>
    <row r="12" customFormat="false" ht="15" hidden="false" customHeight="false" outlineLevel="0" collapsed="false">
      <c r="A12" s="2" t="s">
        <v>18</v>
      </c>
    </row>
    <row r="13" customFormat="false" ht="15" hidden="false" customHeight="false" outlineLevel="0" collapsed="false">
      <c r="A13" s="5" t="s">
        <v>19</v>
      </c>
    </row>
    <row r="14" customFormat="false" ht="15" hidden="false" customHeight="false" outlineLevel="0" collapsed="false">
      <c r="A14" s="4" t="s">
        <v>20</v>
      </c>
    </row>
    <row r="16" customFormat="false" ht="15" hidden="false" customHeight="false" outlineLevel="0" collapsed="false">
      <c r="A16" s="2" t="s">
        <v>21</v>
      </c>
    </row>
    <row r="17" customFormat="false" ht="15" hidden="false" customHeight="false" outlineLevel="0" collapsed="false">
      <c r="A17" s="6" t="s">
        <v>22</v>
      </c>
      <c r="C17" s="4" t="s">
        <v>23</v>
      </c>
    </row>
    <row r="18" customFormat="false" ht="15" hidden="false" customHeight="false" outlineLevel="0" collapsed="false">
      <c r="A18" s="6" t="s">
        <v>24</v>
      </c>
      <c r="C18" s="4" t="s">
        <v>25</v>
      </c>
    </row>
    <row r="19" customFormat="false" ht="15" hidden="false" customHeight="false" outlineLevel="0" collapsed="false">
      <c r="A19" s="6" t="s">
        <v>26</v>
      </c>
      <c r="C19" s="4" t="s">
        <v>27</v>
      </c>
    </row>
    <row r="20" customFormat="false" ht="15" hidden="false" customHeight="false" outlineLevel="0" collapsed="false">
      <c r="A20" s="6" t="s">
        <v>28</v>
      </c>
      <c r="C20" s="4" t="s">
        <v>29</v>
      </c>
    </row>
    <row r="21" customFormat="false" ht="15" hidden="false" customHeight="false" outlineLevel="0" collapsed="false">
      <c r="A21" s="6" t="s">
        <v>30</v>
      </c>
      <c r="C21" s="4" t="s">
        <v>31</v>
      </c>
    </row>
    <row r="22" customFormat="false" ht="15" hidden="false" customHeight="false" outlineLevel="0" collapsed="false">
      <c r="A22" s="6" t="s">
        <v>32</v>
      </c>
      <c r="C22" s="4" t="s">
        <v>33</v>
      </c>
    </row>
    <row r="23" customFormat="false" ht="15" hidden="false" customHeight="false" outlineLevel="0" collapsed="false">
      <c r="A23" s="6" t="s">
        <v>34</v>
      </c>
      <c r="C23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.5"/>
    <col collapsed="false" customWidth="true" hidden="false" outlineLevel="0" max="3" min="3" style="0" width="28"/>
    <col collapsed="false" customWidth="true" hidden="false" outlineLevel="0" max="4" min="4" style="0" width="33.75"/>
    <col collapsed="false" customWidth="true" hidden="false" outlineLevel="0" max="5" min="5" style="0" width="14.75"/>
    <col collapsed="false" customWidth="true" hidden="false" outlineLevel="0" max="6" min="6" style="0" width="17.75"/>
    <col collapsed="false" customWidth="true" hidden="false" outlineLevel="0" max="7" min="7" style="0" width="30.25"/>
    <col collapsed="false" customWidth="true" hidden="false" outlineLevel="0" max="8" min="8" style="0" width="28.87"/>
    <col collapsed="false" customWidth="true" hidden="false" outlineLevel="0" max="9" min="9" style="0" width="31.25"/>
    <col collapsed="false" customWidth="true" hidden="false" outlineLevel="0" max="10" min="10" style="0" width="30.25"/>
    <col collapsed="false" customWidth="true" hidden="false" outlineLevel="0" max="11" min="11" style="0" width="10.51"/>
    <col collapsed="false" customWidth="true" hidden="false" outlineLevel="0" max="35" min="12" style="0" width="12"/>
  </cols>
  <sheetData>
    <row r="1" customFormat="false" ht="15" hidden="false" customHeight="false" outlineLevel="0" collapsed="false">
      <c r="A1" s="7"/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8" t="n">
        <v>2021</v>
      </c>
      <c r="L1" s="8" t="n">
        <v>2022</v>
      </c>
      <c r="M1" s="8" t="n">
        <v>2023</v>
      </c>
      <c r="N1" s="8" t="n">
        <v>2024</v>
      </c>
      <c r="O1" s="8" t="n">
        <v>2025</v>
      </c>
      <c r="P1" s="8" t="n">
        <v>2026</v>
      </c>
      <c r="Q1" s="8" t="n">
        <v>2027</v>
      </c>
      <c r="R1" s="8" t="n">
        <v>2028</v>
      </c>
      <c r="S1" s="8" t="n">
        <v>2029</v>
      </c>
      <c r="T1" s="8" t="n">
        <v>2030</v>
      </c>
      <c r="U1" s="8" t="n">
        <v>2031</v>
      </c>
      <c r="V1" s="8" t="n">
        <v>2032</v>
      </c>
      <c r="W1" s="8" t="n">
        <v>2033</v>
      </c>
      <c r="X1" s="8" t="n">
        <v>2034</v>
      </c>
      <c r="Y1" s="8" t="n">
        <v>2035</v>
      </c>
      <c r="Z1" s="8" t="n">
        <v>2036</v>
      </c>
      <c r="AA1" s="8" t="n">
        <v>2037</v>
      </c>
      <c r="AB1" s="8" t="n">
        <v>2038</v>
      </c>
      <c r="AC1" s="8" t="n">
        <v>2039</v>
      </c>
      <c r="AD1" s="8" t="n">
        <v>2040</v>
      </c>
      <c r="AE1" s="8" t="n">
        <v>2041</v>
      </c>
      <c r="AF1" s="8" t="n">
        <v>2042</v>
      </c>
      <c r="AG1" s="8" t="n">
        <v>2043</v>
      </c>
      <c r="AH1" s="8" t="n">
        <v>2044</v>
      </c>
      <c r="AI1" s="8" t="n">
        <v>2045</v>
      </c>
    </row>
    <row r="3" customFormat="false" ht="18" hidden="false" customHeight="true" outlineLevel="0" collapsed="false">
      <c r="A3" s="9" t="n">
        <v>7</v>
      </c>
      <c r="B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5" customFormat="false" ht="15" hidden="false" customHeight="false" outlineLevel="0" collapsed="false">
      <c r="A5" s="12"/>
      <c r="B5" s="7" t="s">
        <v>46</v>
      </c>
      <c r="C5" s="8" t="s">
        <v>47</v>
      </c>
      <c r="D5" s="7" t="s">
        <v>48</v>
      </c>
      <c r="E5" s="8" t="s">
        <v>39</v>
      </c>
      <c r="F5" s="8" t="s">
        <v>49</v>
      </c>
      <c r="G5" s="8" t="s">
        <v>50</v>
      </c>
      <c r="H5" s="13" t="s">
        <v>42</v>
      </c>
      <c r="I5" s="7" t="s">
        <v>51</v>
      </c>
      <c r="J5" s="14" t="n">
        <v>1</v>
      </c>
      <c r="K5" s="7" t="n">
        <v>2021</v>
      </c>
      <c r="L5" s="15" t="n">
        <v>2022</v>
      </c>
      <c r="M5" s="7" t="n">
        <v>2023</v>
      </c>
      <c r="N5" s="7" t="n">
        <v>2024</v>
      </c>
      <c r="O5" s="7" t="n">
        <v>2025</v>
      </c>
      <c r="P5" s="7" t="n">
        <v>2026</v>
      </c>
      <c r="Q5" s="7" t="n">
        <v>2027</v>
      </c>
      <c r="R5" s="7" t="n">
        <v>2028</v>
      </c>
      <c r="S5" s="7" t="n">
        <v>2029</v>
      </c>
      <c r="T5" s="7" t="n">
        <v>2030</v>
      </c>
      <c r="U5" s="7" t="n">
        <v>2031</v>
      </c>
      <c r="V5" s="7" t="n">
        <v>2032</v>
      </c>
      <c r="W5" s="7" t="n">
        <v>2033</v>
      </c>
      <c r="X5" s="7" t="n">
        <v>2034</v>
      </c>
      <c r="Y5" s="7" t="n">
        <v>2035</v>
      </c>
      <c r="Z5" s="7" t="n">
        <v>2036</v>
      </c>
      <c r="AA5" s="7" t="n">
        <v>2037</v>
      </c>
      <c r="AB5" s="7" t="n">
        <v>2038</v>
      </c>
      <c r="AC5" s="7" t="n">
        <v>2039</v>
      </c>
      <c r="AD5" s="7" t="n">
        <v>2040</v>
      </c>
      <c r="AE5" s="7" t="n">
        <v>2041</v>
      </c>
      <c r="AF5" s="7" t="n">
        <v>2042</v>
      </c>
      <c r="AG5" s="7" t="n">
        <v>2043</v>
      </c>
      <c r="AH5" s="7" t="n">
        <v>2044</v>
      </c>
      <c r="AI5" s="7" t="n">
        <v>2045</v>
      </c>
    </row>
    <row r="6" customFormat="false" ht="15" hidden="false" customHeight="false" outlineLevel="0" collapsed="false">
      <c r="B6" s="16" t="s">
        <v>52</v>
      </c>
    </row>
    <row r="7" customFormat="false" ht="15" hidden="false" customHeight="false" outlineLevel="0" collapsed="false">
      <c r="B7" s="17" t="s">
        <v>53</v>
      </c>
      <c r="C7" s="17" t="str">
        <f aca="false">$C$5</f>
        <v>irn</v>
      </c>
      <c r="D7" s="18" t="s">
        <v>54</v>
      </c>
      <c r="E7" s="19" t="s">
        <v>55</v>
      </c>
      <c r="F7" s="17" t="s">
        <v>56</v>
      </c>
      <c r="G7" s="20" t="str">
        <f aca="false">Settings!$B$3&amp;".mit.pbc."&amp;Settings!$B$4&amp;"."&amp;$B7&amp;".a."&amp;$J$5</f>
        <v>egy.mit.pbc.ind.coa.a.1</v>
      </c>
      <c r="H7" s="21" t="str">
        <f aca="false">Settings!$B$3&amp;".mit.ptp."&amp;$C$5&amp;"."&amp;$B7&amp;".e."&amp;$J$5</f>
        <v>egy.mit.ptp.irn.coa.e.1</v>
      </c>
      <c r="K7" s="22" t="n">
        <f aca="false">INDEX(Data_Prices!K:K,MATCH($G7,Data_Prices!$A:$A,0))</f>
        <v>11.1829015892439</v>
      </c>
      <c r="L7" s="22" t="n">
        <f aca="false">INDEX(Data_Prices!L:L,MATCH($G7,Data_Prices!$A:$A,0))</f>
        <v>10.5233613454312</v>
      </c>
      <c r="M7" s="22" t="n">
        <f aca="false">INDEX(Data_Prices!M:M,MATCH($G7,Data_Prices!$A:$A,0))</f>
        <v>10.2995608274442</v>
      </c>
      <c r="N7" s="22" t="n">
        <f aca="false">INDEX(Data_Prices!N:N,MATCH($G7,Data_Prices!$A:$A,0))</f>
        <v>9.57752835953826</v>
      </c>
      <c r="O7" s="22" t="n">
        <f aca="false">INDEX(Data_Prices!O:O,MATCH($G7,Data_Prices!$A:$A,0))</f>
        <v>8.48547828695805</v>
      </c>
      <c r="P7" s="22" t="n">
        <f aca="false">INDEX(Data_Prices!P:P,MATCH($G7,Data_Prices!$A:$A,0))</f>
        <v>9.08719223524986</v>
      </c>
      <c r="Q7" s="22" t="n">
        <f aca="false">INDEX(Data_Prices!Q:Q,MATCH($G7,Data_Prices!$A:$A,0))</f>
        <v>9.22292372893268</v>
      </c>
      <c r="R7" s="22" t="n">
        <f aca="false">INDEX(Data_Prices!R:R,MATCH($G7,Data_Prices!$A:$A,0))</f>
        <v>9.15856495550969</v>
      </c>
      <c r="S7" s="22" t="n">
        <f aca="false">INDEX(Data_Prices!S:S,MATCH($G7,Data_Prices!$A:$A,0))</f>
        <v>9.08954787739738</v>
      </c>
      <c r="T7" s="22" t="n">
        <f aca="false">INDEX(Data_Prices!T:T,MATCH($G7,Data_Prices!$A:$A,0))</f>
        <v>9.01568166602283</v>
      </c>
      <c r="U7" s="22" t="n">
        <f aca="false">INDEX(Data_Prices!U:U,MATCH($G7,Data_Prices!$A:$A,0))</f>
        <v>8.94439776555711</v>
      </c>
      <c r="V7" s="22" t="n">
        <f aca="false">INDEX(Data_Prices!V:V,MATCH($G7,Data_Prices!$A:$A,0))</f>
        <v>8.94439776555711</v>
      </c>
      <c r="W7" s="22" t="n">
        <f aca="false">INDEX(Data_Prices!W:W,MATCH($G7,Data_Prices!$A:$A,0))</f>
        <v>8.94439776555711</v>
      </c>
      <c r="X7" s="22" t="n">
        <f aca="false">INDEX(Data_Prices!X:X,MATCH($G7,Data_Prices!$A:$A,0))</f>
        <v>8.94439776555711</v>
      </c>
      <c r="Y7" s="22" t="n">
        <f aca="false">INDEX(Data_Prices!Y:Y,MATCH($G7,Data_Prices!$A:$A,0))</f>
        <v>8.94439776555711</v>
      </c>
      <c r="Z7" s="22" t="n">
        <f aca="false">INDEX(Data_Prices!Z:Z,MATCH($G7,Data_Prices!$A:$A,0))</f>
        <v>8.94439776555711</v>
      </c>
      <c r="AA7" s="22" t="n">
        <f aca="false">INDEX(Data_Prices!AA:AA,MATCH($G7,Data_Prices!$A:$A,0))</f>
        <v>8.94439776555711</v>
      </c>
      <c r="AB7" s="22" t="n">
        <f aca="false">INDEX(Data_Prices!AB:AB,MATCH($G7,Data_Prices!$A:$A,0))</f>
        <v>8.94439776555711</v>
      </c>
      <c r="AC7" s="22" t="n">
        <f aca="false">INDEX(Data_Prices!AC:AC,MATCH($G7,Data_Prices!$A:$A,0))</f>
        <v>8.94439776555711</v>
      </c>
      <c r="AD7" s="22" t="n">
        <f aca="false">INDEX(Data_Prices!AD:AD,MATCH($G7,Data_Prices!$A:$A,0))</f>
        <v>8.94439776555711</v>
      </c>
      <c r="AE7" s="22" t="n">
        <f aca="false">INDEX(Data_Prices!AE:AE,MATCH($G7,Data_Prices!$A:$A,0))</f>
        <v>8.94439776555711</v>
      </c>
    </row>
    <row r="8" customFormat="false" ht="15" hidden="false" customHeight="false" outlineLevel="0" collapsed="false">
      <c r="B8" s="17" t="s">
        <v>57</v>
      </c>
      <c r="C8" s="17" t="str">
        <f aca="false">$C$5</f>
        <v>irn</v>
      </c>
      <c r="D8" s="18" t="s">
        <v>58</v>
      </c>
      <c r="E8" s="19" t="s">
        <v>55</v>
      </c>
      <c r="F8" s="17" t="s">
        <v>56</v>
      </c>
      <c r="G8" s="20" t="str">
        <f aca="false">Settings!$B$3&amp;".mit.pbc."&amp;Settings!$B$4&amp;"."&amp;$B8&amp;".a."&amp;$J$5</f>
        <v>egy.mit.pbc.ind.nga.a.1</v>
      </c>
      <c r="H8" s="21" t="str">
        <f aca="false">Settings!$B$3&amp;".mit.ptp."&amp;$C$5&amp;"."&amp;$B8&amp;".e."&amp;$J$5</f>
        <v>egy.mit.ptp.irn.nga.e.1</v>
      </c>
      <c r="K8" s="22" t="n">
        <f aca="false">INDEX(Data_Prices!K:K,MATCH($G8,Data_Prices!$A:$A,0))</f>
        <v>6.06346361567291</v>
      </c>
      <c r="L8" s="22" t="n">
        <f aca="false">INDEX(Data_Prices!L:L,MATCH($G8,Data_Prices!$A:$A,0))</f>
        <v>5.45101508161919</v>
      </c>
      <c r="M8" s="22" t="n">
        <f aca="false">INDEX(Data_Prices!M:M,MATCH($G8,Data_Prices!$A:$A,0))</f>
        <v>5.11935630626248</v>
      </c>
      <c r="N8" s="22" t="n">
        <f aca="false">INDEX(Data_Prices!N:N,MATCH($G8,Data_Prices!$A:$A,0))</f>
        <v>5.08218458640407</v>
      </c>
      <c r="O8" s="22" t="n">
        <f aca="false">INDEX(Data_Prices!O:O,MATCH($G8,Data_Prices!$A:$A,0))</f>
        <v>5.08218458640407</v>
      </c>
      <c r="P8" s="22" t="n">
        <f aca="false">INDEX(Data_Prices!P:P,MATCH($G8,Data_Prices!$A:$A,0))</f>
        <v>5.08218458640407</v>
      </c>
      <c r="Q8" s="22" t="n">
        <f aca="false">INDEX(Data_Prices!Q:Q,MATCH($G8,Data_Prices!$A:$A,0))</f>
        <v>5.08218458640407</v>
      </c>
      <c r="R8" s="22" t="n">
        <f aca="false">INDEX(Data_Prices!R:R,MATCH($G8,Data_Prices!$A:$A,0))</f>
        <v>5.08218458640407</v>
      </c>
      <c r="S8" s="22" t="n">
        <f aca="false">INDEX(Data_Prices!S:S,MATCH($G8,Data_Prices!$A:$A,0))</f>
        <v>5.08218458640407</v>
      </c>
      <c r="T8" s="22" t="n">
        <f aca="false">INDEX(Data_Prices!T:T,MATCH($G8,Data_Prices!$A:$A,0))</f>
        <v>5.08218458640407</v>
      </c>
      <c r="U8" s="22" t="n">
        <f aca="false">INDEX(Data_Prices!U:U,MATCH($G8,Data_Prices!$A:$A,0))</f>
        <v>5.08218458640407</v>
      </c>
      <c r="V8" s="22" t="n">
        <f aca="false">INDEX(Data_Prices!V:V,MATCH($G8,Data_Prices!$A:$A,0))</f>
        <v>5.08218458640407</v>
      </c>
      <c r="W8" s="22" t="n">
        <f aca="false">INDEX(Data_Prices!W:W,MATCH($G8,Data_Prices!$A:$A,0))</f>
        <v>5.08218458640407</v>
      </c>
      <c r="X8" s="22" t="n">
        <f aca="false">INDEX(Data_Prices!X:X,MATCH($G8,Data_Prices!$A:$A,0))</f>
        <v>5.08218458640407</v>
      </c>
      <c r="Y8" s="22" t="n">
        <f aca="false">INDEX(Data_Prices!Y:Y,MATCH($G8,Data_Prices!$A:$A,0))</f>
        <v>5.08218458640407</v>
      </c>
      <c r="Z8" s="22" t="n">
        <f aca="false">INDEX(Data_Prices!Z:Z,MATCH($G8,Data_Prices!$A:$A,0))</f>
        <v>5.08218458640407</v>
      </c>
      <c r="AA8" s="22" t="n">
        <f aca="false">INDEX(Data_Prices!AA:AA,MATCH($G8,Data_Prices!$A:$A,0))</f>
        <v>5.08218458640407</v>
      </c>
      <c r="AB8" s="22" t="n">
        <f aca="false">INDEX(Data_Prices!AB:AB,MATCH($G8,Data_Prices!$A:$A,0))</f>
        <v>5.08218458640407</v>
      </c>
      <c r="AC8" s="22" t="n">
        <f aca="false">INDEX(Data_Prices!AC:AC,MATCH($G8,Data_Prices!$A:$A,0))</f>
        <v>5.08218458640407</v>
      </c>
      <c r="AD8" s="22" t="n">
        <f aca="false">INDEX(Data_Prices!AD:AD,MATCH($G8,Data_Prices!$A:$A,0))</f>
        <v>5.08218458640407</v>
      </c>
      <c r="AE8" s="22" t="n">
        <f aca="false">INDEX(Data_Prices!AE:AE,MATCH($G8,Data_Prices!$A:$A,0))</f>
        <v>5.08218458640407</v>
      </c>
    </row>
    <row r="9" customFormat="false" ht="15" hidden="false" customHeight="false" outlineLevel="0" collapsed="false">
      <c r="B9" s="17" t="s">
        <v>59</v>
      </c>
      <c r="C9" s="17" t="str">
        <f aca="false">$C$5</f>
        <v>irn</v>
      </c>
      <c r="D9" s="18" t="s">
        <v>60</v>
      </c>
      <c r="E9" s="19" t="s">
        <v>61</v>
      </c>
      <c r="F9" s="17" t="s">
        <v>56</v>
      </c>
      <c r="G9" s="20" t="str">
        <f aca="false">Settings!$B$3&amp;".mit.pbc."&amp;Settings!$B$4&amp;"."&amp;$B9&amp;".a."&amp;$J$5</f>
        <v>egy.mit.pbc.ind.gso.a.1</v>
      </c>
      <c r="H9" s="21" t="str">
        <f aca="false">Settings!$B$3&amp;".mit.ptp."&amp;$C$5&amp;"."&amp;$B9&amp;".e."&amp;$J$5</f>
        <v>egy.mit.ptp.irn.gso.e.1</v>
      </c>
      <c r="K9" s="22" t="n">
        <f aca="false">INDEX(Data_Prices!K:K,MATCH($G9,Data_Prices!$A:$A,0))</f>
        <v>0.671146533321816</v>
      </c>
      <c r="L9" s="22" t="n">
        <f aca="false">INDEX(Data_Prices!L:L,MATCH($G9,Data_Prices!$A:$A,0))</f>
        <v>0.611977976791406</v>
      </c>
      <c r="M9" s="22" t="n">
        <f aca="false">INDEX(Data_Prices!M:M,MATCH($G9,Data_Prices!$A:$A,0))</f>
        <v>0.611809749641876</v>
      </c>
      <c r="N9" s="22" t="n">
        <f aca="false">INDEX(Data_Prices!N:N,MATCH($G9,Data_Prices!$A:$A,0))</f>
        <v>0.603583100177906</v>
      </c>
      <c r="O9" s="22" t="n">
        <f aca="false">INDEX(Data_Prices!O:O,MATCH($G9,Data_Prices!$A:$A,0))</f>
        <v>0.603583100177906</v>
      </c>
      <c r="P9" s="22" t="n">
        <f aca="false">INDEX(Data_Prices!P:P,MATCH($G9,Data_Prices!$A:$A,0))</f>
        <v>0.603583100177906</v>
      </c>
      <c r="Q9" s="22" t="n">
        <f aca="false">INDEX(Data_Prices!Q:Q,MATCH($G9,Data_Prices!$A:$A,0))</f>
        <v>0.603583100177906</v>
      </c>
      <c r="R9" s="22" t="n">
        <f aca="false">INDEX(Data_Prices!R:R,MATCH($G9,Data_Prices!$A:$A,0))</f>
        <v>0.603583100177906</v>
      </c>
      <c r="S9" s="22" t="n">
        <f aca="false">INDEX(Data_Prices!S:S,MATCH($G9,Data_Prices!$A:$A,0))</f>
        <v>0.603583100177906</v>
      </c>
      <c r="T9" s="22" t="n">
        <f aca="false">INDEX(Data_Prices!T:T,MATCH($G9,Data_Prices!$A:$A,0))</f>
        <v>0.603583100177906</v>
      </c>
      <c r="U9" s="22" t="n">
        <f aca="false">INDEX(Data_Prices!U:U,MATCH($G9,Data_Prices!$A:$A,0))</f>
        <v>0.603583100177906</v>
      </c>
      <c r="V9" s="22" t="n">
        <f aca="false">INDEX(Data_Prices!V:V,MATCH($G9,Data_Prices!$A:$A,0))</f>
        <v>0.603583100177906</v>
      </c>
      <c r="W9" s="22" t="n">
        <f aca="false">INDEX(Data_Prices!W:W,MATCH($G9,Data_Prices!$A:$A,0))</f>
        <v>0.603583100177906</v>
      </c>
      <c r="X9" s="22" t="n">
        <f aca="false">INDEX(Data_Prices!X:X,MATCH($G9,Data_Prices!$A:$A,0))</f>
        <v>0.603583100177906</v>
      </c>
      <c r="Y9" s="22" t="n">
        <f aca="false">INDEX(Data_Prices!Y:Y,MATCH($G9,Data_Prices!$A:$A,0))</f>
        <v>0.603583100177906</v>
      </c>
      <c r="Z9" s="22" t="n">
        <f aca="false">INDEX(Data_Prices!Z:Z,MATCH($G9,Data_Prices!$A:$A,0))</f>
        <v>0.603583100177906</v>
      </c>
      <c r="AA9" s="22" t="n">
        <f aca="false">INDEX(Data_Prices!AA:AA,MATCH($G9,Data_Prices!$A:$A,0))</f>
        <v>0.603583100177906</v>
      </c>
      <c r="AB9" s="22" t="n">
        <f aca="false">INDEX(Data_Prices!AB:AB,MATCH($G9,Data_Prices!$A:$A,0))</f>
        <v>0.603583100177906</v>
      </c>
      <c r="AC9" s="22" t="n">
        <f aca="false">INDEX(Data_Prices!AC:AC,MATCH($G9,Data_Prices!$A:$A,0))</f>
        <v>0.603583100177906</v>
      </c>
      <c r="AD9" s="22" t="n">
        <f aca="false">INDEX(Data_Prices!AD:AD,MATCH($G9,Data_Prices!$A:$A,0))</f>
        <v>0.603583100177906</v>
      </c>
      <c r="AE9" s="22" t="n">
        <f aca="false">INDEX(Data_Prices!AE:AE,MATCH($G9,Data_Prices!$A:$A,0))</f>
        <v>0.603583100177906</v>
      </c>
    </row>
    <row r="10" customFormat="false" ht="15" hidden="false" customHeight="false" outlineLevel="0" collapsed="false">
      <c r="B10" s="17" t="s">
        <v>62</v>
      </c>
      <c r="C10" s="17" t="str">
        <f aca="false">$C$5</f>
        <v>irn</v>
      </c>
      <c r="D10" s="18" t="s">
        <v>63</v>
      </c>
      <c r="E10" s="19" t="s">
        <v>61</v>
      </c>
      <c r="F10" s="17" t="s">
        <v>56</v>
      </c>
      <c r="G10" s="20" t="str">
        <f aca="false">Settings!$B$3&amp;".mit.pbc."&amp;Settings!$B$4&amp;"."&amp;$B10&amp;".a."&amp;$J$5</f>
        <v>egy.mit.pbc.ind.die.a.1</v>
      </c>
      <c r="H10" s="21" t="str">
        <f aca="false">Settings!$B$3&amp;".mit.ptp."&amp;$C$5&amp;"."&amp;$B10&amp;".e."&amp;$J$5</f>
        <v>egy.mit.ptp.irn.die.e.1</v>
      </c>
      <c r="K10" s="22" t="n">
        <f aca="false">INDEX(Data_Prices!K:K,MATCH($G10,Data_Prices!$A:$A,0))</f>
        <v>0.559711213155688</v>
      </c>
      <c r="L10" s="22" t="n">
        <f aca="false">INDEX(Data_Prices!L:L,MATCH($G10,Data_Prices!$A:$A,0))</f>
        <v>0.494588730841068</v>
      </c>
      <c r="M10" s="22" t="n">
        <f aca="false">INDEX(Data_Prices!M:M,MATCH($G10,Data_Prices!$A:$A,0))</f>
        <v>0.507786547202501</v>
      </c>
      <c r="N10" s="22" t="n">
        <f aca="false">INDEX(Data_Prices!N:N,MATCH($G10,Data_Prices!$A:$A,0))</f>
        <v>0.470436426795617</v>
      </c>
      <c r="O10" s="22" t="n">
        <f aca="false">INDEX(Data_Prices!O:O,MATCH($G10,Data_Prices!$A:$A,0))</f>
        <v>0.470436426795617</v>
      </c>
      <c r="P10" s="22" t="n">
        <f aca="false">INDEX(Data_Prices!P:P,MATCH($G10,Data_Prices!$A:$A,0))</f>
        <v>0.470436426795617</v>
      </c>
      <c r="Q10" s="22" t="n">
        <f aca="false">INDEX(Data_Prices!Q:Q,MATCH($G10,Data_Prices!$A:$A,0))</f>
        <v>0.470436426795617</v>
      </c>
      <c r="R10" s="22" t="n">
        <f aca="false">INDEX(Data_Prices!R:R,MATCH($G10,Data_Prices!$A:$A,0))</f>
        <v>0.470436426795617</v>
      </c>
      <c r="S10" s="22" t="n">
        <f aca="false">INDEX(Data_Prices!S:S,MATCH($G10,Data_Prices!$A:$A,0))</f>
        <v>0.470436426795617</v>
      </c>
      <c r="T10" s="22" t="n">
        <f aca="false">INDEX(Data_Prices!T:T,MATCH($G10,Data_Prices!$A:$A,0))</f>
        <v>0.470436426795617</v>
      </c>
      <c r="U10" s="22" t="n">
        <f aca="false">INDEX(Data_Prices!U:U,MATCH($G10,Data_Prices!$A:$A,0))</f>
        <v>0.470436426795617</v>
      </c>
      <c r="V10" s="22" t="n">
        <f aca="false">INDEX(Data_Prices!V:V,MATCH($G10,Data_Prices!$A:$A,0))</f>
        <v>0.470436426795617</v>
      </c>
      <c r="W10" s="22" t="n">
        <f aca="false">INDEX(Data_Prices!W:W,MATCH($G10,Data_Prices!$A:$A,0))</f>
        <v>0.470436426795617</v>
      </c>
      <c r="X10" s="22" t="n">
        <f aca="false">INDEX(Data_Prices!X:X,MATCH($G10,Data_Prices!$A:$A,0))</f>
        <v>0.470436426795617</v>
      </c>
      <c r="Y10" s="22" t="n">
        <f aca="false">INDEX(Data_Prices!Y:Y,MATCH($G10,Data_Prices!$A:$A,0))</f>
        <v>0.470436426795617</v>
      </c>
      <c r="Z10" s="22" t="n">
        <f aca="false">INDEX(Data_Prices!Z:Z,MATCH($G10,Data_Prices!$A:$A,0))</f>
        <v>0.470436426795617</v>
      </c>
      <c r="AA10" s="22" t="n">
        <f aca="false">INDEX(Data_Prices!AA:AA,MATCH($G10,Data_Prices!$A:$A,0))</f>
        <v>0.470436426795617</v>
      </c>
      <c r="AB10" s="22" t="n">
        <f aca="false">INDEX(Data_Prices!AB:AB,MATCH($G10,Data_Prices!$A:$A,0))</f>
        <v>0.470436426795617</v>
      </c>
      <c r="AC10" s="22" t="n">
        <f aca="false">INDEX(Data_Prices!AC:AC,MATCH($G10,Data_Prices!$A:$A,0))</f>
        <v>0.470436426795617</v>
      </c>
      <c r="AD10" s="22" t="n">
        <f aca="false">INDEX(Data_Prices!AD:AD,MATCH($G10,Data_Prices!$A:$A,0))</f>
        <v>0.470436426795617</v>
      </c>
      <c r="AE10" s="22" t="n">
        <f aca="false">INDEX(Data_Prices!AE:AE,MATCH($G10,Data_Prices!$A:$A,0))</f>
        <v>0.470436426795617</v>
      </c>
    </row>
    <row r="11" customFormat="false" ht="15" hidden="false" customHeight="false" outlineLevel="0" collapsed="false">
      <c r="B11" s="17" t="s">
        <v>64</v>
      </c>
      <c r="C11" s="17" t="str">
        <f aca="false">$C$5</f>
        <v>irn</v>
      </c>
      <c r="D11" s="18" t="s">
        <v>65</v>
      </c>
      <c r="E11" s="19" t="s">
        <v>61</v>
      </c>
      <c r="F11" s="17" t="s">
        <v>56</v>
      </c>
      <c r="G11" s="20" t="str">
        <f aca="false">Settings!$B$3&amp;".mit.pbc."&amp;Settings!$B$4&amp;"."&amp;$B11&amp;".a."&amp;$J$5</f>
        <v>egy.mit.pbc.ind.lpg.a.1</v>
      </c>
      <c r="H11" s="21" t="str">
        <f aca="false">Settings!$B$3&amp;".mit.ptp."&amp;$C$5&amp;"."&amp;$B11&amp;".e."&amp;$J$5</f>
        <v>egy.mit.ptp.irn.lpg.e.1</v>
      </c>
      <c r="K11" s="22" t="n">
        <f aca="false">INDEX(Data_Prices!K:K,MATCH($G11,Data_Prices!$A:$A,0))</f>
        <v>0.200366691126738</v>
      </c>
      <c r="L11" s="22" t="n">
        <f aca="false">INDEX(Data_Prices!L:L,MATCH($G11,Data_Prices!$A:$A,0))</f>
        <v>0.157344736252274</v>
      </c>
      <c r="M11" s="22" t="n">
        <f aca="false">INDEX(Data_Prices!M:M,MATCH($G11,Data_Prices!$A:$A,0))</f>
        <v>0.164484037759277</v>
      </c>
      <c r="N11" s="22" t="n">
        <f aca="false">INDEX(Data_Prices!N:N,MATCH($G11,Data_Prices!$A:$A,0))</f>
        <v>0.150709077807049</v>
      </c>
      <c r="O11" s="22" t="n">
        <f aca="false">INDEX(Data_Prices!O:O,MATCH($G11,Data_Prices!$A:$A,0))</f>
        <v>0.150709077807049</v>
      </c>
      <c r="P11" s="22" t="n">
        <f aca="false">INDEX(Data_Prices!P:P,MATCH($G11,Data_Prices!$A:$A,0))</f>
        <v>0.150709077807049</v>
      </c>
      <c r="Q11" s="22" t="n">
        <f aca="false">INDEX(Data_Prices!Q:Q,MATCH($G11,Data_Prices!$A:$A,0))</f>
        <v>0.150709077807049</v>
      </c>
      <c r="R11" s="22" t="n">
        <f aca="false">INDEX(Data_Prices!R:R,MATCH($G11,Data_Prices!$A:$A,0))</f>
        <v>0.150709077807049</v>
      </c>
      <c r="S11" s="22" t="n">
        <f aca="false">INDEX(Data_Prices!S:S,MATCH($G11,Data_Prices!$A:$A,0))</f>
        <v>0.150709077807049</v>
      </c>
      <c r="T11" s="22" t="n">
        <f aca="false">INDEX(Data_Prices!T:T,MATCH($G11,Data_Prices!$A:$A,0))</f>
        <v>0.150709077807049</v>
      </c>
      <c r="U11" s="22" t="n">
        <f aca="false">INDEX(Data_Prices!U:U,MATCH($G11,Data_Prices!$A:$A,0))</f>
        <v>0.150709077807049</v>
      </c>
      <c r="V11" s="22" t="n">
        <f aca="false">INDEX(Data_Prices!V:V,MATCH($G11,Data_Prices!$A:$A,0))</f>
        <v>0.150709077807049</v>
      </c>
      <c r="W11" s="22" t="n">
        <f aca="false">INDEX(Data_Prices!W:W,MATCH($G11,Data_Prices!$A:$A,0))</f>
        <v>0.150709077807049</v>
      </c>
      <c r="X11" s="22" t="n">
        <f aca="false">INDEX(Data_Prices!X:X,MATCH($G11,Data_Prices!$A:$A,0))</f>
        <v>0.150709077807049</v>
      </c>
      <c r="Y11" s="22" t="n">
        <f aca="false">INDEX(Data_Prices!Y:Y,MATCH($G11,Data_Prices!$A:$A,0))</f>
        <v>0.150709077807049</v>
      </c>
      <c r="Z11" s="22" t="n">
        <f aca="false">INDEX(Data_Prices!Z:Z,MATCH($G11,Data_Prices!$A:$A,0))</f>
        <v>0.150709077807049</v>
      </c>
      <c r="AA11" s="22" t="n">
        <f aca="false">INDEX(Data_Prices!AA:AA,MATCH($G11,Data_Prices!$A:$A,0))</f>
        <v>0.150709077807049</v>
      </c>
      <c r="AB11" s="22" t="n">
        <f aca="false">INDEX(Data_Prices!AB:AB,MATCH($G11,Data_Prices!$A:$A,0))</f>
        <v>0.150709077807049</v>
      </c>
      <c r="AC11" s="22" t="n">
        <f aca="false">INDEX(Data_Prices!AC:AC,MATCH($G11,Data_Prices!$A:$A,0))</f>
        <v>0.150709077807049</v>
      </c>
      <c r="AD11" s="22" t="n">
        <f aca="false">INDEX(Data_Prices!AD:AD,MATCH($G11,Data_Prices!$A:$A,0))</f>
        <v>0.150709077807049</v>
      </c>
      <c r="AE11" s="22" t="n">
        <f aca="false">INDEX(Data_Prices!AE:AE,MATCH($G11,Data_Prices!$A:$A,0))</f>
        <v>0.150709077807049</v>
      </c>
    </row>
    <row r="12" customFormat="false" ht="15" hidden="false" customHeight="false" outlineLevel="0" collapsed="false">
      <c r="B12" s="17" t="s">
        <v>66</v>
      </c>
      <c r="C12" s="17" t="str">
        <f aca="false">$C$5</f>
        <v>irn</v>
      </c>
      <c r="D12" s="18" t="s">
        <v>67</v>
      </c>
      <c r="E12" s="19" t="s">
        <v>61</v>
      </c>
      <c r="F12" s="17" t="s">
        <v>56</v>
      </c>
      <c r="G12" s="20" t="str">
        <f aca="false">Settings!$B$3&amp;".mit.pbc."&amp;Settings!$B$4&amp;"."&amp;$B12&amp;".a."&amp;$J$5</f>
        <v>egy.mit.pbc.ind.ker.a.1</v>
      </c>
      <c r="H12" s="21" t="str">
        <f aca="false">Settings!$B$3&amp;".mit.ptp."&amp;$C$5&amp;"."&amp;$B12&amp;".e."&amp;$J$5</f>
        <v>egy.mit.ptp.irn.ker.e.1</v>
      </c>
      <c r="K12" s="22" t="n">
        <f aca="false">INDEX(Data_Prices!K:K,MATCH($G12,Data_Prices!$A:$A,0))</f>
        <v>0.484294240973435</v>
      </c>
      <c r="L12" s="22" t="n">
        <f aca="false">INDEX(Data_Prices!L:L,MATCH($G12,Data_Prices!$A:$A,0))</f>
        <v>0.456428170500128</v>
      </c>
      <c r="M12" s="22" t="n">
        <f aca="false">INDEX(Data_Prices!M:M,MATCH($G12,Data_Prices!$A:$A,0))</f>
        <v>0.431689201955995</v>
      </c>
      <c r="N12" s="22" t="n">
        <f aca="false">INDEX(Data_Prices!N:N,MATCH($G12,Data_Prices!$A:$A,0))</f>
        <v>0.42507558395597</v>
      </c>
      <c r="O12" s="22" t="n">
        <f aca="false">INDEX(Data_Prices!O:O,MATCH($G12,Data_Prices!$A:$A,0))</f>
        <v>0.42507558395597</v>
      </c>
      <c r="P12" s="22" t="n">
        <f aca="false">INDEX(Data_Prices!P:P,MATCH($G12,Data_Prices!$A:$A,0))</f>
        <v>0.42507558395597</v>
      </c>
      <c r="Q12" s="22" t="n">
        <f aca="false">INDEX(Data_Prices!Q:Q,MATCH($G12,Data_Prices!$A:$A,0))</f>
        <v>0.42507558395597</v>
      </c>
      <c r="R12" s="22" t="n">
        <f aca="false">INDEX(Data_Prices!R:R,MATCH($G12,Data_Prices!$A:$A,0))</f>
        <v>0.42507558395597</v>
      </c>
      <c r="S12" s="22" t="n">
        <f aca="false">INDEX(Data_Prices!S:S,MATCH($G12,Data_Prices!$A:$A,0))</f>
        <v>0.42507558395597</v>
      </c>
      <c r="T12" s="22" t="n">
        <f aca="false">INDEX(Data_Prices!T:T,MATCH($G12,Data_Prices!$A:$A,0))</f>
        <v>0.42507558395597</v>
      </c>
      <c r="U12" s="22" t="n">
        <f aca="false">INDEX(Data_Prices!U:U,MATCH($G12,Data_Prices!$A:$A,0))</f>
        <v>0.42507558395597</v>
      </c>
      <c r="V12" s="22" t="n">
        <f aca="false">INDEX(Data_Prices!V:V,MATCH($G12,Data_Prices!$A:$A,0))</f>
        <v>0.42507558395597</v>
      </c>
      <c r="W12" s="22" t="n">
        <f aca="false">INDEX(Data_Prices!W:W,MATCH($G12,Data_Prices!$A:$A,0))</f>
        <v>0.42507558395597</v>
      </c>
      <c r="X12" s="22" t="n">
        <f aca="false">INDEX(Data_Prices!X:X,MATCH($G12,Data_Prices!$A:$A,0))</f>
        <v>0.42507558395597</v>
      </c>
      <c r="Y12" s="22" t="n">
        <f aca="false">INDEX(Data_Prices!Y:Y,MATCH($G12,Data_Prices!$A:$A,0))</f>
        <v>0.42507558395597</v>
      </c>
      <c r="Z12" s="22" t="n">
        <f aca="false">INDEX(Data_Prices!Z:Z,MATCH($G12,Data_Prices!$A:$A,0))</f>
        <v>0.42507558395597</v>
      </c>
      <c r="AA12" s="22" t="n">
        <f aca="false">INDEX(Data_Prices!AA:AA,MATCH($G12,Data_Prices!$A:$A,0))</f>
        <v>0.42507558395597</v>
      </c>
      <c r="AB12" s="22" t="n">
        <f aca="false">INDEX(Data_Prices!AB:AB,MATCH($G12,Data_Prices!$A:$A,0))</f>
        <v>0.42507558395597</v>
      </c>
      <c r="AC12" s="22" t="n">
        <f aca="false">INDEX(Data_Prices!AC:AC,MATCH($G12,Data_Prices!$A:$A,0))</f>
        <v>0.42507558395597</v>
      </c>
      <c r="AD12" s="22" t="n">
        <f aca="false">INDEX(Data_Prices!AD:AD,MATCH($G12,Data_Prices!$A:$A,0))</f>
        <v>0.42507558395597</v>
      </c>
      <c r="AE12" s="22" t="n">
        <f aca="false">INDEX(Data_Prices!AE:AE,MATCH($G12,Data_Prices!$A:$A,0))</f>
        <v>0.42507558395597</v>
      </c>
    </row>
    <row r="13" customFormat="false" ht="15" hidden="false" customHeight="false" outlineLevel="0" collapsed="false">
      <c r="B13" s="17" t="s">
        <v>68</v>
      </c>
      <c r="C13" s="17" t="str">
        <f aca="false">$C$5</f>
        <v>irn</v>
      </c>
      <c r="D13" s="18" t="s">
        <v>69</v>
      </c>
      <c r="E13" s="19" t="s">
        <v>70</v>
      </c>
      <c r="F13" s="17" t="s">
        <v>56</v>
      </c>
      <c r="G13" s="20" t="str">
        <f aca="false">Settings!$B$3&amp;".mit.pbc."&amp;Settings!$B$4&amp;"."&amp;$B13&amp;".a."&amp;$J$5</f>
        <v>egy.mit.pbc.ind.oop.a.1</v>
      </c>
      <c r="H13" s="21" t="str">
        <f aca="false">Settings!$B$3&amp;".mit.ptp."&amp;$C$5&amp;"."&amp;$B13&amp;".e."&amp;$J$5</f>
        <v>egy.mit.ptp.irn.oop.e.1</v>
      </c>
      <c r="K13" s="22" t="n">
        <f aca="false">INDEX(Data_Prices!K:K,MATCH($G13,Data_Prices!$A:$A,0))</f>
        <v>41.5003384988684</v>
      </c>
      <c r="L13" s="22" t="n">
        <f aca="false">INDEX(Data_Prices!L:L,MATCH($G13,Data_Prices!$A:$A,0))</f>
        <v>34.4153703043132</v>
      </c>
      <c r="M13" s="22" t="n">
        <f aca="false">INDEX(Data_Prices!M:M,MATCH($G13,Data_Prices!$A:$A,0))</f>
        <v>37.368960690432</v>
      </c>
      <c r="N13" s="22" t="n">
        <f aca="false">INDEX(Data_Prices!N:N,MATCH($G13,Data_Prices!$A:$A,0))</f>
        <v>28.9827611014773</v>
      </c>
      <c r="O13" s="22" t="n">
        <f aca="false">INDEX(Data_Prices!O:O,MATCH($G13,Data_Prices!$A:$A,0))</f>
        <v>15</v>
      </c>
      <c r="P13" s="22" t="n">
        <f aca="false">INDEX(Data_Prices!P:P,MATCH($G13,Data_Prices!$A:$A,0))</f>
        <v>24.2586300842555</v>
      </c>
      <c r="Q13" s="22" t="n">
        <f aca="false">INDEX(Data_Prices!Q:Q,MATCH($G13,Data_Prices!$A:$A,0))</f>
        <v>15</v>
      </c>
      <c r="R13" s="22" t="n">
        <f aca="false">INDEX(Data_Prices!R:R,MATCH($G13,Data_Prices!$A:$A,0))</f>
        <v>15</v>
      </c>
      <c r="S13" s="22" t="n">
        <f aca="false">INDEX(Data_Prices!S:S,MATCH($G13,Data_Prices!$A:$A,0))</f>
        <v>15</v>
      </c>
      <c r="T13" s="22" t="n">
        <f aca="false">INDEX(Data_Prices!T:T,MATCH($G13,Data_Prices!$A:$A,0))</f>
        <v>15</v>
      </c>
      <c r="U13" s="22" t="n">
        <f aca="false">INDEX(Data_Prices!U:U,MATCH($G13,Data_Prices!$A:$A,0))</f>
        <v>15</v>
      </c>
      <c r="V13" s="22" t="n">
        <f aca="false">INDEX(Data_Prices!V:V,MATCH($G13,Data_Prices!$A:$A,0))</f>
        <v>15</v>
      </c>
      <c r="W13" s="22" t="n">
        <f aca="false">INDEX(Data_Prices!W:W,MATCH($G13,Data_Prices!$A:$A,0))</f>
        <v>15</v>
      </c>
      <c r="X13" s="22" t="n">
        <f aca="false">INDEX(Data_Prices!X:X,MATCH($G13,Data_Prices!$A:$A,0))</f>
        <v>15</v>
      </c>
      <c r="Y13" s="22" t="n">
        <f aca="false">INDEX(Data_Prices!Y:Y,MATCH($G13,Data_Prices!$A:$A,0))</f>
        <v>15</v>
      </c>
      <c r="Z13" s="22" t="n">
        <f aca="false">INDEX(Data_Prices!Z:Z,MATCH($G13,Data_Prices!$A:$A,0))</f>
        <v>15</v>
      </c>
      <c r="AA13" s="22" t="n">
        <f aca="false">INDEX(Data_Prices!AA:AA,MATCH($G13,Data_Prices!$A:$A,0))</f>
        <v>15</v>
      </c>
      <c r="AB13" s="22" t="n">
        <f aca="false">INDEX(Data_Prices!AB:AB,MATCH($G13,Data_Prices!$A:$A,0))</f>
        <v>15</v>
      </c>
      <c r="AC13" s="22" t="n">
        <f aca="false">INDEX(Data_Prices!AC:AC,MATCH($G13,Data_Prices!$A:$A,0))</f>
        <v>15</v>
      </c>
      <c r="AD13" s="22" t="n">
        <f aca="false">INDEX(Data_Prices!AD:AD,MATCH($G13,Data_Prices!$A:$A,0))</f>
        <v>15</v>
      </c>
      <c r="AE13" s="22" t="n">
        <f aca="false">INDEX(Data_Prices!AE:AE,MATCH($G13,Data_Prices!$A:$A,0))</f>
        <v>15</v>
      </c>
    </row>
    <row r="14" customFormat="false" ht="15" hidden="false" customHeight="false" outlineLevel="0" collapsed="false">
      <c r="B14" s="17" t="s">
        <v>71</v>
      </c>
      <c r="C14" s="17" t="str">
        <f aca="false">$C$5</f>
        <v>irn</v>
      </c>
      <c r="D14" s="18" t="s">
        <v>72</v>
      </c>
      <c r="E14" s="19" t="s">
        <v>55</v>
      </c>
      <c r="F14" s="17" t="s">
        <v>56</v>
      </c>
      <c r="G14" s="20" t="str">
        <f aca="false">Settings!$B$3&amp;".mit.pbc."&amp;Settings!$B$4&amp;"."&amp;$B14&amp;".a."&amp;$J$5</f>
        <v>egy.mit.pbc.ind.bio.a.1</v>
      </c>
      <c r="H14" s="21" t="str">
        <f aca="false">Settings!$B$3&amp;".mit.ptp."&amp;$C$5&amp;"."&amp;$B14&amp;".e."&amp;$J$5</f>
        <v>egy.mit.ptp.irn.bio.e.1</v>
      </c>
      <c r="K14" s="22" t="n">
        <f aca="false">INDEX(Data_Prices!K:K,MATCH($G14,Data_Prices!$A:$A,0))</f>
        <v>15.3345505293169</v>
      </c>
      <c r="L14" s="22" t="n">
        <f aca="false">INDEX(Data_Prices!L:L,MATCH($G14,Data_Prices!$A:$A,0))</f>
        <v>14.1995283906349</v>
      </c>
      <c r="M14" s="22" t="n">
        <f aca="false">INDEX(Data_Prices!M:M,MATCH($G14,Data_Prices!$A:$A,0))</f>
        <v>13.8404416133152</v>
      </c>
      <c r="N14" s="22" t="n">
        <f aca="false">INDEX(Data_Prices!N:N,MATCH($G14,Data_Prices!$A:$A,0))</f>
        <v>13.5677269404465</v>
      </c>
      <c r="O14" s="22" t="n">
        <f aca="false">INDEX(Data_Prices!O:O,MATCH($G14,Data_Prices!$A:$A,0))</f>
        <v>13.5677269404465</v>
      </c>
      <c r="P14" s="22" t="n">
        <f aca="false">INDEX(Data_Prices!P:P,MATCH($G14,Data_Prices!$A:$A,0))</f>
        <v>13.5677269404465</v>
      </c>
      <c r="Q14" s="22" t="n">
        <f aca="false">INDEX(Data_Prices!Q:Q,MATCH($G14,Data_Prices!$A:$A,0))</f>
        <v>13.5677269404465</v>
      </c>
      <c r="R14" s="22" t="n">
        <f aca="false">INDEX(Data_Prices!R:R,MATCH($G14,Data_Prices!$A:$A,0))</f>
        <v>13.5677269404465</v>
      </c>
      <c r="S14" s="22" t="n">
        <f aca="false">INDEX(Data_Prices!S:S,MATCH($G14,Data_Prices!$A:$A,0))</f>
        <v>13.5677269404465</v>
      </c>
      <c r="T14" s="22" t="n">
        <f aca="false">INDEX(Data_Prices!T:T,MATCH($G14,Data_Prices!$A:$A,0))</f>
        <v>13.5677269404465</v>
      </c>
      <c r="U14" s="22" t="n">
        <f aca="false">INDEX(Data_Prices!U:U,MATCH($G14,Data_Prices!$A:$A,0))</f>
        <v>13.5677269404465</v>
      </c>
      <c r="V14" s="22" t="n">
        <f aca="false">INDEX(Data_Prices!V:V,MATCH($G14,Data_Prices!$A:$A,0))</f>
        <v>13.5677269404465</v>
      </c>
      <c r="W14" s="22" t="n">
        <f aca="false">INDEX(Data_Prices!W:W,MATCH($G14,Data_Prices!$A:$A,0))</f>
        <v>13.5677269404465</v>
      </c>
      <c r="X14" s="22" t="n">
        <f aca="false">INDEX(Data_Prices!X:X,MATCH($G14,Data_Prices!$A:$A,0))</f>
        <v>13.5677269404465</v>
      </c>
      <c r="Y14" s="22" t="n">
        <f aca="false">INDEX(Data_Prices!Y:Y,MATCH($G14,Data_Prices!$A:$A,0))</f>
        <v>13.5677269404465</v>
      </c>
      <c r="Z14" s="22" t="n">
        <f aca="false">INDEX(Data_Prices!Z:Z,MATCH($G14,Data_Prices!$A:$A,0))</f>
        <v>13.5677269404465</v>
      </c>
      <c r="AA14" s="22" t="n">
        <f aca="false">INDEX(Data_Prices!AA:AA,MATCH($G14,Data_Prices!$A:$A,0))</f>
        <v>13.5677269404465</v>
      </c>
      <c r="AB14" s="22" t="n">
        <f aca="false">INDEX(Data_Prices!AB:AB,MATCH($G14,Data_Prices!$A:$A,0))</f>
        <v>13.5677269404465</v>
      </c>
      <c r="AC14" s="22" t="n">
        <f aca="false">INDEX(Data_Prices!AC:AC,MATCH($G14,Data_Prices!$A:$A,0))</f>
        <v>13.5677269404465</v>
      </c>
      <c r="AD14" s="22" t="n">
        <f aca="false">INDEX(Data_Prices!AD:AD,MATCH($G14,Data_Prices!$A:$A,0))</f>
        <v>13.5677269404465</v>
      </c>
      <c r="AE14" s="22" t="n">
        <f aca="false">INDEX(Data_Prices!AE:AE,MATCH($G14,Data_Prices!$A:$A,0))</f>
        <v>13.5677269404465</v>
      </c>
    </row>
    <row r="15" customFormat="false" ht="15" hidden="false" customHeight="false" outlineLevel="0" collapsed="false">
      <c r="B15" s="17" t="s">
        <v>73</v>
      </c>
      <c r="C15" s="17" t="str">
        <f aca="false">$C$5</f>
        <v>irn</v>
      </c>
      <c r="D15" s="18" t="s">
        <v>74</v>
      </c>
      <c r="E15" s="19" t="s">
        <v>75</v>
      </c>
      <c r="F15" s="17" t="s">
        <v>56</v>
      </c>
      <c r="G15" s="20" t="str">
        <f aca="false">Settings!$B$3&amp;".mit.pbc."&amp;Settings!$B$4&amp;"."&amp;$B15&amp;".a."&amp;$J$5</f>
        <v>egy.mit.pbc.ind.ren.a.1</v>
      </c>
      <c r="H15" s="21" t="str">
        <f aca="false">Settings!$B$3&amp;".mit.ptp."&amp;$C$5&amp;"."&amp;$B15&amp;".e."&amp;$J$5</f>
        <v>egy.mit.ptp.irn.ren.e.1</v>
      </c>
      <c r="K15" s="22" t="n">
        <f aca="false">INDEX(Data_Prices!K:K,MATCH($G15,Data_Prices!$A:$A,0))</f>
        <v>0</v>
      </c>
      <c r="L15" s="22" t="n">
        <f aca="false">INDEX(Data_Prices!L:L,MATCH($G15,Data_Prices!$A:$A,0))</f>
        <v>0.144044986793198</v>
      </c>
      <c r="M15" s="22" t="n">
        <f aca="false">INDEX(Data_Prices!M:M,MATCH($G15,Data_Prices!$A:$A,0))</f>
        <v>0.141020409657004</v>
      </c>
      <c r="N15" s="22" t="n">
        <f aca="false">INDEX(Data_Prices!N:N,MATCH($G15,Data_Prices!$A:$A,0))</f>
        <v>0.135116359594476</v>
      </c>
      <c r="O15" s="22" t="n">
        <f aca="false">INDEX(Data_Prices!O:O,MATCH($G15,Data_Prices!$A:$A,0))</f>
        <v>0.130988256985856</v>
      </c>
      <c r="P15" s="22" t="n">
        <f aca="false">INDEX(Data_Prices!P:P,MATCH($G15,Data_Prices!$A:$A,0))</f>
        <v>0.127908416086318</v>
      </c>
      <c r="Q15" s="22" t="n">
        <f aca="false">INDEX(Data_Prices!Q:Q,MATCH($G15,Data_Prices!$A:$A,0))</f>
        <v>0.124814310557813</v>
      </c>
      <c r="R15" s="22" t="n">
        <f aca="false">INDEX(Data_Prices!R:R,MATCH($G15,Data_Prices!$A:$A,0))</f>
        <v>0.121460257122878</v>
      </c>
      <c r="S15" s="22" t="n">
        <f aca="false">INDEX(Data_Prices!S:S,MATCH($G15,Data_Prices!$A:$A,0))</f>
        <v>0.117950744135786</v>
      </c>
      <c r="T15" s="22" t="n">
        <f aca="false">INDEX(Data_Prices!T:T,MATCH($G15,Data_Prices!$A:$A,0))</f>
        <v>0.114199161044597</v>
      </c>
      <c r="U15" s="22" t="n">
        <f aca="false">INDEX(Data_Prices!U:U,MATCH($G15,Data_Prices!$A:$A,0))</f>
        <v>0.113665100059665</v>
      </c>
      <c r="V15" s="22" t="n">
        <f aca="false">INDEX(Data_Prices!V:V,MATCH($G15,Data_Prices!$A:$A,0))</f>
        <v>0.113016929625957</v>
      </c>
      <c r="W15" s="22" t="n">
        <f aca="false">INDEX(Data_Prices!W:W,MATCH($G15,Data_Prices!$A:$A,0))</f>
        <v>0.112314070507636</v>
      </c>
      <c r="X15" s="22" t="n">
        <f aca="false">INDEX(Data_Prices!X:X,MATCH($G15,Data_Prices!$A:$A,0))</f>
        <v>0.111422042732843</v>
      </c>
      <c r="Y15" s="22" t="n">
        <f aca="false">INDEX(Data_Prices!Y:Y,MATCH($G15,Data_Prices!$A:$A,0))</f>
        <v>0.110434123675809</v>
      </c>
      <c r="Z15" s="22" t="n">
        <f aca="false">INDEX(Data_Prices!Z:Z,MATCH($G15,Data_Prices!$A:$A,0))</f>
        <v>0.109483973304471</v>
      </c>
      <c r="AA15" s="22" t="n">
        <f aca="false">INDEX(Data_Prices!AA:AA,MATCH($G15,Data_Prices!$A:$A,0))</f>
        <v>0.10839192105294</v>
      </c>
      <c r="AB15" s="22" t="n">
        <f aca="false">INDEX(Data_Prices!AB:AB,MATCH($G15,Data_Prices!$A:$A,0))</f>
        <v>0.107354433626704</v>
      </c>
      <c r="AC15" s="22" t="n">
        <f aca="false">INDEX(Data_Prices!AC:AC,MATCH($G15,Data_Prices!$A:$A,0))</f>
        <v>0.105168675441661</v>
      </c>
      <c r="AD15" s="22" t="n">
        <f aca="false">INDEX(Data_Prices!AD:AD,MATCH($G15,Data_Prices!$A:$A,0))</f>
        <v>0.103057983256008</v>
      </c>
      <c r="AE15" s="22" t="n">
        <f aca="false">INDEX(Data_Prices!AE:AE,MATCH($G15,Data_Prices!$A:$A,0))</f>
        <v>0.100931838990114</v>
      </c>
    </row>
    <row r="16" customFormat="false" ht="15" hidden="false" customHeight="false" outlineLevel="0" collapsed="false">
      <c r="B16" s="16" t="s">
        <v>76</v>
      </c>
    </row>
    <row r="17" customFormat="false" ht="15" hidden="false" customHeight="false" outlineLevel="0" collapsed="false">
      <c r="B17" s="17" t="s">
        <v>53</v>
      </c>
      <c r="C17" s="17" t="str">
        <f aca="false">$C$5</f>
        <v>irn</v>
      </c>
      <c r="D17" s="18" t="s">
        <v>54</v>
      </c>
      <c r="E17" s="19" t="s">
        <v>55</v>
      </c>
      <c r="F17" s="17" t="s">
        <v>77</v>
      </c>
      <c r="G17" s="20" t="str">
        <f aca="false">Settings!$B$3&amp;".mit.nce."&amp;Settings!$B$4&amp;"."&amp;$B17&amp;".a."&amp;$J$5</f>
        <v>egy.mit.nce.ind.coa.a.1</v>
      </c>
      <c r="H17" s="21" t="str">
        <f aca="false">Settings!$B$3&amp;".mit.atp."&amp;$C$5&amp;"."&amp;$B17&amp;".e."&amp;$J$5</f>
        <v>egy.mit.atp.irn.coa.e.1</v>
      </c>
      <c r="K17" s="22" t="n">
        <f aca="false">K7+INDEX(Data_Prices!K:K,MATCH($G17,Data_Prices!$A:$A,0))*K$37</f>
        <v>11.1829015892439</v>
      </c>
      <c r="L17" s="22" t="n">
        <f aca="false">L7+INDEX(Data_Prices!L:L,MATCH($G17,Data_Prices!$A:$A,0))*L$37</f>
        <v>10.5233613454312</v>
      </c>
      <c r="M17" s="22" t="n">
        <f aca="false">M7+INDEX(Data_Prices!M:M,MATCH($G17,Data_Prices!$A:$A,0))*M$37</f>
        <v>10.2995608274442</v>
      </c>
      <c r="N17" s="22" t="n">
        <f aca="false">N7+INDEX(Data_Prices!N:N,MATCH($G17,Data_Prices!$A:$A,0))*N$37</f>
        <v>9.57752835953826</v>
      </c>
      <c r="O17" s="22" t="n">
        <f aca="false">O7+INDEX(Data_Prices!O:O,MATCH($G17,Data_Prices!$A:$A,0))*O$37</f>
        <v>8.48547828695805</v>
      </c>
      <c r="P17" s="22" t="n">
        <f aca="false">P7+INDEX(Data_Prices!P:P,MATCH($G17,Data_Prices!$A:$A,0))*P$37</f>
        <v>9.08719223524986</v>
      </c>
      <c r="Q17" s="22" t="n">
        <f aca="false">Q7+INDEX(Data_Prices!Q:Q,MATCH($G17,Data_Prices!$A:$A,0))*Q$37</f>
        <v>9.22292372893268</v>
      </c>
      <c r="R17" s="22" t="n">
        <f aca="false">R7+INDEX(Data_Prices!R:R,MATCH($G17,Data_Prices!$A:$A,0))*R$37</f>
        <v>9.15856495550969</v>
      </c>
      <c r="S17" s="22" t="n">
        <f aca="false">S7+INDEX(Data_Prices!S:S,MATCH($G17,Data_Prices!$A:$A,0))*S$37</f>
        <v>9.08954787739738</v>
      </c>
      <c r="T17" s="22" t="n">
        <f aca="false">T7+INDEX(Data_Prices!T:T,MATCH($G17,Data_Prices!$A:$A,0))*T$37</f>
        <v>9.01568166602283</v>
      </c>
      <c r="U17" s="22" t="n">
        <f aca="false">U7+INDEX(Data_Prices!U:U,MATCH($G17,Data_Prices!$A:$A,0))*U$37</f>
        <v>8.94439776555711</v>
      </c>
      <c r="V17" s="22" t="n">
        <f aca="false">V7+INDEX(Data_Prices!V:V,MATCH($G17,Data_Prices!$A:$A,0))*V$37</f>
        <v>8.94439776555711</v>
      </c>
      <c r="W17" s="22" t="n">
        <f aca="false">W7+INDEX(Data_Prices!W:W,MATCH($G17,Data_Prices!$A:$A,0))*W$37</f>
        <v>8.94439776555711</v>
      </c>
      <c r="X17" s="22" t="n">
        <f aca="false">X7+INDEX(Data_Prices!X:X,MATCH($G17,Data_Prices!$A:$A,0))*X$37</f>
        <v>8.94439776555711</v>
      </c>
      <c r="Y17" s="22" t="n">
        <f aca="false">Y7+INDEX(Data_Prices!Y:Y,MATCH($G17,Data_Prices!$A:$A,0))*Y$37</f>
        <v>8.94439776555711</v>
      </c>
      <c r="Z17" s="22" t="n">
        <f aca="false">Z7+INDEX(Data_Prices!Z:Z,MATCH($G17,Data_Prices!$A:$A,0))*Z$37</f>
        <v>8.94439776555711</v>
      </c>
      <c r="AA17" s="22" t="n">
        <f aca="false">AA7+INDEX(Data_Prices!AA:AA,MATCH($G17,Data_Prices!$A:$A,0))*AA$37</f>
        <v>8.94439776555711</v>
      </c>
      <c r="AB17" s="22" t="n">
        <f aca="false">AB7+INDEX(Data_Prices!AB:AB,MATCH($G17,Data_Prices!$A:$A,0))*AB$37</f>
        <v>8.94439776555711</v>
      </c>
      <c r="AC17" s="22" t="n">
        <f aca="false">AC7+INDEX(Data_Prices!AC:AC,MATCH($G17,Data_Prices!$A:$A,0))*AC$37</f>
        <v>8.94439776555711</v>
      </c>
      <c r="AD17" s="22" t="n">
        <f aca="false">AD7+INDEX(Data_Prices!AD:AD,MATCH($G17,Data_Prices!$A:$A,0))*AD$37</f>
        <v>8.94439776555711</v>
      </c>
      <c r="AE17" s="22" t="n">
        <f aca="false">AE7+INDEX(Data_Prices!AE:AE,MATCH($G17,Data_Prices!$A:$A,0))*AE$37</f>
        <v>8.94439776555711</v>
      </c>
    </row>
    <row r="18" customFormat="false" ht="15" hidden="false" customHeight="false" outlineLevel="0" collapsed="false">
      <c r="B18" s="17" t="s">
        <v>57</v>
      </c>
      <c r="C18" s="17" t="str">
        <f aca="false">$C$5</f>
        <v>irn</v>
      </c>
      <c r="D18" s="18" t="s">
        <v>58</v>
      </c>
      <c r="E18" s="19" t="s">
        <v>55</v>
      </c>
      <c r="F18" s="17" t="s">
        <v>77</v>
      </c>
      <c r="G18" s="20" t="str">
        <f aca="false">Settings!$B$3&amp;".mit.nce."&amp;Settings!$B$4&amp;"."&amp;$B18&amp;".a."&amp;$J$5</f>
        <v>egy.mit.nce.ind.nga.a.1</v>
      </c>
      <c r="H18" s="21" t="str">
        <f aca="false">Settings!$B$3&amp;".mit.atp."&amp;$C$5&amp;"."&amp;$B18&amp;".e."&amp;$J$5</f>
        <v>egy.mit.atp.irn.nga.e.1</v>
      </c>
      <c r="K18" s="22" t="n">
        <f aca="false">K8+INDEX(Data_Prices!K:K,MATCH($G18,Data_Prices!$A:$A,0))*K$37</f>
        <v>6.06346361567291</v>
      </c>
      <c r="L18" s="22" t="n">
        <f aca="false">L8+INDEX(Data_Prices!L:L,MATCH($G18,Data_Prices!$A:$A,0))*L$37</f>
        <v>5.45101508161919</v>
      </c>
      <c r="M18" s="22" t="n">
        <f aca="false">M8+INDEX(Data_Prices!M:M,MATCH($G18,Data_Prices!$A:$A,0))*M$37</f>
        <v>5.11935630626248</v>
      </c>
      <c r="N18" s="22" t="n">
        <f aca="false">N8+INDEX(Data_Prices!N:N,MATCH($G18,Data_Prices!$A:$A,0))*N$37</f>
        <v>5.08218458640407</v>
      </c>
      <c r="O18" s="22" t="n">
        <f aca="false">O8+INDEX(Data_Prices!O:O,MATCH($G18,Data_Prices!$A:$A,0))*O$37</f>
        <v>5.08218458640407</v>
      </c>
      <c r="P18" s="22" t="n">
        <f aca="false">P8+INDEX(Data_Prices!P:P,MATCH($G18,Data_Prices!$A:$A,0))*P$37</f>
        <v>5.08218458640407</v>
      </c>
      <c r="Q18" s="22" t="n">
        <f aca="false">Q8+INDEX(Data_Prices!Q:Q,MATCH($G18,Data_Prices!$A:$A,0))*Q$37</f>
        <v>5.08218458640407</v>
      </c>
      <c r="R18" s="22" t="n">
        <f aca="false">R8+INDEX(Data_Prices!R:R,MATCH($G18,Data_Prices!$A:$A,0))*R$37</f>
        <v>5.08218458640407</v>
      </c>
      <c r="S18" s="22" t="n">
        <f aca="false">S8+INDEX(Data_Prices!S:S,MATCH($G18,Data_Prices!$A:$A,0))*S$37</f>
        <v>5.08218458640407</v>
      </c>
      <c r="T18" s="22" t="n">
        <f aca="false">T8+INDEX(Data_Prices!T:T,MATCH($G18,Data_Prices!$A:$A,0))*T$37</f>
        <v>5.08218458640407</v>
      </c>
      <c r="U18" s="22" t="n">
        <f aca="false">U8+INDEX(Data_Prices!U:U,MATCH($G18,Data_Prices!$A:$A,0))*U$37</f>
        <v>5.08218458640407</v>
      </c>
      <c r="V18" s="22" t="n">
        <f aca="false">V8+INDEX(Data_Prices!V:V,MATCH($G18,Data_Prices!$A:$A,0))*V$37</f>
        <v>5.08218458640407</v>
      </c>
      <c r="W18" s="22" t="n">
        <f aca="false">W8+INDEX(Data_Prices!W:W,MATCH($G18,Data_Prices!$A:$A,0))*W$37</f>
        <v>5.08218458640407</v>
      </c>
      <c r="X18" s="22" t="n">
        <f aca="false">X8+INDEX(Data_Prices!X:X,MATCH($G18,Data_Prices!$A:$A,0))*X$37</f>
        <v>5.08218458640407</v>
      </c>
      <c r="Y18" s="22" t="n">
        <f aca="false">Y8+INDEX(Data_Prices!Y:Y,MATCH($G18,Data_Prices!$A:$A,0))*Y$37</f>
        <v>5.08218458640407</v>
      </c>
      <c r="Z18" s="22" t="n">
        <f aca="false">Z8+INDEX(Data_Prices!Z:Z,MATCH($G18,Data_Prices!$A:$A,0))*Z$37</f>
        <v>5.08218458640407</v>
      </c>
      <c r="AA18" s="22" t="n">
        <f aca="false">AA8+INDEX(Data_Prices!AA:AA,MATCH($G18,Data_Prices!$A:$A,0))*AA$37</f>
        <v>5.08218458640407</v>
      </c>
      <c r="AB18" s="22" t="n">
        <f aca="false">AB8+INDEX(Data_Prices!AB:AB,MATCH($G18,Data_Prices!$A:$A,0))*AB$37</f>
        <v>5.08218458640407</v>
      </c>
      <c r="AC18" s="22" t="n">
        <f aca="false">AC8+INDEX(Data_Prices!AC:AC,MATCH($G18,Data_Prices!$A:$A,0))*AC$37</f>
        <v>5.08218458640407</v>
      </c>
      <c r="AD18" s="22" t="n">
        <f aca="false">AD8+INDEX(Data_Prices!AD:AD,MATCH($G18,Data_Prices!$A:$A,0))*AD$37</f>
        <v>5.08218458640407</v>
      </c>
      <c r="AE18" s="22" t="n">
        <f aca="false">AE8+INDEX(Data_Prices!AE:AE,MATCH($G18,Data_Prices!$A:$A,0))*AE$37</f>
        <v>5.08218458640407</v>
      </c>
    </row>
    <row r="19" customFormat="false" ht="15" hidden="false" customHeight="false" outlineLevel="0" collapsed="false">
      <c r="B19" s="17" t="s">
        <v>59</v>
      </c>
      <c r="C19" s="17" t="str">
        <f aca="false">$C$5</f>
        <v>irn</v>
      </c>
      <c r="D19" s="18" t="s">
        <v>60</v>
      </c>
      <c r="E19" s="19" t="s">
        <v>61</v>
      </c>
      <c r="F19" s="17" t="s">
        <v>77</v>
      </c>
      <c r="G19" s="20" t="str">
        <f aca="false">Settings!$B$3&amp;".mit.nce."&amp;Settings!$B$4&amp;"."&amp;$B19&amp;".a."&amp;$J$5</f>
        <v>egy.mit.nce.ind.gso.a.1</v>
      </c>
      <c r="H19" s="21" t="str">
        <f aca="false">Settings!$B$3&amp;".mit.atp."&amp;$C$5&amp;"."&amp;$B19&amp;".e."&amp;$J$5</f>
        <v>egy.mit.atp.irn.gso.e.1</v>
      </c>
      <c r="K19" s="22" t="n">
        <f aca="false">K9+INDEX(Data_Prices!K:K,MATCH($G19,Data_Prices!$A:$A,0))*K$37</f>
        <v>0.671146533321816</v>
      </c>
      <c r="L19" s="22" t="n">
        <f aca="false">L9+INDEX(Data_Prices!L:L,MATCH($G19,Data_Prices!$A:$A,0))*L$37</f>
        <v>0.611977976791406</v>
      </c>
      <c r="M19" s="22" t="n">
        <f aca="false">M9+INDEX(Data_Prices!M:M,MATCH($G19,Data_Prices!$A:$A,0))*M$37</f>
        <v>0.611809749641876</v>
      </c>
      <c r="N19" s="22" t="n">
        <f aca="false">N9+INDEX(Data_Prices!N:N,MATCH($G19,Data_Prices!$A:$A,0))*N$37</f>
        <v>0.603583100177906</v>
      </c>
      <c r="O19" s="22" t="n">
        <f aca="false">O9+INDEX(Data_Prices!O:O,MATCH($G19,Data_Prices!$A:$A,0))*O$37</f>
        <v>0.603583100177906</v>
      </c>
      <c r="P19" s="22" t="n">
        <f aca="false">P9+INDEX(Data_Prices!P:P,MATCH($G19,Data_Prices!$A:$A,0))*P$37</f>
        <v>0.603583100177906</v>
      </c>
      <c r="Q19" s="22" t="n">
        <f aca="false">Q9+INDEX(Data_Prices!Q:Q,MATCH($G19,Data_Prices!$A:$A,0))*Q$37</f>
        <v>0.603583100177906</v>
      </c>
      <c r="R19" s="22" t="n">
        <f aca="false">R9+INDEX(Data_Prices!R:R,MATCH($G19,Data_Prices!$A:$A,0))*R$37</f>
        <v>0.603583100177906</v>
      </c>
      <c r="S19" s="22" t="n">
        <f aca="false">S9+INDEX(Data_Prices!S:S,MATCH($G19,Data_Prices!$A:$A,0))*S$37</f>
        <v>0.603583100177906</v>
      </c>
      <c r="T19" s="22" t="n">
        <f aca="false">T9+INDEX(Data_Prices!T:T,MATCH($G19,Data_Prices!$A:$A,0))*T$37</f>
        <v>0.603583100177906</v>
      </c>
      <c r="U19" s="22" t="n">
        <f aca="false">U9+INDEX(Data_Prices!U:U,MATCH($G19,Data_Prices!$A:$A,0))*U$37</f>
        <v>0.603583100177906</v>
      </c>
      <c r="V19" s="22" t="n">
        <f aca="false">V9+INDEX(Data_Prices!V:V,MATCH($G19,Data_Prices!$A:$A,0))*V$37</f>
        <v>0.603583100177906</v>
      </c>
      <c r="W19" s="22" t="n">
        <f aca="false">W9+INDEX(Data_Prices!W:W,MATCH($G19,Data_Prices!$A:$A,0))*W$37</f>
        <v>0.603583100177906</v>
      </c>
      <c r="X19" s="22" t="n">
        <f aca="false">X9+INDEX(Data_Prices!X:X,MATCH($G19,Data_Prices!$A:$A,0))*X$37</f>
        <v>0.603583100177906</v>
      </c>
      <c r="Y19" s="22" t="n">
        <f aca="false">Y9+INDEX(Data_Prices!Y:Y,MATCH($G19,Data_Prices!$A:$A,0))*Y$37</f>
        <v>0.603583100177906</v>
      </c>
      <c r="Z19" s="22" t="n">
        <f aca="false">Z9+INDEX(Data_Prices!Z:Z,MATCH($G19,Data_Prices!$A:$A,0))*Z$37</f>
        <v>0.603583100177906</v>
      </c>
      <c r="AA19" s="22" t="n">
        <f aca="false">AA9+INDEX(Data_Prices!AA:AA,MATCH($G19,Data_Prices!$A:$A,0))*AA$37</f>
        <v>0.603583100177906</v>
      </c>
      <c r="AB19" s="22" t="n">
        <f aca="false">AB9+INDEX(Data_Prices!AB:AB,MATCH($G19,Data_Prices!$A:$A,0))*AB$37</f>
        <v>0.603583100177906</v>
      </c>
      <c r="AC19" s="22" t="n">
        <f aca="false">AC9+INDEX(Data_Prices!AC:AC,MATCH($G19,Data_Prices!$A:$A,0))*AC$37</f>
        <v>0.603583100177906</v>
      </c>
      <c r="AD19" s="22" t="n">
        <f aca="false">AD9+INDEX(Data_Prices!AD:AD,MATCH($G19,Data_Prices!$A:$A,0))*AD$37</f>
        <v>0.603583100177906</v>
      </c>
      <c r="AE19" s="22" t="n">
        <f aca="false">AE9+INDEX(Data_Prices!AE:AE,MATCH($G19,Data_Prices!$A:$A,0))*AE$37</f>
        <v>0.603583100177906</v>
      </c>
    </row>
    <row r="20" customFormat="false" ht="15" hidden="false" customHeight="false" outlineLevel="0" collapsed="false">
      <c r="B20" s="17" t="s">
        <v>62</v>
      </c>
      <c r="C20" s="17" t="str">
        <f aca="false">$C$5</f>
        <v>irn</v>
      </c>
      <c r="D20" s="18" t="s">
        <v>63</v>
      </c>
      <c r="E20" s="19" t="s">
        <v>61</v>
      </c>
      <c r="F20" s="17" t="s">
        <v>77</v>
      </c>
      <c r="G20" s="20" t="str">
        <f aca="false">Settings!$B$3&amp;".mit.nce."&amp;Settings!$B$4&amp;"."&amp;$B20&amp;".a."&amp;$J$5</f>
        <v>egy.mit.nce.ind.die.a.1</v>
      </c>
      <c r="H20" s="21" t="str">
        <f aca="false">Settings!$B$3&amp;".mit.atp."&amp;$C$5&amp;"."&amp;$B20&amp;".e."&amp;$J$5</f>
        <v>egy.mit.atp.irn.die.e.1</v>
      </c>
      <c r="K20" s="22" t="n">
        <f aca="false">K10+INDEX(Data_Prices!K:K,MATCH($G20,Data_Prices!$A:$A,0))*K$37</f>
        <v>0.559711213155688</v>
      </c>
      <c r="L20" s="22" t="n">
        <f aca="false">L10+INDEX(Data_Prices!L:L,MATCH($G20,Data_Prices!$A:$A,0))*L$37</f>
        <v>0.494588730841068</v>
      </c>
      <c r="M20" s="22" t="n">
        <f aca="false">M10+INDEX(Data_Prices!M:M,MATCH($G20,Data_Prices!$A:$A,0))*M$37</f>
        <v>0.507786547202501</v>
      </c>
      <c r="N20" s="22" t="n">
        <f aca="false">N10+INDEX(Data_Prices!N:N,MATCH($G20,Data_Prices!$A:$A,0))*N$37</f>
        <v>0.470436426795617</v>
      </c>
      <c r="O20" s="22" t="n">
        <f aca="false">O10+INDEX(Data_Prices!O:O,MATCH($G20,Data_Prices!$A:$A,0))*O$37</f>
        <v>0.470436426795617</v>
      </c>
      <c r="P20" s="22" t="n">
        <f aca="false">P10+INDEX(Data_Prices!P:P,MATCH($G20,Data_Prices!$A:$A,0))*P$37</f>
        <v>0.470436426795617</v>
      </c>
      <c r="Q20" s="22" t="n">
        <f aca="false">Q10+INDEX(Data_Prices!Q:Q,MATCH($G20,Data_Prices!$A:$A,0))*Q$37</f>
        <v>0.470436426795617</v>
      </c>
      <c r="R20" s="22" t="n">
        <f aca="false">R10+INDEX(Data_Prices!R:R,MATCH($G20,Data_Prices!$A:$A,0))*R$37</f>
        <v>0.470436426795617</v>
      </c>
      <c r="S20" s="22" t="n">
        <f aca="false">S10+INDEX(Data_Prices!S:S,MATCH($G20,Data_Prices!$A:$A,0))*S$37</f>
        <v>0.470436426795617</v>
      </c>
      <c r="T20" s="22" t="n">
        <f aca="false">T10+INDEX(Data_Prices!T:T,MATCH($G20,Data_Prices!$A:$A,0))*T$37</f>
        <v>0.470436426795617</v>
      </c>
      <c r="U20" s="22" t="n">
        <f aca="false">U10+INDEX(Data_Prices!U:U,MATCH($G20,Data_Prices!$A:$A,0))*U$37</f>
        <v>0.470436426795617</v>
      </c>
      <c r="V20" s="22" t="n">
        <f aca="false">V10+INDEX(Data_Prices!V:V,MATCH($G20,Data_Prices!$A:$A,0))*V$37</f>
        <v>0.470436426795617</v>
      </c>
      <c r="W20" s="22" t="n">
        <f aca="false">W10+INDEX(Data_Prices!W:W,MATCH($G20,Data_Prices!$A:$A,0))*W$37</f>
        <v>0.470436426795617</v>
      </c>
      <c r="X20" s="22" t="n">
        <f aca="false">X10+INDEX(Data_Prices!X:X,MATCH($G20,Data_Prices!$A:$A,0))*X$37</f>
        <v>0.470436426795617</v>
      </c>
      <c r="Y20" s="22" t="n">
        <f aca="false">Y10+INDEX(Data_Prices!Y:Y,MATCH($G20,Data_Prices!$A:$A,0))*Y$37</f>
        <v>0.470436426795617</v>
      </c>
      <c r="Z20" s="22" t="n">
        <f aca="false">Z10+INDEX(Data_Prices!Z:Z,MATCH($G20,Data_Prices!$A:$A,0))*Z$37</f>
        <v>0.470436426795617</v>
      </c>
      <c r="AA20" s="22" t="n">
        <f aca="false">AA10+INDEX(Data_Prices!AA:AA,MATCH($G20,Data_Prices!$A:$A,0))*AA$37</f>
        <v>0.470436426795617</v>
      </c>
      <c r="AB20" s="22" t="n">
        <f aca="false">AB10+INDEX(Data_Prices!AB:AB,MATCH($G20,Data_Prices!$A:$A,0))*AB$37</f>
        <v>0.470436426795617</v>
      </c>
      <c r="AC20" s="22" t="n">
        <f aca="false">AC10+INDEX(Data_Prices!AC:AC,MATCH($G20,Data_Prices!$A:$A,0))*AC$37</f>
        <v>0.470436426795617</v>
      </c>
      <c r="AD20" s="22" t="n">
        <f aca="false">AD10+INDEX(Data_Prices!AD:AD,MATCH($G20,Data_Prices!$A:$A,0))*AD$37</f>
        <v>0.470436426795617</v>
      </c>
      <c r="AE20" s="22" t="n">
        <f aca="false">AE10+INDEX(Data_Prices!AE:AE,MATCH($G20,Data_Prices!$A:$A,0))*AE$37</f>
        <v>0.470436426795617</v>
      </c>
    </row>
    <row r="21" customFormat="false" ht="15" hidden="false" customHeight="false" outlineLevel="0" collapsed="false">
      <c r="B21" s="17" t="s">
        <v>64</v>
      </c>
      <c r="C21" s="17" t="str">
        <f aca="false">$C$5</f>
        <v>irn</v>
      </c>
      <c r="D21" s="18" t="s">
        <v>65</v>
      </c>
      <c r="E21" s="19" t="s">
        <v>61</v>
      </c>
      <c r="F21" s="17" t="s">
        <v>77</v>
      </c>
      <c r="G21" s="20" t="str">
        <f aca="false">Settings!$B$3&amp;".mit.nce."&amp;Settings!$B$4&amp;"."&amp;$B21&amp;".a."&amp;$J$5</f>
        <v>egy.mit.nce.ind.lpg.a.1</v>
      </c>
      <c r="H21" s="21" t="str">
        <f aca="false">Settings!$B$3&amp;".mit.atp."&amp;$C$5&amp;"."&amp;$B21&amp;".e."&amp;$J$5</f>
        <v>egy.mit.atp.irn.lpg.e.1</v>
      </c>
      <c r="K21" s="22" t="n">
        <f aca="false">K11+INDEX(Data_Prices!K:K,MATCH($G21,Data_Prices!$A:$A,0))*K$37</f>
        <v>0.200366691126738</v>
      </c>
      <c r="L21" s="22" t="n">
        <f aca="false">L11+INDEX(Data_Prices!L:L,MATCH($G21,Data_Prices!$A:$A,0))*L$37</f>
        <v>0.157344736252274</v>
      </c>
      <c r="M21" s="22" t="n">
        <f aca="false">M11+INDEX(Data_Prices!M:M,MATCH($G21,Data_Prices!$A:$A,0))*M$37</f>
        <v>0.164484037759277</v>
      </c>
      <c r="N21" s="22" t="n">
        <f aca="false">N11+INDEX(Data_Prices!N:N,MATCH($G21,Data_Prices!$A:$A,0))*N$37</f>
        <v>0.150709077807049</v>
      </c>
      <c r="O21" s="22" t="n">
        <f aca="false">O11+INDEX(Data_Prices!O:O,MATCH($G21,Data_Prices!$A:$A,0))*O$37</f>
        <v>0.150709077807049</v>
      </c>
      <c r="P21" s="22" t="n">
        <f aca="false">P11+INDEX(Data_Prices!P:P,MATCH($G21,Data_Prices!$A:$A,0))*P$37</f>
        <v>0.150709077807049</v>
      </c>
      <c r="Q21" s="22" t="n">
        <f aca="false">Q11+INDEX(Data_Prices!Q:Q,MATCH($G21,Data_Prices!$A:$A,0))*Q$37</f>
        <v>0.150709077807049</v>
      </c>
      <c r="R21" s="22" t="n">
        <f aca="false">R11+INDEX(Data_Prices!R:R,MATCH($G21,Data_Prices!$A:$A,0))*R$37</f>
        <v>0.150709077807049</v>
      </c>
      <c r="S21" s="22" t="n">
        <f aca="false">S11+INDEX(Data_Prices!S:S,MATCH($G21,Data_Prices!$A:$A,0))*S$37</f>
        <v>0.150709077807049</v>
      </c>
      <c r="T21" s="22" t="n">
        <f aca="false">T11+INDEX(Data_Prices!T:T,MATCH($G21,Data_Prices!$A:$A,0))*T$37</f>
        <v>0.150709077807049</v>
      </c>
      <c r="U21" s="22" t="n">
        <f aca="false">U11+INDEX(Data_Prices!U:U,MATCH($G21,Data_Prices!$A:$A,0))*U$37</f>
        <v>0.150709077807049</v>
      </c>
      <c r="V21" s="22" t="n">
        <f aca="false">V11+INDEX(Data_Prices!V:V,MATCH($G21,Data_Prices!$A:$A,0))*V$37</f>
        <v>0.150709077807049</v>
      </c>
      <c r="W21" s="22" t="n">
        <f aca="false">W11+INDEX(Data_Prices!W:W,MATCH($G21,Data_Prices!$A:$A,0))*W$37</f>
        <v>0.150709077807049</v>
      </c>
      <c r="X21" s="22" t="n">
        <f aca="false">X11+INDEX(Data_Prices!X:X,MATCH($G21,Data_Prices!$A:$A,0))*X$37</f>
        <v>0.150709077807049</v>
      </c>
      <c r="Y21" s="22" t="n">
        <f aca="false">Y11+INDEX(Data_Prices!Y:Y,MATCH($G21,Data_Prices!$A:$A,0))*Y$37</f>
        <v>0.150709077807049</v>
      </c>
      <c r="Z21" s="22" t="n">
        <f aca="false">Z11+INDEX(Data_Prices!Z:Z,MATCH($G21,Data_Prices!$A:$A,0))*Z$37</f>
        <v>0.150709077807049</v>
      </c>
      <c r="AA21" s="22" t="n">
        <f aca="false">AA11+INDEX(Data_Prices!AA:AA,MATCH($G21,Data_Prices!$A:$A,0))*AA$37</f>
        <v>0.150709077807049</v>
      </c>
      <c r="AB21" s="22" t="n">
        <f aca="false">AB11+INDEX(Data_Prices!AB:AB,MATCH($G21,Data_Prices!$A:$A,0))*AB$37</f>
        <v>0.150709077807049</v>
      </c>
      <c r="AC21" s="22" t="n">
        <f aca="false">AC11+INDEX(Data_Prices!AC:AC,MATCH($G21,Data_Prices!$A:$A,0))*AC$37</f>
        <v>0.150709077807049</v>
      </c>
      <c r="AD21" s="22" t="n">
        <f aca="false">AD11+INDEX(Data_Prices!AD:AD,MATCH($G21,Data_Prices!$A:$A,0))*AD$37</f>
        <v>0.150709077807049</v>
      </c>
      <c r="AE21" s="22" t="n">
        <f aca="false">AE11+INDEX(Data_Prices!AE:AE,MATCH($G21,Data_Prices!$A:$A,0))*AE$37</f>
        <v>0.150709077807049</v>
      </c>
    </row>
    <row r="22" customFormat="false" ht="15" hidden="false" customHeight="false" outlineLevel="0" collapsed="false">
      <c r="B22" s="17" t="s">
        <v>66</v>
      </c>
      <c r="C22" s="17" t="str">
        <f aca="false">$C$5</f>
        <v>irn</v>
      </c>
      <c r="D22" s="18" t="s">
        <v>67</v>
      </c>
      <c r="E22" s="19" t="s">
        <v>61</v>
      </c>
      <c r="F22" s="17" t="s">
        <v>77</v>
      </c>
      <c r="G22" s="20" t="str">
        <f aca="false">Settings!$B$3&amp;".mit.nce."&amp;Settings!$B$4&amp;"."&amp;$B22&amp;".a."&amp;$J$5</f>
        <v>egy.mit.nce.ind.ker.a.1</v>
      </c>
      <c r="H22" s="21" t="str">
        <f aca="false">Settings!$B$3&amp;".mit.atp."&amp;$C$5&amp;"."&amp;$B22&amp;".e."&amp;$J$5</f>
        <v>egy.mit.atp.irn.ker.e.1</v>
      </c>
      <c r="K22" s="22" t="n">
        <f aca="false">K12+INDEX(Data_Prices!K:K,MATCH($G22,Data_Prices!$A:$A,0))*K$37</f>
        <v>0.484294240973435</v>
      </c>
      <c r="L22" s="22" t="n">
        <f aca="false">L12+INDEX(Data_Prices!L:L,MATCH($G22,Data_Prices!$A:$A,0))*L$37</f>
        <v>0.456428170500128</v>
      </c>
      <c r="M22" s="22" t="n">
        <f aca="false">M12+INDEX(Data_Prices!M:M,MATCH($G22,Data_Prices!$A:$A,0))*M$37</f>
        <v>0.431689201955995</v>
      </c>
      <c r="N22" s="22" t="n">
        <f aca="false">N12+INDEX(Data_Prices!N:N,MATCH($G22,Data_Prices!$A:$A,0))*N$37</f>
        <v>0.42507558395597</v>
      </c>
      <c r="O22" s="22" t="n">
        <f aca="false">O12+INDEX(Data_Prices!O:O,MATCH($G22,Data_Prices!$A:$A,0))*O$37</f>
        <v>0.42507558395597</v>
      </c>
      <c r="P22" s="22" t="n">
        <f aca="false">P12+INDEX(Data_Prices!P:P,MATCH($G22,Data_Prices!$A:$A,0))*P$37</f>
        <v>0.42507558395597</v>
      </c>
      <c r="Q22" s="22" t="n">
        <f aca="false">Q12+INDEX(Data_Prices!Q:Q,MATCH($G22,Data_Prices!$A:$A,0))*Q$37</f>
        <v>0.42507558395597</v>
      </c>
      <c r="R22" s="22" t="n">
        <f aca="false">R12+INDEX(Data_Prices!R:R,MATCH($G22,Data_Prices!$A:$A,0))*R$37</f>
        <v>0.42507558395597</v>
      </c>
      <c r="S22" s="22" t="n">
        <f aca="false">S12+INDEX(Data_Prices!S:S,MATCH($G22,Data_Prices!$A:$A,0))*S$37</f>
        <v>0.42507558395597</v>
      </c>
      <c r="T22" s="22" t="n">
        <f aca="false">T12+INDEX(Data_Prices!T:T,MATCH($G22,Data_Prices!$A:$A,0))*T$37</f>
        <v>0.42507558395597</v>
      </c>
      <c r="U22" s="22" t="n">
        <f aca="false">U12+INDEX(Data_Prices!U:U,MATCH($G22,Data_Prices!$A:$A,0))*U$37</f>
        <v>0.42507558395597</v>
      </c>
      <c r="V22" s="22" t="n">
        <f aca="false">V12+INDEX(Data_Prices!V:V,MATCH($G22,Data_Prices!$A:$A,0))*V$37</f>
        <v>0.42507558395597</v>
      </c>
      <c r="W22" s="22" t="n">
        <f aca="false">W12+INDEX(Data_Prices!W:W,MATCH($G22,Data_Prices!$A:$A,0))*W$37</f>
        <v>0.42507558395597</v>
      </c>
      <c r="X22" s="22" t="n">
        <f aca="false">X12+INDEX(Data_Prices!X:X,MATCH($G22,Data_Prices!$A:$A,0))*X$37</f>
        <v>0.42507558395597</v>
      </c>
      <c r="Y22" s="22" t="n">
        <f aca="false">Y12+INDEX(Data_Prices!Y:Y,MATCH($G22,Data_Prices!$A:$A,0))*Y$37</f>
        <v>0.42507558395597</v>
      </c>
      <c r="Z22" s="22" t="n">
        <f aca="false">Z12+INDEX(Data_Prices!Z:Z,MATCH($G22,Data_Prices!$A:$A,0))*Z$37</f>
        <v>0.42507558395597</v>
      </c>
      <c r="AA22" s="22" t="n">
        <f aca="false">AA12+INDEX(Data_Prices!AA:AA,MATCH($G22,Data_Prices!$A:$A,0))*AA$37</f>
        <v>0.42507558395597</v>
      </c>
      <c r="AB22" s="22" t="n">
        <f aca="false">AB12+INDEX(Data_Prices!AB:AB,MATCH($G22,Data_Prices!$A:$A,0))*AB$37</f>
        <v>0.42507558395597</v>
      </c>
      <c r="AC22" s="22" t="n">
        <f aca="false">AC12+INDEX(Data_Prices!AC:AC,MATCH($G22,Data_Prices!$A:$A,0))*AC$37</f>
        <v>0.42507558395597</v>
      </c>
      <c r="AD22" s="22" t="n">
        <f aca="false">AD12+INDEX(Data_Prices!AD:AD,MATCH($G22,Data_Prices!$A:$A,0))*AD$37</f>
        <v>0.42507558395597</v>
      </c>
      <c r="AE22" s="22" t="n">
        <f aca="false">AE12+INDEX(Data_Prices!AE:AE,MATCH($G22,Data_Prices!$A:$A,0))*AE$37</f>
        <v>0.42507558395597</v>
      </c>
    </row>
    <row r="23" customFormat="false" ht="15" hidden="false" customHeight="false" outlineLevel="0" collapsed="false">
      <c r="B23" s="17" t="s">
        <v>68</v>
      </c>
      <c r="C23" s="17" t="str">
        <f aca="false">$C$5</f>
        <v>irn</v>
      </c>
      <c r="D23" s="18" t="s">
        <v>69</v>
      </c>
      <c r="E23" s="19" t="s">
        <v>70</v>
      </c>
      <c r="F23" s="17" t="s">
        <v>77</v>
      </c>
      <c r="G23" s="20" t="str">
        <f aca="false">Settings!$B$3&amp;".mit.nce."&amp;Settings!$B$4&amp;"."&amp;$B23&amp;".a."&amp;$J$5</f>
        <v>egy.mit.nce.ind.oop.a.1</v>
      </c>
      <c r="H23" s="21" t="str">
        <f aca="false">Settings!$B$3&amp;".mit.atp."&amp;$C$5&amp;"."&amp;$B23&amp;".e."&amp;$J$5</f>
        <v>egy.mit.atp.irn.oop.e.1</v>
      </c>
      <c r="K23" s="22" t="n">
        <f aca="false">K13+INDEX(Data_Prices!K:K,MATCH($G23,Data_Prices!$A:$A,0))*K$37</f>
        <v>41.5003384988684</v>
      </c>
      <c r="L23" s="22" t="n">
        <f aca="false">L13+INDEX(Data_Prices!L:L,MATCH($G23,Data_Prices!$A:$A,0))*L$37</f>
        <v>34.4153703043132</v>
      </c>
      <c r="M23" s="22" t="n">
        <f aca="false">M13+INDEX(Data_Prices!M:M,MATCH($G23,Data_Prices!$A:$A,0))*M$37</f>
        <v>37.368960690432</v>
      </c>
      <c r="N23" s="22" t="n">
        <f aca="false">N13+INDEX(Data_Prices!N:N,MATCH($G23,Data_Prices!$A:$A,0))*N$37</f>
        <v>28.9827611014773</v>
      </c>
      <c r="O23" s="22" t="n">
        <f aca="false">O13+INDEX(Data_Prices!O:O,MATCH($G23,Data_Prices!$A:$A,0))*O$37</f>
        <v>15</v>
      </c>
      <c r="P23" s="22" t="n">
        <f aca="false">P13+INDEX(Data_Prices!P:P,MATCH($G23,Data_Prices!$A:$A,0))*P$37</f>
        <v>24.2586300842555</v>
      </c>
      <c r="Q23" s="22" t="n">
        <f aca="false">Q13+INDEX(Data_Prices!Q:Q,MATCH($G23,Data_Prices!$A:$A,0))*Q$37</f>
        <v>15</v>
      </c>
      <c r="R23" s="22" t="n">
        <f aca="false">R13+INDEX(Data_Prices!R:R,MATCH($G23,Data_Prices!$A:$A,0))*R$37</f>
        <v>15</v>
      </c>
      <c r="S23" s="22" t="n">
        <f aca="false">S13+INDEX(Data_Prices!S:S,MATCH($G23,Data_Prices!$A:$A,0))*S$37</f>
        <v>15</v>
      </c>
      <c r="T23" s="22" t="n">
        <f aca="false">T13+INDEX(Data_Prices!T:T,MATCH($G23,Data_Prices!$A:$A,0))*T$37</f>
        <v>15</v>
      </c>
      <c r="U23" s="22" t="n">
        <f aca="false">U13+INDEX(Data_Prices!U:U,MATCH($G23,Data_Prices!$A:$A,0))*U$37</f>
        <v>15</v>
      </c>
      <c r="V23" s="22" t="n">
        <f aca="false">V13+INDEX(Data_Prices!V:V,MATCH($G23,Data_Prices!$A:$A,0))*V$37</f>
        <v>15</v>
      </c>
      <c r="W23" s="22" t="n">
        <f aca="false">W13+INDEX(Data_Prices!W:W,MATCH($G23,Data_Prices!$A:$A,0))*W$37</f>
        <v>15</v>
      </c>
      <c r="X23" s="22" t="n">
        <f aca="false">X13+INDEX(Data_Prices!X:X,MATCH($G23,Data_Prices!$A:$A,0))*X$37</f>
        <v>15</v>
      </c>
      <c r="Y23" s="22" t="n">
        <f aca="false">Y13+INDEX(Data_Prices!Y:Y,MATCH($G23,Data_Prices!$A:$A,0))*Y$37</f>
        <v>15</v>
      </c>
      <c r="Z23" s="22" t="n">
        <f aca="false">Z13+INDEX(Data_Prices!Z:Z,MATCH($G23,Data_Prices!$A:$A,0))*Z$37</f>
        <v>15</v>
      </c>
      <c r="AA23" s="22" t="n">
        <f aca="false">AA13+INDEX(Data_Prices!AA:AA,MATCH($G23,Data_Prices!$A:$A,0))*AA$37</f>
        <v>15</v>
      </c>
      <c r="AB23" s="22" t="n">
        <f aca="false">AB13+INDEX(Data_Prices!AB:AB,MATCH($G23,Data_Prices!$A:$A,0))*AB$37</f>
        <v>15</v>
      </c>
      <c r="AC23" s="22" t="n">
        <f aca="false">AC13+INDEX(Data_Prices!AC:AC,MATCH($G23,Data_Prices!$A:$A,0))*AC$37</f>
        <v>15</v>
      </c>
      <c r="AD23" s="22" t="n">
        <f aca="false">AD13+INDEX(Data_Prices!AD:AD,MATCH($G23,Data_Prices!$A:$A,0))*AD$37</f>
        <v>15</v>
      </c>
      <c r="AE23" s="22" t="n">
        <f aca="false">AE13+INDEX(Data_Prices!AE:AE,MATCH($G23,Data_Prices!$A:$A,0))*AE$37</f>
        <v>15</v>
      </c>
    </row>
    <row r="24" customFormat="false" ht="15" hidden="false" customHeight="false" outlineLevel="0" collapsed="false">
      <c r="B24" s="17" t="s">
        <v>71</v>
      </c>
      <c r="C24" s="17" t="str">
        <f aca="false">$C$5</f>
        <v>irn</v>
      </c>
      <c r="D24" s="18" t="s">
        <v>72</v>
      </c>
      <c r="E24" s="19" t="s">
        <v>55</v>
      </c>
      <c r="F24" s="17" t="s">
        <v>77</v>
      </c>
      <c r="G24" s="20" t="str">
        <f aca="false">Settings!$B$3&amp;".mit.nce."&amp;Settings!$B$4&amp;"."&amp;$B24&amp;".a."&amp;$J$5</f>
        <v>egy.mit.nce.ind.bio.a.1</v>
      </c>
      <c r="H24" s="21" t="str">
        <f aca="false">Settings!$B$3&amp;".mit.atp."&amp;$C$5&amp;"."&amp;$B24&amp;".e."&amp;$J$5</f>
        <v>egy.mit.atp.irn.bio.e.1</v>
      </c>
      <c r="K24" s="22" t="n">
        <f aca="false">K14+INDEX(Data_Prices!K:K,MATCH($G24,Data_Prices!$A:$A,0))*K$37</f>
        <v>15.3345505293169</v>
      </c>
      <c r="L24" s="22" t="n">
        <f aca="false">L14+INDEX(Data_Prices!L:L,MATCH($G24,Data_Prices!$A:$A,0))*L$37</f>
        <v>14.1995283906349</v>
      </c>
      <c r="M24" s="22" t="n">
        <f aca="false">M14+INDEX(Data_Prices!M:M,MATCH($G24,Data_Prices!$A:$A,0))*M$37</f>
        <v>13.8404416133152</v>
      </c>
      <c r="N24" s="22" t="n">
        <f aca="false">N14+INDEX(Data_Prices!N:N,MATCH($G24,Data_Prices!$A:$A,0))*N$37</f>
        <v>13.5677269404465</v>
      </c>
      <c r="O24" s="22" t="n">
        <f aca="false">O14+INDEX(Data_Prices!O:O,MATCH($G24,Data_Prices!$A:$A,0))*O$37</f>
        <v>13.5677269404465</v>
      </c>
      <c r="P24" s="22" t="n">
        <f aca="false">P14+INDEX(Data_Prices!P:P,MATCH($G24,Data_Prices!$A:$A,0))*P$37</f>
        <v>13.5677269404465</v>
      </c>
      <c r="Q24" s="22" t="n">
        <f aca="false">Q14+INDEX(Data_Prices!Q:Q,MATCH($G24,Data_Prices!$A:$A,0))*Q$37</f>
        <v>13.5677269404465</v>
      </c>
      <c r="R24" s="22" t="n">
        <f aca="false">R14+INDEX(Data_Prices!R:R,MATCH($G24,Data_Prices!$A:$A,0))*R$37</f>
        <v>13.5677269404465</v>
      </c>
      <c r="S24" s="22" t="n">
        <f aca="false">S14+INDEX(Data_Prices!S:S,MATCH($G24,Data_Prices!$A:$A,0))*S$37</f>
        <v>13.5677269404465</v>
      </c>
      <c r="T24" s="22" t="n">
        <f aca="false">T14+INDEX(Data_Prices!T:T,MATCH($G24,Data_Prices!$A:$A,0))*T$37</f>
        <v>13.5677269404465</v>
      </c>
      <c r="U24" s="22" t="n">
        <f aca="false">U14+INDEX(Data_Prices!U:U,MATCH($G24,Data_Prices!$A:$A,0))*U$37</f>
        <v>13.5677269404465</v>
      </c>
      <c r="V24" s="22" t="n">
        <f aca="false">V14+INDEX(Data_Prices!V:V,MATCH($G24,Data_Prices!$A:$A,0))*V$37</f>
        <v>13.5677269404465</v>
      </c>
      <c r="W24" s="22" t="n">
        <f aca="false">W14+INDEX(Data_Prices!W:W,MATCH($G24,Data_Prices!$A:$A,0))*W$37</f>
        <v>13.5677269404465</v>
      </c>
      <c r="X24" s="22" t="n">
        <f aca="false">X14+INDEX(Data_Prices!X:X,MATCH($G24,Data_Prices!$A:$A,0))*X$37</f>
        <v>13.5677269404465</v>
      </c>
      <c r="Y24" s="22" t="n">
        <f aca="false">Y14+INDEX(Data_Prices!Y:Y,MATCH($G24,Data_Prices!$A:$A,0))*Y$37</f>
        <v>13.5677269404465</v>
      </c>
      <c r="Z24" s="22" t="n">
        <f aca="false">Z14+INDEX(Data_Prices!Z:Z,MATCH($G24,Data_Prices!$A:$A,0))*Z$37</f>
        <v>13.5677269404465</v>
      </c>
      <c r="AA24" s="22" t="n">
        <f aca="false">AA14+INDEX(Data_Prices!AA:AA,MATCH($G24,Data_Prices!$A:$A,0))*AA$37</f>
        <v>13.5677269404465</v>
      </c>
      <c r="AB24" s="22" t="n">
        <f aca="false">AB14+INDEX(Data_Prices!AB:AB,MATCH($G24,Data_Prices!$A:$A,0))*AB$37</f>
        <v>13.5677269404465</v>
      </c>
      <c r="AC24" s="22" t="n">
        <f aca="false">AC14+INDEX(Data_Prices!AC:AC,MATCH($G24,Data_Prices!$A:$A,0))*AC$37</f>
        <v>13.5677269404465</v>
      </c>
      <c r="AD24" s="22" t="n">
        <f aca="false">AD14+INDEX(Data_Prices!AD:AD,MATCH($G24,Data_Prices!$A:$A,0))*AD$37</f>
        <v>13.5677269404465</v>
      </c>
      <c r="AE24" s="22" t="n">
        <f aca="false">AE14+INDEX(Data_Prices!AE:AE,MATCH($G24,Data_Prices!$A:$A,0))*AE$37</f>
        <v>13.5677269404465</v>
      </c>
    </row>
    <row r="25" customFormat="false" ht="15" hidden="false" customHeight="false" outlineLevel="0" collapsed="false">
      <c r="B25" s="17" t="s">
        <v>73</v>
      </c>
      <c r="C25" s="17" t="str">
        <f aca="false">$C$5</f>
        <v>irn</v>
      </c>
      <c r="D25" s="18" t="s">
        <v>74</v>
      </c>
      <c r="E25" s="19" t="s">
        <v>75</v>
      </c>
      <c r="F25" s="17" t="s">
        <v>77</v>
      </c>
      <c r="G25" s="20" t="str">
        <f aca="false">Settings!$B$3&amp;".mit.nce."&amp;Settings!$B$4&amp;"."&amp;$B25&amp;".a."&amp;$J$5</f>
        <v>egy.mit.nce.ind.ren.a.1</v>
      </c>
      <c r="H25" s="21" t="str">
        <f aca="false">Settings!$B$3&amp;".mit.atp."&amp;$C$5&amp;"."&amp;$B25&amp;".e."&amp;$J$5</f>
        <v>egy.mit.atp.irn.ren.e.1</v>
      </c>
      <c r="K25" s="22" t="n">
        <f aca="false">K15+INDEX(Data_Prices!K:K,MATCH($G25,Data_Prices!$A:$A,0))*K$37</f>
        <v>0</v>
      </c>
      <c r="L25" s="22" t="n">
        <f aca="false">L15+INDEX(Data_Prices!L:L,MATCH($G25,Data_Prices!$A:$A,0))*L$37</f>
        <v>0.144044986793198</v>
      </c>
      <c r="M25" s="22" t="n">
        <f aca="false">M15+INDEX(Data_Prices!M:M,MATCH($G25,Data_Prices!$A:$A,0))*M$37</f>
        <v>0.141020409657004</v>
      </c>
      <c r="N25" s="22" t="n">
        <f aca="false">N15+INDEX(Data_Prices!N:N,MATCH($G25,Data_Prices!$A:$A,0))*N$37</f>
        <v>0.135116359594476</v>
      </c>
      <c r="O25" s="22" t="n">
        <f aca="false">O15+INDEX(Data_Prices!O:O,MATCH($G25,Data_Prices!$A:$A,0))*O$37</f>
        <v>0.130988256985856</v>
      </c>
      <c r="P25" s="22" t="n">
        <f aca="false">P15+INDEX(Data_Prices!P:P,MATCH($G25,Data_Prices!$A:$A,0))*P$37</f>
        <v>0.127908416086318</v>
      </c>
      <c r="Q25" s="22" t="n">
        <f aca="false">Q15+INDEX(Data_Prices!Q:Q,MATCH($G25,Data_Prices!$A:$A,0))*Q$37</f>
        <v>0.124814310557813</v>
      </c>
      <c r="R25" s="22" t="n">
        <f aca="false">R15+INDEX(Data_Prices!R:R,MATCH($G25,Data_Prices!$A:$A,0))*R$37</f>
        <v>0.121460257122878</v>
      </c>
      <c r="S25" s="22" t="n">
        <f aca="false">S15+INDEX(Data_Prices!S:S,MATCH($G25,Data_Prices!$A:$A,0))*S$37</f>
        <v>0.117950744135786</v>
      </c>
      <c r="T25" s="22" t="n">
        <f aca="false">T15+INDEX(Data_Prices!T:T,MATCH($G25,Data_Prices!$A:$A,0))*T$37</f>
        <v>0.114199161044597</v>
      </c>
      <c r="U25" s="22" t="n">
        <f aca="false">U15+INDEX(Data_Prices!U:U,MATCH($G25,Data_Prices!$A:$A,0))*U$37</f>
        <v>0.113665100059665</v>
      </c>
      <c r="V25" s="22" t="n">
        <f aca="false">V15+INDEX(Data_Prices!V:V,MATCH($G25,Data_Prices!$A:$A,0))*V$37</f>
        <v>0.113016929625957</v>
      </c>
      <c r="W25" s="22" t="n">
        <f aca="false">W15+INDEX(Data_Prices!W:W,MATCH($G25,Data_Prices!$A:$A,0))*W$37</f>
        <v>0.112314070507636</v>
      </c>
      <c r="X25" s="22" t="n">
        <f aca="false">X15+INDEX(Data_Prices!X:X,MATCH($G25,Data_Prices!$A:$A,0))*X$37</f>
        <v>0.111422042732843</v>
      </c>
      <c r="Y25" s="22" t="n">
        <f aca="false">Y15+INDEX(Data_Prices!Y:Y,MATCH($G25,Data_Prices!$A:$A,0))*Y$37</f>
        <v>0.110434123675809</v>
      </c>
      <c r="Z25" s="22" t="n">
        <f aca="false">Z15+INDEX(Data_Prices!Z:Z,MATCH($G25,Data_Prices!$A:$A,0))*Z$37</f>
        <v>0.109483973304471</v>
      </c>
      <c r="AA25" s="22" t="n">
        <f aca="false">AA15+INDEX(Data_Prices!AA:AA,MATCH($G25,Data_Prices!$A:$A,0))*AA$37</f>
        <v>0.10839192105294</v>
      </c>
      <c r="AB25" s="22" t="n">
        <f aca="false">AB15+INDEX(Data_Prices!AB:AB,MATCH($G25,Data_Prices!$A:$A,0))*AB$37</f>
        <v>0.107354433626704</v>
      </c>
      <c r="AC25" s="22" t="n">
        <f aca="false">AC15+INDEX(Data_Prices!AC:AC,MATCH($G25,Data_Prices!$A:$A,0))*AC$37</f>
        <v>0.105168675441661</v>
      </c>
      <c r="AD25" s="22" t="n">
        <f aca="false">AD15+INDEX(Data_Prices!AD:AD,MATCH($G25,Data_Prices!$A:$A,0))*AD$37</f>
        <v>0.103057983256008</v>
      </c>
      <c r="AE25" s="22" t="n">
        <f aca="false">AE15+INDEX(Data_Prices!AE:AE,MATCH($G25,Data_Prices!$A:$A,0))*AE$37</f>
        <v>0.100931838990114</v>
      </c>
    </row>
    <row r="26" customFormat="false" ht="15" hidden="false" customHeight="false" outlineLevel="0" collapsed="false">
      <c r="B26" s="16" t="s">
        <v>78</v>
      </c>
    </row>
    <row r="27" customFormat="false" ht="15" hidden="false" customHeight="false" outlineLevel="0" collapsed="false">
      <c r="B27" s="17" t="s">
        <v>53</v>
      </c>
      <c r="C27" s="17" t="str">
        <f aca="false">$C$5</f>
        <v>irn</v>
      </c>
      <c r="D27" s="18" t="s">
        <v>54</v>
      </c>
      <c r="E27" s="19" t="s">
        <v>55</v>
      </c>
      <c r="F27" s="17" t="s">
        <v>79</v>
      </c>
      <c r="G27" s="20" t="str">
        <f aca="false">Settings!$B$3&amp;".mit.shp."&amp;$B27&amp;"."&amp;Settings!$B$4&amp;"."&amp;$J$5</f>
        <v>egy.mit.shp.coa.ind.1</v>
      </c>
      <c r="H27" s="21" t="str">
        <f aca="false">Settings!$B$3&amp;".mit.shp."&amp;$C$5&amp;"."&amp;$B27&amp;".e."&amp;$J$5</f>
        <v>egy.mit.shp.irn.coa.e.1</v>
      </c>
      <c r="K27" s="23" t="n">
        <f aca="false">K17+INDEX(Data_Prices!K:K,MATCH($G27,Data_Prices!$A:$A,0))*K$38</f>
        <v>11.1829015892439</v>
      </c>
      <c r="L27" s="23" t="n">
        <f aca="false">L17+INDEX(Data_Prices!L:L,MATCH($G27,Data_Prices!$A:$A,0))*L$38</f>
        <v>10.5233613454312</v>
      </c>
      <c r="M27" s="23" t="n">
        <f aca="false">M17+INDEX(Data_Prices!M:M,MATCH($G27,Data_Prices!$A:$A,0))*M$38</f>
        <v>10.2995608274442</v>
      </c>
      <c r="N27" s="23" t="n">
        <f aca="false">N17+INDEX(Data_Prices!N:N,MATCH($G27,Data_Prices!$A:$A,0))*N$38</f>
        <v>9.57752835953826</v>
      </c>
      <c r="O27" s="23" t="n">
        <f aca="false">O17+INDEX(Data_Prices!O:O,MATCH($G27,Data_Prices!$A:$A,0))*O$38</f>
        <v>8.48547828695805</v>
      </c>
      <c r="P27" s="23" t="n">
        <f aca="false">P17+INDEX(Data_Prices!P:P,MATCH($G27,Data_Prices!$A:$A,0))*P$38</f>
        <v>9.08719223524986</v>
      </c>
      <c r="Q27" s="23" t="n">
        <f aca="false">Q17+INDEX(Data_Prices!Q:Q,MATCH($G27,Data_Prices!$A:$A,0))*Q$38</f>
        <v>9.22292372893268</v>
      </c>
      <c r="R27" s="23" t="n">
        <f aca="false">R17+INDEX(Data_Prices!R:R,MATCH($G27,Data_Prices!$A:$A,0))*R$38</f>
        <v>9.15856495550969</v>
      </c>
      <c r="S27" s="23" t="n">
        <f aca="false">S17+INDEX(Data_Prices!S:S,MATCH($G27,Data_Prices!$A:$A,0))*S$38</f>
        <v>9.08954787739738</v>
      </c>
      <c r="T27" s="23" t="n">
        <f aca="false">T17+INDEX(Data_Prices!T:T,MATCH($G27,Data_Prices!$A:$A,0))*T$38</f>
        <v>9.01568166602283</v>
      </c>
      <c r="U27" s="23" t="n">
        <f aca="false">U17+INDEX(Data_Prices!U:U,MATCH($G27,Data_Prices!$A:$A,0))*U$38</f>
        <v>8.94439776555711</v>
      </c>
      <c r="V27" s="23" t="n">
        <f aca="false">V17+INDEX(Data_Prices!V:V,MATCH($G27,Data_Prices!$A:$A,0))*V$38</f>
        <v>8.94439776555711</v>
      </c>
      <c r="W27" s="23" t="n">
        <f aca="false">W17+INDEX(Data_Prices!W:W,MATCH($G27,Data_Prices!$A:$A,0))*W$38</f>
        <v>8.94439776555711</v>
      </c>
      <c r="X27" s="23" t="n">
        <f aca="false">X17+INDEX(Data_Prices!X:X,MATCH($G27,Data_Prices!$A:$A,0))*X$38</f>
        <v>8.94439776555711</v>
      </c>
      <c r="Y27" s="23" t="n">
        <f aca="false">Y17+INDEX(Data_Prices!Y:Y,MATCH($G27,Data_Prices!$A:$A,0))*Y$38</f>
        <v>8.94439776555711</v>
      </c>
      <c r="Z27" s="23" t="n">
        <f aca="false">Z17+INDEX(Data_Prices!Z:Z,MATCH($G27,Data_Prices!$A:$A,0))*Z$38</f>
        <v>8.94439776555711</v>
      </c>
      <c r="AA27" s="23" t="n">
        <f aca="false">AA17+INDEX(Data_Prices!AA:AA,MATCH($G27,Data_Prices!$A:$A,0))*AA$38</f>
        <v>8.94439776555711</v>
      </c>
      <c r="AB27" s="23" t="n">
        <f aca="false">AB17+INDEX(Data_Prices!AB:AB,MATCH($G27,Data_Prices!$A:$A,0))*AB$38</f>
        <v>8.94439776555711</v>
      </c>
      <c r="AC27" s="23" t="n">
        <f aca="false">AC17+INDEX(Data_Prices!AC:AC,MATCH($G27,Data_Prices!$A:$A,0))*AC$38</f>
        <v>8.94439776555711</v>
      </c>
      <c r="AD27" s="23" t="n">
        <f aca="false">AD17+INDEX(Data_Prices!AD:AD,MATCH($G27,Data_Prices!$A:$A,0))*AD$38</f>
        <v>8.94439776555711</v>
      </c>
      <c r="AE27" s="23" t="n">
        <f aca="false">AE17+INDEX(Data_Prices!AE:AE,MATCH($G27,Data_Prices!$A:$A,0))*AE$38</f>
        <v>8.94439776555711</v>
      </c>
    </row>
    <row r="28" customFormat="false" ht="15" hidden="false" customHeight="false" outlineLevel="0" collapsed="false">
      <c r="B28" s="17" t="s">
        <v>57</v>
      </c>
      <c r="C28" s="17" t="str">
        <f aca="false">$C$5</f>
        <v>irn</v>
      </c>
      <c r="D28" s="18" t="s">
        <v>58</v>
      </c>
      <c r="E28" s="19" t="s">
        <v>55</v>
      </c>
      <c r="F28" s="17" t="s">
        <v>79</v>
      </c>
      <c r="G28" s="20" t="str">
        <f aca="false">Settings!$B$3&amp;".mit.shp."&amp;$B28&amp;"."&amp;Settings!$B$4&amp;"."&amp;$J$5</f>
        <v>egy.mit.shp.nga.ind.1</v>
      </c>
      <c r="H28" s="21" t="str">
        <f aca="false">Settings!$B$3&amp;".mit.shp."&amp;$C$5&amp;"."&amp;$B28&amp;".e."&amp;$J$5</f>
        <v>egy.mit.shp.irn.nga.e.1</v>
      </c>
      <c r="K28" s="23" t="n">
        <f aca="false">K18+INDEX(Data_Prices!K:K,MATCH($G28,Data_Prices!$A:$A,0))*K$38</f>
        <v>6.06346361567291</v>
      </c>
      <c r="L28" s="23" t="n">
        <f aca="false">L18+INDEX(Data_Prices!L:L,MATCH($G28,Data_Prices!$A:$A,0))*L$38</f>
        <v>5.45101508161919</v>
      </c>
      <c r="M28" s="23" t="n">
        <f aca="false">M18+INDEX(Data_Prices!M:M,MATCH($G28,Data_Prices!$A:$A,0))*M$38</f>
        <v>5.11935630626248</v>
      </c>
      <c r="N28" s="23" t="n">
        <f aca="false">N18+INDEX(Data_Prices!N:N,MATCH($G28,Data_Prices!$A:$A,0))*N$38</f>
        <v>5.08218458640407</v>
      </c>
      <c r="O28" s="23" t="n">
        <f aca="false">O18+INDEX(Data_Prices!O:O,MATCH($G28,Data_Prices!$A:$A,0))*O$38</f>
        <v>5.08218458640407</v>
      </c>
      <c r="P28" s="23" t="n">
        <f aca="false">P18+INDEX(Data_Prices!P:P,MATCH($G28,Data_Prices!$A:$A,0))*P$38</f>
        <v>5.08218458640407</v>
      </c>
      <c r="Q28" s="23" t="n">
        <f aca="false">Q18+INDEX(Data_Prices!Q:Q,MATCH($G28,Data_Prices!$A:$A,0))*Q$38</f>
        <v>5.08218458640407</v>
      </c>
      <c r="R28" s="23" t="n">
        <f aca="false">R18+INDEX(Data_Prices!R:R,MATCH($G28,Data_Prices!$A:$A,0))*R$38</f>
        <v>5.08218458640407</v>
      </c>
      <c r="S28" s="23" t="n">
        <f aca="false">S18+INDEX(Data_Prices!S:S,MATCH($G28,Data_Prices!$A:$A,0))*S$38</f>
        <v>5.08218458640407</v>
      </c>
      <c r="T28" s="23" t="n">
        <f aca="false">T18+INDEX(Data_Prices!T:T,MATCH($G28,Data_Prices!$A:$A,0))*T$38</f>
        <v>5.08218458640407</v>
      </c>
      <c r="U28" s="23" t="n">
        <f aca="false">U18+INDEX(Data_Prices!U:U,MATCH($G28,Data_Prices!$A:$A,0))*U$38</f>
        <v>5.08218458640407</v>
      </c>
      <c r="V28" s="23" t="n">
        <f aca="false">V18+INDEX(Data_Prices!V:V,MATCH($G28,Data_Prices!$A:$A,0))*V$38</f>
        <v>5.08218458640407</v>
      </c>
      <c r="W28" s="23" t="n">
        <f aca="false">W18+INDEX(Data_Prices!W:W,MATCH($G28,Data_Prices!$A:$A,0))*W$38</f>
        <v>5.08218458640407</v>
      </c>
      <c r="X28" s="23" t="n">
        <f aca="false">X18+INDEX(Data_Prices!X:X,MATCH($G28,Data_Prices!$A:$A,0))*X$38</f>
        <v>5.08218458640407</v>
      </c>
      <c r="Y28" s="23" t="n">
        <f aca="false">Y18+INDEX(Data_Prices!Y:Y,MATCH($G28,Data_Prices!$A:$A,0))*Y$38</f>
        <v>5.08218458640407</v>
      </c>
      <c r="Z28" s="23" t="n">
        <f aca="false">Z18+INDEX(Data_Prices!Z:Z,MATCH($G28,Data_Prices!$A:$A,0))*Z$38</f>
        <v>5.08218458640407</v>
      </c>
      <c r="AA28" s="23" t="n">
        <f aca="false">AA18+INDEX(Data_Prices!AA:AA,MATCH($G28,Data_Prices!$A:$A,0))*AA$38</f>
        <v>5.08218458640407</v>
      </c>
      <c r="AB28" s="23" t="n">
        <f aca="false">AB18+INDEX(Data_Prices!AB:AB,MATCH($G28,Data_Prices!$A:$A,0))*AB$38</f>
        <v>5.08218458640407</v>
      </c>
      <c r="AC28" s="23" t="n">
        <f aca="false">AC18+INDEX(Data_Prices!AC:AC,MATCH($G28,Data_Prices!$A:$A,0))*AC$38</f>
        <v>5.08218458640407</v>
      </c>
      <c r="AD28" s="23" t="n">
        <f aca="false">AD18+INDEX(Data_Prices!AD:AD,MATCH($G28,Data_Prices!$A:$A,0))*AD$38</f>
        <v>5.08218458640407</v>
      </c>
      <c r="AE28" s="23" t="n">
        <f aca="false">AE18+INDEX(Data_Prices!AE:AE,MATCH($G28,Data_Prices!$A:$A,0))*AE$38</f>
        <v>5.08218458640407</v>
      </c>
    </row>
    <row r="29" customFormat="false" ht="15" hidden="false" customHeight="false" outlineLevel="0" collapsed="false">
      <c r="B29" s="17" t="s">
        <v>59</v>
      </c>
      <c r="C29" s="17" t="str">
        <f aca="false">$C$5</f>
        <v>irn</v>
      </c>
      <c r="D29" s="18" t="s">
        <v>60</v>
      </c>
      <c r="E29" s="19" t="s">
        <v>61</v>
      </c>
      <c r="F29" s="17" t="s">
        <v>79</v>
      </c>
      <c r="G29" s="20" t="str">
        <f aca="false">Settings!$B$3&amp;".mit.shp."&amp;$B29&amp;"."&amp;Settings!$B$4&amp;"."&amp;$J$5</f>
        <v>egy.mit.shp.gso.ind.1</v>
      </c>
      <c r="H29" s="21" t="str">
        <f aca="false">Settings!$B$3&amp;".mit.shp."&amp;$C$5&amp;"."&amp;$B29&amp;".e."&amp;$J$5</f>
        <v>egy.mit.shp.irn.gso.e.1</v>
      </c>
      <c r="K29" s="23" t="n">
        <f aca="false">K19+INDEX(Data_Prices!K:K,MATCH($G29,Data_Prices!$A:$A,0))*K$38</f>
        <v>0.671146533321816</v>
      </c>
      <c r="L29" s="23" t="n">
        <f aca="false">L19+INDEX(Data_Prices!L:L,MATCH($G29,Data_Prices!$A:$A,0))*L$38</f>
        <v>0.611977976791406</v>
      </c>
      <c r="M29" s="23" t="n">
        <f aca="false">M19+INDEX(Data_Prices!M:M,MATCH($G29,Data_Prices!$A:$A,0))*M$38</f>
        <v>0.611809749641876</v>
      </c>
      <c r="N29" s="23" t="n">
        <f aca="false">N19+INDEX(Data_Prices!N:N,MATCH($G29,Data_Prices!$A:$A,0))*N$38</f>
        <v>0.603583100177906</v>
      </c>
      <c r="O29" s="23" t="n">
        <f aca="false">O19+INDEX(Data_Prices!O:O,MATCH($G29,Data_Prices!$A:$A,0))*O$38</f>
        <v>0.603583100177906</v>
      </c>
      <c r="P29" s="23" t="n">
        <f aca="false">P19+INDEX(Data_Prices!P:P,MATCH($G29,Data_Prices!$A:$A,0))*P$38</f>
        <v>0.603583100177906</v>
      </c>
      <c r="Q29" s="23" t="n">
        <f aca="false">Q19+INDEX(Data_Prices!Q:Q,MATCH($G29,Data_Prices!$A:$A,0))*Q$38</f>
        <v>0.603583100177906</v>
      </c>
      <c r="R29" s="23" t="n">
        <f aca="false">R19+INDEX(Data_Prices!R:R,MATCH($G29,Data_Prices!$A:$A,0))*R$38</f>
        <v>0.603583100177906</v>
      </c>
      <c r="S29" s="23" t="n">
        <f aca="false">S19+INDEX(Data_Prices!S:S,MATCH($G29,Data_Prices!$A:$A,0))*S$38</f>
        <v>0.603583100177906</v>
      </c>
      <c r="T29" s="23" t="n">
        <f aca="false">T19+INDEX(Data_Prices!T:T,MATCH($G29,Data_Prices!$A:$A,0))*T$38</f>
        <v>0.603583100177906</v>
      </c>
      <c r="U29" s="23" t="n">
        <f aca="false">U19+INDEX(Data_Prices!U:U,MATCH($G29,Data_Prices!$A:$A,0))*U$38</f>
        <v>0.603583100177906</v>
      </c>
      <c r="V29" s="23" t="n">
        <f aca="false">V19+INDEX(Data_Prices!V:V,MATCH($G29,Data_Prices!$A:$A,0))*V$38</f>
        <v>0.603583100177906</v>
      </c>
      <c r="W29" s="23" t="n">
        <f aca="false">W19+INDEX(Data_Prices!W:W,MATCH($G29,Data_Prices!$A:$A,0))*W$38</f>
        <v>0.603583100177906</v>
      </c>
      <c r="X29" s="23" t="n">
        <f aca="false">X19+INDEX(Data_Prices!X:X,MATCH($G29,Data_Prices!$A:$A,0))*X$38</f>
        <v>0.603583100177906</v>
      </c>
      <c r="Y29" s="23" t="n">
        <f aca="false">Y19+INDEX(Data_Prices!Y:Y,MATCH($G29,Data_Prices!$A:$A,0))*Y$38</f>
        <v>0.603583100177906</v>
      </c>
      <c r="Z29" s="23" t="n">
        <f aca="false">Z19+INDEX(Data_Prices!Z:Z,MATCH($G29,Data_Prices!$A:$A,0))*Z$38</f>
        <v>0.603583100177906</v>
      </c>
      <c r="AA29" s="23" t="n">
        <f aca="false">AA19+INDEX(Data_Prices!AA:AA,MATCH($G29,Data_Prices!$A:$A,0))*AA$38</f>
        <v>0.603583100177906</v>
      </c>
      <c r="AB29" s="23" t="n">
        <f aca="false">AB19+INDEX(Data_Prices!AB:AB,MATCH($G29,Data_Prices!$A:$A,0))*AB$38</f>
        <v>0.603583100177906</v>
      </c>
      <c r="AC29" s="23" t="n">
        <f aca="false">AC19+INDEX(Data_Prices!AC:AC,MATCH($G29,Data_Prices!$A:$A,0))*AC$38</f>
        <v>0.603583100177906</v>
      </c>
      <c r="AD29" s="23" t="n">
        <f aca="false">AD19+INDEX(Data_Prices!AD:AD,MATCH($G29,Data_Prices!$A:$A,0))*AD$38</f>
        <v>0.603583100177906</v>
      </c>
      <c r="AE29" s="23" t="n">
        <f aca="false">AE19+INDEX(Data_Prices!AE:AE,MATCH($G29,Data_Prices!$A:$A,0))*AE$38</f>
        <v>0.603583100177906</v>
      </c>
    </row>
    <row r="30" customFormat="false" ht="15" hidden="false" customHeight="false" outlineLevel="0" collapsed="false">
      <c r="B30" s="17" t="s">
        <v>62</v>
      </c>
      <c r="C30" s="17" t="str">
        <f aca="false">$C$5</f>
        <v>irn</v>
      </c>
      <c r="D30" s="18" t="s">
        <v>63</v>
      </c>
      <c r="E30" s="19" t="s">
        <v>61</v>
      </c>
      <c r="F30" s="17" t="s">
        <v>79</v>
      </c>
      <c r="G30" s="20" t="str">
        <f aca="false">Settings!$B$3&amp;".mit.shp."&amp;$B30&amp;"."&amp;Settings!$B$4&amp;"."&amp;$J$5</f>
        <v>egy.mit.shp.die.ind.1</v>
      </c>
      <c r="H30" s="21" t="str">
        <f aca="false">Settings!$B$3&amp;".mit.shp."&amp;$C$5&amp;"."&amp;$B30&amp;".e."&amp;$J$5</f>
        <v>egy.mit.shp.irn.die.e.1</v>
      </c>
      <c r="K30" s="23" t="n">
        <f aca="false">K20+INDEX(Data_Prices!K:K,MATCH($G30,Data_Prices!$A:$A,0))*K$38</f>
        <v>0.559711213155688</v>
      </c>
      <c r="L30" s="23" t="n">
        <f aca="false">L20+INDEX(Data_Prices!L:L,MATCH($G30,Data_Prices!$A:$A,0))*L$38</f>
        <v>0.494588730841068</v>
      </c>
      <c r="M30" s="23" t="n">
        <f aca="false">M20+INDEX(Data_Prices!M:M,MATCH($G30,Data_Prices!$A:$A,0))*M$38</f>
        <v>0.507786547202501</v>
      </c>
      <c r="N30" s="23" t="n">
        <f aca="false">N20+INDEX(Data_Prices!N:N,MATCH($G30,Data_Prices!$A:$A,0))*N$38</f>
        <v>0.470436426795617</v>
      </c>
      <c r="O30" s="23" t="n">
        <f aca="false">O20+INDEX(Data_Prices!O:O,MATCH($G30,Data_Prices!$A:$A,0))*O$38</f>
        <v>0.470436426795617</v>
      </c>
      <c r="P30" s="23" t="n">
        <f aca="false">P20+INDEX(Data_Prices!P:P,MATCH($G30,Data_Prices!$A:$A,0))*P$38</f>
        <v>0.470436426795617</v>
      </c>
      <c r="Q30" s="23" t="n">
        <f aca="false">Q20+INDEX(Data_Prices!Q:Q,MATCH($G30,Data_Prices!$A:$A,0))*Q$38</f>
        <v>0.470436426795617</v>
      </c>
      <c r="R30" s="23" t="n">
        <f aca="false">R20+INDEX(Data_Prices!R:R,MATCH($G30,Data_Prices!$A:$A,0))*R$38</f>
        <v>0.470436426795617</v>
      </c>
      <c r="S30" s="23" t="n">
        <f aca="false">S20+INDEX(Data_Prices!S:S,MATCH($G30,Data_Prices!$A:$A,0))*S$38</f>
        <v>0.470436426795617</v>
      </c>
      <c r="T30" s="23" t="n">
        <f aca="false">T20+INDEX(Data_Prices!T:T,MATCH($G30,Data_Prices!$A:$A,0))*T$38</f>
        <v>0.470436426795617</v>
      </c>
      <c r="U30" s="23" t="n">
        <f aca="false">U20+INDEX(Data_Prices!U:U,MATCH($G30,Data_Prices!$A:$A,0))*U$38</f>
        <v>0.470436426795617</v>
      </c>
      <c r="V30" s="23" t="n">
        <f aca="false">V20+INDEX(Data_Prices!V:V,MATCH($G30,Data_Prices!$A:$A,0))*V$38</f>
        <v>0.470436426795617</v>
      </c>
      <c r="W30" s="23" t="n">
        <f aca="false">W20+INDEX(Data_Prices!W:W,MATCH($G30,Data_Prices!$A:$A,0))*W$38</f>
        <v>0.470436426795617</v>
      </c>
      <c r="X30" s="23" t="n">
        <f aca="false">X20+INDEX(Data_Prices!X:X,MATCH($G30,Data_Prices!$A:$A,0))*X$38</f>
        <v>0.470436426795617</v>
      </c>
      <c r="Y30" s="23" t="n">
        <f aca="false">Y20+INDEX(Data_Prices!Y:Y,MATCH($G30,Data_Prices!$A:$A,0))*Y$38</f>
        <v>0.470436426795617</v>
      </c>
      <c r="Z30" s="23" t="n">
        <f aca="false">Z20+INDEX(Data_Prices!Z:Z,MATCH($G30,Data_Prices!$A:$A,0))*Z$38</f>
        <v>0.470436426795617</v>
      </c>
      <c r="AA30" s="23" t="n">
        <f aca="false">AA20+INDEX(Data_Prices!AA:AA,MATCH($G30,Data_Prices!$A:$A,0))*AA$38</f>
        <v>0.470436426795617</v>
      </c>
      <c r="AB30" s="23" t="n">
        <f aca="false">AB20+INDEX(Data_Prices!AB:AB,MATCH($G30,Data_Prices!$A:$A,0))*AB$38</f>
        <v>0.470436426795617</v>
      </c>
      <c r="AC30" s="23" t="n">
        <f aca="false">AC20+INDEX(Data_Prices!AC:AC,MATCH($G30,Data_Prices!$A:$A,0))*AC$38</f>
        <v>0.470436426795617</v>
      </c>
      <c r="AD30" s="23" t="n">
        <f aca="false">AD20+INDEX(Data_Prices!AD:AD,MATCH($G30,Data_Prices!$A:$A,0))*AD$38</f>
        <v>0.470436426795617</v>
      </c>
      <c r="AE30" s="23" t="n">
        <f aca="false">AE20+INDEX(Data_Prices!AE:AE,MATCH($G30,Data_Prices!$A:$A,0))*AE$38</f>
        <v>0.470436426795617</v>
      </c>
    </row>
    <row r="31" customFormat="false" ht="15" hidden="false" customHeight="false" outlineLevel="0" collapsed="false">
      <c r="B31" s="17" t="s">
        <v>64</v>
      </c>
      <c r="C31" s="17" t="str">
        <f aca="false">$C$5</f>
        <v>irn</v>
      </c>
      <c r="D31" s="18" t="s">
        <v>65</v>
      </c>
      <c r="E31" s="19" t="s">
        <v>61</v>
      </c>
      <c r="F31" s="17" t="s">
        <v>79</v>
      </c>
      <c r="G31" s="20" t="str">
        <f aca="false">Settings!$B$3&amp;".mit.shp."&amp;$B31&amp;"."&amp;Settings!$B$4&amp;"."&amp;$J$5</f>
        <v>egy.mit.shp.lpg.ind.1</v>
      </c>
      <c r="H31" s="21" t="str">
        <f aca="false">Settings!$B$3&amp;".mit.shp."&amp;$C$5&amp;"."&amp;$B31&amp;".e."&amp;$J$5</f>
        <v>egy.mit.shp.irn.lpg.e.1</v>
      </c>
      <c r="K31" s="23" t="n">
        <f aca="false">K21+INDEX(Data_Prices!K:K,MATCH($G31,Data_Prices!$A:$A,0))*K$38</f>
        <v>0.200366691126738</v>
      </c>
      <c r="L31" s="23" t="n">
        <f aca="false">L21+INDEX(Data_Prices!L:L,MATCH($G31,Data_Prices!$A:$A,0))*L$38</f>
        <v>0.157344736252274</v>
      </c>
      <c r="M31" s="23" t="n">
        <f aca="false">M21+INDEX(Data_Prices!M:M,MATCH($G31,Data_Prices!$A:$A,0))*M$38</f>
        <v>0.164484037759277</v>
      </c>
      <c r="N31" s="23" t="n">
        <f aca="false">N21+INDEX(Data_Prices!N:N,MATCH($G31,Data_Prices!$A:$A,0))*N$38</f>
        <v>0.150709077807049</v>
      </c>
      <c r="O31" s="23" t="n">
        <f aca="false">O21+INDEX(Data_Prices!O:O,MATCH($G31,Data_Prices!$A:$A,0))*O$38</f>
        <v>0.150709077807049</v>
      </c>
      <c r="P31" s="23" t="n">
        <f aca="false">P21+INDEX(Data_Prices!P:P,MATCH($G31,Data_Prices!$A:$A,0))*P$38</f>
        <v>0.150709077807049</v>
      </c>
      <c r="Q31" s="23" t="n">
        <f aca="false">Q21+INDEX(Data_Prices!Q:Q,MATCH($G31,Data_Prices!$A:$A,0))*Q$38</f>
        <v>0.150709077807049</v>
      </c>
      <c r="R31" s="23" t="n">
        <f aca="false">R21+INDEX(Data_Prices!R:R,MATCH($G31,Data_Prices!$A:$A,0))*R$38</f>
        <v>0.150709077807049</v>
      </c>
      <c r="S31" s="23" t="n">
        <f aca="false">S21+INDEX(Data_Prices!S:S,MATCH($G31,Data_Prices!$A:$A,0))*S$38</f>
        <v>0.150709077807049</v>
      </c>
      <c r="T31" s="23" t="n">
        <f aca="false">T21+INDEX(Data_Prices!T:T,MATCH($G31,Data_Prices!$A:$A,0))*T$38</f>
        <v>0.150709077807049</v>
      </c>
      <c r="U31" s="23" t="n">
        <f aca="false">U21+INDEX(Data_Prices!U:U,MATCH($G31,Data_Prices!$A:$A,0))*U$38</f>
        <v>0.150709077807049</v>
      </c>
      <c r="V31" s="23" t="n">
        <f aca="false">V21+INDEX(Data_Prices!V:V,MATCH($G31,Data_Prices!$A:$A,0))*V$38</f>
        <v>0.150709077807049</v>
      </c>
      <c r="W31" s="23" t="n">
        <f aca="false">W21+INDEX(Data_Prices!W:W,MATCH($G31,Data_Prices!$A:$A,0))*W$38</f>
        <v>0.150709077807049</v>
      </c>
      <c r="X31" s="23" t="n">
        <f aca="false">X21+INDEX(Data_Prices!X:X,MATCH($G31,Data_Prices!$A:$A,0))*X$38</f>
        <v>0.150709077807049</v>
      </c>
      <c r="Y31" s="23" t="n">
        <f aca="false">Y21+INDEX(Data_Prices!Y:Y,MATCH($G31,Data_Prices!$A:$A,0))*Y$38</f>
        <v>0.150709077807049</v>
      </c>
      <c r="Z31" s="23" t="n">
        <f aca="false">Z21+INDEX(Data_Prices!Z:Z,MATCH($G31,Data_Prices!$A:$A,0))*Z$38</f>
        <v>0.150709077807049</v>
      </c>
      <c r="AA31" s="23" t="n">
        <f aca="false">AA21+INDEX(Data_Prices!AA:AA,MATCH($G31,Data_Prices!$A:$A,0))*AA$38</f>
        <v>0.150709077807049</v>
      </c>
      <c r="AB31" s="23" t="n">
        <f aca="false">AB21+INDEX(Data_Prices!AB:AB,MATCH($G31,Data_Prices!$A:$A,0))*AB$38</f>
        <v>0.150709077807049</v>
      </c>
      <c r="AC31" s="23" t="n">
        <f aca="false">AC21+INDEX(Data_Prices!AC:AC,MATCH($G31,Data_Prices!$A:$A,0))*AC$38</f>
        <v>0.150709077807049</v>
      </c>
      <c r="AD31" s="23" t="n">
        <f aca="false">AD21+INDEX(Data_Prices!AD:AD,MATCH($G31,Data_Prices!$A:$A,0))*AD$38</f>
        <v>0.150709077807049</v>
      </c>
      <c r="AE31" s="23" t="n">
        <f aca="false">AE21+INDEX(Data_Prices!AE:AE,MATCH($G31,Data_Prices!$A:$A,0))*AE$38</f>
        <v>0.150709077807049</v>
      </c>
    </row>
    <row r="32" customFormat="false" ht="15" hidden="false" customHeight="false" outlineLevel="0" collapsed="false">
      <c r="B32" s="17" t="s">
        <v>66</v>
      </c>
      <c r="C32" s="17" t="str">
        <f aca="false">$C$5</f>
        <v>irn</v>
      </c>
      <c r="D32" s="18" t="s">
        <v>67</v>
      </c>
      <c r="E32" s="19" t="s">
        <v>61</v>
      </c>
      <c r="F32" s="17" t="s">
        <v>79</v>
      </c>
      <c r="G32" s="20" t="str">
        <f aca="false">Settings!$B$3&amp;".mit.shp."&amp;$B32&amp;"."&amp;Settings!$B$4&amp;"."&amp;$J$5</f>
        <v>egy.mit.shp.ker.ind.1</v>
      </c>
      <c r="H32" s="21" t="str">
        <f aca="false">Settings!$B$3&amp;".mit.shp."&amp;$C$5&amp;"."&amp;$B32&amp;".e."&amp;$J$5</f>
        <v>egy.mit.shp.irn.ker.e.1</v>
      </c>
      <c r="K32" s="23" t="n">
        <f aca="false">K22+INDEX(Data_Prices!K:K,MATCH($G32,Data_Prices!$A:$A,0))*K$38</f>
        <v>0.484294240973435</v>
      </c>
      <c r="L32" s="23" t="n">
        <f aca="false">L22+INDEX(Data_Prices!L:L,MATCH($G32,Data_Prices!$A:$A,0))*L$38</f>
        <v>0.456428170500128</v>
      </c>
      <c r="M32" s="23" t="n">
        <f aca="false">M22+INDEX(Data_Prices!M:M,MATCH($G32,Data_Prices!$A:$A,0))*M$38</f>
        <v>0.431689201955995</v>
      </c>
      <c r="N32" s="23" t="n">
        <f aca="false">N22+INDEX(Data_Prices!N:N,MATCH($G32,Data_Prices!$A:$A,0))*N$38</f>
        <v>0.42507558395597</v>
      </c>
      <c r="O32" s="23" t="n">
        <f aca="false">O22+INDEX(Data_Prices!O:O,MATCH($G32,Data_Prices!$A:$A,0))*O$38</f>
        <v>0.42507558395597</v>
      </c>
      <c r="P32" s="23" t="n">
        <f aca="false">P22+INDEX(Data_Prices!P:P,MATCH($G32,Data_Prices!$A:$A,0))*P$38</f>
        <v>0.42507558395597</v>
      </c>
      <c r="Q32" s="23" t="n">
        <f aca="false">Q22+INDEX(Data_Prices!Q:Q,MATCH($G32,Data_Prices!$A:$A,0))*Q$38</f>
        <v>0.42507558395597</v>
      </c>
      <c r="R32" s="23" t="n">
        <f aca="false">R22+INDEX(Data_Prices!R:R,MATCH($G32,Data_Prices!$A:$A,0))*R$38</f>
        <v>0.42507558395597</v>
      </c>
      <c r="S32" s="23" t="n">
        <f aca="false">S22+INDEX(Data_Prices!S:S,MATCH($G32,Data_Prices!$A:$A,0))*S$38</f>
        <v>0.42507558395597</v>
      </c>
      <c r="T32" s="23" t="n">
        <f aca="false">T22+INDEX(Data_Prices!T:T,MATCH($G32,Data_Prices!$A:$A,0))*T$38</f>
        <v>0.42507558395597</v>
      </c>
      <c r="U32" s="23" t="n">
        <f aca="false">U22+INDEX(Data_Prices!U:U,MATCH($G32,Data_Prices!$A:$A,0))*U$38</f>
        <v>0.42507558395597</v>
      </c>
      <c r="V32" s="23" t="n">
        <f aca="false">V22+INDEX(Data_Prices!V:V,MATCH($G32,Data_Prices!$A:$A,0))*V$38</f>
        <v>0.42507558395597</v>
      </c>
      <c r="W32" s="23" t="n">
        <f aca="false">W22+INDEX(Data_Prices!W:W,MATCH($G32,Data_Prices!$A:$A,0))*W$38</f>
        <v>0.42507558395597</v>
      </c>
      <c r="X32" s="23" t="n">
        <f aca="false">X22+INDEX(Data_Prices!X:X,MATCH($G32,Data_Prices!$A:$A,0))*X$38</f>
        <v>0.42507558395597</v>
      </c>
      <c r="Y32" s="23" t="n">
        <f aca="false">Y22+INDEX(Data_Prices!Y:Y,MATCH($G32,Data_Prices!$A:$A,0))*Y$38</f>
        <v>0.42507558395597</v>
      </c>
      <c r="Z32" s="23" t="n">
        <f aca="false">Z22+INDEX(Data_Prices!Z:Z,MATCH($G32,Data_Prices!$A:$A,0))*Z$38</f>
        <v>0.42507558395597</v>
      </c>
      <c r="AA32" s="23" t="n">
        <f aca="false">AA22+INDEX(Data_Prices!AA:AA,MATCH($G32,Data_Prices!$A:$A,0))*AA$38</f>
        <v>0.42507558395597</v>
      </c>
      <c r="AB32" s="23" t="n">
        <f aca="false">AB22+INDEX(Data_Prices!AB:AB,MATCH($G32,Data_Prices!$A:$A,0))*AB$38</f>
        <v>0.42507558395597</v>
      </c>
      <c r="AC32" s="23" t="n">
        <f aca="false">AC22+INDEX(Data_Prices!AC:AC,MATCH($G32,Data_Prices!$A:$A,0))*AC$38</f>
        <v>0.42507558395597</v>
      </c>
      <c r="AD32" s="23" t="n">
        <f aca="false">AD22+INDEX(Data_Prices!AD:AD,MATCH($G32,Data_Prices!$A:$A,0))*AD$38</f>
        <v>0.42507558395597</v>
      </c>
      <c r="AE32" s="23" t="n">
        <f aca="false">AE22+INDEX(Data_Prices!AE:AE,MATCH($G32,Data_Prices!$A:$A,0))*AE$38</f>
        <v>0.42507558395597</v>
      </c>
    </row>
    <row r="33" customFormat="false" ht="15" hidden="false" customHeight="false" outlineLevel="0" collapsed="false">
      <c r="B33" s="17" t="s">
        <v>68</v>
      </c>
      <c r="C33" s="17" t="str">
        <f aca="false">$C$5</f>
        <v>irn</v>
      </c>
      <c r="D33" s="18" t="s">
        <v>69</v>
      </c>
      <c r="E33" s="19" t="s">
        <v>70</v>
      </c>
      <c r="F33" s="17" t="s">
        <v>79</v>
      </c>
      <c r="G33" s="20" t="str">
        <f aca="false">Settings!$B$3&amp;".mit.shp."&amp;$B33&amp;"."&amp;Settings!$B$4&amp;"."&amp;$J$5</f>
        <v>egy.mit.shp.oop.ind.1</v>
      </c>
      <c r="H33" s="21" t="str">
        <f aca="false">Settings!$B$3&amp;".mit.shp."&amp;$C$5&amp;"."&amp;$B33&amp;".e."&amp;$J$5</f>
        <v>egy.mit.shp.irn.oop.e.1</v>
      </c>
      <c r="K33" s="23" t="n">
        <f aca="false">K23+INDEX(Data_Prices!K:K,MATCH($G33,Data_Prices!$A:$A,0))*K$38</f>
        <v>41.5003384988684</v>
      </c>
      <c r="L33" s="23" t="n">
        <f aca="false">L23+INDEX(Data_Prices!L:L,MATCH($G33,Data_Prices!$A:$A,0))*L$38</f>
        <v>34.4153703043132</v>
      </c>
      <c r="M33" s="23" t="n">
        <f aca="false">M23+INDEX(Data_Prices!M:M,MATCH($G33,Data_Prices!$A:$A,0))*M$38</f>
        <v>37.368960690432</v>
      </c>
      <c r="N33" s="23" t="n">
        <f aca="false">N23+INDEX(Data_Prices!N:N,MATCH($G33,Data_Prices!$A:$A,0))*N$38</f>
        <v>28.9827611014773</v>
      </c>
      <c r="O33" s="23" t="n">
        <f aca="false">O23+INDEX(Data_Prices!O:O,MATCH($G33,Data_Prices!$A:$A,0))*O$38</f>
        <v>15</v>
      </c>
      <c r="P33" s="23" t="n">
        <f aca="false">P23+INDEX(Data_Prices!P:P,MATCH($G33,Data_Prices!$A:$A,0))*P$38</f>
        <v>24.2586300842555</v>
      </c>
      <c r="Q33" s="23" t="n">
        <f aca="false">Q23+INDEX(Data_Prices!Q:Q,MATCH($G33,Data_Prices!$A:$A,0))*Q$38</f>
        <v>15</v>
      </c>
      <c r="R33" s="23" t="n">
        <f aca="false">R23+INDEX(Data_Prices!R:R,MATCH($G33,Data_Prices!$A:$A,0))*R$38</f>
        <v>15</v>
      </c>
      <c r="S33" s="23" t="n">
        <f aca="false">S23+INDEX(Data_Prices!S:S,MATCH($G33,Data_Prices!$A:$A,0))*S$38</f>
        <v>15</v>
      </c>
      <c r="T33" s="23" t="n">
        <f aca="false">T23+INDEX(Data_Prices!T:T,MATCH($G33,Data_Prices!$A:$A,0))*T$38</f>
        <v>15</v>
      </c>
      <c r="U33" s="23" t="n">
        <f aca="false">U23+INDEX(Data_Prices!U:U,MATCH($G33,Data_Prices!$A:$A,0))*U$38</f>
        <v>15</v>
      </c>
      <c r="V33" s="23" t="n">
        <f aca="false">V23+INDEX(Data_Prices!V:V,MATCH($G33,Data_Prices!$A:$A,0))*V$38</f>
        <v>15</v>
      </c>
      <c r="W33" s="23" t="n">
        <f aca="false">W23+INDEX(Data_Prices!W:W,MATCH($G33,Data_Prices!$A:$A,0))*W$38</f>
        <v>15</v>
      </c>
      <c r="X33" s="23" t="n">
        <f aca="false">X23+INDEX(Data_Prices!X:X,MATCH($G33,Data_Prices!$A:$A,0))*X$38</f>
        <v>15</v>
      </c>
      <c r="Y33" s="23" t="n">
        <f aca="false">Y23+INDEX(Data_Prices!Y:Y,MATCH($G33,Data_Prices!$A:$A,0))*Y$38</f>
        <v>15</v>
      </c>
      <c r="Z33" s="23" t="n">
        <f aca="false">Z23+INDEX(Data_Prices!Z:Z,MATCH($G33,Data_Prices!$A:$A,0))*Z$38</f>
        <v>15</v>
      </c>
      <c r="AA33" s="23" t="n">
        <f aca="false">AA23+INDEX(Data_Prices!AA:AA,MATCH($G33,Data_Prices!$A:$A,0))*AA$38</f>
        <v>15</v>
      </c>
      <c r="AB33" s="23" t="n">
        <f aca="false">AB23+INDEX(Data_Prices!AB:AB,MATCH($G33,Data_Prices!$A:$A,0))*AB$38</f>
        <v>15</v>
      </c>
      <c r="AC33" s="23" t="n">
        <f aca="false">AC23+INDEX(Data_Prices!AC:AC,MATCH($G33,Data_Prices!$A:$A,0))*AC$38</f>
        <v>15</v>
      </c>
      <c r="AD33" s="23" t="n">
        <f aca="false">AD23+INDEX(Data_Prices!AD:AD,MATCH($G33,Data_Prices!$A:$A,0))*AD$38</f>
        <v>15</v>
      </c>
      <c r="AE33" s="23" t="n">
        <f aca="false">AE23+INDEX(Data_Prices!AE:AE,MATCH($G33,Data_Prices!$A:$A,0))*AE$38</f>
        <v>15</v>
      </c>
    </row>
    <row r="34" customFormat="false" ht="15" hidden="false" customHeight="false" outlineLevel="0" collapsed="false">
      <c r="B34" s="17" t="s">
        <v>71</v>
      </c>
      <c r="C34" s="17" t="str">
        <f aca="false">$C$5</f>
        <v>irn</v>
      </c>
      <c r="D34" s="18" t="s">
        <v>72</v>
      </c>
      <c r="E34" s="19" t="s">
        <v>55</v>
      </c>
      <c r="F34" s="17" t="s">
        <v>79</v>
      </c>
      <c r="G34" s="20" t="str">
        <f aca="false">Settings!$B$3&amp;".mit.shp."&amp;$B34&amp;"."&amp;Settings!$B$4&amp;"."&amp;$J$5</f>
        <v>egy.mit.shp.bio.ind.1</v>
      </c>
      <c r="H34" s="21" t="str">
        <f aca="false">Settings!$B$3&amp;".mit.shp."&amp;$C$5&amp;"."&amp;$B34&amp;".e."&amp;$J$5</f>
        <v>egy.mit.shp.irn.bio.e.1</v>
      </c>
      <c r="K34" s="23" t="n">
        <f aca="false">K24+INDEX(Data_Prices!K:K,MATCH($G34,Data_Prices!$A:$A,0))*K$38</f>
        <v>15.3345505293169</v>
      </c>
      <c r="L34" s="23" t="n">
        <f aca="false">L24+INDEX(Data_Prices!L:L,MATCH($G34,Data_Prices!$A:$A,0))*L$38</f>
        <v>14.1995283906349</v>
      </c>
      <c r="M34" s="23" t="n">
        <f aca="false">M24+INDEX(Data_Prices!M:M,MATCH($G34,Data_Prices!$A:$A,0))*M$38</f>
        <v>13.8404416133152</v>
      </c>
      <c r="N34" s="23" t="n">
        <f aca="false">N24+INDEX(Data_Prices!N:N,MATCH($G34,Data_Prices!$A:$A,0))*N$38</f>
        <v>13.5677269404465</v>
      </c>
      <c r="O34" s="23" t="n">
        <f aca="false">O24+INDEX(Data_Prices!O:O,MATCH($G34,Data_Prices!$A:$A,0))*O$38</f>
        <v>13.5677269404465</v>
      </c>
      <c r="P34" s="23" t="n">
        <f aca="false">P24+INDEX(Data_Prices!P:P,MATCH($G34,Data_Prices!$A:$A,0))*P$38</f>
        <v>13.5677269404465</v>
      </c>
      <c r="Q34" s="23" t="n">
        <f aca="false">Q24+INDEX(Data_Prices!Q:Q,MATCH($G34,Data_Prices!$A:$A,0))*Q$38</f>
        <v>13.5677269404465</v>
      </c>
      <c r="R34" s="23" t="n">
        <f aca="false">R24+INDEX(Data_Prices!R:R,MATCH($G34,Data_Prices!$A:$A,0))*R$38</f>
        <v>13.5677269404465</v>
      </c>
      <c r="S34" s="23" t="n">
        <f aca="false">S24+INDEX(Data_Prices!S:S,MATCH($G34,Data_Prices!$A:$A,0))*S$38</f>
        <v>13.5677269404465</v>
      </c>
      <c r="T34" s="23" t="n">
        <f aca="false">T24+INDEX(Data_Prices!T:T,MATCH($G34,Data_Prices!$A:$A,0))*T$38</f>
        <v>13.5677269404465</v>
      </c>
      <c r="U34" s="23" t="n">
        <f aca="false">U24+INDEX(Data_Prices!U:U,MATCH($G34,Data_Prices!$A:$A,0))*U$38</f>
        <v>13.5677269404465</v>
      </c>
      <c r="V34" s="23" t="n">
        <f aca="false">V24+INDEX(Data_Prices!V:V,MATCH($G34,Data_Prices!$A:$A,0))*V$38</f>
        <v>13.5677269404465</v>
      </c>
      <c r="W34" s="23" t="n">
        <f aca="false">W24+INDEX(Data_Prices!W:W,MATCH($G34,Data_Prices!$A:$A,0))*W$38</f>
        <v>13.5677269404465</v>
      </c>
      <c r="X34" s="23" t="n">
        <f aca="false">X24+INDEX(Data_Prices!X:X,MATCH($G34,Data_Prices!$A:$A,0))*X$38</f>
        <v>13.5677269404465</v>
      </c>
      <c r="Y34" s="23" t="n">
        <f aca="false">Y24+INDEX(Data_Prices!Y:Y,MATCH($G34,Data_Prices!$A:$A,0))*Y$38</f>
        <v>13.5677269404465</v>
      </c>
      <c r="Z34" s="23" t="n">
        <f aca="false">Z24+INDEX(Data_Prices!Z:Z,MATCH($G34,Data_Prices!$A:$A,0))*Z$38</f>
        <v>13.5677269404465</v>
      </c>
      <c r="AA34" s="23" t="n">
        <f aca="false">AA24+INDEX(Data_Prices!AA:AA,MATCH($G34,Data_Prices!$A:$A,0))*AA$38</f>
        <v>13.5677269404465</v>
      </c>
      <c r="AB34" s="23" t="n">
        <f aca="false">AB24+INDEX(Data_Prices!AB:AB,MATCH($G34,Data_Prices!$A:$A,0))*AB$38</f>
        <v>13.5677269404465</v>
      </c>
      <c r="AC34" s="23" t="n">
        <f aca="false">AC24+INDEX(Data_Prices!AC:AC,MATCH($G34,Data_Prices!$A:$A,0))*AC$38</f>
        <v>13.5677269404465</v>
      </c>
      <c r="AD34" s="23" t="n">
        <f aca="false">AD24+INDEX(Data_Prices!AD:AD,MATCH($G34,Data_Prices!$A:$A,0))*AD$38</f>
        <v>13.5677269404465</v>
      </c>
      <c r="AE34" s="23" t="n">
        <f aca="false">AE24+INDEX(Data_Prices!AE:AE,MATCH($G34,Data_Prices!$A:$A,0))*AE$38</f>
        <v>13.5677269404465</v>
      </c>
    </row>
    <row r="35" customFormat="false" ht="15" hidden="false" customHeight="false" outlineLevel="0" collapsed="false">
      <c r="B35" s="17" t="s">
        <v>73</v>
      </c>
      <c r="C35" s="17" t="str">
        <f aca="false">$C$5</f>
        <v>irn</v>
      </c>
      <c r="D35" s="18" t="s">
        <v>74</v>
      </c>
      <c r="E35" s="19" t="s">
        <v>75</v>
      </c>
      <c r="F35" s="17" t="s">
        <v>79</v>
      </c>
      <c r="G35" s="20" t="str">
        <f aca="false">Settings!$B$3&amp;".mit.shp."&amp;$B35&amp;"."&amp;Settings!$B$4&amp;"."&amp;$J$5</f>
        <v>egy.mit.shp.ren.ind.1</v>
      </c>
      <c r="H35" s="21" t="str">
        <f aca="false">Settings!$B$3&amp;".mit.shp."&amp;$C$5&amp;"."&amp;$B35&amp;".e."&amp;$J$5</f>
        <v>egy.mit.shp.irn.ren.e.1</v>
      </c>
      <c r="K35" s="23" t="n">
        <f aca="false">K25+INDEX(Data_Prices!K:K,MATCH($G35,Data_Prices!$A:$A,0))*K$38</f>
        <v>0</v>
      </c>
      <c r="L35" s="23" t="n">
        <f aca="false">L25+INDEX(Data_Prices!L:L,MATCH($G35,Data_Prices!$A:$A,0))*L$38</f>
        <v>0.144044986793198</v>
      </c>
      <c r="M35" s="23" t="n">
        <f aca="false">M25+INDEX(Data_Prices!M:M,MATCH($G35,Data_Prices!$A:$A,0))*M$38</f>
        <v>0.141020409657004</v>
      </c>
      <c r="N35" s="23" t="n">
        <f aca="false">N25+INDEX(Data_Prices!N:N,MATCH($G35,Data_Prices!$A:$A,0))*N$38</f>
        <v>0.135116359594476</v>
      </c>
      <c r="O35" s="23" t="n">
        <f aca="false">O25+INDEX(Data_Prices!O:O,MATCH($G35,Data_Prices!$A:$A,0))*O$38</f>
        <v>0.130988256985856</v>
      </c>
      <c r="P35" s="23" t="n">
        <f aca="false">P25+INDEX(Data_Prices!P:P,MATCH($G35,Data_Prices!$A:$A,0))*P$38</f>
        <v>0.127908416086318</v>
      </c>
      <c r="Q35" s="23" t="n">
        <f aca="false">Q25+INDEX(Data_Prices!Q:Q,MATCH($G35,Data_Prices!$A:$A,0))*Q$38</f>
        <v>0.124814310557813</v>
      </c>
      <c r="R35" s="23" t="n">
        <f aca="false">R25+INDEX(Data_Prices!R:R,MATCH($G35,Data_Prices!$A:$A,0))*R$38</f>
        <v>0.121460257122878</v>
      </c>
      <c r="S35" s="23" t="n">
        <f aca="false">S25+INDEX(Data_Prices!S:S,MATCH($G35,Data_Prices!$A:$A,0))*S$38</f>
        <v>0.117950744135786</v>
      </c>
      <c r="T35" s="23" t="n">
        <f aca="false">T25+INDEX(Data_Prices!T:T,MATCH($G35,Data_Prices!$A:$A,0))*T$38</f>
        <v>0.114199161044597</v>
      </c>
      <c r="U35" s="23" t="n">
        <f aca="false">U25+INDEX(Data_Prices!U:U,MATCH($G35,Data_Prices!$A:$A,0))*U$38</f>
        <v>0.113665100059665</v>
      </c>
      <c r="V35" s="23" t="n">
        <f aca="false">V25+INDEX(Data_Prices!V:V,MATCH($G35,Data_Prices!$A:$A,0))*V$38</f>
        <v>0.113016929625957</v>
      </c>
      <c r="W35" s="23" t="n">
        <f aca="false">W25+INDEX(Data_Prices!W:W,MATCH($G35,Data_Prices!$A:$A,0))*W$38</f>
        <v>0.112314070507636</v>
      </c>
      <c r="X35" s="23" t="n">
        <f aca="false">X25+INDEX(Data_Prices!X:X,MATCH($G35,Data_Prices!$A:$A,0))*X$38</f>
        <v>0.111422042732843</v>
      </c>
      <c r="Y35" s="23" t="n">
        <f aca="false">Y25+INDEX(Data_Prices!Y:Y,MATCH($G35,Data_Prices!$A:$A,0))*Y$38</f>
        <v>0.110434123675809</v>
      </c>
      <c r="Z35" s="23" t="n">
        <f aca="false">Z25+INDEX(Data_Prices!Z:Z,MATCH($G35,Data_Prices!$A:$A,0))*Z$38</f>
        <v>0.109483973304471</v>
      </c>
      <c r="AA35" s="23" t="n">
        <f aca="false">AA25+INDEX(Data_Prices!AA:AA,MATCH($G35,Data_Prices!$A:$A,0))*AA$38</f>
        <v>0.10839192105294</v>
      </c>
      <c r="AB35" s="23" t="n">
        <f aca="false">AB25+INDEX(Data_Prices!AB:AB,MATCH($G35,Data_Prices!$A:$A,0))*AB$38</f>
        <v>0.107354433626704</v>
      </c>
      <c r="AC35" s="23" t="n">
        <f aca="false">AC25+INDEX(Data_Prices!AC:AC,MATCH($G35,Data_Prices!$A:$A,0))*AC$38</f>
        <v>0.105168675441661</v>
      </c>
      <c r="AD35" s="23" t="n">
        <f aca="false">AD25+INDEX(Data_Prices!AD:AD,MATCH($G35,Data_Prices!$A:$A,0))*AD$38</f>
        <v>0.103057983256008</v>
      </c>
      <c r="AE35" s="23" t="n">
        <f aca="false">AE25+INDEX(Data_Prices!AE:AE,MATCH($G35,Data_Prices!$A:$A,0))*AE$38</f>
        <v>0.100931838990114</v>
      </c>
    </row>
    <row r="36" customFormat="false" ht="15" hidden="false" customHeight="false" outlineLevel="0" collapsed="false">
      <c r="B36" s="16" t="s">
        <v>80</v>
      </c>
    </row>
    <row r="37" customFormat="false" ht="15" hidden="false" customHeight="false" outlineLevel="0" collapsed="false">
      <c r="B37" s="17" t="s">
        <v>81</v>
      </c>
      <c r="C37" s="17" t="str">
        <f aca="false">$C$5</f>
        <v>irn</v>
      </c>
      <c r="D37" s="18" t="s">
        <v>82</v>
      </c>
      <c r="E37" s="19" t="s">
        <v>83</v>
      </c>
      <c r="F37" s="17" t="s">
        <v>84</v>
      </c>
      <c r="G37" s="20" t="str">
        <f aca="false">Settings!$B$3&amp;".mit.tcf."&amp;$C$5&amp;"."&amp;$J$5</f>
        <v>egy.mit.tcf.irn.1</v>
      </c>
      <c r="K37" s="23" t="n">
        <f aca="false">INDEX(Data_Prices!K:K,MATCH($G37,Data_Prices!$A:$A,0))</f>
        <v>0</v>
      </c>
      <c r="L37" s="23" t="n">
        <f aca="false">INDEX(Data_Prices!L:L,MATCH($G37,Data_Prices!$A:$A,0))</f>
        <v>0</v>
      </c>
      <c r="M37" s="23" t="n">
        <f aca="false">INDEX(Data_Prices!M:M,MATCH($G37,Data_Prices!$A:$A,0))</f>
        <v>0</v>
      </c>
      <c r="N37" s="23" t="n">
        <f aca="false">INDEX(Data_Prices!N:N,MATCH($G37,Data_Prices!$A:$A,0))</f>
        <v>0</v>
      </c>
      <c r="O37" s="23" t="n">
        <f aca="false">INDEX(Data_Prices!O:O,MATCH($G37,Data_Prices!$A:$A,0))</f>
        <v>0</v>
      </c>
      <c r="P37" s="23" t="n">
        <f aca="false">INDEX(Data_Prices!P:P,MATCH($G37,Data_Prices!$A:$A,0))</f>
        <v>0</v>
      </c>
      <c r="Q37" s="23" t="n">
        <f aca="false">INDEX(Data_Prices!Q:Q,MATCH($G37,Data_Prices!$A:$A,0))</f>
        <v>0</v>
      </c>
      <c r="R37" s="23" t="n">
        <f aca="false">INDEX(Data_Prices!R:R,MATCH($G37,Data_Prices!$A:$A,0))</f>
        <v>0</v>
      </c>
      <c r="S37" s="23" t="n">
        <f aca="false">INDEX(Data_Prices!S:S,MATCH($G37,Data_Prices!$A:$A,0))</f>
        <v>0</v>
      </c>
      <c r="T37" s="23" t="n">
        <f aca="false">INDEX(Data_Prices!T:T,MATCH($G37,Data_Prices!$A:$A,0))</f>
        <v>0</v>
      </c>
      <c r="U37" s="23" t="n">
        <f aca="false">INDEX(Data_Prices!U:U,MATCH($G37,Data_Prices!$A:$A,0))</f>
        <v>0</v>
      </c>
      <c r="V37" s="23" t="n">
        <f aca="false">INDEX(Data_Prices!V:V,MATCH($G37,Data_Prices!$A:$A,0))</f>
        <v>0</v>
      </c>
      <c r="W37" s="23" t="n">
        <f aca="false">INDEX(Data_Prices!W:W,MATCH($G37,Data_Prices!$A:$A,0))</f>
        <v>0</v>
      </c>
      <c r="X37" s="23" t="n">
        <f aca="false">INDEX(Data_Prices!X:X,MATCH($G37,Data_Prices!$A:$A,0))</f>
        <v>0</v>
      </c>
      <c r="Y37" s="23" t="n">
        <f aca="false">INDEX(Data_Prices!Y:Y,MATCH($G37,Data_Prices!$A:$A,0))</f>
        <v>0</v>
      </c>
      <c r="Z37" s="23" t="n">
        <f aca="false">INDEX(Data_Prices!Z:Z,MATCH($G37,Data_Prices!$A:$A,0))</f>
        <v>0</v>
      </c>
      <c r="AA37" s="23" t="n">
        <f aca="false">INDEX(Data_Prices!AA:AA,MATCH($G37,Data_Prices!$A:$A,0))</f>
        <v>0</v>
      </c>
      <c r="AB37" s="23" t="n">
        <f aca="false">INDEX(Data_Prices!AB:AB,MATCH($G37,Data_Prices!$A:$A,0))</f>
        <v>0</v>
      </c>
      <c r="AC37" s="23" t="n">
        <f aca="false">INDEX(Data_Prices!AC:AC,MATCH($G37,Data_Prices!$A:$A,0))</f>
        <v>0</v>
      </c>
      <c r="AD37" s="23" t="n">
        <f aca="false">INDEX(Data_Prices!AD:AD,MATCH($G37,Data_Prices!$A:$A,0))</f>
        <v>0</v>
      </c>
      <c r="AE37" s="23" t="n">
        <f aca="false">INDEX(Data_Prices!AE:AE,MATCH($G37,Data_Prices!$A:$A,0))</f>
        <v>0</v>
      </c>
    </row>
    <row r="38" customFormat="false" ht="15" hidden="false" customHeight="false" outlineLevel="0" collapsed="false">
      <c r="B38" s="17" t="s">
        <v>81</v>
      </c>
      <c r="C38" s="17" t="str">
        <f aca="false">$C$5</f>
        <v>irn</v>
      </c>
      <c r="D38" s="18" t="s">
        <v>85</v>
      </c>
      <c r="E38" s="19" t="s">
        <v>83</v>
      </c>
      <c r="F38" s="17" t="s">
        <v>86</v>
      </c>
      <c r="G38" s="20" t="str">
        <f aca="false">Settings!$B$3&amp;".mit.ssc."&amp;$C$5&amp;"."&amp;$J$5</f>
        <v>egy.mit.ssc.irn.1</v>
      </c>
      <c r="K38" s="23" t="n">
        <f aca="false">INDEX(Data_Prices!K:K,MATCH($G38,Data_Prices!$A:$A,0))</f>
        <v>0</v>
      </c>
      <c r="L38" s="23" t="n">
        <f aca="false">INDEX(Data_Prices!L:L,MATCH($G38,Data_Prices!$A:$A,0))</f>
        <v>0</v>
      </c>
      <c r="M38" s="23" t="n">
        <f aca="false">INDEX(Data_Prices!M:M,MATCH($G38,Data_Prices!$A:$A,0))</f>
        <v>0</v>
      </c>
      <c r="N38" s="23" t="n">
        <f aca="false">INDEX(Data_Prices!N:N,MATCH($G38,Data_Prices!$A:$A,0))</f>
        <v>0</v>
      </c>
      <c r="O38" s="23" t="n">
        <f aca="false">INDEX(Data_Prices!O:O,MATCH($G38,Data_Prices!$A:$A,0))</f>
        <v>0</v>
      </c>
      <c r="P38" s="23" t="n">
        <f aca="false">INDEX(Data_Prices!P:P,MATCH($G38,Data_Prices!$A:$A,0))</f>
        <v>0</v>
      </c>
      <c r="Q38" s="23" t="n">
        <f aca="false">INDEX(Data_Prices!Q:Q,MATCH($G38,Data_Prices!$A:$A,0))</f>
        <v>0</v>
      </c>
      <c r="R38" s="23" t="n">
        <f aca="false">INDEX(Data_Prices!R:R,MATCH($G38,Data_Prices!$A:$A,0))</f>
        <v>0</v>
      </c>
      <c r="S38" s="23" t="n">
        <f aca="false">INDEX(Data_Prices!S:S,MATCH($G38,Data_Prices!$A:$A,0))</f>
        <v>0</v>
      </c>
      <c r="T38" s="23" t="n">
        <f aca="false">INDEX(Data_Prices!T:T,MATCH($G38,Data_Prices!$A:$A,0))</f>
        <v>0</v>
      </c>
      <c r="U38" s="23" t="n">
        <f aca="false">INDEX(Data_Prices!U:U,MATCH($G38,Data_Prices!$A:$A,0))</f>
        <v>0</v>
      </c>
      <c r="V38" s="23" t="n">
        <f aca="false">INDEX(Data_Prices!V:V,MATCH($G38,Data_Prices!$A:$A,0))</f>
        <v>0</v>
      </c>
      <c r="W38" s="23" t="n">
        <f aca="false">INDEX(Data_Prices!W:W,MATCH($G38,Data_Prices!$A:$A,0))</f>
        <v>0</v>
      </c>
      <c r="X38" s="23" t="n">
        <f aca="false">INDEX(Data_Prices!X:X,MATCH($G38,Data_Prices!$A:$A,0))</f>
        <v>0</v>
      </c>
      <c r="Y38" s="23" t="n">
        <f aca="false">INDEX(Data_Prices!Y:Y,MATCH($G38,Data_Prices!$A:$A,0))</f>
        <v>0</v>
      </c>
      <c r="Z38" s="23" t="n">
        <f aca="false">INDEX(Data_Prices!Z:Z,MATCH($G38,Data_Prices!$A:$A,0))</f>
        <v>0</v>
      </c>
      <c r="AA38" s="23" t="n">
        <f aca="false">INDEX(Data_Prices!AA:AA,MATCH($G38,Data_Prices!$A:$A,0))</f>
        <v>0</v>
      </c>
      <c r="AB38" s="23" t="n">
        <f aca="false">INDEX(Data_Prices!AB:AB,MATCH($G38,Data_Prices!$A:$A,0))</f>
        <v>0</v>
      </c>
      <c r="AC38" s="23" t="n">
        <f aca="false">INDEX(Data_Prices!AC:AC,MATCH($G38,Data_Prices!$A:$A,0))</f>
        <v>0</v>
      </c>
      <c r="AD38" s="23" t="n">
        <f aca="false">INDEX(Data_Prices!AD:AD,MATCH($G38,Data_Prices!$A:$A,0))</f>
        <v>0</v>
      </c>
      <c r="AE38" s="23" t="n">
        <f aca="false">INDEX(Data_Prices!AE:AE,MATCH($G38,Data_Prices!$A:$A,0))</f>
        <v>0</v>
      </c>
    </row>
    <row r="39" customFormat="false" ht="15" hidden="false" customHeight="false" outlineLevel="0" collapsed="false">
      <c r="B39" s="17" t="s">
        <v>81</v>
      </c>
      <c r="C39" s="17" t="str">
        <f aca="false">$C$5</f>
        <v>irn</v>
      </c>
      <c r="D39" s="18" t="s">
        <v>87</v>
      </c>
      <c r="E39" s="19" t="s">
        <v>88</v>
      </c>
      <c r="F39" s="17" t="s">
        <v>89</v>
      </c>
      <c r="G39" s="20" t="str">
        <f aca="false">Settings!$B$3&amp;".mit.gdp.pos.pct."&amp;$J$5</f>
        <v>egy.mit.gdp.pos.pct.1</v>
      </c>
      <c r="K39" s="24" t="n">
        <f aca="false">INDEX(Data_Macro!K:K,MATCH($G39,Data_Macro!$A:$A,0))</f>
        <v>0</v>
      </c>
      <c r="L39" s="24" t="n">
        <f aca="false">INDEX(Data_Macro!L:L,MATCH($G39,Data_Macro!$A:$A,0))</f>
        <v>0.06651345</v>
      </c>
      <c r="M39" s="24" t="n">
        <f aca="false">INDEX(Data_Macro!M:M,MATCH($G39,Data_Macro!$A:$A,0))</f>
        <v>0.03760281</v>
      </c>
      <c r="N39" s="24" t="n">
        <f aca="false">INDEX(Data_Macro!N:N,MATCH($G39,Data_Macro!$A:$A,0))</f>
        <v>0.02398801</v>
      </c>
      <c r="O39" s="24" t="n">
        <f aca="false">INDEX(Data_Macro!O:O,MATCH($G39,Data_Macro!$A:$A,0))</f>
        <v>0.04392387</v>
      </c>
      <c r="P39" s="24" t="n">
        <f aca="false">INDEX(Data_Macro!P:P,MATCH($G39,Data_Macro!$A:$A,0))</f>
        <v>0.04239706</v>
      </c>
      <c r="Q39" s="24" t="n">
        <f aca="false">INDEX(Data_Macro!Q:Q,MATCH($G39,Data_Macro!$A:$A,0))</f>
        <v>0.04829218</v>
      </c>
      <c r="R39" s="24" t="n">
        <f aca="false">INDEX(Data_Macro!R:R,MATCH($G39,Data_Macro!$A:$A,0))</f>
        <v>0.05535316</v>
      </c>
      <c r="S39" s="24" t="n">
        <f aca="false">INDEX(Data_Macro!S:S,MATCH($G39,Data_Macro!$A:$A,0))</f>
        <v>0.05226606</v>
      </c>
      <c r="T39" s="24" t="n">
        <f aca="false">INDEX(Data_Macro!T:T,MATCH($G39,Data_Macro!$A:$A,0))</f>
        <v>0.04841877</v>
      </c>
      <c r="U39" s="24" t="n">
        <f aca="false">INDEX(Data_Macro!U:U,MATCH($G39,Data_Macro!$A:$A,0))</f>
        <v>0.04788736</v>
      </c>
      <c r="V39" s="24" t="n">
        <f aca="false">INDEX(Data_Macro!V:V,MATCH($G39,Data_Macro!$A:$A,0))</f>
        <v>0.04735595</v>
      </c>
      <c r="W39" s="24" t="n">
        <f aca="false">INDEX(Data_Macro!W:W,MATCH($G39,Data_Macro!$A:$A,0))</f>
        <v>0.04682454</v>
      </c>
      <c r="X39" s="24" t="n">
        <f aca="false">INDEX(Data_Macro!X:X,MATCH($G39,Data_Macro!$A:$A,0))</f>
        <v>0.04629313</v>
      </c>
      <c r="Y39" s="24" t="n">
        <f aca="false">INDEX(Data_Macro!Y:Y,MATCH($G39,Data_Macro!$A:$A,0))</f>
        <v>0.04576172</v>
      </c>
      <c r="Z39" s="24" t="n">
        <f aca="false">INDEX(Data_Macro!Z:Z,MATCH($G39,Data_Macro!$A:$A,0))</f>
        <v>0.04523031</v>
      </c>
      <c r="AA39" s="24" t="n">
        <f aca="false">INDEX(Data_Macro!AA:AA,MATCH($G39,Data_Macro!$A:$A,0))</f>
        <v>0.0446989</v>
      </c>
      <c r="AB39" s="24" t="n">
        <f aca="false">INDEX(Data_Macro!AB:AB,MATCH($G39,Data_Macro!$A:$A,0))</f>
        <v>0.04416749</v>
      </c>
      <c r="AC39" s="24" t="n">
        <f aca="false">INDEX(Data_Macro!AC:AC,MATCH($G39,Data_Macro!$A:$A,0))</f>
        <v>0.04363608</v>
      </c>
      <c r="AD39" s="24" t="n">
        <f aca="false">INDEX(Data_Macro!AD:AD,MATCH($G39,Data_Macro!$A:$A,0))</f>
        <v>0.04310467</v>
      </c>
      <c r="AE39" s="24" t="n">
        <f aca="false">INDEX(Data_Macro!AE:AE,MATCH($G39,Data_Macro!$A:$A,0))</f>
        <v>0.04257326</v>
      </c>
    </row>
    <row r="40" customFormat="false" ht="15" hidden="false" customHeight="false" outlineLevel="0" collapsed="false">
      <c r="B40" s="17" t="s">
        <v>81</v>
      </c>
      <c r="C40" s="17" t="str">
        <f aca="false">$C$5</f>
        <v>irn</v>
      </c>
      <c r="D40" s="18" t="s">
        <v>90</v>
      </c>
      <c r="E40" s="19" t="s">
        <v>91</v>
      </c>
      <c r="F40" s="17" t="s">
        <v>92</v>
      </c>
      <c r="G40" s="20" t="str">
        <f aca="false">Settings!$B$3&amp;".mit.inc.ela.adj."&amp;$J$5</f>
        <v>egy.mit.inc.ela.adj.1</v>
      </c>
      <c r="K40" s="23" t="n">
        <f aca="false">INDEX(Data_Macro!K:K,MATCH($G40,Data_Macro!$A:$A,0))</f>
        <v>0</v>
      </c>
      <c r="L40" s="23" t="n">
        <f aca="false">INDEX(Data_Macro!L:L,MATCH($G40,Data_Macro!$A:$A,0))</f>
        <v>1.02715172471961</v>
      </c>
      <c r="M40" s="23" t="n">
        <f aca="false">INDEX(Data_Macro!M:M,MATCH($G40,Data_Macro!$A:$A,0))</f>
        <v>1.02715172471961</v>
      </c>
      <c r="N40" s="23" t="n">
        <f aca="false">INDEX(Data_Macro!N:N,MATCH($G40,Data_Macro!$A:$A,0))</f>
        <v>1.02056983588512</v>
      </c>
      <c r="O40" s="23" t="n">
        <f aca="false">INDEX(Data_Macro!O:O,MATCH($G40,Data_Macro!$A:$A,0))</f>
        <v>1.01733442885234</v>
      </c>
      <c r="P40" s="23" t="n">
        <f aca="false">INDEX(Data_Macro!P:P,MATCH($G40,Data_Macro!$A:$A,0))</f>
        <v>1.00766833225382</v>
      </c>
      <c r="Q40" s="23" t="n">
        <f aca="false">INDEX(Data_Macro!Q:Q,MATCH($G40,Data_Macro!$A:$A,0))</f>
        <v>1.00074428717553</v>
      </c>
      <c r="R40" s="23" t="n">
        <f aca="false">INDEX(Data_Macro!R:R,MATCH($G40,Data_Macro!$A:$A,0))</f>
        <v>0.991886489011858</v>
      </c>
      <c r="S40" s="23" t="n">
        <f aca="false">INDEX(Data_Macro!S:S,MATCH($G40,Data_Macro!$A:$A,0))</f>
        <v>0.98065540330043</v>
      </c>
      <c r="T40" s="23" t="n">
        <f aca="false">INDEX(Data_Macro!T:T,MATCH($G40,Data_Macro!$A:$A,0))</f>
        <v>0.970209403992443</v>
      </c>
      <c r="U40" s="23" t="n">
        <f aca="false">INDEX(Data_Macro!U:U,MATCH($G40,Data_Macro!$A:$A,0))</f>
        <v>0.964192659077105</v>
      </c>
      <c r="V40" s="23" t="n">
        <f aca="false">INDEX(Data_Macro!V:V,MATCH($G40,Data_Macro!$A:$A,0))</f>
        <v>0.961612871227152</v>
      </c>
      <c r="W40" s="23" t="n">
        <f aca="false">INDEX(Data_Macro!W:W,MATCH($G40,Data_Macro!$A:$A,0))</f>
        <v>0.95919844785405</v>
      </c>
      <c r="X40" s="23" t="n">
        <f aca="false">INDEX(Data_Macro!X:X,MATCH($G40,Data_Macro!$A:$A,0))</f>
        <v>0.956951254445196</v>
      </c>
      <c r="Y40" s="23" t="n">
        <f aca="false">INDEX(Data_Macro!Y:Y,MATCH($G40,Data_Macro!$A:$A,0))</f>
        <v>0.954872978595777</v>
      </c>
      <c r="Z40" s="23" t="n">
        <f aca="false">INDEX(Data_Macro!Z:Z,MATCH($G40,Data_Macro!$A:$A,0))</f>
        <v>0.952965140861449</v>
      </c>
      <c r="AA40" s="23" t="n">
        <f aca="false">INDEX(Data_Macro!AA:AA,MATCH($G40,Data_Macro!$A:$A,0))</f>
        <v>0.951229104903385</v>
      </c>
      <c r="AB40" s="23" t="n">
        <f aca="false">INDEX(Data_Macro!AB:AB,MATCH($G40,Data_Macro!$A:$A,0))</f>
        <v>0.949666086892293</v>
      </c>
      <c r="AC40" s="23" t="n">
        <f aca="false">INDEX(Data_Macro!AC:AC,MATCH($G40,Data_Macro!$A:$A,0))</f>
        <v>0.948277164137976</v>
      </c>
      <c r="AD40" s="23" t="n">
        <f aca="false">INDEX(Data_Macro!AD:AD,MATCH($G40,Data_Macro!$A:$A,0))</f>
        <v>0.947063282915592</v>
      </c>
      <c r="AE40" s="23" t="n">
        <f aca="false">INDEX(Data_Macro!AE:AE,MATCH($G40,Data_Macro!$A:$A,0))</f>
        <v>0.946025265458513</v>
      </c>
    </row>
    <row r="41" customFormat="false" ht="15" hidden="false" customHeight="false" outlineLevel="0" collapsed="false">
      <c r="B41" s="17" t="s">
        <v>81</v>
      </c>
      <c r="C41" s="17" t="str">
        <f aca="false">$C$5</f>
        <v>irn</v>
      </c>
      <c r="D41" s="18" t="s">
        <v>93</v>
      </c>
      <c r="E41" s="19" t="s">
        <v>91</v>
      </c>
      <c r="F41" s="17" t="s">
        <v>94</v>
      </c>
      <c r="G41" s="20" t="str">
        <f aca="false">Settings!$B$3&amp;".mit.shock."&amp;$J$5</f>
        <v>egy.mit.shock.1</v>
      </c>
      <c r="K41" s="23" t="n">
        <f aca="false">INDEX(Data_Macro!K:K,MATCH($G41,Data_Macro!$A:$A,0))</f>
        <v>0</v>
      </c>
      <c r="L41" s="23" t="n">
        <f aca="false">INDEX(Data_Macro!L:L,MATCH($G41,Data_Macro!$A:$A,0))</f>
        <v>0</v>
      </c>
      <c r="M41" s="23" t="n">
        <f aca="false">INDEX(Data_Macro!M:M,MATCH($G41,Data_Macro!$A:$A,0))</f>
        <v>-0.208133083020442</v>
      </c>
      <c r="N41" s="23" t="n">
        <f aca="false">INDEX(Data_Macro!N:N,MATCH($G41,Data_Macro!$A:$A,0))</f>
        <v>0.0923714285714286</v>
      </c>
      <c r="O41" s="23" t="n">
        <f aca="false">INDEX(Data_Macro!O:O,MATCH($G41,Data_Macro!$A:$A,0))</f>
        <v>0</v>
      </c>
      <c r="P41" s="23" t="n">
        <f aca="false">INDEX(Data_Macro!P:P,MATCH($G41,Data_Macro!$A:$A,0))</f>
        <v>0</v>
      </c>
      <c r="Q41" s="23" t="n">
        <f aca="false">INDEX(Data_Macro!Q:Q,MATCH($G41,Data_Macro!$A:$A,0))</f>
        <v>0</v>
      </c>
      <c r="R41" s="23" t="n">
        <f aca="false">INDEX(Data_Macro!R:R,MATCH($G41,Data_Macro!$A:$A,0))</f>
        <v>0</v>
      </c>
      <c r="S41" s="23" t="n">
        <f aca="false">INDEX(Data_Macro!S:S,MATCH($G41,Data_Macro!$A:$A,0))</f>
        <v>0</v>
      </c>
      <c r="T41" s="23" t="n">
        <f aca="false">INDEX(Data_Macro!T:T,MATCH($G41,Data_Macro!$A:$A,0))</f>
        <v>0</v>
      </c>
      <c r="U41" s="23" t="n">
        <f aca="false">INDEX(Data_Macro!U:U,MATCH($G41,Data_Macro!$A:$A,0))</f>
        <v>0</v>
      </c>
      <c r="V41" s="23" t="n">
        <f aca="false">INDEX(Data_Macro!V:V,MATCH($G41,Data_Macro!$A:$A,0))</f>
        <v>0</v>
      </c>
      <c r="W41" s="23" t="n">
        <f aca="false">INDEX(Data_Macro!W:W,MATCH($G41,Data_Macro!$A:$A,0))</f>
        <v>0</v>
      </c>
      <c r="X41" s="23" t="n">
        <f aca="false">INDEX(Data_Macro!X:X,MATCH($G41,Data_Macro!$A:$A,0))</f>
        <v>0</v>
      </c>
      <c r="Y41" s="23" t="n">
        <f aca="false">INDEX(Data_Macro!Y:Y,MATCH($G41,Data_Macro!$A:$A,0))</f>
        <v>0</v>
      </c>
      <c r="Z41" s="23" t="n">
        <f aca="false">INDEX(Data_Macro!Z:Z,MATCH($G41,Data_Macro!$A:$A,0))</f>
        <v>0</v>
      </c>
      <c r="AA41" s="23" t="n">
        <f aca="false">INDEX(Data_Macro!AA:AA,MATCH($G41,Data_Macro!$A:$A,0))</f>
        <v>0</v>
      </c>
      <c r="AB41" s="23" t="n">
        <f aca="false">INDEX(Data_Macro!AB:AB,MATCH($G41,Data_Macro!$A:$A,0))</f>
        <v>0</v>
      </c>
      <c r="AC41" s="23" t="n">
        <f aca="false">INDEX(Data_Macro!AC:AC,MATCH($G41,Data_Macro!$A:$A,0))</f>
        <v>0</v>
      </c>
      <c r="AD41" s="23" t="n">
        <f aca="false">INDEX(Data_Macro!AD:AD,MATCH($G41,Data_Macro!$A:$A,0))</f>
        <v>0</v>
      </c>
      <c r="AE41" s="23" t="n">
        <f aca="false">INDEX(Data_Macro!AE:AE,MATCH($G41,Data_Macro!$A:$A,0))</f>
        <v>0</v>
      </c>
    </row>
    <row r="42" customFormat="false" ht="15" hidden="false" customHeight="false" outlineLevel="0" collapsed="false">
      <c r="B42" s="16" t="s">
        <v>95</v>
      </c>
    </row>
    <row r="43" customFormat="false" ht="15" hidden="false" customHeight="false" outlineLevel="0" collapsed="false">
      <c r="B43" s="8" t="s">
        <v>36</v>
      </c>
      <c r="C43" s="8" t="s">
        <v>37</v>
      </c>
      <c r="D43" s="25" t="s">
        <v>38</v>
      </c>
      <c r="E43" s="8" t="s">
        <v>96</v>
      </c>
      <c r="F43" s="8" t="s">
        <v>97</v>
      </c>
      <c r="G43" s="8" t="s">
        <v>98</v>
      </c>
      <c r="H43" s="8" t="s">
        <v>99</v>
      </c>
      <c r="I43" s="8" t="s">
        <v>100</v>
      </c>
      <c r="J43" s="8" t="s">
        <v>101</v>
      </c>
    </row>
    <row r="44" customFormat="false" ht="15" hidden="false" customHeight="false" outlineLevel="0" collapsed="false">
      <c r="B44" s="17" t="s">
        <v>53</v>
      </c>
      <c r="C44" s="17" t="str">
        <f aca="false">$C$5</f>
        <v>irn</v>
      </c>
      <c r="D44" s="26" t="s">
        <v>102</v>
      </c>
      <c r="E44" s="27" t="n">
        <f aca="false">INDEX(Data_Elast!$D:$G,MATCH("el_inc_"&amp;INDEX(Data_Elast!$J:$J,MATCH($B44,Data_Elast!$I:$I,0)),Data_Elast!$A:$A,0),MATCH(Settings!$B$5,Data_Elast!$D$1:$G$1,0))</f>
        <v>0.5</v>
      </c>
      <c r="F44" s="27" t="n">
        <f aca="false">INDEX(Data_Elast!$D:$G,MATCH("el_dem_"&amp;INDEX(Data_Elast!$J:$J,MATCH($B44,Data_Elast!$I:$I,0)),Data_Elast!$A:$A,0),MATCH(Settings!$B$5,Data_Elast!$D$1:$G$1,0))</f>
        <v>-0.3</v>
      </c>
      <c r="G44" s="27" t="n">
        <f aca="false">INDEX(Data_Elast!$D:$G,MATCH("el_eff_"&amp;INDEX(Data_Elast!$J:$J,MATCH($B44,Data_Elast!$I:$I,0)),Data_Elast!$A:$A,0),MATCH(Settings!$B$5,Data_Elast!$D$1:$G$1,0))</f>
        <v>-0.4</v>
      </c>
      <c r="H44" s="27" t="n">
        <f aca="false">INDEX(Data_Elast!$D:$G,MATCH("eff_imp_"&amp;INDEX(Data_Elast!$K:$K,MATCH($B44,Data_Elast!$I:$I,0)),Data_Elast!$A:$A,0),MATCH(Settings!$B$5,Data_Elast!$D$1:$G$1,0))</f>
        <v>0.005</v>
      </c>
      <c r="I44" s="27" t="n">
        <f aca="false">Settings!$B$7</f>
        <v>0</v>
      </c>
      <c r="J44" s="19" t="str">
        <f aca="false">INDEX(Data_Elast!$J:$J,MATCH($B44,Data_Elast!$I:$I,0))</f>
        <v>coa</v>
      </c>
    </row>
    <row r="45" customFormat="false" ht="15" hidden="false" customHeight="false" outlineLevel="0" collapsed="false">
      <c r="B45" s="17" t="s">
        <v>57</v>
      </c>
      <c r="C45" s="17" t="str">
        <f aca="false">$C$5</f>
        <v>irn</v>
      </c>
      <c r="D45" s="26" t="s">
        <v>103</v>
      </c>
      <c r="E45" s="27" t="n">
        <f aca="false">INDEX(Data_Elast!$D:$G,MATCH("el_inc_"&amp;INDEX(Data_Elast!$J:$J,MATCH($B45,Data_Elast!$I:$I,0)),Data_Elast!$A:$A,0),MATCH(Settings!$B$5,Data_Elast!$D$1:$G$1,0))</f>
        <v>1</v>
      </c>
      <c r="F45" s="27" t="n">
        <f aca="false">INDEX(Data_Elast!$D:$G,MATCH("el_dem_"&amp;INDEX(Data_Elast!$J:$J,MATCH($B45,Data_Elast!$I:$I,0)),Data_Elast!$A:$A,0),MATCH(Settings!$B$5,Data_Elast!$D$1:$G$1,0))</f>
        <v>-0.5</v>
      </c>
      <c r="G45" s="27" t="n">
        <f aca="false">INDEX(Data_Elast!$D:$G,MATCH("el_eff_"&amp;INDEX(Data_Elast!$J:$J,MATCH($B45,Data_Elast!$I:$I,0)),Data_Elast!$A:$A,0),MATCH(Settings!$B$5,Data_Elast!$D$1:$G$1,0))</f>
        <v>-0.5</v>
      </c>
      <c r="H45" s="27" t="n">
        <f aca="false">INDEX(Data_Elast!$D:$G,MATCH("eff_imp_"&amp;INDEX(Data_Elast!$K:$K,MATCH($B45,Data_Elast!$I:$I,0)),Data_Elast!$A:$A,0),MATCH(Settings!$B$5,Data_Elast!$D$1:$G$1,0))</f>
        <v>0.01</v>
      </c>
      <c r="I45" s="27" t="n">
        <f aca="false">Settings!$B$7</f>
        <v>0</v>
      </c>
      <c r="J45" s="19" t="str">
        <f aca="false">INDEX(Data_Elast!$J:$J,MATCH($B45,Data_Elast!$I:$I,0))</f>
        <v>nga</v>
      </c>
    </row>
    <row r="46" customFormat="false" ht="15" hidden="false" customHeight="false" outlineLevel="0" collapsed="false">
      <c r="B46" s="17" t="s">
        <v>59</v>
      </c>
      <c r="C46" s="17" t="str">
        <f aca="false">$C$5</f>
        <v>irn</v>
      </c>
      <c r="D46" s="26" t="s">
        <v>104</v>
      </c>
      <c r="E46" s="27" t="n">
        <f aca="false">INDEX(Data_Elast!$D:$G,MATCH("el_inc_"&amp;INDEX(Data_Elast!$J:$J,MATCH($B46,Data_Elast!$I:$I,0)),Data_Elast!$A:$A,0),MATCH(Settings!$B$5,Data_Elast!$D$1:$G$1,0))</f>
        <v>0.5</v>
      </c>
      <c r="F46" s="27" t="n">
        <f aca="false">INDEX(Data_Elast!$D:$G,MATCH("el_dem_"&amp;INDEX(Data_Elast!$J:$J,MATCH($B46,Data_Elast!$I:$I,0)),Data_Elast!$A:$A,0),MATCH(Settings!$B$5,Data_Elast!$D$1:$G$1,0))</f>
        <v>-0.4</v>
      </c>
      <c r="G46" s="27" t="n">
        <f aca="false">INDEX(Data_Elast!$D:$G,MATCH("el_eff_"&amp;INDEX(Data_Elast!$J:$J,MATCH($B46,Data_Elast!$I:$I,0)),Data_Elast!$A:$A,0),MATCH(Settings!$B$5,Data_Elast!$D$1:$G$1,0))</f>
        <v>-0.7</v>
      </c>
      <c r="H46" s="27" t="n">
        <f aca="false">INDEX(Data_Elast!$D:$G,MATCH("eff_imp_"&amp;INDEX(Data_Elast!$K:$K,MATCH($B46,Data_Elast!$I:$I,0)),Data_Elast!$A:$A,0),MATCH(Settings!$B$5,Data_Elast!$D$1:$G$1,0))</f>
        <v>0.005</v>
      </c>
      <c r="I46" s="27" t="n">
        <f aca="false">Settings!$B$7</f>
        <v>0</v>
      </c>
      <c r="J46" s="19" t="str">
        <f aca="false">INDEX(Data_Elast!$J:$J,MATCH($B46,Data_Elast!$I:$I,0))</f>
        <v>gso</v>
      </c>
    </row>
    <row r="47" customFormat="false" ht="15" hidden="false" customHeight="false" outlineLevel="0" collapsed="false">
      <c r="B47" s="17" t="s">
        <v>62</v>
      </c>
      <c r="C47" s="17" t="str">
        <f aca="false">$C$5</f>
        <v>irn</v>
      </c>
      <c r="D47" s="26" t="s">
        <v>105</v>
      </c>
      <c r="E47" s="27" t="n">
        <f aca="false">INDEX(Data_Elast!$D:$G,MATCH("el_inc_"&amp;INDEX(Data_Elast!$J:$J,MATCH($B47,Data_Elast!$I:$I,0)),Data_Elast!$A:$A,0),MATCH(Settings!$B$5,Data_Elast!$D$1:$G$1,0))</f>
        <v>0.5</v>
      </c>
      <c r="F47" s="27" t="n">
        <f aca="false">INDEX(Data_Elast!$D:$G,MATCH("el_dem_"&amp;INDEX(Data_Elast!$J:$J,MATCH($B47,Data_Elast!$I:$I,0)),Data_Elast!$A:$A,0),MATCH(Settings!$B$5,Data_Elast!$D$1:$G$1,0))</f>
        <v>-0.7</v>
      </c>
      <c r="G47" s="27" t="n">
        <f aca="false">INDEX(Data_Elast!$D:$G,MATCH("el_eff_"&amp;INDEX(Data_Elast!$J:$J,MATCH($B47,Data_Elast!$I:$I,0)),Data_Elast!$A:$A,0),MATCH(Settings!$B$5,Data_Elast!$D$1:$G$1,0))</f>
        <v>-1.2</v>
      </c>
      <c r="H47" s="27" t="n">
        <f aca="false">INDEX(Data_Elast!$D:$G,MATCH("eff_imp_"&amp;INDEX(Data_Elast!$K:$K,MATCH($B47,Data_Elast!$I:$I,0)),Data_Elast!$A:$A,0),MATCH(Settings!$B$5,Data_Elast!$D$1:$G$1,0))</f>
        <v>0.005</v>
      </c>
      <c r="I47" s="27" t="n">
        <f aca="false">Settings!$B$7</f>
        <v>0</v>
      </c>
      <c r="J47" s="19" t="str">
        <f aca="false">INDEX(Data_Elast!$J:$J,MATCH($B47,Data_Elast!$I:$I,0))</f>
        <v>die</v>
      </c>
    </row>
    <row r="48" customFormat="false" ht="15" hidden="false" customHeight="false" outlineLevel="0" collapsed="false">
      <c r="B48" s="17" t="s">
        <v>64</v>
      </c>
      <c r="C48" s="17" t="str">
        <f aca="false">$C$5</f>
        <v>irn</v>
      </c>
      <c r="D48" s="26" t="s">
        <v>106</v>
      </c>
      <c r="E48" s="27" t="n">
        <f aca="false">INDEX(Data_Elast!$D:$G,MATCH("el_inc_"&amp;INDEX(Data_Elast!$J:$J,MATCH($B48,Data_Elast!$I:$I,0)),Data_Elast!$A:$A,0),MATCH(Settings!$B$5,Data_Elast!$D$1:$G$1,0))</f>
        <v>0.8</v>
      </c>
      <c r="F48" s="27" t="n">
        <f aca="false">INDEX(Data_Elast!$D:$G,MATCH("el_dem_"&amp;INDEX(Data_Elast!$J:$J,MATCH($B48,Data_Elast!$I:$I,0)),Data_Elast!$A:$A,0),MATCH(Settings!$B$5,Data_Elast!$D$1:$G$1,0))</f>
        <v>-0.4</v>
      </c>
      <c r="G48" s="27" t="n">
        <f aca="false">INDEX(Data_Elast!$D:$G,MATCH("el_eff_"&amp;INDEX(Data_Elast!$J:$J,MATCH($B48,Data_Elast!$I:$I,0)),Data_Elast!$A:$A,0),MATCH(Settings!$B$5,Data_Elast!$D$1:$G$1,0))</f>
        <v>-0.4</v>
      </c>
      <c r="H48" s="27" t="n">
        <f aca="false">INDEX(Data_Elast!$D:$G,MATCH("eff_imp_"&amp;INDEX(Data_Elast!$K:$K,MATCH($B48,Data_Elast!$I:$I,0)),Data_Elast!$A:$A,0),MATCH(Settings!$B$5,Data_Elast!$D$1:$G$1,0))</f>
        <v>0.005</v>
      </c>
      <c r="I48" s="27" t="n">
        <f aca="false">Settings!$B$7</f>
        <v>0</v>
      </c>
      <c r="J48" s="19" t="str">
        <f aca="false">INDEX(Data_Elast!$J:$J,MATCH($B48,Data_Elast!$I:$I,0))</f>
        <v>oil</v>
      </c>
    </row>
    <row r="49" customFormat="false" ht="15" hidden="false" customHeight="false" outlineLevel="0" collapsed="false">
      <c r="B49" s="17" t="s">
        <v>66</v>
      </c>
      <c r="C49" s="17" t="str">
        <f aca="false">$C$5</f>
        <v>irn</v>
      </c>
      <c r="D49" s="26" t="s">
        <v>107</v>
      </c>
      <c r="E49" s="27" t="n">
        <f aca="false">INDEX(Data_Elast!$D:$G,MATCH("el_inc_"&amp;INDEX(Data_Elast!$J:$J,MATCH($B49,Data_Elast!$I:$I,0)),Data_Elast!$A:$A,0),MATCH(Settings!$B$5,Data_Elast!$D$1:$G$1,0))</f>
        <v>0.8</v>
      </c>
      <c r="F49" s="27" t="n">
        <f aca="false">INDEX(Data_Elast!$D:$G,MATCH("el_dem_"&amp;INDEX(Data_Elast!$J:$J,MATCH($B49,Data_Elast!$I:$I,0)),Data_Elast!$A:$A,0),MATCH(Settings!$B$5,Data_Elast!$D$1:$G$1,0))</f>
        <v>-0.4</v>
      </c>
      <c r="G49" s="27" t="n">
        <f aca="false">INDEX(Data_Elast!$D:$G,MATCH("el_eff_"&amp;INDEX(Data_Elast!$J:$J,MATCH($B49,Data_Elast!$I:$I,0)),Data_Elast!$A:$A,0),MATCH(Settings!$B$5,Data_Elast!$D$1:$G$1,0))</f>
        <v>-0.4</v>
      </c>
      <c r="H49" s="27" t="n">
        <f aca="false">INDEX(Data_Elast!$D:$G,MATCH("eff_imp_"&amp;INDEX(Data_Elast!$K:$K,MATCH($B49,Data_Elast!$I:$I,0)),Data_Elast!$A:$A,0),MATCH(Settings!$B$5,Data_Elast!$D$1:$G$1,0))</f>
        <v>0.005</v>
      </c>
      <c r="I49" s="27" t="n">
        <f aca="false">Settings!$B$7</f>
        <v>0</v>
      </c>
      <c r="J49" s="19" t="str">
        <f aca="false">INDEX(Data_Elast!$J:$J,MATCH($B49,Data_Elast!$I:$I,0))</f>
        <v>oil</v>
      </c>
    </row>
    <row r="50" customFormat="false" ht="15" hidden="false" customHeight="false" outlineLevel="0" collapsed="false">
      <c r="B50" s="17" t="s">
        <v>68</v>
      </c>
      <c r="C50" s="17" t="str">
        <f aca="false">$C$5</f>
        <v>irn</v>
      </c>
      <c r="D50" s="26" t="s">
        <v>108</v>
      </c>
      <c r="E50" s="27" t="n">
        <f aca="false">INDEX(Data_Elast!$D:$G,MATCH("el_inc_"&amp;INDEX(Data_Elast!$J:$J,MATCH($B50,Data_Elast!$I:$I,0)),Data_Elast!$A:$A,0),MATCH(Settings!$B$5,Data_Elast!$D$1:$G$1,0))</f>
        <v>0.8</v>
      </c>
      <c r="F50" s="27" t="n">
        <f aca="false">INDEX(Data_Elast!$D:$G,MATCH("el_dem_"&amp;INDEX(Data_Elast!$J:$J,MATCH($B50,Data_Elast!$I:$I,0)),Data_Elast!$A:$A,0),MATCH(Settings!$B$5,Data_Elast!$D$1:$G$1,0))</f>
        <v>-0.4</v>
      </c>
      <c r="G50" s="27" t="n">
        <f aca="false">INDEX(Data_Elast!$D:$G,MATCH("el_eff_"&amp;INDEX(Data_Elast!$J:$J,MATCH($B50,Data_Elast!$I:$I,0)),Data_Elast!$A:$A,0),MATCH(Settings!$B$5,Data_Elast!$D$1:$G$1,0))</f>
        <v>-0.4</v>
      </c>
      <c r="H50" s="27" t="n">
        <f aca="false">INDEX(Data_Elast!$D:$G,MATCH("eff_imp_"&amp;INDEX(Data_Elast!$K:$K,MATCH($B50,Data_Elast!$I:$I,0)),Data_Elast!$A:$A,0),MATCH(Settings!$B$5,Data_Elast!$D$1:$G$1,0))</f>
        <v>0.005</v>
      </c>
      <c r="I50" s="27" t="n">
        <f aca="false">Settings!$B$7</f>
        <v>0</v>
      </c>
      <c r="J50" s="19" t="str">
        <f aca="false">INDEX(Data_Elast!$J:$J,MATCH($B50,Data_Elast!$I:$I,0))</f>
        <v>oil</v>
      </c>
    </row>
    <row r="51" customFormat="false" ht="15" hidden="false" customHeight="false" outlineLevel="0" collapsed="false">
      <c r="B51" s="17" t="s">
        <v>71</v>
      </c>
      <c r="C51" s="17" t="str">
        <f aca="false">$C$5</f>
        <v>irn</v>
      </c>
      <c r="D51" s="26" t="s">
        <v>109</v>
      </c>
      <c r="E51" s="27" t="n">
        <f aca="false">INDEX(Data_Elast!$D:$G,MATCH("el_inc_"&amp;INDEX(Data_Elast!$J:$J,MATCH($B51,Data_Elast!$I:$I,0)),Data_Elast!$A:$A,0),MATCH(Settings!$B$5,Data_Elast!$D$1:$G$1,0))</f>
        <v>0.1</v>
      </c>
      <c r="F51" s="27" t="n">
        <f aca="false">INDEX(Data_Elast!$D:$G,MATCH("el_dem_"&amp;INDEX(Data_Elast!$J:$J,MATCH($B51,Data_Elast!$I:$I,0)),Data_Elast!$A:$A,0),MATCH(Settings!$B$5,Data_Elast!$D$1:$G$1,0))</f>
        <v>-0.3</v>
      </c>
      <c r="G51" s="27" t="n">
        <f aca="false">INDEX(Data_Elast!$D:$G,MATCH("el_eff_"&amp;INDEX(Data_Elast!$J:$J,MATCH($B51,Data_Elast!$I:$I,0)),Data_Elast!$A:$A,0),MATCH(Settings!$B$5,Data_Elast!$D$1:$G$1,0))</f>
        <v>-0.2</v>
      </c>
      <c r="H51" s="27" t="n">
        <f aca="false">INDEX(Data_Elast!$D:$G,MATCH("eff_imp_"&amp;INDEX(Data_Elast!$K:$K,MATCH($B51,Data_Elast!$I:$I,0)),Data_Elast!$A:$A,0),MATCH(Settings!$B$5,Data_Elast!$D$1:$G$1,0))</f>
        <v>0.005</v>
      </c>
      <c r="I51" s="27" t="n">
        <f aca="false">Settings!$B$7</f>
        <v>0</v>
      </c>
      <c r="J51" s="19" t="str">
        <f aca="false">INDEX(Data_Elast!$J:$J,MATCH($B51,Data_Elast!$I:$I,0))</f>
        <v>bio</v>
      </c>
    </row>
    <row r="52" customFormat="false" ht="15" hidden="false" customHeight="false" outlineLevel="0" collapsed="false">
      <c r="B52" s="17" t="s">
        <v>73</v>
      </c>
      <c r="C52" s="17" t="str">
        <f aca="false">$C$5</f>
        <v>irn</v>
      </c>
      <c r="D52" s="26" t="s">
        <v>110</v>
      </c>
      <c r="E52" s="27" t="n">
        <f aca="false">INDEX(Data_Elast!$D:$G,MATCH("el_inc_"&amp;INDEX(Data_Elast!$J:$J,MATCH($B52,Data_Elast!$I:$I,0)),Data_Elast!$A:$A,0),MATCH(Settings!$B$5,Data_Elast!$D$1:$G$1,0))</f>
        <v>0.8</v>
      </c>
      <c r="F52" s="27" t="n">
        <f aca="false">INDEX(Data_Elast!$D:$G,MATCH("el_dem_"&amp;INDEX(Data_Elast!$J:$J,MATCH($B52,Data_Elast!$I:$I,0)),Data_Elast!$A:$A,0),MATCH(Settings!$B$5,Data_Elast!$D$1:$G$1,0))</f>
        <v>-0.5</v>
      </c>
      <c r="G52" s="27" t="n">
        <f aca="false">INDEX(Data_Elast!$D:$G,MATCH("el_eff_"&amp;INDEX(Data_Elast!$J:$J,MATCH($B52,Data_Elast!$I:$I,0)),Data_Elast!$A:$A,0),MATCH(Settings!$B$5,Data_Elast!$D$1:$G$1,0))</f>
        <v>-0.4</v>
      </c>
      <c r="H52" s="27" t="n">
        <f aca="false">INDEX(Data_Elast!$D:$G,MATCH("eff_imp_"&amp;INDEX(Data_Elast!$K:$K,MATCH($B52,Data_Elast!$I:$I,0)),Data_Elast!$A:$A,0),MATCH(Settings!$B$5,Data_Elast!$D$1:$G$1,0))</f>
        <v>0.005</v>
      </c>
      <c r="I52" s="27" t="n">
        <f aca="false">Settings!$B$7</f>
        <v>0</v>
      </c>
      <c r="J52" s="19" t="str">
        <f aca="false">INDEX(Data_Elast!$J:$J,MATCH($B52,Data_Elast!$I:$I,0))</f>
        <v>ren</v>
      </c>
    </row>
    <row r="53" customFormat="false" ht="15" hidden="false" customHeight="false" outlineLevel="0" collapsed="false">
      <c r="B53" s="16" t="s">
        <v>111</v>
      </c>
    </row>
    <row r="54" customFormat="false" ht="15" hidden="false" customHeight="false" outlineLevel="0" collapsed="false">
      <c r="B54" s="17" t="s">
        <v>53</v>
      </c>
      <c r="C54" s="17" t="str">
        <f aca="false">$C$5</f>
        <v>irn</v>
      </c>
      <c r="D54" s="18" t="s">
        <v>54</v>
      </c>
      <c r="E54" s="19" t="s">
        <v>112</v>
      </c>
      <c r="F54" s="17" t="s">
        <v>113</v>
      </c>
      <c r="G54" s="20" t="str">
        <f aca="false">Settings!$B$3&amp;".mit.enc."&amp;$B54</f>
        <v>egy.mit.enc.coa</v>
      </c>
      <c r="H54" s="21" t="str">
        <f aca="false">Settings!$B$3&amp;".mit.ener."&amp;$C$5&amp;"."&amp;$B54&amp;".e."&amp;$J$5</f>
        <v>egy.mit.ener.irn.coa.e.1</v>
      </c>
      <c r="L54" s="28" t="n">
        <f aca="false">INDEX(Data_Energy!$D$3:$U$22,MATCH($B54,Data_Energy!$C$3:$C$22,0),MATCH($C54,Data_Energy!$D$2:$U$2,0))</f>
        <v>232.657354770131</v>
      </c>
      <c r="M54" s="29" t="n">
        <f aca="false">L54*(1+M$39)^($E44*M$40)*(1+M$41)*IF(L17&lt;=0,1,M17/L17)^$F44*(IF(L27&lt;=0,1,M27/L27)^$G44/(1+$H44+$I44))^(1+$F44)</f>
        <v>189.452656106887</v>
      </c>
      <c r="N54" s="29" t="n">
        <f aca="false">M54*(1+N$39)^($E44*N$40)*(1+N$41)*IF(M17&lt;=0,1,N17/M17)^$F44*(IF(M27&lt;=0,1,N27/M27)^$G44/(1+$H44+$I44))^(1+$F44)</f>
        <v>217.728838709141</v>
      </c>
      <c r="O54" s="29" t="n">
        <f aca="false">N54*(1+O$39)^($E44*O$40)*(1+O$41)*IF(N17&lt;=0,1,O17/N17)^$F44*(IF(N27&lt;=0,1,O27/N27)^$G44/(1+$H44+$I44))^(1+$F44)</f>
        <v>237.897930150489</v>
      </c>
      <c r="P54" s="29" t="n">
        <f aca="false">O54*(1+P$39)^($E44*P$40)*(1+P$41)*IF(O17&lt;=0,1,P17/O17)^$F44*(IF(O27&lt;=0,1,P27/O27)^$G44/(1+$H44+$I44))^(1+$F44)</f>
        <v>232.650069031245</v>
      </c>
      <c r="Q54" s="29" t="n">
        <f aca="false">P54*(1+Q$39)^($E44*Q$40)*(1+Q$41)*IF(P17&lt;=0,1,Q17/P17)^$F44*(IF(P27&lt;=0,1,Q27/P27)^$G44/(1+$H44+$I44))^(1+$F44)</f>
        <v>235.342940210036</v>
      </c>
      <c r="R54" s="29" t="n">
        <f aca="false">Q54*(1+R$39)^($E44*R$40)*(1+R$41)*IF(Q17&lt;=0,1,R17/Q17)^$F44*(IF(Q27&lt;=0,1,R27/Q27)^$G44/(1+$H44+$I44))^(1+$F44)</f>
        <v>241.853740474189</v>
      </c>
      <c r="S54" s="29" t="n">
        <f aca="false">R54*(1+S$39)^($E44*S$40)*(1+S$41)*IF(R17&lt;=0,1,S17/R17)^$F44*(IF(R27&lt;=0,1,S27/R27)^$G44/(1+$H44+$I44))^(1+$F44)</f>
        <v>248.193685291757</v>
      </c>
      <c r="T54" s="29" t="n">
        <f aca="false">S54*(1+T$39)^($E44*T$40)*(1+T$41)*IF(S17&lt;=0,1,T17/S17)^$F44*(IF(S27&lt;=0,1,T27/S27)^$G44/(1+$H44+$I44))^(1+$F44)</f>
        <v>254.267796740139</v>
      </c>
      <c r="U54" s="29" t="n">
        <f aca="false">T54*(1+U$39)^($E44*U$40)*(1+U$41)*IF(T17&lt;=0,1,U17/T17)^$F44*(IF(T27&lt;=0,1,U27/T27)^$G44/(1+$H44+$I44))^(1+$F44)</f>
        <v>260.356389857144</v>
      </c>
      <c r="V54" s="29" t="n">
        <f aca="false">U54*(1+V$39)^($E44*V$40)*(1+V$41)*IF(U17&lt;=0,1,V17/U17)^$F44*(IF(U27&lt;=0,1,V27/U27)^$G44/(1+$H44+$I44))^(1+$F44)</f>
        <v>265.285472863016</v>
      </c>
      <c r="W54" s="29" t="n">
        <f aca="false">V54*(1+W$39)^($E44*W$40)*(1+W$41)*IF(V17&lt;=0,1,W17/V17)^$F44*(IF(V27&lt;=0,1,W27/V27)^$G44/(1+$H44+$I44))^(1+$F44)</f>
        <v>270.226993806343</v>
      </c>
      <c r="X54" s="29" t="n">
        <f aca="false">W54*(1+X$39)^($E44*X$40)*(1+X$41)*IF(W17&lt;=0,1,X17/W17)^$F44*(IF(W27&lt;=0,1,X27/W27)^$G44/(1+$H44+$I44))^(1+$F44)</f>
        <v>275.17954419786</v>
      </c>
      <c r="Y54" s="29" t="n">
        <f aca="false">X54*(1+Y$39)^($E44*Y$40)*(1+Y$41)*IF(X17&lt;=0,1,Y17/X17)^$F44*(IF(X27&lt;=0,1,Y27/X27)^$G44/(1+$H44+$I44))^(1+$F44)</f>
        <v>280.141727960992</v>
      </c>
      <c r="Z54" s="29" t="n">
        <f aca="false">Y54*(1+Z$39)^($E44*Z$40)*(1+Z$41)*IF(Y17&lt;=0,1,Z17/Y17)^$F44*(IF(Y27&lt;=0,1,Z27/Y27)^$G44/(1+$H44+$I44))^(1+$F44)</f>
        <v>285.112160249554</v>
      </c>
      <c r="AA54" s="29" t="n">
        <f aca="false">Z54*(1+AA$39)^($E44*AA$40)*(1+AA$41)*IF(Z17&lt;=0,1,AA17/Z17)^$F44*(IF(Z27&lt;=0,1,AA27/Z27)^$G44/(1+$H44+$I44))^(1+$F44)</f>
        <v>290.089466138538</v>
      </c>
      <c r="AB54" s="29" t="n">
        <f aca="false">AA54*(1+AB$39)^($E44*AB$40)*(1+AB$41)*IF(AA17&lt;=0,1,AB17/AA17)^$F44*(IF(AA27&lt;=0,1,AB27/AA27)^$G44/(1+$H44+$I44))^(1+$F44)</f>
        <v>295.072279194488</v>
      </c>
      <c r="AC54" s="29" t="n">
        <f aca="false">AB54*(1+AC$39)^($E44*AC$40)*(1+AC$41)*IF(AB17&lt;=0,1,AC17/AB17)^$F44*(IF(AB27&lt;=0,1,AC27/AB27)^$G44/(1+$H44+$I44))^(1+$F44)</f>
        <v>300.059239931575</v>
      </c>
      <c r="AD54" s="29" t="n">
        <f aca="false">AC54*(1+AD$39)^($E44*AD$40)*(1+AD$41)*IF(AC17&lt;=0,1,AD17/AC17)^$F44*(IF(AC27&lt;=0,1,AD27/AC27)^$G44/(1+$H44+$I44))^(1+$F44)</f>
        <v>305.048994159046</v>
      </c>
      <c r="AE54" s="29" t="n">
        <f aca="false">AD54*(1+AE$39)^($E44*AE$40)*(1+AE$41)*IF(AD17&lt;=0,1,AE17/AD17)^$F44*(IF(AD27&lt;=0,1,AE27/AD27)^$G44/(1+$H44+$I44))^(1+$F44)</f>
        <v>310.040191225303</v>
      </c>
    </row>
    <row r="55" customFormat="false" ht="15" hidden="false" customHeight="false" outlineLevel="0" collapsed="false">
      <c r="B55" s="17" t="s">
        <v>57</v>
      </c>
      <c r="C55" s="17" t="str">
        <f aca="false">$C$5</f>
        <v>irn</v>
      </c>
      <c r="D55" s="18" t="s">
        <v>58</v>
      </c>
      <c r="E55" s="19" t="s">
        <v>112</v>
      </c>
      <c r="F55" s="17" t="s">
        <v>113</v>
      </c>
      <c r="G55" s="20" t="str">
        <f aca="false">Settings!$B$3&amp;".mit.enc."&amp;$B55</f>
        <v>egy.mit.enc.nga</v>
      </c>
      <c r="H55" s="21" t="str">
        <f aca="false">Settings!$B$3&amp;".mit.ener."&amp;$C$5&amp;"."&amp;$B55&amp;".e."&amp;$J$5</f>
        <v>egy.mit.ener.irn.nga.e.1</v>
      </c>
      <c r="L55" s="28" t="n">
        <f aca="false">INDEX(Data_Energy!$D$3:$U$22,MATCH($B55,Data_Energy!$C$3:$C$22,0),MATCH($C55,Data_Energy!$D$2:$U$2,0))</f>
        <v>1669.05671904213</v>
      </c>
      <c r="M55" s="29" t="n">
        <f aca="false">L55*(1+M$39)^($E45*M$40)*(1+M$41)*IF(L18&lt;=0,1,M18/L18)^$F45*(IF(L28&lt;=0,1,M28/L28)^$G45/(1+$H45+$I45))^(1+$F45)</f>
        <v>1431.77752088248</v>
      </c>
      <c r="N55" s="29" t="n">
        <f aca="false">M55*(1+N$39)^($E45*N$40)*(1+N$41)*IF(M18&lt;=0,1,N18/M18)^$F45*(IF(M28&lt;=0,1,N28/M28)^$G45/(1+$H45+$I45))^(1+$F45)</f>
        <v>1603.11808152123</v>
      </c>
      <c r="O55" s="29" t="n">
        <f aca="false">N55*(1+O$39)^($E45*O$40)*(1+O$41)*IF(N18&lt;=0,1,O18/N18)^$F45*(IF(N28&lt;=0,1,O28/N28)^$G45/(1+$H45+$I45))^(1+$F45)</f>
        <v>1666.46910747486</v>
      </c>
      <c r="P55" s="29" t="n">
        <f aca="false">O55*(1+P$39)^($E45*P$40)*(1+P$41)*IF(O18&lt;=0,1,P18/O18)^$F45*(IF(O28&lt;=0,1,P28/O28)^$G45/(1+$H45+$I45))^(1+$F45)</f>
        <v>1729.05195222199</v>
      </c>
      <c r="Q55" s="29" t="n">
        <f aca="false">P55*(1+Q$39)^($E45*Q$40)*(1+Q$41)*IF(P18&lt;=0,1,Q18/P18)^$F45*(IF(P28&lt;=0,1,Q28/P28)^$G45/(1+$H45+$I45))^(1+$F45)</f>
        <v>1803.61960143886</v>
      </c>
      <c r="R55" s="29" t="n">
        <f aca="false">Q55*(1+R$39)^($E45*R$40)*(1+R$41)*IF(Q18&lt;=0,1,R18/Q18)^$F45*(IF(Q28&lt;=0,1,R28/Q28)^$G45/(1+$H45+$I45))^(1+$F45)</f>
        <v>1893.18143077966</v>
      </c>
      <c r="S55" s="29" t="n">
        <f aca="false">R55*(1+S$39)^($E45*S$40)*(1+S$41)*IF(R18&lt;=0,1,S18/R18)^$F45*(IF(R28&lt;=0,1,S28/R28)^$G45/(1+$H45+$I45))^(1+$F45)</f>
        <v>1980.2914020527</v>
      </c>
      <c r="T55" s="29" t="n">
        <f aca="false">S55*(1+T$39)^($E45*T$40)*(1+T$41)*IF(S18&lt;=0,1,T18/S18)^$F45*(IF(S28&lt;=0,1,T28/S28)^$G45/(1+$H45+$I45))^(1+$F45)</f>
        <v>2062.96309592189</v>
      </c>
      <c r="U55" s="29" t="n">
        <f aca="false">T55*(1+U$39)^($E45*U$40)*(1+U$41)*IF(T18&lt;=0,1,U18/T18)^$F45*(IF(T28&lt;=0,1,U28/T28)^$G45/(1+$H45+$I45))^(1+$F45)</f>
        <v>2147.42478846149</v>
      </c>
      <c r="V55" s="29" t="n">
        <f aca="false">U55*(1+V$39)^($E45*V$40)*(1+V$41)*IF(U18&lt;=0,1,V18/U18)^$F45*(IF(U28&lt;=0,1,V28/U28)^$G45/(1+$H45+$I45))^(1+$F45)</f>
        <v>2233.98481484628</v>
      </c>
      <c r="W55" s="29" t="n">
        <f aca="false">V55*(1+W$39)^($E45*W$40)*(1+W$41)*IF(V18&lt;=0,1,W18/V18)^$F45*(IF(V28&lt;=0,1,W28/V28)^$G45/(1+$H45+$I45))^(1+$F45)</f>
        <v>2322.64341184426</v>
      </c>
      <c r="X55" s="29" t="n">
        <f aca="false">W55*(1+X$39)^($E45*X$40)*(1+X$41)*IF(W18&lt;=0,1,X18/W18)^$F45*(IF(W28&lt;=0,1,X28/W28)^$G45/(1+$H45+$I45))^(1+$F45)</f>
        <v>2413.39924651936</v>
      </c>
      <c r="Y55" s="29" t="n">
        <f aca="false">X55*(1+Y$39)^($E45*Y$40)*(1+Y$41)*IF(X18&lt;=0,1,Y18/X18)^$F45*(IF(X28&lt;=0,1,Y28/X28)^$G45/(1+$H45+$I45))^(1+$F45)</f>
        <v>2506.24939253545</v>
      </c>
      <c r="Z55" s="29" t="n">
        <f aca="false">Y55*(1+Z$39)^($E45*Z$40)*(1+Z$41)*IF(Y18&lt;=0,1,Z18/Y18)^$F45*(IF(Y28&lt;=0,1,Z28/Y28)^$G45/(1+$H45+$I45))^(1+$F45)</f>
        <v>2601.18930322639</v>
      </c>
      <c r="AA55" s="29" t="n">
        <f aca="false">Z55*(1+AA$39)^($E45*AA$40)*(1+AA$41)*IF(Z18&lt;=0,1,AA18/Z18)^$F45*(IF(Z28&lt;=0,1,AA28/Z28)^$G45/(1+$H45+$I45))^(1+$F45)</f>
        <v>2698.21278116586</v>
      </c>
      <c r="AB55" s="29" t="n">
        <f aca="false">AA55*(1+AB$39)^($E45*AB$40)*(1+AB$41)*IF(AA18&lt;=0,1,AB18/AA18)^$F45*(IF(AA28&lt;=0,1,AB28/AA28)^$G45/(1+$H45+$I45))^(1+$F45)</f>
        <v>2797.31194398115</v>
      </c>
      <c r="AC55" s="29" t="n">
        <f aca="false">AB55*(1+AC$39)^($E45*AC$40)*(1+AC$41)*IF(AB18&lt;=0,1,AC18/AB18)^$F45*(IF(AB28&lt;=0,1,AC28/AB28)^$G45/(1+$H45+$I45))^(1+$F45)</f>
        <v>2898.47718616532</v>
      </c>
      <c r="AD55" s="29" t="n">
        <f aca="false">AC55*(1+AD$39)^($E45*AD$40)*(1+AD$41)*IF(AC18&lt;=0,1,AD18/AC18)^$F45*(IF(AC28&lt;=0,1,AD28/AC28)^$G45/(1+$H45+$I45))^(1+$F45)</f>
        <v>3001.69713665221</v>
      </c>
      <c r="AE55" s="29" t="n">
        <f aca="false">AD55*(1+AE$39)^($E45*AE$40)*(1+AE$41)*IF(AD18&lt;=0,1,AE18/AD18)^$F45*(IF(AD28&lt;=0,1,AE28/AD28)^$G45/(1+$H45+$I45))^(1+$F45)</f>
        <v>3106.95861192804</v>
      </c>
    </row>
    <row r="56" customFormat="false" ht="15" hidden="false" customHeight="false" outlineLevel="0" collapsed="false">
      <c r="B56" s="17" t="s">
        <v>59</v>
      </c>
      <c r="C56" s="17" t="str">
        <f aca="false">$C$5</f>
        <v>irn</v>
      </c>
      <c r="D56" s="18" t="s">
        <v>60</v>
      </c>
      <c r="E56" s="19" t="s">
        <v>112</v>
      </c>
      <c r="F56" s="17" t="s">
        <v>113</v>
      </c>
      <c r="G56" s="20" t="str">
        <f aca="false">Settings!$B$3&amp;".mit.enc."&amp;$B56</f>
        <v>egy.mit.enc.gso</v>
      </c>
      <c r="H56" s="21" t="str">
        <f aca="false">Settings!$B$3&amp;".mit.ener."&amp;$C$5&amp;"."&amp;$B56&amp;".e."&amp;$J$5</f>
        <v>egy.mit.ener.irn.gso.e.1</v>
      </c>
      <c r="L56" s="28" t="n">
        <f aca="false">INDEX(Data_Energy!$D$3:$U$22,MATCH($B56,Data_Energy!$C$3:$C$22,0),MATCH($C56,Data_Energy!$D$2:$U$2,0))</f>
        <v>0</v>
      </c>
      <c r="M56" s="29" t="n">
        <f aca="false">L56*(1+M$39)^($E46*M$40)*(1+M$41)*IF(L19&lt;=0,1,M19/L19)^$F46*(IF(L29&lt;=0,1,M29/L29)^$G46/(1+$H46+$I46))^(1+$F46)</f>
        <v>0</v>
      </c>
      <c r="N56" s="29" t="n">
        <f aca="false">M56*(1+N$39)^($E46*N$40)*(1+N$41)*IF(M19&lt;=0,1,N19/M19)^$F46*(IF(M29&lt;=0,1,N29/M29)^$G46/(1+$H46+$I46))^(1+$F46)</f>
        <v>0</v>
      </c>
      <c r="O56" s="29" t="n">
        <f aca="false">N56*(1+O$39)^($E46*O$40)*(1+O$41)*IF(N19&lt;=0,1,O19/N19)^$F46*(IF(N29&lt;=0,1,O29/N29)^$G46/(1+$H46+$I46))^(1+$F46)</f>
        <v>0</v>
      </c>
      <c r="P56" s="29" t="n">
        <f aca="false">O56*(1+P$39)^($E46*P$40)*(1+P$41)*IF(O19&lt;=0,1,P19/O19)^$F46*(IF(O29&lt;=0,1,P29/O29)^$G46/(1+$H46+$I46))^(1+$F46)</f>
        <v>0</v>
      </c>
      <c r="Q56" s="29" t="n">
        <f aca="false">P56*(1+Q$39)^($E46*Q$40)*(1+Q$41)*IF(P19&lt;=0,1,Q19/P19)^$F46*(IF(P29&lt;=0,1,Q29/P29)^$G46/(1+$H46+$I46))^(1+$F46)</f>
        <v>0</v>
      </c>
      <c r="R56" s="29" t="n">
        <f aca="false">Q56*(1+R$39)^($E46*R$40)*(1+R$41)*IF(Q19&lt;=0,1,R19/Q19)^$F46*(IF(Q29&lt;=0,1,R29/Q29)^$G46/(1+$H46+$I46))^(1+$F46)</f>
        <v>0</v>
      </c>
      <c r="S56" s="29" t="n">
        <f aca="false">R56*(1+S$39)^($E46*S$40)*(1+S$41)*IF(R19&lt;=0,1,S19/R19)^$F46*(IF(R29&lt;=0,1,S29/R29)^$G46/(1+$H46+$I46))^(1+$F46)</f>
        <v>0</v>
      </c>
      <c r="T56" s="29" t="n">
        <f aca="false">S56*(1+T$39)^($E46*T$40)*(1+T$41)*IF(S19&lt;=0,1,T19/S19)^$F46*(IF(S29&lt;=0,1,T29/S29)^$G46/(1+$H46+$I46))^(1+$F46)</f>
        <v>0</v>
      </c>
      <c r="U56" s="29" t="n">
        <f aca="false">T56*(1+U$39)^($E46*U$40)*(1+U$41)*IF(T19&lt;=0,1,U19/T19)^$F46*(IF(T29&lt;=0,1,U29/T29)^$G46/(1+$H46+$I46))^(1+$F46)</f>
        <v>0</v>
      </c>
      <c r="V56" s="29" t="n">
        <f aca="false">U56*(1+V$39)^($E46*V$40)*(1+V$41)*IF(U19&lt;=0,1,V19/U19)^$F46*(IF(U29&lt;=0,1,V29/U29)^$G46/(1+$H46+$I46))^(1+$F46)</f>
        <v>0</v>
      </c>
      <c r="W56" s="29" t="n">
        <f aca="false">V56*(1+W$39)^($E46*W$40)*(1+W$41)*IF(V19&lt;=0,1,W19/V19)^$F46*(IF(V29&lt;=0,1,W29/V29)^$G46/(1+$H46+$I46))^(1+$F46)</f>
        <v>0</v>
      </c>
      <c r="X56" s="29" t="n">
        <f aca="false">W56*(1+X$39)^($E46*X$40)*(1+X$41)*IF(W19&lt;=0,1,X19/W19)^$F46*(IF(W29&lt;=0,1,X29/W29)^$G46/(1+$H46+$I46))^(1+$F46)</f>
        <v>0</v>
      </c>
      <c r="Y56" s="29" t="n">
        <f aca="false">X56*(1+Y$39)^($E46*Y$40)*(1+Y$41)*IF(X19&lt;=0,1,Y19/X19)^$F46*(IF(X29&lt;=0,1,Y29/X29)^$G46/(1+$H46+$I46))^(1+$F46)</f>
        <v>0</v>
      </c>
      <c r="Z56" s="29" t="n">
        <f aca="false">Y56*(1+Z$39)^($E46*Z$40)*(1+Z$41)*IF(Y19&lt;=0,1,Z19/Y19)^$F46*(IF(Y29&lt;=0,1,Z29/Y29)^$G46/(1+$H46+$I46))^(1+$F46)</f>
        <v>0</v>
      </c>
      <c r="AA56" s="29" t="n">
        <f aca="false">Z56*(1+AA$39)^($E46*AA$40)*(1+AA$41)*IF(Z19&lt;=0,1,AA19/Z19)^$F46*(IF(Z29&lt;=0,1,AA29/Z29)^$G46/(1+$H46+$I46))^(1+$F46)</f>
        <v>0</v>
      </c>
      <c r="AB56" s="29" t="n">
        <f aca="false">AA56*(1+AB$39)^($E46*AB$40)*(1+AB$41)*IF(AA19&lt;=0,1,AB19/AA19)^$F46*(IF(AA29&lt;=0,1,AB29/AA29)^$G46/(1+$H46+$I46))^(1+$F46)</f>
        <v>0</v>
      </c>
      <c r="AC56" s="29" t="n">
        <f aca="false">AB56*(1+AC$39)^($E46*AC$40)*(1+AC$41)*IF(AB19&lt;=0,1,AC19/AB19)^$F46*(IF(AB29&lt;=0,1,AC29/AB29)^$G46/(1+$H46+$I46))^(1+$F46)</f>
        <v>0</v>
      </c>
      <c r="AD56" s="29" t="n">
        <f aca="false">AC56*(1+AD$39)^($E46*AD$40)*(1+AD$41)*IF(AC19&lt;=0,1,AD19/AC19)^$F46*(IF(AC29&lt;=0,1,AD29/AC29)^$G46/(1+$H46+$I46))^(1+$F46)</f>
        <v>0</v>
      </c>
      <c r="AE56" s="29" t="n">
        <f aca="false">AD56*(1+AE$39)^($E46*AE$40)*(1+AE$41)*IF(AD19&lt;=0,1,AE19/AD19)^$F46*(IF(AD29&lt;=0,1,AE29/AD29)^$G46/(1+$H46+$I46))^(1+$F46)</f>
        <v>0</v>
      </c>
    </row>
    <row r="57" customFormat="false" ht="15" hidden="false" customHeight="false" outlineLevel="0" collapsed="false">
      <c r="B57" s="17" t="s">
        <v>62</v>
      </c>
      <c r="C57" s="17" t="str">
        <f aca="false">$C$5</f>
        <v>irn</v>
      </c>
      <c r="D57" s="18" t="s">
        <v>63</v>
      </c>
      <c r="E57" s="19" t="s">
        <v>112</v>
      </c>
      <c r="F57" s="17" t="s">
        <v>113</v>
      </c>
      <c r="G57" s="20" t="str">
        <f aca="false">Settings!$B$3&amp;".mit.enc."&amp;$B57</f>
        <v>egy.mit.enc.die</v>
      </c>
      <c r="H57" s="21" t="str">
        <f aca="false">Settings!$B$3&amp;".mit.ener."&amp;$C$5&amp;"."&amp;$B57&amp;".e."&amp;$J$5</f>
        <v>egy.mit.ener.irn.die.e.1</v>
      </c>
      <c r="L57" s="28" t="n">
        <f aca="false">INDEX(Data_Energy!$D$3:$U$22,MATCH($B57,Data_Energy!$C$3:$C$22,0),MATCH($C57,Data_Energy!$D$2:$U$2,0))</f>
        <v>0</v>
      </c>
      <c r="M57" s="29" t="n">
        <f aca="false">L57*(1+M$39)^($E47*M$40)*(1+M$41)*IF(L20&lt;=0,1,M20/L20)^$F47*(IF(L30&lt;=0,1,M30/L30)^$G47/(1+$H47+$I47))^(1+$F47)</f>
        <v>0</v>
      </c>
      <c r="N57" s="29" t="n">
        <f aca="false">M57*(1+N$39)^($E47*N$40)*(1+N$41)*IF(M20&lt;=0,1,N20/M20)^$F47*(IF(M30&lt;=0,1,N30/M30)^$G47/(1+$H47+$I47))^(1+$F47)</f>
        <v>0</v>
      </c>
      <c r="O57" s="29" t="n">
        <f aca="false">N57*(1+O$39)^($E47*O$40)*(1+O$41)*IF(N20&lt;=0,1,O20/N20)^$F47*(IF(N30&lt;=0,1,O30/N30)^$G47/(1+$H47+$I47))^(1+$F47)</f>
        <v>0</v>
      </c>
      <c r="P57" s="29" t="n">
        <f aca="false">O57*(1+P$39)^($E47*P$40)*(1+P$41)*IF(O20&lt;=0,1,P20/O20)^$F47*(IF(O30&lt;=0,1,P30/O30)^$G47/(1+$H47+$I47))^(1+$F47)</f>
        <v>0</v>
      </c>
      <c r="Q57" s="29" t="n">
        <f aca="false">P57*(1+Q$39)^($E47*Q$40)*(1+Q$41)*IF(P20&lt;=0,1,Q20/P20)^$F47*(IF(P30&lt;=0,1,Q30/P30)^$G47/(1+$H47+$I47))^(1+$F47)</f>
        <v>0</v>
      </c>
      <c r="R57" s="29" t="n">
        <f aca="false">Q57*(1+R$39)^($E47*R$40)*(1+R$41)*IF(Q20&lt;=0,1,R20/Q20)^$F47*(IF(Q30&lt;=0,1,R30/Q30)^$G47/(1+$H47+$I47))^(1+$F47)</f>
        <v>0</v>
      </c>
      <c r="S57" s="29" t="n">
        <f aca="false">R57*(1+S$39)^($E47*S$40)*(1+S$41)*IF(R20&lt;=0,1,S20/R20)^$F47*(IF(R30&lt;=0,1,S30/R30)^$G47/(1+$H47+$I47))^(1+$F47)</f>
        <v>0</v>
      </c>
      <c r="T57" s="29" t="n">
        <f aca="false">S57*(1+T$39)^($E47*T$40)*(1+T$41)*IF(S20&lt;=0,1,T20/S20)^$F47*(IF(S30&lt;=0,1,T30/S30)^$G47/(1+$H47+$I47))^(1+$F47)</f>
        <v>0</v>
      </c>
      <c r="U57" s="29" t="n">
        <f aca="false">T57*(1+U$39)^($E47*U$40)*(1+U$41)*IF(T20&lt;=0,1,U20/T20)^$F47*(IF(T30&lt;=0,1,U30/T30)^$G47/(1+$H47+$I47))^(1+$F47)</f>
        <v>0</v>
      </c>
      <c r="V57" s="29" t="n">
        <f aca="false">U57*(1+V$39)^($E47*V$40)*(1+V$41)*IF(U20&lt;=0,1,V20/U20)^$F47*(IF(U30&lt;=0,1,V30/U30)^$G47/(1+$H47+$I47))^(1+$F47)</f>
        <v>0</v>
      </c>
      <c r="W57" s="29" t="n">
        <f aca="false">V57*(1+W$39)^($E47*W$40)*(1+W$41)*IF(V20&lt;=0,1,W20/V20)^$F47*(IF(V30&lt;=0,1,W30/V30)^$G47/(1+$H47+$I47))^(1+$F47)</f>
        <v>0</v>
      </c>
      <c r="X57" s="29" t="n">
        <f aca="false">W57*(1+X$39)^($E47*X$40)*(1+X$41)*IF(W20&lt;=0,1,X20/W20)^$F47*(IF(W30&lt;=0,1,X30/W30)^$G47/(1+$H47+$I47))^(1+$F47)</f>
        <v>0</v>
      </c>
      <c r="Y57" s="29" t="n">
        <f aca="false">X57*(1+Y$39)^($E47*Y$40)*(1+Y$41)*IF(X20&lt;=0,1,Y20/X20)^$F47*(IF(X30&lt;=0,1,Y30/X30)^$G47/(1+$H47+$I47))^(1+$F47)</f>
        <v>0</v>
      </c>
      <c r="Z57" s="29" t="n">
        <f aca="false">Y57*(1+Z$39)^($E47*Z$40)*(1+Z$41)*IF(Y20&lt;=0,1,Z20/Y20)^$F47*(IF(Y30&lt;=0,1,Z30/Y30)^$G47/(1+$H47+$I47))^(1+$F47)</f>
        <v>0</v>
      </c>
      <c r="AA57" s="29" t="n">
        <f aca="false">Z57*(1+AA$39)^($E47*AA$40)*(1+AA$41)*IF(Z20&lt;=0,1,AA20/Z20)^$F47*(IF(Z30&lt;=0,1,AA30/Z30)^$G47/(1+$H47+$I47))^(1+$F47)</f>
        <v>0</v>
      </c>
      <c r="AB57" s="29" t="n">
        <f aca="false">AA57*(1+AB$39)^($E47*AB$40)*(1+AB$41)*IF(AA20&lt;=0,1,AB20/AA20)^$F47*(IF(AA30&lt;=0,1,AB30/AA30)^$G47/(1+$H47+$I47))^(1+$F47)</f>
        <v>0</v>
      </c>
      <c r="AC57" s="29" t="n">
        <f aca="false">AB57*(1+AC$39)^($E47*AC$40)*(1+AC$41)*IF(AB20&lt;=0,1,AC20/AB20)^$F47*(IF(AB30&lt;=0,1,AC30/AB30)^$G47/(1+$H47+$I47))^(1+$F47)</f>
        <v>0</v>
      </c>
      <c r="AD57" s="29" t="n">
        <f aca="false">AC57*(1+AD$39)^($E47*AD$40)*(1+AD$41)*IF(AC20&lt;=0,1,AD20/AC20)^$F47*(IF(AC30&lt;=0,1,AD30/AC30)^$G47/(1+$H47+$I47))^(1+$F47)</f>
        <v>0</v>
      </c>
      <c r="AE57" s="29" t="n">
        <f aca="false">AD57*(1+AE$39)^($E47*AE$40)*(1+AE$41)*IF(AD20&lt;=0,1,AE20/AD20)^$F47*(IF(AD30&lt;=0,1,AE30/AD30)^$G47/(1+$H47+$I47))^(1+$F47)</f>
        <v>0</v>
      </c>
    </row>
    <row r="58" customFormat="false" ht="15" hidden="false" customHeight="false" outlineLevel="0" collapsed="false">
      <c r="B58" s="17" t="s">
        <v>64</v>
      </c>
      <c r="C58" s="17" t="str">
        <f aca="false">$C$5</f>
        <v>irn</v>
      </c>
      <c r="D58" s="18" t="s">
        <v>65</v>
      </c>
      <c r="E58" s="19" t="s">
        <v>112</v>
      </c>
      <c r="F58" s="17" t="s">
        <v>113</v>
      </c>
      <c r="G58" s="20" t="str">
        <f aca="false">Settings!$B$3&amp;".mit.enc."&amp;$B58</f>
        <v>egy.mit.enc.lpg</v>
      </c>
      <c r="H58" s="21" t="str">
        <f aca="false">Settings!$B$3&amp;".mit.ener."&amp;$C$5&amp;"."&amp;$B58&amp;".e."&amp;$J$5</f>
        <v>egy.mit.ener.irn.lpg.e.1</v>
      </c>
      <c r="L58" s="28" t="n">
        <f aca="false">INDEX(Data_Energy!$D$3:$U$22,MATCH($B58,Data_Energy!$C$3:$C$22,0),MATCH($C58,Data_Energy!$D$2:$U$2,0))</f>
        <v>0</v>
      </c>
      <c r="M58" s="29" t="n">
        <f aca="false">L58*(1+M$39)^($E48*M$40)*(1+M$41)*IF(L21&lt;=0,1,M21/L21)^$F48*(IF(L31&lt;=0,1,M31/L31)^$G48/(1+$H48+$I48))^(1+$F48)</f>
        <v>0</v>
      </c>
      <c r="N58" s="29" t="n">
        <f aca="false">M58*(1+N$39)^($E48*N$40)*(1+N$41)*IF(M21&lt;=0,1,N21/M21)^$F48*(IF(M31&lt;=0,1,N31/M31)^$G48/(1+$H48+$I48))^(1+$F48)</f>
        <v>0</v>
      </c>
      <c r="O58" s="29" t="n">
        <f aca="false">N58*(1+O$39)^($E48*O$40)*(1+O$41)*IF(N21&lt;=0,1,O21/N21)^$F48*(IF(N31&lt;=0,1,O31/N31)^$G48/(1+$H48+$I48))^(1+$F48)</f>
        <v>0</v>
      </c>
      <c r="P58" s="29" t="n">
        <f aca="false">O58*(1+P$39)^($E48*P$40)*(1+P$41)*IF(O21&lt;=0,1,P21/O21)^$F48*(IF(O31&lt;=0,1,P31/O31)^$G48/(1+$H48+$I48))^(1+$F48)</f>
        <v>0</v>
      </c>
      <c r="Q58" s="29" t="n">
        <f aca="false">P58*(1+Q$39)^($E48*Q$40)*(1+Q$41)*IF(P21&lt;=0,1,Q21/P21)^$F48*(IF(P31&lt;=0,1,Q31/P31)^$G48/(1+$H48+$I48))^(1+$F48)</f>
        <v>0</v>
      </c>
      <c r="R58" s="29" t="n">
        <f aca="false">Q58*(1+R$39)^($E48*R$40)*(1+R$41)*IF(Q21&lt;=0,1,R21/Q21)^$F48*(IF(Q31&lt;=0,1,R31/Q31)^$G48/(1+$H48+$I48))^(1+$F48)</f>
        <v>0</v>
      </c>
      <c r="S58" s="29" t="n">
        <f aca="false">R58*(1+S$39)^($E48*S$40)*(1+S$41)*IF(R21&lt;=0,1,S21/R21)^$F48*(IF(R31&lt;=0,1,S31/R31)^$G48/(1+$H48+$I48))^(1+$F48)</f>
        <v>0</v>
      </c>
      <c r="T58" s="29" t="n">
        <f aca="false">S58*(1+T$39)^($E48*T$40)*(1+T$41)*IF(S21&lt;=0,1,T21/S21)^$F48*(IF(S31&lt;=0,1,T31/S31)^$G48/(1+$H48+$I48))^(1+$F48)</f>
        <v>0</v>
      </c>
      <c r="U58" s="29" t="n">
        <f aca="false">T58*(1+U$39)^($E48*U$40)*(1+U$41)*IF(T21&lt;=0,1,U21/T21)^$F48*(IF(T31&lt;=0,1,U31/T31)^$G48/(1+$H48+$I48))^(1+$F48)</f>
        <v>0</v>
      </c>
      <c r="V58" s="29" t="n">
        <f aca="false">U58*(1+V$39)^($E48*V$40)*(1+V$41)*IF(U21&lt;=0,1,V21/U21)^$F48*(IF(U31&lt;=0,1,V31/U31)^$G48/(1+$H48+$I48))^(1+$F48)</f>
        <v>0</v>
      </c>
      <c r="W58" s="29" t="n">
        <f aca="false">V58*(1+W$39)^($E48*W$40)*(1+W$41)*IF(V21&lt;=0,1,W21/V21)^$F48*(IF(V31&lt;=0,1,W31/V31)^$G48/(1+$H48+$I48))^(1+$F48)</f>
        <v>0</v>
      </c>
      <c r="X58" s="29" t="n">
        <f aca="false">W58*(1+X$39)^($E48*X$40)*(1+X$41)*IF(W21&lt;=0,1,X21/W21)^$F48*(IF(W31&lt;=0,1,X31/W31)^$G48/(1+$H48+$I48))^(1+$F48)</f>
        <v>0</v>
      </c>
      <c r="Y58" s="29" t="n">
        <f aca="false">X58*(1+Y$39)^($E48*Y$40)*(1+Y$41)*IF(X21&lt;=0,1,Y21/X21)^$F48*(IF(X31&lt;=0,1,Y31/X31)^$G48/(1+$H48+$I48))^(1+$F48)</f>
        <v>0</v>
      </c>
      <c r="Z58" s="29" t="n">
        <f aca="false">Y58*(1+Z$39)^($E48*Z$40)*(1+Z$41)*IF(Y21&lt;=0,1,Z21/Y21)^$F48*(IF(Y31&lt;=0,1,Z31/Y31)^$G48/(1+$H48+$I48))^(1+$F48)</f>
        <v>0</v>
      </c>
      <c r="AA58" s="29" t="n">
        <f aca="false">Z58*(1+AA$39)^($E48*AA$40)*(1+AA$41)*IF(Z21&lt;=0,1,AA21/Z21)^$F48*(IF(Z31&lt;=0,1,AA31/Z31)^$G48/(1+$H48+$I48))^(1+$F48)</f>
        <v>0</v>
      </c>
      <c r="AB58" s="29" t="n">
        <f aca="false">AA58*(1+AB$39)^($E48*AB$40)*(1+AB$41)*IF(AA21&lt;=0,1,AB21/AA21)^$F48*(IF(AA31&lt;=0,1,AB31/AA31)^$G48/(1+$H48+$I48))^(1+$F48)</f>
        <v>0</v>
      </c>
      <c r="AC58" s="29" t="n">
        <f aca="false">AB58*(1+AC$39)^($E48*AC$40)*(1+AC$41)*IF(AB21&lt;=0,1,AC21/AB21)^$F48*(IF(AB31&lt;=0,1,AC31/AB31)^$G48/(1+$H48+$I48))^(1+$F48)</f>
        <v>0</v>
      </c>
      <c r="AD58" s="29" t="n">
        <f aca="false">AC58*(1+AD$39)^($E48*AD$40)*(1+AD$41)*IF(AC21&lt;=0,1,AD21/AC21)^$F48*(IF(AC31&lt;=0,1,AD31/AC31)^$G48/(1+$H48+$I48))^(1+$F48)</f>
        <v>0</v>
      </c>
      <c r="AE58" s="29" t="n">
        <f aca="false">AD58*(1+AE$39)^($E48*AE$40)*(1+AE$41)*IF(AD21&lt;=0,1,AE21/AD21)^$F48*(IF(AD31&lt;=0,1,AE31/AD31)^$G48/(1+$H48+$I48))^(1+$F48)</f>
        <v>0</v>
      </c>
    </row>
    <row r="59" customFormat="false" ht="15" hidden="false" customHeight="false" outlineLevel="0" collapsed="false">
      <c r="B59" s="17" t="s">
        <v>66</v>
      </c>
      <c r="C59" s="17" t="str">
        <f aca="false">$C$5</f>
        <v>irn</v>
      </c>
      <c r="D59" s="18" t="s">
        <v>67</v>
      </c>
      <c r="E59" s="19" t="s">
        <v>112</v>
      </c>
      <c r="F59" s="17" t="s">
        <v>113</v>
      </c>
      <c r="G59" s="20" t="str">
        <f aca="false">Settings!$B$3&amp;".mit.enc."&amp;$B59</f>
        <v>egy.mit.enc.ker</v>
      </c>
      <c r="H59" s="21" t="str">
        <f aca="false">Settings!$B$3&amp;".mit.ener."&amp;$C$5&amp;"."&amp;$B59&amp;".e."&amp;$J$5</f>
        <v>egy.mit.ener.irn.ker.e.1</v>
      </c>
      <c r="L59" s="28" t="n">
        <f aca="false">INDEX(Data_Energy!$D$3:$U$22,MATCH($B59,Data_Energy!$C$3:$C$22,0),MATCH($C59,Data_Energy!$D$2:$U$2,0))</f>
        <v>0</v>
      </c>
      <c r="M59" s="29" t="n">
        <f aca="false">L59*(1+M$39)^($E49*M$40)*(1+M$41)*IF(L22&lt;=0,1,M22/L22)^$F49*(IF(L32&lt;=0,1,M32/L32)^$G49/(1+$H49+$I49))^(1+$F49)</f>
        <v>0</v>
      </c>
      <c r="N59" s="29" t="n">
        <f aca="false">M59*(1+N$39)^($E49*N$40)*(1+N$41)*IF(M22&lt;=0,1,N22/M22)^$F49*(IF(M32&lt;=0,1,N32/M32)^$G49/(1+$H49+$I49))^(1+$F49)</f>
        <v>0</v>
      </c>
      <c r="O59" s="29" t="n">
        <f aca="false">N59*(1+O$39)^($E49*O$40)*(1+O$41)*IF(N22&lt;=0,1,O22/N22)^$F49*(IF(N32&lt;=0,1,O32/N32)^$G49/(1+$H49+$I49))^(1+$F49)</f>
        <v>0</v>
      </c>
      <c r="P59" s="29" t="n">
        <f aca="false">O59*(1+P$39)^($E49*P$40)*(1+P$41)*IF(O22&lt;=0,1,P22/O22)^$F49*(IF(O32&lt;=0,1,P32/O32)^$G49/(1+$H49+$I49))^(1+$F49)</f>
        <v>0</v>
      </c>
      <c r="Q59" s="29" t="n">
        <f aca="false">P59*(1+Q$39)^($E49*Q$40)*(1+Q$41)*IF(P22&lt;=0,1,Q22/P22)^$F49*(IF(P32&lt;=0,1,Q32/P32)^$G49/(1+$H49+$I49))^(1+$F49)</f>
        <v>0</v>
      </c>
      <c r="R59" s="29" t="n">
        <f aca="false">Q59*(1+R$39)^($E49*R$40)*(1+R$41)*IF(Q22&lt;=0,1,R22/Q22)^$F49*(IF(Q32&lt;=0,1,R32/Q32)^$G49/(1+$H49+$I49))^(1+$F49)</f>
        <v>0</v>
      </c>
      <c r="S59" s="29" t="n">
        <f aca="false">R59*(1+S$39)^($E49*S$40)*(1+S$41)*IF(R22&lt;=0,1,S22/R22)^$F49*(IF(R32&lt;=0,1,S32/R32)^$G49/(1+$H49+$I49))^(1+$F49)</f>
        <v>0</v>
      </c>
      <c r="T59" s="29" t="n">
        <f aca="false">S59*(1+T$39)^($E49*T$40)*(1+T$41)*IF(S22&lt;=0,1,T22/S22)^$F49*(IF(S32&lt;=0,1,T32/S32)^$G49/(1+$H49+$I49))^(1+$F49)</f>
        <v>0</v>
      </c>
      <c r="U59" s="29" t="n">
        <f aca="false">T59*(1+U$39)^($E49*U$40)*(1+U$41)*IF(T22&lt;=0,1,U22/T22)^$F49*(IF(T32&lt;=0,1,U32/T32)^$G49/(1+$H49+$I49))^(1+$F49)</f>
        <v>0</v>
      </c>
      <c r="V59" s="29" t="n">
        <f aca="false">U59*(1+V$39)^($E49*V$40)*(1+V$41)*IF(U22&lt;=0,1,V22/U22)^$F49*(IF(U32&lt;=0,1,V32/U32)^$G49/(1+$H49+$I49))^(1+$F49)</f>
        <v>0</v>
      </c>
      <c r="W59" s="29" t="n">
        <f aca="false">V59*(1+W$39)^($E49*W$40)*(1+W$41)*IF(V22&lt;=0,1,W22/V22)^$F49*(IF(V32&lt;=0,1,W32/V32)^$G49/(1+$H49+$I49))^(1+$F49)</f>
        <v>0</v>
      </c>
      <c r="X59" s="29" t="n">
        <f aca="false">W59*(1+X$39)^($E49*X$40)*(1+X$41)*IF(W22&lt;=0,1,X22/W22)^$F49*(IF(W32&lt;=0,1,X32/W32)^$G49/(1+$H49+$I49))^(1+$F49)</f>
        <v>0</v>
      </c>
      <c r="Y59" s="29" t="n">
        <f aca="false">X59*(1+Y$39)^($E49*Y$40)*(1+Y$41)*IF(X22&lt;=0,1,Y22/X22)^$F49*(IF(X32&lt;=0,1,Y32/X32)^$G49/(1+$H49+$I49))^(1+$F49)</f>
        <v>0</v>
      </c>
      <c r="Z59" s="29" t="n">
        <f aca="false">Y59*(1+Z$39)^($E49*Z$40)*(1+Z$41)*IF(Y22&lt;=0,1,Z22/Y22)^$F49*(IF(Y32&lt;=0,1,Z32/Y32)^$G49/(1+$H49+$I49))^(1+$F49)</f>
        <v>0</v>
      </c>
      <c r="AA59" s="29" t="n">
        <f aca="false">Z59*(1+AA$39)^($E49*AA$40)*(1+AA$41)*IF(Z22&lt;=0,1,AA22/Z22)^$F49*(IF(Z32&lt;=0,1,AA32/Z32)^$G49/(1+$H49+$I49))^(1+$F49)</f>
        <v>0</v>
      </c>
      <c r="AB59" s="29" t="n">
        <f aca="false">AA59*(1+AB$39)^($E49*AB$40)*(1+AB$41)*IF(AA22&lt;=0,1,AB22/AA22)^$F49*(IF(AA32&lt;=0,1,AB32/AA32)^$G49/(1+$H49+$I49))^(1+$F49)</f>
        <v>0</v>
      </c>
      <c r="AC59" s="29" t="n">
        <f aca="false">AB59*(1+AC$39)^($E49*AC$40)*(1+AC$41)*IF(AB22&lt;=0,1,AC22/AB22)^$F49*(IF(AB32&lt;=0,1,AC32/AB32)^$G49/(1+$H49+$I49))^(1+$F49)</f>
        <v>0</v>
      </c>
      <c r="AD59" s="29" t="n">
        <f aca="false">AC59*(1+AD$39)^($E49*AD$40)*(1+AD$41)*IF(AC22&lt;=0,1,AD22/AC22)^$F49*(IF(AC32&lt;=0,1,AD32/AC32)^$G49/(1+$H49+$I49))^(1+$F49)</f>
        <v>0</v>
      </c>
      <c r="AE59" s="29" t="n">
        <f aca="false">AD59*(1+AE$39)^($E49*AE$40)*(1+AE$41)*IF(AD22&lt;=0,1,AE22/AD22)^$F49*(IF(AD32&lt;=0,1,AE32/AD32)^$G49/(1+$H49+$I49))^(1+$F49)</f>
        <v>0</v>
      </c>
    </row>
    <row r="60" customFormat="false" ht="15" hidden="false" customHeight="false" outlineLevel="0" collapsed="false">
      <c r="B60" s="17" t="s">
        <v>68</v>
      </c>
      <c r="C60" s="17" t="str">
        <f aca="false">$C$5</f>
        <v>irn</v>
      </c>
      <c r="D60" s="18" t="s">
        <v>69</v>
      </c>
      <c r="E60" s="19" t="s">
        <v>112</v>
      </c>
      <c r="F60" s="17" t="s">
        <v>113</v>
      </c>
      <c r="G60" s="20" t="str">
        <f aca="false">Settings!$B$3&amp;".mit.enc."&amp;$B60</f>
        <v>egy.mit.enc.oop</v>
      </c>
      <c r="H60" s="21" t="str">
        <f aca="false">Settings!$B$3&amp;".mit.ener."&amp;$C$5&amp;"."&amp;$B60&amp;".e."&amp;$J$5</f>
        <v>egy.mit.ener.irn.oop.e.1</v>
      </c>
      <c r="L60" s="28" t="n">
        <f aca="false">INDEX(Data_Energy!$D$3:$U$22,MATCH($B60,Data_Energy!$C$3:$C$22,0),MATCH($C60,Data_Energy!$D$2:$U$2,0))</f>
        <v>0</v>
      </c>
      <c r="M60" s="29" t="n">
        <f aca="false">L60*(1+M$39)^($E50*M$40)*(1+M$41)*IF(L23&lt;=0,1,M23/L23)^$F50*(IF(L33&lt;=0,1,M33/L33)^$G50/(1+$H50+$I50))^(1+$F50)</f>
        <v>0</v>
      </c>
      <c r="N60" s="29" t="n">
        <f aca="false">M60*(1+N$39)^($E50*N$40)*(1+N$41)*IF(M23&lt;=0,1,N23/M23)^$F50*(IF(M33&lt;=0,1,N33/M33)^$G50/(1+$H50+$I50))^(1+$F50)</f>
        <v>0</v>
      </c>
      <c r="O60" s="29" t="n">
        <f aca="false">N60*(1+O$39)^($E50*O$40)*(1+O$41)*IF(N23&lt;=0,1,O23/N23)^$F50*(IF(N33&lt;=0,1,O33/N33)^$G50/(1+$H50+$I50))^(1+$F50)</f>
        <v>0</v>
      </c>
      <c r="P60" s="29" t="n">
        <f aca="false">O60*(1+P$39)^($E50*P$40)*(1+P$41)*IF(O23&lt;=0,1,P23/O23)^$F50*(IF(O33&lt;=0,1,P33/O33)^$G50/(1+$H50+$I50))^(1+$F50)</f>
        <v>0</v>
      </c>
      <c r="Q60" s="29" t="n">
        <f aca="false">P60*(1+Q$39)^($E50*Q$40)*(1+Q$41)*IF(P23&lt;=0,1,Q23/P23)^$F50*(IF(P33&lt;=0,1,Q33/P33)^$G50/(1+$H50+$I50))^(1+$F50)</f>
        <v>0</v>
      </c>
      <c r="R60" s="29" t="n">
        <f aca="false">Q60*(1+R$39)^($E50*R$40)*(1+R$41)*IF(Q23&lt;=0,1,R23/Q23)^$F50*(IF(Q33&lt;=0,1,R33/Q33)^$G50/(1+$H50+$I50))^(1+$F50)</f>
        <v>0</v>
      </c>
      <c r="S60" s="29" t="n">
        <f aca="false">R60*(1+S$39)^($E50*S$40)*(1+S$41)*IF(R23&lt;=0,1,S23/R23)^$F50*(IF(R33&lt;=0,1,S33/R33)^$G50/(1+$H50+$I50))^(1+$F50)</f>
        <v>0</v>
      </c>
      <c r="T60" s="29" t="n">
        <f aca="false">S60*(1+T$39)^($E50*T$40)*(1+T$41)*IF(S23&lt;=0,1,T23/S23)^$F50*(IF(S33&lt;=0,1,T33/S33)^$G50/(1+$H50+$I50))^(1+$F50)</f>
        <v>0</v>
      </c>
      <c r="U60" s="29" t="n">
        <f aca="false">T60*(1+U$39)^($E50*U$40)*(1+U$41)*IF(T23&lt;=0,1,U23/T23)^$F50*(IF(T33&lt;=0,1,U33/T33)^$G50/(1+$H50+$I50))^(1+$F50)</f>
        <v>0</v>
      </c>
      <c r="V60" s="29" t="n">
        <f aca="false">U60*(1+V$39)^($E50*V$40)*(1+V$41)*IF(U23&lt;=0,1,V23/U23)^$F50*(IF(U33&lt;=0,1,V33/U33)^$G50/(1+$H50+$I50))^(1+$F50)</f>
        <v>0</v>
      </c>
      <c r="W60" s="29" t="n">
        <f aca="false">V60*(1+W$39)^($E50*W$40)*(1+W$41)*IF(V23&lt;=0,1,W23/V23)^$F50*(IF(V33&lt;=0,1,W33/V33)^$G50/(1+$H50+$I50))^(1+$F50)</f>
        <v>0</v>
      </c>
      <c r="X60" s="29" t="n">
        <f aca="false">W60*(1+X$39)^($E50*X$40)*(1+X$41)*IF(W23&lt;=0,1,X23/W23)^$F50*(IF(W33&lt;=0,1,X33/W33)^$G50/(1+$H50+$I50))^(1+$F50)</f>
        <v>0</v>
      </c>
      <c r="Y60" s="29" t="n">
        <f aca="false">X60*(1+Y$39)^($E50*Y$40)*(1+Y$41)*IF(X23&lt;=0,1,Y23/X23)^$F50*(IF(X33&lt;=0,1,Y33/X33)^$G50/(1+$H50+$I50))^(1+$F50)</f>
        <v>0</v>
      </c>
      <c r="Z60" s="29" t="n">
        <f aca="false">Y60*(1+Z$39)^($E50*Z$40)*(1+Z$41)*IF(Y23&lt;=0,1,Z23/Y23)^$F50*(IF(Y33&lt;=0,1,Z33/Y33)^$G50/(1+$H50+$I50))^(1+$F50)</f>
        <v>0</v>
      </c>
      <c r="AA60" s="29" t="n">
        <f aca="false">Z60*(1+AA$39)^($E50*AA$40)*(1+AA$41)*IF(Z23&lt;=0,1,AA23/Z23)^$F50*(IF(Z33&lt;=0,1,AA33/Z33)^$G50/(1+$H50+$I50))^(1+$F50)</f>
        <v>0</v>
      </c>
      <c r="AB60" s="29" t="n">
        <f aca="false">AA60*(1+AB$39)^($E50*AB$40)*(1+AB$41)*IF(AA23&lt;=0,1,AB23/AA23)^$F50*(IF(AA33&lt;=0,1,AB33/AA33)^$G50/(1+$H50+$I50))^(1+$F50)</f>
        <v>0</v>
      </c>
      <c r="AC60" s="29" t="n">
        <f aca="false">AB60*(1+AC$39)^($E50*AC$40)*(1+AC$41)*IF(AB23&lt;=0,1,AC23/AB23)^$F50*(IF(AB33&lt;=0,1,AC33/AB33)^$G50/(1+$H50+$I50))^(1+$F50)</f>
        <v>0</v>
      </c>
      <c r="AD60" s="29" t="n">
        <f aca="false">AC60*(1+AD$39)^($E50*AD$40)*(1+AD$41)*IF(AC23&lt;=0,1,AD23/AC23)^$F50*(IF(AC33&lt;=0,1,AD33/AC33)^$G50/(1+$H50+$I50))^(1+$F50)</f>
        <v>0</v>
      </c>
      <c r="AE60" s="29" t="n">
        <f aca="false">AD60*(1+AE$39)^($E50*AE$40)*(1+AE$41)*IF(AD23&lt;=0,1,AE23/AD23)^$F50*(IF(AD33&lt;=0,1,AE33/AD33)^$G50/(1+$H50+$I50))^(1+$F50)</f>
        <v>0</v>
      </c>
    </row>
    <row r="61" customFormat="false" ht="15" hidden="false" customHeight="false" outlineLevel="0" collapsed="false">
      <c r="B61" s="17" t="s">
        <v>71</v>
      </c>
      <c r="C61" s="17" t="str">
        <f aca="false">$C$5</f>
        <v>irn</v>
      </c>
      <c r="D61" s="18" t="s">
        <v>72</v>
      </c>
      <c r="E61" s="19" t="s">
        <v>112</v>
      </c>
      <c r="F61" s="17" t="s">
        <v>113</v>
      </c>
      <c r="G61" s="20" t="str">
        <f aca="false">Settings!$B$3&amp;".mit.enc."&amp;$B61</f>
        <v>egy.mit.enc.bio</v>
      </c>
      <c r="H61" s="21" t="str">
        <f aca="false">Settings!$B$3&amp;".mit.ener."&amp;$C$5&amp;"."&amp;$B61&amp;".e."&amp;$J$5</f>
        <v>egy.mit.ener.irn.bio.e.1</v>
      </c>
      <c r="L61" s="28" t="n">
        <f aca="false">INDEX(Data_Energy!$D$3:$U$22,MATCH($B61,Data_Energy!$C$3:$C$22,0),MATCH($C61,Data_Energy!$D$2:$U$2,0))</f>
        <v>0</v>
      </c>
      <c r="M61" s="29" t="n">
        <f aca="false">L61*(1+M$39)^($E51*M$40)*(1+M$41)*IF(L24&lt;=0,1,M24/L24)^$F51*(IF(L34&lt;=0,1,M34/L34)^$G51/(1+$H51+$I51))^(1+$F51)</f>
        <v>0</v>
      </c>
      <c r="N61" s="29" t="n">
        <f aca="false">M61*(1+N$39)^($E51*N$40)*(1+N$41)*IF(M24&lt;=0,1,N24/M24)^$F51*(IF(M34&lt;=0,1,N34/M34)^$G51/(1+$H51+$I51))^(1+$F51)</f>
        <v>0</v>
      </c>
      <c r="O61" s="29" t="n">
        <f aca="false">N61*(1+O$39)^($E51*O$40)*(1+O$41)*IF(N24&lt;=0,1,O24/N24)^$F51*(IF(N34&lt;=0,1,O34/N34)^$G51/(1+$H51+$I51))^(1+$F51)</f>
        <v>0</v>
      </c>
      <c r="P61" s="29" t="n">
        <f aca="false">O61*(1+P$39)^($E51*P$40)*(1+P$41)*IF(O24&lt;=0,1,P24/O24)^$F51*(IF(O34&lt;=0,1,P34/O34)^$G51/(1+$H51+$I51))^(1+$F51)</f>
        <v>0</v>
      </c>
      <c r="Q61" s="29" t="n">
        <f aca="false">P61*(1+Q$39)^($E51*Q$40)*(1+Q$41)*IF(P24&lt;=0,1,Q24/P24)^$F51*(IF(P34&lt;=0,1,Q34/P34)^$G51/(1+$H51+$I51))^(1+$F51)</f>
        <v>0</v>
      </c>
      <c r="R61" s="29" t="n">
        <f aca="false">Q61*(1+R$39)^($E51*R$40)*(1+R$41)*IF(Q24&lt;=0,1,R24/Q24)^$F51*(IF(Q34&lt;=0,1,R34/Q34)^$G51/(1+$H51+$I51))^(1+$F51)</f>
        <v>0</v>
      </c>
      <c r="S61" s="29" t="n">
        <f aca="false">R61*(1+S$39)^($E51*S$40)*(1+S$41)*IF(R24&lt;=0,1,S24/R24)^$F51*(IF(R34&lt;=0,1,S34/R34)^$G51/(1+$H51+$I51))^(1+$F51)</f>
        <v>0</v>
      </c>
      <c r="T61" s="29" t="n">
        <f aca="false">S61*(1+T$39)^($E51*T$40)*(1+T$41)*IF(S24&lt;=0,1,T24/S24)^$F51*(IF(S34&lt;=0,1,T34/S34)^$G51/(1+$H51+$I51))^(1+$F51)</f>
        <v>0</v>
      </c>
      <c r="U61" s="29" t="n">
        <f aca="false">T61*(1+U$39)^($E51*U$40)*(1+U$41)*IF(T24&lt;=0,1,U24/T24)^$F51*(IF(T34&lt;=0,1,U34/T34)^$G51/(1+$H51+$I51))^(1+$F51)</f>
        <v>0</v>
      </c>
      <c r="V61" s="29" t="n">
        <f aca="false">U61*(1+V$39)^($E51*V$40)*(1+V$41)*IF(U24&lt;=0,1,V24/U24)^$F51*(IF(U34&lt;=0,1,V34/U34)^$G51/(1+$H51+$I51))^(1+$F51)</f>
        <v>0</v>
      </c>
      <c r="W61" s="29" t="n">
        <f aca="false">V61*(1+W$39)^($E51*W$40)*(1+W$41)*IF(V24&lt;=0,1,W24/V24)^$F51*(IF(V34&lt;=0,1,W34/V34)^$G51/(1+$H51+$I51))^(1+$F51)</f>
        <v>0</v>
      </c>
      <c r="X61" s="29" t="n">
        <f aca="false">W61*(1+X$39)^($E51*X$40)*(1+X$41)*IF(W24&lt;=0,1,X24/W24)^$F51*(IF(W34&lt;=0,1,X34/W34)^$G51/(1+$H51+$I51))^(1+$F51)</f>
        <v>0</v>
      </c>
      <c r="Y61" s="29" t="n">
        <f aca="false">X61*(1+Y$39)^($E51*Y$40)*(1+Y$41)*IF(X24&lt;=0,1,Y24/X24)^$F51*(IF(X34&lt;=0,1,Y34/X34)^$G51/(1+$H51+$I51))^(1+$F51)</f>
        <v>0</v>
      </c>
      <c r="Z61" s="29" t="n">
        <f aca="false">Y61*(1+Z$39)^($E51*Z$40)*(1+Z$41)*IF(Y24&lt;=0,1,Z24/Y24)^$F51*(IF(Y34&lt;=0,1,Z34/Y34)^$G51/(1+$H51+$I51))^(1+$F51)</f>
        <v>0</v>
      </c>
      <c r="AA61" s="29" t="n">
        <f aca="false">Z61*(1+AA$39)^($E51*AA$40)*(1+AA$41)*IF(Z24&lt;=0,1,AA24/Z24)^$F51*(IF(Z34&lt;=0,1,AA34/Z34)^$G51/(1+$H51+$I51))^(1+$F51)</f>
        <v>0</v>
      </c>
      <c r="AB61" s="29" t="n">
        <f aca="false">AA61*(1+AB$39)^($E51*AB$40)*(1+AB$41)*IF(AA24&lt;=0,1,AB24/AA24)^$F51*(IF(AA34&lt;=0,1,AB34/AA34)^$G51/(1+$H51+$I51))^(1+$F51)</f>
        <v>0</v>
      </c>
      <c r="AC61" s="29" t="n">
        <f aca="false">AB61*(1+AC$39)^($E51*AC$40)*(1+AC$41)*IF(AB24&lt;=0,1,AC24/AB24)^$F51*(IF(AB34&lt;=0,1,AC34/AB34)^$G51/(1+$H51+$I51))^(1+$F51)</f>
        <v>0</v>
      </c>
      <c r="AD61" s="29" t="n">
        <f aca="false">AC61*(1+AD$39)^($E51*AD$40)*(1+AD$41)*IF(AC24&lt;=0,1,AD24/AC24)^$F51*(IF(AC34&lt;=0,1,AD34/AC34)^$G51/(1+$H51+$I51))^(1+$F51)</f>
        <v>0</v>
      </c>
      <c r="AE61" s="29" t="n">
        <f aca="false">AD61*(1+AE$39)^($E51*AE$40)*(1+AE$41)*IF(AD24&lt;=0,1,AE24/AD24)^$F51*(IF(AD34&lt;=0,1,AE34/AD34)^$G51/(1+$H51+$I51))^(1+$F51)</f>
        <v>0</v>
      </c>
    </row>
    <row r="62" customFormat="false" ht="15" hidden="false" customHeight="false" outlineLevel="0" collapsed="false">
      <c r="B62" s="17" t="s">
        <v>73</v>
      </c>
      <c r="C62" s="17" t="str">
        <f aca="false">$C$5</f>
        <v>irn</v>
      </c>
      <c r="D62" s="18" t="s">
        <v>74</v>
      </c>
      <c r="E62" s="19" t="s">
        <v>112</v>
      </c>
      <c r="F62" s="17" t="s">
        <v>113</v>
      </c>
      <c r="G62" s="20" t="str">
        <f aca="false">Settings!$B$3&amp;".mit.enc."&amp;$B62</f>
        <v>egy.mit.enc.ren</v>
      </c>
      <c r="H62" s="21" t="str">
        <f aca="false">Settings!$B$3&amp;".mit.ener."&amp;$C$5&amp;"."&amp;$B62&amp;".e."&amp;$J$5</f>
        <v>egy.mit.ener.irn.ren.e.1</v>
      </c>
      <c r="L62" s="28" t="n">
        <f aca="false">INDEX(Data_Energy!$D$3:$U$22,MATCH($B62,Data_Energy!$C$3:$C$22,0),MATCH($C62,Data_Energy!$D$2:$U$2,0))</f>
        <v>0</v>
      </c>
      <c r="M62" s="29" t="n">
        <f aca="false">L62*(1+M$39)^($E52*M$40)*(1+M$41)*IF(L25&lt;=0,1,M25/L25)^$F52*(IF(L35&lt;=0,1,M35/L35)^$G52/(1+$H52+$I52))^(1+$F52)</f>
        <v>0</v>
      </c>
      <c r="N62" s="29" t="n">
        <f aca="false">M62*(1+N$39)^($E52*N$40)*(1+N$41)*IF(M25&lt;=0,1,N25/M25)^$F52*(IF(M35&lt;=0,1,N35/M35)^$G52/(1+$H52+$I52))^(1+$F52)</f>
        <v>0</v>
      </c>
      <c r="O62" s="29" t="n">
        <f aca="false">N62*(1+O$39)^($E52*O$40)*(1+O$41)*IF(N25&lt;=0,1,O25/N25)^$F52*(IF(N35&lt;=0,1,O35/N35)^$G52/(1+$H52+$I52))^(1+$F52)</f>
        <v>0</v>
      </c>
      <c r="P62" s="29" t="n">
        <f aca="false">O62*(1+P$39)^($E52*P$40)*(1+P$41)*IF(O25&lt;=0,1,P25/O25)^$F52*(IF(O35&lt;=0,1,P35/O35)^$G52/(1+$H52+$I52))^(1+$F52)</f>
        <v>0</v>
      </c>
      <c r="Q62" s="29" t="n">
        <f aca="false">P62*(1+Q$39)^($E52*Q$40)*(1+Q$41)*IF(P25&lt;=0,1,Q25/P25)^$F52*(IF(P35&lt;=0,1,Q35/P35)^$G52/(1+$H52+$I52))^(1+$F52)</f>
        <v>0</v>
      </c>
      <c r="R62" s="29" t="n">
        <f aca="false">Q62*(1+R$39)^($E52*R$40)*(1+R$41)*IF(Q25&lt;=0,1,R25/Q25)^$F52*(IF(Q35&lt;=0,1,R35/Q35)^$G52/(1+$H52+$I52))^(1+$F52)</f>
        <v>0</v>
      </c>
      <c r="S62" s="29" t="n">
        <f aca="false">R62*(1+S$39)^($E52*S$40)*(1+S$41)*IF(R25&lt;=0,1,S25/R25)^$F52*(IF(R35&lt;=0,1,S35/R35)^$G52/(1+$H52+$I52))^(1+$F52)</f>
        <v>0</v>
      </c>
      <c r="T62" s="29" t="n">
        <f aca="false">S62*(1+T$39)^($E52*T$40)*(1+T$41)*IF(S25&lt;=0,1,T25/S25)^$F52*(IF(S35&lt;=0,1,T35/S35)^$G52/(1+$H52+$I52))^(1+$F52)</f>
        <v>0</v>
      </c>
      <c r="U62" s="29" t="n">
        <f aca="false">T62*(1+U$39)^($E52*U$40)*(1+U$41)*IF(T25&lt;=0,1,U25/T25)^$F52*(IF(T35&lt;=0,1,U35/T35)^$G52/(1+$H52+$I52))^(1+$F52)</f>
        <v>0</v>
      </c>
      <c r="V62" s="29" t="n">
        <f aca="false">U62*(1+V$39)^($E52*V$40)*(1+V$41)*IF(U25&lt;=0,1,V25/U25)^$F52*(IF(U35&lt;=0,1,V35/U35)^$G52/(1+$H52+$I52))^(1+$F52)</f>
        <v>0</v>
      </c>
      <c r="W62" s="29" t="n">
        <f aca="false">V62*(1+W$39)^($E52*W$40)*(1+W$41)*IF(V25&lt;=0,1,W25/V25)^$F52*(IF(V35&lt;=0,1,W35/V35)^$G52/(1+$H52+$I52))^(1+$F52)</f>
        <v>0</v>
      </c>
      <c r="X62" s="29" t="n">
        <f aca="false">W62*(1+X$39)^($E52*X$40)*(1+X$41)*IF(W25&lt;=0,1,X25/W25)^$F52*(IF(W35&lt;=0,1,X35/W35)^$G52/(1+$H52+$I52))^(1+$F52)</f>
        <v>0</v>
      </c>
      <c r="Y62" s="29" t="n">
        <f aca="false">X62*(1+Y$39)^($E52*Y$40)*(1+Y$41)*IF(X25&lt;=0,1,Y25/X25)^$F52*(IF(X35&lt;=0,1,Y35/X35)^$G52/(1+$H52+$I52))^(1+$F52)</f>
        <v>0</v>
      </c>
      <c r="Z62" s="29" t="n">
        <f aca="false">Y62*(1+Z$39)^($E52*Z$40)*(1+Z$41)*IF(Y25&lt;=0,1,Z25/Y25)^$F52*(IF(Y35&lt;=0,1,Z35/Y35)^$G52/(1+$H52+$I52))^(1+$F52)</f>
        <v>0</v>
      </c>
      <c r="AA62" s="29" t="n">
        <f aca="false">Z62*(1+AA$39)^($E52*AA$40)*(1+AA$41)*IF(Z25&lt;=0,1,AA25/Z25)^$F52*(IF(Z35&lt;=0,1,AA35/Z35)^$G52/(1+$H52+$I52))^(1+$F52)</f>
        <v>0</v>
      </c>
      <c r="AB62" s="29" t="n">
        <f aca="false">AA62*(1+AB$39)^($E52*AB$40)*(1+AB$41)*IF(AA25&lt;=0,1,AB25/AA25)^$F52*(IF(AA35&lt;=0,1,AB35/AA35)^$G52/(1+$H52+$I52))^(1+$F52)</f>
        <v>0</v>
      </c>
      <c r="AC62" s="29" t="n">
        <f aca="false">AB62*(1+AC$39)^($E52*AC$40)*(1+AC$41)*IF(AB25&lt;=0,1,AC25/AB25)^$F52*(IF(AB35&lt;=0,1,AC35/AB35)^$G52/(1+$H52+$I52))^(1+$F52)</f>
        <v>0</v>
      </c>
      <c r="AD62" s="29" t="n">
        <f aca="false">AC62*(1+AD$39)^($E52*AD$40)*(1+AD$41)*IF(AC25&lt;=0,1,AD25/AC25)^$F52*(IF(AC35&lt;=0,1,AD35/AC35)^$G52/(1+$H52+$I52))^(1+$F52)</f>
        <v>0</v>
      </c>
      <c r="AE62" s="29" t="n">
        <f aca="false">AD62*(1+AE$39)^($E52*AE$40)*(1+AE$41)*IF(AD25&lt;=0,1,AE25/AD25)^$F52*(IF(AD35&lt;=0,1,AE35/AD35)^$G52/(1+$H52+$I52))^(1+$F52)</f>
        <v>0</v>
      </c>
    </row>
    <row r="63" customFormat="false" ht="15" hidden="false" customHeight="false" outlineLevel="0" collapsed="false">
      <c r="B63" s="17" t="s">
        <v>114</v>
      </c>
      <c r="C63" s="17" t="str">
        <f aca="false">$C$5</f>
        <v>irn</v>
      </c>
      <c r="D63" s="30" t="s">
        <v>115</v>
      </c>
      <c r="E63" s="19" t="s">
        <v>112</v>
      </c>
      <c r="F63" s="17" t="s">
        <v>113</v>
      </c>
      <c r="H63" s="21" t="str">
        <f aca="false">Settings!$B$3&amp;".mit.ener."&amp;$C$5&amp;".tot.e."&amp;$J$5</f>
        <v>egy.mit.ener.irn.tot.e.1</v>
      </c>
      <c r="L63" s="31" t="n">
        <f aca="false">SUM(L54:L62)</f>
        <v>1901.71407381226</v>
      </c>
      <c r="M63" s="31" t="n">
        <f aca="false">SUM(M54:M62)</f>
        <v>1621.23017698937</v>
      </c>
      <c r="N63" s="31" t="n">
        <f aca="false">SUM(N54:N62)</f>
        <v>1820.84692023037</v>
      </c>
      <c r="O63" s="31" t="n">
        <f aca="false">SUM(O54:O62)</f>
        <v>1904.36703762535</v>
      </c>
      <c r="P63" s="31" t="n">
        <f aca="false">SUM(P54:P62)</f>
        <v>1961.70202125324</v>
      </c>
      <c r="Q63" s="31" t="n">
        <f aca="false">SUM(Q54:Q62)</f>
        <v>2038.96254164889</v>
      </c>
      <c r="R63" s="31" t="n">
        <f aca="false">SUM(R54:R62)</f>
        <v>2135.03517125385</v>
      </c>
      <c r="S63" s="31" t="n">
        <f aca="false">SUM(S54:S62)</f>
        <v>2228.48508734446</v>
      </c>
      <c r="T63" s="31" t="n">
        <f aca="false">SUM(T54:T62)</f>
        <v>2317.23089266203</v>
      </c>
      <c r="U63" s="31" t="n">
        <f aca="false">SUM(U54:U62)</f>
        <v>2407.78117831863</v>
      </c>
      <c r="V63" s="31" t="n">
        <f aca="false">SUM(V54:V62)</f>
        <v>2499.2702877093</v>
      </c>
      <c r="W63" s="31" t="n">
        <f aca="false">SUM(W54:W62)</f>
        <v>2592.8704056506</v>
      </c>
      <c r="X63" s="31" t="n">
        <f aca="false">SUM(X54:X62)</f>
        <v>2688.57879071722</v>
      </c>
      <c r="Y63" s="31" t="n">
        <f aca="false">SUM(Y54:Y62)</f>
        <v>2786.39112049644</v>
      </c>
      <c r="Z63" s="31" t="n">
        <f aca="false">SUM(Z54:Z62)</f>
        <v>2886.30146347595</v>
      </c>
      <c r="AA63" s="31" t="n">
        <f aca="false">SUM(AA54:AA62)</f>
        <v>2988.3022473044</v>
      </c>
      <c r="AB63" s="31" t="n">
        <f aca="false">SUM(AB54:AB62)</f>
        <v>3092.38422317563</v>
      </c>
      <c r="AC63" s="31" t="n">
        <f aca="false">SUM(AC54:AC62)</f>
        <v>3198.53642609689</v>
      </c>
      <c r="AD63" s="31" t="n">
        <f aca="false">SUM(AD54:AD62)</f>
        <v>3306.74613081126</v>
      </c>
      <c r="AE63" s="31" t="n">
        <f aca="false">SUM(AE54:AE62)</f>
        <v>3416.99880315334</v>
      </c>
    </row>
    <row r="65" customFormat="false" ht="15" hidden="false" customHeight="false" outlineLevel="0" collapsed="false">
      <c r="A65" s="12"/>
      <c r="B65" s="7" t="s">
        <v>116</v>
      </c>
      <c r="C65" s="8" t="s">
        <v>117</v>
      </c>
      <c r="D65" s="7" t="s">
        <v>48</v>
      </c>
      <c r="E65" s="8" t="s">
        <v>39</v>
      </c>
      <c r="F65" s="8" t="s">
        <v>49</v>
      </c>
      <c r="G65" s="8" t="s">
        <v>50</v>
      </c>
      <c r="H65" s="13" t="s">
        <v>42</v>
      </c>
      <c r="I65" s="7" t="s">
        <v>51</v>
      </c>
      <c r="J65" s="14" t="n">
        <v>1</v>
      </c>
      <c r="K65" s="7" t="n">
        <v>2021</v>
      </c>
      <c r="L65" s="15" t="n">
        <v>2022</v>
      </c>
      <c r="M65" s="7" t="n">
        <v>2023</v>
      </c>
      <c r="N65" s="7" t="n">
        <v>2024</v>
      </c>
      <c r="O65" s="7" t="n">
        <v>2025</v>
      </c>
      <c r="P65" s="7" t="n">
        <v>2026</v>
      </c>
      <c r="Q65" s="7" t="n">
        <v>2027</v>
      </c>
      <c r="R65" s="7" t="n">
        <v>2028</v>
      </c>
      <c r="S65" s="7" t="n">
        <v>2029</v>
      </c>
      <c r="T65" s="7" t="n">
        <v>2030</v>
      </c>
      <c r="U65" s="7" t="n">
        <v>2031</v>
      </c>
      <c r="V65" s="7" t="n">
        <v>2032</v>
      </c>
      <c r="W65" s="7" t="n">
        <v>2033</v>
      </c>
      <c r="X65" s="7" t="n">
        <v>2034</v>
      </c>
      <c r="Y65" s="7" t="n">
        <v>2035</v>
      </c>
      <c r="Z65" s="7" t="n">
        <v>2036</v>
      </c>
      <c r="AA65" s="7" t="n">
        <v>2037</v>
      </c>
      <c r="AB65" s="7" t="n">
        <v>2038</v>
      </c>
      <c r="AC65" s="7" t="n">
        <v>2039</v>
      </c>
      <c r="AD65" s="7" t="n">
        <v>2040</v>
      </c>
      <c r="AE65" s="7" t="n">
        <v>2041</v>
      </c>
      <c r="AF65" s="7" t="n">
        <v>2042</v>
      </c>
      <c r="AG65" s="7" t="n">
        <v>2043</v>
      </c>
      <c r="AH65" s="7" t="n">
        <v>2044</v>
      </c>
      <c r="AI65" s="7" t="n">
        <v>2045</v>
      </c>
    </row>
    <row r="66" customFormat="false" ht="15" hidden="false" customHeight="false" outlineLevel="0" collapsed="false">
      <c r="B66" s="16" t="s">
        <v>52</v>
      </c>
    </row>
    <row r="67" customFormat="false" ht="15" hidden="false" customHeight="false" outlineLevel="0" collapsed="false">
      <c r="B67" s="17" t="s">
        <v>53</v>
      </c>
      <c r="C67" s="17" t="str">
        <f aca="false">$C$65</f>
        <v>cem</v>
      </c>
      <c r="D67" s="18" t="s">
        <v>54</v>
      </c>
      <c r="E67" s="19" t="s">
        <v>55</v>
      </c>
      <c r="F67" s="17" t="s">
        <v>56</v>
      </c>
      <c r="G67" s="20" t="str">
        <f aca="false">Settings!$B$3&amp;".mit.pbc."&amp;Settings!$B$4&amp;"."&amp;$B67&amp;".a."&amp;$J$65</f>
        <v>egy.mit.pbc.ind.coa.a.1</v>
      </c>
      <c r="H67" s="21" t="str">
        <f aca="false">Settings!$B$3&amp;".mit.ptp."&amp;$C$65&amp;"."&amp;$B67&amp;".e."&amp;$J$65</f>
        <v>egy.mit.ptp.cem.coa.e.1</v>
      </c>
      <c r="K67" s="22" t="n">
        <f aca="false">INDEX(Data_Prices!K:K,MATCH($G67,Data_Prices!$A:$A,0))</f>
        <v>11.1829015892439</v>
      </c>
      <c r="L67" s="22" t="n">
        <f aca="false">INDEX(Data_Prices!L:L,MATCH($G67,Data_Prices!$A:$A,0))</f>
        <v>10.5233613454312</v>
      </c>
      <c r="M67" s="22" t="n">
        <f aca="false">INDEX(Data_Prices!M:M,MATCH($G67,Data_Prices!$A:$A,0))</f>
        <v>10.2995608274442</v>
      </c>
      <c r="N67" s="22" t="n">
        <f aca="false">INDEX(Data_Prices!N:N,MATCH($G67,Data_Prices!$A:$A,0))</f>
        <v>9.57752835953826</v>
      </c>
      <c r="O67" s="22" t="n">
        <f aca="false">INDEX(Data_Prices!O:O,MATCH($G67,Data_Prices!$A:$A,0))</f>
        <v>8.48547828695805</v>
      </c>
      <c r="P67" s="22" t="n">
        <f aca="false">INDEX(Data_Prices!P:P,MATCH($G67,Data_Prices!$A:$A,0))</f>
        <v>9.08719223524986</v>
      </c>
      <c r="Q67" s="22" t="n">
        <f aca="false">INDEX(Data_Prices!Q:Q,MATCH($G67,Data_Prices!$A:$A,0))</f>
        <v>9.22292372893268</v>
      </c>
      <c r="R67" s="22" t="n">
        <f aca="false">INDEX(Data_Prices!R:R,MATCH($G67,Data_Prices!$A:$A,0))</f>
        <v>9.15856495550969</v>
      </c>
      <c r="S67" s="22" t="n">
        <f aca="false">INDEX(Data_Prices!S:S,MATCH($G67,Data_Prices!$A:$A,0))</f>
        <v>9.08954787739738</v>
      </c>
      <c r="T67" s="22" t="n">
        <f aca="false">INDEX(Data_Prices!T:T,MATCH($G67,Data_Prices!$A:$A,0))</f>
        <v>9.01568166602283</v>
      </c>
      <c r="U67" s="22" t="n">
        <f aca="false">INDEX(Data_Prices!U:U,MATCH($G67,Data_Prices!$A:$A,0))</f>
        <v>8.94439776555711</v>
      </c>
      <c r="V67" s="22" t="n">
        <f aca="false">INDEX(Data_Prices!V:V,MATCH($G67,Data_Prices!$A:$A,0))</f>
        <v>8.94439776555711</v>
      </c>
      <c r="W67" s="22" t="n">
        <f aca="false">INDEX(Data_Prices!W:W,MATCH($G67,Data_Prices!$A:$A,0))</f>
        <v>8.94439776555711</v>
      </c>
      <c r="X67" s="22" t="n">
        <f aca="false">INDEX(Data_Prices!X:X,MATCH($G67,Data_Prices!$A:$A,0))</f>
        <v>8.94439776555711</v>
      </c>
      <c r="Y67" s="22" t="n">
        <f aca="false">INDEX(Data_Prices!Y:Y,MATCH($G67,Data_Prices!$A:$A,0))</f>
        <v>8.94439776555711</v>
      </c>
      <c r="Z67" s="22" t="n">
        <f aca="false">INDEX(Data_Prices!Z:Z,MATCH($G67,Data_Prices!$A:$A,0))</f>
        <v>8.94439776555711</v>
      </c>
      <c r="AA67" s="22" t="n">
        <f aca="false">INDEX(Data_Prices!AA:AA,MATCH($G67,Data_Prices!$A:$A,0))</f>
        <v>8.94439776555711</v>
      </c>
      <c r="AB67" s="22" t="n">
        <f aca="false">INDEX(Data_Prices!AB:AB,MATCH($G67,Data_Prices!$A:$A,0))</f>
        <v>8.94439776555711</v>
      </c>
      <c r="AC67" s="22" t="n">
        <f aca="false">INDEX(Data_Prices!AC:AC,MATCH($G67,Data_Prices!$A:$A,0))</f>
        <v>8.94439776555711</v>
      </c>
      <c r="AD67" s="22" t="n">
        <f aca="false">INDEX(Data_Prices!AD:AD,MATCH($G67,Data_Prices!$A:$A,0))</f>
        <v>8.94439776555711</v>
      </c>
      <c r="AE67" s="22" t="n">
        <f aca="false">INDEX(Data_Prices!AE:AE,MATCH($G67,Data_Prices!$A:$A,0))</f>
        <v>8.94439776555711</v>
      </c>
    </row>
    <row r="68" customFormat="false" ht="15" hidden="false" customHeight="false" outlineLevel="0" collapsed="false">
      <c r="B68" s="17" t="s">
        <v>57</v>
      </c>
      <c r="C68" s="17" t="str">
        <f aca="false">$C$65</f>
        <v>cem</v>
      </c>
      <c r="D68" s="18" t="s">
        <v>58</v>
      </c>
      <c r="E68" s="19" t="s">
        <v>55</v>
      </c>
      <c r="F68" s="17" t="s">
        <v>56</v>
      </c>
      <c r="G68" s="20" t="str">
        <f aca="false">Settings!$B$3&amp;".mit.pbc."&amp;Settings!$B$4&amp;"."&amp;$B68&amp;".a."&amp;$J$65</f>
        <v>egy.mit.pbc.ind.nga.a.1</v>
      </c>
      <c r="H68" s="21" t="str">
        <f aca="false">Settings!$B$3&amp;".mit.ptp."&amp;$C$65&amp;"."&amp;$B68&amp;".e."&amp;$J$65</f>
        <v>egy.mit.ptp.cem.nga.e.1</v>
      </c>
      <c r="K68" s="22" t="n">
        <f aca="false">INDEX(Data_Prices!K:K,MATCH($G68,Data_Prices!$A:$A,0))</f>
        <v>6.06346361567291</v>
      </c>
      <c r="L68" s="22" t="n">
        <f aca="false">INDEX(Data_Prices!L:L,MATCH($G68,Data_Prices!$A:$A,0))</f>
        <v>5.45101508161919</v>
      </c>
      <c r="M68" s="22" t="n">
        <f aca="false">INDEX(Data_Prices!M:M,MATCH($G68,Data_Prices!$A:$A,0))</f>
        <v>5.11935630626248</v>
      </c>
      <c r="N68" s="22" t="n">
        <f aca="false">INDEX(Data_Prices!N:N,MATCH($G68,Data_Prices!$A:$A,0))</f>
        <v>5.08218458640407</v>
      </c>
      <c r="O68" s="22" t="n">
        <f aca="false">INDEX(Data_Prices!O:O,MATCH($G68,Data_Prices!$A:$A,0))</f>
        <v>5.08218458640407</v>
      </c>
      <c r="P68" s="22" t="n">
        <f aca="false">INDEX(Data_Prices!P:P,MATCH($G68,Data_Prices!$A:$A,0))</f>
        <v>5.08218458640407</v>
      </c>
      <c r="Q68" s="22" t="n">
        <f aca="false">INDEX(Data_Prices!Q:Q,MATCH($G68,Data_Prices!$A:$A,0))</f>
        <v>5.08218458640407</v>
      </c>
      <c r="R68" s="22" t="n">
        <f aca="false">INDEX(Data_Prices!R:R,MATCH($G68,Data_Prices!$A:$A,0))</f>
        <v>5.08218458640407</v>
      </c>
      <c r="S68" s="22" t="n">
        <f aca="false">INDEX(Data_Prices!S:S,MATCH($G68,Data_Prices!$A:$A,0))</f>
        <v>5.08218458640407</v>
      </c>
      <c r="T68" s="22" t="n">
        <f aca="false">INDEX(Data_Prices!T:T,MATCH($G68,Data_Prices!$A:$A,0))</f>
        <v>5.08218458640407</v>
      </c>
      <c r="U68" s="22" t="n">
        <f aca="false">INDEX(Data_Prices!U:U,MATCH($G68,Data_Prices!$A:$A,0))</f>
        <v>5.08218458640407</v>
      </c>
      <c r="V68" s="22" t="n">
        <f aca="false">INDEX(Data_Prices!V:V,MATCH($G68,Data_Prices!$A:$A,0))</f>
        <v>5.08218458640407</v>
      </c>
      <c r="W68" s="22" t="n">
        <f aca="false">INDEX(Data_Prices!W:W,MATCH($G68,Data_Prices!$A:$A,0))</f>
        <v>5.08218458640407</v>
      </c>
      <c r="X68" s="22" t="n">
        <f aca="false">INDEX(Data_Prices!X:X,MATCH($G68,Data_Prices!$A:$A,0))</f>
        <v>5.08218458640407</v>
      </c>
      <c r="Y68" s="22" t="n">
        <f aca="false">INDEX(Data_Prices!Y:Y,MATCH($G68,Data_Prices!$A:$A,0))</f>
        <v>5.08218458640407</v>
      </c>
      <c r="Z68" s="22" t="n">
        <f aca="false">INDEX(Data_Prices!Z:Z,MATCH($G68,Data_Prices!$A:$A,0))</f>
        <v>5.08218458640407</v>
      </c>
      <c r="AA68" s="22" t="n">
        <f aca="false">INDEX(Data_Prices!AA:AA,MATCH($G68,Data_Prices!$A:$A,0))</f>
        <v>5.08218458640407</v>
      </c>
      <c r="AB68" s="22" t="n">
        <f aca="false">INDEX(Data_Prices!AB:AB,MATCH($G68,Data_Prices!$A:$A,0))</f>
        <v>5.08218458640407</v>
      </c>
      <c r="AC68" s="22" t="n">
        <f aca="false">INDEX(Data_Prices!AC:AC,MATCH($G68,Data_Prices!$A:$A,0))</f>
        <v>5.08218458640407</v>
      </c>
      <c r="AD68" s="22" t="n">
        <f aca="false">INDEX(Data_Prices!AD:AD,MATCH($G68,Data_Prices!$A:$A,0))</f>
        <v>5.08218458640407</v>
      </c>
      <c r="AE68" s="22" t="n">
        <f aca="false">INDEX(Data_Prices!AE:AE,MATCH($G68,Data_Prices!$A:$A,0))</f>
        <v>5.08218458640407</v>
      </c>
    </row>
    <row r="69" customFormat="false" ht="15" hidden="false" customHeight="false" outlineLevel="0" collapsed="false">
      <c r="B69" s="17" t="s">
        <v>59</v>
      </c>
      <c r="C69" s="17" t="str">
        <f aca="false">$C$65</f>
        <v>cem</v>
      </c>
      <c r="D69" s="18" t="s">
        <v>60</v>
      </c>
      <c r="E69" s="19" t="s">
        <v>61</v>
      </c>
      <c r="F69" s="17" t="s">
        <v>56</v>
      </c>
      <c r="G69" s="20" t="str">
        <f aca="false">Settings!$B$3&amp;".mit.pbc."&amp;Settings!$B$4&amp;"."&amp;$B69&amp;".a."&amp;$J$65</f>
        <v>egy.mit.pbc.ind.gso.a.1</v>
      </c>
      <c r="H69" s="21" t="str">
        <f aca="false">Settings!$B$3&amp;".mit.ptp."&amp;$C$65&amp;"."&amp;$B69&amp;".e."&amp;$J$65</f>
        <v>egy.mit.ptp.cem.gso.e.1</v>
      </c>
      <c r="K69" s="22" t="n">
        <f aca="false">INDEX(Data_Prices!K:K,MATCH($G69,Data_Prices!$A:$A,0))</f>
        <v>0.671146533321816</v>
      </c>
      <c r="L69" s="22" t="n">
        <f aca="false">INDEX(Data_Prices!L:L,MATCH($G69,Data_Prices!$A:$A,0))</f>
        <v>0.611977976791406</v>
      </c>
      <c r="M69" s="22" t="n">
        <f aca="false">INDEX(Data_Prices!M:M,MATCH($G69,Data_Prices!$A:$A,0))</f>
        <v>0.611809749641876</v>
      </c>
      <c r="N69" s="22" t="n">
        <f aca="false">INDEX(Data_Prices!N:N,MATCH($G69,Data_Prices!$A:$A,0))</f>
        <v>0.603583100177906</v>
      </c>
      <c r="O69" s="22" t="n">
        <f aca="false">INDEX(Data_Prices!O:O,MATCH($G69,Data_Prices!$A:$A,0))</f>
        <v>0.603583100177906</v>
      </c>
      <c r="P69" s="22" t="n">
        <f aca="false">INDEX(Data_Prices!P:P,MATCH($G69,Data_Prices!$A:$A,0))</f>
        <v>0.603583100177906</v>
      </c>
      <c r="Q69" s="22" t="n">
        <f aca="false">INDEX(Data_Prices!Q:Q,MATCH($G69,Data_Prices!$A:$A,0))</f>
        <v>0.603583100177906</v>
      </c>
      <c r="R69" s="22" t="n">
        <f aca="false">INDEX(Data_Prices!R:R,MATCH($G69,Data_Prices!$A:$A,0))</f>
        <v>0.603583100177906</v>
      </c>
      <c r="S69" s="22" t="n">
        <f aca="false">INDEX(Data_Prices!S:S,MATCH($G69,Data_Prices!$A:$A,0))</f>
        <v>0.603583100177906</v>
      </c>
      <c r="T69" s="22" t="n">
        <f aca="false">INDEX(Data_Prices!T:T,MATCH($G69,Data_Prices!$A:$A,0))</f>
        <v>0.603583100177906</v>
      </c>
      <c r="U69" s="22" t="n">
        <f aca="false">INDEX(Data_Prices!U:U,MATCH($G69,Data_Prices!$A:$A,0))</f>
        <v>0.603583100177906</v>
      </c>
      <c r="V69" s="22" t="n">
        <f aca="false">INDEX(Data_Prices!V:V,MATCH($G69,Data_Prices!$A:$A,0))</f>
        <v>0.603583100177906</v>
      </c>
      <c r="W69" s="22" t="n">
        <f aca="false">INDEX(Data_Prices!W:W,MATCH($G69,Data_Prices!$A:$A,0))</f>
        <v>0.603583100177906</v>
      </c>
      <c r="X69" s="22" t="n">
        <f aca="false">INDEX(Data_Prices!X:X,MATCH($G69,Data_Prices!$A:$A,0))</f>
        <v>0.603583100177906</v>
      </c>
      <c r="Y69" s="22" t="n">
        <f aca="false">INDEX(Data_Prices!Y:Y,MATCH($G69,Data_Prices!$A:$A,0))</f>
        <v>0.603583100177906</v>
      </c>
      <c r="Z69" s="22" t="n">
        <f aca="false">INDEX(Data_Prices!Z:Z,MATCH($G69,Data_Prices!$A:$A,0))</f>
        <v>0.603583100177906</v>
      </c>
      <c r="AA69" s="22" t="n">
        <f aca="false">INDEX(Data_Prices!AA:AA,MATCH($G69,Data_Prices!$A:$A,0))</f>
        <v>0.603583100177906</v>
      </c>
      <c r="AB69" s="22" t="n">
        <f aca="false">INDEX(Data_Prices!AB:AB,MATCH($G69,Data_Prices!$A:$A,0))</f>
        <v>0.603583100177906</v>
      </c>
      <c r="AC69" s="22" t="n">
        <f aca="false">INDEX(Data_Prices!AC:AC,MATCH($G69,Data_Prices!$A:$A,0))</f>
        <v>0.603583100177906</v>
      </c>
      <c r="AD69" s="22" t="n">
        <f aca="false">INDEX(Data_Prices!AD:AD,MATCH($G69,Data_Prices!$A:$A,0))</f>
        <v>0.603583100177906</v>
      </c>
      <c r="AE69" s="22" t="n">
        <f aca="false">INDEX(Data_Prices!AE:AE,MATCH($G69,Data_Prices!$A:$A,0))</f>
        <v>0.603583100177906</v>
      </c>
    </row>
    <row r="70" customFormat="false" ht="15" hidden="false" customHeight="false" outlineLevel="0" collapsed="false">
      <c r="B70" s="17" t="s">
        <v>62</v>
      </c>
      <c r="C70" s="17" t="str">
        <f aca="false">$C$65</f>
        <v>cem</v>
      </c>
      <c r="D70" s="18" t="s">
        <v>63</v>
      </c>
      <c r="E70" s="19" t="s">
        <v>61</v>
      </c>
      <c r="F70" s="17" t="s">
        <v>56</v>
      </c>
      <c r="G70" s="20" t="str">
        <f aca="false">Settings!$B$3&amp;".mit.pbc."&amp;Settings!$B$4&amp;"."&amp;$B70&amp;".a."&amp;$J$65</f>
        <v>egy.mit.pbc.ind.die.a.1</v>
      </c>
      <c r="H70" s="21" t="str">
        <f aca="false">Settings!$B$3&amp;".mit.ptp."&amp;$C$65&amp;"."&amp;$B70&amp;".e."&amp;$J$65</f>
        <v>egy.mit.ptp.cem.die.e.1</v>
      </c>
      <c r="K70" s="22" t="n">
        <f aca="false">INDEX(Data_Prices!K:K,MATCH($G70,Data_Prices!$A:$A,0))</f>
        <v>0.559711213155688</v>
      </c>
      <c r="L70" s="22" t="n">
        <f aca="false">INDEX(Data_Prices!L:L,MATCH($G70,Data_Prices!$A:$A,0))</f>
        <v>0.494588730841068</v>
      </c>
      <c r="M70" s="22" t="n">
        <f aca="false">INDEX(Data_Prices!M:M,MATCH($G70,Data_Prices!$A:$A,0))</f>
        <v>0.507786547202501</v>
      </c>
      <c r="N70" s="22" t="n">
        <f aca="false">INDEX(Data_Prices!N:N,MATCH($G70,Data_Prices!$A:$A,0))</f>
        <v>0.470436426795617</v>
      </c>
      <c r="O70" s="22" t="n">
        <f aca="false">INDEX(Data_Prices!O:O,MATCH($G70,Data_Prices!$A:$A,0))</f>
        <v>0.470436426795617</v>
      </c>
      <c r="P70" s="22" t="n">
        <f aca="false">INDEX(Data_Prices!P:P,MATCH($G70,Data_Prices!$A:$A,0))</f>
        <v>0.470436426795617</v>
      </c>
      <c r="Q70" s="22" t="n">
        <f aca="false">INDEX(Data_Prices!Q:Q,MATCH($G70,Data_Prices!$A:$A,0))</f>
        <v>0.470436426795617</v>
      </c>
      <c r="R70" s="22" t="n">
        <f aca="false">INDEX(Data_Prices!R:R,MATCH($G70,Data_Prices!$A:$A,0))</f>
        <v>0.470436426795617</v>
      </c>
      <c r="S70" s="22" t="n">
        <f aca="false">INDEX(Data_Prices!S:S,MATCH($G70,Data_Prices!$A:$A,0))</f>
        <v>0.470436426795617</v>
      </c>
      <c r="T70" s="22" t="n">
        <f aca="false">INDEX(Data_Prices!T:T,MATCH($G70,Data_Prices!$A:$A,0))</f>
        <v>0.470436426795617</v>
      </c>
      <c r="U70" s="22" t="n">
        <f aca="false">INDEX(Data_Prices!U:U,MATCH($G70,Data_Prices!$A:$A,0))</f>
        <v>0.470436426795617</v>
      </c>
      <c r="V70" s="22" t="n">
        <f aca="false">INDEX(Data_Prices!V:V,MATCH($G70,Data_Prices!$A:$A,0))</f>
        <v>0.470436426795617</v>
      </c>
      <c r="W70" s="22" t="n">
        <f aca="false">INDEX(Data_Prices!W:W,MATCH($G70,Data_Prices!$A:$A,0))</f>
        <v>0.470436426795617</v>
      </c>
      <c r="X70" s="22" t="n">
        <f aca="false">INDEX(Data_Prices!X:X,MATCH($G70,Data_Prices!$A:$A,0))</f>
        <v>0.470436426795617</v>
      </c>
      <c r="Y70" s="22" t="n">
        <f aca="false">INDEX(Data_Prices!Y:Y,MATCH($G70,Data_Prices!$A:$A,0))</f>
        <v>0.470436426795617</v>
      </c>
      <c r="Z70" s="22" t="n">
        <f aca="false">INDEX(Data_Prices!Z:Z,MATCH($G70,Data_Prices!$A:$A,0))</f>
        <v>0.470436426795617</v>
      </c>
      <c r="AA70" s="22" t="n">
        <f aca="false">INDEX(Data_Prices!AA:AA,MATCH($G70,Data_Prices!$A:$A,0))</f>
        <v>0.470436426795617</v>
      </c>
      <c r="AB70" s="22" t="n">
        <f aca="false">INDEX(Data_Prices!AB:AB,MATCH($G70,Data_Prices!$A:$A,0))</f>
        <v>0.470436426795617</v>
      </c>
      <c r="AC70" s="22" t="n">
        <f aca="false">INDEX(Data_Prices!AC:AC,MATCH($G70,Data_Prices!$A:$A,0))</f>
        <v>0.470436426795617</v>
      </c>
      <c r="AD70" s="22" t="n">
        <f aca="false">INDEX(Data_Prices!AD:AD,MATCH($G70,Data_Prices!$A:$A,0))</f>
        <v>0.470436426795617</v>
      </c>
      <c r="AE70" s="22" t="n">
        <f aca="false">INDEX(Data_Prices!AE:AE,MATCH($G70,Data_Prices!$A:$A,0))</f>
        <v>0.470436426795617</v>
      </c>
    </row>
    <row r="71" customFormat="false" ht="15" hidden="false" customHeight="false" outlineLevel="0" collapsed="false">
      <c r="B71" s="17" t="s">
        <v>64</v>
      </c>
      <c r="C71" s="17" t="str">
        <f aca="false">$C$65</f>
        <v>cem</v>
      </c>
      <c r="D71" s="18" t="s">
        <v>65</v>
      </c>
      <c r="E71" s="19" t="s">
        <v>61</v>
      </c>
      <c r="F71" s="17" t="s">
        <v>56</v>
      </c>
      <c r="G71" s="20" t="str">
        <f aca="false">Settings!$B$3&amp;".mit.pbc."&amp;Settings!$B$4&amp;"."&amp;$B71&amp;".a."&amp;$J$65</f>
        <v>egy.mit.pbc.ind.lpg.a.1</v>
      </c>
      <c r="H71" s="21" t="str">
        <f aca="false">Settings!$B$3&amp;".mit.ptp."&amp;$C$65&amp;"."&amp;$B71&amp;".e."&amp;$J$65</f>
        <v>egy.mit.ptp.cem.lpg.e.1</v>
      </c>
      <c r="K71" s="22" t="n">
        <f aca="false">INDEX(Data_Prices!K:K,MATCH($G71,Data_Prices!$A:$A,0))</f>
        <v>0.200366691126738</v>
      </c>
      <c r="L71" s="22" t="n">
        <f aca="false">INDEX(Data_Prices!L:L,MATCH($G71,Data_Prices!$A:$A,0))</f>
        <v>0.157344736252274</v>
      </c>
      <c r="M71" s="22" t="n">
        <f aca="false">INDEX(Data_Prices!M:M,MATCH($G71,Data_Prices!$A:$A,0))</f>
        <v>0.164484037759277</v>
      </c>
      <c r="N71" s="22" t="n">
        <f aca="false">INDEX(Data_Prices!N:N,MATCH($G71,Data_Prices!$A:$A,0))</f>
        <v>0.150709077807049</v>
      </c>
      <c r="O71" s="22" t="n">
        <f aca="false">INDEX(Data_Prices!O:O,MATCH($G71,Data_Prices!$A:$A,0))</f>
        <v>0.150709077807049</v>
      </c>
      <c r="P71" s="22" t="n">
        <f aca="false">INDEX(Data_Prices!P:P,MATCH($G71,Data_Prices!$A:$A,0))</f>
        <v>0.150709077807049</v>
      </c>
      <c r="Q71" s="22" t="n">
        <f aca="false">INDEX(Data_Prices!Q:Q,MATCH($G71,Data_Prices!$A:$A,0))</f>
        <v>0.150709077807049</v>
      </c>
      <c r="R71" s="22" t="n">
        <f aca="false">INDEX(Data_Prices!R:R,MATCH($G71,Data_Prices!$A:$A,0))</f>
        <v>0.150709077807049</v>
      </c>
      <c r="S71" s="22" t="n">
        <f aca="false">INDEX(Data_Prices!S:S,MATCH($G71,Data_Prices!$A:$A,0))</f>
        <v>0.150709077807049</v>
      </c>
      <c r="T71" s="22" t="n">
        <f aca="false">INDEX(Data_Prices!T:T,MATCH($G71,Data_Prices!$A:$A,0))</f>
        <v>0.150709077807049</v>
      </c>
      <c r="U71" s="22" t="n">
        <f aca="false">INDEX(Data_Prices!U:U,MATCH($G71,Data_Prices!$A:$A,0))</f>
        <v>0.150709077807049</v>
      </c>
      <c r="V71" s="22" t="n">
        <f aca="false">INDEX(Data_Prices!V:V,MATCH($G71,Data_Prices!$A:$A,0))</f>
        <v>0.150709077807049</v>
      </c>
      <c r="W71" s="22" t="n">
        <f aca="false">INDEX(Data_Prices!W:W,MATCH($G71,Data_Prices!$A:$A,0))</f>
        <v>0.150709077807049</v>
      </c>
      <c r="X71" s="22" t="n">
        <f aca="false">INDEX(Data_Prices!X:X,MATCH($G71,Data_Prices!$A:$A,0))</f>
        <v>0.150709077807049</v>
      </c>
      <c r="Y71" s="22" t="n">
        <f aca="false">INDEX(Data_Prices!Y:Y,MATCH($G71,Data_Prices!$A:$A,0))</f>
        <v>0.150709077807049</v>
      </c>
      <c r="Z71" s="22" t="n">
        <f aca="false">INDEX(Data_Prices!Z:Z,MATCH($G71,Data_Prices!$A:$A,0))</f>
        <v>0.150709077807049</v>
      </c>
      <c r="AA71" s="22" t="n">
        <f aca="false">INDEX(Data_Prices!AA:AA,MATCH($G71,Data_Prices!$A:$A,0))</f>
        <v>0.150709077807049</v>
      </c>
      <c r="AB71" s="22" t="n">
        <f aca="false">INDEX(Data_Prices!AB:AB,MATCH($G71,Data_Prices!$A:$A,0))</f>
        <v>0.150709077807049</v>
      </c>
      <c r="AC71" s="22" t="n">
        <f aca="false">INDEX(Data_Prices!AC:AC,MATCH($G71,Data_Prices!$A:$A,0))</f>
        <v>0.150709077807049</v>
      </c>
      <c r="AD71" s="22" t="n">
        <f aca="false">INDEX(Data_Prices!AD:AD,MATCH($G71,Data_Prices!$A:$A,0))</f>
        <v>0.150709077807049</v>
      </c>
      <c r="AE71" s="22" t="n">
        <f aca="false">INDEX(Data_Prices!AE:AE,MATCH($G71,Data_Prices!$A:$A,0))</f>
        <v>0.150709077807049</v>
      </c>
    </row>
    <row r="72" customFormat="false" ht="15" hidden="false" customHeight="false" outlineLevel="0" collapsed="false">
      <c r="B72" s="17" t="s">
        <v>66</v>
      </c>
      <c r="C72" s="17" t="str">
        <f aca="false">$C$65</f>
        <v>cem</v>
      </c>
      <c r="D72" s="18" t="s">
        <v>67</v>
      </c>
      <c r="E72" s="19" t="s">
        <v>61</v>
      </c>
      <c r="F72" s="17" t="s">
        <v>56</v>
      </c>
      <c r="G72" s="20" t="str">
        <f aca="false">Settings!$B$3&amp;".mit.pbc."&amp;Settings!$B$4&amp;"."&amp;$B72&amp;".a."&amp;$J$65</f>
        <v>egy.mit.pbc.ind.ker.a.1</v>
      </c>
      <c r="H72" s="21" t="str">
        <f aca="false">Settings!$B$3&amp;".mit.ptp."&amp;$C$65&amp;"."&amp;$B72&amp;".e."&amp;$J$65</f>
        <v>egy.mit.ptp.cem.ker.e.1</v>
      </c>
      <c r="K72" s="22" t="n">
        <f aca="false">INDEX(Data_Prices!K:K,MATCH($G72,Data_Prices!$A:$A,0))</f>
        <v>0.484294240973435</v>
      </c>
      <c r="L72" s="22" t="n">
        <f aca="false">INDEX(Data_Prices!L:L,MATCH($G72,Data_Prices!$A:$A,0))</f>
        <v>0.456428170500128</v>
      </c>
      <c r="M72" s="22" t="n">
        <f aca="false">INDEX(Data_Prices!M:M,MATCH($G72,Data_Prices!$A:$A,0))</f>
        <v>0.431689201955995</v>
      </c>
      <c r="N72" s="22" t="n">
        <f aca="false">INDEX(Data_Prices!N:N,MATCH($G72,Data_Prices!$A:$A,0))</f>
        <v>0.42507558395597</v>
      </c>
      <c r="O72" s="22" t="n">
        <f aca="false">INDEX(Data_Prices!O:O,MATCH($G72,Data_Prices!$A:$A,0))</f>
        <v>0.42507558395597</v>
      </c>
      <c r="P72" s="22" t="n">
        <f aca="false">INDEX(Data_Prices!P:P,MATCH($G72,Data_Prices!$A:$A,0))</f>
        <v>0.42507558395597</v>
      </c>
      <c r="Q72" s="22" t="n">
        <f aca="false">INDEX(Data_Prices!Q:Q,MATCH($G72,Data_Prices!$A:$A,0))</f>
        <v>0.42507558395597</v>
      </c>
      <c r="R72" s="22" t="n">
        <f aca="false">INDEX(Data_Prices!R:R,MATCH($G72,Data_Prices!$A:$A,0))</f>
        <v>0.42507558395597</v>
      </c>
      <c r="S72" s="22" t="n">
        <f aca="false">INDEX(Data_Prices!S:S,MATCH($G72,Data_Prices!$A:$A,0))</f>
        <v>0.42507558395597</v>
      </c>
      <c r="T72" s="22" t="n">
        <f aca="false">INDEX(Data_Prices!T:T,MATCH($G72,Data_Prices!$A:$A,0))</f>
        <v>0.42507558395597</v>
      </c>
      <c r="U72" s="22" t="n">
        <f aca="false">INDEX(Data_Prices!U:U,MATCH($G72,Data_Prices!$A:$A,0))</f>
        <v>0.42507558395597</v>
      </c>
      <c r="V72" s="22" t="n">
        <f aca="false">INDEX(Data_Prices!V:V,MATCH($G72,Data_Prices!$A:$A,0))</f>
        <v>0.42507558395597</v>
      </c>
      <c r="W72" s="22" t="n">
        <f aca="false">INDEX(Data_Prices!W:W,MATCH($G72,Data_Prices!$A:$A,0))</f>
        <v>0.42507558395597</v>
      </c>
      <c r="X72" s="22" t="n">
        <f aca="false">INDEX(Data_Prices!X:X,MATCH($G72,Data_Prices!$A:$A,0))</f>
        <v>0.42507558395597</v>
      </c>
      <c r="Y72" s="22" t="n">
        <f aca="false">INDEX(Data_Prices!Y:Y,MATCH($G72,Data_Prices!$A:$A,0))</f>
        <v>0.42507558395597</v>
      </c>
      <c r="Z72" s="22" t="n">
        <f aca="false">INDEX(Data_Prices!Z:Z,MATCH($G72,Data_Prices!$A:$A,0))</f>
        <v>0.42507558395597</v>
      </c>
      <c r="AA72" s="22" t="n">
        <f aca="false">INDEX(Data_Prices!AA:AA,MATCH($G72,Data_Prices!$A:$A,0))</f>
        <v>0.42507558395597</v>
      </c>
      <c r="AB72" s="22" t="n">
        <f aca="false">INDEX(Data_Prices!AB:AB,MATCH($G72,Data_Prices!$A:$A,0))</f>
        <v>0.42507558395597</v>
      </c>
      <c r="AC72" s="22" t="n">
        <f aca="false">INDEX(Data_Prices!AC:AC,MATCH($G72,Data_Prices!$A:$A,0))</f>
        <v>0.42507558395597</v>
      </c>
      <c r="AD72" s="22" t="n">
        <f aca="false">INDEX(Data_Prices!AD:AD,MATCH($G72,Data_Prices!$A:$A,0))</f>
        <v>0.42507558395597</v>
      </c>
      <c r="AE72" s="22" t="n">
        <f aca="false">INDEX(Data_Prices!AE:AE,MATCH($G72,Data_Prices!$A:$A,0))</f>
        <v>0.42507558395597</v>
      </c>
    </row>
    <row r="73" customFormat="false" ht="15" hidden="false" customHeight="false" outlineLevel="0" collapsed="false">
      <c r="B73" s="17" t="s">
        <v>68</v>
      </c>
      <c r="C73" s="17" t="str">
        <f aca="false">$C$65</f>
        <v>cem</v>
      </c>
      <c r="D73" s="18" t="s">
        <v>69</v>
      </c>
      <c r="E73" s="19" t="s">
        <v>70</v>
      </c>
      <c r="F73" s="17" t="s">
        <v>56</v>
      </c>
      <c r="G73" s="20" t="str">
        <f aca="false">Settings!$B$3&amp;".mit.pbc."&amp;Settings!$B$4&amp;"."&amp;$B73&amp;".a."&amp;$J$65</f>
        <v>egy.mit.pbc.ind.oop.a.1</v>
      </c>
      <c r="H73" s="21" t="str">
        <f aca="false">Settings!$B$3&amp;".mit.ptp."&amp;$C$65&amp;"."&amp;$B73&amp;".e."&amp;$J$65</f>
        <v>egy.mit.ptp.cem.oop.e.1</v>
      </c>
      <c r="K73" s="22" t="n">
        <f aca="false">INDEX(Data_Prices!K:K,MATCH($G73,Data_Prices!$A:$A,0))</f>
        <v>41.5003384988684</v>
      </c>
      <c r="L73" s="22" t="n">
        <f aca="false">INDEX(Data_Prices!L:L,MATCH($G73,Data_Prices!$A:$A,0))</f>
        <v>34.4153703043132</v>
      </c>
      <c r="M73" s="22" t="n">
        <f aca="false">INDEX(Data_Prices!M:M,MATCH($G73,Data_Prices!$A:$A,0))</f>
        <v>37.368960690432</v>
      </c>
      <c r="N73" s="22" t="n">
        <f aca="false">INDEX(Data_Prices!N:N,MATCH($G73,Data_Prices!$A:$A,0))</f>
        <v>28.9827611014773</v>
      </c>
      <c r="O73" s="22" t="n">
        <f aca="false">INDEX(Data_Prices!O:O,MATCH($G73,Data_Prices!$A:$A,0))</f>
        <v>15</v>
      </c>
      <c r="P73" s="22" t="n">
        <f aca="false">INDEX(Data_Prices!P:P,MATCH($G73,Data_Prices!$A:$A,0))</f>
        <v>24.2586300842555</v>
      </c>
      <c r="Q73" s="22" t="n">
        <f aca="false">INDEX(Data_Prices!Q:Q,MATCH($G73,Data_Prices!$A:$A,0))</f>
        <v>15</v>
      </c>
      <c r="R73" s="22" t="n">
        <f aca="false">INDEX(Data_Prices!R:R,MATCH($G73,Data_Prices!$A:$A,0))</f>
        <v>15</v>
      </c>
      <c r="S73" s="22" t="n">
        <f aca="false">INDEX(Data_Prices!S:S,MATCH($G73,Data_Prices!$A:$A,0))</f>
        <v>15</v>
      </c>
      <c r="T73" s="22" t="n">
        <f aca="false">INDEX(Data_Prices!T:T,MATCH($G73,Data_Prices!$A:$A,0))</f>
        <v>15</v>
      </c>
      <c r="U73" s="22" t="n">
        <f aca="false">INDEX(Data_Prices!U:U,MATCH($G73,Data_Prices!$A:$A,0))</f>
        <v>15</v>
      </c>
      <c r="V73" s="22" t="n">
        <f aca="false">INDEX(Data_Prices!V:V,MATCH($G73,Data_Prices!$A:$A,0))</f>
        <v>15</v>
      </c>
      <c r="W73" s="22" t="n">
        <f aca="false">INDEX(Data_Prices!W:W,MATCH($G73,Data_Prices!$A:$A,0))</f>
        <v>15</v>
      </c>
      <c r="X73" s="22" t="n">
        <f aca="false">INDEX(Data_Prices!X:X,MATCH($G73,Data_Prices!$A:$A,0))</f>
        <v>15</v>
      </c>
      <c r="Y73" s="22" t="n">
        <f aca="false">INDEX(Data_Prices!Y:Y,MATCH($G73,Data_Prices!$A:$A,0))</f>
        <v>15</v>
      </c>
      <c r="Z73" s="22" t="n">
        <f aca="false">INDEX(Data_Prices!Z:Z,MATCH($G73,Data_Prices!$A:$A,0))</f>
        <v>15</v>
      </c>
      <c r="AA73" s="22" t="n">
        <f aca="false">INDEX(Data_Prices!AA:AA,MATCH($G73,Data_Prices!$A:$A,0))</f>
        <v>15</v>
      </c>
      <c r="AB73" s="22" t="n">
        <f aca="false">INDEX(Data_Prices!AB:AB,MATCH($G73,Data_Prices!$A:$A,0))</f>
        <v>15</v>
      </c>
      <c r="AC73" s="22" t="n">
        <f aca="false">INDEX(Data_Prices!AC:AC,MATCH($G73,Data_Prices!$A:$A,0))</f>
        <v>15</v>
      </c>
      <c r="AD73" s="22" t="n">
        <f aca="false">INDEX(Data_Prices!AD:AD,MATCH($G73,Data_Prices!$A:$A,0))</f>
        <v>15</v>
      </c>
      <c r="AE73" s="22" t="n">
        <f aca="false">INDEX(Data_Prices!AE:AE,MATCH($G73,Data_Prices!$A:$A,0))</f>
        <v>15</v>
      </c>
    </row>
    <row r="74" customFormat="false" ht="15" hidden="false" customHeight="false" outlineLevel="0" collapsed="false">
      <c r="B74" s="17" t="s">
        <v>71</v>
      </c>
      <c r="C74" s="17" t="str">
        <f aca="false">$C$65</f>
        <v>cem</v>
      </c>
      <c r="D74" s="18" t="s">
        <v>72</v>
      </c>
      <c r="E74" s="19" t="s">
        <v>55</v>
      </c>
      <c r="F74" s="17" t="s">
        <v>56</v>
      </c>
      <c r="G74" s="20" t="str">
        <f aca="false">Settings!$B$3&amp;".mit.pbc."&amp;Settings!$B$4&amp;"."&amp;$B74&amp;".a."&amp;$J$65</f>
        <v>egy.mit.pbc.ind.bio.a.1</v>
      </c>
      <c r="H74" s="21" t="str">
        <f aca="false">Settings!$B$3&amp;".mit.ptp."&amp;$C$65&amp;"."&amp;$B74&amp;".e."&amp;$J$65</f>
        <v>egy.mit.ptp.cem.bio.e.1</v>
      </c>
      <c r="K74" s="22" t="n">
        <f aca="false">INDEX(Data_Prices!K:K,MATCH($G74,Data_Prices!$A:$A,0))</f>
        <v>15.3345505293169</v>
      </c>
      <c r="L74" s="22" t="n">
        <f aca="false">INDEX(Data_Prices!L:L,MATCH($G74,Data_Prices!$A:$A,0))</f>
        <v>14.1995283906349</v>
      </c>
      <c r="M74" s="22" t="n">
        <f aca="false">INDEX(Data_Prices!M:M,MATCH($G74,Data_Prices!$A:$A,0))</f>
        <v>13.8404416133152</v>
      </c>
      <c r="N74" s="22" t="n">
        <f aca="false">INDEX(Data_Prices!N:N,MATCH($G74,Data_Prices!$A:$A,0))</f>
        <v>13.5677269404465</v>
      </c>
      <c r="O74" s="22" t="n">
        <f aca="false">INDEX(Data_Prices!O:O,MATCH($G74,Data_Prices!$A:$A,0))</f>
        <v>13.5677269404465</v>
      </c>
      <c r="P74" s="22" t="n">
        <f aca="false">INDEX(Data_Prices!P:P,MATCH($G74,Data_Prices!$A:$A,0))</f>
        <v>13.5677269404465</v>
      </c>
      <c r="Q74" s="22" t="n">
        <f aca="false">INDEX(Data_Prices!Q:Q,MATCH($G74,Data_Prices!$A:$A,0))</f>
        <v>13.5677269404465</v>
      </c>
      <c r="R74" s="22" t="n">
        <f aca="false">INDEX(Data_Prices!R:R,MATCH($G74,Data_Prices!$A:$A,0))</f>
        <v>13.5677269404465</v>
      </c>
      <c r="S74" s="22" t="n">
        <f aca="false">INDEX(Data_Prices!S:S,MATCH($G74,Data_Prices!$A:$A,0))</f>
        <v>13.5677269404465</v>
      </c>
      <c r="T74" s="22" t="n">
        <f aca="false">INDEX(Data_Prices!T:T,MATCH($G74,Data_Prices!$A:$A,0))</f>
        <v>13.5677269404465</v>
      </c>
      <c r="U74" s="22" t="n">
        <f aca="false">INDEX(Data_Prices!U:U,MATCH($G74,Data_Prices!$A:$A,0))</f>
        <v>13.5677269404465</v>
      </c>
      <c r="V74" s="22" t="n">
        <f aca="false">INDEX(Data_Prices!V:V,MATCH($G74,Data_Prices!$A:$A,0))</f>
        <v>13.5677269404465</v>
      </c>
      <c r="W74" s="22" t="n">
        <f aca="false">INDEX(Data_Prices!W:W,MATCH($G74,Data_Prices!$A:$A,0))</f>
        <v>13.5677269404465</v>
      </c>
      <c r="X74" s="22" t="n">
        <f aca="false">INDEX(Data_Prices!X:X,MATCH($G74,Data_Prices!$A:$A,0))</f>
        <v>13.5677269404465</v>
      </c>
      <c r="Y74" s="22" t="n">
        <f aca="false">INDEX(Data_Prices!Y:Y,MATCH($G74,Data_Prices!$A:$A,0))</f>
        <v>13.5677269404465</v>
      </c>
      <c r="Z74" s="22" t="n">
        <f aca="false">INDEX(Data_Prices!Z:Z,MATCH($G74,Data_Prices!$A:$A,0))</f>
        <v>13.5677269404465</v>
      </c>
      <c r="AA74" s="22" t="n">
        <f aca="false">INDEX(Data_Prices!AA:AA,MATCH($G74,Data_Prices!$A:$A,0))</f>
        <v>13.5677269404465</v>
      </c>
      <c r="AB74" s="22" t="n">
        <f aca="false">INDEX(Data_Prices!AB:AB,MATCH($G74,Data_Prices!$A:$A,0))</f>
        <v>13.5677269404465</v>
      </c>
      <c r="AC74" s="22" t="n">
        <f aca="false">INDEX(Data_Prices!AC:AC,MATCH($G74,Data_Prices!$A:$A,0))</f>
        <v>13.5677269404465</v>
      </c>
      <c r="AD74" s="22" t="n">
        <f aca="false">INDEX(Data_Prices!AD:AD,MATCH($G74,Data_Prices!$A:$A,0))</f>
        <v>13.5677269404465</v>
      </c>
      <c r="AE74" s="22" t="n">
        <f aca="false">INDEX(Data_Prices!AE:AE,MATCH($G74,Data_Prices!$A:$A,0))</f>
        <v>13.5677269404465</v>
      </c>
    </row>
    <row r="75" customFormat="false" ht="15" hidden="false" customHeight="false" outlineLevel="0" collapsed="false">
      <c r="B75" s="17" t="s">
        <v>73</v>
      </c>
      <c r="C75" s="17" t="str">
        <f aca="false">$C$65</f>
        <v>cem</v>
      </c>
      <c r="D75" s="18" t="s">
        <v>74</v>
      </c>
      <c r="E75" s="19" t="s">
        <v>75</v>
      </c>
      <c r="F75" s="17" t="s">
        <v>56</v>
      </c>
      <c r="G75" s="20" t="str">
        <f aca="false">Settings!$B$3&amp;".mit.pbc."&amp;Settings!$B$4&amp;"."&amp;$B75&amp;".a."&amp;$J$65</f>
        <v>egy.mit.pbc.ind.ren.a.1</v>
      </c>
      <c r="H75" s="21" t="str">
        <f aca="false">Settings!$B$3&amp;".mit.ptp."&amp;$C$65&amp;"."&amp;$B75&amp;".e."&amp;$J$65</f>
        <v>egy.mit.ptp.cem.ren.e.1</v>
      </c>
      <c r="K75" s="22" t="n">
        <f aca="false">INDEX(Data_Prices!K:K,MATCH($G75,Data_Prices!$A:$A,0))</f>
        <v>0</v>
      </c>
      <c r="L75" s="22" t="n">
        <f aca="false">INDEX(Data_Prices!L:L,MATCH($G75,Data_Prices!$A:$A,0))</f>
        <v>0.144044986793198</v>
      </c>
      <c r="M75" s="22" t="n">
        <f aca="false">INDEX(Data_Prices!M:M,MATCH($G75,Data_Prices!$A:$A,0))</f>
        <v>0.141020409657004</v>
      </c>
      <c r="N75" s="22" t="n">
        <f aca="false">INDEX(Data_Prices!N:N,MATCH($G75,Data_Prices!$A:$A,0))</f>
        <v>0.135116359594476</v>
      </c>
      <c r="O75" s="22" t="n">
        <f aca="false">INDEX(Data_Prices!O:O,MATCH($G75,Data_Prices!$A:$A,0))</f>
        <v>0.130988256985856</v>
      </c>
      <c r="P75" s="22" t="n">
        <f aca="false">INDEX(Data_Prices!P:P,MATCH($G75,Data_Prices!$A:$A,0))</f>
        <v>0.127908416086318</v>
      </c>
      <c r="Q75" s="22" t="n">
        <f aca="false">INDEX(Data_Prices!Q:Q,MATCH($G75,Data_Prices!$A:$A,0))</f>
        <v>0.124814310557813</v>
      </c>
      <c r="R75" s="22" t="n">
        <f aca="false">INDEX(Data_Prices!R:R,MATCH($G75,Data_Prices!$A:$A,0))</f>
        <v>0.121460257122878</v>
      </c>
      <c r="S75" s="22" t="n">
        <f aca="false">INDEX(Data_Prices!S:S,MATCH($G75,Data_Prices!$A:$A,0))</f>
        <v>0.117950744135786</v>
      </c>
      <c r="T75" s="22" t="n">
        <f aca="false">INDEX(Data_Prices!T:T,MATCH($G75,Data_Prices!$A:$A,0))</f>
        <v>0.114199161044597</v>
      </c>
      <c r="U75" s="22" t="n">
        <f aca="false">INDEX(Data_Prices!U:U,MATCH($G75,Data_Prices!$A:$A,0))</f>
        <v>0.113665100059665</v>
      </c>
      <c r="V75" s="22" t="n">
        <f aca="false">INDEX(Data_Prices!V:V,MATCH($G75,Data_Prices!$A:$A,0))</f>
        <v>0.113016929625957</v>
      </c>
      <c r="W75" s="22" t="n">
        <f aca="false">INDEX(Data_Prices!W:W,MATCH($G75,Data_Prices!$A:$A,0))</f>
        <v>0.112314070507636</v>
      </c>
      <c r="X75" s="22" t="n">
        <f aca="false">INDEX(Data_Prices!X:X,MATCH($G75,Data_Prices!$A:$A,0))</f>
        <v>0.111422042732843</v>
      </c>
      <c r="Y75" s="22" t="n">
        <f aca="false">INDEX(Data_Prices!Y:Y,MATCH($G75,Data_Prices!$A:$A,0))</f>
        <v>0.110434123675809</v>
      </c>
      <c r="Z75" s="22" t="n">
        <f aca="false">INDEX(Data_Prices!Z:Z,MATCH($G75,Data_Prices!$A:$A,0))</f>
        <v>0.109483973304471</v>
      </c>
      <c r="AA75" s="22" t="n">
        <f aca="false">INDEX(Data_Prices!AA:AA,MATCH($G75,Data_Prices!$A:$A,0))</f>
        <v>0.10839192105294</v>
      </c>
      <c r="AB75" s="22" t="n">
        <f aca="false">INDEX(Data_Prices!AB:AB,MATCH($G75,Data_Prices!$A:$A,0))</f>
        <v>0.107354433626704</v>
      </c>
      <c r="AC75" s="22" t="n">
        <f aca="false">INDEX(Data_Prices!AC:AC,MATCH($G75,Data_Prices!$A:$A,0))</f>
        <v>0.105168675441661</v>
      </c>
      <c r="AD75" s="22" t="n">
        <f aca="false">INDEX(Data_Prices!AD:AD,MATCH($G75,Data_Prices!$A:$A,0))</f>
        <v>0.103057983256008</v>
      </c>
      <c r="AE75" s="22" t="n">
        <f aca="false">INDEX(Data_Prices!AE:AE,MATCH($G75,Data_Prices!$A:$A,0))</f>
        <v>0.100931838990114</v>
      </c>
    </row>
    <row r="76" customFormat="false" ht="15" hidden="false" customHeight="false" outlineLevel="0" collapsed="false">
      <c r="B76" s="16" t="s">
        <v>76</v>
      </c>
    </row>
    <row r="77" customFormat="false" ht="15" hidden="false" customHeight="false" outlineLevel="0" collapsed="false">
      <c r="B77" s="17" t="s">
        <v>53</v>
      </c>
      <c r="C77" s="17" t="str">
        <f aca="false">$C$65</f>
        <v>cem</v>
      </c>
      <c r="D77" s="18" t="s">
        <v>54</v>
      </c>
      <c r="E77" s="19" t="s">
        <v>55</v>
      </c>
      <c r="F77" s="17" t="s">
        <v>77</v>
      </c>
      <c r="G77" s="20" t="str">
        <f aca="false">Settings!$B$3&amp;".mit.nce."&amp;Settings!$B$4&amp;"."&amp;$B77&amp;".a."&amp;$J$65</f>
        <v>egy.mit.nce.ind.coa.a.1</v>
      </c>
      <c r="H77" s="21" t="str">
        <f aca="false">Settings!$B$3&amp;".mit.atp."&amp;$C$65&amp;"."&amp;$B77&amp;".e."&amp;$J$65</f>
        <v>egy.mit.atp.cem.coa.e.1</v>
      </c>
      <c r="K77" s="22" t="n">
        <f aca="false">K67+INDEX(Data_Prices!K:K,MATCH($G77,Data_Prices!$A:$A,0))*K$97</f>
        <v>11.1829015892439</v>
      </c>
      <c r="L77" s="22" t="n">
        <f aca="false">L67+INDEX(Data_Prices!L:L,MATCH($G77,Data_Prices!$A:$A,0))*L$97</f>
        <v>10.5233613454312</v>
      </c>
      <c r="M77" s="22" t="n">
        <f aca="false">M67+INDEX(Data_Prices!M:M,MATCH($G77,Data_Prices!$A:$A,0))*M$97</f>
        <v>10.2995608274442</v>
      </c>
      <c r="N77" s="22" t="n">
        <f aca="false">N67+INDEX(Data_Prices!N:N,MATCH($G77,Data_Prices!$A:$A,0))*N$97</f>
        <v>9.57752835953826</v>
      </c>
      <c r="O77" s="22" t="n">
        <f aca="false">O67+INDEX(Data_Prices!O:O,MATCH($G77,Data_Prices!$A:$A,0))*O$97</f>
        <v>8.48547828695805</v>
      </c>
      <c r="P77" s="22" t="n">
        <f aca="false">P67+INDEX(Data_Prices!P:P,MATCH($G77,Data_Prices!$A:$A,0))*P$97</f>
        <v>9.08719223524986</v>
      </c>
      <c r="Q77" s="22" t="n">
        <f aca="false">Q67+INDEX(Data_Prices!Q:Q,MATCH($G77,Data_Prices!$A:$A,0))*Q$97</f>
        <v>9.22292372893268</v>
      </c>
      <c r="R77" s="22" t="n">
        <f aca="false">R67+INDEX(Data_Prices!R:R,MATCH($G77,Data_Prices!$A:$A,0))*R$97</f>
        <v>9.15856495550969</v>
      </c>
      <c r="S77" s="22" t="n">
        <f aca="false">S67+INDEX(Data_Prices!S:S,MATCH($G77,Data_Prices!$A:$A,0))*S$97</f>
        <v>9.08954787739738</v>
      </c>
      <c r="T77" s="22" t="n">
        <f aca="false">T67+INDEX(Data_Prices!T:T,MATCH($G77,Data_Prices!$A:$A,0))*T$97</f>
        <v>9.01568166602283</v>
      </c>
      <c r="U77" s="22" t="n">
        <f aca="false">U67+INDEX(Data_Prices!U:U,MATCH($G77,Data_Prices!$A:$A,0))*U$97</f>
        <v>8.94439776555711</v>
      </c>
      <c r="V77" s="22" t="n">
        <f aca="false">V67+INDEX(Data_Prices!V:V,MATCH($G77,Data_Prices!$A:$A,0))*V$97</f>
        <v>8.94439776555711</v>
      </c>
      <c r="W77" s="22" t="n">
        <f aca="false">W67+INDEX(Data_Prices!W:W,MATCH($G77,Data_Prices!$A:$A,0))*W$97</f>
        <v>8.94439776555711</v>
      </c>
      <c r="X77" s="22" t="n">
        <f aca="false">X67+INDEX(Data_Prices!X:X,MATCH($G77,Data_Prices!$A:$A,0))*X$97</f>
        <v>8.94439776555711</v>
      </c>
      <c r="Y77" s="22" t="n">
        <f aca="false">Y67+INDEX(Data_Prices!Y:Y,MATCH($G77,Data_Prices!$A:$A,0))*Y$97</f>
        <v>8.94439776555711</v>
      </c>
      <c r="Z77" s="22" t="n">
        <f aca="false">Z67+INDEX(Data_Prices!Z:Z,MATCH($G77,Data_Prices!$A:$A,0))*Z$97</f>
        <v>8.94439776555711</v>
      </c>
      <c r="AA77" s="22" t="n">
        <f aca="false">AA67+INDEX(Data_Prices!AA:AA,MATCH($G77,Data_Prices!$A:$A,0))*AA$97</f>
        <v>8.94439776555711</v>
      </c>
      <c r="AB77" s="22" t="n">
        <f aca="false">AB67+INDEX(Data_Prices!AB:AB,MATCH($G77,Data_Prices!$A:$A,0))*AB$97</f>
        <v>8.94439776555711</v>
      </c>
      <c r="AC77" s="22" t="n">
        <f aca="false">AC67+INDEX(Data_Prices!AC:AC,MATCH($G77,Data_Prices!$A:$A,0))*AC$97</f>
        <v>8.94439776555711</v>
      </c>
      <c r="AD77" s="22" t="n">
        <f aca="false">AD67+INDEX(Data_Prices!AD:AD,MATCH($G77,Data_Prices!$A:$A,0))*AD$97</f>
        <v>8.94439776555711</v>
      </c>
      <c r="AE77" s="22" t="n">
        <f aca="false">AE67+INDEX(Data_Prices!AE:AE,MATCH($G77,Data_Prices!$A:$A,0))*AE$97</f>
        <v>8.94439776555711</v>
      </c>
    </row>
    <row r="78" customFormat="false" ht="15" hidden="false" customHeight="false" outlineLevel="0" collapsed="false">
      <c r="B78" s="17" t="s">
        <v>57</v>
      </c>
      <c r="C78" s="17" t="str">
        <f aca="false">$C$65</f>
        <v>cem</v>
      </c>
      <c r="D78" s="18" t="s">
        <v>58</v>
      </c>
      <c r="E78" s="19" t="s">
        <v>55</v>
      </c>
      <c r="F78" s="17" t="s">
        <v>77</v>
      </c>
      <c r="G78" s="20" t="str">
        <f aca="false">Settings!$B$3&amp;".mit.nce."&amp;Settings!$B$4&amp;"."&amp;$B78&amp;".a."&amp;$J$65</f>
        <v>egy.mit.nce.ind.nga.a.1</v>
      </c>
      <c r="H78" s="21" t="str">
        <f aca="false">Settings!$B$3&amp;".mit.atp."&amp;$C$65&amp;"."&amp;$B78&amp;".e."&amp;$J$65</f>
        <v>egy.mit.atp.cem.nga.e.1</v>
      </c>
      <c r="K78" s="22" t="n">
        <f aca="false">K68+INDEX(Data_Prices!K:K,MATCH($G78,Data_Prices!$A:$A,0))*K$97</f>
        <v>6.06346361567291</v>
      </c>
      <c r="L78" s="22" t="n">
        <f aca="false">L68+INDEX(Data_Prices!L:L,MATCH($G78,Data_Prices!$A:$A,0))*L$97</f>
        <v>5.45101508161919</v>
      </c>
      <c r="M78" s="22" t="n">
        <f aca="false">M68+INDEX(Data_Prices!M:M,MATCH($G78,Data_Prices!$A:$A,0))*M$97</f>
        <v>5.11935630626248</v>
      </c>
      <c r="N78" s="22" t="n">
        <f aca="false">N68+INDEX(Data_Prices!N:N,MATCH($G78,Data_Prices!$A:$A,0))*N$97</f>
        <v>5.08218458640407</v>
      </c>
      <c r="O78" s="22" t="n">
        <f aca="false">O68+INDEX(Data_Prices!O:O,MATCH($G78,Data_Prices!$A:$A,0))*O$97</f>
        <v>5.08218458640407</v>
      </c>
      <c r="P78" s="22" t="n">
        <f aca="false">P68+INDEX(Data_Prices!P:P,MATCH($G78,Data_Prices!$A:$A,0))*P$97</f>
        <v>5.08218458640407</v>
      </c>
      <c r="Q78" s="22" t="n">
        <f aca="false">Q68+INDEX(Data_Prices!Q:Q,MATCH($G78,Data_Prices!$A:$A,0))*Q$97</f>
        <v>5.08218458640407</v>
      </c>
      <c r="R78" s="22" t="n">
        <f aca="false">R68+INDEX(Data_Prices!R:R,MATCH($G78,Data_Prices!$A:$A,0))*R$97</f>
        <v>5.08218458640407</v>
      </c>
      <c r="S78" s="22" t="n">
        <f aca="false">S68+INDEX(Data_Prices!S:S,MATCH($G78,Data_Prices!$A:$A,0))*S$97</f>
        <v>5.08218458640407</v>
      </c>
      <c r="T78" s="22" t="n">
        <f aca="false">T68+INDEX(Data_Prices!T:T,MATCH($G78,Data_Prices!$A:$A,0))*T$97</f>
        <v>5.08218458640407</v>
      </c>
      <c r="U78" s="22" t="n">
        <f aca="false">U68+INDEX(Data_Prices!U:U,MATCH($G78,Data_Prices!$A:$A,0))*U$97</f>
        <v>5.08218458640407</v>
      </c>
      <c r="V78" s="22" t="n">
        <f aca="false">V68+INDEX(Data_Prices!V:V,MATCH($G78,Data_Prices!$A:$A,0))*V$97</f>
        <v>5.08218458640407</v>
      </c>
      <c r="W78" s="22" t="n">
        <f aca="false">W68+INDEX(Data_Prices!W:W,MATCH($G78,Data_Prices!$A:$A,0))*W$97</f>
        <v>5.08218458640407</v>
      </c>
      <c r="X78" s="22" t="n">
        <f aca="false">X68+INDEX(Data_Prices!X:X,MATCH($G78,Data_Prices!$A:$A,0))*X$97</f>
        <v>5.08218458640407</v>
      </c>
      <c r="Y78" s="22" t="n">
        <f aca="false">Y68+INDEX(Data_Prices!Y:Y,MATCH($G78,Data_Prices!$A:$A,0))*Y$97</f>
        <v>5.08218458640407</v>
      </c>
      <c r="Z78" s="22" t="n">
        <f aca="false">Z68+INDEX(Data_Prices!Z:Z,MATCH($G78,Data_Prices!$A:$A,0))*Z$97</f>
        <v>5.08218458640407</v>
      </c>
      <c r="AA78" s="22" t="n">
        <f aca="false">AA68+INDEX(Data_Prices!AA:AA,MATCH($G78,Data_Prices!$A:$A,0))*AA$97</f>
        <v>5.08218458640407</v>
      </c>
      <c r="AB78" s="22" t="n">
        <f aca="false">AB68+INDEX(Data_Prices!AB:AB,MATCH($G78,Data_Prices!$A:$A,0))*AB$97</f>
        <v>5.08218458640407</v>
      </c>
      <c r="AC78" s="22" t="n">
        <f aca="false">AC68+INDEX(Data_Prices!AC:AC,MATCH($G78,Data_Prices!$A:$A,0))*AC$97</f>
        <v>5.08218458640407</v>
      </c>
      <c r="AD78" s="22" t="n">
        <f aca="false">AD68+INDEX(Data_Prices!AD:AD,MATCH($G78,Data_Prices!$A:$A,0))*AD$97</f>
        <v>5.08218458640407</v>
      </c>
      <c r="AE78" s="22" t="n">
        <f aca="false">AE68+INDEX(Data_Prices!AE:AE,MATCH($G78,Data_Prices!$A:$A,0))*AE$97</f>
        <v>5.08218458640407</v>
      </c>
    </row>
    <row r="79" customFormat="false" ht="15" hidden="false" customHeight="false" outlineLevel="0" collapsed="false">
      <c r="B79" s="17" t="s">
        <v>59</v>
      </c>
      <c r="C79" s="17" t="str">
        <f aca="false">$C$65</f>
        <v>cem</v>
      </c>
      <c r="D79" s="18" t="s">
        <v>60</v>
      </c>
      <c r="E79" s="19" t="s">
        <v>61</v>
      </c>
      <c r="F79" s="17" t="s">
        <v>77</v>
      </c>
      <c r="G79" s="20" t="str">
        <f aca="false">Settings!$B$3&amp;".mit.nce."&amp;Settings!$B$4&amp;"."&amp;$B79&amp;".a."&amp;$J$65</f>
        <v>egy.mit.nce.ind.gso.a.1</v>
      </c>
      <c r="H79" s="21" t="str">
        <f aca="false">Settings!$B$3&amp;".mit.atp."&amp;$C$65&amp;"."&amp;$B79&amp;".e."&amp;$J$65</f>
        <v>egy.mit.atp.cem.gso.e.1</v>
      </c>
      <c r="K79" s="22" t="n">
        <f aca="false">K69+INDEX(Data_Prices!K:K,MATCH($G79,Data_Prices!$A:$A,0))*K$97</f>
        <v>0.671146533321816</v>
      </c>
      <c r="L79" s="22" t="n">
        <f aca="false">L69+INDEX(Data_Prices!L:L,MATCH($G79,Data_Prices!$A:$A,0))*L$97</f>
        <v>0.611977976791406</v>
      </c>
      <c r="M79" s="22" t="n">
        <f aca="false">M69+INDEX(Data_Prices!M:M,MATCH($G79,Data_Prices!$A:$A,0))*M$97</f>
        <v>0.611809749641876</v>
      </c>
      <c r="N79" s="22" t="n">
        <f aca="false">N69+INDEX(Data_Prices!N:N,MATCH($G79,Data_Prices!$A:$A,0))*N$97</f>
        <v>0.603583100177906</v>
      </c>
      <c r="O79" s="22" t="n">
        <f aca="false">O69+INDEX(Data_Prices!O:O,MATCH($G79,Data_Prices!$A:$A,0))*O$97</f>
        <v>0.603583100177906</v>
      </c>
      <c r="P79" s="22" t="n">
        <f aca="false">P69+INDEX(Data_Prices!P:P,MATCH($G79,Data_Prices!$A:$A,0))*P$97</f>
        <v>0.603583100177906</v>
      </c>
      <c r="Q79" s="22" t="n">
        <f aca="false">Q69+INDEX(Data_Prices!Q:Q,MATCH($G79,Data_Prices!$A:$A,0))*Q$97</f>
        <v>0.603583100177906</v>
      </c>
      <c r="R79" s="22" t="n">
        <f aca="false">R69+INDEX(Data_Prices!R:R,MATCH($G79,Data_Prices!$A:$A,0))*R$97</f>
        <v>0.603583100177906</v>
      </c>
      <c r="S79" s="22" t="n">
        <f aca="false">S69+INDEX(Data_Prices!S:S,MATCH($G79,Data_Prices!$A:$A,0))*S$97</f>
        <v>0.603583100177906</v>
      </c>
      <c r="T79" s="22" t="n">
        <f aca="false">T69+INDEX(Data_Prices!T:T,MATCH($G79,Data_Prices!$A:$A,0))*T$97</f>
        <v>0.603583100177906</v>
      </c>
      <c r="U79" s="22" t="n">
        <f aca="false">U69+INDEX(Data_Prices!U:U,MATCH($G79,Data_Prices!$A:$A,0))*U$97</f>
        <v>0.603583100177906</v>
      </c>
      <c r="V79" s="22" t="n">
        <f aca="false">V69+INDEX(Data_Prices!V:V,MATCH($G79,Data_Prices!$A:$A,0))*V$97</f>
        <v>0.603583100177906</v>
      </c>
      <c r="W79" s="22" t="n">
        <f aca="false">W69+INDEX(Data_Prices!W:W,MATCH($G79,Data_Prices!$A:$A,0))*W$97</f>
        <v>0.603583100177906</v>
      </c>
      <c r="X79" s="22" t="n">
        <f aca="false">X69+INDEX(Data_Prices!X:X,MATCH($G79,Data_Prices!$A:$A,0))*X$97</f>
        <v>0.603583100177906</v>
      </c>
      <c r="Y79" s="22" t="n">
        <f aca="false">Y69+INDEX(Data_Prices!Y:Y,MATCH($G79,Data_Prices!$A:$A,0))*Y$97</f>
        <v>0.603583100177906</v>
      </c>
      <c r="Z79" s="22" t="n">
        <f aca="false">Z69+INDEX(Data_Prices!Z:Z,MATCH($G79,Data_Prices!$A:$A,0))*Z$97</f>
        <v>0.603583100177906</v>
      </c>
      <c r="AA79" s="22" t="n">
        <f aca="false">AA69+INDEX(Data_Prices!AA:AA,MATCH($G79,Data_Prices!$A:$A,0))*AA$97</f>
        <v>0.603583100177906</v>
      </c>
      <c r="AB79" s="22" t="n">
        <f aca="false">AB69+INDEX(Data_Prices!AB:AB,MATCH($G79,Data_Prices!$A:$A,0))*AB$97</f>
        <v>0.603583100177906</v>
      </c>
      <c r="AC79" s="22" t="n">
        <f aca="false">AC69+INDEX(Data_Prices!AC:AC,MATCH($G79,Data_Prices!$A:$A,0))*AC$97</f>
        <v>0.603583100177906</v>
      </c>
      <c r="AD79" s="22" t="n">
        <f aca="false">AD69+INDEX(Data_Prices!AD:AD,MATCH($G79,Data_Prices!$A:$A,0))*AD$97</f>
        <v>0.603583100177906</v>
      </c>
      <c r="AE79" s="22" t="n">
        <f aca="false">AE69+INDEX(Data_Prices!AE:AE,MATCH($G79,Data_Prices!$A:$A,0))*AE$97</f>
        <v>0.603583100177906</v>
      </c>
    </row>
    <row r="80" customFormat="false" ht="15" hidden="false" customHeight="false" outlineLevel="0" collapsed="false">
      <c r="B80" s="17" t="s">
        <v>62</v>
      </c>
      <c r="C80" s="17" t="str">
        <f aca="false">$C$65</f>
        <v>cem</v>
      </c>
      <c r="D80" s="18" t="s">
        <v>63</v>
      </c>
      <c r="E80" s="19" t="s">
        <v>61</v>
      </c>
      <c r="F80" s="17" t="s">
        <v>77</v>
      </c>
      <c r="G80" s="20" t="str">
        <f aca="false">Settings!$B$3&amp;".mit.nce."&amp;Settings!$B$4&amp;"."&amp;$B80&amp;".a."&amp;$J$65</f>
        <v>egy.mit.nce.ind.die.a.1</v>
      </c>
      <c r="H80" s="21" t="str">
        <f aca="false">Settings!$B$3&amp;".mit.atp."&amp;$C$65&amp;"."&amp;$B80&amp;".e."&amp;$J$65</f>
        <v>egy.mit.atp.cem.die.e.1</v>
      </c>
      <c r="K80" s="22" t="n">
        <f aca="false">K70+INDEX(Data_Prices!K:K,MATCH($G80,Data_Prices!$A:$A,0))*K$97</f>
        <v>0.559711213155688</v>
      </c>
      <c r="L80" s="22" t="n">
        <f aca="false">L70+INDEX(Data_Prices!L:L,MATCH($G80,Data_Prices!$A:$A,0))*L$97</f>
        <v>0.494588730841068</v>
      </c>
      <c r="M80" s="22" t="n">
        <f aca="false">M70+INDEX(Data_Prices!M:M,MATCH($G80,Data_Prices!$A:$A,0))*M$97</f>
        <v>0.507786547202501</v>
      </c>
      <c r="N80" s="22" t="n">
        <f aca="false">N70+INDEX(Data_Prices!N:N,MATCH($G80,Data_Prices!$A:$A,0))*N$97</f>
        <v>0.470436426795617</v>
      </c>
      <c r="O80" s="22" t="n">
        <f aca="false">O70+INDEX(Data_Prices!O:O,MATCH($G80,Data_Prices!$A:$A,0))*O$97</f>
        <v>0.470436426795617</v>
      </c>
      <c r="P80" s="22" t="n">
        <f aca="false">P70+INDEX(Data_Prices!P:P,MATCH($G80,Data_Prices!$A:$A,0))*P$97</f>
        <v>0.470436426795617</v>
      </c>
      <c r="Q80" s="22" t="n">
        <f aca="false">Q70+INDEX(Data_Prices!Q:Q,MATCH($G80,Data_Prices!$A:$A,0))*Q$97</f>
        <v>0.470436426795617</v>
      </c>
      <c r="R80" s="22" t="n">
        <f aca="false">R70+INDEX(Data_Prices!R:R,MATCH($G80,Data_Prices!$A:$A,0))*R$97</f>
        <v>0.470436426795617</v>
      </c>
      <c r="S80" s="22" t="n">
        <f aca="false">S70+INDEX(Data_Prices!S:S,MATCH($G80,Data_Prices!$A:$A,0))*S$97</f>
        <v>0.470436426795617</v>
      </c>
      <c r="T80" s="22" t="n">
        <f aca="false">T70+INDEX(Data_Prices!T:T,MATCH($G80,Data_Prices!$A:$A,0))*T$97</f>
        <v>0.470436426795617</v>
      </c>
      <c r="U80" s="22" t="n">
        <f aca="false">U70+INDEX(Data_Prices!U:U,MATCH($G80,Data_Prices!$A:$A,0))*U$97</f>
        <v>0.470436426795617</v>
      </c>
      <c r="V80" s="22" t="n">
        <f aca="false">V70+INDEX(Data_Prices!V:V,MATCH($G80,Data_Prices!$A:$A,0))*V$97</f>
        <v>0.470436426795617</v>
      </c>
      <c r="W80" s="22" t="n">
        <f aca="false">W70+INDEX(Data_Prices!W:W,MATCH($G80,Data_Prices!$A:$A,0))*W$97</f>
        <v>0.470436426795617</v>
      </c>
      <c r="X80" s="22" t="n">
        <f aca="false">X70+INDEX(Data_Prices!X:X,MATCH($G80,Data_Prices!$A:$A,0))*X$97</f>
        <v>0.470436426795617</v>
      </c>
      <c r="Y80" s="22" t="n">
        <f aca="false">Y70+INDEX(Data_Prices!Y:Y,MATCH($G80,Data_Prices!$A:$A,0))*Y$97</f>
        <v>0.470436426795617</v>
      </c>
      <c r="Z80" s="22" t="n">
        <f aca="false">Z70+INDEX(Data_Prices!Z:Z,MATCH($G80,Data_Prices!$A:$A,0))*Z$97</f>
        <v>0.470436426795617</v>
      </c>
      <c r="AA80" s="22" t="n">
        <f aca="false">AA70+INDEX(Data_Prices!AA:AA,MATCH($G80,Data_Prices!$A:$A,0))*AA$97</f>
        <v>0.470436426795617</v>
      </c>
      <c r="AB80" s="22" t="n">
        <f aca="false">AB70+INDEX(Data_Prices!AB:AB,MATCH($G80,Data_Prices!$A:$A,0))*AB$97</f>
        <v>0.470436426795617</v>
      </c>
      <c r="AC80" s="22" t="n">
        <f aca="false">AC70+INDEX(Data_Prices!AC:AC,MATCH($G80,Data_Prices!$A:$A,0))*AC$97</f>
        <v>0.470436426795617</v>
      </c>
      <c r="AD80" s="22" t="n">
        <f aca="false">AD70+INDEX(Data_Prices!AD:AD,MATCH($G80,Data_Prices!$A:$A,0))*AD$97</f>
        <v>0.470436426795617</v>
      </c>
      <c r="AE80" s="22" t="n">
        <f aca="false">AE70+INDEX(Data_Prices!AE:AE,MATCH($G80,Data_Prices!$A:$A,0))*AE$97</f>
        <v>0.470436426795617</v>
      </c>
    </row>
    <row r="81" customFormat="false" ht="15" hidden="false" customHeight="false" outlineLevel="0" collapsed="false">
      <c r="B81" s="17" t="s">
        <v>64</v>
      </c>
      <c r="C81" s="17" t="str">
        <f aca="false">$C$65</f>
        <v>cem</v>
      </c>
      <c r="D81" s="18" t="s">
        <v>65</v>
      </c>
      <c r="E81" s="19" t="s">
        <v>61</v>
      </c>
      <c r="F81" s="17" t="s">
        <v>77</v>
      </c>
      <c r="G81" s="20" t="str">
        <f aca="false">Settings!$B$3&amp;".mit.nce."&amp;Settings!$B$4&amp;"."&amp;$B81&amp;".a."&amp;$J$65</f>
        <v>egy.mit.nce.ind.lpg.a.1</v>
      </c>
      <c r="H81" s="21" t="str">
        <f aca="false">Settings!$B$3&amp;".mit.atp."&amp;$C$65&amp;"."&amp;$B81&amp;".e."&amp;$J$65</f>
        <v>egy.mit.atp.cem.lpg.e.1</v>
      </c>
      <c r="K81" s="22" t="n">
        <f aca="false">K71+INDEX(Data_Prices!K:K,MATCH($G81,Data_Prices!$A:$A,0))*K$97</f>
        <v>0.200366691126738</v>
      </c>
      <c r="L81" s="22" t="n">
        <f aca="false">L71+INDEX(Data_Prices!L:L,MATCH($G81,Data_Prices!$A:$A,0))*L$97</f>
        <v>0.157344736252274</v>
      </c>
      <c r="M81" s="22" t="n">
        <f aca="false">M71+INDEX(Data_Prices!M:M,MATCH($G81,Data_Prices!$A:$A,0))*M$97</f>
        <v>0.164484037759277</v>
      </c>
      <c r="N81" s="22" t="n">
        <f aca="false">N71+INDEX(Data_Prices!N:N,MATCH($G81,Data_Prices!$A:$A,0))*N$97</f>
        <v>0.150709077807049</v>
      </c>
      <c r="O81" s="22" t="n">
        <f aca="false">O71+INDEX(Data_Prices!O:O,MATCH($G81,Data_Prices!$A:$A,0))*O$97</f>
        <v>0.150709077807049</v>
      </c>
      <c r="P81" s="22" t="n">
        <f aca="false">P71+INDEX(Data_Prices!P:P,MATCH($G81,Data_Prices!$A:$A,0))*P$97</f>
        <v>0.150709077807049</v>
      </c>
      <c r="Q81" s="22" t="n">
        <f aca="false">Q71+INDEX(Data_Prices!Q:Q,MATCH($G81,Data_Prices!$A:$A,0))*Q$97</f>
        <v>0.150709077807049</v>
      </c>
      <c r="R81" s="22" t="n">
        <f aca="false">R71+INDEX(Data_Prices!R:R,MATCH($G81,Data_Prices!$A:$A,0))*R$97</f>
        <v>0.150709077807049</v>
      </c>
      <c r="S81" s="22" t="n">
        <f aca="false">S71+INDEX(Data_Prices!S:S,MATCH($G81,Data_Prices!$A:$A,0))*S$97</f>
        <v>0.150709077807049</v>
      </c>
      <c r="T81" s="22" t="n">
        <f aca="false">T71+INDEX(Data_Prices!T:T,MATCH($G81,Data_Prices!$A:$A,0))*T$97</f>
        <v>0.150709077807049</v>
      </c>
      <c r="U81" s="22" t="n">
        <f aca="false">U71+INDEX(Data_Prices!U:U,MATCH($G81,Data_Prices!$A:$A,0))*U$97</f>
        <v>0.150709077807049</v>
      </c>
      <c r="V81" s="22" t="n">
        <f aca="false">V71+INDEX(Data_Prices!V:V,MATCH($G81,Data_Prices!$A:$A,0))*V$97</f>
        <v>0.150709077807049</v>
      </c>
      <c r="W81" s="22" t="n">
        <f aca="false">W71+INDEX(Data_Prices!W:W,MATCH($G81,Data_Prices!$A:$A,0))*W$97</f>
        <v>0.150709077807049</v>
      </c>
      <c r="X81" s="22" t="n">
        <f aca="false">X71+INDEX(Data_Prices!X:X,MATCH($G81,Data_Prices!$A:$A,0))*X$97</f>
        <v>0.150709077807049</v>
      </c>
      <c r="Y81" s="22" t="n">
        <f aca="false">Y71+INDEX(Data_Prices!Y:Y,MATCH($G81,Data_Prices!$A:$A,0))*Y$97</f>
        <v>0.150709077807049</v>
      </c>
      <c r="Z81" s="22" t="n">
        <f aca="false">Z71+INDEX(Data_Prices!Z:Z,MATCH($G81,Data_Prices!$A:$A,0))*Z$97</f>
        <v>0.150709077807049</v>
      </c>
      <c r="AA81" s="22" t="n">
        <f aca="false">AA71+INDEX(Data_Prices!AA:AA,MATCH($G81,Data_Prices!$A:$A,0))*AA$97</f>
        <v>0.150709077807049</v>
      </c>
      <c r="AB81" s="22" t="n">
        <f aca="false">AB71+INDEX(Data_Prices!AB:AB,MATCH($G81,Data_Prices!$A:$A,0))*AB$97</f>
        <v>0.150709077807049</v>
      </c>
      <c r="AC81" s="22" t="n">
        <f aca="false">AC71+INDEX(Data_Prices!AC:AC,MATCH($G81,Data_Prices!$A:$A,0))*AC$97</f>
        <v>0.150709077807049</v>
      </c>
      <c r="AD81" s="22" t="n">
        <f aca="false">AD71+INDEX(Data_Prices!AD:AD,MATCH($G81,Data_Prices!$A:$A,0))*AD$97</f>
        <v>0.150709077807049</v>
      </c>
      <c r="AE81" s="22" t="n">
        <f aca="false">AE71+INDEX(Data_Prices!AE:AE,MATCH($G81,Data_Prices!$A:$A,0))*AE$97</f>
        <v>0.150709077807049</v>
      </c>
    </row>
    <row r="82" customFormat="false" ht="15" hidden="false" customHeight="false" outlineLevel="0" collapsed="false">
      <c r="B82" s="17" t="s">
        <v>66</v>
      </c>
      <c r="C82" s="17" t="str">
        <f aca="false">$C$65</f>
        <v>cem</v>
      </c>
      <c r="D82" s="18" t="s">
        <v>67</v>
      </c>
      <c r="E82" s="19" t="s">
        <v>61</v>
      </c>
      <c r="F82" s="17" t="s">
        <v>77</v>
      </c>
      <c r="G82" s="20" t="str">
        <f aca="false">Settings!$B$3&amp;".mit.nce."&amp;Settings!$B$4&amp;"."&amp;$B82&amp;".a."&amp;$J$65</f>
        <v>egy.mit.nce.ind.ker.a.1</v>
      </c>
      <c r="H82" s="21" t="str">
        <f aca="false">Settings!$B$3&amp;".mit.atp."&amp;$C$65&amp;"."&amp;$B82&amp;".e."&amp;$J$65</f>
        <v>egy.mit.atp.cem.ker.e.1</v>
      </c>
      <c r="K82" s="22" t="n">
        <f aca="false">K72+INDEX(Data_Prices!K:K,MATCH($G82,Data_Prices!$A:$A,0))*K$97</f>
        <v>0.484294240973435</v>
      </c>
      <c r="L82" s="22" t="n">
        <f aca="false">L72+INDEX(Data_Prices!L:L,MATCH($G82,Data_Prices!$A:$A,0))*L$97</f>
        <v>0.456428170500128</v>
      </c>
      <c r="M82" s="22" t="n">
        <f aca="false">M72+INDEX(Data_Prices!M:M,MATCH($G82,Data_Prices!$A:$A,0))*M$97</f>
        <v>0.431689201955995</v>
      </c>
      <c r="N82" s="22" t="n">
        <f aca="false">N72+INDEX(Data_Prices!N:N,MATCH($G82,Data_Prices!$A:$A,0))*N$97</f>
        <v>0.42507558395597</v>
      </c>
      <c r="O82" s="22" t="n">
        <f aca="false">O72+INDEX(Data_Prices!O:O,MATCH($G82,Data_Prices!$A:$A,0))*O$97</f>
        <v>0.42507558395597</v>
      </c>
      <c r="P82" s="22" t="n">
        <f aca="false">P72+INDEX(Data_Prices!P:P,MATCH($G82,Data_Prices!$A:$A,0))*P$97</f>
        <v>0.42507558395597</v>
      </c>
      <c r="Q82" s="22" t="n">
        <f aca="false">Q72+INDEX(Data_Prices!Q:Q,MATCH($G82,Data_Prices!$A:$A,0))*Q$97</f>
        <v>0.42507558395597</v>
      </c>
      <c r="R82" s="22" t="n">
        <f aca="false">R72+INDEX(Data_Prices!R:R,MATCH($G82,Data_Prices!$A:$A,0))*R$97</f>
        <v>0.42507558395597</v>
      </c>
      <c r="S82" s="22" t="n">
        <f aca="false">S72+INDEX(Data_Prices!S:S,MATCH($G82,Data_Prices!$A:$A,0))*S$97</f>
        <v>0.42507558395597</v>
      </c>
      <c r="T82" s="22" t="n">
        <f aca="false">T72+INDEX(Data_Prices!T:T,MATCH($G82,Data_Prices!$A:$A,0))*T$97</f>
        <v>0.42507558395597</v>
      </c>
      <c r="U82" s="22" t="n">
        <f aca="false">U72+INDEX(Data_Prices!U:U,MATCH($G82,Data_Prices!$A:$A,0))*U$97</f>
        <v>0.42507558395597</v>
      </c>
      <c r="V82" s="22" t="n">
        <f aca="false">V72+INDEX(Data_Prices!V:V,MATCH($G82,Data_Prices!$A:$A,0))*V$97</f>
        <v>0.42507558395597</v>
      </c>
      <c r="W82" s="22" t="n">
        <f aca="false">W72+INDEX(Data_Prices!W:W,MATCH($G82,Data_Prices!$A:$A,0))*W$97</f>
        <v>0.42507558395597</v>
      </c>
      <c r="X82" s="22" t="n">
        <f aca="false">X72+INDEX(Data_Prices!X:X,MATCH($G82,Data_Prices!$A:$A,0))*X$97</f>
        <v>0.42507558395597</v>
      </c>
      <c r="Y82" s="22" t="n">
        <f aca="false">Y72+INDEX(Data_Prices!Y:Y,MATCH($G82,Data_Prices!$A:$A,0))*Y$97</f>
        <v>0.42507558395597</v>
      </c>
      <c r="Z82" s="22" t="n">
        <f aca="false">Z72+INDEX(Data_Prices!Z:Z,MATCH($G82,Data_Prices!$A:$A,0))*Z$97</f>
        <v>0.42507558395597</v>
      </c>
      <c r="AA82" s="22" t="n">
        <f aca="false">AA72+INDEX(Data_Prices!AA:AA,MATCH($G82,Data_Prices!$A:$A,0))*AA$97</f>
        <v>0.42507558395597</v>
      </c>
      <c r="AB82" s="22" t="n">
        <f aca="false">AB72+INDEX(Data_Prices!AB:AB,MATCH($G82,Data_Prices!$A:$A,0))*AB$97</f>
        <v>0.42507558395597</v>
      </c>
      <c r="AC82" s="22" t="n">
        <f aca="false">AC72+INDEX(Data_Prices!AC:AC,MATCH($G82,Data_Prices!$A:$A,0))*AC$97</f>
        <v>0.42507558395597</v>
      </c>
      <c r="AD82" s="22" t="n">
        <f aca="false">AD72+INDEX(Data_Prices!AD:AD,MATCH($G82,Data_Prices!$A:$A,0))*AD$97</f>
        <v>0.42507558395597</v>
      </c>
      <c r="AE82" s="22" t="n">
        <f aca="false">AE72+INDEX(Data_Prices!AE:AE,MATCH($G82,Data_Prices!$A:$A,0))*AE$97</f>
        <v>0.42507558395597</v>
      </c>
    </row>
    <row r="83" customFormat="false" ht="15" hidden="false" customHeight="false" outlineLevel="0" collapsed="false">
      <c r="B83" s="17" t="s">
        <v>68</v>
      </c>
      <c r="C83" s="17" t="str">
        <f aca="false">$C$65</f>
        <v>cem</v>
      </c>
      <c r="D83" s="18" t="s">
        <v>69</v>
      </c>
      <c r="E83" s="19" t="s">
        <v>70</v>
      </c>
      <c r="F83" s="17" t="s">
        <v>77</v>
      </c>
      <c r="G83" s="20" t="str">
        <f aca="false">Settings!$B$3&amp;".mit.nce."&amp;Settings!$B$4&amp;"."&amp;$B83&amp;".a."&amp;$J$65</f>
        <v>egy.mit.nce.ind.oop.a.1</v>
      </c>
      <c r="H83" s="21" t="str">
        <f aca="false">Settings!$B$3&amp;".mit.atp."&amp;$C$65&amp;"."&amp;$B83&amp;".e."&amp;$J$65</f>
        <v>egy.mit.atp.cem.oop.e.1</v>
      </c>
      <c r="K83" s="22" t="n">
        <f aca="false">K73+INDEX(Data_Prices!K:K,MATCH($G83,Data_Prices!$A:$A,0))*K$97</f>
        <v>41.5003384988684</v>
      </c>
      <c r="L83" s="22" t="n">
        <f aca="false">L73+INDEX(Data_Prices!L:L,MATCH($G83,Data_Prices!$A:$A,0))*L$97</f>
        <v>34.4153703043132</v>
      </c>
      <c r="M83" s="22" t="n">
        <f aca="false">M73+INDEX(Data_Prices!M:M,MATCH($G83,Data_Prices!$A:$A,0))*M$97</f>
        <v>37.368960690432</v>
      </c>
      <c r="N83" s="22" t="n">
        <f aca="false">N73+INDEX(Data_Prices!N:N,MATCH($G83,Data_Prices!$A:$A,0))*N$97</f>
        <v>28.9827611014773</v>
      </c>
      <c r="O83" s="22" t="n">
        <f aca="false">O73+INDEX(Data_Prices!O:O,MATCH($G83,Data_Prices!$A:$A,0))*O$97</f>
        <v>15</v>
      </c>
      <c r="P83" s="22" t="n">
        <f aca="false">P73+INDEX(Data_Prices!P:P,MATCH($G83,Data_Prices!$A:$A,0))*P$97</f>
        <v>24.2586300842555</v>
      </c>
      <c r="Q83" s="22" t="n">
        <f aca="false">Q73+INDEX(Data_Prices!Q:Q,MATCH($G83,Data_Prices!$A:$A,0))*Q$97</f>
        <v>15</v>
      </c>
      <c r="R83" s="22" t="n">
        <f aca="false">R73+INDEX(Data_Prices!R:R,MATCH($G83,Data_Prices!$A:$A,0))*R$97</f>
        <v>15</v>
      </c>
      <c r="S83" s="22" t="n">
        <f aca="false">S73+INDEX(Data_Prices!S:S,MATCH($G83,Data_Prices!$A:$A,0))*S$97</f>
        <v>15</v>
      </c>
      <c r="T83" s="22" t="n">
        <f aca="false">T73+INDEX(Data_Prices!T:T,MATCH($G83,Data_Prices!$A:$A,0))*T$97</f>
        <v>15</v>
      </c>
      <c r="U83" s="22" t="n">
        <f aca="false">U73+INDEX(Data_Prices!U:U,MATCH($G83,Data_Prices!$A:$A,0))*U$97</f>
        <v>15</v>
      </c>
      <c r="V83" s="22" t="n">
        <f aca="false">V73+INDEX(Data_Prices!V:V,MATCH($G83,Data_Prices!$A:$A,0))*V$97</f>
        <v>15</v>
      </c>
      <c r="W83" s="22" t="n">
        <f aca="false">W73+INDEX(Data_Prices!W:W,MATCH($G83,Data_Prices!$A:$A,0))*W$97</f>
        <v>15</v>
      </c>
      <c r="X83" s="22" t="n">
        <f aca="false">X73+INDEX(Data_Prices!X:X,MATCH($G83,Data_Prices!$A:$A,0))*X$97</f>
        <v>15</v>
      </c>
      <c r="Y83" s="22" t="n">
        <f aca="false">Y73+INDEX(Data_Prices!Y:Y,MATCH($G83,Data_Prices!$A:$A,0))*Y$97</f>
        <v>15</v>
      </c>
      <c r="Z83" s="22" t="n">
        <f aca="false">Z73+INDEX(Data_Prices!Z:Z,MATCH($G83,Data_Prices!$A:$A,0))*Z$97</f>
        <v>15</v>
      </c>
      <c r="AA83" s="22" t="n">
        <f aca="false">AA73+INDEX(Data_Prices!AA:AA,MATCH($G83,Data_Prices!$A:$A,0))*AA$97</f>
        <v>15</v>
      </c>
      <c r="AB83" s="22" t="n">
        <f aca="false">AB73+INDEX(Data_Prices!AB:AB,MATCH($G83,Data_Prices!$A:$A,0))*AB$97</f>
        <v>15</v>
      </c>
      <c r="AC83" s="22" t="n">
        <f aca="false">AC73+INDEX(Data_Prices!AC:AC,MATCH($G83,Data_Prices!$A:$A,0))*AC$97</f>
        <v>15</v>
      </c>
      <c r="AD83" s="22" t="n">
        <f aca="false">AD73+INDEX(Data_Prices!AD:AD,MATCH($G83,Data_Prices!$A:$A,0))*AD$97</f>
        <v>15</v>
      </c>
      <c r="AE83" s="22" t="n">
        <f aca="false">AE73+INDEX(Data_Prices!AE:AE,MATCH($G83,Data_Prices!$A:$A,0))*AE$97</f>
        <v>15</v>
      </c>
    </row>
    <row r="84" customFormat="false" ht="15" hidden="false" customHeight="false" outlineLevel="0" collapsed="false">
      <c r="B84" s="17" t="s">
        <v>71</v>
      </c>
      <c r="C84" s="17" t="str">
        <f aca="false">$C$65</f>
        <v>cem</v>
      </c>
      <c r="D84" s="18" t="s">
        <v>72</v>
      </c>
      <c r="E84" s="19" t="s">
        <v>55</v>
      </c>
      <c r="F84" s="17" t="s">
        <v>77</v>
      </c>
      <c r="G84" s="20" t="str">
        <f aca="false">Settings!$B$3&amp;".mit.nce."&amp;Settings!$B$4&amp;"."&amp;$B84&amp;".a."&amp;$J$65</f>
        <v>egy.mit.nce.ind.bio.a.1</v>
      </c>
      <c r="H84" s="21" t="str">
        <f aca="false">Settings!$B$3&amp;".mit.atp."&amp;$C$65&amp;"."&amp;$B84&amp;".e."&amp;$J$65</f>
        <v>egy.mit.atp.cem.bio.e.1</v>
      </c>
      <c r="K84" s="22" t="n">
        <f aca="false">K74+INDEX(Data_Prices!K:K,MATCH($G84,Data_Prices!$A:$A,0))*K$97</f>
        <v>15.3345505293169</v>
      </c>
      <c r="L84" s="22" t="n">
        <f aca="false">L74+INDEX(Data_Prices!L:L,MATCH($G84,Data_Prices!$A:$A,0))*L$97</f>
        <v>14.1995283906349</v>
      </c>
      <c r="M84" s="22" t="n">
        <f aca="false">M74+INDEX(Data_Prices!M:M,MATCH($G84,Data_Prices!$A:$A,0))*M$97</f>
        <v>13.8404416133152</v>
      </c>
      <c r="N84" s="22" t="n">
        <f aca="false">N74+INDEX(Data_Prices!N:N,MATCH($G84,Data_Prices!$A:$A,0))*N$97</f>
        <v>13.5677269404465</v>
      </c>
      <c r="O84" s="22" t="n">
        <f aca="false">O74+INDEX(Data_Prices!O:O,MATCH($G84,Data_Prices!$A:$A,0))*O$97</f>
        <v>13.5677269404465</v>
      </c>
      <c r="P84" s="22" t="n">
        <f aca="false">P74+INDEX(Data_Prices!P:P,MATCH($G84,Data_Prices!$A:$A,0))*P$97</f>
        <v>13.5677269404465</v>
      </c>
      <c r="Q84" s="22" t="n">
        <f aca="false">Q74+INDEX(Data_Prices!Q:Q,MATCH($G84,Data_Prices!$A:$A,0))*Q$97</f>
        <v>13.5677269404465</v>
      </c>
      <c r="R84" s="22" t="n">
        <f aca="false">R74+INDEX(Data_Prices!R:R,MATCH($G84,Data_Prices!$A:$A,0))*R$97</f>
        <v>13.5677269404465</v>
      </c>
      <c r="S84" s="22" t="n">
        <f aca="false">S74+INDEX(Data_Prices!S:S,MATCH($G84,Data_Prices!$A:$A,0))*S$97</f>
        <v>13.5677269404465</v>
      </c>
      <c r="T84" s="22" t="n">
        <f aca="false">T74+INDEX(Data_Prices!T:T,MATCH($G84,Data_Prices!$A:$A,0))*T$97</f>
        <v>13.5677269404465</v>
      </c>
      <c r="U84" s="22" t="n">
        <f aca="false">U74+INDEX(Data_Prices!U:U,MATCH($G84,Data_Prices!$A:$A,0))*U$97</f>
        <v>13.5677269404465</v>
      </c>
      <c r="V84" s="22" t="n">
        <f aca="false">V74+INDEX(Data_Prices!V:V,MATCH($G84,Data_Prices!$A:$A,0))*V$97</f>
        <v>13.5677269404465</v>
      </c>
      <c r="W84" s="22" t="n">
        <f aca="false">W74+INDEX(Data_Prices!W:W,MATCH($G84,Data_Prices!$A:$A,0))*W$97</f>
        <v>13.5677269404465</v>
      </c>
      <c r="X84" s="22" t="n">
        <f aca="false">X74+INDEX(Data_Prices!X:X,MATCH($G84,Data_Prices!$A:$A,0))*X$97</f>
        <v>13.5677269404465</v>
      </c>
      <c r="Y84" s="22" t="n">
        <f aca="false">Y74+INDEX(Data_Prices!Y:Y,MATCH($G84,Data_Prices!$A:$A,0))*Y$97</f>
        <v>13.5677269404465</v>
      </c>
      <c r="Z84" s="22" t="n">
        <f aca="false">Z74+INDEX(Data_Prices!Z:Z,MATCH($G84,Data_Prices!$A:$A,0))*Z$97</f>
        <v>13.5677269404465</v>
      </c>
      <c r="AA84" s="22" t="n">
        <f aca="false">AA74+INDEX(Data_Prices!AA:AA,MATCH($G84,Data_Prices!$A:$A,0))*AA$97</f>
        <v>13.5677269404465</v>
      </c>
      <c r="AB84" s="22" t="n">
        <f aca="false">AB74+INDEX(Data_Prices!AB:AB,MATCH($G84,Data_Prices!$A:$A,0))*AB$97</f>
        <v>13.5677269404465</v>
      </c>
      <c r="AC84" s="22" t="n">
        <f aca="false">AC74+INDEX(Data_Prices!AC:AC,MATCH($G84,Data_Prices!$A:$A,0))*AC$97</f>
        <v>13.5677269404465</v>
      </c>
      <c r="AD84" s="22" t="n">
        <f aca="false">AD74+INDEX(Data_Prices!AD:AD,MATCH($G84,Data_Prices!$A:$A,0))*AD$97</f>
        <v>13.5677269404465</v>
      </c>
      <c r="AE84" s="22" t="n">
        <f aca="false">AE74+INDEX(Data_Prices!AE:AE,MATCH($G84,Data_Prices!$A:$A,0))*AE$97</f>
        <v>13.5677269404465</v>
      </c>
    </row>
    <row r="85" customFormat="false" ht="15" hidden="false" customHeight="false" outlineLevel="0" collapsed="false">
      <c r="B85" s="17" t="s">
        <v>73</v>
      </c>
      <c r="C85" s="17" t="str">
        <f aca="false">$C$65</f>
        <v>cem</v>
      </c>
      <c r="D85" s="18" t="s">
        <v>74</v>
      </c>
      <c r="E85" s="19" t="s">
        <v>75</v>
      </c>
      <c r="F85" s="17" t="s">
        <v>77</v>
      </c>
      <c r="G85" s="20" t="str">
        <f aca="false">Settings!$B$3&amp;".mit.nce."&amp;Settings!$B$4&amp;"."&amp;$B85&amp;".a."&amp;$J$65</f>
        <v>egy.mit.nce.ind.ren.a.1</v>
      </c>
      <c r="H85" s="21" t="str">
        <f aca="false">Settings!$B$3&amp;".mit.atp."&amp;$C$65&amp;"."&amp;$B85&amp;".e."&amp;$J$65</f>
        <v>egy.mit.atp.cem.ren.e.1</v>
      </c>
      <c r="K85" s="22" t="n">
        <f aca="false">K75+INDEX(Data_Prices!K:K,MATCH($G85,Data_Prices!$A:$A,0))*K$97</f>
        <v>0</v>
      </c>
      <c r="L85" s="22" t="n">
        <f aca="false">L75+INDEX(Data_Prices!L:L,MATCH($G85,Data_Prices!$A:$A,0))*L$97</f>
        <v>0.144044986793198</v>
      </c>
      <c r="M85" s="22" t="n">
        <f aca="false">M75+INDEX(Data_Prices!M:M,MATCH($G85,Data_Prices!$A:$A,0))*M$97</f>
        <v>0.141020409657004</v>
      </c>
      <c r="N85" s="22" t="n">
        <f aca="false">N75+INDEX(Data_Prices!N:N,MATCH($G85,Data_Prices!$A:$A,0))*N$97</f>
        <v>0.135116359594476</v>
      </c>
      <c r="O85" s="22" t="n">
        <f aca="false">O75+INDEX(Data_Prices!O:O,MATCH($G85,Data_Prices!$A:$A,0))*O$97</f>
        <v>0.130988256985856</v>
      </c>
      <c r="P85" s="22" t="n">
        <f aca="false">P75+INDEX(Data_Prices!P:P,MATCH($G85,Data_Prices!$A:$A,0))*P$97</f>
        <v>0.127908416086318</v>
      </c>
      <c r="Q85" s="22" t="n">
        <f aca="false">Q75+INDEX(Data_Prices!Q:Q,MATCH($G85,Data_Prices!$A:$A,0))*Q$97</f>
        <v>0.124814310557813</v>
      </c>
      <c r="R85" s="22" t="n">
        <f aca="false">R75+INDEX(Data_Prices!R:R,MATCH($G85,Data_Prices!$A:$A,0))*R$97</f>
        <v>0.121460257122878</v>
      </c>
      <c r="S85" s="22" t="n">
        <f aca="false">S75+INDEX(Data_Prices!S:S,MATCH($G85,Data_Prices!$A:$A,0))*S$97</f>
        <v>0.117950744135786</v>
      </c>
      <c r="T85" s="22" t="n">
        <f aca="false">T75+INDEX(Data_Prices!T:T,MATCH($G85,Data_Prices!$A:$A,0))*T$97</f>
        <v>0.114199161044597</v>
      </c>
      <c r="U85" s="22" t="n">
        <f aca="false">U75+INDEX(Data_Prices!U:U,MATCH($G85,Data_Prices!$A:$A,0))*U$97</f>
        <v>0.113665100059665</v>
      </c>
      <c r="V85" s="22" t="n">
        <f aca="false">V75+INDEX(Data_Prices!V:V,MATCH($G85,Data_Prices!$A:$A,0))*V$97</f>
        <v>0.113016929625957</v>
      </c>
      <c r="W85" s="22" t="n">
        <f aca="false">W75+INDEX(Data_Prices!W:W,MATCH($G85,Data_Prices!$A:$A,0))*W$97</f>
        <v>0.112314070507636</v>
      </c>
      <c r="X85" s="22" t="n">
        <f aca="false">X75+INDEX(Data_Prices!X:X,MATCH($G85,Data_Prices!$A:$A,0))*X$97</f>
        <v>0.111422042732843</v>
      </c>
      <c r="Y85" s="22" t="n">
        <f aca="false">Y75+INDEX(Data_Prices!Y:Y,MATCH($G85,Data_Prices!$A:$A,0))*Y$97</f>
        <v>0.110434123675809</v>
      </c>
      <c r="Z85" s="22" t="n">
        <f aca="false">Z75+INDEX(Data_Prices!Z:Z,MATCH($G85,Data_Prices!$A:$A,0))*Z$97</f>
        <v>0.109483973304471</v>
      </c>
      <c r="AA85" s="22" t="n">
        <f aca="false">AA75+INDEX(Data_Prices!AA:AA,MATCH($G85,Data_Prices!$A:$A,0))*AA$97</f>
        <v>0.10839192105294</v>
      </c>
      <c r="AB85" s="22" t="n">
        <f aca="false">AB75+INDEX(Data_Prices!AB:AB,MATCH($G85,Data_Prices!$A:$A,0))*AB$97</f>
        <v>0.107354433626704</v>
      </c>
      <c r="AC85" s="22" t="n">
        <f aca="false">AC75+INDEX(Data_Prices!AC:AC,MATCH($G85,Data_Prices!$A:$A,0))*AC$97</f>
        <v>0.105168675441661</v>
      </c>
      <c r="AD85" s="22" t="n">
        <f aca="false">AD75+INDEX(Data_Prices!AD:AD,MATCH($G85,Data_Prices!$A:$A,0))*AD$97</f>
        <v>0.103057983256008</v>
      </c>
      <c r="AE85" s="22" t="n">
        <f aca="false">AE75+INDEX(Data_Prices!AE:AE,MATCH($G85,Data_Prices!$A:$A,0))*AE$97</f>
        <v>0.100931838990114</v>
      </c>
    </row>
    <row r="86" customFormat="false" ht="15" hidden="false" customHeight="false" outlineLevel="0" collapsed="false">
      <c r="B86" s="16" t="s">
        <v>78</v>
      </c>
    </row>
    <row r="87" customFormat="false" ht="15" hidden="false" customHeight="false" outlineLevel="0" collapsed="false">
      <c r="B87" s="17" t="s">
        <v>53</v>
      </c>
      <c r="C87" s="17" t="str">
        <f aca="false">$C$65</f>
        <v>cem</v>
      </c>
      <c r="D87" s="18" t="s">
        <v>54</v>
      </c>
      <c r="E87" s="19" t="s">
        <v>55</v>
      </c>
      <c r="F87" s="17" t="s">
        <v>79</v>
      </c>
      <c r="G87" s="20" t="str">
        <f aca="false">Settings!$B$3&amp;".mit.shp."&amp;$B87&amp;"."&amp;Settings!$B$4&amp;"."&amp;$J$65</f>
        <v>egy.mit.shp.coa.ind.1</v>
      </c>
      <c r="H87" s="21" t="str">
        <f aca="false">Settings!$B$3&amp;".mit.shp."&amp;$C$65&amp;"."&amp;$B87&amp;".e."&amp;$J$65</f>
        <v>egy.mit.shp.cem.coa.e.1</v>
      </c>
      <c r="K87" s="23" t="n">
        <f aca="false">K77+INDEX(Data_Prices!K:K,MATCH($G87,Data_Prices!$A:$A,0))*K$98</f>
        <v>11.1829015892439</v>
      </c>
      <c r="L87" s="23" t="n">
        <f aca="false">L77+INDEX(Data_Prices!L:L,MATCH($G87,Data_Prices!$A:$A,0))*L$98</f>
        <v>10.5233613454312</v>
      </c>
      <c r="M87" s="23" t="n">
        <f aca="false">M77+INDEX(Data_Prices!M:M,MATCH($G87,Data_Prices!$A:$A,0))*M$98</f>
        <v>10.2995608274442</v>
      </c>
      <c r="N87" s="23" t="n">
        <f aca="false">N77+INDEX(Data_Prices!N:N,MATCH($G87,Data_Prices!$A:$A,0))*N$98</f>
        <v>9.57752835953826</v>
      </c>
      <c r="O87" s="23" t="n">
        <f aca="false">O77+INDEX(Data_Prices!O:O,MATCH($G87,Data_Prices!$A:$A,0))*O$98</f>
        <v>8.48547828695805</v>
      </c>
      <c r="P87" s="23" t="n">
        <f aca="false">P77+INDEX(Data_Prices!P:P,MATCH($G87,Data_Prices!$A:$A,0))*P$98</f>
        <v>9.08719223524986</v>
      </c>
      <c r="Q87" s="23" t="n">
        <f aca="false">Q77+INDEX(Data_Prices!Q:Q,MATCH($G87,Data_Prices!$A:$A,0))*Q$98</f>
        <v>9.22292372893268</v>
      </c>
      <c r="R87" s="23" t="n">
        <f aca="false">R77+INDEX(Data_Prices!R:R,MATCH($G87,Data_Prices!$A:$A,0))*R$98</f>
        <v>9.15856495550969</v>
      </c>
      <c r="S87" s="23" t="n">
        <f aca="false">S77+INDEX(Data_Prices!S:S,MATCH($G87,Data_Prices!$A:$A,0))*S$98</f>
        <v>9.08954787739738</v>
      </c>
      <c r="T87" s="23" t="n">
        <f aca="false">T77+INDEX(Data_Prices!T:T,MATCH($G87,Data_Prices!$A:$A,0))*T$98</f>
        <v>9.01568166602283</v>
      </c>
      <c r="U87" s="23" t="n">
        <f aca="false">U77+INDEX(Data_Prices!U:U,MATCH($G87,Data_Prices!$A:$A,0))*U$98</f>
        <v>8.94439776555711</v>
      </c>
      <c r="V87" s="23" t="n">
        <f aca="false">V77+INDEX(Data_Prices!V:V,MATCH($G87,Data_Prices!$A:$A,0))*V$98</f>
        <v>8.94439776555711</v>
      </c>
      <c r="W87" s="23" t="n">
        <f aca="false">W77+INDEX(Data_Prices!W:W,MATCH($G87,Data_Prices!$A:$A,0))*W$98</f>
        <v>8.94439776555711</v>
      </c>
      <c r="X87" s="23" t="n">
        <f aca="false">X77+INDEX(Data_Prices!X:X,MATCH($G87,Data_Prices!$A:$A,0))*X$98</f>
        <v>8.94439776555711</v>
      </c>
      <c r="Y87" s="23" t="n">
        <f aca="false">Y77+INDEX(Data_Prices!Y:Y,MATCH($G87,Data_Prices!$A:$A,0))*Y$98</f>
        <v>8.94439776555711</v>
      </c>
      <c r="Z87" s="23" t="n">
        <f aca="false">Z77+INDEX(Data_Prices!Z:Z,MATCH($G87,Data_Prices!$A:$A,0))*Z$98</f>
        <v>8.94439776555711</v>
      </c>
      <c r="AA87" s="23" t="n">
        <f aca="false">AA77+INDEX(Data_Prices!AA:AA,MATCH($G87,Data_Prices!$A:$A,0))*AA$98</f>
        <v>8.94439776555711</v>
      </c>
      <c r="AB87" s="23" t="n">
        <f aca="false">AB77+INDEX(Data_Prices!AB:AB,MATCH($G87,Data_Prices!$A:$A,0))*AB$98</f>
        <v>8.94439776555711</v>
      </c>
      <c r="AC87" s="23" t="n">
        <f aca="false">AC77+INDEX(Data_Prices!AC:AC,MATCH($G87,Data_Prices!$A:$A,0))*AC$98</f>
        <v>8.94439776555711</v>
      </c>
      <c r="AD87" s="23" t="n">
        <f aca="false">AD77+INDEX(Data_Prices!AD:AD,MATCH($G87,Data_Prices!$A:$A,0))*AD$98</f>
        <v>8.94439776555711</v>
      </c>
      <c r="AE87" s="23" t="n">
        <f aca="false">AE77+INDEX(Data_Prices!AE:AE,MATCH($G87,Data_Prices!$A:$A,0))*AE$98</f>
        <v>8.94439776555711</v>
      </c>
    </row>
    <row r="88" customFormat="false" ht="15" hidden="false" customHeight="false" outlineLevel="0" collapsed="false">
      <c r="B88" s="17" t="s">
        <v>57</v>
      </c>
      <c r="C88" s="17" t="str">
        <f aca="false">$C$65</f>
        <v>cem</v>
      </c>
      <c r="D88" s="18" t="s">
        <v>58</v>
      </c>
      <c r="E88" s="19" t="s">
        <v>55</v>
      </c>
      <c r="F88" s="17" t="s">
        <v>79</v>
      </c>
      <c r="G88" s="20" t="str">
        <f aca="false">Settings!$B$3&amp;".mit.shp."&amp;$B88&amp;"."&amp;Settings!$B$4&amp;"."&amp;$J$65</f>
        <v>egy.mit.shp.nga.ind.1</v>
      </c>
      <c r="H88" s="21" t="str">
        <f aca="false">Settings!$B$3&amp;".mit.shp."&amp;$C$65&amp;"."&amp;$B88&amp;".e."&amp;$J$65</f>
        <v>egy.mit.shp.cem.nga.e.1</v>
      </c>
      <c r="K88" s="23" t="n">
        <f aca="false">K78+INDEX(Data_Prices!K:K,MATCH($G88,Data_Prices!$A:$A,0))*K$98</f>
        <v>6.06346361567291</v>
      </c>
      <c r="L88" s="23" t="n">
        <f aca="false">L78+INDEX(Data_Prices!L:L,MATCH($G88,Data_Prices!$A:$A,0))*L$98</f>
        <v>5.45101508161919</v>
      </c>
      <c r="M88" s="23" t="n">
        <f aca="false">M78+INDEX(Data_Prices!M:M,MATCH($G88,Data_Prices!$A:$A,0))*M$98</f>
        <v>5.11935630626248</v>
      </c>
      <c r="N88" s="23" t="n">
        <f aca="false">N78+INDEX(Data_Prices!N:N,MATCH($G88,Data_Prices!$A:$A,0))*N$98</f>
        <v>5.08218458640407</v>
      </c>
      <c r="O88" s="23" t="n">
        <f aca="false">O78+INDEX(Data_Prices!O:O,MATCH($G88,Data_Prices!$A:$A,0))*O$98</f>
        <v>5.08218458640407</v>
      </c>
      <c r="P88" s="23" t="n">
        <f aca="false">P78+INDEX(Data_Prices!P:P,MATCH($G88,Data_Prices!$A:$A,0))*P$98</f>
        <v>5.08218458640407</v>
      </c>
      <c r="Q88" s="23" t="n">
        <f aca="false">Q78+INDEX(Data_Prices!Q:Q,MATCH($G88,Data_Prices!$A:$A,0))*Q$98</f>
        <v>5.08218458640407</v>
      </c>
      <c r="R88" s="23" t="n">
        <f aca="false">R78+INDEX(Data_Prices!R:R,MATCH($G88,Data_Prices!$A:$A,0))*R$98</f>
        <v>5.08218458640407</v>
      </c>
      <c r="S88" s="23" t="n">
        <f aca="false">S78+INDEX(Data_Prices!S:S,MATCH($G88,Data_Prices!$A:$A,0))*S$98</f>
        <v>5.08218458640407</v>
      </c>
      <c r="T88" s="23" t="n">
        <f aca="false">T78+INDEX(Data_Prices!T:T,MATCH($G88,Data_Prices!$A:$A,0))*T$98</f>
        <v>5.08218458640407</v>
      </c>
      <c r="U88" s="23" t="n">
        <f aca="false">U78+INDEX(Data_Prices!U:U,MATCH($G88,Data_Prices!$A:$A,0))*U$98</f>
        <v>5.08218458640407</v>
      </c>
      <c r="V88" s="23" t="n">
        <f aca="false">V78+INDEX(Data_Prices!V:V,MATCH($G88,Data_Prices!$A:$A,0))*V$98</f>
        <v>5.08218458640407</v>
      </c>
      <c r="W88" s="23" t="n">
        <f aca="false">W78+INDEX(Data_Prices!W:W,MATCH($G88,Data_Prices!$A:$A,0))*W$98</f>
        <v>5.08218458640407</v>
      </c>
      <c r="X88" s="23" t="n">
        <f aca="false">X78+INDEX(Data_Prices!X:X,MATCH($G88,Data_Prices!$A:$A,0))*X$98</f>
        <v>5.08218458640407</v>
      </c>
      <c r="Y88" s="23" t="n">
        <f aca="false">Y78+INDEX(Data_Prices!Y:Y,MATCH($G88,Data_Prices!$A:$A,0))*Y$98</f>
        <v>5.08218458640407</v>
      </c>
      <c r="Z88" s="23" t="n">
        <f aca="false">Z78+INDEX(Data_Prices!Z:Z,MATCH($G88,Data_Prices!$A:$A,0))*Z$98</f>
        <v>5.08218458640407</v>
      </c>
      <c r="AA88" s="23" t="n">
        <f aca="false">AA78+INDEX(Data_Prices!AA:AA,MATCH($G88,Data_Prices!$A:$A,0))*AA$98</f>
        <v>5.08218458640407</v>
      </c>
      <c r="AB88" s="23" t="n">
        <f aca="false">AB78+INDEX(Data_Prices!AB:AB,MATCH($G88,Data_Prices!$A:$A,0))*AB$98</f>
        <v>5.08218458640407</v>
      </c>
      <c r="AC88" s="23" t="n">
        <f aca="false">AC78+INDEX(Data_Prices!AC:AC,MATCH($G88,Data_Prices!$A:$A,0))*AC$98</f>
        <v>5.08218458640407</v>
      </c>
      <c r="AD88" s="23" t="n">
        <f aca="false">AD78+INDEX(Data_Prices!AD:AD,MATCH($G88,Data_Prices!$A:$A,0))*AD$98</f>
        <v>5.08218458640407</v>
      </c>
      <c r="AE88" s="23" t="n">
        <f aca="false">AE78+INDEX(Data_Prices!AE:AE,MATCH($G88,Data_Prices!$A:$A,0))*AE$98</f>
        <v>5.08218458640407</v>
      </c>
    </row>
    <row r="89" customFormat="false" ht="15" hidden="false" customHeight="false" outlineLevel="0" collapsed="false">
      <c r="B89" s="17" t="s">
        <v>59</v>
      </c>
      <c r="C89" s="17" t="str">
        <f aca="false">$C$65</f>
        <v>cem</v>
      </c>
      <c r="D89" s="18" t="s">
        <v>60</v>
      </c>
      <c r="E89" s="19" t="s">
        <v>61</v>
      </c>
      <c r="F89" s="17" t="s">
        <v>79</v>
      </c>
      <c r="G89" s="20" t="str">
        <f aca="false">Settings!$B$3&amp;".mit.shp."&amp;$B89&amp;"."&amp;Settings!$B$4&amp;"."&amp;$J$65</f>
        <v>egy.mit.shp.gso.ind.1</v>
      </c>
      <c r="H89" s="21" t="str">
        <f aca="false">Settings!$B$3&amp;".mit.shp."&amp;$C$65&amp;"."&amp;$B89&amp;".e."&amp;$J$65</f>
        <v>egy.mit.shp.cem.gso.e.1</v>
      </c>
      <c r="K89" s="23" t="n">
        <f aca="false">K79+INDEX(Data_Prices!K:K,MATCH($G89,Data_Prices!$A:$A,0))*K$98</f>
        <v>0.671146533321816</v>
      </c>
      <c r="L89" s="23" t="n">
        <f aca="false">L79+INDEX(Data_Prices!L:L,MATCH($G89,Data_Prices!$A:$A,0))*L$98</f>
        <v>0.611977976791406</v>
      </c>
      <c r="M89" s="23" t="n">
        <f aca="false">M79+INDEX(Data_Prices!M:M,MATCH($G89,Data_Prices!$A:$A,0))*M$98</f>
        <v>0.611809749641876</v>
      </c>
      <c r="N89" s="23" t="n">
        <f aca="false">N79+INDEX(Data_Prices!N:N,MATCH($G89,Data_Prices!$A:$A,0))*N$98</f>
        <v>0.603583100177906</v>
      </c>
      <c r="O89" s="23" t="n">
        <f aca="false">O79+INDEX(Data_Prices!O:O,MATCH($G89,Data_Prices!$A:$A,0))*O$98</f>
        <v>0.603583100177906</v>
      </c>
      <c r="P89" s="23" t="n">
        <f aca="false">P79+INDEX(Data_Prices!P:P,MATCH($G89,Data_Prices!$A:$A,0))*P$98</f>
        <v>0.603583100177906</v>
      </c>
      <c r="Q89" s="23" t="n">
        <f aca="false">Q79+INDEX(Data_Prices!Q:Q,MATCH($G89,Data_Prices!$A:$A,0))*Q$98</f>
        <v>0.603583100177906</v>
      </c>
      <c r="R89" s="23" t="n">
        <f aca="false">R79+INDEX(Data_Prices!R:R,MATCH($G89,Data_Prices!$A:$A,0))*R$98</f>
        <v>0.603583100177906</v>
      </c>
      <c r="S89" s="23" t="n">
        <f aca="false">S79+INDEX(Data_Prices!S:S,MATCH($G89,Data_Prices!$A:$A,0))*S$98</f>
        <v>0.603583100177906</v>
      </c>
      <c r="T89" s="23" t="n">
        <f aca="false">T79+INDEX(Data_Prices!T:T,MATCH($G89,Data_Prices!$A:$A,0))*T$98</f>
        <v>0.603583100177906</v>
      </c>
      <c r="U89" s="23" t="n">
        <f aca="false">U79+INDEX(Data_Prices!U:U,MATCH($G89,Data_Prices!$A:$A,0))*U$98</f>
        <v>0.603583100177906</v>
      </c>
      <c r="V89" s="23" t="n">
        <f aca="false">V79+INDEX(Data_Prices!V:V,MATCH($G89,Data_Prices!$A:$A,0))*V$98</f>
        <v>0.603583100177906</v>
      </c>
      <c r="W89" s="23" t="n">
        <f aca="false">W79+INDEX(Data_Prices!W:W,MATCH($G89,Data_Prices!$A:$A,0))*W$98</f>
        <v>0.603583100177906</v>
      </c>
      <c r="X89" s="23" t="n">
        <f aca="false">X79+INDEX(Data_Prices!X:X,MATCH($G89,Data_Prices!$A:$A,0))*X$98</f>
        <v>0.603583100177906</v>
      </c>
      <c r="Y89" s="23" t="n">
        <f aca="false">Y79+INDEX(Data_Prices!Y:Y,MATCH($G89,Data_Prices!$A:$A,0))*Y$98</f>
        <v>0.603583100177906</v>
      </c>
      <c r="Z89" s="23" t="n">
        <f aca="false">Z79+INDEX(Data_Prices!Z:Z,MATCH($G89,Data_Prices!$A:$A,0))*Z$98</f>
        <v>0.603583100177906</v>
      </c>
      <c r="AA89" s="23" t="n">
        <f aca="false">AA79+INDEX(Data_Prices!AA:AA,MATCH($G89,Data_Prices!$A:$A,0))*AA$98</f>
        <v>0.603583100177906</v>
      </c>
      <c r="AB89" s="23" t="n">
        <f aca="false">AB79+INDEX(Data_Prices!AB:AB,MATCH($G89,Data_Prices!$A:$A,0))*AB$98</f>
        <v>0.603583100177906</v>
      </c>
      <c r="AC89" s="23" t="n">
        <f aca="false">AC79+INDEX(Data_Prices!AC:AC,MATCH($G89,Data_Prices!$A:$A,0))*AC$98</f>
        <v>0.603583100177906</v>
      </c>
      <c r="AD89" s="23" t="n">
        <f aca="false">AD79+INDEX(Data_Prices!AD:AD,MATCH($G89,Data_Prices!$A:$A,0))*AD$98</f>
        <v>0.603583100177906</v>
      </c>
      <c r="AE89" s="23" t="n">
        <f aca="false">AE79+INDEX(Data_Prices!AE:AE,MATCH($G89,Data_Prices!$A:$A,0))*AE$98</f>
        <v>0.603583100177906</v>
      </c>
    </row>
    <row r="90" customFormat="false" ht="15" hidden="false" customHeight="false" outlineLevel="0" collapsed="false">
      <c r="B90" s="17" t="s">
        <v>62</v>
      </c>
      <c r="C90" s="17" t="str">
        <f aca="false">$C$65</f>
        <v>cem</v>
      </c>
      <c r="D90" s="18" t="s">
        <v>63</v>
      </c>
      <c r="E90" s="19" t="s">
        <v>61</v>
      </c>
      <c r="F90" s="17" t="s">
        <v>79</v>
      </c>
      <c r="G90" s="20" t="str">
        <f aca="false">Settings!$B$3&amp;".mit.shp."&amp;$B90&amp;"."&amp;Settings!$B$4&amp;"."&amp;$J$65</f>
        <v>egy.mit.shp.die.ind.1</v>
      </c>
      <c r="H90" s="21" t="str">
        <f aca="false">Settings!$B$3&amp;".mit.shp."&amp;$C$65&amp;"."&amp;$B90&amp;".e."&amp;$J$65</f>
        <v>egy.mit.shp.cem.die.e.1</v>
      </c>
      <c r="K90" s="23" t="n">
        <f aca="false">K80+INDEX(Data_Prices!K:K,MATCH($G90,Data_Prices!$A:$A,0))*K$98</f>
        <v>0.559711213155688</v>
      </c>
      <c r="L90" s="23" t="n">
        <f aca="false">L80+INDEX(Data_Prices!L:L,MATCH($G90,Data_Prices!$A:$A,0))*L$98</f>
        <v>0.494588730841068</v>
      </c>
      <c r="M90" s="23" t="n">
        <f aca="false">M80+INDEX(Data_Prices!M:M,MATCH($G90,Data_Prices!$A:$A,0))*M$98</f>
        <v>0.507786547202501</v>
      </c>
      <c r="N90" s="23" t="n">
        <f aca="false">N80+INDEX(Data_Prices!N:N,MATCH($G90,Data_Prices!$A:$A,0))*N$98</f>
        <v>0.470436426795617</v>
      </c>
      <c r="O90" s="23" t="n">
        <f aca="false">O80+INDEX(Data_Prices!O:O,MATCH($G90,Data_Prices!$A:$A,0))*O$98</f>
        <v>0.470436426795617</v>
      </c>
      <c r="P90" s="23" t="n">
        <f aca="false">P80+INDEX(Data_Prices!P:P,MATCH($G90,Data_Prices!$A:$A,0))*P$98</f>
        <v>0.470436426795617</v>
      </c>
      <c r="Q90" s="23" t="n">
        <f aca="false">Q80+INDEX(Data_Prices!Q:Q,MATCH($G90,Data_Prices!$A:$A,0))*Q$98</f>
        <v>0.470436426795617</v>
      </c>
      <c r="R90" s="23" t="n">
        <f aca="false">R80+INDEX(Data_Prices!R:R,MATCH($G90,Data_Prices!$A:$A,0))*R$98</f>
        <v>0.470436426795617</v>
      </c>
      <c r="S90" s="23" t="n">
        <f aca="false">S80+INDEX(Data_Prices!S:S,MATCH($G90,Data_Prices!$A:$A,0))*S$98</f>
        <v>0.470436426795617</v>
      </c>
      <c r="T90" s="23" t="n">
        <f aca="false">T80+INDEX(Data_Prices!T:T,MATCH($G90,Data_Prices!$A:$A,0))*T$98</f>
        <v>0.470436426795617</v>
      </c>
      <c r="U90" s="23" t="n">
        <f aca="false">U80+INDEX(Data_Prices!U:U,MATCH($G90,Data_Prices!$A:$A,0))*U$98</f>
        <v>0.470436426795617</v>
      </c>
      <c r="V90" s="23" t="n">
        <f aca="false">V80+INDEX(Data_Prices!V:V,MATCH($G90,Data_Prices!$A:$A,0))*V$98</f>
        <v>0.470436426795617</v>
      </c>
      <c r="W90" s="23" t="n">
        <f aca="false">W80+INDEX(Data_Prices!W:W,MATCH($G90,Data_Prices!$A:$A,0))*W$98</f>
        <v>0.470436426795617</v>
      </c>
      <c r="X90" s="23" t="n">
        <f aca="false">X80+INDEX(Data_Prices!X:X,MATCH($G90,Data_Prices!$A:$A,0))*X$98</f>
        <v>0.470436426795617</v>
      </c>
      <c r="Y90" s="23" t="n">
        <f aca="false">Y80+INDEX(Data_Prices!Y:Y,MATCH($G90,Data_Prices!$A:$A,0))*Y$98</f>
        <v>0.470436426795617</v>
      </c>
      <c r="Z90" s="23" t="n">
        <f aca="false">Z80+INDEX(Data_Prices!Z:Z,MATCH($G90,Data_Prices!$A:$A,0))*Z$98</f>
        <v>0.470436426795617</v>
      </c>
      <c r="AA90" s="23" t="n">
        <f aca="false">AA80+INDEX(Data_Prices!AA:AA,MATCH($G90,Data_Prices!$A:$A,0))*AA$98</f>
        <v>0.470436426795617</v>
      </c>
      <c r="AB90" s="23" t="n">
        <f aca="false">AB80+INDEX(Data_Prices!AB:AB,MATCH($G90,Data_Prices!$A:$A,0))*AB$98</f>
        <v>0.470436426795617</v>
      </c>
      <c r="AC90" s="23" t="n">
        <f aca="false">AC80+INDEX(Data_Prices!AC:AC,MATCH($G90,Data_Prices!$A:$A,0))*AC$98</f>
        <v>0.470436426795617</v>
      </c>
      <c r="AD90" s="23" t="n">
        <f aca="false">AD80+INDEX(Data_Prices!AD:AD,MATCH($G90,Data_Prices!$A:$A,0))*AD$98</f>
        <v>0.470436426795617</v>
      </c>
      <c r="AE90" s="23" t="n">
        <f aca="false">AE80+INDEX(Data_Prices!AE:AE,MATCH($G90,Data_Prices!$A:$A,0))*AE$98</f>
        <v>0.470436426795617</v>
      </c>
    </row>
    <row r="91" customFormat="false" ht="15" hidden="false" customHeight="false" outlineLevel="0" collapsed="false">
      <c r="B91" s="17" t="s">
        <v>64</v>
      </c>
      <c r="C91" s="17" t="str">
        <f aca="false">$C$65</f>
        <v>cem</v>
      </c>
      <c r="D91" s="18" t="s">
        <v>65</v>
      </c>
      <c r="E91" s="19" t="s">
        <v>61</v>
      </c>
      <c r="F91" s="17" t="s">
        <v>79</v>
      </c>
      <c r="G91" s="20" t="str">
        <f aca="false">Settings!$B$3&amp;".mit.shp."&amp;$B91&amp;"."&amp;Settings!$B$4&amp;"."&amp;$J$65</f>
        <v>egy.mit.shp.lpg.ind.1</v>
      </c>
      <c r="H91" s="21" t="str">
        <f aca="false">Settings!$B$3&amp;".mit.shp."&amp;$C$65&amp;"."&amp;$B91&amp;".e."&amp;$J$65</f>
        <v>egy.mit.shp.cem.lpg.e.1</v>
      </c>
      <c r="K91" s="23" t="n">
        <f aca="false">K81+INDEX(Data_Prices!K:K,MATCH($G91,Data_Prices!$A:$A,0))*K$98</f>
        <v>0.200366691126738</v>
      </c>
      <c r="L91" s="23" t="n">
        <f aca="false">L81+INDEX(Data_Prices!L:L,MATCH($G91,Data_Prices!$A:$A,0))*L$98</f>
        <v>0.157344736252274</v>
      </c>
      <c r="M91" s="23" t="n">
        <f aca="false">M81+INDEX(Data_Prices!M:M,MATCH($G91,Data_Prices!$A:$A,0))*M$98</f>
        <v>0.164484037759277</v>
      </c>
      <c r="N91" s="23" t="n">
        <f aca="false">N81+INDEX(Data_Prices!N:N,MATCH($G91,Data_Prices!$A:$A,0))*N$98</f>
        <v>0.150709077807049</v>
      </c>
      <c r="O91" s="23" t="n">
        <f aca="false">O81+INDEX(Data_Prices!O:O,MATCH($G91,Data_Prices!$A:$A,0))*O$98</f>
        <v>0.150709077807049</v>
      </c>
      <c r="P91" s="23" t="n">
        <f aca="false">P81+INDEX(Data_Prices!P:P,MATCH($G91,Data_Prices!$A:$A,0))*P$98</f>
        <v>0.150709077807049</v>
      </c>
      <c r="Q91" s="23" t="n">
        <f aca="false">Q81+INDEX(Data_Prices!Q:Q,MATCH($G91,Data_Prices!$A:$A,0))*Q$98</f>
        <v>0.150709077807049</v>
      </c>
      <c r="R91" s="23" t="n">
        <f aca="false">R81+INDEX(Data_Prices!R:R,MATCH($G91,Data_Prices!$A:$A,0))*R$98</f>
        <v>0.150709077807049</v>
      </c>
      <c r="S91" s="23" t="n">
        <f aca="false">S81+INDEX(Data_Prices!S:S,MATCH($G91,Data_Prices!$A:$A,0))*S$98</f>
        <v>0.150709077807049</v>
      </c>
      <c r="T91" s="23" t="n">
        <f aca="false">T81+INDEX(Data_Prices!T:T,MATCH($G91,Data_Prices!$A:$A,0))*T$98</f>
        <v>0.150709077807049</v>
      </c>
      <c r="U91" s="23" t="n">
        <f aca="false">U81+INDEX(Data_Prices!U:U,MATCH($G91,Data_Prices!$A:$A,0))*U$98</f>
        <v>0.150709077807049</v>
      </c>
      <c r="V91" s="23" t="n">
        <f aca="false">V81+INDEX(Data_Prices!V:V,MATCH($G91,Data_Prices!$A:$A,0))*V$98</f>
        <v>0.150709077807049</v>
      </c>
      <c r="W91" s="23" t="n">
        <f aca="false">W81+INDEX(Data_Prices!W:W,MATCH($G91,Data_Prices!$A:$A,0))*W$98</f>
        <v>0.150709077807049</v>
      </c>
      <c r="X91" s="23" t="n">
        <f aca="false">X81+INDEX(Data_Prices!X:X,MATCH($G91,Data_Prices!$A:$A,0))*X$98</f>
        <v>0.150709077807049</v>
      </c>
      <c r="Y91" s="23" t="n">
        <f aca="false">Y81+INDEX(Data_Prices!Y:Y,MATCH($G91,Data_Prices!$A:$A,0))*Y$98</f>
        <v>0.150709077807049</v>
      </c>
      <c r="Z91" s="23" t="n">
        <f aca="false">Z81+INDEX(Data_Prices!Z:Z,MATCH($G91,Data_Prices!$A:$A,0))*Z$98</f>
        <v>0.150709077807049</v>
      </c>
      <c r="AA91" s="23" t="n">
        <f aca="false">AA81+INDEX(Data_Prices!AA:AA,MATCH($G91,Data_Prices!$A:$A,0))*AA$98</f>
        <v>0.150709077807049</v>
      </c>
      <c r="AB91" s="23" t="n">
        <f aca="false">AB81+INDEX(Data_Prices!AB:AB,MATCH($G91,Data_Prices!$A:$A,0))*AB$98</f>
        <v>0.150709077807049</v>
      </c>
      <c r="AC91" s="23" t="n">
        <f aca="false">AC81+INDEX(Data_Prices!AC:AC,MATCH($G91,Data_Prices!$A:$A,0))*AC$98</f>
        <v>0.150709077807049</v>
      </c>
      <c r="AD91" s="23" t="n">
        <f aca="false">AD81+INDEX(Data_Prices!AD:AD,MATCH($G91,Data_Prices!$A:$A,0))*AD$98</f>
        <v>0.150709077807049</v>
      </c>
      <c r="AE91" s="23" t="n">
        <f aca="false">AE81+INDEX(Data_Prices!AE:AE,MATCH($G91,Data_Prices!$A:$A,0))*AE$98</f>
        <v>0.150709077807049</v>
      </c>
    </row>
    <row r="92" customFormat="false" ht="15" hidden="false" customHeight="false" outlineLevel="0" collapsed="false">
      <c r="B92" s="17" t="s">
        <v>66</v>
      </c>
      <c r="C92" s="17" t="str">
        <f aca="false">$C$65</f>
        <v>cem</v>
      </c>
      <c r="D92" s="18" t="s">
        <v>67</v>
      </c>
      <c r="E92" s="19" t="s">
        <v>61</v>
      </c>
      <c r="F92" s="17" t="s">
        <v>79</v>
      </c>
      <c r="G92" s="20" t="str">
        <f aca="false">Settings!$B$3&amp;".mit.shp."&amp;$B92&amp;"."&amp;Settings!$B$4&amp;"."&amp;$J$65</f>
        <v>egy.mit.shp.ker.ind.1</v>
      </c>
      <c r="H92" s="21" t="str">
        <f aca="false">Settings!$B$3&amp;".mit.shp."&amp;$C$65&amp;"."&amp;$B92&amp;".e."&amp;$J$65</f>
        <v>egy.mit.shp.cem.ker.e.1</v>
      </c>
      <c r="K92" s="23" t="n">
        <f aca="false">K82+INDEX(Data_Prices!K:K,MATCH($G92,Data_Prices!$A:$A,0))*K$98</f>
        <v>0.484294240973435</v>
      </c>
      <c r="L92" s="23" t="n">
        <f aca="false">L82+INDEX(Data_Prices!L:L,MATCH($G92,Data_Prices!$A:$A,0))*L$98</f>
        <v>0.456428170500128</v>
      </c>
      <c r="M92" s="23" t="n">
        <f aca="false">M82+INDEX(Data_Prices!M:M,MATCH($G92,Data_Prices!$A:$A,0))*M$98</f>
        <v>0.431689201955995</v>
      </c>
      <c r="N92" s="23" t="n">
        <f aca="false">N82+INDEX(Data_Prices!N:N,MATCH($G92,Data_Prices!$A:$A,0))*N$98</f>
        <v>0.42507558395597</v>
      </c>
      <c r="O92" s="23" t="n">
        <f aca="false">O82+INDEX(Data_Prices!O:O,MATCH($G92,Data_Prices!$A:$A,0))*O$98</f>
        <v>0.42507558395597</v>
      </c>
      <c r="P92" s="23" t="n">
        <f aca="false">P82+INDEX(Data_Prices!P:P,MATCH($G92,Data_Prices!$A:$A,0))*P$98</f>
        <v>0.42507558395597</v>
      </c>
      <c r="Q92" s="23" t="n">
        <f aca="false">Q82+INDEX(Data_Prices!Q:Q,MATCH($G92,Data_Prices!$A:$A,0))*Q$98</f>
        <v>0.42507558395597</v>
      </c>
      <c r="R92" s="23" t="n">
        <f aca="false">R82+INDEX(Data_Prices!R:R,MATCH($G92,Data_Prices!$A:$A,0))*R$98</f>
        <v>0.42507558395597</v>
      </c>
      <c r="S92" s="23" t="n">
        <f aca="false">S82+INDEX(Data_Prices!S:S,MATCH($G92,Data_Prices!$A:$A,0))*S$98</f>
        <v>0.42507558395597</v>
      </c>
      <c r="T92" s="23" t="n">
        <f aca="false">T82+INDEX(Data_Prices!T:T,MATCH($G92,Data_Prices!$A:$A,0))*T$98</f>
        <v>0.42507558395597</v>
      </c>
      <c r="U92" s="23" t="n">
        <f aca="false">U82+INDEX(Data_Prices!U:U,MATCH($G92,Data_Prices!$A:$A,0))*U$98</f>
        <v>0.42507558395597</v>
      </c>
      <c r="V92" s="23" t="n">
        <f aca="false">V82+INDEX(Data_Prices!V:V,MATCH($G92,Data_Prices!$A:$A,0))*V$98</f>
        <v>0.42507558395597</v>
      </c>
      <c r="W92" s="23" t="n">
        <f aca="false">W82+INDEX(Data_Prices!W:W,MATCH($G92,Data_Prices!$A:$A,0))*W$98</f>
        <v>0.42507558395597</v>
      </c>
      <c r="X92" s="23" t="n">
        <f aca="false">X82+INDEX(Data_Prices!X:X,MATCH($G92,Data_Prices!$A:$A,0))*X$98</f>
        <v>0.42507558395597</v>
      </c>
      <c r="Y92" s="23" t="n">
        <f aca="false">Y82+INDEX(Data_Prices!Y:Y,MATCH($G92,Data_Prices!$A:$A,0))*Y$98</f>
        <v>0.42507558395597</v>
      </c>
      <c r="Z92" s="23" t="n">
        <f aca="false">Z82+INDEX(Data_Prices!Z:Z,MATCH($G92,Data_Prices!$A:$A,0))*Z$98</f>
        <v>0.42507558395597</v>
      </c>
      <c r="AA92" s="23" t="n">
        <f aca="false">AA82+INDEX(Data_Prices!AA:AA,MATCH($G92,Data_Prices!$A:$A,0))*AA$98</f>
        <v>0.42507558395597</v>
      </c>
      <c r="AB92" s="23" t="n">
        <f aca="false">AB82+INDEX(Data_Prices!AB:AB,MATCH($G92,Data_Prices!$A:$A,0))*AB$98</f>
        <v>0.42507558395597</v>
      </c>
      <c r="AC92" s="23" t="n">
        <f aca="false">AC82+INDEX(Data_Prices!AC:AC,MATCH($G92,Data_Prices!$A:$A,0))*AC$98</f>
        <v>0.42507558395597</v>
      </c>
      <c r="AD92" s="23" t="n">
        <f aca="false">AD82+INDEX(Data_Prices!AD:AD,MATCH($G92,Data_Prices!$A:$A,0))*AD$98</f>
        <v>0.42507558395597</v>
      </c>
      <c r="AE92" s="23" t="n">
        <f aca="false">AE82+INDEX(Data_Prices!AE:AE,MATCH($G92,Data_Prices!$A:$A,0))*AE$98</f>
        <v>0.42507558395597</v>
      </c>
    </row>
    <row r="93" customFormat="false" ht="15" hidden="false" customHeight="false" outlineLevel="0" collapsed="false">
      <c r="B93" s="17" t="s">
        <v>68</v>
      </c>
      <c r="C93" s="17" t="str">
        <f aca="false">$C$65</f>
        <v>cem</v>
      </c>
      <c r="D93" s="18" t="s">
        <v>69</v>
      </c>
      <c r="E93" s="19" t="s">
        <v>70</v>
      </c>
      <c r="F93" s="17" t="s">
        <v>79</v>
      </c>
      <c r="G93" s="20" t="str">
        <f aca="false">Settings!$B$3&amp;".mit.shp."&amp;$B93&amp;"."&amp;Settings!$B$4&amp;"."&amp;$J$65</f>
        <v>egy.mit.shp.oop.ind.1</v>
      </c>
      <c r="H93" s="21" t="str">
        <f aca="false">Settings!$B$3&amp;".mit.shp."&amp;$C$65&amp;"."&amp;$B93&amp;".e."&amp;$J$65</f>
        <v>egy.mit.shp.cem.oop.e.1</v>
      </c>
      <c r="K93" s="23" t="n">
        <f aca="false">K83+INDEX(Data_Prices!K:K,MATCH($G93,Data_Prices!$A:$A,0))*K$98</f>
        <v>41.5003384988684</v>
      </c>
      <c r="L93" s="23" t="n">
        <f aca="false">L83+INDEX(Data_Prices!L:L,MATCH($G93,Data_Prices!$A:$A,0))*L$98</f>
        <v>34.4153703043132</v>
      </c>
      <c r="M93" s="23" t="n">
        <f aca="false">M83+INDEX(Data_Prices!M:M,MATCH($G93,Data_Prices!$A:$A,0))*M$98</f>
        <v>37.368960690432</v>
      </c>
      <c r="N93" s="23" t="n">
        <f aca="false">N83+INDEX(Data_Prices!N:N,MATCH($G93,Data_Prices!$A:$A,0))*N$98</f>
        <v>28.9827611014773</v>
      </c>
      <c r="O93" s="23" t="n">
        <f aca="false">O83+INDEX(Data_Prices!O:O,MATCH($G93,Data_Prices!$A:$A,0))*O$98</f>
        <v>15</v>
      </c>
      <c r="P93" s="23" t="n">
        <f aca="false">P83+INDEX(Data_Prices!P:P,MATCH($G93,Data_Prices!$A:$A,0))*P$98</f>
        <v>24.2586300842555</v>
      </c>
      <c r="Q93" s="23" t="n">
        <f aca="false">Q83+INDEX(Data_Prices!Q:Q,MATCH($G93,Data_Prices!$A:$A,0))*Q$98</f>
        <v>15</v>
      </c>
      <c r="R93" s="23" t="n">
        <f aca="false">R83+INDEX(Data_Prices!R:R,MATCH($G93,Data_Prices!$A:$A,0))*R$98</f>
        <v>15</v>
      </c>
      <c r="S93" s="23" t="n">
        <f aca="false">S83+INDEX(Data_Prices!S:S,MATCH($G93,Data_Prices!$A:$A,0))*S$98</f>
        <v>15</v>
      </c>
      <c r="T93" s="23" t="n">
        <f aca="false">T83+INDEX(Data_Prices!T:T,MATCH($G93,Data_Prices!$A:$A,0))*T$98</f>
        <v>15</v>
      </c>
      <c r="U93" s="23" t="n">
        <f aca="false">U83+INDEX(Data_Prices!U:U,MATCH($G93,Data_Prices!$A:$A,0))*U$98</f>
        <v>15</v>
      </c>
      <c r="V93" s="23" t="n">
        <f aca="false">V83+INDEX(Data_Prices!V:V,MATCH($G93,Data_Prices!$A:$A,0))*V$98</f>
        <v>15</v>
      </c>
      <c r="W93" s="23" t="n">
        <f aca="false">W83+INDEX(Data_Prices!W:W,MATCH($G93,Data_Prices!$A:$A,0))*W$98</f>
        <v>15</v>
      </c>
      <c r="X93" s="23" t="n">
        <f aca="false">X83+INDEX(Data_Prices!X:X,MATCH($G93,Data_Prices!$A:$A,0))*X$98</f>
        <v>15</v>
      </c>
      <c r="Y93" s="23" t="n">
        <f aca="false">Y83+INDEX(Data_Prices!Y:Y,MATCH($G93,Data_Prices!$A:$A,0))*Y$98</f>
        <v>15</v>
      </c>
      <c r="Z93" s="23" t="n">
        <f aca="false">Z83+INDEX(Data_Prices!Z:Z,MATCH($G93,Data_Prices!$A:$A,0))*Z$98</f>
        <v>15</v>
      </c>
      <c r="AA93" s="23" t="n">
        <f aca="false">AA83+INDEX(Data_Prices!AA:AA,MATCH($G93,Data_Prices!$A:$A,0))*AA$98</f>
        <v>15</v>
      </c>
      <c r="AB93" s="23" t="n">
        <f aca="false">AB83+INDEX(Data_Prices!AB:AB,MATCH($G93,Data_Prices!$A:$A,0))*AB$98</f>
        <v>15</v>
      </c>
      <c r="AC93" s="23" t="n">
        <f aca="false">AC83+INDEX(Data_Prices!AC:AC,MATCH($G93,Data_Prices!$A:$A,0))*AC$98</f>
        <v>15</v>
      </c>
      <c r="AD93" s="23" t="n">
        <f aca="false">AD83+INDEX(Data_Prices!AD:AD,MATCH($G93,Data_Prices!$A:$A,0))*AD$98</f>
        <v>15</v>
      </c>
      <c r="AE93" s="23" t="n">
        <f aca="false">AE83+INDEX(Data_Prices!AE:AE,MATCH($G93,Data_Prices!$A:$A,0))*AE$98</f>
        <v>15</v>
      </c>
    </row>
    <row r="94" customFormat="false" ht="15" hidden="false" customHeight="false" outlineLevel="0" collapsed="false">
      <c r="B94" s="17" t="s">
        <v>71</v>
      </c>
      <c r="C94" s="17" t="str">
        <f aca="false">$C$65</f>
        <v>cem</v>
      </c>
      <c r="D94" s="18" t="s">
        <v>72</v>
      </c>
      <c r="E94" s="19" t="s">
        <v>55</v>
      </c>
      <c r="F94" s="17" t="s">
        <v>79</v>
      </c>
      <c r="G94" s="20" t="str">
        <f aca="false">Settings!$B$3&amp;".mit.shp."&amp;$B94&amp;"."&amp;Settings!$B$4&amp;"."&amp;$J$65</f>
        <v>egy.mit.shp.bio.ind.1</v>
      </c>
      <c r="H94" s="21" t="str">
        <f aca="false">Settings!$B$3&amp;".mit.shp."&amp;$C$65&amp;"."&amp;$B94&amp;".e."&amp;$J$65</f>
        <v>egy.mit.shp.cem.bio.e.1</v>
      </c>
      <c r="K94" s="23" t="n">
        <f aca="false">K84+INDEX(Data_Prices!K:K,MATCH($G94,Data_Prices!$A:$A,0))*K$98</f>
        <v>15.3345505293169</v>
      </c>
      <c r="L94" s="23" t="n">
        <f aca="false">L84+INDEX(Data_Prices!L:L,MATCH($G94,Data_Prices!$A:$A,0))*L$98</f>
        <v>14.1995283906349</v>
      </c>
      <c r="M94" s="23" t="n">
        <f aca="false">M84+INDEX(Data_Prices!M:M,MATCH($G94,Data_Prices!$A:$A,0))*M$98</f>
        <v>13.8404416133152</v>
      </c>
      <c r="N94" s="23" t="n">
        <f aca="false">N84+INDEX(Data_Prices!N:N,MATCH($G94,Data_Prices!$A:$A,0))*N$98</f>
        <v>13.5677269404465</v>
      </c>
      <c r="O94" s="23" t="n">
        <f aca="false">O84+INDEX(Data_Prices!O:O,MATCH($G94,Data_Prices!$A:$A,0))*O$98</f>
        <v>13.5677269404465</v>
      </c>
      <c r="P94" s="23" t="n">
        <f aca="false">P84+INDEX(Data_Prices!P:P,MATCH($G94,Data_Prices!$A:$A,0))*P$98</f>
        <v>13.5677269404465</v>
      </c>
      <c r="Q94" s="23" t="n">
        <f aca="false">Q84+INDEX(Data_Prices!Q:Q,MATCH($G94,Data_Prices!$A:$A,0))*Q$98</f>
        <v>13.5677269404465</v>
      </c>
      <c r="R94" s="23" t="n">
        <f aca="false">R84+INDEX(Data_Prices!R:R,MATCH($G94,Data_Prices!$A:$A,0))*R$98</f>
        <v>13.5677269404465</v>
      </c>
      <c r="S94" s="23" t="n">
        <f aca="false">S84+INDEX(Data_Prices!S:S,MATCH($G94,Data_Prices!$A:$A,0))*S$98</f>
        <v>13.5677269404465</v>
      </c>
      <c r="T94" s="23" t="n">
        <f aca="false">T84+INDEX(Data_Prices!T:T,MATCH($G94,Data_Prices!$A:$A,0))*T$98</f>
        <v>13.5677269404465</v>
      </c>
      <c r="U94" s="23" t="n">
        <f aca="false">U84+INDEX(Data_Prices!U:U,MATCH($G94,Data_Prices!$A:$A,0))*U$98</f>
        <v>13.5677269404465</v>
      </c>
      <c r="V94" s="23" t="n">
        <f aca="false">V84+INDEX(Data_Prices!V:V,MATCH($G94,Data_Prices!$A:$A,0))*V$98</f>
        <v>13.5677269404465</v>
      </c>
      <c r="W94" s="23" t="n">
        <f aca="false">W84+INDEX(Data_Prices!W:W,MATCH($G94,Data_Prices!$A:$A,0))*W$98</f>
        <v>13.5677269404465</v>
      </c>
      <c r="X94" s="23" t="n">
        <f aca="false">X84+INDEX(Data_Prices!X:X,MATCH($G94,Data_Prices!$A:$A,0))*X$98</f>
        <v>13.5677269404465</v>
      </c>
      <c r="Y94" s="23" t="n">
        <f aca="false">Y84+INDEX(Data_Prices!Y:Y,MATCH($G94,Data_Prices!$A:$A,0))*Y$98</f>
        <v>13.5677269404465</v>
      </c>
      <c r="Z94" s="23" t="n">
        <f aca="false">Z84+INDEX(Data_Prices!Z:Z,MATCH($G94,Data_Prices!$A:$A,0))*Z$98</f>
        <v>13.5677269404465</v>
      </c>
      <c r="AA94" s="23" t="n">
        <f aca="false">AA84+INDEX(Data_Prices!AA:AA,MATCH($G94,Data_Prices!$A:$A,0))*AA$98</f>
        <v>13.5677269404465</v>
      </c>
      <c r="AB94" s="23" t="n">
        <f aca="false">AB84+INDEX(Data_Prices!AB:AB,MATCH($G94,Data_Prices!$A:$A,0))*AB$98</f>
        <v>13.5677269404465</v>
      </c>
      <c r="AC94" s="23" t="n">
        <f aca="false">AC84+INDEX(Data_Prices!AC:AC,MATCH($G94,Data_Prices!$A:$A,0))*AC$98</f>
        <v>13.5677269404465</v>
      </c>
      <c r="AD94" s="23" t="n">
        <f aca="false">AD84+INDEX(Data_Prices!AD:AD,MATCH($G94,Data_Prices!$A:$A,0))*AD$98</f>
        <v>13.5677269404465</v>
      </c>
      <c r="AE94" s="23" t="n">
        <f aca="false">AE84+INDEX(Data_Prices!AE:AE,MATCH($G94,Data_Prices!$A:$A,0))*AE$98</f>
        <v>13.5677269404465</v>
      </c>
    </row>
    <row r="95" customFormat="false" ht="15" hidden="false" customHeight="false" outlineLevel="0" collapsed="false">
      <c r="B95" s="17" t="s">
        <v>73</v>
      </c>
      <c r="C95" s="17" t="str">
        <f aca="false">$C$65</f>
        <v>cem</v>
      </c>
      <c r="D95" s="18" t="s">
        <v>74</v>
      </c>
      <c r="E95" s="19" t="s">
        <v>75</v>
      </c>
      <c r="F95" s="17" t="s">
        <v>79</v>
      </c>
      <c r="G95" s="20" t="str">
        <f aca="false">Settings!$B$3&amp;".mit.shp."&amp;$B95&amp;"."&amp;Settings!$B$4&amp;"."&amp;$J$65</f>
        <v>egy.mit.shp.ren.ind.1</v>
      </c>
      <c r="H95" s="21" t="str">
        <f aca="false">Settings!$B$3&amp;".mit.shp."&amp;$C$65&amp;"."&amp;$B95&amp;".e."&amp;$J$65</f>
        <v>egy.mit.shp.cem.ren.e.1</v>
      </c>
      <c r="K95" s="23" t="n">
        <f aca="false">K85+INDEX(Data_Prices!K:K,MATCH($G95,Data_Prices!$A:$A,0))*K$98</f>
        <v>0</v>
      </c>
      <c r="L95" s="23" t="n">
        <f aca="false">L85+INDEX(Data_Prices!L:L,MATCH($G95,Data_Prices!$A:$A,0))*L$98</f>
        <v>0.144044986793198</v>
      </c>
      <c r="M95" s="23" t="n">
        <f aca="false">M85+INDEX(Data_Prices!M:M,MATCH($G95,Data_Prices!$A:$A,0))*M$98</f>
        <v>0.141020409657004</v>
      </c>
      <c r="N95" s="23" t="n">
        <f aca="false">N85+INDEX(Data_Prices!N:N,MATCH($G95,Data_Prices!$A:$A,0))*N$98</f>
        <v>0.135116359594476</v>
      </c>
      <c r="O95" s="23" t="n">
        <f aca="false">O85+INDEX(Data_Prices!O:O,MATCH($G95,Data_Prices!$A:$A,0))*O$98</f>
        <v>0.130988256985856</v>
      </c>
      <c r="P95" s="23" t="n">
        <f aca="false">P85+INDEX(Data_Prices!P:P,MATCH($G95,Data_Prices!$A:$A,0))*P$98</f>
        <v>0.127908416086318</v>
      </c>
      <c r="Q95" s="23" t="n">
        <f aca="false">Q85+INDEX(Data_Prices!Q:Q,MATCH($G95,Data_Prices!$A:$A,0))*Q$98</f>
        <v>0.124814310557813</v>
      </c>
      <c r="R95" s="23" t="n">
        <f aca="false">R85+INDEX(Data_Prices!R:R,MATCH($G95,Data_Prices!$A:$A,0))*R$98</f>
        <v>0.121460257122878</v>
      </c>
      <c r="S95" s="23" t="n">
        <f aca="false">S85+INDEX(Data_Prices!S:S,MATCH($G95,Data_Prices!$A:$A,0))*S$98</f>
        <v>0.117950744135786</v>
      </c>
      <c r="T95" s="23" t="n">
        <f aca="false">T85+INDEX(Data_Prices!T:T,MATCH($G95,Data_Prices!$A:$A,0))*T$98</f>
        <v>0.114199161044597</v>
      </c>
      <c r="U95" s="23" t="n">
        <f aca="false">U85+INDEX(Data_Prices!U:U,MATCH($G95,Data_Prices!$A:$A,0))*U$98</f>
        <v>0.113665100059665</v>
      </c>
      <c r="V95" s="23" t="n">
        <f aca="false">V85+INDEX(Data_Prices!V:V,MATCH($G95,Data_Prices!$A:$A,0))*V$98</f>
        <v>0.113016929625957</v>
      </c>
      <c r="W95" s="23" t="n">
        <f aca="false">W85+INDEX(Data_Prices!W:W,MATCH($G95,Data_Prices!$A:$A,0))*W$98</f>
        <v>0.112314070507636</v>
      </c>
      <c r="X95" s="23" t="n">
        <f aca="false">X85+INDEX(Data_Prices!X:X,MATCH($G95,Data_Prices!$A:$A,0))*X$98</f>
        <v>0.111422042732843</v>
      </c>
      <c r="Y95" s="23" t="n">
        <f aca="false">Y85+INDEX(Data_Prices!Y:Y,MATCH($G95,Data_Prices!$A:$A,0))*Y$98</f>
        <v>0.110434123675809</v>
      </c>
      <c r="Z95" s="23" t="n">
        <f aca="false">Z85+INDEX(Data_Prices!Z:Z,MATCH($G95,Data_Prices!$A:$A,0))*Z$98</f>
        <v>0.109483973304471</v>
      </c>
      <c r="AA95" s="23" t="n">
        <f aca="false">AA85+INDEX(Data_Prices!AA:AA,MATCH($G95,Data_Prices!$A:$A,0))*AA$98</f>
        <v>0.10839192105294</v>
      </c>
      <c r="AB95" s="23" t="n">
        <f aca="false">AB85+INDEX(Data_Prices!AB:AB,MATCH($G95,Data_Prices!$A:$A,0))*AB$98</f>
        <v>0.107354433626704</v>
      </c>
      <c r="AC95" s="23" t="n">
        <f aca="false">AC85+INDEX(Data_Prices!AC:AC,MATCH($G95,Data_Prices!$A:$A,0))*AC$98</f>
        <v>0.105168675441661</v>
      </c>
      <c r="AD95" s="23" t="n">
        <f aca="false">AD85+INDEX(Data_Prices!AD:AD,MATCH($G95,Data_Prices!$A:$A,0))*AD$98</f>
        <v>0.103057983256008</v>
      </c>
      <c r="AE95" s="23" t="n">
        <f aca="false">AE85+INDEX(Data_Prices!AE:AE,MATCH($G95,Data_Prices!$A:$A,0))*AE$98</f>
        <v>0.100931838990114</v>
      </c>
    </row>
    <row r="96" customFormat="false" ht="15" hidden="false" customHeight="false" outlineLevel="0" collapsed="false">
      <c r="B96" s="16" t="s">
        <v>80</v>
      </c>
    </row>
    <row r="97" customFormat="false" ht="15" hidden="false" customHeight="false" outlineLevel="0" collapsed="false">
      <c r="B97" s="17" t="s">
        <v>81</v>
      </c>
      <c r="C97" s="17" t="str">
        <f aca="false">$C$65</f>
        <v>cem</v>
      </c>
      <c r="D97" s="18" t="s">
        <v>82</v>
      </c>
      <c r="E97" s="19" t="s">
        <v>83</v>
      </c>
      <c r="F97" s="17" t="s">
        <v>84</v>
      </c>
      <c r="G97" s="20" t="str">
        <f aca="false">Settings!$B$3&amp;".mit.tcf."&amp;$C$65&amp;"."&amp;$J$65</f>
        <v>egy.mit.tcf.cem.1</v>
      </c>
      <c r="K97" s="23" t="n">
        <f aca="false">INDEX(Data_Prices!K:K,MATCH($G97,Data_Prices!$A:$A,0))</f>
        <v>0</v>
      </c>
      <c r="L97" s="23" t="n">
        <f aca="false">INDEX(Data_Prices!L:L,MATCH($G97,Data_Prices!$A:$A,0))</f>
        <v>0</v>
      </c>
      <c r="M97" s="23" t="n">
        <f aca="false">INDEX(Data_Prices!M:M,MATCH($G97,Data_Prices!$A:$A,0))</f>
        <v>0</v>
      </c>
      <c r="N97" s="23" t="n">
        <f aca="false">INDEX(Data_Prices!N:N,MATCH($G97,Data_Prices!$A:$A,0))</f>
        <v>0</v>
      </c>
      <c r="O97" s="23" t="n">
        <f aca="false">INDEX(Data_Prices!O:O,MATCH($G97,Data_Prices!$A:$A,0))</f>
        <v>0</v>
      </c>
      <c r="P97" s="23" t="n">
        <f aca="false">INDEX(Data_Prices!P:P,MATCH($G97,Data_Prices!$A:$A,0))</f>
        <v>0</v>
      </c>
      <c r="Q97" s="23" t="n">
        <f aca="false">INDEX(Data_Prices!Q:Q,MATCH($G97,Data_Prices!$A:$A,0))</f>
        <v>0</v>
      </c>
      <c r="R97" s="23" t="n">
        <f aca="false">INDEX(Data_Prices!R:R,MATCH($G97,Data_Prices!$A:$A,0))</f>
        <v>0</v>
      </c>
      <c r="S97" s="23" t="n">
        <f aca="false">INDEX(Data_Prices!S:S,MATCH($G97,Data_Prices!$A:$A,0))</f>
        <v>0</v>
      </c>
      <c r="T97" s="23" t="n">
        <f aca="false">INDEX(Data_Prices!T:T,MATCH($G97,Data_Prices!$A:$A,0))</f>
        <v>0</v>
      </c>
      <c r="U97" s="23" t="n">
        <f aca="false">INDEX(Data_Prices!U:U,MATCH($G97,Data_Prices!$A:$A,0))</f>
        <v>0</v>
      </c>
      <c r="V97" s="23" t="n">
        <f aca="false">INDEX(Data_Prices!V:V,MATCH($G97,Data_Prices!$A:$A,0))</f>
        <v>0</v>
      </c>
      <c r="W97" s="23" t="n">
        <f aca="false">INDEX(Data_Prices!W:W,MATCH($G97,Data_Prices!$A:$A,0))</f>
        <v>0</v>
      </c>
      <c r="X97" s="23" t="n">
        <f aca="false">INDEX(Data_Prices!X:X,MATCH($G97,Data_Prices!$A:$A,0))</f>
        <v>0</v>
      </c>
      <c r="Y97" s="23" t="n">
        <f aca="false">INDEX(Data_Prices!Y:Y,MATCH($G97,Data_Prices!$A:$A,0))</f>
        <v>0</v>
      </c>
      <c r="Z97" s="23" t="n">
        <f aca="false">INDEX(Data_Prices!Z:Z,MATCH($G97,Data_Prices!$A:$A,0))</f>
        <v>0</v>
      </c>
      <c r="AA97" s="23" t="n">
        <f aca="false">INDEX(Data_Prices!AA:AA,MATCH($G97,Data_Prices!$A:$A,0))</f>
        <v>0</v>
      </c>
      <c r="AB97" s="23" t="n">
        <f aca="false">INDEX(Data_Prices!AB:AB,MATCH($G97,Data_Prices!$A:$A,0))</f>
        <v>0</v>
      </c>
      <c r="AC97" s="23" t="n">
        <f aca="false">INDEX(Data_Prices!AC:AC,MATCH($G97,Data_Prices!$A:$A,0))</f>
        <v>0</v>
      </c>
      <c r="AD97" s="23" t="n">
        <f aca="false">INDEX(Data_Prices!AD:AD,MATCH($G97,Data_Prices!$A:$A,0))</f>
        <v>0</v>
      </c>
      <c r="AE97" s="23" t="n">
        <f aca="false">INDEX(Data_Prices!AE:AE,MATCH($G97,Data_Prices!$A:$A,0))</f>
        <v>0</v>
      </c>
    </row>
    <row r="98" customFormat="false" ht="15" hidden="false" customHeight="false" outlineLevel="0" collapsed="false">
      <c r="B98" s="17" t="s">
        <v>81</v>
      </c>
      <c r="C98" s="17" t="str">
        <f aca="false">$C$65</f>
        <v>cem</v>
      </c>
      <c r="D98" s="18" t="s">
        <v>85</v>
      </c>
      <c r="E98" s="19" t="s">
        <v>83</v>
      </c>
      <c r="F98" s="17" t="s">
        <v>86</v>
      </c>
      <c r="G98" s="20" t="str">
        <f aca="false">Settings!$B$3&amp;".mit.ssc."&amp;$C$65&amp;"."&amp;$J$65</f>
        <v>egy.mit.ssc.cem.1</v>
      </c>
      <c r="K98" s="23" t="n">
        <f aca="false">INDEX(Data_Prices!K:K,MATCH($G98,Data_Prices!$A:$A,0))</f>
        <v>0</v>
      </c>
      <c r="L98" s="23" t="n">
        <f aca="false">INDEX(Data_Prices!L:L,MATCH($G98,Data_Prices!$A:$A,0))</f>
        <v>0</v>
      </c>
      <c r="M98" s="23" t="n">
        <f aca="false">INDEX(Data_Prices!M:M,MATCH($G98,Data_Prices!$A:$A,0))</f>
        <v>0</v>
      </c>
      <c r="N98" s="23" t="n">
        <f aca="false">INDEX(Data_Prices!N:N,MATCH($G98,Data_Prices!$A:$A,0))</f>
        <v>0</v>
      </c>
      <c r="O98" s="23" t="n">
        <f aca="false">INDEX(Data_Prices!O:O,MATCH($G98,Data_Prices!$A:$A,0))</f>
        <v>0</v>
      </c>
      <c r="P98" s="23" t="n">
        <f aca="false">INDEX(Data_Prices!P:P,MATCH($G98,Data_Prices!$A:$A,0))</f>
        <v>0</v>
      </c>
      <c r="Q98" s="23" t="n">
        <f aca="false">INDEX(Data_Prices!Q:Q,MATCH($G98,Data_Prices!$A:$A,0))</f>
        <v>0</v>
      </c>
      <c r="R98" s="23" t="n">
        <f aca="false">INDEX(Data_Prices!R:R,MATCH($G98,Data_Prices!$A:$A,0))</f>
        <v>0</v>
      </c>
      <c r="S98" s="23" t="n">
        <f aca="false">INDEX(Data_Prices!S:S,MATCH($G98,Data_Prices!$A:$A,0))</f>
        <v>0</v>
      </c>
      <c r="T98" s="23" t="n">
        <f aca="false">INDEX(Data_Prices!T:T,MATCH($G98,Data_Prices!$A:$A,0))</f>
        <v>0</v>
      </c>
      <c r="U98" s="23" t="n">
        <f aca="false">INDEX(Data_Prices!U:U,MATCH($G98,Data_Prices!$A:$A,0))</f>
        <v>0</v>
      </c>
      <c r="V98" s="23" t="n">
        <f aca="false">INDEX(Data_Prices!V:V,MATCH($G98,Data_Prices!$A:$A,0))</f>
        <v>0</v>
      </c>
      <c r="W98" s="23" t="n">
        <f aca="false">INDEX(Data_Prices!W:W,MATCH($G98,Data_Prices!$A:$A,0))</f>
        <v>0</v>
      </c>
      <c r="X98" s="23" t="n">
        <f aca="false">INDEX(Data_Prices!X:X,MATCH($G98,Data_Prices!$A:$A,0))</f>
        <v>0</v>
      </c>
      <c r="Y98" s="23" t="n">
        <f aca="false">INDEX(Data_Prices!Y:Y,MATCH($G98,Data_Prices!$A:$A,0))</f>
        <v>0</v>
      </c>
      <c r="Z98" s="23" t="n">
        <f aca="false">INDEX(Data_Prices!Z:Z,MATCH($G98,Data_Prices!$A:$A,0))</f>
        <v>0</v>
      </c>
      <c r="AA98" s="23" t="n">
        <f aca="false">INDEX(Data_Prices!AA:AA,MATCH($G98,Data_Prices!$A:$A,0))</f>
        <v>0</v>
      </c>
      <c r="AB98" s="23" t="n">
        <f aca="false">INDEX(Data_Prices!AB:AB,MATCH($G98,Data_Prices!$A:$A,0))</f>
        <v>0</v>
      </c>
      <c r="AC98" s="23" t="n">
        <f aca="false">INDEX(Data_Prices!AC:AC,MATCH($G98,Data_Prices!$A:$A,0))</f>
        <v>0</v>
      </c>
      <c r="AD98" s="23" t="n">
        <f aca="false">INDEX(Data_Prices!AD:AD,MATCH($G98,Data_Prices!$A:$A,0))</f>
        <v>0</v>
      </c>
      <c r="AE98" s="23" t="n">
        <f aca="false">INDEX(Data_Prices!AE:AE,MATCH($G98,Data_Prices!$A:$A,0))</f>
        <v>0</v>
      </c>
    </row>
    <row r="99" customFormat="false" ht="15" hidden="false" customHeight="false" outlineLevel="0" collapsed="false">
      <c r="B99" s="17" t="s">
        <v>81</v>
      </c>
      <c r="C99" s="17" t="str">
        <f aca="false">$C$65</f>
        <v>cem</v>
      </c>
      <c r="D99" s="18" t="s">
        <v>87</v>
      </c>
      <c r="E99" s="19" t="s">
        <v>88</v>
      </c>
      <c r="F99" s="17" t="s">
        <v>89</v>
      </c>
      <c r="G99" s="20" t="str">
        <f aca="false">Settings!$B$3&amp;".mit.gdp.pos.pct."&amp;$J$65</f>
        <v>egy.mit.gdp.pos.pct.1</v>
      </c>
      <c r="K99" s="24" t="n">
        <f aca="false">INDEX(Data_Macro!K:K,MATCH($G99,Data_Macro!$A:$A,0))</f>
        <v>0</v>
      </c>
      <c r="L99" s="24" t="n">
        <f aca="false">INDEX(Data_Macro!L:L,MATCH($G99,Data_Macro!$A:$A,0))</f>
        <v>0.06651345</v>
      </c>
      <c r="M99" s="24" t="n">
        <f aca="false">INDEX(Data_Macro!M:M,MATCH($G99,Data_Macro!$A:$A,0))</f>
        <v>0.03760281</v>
      </c>
      <c r="N99" s="24" t="n">
        <f aca="false">INDEX(Data_Macro!N:N,MATCH($G99,Data_Macro!$A:$A,0))</f>
        <v>0.02398801</v>
      </c>
      <c r="O99" s="24" t="n">
        <f aca="false">INDEX(Data_Macro!O:O,MATCH($G99,Data_Macro!$A:$A,0))</f>
        <v>0.04392387</v>
      </c>
      <c r="P99" s="24" t="n">
        <f aca="false">INDEX(Data_Macro!P:P,MATCH($G99,Data_Macro!$A:$A,0))</f>
        <v>0.04239706</v>
      </c>
      <c r="Q99" s="24" t="n">
        <f aca="false">INDEX(Data_Macro!Q:Q,MATCH($G99,Data_Macro!$A:$A,0))</f>
        <v>0.04829218</v>
      </c>
      <c r="R99" s="24" t="n">
        <f aca="false">INDEX(Data_Macro!R:R,MATCH($G99,Data_Macro!$A:$A,0))</f>
        <v>0.05535316</v>
      </c>
      <c r="S99" s="24" t="n">
        <f aca="false">INDEX(Data_Macro!S:S,MATCH($G99,Data_Macro!$A:$A,0))</f>
        <v>0.05226606</v>
      </c>
      <c r="T99" s="24" t="n">
        <f aca="false">INDEX(Data_Macro!T:T,MATCH($G99,Data_Macro!$A:$A,0))</f>
        <v>0.04841877</v>
      </c>
      <c r="U99" s="24" t="n">
        <f aca="false">INDEX(Data_Macro!U:U,MATCH($G99,Data_Macro!$A:$A,0))</f>
        <v>0.04788736</v>
      </c>
      <c r="V99" s="24" t="n">
        <f aca="false">INDEX(Data_Macro!V:V,MATCH($G99,Data_Macro!$A:$A,0))</f>
        <v>0.04735595</v>
      </c>
      <c r="W99" s="24" t="n">
        <f aca="false">INDEX(Data_Macro!W:W,MATCH($G99,Data_Macro!$A:$A,0))</f>
        <v>0.04682454</v>
      </c>
      <c r="X99" s="24" t="n">
        <f aca="false">INDEX(Data_Macro!X:X,MATCH($G99,Data_Macro!$A:$A,0))</f>
        <v>0.04629313</v>
      </c>
      <c r="Y99" s="24" t="n">
        <f aca="false">INDEX(Data_Macro!Y:Y,MATCH($G99,Data_Macro!$A:$A,0))</f>
        <v>0.04576172</v>
      </c>
      <c r="Z99" s="24" t="n">
        <f aca="false">INDEX(Data_Macro!Z:Z,MATCH($G99,Data_Macro!$A:$A,0))</f>
        <v>0.04523031</v>
      </c>
      <c r="AA99" s="24" t="n">
        <f aca="false">INDEX(Data_Macro!AA:AA,MATCH($G99,Data_Macro!$A:$A,0))</f>
        <v>0.0446989</v>
      </c>
      <c r="AB99" s="24" t="n">
        <f aca="false">INDEX(Data_Macro!AB:AB,MATCH($G99,Data_Macro!$A:$A,0))</f>
        <v>0.04416749</v>
      </c>
      <c r="AC99" s="24" t="n">
        <f aca="false">INDEX(Data_Macro!AC:AC,MATCH($G99,Data_Macro!$A:$A,0))</f>
        <v>0.04363608</v>
      </c>
      <c r="AD99" s="24" t="n">
        <f aca="false">INDEX(Data_Macro!AD:AD,MATCH($G99,Data_Macro!$A:$A,0))</f>
        <v>0.04310467</v>
      </c>
      <c r="AE99" s="24" t="n">
        <f aca="false">INDEX(Data_Macro!AE:AE,MATCH($G99,Data_Macro!$A:$A,0))</f>
        <v>0.04257326</v>
      </c>
    </row>
    <row r="100" customFormat="false" ht="15" hidden="false" customHeight="false" outlineLevel="0" collapsed="false">
      <c r="B100" s="17" t="s">
        <v>81</v>
      </c>
      <c r="C100" s="17" t="str">
        <f aca="false">$C$65</f>
        <v>cem</v>
      </c>
      <c r="D100" s="18" t="s">
        <v>90</v>
      </c>
      <c r="E100" s="19" t="s">
        <v>91</v>
      </c>
      <c r="F100" s="17" t="s">
        <v>92</v>
      </c>
      <c r="G100" s="20" t="str">
        <f aca="false">Settings!$B$3&amp;".mit.inc.ela.adj."&amp;$J$65</f>
        <v>egy.mit.inc.ela.adj.1</v>
      </c>
      <c r="K100" s="23" t="n">
        <f aca="false">INDEX(Data_Macro!K:K,MATCH($G100,Data_Macro!$A:$A,0))</f>
        <v>0</v>
      </c>
      <c r="L100" s="23" t="n">
        <f aca="false">INDEX(Data_Macro!L:L,MATCH($G100,Data_Macro!$A:$A,0))</f>
        <v>1.02715172471961</v>
      </c>
      <c r="M100" s="23" t="n">
        <f aca="false">INDEX(Data_Macro!M:M,MATCH($G100,Data_Macro!$A:$A,0))</f>
        <v>1.02715172471961</v>
      </c>
      <c r="N100" s="23" t="n">
        <f aca="false">INDEX(Data_Macro!N:N,MATCH($G100,Data_Macro!$A:$A,0))</f>
        <v>1.02056983588512</v>
      </c>
      <c r="O100" s="23" t="n">
        <f aca="false">INDEX(Data_Macro!O:O,MATCH($G100,Data_Macro!$A:$A,0))</f>
        <v>1.01733442885234</v>
      </c>
      <c r="P100" s="23" t="n">
        <f aca="false">INDEX(Data_Macro!P:P,MATCH($G100,Data_Macro!$A:$A,0))</f>
        <v>1.00766833225382</v>
      </c>
      <c r="Q100" s="23" t="n">
        <f aca="false">INDEX(Data_Macro!Q:Q,MATCH($G100,Data_Macro!$A:$A,0))</f>
        <v>1.00074428717553</v>
      </c>
      <c r="R100" s="23" t="n">
        <f aca="false">INDEX(Data_Macro!R:R,MATCH($G100,Data_Macro!$A:$A,0))</f>
        <v>0.991886489011858</v>
      </c>
      <c r="S100" s="23" t="n">
        <f aca="false">INDEX(Data_Macro!S:S,MATCH($G100,Data_Macro!$A:$A,0))</f>
        <v>0.98065540330043</v>
      </c>
      <c r="T100" s="23" t="n">
        <f aca="false">INDEX(Data_Macro!T:T,MATCH($G100,Data_Macro!$A:$A,0))</f>
        <v>0.970209403992443</v>
      </c>
      <c r="U100" s="23" t="n">
        <f aca="false">INDEX(Data_Macro!U:U,MATCH($G100,Data_Macro!$A:$A,0))</f>
        <v>0.964192659077105</v>
      </c>
      <c r="V100" s="23" t="n">
        <f aca="false">INDEX(Data_Macro!V:V,MATCH($G100,Data_Macro!$A:$A,0))</f>
        <v>0.961612871227152</v>
      </c>
      <c r="W100" s="23" t="n">
        <f aca="false">INDEX(Data_Macro!W:W,MATCH($G100,Data_Macro!$A:$A,0))</f>
        <v>0.95919844785405</v>
      </c>
      <c r="X100" s="23" t="n">
        <f aca="false">INDEX(Data_Macro!X:X,MATCH($G100,Data_Macro!$A:$A,0))</f>
        <v>0.956951254445196</v>
      </c>
      <c r="Y100" s="23" t="n">
        <f aca="false">INDEX(Data_Macro!Y:Y,MATCH($G100,Data_Macro!$A:$A,0))</f>
        <v>0.954872978595777</v>
      </c>
      <c r="Z100" s="23" t="n">
        <f aca="false">INDEX(Data_Macro!Z:Z,MATCH($G100,Data_Macro!$A:$A,0))</f>
        <v>0.952965140861449</v>
      </c>
      <c r="AA100" s="23" t="n">
        <f aca="false">INDEX(Data_Macro!AA:AA,MATCH($G100,Data_Macro!$A:$A,0))</f>
        <v>0.951229104903385</v>
      </c>
      <c r="AB100" s="23" t="n">
        <f aca="false">INDEX(Data_Macro!AB:AB,MATCH($G100,Data_Macro!$A:$A,0))</f>
        <v>0.949666086892293</v>
      </c>
      <c r="AC100" s="23" t="n">
        <f aca="false">INDEX(Data_Macro!AC:AC,MATCH($G100,Data_Macro!$A:$A,0))</f>
        <v>0.948277164137976</v>
      </c>
      <c r="AD100" s="23" t="n">
        <f aca="false">INDEX(Data_Macro!AD:AD,MATCH($G100,Data_Macro!$A:$A,0))</f>
        <v>0.947063282915592</v>
      </c>
      <c r="AE100" s="23" t="n">
        <f aca="false">INDEX(Data_Macro!AE:AE,MATCH($G100,Data_Macro!$A:$A,0))</f>
        <v>0.946025265458513</v>
      </c>
    </row>
    <row r="101" customFormat="false" ht="15" hidden="false" customHeight="false" outlineLevel="0" collapsed="false">
      <c r="B101" s="17" t="s">
        <v>81</v>
      </c>
      <c r="C101" s="17" t="str">
        <f aca="false">$C$65</f>
        <v>cem</v>
      </c>
      <c r="D101" s="18" t="s">
        <v>93</v>
      </c>
      <c r="E101" s="19" t="s">
        <v>91</v>
      </c>
      <c r="F101" s="17" t="s">
        <v>94</v>
      </c>
      <c r="G101" s="20" t="str">
        <f aca="false">Settings!$B$3&amp;".mit.shock."&amp;$J$65</f>
        <v>egy.mit.shock.1</v>
      </c>
      <c r="K101" s="23" t="n">
        <f aca="false">INDEX(Data_Macro!K:K,MATCH($G101,Data_Macro!$A:$A,0))</f>
        <v>0</v>
      </c>
      <c r="L101" s="23" t="n">
        <f aca="false">INDEX(Data_Macro!L:L,MATCH($G101,Data_Macro!$A:$A,0))</f>
        <v>0</v>
      </c>
      <c r="M101" s="23" t="n">
        <f aca="false">INDEX(Data_Macro!M:M,MATCH($G101,Data_Macro!$A:$A,0))</f>
        <v>-0.208133083020442</v>
      </c>
      <c r="N101" s="23" t="n">
        <f aca="false">INDEX(Data_Macro!N:N,MATCH($G101,Data_Macro!$A:$A,0))</f>
        <v>0.0923714285714286</v>
      </c>
      <c r="O101" s="23" t="n">
        <f aca="false">INDEX(Data_Macro!O:O,MATCH($G101,Data_Macro!$A:$A,0))</f>
        <v>0</v>
      </c>
      <c r="P101" s="23" t="n">
        <f aca="false">INDEX(Data_Macro!P:P,MATCH($G101,Data_Macro!$A:$A,0))</f>
        <v>0</v>
      </c>
      <c r="Q101" s="23" t="n">
        <f aca="false">INDEX(Data_Macro!Q:Q,MATCH($G101,Data_Macro!$A:$A,0))</f>
        <v>0</v>
      </c>
      <c r="R101" s="23" t="n">
        <f aca="false">INDEX(Data_Macro!R:R,MATCH($G101,Data_Macro!$A:$A,0))</f>
        <v>0</v>
      </c>
      <c r="S101" s="23" t="n">
        <f aca="false">INDEX(Data_Macro!S:S,MATCH($G101,Data_Macro!$A:$A,0))</f>
        <v>0</v>
      </c>
      <c r="T101" s="23" t="n">
        <f aca="false">INDEX(Data_Macro!T:T,MATCH($G101,Data_Macro!$A:$A,0))</f>
        <v>0</v>
      </c>
      <c r="U101" s="23" t="n">
        <f aca="false">INDEX(Data_Macro!U:U,MATCH($G101,Data_Macro!$A:$A,0))</f>
        <v>0</v>
      </c>
      <c r="V101" s="23" t="n">
        <f aca="false">INDEX(Data_Macro!V:V,MATCH($G101,Data_Macro!$A:$A,0))</f>
        <v>0</v>
      </c>
      <c r="W101" s="23" t="n">
        <f aca="false">INDEX(Data_Macro!W:W,MATCH($G101,Data_Macro!$A:$A,0))</f>
        <v>0</v>
      </c>
      <c r="X101" s="23" t="n">
        <f aca="false">INDEX(Data_Macro!X:X,MATCH($G101,Data_Macro!$A:$A,0))</f>
        <v>0</v>
      </c>
      <c r="Y101" s="23" t="n">
        <f aca="false">INDEX(Data_Macro!Y:Y,MATCH($G101,Data_Macro!$A:$A,0))</f>
        <v>0</v>
      </c>
      <c r="Z101" s="23" t="n">
        <f aca="false">INDEX(Data_Macro!Z:Z,MATCH($G101,Data_Macro!$A:$A,0))</f>
        <v>0</v>
      </c>
      <c r="AA101" s="23" t="n">
        <f aca="false">INDEX(Data_Macro!AA:AA,MATCH($G101,Data_Macro!$A:$A,0))</f>
        <v>0</v>
      </c>
      <c r="AB101" s="23" t="n">
        <f aca="false">INDEX(Data_Macro!AB:AB,MATCH($G101,Data_Macro!$A:$A,0))</f>
        <v>0</v>
      </c>
      <c r="AC101" s="23" t="n">
        <f aca="false">INDEX(Data_Macro!AC:AC,MATCH($G101,Data_Macro!$A:$A,0))</f>
        <v>0</v>
      </c>
      <c r="AD101" s="23" t="n">
        <f aca="false">INDEX(Data_Macro!AD:AD,MATCH($G101,Data_Macro!$A:$A,0))</f>
        <v>0</v>
      </c>
      <c r="AE101" s="23" t="n">
        <f aca="false">INDEX(Data_Macro!AE:AE,MATCH($G101,Data_Macro!$A:$A,0))</f>
        <v>0</v>
      </c>
    </row>
    <row r="102" customFormat="false" ht="15" hidden="false" customHeight="false" outlineLevel="0" collapsed="false">
      <c r="B102" s="16" t="s">
        <v>95</v>
      </c>
    </row>
    <row r="103" customFormat="false" ht="15" hidden="false" customHeight="false" outlineLevel="0" collapsed="false">
      <c r="B103" s="8" t="s">
        <v>36</v>
      </c>
      <c r="C103" s="8" t="s">
        <v>37</v>
      </c>
      <c r="D103" s="25" t="s">
        <v>38</v>
      </c>
      <c r="E103" s="8" t="s">
        <v>96</v>
      </c>
      <c r="F103" s="8" t="s">
        <v>97</v>
      </c>
      <c r="G103" s="8" t="s">
        <v>98</v>
      </c>
      <c r="H103" s="8" t="s">
        <v>99</v>
      </c>
      <c r="I103" s="8" t="s">
        <v>100</v>
      </c>
      <c r="J103" s="8" t="s">
        <v>101</v>
      </c>
    </row>
    <row r="104" customFormat="false" ht="15" hidden="false" customHeight="false" outlineLevel="0" collapsed="false">
      <c r="B104" s="17" t="s">
        <v>53</v>
      </c>
      <c r="C104" s="17" t="str">
        <f aca="false">$C$65</f>
        <v>cem</v>
      </c>
      <c r="D104" s="26" t="s">
        <v>102</v>
      </c>
      <c r="E104" s="27" t="n">
        <f aca="false">INDEX(Data_Elast!$D:$G,MATCH("el_inc_"&amp;INDEX(Data_Elast!$J:$J,MATCH($B104,Data_Elast!$I:$I,0)),Data_Elast!$A:$A,0),MATCH(Settings!$B$5,Data_Elast!$D$1:$G$1,0))</f>
        <v>0.5</v>
      </c>
      <c r="F104" s="27" t="n">
        <f aca="false">INDEX(Data_Elast!$D:$G,MATCH("el_dem_"&amp;INDEX(Data_Elast!$J:$J,MATCH($B104,Data_Elast!$I:$I,0)),Data_Elast!$A:$A,0),MATCH(Settings!$B$5,Data_Elast!$D$1:$G$1,0))</f>
        <v>-0.3</v>
      </c>
      <c r="G104" s="27" t="n">
        <f aca="false">INDEX(Data_Elast!$D:$G,MATCH("el_eff_"&amp;INDEX(Data_Elast!$J:$J,MATCH($B104,Data_Elast!$I:$I,0)),Data_Elast!$A:$A,0),MATCH(Settings!$B$5,Data_Elast!$D$1:$G$1,0))</f>
        <v>-0.4</v>
      </c>
      <c r="H104" s="27" t="n">
        <f aca="false">INDEX(Data_Elast!$D:$G,MATCH("eff_imp_"&amp;INDEX(Data_Elast!$K:$K,MATCH($B104,Data_Elast!$I:$I,0)),Data_Elast!$A:$A,0),MATCH(Settings!$B$5,Data_Elast!$D$1:$G$1,0))</f>
        <v>0.005</v>
      </c>
      <c r="I104" s="27" t="n">
        <f aca="false">Settings!$B$7</f>
        <v>0</v>
      </c>
      <c r="J104" s="19" t="str">
        <f aca="false">INDEX(Data_Elast!$J:$J,MATCH($B104,Data_Elast!$I:$I,0))</f>
        <v>coa</v>
      </c>
    </row>
    <row r="105" customFormat="false" ht="15" hidden="false" customHeight="false" outlineLevel="0" collapsed="false">
      <c r="B105" s="17" t="s">
        <v>57</v>
      </c>
      <c r="C105" s="17" t="str">
        <f aca="false">$C$65</f>
        <v>cem</v>
      </c>
      <c r="D105" s="26" t="s">
        <v>103</v>
      </c>
      <c r="E105" s="27" t="n">
        <f aca="false">INDEX(Data_Elast!$D:$G,MATCH("el_inc_"&amp;INDEX(Data_Elast!$J:$J,MATCH($B105,Data_Elast!$I:$I,0)),Data_Elast!$A:$A,0),MATCH(Settings!$B$5,Data_Elast!$D$1:$G$1,0))</f>
        <v>1</v>
      </c>
      <c r="F105" s="27" t="n">
        <f aca="false">INDEX(Data_Elast!$D:$G,MATCH("el_dem_"&amp;INDEX(Data_Elast!$J:$J,MATCH($B105,Data_Elast!$I:$I,0)),Data_Elast!$A:$A,0),MATCH(Settings!$B$5,Data_Elast!$D$1:$G$1,0))</f>
        <v>-0.5</v>
      </c>
      <c r="G105" s="27" t="n">
        <f aca="false">INDEX(Data_Elast!$D:$G,MATCH("el_eff_"&amp;INDEX(Data_Elast!$J:$J,MATCH($B105,Data_Elast!$I:$I,0)),Data_Elast!$A:$A,0),MATCH(Settings!$B$5,Data_Elast!$D$1:$G$1,0))</f>
        <v>-0.5</v>
      </c>
      <c r="H105" s="27" t="n">
        <f aca="false">INDEX(Data_Elast!$D:$G,MATCH("eff_imp_"&amp;INDEX(Data_Elast!$K:$K,MATCH($B105,Data_Elast!$I:$I,0)),Data_Elast!$A:$A,0),MATCH(Settings!$B$5,Data_Elast!$D$1:$G$1,0))</f>
        <v>0.01</v>
      </c>
      <c r="I105" s="27" t="n">
        <f aca="false">Settings!$B$7</f>
        <v>0</v>
      </c>
      <c r="J105" s="19" t="str">
        <f aca="false">INDEX(Data_Elast!$J:$J,MATCH($B105,Data_Elast!$I:$I,0))</f>
        <v>nga</v>
      </c>
    </row>
    <row r="106" customFormat="false" ht="15" hidden="false" customHeight="false" outlineLevel="0" collapsed="false">
      <c r="B106" s="17" t="s">
        <v>59</v>
      </c>
      <c r="C106" s="17" t="str">
        <f aca="false">$C$65</f>
        <v>cem</v>
      </c>
      <c r="D106" s="26" t="s">
        <v>104</v>
      </c>
      <c r="E106" s="27" t="n">
        <f aca="false">INDEX(Data_Elast!$D:$G,MATCH("el_inc_"&amp;INDEX(Data_Elast!$J:$J,MATCH($B106,Data_Elast!$I:$I,0)),Data_Elast!$A:$A,0),MATCH(Settings!$B$5,Data_Elast!$D$1:$G$1,0))</f>
        <v>0.5</v>
      </c>
      <c r="F106" s="27" t="n">
        <f aca="false">INDEX(Data_Elast!$D:$G,MATCH("el_dem_"&amp;INDEX(Data_Elast!$J:$J,MATCH($B106,Data_Elast!$I:$I,0)),Data_Elast!$A:$A,0),MATCH(Settings!$B$5,Data_Elast!$D$1:$G$1,0))</f>
        <v>-0.4</v>
      </c>
      <c r="G106" s="27" t="n">
        <f aca="false">INDEX(Data_Elast!$D:$G,MATCH("el_eff_"&amp;INDEX(Data_Elast!$J:$J,MATCH($B106,Data_Elast!$I:$I,0)),Data_Elast!$A:$A,0),MATCH(Settings!$B$5,Data_Elast!$D$1:$G$1,0))</f>
        <v>-0.7</v>
      </c>
      <c r="H106" s="27" t="n">
        <f aca="false">INDEX(Data_Elast!$D:$G,MATCH("eff_imp_"&amp;INDEX(Data_Elast!$K:$K,MATCH($B106,Data_Elast!$I:$I,0)),Data_Elast!$A:$A,0),MATCH(Settings!$B$5,Data_Elast!$D$1:$G$1,0))</f>
        <v>0.005</v>
      </c>
      <c r="I106" s="27" t="n">
        <f aca="false">Settings!$B$7</f>
        <v>0</v>
      </c>
      <c r="J106" s="19" t="str">
        <f aca="false">INDEX(Data_Elast!$J:$J,MATCH($B106,Data_Elast!$I:$I,0))</f>
        <v>gso</v>
      </c>
    </row>
    <row r="107" customFormat="false" ht="15" hidden="false" customHeight="false" outlineLevel="0" collapsed="false">
      <c r="B107" s="17" t="s">
        <v>62</v>
      </c>
      <c r="C107" s="17" t="str">
        <f aca="false">$C$65</f>
        <v>cem</v>
      </c>
      <c r="D107" s="26" t="s">
        <v>105</v>
      </c>
      <c r="E107" s="27" t="n">
        <f aca="false">INDEX(Data_Elast!$D:$G,MATCH("el_inc_"&amp;INDEX(Data_Elast!$J:$J,MATCH($B107,Data_Elast!$I:$I,0)),Data_Elast!$A:$A,0),MATCH(Settings!$B$5,Data_Elast!$D$1:$G$1,0))</f>
        <v>0.5</v>
      </c>
      <c r="F107" s="27" t="n">
        <f aca="false">INDEX(Data_Elast!$D:$G,MATCH("el_dem_"&amp;INDEX(Data_Elast!$J:$J,MATCH($B107,Data_Elast!$I:$I,0)),Data_Elast!$A:$A,0),MATCH(Settings!$B$5,Data_Elast!$D$1:$G$1,0))</f>
        <v>-0.7</v>
      </c>
      <c r="G107" s="27" t="n">
        <f aca="false">INDEX(Data_Elast!$D:$G,MATCH("el_eff_"&amp;INDEX(Data_Elast!$J:$J,MATCH($B107,Data_Elast!$I:$I,0)),Data_Elast!$A:$A,0),MATCH(Settings!$B$5,Data_Elast!$D$1:$G$1,0))</f>
        <v>-1.2</v>
      </c>
      <c r="H107" s="27" t="n">
        <f aca="false">INDEX(Data_Elast!$D:$G,MATCH("eff_imp_"&amp;INDEX(Data_Elast!$K:$K,MATCH($B107,Data_Elast!$I:$I,0)),Data_Elast!$A:$A,0),MATCH(Settings!$B$5,Data_Elast!$D$1:$G$1,0))</f>
        <v>0.005</v>
      </c>
      <c r="I107" s="27" t="n">
        <f aca="false">Settings!$B$7</f>
        <v>0</v>
      </c>
      <c r="J107" s="19" t="str">
        <f aca="false">INDEX(Data_Elast!$J:$J,MATCH($B107,Data_Elast!$I:$I,0))</f>
        <v>die</v>
      </c>
    </row>
    <row r="108" customFormat="false" ht="15" hidden="false" customHeight="false" outlineLevel="0" collapsed="false">
      <c r="B108" s="17" t="s">
        <v>64</v>
      </c>
      <c r="C108" s="17" t="str">
        <f aca="false">$C$65</f>
        <v>cem</v>
      </c>
      <c r="D108" s="26" t="s">
        <v>106</v>
      </c>
      <c r="E108" s="27" t="n">
        <f aca="false">INDEX(Data_Elast!$D:$G,MATCH("el_inc_"&amp;INDEX(Data_Elast!$J:$J,MATCH($B108,Data_Elast!$I:$I,0)),Data_Elast!$A:$A,0),MATCH(Settings!$B$5,Data_Elast!$D$1:$G$1,0))</f>
        <v>0.8</v>
      </c>
      <c r="F108" s="27" t="n">
        <f aca="false">INDEX(Data_Elast!$D:$G,MATCH("el_dem_"&amp;INDEX(Data_Elast!$J:$J,MATCH($B108,Data_Elast!$I:$I,0)),Data_Elast!$A:$A,0),MATCH(Settings!$B$5,Data_Elast!$D$1:$G$1,0))</f>
        <v>-0.4</v>
      </c>
      <c r="G108" s="27" t="n">
        <f aca="false">INDEX(Data_Elast!$D:$G,MATCH("el_eff_"&amp;INDEX(Data_Elast!$J:$J,MATCH($B108,Data_Elast!$I:$I,0)),Data_Elast!$A:$A,0),MATCH(Settings!$B$5,Data_Elast!$D$1:$G$1,0))</f>
        <v>-0.4</v>
      </c>
      <c r="H108" s="27" t="n">
        <f aca="false">INDEX(Data_Elast!$D:$G,MATCH("eff_imp_"&amp;INDEX(Data_Elast!$K:$K,MATCH($B108,Data_Elast!$I:$I,0)),Data_Elast!$A:$A,0),MATCH(Settings!$B$5,Data_Elast!$D$1:$G$1,0))</f>
        <v>0.005</v>
      </c>
      <c r="I108" s="27" t="n">
        <f aca="false">Settings!$B$7</f>
        <v>0</v>
      </c>
      <c r="J108" s="19" t="str">
        <f aca="false">INDEX(Data_Elast!$J:$J,MATCH($B108,Data_Elast!$I:$I,0))</f>
        <v>oil</v>
      </c>
    </row>
    <row r="109" customFormat="false" ht="15" hidden="false" customHeight="false" outlineLevel="0" collapsed="false">
      <c r="B109" s="17" t="s">
        <v>66</v>
      </c>
      <c r="C109" s="17" t="str">
        <f aca="false">$C$65</f>
        <v>cem</v>
      </c>
      <c r="D109" s="26" t="s">
        <v>107</v>
      </c>
      <c r="E109" s="27" t="n">
        <f aca="false">INDEX(Data_Elast!$D:$G,MATCH("el_inc_"&amp;INDEX(Data_Elast!$J:$J,MATCH($B109,Data_Elast!$I:$I,0)),Data_Elast!$A:$A,0),MATCH(Settings!$B$5,Data_Elast!$D$1:$G$1,0))</f>
        <v>0.8</v>
      </c>
      <c r="F109" s="27" t="n">
        <f aca="false">INDEX(Data_Elast!$D:$G,MATCH("el_dem_"&amp;INDEX(Data_Elast!$J:$J,MATCH($B109,Data_Elast!$I:$I,0)),Data_Elast!$A:$A,0),MATCH(Settings!$B$5,Data_Elast!$D$1:$G$1,0))</f>
        <v>-0.4</v>
      </c>
      <c r="G109" s="27" t="n">
        <f aca="false">INDEX(Data_Elast!$D:$G,MATCH("el_eff_"&amp;INDEX(Data_Elast!$J:$J,MATCH($B109,Data_Elast!$I:$I,0)),Data_Elast!$A:$A,0),MATCH(Settings!$B$5,Data_Elast!$D$1:$G$1,0))</f>
        <v>-0.4</v>
      </c>
      <c r="H109" s="27" t="n">
        <f aca="false">INDEX(Data_Elast!$D:$G,MATCH("eff_imp_"&amp;INDEX(Data_Elast!$K:$K,MATCH($B109,Data_Elast!$I:$I,0)),Data_Elast!$A:$A,0),MATCH(Settings!$B$5,Data_Elast!$D$1:$G$1,0))</f>
        <v>0.005</v>
      </c>
      <c r="I109" s="27" t="n">
        <f aca="false">Settings!$B$7</f>
        <v>0</v>
      </c>
      <c r="J109" s="19" t="str">
        <f aca="false">INDEX(Data_Elast!$J:$J,MATCH($B109,Data_Elast!$I:$I,0))</f>
        <v>oil</v>
      </c>
    </row>
    <row r="110" customFormat="false" ht="15" hidden="false" customHeight="false" outlineLevel="0" collapsed="false">
      <c r="B110" s="17" t="s">
        <v>68</v>
      </c>
      <c r="C110" s="17" t="str">
        <f aca="false">$C$65</f>
        <v>cem</v>
      </c>
      <c r="D110" s="26" t="s">
        <v>108</v>
      </c>
      <c r="E110" s="27" t="n">
        <f aca="false">INDEX(Data_Elast!$D:$G,MATCH("el_inc_"&amp;INDEX(Data_Elast!$J:$J,MATCH($B110,Data_Elast!$I:$I,0)),Data_Elast!$A:$A,0),MATCH(Settings!$B$5,Data_Elast!$D$1:$G$1,0))</f>
        <v>0.8</v>
      </c>
      <c r="F110" s="27" t="n">
        <f aca="false">INDEX(Data_Elast!$D:$G,MATCH("el_dem_"&amp;INDEX(Data_Elast!$J:$J,MATCH($B110,Data_Elast!$I:$I,0)),Data_Elast!$A:$A,0),MATCH(Settings!$B$5,Data_Elast!$D$1:$G$1,0))</f>
        <v>-0.4</v>
      </c>
      <c r="G110" s="27" t="n">
        <f aca="false">INDEX(Data_Elast!$D:$G,MATCH("el_eff_"&amp;INDEX(Data_Elast!$J:$J,MATCH($B110,Data_Elast!$I:$I,0)),Data_Elast!$A:$A,0),MATCH(Settings!$B$5,Data_Elast!$D$1:$G$1,0))</f>
        <v>-0.4</v>
      </c>
      <c r="H110" s="27" t="n">
        <f aca="false">INDEX(Data_Elast!$D:$G,MATCH("eff_imp_"&amp;INDEX(Data_Elast!$K:$K,MATCH($B110,Data_Elast!$I:$I,0)),Data_Elast!$A:$A,0),MATCH(Settings!$B$5,Data_Elast!$D$1:$G$1,0))</f>
        <v>0.005</v>
      </c>
      <c r="I110" s="27" t="n">
        <f aca="false">Settings!$B$7</f>
        <v>0</v>
      </c>
      <c r="J110" s="19" t="str">
        <f aca="false">INDEX(Data_Elast!$J:$J,MATCH($B110,Data_Elast!$I:$I,0))</f>
        <v>oil</v>
      </c>
    </row>
    <row r="111" customFormat="false" ht="15" hidden="false" customHeight="false" outlineLevel="0" collapsed="false">
      <c r="B111" s="17" t="s">
        <v>71</v>
      </c>
      <c r="C111" s="17" t="str">
        <f aca="false">$C$65</f>
        <v>cem</v>
      </c>
      <c r="D111" s="26" t="s">
        <v>109</v>
      </c>
      <c r="E111" s="27" t="n">
        <f aca="false">INDEX(Data_Elast!$D:$G,MATCH("el_inc_"&amp;INDEX(Data_Elast!$J:$J,MATCH($B111,Data_Elast!$I:$I,0)),Data_Elast!$A:$A,0),MATCH(Settings!$B$5,Data_Elast!$D$1:$G$1,0))</f>
        <v>0.1</v>
      </c>
      <c r="F111" s="27" t="n">
        <f aca="false">INDEX(Data_Elast!$D:$G,MATCH("el_dem_"&amp;INDEX(Data_Elast!$J:$J,MATCH($B111,Data_Elast!$I:$I,0)),Data_Elast!$A:$A,0),MATCH(Settings!$B$5,Data_Elast!$D$1:$G$1,0))</f>
        <v>-0.3</v>
      </c>
      <c r="G111" s="27" t="n">
        <f aca="false">INDEX(Data_Elast!$D:$G,MATCH("el_eff_"&amp;INDEX(Data_Elast!$J:$J,MATCH($B111,Data_Elast!$I:$I,0)),Data_Elast!$A:$A,0),MATCH(Settings!$B$5,Data_Elast!$D$1:$G$1,0))</f>
        <v>-0.2</v>
      </c>
      <c r="H111" s="27" t="n">
        <f aca="false">INDEX(Data_Elast!$D:$G,MATCH("eff_imp_"&amp;INDEX(Data_Elast!$K:$K,MATCH($B111,Data_Elast!$I:$I,0)),Data_Elast!$A:$A,0),MATCH(Settings!$B$5,Data_Elast!$D$1:$G$1,0))</f>
        <v>0.005</v>
      </c>
      <c r="I111" s="27" t="n">
        <f aca="false">Settings!$B$7</f>
        <v>0</v>
      </c>
      <c r="J111" s="19" t="str">
        <f aca="false">INDEX(Data_Elast!$J:$J,MATCH($B111,Data_Elast!$I:$I,0))</f>
        <v>bio</v>
      </c>
    </row>
    <row r="112" customFormat="false" ht="15" hidden="false" customHeight="false" outlineLevel="0" collapsed="false">
      <c r="B112" s="17" t="s">
        <v>73</v>
      </c>
      <c r="C112" s="17" t="str">
        <f aca="false">$C$65</f>
        <v>cem</v>
      </c>
      <c r="D112" s="26" t="s">
        <v>110</v>
      </c>
      <c r="E112" s="27" t="n">
        <f aca="false">INDEX(Data_Elast!$D:$G,MATCH("el_inc_"&amp;INDEX(Data_Elast!$J:$J,MATCH($B112,Data_Elast!$I:$I,0)),Data_Elast!$A:$A,0),MATCH(Settings!$B$5,Data_Elast!$D$1:$G$1,0))</f>
        <v>0.8</v>
      </c>
      <c r="F112" s="27" t="n">
        <f aca="false">INDEX(Data_Elast!$D:$G,MATCH("el_dem_"&amp;INDEX(Data_Elast!$J:$J,MATCH($B112,Data_Elast!$I:$I,0)),Data_Elast!$A:$A,0),MATCH(Settings!$B$5,Data_Elast!$D$1:$G$1,0))</f>
        <v>-0.5</v>
      </c>
      <c r="G112" s="27" t="n">
        <f aca="false">INDEX(Data_Elast!$D:$G,MATCH("el_eff_"&amp;INDEX(Data_Elast!$J:$J,MATCH($B112,Data_Elast!$I:$I,0)),Data_Elast!$A:$A,0),MATCH(Settings!$B$5,Data_Elast!$D$1:$G$1,0))</f>
        <v>-0.4</v>
      </c>
      <c r="H112" s="27" t="n">
        <f aca="false">INDEX(Data_Elast!$D:$G,MATCH("eff_imp_"&amp;INDEX(Data_Elast!$K:$K,MATCH($B112,Data_Elast!$I:$I,0)),Data_Elast!$A:$A,0),MATCH(Settings!$B$5,Data_Elast!$D$1:$G$1,0))</f>
        <v>0.005</v>
      </c>
      <c r="I112" s="27" t="n">
        <f aca="false">Settings!$B$7</f>
        <v>0</v>
      </c>
      <c r="J112" s="19" t="str">
        <f aca="false">INDEX(Data_Elast!$J:$J,MATCH($B112,Data_Elast!$I:$I,0))</f>
        <v>ren</v>
      </c>
    </row>
    <row r="113" customFormat="false" ht="15" hidden="false" customHeight="false" outlineLevel="0" collapsed="false">
      <c r="B113" s="16" t="s">
        <v>111</v>
      </c>
    </row>
    <row r="114" customFormat="false" ht="15" hidden="false" customHeight="false" outlineLevel="0" collapsed="false">
      <c r="B114" s="17" t="s">
        <v>53</v>
      </c>
      <c r="C114" s="17" t="str">
        <f aca="false">$C$65</f>
        <v>cem</v>
      </c>
      <c r="D114" s="18" t="s">
        <v>54</v>
      </c>
      <c r="E114" s="19" t="s">
        <v>112</v>
      </c>
      <c r="F114" s="17" t="s">
        <v>113</v>
      </c>
      <c r="G114" s="20" t="str">
        <f aca="false">Settings!$B$3&amp;".mit.enc."&amp;$B114</f>
        <v>egy.mit.enc.coa</v>
      </c>
      <c r="H114" s="21" t="str">
        <f aca="false">Settings!$B$3&amp;".mit.ener."&amp;$C$65&amp;"."&amp;$B114&amp;".e."&amp;$J$65</f>
        <v>egy.mit.ener.cem.coa.e.1</v>
      </c>
      <c r="L114" s="28" t="n">
        <f aca="false">INDEX(Data_Energy!$D$3:$U$22,MATCH($B114,Data_Energy!$C$3:$C$22,0),MATCH($C114,Data_Energy!$D$2:$U$2,0))</f>
        <v>1463.05522446279</v>
      </c>
      <c r="M114" s="29" t="n">
        <f aca="false">L114*(1+M$99)^($E104*M$100)*(1+M$101)*IF(L77&lt;=0,1,M77/L77)^$F104*(IF(L87&lt;=0,1,M87/L87)^$G104/(1+$H104+$I104))^(1+$F104)</f>
        <v>1191.36443625172</v>
      </c>
      <c r="N114" s="29" t="n">
        <f aca="false">M114*(1+N$99)^($E104*N$100)*(1+N$101)*IF(M77&lt;=0,1,N77/M77)^$F104*(IF(M87&lt;=0,1,N87/M87)^$G104/(1+$H104+$I104))^(1+$F104)</f>
        <v>1369.17792822134</v>
      </c>
      <c r="O114" s="29" t="n">
        <f aca="false">N114*(1+O$99)^($E104*O$100)*(1+O$101)*IF(N77&lt;=0,1,O77/N77)^$F104*(IF(N87&lt;=0,1,O87/N87)^$G104/(1+$H104+$I104))^(1+$F104)</f>
        <v>1496.01034508212</v>
      </c>
      <c r="P114" s="29" t="n">
        <f aca="false">O114*(1+P$99)^($E104*P$100)*(1+P$101)*IF(O77&lt;=0,1,P77/O77)^$F104*(IF(O87&lt;=0,1,P87/O87)^$G104/(1+$H104+$I104))^(1+$F104)</f>
        <v>1463.00940842421</v>
      </c>
      <c r="Q114" s="29" t="n">
        <f aca="false">P114*(1+Q$99)^($E104*Q$100)*(1+Q$101)*IF(P77&lt;=0,1,Q77/P77)^$F104*(IF(P87&lt;=0,1,Q87/P87)^$G104/(1+$H104+$I104))^(1+$F104)</f>
        <v>1479.94340671035</v>
      </c>
      <c r="R114" s="29" t="n">
        <f aca="false">Q114*(1+R$99)^($E104*R$100)*(1+R$101)*IF(Q77&lt;=0,1,R77/Q77)^$F104*(IF(Q87&lt;=0,1,R87/Q87)^$G104/(1+$H104+$I104))^(1+$F104)</f>
        <v>1520.88627890674</v>
      </c>
      <c r="S114" s="29" t="n">
        <f aca="false">R114*(1+S$99)^($E104*S$100)*(1+S$101)*IF(R77&lt;=0,1,S77/R77)^$F104*(IF(R87&lt;=0,1,S87/R87)^$G104/(1+$H104+$I104))^(1+$F104)</f>
        <v>1560.75473437556</v>
      </c>
      <c r="T114" s="29" t="n">
        <f aca="false">S114*(1+T$99)^($E104*T$100)*(1+T$101)*IF(S77&lt;=0,1,T77/S77)^$F104*(IF(S87&lt;=0,1,T87/S87)^$G104/(1+$H104+$I104))^(1+$F104)</f>
        <v>1598.95150875781</v>
      </c>
      <c r="U114" s="29" t="n">
        <f aca="false">T114*(1+U$99)^($E104*U$100)*(1+U$101)*IF(T77&lt;=0,1,U77/T77)^$F104*(IF(T87&lt;=0,1,U87/T87)^$G104/(1+$H104+$I104))^(1+$F104)</f>
        <v>1637.23935045645</v>
      </c>
      <c r="V114" s="29" t="n">
        <f aca="false">U114*(1+V$99)^($E104*V$100)*(1+V$101)*IF(U77&lt;=0,1,V77/U77)^$F104*(IF(U87&lt;=0,1,V87/U87)^$G104/(1+$H104+$I104))^(1+$F104)</f>
        <v>1668.235665405</v>
      </c>
      <c r="W114" s="29" t="n">
        <f aca="false">V114*(1+W$99)^($E104*W$100)*(1+W$101)*IF(V77&lt;=0,1,W77/V77)^$F104*(IF(V87&lt;=0,1,W87/V87)^$G104/(1+$H104+$I104))^(1+$F104)</f>
        <v>1699.31019575918</v>
      </c>
      <c r="X114" s="29" t="n">
        <f aca="false">W114*(1+X$99)^($E104*X$100)*(1+X$101)*IF(W77&lt;=0,1,X77/W77)^$F104*(IF(W87&lt;=0,1,X87/W87)^$G104/(1+$H104+$I104))^(1+$F104)</f>
        <v>1730.45408429811</v>
      </c>
      <c r="Y114" s="29" t="n">
        <f aca="false">X114*(1+Y$99)^($E104*Y$100)*(1+Y$101)*IF(X77&lt;=0,1,Y77/X77)^$F104*(IF(X87&lt;=0,1,Y87/X87)^$G104/(1+$H104+$I104))^(1+$F104)</f>
        <v>1761.65855185757</v>
      </c>
      <c r="Z114" s="29" t="n">
        <f aca="false">Y114*(1+Z$99)^($E104*Z$100)*(1+Z$101)*IF(Y77&lt;=0,1,Z77/Y77)^$F104*(IF(Y87&lt;=0,1,Z87/Y87)^$G104/(1+$H104+$I104))^(1+$F104)</f>
        <v>1792.91488989513</v>
      </c>
      <c r="AA114" s="29" t="n">
        <f aca="false">Z114*(1+AA$99)^($E104*AA$100)*(1+AA$101)*IF(Z77&lt;=0,1,AA77/Z77)^$F104*(IF(Z87&lt;=0,1,AA87/Z87)^$G104/(1+$H104+$I104))^(1+$F104)</f>
        <v>1824.21445225722</v>
      </c>
      <c r="AB114" s="29" t="n">
        <f aca="false">AA114*(1+AB$99)^($E104*AB$100)*(1+AB$101)*IF(AA77&lt;=0,1,AB77/AA77)^$F104*(IF(AA87&lt;=0,1,AB87/AA87)^$G104/(1+$H104+$I104))^(1+$F104)</f>
        <v>1855.54864618903</v>
      </c>
      <c r="AC114" s="29" t="n">
        <f aca="false">AB114*(1+AC$99)^($E104*AC$100)*(1+AC$101)*IF(AB77&lt;=0,1,AC77/AB77)^$F104*(IF(AB87&lt;=0,1,AC87/AB87)^$G104/(1+$H104+$I104))^(1+$F104)</f>
        <v>1886.90892262557</v>
      </c>
      <c r="AD114" s="29" t="n">
        <f aca="false">AC114*(1+AD$99)^($E104*AD$100)*(1+AD$101)*IF(AC77&lt;=0,1,AD77/AC77)^$F104*(IF(AC87&lt;=0,1,AD87/AC87)^$G104/(1+$H104+$I104))^(1+$F104)</f>
        <v>1918.28676579971</v>
      </c>
      <c r="AE114" s="29" t="n">
        <f aca="false">AD114*(1+AE$99)^($E104*AE$100)*(1+AE$101)*IF(AD77&lt;=0,1,AE77/AD77)^$F104*(IF(AD87&lt;=0,1,AE87/AD87)^$G104/(1+$H104+$I104))^(1+$F104)</f>
        <v>1949.67368220012</v>
      </c>
    </row>
    <row r="115" customFormat="false" ht="15" hidden="false" customHeight="false" outlineLevel="0" collapsed="false">
      <c r="B115" s="17" t="s">
        <v>57</v>
      </c>
      <c r="C115" s="17" t="str">
        <f aca="false">$C$65</f>
        <v>cem</v>
      </c>
      <c r="D115" s="18" t="s">
        <v>58</v>
      </c>
      <c r="E115" s="19" t="s">
        <v>112</v>
      </c>
      <c r="F115" s="17" t="s">
        <v>113</v>
      </c>
      <c r="G115" s="20" t="str">
        <f aca="false">Settings!$B$3&amp;".mit.enc."&amp;$B115</f>
        <v>egy.mit.enc.nga</v>
      </c>
      <c r="H115" s="21" t="str">
        <f aca="false">Settings!$B$3&amp;".mit.ener."&amp;$C$65&amp;"."&amp;$B115&amp;".e."&amp;$J$65</f>
        <v>egy.mit.ener.cem.nga.e.1</v>
      </c>
      <c r="L115" s="28" t="n">
        <f aca="false">INDEX(Data_Energy!$D$3:$U$22,MATCH($B115,Data_Energy!$C$3:$C$22,0),MATCH($C115,Data_Energy!$D$2:$U$2,0))</f>
        <v>1747.39153476208</v>
      </c>
      <c r="M115" s="29" t="n">
        <f aca="false">L115*(1+M$99)^($E105*M$100)*(1+M$101)*IF(L78&lt;=0,1,M78/L78)^$F105*(IF(L88&lt;=0,1,M88/L88)^$G105/(1+$H105+$I105))^(1+$F105)</f>
        <v>1498.9759731404</v>
      </c>
      <c r="N115" s="29" t="n">
        <f aca="false">M115*(1+N$99)^($E105*N$100)*(1+N$101)*IF(M78&lt;=0,1,N78/M78)^$F105*(IF(M88&lt;=0,1,N88/M88)^$G105/(1+$H105+$I105))^(1+$F105)</f>
        <v>1678.35816057939</v>
      </c>
      <c r="O115" s="29" t="n">
        <f aca="false">N115*(1+O$99)^($E105*O$100)*(1+O$101)*IF(N78&lt;=0,1,O78/N78)^$F105*(IF(N88&lt;=0,1,O88/N88)^$G105/(1+$H105+$I105))^(1+$F105)</f>
        <v>1744.68247730686</v>
      </c>
      <c r="P115" s="29" t="n">
        <f aca="false">O115*(1+P$99)^($E105*P$100)*(1+P$101)*IF(O78&lt;=0,1,P78/O78)^$F105*(IF(O88&lt;=0,1,P88/O88)^$G105/(1+$H105+$I105))^(1+$F105)</f>
        <v>1810.20255932974</v>
      </c>
      <c r="Q115" s="29" t="n">
        <f aca="false">P115*(1+Q$99)^($E105*Q$100)*(1+Q$101)*IF(P78&lt;=0,1,Q78/P78)^$F105*(IF(P88&lt;=0,1,Q88/P88)^$G105/(1+$H105+$I105))^(1+$F105)</f>
        <v>1888.26993566398</v>
      </c>
      <c r="R115" s="29" t="n">
        <f aca="false">Q115*(1+R$99)^($E105*R$100)*(1+R$101)*IF(Q78&lt;=0,1,R78/Q78)^$F105*(IF(Q88&lt;=0,1,R88/Q88)^$G105/(1+$H105+$I105))^(1+$F105)</f>
        <v>1982.03522275245</v>
      </c>
      <c r="S115" s="29" t="n">
        <f aca="false">R115*(1+S$99)^($E105*S$100)*(1+S$101)*IF(R78&lt;=0,1,S78/R78)^$F105*(IF(R88&lt;=0,1,S88/R88)^$G105/(1+$H105+$I105))^(1+$F105)</f>
        <v>2073.23357728365</v>
      </c>
      <c r="T115" s="29" t="n">
        <f aca="false">S115*(1+T$99)^($E105*T$100)*(1+T$101)*IF(S78&lt;=0,1,T78/S78)^$F105*(IF(S88&lt;=0,1,T88/S88)^$G105/(1+$H105+$I105))^(1+$F105)</f>
        <v>2159.78535014034</v>
      </c>
      <c r="U115" s="29" t="n">
        <f aca="false">T115*(1+U$99)^($E105*U$100)*(1+U$101)*IF(T78&lt;=0,1,U78/T78)^$F105*(IF(T88&lt;=0,1,U88/T88)^$G105/(1+$H105+$I105))^(1+$F105)</f>
        <v>2248.21113272254</v>
      </c>
      <c r="V115" s="29" t="n">
        <f aca="false">U115*(1+V$99)^($E105*V$100)*(1+V$101)*IF(U78&lt;=0,1,V78/U78)^$F105*(IF(U88&lt;=0,1,V88/U88)^$G105/(1+$H105+$I105))^(1+$F105)</f>
        <v>2338.83373148022</v>
      </c>
      <c r="W115" s="29" t="n">
        <f aca="false">V115*(1+W$99)^($E105*W$100)*(1+W$101)*IF(V78&lt;=0,1,W78/V78)^$F105*(IF(V88&lt;=0,1,W88/V88)^$G105/(1+$H105+$I105))^(1+$F105)</f>
        <v>2431.65339429375</v>
      </c>
      <c r="X115" s="29" t="n">
        <f aca="false">W115*(1+X$99)^($E105*X$100)*(1+X$101)*IF(W78&lt;=0,1,X78/W78)^$F105*(IF(W88&lt;=0,1,X88/W88)^$G105/(1+$H105+$I105))^(1+$F105)</f>
        <v>2526.6687256676</v>
      </c>
      <c r="Y115" s="29" t="n">
        <f aca="false">X115*(1+Y$99)^($E105*Y$100)*(1+Y$101)*IF(X78&lt;=0,1,Y78/X78)^$F105*(IF(X88&lt;=0,1,Y88/X88)^$G105/(1+$H105+$I105))^(1+$F105)</f>
        <v>2623.87666192218</v>
      </c>
      <c r="Z115" s="29" t="n">
        <f aca="false">Y115*(1+Z$99)^($E105*Z$100)*(1+Z$101)*IF(Y78&lt;=0,1,Z78/Y78)^$F105*(IF(Y88&lt;=0,1,Z88/Y88)^$G105/(1+$H105+$I105))^(1+$F105)</f>
        <v>2723.27244300004</v>
      </c>
      <c r="AA115" s="29" t="n">
        <f aca="false">Z115*(1+AA$99)^($E105*AA$100)*(1+AA$101)*IF(Z78&lt;=0,1,AA78/Z78)^$F105*(IF(Z88&lt;=0,1,AA88/Z88)^$G105/(1+$H105+$I105))^(1+$F105)</f>
        <v>2824.84958060738</v>
      </c>
      <c r="AB115" s="29" t="n">
        <f aca="false">AA115*(1+AB$99)^($E105*AB$100)*(1+AB$101)*IF(AA78&lt;=0,1,AB78/AA78)^$F105*(IF(AA88&lt;=0,1,AB88/AA88)^$G105/(1+$H105+$I105))^(1+$F105)</f>
        <v>2928.59982242349</v>
      </c>
      <c r="AC115" s="29" t="n">
        <f aca="false">AB115*(1+AC$99)^($E105*AC$100)*(1+AC$101)*IF(AB78&lt;=0,1,AC78/AB78)^$F105*(IF(AB88&lt;=0,1,AC88/AB88)^$G105/(1+$H105+$I105))^(1+$F105)</f>
        <v>3034.51311212058</v>
      </c>
      <c r="AD115" s="29" t="n">
        <f aca="false">AC115*(1+AD$99)^($E105*AD$100)*(1+AD$101)*IF(AC78&lt;=0,1,AD78/AC78)^$F105*(IF(AC88&lt;=0,1,AD88/AC88)^$G105/(1+$H105+$I105))^(1+$F105)</f>
        <v>3142.57754494757</v>
      </c>
      <c r="AE115" s="29" t="n">
        <f aca="false">AD115*(1+AE$99)^($E105*AE$100)*(1+AE$101)*IF(AD78&lt;=0,1,AE78/AD78)^$F105*(IF(AD88&lt;=0,1,AE88/AD88)^$G105/(1+$H105+$I105))^(1+$F105)</f>
        <v>3252.7793186411</v>
      </c>
    </row>
    <row r="116" customFormat="false" ht="15" hidden="false" customHeight="false" outlineLevel="0" collapsed="false">
      <c r="B116" s="17" t="s">
        <v>59</v>
      </c>
      <c r="C116" s="17" t="str">
        <f aca="false">$C$65</f>
        <v>cem</v>
      </c>
      <c r="D116" s="18" t="s">
        <v>60</v>
      </c>
      <c r="E116" s="19" t="s">
        <v>112</v>
      </c>
      <c r="F116" s="17" t="s">
        <v>113</v>
      </c>
      <c r="G116" s="20" t="str">
        <f aca="false">Settings!$B$3&amp;".mit.enc."&amp;$B116</f>
        <v>egy.mit.enc.gso</v>
      </c>
      <c r="H116" s="21" t="str">
        <f aca="false">Settings!$B$3&amp;".mit.ener."&amp;$C$65&amp;"."&amp;$B116&amp;".e."&amp;$J$65</f>
        <v>egy.mit.ener.cem.gso.e.1</v>
      </c>
      <c r="L116" s="28" t="n">
        <f aca="false">INDEX(Data_Energy!$D$3:$U$22,MATCH($B116,Data_Energy!$C$3:$C$22,0),MATCH($C116,Data_Energy!$D$2:$U$2,0))</f>
        <v>0</v>
      </c>
      <c r="M116" s="29" t="n">
        <f aca="false">L116*(1+M$99)^($E106*M$100)*(1+M$101)*IF(L79&lt;=0,1,M79/L79)^$F106*(IF(L89&lt;=0,1,M89/L89)^$G106/(1+$H106+$I106))^(1+$F106)</f>
        <v>0</v>
      </c>
      <c r="N116" s="29" t="n">
        <f aca="false">M116*(1+N$99)^($E106*N$100)*(1+N$101)*IF(M79&lt;=0,1,N79/M79)^$F106*(IF(M89&lt;=0,1,N89/M89)^$G106/(1+$H106+$I106))^(1+$F106)</f>
        <v>0</v>
      </c>
      <c r="O116" s="29" t="n">
        <f aca="false">N116*(1+O$99)^($E106*O$100)*(1+O$101)*IF(N79&lt;=0,1,O79/N79)^$F106*(IF(N89&lt;=0,1,O89/N89)^$G106/(1+$H106+$I106))^(1+$F106)</f>
        <v>0</v>
      </c>
      <c r="P116" s="29" t="n">
        <f aca="false">O116*(1+P$99)^($E106*P$100)*(1+P$101)*IF(O79&lt;=0,1,P79/O79)^$F106*(IF(O89&lt;=0,1,P89/O89)^$G106/(1+$H106+$I106))^(1+$F106)</f>
        <v>0</v>
      </c>
      <c r="Q116" s="29" t="n">
        <f aca="false">P116*(1+Q$99)^($E106*Q$100)*(1+Q$101)*IF(P79&lt;=0,1,Q79/P79)^$F106*(IF(P89&lt;=0,1,Q89/P89)^$G106/(1+$H106+$I106))^(1+$F106)</f>
        <v>0</v>
      </c>
      <c r="R116" s="29" t="n">
        <f aca="false">Q116*(1+R$99)^($E106*R$100)*(1+R$101)*IF(Q79&lt;=0,1,R79/Q79)^$F106*(IF(Q89&lt;=0,1,R89/Q89)^$G106/(1+$H106+$I106))^(1+$F106)</f>
        <v>0</v>
      </c>
      <c r="S116" s="29" t="n">
        <f aca="false">R116*(1+S$99)^($E106*S$100)*(1+S$101)*IF(R79&lt;=0,1,S79/R79)^$F106*(IF(R89&lt;=0,1,S89/R89)^$G106/(1+$H106+$I106))^(1+$F106)</f>
        <v>0</v>
      </c>
      <c r="T116" s="29" t="n">
        <f aca="false">S116*(1+T$99)^($E106*T$100)*(1+T$101)*IF(S79&lt;=0,1,T79/S79)^$F106*(IF(S89&lt;=0,1,T89/S89)^$G106/(1+$H106+$I106))^(1+$F106)</f>
        <v>0</v>
      </c>
      <c r="U116" s="29" t="n">
        <f aca="false">T116*(1+U$99)^($E106*U$100)*(1+U$101)*IF(T79&lt;=0,1,U79/T79)^$F106*(IF(T89&lt;=0,1,U89/T89)^$G106/(1+$H106+$I106))^(1+$F106)</f>
        <v>0</v>
      </c>
      <c r="V116" s="29" t="n">
        <f aca="false">U116*(1+V$99)^($E106*V$100)*(1+V$101)*IF(U79&lt;=0,1,V79/U79)^$F106*(IF(U89&lt;=0,1,V89/U89)^$G106/(1+$H106+$I106))^(1+$F106)</f>
        <v>0</v>
      </c>
      <c r="W116" s="29" t="n">
        <f aca="false">V116*(1+W$99)^($E106*W$100)*(1+W$101)*IF(V79&lt;=0,1,W79/V79)^$F106*(IF(V89&lt;=0,1,W89/V89)^$G106/(1+$H106+$I106))^(1+$F106)</f>
        <v>0</v>
      </c>
      <c r="X116" s="29" t="n">
        <f aca="false">W116*(1+X$99)^($E106*X$100)*(1+X$101)*IF(W79&lt;=0,1,X79/W79)^$F106*(IF(W89&lt;=0,1,X89/W89)^$G106/(1+$H106+$I106))^(1+$F106)</f>
        <v>0</v>
      </c>
      <c r="Y116" s="29" t="n">
        <f aca="false">X116*(1+Y$99)^($E106*Y$100)*(1+Y$101)*IF(X79&lt;=0,1,Y79/X79)^$F106*(IF(X89&lt;=0,1,Y89/X89)^$G106/(1+$H106+$I106))^(1+$F106)</f>
        <v>0</v>
      </c>
      <c r="Z116" s="29" t="n">
        <f aca="false">Y116*(1+Z$99)^($E106*Z$100)*(1+Z$101)*IF(Y79&lt;=0,1,Z79/Y79)^$F106*(IF(Y89&lt;=0,1,Z89/Y89)^$G106/(1+$H106+$I106))^(1+$F106)</f>
        <v>0</v>
      </c>
      <c r="AA116" s="29" t="n">
        <f aca="false">Z116*(1+AA$99)^($E106*AA$100)*(1+AA$101)*IF(Z79&lt;=0,1,AA79/Z79)^$F106*(IF(Z89&lt;=0,1,AA89/Z89)^$G106/(1+$H106+$I106))^(1+$F106)</f>
        <v>0</v>
      </c>
      <c r="AB116" s="29" t="n">
        <f aca="false">AA116*(1+AB$99)^($E106*AB$100)*(1+AB$101)*IF(AA79&lt;=0,1,AB79/AA79)^$F106*(IF(AA89&lt;=0,1,AB89/AA89)^$G106/(1+$H106+$I106))^(1+$F106)</f>
        <v>0</v>
      </c>
      <c r="AC116" s="29" t="n">
        <f aca="false">AB116*(1+AC$99)^($E106*AC$100)*(1+AC$101)*IF(AB79&lt;=0,1,AC79/AB79)^$F106*(IF(AB89&lt;=0,1,AC89/AB89)^$G106/(1+$H106+$I106))^(1+$F106)</f>
        <v>0</v>
      </c>
      <c r="AD116" s="29" t="n">
        <f aca="false">AC116*(1+AD$99)^($E106*AD$100)*(1+AD$101)*IF(AC79&lt;=0,1,AD79/AC79)^$F106*(IF(AC89&lt;=0,1,AD89/AC89)^$G106/(1+$H106+$I106))^(1+$F106)</f>
        <v>0</v>
      </c>
      <c r="AE116" s="29" t="n">
        <f aca="false">AD116*(1+AE$99)^($E106*AE$100)*(1+AE$101)*IF(AD79&lt;=0,1,AE79/AD79)^$F106*(IF(AD89&lt;=0,1,AE89/AD89)^$G106/(1+$H106+$I106))^(1+$F106)</f>
        <v>0</v>
      </c>
    </row>
    <row r="117" customFormat="false" ht="15" hidden="false" customHeight="false" outlineLevel="0" collapsed="false">
      <c r="B117" s="17" t="s">
        <v>62</v>
      </c>
      <c r="C117" s="17" t="str">
        <f aca="false">$C$65</f>
        <v>cem</v>
      </c>
      <c r="D117" s="18" t="s">
        <v>63</v>
      </c>
      <c r="E117" s="19" t="s">
        <v>112</v>
      </c>
      <c r="F117" s="17" t="s">
        <v>113</v>
      </c>
      <c r="G117" s="20" t="str">
        <f aca="false">Settings!$B$3&amp;".mit.enc."&amp;$B117</f>
        <v>egy.mit.enc.die</v>
      </c>
      <c r="H117" s="21" t="str">
        <f aca="false">Settings!$B$3&amp;".mit.ener."&amp;$C$65&amp;"."&amp;$B117&amp;".e."&amp;$J$65</f>
        <v>egy.mit.ener.cem.die.e.1</v>
      </c>
      <c r="L117" s="28" t="n">
        <f aca="false">INDEX(Data_Energy!$D$3:$U$22,MATCH($B117,Data_Energy!$C$3:$C$22,0),MATCH($C117,Data_Energy!$D$2:$U$2,0))</f>
        <v>0</v>
      </c>
      <c r="M117" s="29" t="n">
        <f aca="false">L117*(1+M$99)^($E107*M$100)*(1+M$101)*IF(L80&lt;=0,1,M80/L80)^$F107*(IF(L90&lt;=0,1,M90/L90)^$G107/(1+$H107+$I107))^(1+$F107)</f>
        <v>0</v>
      </c>
      <c r="N117" s="29" t="n">
        <f aca="false">M117*(1+N$99)^($E107*N$100)*(1+N$101)*IF(M80&lt;=0,1,N80/M80)^$F107*(IF(M90&lt;=0,1,N90/M90)^$G107/(1+$H107+$I107))^(1+$F107)</f>
        <v>0</v>
      </c>
      <c r="O117" s="29" t="n">
        <f aca="false">N117*(1+O$99)^($E107*O$100)*(1+O$101)*IF(N80&lt;=0,1,O80/N80)^$F107*(IF(N90&lt;=0,1,O90/N90)^$G107/(1+$H107+$I107))^(1+$F107)</f>
        <v>0</v>
      </c>
      <c r="P117" s="29" t="n">
        <f aca="false">O117*(1+P$99)^($E107*P$100)*(1+P$101)*IF(O80&lt;=0,1,P80/O80)^$F107*(IF(O90&lt;=0,1,P90/O90)^$G107/(1+$H107+$I107))^(1+$F107)</f>
        <v>0</v>
      </c>
      <c r="Q117" s="29" t="n">
        <f aca="false">P117*(1+Q$99)^($E107*Q$100)*(1+Q$101)*IF(P80&lt;=0,1,Q80/P80)^$F107*(IF(P90&lt;=0,1,Q90/P90)^$G107/(1+$H107+$I107))^(1+$F107)</f>
        <v>0</v>
      </c>
      <c r="R117" s="29" t="n">
        <f aca="false">Q117*(1+R$99)^($E107*R$100)*(1+R$101)*IF(Q80&lt;=0,1,R80/Q80)^$F107*(IF(Q90&lt;=0,1,R90/Q90)^$G107/(1+$H107+$I107))^(1+$F107)</f>
        <v>0</v>
      </c>
      <c r="S117" s="29" t="n">
        <f aca="false">R117*(1+S$99)^($E107*S$100)*(1+S$101)*IF(R80&lt;=0,1,S80/R80)^$F107*(IF(R90&lt;=0,1,S90/R90)^$G107/(1+$H107+$I107))^(1+$F107)</f>
        <v>0</v>
      </c>
      <c r="T117" s="29" t="n">
        <f aca="false">S117*(1+T$99)^($E107*T$100)*(1+T$101)*IF(S80&lt;=0,1,T80/S80)^$F107*(IF(S90&lt;=0,1,T90/S90)^$G107/(1+$H107+$I107))^(1+$F107)</f>
        <v>0</v>
      </c>
      <c r="U117" s="29" t="n">
        <f aca="false">T117*(1+U$99)^($E107*U$100)*(1+U$101)*IF(T80&lt;=0,1,U80/T80)^$F107*(IF(T90&lt;=0,1,U90/T90)^$G107/(1+$H107+$I107))^(1+$F107)</f>
        <v>0</v>
      </c>
      <c r="V117" s="29" t="n">
        <f aca="false">U117*(1+V$99)^($E107*V$100)*(1+V$101)*IF(U80&lt;=0,1,V80/U80)^$F107*(IF(U90&lt;=0,1,V90/U90)^$G107/(1+$H107+$I107))^(1+$F107)</f>
        <v>0</v>
      </c>
      <c r="W117" s="29" t="n">
        <f aca="false">V117*(1+W$99)^($E107*W$100)*(1+W$101)*IF(V80&lt;=0,1,W80/V80)^$F107*(IF(V90&lt;=0,1,W90/V90)^$G107/(1+$H107+$I107))^(1+$F107)</f>
        <v>0</v>
      </c>
      <c r="X117" s="29" t="n">
        <f aca="false">W117*(1+X$99)^($E107*X$100)*(1+X$101)*IF(W80&lt;=0,1,X80/W80)^$F107*(IF(W90&lt;=0,1,X90/W90)^$G107/(1+$H107+$I107))^(1+$F107)</f>
        <v>0</v>
      </c>
      <c r="Y117" s="29" t="n">
        <f aca="false">X117*(1+Y$99)^($E107*Y$100)*(1+Y$101)*IF(X80&lt;=0,1,Y80/X80)^$F107*(IF(X90&lt;=0,1,Y90/X90)^$G107/(1+$H107+$I107))^(1+$F107)</f>
        <v>0</v>
      </c>
      <c r="Z117" s="29" t="n">
        <f aca="false">Y117*(1+Z$99)^($E107*Z$100)*(1+Z$101)*IF(Y80&lt;=0,1,Z80/Y80)^$F107*(IF(Y90&lt;=0,1,Z90/Y90)^$G107/(1+$H107+$I107))^(1+$F107)</f>
        <v>0</v>
      </c>
      <c r="AA117" s="29" t="n">
        <f aca="false">Z117*(1+AA$99)^($E107*AA$100)*(1+AA$101)*IF(Z80&lt;=0,1,AA80/Z80)^$F107*(IF(Z90&lt;=0,1,AA90/Z90)^$G107/(1+$H107+$I107))^(1+$F107)</f>
        <v>0</v>
      </c>
      <c r="AB117" s="29" t="n">
        <f aca="false">AA117*(1+AB$99)^($E107*AB$100)*(1+AB$101)*IF(AA80&lt;=0,1,AB80/AA80)^$F107*(IF(AA90&lt;=0,1,AB90/AA90)^$G107/(1+$H107+$I107))^(1+$F107)</f>
        <v>0</v>
      </c>
      <c r="AC117" s="29" t="n">
        <f aca="false">AB117*(1+AC$99)^($E107*AC$100)*(1+AC$101)*IF(AB80&lt;=0,1,AC80/AB80)^$F107*(IF(AB90&lt;=0,1,AC90/AB90)^$G107/(1+$H107+$I107))^(1+$F107)</f>
        <v>0</v>
      </c>
      <c r="AD117" s="29" t="n">
        <f aca="false">AC117*(1+AD$99)^($E107*AD$100)*(1+AD$101)*IF(AC80&lt;=0,1,AD80/AC80)^$F107*(IF(AC90&lt;=0,1,AD90/AC90)^$G107/(1+$H107+$I107))^(1+$F107)</f>
        <v>0</v>
      </c>
      <c r="AE117" s="29" t="n">
        <f aca="false">AD117*(1+AE$99)^($E107*AE$100)*(1+AE$101)*IF(AD80&lt;=0,1,AE80/AD80)^$F107*(IF(AD90&lt;=0,1,AE90/AD90)^$G107/(1+$H107+$I107))^(1+$F107)</f>
        <v>0</v>
      </c>
    </row>
    <row r="118" customFormat="false" ht="15" hidden="false" customHeight="false" outlineLevel="0" collapsed="false">
      <c r="B118" s="17" t="s">
        <v>64</v>
      </c>
      <c r="C118" s="17" t="str">
        <f aca="false">$C$65</f>
        <v>cem</v>
      </c>
      <c r="D118" s="18" t="s">
        <v>65</v>
      </c>
      <c r="E118" s="19" t="s">
        <v>112</v>
      </c>
      <c r="F118" s="17" t="s">
        <v>113</v>
      </c>
      <c r="G118" s="20" t="str">
        <f aca="false">Settings!$B$3&amp;".mit.enc."&amp;$B118</f>
        <v>egy.mit.enc.lpg</v>
      </c>
      <c r="H118" s="21" t="str">
        <f aca="false">Settings!$B$3&amp;".mit.ener."&amp;$C$65&amp;"."&amp;$B118&amp;".e."&amp;$J$65</f>
        <v>egy.mit.ener.cem.lpg.e.1</v>
      </c>
      <c r="L118" s="28" t="n">
        <f aca="false">INDEX(Data_Energy!$D$3:$U$22,MATCH($B118,Data_Energy!$C$3:$C$22,0),MATCH($C118,Data_Energy!$D$2:$U$2,0))</f>
        <v>0</v>
      </c>
      <c r="M118" s="29" t="n">
        <f aca="false">L118*(1+M$99)^($E108*M$100)*(1+M$101)*IF(L81&lt;=0,1,M81/L81)^$F108*(IF(L91&lt;=0,1,M91/L91)^$G108/(1+$H108+$I108))^(1+$F108)</f>
        <v>0</v>
      </c>
      <c r="N118" s="29" t="n">
        <f aca="false">M118*(1+N$99)^($E108*N$100)*(1+N$101)*IF(M81&lt;=0,1,N81/M81)^$F108*(IF(M91&lt;=0,1,N91/M91)^$G108/(1+$H108+$I108))^(1+$F108)</f>
        <v>0</v>
      </c>
      <c r="O118" s="29" t="n">
        <f aca="false">N118*(1+O$99)^($E108*O$100)*(1+O$101)*IF(N81&lt;=0,1,O81/N81)^$F108*(IF(N91&lt;=0,1,O91/N91)^$G108/(1+$H108+$I108))^(1+$F108)</f>
        <v>0</v>
      </c>
      <c r="P118" s="29" t="n">
        <f aca="false">O118*(1+P$99)^($E108*P$100)*(1+P$101)*IF(O81&lt;=0,1,P81/O81)^$F108*(IF(O91&lt;=0,1,P91/O91)^$G108/(1+$H108+$I108))^(1+$F108)</f>
        <v>0</v>
      </c>
      <c r="Q118" s="29" t="n">
        <f aca="false">P118*(1+Q$99)^($E108*Q$100)*(1+Q$101)*IF(P81&lt;=0,1,Q81/P81)^$F108*(IF(P91&lt;=0,1,Q91/P91)^$G108/(1+$H108+$I108))^(1+$F108)</f>
        <v>0</v>
      </c>
      <c r="R118" s="29" t="n">
        <f aca="false">Q118*(1+R$99)^($E108*R$100)*(1+R$101)*IF(Q81&lt;=0,1,R81/Q81)^$F108*(IF(Q91&lt;=0,1,R91/Q91)^$G108/(1+$H108+$I108))^(1+$F108)</f>
        <v>0</v>
      </c>
      <c r="S118" s="29" t="n">
        <f aca="false">R118*(1+S$99)^($E108*S$100)*(1+S$101)*IF(R81&lt;=0,1,S81/R81)^$F108*(IF(R91&lt;=0,1,S91/R91)^$G108/(1+$H108+$I108))^(1+$F108)</f>
        <v>0</v>
      </c>
      <c r="T118" s="29" t="n">
        <f aca="false">S118*(1+T$99)^($E108*T$100)*(1+T$101)*IF(S81&lt;=0,1,T81/S81)^$F108*(IF(S91&lt;=0,1,T91/S91)^$G108/(1+$H108+$I108))^(1+$F108)</f>
        <v>0</v>
      </c>
      <c r="U118" s="29" t="n">
        <f aca="false">T118*(1+U$99)^($E108*U$100)*(1+U$101)*IF(T81&lt;=0,1,U81/T81)^$F108*(IF(T91&lt;=0,1,U91/T91)^$G108/(1+$H108+$I108))^(1+$F108)</f>
        <v>0</v>
      </c>
      <c r="V118" s="29" t="n">
        <f aca="false">U118*(1+V$99)^($E108*V$100)*(1+V$101)*IF(U81&lt;=0,1,V81/U81)^$F108*(IF(U91&lt;=0,1,V91/U91)^$G108/(1+$H108+$I108))^(1+$F108)</f>
        <v>0</v>
      </c>
      <c r="W118" s="29" t="n">
        <f aca="false">V118*(1+W$99)^($E108*W$100)*(1+W$101)*IF(V81&lt;=0,1,W81/V81)^$F108*(IF(V91&lt;=0,1,W91/V91)^$G108/(1+$H108+$I108))^(1+$F108)</f>
        <v>0</v>
      </c>
      <c r="X118" s="29" t="n">
        <f aca="false">W118*(1+X$99)^($E108*X$100)*(1+X$101)*IF(W81&lt;=0,1,X81/W81)^$F108*(IF(W91&lt;=0,1,X91/W91)^$G108/(1+$H108+$I108))^(1+$F108)</f>
        <v>0</v>
      </c>
      <c r="Y118" s="29" t="n">
        <f aca="false">X118*(1+Y$99)^($E108*Y$100)*(1+Y$101)*IF(X81&lt;=0,1,Y81/X81)^$F108*(IF(X91&lt;=0,1,Y91/X91)^$G108/(1+$H108+$I108))^(1+$F108)</f>
        <v>0</v>
      </c>
      <c r="Z118" s="29" t="n">
        <f aca="false">Y118*(1+Z$99)^($E108*Z$100)*(1+Z$101)*IF(Y81&lt;=0,1,Z81/Y81)^$F108*(IF(Y91&lt;=0,1,Z91/Y91)^$G108/(1+$H108+$I108))^(1+$F108)</f>
        <v>0</v>
      </c>
      <c r="AA118" s="29" t="n">
        <f aca="false">Z118*(1+AA$99)^($E108*AA$100)*(1+AA$101)*IF(Z81&lt;=0,1,AA81/Z81)^$F108*(IF(Z91&lt;=0,1,AA91/Z91)^$G108/(1+$H108+$I108))^(1+$F108)</f>
        <v>0</v>
      </c>
      <c r="AB118" s="29" t="n">
        <f aca="false">AA118*(1+AB$99)^($E108*AB$100)*(1+AB$101)*IF(AA81&lt;=0,1,AB81/AA81)^$F108*(IF(AA91&lt;=0,1,AB91/AA91)^$G108/(1+$H108+$I108))^(1+$F108)</f>
        <v>0</v>
      </c>
      <c r="AC118" s="29" t="n">
        <f aca="false">AB118*(1+AC$99)^($E108*AC$100)*(1+AC$101)*IF(AB81&lt;=0,1,AC81/AB81)^$F108*(IF(AB91&lt;=0,1,AC91/AB91)^$G108/(1+$H108+$I108))^(1+$F108)</f>
        <v>0</v>
      </c>
      <c r="AD118" s="29" t="n">
        <f aca="false">AC118*(1+AD$99)^($E108*AD$100)*(1+AD$101)*IF(AC81&lt;=0,1,AD81/AC81)^$F108*(IF(AC91&lt;=0,1,AD91/AC91)^$G108/(1+$H108+$I108))^(1+$F108)</f>
        <v>0</v>
      </c>
      <c r="AE118" s="29" t="n">
        <f aca="false">AD118*(1+AE$99)^($E108*AE$100)*(1+AE$101)*IF(AD81&lt;=0,1,AE81/AD81)^$F108*(IF(AD91&lt;=0,1,AE91/AD91)^$G108/(1+$H108+$I108))^(1+$F108)</f>
        <v>0</v>
      </c>
    </row>
    <row r="119" customFormat="false" ht="15" hidden="false" customHeight="false" outlineLevel="0" collapsed="false">
      <c r="B119" s="17" t="s">
        <v>66</v>
      </c>
      <c r="C119" s="17" t="str">
        <f aca="false">$C$65</f>
        <v>cem</v>
      </c>
      <c r="D119" s="18" t="s">
        <v>67</v>
      </c>
      <c r="E119" s="19" t="s">
        <v>112</v>
      </c>
      <c r="F119" s="17" t="s">
        <v>113</v>
      </c>
      <c r="G119" s="20" t="str">
        <f aca="false">Settings!$B$3&amp;".mit.enc."&amp;$B119</f>
        <v>egy.mit.enc.ker</v>
      </c>
      <c r="H119" s="21" t="str">
        <f aca="false">Settings!$B$3&amp;".mit.ener."&amp;$C$65&amp;"."&amp;$B119&amp;".e."&amp;$J$65</f>
        <v>egy.mit.ener.cem.ker.e.1</v>
      </c>
      <c r="L119" s="28" t="n">
        <f aca="false">INDEX(Data_Energy!$D$3:$U$22,MATCH($B119,Data_Energy!$C$3:$C$22,0),MATCH($C119,Data_Energy!$D$2:$U$2,0))</f>
        <v>0</v>
      </c>
      <c r="M119" s="29" t="n">
        <f aca="false">L119*(1+M$99)^($E109*M$100)*(1+M$101)*IF(L82&lt;=0,1,M82/L82)^$F109*(IF(L92&lt;=0,1,M92/L92)^$G109/(1+$H109+$I109))^(1+$F109)</f>
        <v>0</v>
      </c>
      <c r="N119" s="29" t="n">
        <f aca="false">M119*(1+N$99)^($E109*N$100)*(1+N$101)*IF(M82&lt;=0,1,N82/M82)^$F109*(IF(M92&lt;=0,1,N92/M92)^$G109/(1+$H109+$I109))^(1+$F109)</f>
        <v>0</v>
      </c>
      <c r="O119" s="29" t="n">
        <f aca="false">N119*(1+O$99)^($E109*O$100)*(1+O$101)*IF(N82&lt;=0,1,O82/N82)^$F109*(IF(N92&lt;=0,1,O92/N92)^$G109/(1+$H109+$I109))^(1+$F109)</f>
        <v>0</v>
      </c>
      <c r="P119" s="29" t="n">
        <f aca="false">O119*(1+P$99)^($E109*P$100)*(1+P$101)*IF(O82&lt;=0,1,P82/O82)^$F109*(IF(O92&lt;=0,1,P92/O92)^$G109/(1+$H109+$I109))^(1+$F109)</f>
        <v>0</v>
      </c>
      <c r="Q119" s="29" t="n">
        <f aca="false">P119*(1+Q$99)^($E109*Q$100)*(1+Q$101)*IF(P82&lt;=0,1,Q82/P82)^$F109*(IF(P92&lt;=0,1,Q92/P92)^$G109/(1+$H109+$I109))^(1+$F109)</f>
        <v>0</v>
      </c>
      <c r="R119" s="29" t="n">
        <f aca="false">Q119*(1+R$99)^($E109*R$100)*(1+R$101)*IF(Q82&lt;=0,1,R82/Q82)^$F109*(IF(Q92&lt;=0,1,R92/Q92)^$G109/(1+$H109+$I109))^(1+$F109)</f>
        <v>0</v>
      </c>
      <c r="S119" s="29" t="n">
        <f aca="false">R119*(1+S$99)^($E109*S$100)*(1+S$101)*IF(R82&lt;=0,1,S82/R82)^$F109*(IF(R92&lt;=0,1,S92/R92)^$G109/(1+$H109+$I109))^(1+$F109)</f>
        <v>0</v>
      </c>
      <c r="T119" s="29" t="n">
        <f aca="false">S119*(1+T$99)^($E109*T$100)*(1+T$101)*IF(S82&lt;=0,1,T82/S82)^$F109*(IF(S92&lt;=0,1,T92/S92)^$G109/(1+$H109+$I109))^(1+$F109)</f>
        <v>0</v>
      </c>
      <c r="U119" s="29" t="n">
        <f aca="false">T119*(1+U$99)^($E109*U$100)*(1+U$101)*IF(T82&lt;=0,1,U82/T82)^$F109*(IF(T92&lt;=0,1,U92/T92)^$G109/(1+$H109+$I109))^(1+$F109)</f>
        <v>0</v>
      </c>
      <c r="V119" s="29" t="n">
        <f aca="false">U119*(1+V$99)^($E109*V$100)*(1+V$101)*IF(U82&lt;=0,1,V82/U82)^$F109*(IF(U92&lt;=0,1,V92/U92)^$G109/(1+$H109+$I109))^(1+$F109)</f>
        <v>0</v>
      </c>
      <c r="W119" s="29" t="n">
        <f aca="false">V119*(1+W$99)^($E109*W$100)*(1+W$101)*IF(V82&lt;=0,1,W82/V82)^$F109*(IF(V92&lt;=0,1,W92/V92)^$G109/(1+$H109+$I109))^(1+$F109)</f>
        <v>0</v>
      </c>
      <c r="X119" s="29" t="n">
        <f aca="false">W119*(1+X$99)^($E109*X$100)*(1+X$101)*IF(W82&lt;=0,1,X82/W82)^$F109*(IF(W92&lt;=0,1,X92/W92)^$G109/(1+$H109+$I109))^(1+$F109)</f>
        <v>0</v>
      </c>
      <c r="Y119" s="29" t="n">
        <f aca="false">X119*(1+Y$99)^($E109*Y$100)*(1+Y$101)*IF(X82&lt;=0,1,Y82/X82)^$F109*(IF(X92&lt;=0,1,Y92/X92)^$G109/(1+$H109+$I109))^(1+$F109)</f>
        <v>0</v>
      </c>
      <c r="Z119" s="29" t="n">
        <f aca="false">Y119*(1+Z$99)^($E109*Z$100)*(1+Z$101)*IF(Y82&lt;=0,1,Z82/Y82)^$F109*(IF(Y92&lt;=0,1,Z92/Y92)^$G109/(1+$H109+$I109))^(1+$F109)</f>
        <v>0</v>
      </c>
      <c r="AA119" s="29" t="n">
        <f aca="false">Z119*(1+AA$99)^($E109*AA$100)*(1+AA$101)*IF(Z82&lt;=0,1,AA82/Z82)^$F109*(IF(Z92&lt;=0,1,AA92/Z92)^$G109/(1+$H109+$I109))^(1+$F109)</f>
        <v>0</v>
      </c>
      <c r="AB119" s="29" t="n">
        <f aca="false">AA119*(1+AB$99)^($E109*AB$100)*(1+AB$101)*IF(AA82&lt;=0,1,AB82/AA82)^$F109*(IF(AA92&lt;=0,1,AB92/AA92)^$G109/(1+$H109+$I109))^(1+$F109)</f>
        <v>0</v>
      </c>
      <c r="AC119" s="29" t="n">
        <f aca="false">AB119*(1+AC$99)^($E109*AC$100)*(1+AC$101)*IF(AB82&lt;=0,1,AC82/AB82)^$F109*(IF(AB92&lt;=0,1,AC92/AB92)^$G109/(1+$H109+$I109))^(1+$F109)</f>
        <v>0</v>
      </c>
      <c r="AD119" s="29" t="n">
        <f aca="false">AC119*(1+AD$99)^($E109*AD$100)*(1+AD$101)*IF(AC82&lt;=0,1,AD82/AC82)^$F109*(IF(AC92&lt;=0,1,AD92/AC92)^$G109/(1+$H109+$I109))^(1+$F109)</f>
        <v>0</v>
      </c>
      <c r="AE119" s="29" t="n">
        <f aca="false">AD119*(1+AE$99)^($E109*AE$100)*(1+AE$101)*IF(AD82&lt;=0,1,AE82/AD82)^$F109*(IF(AD92&lt;=0,1,AE92/AD92)^$G109/(1+$H109+$I109))^(1+$F109)</f>
        <v>0</v>
      </c>
    </row>
    <row r="120" customFormat="false" ht="15" hidden="false" customHeight="false" outlineLevel="0" collapsed="false">
      <c r="B120" s="17" t="s">
        <v>68</v>
      </c>
      <c r="C120" s="17" t="str">
        <f aca="false">$C$65</f>
        <v>cem</v>
      </c>
      <c r="D120" s="18" t="s">
        <v>69</v>
      </c>
      <c r="E120" s="19" t="s">
        <v>112</v>
      </c>
      <c r="F120" s="17" t="s">
        <v>113</v>
      </c>
      <c r="G120" s="20" t="str">
        <f aca="false">Settings!$B$3&amp;".mit.enc."&amp;$B120</f>
        <v>egy.mit.enc.oop</v>
      </c>
      <c r="H120" s="21" t="str">
        <f aca="false">Settings!$B$3&amp;".mit.ener."&amp;$C$65&amp;"."&amp;$B120&amp;".e."&amp;$J$65</f>
        <v>egy.mit.ener.cem.oop.e.1</v>
      </c>
      <c r="L120" s="28" t="n">
        <f aca="false">INDEX(Data_Energy!$D$3:$U$22,MATCH($B120,Data_Energy!$C$3:$C$22,0),MATCH($C120,Data_Energy!$D$2:$U$2,0))</f>
        <v>0</v>
      </c>
      <c r="M120" s="29" t="n">
        <f aca="false">L120*(1+M$99)^($E110*M$100)*(1+M$101)*IF(L83&lt;=0,1,M83/L83)^$F110*(IF(L93&lt;=0,1,M93/L93)^$G110/(1+$H110+$I110))^(1+$F110)</f>
        <v>0</v>
      </c>
      <c r="N120" s="29" t="n">
        <f aca="false">M120*(1+N$99)^($E110*N$100)*(1+N$101)*IF(M83&lt;=0,1,N83/M83)^$F110*(IF(M93&lt;=0,1,N93/M93)^$G110/(1+$H110+$I110))^(1+$F110)</f>
        <v>0</v>
      </c>
      <c r="O120" s="29" t="n">
        <f aca="false">N120*(1+O$99)^($E110*O$100)*(1+O$101)*IF(N83&lt;=0,1,O83/N83)^$F110*(IF(N93&lt;=0,1,O93/N93)^$G110/(1+$H110+$I110))^(1+$F110)</f>
        <v>0</v>
      </c>
      <c r="P120" s="29" t="n">
        <f aca="false">O120*(1+P$99)^($E110*P$100)*(1+P$101)*IF(O83&lt;=0,1,P83/O83)^$F110*(IF(O93&lt;=0,1,P93/O93)^$G110/(1+$H110+$I110))^(1+$F110)</f>
        <v>0</v>
      </c>
      <c r="Q120" s="29" t="n">
        <f aca="false">P120*(1+Q$99)^($E110*Q$100)*(1+Q$101)*IF(P83&lt;=0,1,Q83/P83)^$F110*(IF(P93&lt;=0,1,Q93/P93)^$G110/(1+$H110+$I110))^(1+$F110)</f>
        <v>0</v>
      </c>
      <c r="R120" s="29" t="n">
        <f aca="false">Q120*(1+R$99)^($E110*R$100)*(1+R$101)*IF(Q83&lt;=0,1,R83/Q83)^$F110*(IF(Q93&lt;=0,1,R93/Q93)^$G110/(1+$H110+$I110))^(1+$F110)</f>
        <v>0</v>
      </c>
      <c r="S120" s="29" t="n">
        <f aca="false">R120*(1+S$99)^($E110*S$100)*(1+S$101)*IF(R83&lt;=0,1,S83/R83)^$F110*(IF(R93&lt;=0,1,S93/R93)^$G110/(1+$H110+$I110))^(1+$F110)</f>
        <v>0</v>
      </c>
      <c r="T120" s="29" t="n">
        <f aca="false">S120*(1+T$99)^($E110*T$100)*(1+T$101)*IF(S83&lt;=0,1,T83/S83)^$F110*(IF(S93&lt;=0,1,T93/S93)^$G110/(1+$H110+$I110))^(1+$F110)</f>
        <v>0</v>
      </c>
      <c r="U120" s="29" t="n">
        <f aca="false">T120*(1+U$99)^($E110*U$100)*(1+U$101)*IF(T83&lt;=0,1,U83/T83)^$F110*(IF(T93&lt;=0,1,U93/T93)^$G110/(1+$H110+$I110))^(1+$F110)</f>
        <v>0</v>
      </c>
      <c r="V120" s="29" t="n">
        <f aca="false">U120*(1+V$99)^($E110*V$100)*(1+V$101)*IF(U83&lt;=0,1,V83/U83)^$F110*(IF(U93&lt;=0,1,V93/U93)^$G110/(1+$H110+$I110))^(1+$F110)</f>
        <v>0</v>
      </c>
      <c r="W120" s="29" t="n">
        <f aca="false">V120*(1+W$99)^($E110*W$100)*(1+W$101)*IF(V83&lt;=0,1,W83/V83)^$F110*(IF(V93&lt;=0,1,W93/V93)^$G110/(1+$H110+$I110))^(1+$F110)</f>
        <v>0</v>
      </c>
      <c r="X120" s="29" t="n">
        <f aca="false">W120*(1+X$99)^($E110*X$100)*(1+X$101)*IF(W83&lt;=0,1,X83/W83)^$F110*(IF(W93&lt;=0,1,X93/W93)^$G110/(1+$H110+$I110))^(1+$F110)</f>
        <v>0</v>
      </c>
      <c r="Y120" s="29" t="n">
        <f aca="false">X120*(1+Y$99)^($E110*Y$100)*(1+Y$101)*IF(X83&lt;=0,1,Y83/X83)^$F110*(IF(X93&lt;=0,1,Y93/X93)^$G110/(1+$H110+$I110))^(1+$F110)</f>
        <v>0</v>
      </c>
      <c r="Z120" s="29" t="n">
        <f aca="false">Y120*(1+Z$99)^($E110*Z$100)*(1+Z$101)*IF(Y83&lt;=0,1,Z83/Y83)^$F110*(IF(Y93&lt;=0,1,Z93/Y93)^$G110/(1+$H110+$I110))^(1+$F110)</f>
        <v>0</v>
      </c>
      <c r="AA120" s="29" t="n">
        <f aca="false">Z120*(1+AA$99)^($E110*AA$100)*(1+AA$101)*IF(Z83&lt;=0,1,AA83/Z83)^$F110*(IF(Z93&lt;=0,1,AA93/Z93)^$G110/(1+$H110+$I110))^(1+$F110)</f>
        <v>0</v>
      </c>
      <c r="AB120" s="29" t="n">
        <f aca="false">AA120*(1+AB$99)^($E110*AB$100)*(1+AB$101)*IF(AA83&lt;=0,1,AB83/AA83)^$F110*(IF(AA93&lt;=0,1,AB93/AA93)^$G110/(1+$H110+$I110))^(1+$F110)</f>
        <v>0</v>
      </c>
      <c r="AC120" s="29" t="n">
        <f aca="false">AB120*(1+AC$99)^($E110*AC$100)*(1+AC$101)*IF(AB83&lt;=0,1,AC83/AB83)^$F110*(IF(AB93&lt;=0,1,AC93/AB93)^$G110/(1+$H110+$I110))^(1+$F110)</f>
        <v>0</v>
      </c>
      <c r="AD120" s="29" t="n">
        <f aca="false">AC120*(1+AD$99)^($E110*AD$100)*(1+AD$101)*IF(AC83&lt;=0,1,AD83/AC83)^$F110*(IF(AC93&lt;=0,1,AD93/AC93)^$G110/(1+$H110+$I110))^(1+$F110)</f>
        <v>0</v>
      </c>
      <c r="AE120" s="29" t="n">
        <f aca="false">AD120*(1+AE$99)^($E110*AE$100)*(1+AE$101)*IF(AD83&lt;=0,1,AE83/AD83)^$F110*(IF(AD93&lt;=0,1,AE93/AD93)^$G110/(1+$H110+$I110))^(1+$F110)</f>
        <v>0</v>
      </c>
    </row>
    <row r="121" customFormat="false" ht="15" hidden="false" customHeight="false" outlineLevel="0" collapsed="false">
      <c r="B121" s="17" t="s">
        <v>71</v>
      </c>
      <c r="C121" s="17" t="str">
        <f aca="false">$C$65</f>
        <v>cem</v>
      </c>
      <c r="D121" s="18" t="s">
        <v>72</v>
      </c>
      <c r="E121" s="19" t="s">
        <v>112</v>
      </c>
      <c r="F121" s="17" t="s">
        <v>113</v>
      </c>
      <c r="G121" s="20" t="str">
        <f aca="false">Settings!$B$3&amp;".mit.enc."&amp;$B121</f>
        <v>egy.mit.enc.bio</v>
      </c>
      <c r="H121" s="21" t="str">
        <f aca="false">Settings!$B$3&amp;".mit.ener."&amp;$C$65&amp;"."&amp;$B121&amp;".e."&amp;$J$65</f>
        <v>egy.mit.ener.cem.bio.e.1</v>
      </c>
      <c r="L121" s="28" t="n">
        <f aca="false">INDEX(Data_Energy!$D$3:$U$22,MATCH($B121,Data_Energy!$C$3:$C$22,0),MATCH($C121,Data_Energy!$D$2:$U$2,0))</f>
        <v>0</v>
      </c>
      <c r="M121" s="29" t="n">
        <f aca="false">L121*(1+M$99)^($E111*M$100)*(1+M$101)*IF(L84&lt;=0,1,M84/L84)^$F111*(IF(L94&lt;=0,1,M94/L94)^$G111/(1+$H111+$I111))^(1+$F111)</f>
        <v>0</v>
      </c>
      <c r="N121" s="29" t="n">
        <f aca="false">M121*(1+N$99)^($E111*N$100)*(1+N$101)*IF(M84&lt;=0,1,N84/M84)^$F111*(IF(M94&lt;=0,1,N94/M94)^$G111/(1+$H111+$I111))^(1+$F111)</f>
        <v>0</v>
      </c>
      <c r="O121" s="29" t="n">
        <f aca="false">N121*(1+O$99)^($E111*O$100)*(1+O$101)*IF(N84&lt;=0,1,O84/N84)^$F111*(IF(N94&lt;=0,1,O94/N94)^$G111/(1+$H111+$I111))^(1+$F111)</f>
        <v>0</v>
      </c>
      <c r="P121" s="29" t="n">
        <f aca="false">O121*(1+P$99)^($E111*P$100)*(1+P$101)*IF(O84&lt;=0,1,P84/O84)^$F111*(IF(O94&lt;=0,1,P94/O94)^$G111/(1+$H111+$I111))^(1+$F111)</f>
        <v>0</v>
      </c>
      <c r="Q121" s="29" t="n">
        <f aca="false">P121*(1+Q$99)^($E111*Q$100)*(1+Q$101)*IF(P84&lt;=0,1,Q84/P84)^$F111*(IF(P94&lt;=0,1,Q94/P94)^$G111/(1+$H111+$I111))^(1+$F111)</f>
        <v>0</v>
      </c>
      <c r="R121" s="29" t="n">
        <f aca="false">Q121*(1+R$99)^($E111*R$100)*(1+R$101)*IF(Q84&lt;=0,1,R84/Q84)^$F111*(IF(Q94&lt;=0,1,R94/Q94)^$G111/(1+$H111+$I111))^(1+$F111)</f>
        <v>0</v>
      </c>
      <c r="S121" s="29" t="n">
        <f aca="false">R121*(1+S$99)^($E111*S$100)*(1+S$101)*IF(R84&lt;=0,1,S84/R84)^$F111*(IF(R94&lt;=0,1,S94/R94)^$G111/(1+$H111+$I111))^(1+$F111)</f>
        <v>0</v>
      </c>
      <c r="T121" s="29" t="n">
        <f aca="false">S121*(1+T$99)^($E111*T$100)*(1+T$101)*IF(S84&lt;=0,1,T84/S84)^$F111*(IF(S94&lt;=0,1,T94/S94)^$G111/(1+$H111+$I111))^(1+$F111)</f>
        <v>0</v>
      </c>
      <c r="U121" s="29" t="n">
        <f aca="false">T121*(1+U$99)^($E111*U$100)*(1+U$101)*IF(T84&lt;=0,1,U84/T84)^$F111*(IF(T94&lt;=0,1,U94/T94)^$G111/(1+$H111+$I111))^(1+$F111)</f>
        <v>0</v>
      </c>
      <c r="V121" s="29" t="n">
        <f aca="false">U121*(1+V$99)^($E111*V$100)*(1+V$101)*IF(U84&lt;=0,1,V84/U84)^$F111*(IF(U94&lt;=0,1,V94/U94)^$G111/(1+$H111+$I111))^(1+$F111)</f>
        <v>0</v>
      </c>
      <c r="W121" s="29" t="n">
        <f aca="false">V121*(1+W$99)^($E111*W$100)*(1+W$101)*IF(V84&lt;=0,1,W84/V84)^$F111*(IF(V94&lt;=0,1,W94/V94)^$G111/(1+$H111+$I111))^(1+$F111)</f>
        <v>0</v>
      </c>
      <c r="X121" s="29" t="n">
        <f aca="false">W121*(1+X$99)^($E111*X$100)*(1+X$101)*IF(W84&lt;=0,1,X84/W84)^$F111*(IF(W94&lt;=0,1,X94/W94)^$G111/(1+$H111+$I111))^(1+$F111)</f>
        <v>0</v>
      </c>
      <c r="Y121" s="29" t="n">
        <f aca="false">X121*(1+Y$99)^($E111*Y$100)*(1+Y$101)*IF(X84&lt;=0,1,Y84/X84)^$F111*(IF(X94&lt;=0,1,Y94/X94)^$G111/(1+$H111+$I111))^(1+$F111)</f>
        <v>0</v>
      </c>
      <c r="Z121" s="29" t="n">
        <f aca="false">Y121*(1+Z$99)^($E111*Z$100)*(1+Z$101)*IF(Y84&lt;=0,1,Z84/Y84)^$F111*(IF(Y94&lt;=0,1,Z94/Y94)^$G111/(1+$H111+$I111))^(1+$F111)</f>
        <v>0</v>
      </c>
      <c r="AA121" s="29" t="n">
        <f aca="false">Z121*(1+AA$99)^($E111*AA$100)*(1+AA$101)*IF(Z84&lt;=0,1,AA84/Z84)^$F111*(IF(Z94&lt;=0,1,AA94/Z94)^$G111/(1+$H111+$I111))^(1+$F111)</f>
        <v>0</v>
      </c>
      <c r="AB121" s="29" t="n">
        <f aca="false">AA121*(1+AB$99)^($E111*AB$100)*(1+AB$101)*IF(AA84&lt;=0,1,AB84/AA84)^$F111*(IF(AA94&lt;=0,1,AB94/AA94)^$G111/(1+$H111+$I111))^(1+$F111)</f>
        <v>0</v>
      </c>
      <c r="AC121" s="29" t="n">
        <f aca="false">AB121*(1+AC$99)^($E111*AC$100)*(1+AC$101)*IF(AB84&lt;=0,1,AC84/AB84)^$F111*(IF(AB94&lt;=0,1,AC94/AB94)^$G111/(1+$H111+$I111))^(1+$F111)</f>
        <v>0</v>
      </c>
      <c r="AD121" s="29" t="n">
        <f aca="false">AC121*(1+AD$99)^($E111*AD$100)*(1+AD$101)*IF(AC84&lt;=0,1,AD84/AC84)^$F111*(IF(AC94&lt;=0,1,AD94/AC94)^$G111/(1+$H111+$I111))^(1+$F111)</f>
        <v>0</v>
      </c>
      <c r="AE121" s="29" t="n">
        <f aca="false">AD121*(1+AE$99)^($E111*AE$100)*(1+AE$101)*IF(AD84&lt;=0,1,AE84/AD84)^$F111*(IF(AD94&lt;=0,1,AE94/AD94)^$G111/(1+$H111+$I111))^(1+$F111)</f>
        <v>0</v>
      </c>
    </row>
    <row r="122" customFormat="false" ht="15" hidden="false" customHeight="false" outlineLevel="0" collapsed="false">
      <c r="B122" s="17" t="s">
        <v>73</v>
      </c>
      <c r="C122" s="17" t="str">
        <f aca="false">$C$65</f>
        <v>cem</v>
      </c>
      <c r="D122" s="18" t="s">
        <v>74</v>
      </c>
      <c r="E122" s="19" t="s">
        <v>112</v>
      </c>
      <c r="F122" s="17" t="s">
        <v>113</v>
      </c>
      <c r="G122" s="20" t="str">
        <f aca="false">Settings!$B$3&amp;".mit.enc."&amp;$B122</f>
        <v>egy.mit.enc.ren</v>
      </c>
      <c r="H122" s="21" t="str">
        <f aca="false">Settings!$B$3&amp;".mit.ener."&amp;$C$65&amp;"."&amp;$B122&amp;".e."&amp;$J$65</f>
        <v>egy.mit.ener.cem.ren.e.1</v>
      </c>
      <c r="L122" s="28" t="n">
        <f aca="false">INDEX(Data_Energy!$D$3:$U$22,MATCH($B122,Data_Energy!$C$3:$C$22,0),MATCH($C122,Data_Energy!$D$2:$U$2,0))</f>
        <v>0</v>
      </c>
      <c r="M122" s="29" t="n">
        <f aca="false">L122*(1+M$99)^($E112*M$100)*(1+M$101)*IF(L85&lt;=0,1,M85/L85)^$F112*(IF(L95&lt;=0,1,M95/L95)^$G112/(1+$H112+$I112))^(1+$F112)</f>
        <v>0</v>
      </c>
      <c r="N122" s="29" t="n">
        <f aca="false">M122*(1+N$99)^($E112*N$100)*(1+N$101)*IF(M85&lt;=0,1,N85/M85)^$F112*(IF(M95&lt;=0,1,N95/M95)^$G112/(1+$H112+$I112))^(1+$F112)</f>
        <v>0</v>
      </c>
      <c r="O122" s="29" t="n">
        <f aca="false">N122*(1+O$99)^($E112*O$100)*(1+O$101)*IF(N85&lt;=0,1,O85/N85)^$F112*(IF(N95&lt;=0,1,O95/N95)^$G112/(1+$H112+$I112))^(1+$F112)</f>
        <v>0</v>
      </c>
      <c r="P122" s="29" t="n">
        <f aca="false">O122*(1+P$99)^($E112*P$100)*(1+P$101)*IF(O85&lt;=0,1,P85/O85)^$F112*(IF(O95&lt;=0,1,P95/O95)^$G112/(1+$H112+$I112))^(1+$F112)</f>
        <v>0</v>
      </c>
      <c r="Q122" s="29" t="n">
        <f aca="false">P122*(1+Q$99)^($E112*Q$100)*(1+Q$101)*IF(P85&lt;=0,1,Q85/P85)^$F112*(IF(P95&lt;=0,1,Q95/P95)^$G112/(1+$H112+$I112))^(1+$F112)</f>
        <v>0</v>
      </c>
      <c r="R122" s="29" t="n">
        <f aca="false">Q122*(1+R$99)^($E112*R$100)*(1+R$101)*IF(Q85&lt;=0,1,R85/Q85)^$F112*(IF(Q95&lt;=0,1,R95/Q95)^$G112/(1+$H112+$I112))^(1+$F112)</f>
        <v>0</v>
      </c>
      <c r="S122" s="29" t="n">
        <f aca="false">R122*(1+S$99)^($E112*S$100)*(1+S$101)*IF(R85&lt;=0,1,S85/R85)^$F112*(IF(R95&lt;=0,1,S95/R95)^$G112/(1+$H112+$I112))^(1+$F112)</f>
        <v>0</v>
      </c>
      <c r="T122" s="29" t="n">
        <f aca="false">S122*(1+T$99)^($E112*T$100)*(1+T$101)*IF(S85&lt;=0,1,T85/S85)^$F112*(IF(S95&lt;=0,1,T95/S95)^$G112/(1+$H112+$I112))^(1+$F112)</f>
        <v>0</v>
      </c>
      <c r="U122" s="29" t="n">
        <f aca="false">T122*(1+U$99)^($E112*U$100)*(1+U$101)*IF(T85&lt;=0,1,U85/T85)^$F112*(IF(T95&lt;=0,1,U95/T95)^$G112/(1+$H112+$I112))^(1+$F112)</f>
        <v>0</v>
      </c>
      <c r="V122" s="29" t="n">
        <f aca="false">U122*(1+V$99)^($E112*V$100)*(1+V$101)*IF(U85&lt;=0,1,V85/U85)^$F112*(IF(U95&lt;=0,1,V95/U95)^$G112/(1+$H112+$I112))^(1+$F112)</f>
        <v>0</v>
      </c>
      <c r="W122" s="29" t="n">
        <f aca="false">V122*(1+W$99)^($E112*W$100)*(1+W$101)*IF(V85&lt;=0,1,W85/V85)^$F112*(IF(V95&lt;=0,1,W95/V95)^$G112/(1+$H112+$I112))^(1+$F112)</f>
        <v>0</v>
      </c>
      <c r="X122" s="29" t="n">
        <f aca="false">W122*(1+X$99)^($E112*X$100)*(1+X$101)*IF(W85&lt;=0,1,X85/W85)^$F112*(IF(W95&lt;=0,1,X95/W95)^$G112/(1+$H112+$I112))^(1+$F112)</f>
        <v>0</v>
      </c>
      <c r="Y122" s="29" t="n">
        <f aca="false">X122*(1+Y$99)^($E112*Y$100)*(1+Y$101)*IF(X85&lt;=0,1,Y85/X85)^$F112*(IF(X95&lt;=0,1,Y95/X95)^$G112/(1+$H112+$I112))^(1+$F112)</f>
        <v>0</v>
      </c>
      <c r="Z122" s="29" t="n">
        <f aca="false">Y122*(1+Z$99)^($E112*Z$100)*(1+Z$101)*IF(Y85&lt;=0,1,Z85/Y85)^$F112*(IF(Y95&lt;=0,1,Z95/Y95)^$G112/(1+$H112+$I112))^(1+$F112)</f>
        <v>0</v>
      </c>
      <c r="AA122" s="29" t="n">
        <f aca="false">Z122*(1+AA$99)^($E112*AA$100)*(1+AA$101)*IF(Z85&lt;=0,1,AA85/Z85)^$F112*(IF(Z95&lt;=0,1,AA95/Z95)^$G112/(1+$H112+$I112))^(1+$F112)</f>
        <v>0</v>
      </c>
      <c r="AB122" s="29" t="n">
        <f aca="false">AA122*(1+AB$99)^($E112*AB$100)*(1+AB$101)*IF(AA85&lt;=0,1,AB85/AA85)^$F112*(IF(AA95&lt;=0,1,AB95/AA95)^$G112/(1+$H112+$I112))^(1+$F112)</f>
        <v>0</v>
      </c>
      <c r="AC122" s="29" t="n">
        <f aca="false">AB122*(1+AC$99)^($E112*AC$100)*(1+AC$101)*IF(AB85&lt;=0,1,AC85/AB85)^$F112*(IF(AB95&lt;=0,1,AC95/AB95)^$G112/(1+$H112+$I112))^(1+$F112)</f>
        <v>0</v>
      </c>
      <c r="AD122" s="29" t="n">
        <f aca="false">AC122*(1+AD$99)^($E112*AD$100)*(1+AD$101)*IF(AC85&lt;=0,1,AD85/AC85)^$F112*(IF(AC95&lt;=0,1,AD95/AC95)^$G112/(1+$H112+$I112))^(1+$F112)</f>
        <v>0</v>
      </c>
      <c r="AE122" s="29" t="n">
        <f aca="false">AD122*(1+AE$99)^($E112*AE$100)*(1+AE$101)*IF(AD85&lt;=0,1,AE85/AD85)^$F112*(IF(AD95&lt;=0,1,AE95/AD95)^$G112/(1+$H112+$I112))^(1+$F112)</f>
        <v>0</v>
      </c>
    </row>
    <row r="123" customFormat="false" ht="15" hidden="false" customHeight="false" outlineLevel="0" collapsed="false">
      <c r="B123" s="17" t="s">
        <v>114</v>
      </c>
      <c r="C123" s="17" t="str">
        <f aca="false">$C$65</f>
        <v>cem</v>
      </c>
      <c r="D123" s="30" t="s">
        <v>115</v>
      </c>
      <c r="E123" s="19" t="s">
        <v>112</v>
      </c>
      <c r="F123" s="17" t="s">
        <v>113</v>
      </c>
      <c r="H123" s="21" t="str">
        <f aca="false">Settings!$B$3&amp;".mit.ener."&amp;$C$65&amp;".tot.e."&amp;$J$65</f>
        <v>egy.mit.ener.cem.tot.e.1</v>
      </c>
      <c r="L123" s="31" t="n">
        <f aca="false">SUM(L114:L122)</f>
        <v>3210.44675922487</v>
      </c>
      <c r="M123" s="31" t="n">
        <f aca="false">SUM(M114:M122)</f>
        <v>2690.34040939212</v>
      </c>
      <c r="N123" s="31" t="n">
        <f aca="false">SUM(N114:N122)</f>
        <v>3047.53608880073</v>
      </c>
      <c r="O123" s="31" t="n">
        <f aca="false">SUM(O114:O122)</f>
        <v>3240.69282238898</v>
      </c>
      <c r="P123" s="31" t="n">
        <f aca="false">SUM(P114:P122)</f>
        <v>3273.21196775395</v>
      </c>
      <c r="Q123" s="31" t="n">
        <f aca="false">SUM(Q114:Q122)</f>
        <v>3368.21334237433</v>
      </c>
      <c r="R123" s="31" t="n">
        <f aca="false">SUM(R114:R122)</f>
        <v>3502.92150165919</v>
      </c>
      <c r="S123" s="31" t="n">
        <f aca="false">SUM(S114:S122)</f>
        <v>3633.98831165921</v>
      </c>
      <c r="T123" s="31" t="n">
        <f aca="false">SUM(T114:T122)</f>
        <v>3758.73685889815</v>
      </c>
      <c r="U123" s="31" t="n">
        <f aca="false">SUM(U114:U122)</f>
        <v>3885.45048317898</v>
      </c>
      <c r="V123" s="31" t="n">
        <f aca="false">SUM(V114:V122)</f>
        <v>4007.06939688522</v>
      </c>
      <c r="W123" s="31" t="n">
        <f aca="false">SUM(W114:W122)</f>
        <v>4130.96359005292</v>
      </c>
      <c r="X123" s="31" t="n">
        <f aca="false">SUM(X114:X122)</f>
        <v>4257.12280996571</v>
      </c>
      <c r="Y123" s="31" t="n">
        <f aca="false">SUM(Y114:Y122)</f>
        <v>4385.53521377975</v>
      </c>
      <c r="Z123" s="31" t="n">
        <f aca="false">SUM(Z114:Z122)</f>
        <v>4516.18733289517</v>
      </c>
      <c r="AA123" s="31" t="n">
        <f aca="false">SUM(AA114:AA122)</f>
        <v>4649.0640328646</v>
      </c>
      <c r="AB123" s="31" t="n">
        <f aca="false">SUM(AB114:AB122)</f>
        <v>4784.14846861253</v>
      </c>
      <c r="AC123" s="31" t="n">
        <f aca="false">SUM(AC114:AC122)</f>
        <v>4921.42203474616</v>
      </c>
      <c r="AD123" s="31" t="n">
        <f aca="false">SUM(AD114:AD122)</f>
        <v>5060.86431074728</v>
      </c>
      <c r="AE123" s="31" t="n">
        <f aca="false">SUM(AE114:AE122)</f>
        <v>5202.45300084122</v>
      </c>
    </row>
    <row r="125" customFormat="false" ht="15" hidden="false" customHeight="false" outlineLevel="0" collapsed="false">
      <c r="A125" s="12"/>
      <c r="B125" s="7" t="s">
        <v>118</v>
      </c>
      <c r="C125" s="8" t="s">
        <v>119</v>
      </c>
      <c r="D125" s="7" t="s">
        <v>48</v>
      </c>
      <c r="E125" s="8" t="s">
        <v>39</v>
      </c>
      <c r="F125" s="8" t="s">
        <v>49</v>
      </c>
      <c r="G125" s="8" t="s">
        <v>50</v>
      </c>
      <c r="H125" s="13" t="s">
        <v>42</v>
      </c>
      <c r="I125" s="7" t="s">
        <v>51</v>
      </c>
      <c r="J125" s="14" t="n">
        <v>1</v>
      </c>
      <c r="K125" s="7" t="n">
        <v>2021</v>
      </c>
      <c r="L125" s="15" t="n">
        <v>2022</v>
      </c>
      <c r="M125" s="7" t="n">
        <v>2023</v>
      </c>
      <c r="N125" s="7" t="n">
        <v>2024</v>
      </c>
      <c r="O125" s="7" t="n">
        <v>2025</v>
      </c>
      <c r="P125" s="7" t="n">
        <v>2026</v>
      </c>
      <c r="Q125" s="7" t="n">
        <v>2027</v>
      </c>
      <c r="R125" s="7" t="n">
        <v>2028</v>
      </c>
      <c r="S125" s="7" t="n">
        <v>2029</v>
      </c>
      <c r="T125" s="7" t="n">
        <v>2030</v>
      </c>
      <c r="U125" s="7" t="n">
        <v>2031</v>
      </c>
      <c r="V125" s="7" t="n">
        <v>2032</v>
      </c>
      <c r="W125" s="7" t="n">
        <v>2033</v>
      </c>
      <c r="X125" s="7" t="n">
        <v>2034</v>
      </c>
      <c r="Y125" s="7" t="n">
        <v>2035</v>
      </c>
      <c r="Z125" s="7" t="n">
        <v>2036</v>
      </c>
      <c r="AA125" s="7" t="n">
        <v>2037</v>
      </c>
      <c r="AB125" s="7" t="n">
        <v>2038</v>
      </c>
      <c r="AC125" s="7" t="n">
        <v>2039</v>
      </c>
      <c r="AD125" s="7" t="n">
        <v>2040</v>
      </c>
      <c r="AE125" s="7" t="n">
        <v>2041</v>
      </c>
      <c r="AF125" s="7" t="n">
        <v>2042</v>
      </c>
      <c r="AG125" s="7" t="n">
        <v>2043</v>
      </c>
      <c r="AH125" s="7" t="n">
        <v>2044</v>
      </c>
      <c r="AI125" s="7" t="n">
        <v>2045</v>
      </c>
    </row>
    <row r="126" customFormat="false" ht="15" hidden="false" customHeight="false" outlineLevel="0" collapsed="false">
      <c r="B126" s="16" t="s">
        <v>52</v>
      </c>
    </row>
    <row r="127" customFormat="false" ht="15" hidden="false" customHeight="false" outlineLevel="0" collapsed="false">
      <c r="B127" s="17" t="s">
        <v>53</v>
      </c>
      <c r="C127" s="17" t="str">
        <f aca="false">$C$125</f>
        <v>nfm</v>
      </c>
      <c r="D127" s="18" t="s">
        <v>54</v>
      </c>
      <c r="E127" s="19" t="s">
        <v>55</v>
      </c>
      <c r="F127" s="17" t="s">
        <v>56</v>
      </c>
      <c r="G127" s="20" t="str">
        <f aca="false">Settings!$B$3&amp;".mit.pbc."&amp;Settings!$B$4&amp;"."&amp;$B127&amp;".a."&amp;$J$125</f>
        <v>egy.mit.pbc.ind.coa.a.1</v>
      </c>
      <c r="H127" s="21" t="str">
        <f aca="false">Settings!$B$3&amp;".mit.ptp."&amp;$C$125&amp;"."&amp;$B127&amp;".e."&amp;$J$125</f>
        <v>egy.mit.ptp.nfm.coa.e.1</v>
      </c>
      <c r="K127" s="22" t="n">
        <f aca="false">INDEX(Data_Prices!K:K,MATCH($G127,Data_Prices!$A:$A,0))</f>
        <v>11.1829015892439</v>
      </c>
      <c r="L127" s="22" t="n">
        <f aca="false">INDEX(Data_Prices!L:L,MATCH($G127,Data_Prices!$A:$A,0))</f>
        <v>10.5233613454312</v>
      </c>
      <c r="M127" s="22" t="n">
        <f aca="false">INDEX(Data_Prices!M:M,MATCH($G127,Data_Prices!$A:$A,0))</f>
        <v>10.2995608274442</v>
      </c>
      <c r="N127" s="22" t="n">
        <f aca="false">INDEX(Data_Prices!N:N,MATCH($G127,Data_Prices!$A:$A,0))</f>
        <v>9.57752835953826</v>
      </c>
      <c r="O127" s="22" t="n">
        <f aca="false">INDEX(Data_Prices!O:O,MATCH($G127,Data_Prices!$A:$A,0))</f>
        <v>8.48547828695805</v>
      </c>
      <c r="P127" s="22" t="n">
        <f aca="false">INDEX(Data_Prices!P:P,MATCH($G127,Data_Prices!$A:$A,0))</f>
        <v>9.08719223524986</v>
      </c>
      <c r="Q127" s="22" t="n">
        <f aca="false">INDEX(Data_Prices!Q:Q,MATCH($G127,Data_Prices!$A:$A,0))</f>
        <v>9.22292372893268</v>
      </c>
      <c r="R127" s="22" t="n">
        <f aca="false">INDEX(Data_Prices!R:R,MATCH($G127,Data_Prices!$A:$A,0))</f>
        <v>9.15856495550969</v>
      </c>
      <c r="S127" s="22" t="n">
        <f aca="false">INDEX(Data_Prices!S:S,MATCH($G127,Data_Prices!$A:$A,0))</f>
        <v>9.08954787739738</v>
      </c>
      <c r="T127" s="22" t="n">
        <f aca="false">INDEX(Data_Prices!T:T,MATCH($G127,Data_Prices!$A:$A,0))</f>
        <v>9.01568166602283</v>
      </c>
      <c r="U127" s="22" t="n">
        <f aca="false">INDEX(Data_Prices!U:U,MATCH($G127,Data_Prices!$A:$A,0))</f>
        <v>8.94439776555711</v>
      </c>
      <c r="V127" s="22" t="n">
        <f aca="false">INDEX(Data_Prices!V:V,MATCH($G127,Data_Prices!$A:$A,0))</f>
        <v>8.94439776555711</v>
      </c>
      <c r="W127" s="22" t="n">
        <f aca="false">INDEX(Data_Prices!W:W,MATCH($G127,Data_Prices!$A:$A,0))</f>
        <v>8.94439776555711</v>
      </c>
      <c r="X127" s="22" t="n">
        <f aca="false">INDEX(Data_Prices!X:X,MATCH($G127,Data_Prices!$A:$A,0))</f>
        <v>8.94439776555711</v>
      </c>
      <c r="Y127" s="22" t="n">
        <f aca="false">INDEX(Data_Prices!Y:Y,MATCH($G127,Data_Prices!$A:$A,0))</f>
        <v>8.94439776555711</v>
      </c>
      <c r="Z127" s="22" t="n">
        <f aca="false">INDEX(Data_Prices!Z:Z,MATCH($G127,Data_Prices!$A:$A,0))</f>
        <v>8.94439776555711</v>
      </c>
      <c r="AA127" s="22" t="n">
        <f aca="false">INDEX(Data_Prices!AA:AA,MATCH($G127,Data_Prices!$A:$A,0))</f>
        <v>8.94439776555711</v>
      </c>
      <c r="AB127" s="22" t="n">
        <f aca="false">INDEX(Data_Prices!AB:AB,MATCH($G127,Data_Prices!$A:$A,0))</f>
        <v>8.94439776555711</v>
      </c>
      <c r="AC127" s="22" t="n">
        <f aca="false">INDEX(Data_Prices!AC:AC,MATCH($G127,Data_Prices!$A:$A,0))</f>
        <v>8.94439776555711</v>
      </c>
      <c r="AD127" s="22" t="n">
        <f aca="false">INDEX(Data_Prices!AD:AD,MATCH($G127,Data_Prices!$A:$A,0))</f>
        <v>8.94439776555711</v>
      </c>
      <c r="AE127" s="22" t="n">
        <f aca="false">INDEX(Data_Prices!AE:AE,MATCH($G127,Data_Prices!$A:$A,0))</f>
        <v>8.94439776555711</v>
      </c>
    </row>
    <row r="128" customFormat="false" ht="15" hidden="false" customHeight="false" outlineLevel="0" collapsed="false">
      <c r="B128" s="17" t="s">
        <v>57</v>
      </c>
      <c r="C128" s="17" t="str">
        <f aca="false">$C$125</f>
        <v>nfm</v>
      </c>
      <c r="D128" s="18" t="s">
        <v>58</v>
      </c>
      <c r="E128" s="19" t="s">
        <v>55</v>
      </c>
      <c r="F128" s="17" t="s">
        <v>56</v>
      </c>
      <c r="G128" s="20" t="str">
        <f aca="false">Settings!$B$3&amp;".mit.pbc."&amp;Settings!$B$4&amp;"."&amp;$B128&amp;".a."&amp;$J$125</f>
        <v>egy.mit.pbc.ind.nga.a.1</v>
      </c>
      <c r="H128" s="21" t="str">
        <f aca="false">Settings!$B$3&amp;".mit.ptp."&amp;$C$125&amp;"."&amp;$B128&amp;".e."&amp;$J$125</f>
        <v>egy.mit.ptp.nfm.nga.e.1</v>
      </c>
      <c r="K128" s="22" t="n">
        <f aca="false">INDEX(Data_Prices!K:K,MATCH($G128,Data_Prices!$A:$A,0))</f>
        <v>6.06346361567291</v>
      </c>
      <c r="L128" s="22" t="n">
        <f aca="false">INDEX(Data_Prices!L:L,MATCH($G128,Data_Prices!$A:$A,0))</f>
        <v>5.45101508161919</v>
      </c>
      <c r="M128" s="22" t="n">
        <f aca="false">INDEX(Data_Prices!M:M,MATCH($G128,Data_Prices!$A:$A,0))</f>
        <v>5.11935630626248</v>
      </c>
      <c r="N128" s="22" t="n">
        <f aca="false">INDEX(Data_Prices!N:N,MATCH($G128,Data_Prices!$A:$A,0))</f>
        <v>5.08218458640407</v>
      </c>
      <c r="O128" s="22" t="n">
        <f aca="false">INDEX(Data_Prices!O:O,MATCH($G128,Data_Prices!$A:$A,0))</f>
        <v>5.08218458640407</v>
      </c>
      <c r="P128" s="22" t="n">
        <f aca="false">INDEX(Data_Prices!P:P,MATCH($G128,Data_Prices!$A:$A,0))</f>
        <v>5.08218458640407</v>
      </c>
      <c r="Q128" s="22" t="n">
        <f aca="false">INDEX(Data_Prices!Q:Q,MATCH($G128,Data_Prices!$A:$A,0))</f>
        <v>5.08218458640407</v>
      </c>
      <c r="R128" s="22" t="n">
        <f aca="false">INDEX(Data_Prices!R:R,MATCH($G128,Data_Prices!$A:$A,0))</f>
        <v>5.08218458640407</v>
      </c>
      <c r="S128" s="22" t="n">
        <f aca="false">INDEX(Data_Prices!S:S,MATCH($G128,Data_Prices!$A:$A,0))</f>
        <v>5.08218458640407</v>
      </c>
      <c r="T128" s="22" t="n">
        <f aca="false">INDEX(Data_Prices!T:T,MATCH($G128,Data_Prices!$A:$A,0))</f>
        <v>5.08218458640407</v>
      </c>
      <c r="U128" s="22" t="n">
        <f aca="false">INDEX(Data_Prices!U:U,MATCH($G128,Data_Prices!$A:$A,0))</f>
        <v>5.08218458640407</v>
      </c>
      <c r="V128" s="22" t="n">
        <f aca="false">INDEX(Data_Prices!V:V,MATCH($G128,Data_Prices!$A:$A,0))</f>
        <v>5.08218458640407</v>
      </c>
      <c r="W128" s="22" t="n">
        <f aca="false">INDEX(Data_Prices!W:W,MATCH($G128,Data_Prices!$A:$A,0))</f>
        <v>5.08218458640407</v>
      </c>
      <c r="X128" s="22" t="n">
        <f aca="false">INDEX(Data_Prices!X:X,MATCH($G128,Data_Prices!$A:$A,0))</f>
        <v>5.08218458640407</v>
      </c>
      <c r="Y128" s="22" t="n">
        <f aca="false">INDEX(Data_Prices!Y:Y,MATCH($G128,Data_Prices!$A:$A,0))</f>
        <v>5.08218458640407</v>
      </c>
      <c r="Z128" s="22" t="n">
        <f aca="false">INDEX(Data_Prices!Z:Z,MATCH($G128,Data_Prices!$A:$A,0))</f>
        <v>5.08218458640407</v>
      </c>
      <c r="AA128" s="22" t="n">
        <f aca="false">INDEX(Data_Prices!AA:AA,MATCH($G128,Data_Prices!$A:$A,0))</f>
        <v>5.08218458640407</v>
      </c>
      <c r="AB128" s="22" t="n">
        <f aca="false">INDEX(Data_Prices!AB:AB,MATCH($G128,Data_Prices!$A:$A,0))</f>
        <v>5.08218458640407</v>
      </c>
      <c r="AC128" s="22" t="n">
        <f aca="false">INDEX(Data_Prices!AC:AC,MATCH($G128,Data_Prices!$A:$A,0))</f>
        <v>5.08218458640407</v>
      </c>
      <c r="AD128" s="22" t="n">
        <f aca="false">INDEX(Data_Prices!AD:AD,MATCH($G128,Data_Prices!$A:$A,0))</f>
        <v>5.08218458640407</v>
      </c>
      <c r="AE128" s="22" t="n">
        <f aca="false">INDEX(Data_Prices!AE:AE,MATCH($G128,Data_Prices!$A:$A,0))</f>
        <v>5.08218458640407</v>
      </c>
    </row>
    <row r="129" customFormat="false" ht="15" hidden="false" customHeight="false" outlineLevel="0" collapsed="false">
      <c r="B129" s="17" t="s">
        <v>59</v>
      </c>
      <c r="C129" s="17" t="str">
        <f aca="false">$C$125</f>
        <v>nfm</v>
      </c>
      <c r="D129" s="18" t="s">
        <v>60</v>
      </c>
      <c r="E129" s="19" t="s">
        <v>61</v>
      </c>
      <c r="F129" s="17" t="s">
        <v>56</v>
      </c>
      <c r="G129" s="20" t="str">
        <f aca="false">Settings!$B$3&amp;".mit.pbc."&amp;Settings!$B$4&amp;"."&amp;$B129&amp;".a."&amp;$J$125</f>
        <v>egy.mit.pbc.ind.gso.a.1</v>
      </c>
      <c r="H129" s="21" t="str">
        <f aca="false">Settings!$B$3&amp;".mit.ptp."&amp;$C$125&amp;"."&amp;$B129&amp;".e."&amp;$J$125</f>
        <v>egy.mit.ptp.nfm.gso.e.1</v>
      </c>
      <c r="K129" s="22" t="n">
        <f aca="false">INDEX(Data_Prices!K:K,MATCH($G129,Data_Prices!$A:$A,0))</f>
        <v>0.671146533321816</v>
      </c>
      <c r="L129" s="22" t="n">
        <f aca="false">INDEX(Data_Prices!L:L,MATCH($G129,Data_Prices!$A:$A,0))</f>
        <v>0.611977976791406</v>
      </c>
      <c r="M129" s="22" t="n">
        <f aca="false">INDEX(Data_Prices!M:M,MATCH($G129,Data_Prices!$A:$A,0))</f>
        <v>0.611809749641876</v>
      </c>
      <c r="N129" s="22" t="n">
        <f aca="false">INDEX(Data_Prices!N:N,MATCH($G129,Data_Prices!$A:$A,0))</f>
        <v>0.603583100177906</v>
      </c>
      <c r="O129" s="22" t="n">
        <f aca="false">INDEX(Data_Prices!O:O,MATCH($G129,Data_Prices!$A:$A,0))</f>
        <v>0.603583100177906</v>
      </c>
      <c r="P129" s="22" t="n">
        <f aca="false">INDEX(Data_Prices!P:P,MATCH($G129,Data_Prices!$A:$A,0))</f>
        <v>0.603583100177906</v>
      </c>
      <c r="Q129" s="22" t="n">
        <f aca="false">INDEX(Data_Prices!Q:Q,MATCH($G129,Data_Prices!$A:$A,0))</f>
        <v>0.603583100177906</v>
      </c>
      <c r="R129" s="22" t="n">
        <f aca="false">INDEX(Data_Prices!R:R,MATCH($G129,Data_Prices!$A:$A,0))</f>
        <v>0.603583100177906</v>
      </c>
      <c r="S129" s="22" t="n">
        <f aca="false">INDEX(Data_Prices!S:S,MATCH($G129,Data_Prices!$A:$A,0))</f>
        <v>0.603583100177906</v>
      </c>
      <c r="T129" s="22" t="n">
        <f aca="false">INDEX(Data_Prices!T:T,MATCH($G129,Data_Prices!$A:$A,0))</f>
        <v>0.603583100177906</v>
      </c>
      <c r="U129" s="22" t="n">
        <f aca="false">INDEX(Data_Prices!U:U,MATCH($G129,Data_Prices!$A:$A,0))</f>
        <v>0.603583100177906</v>
      </c>
      <c r="V129" s="22" t="n">
        <f aca="false">INDEX(Data_Prices!V:V,MATCH($G129,Data_Prices!$A:$A,0))</f>
        <v>0.603583100177906</v>
      </c>
      <c r="W129" s="22" t="n">
        <f aca="false">INDEX(Data_Prices!W:W,MATCH($G129,Data_Prices!$A:$A,0))</f>
        <v>0.603583100177906</v>
      </c>
      <c r="X129" s="22" t="n">
        <f aca="false">INDEX(Data_Prices!X:X,MATCH($G129,Data_Prices!$A:$A,0))</f>
        <v>0.603583100177906</v>
      </c>
      <c r="Y129" s="22" t="n">
        <f aca="false">INDEX(Data_Prices!Y:Y,MATCH($G129,Data_Prices!$A:$A,0))</f>
        <v>0.603583100177906</v>
      </c>
      <c r="Z129" s="22" t="n">
        <f aca="false">INDEX(Data_Prices!Z:Z,MATCH($G129,Data_Prices!$A:$A,0))</f>
        <v>0.603583100177906</v>
      </c>
      <c r="AA129" s="22" t="n">
        <f aca="false">INDEX(Data_Prices!AA:AA,MATCH($G129,Data_Prices!$A:$A,0))</f>
        <v>0.603583100177906</v>
      </c>
      <c r="AB129" s="22" t="n">
        <f aca="false">INDEX(Data_Prices!AB:AB,MATCH($G129,Data_Prices!$A:$A,0))</f>
        <v>0.603583100177906</v>
      </c>
      <c r="AC129" s="22" t="n">
        <f aca="false">INDEX(Data_Prices!AC:AC,MATCH($G129,Data_Prices!$A:$A,0))</f>
        <v>0.603583100177906</v>
      </c>
      <c r="AD129" s="22" t="n">
        <f aca="false">INDEX(Data_Prices!AD:AD,MATCH($G129,Data_Prices!$A:$A,0))</f>
        <v>0.603583100177906</v>
      </c>
      <c r="AE129" s="22" t="n">
        <f aca="false">INDEX(Data_Prices!AE:AE,MATCH($G129,Data_Prices!$A:$A,0))</f>
        <v>0.603583100177906</v>
      </c>
    </row>
    <row r="130" customFormat="false" ht="15" hidden="false" customHeight="false" outlineLevel="0" collapsed="false">
      <c r="B130" s="17" t="s">
        <v>62</v>
      </c>
      <c r="C130" s="17" t="str">
        <f aca="false">$C$125</f>
        <v>nfm</v>
      </c>
      <c r="D130" s="18" t="s">
        <v>63</v>
      </c>
      <c r="E130" s="19" t="s">
        <v>61</v>
      </c>
      <c r="F130" s="17" t="s">
        <v>56</v>
      </c>
      <c r="G130" s="20" t="str">
        <f aca="false">Settings!$B$3&amp;".mit.pbc."&amp;Settings!$B$4&amp;"."&amp;$B130&amp;".a."&amp;$J$125</f>
        <v>egy.mit.pbc.ind.die.a.1</v>
      </c>
      <c r="H130" s="21" t="str">
        <f aca="false">Settings!$B$3&amp;".mit.ptp."&amp;$C$125&amp;"."&amp;$B130&amp;".e."&amp;$J$125</f>
        <v>egy.mit.ptp.nfm.die.e.1</v>
      </c>
      <c r="K130" s="22" t="n">
        <f aca="false">INDEX(Data_Prices!K:K,MATCH($G130,Data_Prices!$A:$A,0))</f>
        <v>0.559711213155688</v>
      </c>
      <c r="L130" s="22" t="n">
        <f aca="false">INDEX(Data_Prices!L:L,MATCH($G130,Data_Prices!$A:$A,0))</f>
        <v>0.494588730841068</v>
      </c>
      <c r="M130" s="22" t="n">
        <f aca="false">INDEX(Data_Prices!M:M,MATCH($G130,Data_Prices!$A:$A,0))</f>
        <v>0.507786547202501</v>
      </c>
      <c r="N130" s="22" t="n">
        <f aca="false">INDEX(Data_Prices!N:N,MATCH($G130,Data_Prices!$A:$A,0))</f>
        <v>0.470436426795617</v>
      </c>
      <c r="O130" s="22" t="n">
        <f aca="false">INDEX(Data_Prices!O:O,MATCH($G130,Data_Prices!$A:$A,0))</f>
        <v>0.470436426795617</v>
      </c>
      <c r="P130" s="22" t="n">
        <f aca="false">INDEX(Data_Prices!P:P,MATCH($G130,Data_Prices!$A:$A,0))</f>
        <v>0.470436426795617</v>
      </c>
      <c r="Q130" s="22" t="n">
        <f aca="false">INDEX(Data_Prices!Q:Q,MATCH($G130,Data_Prices!$A:$A,0))</f>
        <v>0.470436426795617</v>
      </c>
      <c r="R130" s="22" t="n">
        <f aca="false">INDEX(Data_Prices!R:R,MATCH($G130,Data_Prices!$A:$A,0))</f>
        <v>0.470436426795617</v>
      </c>
      <c r="S130" s="22" t="n">
        <f aca="false">INDEX(Data_Prices!S:S,MATCH($G130,Data_Prices!$A:$A,0))</f>
        <v>0.470436426795617</v>
      </c>
      <c r="T130" s="22" t="n">
        <f aca="false">INDEX(Data_Prices!T:T,MATCH($G130,Data_Prices!$A:$A,0))</f>
        <v>0.470436426795617</v>
      </c>
      <c r="U130" s="22" t="n">
        <f aca="false">INDEX(Data_Prices!U:U,MATCH($G130,Data_Prices!$A:$A,0))</f>
        <v>0.470436426795617</v>
      </c>
      <c r="V130" s="22" t="n">
        <f aca="false">INDEX(Data_Prices!V:V,MATCH($G130,Data_Prices!$A:$A,0))</f>
        <v>0.470436426795617</v>
      </c>
      <c r="W130" s="22" t="n">
        <f aca="false">INDEX(Data_Prices!W:W,MATCH($G130,Data_Prices!$A:$A,0))</f>
        <v>0.470436426795617</v>
      </c>
      <c r="X130" s="22" t="n">
        <f aca="false">INDEX(Data_Prices!X:X,MATCH($G130,Data_Prices!$A:$A,0))</f>
        <v>0.470436426795617</v>
      </c>
      <c r="Y130" s="22" t="n">
        <f aca="false">INDEX(Data_Prices!Y:Y,MATCH($G130,Data_Prices!$A:$A,0))</f>
        <v>0.470436426795617</v>
      </c>
      <c r="Z130" s="22" t="n">
        <f aca="false">INDEX(Data_Prices!Z:Z,MATCH($G130,Data_Prices!$A:$A,0))</f>
        <v>0.470436426795617</v>
      </c>
      <c r="AA130" s="22" t="n">
        <f aca="false">INDEX(Data_Prices!AA:AA,MATCH($G130,Data_Prices!$A:$A,0))</f>
        <v>0.470436426795617</v>
      </c>
      <c r="AB130" s="22" t="n">
        <f aca="false">INDEX(Data_Prices!AB:AB,MATCH($G130,Data_Prices!$A:$A,0))</f>
        <v>0.470436426795617</v>
      </c>
      <c r="AC130" s="22" t="n">
        <f aca="false">INDEX(Data_Prices!AC:AC,MATCH($G130,Data_Prices!$A:$A,0))</f>
        <v>0.470436426795617</v>
      </c>
      <c r="AD130" s="22" t="n">
        <f aca="false">INDEX(Data_Prices!AD:AD,MATCH($G130,Data_Prices!$A:$A,0))</f>
        <v>0.470436426795617</v>
      </c>
      <c r="AE130" s="22" t="n">
        <f aca="false">INDEX(Data_Prices!AE:AE,MATCH($G130,Data_Prices!$A:$A,0))</f>
        <v>0.470436426795617</v>
      </c>
    </row>
    <row r="131" customFormat="false" ht="15" hidden="false" customHeight="false" outlineLevel="0" collapsed="false">
      <c r="B131" s="17" t="s">
        <v>64</v>
      </c>
      <c r="C131" s="17" t="str">
        <f aca="false">$C$125</f>
        <v>nfm</v>
      </c>
      <c r="D131" s="18" t="s">
        <v>65</v>
      </c>
      <c r="E131" s="19" t="s">
        <v>61</v>
      </c>
      <c r="F131" s="17" t="s">
        <v>56</v>
      </c>
      <c r="G131" s="20" t="str">
        <f aca="false">Settings!$B$3&amp;".mit.pbc."&amp;Settings!$B$4&amp;"."&amp;$B131&amp;".a."&amp;$J$125</f>
        <v>egy.mit.pbc.ind.lpg.a.1</v>
      </c>
      <c r="H131" s="21" t="str">
        <f aca="false">Settings!$B$3&amp;".mit.ptp."&amp;$C$125&amp;"."&amp;$B131&amp;".e."&amp;$J$125</f>
        <v>egy.mit.ptp.nfm.lpg.e.1</v>
      </c>
      <c r="K131" s="22" t="n">
        <f aca="false">INDEX(Data_Prices!K:K,MATCH($G131,Data_Prices!$A:$A,0))</f>
        <v>0.200366691126738</v>
      </c>
      <c r="L131" s="22" t="n">
        <f aca="false">INDEX(Data_Prices!L:L,MATCH($G131,Data_Prices!$A:$A,0))</f>
        <v>0.157344736252274</v>
      </c>
      <c r="M131" s="22" t="n">
        <f aca="false">INDEX(Data_Prices!M:M,MATCH($G131,Data_Prices!$A:$A,0))</f>
        <v>0.164484037759277</v>
      </c>
      <c r="N131" s="22" t="n">
        <f aca="false">INDEX(Data_Prices!N:N,MATCH($G131,Data_Prices!$A:$A,0))</f>
        <v>0.150709077807049</v>
      </c>
      <c r="O131" s="22" t="n">
        <f aca="false">INDEX(Data_Prices!O:O,MATCH($G131,Data_Prices!$A:$A,0))</f>
        <v>0.150709077807049</v>
      </c>
      <c r="P131" s="22" t="n">
        <f aca="false">INDEX(Data_Prices!P:P,MATCH($G131,Data_Prices!$A:$A,0))</f>
        <v>0.150709077807049</v>
      </c>
      <c r="Q131" s="22" t="n">
        <f aca="false">INDEX(Data_Prices!Q:Q,MATCH($G131,Data_Prices!$A:$A,0))</f>
        <v>0.150709077807049</v>
      </c>
      <c r="R131" s="22" t="n">
        <f aca="false">INDEX(Data_Prices!R:R,MATCH($G131,Data_Prices!$A:$A,0))</f>
        <v>0.150709077807049</v>
      </c>
      <c r="S131" s="22" t="n">
        <f aca="false">INDEX(Data_Prices!S:S,MATCH($G131,Data_Prices!$A:$A,0))</f>
        <v>0.150709077807049</v>
      </c>
      <c r="T131" s="22" t="n">
        <f aca="false">INDEX(Data_Prices!T:T,MATCH($G131,Data_Prices!$A:$A,0))</f>
        <v>0.150709077807049</v>
      </c>
      <c r="U131" s="22" t="n">
        <f aca="false">INDEX(Data_Prices!U:U,MATCH($G131,Data_Prices!$A:$A,0))</f>
        <v>0.150709077807049</v>
      </c>
      <c r="V131" s="22" t="n">
        <f aca="false">INDEX(Data_Prices!V:V,MATCH($G131,Data_Prices!$A:$A,0))</f>
        <v>0.150709077807049</v>
      </c>
      <c r="W131" s="22" t="n">
        <f aca="false">INDEX(Data_Prices!W:W,MATCH($G131,Data_Prices!$A:$A,0))</f>
        <v>0.150709077807049</v>
      </c>
      <c r="X131" s="22" t="n">
        <f aca="false">INDEX(Data_Prices!X:X,MATCH($G131,Data_Prices!$A:$A,0))</f>
        <v>0.150709077807049</v>
      </c>
      <c r="Y131" s="22" t="n">
        <f aca="false">INDEX(Data_Prices!Y:Y,MATCH($G131,Data_Prices!$A:$A,0))</f>
        <v>0.150709077807049</v>
      </c>
      <c r="Z131" s="22" t="n">
        <f aca="false">INDEX(Data_Prices!Z:Z,MATCH($G131,Data_Prices!$A:$A,0))</f>
        <v>0.150709077807049</v>
      </c>
      <c r="AA131" s="22" t="n">
        <f aca="false">INDEX(Data_Prices!AA:AA,MATCH($G131,Data_Prices!$A:$A,0))</f>
        <v>0.150709077807049</v>
      </c>
      <c r="AB131" s="22" t="n">
        <f aca="false">INDEX(Data_Prices!AB:AB,MATCH($G131,Data_Prices!$A:$A,0))</f>
        <v>0.150709077807049</v>
      </c>
      <c r="AC131" s="22" t="n">
        <f aca="false">INDEX(Data_Prices!AC:AC,MATCH($G131,Data_Prices!$A:$A,0))</f>
        <v>0.150709077807049</v>
      </c>
      <c r="AD131" s="22" t="n">
        <f aca="false">INDEX(Data_Prices!AD:AD,MATCH($G131,Data_Prices!$A:$A,0))</f>
        <v>0.150709077807049</v>
      </c>
      <c r="AE131" s="22" t="n">
        <f aca="false">INDEX(Data_Prices!AE:AE,MATCH($G131,Data_Prices!$A:$A,0))</f>
        <v>0.150709077807049</v>
      </c>
    </row>
    <row r="132" customFormat="false" ht="15" hidden="false" customHeight="false" outlineLevel="0" collapsed="false">
      <c r="B132" s="17" t="s">
        <v>66</v>
      </c>
      <c r="C132" s="17" t="str">
        <f aca="false">$C$125</f>
        <v>nfm</v>
      </c>
      <c r="D132" s="18" t="s">
        <v>67</v>
      </c>
      <c r="E132" s="19" t="s">
        <v>61</v>
      </c>
      <c r="F132" s="17" t="s">
        <v>56</v>
      </c>
      <c r="G132" s="20" t="str">
        <f aca="false">Settings!$B$3&amp;".mit.pbc."&amp;Settings!$B$4&amp;"."&amp;$B132&amp;".a."&amp;$J$125</f>
        <v>egy.mit.pbc.ind.ker.a.1</v>
      </c>
      <c r="H132" s="21" t="str">
        <f aca="false">Settings!$B$3&amp;".mit.ptp."&amp;$C$125&amp;"."&amp;$B132&amp;".e."&amp;$J$125</f>
        <v>egy.mit.ptp.nfm.ker.e.1</v>
      </c>
      <c r="K132" s="22" t="n">
        <f aca="false">INDEX(Data_Prices!K:K,MATCH($G132,Data_Prices!$A:$A,0))</f>
        <v>0.484294240973435</v>
      </c>
      <c r="L132" s="22" t="n">
        <f aca="false">INDEX(Data_Prices!L:L,MATCH($G132,Data_Prices!$A:$A,0))</f>
        <v>0.456428170500128</v>
      </c>
      <c r="M132" s="22" t="n">
        <f aca="false">INDEX(Data_Prices!M:M,MATCH($G132,Data_Prices!$A:$A,0))</f>
        <v>0.431689201955995</v>
      </c>
      <c r="N132" s="22" t="n">
        <f aca="false">INDEX(Data_Prices!N:N,MATCH($G132,Data_Prices!$A:$A,0))</f>
        <v>0.42507558395597</v>
      </c>
      <c r="O132" s="22" t="n">
        <f aca="false">INDEX(Data_Prices!O:O,MATCH($G132,Data_Prices!$A:$A,0))</f>
        <v>0.42507558395597</v>
      </c>
      <c r="P132" s="22" t="n">
        <f aca="false">INDEX(Data_Prices!P:P,MATCH($G132,Data_Prices!$A:$A,0))</f>
        <v>0.42507558395597</v>
      </c>
      <c r="Q132" s="22" t="n">
        <f aca="false">INDEX(Data_Prices!Q:Q,MATCH($G132,Data_Prices!$A:$A,0))</f>
        <v>0.42507558395597</v>
      </c>
      <c r="R132" s="22" t="n">
        <f aca="false">INDEX(Data_Prices!R:R,MATCH($G132,Data_Prices!$A:$A,0))</f>
        <v>0.42507558395597</v>
      </c>
      <c r="S132" s="22" t="n">
        <f aca="false">INDEX(Data_Prices!S:S,MATCH($G132,Data_Prices!$A:$A,0))</f>
        <v>0.42507558395597</v>
      </c>
      <c r="T132" s="22" t="n">
        <f aca="false">INDEX(Data_Prices!T:T,MATCH($G132,Data_Prices!$A:$A,0))</f>
        <v>0.42507558395597</v>
      </c>
      <c r="U132" s="22" t="n">
        <f aca="false">INDEX(Data_Prices!U:U,MATCH($G132,Data_Prices!$A:$A,0))</f>
        <v>0.42507558395597</v>
      </c>
      <c r="V132" s="22" t="n">
        <f aca="false">INDEX(Data_Prices!V:V,MATCH($G132,Data_Prices!$A:$A,0))</f>
        <v>0.42507558395597</v>
      </c>
      <c r="W132" s="22" t="n">
        <f aca="false">INDEX(Data_Prices!W:W,MATCH($G132,Data_Prices!$A:$A,0))</f>
        <v>0.42507558395597</v>
      </c>
      <c r="X132" s="22" t="n">
        <f aca="false">INDEX(Data_Prices!X:X,MATCH($G132,Data_Prices!$A:$A,0))</f>
        <v>0.42507558395597</v>
      </c>
      <c r="Y132" s="22" t="n">
        <f aca="false">INDEX(Data_Prices!Y:Y,MATCH($G132,Data_Prices!$A:$A,0))</f>
        <v>0.42507558395597</v>
      </c>
      <c r="Z132" s="22" t="n">
        <f aca="false">INDEX(Data_Prices!Z:Z,MATCH($G132,Data_Prices!$A:$A,0))</f>
        <v>0.42507558395597</v>
      </c>
      <c r="AA132" s="22" t="n">
        <f aca="false">INDEX(Data_Prices!AA:AA,MATCH($G132,Data_Prices!$A:$A,0))</f>
        <v>0.42507558395597</v>
      </c>
      <c r="AB132" s="22" t="n">
        <f aca="false">INDEX(Data_Prices!AB:AB,MATCH($G132,Data_Prices!$A:$A,0))</f>
        <v>0.42507558395597</v>
      </c>
      <c r="AC132" s="22" t="n">
        <f aca="false">INDEX(Data_Prices!AC:AC,MATCH($G132,Data_Prices!$A:$A,0))</f>
        <v>0.42507558395597</v>
      </c>
      <c r="AD132" s="22" t="n">
        <f aca="false">INDEX(Data_Prices!AD:AD,MATCH($G132,Data_Prices!$A:$A,0))</f>
        <v>0.42507558395597</v>
      </c>
      <c r="AE132" s="22" t="n">
        <f aca="false">INDEX(Data_Prices!AE:AE,MATCH($G132,Data_Prices!$A:$A,0))</f>
        <v>0.42507558395597</v>
      </c>
    </row>
    <row r="133" customFormat="false" ht="15" hidden="false" customHeight="false" outlineLevel="0" collapsed="false">
      <c r="B133" s="17" t="s">
        <v>68</v>
      </c>
      <c r="C133" s="17" t="str">
        <f aca="false">$C$125</f>
        <v>nfm</v>
      </c>
      <c r="D133" s="18" t="s">
        <v>69</v>
      </c>
      <c r="E133" s="19" t="s">
        <v>70</v>
      </c>
      <c r="F133" s="17" t="s">
        <v>56</v>
      </c>
      <c r="G133" s="20" t="str">
        <f aca="false">Settings!$B$3&amp;".mit.pbc."&amp;Settings!$B$4&amp;"."&amp;$B133&amp;".a."&amp;$J$125</f>
        <v>egy.mit.pbc.ind.oop.a.1</v>
      </c>
      <c r="H133" s="21" t="str">
        <f aca="false">Settings!$B$3&amp;".mit.ptp."&amp;$C$125&amp;"."&amp;$B133&amp;".e."&amp;$J$125</f>
        <v>egy.mit.ptp.nfm.oop.e.1</v>
      </c>
      <c r="K133" s="22" t="n">
        <f aca="false">INDEX(Data_Prices!K:K,MATCH($G133,Data_Prices!$A:$A,0))</f>
        <v>41.5003384988684</v>
      </c>
      <c r="L133" s="22" t="n">
        <f aca="false">INDEX(Data_Prices!L:L,MATCH($G133,Data_Prices!$A:$A,0))</f>
        <v>34.4153703043132</v>
      </c>
      <c r="M133" s="22" t="n">
        <f aca="false">INDEX(Data_Prices!M:M,MATCH($G133,Data_Prices!$A:$A,0))</f>
        <v>37.368960690432</v>
      </c>
      <c r="N133" s="22" t="n">
        <f aca="false">INDEX(Data_Prices!N:N,MATCH($G133,Data_Prices!$A:$A,0))</f>
        <v>28.9827611014773</v>
      </c>
      <c r="O133" s="22" t="n">
        <f aca="false">INDEX(Data_Prices!O:O,MATCH($G133,Data_Prices!$A:$A,0))</f>
        <v>15</v>
      </c>
      <c r="P133" s="22" t="n">
        <f aca="false">INDEX(Data_Prices!P:P,MATCH($G133,Data_Prices!$A:$A,0))</f>
        <v>24.2586300842555</v>
      </c>
      <c r="Q133" s="22" t="n">
        <f aca="false">INDEX(Data_Prices!Q:Q,MATCH($G133,Data_Prices!$A:$A,0))</f>
        <v>15</v>
      </c>
      <c r="R133" s="22" t="n">
        <f aca="false">INDEX(Data_Prices!R:R,MATCH($G133,Data_Prices!$A:$A,0))</f>
        <v>15</v>
      </c>
      <c r="S133" s="22" t="n">
        <f aca="false">INDEX(Data_Prices!S:S,MATCH($G133,Data_Prices!$A:$A,0))</f>
        <v>15</v>
      </c>
      <c r="T133" s="22" t="n">
        <f aca="false">INDEX(Data_Prices!T:T,MATCH($G133,Data_Prices!$A:$A,0))</f>
        <v>15</v>
      </c>
      <c r="U133" s="22" t="n">
        <f aca="false">INDEX(Data_Prices!U:U,MATCH($G133,Data_Prices!$A:$A,0))</f>
        <v>15</v>
      </c>
      <c r="V133" s="22" t="n">
        <f aca="false">INDEX(Data_Prices!V:V,MATCH($G133,Data_Prices!$A:$A,0))</f>
        <v>15</v>
      </c>
      <c r="W133" s="22" t="n">
        <f aca="false">INDEX(Data_Prices!W:W,MATCH($G133,Data_Prices!$A:$A,0))</f>
        <v>15</v>
      </c>
      <c r="X133" s="22" t="n">
        <f aca="false">INDEX(Data_Prices!X:X,MATCH($G133,Data_Prices!$A:$A,0))</f>
        <v>15</v>
      </c>
      <c r="Y133" s="22" t="n">
        <f aca="false">INDEX(Data_Prices!Y:Y,MATCH($G133,Data_Prices!$A:$A,0))</f>
        <v>15</v>
      </c>
      <c r="Z133" s="22" t="n">
        <f aca="false">INDEX(Data_Prices!Z:Z,MATCH($G133,Data_Prices!$A:$A,0))</f>
        <v>15</v>
      </c>
      <c r="AA133" s="22" t="n">
        <f aca="false">INDEX(Data_Prices!AA:AA,MATCH($G133,Data_Prices!$A:$A,0))</f>
        <v>15</v>
      </c>
      <c r="AB133" s="22" t="n">
        <f aca="false">INDEX(Data_Prices!AB:AB,MATCH($G133,Data_Prices!$A:$A,0))</f>
        <v>15</v>
      </c>
      <c r="AC133" s="22" t="n">
        <f aca="false">INDEX(Data_Prices!AC:AC,MATCH($G133,Data_Prices!$A:$A,0))</f>
        <v>15</v>
      </c>
      <c r="AD133" s="22" t="n">
        <f aca="false">INDEX(Data_Prices!AD:AD,MATCH($G133,Data_Prices!$A:$A,0))</f>
        <v>15</v>
      </c>
      <c r="AE133" s="22" t="n">
        <f aca="false">INDEX(Data_Prices!AE:AE,MATCH($G133,Data_Prices!$A:$A,0))</f>
        <v>15</v>
      </c>
    </row>
    <row r="134" customFormat="false" ht="15" hidden="false" customHeight="false" outlineLevel="0" collapsed="false">
      <c r="B134" s="17" t="s">
        <v>71</v>
      </c>
      <c r="C134" s="17" t="str">
        <f aca="false">$C$125</f>
        <v>nfm</v>
      </c>
      <c r="D134" s="18" t="s">
        <v>72</v>
      </c>
      <c r="E134" s="19" t="s">
        <v>55</v>
      </c>
      <c r="F134" s="17" t="s">
        <v>56</v>
      </c>
      <c r="G134" s="20" t="str">
        <f aca="false">Settings!$B$3&amp;".mit.pbc."&amp;Settings!$B$4&amp;"."&amp;$B134&amp;".a."&amp;$J$125</f>
        <v>egy.mit.pbc.ind.bio.a.1</v>
      </c>
      <c r="H134" s="21" t="str">
        <f aca="false">Settings!$B$3&amp;".mit.ptp."&amp;$C$125&amp;"."&amp;$B134&amp;".e."&amp;$J$125</f>
        <v>egy.mit.ptp.nfm.bio.e.1</v>
      </c>
      <c r="K134" s="22" t="n">
        <f aca="false">INDEX(Data_Prices!K:K,MATCH($G134,Data_Prices!$A:$A,0))</f>
        <v>15.3345505293169</v>
      </c>
      <c r="L134" s="22" t="n">
        <f aca="false">INDEX(Data_Prices!L:L,MATCH($G134,Data_Prices!$A:$A,0))</f>
        <v>14.1995283906349</v>
      </c>
      <c r="M134" s="22" t="n">
        <f aca="false">INDEX(Data_Prices!M:M,MATCH($G134,Data_Prices!$A:$A,0))</f>
        <v>13.8404416133152</v>
      </c>
      <c r="N134" s="22" t="n">
        <f aca="false">INDEX(Data_Prices!N:N,MATCH($G134,Data_Prices!$A:$A,0))</f>
        <v>13.5677269404465</v>
      </c>
      <c r="O134" s="22" t="n">
        <f aca="false">INDEX(Data_Prices!O:O,MATCH($G134,Data_Prices!$A:$A,0))</f>
        <v>13.5677269404465</v>
      </c>
      <c r="P134" s="22" t="n">
        <f aca="false">INDEX(Data_Prices!P:P,MATCH($G134,Data_Prices!$A:$A,0))</f>
        <v>13.5677269404465</v>
      </c>
      <c r="Q134" s="22" t="n">
        <f aca="false">INDEX(Data_Prices!Q:Q,MATCH($G134,Data_Prices!$A:$A,0))</f>
        <v>13.5677269404465</v>
      </c>
      <c r="R134" s="22" t="n">
        <f aca="false">INDEX(Data_Prices!R:R,MATCH($G134,Data_Prices!$A:$A,0))</f>
        <v>13.5677269404465</v>
      </c>
      <c r="S134" s="22" t="n">
        <f aca="false">INDEX(Data_Prices!S:S,MATCH($G134,Data_Prices!$A:$A,0))</f>
        <v>13.5677269404465</v>
      </c>
      <c r="T134" s="22" t="n">
        <f aca="false">INDEX(Data_Prices!T:T,MATCH($G134,Data_Prices!$A:$A,0))</f>
        <v>13.5677269404465</v>
      </c>
      <c r="U134" s="22" t="n">
        <f aca="false">INDEX(Data_Prices!U:U,MATCH($G134,Data_Prices!$A:$A,0))</f>
        <v>13.5677269404465</v>
      </c>
      <c r="V134" s="22" t="n">
        <f aca="false">INDEX(Data_Prices!V:V,MATCH($G134,Data_Prices!$A:$A,0))</f>
        <v>13.5677269404465</v>
      </c>
      <c r="W134" s="22" t="n">
        <f aca="false">INDEX(Data_Prices!W:W,MATCH($G134,Data_Prices!$A:$A,0))</f>
        <v>13.5677269404465</v>
      </c>
      <c r="X134" s="22" t="n">
        <f aca="false">INDEX(Data_Prices!X:X,MATCH($G134,Data_Prices!$A:$A,0))</f>
        <v>13.5677269404465</v>
      </c>
      <c r="Y134" s="22" t="n">
        <f aca="false">INDEX(Data_Prices!Y:Y,MATCH($G134,Data_Prices!$A:$A,0))</f>
        <v>13.5677269404465</v>
      </c>
      <c r="Z134" s="22" t="n">
        <f aca="false">INDEX(Data_Prices!Z:Z,MATCH($G134,Data_Prices!$A:$A,0))</f>
        <v>13.5677269404465</v>
      </c>
      <c r="AA134" s="22" t="n">
        <f aca="false">INDEX(Data_Prices!AA:AA,MATCH($G134,Data_Prices!$A:$A,0))</f>
        <v>13.5677269404465</v>
      </c>
      <c r="AB134" s="22" t="n">
        <f aca="false">INDEX(Data_Prices!AB:AB,MATCH($G134,Data_Prices!$A:$A,0))</f>
        <v>13.5677269404465</v>
      </c>
      <c r="AC134" s="22" t="n">
        <f aca="false">INDEX(Data_Prices!AC:AC,MATCH($G134,Data_Prices!$A:$A,0))</f>
        <v>13.5677269404465</v>
      </c>
      <c r="AD134" s="22" t="n">
        <f aca="false">INDEX(Data_Prices!AD:AD,MATCH($G134,Data_Prices!$A:$A,0))</f>
        <v>13.5677269404465</v>
      </c>
      <c r="AE134" s="22" t="n">
        <f aca="false">INDEX(Data_Prices!AE:AE,MATCH($G134,Data_Prices!$A:$A,0))</f>
        <v>13.5677269404465</v>
      </c>
    </row>
    <row r="135" customFormat="false" ht="15" hidden="false" customHeight="false" outlineLevel="0" collapsed="false">
      <c r="B135" s="17" t="s">
        <v>73</v>
      </c>
      <c r="C135" s="17" t="str">
        <f aca="false">$C$125</f>
        <v>nfm</v>
      </c>
      <c r="D135" s="18" t="s">
        <v>74</v>
      </c>
      <c r="E135" s="19" t="s">
        <v>75</v>
      </c>
      <c r="F135" s="17" t="s">
        <v>56</v>
      </c>
      <c r="G135" s="20" t="str">
        <f aca="false">Settings!$B$3&amp;".mit.pbc."&amp;Settings!$B$4&amp;"."&amp;$B135&amp;".a."&amp;$J$125</f>
        <v>egy.mit.pbc.ind.ren.a.1</v>
      </c>
      <c r="H135" s="21" t="str">
        <f aca="false">Settings!$B$3&amp;".mit.ptp."&amp;$C$125&amp;"."&amp;$B135&amp;".e."&amp;$J$125</f>
        <v>egy.mit.ptp.nfm.ren.e.1</v>
      </c>
      <c r="K135" s="22" t="n">
        <f aca="false">INDEX(Data_Prices!K:K,MATCH($G135,Data_Prices!$A:$A,0))</f>
        <v>0</v>
      </c>
      <c r="L135" s="22" t="n">
        <f aca="false">INDEX(Data_Prices!L:L,MATCH($G135,Data_Prices!$A:$A,0))</f>
        <v>0.144044986793198</v>
      </c>
      <c r="M135" s="22" t="n">
        <f aca="false">INDEX(Data_Prices!M:M,MATCH($G135,Data_Prices!$A:$A,0))</f>
        <v>0.141020409657004</v>
      </c>
      <c r="N135" s="22" t="n">
        <f aca="false">INDEX(Data_Prices!N:N,MATCH($G135,Data_Prices!$A:$A,0))</f>
        <v>0.135116359594476</v>
      </c>
      <c r="O135" s="22" t="n">
        <f aca="false">INDEX(Data_Prices!O:O,MATCH($G135,Data_Prices!$A:$A,0))</f>
        <v>0.130988256985856</v>
      </c>
      <c r="P135" s="22" t="n">
        <f aca="false">INDEX(Data_Prices!P:P,MATCH($G135,Data_Prices!$A:$A,0))</f>
        <v>0.127908416086318</v>
      </c>
      <c r="Q135" s="22" t="n">
        <f aca="false">INDEX(Data_Prices!Q:Q,MATCH($G135,Data_Prices!$A:$A,0))</f>
        <v>0.124814310557813</v>
      </c>
      <c r="R135" s="22" t="n">
        <f aca="false">INDEX(Data_Prices!R:R,MATCH($G135,Data_Prices!$A:$A,0))</f>
        <v>0.121460257122878</v>
      </c>
      <c r="S135" s="22" t="n">
        <f aca="false">INDEX(Data_Prices!S:S,MATCH($G135,Data_Prices!$A:$A,0))</f>
        <v>0.117950744135786</v>
      </c>
      <c r="T135" s="22" t="n">
        <f aca="false">INDEX(Data_Prices!T:T,MATCH($G135,Data_Prices!$A:$A,0))</f>
        <v>0.114199161044597</v>
      </c>
      <c r="U135" s="22" t="n">
        <f aca="false">INDEX(Data_Prices!U:U,MATCH($G135,Data_Prices!$A:$A,0))</f>
        <v>0.113665100059665</v>
      </c>
      <c r="V135" s="22" t="n">
        <f aca="false">INDEX(Data_Prices!V:V,MATCH($G135,Data_Prices!$A:$A,0))</f>
        <v>0.113016929625957</v>
      </c>
      <c r="W135" s="22" t="n">
        <f aca="false">INDEX(Data_Prices!W:W,MATCH($G135,Data_Prices!$A:$A,0))</f>
        <v>0.112314070507636</v>
      </c>
      <c r="X135" s="22" t="n">
        <f aca="false">INDEX(Data_Prices!X:X,MATCH($G135,Data_Prices!$A:$A,0))</f>
        <v>0.111422042732843</v>
      </c>
      <c r="Y135" s="22" t="n">
        <f aca="false">INDEX(Data_Prices!Y:Y,MATCH($G135,Data_Prices!$A:$A,0))</f>
        <v>0.110434123675809</v>
      </c>
      <c r="Z135" s="22" t="n">
        <f aca="false">INDEX(Data_Prices!Z:Z,MATCH($G135,Data_Prices!$A:$A,0))</f>
        <v>0.109483973304471</v>
      </c>
      <c r="AA135" s="22" t="n">
        <f aca="false">INDEX(Data_Prices!AA:AA,MATCH($G135,Data_Prices!$A:$A,0))</f>
        <v>0.10839192105294</v>
      </c>
      <c r="AB135" s="22" t="n">
        <f aca="false">INDEX(Data_Prices!AB:AB,MATCH($G135,Data_Prices!$A:$A,0))</f>
        <v>0.107354433626704</v>
      </c>
      <c r="AC135" s="22" t="n">
        <f aca="false">INDEX(Data_Prices!AC:AC,MATCH($G135,Data_Prices!$A:$A,0))</f>
        <v>0.105168675441661</v>
      </c>
      <c r="AD135" s="22" t="n">
        <f aca="false">INDEX(Data_Prices!AD:AD,MATCH($G135,Data_Prices!$A:$A,0))</f>
        <v>0.103057983256008</v>
      </c>
      <c r="AE135" s="22" t="n">
        <f aca="false">INDEX(Data_Prices!AE:AE,MATCH($G135,Data_Prices!$A:$A,0))</f>
        <v>0.100931838990114</v>
      </c>
    </row>
    <row r="136" customFormat="false" ht="15" hidden="false" customHeight="false" outlineLevel="0" collapsed="false">
      <c r="B136" s="16" t="s">
        <v>76</v>
      </c>
    </row>
    <row r="137" customFormat="false" ht="15" hidden="false" customHeight="false" outlineLevel="0" collapsed="false">
      <c r="B137" s="17" t="s">
        <v>53</v>
      </c>
      <c r="C137" s="17" t="str">
        <f aca="false">$C$125</f>
        <v>nfm</v>
      </c>
      <c r="D137" s="18" t="s">
        <v>54</v>
      </c>
      <c r="E137" s="19" t="s">
        <v>55</v>
      </c>
      <c r="F137" s="17" t="s">
        <v>77</v>
      </c>
      <c r="G137" s="20" t="str">
        <f aca="false">Settings!$B$3&amp;".mit.nce."&amp;Settings!$B$4&amp;"."&amp;$B137&amp;".a."&amp;$J$125</f>
        <v>egy.mit.nce.ind.coa.a.1</v>
      </c>
      <c r="H137" s="21" t="str">
        <f aca="false">Settings!$B$3&amp;".mit.atp."&amp;$C$125&amp;"."&amp;$B137&amp;".e."&amp;$J$125</f>
        <v>egy.mit.atp.nfm.coa.e.1</v>
      </c>
      <c r="K137" s="22" t="n">
        <f aca="false">K127+INDEX(Data_Prices!K:K,MATCH($G137,Data_Prices!$A:$A,0))*K$157</f>
        <v>11.1829015892439</v>
      </c>
      <c r="L137" s="22" t="n">
        <f aca="false">L127+INDEX(Data_Prices!L:L,MATCH($G137,Data_Prices!$A:$A,0))*L$157</f>
        <v>10.5233613454312</v>
      </c>
      <c r="M137" s="22" t="n">
        <f aca="false">M127+INDEX(Data_Prices!M:M,MATCH($G137,Data_Prices!$A:$A,0))*M$157</f>
        <v>10.2995608274442</v>
      </c>
      <c r="N137" s="22" t="n">
        <f aca="false">N127+INDEX(Data_Prices!N:N,MATCH($G137,Data_Prices!$A:$A,0))*N$157</f>
        <v>9.57752835953826</v>
      </c>
      <c r="O137" s="22" t="n">
        <f aca="false">O127+INDEX(Data_Prices!O:O,MATCH($G137,Data_Prices!$A:$A,0))*O$157</f>
        <v>8.48547828695805</v>
      </c>
      <c r="P137" s="22" t="n">
        <f aca="false">P127+INDEX(Data_Prices!P:P,MATCH($G137,Data_Prices!$A:$A,0))*P$157</f>
        <v>9.08719223524986</v>
      </c>
      <c r="Q137" s="22" t="n">
        <f aca="false">Q127+INDEX(Data_Prices!Q:Q,MATCH($G137,Data_Prices!$A:$A,0))*Q$157</f>
        <v>9.22292372893268</v>
      </c>
      <c r="R137" s="22" t="n">
        <f aca="false">R127+INDEX(Data_Prices!R:R,MATCH($G137,Data_Prices!$A:$A,0))*R$157</f>
        <v>9.15856495550969</v>
      </c>
      <c r="S137" s="22" t="n">
        <f aca="false">S127+INDEX(Data_Prices!S:S,MATCH($G137,Data_Prices!$A:$A,0))*S$157</f>
        <v>9.08954787739738</v>
      </c>
      <c r="T137" s="22" t="n">
        <f aca="false">T127+INDEX(Data_Prices!T:T,MATCH($G137,Data_Prices!$A:$A,0))*T$157</f>
        <v>9.01568166602283</v>
      </c>
      <c r="U137" s="22" t="n">
        <f aca="false">U127+INDEX(Data_Prices!U:U,MATCH($G137,Data_Prices!$A:$A,0))*U$157</f>
        <v>8.94439776555711</v>
      </c>
      <c r="V137" s="22" t="n">
        <f aca="false">V127+INDEX(Data_Prices!V:V,MATCH($G137,Data_Prices!$A:$A,0))*V$157</f>
        <v>8.94439776555711</v>
      </c>
      <c r="W137" s="22" t="n">
        <f aca="false">W127+INDEX(Data_Prices!W:W,MATCH($G137,Data_Prices!$A:$A,0))*W$157</f>
        <v>8.94439776555711</v>
      </c>
      <c r="X137" s="22" t="n">
        <f aca="false">X127+INDEX(Data_Prices!X:X,MATCH($G137,Data_Prices!$A:$A,0))*X$157</f>
        <v>8.94439776555711</v>
      </c>
      <c r="Y137" s="22" t="n">
        <f aca="false">Y127+INDEX(Data_Prices!Y:Y,MATCH($G137,Data_Prices!$A:$A,0))*Y$157</f>
        <v>8.94439776555711</v>
      </c>
      <c r="Z137" s="22" t="n">
        <f aca="false">Z127+INDEX(Data_Prices!Z:Z,MATCH($G137,Data_Prices!$A:$A,0))*Z$157</f>
        <v>8.94439776555711</v>
      </c>
      <c r="AA137" s="22" t="n">
        <f aca="false">AA127+INDEX(Data_Prices!AA:AA,MATCH($G137,Data_Prices!$A:$A,0))*AA$157</f>
        <v>8.94439776555711</v>
      </c>
      <c r="AB137" s="22" t="n">
        <f aca="false">AB127+INDEX(Data_Prices!AB:AB,MATCH($G137,Data_Prices!$A:$A,0))*AB$157</f>
        <v>8.94439776555711</v>
      </c>
      <c r="AC137" s="22" t="n">
        <f aca="false">AC127+INDEX(Data_Prices!AC:AC,MATCH($G137,Data_Prices!$A:$A,0))*AC$157</f>
        <v>8.94439776555711</v>
      </c>
      <c r="AD137" s="22" t="n">
        <f aca="false">AD127+INDEX(Data_Prices!AD:AD,MATCH($G137,Data_Prices!$A:$A,0))*AD$157</f>
        <v>8.94439776555711</v>
      </c>
      <c r="AE137" s="22" t="n">
        <f aca="false">AE127+INDEX(Data_Prices!AE:AE,MATCH($G137,Data_Prices!$A:$A,0))*AE$157</f>
        <v>8.94439776555711</v>
      </c>
    </row>
    <row r="138" customFormat="false" ht="15" hidden="false" customHeight="false" outlineLevel="0" collapsed="false">
      <c r="B138" s="17" t="s">
        <v>57</v>
      </c>
      <c r="C138" s="17" t="str">
        <f aca="false">$C$125</f>
        <v>nfm</v>
      </c>
      <c r="D138" s="18" t="s">
        <v>58</v>
      </c>
      <c r="E138" s="19" t="s">
        <v>55</v>
      </c>
      <c r="F138" s="17" t="s">
        <v>77</v>
      </c>
      <c r="G138" s="20" t="str">
        <f aca="false">Settings!$B$3&amp;".mit.nce."&amp;Settings!$B$4&amp;"."&amp;$B138&amp;".a."&amp;$J$125</f>
        <v>egy.mit.nce.ind.nga.a.1</v>
      </c>
      <c r="H138" s="21" t="str">
        <f aca="false">Settings!$B$3&amp;".mit.atp."&amp;$C$125&amp;"."&amp;$B138&amp;".e."&amp;$J$125</f>
        <v>egy.mit.atp.nfm.nga.e.1</v>
      </c>
      <c r="K138" s="22" t="n">
        <f aca="false">K128+INDEX(Data_Prices!K:K,MATCH($G138,Data_Prices!$A:$A,0))*K$157</f>
        <v>6.06346361567291</v>
      </c>
      <c r="L138" s="22" t="n">
        <f aca="false">L128+INDEX(Data_Prices!L:L,MATCH($G138,Data_Prices!$A:$A,0))*L$157</f>
        <v>5.45101508161919</v>
      </c>
      <c r="M138" s="22" t="n">
        <f aca="false">M128+INDEX(Data_Prices!M:M,MATCH($G138,Data_Prices!$A:$A,0))*M$157</f>
        <v>5.11935630626248</v>
      </c>
      <c r="N138" s="22" t="n">
        <f aca="false">N128+INDEX(Data_Prices!N:N,MATCH($G138,Data_Prices!$A:$A,0))*N$157</f>
        <v>5.08218458640407</v>
      </c>
      <c r="O138" s="22" t="n">
        <f aca="false">O128+INDEX(Data_Prices!O:O,MATCH($G138,Data_Prices!$A:$A,0))*O$157</f>
        <v>5.08218458640407</v>
      </c>
      <c r="P138" s="22" t="n">
        <f aca="false">P128+INDEX(Data_Prices!P:P,MATCH($G138,Data_Prices!$A:$A,0))*P$157</f>
        <v>5.08218458640407</v>
      </c>
      <c r="Q138" s="22" t="n">
        <f aca="false">Q128+INDEX(Data_Prices!Q:Q,MATCH($G138,Data_Prices!$A:$A,0))*Q$157</f>
        <v>5.08218458640407</v>
      </c>
      <c r="R138" s="22" t="n">
        <f aca="false">R128+INDEX(Data_Prices!R:R,MATCH($G138,Data_Prices!$A:$A,0))*R$157</f>
        <v>5.08218458640407</v>
      </c>
      <c r="S138" s="22" t="n">
        <f aca="false">S128+INDEX(Data_Prices!S:S,MATCH($G138,Data_Prices!$A:$A,0))*S$157</f>
        <v>5.08218458640407</v>
      </c>
      <c r="T138" s="22" t="n">
        <f aca="false">T128+INDEX(Data_Prices!T:T,MATCH($G138,Data_Prices!$A:$A,0))*T$157</f>
        <v>5.08218458640407</v>
      </c>
      <c r="U138" s="22" t="n">
        <f aca="false">U128+INDEX(Data_Prices!U:U,MATCH($G138,Data_Prices!$A:$A,0))*U$157</f>
        <v>5.08218458640407</v>
      </c>
      <c r="V138" s="22" t="n">
        <f aca="false">V128+INDEX(Data_Prices!V:V,MATCH($G138,Data_Prices!$A:$A,0))*V$157</f>
        <v>5.08218458640407</v>
      </c>
      <c r="W138" s="22" t="n">
        <f aca="false">W128+INDEX(Data_Prices!W:W,MATCH($G138,Data_Prices!$A:$A,0))*W$157</f>
        <v>5.08218458640407</v>
      </c>
      <c r="X138" s="22" t="n">
        <f aca="false">X128+INDEX(Data_Prices!X:X,MATCH($G138,Data_Prices!$A:$A,0))*X$157</f>
        <v>5.08218458640407</v>
      </c>
      <c r="Y138" s="22" t="n">
        <f aca="false">Y128+INDEX(Data_Prices!Y:Y,MATCH($G138,Data_Prices!$A:$A,0))*Y$157</f>
        <v>5.08218458640407</v>
      </c>
      <c r="Z138" s="22" t="n">
        <f aca="false">Z128+INDEX(Data_Prices!Z:Z,MATCH($G138,Data_Prices!$A:$A,0))*Z$157</f>
        <v>5.08218458640407</v>
      </c>
      <c r="AA138" s="22" t="n">
        <f aca="false">AA128+INDEX(Data_Prices!AA:AA,MATCH($G138,Data_Prices!$A:$A,0))*AA$157</f>
        <v>5.08218458640407</v>
      </c>
      <c r="AB138" s="22" t="n">
        <f aca="false">AB128+INDEX(Data_Prices!AB:AB,MATCH($G138,Data_Prices!$A:$A,0))*AB$157</f>
        <v>5.08218458640407</v>
      </c>
      <c r="AC138" s="22" t="n">
        <f aca="false">AC128+INDEX(Data_Prices!AC:AC,MATCH($G138,Data_Prices!$A:$A,0))*AC$157</f>
        <v>5.08218458640407</v>
      </c>
      <c r="AD138" s="22" t="n">
        <f aca="false">AD128+INDEX(Data_Prices!AD:AD,MATCH($G138,Data_Prices!$A:$A,0))*AD$157</f>
        <v>5.08218458640407</v>
      </c>
      <c r="AE138" s="22" t="n">
        <f aca="false">AE128+INDEX(Data_Prices!AE:AE,MATCH($G138,Data_Prices!$A:$A,0))*AE$157</f>
        <v>5.08218458640407</v>
      </c>
    </row>
    <row r="139" customFormat="false" ht="15" hidden="false" customHeight="false" outlineLevel="0" collapsed="false">
      <c r="B139" s="17" t="s">
        <v>59</v>
      </c>
      <c r="C139" s="17" t="str">
        <f aca="false">$C$125</f>
        <v>nfm</v>
      </c>
      <c r="D139" s="18" t="s">
        <v>60</v>
      </c>
      <c r="E139" s="19" t="s">
        <v>61</v>
      </c>
      <c r="F139" s="17" t="s">
        <v>77</v>
      </c>
      <c r="G139" s="20" t="str">
        <f aca="false">Settings!$B$3&amp;".mit.nce."&amp;Settings!$B$4&amp;"."&amp;$B139&amp;".a."&amp;$J$125</f>
        <v>egy.mit.nce.ind.gso.a.1</v>
      </c>
      <c r="H139" s="21" t="str">
        <f aca="false">Settings!$B$3&amp;".mit.atp."&amp;$C$125&amp;"."&amp;$B139&amp;".e."&amp;$J$125</f>
        <v>egy.mit.atp.nfm.gso.e.1</v>
      </c>
      <c r="K139" s="22" t="n">
        <f aca="false">K129+INDEX(Data_Prices!K:K,MATCH($G139,Data_Prices!$A:$A,0))*K$157</f>
        <v>0.671146533321816</v>
      </c>
      <c r="L139" s="22" t="n">
        <f aca="false">L129+INDEX(Data_Prices!L:L,MATCH($G139,Data_Prices!$A:$A,0))*L$157</f>
        <v>0.611977976791406</v>
      </c>
      <c r="M139" s="22" t="n">
        <f aca="false">M129+INDEX(Data_Prices!M:M,MATCH($G139,Data_Prices!$A:$A,0))*M$157</f>
        <v>0.611809749641876</v>
      </c>
      <c r="N139" s="22" t="n">
        <f aca="false">N129+INDEX(Data_Prices!N:N,MATCH($G139,Data_Prices!$A:$A,0))*N$157</f>
        <v>0.603583100177906</v>
      </c>
      <c r="O139" s="22" t="n">
        <f aca="false">O129+INDEX(Data_Prices!O:O,MATCH($G139,Data_Prices!$A:$A,0))*O$157</f>
        <v>0.603583100177906</v>
      </c>
      <c r="P139" s="22" t="n">
        <f aca="false">P129+INDEX(Data_Prices!P:P,MATCH($G139,Data_Prices!$A:$A,0))*P$157</f>
        <v>0.603583100177906</v>
      </c>
      <c r="Q139" s="22" t="n">
        <f aca="false">Q129+INDEX(Data_Prices!Q:Q,MATCH($G139,Data_Prices!$A:$A,0))*Q$157</f>
        <v>0.603583100177906</v>
      </c>
      <c r="R139" s="22" t="n">
        <f aca="false">R129+INDEX(Data_Prices!R:R,MATCH($G139,Data_Prices!$A:$A,0))*R$157</f>
        <v>0.603583100177906</v>
      </c>
      <c r="S139" s="22" t="n">
        <f aca="false">S129+INDEX(Data_Prices!S:S,MATCH($G139,Data_Prices!$A:$A,0))*S$157</f>
        <v>0.603583100177906</v>
      </c>
      <c r="T139" s="22" t="n">
        <f aca="false">T129+INDEX(Data_Prices!T:T,MATCH($G139,Data_Prices!$A:$A,0))*T$157</f>
        <v>0.603583100177906</v>
      </c>
      <c r="U139" s="22" t="n">
        <f aca="false">U129+INDEX(Data_Prices!U:U,MATCH($G139,Data_Prices!$A:$A,0))*U$157</f>
        <v>0.603583100177906</v>
      </c>
      <c r="V139" s="22" t="n">
        <f aca="false">V129+INDEX(Data_Prices!V:V,MATCH($G139,Data_Prices!$A:$A,0))*V$157</f>
        <v>0.603583100177906</v>
      </c>
      <c r="W139" s="22" t="n">
        <f aca="false">W129+INDEX(Data_Prices!W:W,MATCH($G139,Data_Prices!$A:$A,0))*W$157</f>
        <v>0.603583100177906</v>
      </c>
      <c r="X139" s="22" t="n">
        <f aca="false">X129+INDEX(Data_Prices!X:X,MATCH($G139,Data_Prices!$A:$A,0))*X$157</f>
        <v>0.603583100177906</v>
      </c>
      <c r="Y139" s="22" t="n">
        <f aca="false">Y129+INDEX(Data_Prices!Y:Y,MATCH($G139,Data_Prices!$A:$A,0))*Y$157</f>
        <v>0.603583100177906</v>
      </c>
      <c r="Z139" s="22" t="n">
        <f aca="false">Z129+INDEX(Data_Prices!Z:Z,MATCH($G139,Data_Prices!$A:$A,0))*Z$157</f>
        <v>0.603583100177906</v>
      </c>
      <c r="AA139" s="22" t="n">
        <f aca="false">AA129+INDEX(Data_Prices!AA:AA,MATCH($G139,Data_Prices!$A:$A,0))*AA$157</f>
        <v>0.603583100177906</v>
      </c>
      <c r="AB139" s="22" t="n">
        <f aca="false">AB129+INDEX(Data_Prices!AB:AB,MATCH($G139,Data_Prices!$A:$A,0))*AB$157</f>
        <v>0.603583100177906</v>
      </c>
      <c r="AC139" s="22" t="n">
        <f aca="false">AC129+INDEX(Data_Prices!AC:AC,MATCH($G139,Data_Prices!$A:$A,0))*AC$157</f>
        <v>0.603583100177906</v>
      </c>
      <c r="AD139" s="22" t="n">
        <f aca="false">AD129+INDEX(Data_Prices!AD:AD,MATCH($G139,Data_Prices!$A:$A,0))*AD$157</f>
        <v>0.603583100177906</v>
      </c>
      <c r="AE139" s="22" t="n">
        <f aca="false">AE129+INDEX(Data_Prices!AE:AE,MATCH($G139,Data_Prices!$A:$A,0))*AE$157</f>
        <v>0.603583100177906</v>
      </c>
    </row>
    <row r="140" customFormat="false" ht="15" hidden="false" customHeight="false" outlineLevel="0" collapsed="false">
      <c r="B140" s="17" t="s">
        <v>62</v>
      </c>
      <c r="C140" s="17" t="str">
        <f aca="false">$C$125</f>
        <v>nfm</v>
      </c>
      <c r="D140" s="18" t="s">
        <v>63</v>
      </c>
      <c r="E140" s="19" t="s">
        <v>61</v>
      </c>
      <c r="F140" s="17" t="s">
        <v>77</v>
      </c>
      <c r="G140" s="20" t="str">
        <f aca="false">Settings!$B$3&amp;".mit.nce."&amp;Settings!$B$4&amp;"."&amp;$B140&amp;".a."&amp;$J$125</f>
        <v>egy.mit.nce.ind.die.a.1</v>
      </c>
      <c r="H140" s="21" t="str">
        <f aca="false">Settings!$B$3&amp;".mit.atp."&amp;$C$125&amp;"."&amp;$B140&amp;".e."&amp;$J$125</f>
        <v>egy.mit.atp.nfm.die.e.1</v>
      </c>
      <c r="K140" s="22" t="n">
        <f aca="false">K130+INDEX(Data_Prices!K:K,MATCH($G140,Data_Prices!$A:$A,0))*K$157</f>
        <v>0.559711213155688</v>
      </c>
      <c r="L140" s="22" t="n">
        <f aca="false">L130+INDEX(Data_Prices!L:L,MATCH($G140,Data_Prices!$A:$A,0))*L$157</f>
        <v>0.494588730841068</v>
      </c>
      <c r="M140" s="22" t="n">
        <f aca="false">M130+INDEX(Data_Prices!M:M,MATCH($G140,Data_Prices!$A:$A,0))*M$157</f>
        <v>0.507786547202501</v>
      </c>
      <c r="N140" s="22" t="n">
        <f aca="false">N130+INDEX(Data_Prices!N:N,MATCH($G140,Data_Prices!$A:$A,0))*N$157</f>
        <v>0.470436426795617</v>
      </c>
      <c r="O140" s="22" t="n">
        <f aca="false">O130+INDEX(Data_Prices!O:O,MATCH($G140,Data_Prices!$A:$A,0))*O$157</f>
        <v>0.470436426795617</v>
      </c>
      <c r="P140" s="22" t="n">
        <f aca="false">P130+INDEX(Data_Prices!P:P,MATCH($G140,Data_Prices!$A:$A,0))*P$157</f>
        <v>0.470436426795617</v>
      </c>
      <c r="Q140" s="22" t="n">
        <f aca="false">Q130+INDEX(Data_Prices!Q:Q,MATCH($G140,Data_Prices!$A:$A,0))*Q$157</f>
        <v>0.470436426795617</v>
      </c>
      <c r="R140" s="22" t="n">
        <f aca="false">R130+INDEX(Data_Prices!R:R,MATCH($G140,Data_Prices!$A:$A,0))*R$157</f>
        <v>0.470436426795617</v>
      </c>
      <c r="S140" s="22" t="n">
        <f aca="false">S130+INDEX(Data_Prices!S:S,MATCH($G140,Data_Prices!$A:$A,0))*S$157</f>
        <v>0.470436426795617</v>
      </c>
      <c r="T140" s="22" t="n">
        <f aca="false">T130+INDEX(Data_Prices!T:T,MATCH($G140,Data_Prices!$A:$A,0))*T$157</f>
        <v>0.470436426795617</v>
      </c>
      <c r="U140" s="22" t="n">
        <f aca="false">U130+INDEX(Data_Prices!U:U,MATCH($G140,Data_Prices!$A:$A,0))*U$157</f>
        <v>0.470436426795617</v>
      </c>
      <c r="V140" s="22" t="n">
        <f aca="false">V130+INDEX(Data_Prices!V:V,MATCH($G140,Data_Prices!$A:$A,0))*V$157</f>
        <v>0.470436426795617</v>
      </c>
      <c r="W140" s="22" t="n">
        <f aca="false">W130+INDEX(Data_Prices!W:W,MATCH($G140,Data_Prices!$A:$A,0))*W$157</f>
        <v>0.470436426795617</v>
      </c>
      <c r="X140" s="22" t="n">
        <f aca="false">X130+INDEX(Data_Prices!X:X,MATCH($G140,Data_Prices!$A:$A,0))*X$157</f>
        <v>0.470436426795617</v>
      </c>
      <c r="Y140" s="22" t="n">
        <f aca="false">Y130+INDEX(Data_Prices!Y:Y,MATCH($G140,Data_Prices!$A:$A,0))*Y$157</f>
        <v>0.470436426795617</v>
      </c>
      <c r="Z140" s="22" t="n">
        <f aca="false">Z130+INDEX(Data_Prices!Z:Z,MATCH($G140,Data_Prices!$A:$A,0))*Z$157</f>
        <v>0.470436426795617</v>
      </c>
      <c r="AA140" s="22" t="n">
        <f aca="false">AA130+INDEX(Data_Prices!AA:AA,MATCH($G140,Data_Prices!$A:$A,0))*AA$157</f>
        <v>0.470436426795617</v>
      </c>
      <c r="AB140" s="22" t="n">
        <f aca="false">AB130+INDEX(Data_Prices!AB:AB,MATCH($G140,Data_Prices!$A:$A,0))*AB$157</f>
        <v>0.470436426795617</v>
      </c>
      <c r="AC140" s="22" t="n">
        <f aca="false">AC130+INDEX(Data_Prices!AC:AC,MATCH($G140,Data_Prices!$A:$A,0))*AC$157</f>
        <v>0.470436426795617</v>
      </c>
      <c r="AD140" s="22" t="n">
        <f aca="false">AD130+INDEX(Data_Prices!AD:AD,MATCH($G140,Data_Prices!$A:$A,0))*AD$157</f>
        <v>0.470436426795617</v>
      </c>
      <c r="AE140" s="22" t="n">
        <f aca="false">AE130+INDEX(Data_Prices!AE:AE,MATCH($G140,Data_Prices!$A:$A,0))*AE$157</f>
        <v>0.470436426795617</v>
      </c>
    </row>
    <row r="141" customFormat="false" ht="15" hidden="false" customHeight="false" outlineLevel="0" collapsed="false">
      <c r="B141" s="17" t="s">
        <v>64</v>
      </c>
      <c r="C141" s="17" t="str">
        <f aca="false">$C$125</f>
        <v>nfm</v>
      </c>
      <c r="D141" s="18" t="s">
        <v>65</v>
      </c>
      <c r="E141" s="19" t="s">
        <v>61</v>
      </c>
      <c r="F141" s="17" t="s">
        <v>77</v>
      </c>
      <c r="G141" s="20" t="str">
        <f aca="false">Settings!$B$3&amp;".mit.nce."&amp;Settings!$B$4&amp;"."&amp;$B141&amp;".a."&amp;$J$125</f>
        <v>egy.mit.nce.ind.lpg.a.1</v>
      </c>
      <c r="H141" s="21" t="str">
        <f aca="false">Settings!$B$3&amp;".mit.atp."&amp;$C$125&amp;"."&amp;$B141&amp;".e."&amp;$J$125</f>
        <v>egy.mit.atp.nfm.lpg.e.1</v>
      </c>
      <c r="K141" s="22" t="n">
        <f aca="false">K131+INDEX(Data_Prices!K:K,MATCH($G141,Data_Prices!$A:$A,0))*K$157</f>
        <v>0.200366691126738</v>
      </c>
      <c r="L141" s="22" t="n">
        <f aca="false">L131+INDEX(Data_Prices!L:L,MATCH($G141,Data_Prices!$A:$A,0))*L$157</f>
        <v>0.157344736252274</v>
      </c>
      <c r="M141" s="22" t="n">
        <f aca="false">M131+INDEX(Data_Prices!M:M,MATCH($G141,Data_Prices!$A:$A,0))*M$157</f>
        <v>0.164484037759277</v>
      </c>
      <c r="N141" s="22" t="n">
        <f aca="false">N131+INDEX(Data_Prices!N:N,MATCH($G141,Data_Prices!$A:$A,0))*N$157</f>
        <v>0.150709077807049</v>
      </c>
      <c r="O141" s="22" t="n">
        <f aca="false">O131+INDEX(Data_Prices!O:O,MATCH($G141,Data_Prices!$A:$A,0))*O$157</f>
        <v>0.150709077807049</v>
      </c>
      <c r="P141" s="22" t="n">
        <f aca="false">P131+INDEX(Data_Prices!P:P,MATCH($G141,Data_Prices!$A:$A,0))*P$157</f>
        <v>0.150709077807049</v>
      </c>
      <c r="Q141" s="22" t="n">
        <f aca="false">Q131+INDEX(Data_Prices!Q:Q,MATCH($G141,Data_Prices!$A:$A,0))*Q$157</f>
        <v>0.150709077807049</v>
      </c>
      <c r="R141" s="22" t="n">
        <f aca="false">R131+INDEX(Data_Prices!R:R,MATCH($G141,Data_Prices!$A:$A,0))*R$157</f>
        <v>0.150709077807049</v>
      </c>
      <c r="S141" s="22" t="n">
        <f aca="false">S131+INDEX(Data_Prices!S:S,MATCH($G141,Data_Prices!$A:$A,0))*S$157</f>
        <v>0.150709077807049</v>
      </c>
      <c r="T141" s="22" t="n">
        <f aca="false">T131+INDEX(Data_Prices!T:T,MATCH($G141,Data_Prices!$A:$A,0))*T$157</f>
        <v>0.150709077807049</v>
      </c>
      <c r="U141" s="22" t="n">
        <f aca="false">U131+INDEX(Data_Prices!U:U,MATCH($G141,Data_Prices!$A:$A,0))*U$157</f>
        <v>0.150709077807049</v>
      </c>
      <c r="V141" s="22" t="n">
        <f aca="false">V131+INDEX(Data_Prices!V:V,MATCH($G141,Data_Prices!$A:$A,0))*V$157</f>
        <v>0.150709077807049</v>
      </c>
      <c r="W141" s="22" t="n">
        <f aca="false">W131+INDEX(Data_Prices!W:W,MATCH($G141,Data_Prices!$A:$A,0))*W$157</f>
        <v>0.150709077807049</v>
      </c>
      <c r="X141" s="22" t="n">
        <f aca="false">X131+INDEX(Data_Prices!X:X,MATCH($G141,Data_Prices!$A:$A,0))*X$157</f>
        <v>0.150709077807049</v>
      </c>
      <c r="Y141" s="22" t="n">
        <f aca="false">Y131+INDEX(Data_Prices!Y:Y,MATCH($G141,Data_Prices!$A:$A,0))*Y$157</f>
        <v>0.150709077807049</v>
      </c>
      <c r="Z141" s="22" t="n">
        <f aca="false">Z131+INDEX(Data_Prices!Z:Z,MATCH($G141,Data_Prices!$A:$A,0))*Z$157</f>
        <v>0.150709077807049</v>
      </c>
      <c r="AA141" s="22" t="n">
        <f aca="false">AA131+INDEX(Data_Prices!AA:AA,MATCH($G141,Data_Prices!$A:$A,0))*AA$157</f>
        <v>0.150709077807049</v>
      </c>
      <c r="AB141" s="22" t="n">
        <f aca="false">AB131+INDEX(Data_Prices!AB:AB,MATCH($G141,Data_Prices!$A:$A,0))*AB$157</f>
        <v>0.150709077807049</v>
      </c>
      <c r="AC141" s="22" t="n">
        <f aca="false">AC131+INDEX(Data_Prices!AC:AC,MATCH($G141,Data_Prices!$A:$A,0))*AC$157</f>
        <v>0.150709077807049</v>
      </c>
      <c r="AD141" s="22" t="n">
        <f aca="false">AD131+INDEX(Data_Prices!AD:AD,MATCH($G141,Data_Prices!$A:$A,0))*AD$157</f>
        <v>0.150709077807049</v>
      </c>
      <c r="AE141" s="22" t="n">
        <f aca="false">AE131+INDEX(Data_Prices!AE:AE,MATCH($G141,Data_Prices!$A:$A,0))*AE$157</f>
        <v>0.150709077807049</v>
      </c>
    </row>
    <row r="142" customFormat="false" ht="15" hidden="false" customHeight="false" outlineLevel="0" collapsed="false">
      <c r="B142" s="17" t="s">
        <v>66</v>
      </c>
      <c r="C142" s="17" t="str">
        <f aca="false">$C$125</f>
        <v>nfm</v>
      </c>
      <c r="D142" s="18" t="s">
        <v>67</v>
      </c>
      <c r="E142" s="19" t="s">
        <v>61</v>
      </c>
      <c r="F142" s="17" t="s">
        <v>77</v>
      </c>
      <c r="G142" s="20" t="str">
        <f aca="false">Settings!$B$3&amp;".mit.nce."&amp;Settings!$B$4&amp;"."&amp;$B142&amp;".a."&amp;$J$125</f>
        <v>egy.mit.nce.ind.ker.a.1</v>
      </c>
      <c r="H142" s="21" t="str">
        <f aca="false">Settings!$B$3&amp;".mit.atp."&amp;$C$125&amp;"."&amp;$B142&amp;".e."&amp;$J$125</f>
        <v>egy.mit.atp.nfm.ker.e.1</v>
      </c>
      <c r="K142" s="22" t="n">
        <f aca="false">K132+INDEX(Data_Prices!K:K,MATCH($G142,Data_Prices!$A:$A,0))*K$157</f>
        <v>0.484294240973435</v>
      </c>
      <c r="L142" s="22" t="n">
        <f aca="false">L132+INDEX(Data_Prices!L:L,MATCH($G142,Data_Prices!$A:$A,0))*L$157</f>
        <v>0.456428170500128</v>
      </c>
      <c r="M142" s="22" t="n">
        <f aca="false">M132+INDEX(Data_Prices!M:M,MATCH($G142,Data_Prices!$A:$A,0))*M$157</f>
        <v>0.431689201955995</v>
      </c>
      <c r="N142" s="22" t="n">
        <f aca="false">N132+INDEX(Data_Prices!N:N,MATCH($G142,Data_Prices!$A:$A,0))*N$157</f>
        <v>0.42507558395597</v>
      </c>
      <c r="O142" s="22" t="n">
        <f aca="false">O132+INDEX(Data_Prices!O:O,MATCH($G142,Data_Prices!$A:$A,0))*O$157</f>
        <v>0.42507558395597</v>
      </c>
      <c r="P142" s="22" t="n">
        <f aca="false">P132+INDEX(Data_Prices!P:P,MATCH($G142,Data_Prices!$A:$A,0))*P$157</f>
        <v>0.42507558395597</v>
      </c>
      <c r="Q142" s="22" t="n">
        <f aca="false">Q132+INDEX(Data_Prices!Q:Q,MATCH($G142,Data_Prices!$A:$A,0))*Q$157</f>
        <v>0.42507558395597</v>
      </c>
      <c r="R142" s="22" t="n">
        <f aca="false">R132+INDEX(Data_Prices!R:R,MATCH($G142,Data_Prices!$A:$A,0))*R$157</f>
        <v>0.42507558395597</v>
      </c>
      <c r="S142" s="22" t="n">
        <f aca="false">S132+INDEX(Data_Prices!S:S,MATCH($G142,Data_Prices!$A:$A,0))*S$157</f>
        <v>0.42507558395597</v>
      </c>
      <c r="T142" s="22" t="n">
        <f aca="false">T132+INDEX(Data_Prices!T:T,MATCH($G142,Data_Prices!$A:$A,0))*T$157</f>
        <v>0.42507558395597</v>
      </c>
      <c r="U142" s="22" t="n">
        <f aca="false">U132+INDEX(Data_Prices!U:U,MATCH($G142,Data_Prices!$A:$A,0))*U$157</f>
        <v>0.42507558395597</v>
      </c>
      <c r="V142" s="22" t="n">
        <f aca="false">V132+INDEX(Data_Prices!V:V,MATCH($G142,Data_Prices!$A:$A,0))*V$157</f>
        <v>0.42507558395597</v>
      </c>
      <c r="W142" s="22" t="n">
        <f aca="false">W132+INDEX(Data_Prices!W:W,MATCH($G142,Data_Prices!$A:$A,0))*W$157</f>
        <v>0.42507558395597</v>
      </c>
      <c r="X142" s="22" t="n">
        <f aca="false">X132+INDEX(Data_Prices!X:X,MATCH($G142,Data_Prices!$A:$A,0))*X$157</f>
        <v>0.42507558395597</v>
      </c>
      <c r="Y142" s="22" t="n">
        <f aca="false">Y132+INDEX(Data_Prices!Y:Y,MATCH($G142,Data_Prices!$A:$A,0))*Y$157</f>
        <v>0.42507558395597</v>
      </c>
      <c r="Z142" s="22" t="n">
        <f aca="false">Z132+INDEX(Data_Prices!Z:Z,MATCH($G142,Data_Prices!$A:$A,0))*Z$157</f>
        <v>0.42507558395597</v>
      </c>
      <c r="AA142" s="22" t="n">
        <f aca="false">AA132+INDEX(Data_Prices!AA:AA,MATCH($G142,Data_Prices!$A:$A,0))*AA$157</f>
        <v>0.42507558395597</v>
      </c>
      <c r="AB142" s="22" t="n">
        <f aca="false">AB132+INDEX(Data_Prices!AB:AB,MATCH($G142,Data_Prices!$A:$A,0))*AB$157</f>
        <v>0.42507558395597</v>
      </c>
      <c r="AC142" s="22" t="n">
        <f aca="false">AC132+INDEX(Data_Prices!AC:AC,MATCH($G142,Data_Prices!$A:$A,0))*AC$157</f>
        <v>0.42507558395597</v>
      </c>
      <c r="AD142" s="22" t="n">
        <f aca="false">AD132+INDEX(Data_Prices!AD:AD,MATCH($G142,Data_Prices!$A:$A,0))*AD$157</f>
        <v>0.42507558395597</v>
      </c>
      <c r="AE142" s="22" t="n">
        <f aca="false">AE132+INDEX(Data_Prices!AE:AE,MATCH($G142,Data_Prices!$A:$A,0))*AE$157</f>
        <v>0.42507558395597</v>
      </c>
    </row>
    <row r="143" customFormat="false" ht="15" hidden="false" customHeight="false" outlineLevel="0" collapsed="false">
      <c r="B143" s="17" t="s">
        <v>68</v>
      </c>
      <c r="C143" s="17" t="str">
        <f aca="false">$C$125</f>
        <v>nfm</v>
      </c>
      <c r="D143" s="18" t="s">
        <v>69</v>
      </c>
      <c r="E143" s="19" t="s">
        <v>70</v>
      </c>
      <c r="F143" s="17" t="s">
        <v>77</v>
      </c>
      <c r="G143" s="20" t="str">
        <f aca="false">Settings!$B$3&amp;".mit.nce."&amp;Settings!$B$4&amp;"."&amp;$B143&amp;".a."&amp;$J$125</f>
        <v>egy.mit.nce.ind.oop.a.1</v>
      </c>
      <c r="H143" s="21" t="str">
        <f aca="false">Settings!$B$3&amp;".mit.atp."&amp;$C$125&amp;"."&amp;$B143&amp;".e."&amp;$J$125</f>
        <v>egy.mit.atp.nfm.oop.e.1</v>
      </c>
      <c r="K143" s="22" t="n">
        <f aca="false">K133+INDEX(Data_Prices!K:K,MATCH($G143,Data_Prices!$A:$A,0))*K$157</f>
        <v>41.5003384988684</v>
      </c>
      <c r="L143" s="22" t="n">
        <f aca="false">L133+INDEX(Data_Prices!L:L,MATCH($G143,Data_Prices!$A:$A,0))*L$157</f>
        <v>34.4153703043132</v>
      </c>
      <c r="M143" s="22" t="n">
        <f aca="false">M133+INDEX(Data_Prices!M:M,MATCH($G143,Data_Prices!$A:$A,0))*M$157</f>
        <v>37.368960690432</v>
      </c>
      <c r="N143" s="22" t="n">
        <f aca="false">N133+INDEX(Data_Prices!N:N,MATCH($G143,Data_Prices!$A:$A,0))*N$157</f>
        <v>28.9827611014773</v>
      </c>
      <c r="O143" s="22" t="n">
        <f aca="false">O133+INDEX(Data_Prices!O:O,MATCH($G143,Data_Prices!$A:$A,0))*O$157</f>
        <v>15</v>
      </c>
      <c r="P143" s="22" t="n">
        <f aca="false">P133+INDEX(Data_Prices!P:P,MATCH($G143,Data_Prices!$A:$A,0))*P$157</f>
        <v>24.2586300842555</v>
      </c>
      <c r="Q143" s="22" t="n">
        <f aca="false">Q133+INDEX(Data_Prices!Q:Q,MATCH($G143,Data_Prices!$A:$A,0))*Q$157</f>
        <v>15</v>
      </c>
      <c r="R143" s="22" t="n">
        <f aca="false">R133+INDEX(Data_Prices!R:R,MATCH($G143,Data_Prices!$A:$A,0))*R$157</f>
        <v>15</v>
      </c>
      <c r="S143" s="22" t="n">
        <f aca="false">S133+INDEX(Data_Prices!S:S,MATCH($G143,Data_Prices!$A:$A,0))*S$157</f>
        <v>15</v>
      </c>
      <c r="T143" s="22" t="n">
        <f aca="false">T133+INDEX(Data_Prices!T:T,MATCH($G143,Data_Prices!$A:$A,0))*T$157</f>
        <v>15</v>
      </c>
      <c r="U143" s="22" t="n">
        <f aca="false">U133+INDEX(Data_Prices!U:U,MATCH($G143,Data_Prices!$A:$A,0))*U$157</f>
        <v>15</v>
      </c>
      <c r="V143" s="22" t="n">
        <f aca="false">V133+INDEX(Data_Prices!V:V,MATCH($G143,Data_Prices!$A:$A,0))*V$157</f>
        <v>15</v>
      </c>
      <c r="W143" s="22" t="n">
        <f aca="false">W133+INDEX(Data_Prices!W:W,MATCH($G143,Data_Prices!$A:$A,0))*W$157</f>
        <v>15</v>
      </c>
      <c r="X143" s="22" t="n">
        <f aca="false">X133+INDEX(Data_Prices!X:X,MATCH($G143,Data_Prices!$A:$A,0))*X$157</f>
        <v>15</v>
      </c>
      <c r="Y143" s="22" t="n">
        <f aca="false">Y133+INDEX(Data_Prices!Y:Y,MATCH($G143,Data_Prices!$A:$A,0))*Y$157</f>
        <v>15</v>
      </c>
      <c r="Z143" s="22" t="n">
        <f aca="false">Z133+INDEX(Data_Prices!Z:Z,MATCH($G143,Data_Prices!$A:$A,0))*Z$157</f>
        <v>15</v>
      </c>
      <c r="AA143" s="22" t="n">
        <f aca="false">AA133+INDEX(Data_Prices!AA:AA,MATCH($G143,Data_Prices!$A:$A,0))*AA$157</f>
        <v>15</v>
      </c>
      <c r="AB143" s="22" t="n">
        <f aca="false">AB133+INDEX(Data_Prices!AB:AB,MATCH($G143,Data_Prices!$A:$A,0))*AB$157</f>
        <v>15</v>
      </c>
      <c r="AC143" s="22" t="n">
        <f aca="false">AC133+INDEX(Data_Prices!AC:AC,MATCH($G143,Data_Prices!$A:$A,0))*AC$157</f>
        <v>15</v>
      </c>
      <c r="AD143" s="22" t="n">
        <f aca="false">AD133+INDEX(Data_Prices!AD:AD,MATCH($G143,Data_Prices!$A:$A,0))*AD$157</f>
        <v>15</v>
      </c>
      <c r="AE143" s="22" t="n">
        <f aca="false">AE133+INDEX(Data_Prices!AE:AE,MATCH($G143,Data_Prices!$A:$A,0))*AE$157</f>
        <v>15</v>
      </c>
    </row>
    <row r="144" customFormat="false" ht="15" hidden="false" customHeight="false" outlineLevel="0" collapsed="false">
      <c r="B144" s="17" t="s">
        <v>71</v>
      </c>
      <c r="C144" s="17" t="str">
        <f aca="false">$C$125</f>
        <v>nfm</v>
      </c>
      <c r="D144" s="18" t="s">
        <v>72</v>
      </c>
      <c r="E144" s="19" t="s">
        <v>55</v>
      </c>
      <c r="F144" s="17" t="s">
        <v>77</v>
      </c>
      <c r="G144" s="20" t="str">
        <f aca="false">Settings!$B$3&amp;".mit.nce."&amp;Settings!$B$4&amp;"."&amp;$B144&amp;".a."&amp;$J$125</f>
        <v>egy.mit.nce.ind.bio.a.1</v>
      </c>
      <c r="H144" s="21" t="str">
        <f aca="false">Settings!$B$3&amp;".mit.atp."&amp;$C$125&amp;"."&amp;$B144&amp;".e."&amp;$J$125</f>
        <v>egy.mit.atp.nfm.bio.e.1</v>
      </c>
      <c r="K144" s="22" t="n">
        <f aca="false">K134+INDEX(Data_Prices!K:K,MATCH($G144,Data_Prices!$A:$A,0))*K$157</f>
        <v>15.3345505293169</v>
      </c>
      <c r="L144" s="22" t="n">
        <f aca="false">L134+INDEX(Data_Prices!L:L,MATCH($G144,Data_Prices!$A:$A,0))*L$157</f>
        <v>14.1995283906349</v>
      </c>
      <c r="M144" s="22" t="n">
        <f aca="false">M134+INDEX(Data_Prices!M:M,MATCH($G144,Data_Prices!$A:$A,0))*M$157</f>
        <v>13.8404416133152</v>
      </c>
      <c r="N144" s="22" t="n">
        <f aca="false">N134+INDEX(Data_Prices!N:N,MATCH($G144,Data_Prices!$A:$A,0))*N$157</f>
        <v>13.5677269404465</v>
      </c>
      <c r="O144" s="22" t="n">
        <f aca="false">O134+INDEX(Data_Prices!O:O,MATCH($G144,Data_Prices!$A:$A,0))*O$157</f>
        <v>13.5677269404465</v>
      </c>
      <c r="P144" s="22" t="n">
        <f aca="false">P134+INDEX(Data_Prices!P:P,MATCH($G144,Data_Prices!$A:$A,0))*P$157</f>
        <v>13.5677269404465</v>
      </c>
      <c r="Q144" s="22" t="n">
        <f aca="false">Q134+INDEX(Data_Prices!Q:Q,MATCH($G144,Data_Prices!$A:$A,0))*Q$157</f>
        <v>13.5677269404465</v>
      </c>
      <c r="R144" s="22" t="n">
        <f aca="false">R134+INDEX(Data_Prices!R:R,MATCH($G144,Data_Prices!$A:$A,0))*R$157</f>
        <v>13.5677269404465</v>
      </c>
      <c r="S144" s="22" t="n">
        <f aca="false">S134+INDEX(Data_Prices!S:S,MATCH($G144,Data_Prices!$A:$A,0))*S$157</f>
        <v>13.5677269404465</v>
      </c>
      <c r="T144" s="22" t="n">
        <f aca="false">T134+INDEX(Data_Prices!T:T,MATCH($G144,Data_Prices!$A:$A,0))*T$157</f>
        <v>13.5677269404465</v>
      </c>
      <c r="U144" s="22" t="n">
        <f aca="false">U134+INDEX(Data_Prices!U:U,MATCH($G144,Data_Prices!$A:$A,0))*U$157</f>
        <v>13.5677269404465</v>
      </c>
      <c r="V144" s="22" t="n">
        <f aca="false">V134+INDEX(Data_Prices!V:V,MATCH($G144,Data_Prices!$A:$A,0))*V$157</f>
        <v>13.5677269404465</v>
      </c>
      <c r="W144" s="22" t="n">
        <f aca="false">W134+INDEX(Data_Prices!W:W,MATCH($G144,Data_Prices!$A:$A,0))*W$157</f>
        <v>13.5677269404465</v>
      </c>
      <c r="X144" s="22" t="n">
        <f aca="false">X134+INDEX(Data_Prices!X:X,MATCH($G144,Data_Prices!$A:$A,0))*X$157</f>
        <v>13.5677269404465</v>
      </c>
      <c r="Y144" s="22" t="n">
        <f aca="false">Y134+INDEX(Data_Prices!Y:Y,MATCH($G144,Data_Prices!$A:$A,0))*Y$157</f>
        <v>13.5677269404465</v>
      </c>
      <c r="Z144" s="22" t="n">
        <f aca="false">Z134+INDEX(Data_Prices!Z:Z,MATCH($G144,Data_Prices!$A:$A,0))*Z$157</f>
        <v>13.5677269404465</v>
      </c>
      <c r="AA144" s="22" t="n">
        <f aca="false">AA134+INDEX(Data_Prices!AA:AA,MATCH($G144,Data_Prices!$A:$A,0))*AA$157</f>
        <v>13.5677269404465</v>
      </c>
      <c r="AB144" s="22" t="n">
        <f aca="false">AB134+INDEX(Data_Prices!AB:AB,MATCH($G144,Data_Prices!$A:$A,0))*AB$157</f>
        <v>13.5677269404465</v>
      </c>
      <c r="AC144" s="22" t="n">
        <f aca="false">AC134+INDEX(Data_Prices!AC:AC,MATCH($G144,Data_Prices!$A:$A,0))*AC$157</f>
        <v>13.5677269404465</v>
      </c>
      <c r="AD144" s="22" t="n">
        <f aca="false">AD134+INDEX(Data_Prices!AD:AD,MATCH($G144,Data_Prices!$A:$A,0))*AD$157</f>
        <v>13.5677269404465</v>
      </c>
      <c r="AE144" s="22" t="n">
        <f aca="false">AE134+INDEX(Data_Prices!AE:AE,MATCH($G144,Data_Prices!$A:$A,0))*AE$157</f>
        <v>13.5677269404465</v>
      </c>
    </row>
    <row r="145" customFormat="false" ht="15" hidden="false" customHeight="false" outlineLevel="0" collapsed="false">
      <c r="B145" s="17" t="s">
        <v>73</v>
      </c>
      <c r="C145" s="17" t="str">
        <f aca="false">$C$125</f>
        <v>nfm</v>
      </c>
      <c r="D145" s="18" t="s">
        <v>74</v>
      </c>
      <c r="E145" s="19" t="s">
        <v>75</v>
      </c>
      <c r="F145" s="17" t="s">
        <v>77</v>
      </c>
      <c r="G145" s="20" t="str">
        <f aca="false">Settings!$B$3&amp;".mit.nce."&amp;Settings!$B$4&amp;"."&amp;$B145&amp;".a."&amp;$J$125</f>
        <v>egy.mit.nce.ind.ren.a.1</v>
      </c>
      <c r="H145" s="21" t="str">
        <f aca="false">Settings!$B$3&amp;".mit.atp."&amp;$C$125&amp;"."&amp;$B145&amp;".e."&amp;$J$125</f>
        <v>egy.mit.atp.nfm.ren.e.1</v>
      </c>
      <c r="K145" s="22" t="n">
        <f aca="false">K135+INDEX(Data_Prices!K:K,MATCH($G145,Data_Prices!$A:$A,0))*K$157</f>
        <v>0</v>
      </c>
      <c r="L145" s="22" t="n">
        <f aca="false">L135+INDEX(Data_Prices!L:L,MATCH($G145,Data_Prices!$A:$A,0))*L$157</f>
        <v>0.144044986793198</v>
      </c>
      <c r="M145" s="22" t="n">
        <f aca="false">M135+INDEX(Data_Prices!M:M,MATCH($G145,Data_Prices!$A:$A,0))*M$157</f>
        <v>0.141020409657004</v>
      </c>
      <c r="N145" s="22" t="n">
        <f aca="false">N135+INDEX(Data_Prices!N:N,MATCH($G145,Data_Prices!$A:$A,0))*N$157</f>
        <v>0.135116359594476</v>
      </c>
      <c r="O145" s="22" t="n">
        <f aca="false">O135+INDEX(Data_Prices!O:O,MATCH($G145,Data_Prices!$A:$A,0))*O$157</f>
        <v>0.130988256985856</v>
      </c>
      <c r="P145" s="22" t="n">
        <f aca="false">P135+INDEX(Data_Prices!P:P,MATCH($G145,Data_Prices!$A:$A,0))*P$157</f>
        <v>0.127908416086318</v>
      </c>
      <c r="Q145" s="22" t="n">
        <f aca="false">Q135+INDEX(Data_Prices!Q:Q,MATCH($G145,Data_Prices!$A:$A,0))*Q$157</f>
        <v>0.124814310557813</v>
      </c>
      <c r="R145" s="22" t="n">
        <f aca="false">R135+INDEX(Data_Prices!R:R,MATCH($G145,Data_Prices!$A:$A,0))*R$157</f>
        <v>0.121460257122878</v>
      </c>
      <c r="S145" s="22" t="n">
        <f aca="false">S135+INDEX(Data_Prices!S:S,MATCH($G145,Data_Prices!$A:$A,0))*S$157</f>
        <v>0.117950744135786</v>
      </c>
      <c r="T145" s="22" t="n">
        <f aca="false">T135+INDEX(Data_Prices!T:T,MATCH($G145,Data_Prices!$A:$A,0))*T$157</f>
        <v>0.114199161044597</v>
      </c>
      <c r="U145" s="22" t="n">
        <f aca="false">U135+INDEX(Data_Prices!U:U,MATCH($G145,Data_Prices!$A:$A,0))*U$157</f>
        <v>0.113665100059665</v>
      </c>
      <c r="V145" s="22" t="n">
        <f aca="false">V135+INDEX(Data_Prices!V:V,MATCH($G145,Data_Prices!$A:$A,0))*V$157</f>
        <v>0.113016929625957</v>
      </c>
      <c r="W145" s="22" t="n">
        <f aca="false">W135+INDEX(Data_Prices!W:W,MATCH($G145,Data_Prices!$A:$A,0))*W$157</f>
        <v>0.112314070507636</v>
      </c>
      <c r="X145" s="22" t="n">
        <f aca="false">X135+INDEX(Data_Prices!X:X,MATCH($G145,Data_Prices!$A:$A,0))*X$157</f>
        <v>0.111422042732843</v>
      </c>
      <c r="Y145" s="22" t="n">
        <f aca="false">Y135+INDEX(Data_Prices!Y:Y,MATCH($G145,Data_Prices!$A:$A,0))*Y$157</f>
        <v>0.110434123675809</v>
      </c>
      <c r="Z145" s="22" t="n">
        <f aca="false">Z135+INDEX(Data_Prices!Z:Z,MATCH($G145,Data_Prices!$A:$A,0))*Z$157</f>
        <v>0.109483973304471</v>
      </c>
      <c r="AA145" s="22" t="n">
        <f aca="false">AA135+INDEX(Data_Prices!AA:AA,MATCH($G145,Data_Prices!$A:$A,0))*AA$157</f>
        <v>0.10839192105294</v>
      </c>
      <c r="AB145" s="22" t="n">
        <f aca="false">AB135+INDEX(Data_Prices!AB:AB,MATCH($G145,Data_Prices!$A:$A,0))*AB$157</f>
        <v>0.107354433626704</v>
      </c>
      <c r="AC145" s="22" t="n">
        <f aca="false">AC135+INDEX(Data_Prices!AC:AC,MATCH($G145,Data_Prices!$A:$A,0))*AC$157</f>
        <v>0.105168675441661</v>
      </c>
      <c r="AD145" s="22" t="n">
        <f aca="false">AD135+INDEX(Data_Prices!AD:AD,MATCH($G145,Data_Prices!$A:$A,0))*AD$157</f>
        <v>0.103057983256008</v>
      </c>
      <c r="AE145" s="22" t="n">
        <f aca="false">AE135+INDEX(Data_Prices!AE:AE,MATCH($G145,Data_Prices!$A:$A,0))*AE$157</f>
        <v>0.100931838990114</v>
      </c>
    </row>
    <row r="146" customFormat="false" ht="15" hidden="false" customHeight="false" outlineLevel="0" collapsed="false">
      <c r="B146" s="16" t="s">
        <v>78</v>
      </c>
    </row>
    <row r="147" customFormat="false" ht="15" hidden="false" customHeight="false" outlineLevel="0" collapsed="false">
      <c r="B147" s="17" t="s">
        <v>53</v>
      </c>
      <c r="C147" s="17" t="str">
        <f aca="false">$C$125</f>
        <v>nfm</v>
      </c>
      <c r="D147" s="18" t="s">
        <v>54</v>
      </c>
      <c r="E147" s="19" t="s">
        <v>55</v>
      </c>
      <c r="F147" s="17" t="s">
        <v>79</v>
      </c>
      <c r="G147" s="20" t="str">
        <f aca="false">Settings!$B$3&amp;".mit.shp."&amp;$B147&amp;"."&amp;Settings!$B$4&amp;"."&amp;$J$125</f>
        <v>egy.mit.shp.coa.ind.1</v>
      </c>
      <c r="H147" s="21" t="str">
        <f aca="false">Settings!$B$3&amp;".mit.shp."&amp;$C$125&amp;"."&amp;$B147&amp;".e."&amp;$J$125</f>
        <v>egy.mit.shp.nfm.coa.e.1</v>
      </c>
      <c r="K147" s="23" t="n">
        <f aca="false">K137+INDEX(Data_Prices!K:K,MATCH($G147,Data_Prices!$A:$A,0))*K$158</f>
        <v>11.1829015892439</v>
      </c>
      <c r="L147" s="23" t="n">
        <f aca="false">L137+INDEX(Data_Prices!L:L,MATCH($G147,Data_Prices!$A:$A,0))*L$158</f>
        <v>10.5233613454312</v>
      </c>
      <c r="M147" s="23" t="n">
        <f aca="false">M137+INDEX(Data_Prices!M:M,MATCH($G147,Data_Prices!$A:$A,0))*M$158</f>
        <v>10.2995608274442</v>
      </c>
      <c r="N147" s="23" t="n">
        <f aca="false">N137+INDEX(Data_Prices!N:N,MATCH($G147,Data_Prices!$A:$A,0))*N$158</f>
        <v>9.57752835953826</v>
      </c>
      <c r="O147" s="23" t="n">
        <f aca="false">O137+INDEX(Data_Prices!O:O,MATCH($G147,Data_Prices!$A:$A,0))*O$158</f>
        <v>8.48547828695805</v>
      </c>
      <c r="P147" s="23" t="n">
        <f aca="false">P137+INDEX(Data_Prices!P:P,MATCH($G147,Data_Prices!$A:$A,0))*P$158</f>
        <v>9.08719223524986</v>
      </c>
      <c r="Q147" s="23" t="n">
        <f aca="false">Q137+INDEX(Data_Prices!Q:Q,MATCH($G147,Data_Prices!$A:$A,0))*Q$158</f>
        <v>9.22292372893268</v>
      </c>
      <c r="R147" s="23" t="n">
        <f aca="false">R137+INDEX(Data_Prices!R:R,MATCH($G147,Data_Prices!$A:$A,0))*R$158</f>
        <v>9.15856495550969</v>
      </c>
      <c r="S147" s="23" t="n">
        <f aca="false">S137+INDEX(Data_Prices!S:S,MATCH($G147,Data_Prices!$A:$A,0))*S$158</f>
        <v>9.08954787739738</v>
      </c>
      <c r="T147" s="23" t="n">
        <f aca="false">T137+INDEX(Data_Prices!T:T,MATCH($G147,Data_Prices!$A:$A,0))*T$158</f>
        <v>9.01568166602283</v>
      </c>
      <c r="U147" s="23" t="n">
        <f aca="false">U137+INDEX(Data_Prices!U:U,MATCH($G147,Data_Prices!$A:$A,0))*U$158</f>
        <v>8.94439776555711</v>
      </c>
      <c r="V147" s="23" t="n">
        <f aca="false">V137+INDEX(Data_Prices!V:V,MATCH($G147,Data_Prices!$A:$A,0))*V$158</f>
        <v>8.94439776555711</v>
      </c>
      <c r="W147" s="23" t="n">
        <f aca="false">W137+INDEX(Data_Prices!W:W,MATCH($G147,Data_Prices!$A:$A,0))*W$158</f>
        <v>8.94439776555711</v>
      </c>
      <c r="X147" s="23" t="n">
        <f aca="false">X137+INDEX(Data_Prices!X:X,MATCH($G147,Data_Prices!$A:$A,0))*X$158</f>
        <v>8.94439776555711</v>
      </c>
      <c r="Y147" s="23" t="n">
        <f aca="false">Y137+INDEX(Data_Prices!Y:Y,MATCH($G147,Data_Prices!$A:$A,0))*Y$158</f>
        <v>8.94439776555711</v>
      </c>
      <c r="Z147" s="23" t="n">
        <f aca="false">Z137+INDEX(Data_Prices!Z:Z,MATCH($G147,Data_Prices!$A:$A,0))*Z$158</f>
        <v>8.94439776555711</v>
      </c>
      <c r="AA147" s="23" t="n">
        <f aca="false">AA137+INDEX(Data_Prices!AA:AA,MATCH($G147,Data_Prices!$A:$A,0))*AA$158</f>
        <v>8.94439776555711</v>
      </c>
      <c r="AB147" s="23" t="n">
        <f aca="false">AB137+INDEX(Data_Prices!AB:AB,MATCH($G147,Data_Prices!$A:$A,0))*AB$158</f>
        <v>8.94439776555711</v>
      </c>
      <c r="AC147" s="23" t="n">
        <f aca="false">AC137+INDEX(Data_Prices!AC:AC,MATCH($G147,Data_Prices!$A:$A,0))*AC$158</f>
        <v>8.94439776555711</v>
      </c>
      <c r="AD147" s="23" t="n">
        <f aca="false">AD137+INDEX(Data_Prices!AD:AD,MATCH($G147,Data_Prices!$A:$A,0))*AD$158</f>
        <v>8.94439776555711</v>
      </c>
      <c r="AE147" s="23" t="n">
        <f aca="false">AE137+INDEX(Data_Prices!AE:AE,MATCH($G147,Data_Prices!$A:$A,0))*AE$158</f>
        <v>8.94439776555711</v>
      </c>
    </row>
    <row r="148" customFormat="false" ht="15" hidden="false" customHeight="false" outlineLevel="0" collapsed="false">
      <c r="B148" s="17" t="s">
        <v>57</v>
      </c>
      <c r="C148" s="17" t="str">
        <f aca="false">$C$125</f>
        <v>nfm</v>
      </c>
      <c r="D148" s="18" t="s">
        <v>58</v>
      </c>
      <c r="E148" s="19" t="s">
        <v>55</v>
      </c>
      <c r="F148" s="17" t="s">
        <v>79</v>
      </c>
      <c r="G148" s="20" t="str">
        <f aca="false">Settings!$B$3&amp;".mit.shp."&amp;$B148&amp;"."&amp;Settings!$B$4&amp;"."&amp;$J$125</f>
        <v>egy.mit.shp.nga.ind.1</v>
      </c>
      <c r="H148" s="21" t="str">
        <f aca="false">Settings!$B$3&amp;".mit.shp."&amp;$C$125&amp;"."&amp;$B148&amp;".e."&amp;$J$125</f>
        <v>egy.mit.shp.nfm.nga.e.1</v>
      </c>
      <c r="K148" s="23" t="n">
        <f aca="false">K138+INDEX(Data_Prices!K:K,MATCH($G148,Data_Prices!$A:$A,0))*K$158</f>
        <v>6.06346361567291</v>
      </c>
      <c r="L148" s="23" t="n">
        <f aca="false">L138+INDEX(Data_Prices!L:L,MATCH($G148,Data_Prices!$A:$A,0))*L$158</f>
        <v>5.45101508161919</v>
      </c>
      <c r="M148" s="23" t="n">
        <f aca="false">M138+INDEX(Data_Prices!M:M,MATCH($G148,Data_Prices!$A:$A,0))*M$158</f>
        <v>5.11935630626248</v>
      </c>
      <c r="N148" s="23" t="n">
        <f aca="false">N138+INDEX(Data_Prices!N:N,MATCH($G148,Data_Prices!$A:$A,0))*N$158</f>
        <v>5.08218458640407</v>
      </c>
      <c r="O148" s="23" t="n">
        <f aca="false">O138+INDEX(Data_Prices!O:O,MATCH($G148,Data_Prices!$A:$A,0))*O$158</f>
        <v>5.08218458640407</v>
      </c>
      <c r="P148" s="23" t="n">
        <f aca="false">P138+INDEX(Data_Prices!P:P,MATCH($G148,Data_Prices!$A:$A,0))*P$158</f>
        <v>5.08218458640407</v>
      </c>
      <c r="Q148" s="23" t="n">
        <f aca="false">Q138+INDEX(Data_Prices!Q:Q,MATCH($G148,Data_Prices!$A:$A,0))*Q$158</f>
        <v>5.08218458640407</v>
      </c>
      <c r="R148" s="23" t="n">
        <f aca="false">R138+INDEX(Data_Prices!R:R,MATCH($G148,Data_Prices!$A:$A,0))*R$158</f>
        <v>5.08218458640407</v>
      </c>
      <c r="S148" s="23" t="n">
        <f aca="false">S138+INDEX(Data_Prices!S:S,MATCH($G148,Data_Prices!$A:$A,0))*S$158</f>
        <v>5.08218458640407</v>
      </c>
      <c r="T148" s="23" t="n">
        <f aca="false">T138+INDEX(Data_Prices!T:T,MATCH($G148,Data_Prices!$A:$A,0))*T$158</f>
        <v>5.08218458640407</v>
      </c>
      <c r="U148" s="23" t="n">
        <f aca="false">U138+INDEX(Data_Prices!U:U,MATCH($G148,Data_Prices!$A:$A,0))*U$158</f>
        <v>5.08218458640407</v>
      </c>
      <c r="V148" s="23" t="n">
        <f aca="false">V138+INDEX(Data_Prices!V:V,MATCH($G148,Data_Prices!$A:$A,0))*V$158</f>
        <v>5.08218458640407</v>
      </c>
      <c r="W148" s="23" t="n">
        <f aca="false">W138+INDEX(Data_Prices!W:W,MATCH($G148,Data_Prices!$A:$A,0))*W$158</f>
        <v>5.08218458640407</v>
      </c>
      <c r="X148" s="23" t="n">
        <f aca="false">X138+INDEX(Data_Prices!X:X,MATCH($G148,Data_Prices!$A:$A,0))*X$158</f>
        <v>5.08218458640407</v>
      </c>
      <c r="Y148" s="23" t="n">
        <f aca="false">Y138+INDEX(Data_Prices!Y:Y,MATCH($G148,Data_Prices!$A:$A,0))*Y$158</f>
        <v>5.08218458640407</v>
      </c>
      <c r="Z148" s="23" t="n">
        <f aca="false">Z138+INDEX(Data_Prices!Z:Z,MATCH($G148,Data_Prices!$A:$A,0))*Z$158</f>
        <v>5.08218458640407</v>
      </c>
      <c r="AA148" s="23" t="n">
        <f aca="false">AA138+INDEX(Data_Prices!AA:AA,MATCH($G148,Data_Prices!$A:$A,0))*AA$158</f>
        <v>5.08218458640407</v>
      </c>
      <c r="AB148" s="23" t="n">
        <f aca="false">AB138+INDEX(Data_Prices!AB:AB,MATCH($G148,Data_Prices!$A:$A,0))*AB$158</f>
        <v>5.08218458640407</v>
      </c>
      <c r="AC148" s="23" t="n">
        <f aca="false">AC138+INDEX(Data_Prices!AC:AC,MATCH($G148,Data_Prices!$A:$A,0))*AC$158</f>
        <v>5.08218458640407</v>
      </c>
      <c r="AD148" s="23" t="n">
        <f aca="false">AD138+INDEX(Data_Prices!AD:AD,MATCH($G148,Data_Prices!$A:$A,0))*AD$158</f>
        <v>5.08218458640407</v>
      </c>
      <c r="AE148" s="23" t="n">
        <f aca="false">AE138+INDEX(Data_Prices!AE:AE,MATCH($G148,Data_Prices!$A:$A,0))*AE$158</f>
        <v>5.08218458640407</v>
      </c>
    </row>
    <row r="149" customFormat="false" ht="15" hidden="false" customHeight="false" outlineLevel="0" collapsed="false">
      <c r="B149" s="17" t="s">
        <v>59</v>
      </c>
      <c r="C149" s="17" t="str">
        <f aca="false">$C$125</f>
        <v>nfm</v>
      </c>
      <c r="D149" s="18" t="s">
        <v>60</v>
      </c>
      <c r="E149" s="19" t="s">
        <v>61</v>
      </c>
      <c r="F149" s="17" t="s">
        <v>79</v>
      </c>
      <c r="G149" s="20" t="str">
        <f aca="false">Settings!$B$3&amp;".mit.shp."&amp;$B149&amp;"."&amp;Settings!$B$4&amp;"."&amp;$J$125</f>
        <v>egy.mit.shp.gso.ind.1</v>
      </c>
      <c r="H149" s="21" t="str">
        <f aca="false">Settings!$B$3&amp;".mit.shp."&amp;$C$125&amp;"."&amp;$B149&amp;".e."&amp;$J$125</f>
        <v>egy.mit.shp.nfm.gso.e.1</v>
      </c>
      <c r="K149" s="23" t="n">
        <f aca="false">K139+INDEX(Data_Prices!K:K,MATCH($G149,Data_Prices!$A:$A,0))*K$158</f>
        <v>0.671146533321816</v>
      </c>
      <c r="L149" s="23" t="n">
        <f aca="false">L139+INDEX(Data_Prices!L:L,MATCH($G149,Data_Prices!$A:$A,0))*L$158</f>
        <v>0.611977976791406</v>
      </c>
      <c r="M149" s="23" t="n">
        <f aca="false">M139+INDEX(Data_Prices!M:M,MATCH($G149,Data_Prices!$A:$A,0))*M$158</f>
        <v>0.611809749641876</v>
      </c>
      <c r="N149" s="23" t="n">
        <f aca="false">N139+INDEX(Data_Prices!N:N,MATCH($G149,Data_Prices!$A:$A,0))*N$158</f>
        <v>0.603583100177906</v>
      </c>
      <c r="O149" s="23" t="n">
        <f aca="false">O139+INDEX(Data_Prices!O:O,MATCH($G149,Data_Prices!$A:$A,0))*O$158</f>
        <v>0.603583100177906</v>
      </c>
      <c r="P149" s="23" t="n">
        <f aca="false">P139+INDEX(Data_Prices!P:P,MATCH($G149,Data_Prices!$A:$A,0))*P$158</f>
        <v>0.603583100177906</v>
      </c>
      <c r="Q149" s="23" t="n">
        <f aca="false">Q139+INDEX(Data_Prices!Q:Q,MATCH($G149,Data_Prices!$A:$A,0))*Q$158</f>
        <v>0.603583100177906</v>
      </c>
      <c r="R149" s="23" t="n">
        <f aca="false">R139+INDEX(Data_Prices!R:R,MATCH($G149,Data_Prices!$A:$A,0))*R$158</f>
        <v>0.603583100177906</v>
      </c>
      <c r="S149" s="23" t="n">
        <f aca="false">S139+INDEX(Data_Prices!S:S,MATCH($G149,Data_Prices!$A:$A,0))*S$158</f>
        <v>0.603583100177906</v>
      </c>
      <c r="T149" s="23" t="n">
        <f aca="false">T139+INDEX(Data_Prices!T:T,MATCH($G149,Data_Prices!$A:$A,0))*T$158</f>
        <v>0.603583100177906</v>
      </c>
      <c r="U149" s="23" t="n">
        <f aca="false">U139+INDEX(Data_Prices!U:U,MATCH($G149,Data_Prices!$A:$A,0))*U$158</f>
        <v>0.603583100177906</v>
      </c>
      <c r="V149" s="23" t="n">
        <f aca="false">V139+INDEX(Data_Prices!V:V,MATCH($G149,Data_Prices!$A:$A,0))*V$158</f>
        <v>0.603583100177906</v>
      </c>
      <c r="W149" s="23" t="n">
        <f aca="false">W139+INDEX(Data_Prices!W:W,MATCH($G149,Data_Prices!$A:$A,0))*W$158</f>
        <v>0.603583100177906</v>
      </c>
      <c r="X149" s="23" t="n">
        <f aca="false">X139+INDEX(Data_Prices!X:X,MATCH($G149,Data_Prices!$A:$A,0))*X$158</f>
        <v>0.603583100177906</v>
      </c>
      <c r="Y149" s="23" t="n">
        <f aca="false">Y139+INDEX(Data_Prices!Y:Y,MATCH($G149,Data_Prices!$A:$A,0))*Y$158</f>
        <v>0.603583100177906</v>
      </c>
      <c r="Z149" s="23" t="n">
        <f aca="false">Z139+INDEX(Data_Prices!Z:Z,MATCH($G149,Data_Prices!$A:$A,0))*Z$158</f>
        <v>0.603583100177906</v>
      </c>
      <c r="AA149" s="23" t="n">
        <f aca="false">AA139+INDEX(Data_Prices!AA:AA,MATCH($G149,Data_Prices!$A:$A,0))*AA$158</f>
        <v>0.603583100177906</v>
      </c>
      <c r="AB149" s="23" t="n">
        <f aca="false">AB139+INDEX(Data_Prices!AB:AB,MATCH($G149,Data_Prices!$A:$A,0))*AB$158</f>
        <v>0.603583100177906</v>
      </c>
      <c r="AC149" s="23" t="n">
        <f aca="false">AC139+INDEX(Data_Prices!AC:AC,MATCH($G149,Data_Prices!$A:$A,0))*AC$158</f>
        <v>0.603583100177906</v>
      </c>
      <c r="AD149" s="23" t="n">
        <f aca="false">AD139+INDEX(Data_Prices!AD:AD,MATCH($G149,Data_Prices!$A:$A,0))*AD$158</f>
        <v>0.603583100177906</v>
      </c>
      <c r="AE149" s="23" t="n">
        <f aca="false">AE139+INDEX(Data_Prices!AE:AE,MATCH($G149,Data_Prices!$A:$A,0))*AE$158</f>
        <v>0.603583100177906</v>
      </c>
    </row>
    <row r="150" customFormat="false" ht="15" hidden="false" customHeight="false" outlineLevel="0" collapsed="false">
      <c r="B150" s="17" t="s">
        <v>62</v>
      </c>
      <c r="C150" s="17" t="str">
        <f aca="false">$C$125</f>
        <v>nfm</v>
      </c>
      <c r="D150" s="18" t="s">
        <v>63</v>
      </c>
      <c r="E150" s="19" t="s">
        <v>61</v>
      </c>
      <c r="F150" s="17" t="s">
        <v>79</v>
      </c>
      <c r="G150" s="20" t="str">
        <f aca="false">Settings!$B$3&amp;".mit.shp."&amp;$B150&amp;"."&amp;Settings!$B$4&amp;"."&amp;$J$125</f>
        <v>egy.mit.shp.die.ind.1</v>
      </c>
      <c r="H150" s="21" t="str">
        <f aca="false">Settings!$B$3&amp;".mit.shp."&amp;$C$125&amp;"."&amp;$B150&amp;".e."&amp;$J$125</f>
        <v>egy.mit.shp.nfm.die.e.1</v>
      </c>
      <c r="K150" s="23" t="n">
        <f aca="false">K140+INDEX(Data_Prices!K:K,MATCH($G150,Data_Prices!$A:$A,0))*K$158</f>
        <v>0.559711213155688</v>
      </c>
      <c r="L150" s="23" t="n">
        <f aca="false">L140+INDEX(Data_Prices!L:L,MATCH($G150,Data_Prices!$A:$A,0))*L$158</f>
        <v>0.494588730841068</v>
      </c>
      <c r="M150" s="23" t="n">
        <f aca="false">M140+INDEX(Data_Prices!M:M,MATCH($G150,Data_Prices!$A:$A,0))*M$158</f>
        <v>0.507786547202501</v>
      </c>
      <c r="N150" s="23" t="n">
        <f aca="false">N140+INDEX(Data_Prices!N:N,MATCH($G150,Data_Prices!$A:$A,0))*N$158</f>
        <v>0.470436426795617</v>
      </c>
      <c r="O150" s="23" t="n">
        <f aca="false">O140+INDEX(Data_Prices!O:O,MATCH($G150,Data_Prices!$A:$A,0))*O$158</f>
        <v>0.470436426795617</v>
      </c>
      <c r="P150" s="23" t="n">
        <f aca="false">P140+INDEX(Data_Prices!P:P,MATCH($G150,Data_Prices!$A:$A,0))*P$158</f>
        <v>0.470436426795617</v>
      </c>
      <c r="Q150" s="23" t="n">
        <f aca="false">Q140+INDEX(Data_Prices!Q:Q,MATCH($G150,Data_Prices!$A:$A,0))*Q$158</f>
        <v>0.470436426795617</v>
      </c>
      <c r="R150" s="23" t="n">
        <f aca="false">R140+INDEX(Data_Prices!R:R,MATCH($G150,Data_Prices!$A:$A,0))*R$158</f>
        <v>0.470436426795617</v>
      </c>
      <c r="S150" s="23" t="n">
        <f aca="false">S140+INDEX(Data_Prices!S:S,MATCH($G150,Data_Prices!$A:$A,0))*S$158</f>
        <v>0.470436426795617</v>
      </c>
      <c r="T150" s="23" t="n">
        <f aca="false">T140+INDEX(Data_Prices!T:T,MATCH($G150,Data_Prices!$A:$A,0))*T$158</f>
        <v>0.470436426795617</v>
      </c>
      <c r="U150" s="23" t="n">
        <f aca="false">U140+INDEX(Data_Prices!U:U,MATCH($G150,Data_Prices!$A:$A,0))*U$158</f>
        <v>0.470436426795617</v>
      </c>
      <c r="V150" s="23" t="n">
        <f aca="false">V140+INDEX(Data_Prices!V:V,MATCH($G150,Data_Prices!$A:$A,0))*V$158</f>
        <v>0.470436426795617</v>
      </c>
      <c r="W150" s="23" t="n">
        <f aca="false">W140+INDEX(Data_Prices!W:W,MATCH($G150,Data_Prices!$A:$A,0))*W$158</f>
        <v>0.470436426795617</v>
      </c>
      <c r="X150" s="23" t="n">
        <f aca="false">X140+INDEX(Data_Prices!X:X,MATCH($G150,Data_Prices!$A:$A,0))*X$158</f>
        <v>0.470436426795617</v>
      </c>
      <c r="Y150" s="23" t="n">
        <f aca="false">Y140+INDEX(Data_Prices!Y:Y,MATCH($G150,Data_Prices!$A:$A,0))*Y$158</f>
        <v>0.470436426795617</v>
      </c>
      <c r="Z150" s="23" t="n">
        <f aca="false">Z140+INDEX(Data_Prices!Z:Z,MATCH($G150,Data_Prices!$A:$A,0))*Z$158</f>
        <v>0.470436426795617</v>
      </c>
      <c r="AA150" s="23" t="n">
        <f aca="false">AA140+INDEX(Data_Prices!AA:AA,MATCH($G150,Data_Prices!$A:$A,0))*AA$158</f>
        <v>0.470436426795617</v>
      </c>
      <c r="AB150" s="23" t="n">
        <f aca="false">AB140+INDEX(Data_Prices!AB:AB,MATCH($G150,Data_Prices!$A:$A,0))*AB$158</f>
        <v>0.470436426795617</v>
      </c>
      <c r="AC150" s="23" t="n">
        <f aca="false">AC140+INDEX(Data_Prices!AC:AC,MATCH($G150,Data_Prices!$A:$A,0))*AC$158</f>
        <v>0.470436426795617</v>
      </c>
      <c r="AD150" s="23" t="n">
        <f aca="false">AD140+INDEX(Data_Prices!AD:AD,MATCH($G150,Data_Prices!$A:$A,0))*AD$158</f>
        <v>0.470436426795617</v>
      </c>
      <c r="AE150" s="23" t="n">
        <f aca="false">AE140+INDEX(Data_Prices!AE:AE,MATCH($G150,Data_Prices!$A:$A,0))*AE$158</f>
        <v>0.470436426795617</v>
      </c>
    </row>
    <row r="151" customFormat="false" ht="15" hidden="false" customHeight="false" outlineLevel="0" collapsed="false">
      <c r="B151" s="17" t="s">
        <v>64</v>
      </c>
      <c r="C151" s="17" t="str">
        <f aca="false">$C$125</f>
        <v>nfm</v>
      </c>
      <c r="D151" s="18" t="s">
        <v>65</v>
      </c>
      <c r="E151" s="19" t="s">
        <v>61</v>
      </c>
      <c r="F151" s="17" t="s">
        <v>79</v>
      </c>
      <c r="G151" s="20" t="str">
        <f aca="false">Settings!$B$3&amp;".mit.shp."&amp;$B151&amp;"."&amp;Settings!$B$4&amp;"."&amp;$J$125</f>
        <v>egy.mit.shp.lpg.ind.1</v>
      </c>
      <c r="H151" s="21" t="str">
        <f aca="false">Settings!$B$3&amp;".mit.shp."&amp;$C$125&amp;"."&amp;$B151&amp;".e."&amp;$J$125</f>
        <v>egy.mit.shp.nfm.lpg.e.1</v>
      </c>
      <c r="K151" s="23" t="n">
        <f aca="false">K141+INDEX(Data_Prices!K:K,MATCH($G151,Data_Prices!$A:$A,0))*K$158</f>
        <v>0.200366691126738</v>
      </c>
      <c r="L151" s="23" t="n">
        <f aca="false">L141+INDEX(Data_Prices!L:L,MATCH($G151,Data_Prices!$A:$A,0))*L$158</f>
        <v>0.157344736252274</v>
      </c>
      <c r="M151" s="23" t="n">
        <f aca="false">M141+INDEX(Data_Prices!M:M,MATCH($G151,Data_Prices!$A:$A,0))*M$158</f>
        <v>0.164484037759277</v>
      </c>
      <c r="N151" s="23" t="n">
        <f aca="false">N141+INDEX(Data_Prices!N:N,MATCH($G151,Data_Prices!$A:$A,0))*N$158</f>
        <v>0.150709077807049</v>
      </c>
      <c r="O151" s="23" t="n">
        <f aca="false">O141+INDEX(Data_Prices!O:O,MATCH($G151,Data_Prices!$A:$A,0))*O$158</f>
        <v>0.150709077807049</v>
      </c>
      <c r="P151" s="23" t="n">
        <f aca="false">P141+INDEX(Data_Prices!P:P,MATCH($G151,Data_Prices!$A:$A,0))*P$158</f>
        <v>0.150709077807049</v>
      </c>
      <c r="Q151" s="23" t="n">
        <f aca="false">Q141+INDEX(Data_Prices!Q:Q,MATCH($G151,Data_Prices!$A:$A,0))*Q$158</f>
        <v>0.150709077807049</v>
      </c>
      <c r="R151" s="23" t="n">
        <f aca="false">R141+INDEX(Data_Prices!R:R,MATCH($G151,Data_Prices!$A:$A,0))*R$158</f>
        <v>0.150709077807049</v>
      </c>
      <c r="S151" s="23" t="n">
        <f aca="false">S141+INDEX(Data_Prices!S:S,MATCH($G151,Data_Prices!$A:$A,0))*S$158</f>
        <v>0.150709077807049</v>
      </c>
      <c r="T151" s="23" t="n">
        <f aca="false">T141+INDEX(Data_Prices!T:T,MATCH($G151,Data_Prices!$A:$A,0))*T$158</f>
        <v>0.150709077807049</v>
      </c>
      <c r="U151" s="23" t="n">
        <f aca="false">U141+INDEX(Data_Prices!U:U,MATCH($G151,Data_Prices!$A:$A,0))*U$158</f>
        <v>0.150709077807049</v>
      </c>
      <c r="V151" s="23" t="n">
        <f aca="false">V141+INDEX(Data_Prices!V:V,MATCH($G151,Data_Prices!$A:$A,0))*V$158</f>
        <v>0.150709077807049</v>
      </c>
      <c r="W151" s="23" t="n">
        <f aca="false">W141+INDEX(Data_Prices!W:W,MATCH($G151,Data_Prices!$A:$A,0))*W$158</f>
        <v>0.150709077807049</v>
      </c>
      <c r="X151" s="23" t="n">
        <f aca="false">X141+INDEX(Data_Prices!X:X,MATCH($G151,Data_Prices!$A:$A,0))*X$158</f>
        <v>0.150709077807049</v>
      </c>
      <c r="Y151" s="23" t="n">
        <f aca="false">Y141+INDEX(Data_Prices!Y:Y,MATCH($G151,Data_Prices!$A:$A,0))*Y$158</f>
        <v>0.150709077807049</v>
      </c>
      <c r="Z151" s="23" t="n">
        <f aca="false">Z141+INDEX(Data_Prices!Z:Z,MATCH($G151,Data_Prices!$A:$A,0))*Z$158</f>
        <v>0.150709077807049</v>
      </c>
      <c r="AA151" s="23" t="n">
        <f aca="false">AA141+INDEX(Data_Prices!AA:AA,MATCH($G151,Data_Prices!$A:$A,0))*AA$158</f>
        <v>0.150709077807049</v>
      </c>
      <c r="AB151" s="23" t="n">
        <f aca="false">AB141+INDEX(Data_Prices!AB:AB,MATCH($G151,Data_Prices!$A:$A,0))*AB$158</f>
        <v>0.150709077807049</v>
      </c>
      <c r="AC151" s="23" t="n">
        <f aca="false">AC141+INDEX(Data_Prices!AC:AC,MATCH($G151,Data_Prices!$A:$A,0))*AC$158</f>
        <v>0.150709077807049</v>
      </c>
      <c r="AD151" s="23" t="n">
        <f aca="false">AD141+INDEX(Data_Prices!AD:AD,MATCH($G151,Data_Prices!$A:$A,0))*AD$158</f>
        <v>0.150709077807049</v>
      </c>
      <c r="AE151" s="23" t="n">
        <f aca="false">AE141+INDEX(Data_Prices!AE:AE,MATCH($G151,Data_Prices!$A:$A,0))*AE$158</f>
        <v>0.150709077807049</v>
      </c>
    </row>
    <row r="152" customFormat="false" ht="15" hidden="false" customHeight="false" outlineLevel="0" collapsed="false">
      <c r="B152" s="17" t="s">
        <v>66</v>
      </c>
      <c r="C152" s="17" t="str">
        <f aca="false">$C$125</f>
        <v>nfm</v>
      </c>
      <c r="D152" s="18" t="s">
        <v>67</v>
      </c>
      <c r="E152" s="19" t="s">
        <v>61</v>
      </c>
      <c r="F152" s="17" t="s">
        <v>79</v>
      </c>
      <c r="G152" s="20" t="str">
        <f aca="false">Settings!$B$3&amp;".mit.shp."&amp;$B152&amp;"."&amp;Settings!$B$4&amp;"."&amp;$J$125</f>
        <v>egy.mit.shp.ker.ind.1</v>
      </c>
      <c r="H152" s="21" t="str">
        <f aca="false">Settings!$B$3&amp;".mit.shp."&amp;$C$125&amp;"."&amp;$B152&amp;".e."&amp;$J$125</f>
        <v>egy.mit.shp.nfm.ker.e.1</v>
      </c>
      <c r="K152" s="23" t="n">
        <f aca="false">K142+INDEX(Data_Prices!K:K,MATCH($G152,Data_Prices!$A:$A,0))*K$158</f>
        <v>0.484294240973435</v>
      </c>
      <c r="L152" s="23" t="n">
        <f aca="false">L142+INDEX(Data_Prices!L:L,MATCH($G152,Data_Prices!$A:$A,0))*L$158</f>
        <v>0.456428170500128</v>
      </c>
      <c r="M152" s="23" t="n">
        <f aca="false">M142+INDEX(Data_Prices!M:M,MATCH($G152,Data_Prices!$A:$A,0))*M$158</f>
        <v>0.431689201955995</v>
      </c>
      <c r="N152" s="23" t="n">
        <f aca="false">N142+INDEX(Data_Prices!N:N,MATCH($G152,Data_Prices!$A:$A,0))*N$158</f>
        <v>0.42507558395597</v>
      </c>
      <c r="O152" s="23" t="n">
        <f aca="false">O142+INDEX(Data_Prices!O:O,MATCH($G152,Data_Prices!$A:$A,0))*O$158</f>
        <v>0.42507558395597</v>
      </c>
      <c r="P152" s="23" t="n">
        <f aca="false">P142+INDEX(Data_Prices!P:P,MATCH($G152,Data_Prices!$A:$A,0))*P$158</f>
        <v>0.42507558395597</v>
      </c>
      <c r="Q152" s="23" t="n">
        <f aca="false">Q142+INDEX(Data_Prices!Q:Q,MATCH($G152,Data_Prices!$A:$A,0))*Q$158</f>
        <v>0.42507558395597</v>
      </c>
      <c r="R152" s="23" t="n">
        <f aca="false">R142+INDEX(Data_Prices!R:R,MATCH($G152,Data_Prices!$A:$A,0))*R$158</f>
        <v>0.42507558395597</v>
      </c>
      <c r="S152" s="23" t="n">
        <f aca="false">S142+INDEX(Data_Prices!S:S,MATCH($G152,Data_Prices!$A:$A,0))*S$158</f>
        <v>0.42507558395597</v>
      </c>
      <c r="T152" s="23" t="n">
        <f aca="false">T142+INDEX(Data_Prices!T:T,MATCH($G152,Data_Prices!$A:$A,0))*T$158</f>
        <v>0.42507558395597</v>
      </c>
      <c r="U152" s="23" t="n">
        <f aca="false">U142+INDEX(Data_Prices!U:U,MATCH($G152,Data_Prices!$A:$A,0))*U$158</f>
        <v>0.42507558395597</v>
      </c>
      <c r="V152" s="23" t="n">
        <f aca="false">V142+INDEX(Data_Prices!V:V,MATCH($G152,Data_Prices!$A:$A,0))*V$158</f>
        <v>0.42507558395597</v>
      </c>
      <c r="W152" s="23" t="n">
        <f aca="false">W142+INDEX(Data_Prices!W:W,MATCH($G152,Data_Prices!$A:$A,0))*W$158</f>
        <v>0.42507558395597</v>
      </c>
      <c r="X152" s="23" t="n">
        <f aca="false">X142+INDEX(Data_Prices!X:X,MATCH($G152,Data_Prices!$A:$A,0))*X$158</f>
        <v>0.42507558395597</v>
      </c>
      <c r="Y152" s="23" t="n">
        <f aca="false">Y142+INDEX(Data_Prices!Y:Y,MATCH($G152,Data_Prices!$A:$A,0))*Y$158</f>
        <v>0.42507558395597</v>
      </c>
      <c r="Z152" s="23" t="n">
        <f aca="false">Z142+INDEX(Data_Prices!Z:Z,MATCH($G152,Data_Prices!$A:$A,0))*Z$158</f>
        <v>0.42507558395597</v>
      </c>
      <c r="AA152" s="23" t="n">
        <f aca="false">AA142+INDEX(Data_Prices!AA:AA,MATCH($G152,Data_Prices!$A:$A,0))*AA$158</f>
        <v>0.42507558395597</v>
      </c>
      <c r="AB152" s="23" t="n">
        <f aca="false">AB142+INDEX(Data_Prices!AB:AB,MATCH($G152,Data_Prices!$A:$A,0))*AB$158</f>
        <v>0.42507558395597</v>
      </c>
      <c r="AC152" s="23" t="n">
        <f aca="false">AC142+INDEX(Data_Prices!AC:AC,MATCH($G152,Data_Prices!$A:$A,0))*AC$158</f>
        <v>0.42507558395597</v>
      </c>
      <c r="AD152" s="23" t="n">
        <f aca="false">AD142+INDEX(Data_Prices!AD:AD,MATCH($G152,Data_Prices!$A:$A,0))*AD$158</f>
        <v>0.42507558395597</v>
      </c>
      <c r="AE152" s="23" t="n">
        <f aca="false">AE142+INDEX(Data_Prices!AE:AE,MATCH($G152,Data_Prices!$A:$A,0))*AE$158</f>
        <v>0.42507558395597</v>
      </c>
    </row>
    <row r="153" customFormat="false" ht="15" hidden="false" customHeight="false" outlineLevel="0" collapsed="false">
      <c r="B153" s="17" t="s">
        <v>68</v>
      </c>
      <c r="C153" s="17" t="str">
        <f aca="false">$C$125</f>
        <v>nfm</v>
      </c>
      <c r="D153" s="18" t="s">
        <v>69</v>
      </c>
      <c r="E153" s="19" t="s">
        <v>70</v>
      </c>
      <c r="F153" s="17" t="s">
        <v>79</v>
      </c>
      <c r="G153" s="20" t="str">
        <f aca="false">Settings!$B$3&amp;".mit.shp."&amp;$B153&amp;"."&amp;Settings!$B$4&amp;"."&amp;$J$125</f>
        <v>egy.mit.shp.oop.ind.1</v>
      </c>
      <c r="H153" s="21" t="str">
        <f aca="false">Settings!$B$3&amp;".mit.shp."&amp;$C$125&amp;"."&amp;$B153&amp;".e."&amp;$J$125</f>
        <v>egy.mit.shp.nfm.oop.e.1</v>
      </c>
      <c r="K153" s="23" t="n">
        <f aca="false">K143+INDEX(Data_Prices!K:K,MATCH($G153,Data_Prices!$A:$A,0))*K$158</f>
        <v>41.5003384988684</v>
      </c>
      <c r="L153" s="23" t="n">
        <f aca="false">L143+INDEX(Data_Prices!L:L,MATCH($G153,Data_Prices!$A:$A,0))*L$158</f>
        <v>34.4153703043132</v>
      </c>
      <c r="M153" s="23" t="n">
        <f aca="false">M143+INDEX(Data_Prices!M:M,MATCH($G153,Data_Prices!$A:$A,0))*M$158</f>
        <v>37.368960690432</v>
      </c>
      <c r="N153" s="23" t="n">
        <f aca="false">N143+INDEX(Data_Prices!N:N,MATCH($G153,Data_Prices!$A:$A,0))*N$158</f>
        <v>28.9827611014773</v>
      </c>
      <c r="O153" s="23" t="n">
        <f aca="false">O143+INDEX(Data_Prices!O:O,MATCH($G153,Data_Prices!$A:$A,0))*O$158</f>
        <v>15</v>
      </c>
      <c r="P153" s="23" t="n">
        <f aca="false">P143+INDEX(Data_Prices!P:P,MATCH($G153,Data_Prices!$A:$A,0))*P$158</f>
        <v>24.2586300842555</v>
      </c>
      <c r="Q153" s="23" t="n">
        <f aca="false">Q143+INDEX(Data_Prices!Q:Q,MATCH($G153,Data_Prices!$A:$A,0))*Q$158</f>
        <v>15</v>
      </c>
      <c r="R153" s="23" t="n">
        <f aca="false">R143+INDEX(Data_Prices!R:R,MATCH($G153,Data_Prices!$A:$A,0))*R$158</f>
        <v>15</v>
      </c>
      <c r="S153" s="23" t="n">
        <f aca="false">S143+INDEX(Data_Prices!S:S,MATCH($G153,Data_Prices!$A:$A,0))*S$158</f>
        <v>15</v>
      </c>
      <c r="T153" s="23" t="n">
        <f aca="false">T143+INDEX(Data_Prices!T:T,MATCH($G153,Data_Prices!$A:$A,0))*T$158</f>
        <v>15</v>
      </c>
      <c r="U153" s="23" t="n">
        <f aca="false">U143+INDEX(Data_Prices!U:U,MATCH($G153,Data_Prices!$A:$A,0))*U$158</f>
        <v>15</v>
      </c>
      <c r="V153" s="23" t="n">
        <f aca="false">V143+INDEX(Data_Prices!V:V,MATCH($G153,Data_Prices!$A:$A,0))*V$158</f>
        <v>15</v>
      </c>
      <c r="W153" s="23" t="n">
        <f aca="false">W143+INDEX(Data_Prices!W:W,MATCH($G153,Data_Prices!$A:$A,0))*W$158</f>
        <v>15</v>
      </c>
      <c r="X153" s="23" t="n">
        <f aca="false">X143+INDEX(Data_Prices!X:X,MATCH($G153,Data_Prices!$A:$A,0))*X$158</f>
        <v>15</v>
      </c>
      <c r="Y153" s="23" t="n">
        <f aca="false">Y143+INDEX(Data_Prices!Y:Y,MATCH($G153,Data_Prices!$A:$A,0))*Y$158</f>
        <v>15</v>
      </c>
      <c r="Z153" s="23" t="n">
        <f aca="false">Z143+INDEX(Data_Prices!Z:Z,MATCH($G153,Data_Prices!$A:$A,0))*Z$158</f>
        <v>15</v>
      </c>
      <c r="AA153" s="23" t="n">
        <f aca="false">AA143+INDEX(Data_Prices!AA:AA,MATCH($G153,Data_Prices!$A:$A,0))*AA$158</f>
        <v>15</v>
      </c>
      <c r="AB153" s="23" t="n">
        <f aca="false">AB143+INDEX(Data_Prices!AB:AB,MATCH($G153,Data_Prices!$A:$A,0))*AB$158</f>
        <v>15</v>
      </c>
      <c r="AC153" s="23" t="n">
        <f aca="false">AC143+INDEX(Data_Prices!AC:AC,MATCH($G153,Data_Prices!$A:$A,0))*AC$158</f>
        <v>15</v>
      </c>
      <c r="AD153" s="23" t="n">
        <f aca="false">AD143+INDEX(Data_Prices!AD:AD,MATCH($G153,Data_Prices!$A:$A,0))*AD$158</f>
        <v>15</v>
      </c>
      <c r="AE153" s="23" t="n">
        <f aca="false">AE143+INDEX(Data_Prices!AE:AE,MATCH($G153,Data_Prices!$A:$A,0))*AE$158</f>
        <v>15</v>
      </c>
    </row>
    <row r="154" customFormat="false" ht="15" hidden="false" customHeight="false" outlineLevel="0" collapsed="false">
      <c r="B154" s="17" t="s">
        <v>71</v>
      </c>
      <c r="C154" s="17" t="str">
        <f aca="false">$C$125</f>
        <v>nfm</v>
      </c>
      <c r="D154" s="18" t="s">
        <v>72</v>
      </c>
      <c r="E154" s="19" t="s">
        <v>55</v>
      </c>
      <c r="F154" s="17" t="s">
        <v>79</v>
      </c>
      <c r="G154" s="20" t="str">
        <f aca="false">Settings!$B$3&amp;".mit.shp."&amp;$B154&amp;"."&amp;Settings!$B$4&amp;"."&amp;$J$125</f>
        <v>egy.mit.shp.bio.ind.1</v>
      </c>
      <c r="H154" s="21" t="str">
        <f aca="false">Settings!$B$3&amp;".mit.shp."&amp;$C$125&amp;"."&amp;$B154&amp;".e."&amp;$J$125</f>
        <v>egy.mit.shp.nfm.bio.e.1</v>
      </c>
      <c r="K154" s="23" t="n">
        <f aca="false">K144+INDEX(Data_Prices!K:K,MATCH($G154,Data_Prices!$A:$A,0))*K$158</f>
        <v>15.3345505293169</v>
      </c>
      <c r="L154" s="23" t="n">
        <f aca="false">L144+INDEX(Data_Prices!L:L,MATCH($G154,Data_Prices!$A:$A,0))*L$158</f>
        <v>14.1995283906349</v>
      </c>
      <c r="M154" s="23" t="n">
        <f aca="false">M144+INDEX(Data_Prices!M:M,MATCH($G154,Data_Prices!$A:$A,0))*M$158</f>
        <v>13.8404416133152</v>
      </c>
      <c r="N154" s="23" t="n">
        <f aca="false">N144+INDEX(Data_Prices!N:N,MATCH($G154,Data_Prices!$A:$A,0))*N$158</f>
        <v>13.5677269404465</v>
      </c>
      <c r="O154" s="23" t="n">
        <f aca="false">O144+INDEX(Data_Prices!O:O,MATCH($G154,Data_Prices!$A:$A,0))*O$158</f>
        <v>13.5677269404465</v>
      </c>
      <c r="P154" s="23" t="n">
        <f aca="false">P144+INDEX(Data_Prices!P:P,MATCH($G154,Data_Prices!$A:$A,0))*P$158</f>
        <v>13.5677269404465</v>
      </c>
      <c r="Q154" s="23" t="n">
        <f aca="false">Q144+INDEX(Data_Prices!Q:Q,MATCH($G154,Data_Prices!$A:$A,0))*Q$158</f>
        <v>13.5677269404465</v>
      </c>
      <c r="R154" s="23" t="n">
        <f aca="false">R144+INDEX(Data_Prices!R:R,MATCH($G154,Data_Prices!$A:$A,0))*R$158</f>
        <v>13.5677269404465</v>
      </c>
      <c r="S154" s="23" t="n">
        <f aca="false">S144+INDEX(Data_Prices!S:S,MATCH($G154,Data_Prices!$A:$A,0))*S$158</f>
        <v>13.5677269404465</v>
      </c>
      <c r="T154" s="23" t="n">
        <f aca="false">T144+INDEX(Data_Prices!T:T,MATCH($G154,Data_Prices!$A:$A,0))*T$158</f>
        <v>13.5677269404465</v>
      </c>
      <c r="U154" s="23" t="n">
        <f aca="false">U144+INDEX(Data_Prices!U:U,MATCH($G154,Data_Prices!$A:$A,0))*U$158</f>
        <v>13.5677269404465</v>
      </c>
      <c r="V154" s="23" t="n">
        <f aca="false">V144+INDEX(Data_Prices!V:V,MATCH($G154,Data_Prices!$A:$A,0))*V$158</f>
        <v>13.5677269404465</v>
      </c>
      <c r="W154" s="23" t="n">
        <f aca="false">W144+INDEX(Data_Prices!W:W,MATCH($G154,Data_Prices!$A:$A,0))*W$158</f>
        <v>13.5677269404465</v>
      </c>
      <c r="X154" s="23" t="n">
        <f aca="false">X144+INDEX(Data_Prices!X:X,MATCH($G154,Data_Prices!$A:$A,0))*X$158</f>
        <v>13.5677269404465</v>
      </c>
      <c r="Y154" s="23" t="n">
        <f aca="false">Y144+INDEX(Data_Prices!Y:Y,MATCH($G154,Data_Prices!$A:$A,0))*Y$158</f>
        <v>13.5677269404465</v>
      </c>
      <c r="Z154" s="23" t="n">
        <f aca="false">Z144+INDEX(Data_Prices!Z:Z,MATCH($G154,Data_Prices!$A:$A,0))*Z$158</f>
        <v>13.5677269404465</v>
      </c>
      <c r="AA154" s="23" t="n">
        <f aca="false">AA144+INDEX(Data_Prices!AA:AA,MATCH($G154,Data_Prices!$A:$A,0))*AA$158</f>
        <v>13.5677269404465</v>
      </c>
      <c r="AB154" s="23" t="n">
        <f aca="false">AB144+INDEX(Data_Prices!AB:AB,MATCH($G154,Data_Prices!$A:$A,0))*AB$158</f>
        <v>13.5677269404465</v>
      </c>
      <c r="AC154" s="23" t="n">
        <f aca="false">AC144+INDEX(Data_Prices!AC:AC,MATCH($G154,Data_Prices!$A:$A,0))*AC$158</f>
        <v>13.5677269404465</v>
      </c>
      <c r="AD154" s="23" t="n">
        <f aca="false">AD144+INDEX(Data_Prices!AD:AD,MATCH($G154,Data_Prices!$A:$A,0))*AD$158</f>
        <v>13.5677269404465</v>
      </c>
      <c r="AE154" s="23" t="n">
        <f aca="false">AE144+INDEX(Data_Prices!AE:AE,MATCH($G154,Data_Prices!$A:$A,0))*AE$158</f>
        <v>13.5677269404465</v>
      </c>
    </row>
    <row r="155" customFormat="false" ht="15" hidden="false" customHeight="false" outlineLevel="0" collapsed="false">
      <c r="B155" s="17" t="s">
        <v>73</v>
      </c>
      <c r="C155" s="17" t="str">
        <f aca="false">$C$125</f>
        <v>nfm</v>
      </c>
      <c r="D155" s="18" t="s">
        <v>74</v>
      </c>
      <c r="E155" s="19" t="s">
        <v>75</v>
      </c>
      <c r="F155" s="17" t="s">
        <v>79</v>
      </c>
      <c r="G155" s="20" t="str">
        <f aca="false">Settings!$B$3&amp;".mit.shp."&amp;$B155&amp;"."&amp;Settings!$B$4&amp;"."&amp;$J$125</f>
        <v>egy.mit.shp.ren.ind.1</v>
      </c>
      <c r="H155" s="21" t="str">
        <f aca="false">Settings!$B$3&amp;".mit.shp."&amp;$C$125&amp;"."&amp;$B155&amp;".e."&amp;$J$125</f>
        <v>egy.mit.shp.nfm.ren.e.1</v>
      </c>
      <c r="K155" s="23" t="n">
        <f aca="false">K145+INDEX(Data_Prices!K:K,MATCH($G155,Data_Prices!$A:$A,0))*K$158</f>
        <v>0</v>
      </c>
      <c r="L155" s="23" t="n">
        <f aca="false">L145+INDEX(Data_Prices!L:L,MATCH($G155,Data_Prices!$A:$A,0))*L$158</f>
        <v>0.144044986793198</v>
      </c>
      <c r="M155" s="23" t="n">
        <f aca="false">M145+INDEX(Data_Prices!M:M,MATCH($G155,Data_Prices!$A:$A,0))*M$158</f>
        <v>0.141020409657004</v>
      </c>
      <c r="N155" s="23" t="n">
        <f aca="false">N145+INDEX(Data_Prices!N:N,MATCH($G155,Data_Prices!$A:$A,0))*N$158</f>
        <v>0.135116359594476</v>
      </c>
      <c r="O155" s="23" t="n">
        <f aca="false">O145+INDEX(Data_Prices!O:O,MATCH($G155,Data_Prices!$A:$A,0))*O$158</f>
        <v>0.130988256985856</v>
      </c>
      <c r="P155" s="23" t="n">
        <f aca="false">P145+INDEX(Data_Prices!P:P,MATCH($G155,Data_Prices!$A:$A,0))*P$158</f>
        <v>0.127908416086318</v>
      </c>
      <c r="Q155" s="23" t="n">
        <f aca="false">Q145+INDEX(Data_Prices!Q:Q,MATCH($G155,Data_Prices!$A:$A,0))*Q$158</f>
        <v>0.124814310557813</v>
      </c>
      <c r="R155" s="23" t="n">
        <f aca="false">R145+INDEX(Data_Prices!R:R,MATCH($G155,Data_Prices!$A:$A,0))*R$158</f>
        <v>0.121460257122878</v>
      </c>
      <c r="S155" s="23" t="n">
        <f aca="false">S145+INDEX(Data_Prices!S:S,MATCH($G155,Data_Prices!$A:$A,0))*S$158</f>
        <v>0.117950744135786</v>
      </c>
      <c r="T155" s="23" t="n">
        <f aca="false">T145+INDEX(Data_Prices!T:T,MATCH($G155,Data_Prices!$A:$A,0))*T$158</f>
        <v>0.114199161044597</v>
      </c>
      <c r="U155" s="23" t="n">
        <f aca="false">U145+INDEX(Data_Prices!U:U,MATCH($G155,Data_Prices!$A:$A,0))*U$158</f>
        <v>0.113665100059665</v>
      </c>
      <c r="V155" s="23" t="n">
        <f aca="false">V145+INDEX(Data_Prices!V:V,MATCH($G155,Data_Prices!$A:$A,0))*V$158</f>
        <v>0.113016929625957</v>
      </c>
      <c r="W155" s="23" t="n">
        <f aca="false">W145+INDEX(Data_Prices!W:W,MATCH($G155,Data_Prices!$A:$A,0))*W$158</f>
        <v>0.112314070507636</v>
      </c>
      <c r="X155" s="23" t="n">
        <f aca="false">X145+INDEX(Data_Prices!X:X,MATCH($G155,Data_Prices!$A:$A,0))*X$158</f>
        <v>0.111422042732843</v>
      </c>
      <c r="Y155" s="23" t="n">
        <f aca="false">Y145+INDEX(Data_Prices!Y:Y,MATCH($G155,Data_Prices!$A:$A,0))*Y$158</f>
        <v>0.110434123675809</v>
      </c>
      <c r="Z155" s="23" t="n">
        <f aca="false">Z145+INDEX(Data_Prices!Z:Z,MATCH($G155,Data_Prices!$A:$A,0))*Z$158</f>
        <v>0.109483973304471</v>
      </c>
      <c r="AA155" s="23" t="n">
        <f aca="false">AA145+INDEX(Data_Prices!AA:AA,MATCH($G155,Data_Prices!$A:$A,0))*AA$158</f>
        <v>0.10839192105294</v>
      </c>
      <c r="AB155" s="23" t="n">
        <f aca="false">AB145+INDEX(Data_Prices!AB:AB,MATCH($G155,Data_Prices!$A:$A,0))*AB$158</f>
        <v>0.107354433626704</v>
      </c>
      <c r="AC155" s="23" t="n">
        <f aca="false">AC145+INDEX(Data_Prices!AC:AC,MATCH($G155,Data_Prices!$A:$A,0))*AC$158</f>
        <v>0.105168675441661</v>
      </c>
      <c r="AD155" s="23" t="n">
        <f aca="false">AD145+INDEX(Data_Prices!AD:AD,MATCH($G155,Data_Prices!$A:$A,0))*AD$158</f>
        <v>0.103057983256008</v>
      </c>
      <c r="AE155" s="23" t="n">
        <f aca="false">AE145+INDEX(Data_Prices!AE:AE,MATCH($G155,Data_Prices!$A:$A,0))*AE$158</f>
        <v>0.100931838990114</v>
      </c>
    </row>
    <row r="156" customFormat="false" ht="15" hidden="false" customHeight="false" outlineLevel="0" collapsed="false">
      <c r="B156" s="16" t="s">
        <v>80</v>
      </c>
    </row>
    <row r="157" customFormat="false" ht="15" hidden="false" customHeight="false" outlineLevel="0" collapsed="false">
      <c r="B157" s="17" t="s">
        <v>81</v>
      </c>
      <c r="C157" s="17" t="str">
        <f aca="false">$C$125</f>
        <v>nfm</v>
      </c>
      <c r="D157" s="18" t="s">
        <v>82</v>
      </c>
      <c r="E157" s="19" t="s">
        <v>83</v>
      </c>
      <c r="F157" s="17" t="s">
        <v>84</v>
      </c>
      <c r="G157" s="20" t="str">
        <f aca="false">Settings!$B$3&amp;".mit.tcf."&amp;$C$125&amp;"."&amp;$J$125</f>
        <v>egy.mit.tcf.nfm.1</v>
      </c>
      <c r="K157" s="23" t="n">
        <f aca="false">INDEX(Data_Prices!K:K,MATCH($G157,Data_Prices!$A:$A,0))</f>
        <v>0</v>
      </c>
      <c r="L157" s="23" t="n">
        <f aca="false">INDEX(Data_Prices!L:L,MATCH($G157,Data_Prices!$A:$A,0))</f>
        <v>0</v>
      </c>
      <c r="M157" s="23" t="n">
        <f aca="false">INDEX(Data_Prices!M:M,MATCH($G157,Data_Prices!$A:$A,0))</f>
        <v>0</v>
      </c>
      <c r="N157" s="23" t="n">
        <f aca="false">INDEX(Data_Prices!N:N,MATCH($G157,Data_Prices!$A:$A,0))</f>
        <v>0</v>
      </c>
      <c r="O157" s="23" t="n">
        <f aca="false">INDEX(Data_Prices!O:O,MATCH($G157,Data_Prices!$A:$A,0))</f>
        <v>0</v>
      </c>
      <c r="P157" s="23" t="n">
        <f aca="false">INDEX(Data_Prices!P:P,MATCH($G157,Data_Prices!$A:$A,0))</f>
        <v>0</v>
      </c>
      <c r="Q157" s="23" t="n">
        <f aca="false">INDEX(Data_Prices!Q:Q,MATCH($G157,Data_Prices!$A:$A,0))</f>
        <v>0</v>
      </c>
      <c r="R157" s="23" t="n">
        <f aca="false">INDEX(Data_Prices!R:R,MATCH($G157,Data_Prices!$A:$A,0))</f>
        <v>0</v>
      </c>
      <c r="S157" s="23" t="n">
        <f aca="false">INDEX(Data_Prices!S:S,MATCH($G157,Data_Prices!$A:$A,0))</f>
        <v>0</v>
      </c>
      <c r="T157" s="23" t="n">
        <f aca="false">INDEX(Data_Prices!T:T,MATCH($G157,Data_Prices!$A:$A,0))</f>
        <v>0</v>
      </c>
      <c r="U157" s="23" t="n">
        <f aca="false">INDEX(Data_Prices!U:U,MATCH($G157,Data_Prices!$A:$A,0))</f>
        <v>0</v>
      </c>
      <c r="V157" s="23" t="n">
        <f aca="false">INDEX(Data_Prices!V:V,MATCH($G157,Data_Prices!$A:$A,0))</f>
        <v>0</v>
      </c>
      <c r="W157" s="23" t="n">
        <f aca="false">INDEX(Data_Prices!W:W,MATCH($G157,Data_Prices!$A:$A,0))</f>
        <v>0</v>
      </c>
      <c r="X157" s="23" t="n">
        <f aca="false">INDEX(Data_Prices!X:X,MATCH($G157,Data_Prices!$A:$A,0))</f>
        <v>0</v>
      </c>
      <c r="Y157" s="23" t="n">
        <f aca="false">INDEX(Data_Prices!Y:Y,MATCH($G157,Data_Prices!$A:$A,0))</f>
        <v>0</v>
      </c>
      <c r="Z157" s="23" t="n">
        <f aca="false">INDEX(Data_Prices!Z:Z,MATCH($G157,Data_Prices!$A:$A,0))</f>
        <v>0</v>
      </c>
      <c r="AA157" s="23" t="n">
        <f aca="false">INDEX(Data_Prices!AA:AA,MATCH($G157,Data_Prices!$A:$A,0))</f>
        <v>0</v>
      </c>
      <c r="AB157" s="23" t="n">
        <f aca="false">INDEX(Data_Prices!AB:AB,MATCH($G157,Data_Prices!$A:$A,0))</f>
        <v>0</v>
      </c>
      <c r="AC157" s="23" t="n">
        <f aca="false">INDEX(Data_Prices!AC:AC,MATCH($G157,Data_Prices!$A:$A,0))</f>
        <v>0</v>
      </c>
      <c r="AD157" s="23" t="n">
        <f aca="false">INDEX(Data_Prices!AD:AD,MATCH($G157,Data_Prices!$A:$A,0))</f>
        <v>0</v>
      </c>
      <c r="AE157" s="23" t="n">
        <f aca="false">INDEX(Data_Prices!AE:AE,MATCH($G157,Data_Prices!$A:$A,0))</f>
        <v>0</v>
      </c>
    </row>
    <row r="158" customFormat="false" ht="15" hidden="false" customHeight="false" outlineLevel="0" collapsed="false">
      <c r="B158" s="17" t="s">
        <v>81</v>
      </c>
      <c r="C158" s="17" t="str">
        <f aca="false">$C$125</f>
        <v>nfm</v>
      </c>
      <c r="D158" s="18" t="s">
        <v>85</v>
      </c>
      <c r="E158" s="19" t="s">
        <v>83</v>
      </c>
      <c r="F158" s="17" t="s">
        <v>86</v>
      </c>
      <c r="G158" s="20" t="str">
        <f aca="false">Settings!$B$3&amp;".mit.ssc."&amp;$C$125&amp;"."&amp;$J$125</f>
        <v>egy.mit.ssc.nfm.1</v>
      </c>
      <c r="K158" s="23" t="n">
        <f aca="false">INDEX(Data_Prices!K:K,MATCH($G158,Data_Prices!$A:$A,0))</f>
        <v>0</v>
      </c>
      <c r="L158" s="23" t="n">
        <f aca="false">INDEX(Data_Prices!L:L,MATCH($G158,Data_Prices!$A:$A,0))</f>
        <v>0</v>
      </c>
      <c r="M158" s="23" t="n">
        <f aca="false">INDEX(Data_Prices!M:M,MATCH($G158,Data_Prices!$A:$A,0))</f>
        <v>0</v>
      </c>
      <c r="N158" s="23" t="n">
        <f aca="false">INDEX(Data_Prices!N:N,MATCH($G158,Data_Prices!$A:$A,0))</f>
        <v>0</v>
      </c>
      <c r="O158" s="23" t="n">
        <f aca="false">INDEX(Data_Prices!O:O,MATCH($G158,Data_Prices!$A:$A,0))</f>
        <v>0</v>
      </c>
      <c r="P158" s="23" t="n">
        <f aca="false">INDEX(Data_Prices!P:P,MATCH($G158,Data_Prices!$A:$A,0))</f>
        <v>0</v>
      </c>
      <c r="Q158" s="23" t="n">
        <f aca="false">INDEX(Data_Prices!Q:Q,MATCH($G158,Data_Prices!$A:$A,0))</f>
        <v>0</v>
      </c>
      <c r="R158" s="23" t="n">
        <f aca="false">INDEX(Data_Prices!R:R,MATCH($G158,Data_Prices!$A:$A,0))</f>
        <v>0</v>
      </c>
      <c r="S158" s="23" t="n">
        <f aca="false">INDEX(Data_Prices!S:S,MATCH($G158,Data_Prices!$A:$A,0))</f>
        <v>0</v>
      </c>
      <c r="T158" s="23" t="n">
        <f aca="false">INDEX(Data_Prices!T:T,MATCH($G158,Data_Prices!$A:$A,0))</f>
        <v>0</v>
      </c>
      <c r="U158" s="23" t="n">
        <f aca="false">INDEX(Data_Prices!U:U,MATCH($G158,Data_Prices!$A:$A,0))</f>
        <v>0</v>
      </c>
      <c r="V158" s="23" t="n">
        <f aca="false">INDEX(Data_Prices!V:V,MATCH($G158,Data_Prices!$A:$A,0))</f>
        <v>0</v>
      </c>
      <c r="W158" s="23" t="n">
        <f aca="false">INDEX(Data_Prices!W:W,MATCH($G158,Data_Prices!$A:$A,0))</f>
        <v>0</v>
      </c>
      <c r="X158" s="23" t="n">
        <f aca="false">INDEX(Data_Prices!X:X,MATCH($G158,Data_Prices!$A:$A,0))</f>
        <v>0</v>
      </c>
      <c r="Y158" s="23" t="n">
        <f aca="false">INDEX(Data_Prices!Y:Y,MATCH($G158,Data_Prices!$A:$A,0))</f>
        <v>0</v>
      </c>
      <c r="Z158" s="23" t="n">
        <f aca="false">INDEX(Data_Prices!Z:Z,MATCH($G158,Data_Prices!$A:$A,0))</f>
        <v>0</v>
      </c>
      <c r="AA158" s="23" t="n">
        <f aca="false">INDEX(Data_Prices!AA:AA,MATCH($G158,Data_Prices!$A:$A,0))</f>
        <v>0</v>
      </c>
      <c r="AB158" s="23" t="n">
        <f aca="false">INDEX(Data_Prices!AB:AB,MATCH($G158,Data_Prices!$A:$A,0))</f>
        <v>0</v>
      </c>
      <c r="AC158" s="23" t="n">
        <f aca="false">INDEX(Data_Prices!AC:AC,MATCH($G158,Data_Prices!$A:$A,0))</f>
        <v>0</v>
      </c>
      <c r="AD158" s="23" t="n">
        <f aca="false">INDEX(Data_Prices!AD:AD,MATCH($G158,Data_Prices!$A:$A,0))</f>
        <v>0</v>
      </c>
      <c r="AE158" s="23" t="n">
        <f aca="false">INDEX(Data_Prices!AE:AE,MATCH($G158,Data_Prices!$A:$A,0))</f>
        <v>0</v>
      </c>
    </row>
    <row r="159" customFormat="false" ht="15" hidden="false" customHeight="false" outlineLevel="0" collapsed="false">
      <c r="B159" s="17" t="s">
        <v>81</v>
      </c>
      <c r="C159" s="17" t="str">
        <f aca="false">$C$125</f>
        <v>nfm</v>
      </c>
      <c r="D159" s="18" t="s">
        <v>87</v>
      </c>
      <c r="E159" s="19" t="s">
        <v>88</v>
      </c>
      <c r="F159" s="17" t="s">
        <v>89</v>
      </c>
      <c r="G159" s="20" t="str">
        <f aca="false">Settings!$B$3&amp;".mit.gdp.pos.pct."&amp;$J$125</f>
        <v>egy.mit.gdp.pos.pct.1</v>
      </c>
      <c r="K159" s="24" t="n">
        <f aca="false">INDEX(Data_Macro!K:K,MATCH($G159,Data_Macro!$A:$A,0))</f>
        <v>0</v>
      </c>
      <c r="L159" s="24" t="n">
        <f aca="false">INDEX(Data_Macro!L:L,MATCH($G159,Data_Macro!$A:$A,0))</f>
        <v>0.06651345</v>
      </c>
      <c r="M159" s="24" t="n">
        <f aca="false">INDEX(Data_Macro!M:M,MATCH($G159,Data_Macro!$A:$A,0))</f>
        <v>0.03760281</v>
      </c>
      <c r="N159" s="24" t="n">
        <f aca="false">INDEX(Data_Macro!N:N,MATCH($G159,Data_Macro!$A:$A,0))</f>
        <v>0.02398801</v>
      </c>
      <c r="O159" s="24" t="n">
        <f aca="false">INDEX(Data_Macro!O:O,MATCH($G159,Data_Macro!$A:$A,0))</f>
        <v>0.04392387</v>
      </c>
      <c r="P159" s="24" t="n">
        <f aca="false">INDEX(Data_Macro!P:P,MATCH($G159,Data_Macro!$A:$A,0))</f>
        <v>0.04239706</v>
      </c>
      <c r="Q159" s="24" t="n">
        <f aca="false">INDEX(Data_Macro!Q:Q,MATCH($G159,Data_Macro!$A:$A,0))</f>
        <v>0.04829218</v>
      </c>
      <c r="R159" s="24" t="n">
        <f aca="false">INDEX(Data_Macro!R:R,MATCH($G159,Data_Macro!$A:$A,0))</f>
        <v>0.05535316</v>
      </c>
      <c r="S159" s="24" t="n">
        <f aca="false">INDEX(Data_Macro!S:S,MATCH($G159,Data_Macro!$A:$A,0))</f>
        <v>0.05226606</v>
      </c>
      <c r="T159" s="24" t="n">
        <f aca="false">INDEX(Data_Macro!T:T,MATCH($G159,Data_Macro!$A:$A,0))</f>
        <v>0.04841877</v>
      </c>
      <c r="U159" s="24" t="n">
        <f aca="false">INDEX(Data_Macro!U:U,MATCH($G159,Data_Macro!$A:$A,0))</f>
        <v>0.04788736</v>
      </c>
      <c r="V159" s="24" t="n">
        <f aca="false">INDEX(Data_Macro!V:V,MATCH($G159,Data_Macro!$A:$A,0))</f>
        <v>0.04735595</v>
      </c>
      <c r="W159" s="24" t="n">
        <f aca="false">INDEX(Data_Macro!W:W,MATCH($G159,Data_Macro!$A:$A,0))</f>
        <v>0.04682454</v>
      </c>
      <c r="X159" s="24" t="n">
        <f aca="false">INDEX(Data_Macro!X:X,MATCH($G159,Data_Macro!$A:$A,0))</f>
        <v>0.04629313</v>
      </c>
      <c r="Y159" s="24" t="n">
        <f aca="false">INDEX(Data_Macro!Y:Y,MATCH($G159,Data_Macro!$A:$A,0))</f>
        <v>0.04576172</v>
      </c>
      <c r="Z159" s="24" t="n">
        <f aca="false">INDEX(Data_Macro!Z:Z,MATCH($G159,Data_Macro!$A:$A,0))</f>
        <v>0.04523031</v>
      </c>
      <c r="AA159" s="24" t="n">
        <f aca="false">INDEX(Data_Macro!AA:AA,MATCH($G159,Data_Macro!$A:$A,0))</f>
        <v>0.0446989</v>
      </c>
      <c r="AB159" s="24" t="n">
        <f aca="false">INDEX(Data_Macro!AB:AB,MATCH($G159,Data_Macro!$A:$A,0))</f>
        <v>0.04416749</v>
      </c>
      <c r="AC159" s="24" t="n">
        <f aca="false">INDEX(Data_Macro!AC:AC,MATCH($G159,Data_Macro!$A:$A,0))</f>
        <v>0.04363608</v>
      </c>
      <c r="AD159" s="24" t="n">
        <f aca="false">INDEX(Data_Macro!AD:AD,MATCH($G159,Data_Macro!$A:$A,0))</f>
        <v>0.04310467</v>
      </c>
      <c r="AE159" s="24" t="n">
        <f aca="false">INDEX(Data_Macro!AE:AE,MATCH($G159,Data_Macro!$A:$A,0))</f>
        <v>0.04257326</v>
      </c>
    </row>
    <row r="160" customFormat="false" ht="15" hidden="false" customHeight="false" outlineLevel="0" collapsed="false">
      <c r="B160" s="17" t="s">
        <v>81</v>
      </c>
      <c r="C160" s="17" t="str">
        <f aca="false">$C$125</f>
        <v>nfm</v>
      </c>
      <c r="D160" s="18" t="s">
        <v>90</v>
      </c>
      <c r="E160" s="19" t="s">
        <v>91</v>
      </c>
      <c r="F160" s="17" t="s">
        <v>92</v>
      </c>
      <c r="G160" s="20" t="str">
        <f aca="false">Settings!$B$3&amp;".mit.inc.ela.adj."&amp;$J$125</f>
        <v>egy.mit.inc.ela.adj.1</v>
      </c>
      <c r="K160" s="23" t="n">
        <f aca="false">INDEX(Data_Macro!K:K,MATCH($G160,Data_Macro!$A:$A,0))</f>
        <v>0</v>
      </c>
      <c r="L160" s="23" t="n">
        <f aca="false">INDEX(Data_Macro!L:L,MATCH($G160,Data_Macro!$A:$A,0))</f>
        <v>1.02715172471961</v>
      </c>
      <c r="M160" s="23" t="n">
        <f aca="false">INDEX(Data_Macro!M:M,MATCH($G160,Data_Macro!$A:$A,0))</f>
        <v>1.02715172471961</v>
      </c>
      <c r="N160" s="23" t="n">
        <f aca="false">INDEX(Data_Macro!N:N,MATCH($G160,Data_Macro!$A:$A,0))</f>
        <v>1.02056983588512</v>
      </c>
      <c r="O160" s="23" t="n">
        <f aca="false">INDEX(Data_Macro!O:O,MATCH($G160,Data_Macro!$A:$A,0))</f>
        <v>1.01733442885234</v>
      </c>
      <c r="P160" s="23" t="n">
        <f aca="false">INDEX(Data_Macro!P:P,MATCH($G160,Data_Macro!$A:$A,0))</f>
        <v>1.00766833225382</v>
      </c>
      <c r="Q160" s="23" t="n">
        <f aca="false">INDEX(Data_Macro!Q:Q,MATCH($G160,Data_Macro!$A:$A,0))</f>
        <v>1.00074428717553</v>
      </c>
      <c r="R160" s="23" t="n">
        <f aca="false">INDEX(Data_Macro!R:R,MATCH($G160,Data_Macro!$A:$A,0))</f>
        <v>0.991886489011858</v>
      </c>
      <c r="S160" s="23" t="n">
        <f aca="false">INDEX(Data_Macro!S:S,MATCH($G160,Data_Macro!$A:$A,0))</f>
        <v>0.98065540330043</v>
      </c>
      <c r="T160" s="23" t="n">
        <f aca="false">INDEX(Data_Macro!T:T,MATCH($G160,Data_Macro!$A:$A,0))</f>
        <v>0.970209403992443</v>
      </c>
      <c r="U160" s="23" t="n">
        <f aca="false">INDEX(Data_Macro!U:U,MATCH($G160,Data_Macro!$A:$A,0))</f>
        <v>0.964192659077105</v>
      </c>
      <c r="V160" s="23" t="n">
        <f aca="false">INDEX(Data_Macro!V:V,MATCH($G160,Data_Macro!$A:$A,0))</f>
        <v>0.961612871227152</v>
      </c>
      <c r="W160" s="23" t="n">
        <f aca="false">INDEX(Data_Macro!W:W,MATCH($G160,Data_Macro!$A:$A,0))</f>
        <v>0.95919844785405</v>
      </c>
      <c r="X160" s="23" t="n">
        <f aca="false">INDEX(Data_Macro!X:X,MATCH($G160,Data_Macro!$A:$A,0))</f>
        <v>0.956951254445196</v>
      </c>
      <c r="Y160" s="23" t="n">
        <f aca="false">INDEX(Data_Macro!Y:Y,MATCH($G160,Data_Macro!$A:$A,0))</f>
        <v>0.954872978595777</v>
      </c>
      <c r="Z160" s="23" t="n">
        <f aca="false">INDEX(Data_Macro!Z:Z,MATCH($G160,Data_Macro!$A:$A,0))</f>
        <v>0.952965140861449</v>
      </c>
      <c r="AA160" s="23" t="n">
        <f aca="false">INDEX(Data_Macro!AA:AA,MATCH($G160,Data_Macro!$A:$A,0))</f>
        <v>0.951229104903385</v>
      </c>
      <c r="AB160" s="23" t="n">
        <f aca="false">INDEX(Data_Macro!AB:AB,MATCH($G160,Data_Macro!$A:$A,0))</f>
        <v>0.949666086892293</v>
      </c>
      <c r="AC160" s="23" t="n">
        <f aca="false">INDEX(Data_Macro!AC:AC,MATCH($G160,Data_Macro!$A:$A,0))</f>
        <v>0.948277164137976</v>
      </c>
      <c r="AD160" s="23" t="n">
        <f aca="false">INDEX(Data_Macro!AD:AD,MATCH($G160,Data_Macro!$A:$A,0))</f>
        <v>0.947063282915592</v>
      </c>
      <c r="AE160" s="23" t="n">
        <f aca="false">INDEX(Data_Macro!AE:AE,MATCH($G160,Data_Macro!$A:$A,0))</f>
        <v>0.946025265458513</v>
      </c>
    </row>
    <row r="161" customFormat="false" ht="15" hidden="false" customHeight="false" outlineLevel="0" collapsed="false">
      <c r="B161" s="17" t="s">
        <v>81</v>
      </c>
      <c r="C161" s="17" t="str">
        <f aca="false">$C$125</f>
        <v>nfm</v>
      </c>
      <c r="D161" s="18" t="s">
        <v>93</v>
      </c>
      <c r="E161" s="19" t="s">
        <v>91</v>
      </c>
      <c r="F161" s="17" t="s">
        <v>94</v>
      </c>
      <c r="G161" s="20" t="str">
        <f aca="false">Settings!$B$3&amp;".mit.shock."&amp;$J$125</f>
        <v>egy.mit.shock.1</v>
      </c>
      <c r="K161" s="23" t="n">
        <f aca="false">INDEX(Data_Macro!K:K,MATCH($G161,Data_Macro!$A:$A,0))</f>
        <v>0</v>
      </c>
      <c r="L161" s="23" t="n">
        <f aca="false">INDEX(Data_Macro!L:L,MATCH($G161,Data_Macro!$A:$A,0))</f>
        <v>0</v>
      </c>
      <c r="M161" s="23" t="n">
        <f aca="false">INDEX(Data_Macro!M:M,MATCH($G161,Data_Macro!$A:$A,0))</f>
        <v>-0.208133083020442</v>
      </c>
      <c r="N161" s="23" t="n">
        <f aca="false">INDEX(Data_Macro!N:N,MATCH($G161,Data_Macro!$A:$A,0))</f>
        <v>0.0923714285714286</v>
      </c>
      <c r="O161" s="23" t="n">
        <f aca="false">INDEX(Data_Macro!O:O,MATCH($G161,Data_Macro!$A:$A,0))</f>
        <v>0</v>
      </c>
      <c r="P161" s="23" t="n">
        <f aca="false">INDEX(Data_Macro!P:P,MATCH($G161,Data_Macro!$A:$A,0))</f>
        <v>0</v>
      </c>
      <c r="Q161" s="23" t="n">
        <f aca="false">INDEX(Data_Macro!Q:Q,MATCH($G161,Data_Macro!$A:$A,0))</f>
        <v>0</v>
      </c>
      <c r="R161" s="23" t="n">
        <f aca="false">INDEX(Data_Macro!R:R,MATCH($G161,Data_Macro!$A:$A,0))</f>
        <v>0</v>
      </c>
      <c r="S161" s="23" t="n">
        <f aca="false">INDEX(Data_Macro!S:S,MATCH($G161,Data_Macro!$A:$A,0))</f>
        <v>0</v>
      </c>
      <c r="T161" s="23" t="n">
        <f aca="false">INDEX(Data_Macro!T:T,MATCH($G161,Data_Macro!$A:$A,0))</f>
        <v>0</v>
      </c>
      <c r="U161" s="23" t="n">
        <f aca="false">INDEX(Data_Macro!U:U,MATCH($G161,Data_Macro!$A:$A,0))</f>
        <v>0</v>
      </c>
      <c r="V161" s="23" t="n">
        <f aca="false">INDEX(Data_Macro!V:V,MATCH($G161,Data_Macro!$A:$A,0))</f>
        <v>0</v>
      </c>
      <c r="W161" s="23" t="n">
        <f aca="false">INDEX(Data_Macro!W:W,MATCH($G161,Data_Macro!$A:$A,0))</f>
        <v>0</v>
      </c>
      <c r="X161" s="23" t="n">
        <f aca="false">INDEX(Data_Macro!X:X,MATCH($G161,Data_Macro!$A:$A,0))</f>
        <v>0</v>
      </c>
      <c r="Y161" s="23" t="n">
        <f aca="false">INDEX(Data_Macro!Y:Y,MATCH($G161,Data_Macro!$A:$A,0))</f>
        <v>0</v>
      </c>
      <c r="Z161" s="23" t="n">
        <f aca="false">INDEX(Data_Macro!Z:Z,MATCH($G161,Data_Macro!$A:$A,0))</f>
        <v>0</v>
      </c>
      <c r="AA161" s="23" t="n">
        <f aca="false">INDEX(Data_Macro!AA:AA,MATCH($G161,Data_Macro!$A:$A,0))</f>
        <v>0</v>
      </c>
      <c r="AB161" s="23" t="n">
        <f aca="false">INDEX(Data_Macro!AB:AB,MATCH($G161,Data_Macro!$A:$A,0))</f>
        <v>0</v>
      </c>
      <c r="AC161" s="23" t="n">
        <f aca="false">INDEX(Data_Macro!AC:AC,MATCH($G161,Data_Macro!$A:$A,0))</f>
        <v>0</v>
      </c>
      <c r="AD161" s="23" t="n">
        <f aca="false">INDEX(Data_Macro!AD:AD,MATCH($G161,Data_Macro!$A:$A,0))</f>
        <v>0</v>
      </c>
      <c r="AE161" s="23" t="n">
        <f aca="false">INDEX(Data_Macro!AE:AE,MATCH($G161,Data_Macro!$A:$A,0))</f>
        <v>0</v>
      </c>
    </row>
    <row r="162" customFormat="false" ht="15" hidden="false" customHeight="false" outlineLevel="0" collapsed="false">
      <c r="B162" s="16" t="s">
        <v>95</v>
      </c>
    </row>
    <row r="163" customFormat="false" ht="15" hidden="false" customHeight="false" outlineLevel="0" collapsed="false">
      <c r="B163" s="8" t="s">
        <v>36</v>
      </c>
      <c r="C163" s="8" t="s">
        <v>37</v>
      </c>
      <c r="D163" s="25" t="s">
        <v>38</v>
      </c>
      <c r="E163" s="8" t="s">
        <v>96</v>
      </c>
      <c r="F163" s="8" t="s">
        <v>97</v>
      </c>
      <c r="G163" s="8" t="s">
        <v>98</v>
      </c>
      <c r="H163" s="8" t="s">
        <v>99</v>
      </c>
      <c r="I163" s="8" t="s">
        <v>100</v>
      </c>
      <c r="J163" s="8" t="s">
        <v>101</v>
      </c>
    </row>
    <row r="164" customFormat="false" ht="15" hidden="false" customHeight="false" outlineLevel="0" collapsed="false">
      <c r="B164" s="17" t="s">
        <v>53</v>
      </c>
      <c r="C164" s="17" t="str">
        <f aca="false">$C$125</f>
        <v>nfm</v>
      </c>
      <c r="D164" s="26" t="s">
        <v>102</v>
      </c>
      <c r="E164" s="27" t="n">
        <f aca="false">INDEX(Data_Elast!$D:$G,MATCH("el_inc_"&amp;INDEX(Data_Elast!$J:$J,MATCH($B164,Data_Elast!$I:$I,0)),Data_Elast!$A:$A,0),MATCH(Settings!$B$5,Data_Elast!$D$1:$G$1,0))</f>
        <v>0.5</v>
      </c>
      <c r="F164" s="27" t="n">
        <f aca="false">INDEX(Data_Elast!$D:$G,MATCH("el_dem_"&amp;INDEX(Data_Elast!$J:$J,MATCH($B164,Data_Elast!$I:$I,0)),Data_Elast!$A:$A,0),MATCH(Settings!$B$5,Data_Elast!$D$1:$G$1,0))</f>
        <v>-0.3</v>
      </c>
      <c r="G164" s="27" t="n">
        <f aca="false">INDEX(Data_Elast!$D:$G,MATCH("el_eff_"&amp;INDEX(Data_Elast!$J:$J,MATCH($B164,Data_Elast!$I:$I,0)),Data_Elast!$A:$A,0),MATCH(Settings!$B$5,Data_Elast!$D$1:$G$1,0))</f>
        <v>-0.4</v>
      </c>
      <c r="H164" s="27" t="n">
        <f aca="false">INDEX(Data_Elast!$D:$G,MATCH("eff_imp_"&amp;INDEX(Data_Elast!$K:$K,MATCH($B164,Data_Elast!$I:$I,0)),Data_Elast!$A:$A,0),MATCH(Settings!$B$5,Data_Elast!$D$1:$G$1,0))</f>
        <v>0.005</v>
      </c>
      <c r="I164" s="27" t="n">
        <f aca="false">Settings!$B$7</f>
        <v>0</v>
      </c>
      <c r="J164" s="19" t="str">
        <f aca="false">INDEX(Data_Elast!$J:$J,MATCH($B164,Data_Elast!$I:$I,0))</f>
        <v>coa</v>
      </c>
    </row>
    <row r="165" customFormat="false" ht="15" hidden="false" customHeight="false" outlineLevel="0" collapsed="false">
      <c r="B165" s="17" t="s">
        <v>57</v>
      </c>
      <c r="C165" s="17" t="str">
        <f aca="false">$C$125</f>
        <v>nfm</v>
      </c>
      <c r="D165" s="26" t="s">
        <v>103</v>
      </c>
      <c r="E165" s="27" t="n">
        <f aca="false">INDEX(Data_Elast!$D:$G,MATCH("el_inc_"&amp;INDEX(Data_Elast!$J:$J,MATCH($B165,Data_Elast!$I:$I,0)),Data_Elast!$A:$A,0),MATCH(Settings!$B$5,Data_Elast!$D$1:$G$1,0))</f>
        <v>1</v>
      </c>
      <c r="F165" s="27" t="n">
        <f aca="false">INDEX(Data_Elast!$D:$G,MATCH("el_dem_"&amp;INDEX(Data_Elast!$J:$J,MATCH($B165,Data_Elast!$I:$I,0)),Data_Elast!$A:$A,0),MATCH(Settings!$B$5,Data_Elast!$D$1:$G$1,0))</f>
        <v>-0.5</v>
      </c>
      <c r="G165" s="27" t="n">
        <f aca="false">INDEX(Data_Elast!$D:$G,MATCH("el_eff_"&amp;INDEX(Data_Elast!$J:$J,MATCH($B165,Data_Elast!$I:$I,0)),Data_Elast!$A:$A,0),MATCH(Settings!$B$5,Data_Elast!$D$1:$G$1,0))</f>
        <v>-0.5</v>
      </c>
      <c r="H165" s="27" t="n">
        <f aca="false">INDEX(Data_Elast!$D:$G,MATCH("eff_imp_"&amp;INDEX(Data_Elast!$K:$K,MATCH($B165,Data_Elast!$I:$I,0)),Data_Elast!$A:$A,0),MATCH(Settings!$B$5,Data_Elast!$D$1:$G$1,0))</f>
        <v>0.01</v>
      </c>
      <c r="I165" s="27" t="n">
        <f aca="false">Settings!$B$7</f>
        <v>0</v>
      </c>
      <c r="J165" s="19" t="str">
        <f aca="false">INDEX(Data_Elast!$J:$J,MATCH($B165,Data_Elast!$I:$I,0))</f>
        <v>nga</v>
      </c>
    </row>
    <row r="166" customFormat="false" ht="15" hidden="false" customHeight="false" outlineLevel="0" collapsed="false">
      <c r="B166" s="17" t="s">
        <v>59</v>
      </c>
      <c r="C166" s="17" t="str">
        <f aca="false">$C$125</f>
        <v>nfm</v>
      </c>
      <c r="D166" s="26" t="s">
        <v>104</v>
      </c>
      <c r="E166" s="27" t="n">
        <f aca="false">INDEX(Data_Elast!$D:$G,MATCH("el_inc_"&amp;INDEX(Data_Elast!$J:$J,MATCH($B166,Data_Elast!$I:$I,0)),Data_Elast!$A:$A,0),MATCH(Settings!$B$5,Data_Elast!$D$1:$G$1,0))</f>
        <v>0.5</v>
      </c>
      <c r="F166" s="27" t="n">
        <f aca="false">INDEX(Data_Elast!$D:$G,MATCH("el_dem_"&amp;INDEX(Data_Elast!$J:$J,MATCH($B166,Data_Elast!$I:$I,0)),Data_Elast!$A:$A,0),MATCH(Settings!$B$5,Data_Elast!$D$1:$G$1,0))</f>
        <v>-0.4</v>
      </c>
      <c r="G166" s="27" t="n">
        <f aca="false">INDEX(Data_Elast!$D:$G,MATCH("el_eff_"&amp;INDEX(Data_Elast!$J:$J,MATCH($B166,Data_Elast!$I:$I,0)),Data_Elast!$A:$A,0),MATCH(Settings!$B$5,Data_Elast!$D$1:$G$1,0))</f>
        <v>-0.7</v>
      </c>
      <c r="H166" s="27" t="n">
        <f aca="false">INDEX(Data_Elast!$D:$G,MATCH("eff_imp_"&amp;INDEX(Data_Elast!$K:$K,MATCH($B166,Data_Elast!$I:$I,0)),Data_Elast!$A:$A,0),MATCH(Settings!$B$5,Data_Elast!$D$1:$G$1,0))</f>
        <v>0.005</v>
      </c>
      <c r="I166" s="27" t="n">
        <f aca="false">Settings!$B$7</f>
        <v>0</v>
      </c>
      <c r="J166" s="19" t="str">
        <f aca="false">INDEX(Data_Elast!$J:$J,MATCH($B166,Data_Elast!$I:$I,0))</f>
        <v>gso</v>
      </c>
    </row>
    <row r="167" customFormat="false" ht="15" hidden="false" customHeight="false" outlineLevel="0" collapsed="false">
      <c r="B167" s="17" t="s">
        <v>62</v>
      </c>
      <c r="C167" s="17" t="str">
        <f aca="false">$C$125</f>
        <v>nfm</v>
      </c>
      <c r="D167" s="26" t="s">
        <v>105</v>
      </c>
      <c r="E167" s="27" t="n">
        <f aca="false">INDEX(Data_Elast!$D:$G,MATCH("el_inc_"&amp;INDEX(Data_Elast!$J:$J,MATCH($B167,Data_Elast!$I:$I,0)),Data_Elast!$A:$A,0),MATCH(Settings!$B$5,Data_Elast!$D$1:$G$1,0))</f>
        <v>0.5</v>
      </c>
      <c r="F167" s="27" t="n">
        <f aca="false">INDEX(Data_Elast!$D:$G,MATCH("el_dem_"&amp;INDEX(Data_Elast!$J:$J,MATCH($B167,Data_Elast!$I:$I,0)),Data_Elast!$A:$A,0),MATCH(Settings!$B$5,Data_Elast!$D$1:$G$1,0))</f>
        <v>-0.7</v>
      </c>
      <c r="G167" s="27" t="n">
        <f aca="false">INDEX(Data_Elast!$D:$G,MATCH("el_eff_"&amp;INDEX(Data_Elast!$J:$J,MATCH($B167,Data_Elast!$I:$I,0)),Data_Elast!$A:$A,0),MATCH(Settings!$B$5,Data_Elast!$D$1:$G$1,0))</f>
        <v>-1.2</v>
      </c>
      <c r="H167" s="27" t="n">
        <f aca="false">INDEX(Data_Elast!$D:$G,MATCH("eff_imp_"&amp;INDEX(Data_Elast!$K:$K,MATCH($B167,Data_Elast!$I:$I,0)),Data_Elast!$A:$A,0),MATCH(Settings!$B$5,Data_Elast!$D$1:$G$1,0))</f>
        <v>0.005</v>
      </c>
      <c r="I167" s="27" t="n">
        <f aca="false">Settings!$B$7</f>
        <v>0</v>
      </c>
      <c r="J167" s="19" t="str">
        <f aca="false">INDEX(Data_Elast!$J:$J,MATCH($B167,Data_Elast!$I:$I,0))</f>
        <v>die</v>
      </c>
    </row>
    <row r="168" customFormat="false" ht="15" hidden="false" customHeight="false" outlineLevel="0" collapsed="false">
      <c r="B168" s="17" t="s">
        <v>64</v>
      </c>
      <c r="C168" s="17" t="str">
        <f aca="false">$C$125</f>
        <v>nfm</v>
      </c>
      <c r="D168" s="26" t="s">
        <v>106</v>
      </c>
      <c r="E168" s="27" t="n">
        <f aca="false">INDEX(Data_Elast!$D:$G,MATCH("el_inc_"&amp;INDEX(Data_Elast!$J:$J,MATCH($B168,Data_Elast!$I:$I,0)),Data_Elast!$A:$A,0),MATCH(Settings!$B$5,Data_Elast!$D$1:$G$1,0))</f>
        <v>0.8</v>
      </c>
      <c r="F168" s="27" t="n">
        <f aca="false">INDEX(Data_Elast!$D:$G,MATCH("el_dem_"&amp;INDEX(Data_Elast!$J:$J,MATCH($B168,Data_Elast!$I:$I,0)),Data_Elast!$A:$A,0),MATCH(Settings!$B$5,Data_Elast!$D$1:$G$1,0))</f>
        <v>-0.4</v>
      </c>
      <c r="G168" s="27" t="n">
        <f aca="false">INDEX(Data_Elast!$D:$G,MATCH("el_eff_"&amp;INDEX(Data_Elast!$J:$J,MATCH($B168,Data_Elast!$I:$I,0)),Data_Elast!$A:$A,0),MATCH(Settings!$B$5,Data_Elast!$D$1:$G$1,0))</f>
        <v>-0.4</v>
      </c>
      <c r="H168" s="27" t="n">
        <f aca="false">INDEX(Data_Elast!$D:$G,MATCH("eff_imp_"&amp;INDEX(Data_Elast!$K:$K,MATCH($B168,Data_Elast!$I:$I,0)),Data_Elast!$A:$A,0),MATCH(Settings!$B$5,Data_Elast!$D$1:$G$1,0))</f>
        <v>0.005</v>
      </c>
      <c r="I168" s="27" t="n">
        <f aca="false">Settings!$B$7</f>
        <v>0</v>
      </c>
      <c r="J168" s="19" t="str">
        <f aca="false">INDEX(Data_Elast!$J:$J,MATCH($B168,Data_Elast!$I:$I,0))</f>
        <v>oil</v>
      </c>
    </row>
    <row r="169" customFormat="false" ht="15" hidden="false" customHeight="false" outlineLevel="0" collapsed="false">
      <c r="B169" s="17" t="s">
        <v>66</v>
      </c>
      <c r="C169" s="17" t="str">
        <f aca="false">$C$125</f>
        <v>nfm</v>
      </c>
      <c r="D169" s="26" t="s">
        <v>107</v>
      </c>
      <c r="E169" s="27" t="n">
        <f aca="false">INDEX(Data_Elast!$D:$G,MATCH("el_inc_"&amp;INDEX(Data_Elast!$J:$J,MATCH($B169,Data_Elast!$I:$I,0)),Data_Elast!$A:$A,0),MATCH(Settings!$B$5,Data_Elast!$D$1:$G$1,0))</f>
        <v>0.8</v>
      </c>
      <c r="F169" s="27" t="n">
        <f aca="false">INDEX(Data_Elast!$D:$G,MATCH("el_dem_"&amp;INDEX(Data_Elast!$J:$J,MATCH($B169,Data_Elast!$I:$I,0)),Data_Elast!$A:$A,0),MATCH(Settings!$B$5,Data_Elast!$D$1:$G$1,0))</f>
        <v>-0.4</v>
      </c>
      <c r="G169" s="27" t="n">
        <f aca="false">INDEX(Data_Elast!$D:$G,MATCH("el_eff_"&amp;INDEX(Data_Elast!$J:$J,MATCH($B169,Data_Elast!$I:$I,0)),Data_Elast!$A:$A,0),MATCH(Settings!$B$5,Data_Elast!$D$1:$G$1,0))</f>
        <v>-0.4</v>
      </c>
      <c r="H169" s="27" t="n">
        <f aca="false">INDEX(Data_Elast!$D:$G,MATCH("eff_imp_"&amp;INDEX(Data_Elast!$K:$K,MATCH($B169,Data_Elast!$I:$I,0)),Data_Elast!$A:$A,0),MATCH(Settings!$B$5,Data_Elast!$D$1:$G$1,0))</f>
        <v>0.005</v>
      </c>
      <c r="I169" s="27" t="n">
        <f aca="false">Settings!$B$7</f>
        <v>0</v>
      </c>
      <c r="J169" s="19" t="str">
        <f aca="false">INDEX(Data_Elast!$J:$J,MATCH($B169,Data_Elast!$I:$I,0))</f>
        <v>oil</v>
      </c>
    </row>
    <row r="170" customFormat="false" ht="15" hidden="false" customHeight="false" outlineLevel="0" collapsed="false">
      <c r="B170" s="17" t="s">
        <v>68</v>
      </c>
      <c r="C170" s="17" t="str">
        <f aca="false">$C$125</f>
        <v>nfm</v>
      </c>
      <c r="D170" s="26" t="s">
        <v>108</v>
      </c>
      <c r="E170" s="27" t="n">
        <f aca="false">INDEX(Data_Elast!$D:$G,MATCH("el_inc_"&amp;INDEX(Data_Elast!$J:$J,MATCH($B170,Data_Elast!$I:$I,0)),Data_Elast!$A:$A,0),MATCH(Settings!$B$5,Data_Elast!$D$1:$G$1,0))</f>
        <v>0.8</v>
      </c>
      <c r="F170" s="27" t="n">
        <f aca="false">INDEX(Data_Elast!$D:$G,MATCH("el_dem_"&amp;INDEX(Data_Elast!$J:$J,MATCH($B170,Data_Elast!$I:$I,0)),Data_Elast!$A:$A,0),MATCH(Settings!$B$5,Data_Elast!$D$1:$G$1,0))</f>
        <v>-0.4</v>
      </c>
      <c r="G170" s="27" t="n">
        <f aca="false">INDEX(Data_Elast!$D:$G,MATCH("el_eff_"&amp;INDEX(Data_Elast!$J:$J,MATCH($B170,Data_Elast!$I:$I,0)),Data_Elast!$A:$A,0),MATCH(Settings!$B$5,Data_Elast!$D$1:$G$1,0))</f>
        <v>-0.4</v>
      </c>
      <c r="H170" s="27" t="n">
        <f aca="false">INDEX(Data_Elast!$D:$G,MATCH("eff_imp_"&amp;INDEX(Data_Elast!$K:$K,MATCH($B170,Data_Elast!$I:$I,0)),Data_Elast!$A:$A,0),MATCH(Settings!$B$5,Data_Elast!$D$1:$G$1,0))</f>
        <v>0.005</v>
      </c>
      <c r="I170" s="27" t="n">
        <f aca="false">Settings!$B$7</f>
        <v>0</v>
      </c>
      <c r="J170" s="19" t="str">
        <f aca="false">INDEX(Data_Elast!$J:$J,MATCH($B170,Data_Elast!$I:$I,0))</f>
        <v>oil</v>
      </c>
    </row>
    <row r="171" customFormat="false" ht="15" hidden="false" customHeight="false" outlineLevel="0" collapsed="false">
      <c r="B171" s="17" t="s">
        <v>71</v>
      </c>
      <c r="C171" s="17" t="str">
        <f aca="false">$C$125</f>
        <v>nfm</v>
      </c>
      <c r="D171" s="26" t="s">
        <v>109</v>
      </c>
      <c r="E171" s="27" t="n">
        <f aca="false">INDEX(Data_Elast!$D:$G,MATCH("el_inc_"&amp;INDEX(Data_Elast!$J:$J,MATCH($B171,Data_Elast!$I:$I,0)),Data_Elast!$A:$A,0),MATCH(Settings!$B$5,Data_Elast!$D$1:$G$1,0))</f>
        <v>0.1</v>
      </c>
      <c r="F171" s="27" t="n">
        <f aca="false">INDEX(Data_Elast!$D:$G,MATCH("el_dem_"&amp;INDEX(Data_Elast!$J:$J,MATCH($B171,Data_Elast!$I:$I,0)),Data_Elast!$A:$A,0),MATCH(Settings!$B$5,Data_Elast!$D$1:$G$1,0))</f>
        <v>-0.3</v>
      </c>
      <c r="G171" s="27" t="n">
        <f aca="false">INDEX(Data_Elast!$D:$G,MATCH("el_eff_"&amp;INDEX(Data_Elast!$J:$J,MATCH($B171,Data_Elast!$I:$I,0)),Data_Elast!$A:$A,0),MATCH(Settings!$B$5,Data_Elast!$D$1:$G$1,0))</f>
        <v>-0.2</v>
      </c>
      <c r="H171" s="27" t="n">
        <f aca="false">INDEX(Data_Elast!$D:$G,MATCH("eff_imp_"&amp;INDEX(Data_Elast!$K:$K,MATCH($B171,Data_Elast!$I:$I,0)),Data_Elast!$A:$A,0),MATCH(Settings!$B$5,Data_Elast!$D$1:$G$1,0))</f>
        <v>0.005</v>
      </c>
      <c r="I171" s="27" t="n">
        <f aca="false">Settings!$B$7</f>
        <v>0</v>
      </c>
      <c r="J171" s="19" t="str">
        <f aca="false">INDEX(Data_Elast!$J:$J,MATCH($B171,Data_Elast!$I:$I,0))</f>
        <v>bio</v>
      </c>
    </row>
    <row r="172" customFormat="false" ht="15" hidden="false" customHeight="false" outlineLevel="0" collapsed="false">
      <c r="B172" s="17" t="s">
        <v>73</v>
      </c>
      <c r="C172" s="17" t="str">
        <f aca="false">$C$125</f>
        <v>nfm</v>
      </c>
      <c r="D172" s="26" t="s">
        <v>110</v>
      </c>
      <c r="E172" s="27" t="n">
        <f aca="false">INDEX(Data_Elast!$D:$G,MATCH("el_inc_"&amp;INDEX(Data_Elast!$J:$J,MATCH($B172,Data_Elast!$I:$I,0)),Data_Elast!$A:$A,0),MATCH(Settings!$B$5,Data_Elast!$D$1:$G$1,0))</f>
        <v>0.8</v>
      </c>
      <c r="F172" s="27" t="n">
        <f aca="false">INDEX(Data_Elast!$D:$G,MATCH("el_dem_"&amp;INDEX(Data_Elast!$J:$J,MATCH($B172,Data_Elast!$I:$I,0)),Data_Elast!$A:$A,0),MATCH(Settings!$B$5,Data_Elast!$D$1:$G$1,0))</f>
        <v>-0.5</v>
      </c>
      <c r="G172" s="27" t="n">
        <f aca="false">INDEX(Data_Elast!$D:$G,MATCH("el_eff_"&amp;INDEX(Data_Elast!$J:$J,MATCH($B172,Data_Elast!$I:$I,0)),Data_Elast!$A:$A,0),MATCH(Settings!$B$5,Data_Elast!$D$1:$G$1,0))</f>
        <v>-0.4</v>
      </c>
      <c r="H172" s="27" t="n">
        <f aca="false">INDEX(Data_Elast!$D:$G,MATCH("eff_imp_"&amp;INDEX(Data_Elast!$K:$K,MATCH($B172,Data_Elast!$I:$I,0)),Data_Elast!$A:$A,0),MATCH(Settings!$B$5,Data_Elast!$D$1:$G$1,0))</f>
        <v>0.005</v>
      </c>
      <c r="I172" s="27" t="n">
        <f aca="false">Settings!$B$7</f>
        <v>0</v>
      </c>
      <c r="J172" s="19" t="str">
        <f aca="false">INDEX(Data_Elast!$J:$J,MATCH($B172,Data_Elast!$I:$I,0))</f>
        <v>ren</v>
      </c>
    </row>
    <row r="173" customFormat="false" ht="15" hidden="false" customHeight="false" outlineLevel="0" collapsed="false">
      <c r="B173" s="16" t="s">
        <v>111</v>
      </c>
    </row>
    <row r="174" customFormat="false" ht="15" hidden="false" customHeight="false" outlineLevel="0" collapsed="false">
      <c r="B174" s="17" t="s">
        <v>53</v>
      </c>
      <c r="C174" s="17" t="str">
        <f aca="false">$C$125</f>
        <v>nfm</v>
      </c>
      <c r="D174" s="18" t="s">
        <v>54</v>
      </c>
      <c r="E174" s="19" t="s">
        <v>112</v>
      </c>
      <c r="F174" s="17" t="s">
        <v>113</v>
      </c>
      <c r="G174" s="20" t="str">
        <f aca="false">Settings!$B$3&amp;".mit.enc."&amp;$B174</f>
        <v>egy.mit.enc.coa</v>
      </c>
      <c r="H174" s="21" t="str">
        <f aca="false">Settings!$B$3&amp;".mit.ener."&amp;$C$125&amp;"."&amp;$B174&amp;".e."&amp;$J$125</f>
        <v>egy.mit.ener.nfm.coa.e.1</v>
      </c>
      <c r="L174" s="28" t="n">
        <f aca="false">INDEX(Data_Energy!$D$3:$U$22,MATCH($B174,Data_Energy!$C$3:$C$22,0),MATCH($C174,Data_Energy!$D$2:$U$2,0))</f>
        <v>0</v>
      </c>
      <c r="M174" s="29" t="n">
        <f aca="false">L174*(1+M$159)^($E164*M$160)*(1+M$161)*IF(L137&lt;=0,1,M137/L137)^$F164*(IF(L147&lt;=0,1,M147/L147)^$G164/(1+$H164+$I164))^(1+$F164)</f>
        <v>0</v>
      </c>
      <c r="N174" s="29" t="n">
        <f aca="false">M174*(1+N$159)^($E164*N$160)*(1+N$161)*IF(M137&lt;=0,1,N137/M137)^$F164*(IF(M147&lt;=0,1,N147/M147)^$G164/(1+$H164+$I164))^(1+$F164)</f>
        <v>0</v>
      </c>
      <c r="O174" s="29" t="n">
        <f aca="false">N174*(1+O$159)^($E164*O$160)*(1+O$161)*IF(N137&lt;=0,1,O137/N137)^$F164*(IF(N147&lt;=0,1,O147/N147)^$G164/(1+$H164+$I164))^(1+$F164)</f>
        <v>0</v>
      </c>
      <c r="P174" s="29" t="n">
        <f aca="false">O174*(1+P$159)^($E164*P$160)*(1+P$161)*IF(O137&lt;=0,1,P137/O137)^$F164*(IF(O147&lt;=0,1,P147/O147)^$G164/(1+$H164+$I164))^(1+$F164)</f>
        <v>0</v>
      </c>
      <c r="Q174" s="29" t="n">
        <f aca="false">P174*(1+Q$159)^($E164*Q$160)*(1+Q$161)*IF(P137&lt;=0,1,Q137/P137)^$F164*(IF(P147&lt;=0,1,Q147/P147)^$G164/(1+$H164+$I164))^(1+$F164)</f>
        <v>0</v>
      </c>
      <c r="R174" s="29" t="n">
        <f aca="false">Q174*(1+R$159)^($E164*R$160)*(1+R$161)*IF(Q137&lt;=0,1,R137/Q137)^$F164*(IF(Q147&lt;=0,1,R147/Q147)^$G164/(1+$H164+$I164))^(1+$F164)</f>
        <v>0</v>
      </c>
      <c r="S174" s="29" t="n">
        <f aca="false">R174*(1+S$159)^($E164*S$160)*(1+S$161)*IF(R137&lt;=0,1,S137/R137)^$F164*(IF(R147&lt;=0,1,S147/R147)^$G164/(1+$H164+$I164))^(1+$F164)</f>
        <v>0</v>
      </c>
      <c r="T174" s="29" t="n">
        <f aca="false">S174*(1+T$159)^($E164*T$160)*(1+T$161)*IF(S137&lt;=0,1,T137/S137)^$F164*(IF(S147&lt;=0,1,T147/S147)^$G164/(1+$H164+$I164))^(1+$F164)</f>
        <v>0</v>
      </c>
      <c r="U174" s="29" t="n">
        <f aca="false">T174*(1+U$159)^($E164*U$160)*(1+U$161)*IF(T137&lt;=0,1,U137/T137)^$F164*(IF(T147&lt;=0,1,U147/T147)^$G164/(1+$H164+$I164))^(1+$F164)</f>
        <v>0</v>
      </c>
      <c r="V174" s="29" t="n">
        <f aca="false">U174*(1+V$159)^($E164*V$160)*(1+V$161)*IF(U137&lt;=0,1,V137/U137)^$F164*(IF(U147&lt;=0,1,V147/U147)^$G164/(1+$H164+$I164))^(1+$F164)</f>
        <v>0</v>
      </c>
      <c r="W174" s="29" t="n">
        <f aca="false">V174*(1+W$159)^($E164*W$160)*(1+W$161)*IF(V137&lt;=0,1,W137/V137)^$F164*(IF(V147&lt;=0,1,W147/V147)^$G164/(1+$H164+$I164))^(1+$F164)</f>
        <v>0</v>
      </c>
      <c r="X174" s="29" t="n">
        <f aca="false">W174*(1+X$159)^($E164*X$160)*(1+X$161)*IF(W137&lt;=0,1,X137/W137)^$F164*(IF(W147&lt;=0,1,X147/W147)^$G164/(1+$H164+$I164))^(1+$F164)</f>
        <v>0</v>
      </c>
      <c r="Y174" s="29" t="n">
        <f aca="false">X174*(1+Y$159)^($E164*Y$160)*(1+Y$161)*IF(X137&lt;=0,1,Y137/X137)^$F164*(IF(X147&lt;=0,1,Y147/X147)^$G164/(1+$H164+$I164))^(1+$F164)</f>
        <v>0</v>
      </c>
      <c r="Z174" s="29" t="n">
        <f aca="false">Y174*(1+Z$159)^($E164*Z$160)*(1+Z$161)*IF(Y137&lt;=0,1,Z137/Y137)^$F164*(IF(Y147&lt;=0,1,Z147/Y147)^$G164/(1+$H164+$I164))^(1+$F164)</f>
        <v>0</v>
      </c>
      <c r="AA174" s="29" t="n">
        <f aca="false">Z174*(1+AA$159)^($E164*AA$160)*(1+AA$161)*IF(Z137&lt;=0,1,AA137/Z137)^$F164*(IF(Z147&lt;=0,1,AA147/Z147)^$G164/(1+$H164+$I164))^(1+$F164)</f>
        <v>0</v>
      </c>
      <c r="AB174" s="29" t="n">
        <f aca="false">AA174*(1+AB$159)^($E164*AB$160)*(1+AB$161)*IF(AA137&lt;=0,1,AB137/AA137)^$F164*(IF(AA147&lt;=0,1,AB147/AA147)^$G164/(1+$H164+$I164))^(1+$F164)</f>
        <v>0</v>
      </c>
      <c r="AC174" s="29" t="n">
        <f aca="false">AB174*(1+AC$159)^($E164*AC$160)*(1+AC$161)*IF(AB137&lt;=0,1,AC137/AB137)^$F164*(IF(AB147&lt;=0,1,AC147/AB147)^$G164/(1+$H164+$I164))^(1+$F164)</f>
        <v>0</v>
      </c>
      <c r="AD174" s="29" t="n">
        <f aca="false">AC174*(1+AD$159)^($E164*AD$160)*(1+AD$161)*IF(AC137&lt;=0,1,AD137/AC137)^$F164*(IF(AC147&lt;=0,1,AD147/AC147)^$G164/(1+$H164+$I164))^(1+$F164)</f>
        <v>0</v>
      </c>
      <c r="AE174" s="29" t="n">
        <f aca="false">AD174*(1+AE$159)^($E164*AE$160)*(1+AE$161)*IF(AD137&lt;=0,1,AE137/AD137)^$F164*(IF(AD147&lt;=0,1,AE147/AD147)^$G164/(1+$H164+$I164))^(1+$F164)</f>
        <v>0</v>
      </c>
    </row>
    <row r="175" customFormat="false" ht="15" hidden="false" customHeight="false" outlineLevel="0" collapsed="false">
      <c r="B175" s="17" t="s">
        <v>57</v>
      </c>
      <c r="C175" s="17" t="str">
        <f aca="false">$C$125</f>
        <v>nfm</v>
      </c>
      <c r="D175" s="18" t="s">
        <v>58</v>
      </c>
      <c r="E175" s="19" t="s">
        <v>112</v>
      </c>
      <c r="F175" s="17" t="s">
        <v>113</v>
      </c>
      <c r="G175" s="20" t="str">
        <f aca="false">Settings!$B$3&amp;".mit.enc."&amp;$B175</f>
        <v>egy.mit.enc.nga</v>
      </c>
      <c r="H175" s="21" t="str">
        <f aca="false">Settings!$B$3&amp;".mit.ener."&amp;$C$125&amp;"."&amp;$B175&amp;".e."&amp;$J$125</f>
        <v>egy.mit.ener.nfm.nga.e.1</v>
      </c>
      <c r="L175" s="28" t="n">
        <f aca="false">INDEX(Data_Energy!$D$3:$U$22,MATCH($B175,Data_Energy!$C$3:$C$22,0),MATCH($C175,Data_Energy!$D$2:$U$2,0))</f>
        <v>0</v>
      </c>
      <c r="M175" s="29" t="n">
        <f aca="false">L175*(1+M$159)^($E165*M$160)*(1+M$161)*IF(L138&lt;=0,1,M138/L138)^$F165*(IF(L148&lt;=0,1,M148/L148)^$G165/(1+$H165+$I165))^(1+$F165)</f>
        <v>0</v>
      </c>
      <c r="N175" s="29" t="n">
        <f aca="false">M175*(1+N$159)^($E165*N$160)*(1+N$161)*IF(M138&lt;=0,1,N138/M138)^$F165*(IF(M148&lt;=0,1,N148/M148)^$G165/(1+$H165+$I165))^(1+$F165)</f>
        <v>0</v>
      </c>
      <c r="O175" s="29" t="n">
        <f aca="false">N175*(1+O$159)^($E165*O$160)*(1+O$161)*IF(N138&lt;=0,1,O138/N138)^$F165*(IF(N148&lt;=0,1,O148/N148)^$G165/(1+$H165+$I165))^(1+$F165)</f>
        <v>0</v>
      </c>
      <c r="P175" s="29" t="n">
        <f aca="false">O175*(1+P$159)^($E165*P$160)*(1+P$161)*IF(O138&lt;=0,1,P138/O138)^$F165*(IF(O148&lt;=0,1,P148/O148)^$G165/(1+$H165+$I165))^(1+$F165)</f>
        <v>0</v>
      </c>
      <c r="Q175" s="29" t="n">
        <f aca="false">P175*(1+Q$159)^($E165*Q$160)*(1+Q$161)*IF(P138&lt;=0,1,Q138/P138)^$F165*(IF(P148&lt;=0,1,Q148/P148)^$G165/(1+$H165+$I165))^(1+$F165)</f>
        <v>0</v>
      </c>
      <c r="R175" s="29" t="n">
        <f aca="false">Q175*(1+R$159)^($E165*R$160)*(1+R$161)*IF(Q138&lt;=0,1,R138/Q138)^$F165*(IF(Q148&lt;=0,1,R148/Q148)^$G165/(1+$H165+$I165))^(1+$F165)</f>
        <v>0</v>
      </c>
      <c r="S175" s="29" t="n">
        <f aca="false">R175*(1+S$159)^($E165*S$160)*(1+S$161)*IF(R138&lt;=0,1,S138/R138)^$F165*(IF(R148&lt;=0,1,S148/R148)^$G165/(1+$H165+$I165))^(1+$F165)</f>
        <v>0</v>
      </c>
      <c r="T175" s="29" t="n">
        <f aca="false">S175*(1+T$159)^($E165*T$160)*(1+T$161)*IF(S138&lt;=0,1,T138/S138)^$F165*(IF(S148&lt;=0,1,T148/S148)^$G165/(1+$H165+$I165))^(1+$F165)</f>
        <v>0</v>
      </c>
      <c r="U175" s="29" t="n">
        <f aca="false">T175*(1+U$159)^($E165*U$160)*(1+U$161)*IF(T138&lt;=0,1,U138/T138)^$F165*(IF(T148&lt;=0,1,U148/T148)^$G165/(1+$H165+$I165))^(1+$F165)</f>
        <v>0</v>
      </c>
      <c r="V175" s="29" t="n">
        <f aca="false">U175*(1+V$159)^($E165*V$160)*(1+V$161)*IF(U138&lt;=0,1,V138/U138)^$F165*(IF(U148&lt;=0,1,V148/U148)^$G165/(1+$H165+$I165))^(1+$F165)</f>
        <v>0</v>
      </c>
      <c r="W175" s="29" t="n">
        <f aca="false">V175*(1+W$159)^($E165*W$160)*(1+W$161)*IF(V138&lt;=0,1,W138/V138)^$F165*(IF(V148&lt;=0,1,W148/V148)^$G165/(1+$H165+$I165))^(1+$F165)</f>
        <v>0</v>
      </c>
      <c r="X175" s="29" t="n">
        <f aca="false">W175*(1+X$159)^($E165*X$160)*(1+X$161)*IF(W138&lt;=0,1,X138/W138)^$F165*(IF(W148&lt;=0,1,X148/W148)^$G165/(1+$H165+$I165))^(1+$F165)</f>
        <v>0</v>
      </c>
      <c r="Y175" s="29" t="n">
        <f aca="false">X175*(1+Y$159)^($E165*Y$160)*(1+Y$161)*IF(X138&lt;=0,1,Y138/X138)^$F165*(IF(X148&lt;=0,1,Y148/X148)^$G165/(1+$H165+$I165))^(1+$F165)</f>
        <v>0</v>
      </c>
      <c r="Z175" s="29" t="n">
        <f aca="false">Y175*(1+Z$159)^($E165*Z$160)*(1+Z$161)*IF(Y138&lt;=0,1,Z138/Y138)^$F165*(IF(Y148&lt;=0,1,Z148/Y148)^$G165/(1+$H165+$I165))^(1+$F165)</f>
        <v>0</v>
      </c>
      <c r="AA175" s="29" t="n">
        <f aca="false">Z175*(1+AA$159)^($E165*AA$160)*(1+AA$161)*IF(Z138&lt;=0,1,AA138/Z138)^$F165*(IF(Z148&lt;=0,1,AA148/Z148)^$G165/(1+$H165+$I165))^(1+$F165)</f>
        <v>0</v>
      </c>
      <c r="AB175" s="29" t="n">
        <f aca="false">AA175*(1+AB$159)^($E165*AB$160)*(1+AB$161)*IF(AA138&lt;=0,1,AB138/AA138)^$F165*(IF(AA148&lt;=0,1,AB148/AA148)^$G165/(1+$H165+$I165))^(1+$F165)</f>
        <v>0</v>
      </c>
      <c r="AC175" s="29" t="n">
        <f aca="false">AB175*(1+AC$159)^($E165*AC$160)*(1+AC$161)*IF(AB138&lt;=0,1,AC138/AB138)^$F165*(IF(AB148&lt;=0,1,AC148/AB148)^$G165/(1+$H165+$I165))^(1+$F165)</f>
        <v>0</v>
      </c>
      <c r="AD175" s="29" t="n">
        <f aca="false">AC175*(1+AD$159)^($E165*AD$160)*(1+AD$161)*IF(AC138&lt;=0,1,AD138/AC138)^$F165*(IF(AC148&lt;=0,1,AD148/AC148)^$G165/(1+$H165+$I165))^(1+$F165)</f>
        <v>0</v>
      </c>
      <c r="AE175" s="29" t="n">
        <f aca="false">AD175*(1+AE$159)^($E165*AE$160)*(1+AE$161)*IF(AD138&lt;=0,1,AE138/AD138)^$F165*(IF(AD148&lt;=0,1,AE148/AD148)^$G165/(1+$H165+$I165))^(1+$F165)</f>
        <v>0</v>
      </c>
    </row>
    <row r="176" customFormat="false" ht="15" hidden="false" customHeight="false" outlineLevel="0" collapsed="false">
      <c r="B176" s="17" t="s">
        <v>59</v>
      </c>
      <c r="C176" s="17" t="str">
        <f aca="false">$C$125</f>
        <v>nfm</v>
      </c>
      <c r="D176" s="18" t="s">
        <v>60</v>
      </c>
      <c r="E176" s="19" t="s">
        <v>112</v>
      </c>
      <c r="F176" s="17" t="s">
        <v>113</v>
      </c>
      <c r="G176" s="20" t="str">
        <f aca="false">Settings!$B$3&amp;".mit.enc."&amp;$B176</f>
        <v>egy.mit.enc.gso</v>
      </c>
      <c r="H176" s="21" t="str">
        <f aca="false">Settings!$B$3&amp;".mit.ener."&amp;$C$125&amp;"."&amp;$B176&amp;".e."&amp;$J$125</f>
        <v>egy.mit.ener.nfm.gso.e.1</v>
      </c>
      <c r="L176" s="28" t="n">
        <f aca="false">INDEX(Data_Energy!$D$3:$U$22,MATCH($B176,Data_Energy!$C$3:$C$22,0),MATCH($C176,Data_Energy!$D$2:$U$2,0))</f>
        <v>0</v>
      </c>
      <c r="M176" s="29" t="n">
        <f aca="false">L176*(1+M$159)^($E166*M$160)*(1+M$161)*IF(L139&lt;=0,1,M139/L139)^$F166*(IF(L149&lt;=0,1,M149/L149)^$G166/(1+$H166+$I166))^(1+$F166)</f>
        <v>0</v>
      </c>
      <c r="N176" s="29" t="n">
        <f aca="false">M176*(1+N$159)^($E166*N$160)*(1+N$161)*IF(M139&lt;=0,1,N139/M139)^$F166*(IF(M149&lt;=0,1,N149/M149)^$G166/(1+$H166+$I166))^(1+$F166)</f>
        <v>0</v>
      </c>
      <c r="O176" s="29" t="n">
        <f aca="false">N176*(1+O$159)^($E166*O$160)*(1+O$161)*IF(N139&lt;=0,1,O139/N139)^$F166*(IF(N149&lt;=0,1,O149/N149)^$G166/(1+$H166+$I166))^(1+$F166)</f>
        <v>0</v>
      </c>
      <c r="P176" s="29" t="n">
        <f aca="false">O176*(1+P$159)^($E166*P$160)*(1+P$161)*IF(O139&lt;=0,1,P139/O139)^$F166*(IF(O149&lt;=0,1,P149/O149)^$G166/(1+$H166+$I166))^(1+$F166)</f>
        <v>0</v>
      </c>
      <c r="Q176" s="29" t="n">
        <f aca="false">P176*(1+Q$159)^($E166*Q$160)*(1+Q$161)*IF(P139&lt;=0,1,Q139/P139)^$F166*(IF(P149&lt;=0,1,Q149/P149)^$G166/(1+$H166+$I166))^(1+$F166)</f>
        <v>0</v>
      </c>
      <c r="R176" s="29" t="n">
        <f aca="false">Q176*(1+R$159)^($E166*R$160)*(1+R$161)*IF(Q139&lt;=0,1,R139/Q139)^$F166*(IF(Q149&lt;=0,1,R149/Q149)^$G166/(1+$H166+$I166))^(1+$F166)</f>
        <v>0</v>
      </c>
      <c r="S176" s="29" t="n">
        <f aca="false">R176*(1+S$159)^($E166*S$160)*(1+S$161)*IF(R139&lt;=0,1,S139/R139)^$F166*(IF(R149&lt;=0,1,S149/R149)^$G166/(1+$H166+$I166))^(1+$F166)</f>
        <v>0</v>
      </c>
      <c r="T176" s="29" t="n">
        <f aca="false">S176*(1+T$159)^($E166*T$160)*(1+T$161)*IF(S139&lt;=0,1,T139/S139)^$F166*(IF(S149&lt;=0,1,T149/S149)^$G166/(1+$H166+$I166))^(1+$F166)</f>
        <v>0</v>
      </c>
      <c r="U176" s="29" t="n">
        <f aca="false">T176*(1+U$159)^($E166*U$160)*(1+U$161)*IF(T139&lt;=0,1,U139/T139)^$F166*(IF(T149&lt;=0,1,U149/T149)^$G166/(1+$H166+$I166))^(1+$F166)</f>
        <v>0</v>
      </c>
      <c r="V176" s="29" t="n">
        <f aca="false">U176*(1+V$159)^($E166*V$160)*(1+V$161)*IF(U139&lt;=0,1,V139/U139)^$F166*(IF(U149&lt;=0,1,V149/U149)^$G166/(1+$H166+$I166))^(1+$F166)</f>
        <v>0</v>
      </c>
      <c r="W176" s="29" t="n">
        <f aca="false">V176*(1+W$159)^($E166*W$160)*(1+W$161)*IF(V139&lt;=0,1,W139/V139)^$F166*(IF(V149&lt;=0,1,W149/V149)^$G166/(1+$H166+$I166))^(1+$F166)</f>
        <v>0</v>
      </c>
      <c r="X176" s="29" t="n">
        <f aca="false">W176*(1+X$159)^($E166*X$160)*(1+X$161)*IF(W139&lt;=0,1,X139/W139)^$F166*(IF(W149&lt;=0,1,X149/W149)^$G166/(1+$H166+$I166))^(1+$F166)</f>
        <v>0</v>
      </c>
      <c r="Y176" s="29" t="n">
        <f aca="false">X176*(1+Y$159)^($E166*Y$160)*(1+Y$161)*IF(X139&lt;=0,1,Y139/X139)^$F166*(IF(X149&lt;=0,1,Y149/X149)^$G166/(1+$H166+$I166))^(1+$F166)</f>
        <v>0</v>
      </c>
      <c r="Z176" s="29" t="n">
        <f aca="false">Y176*(1+Z$159)^($E166*Z$160)*(1+Z$161)*IF(Y139&lt;=0,1,Z139/Y139)^$F166*(IF(Y149&lt;=0,1,Z149/Y149)^$G166/(1+$H166+$I166))^(1+$F166)</f>
        <v>0</v>
      </c>
      <c r="AA176" s="29" t="n">
        <f aca="false">Z176*(1+AA$159)^($E166*AA$160)*(1+AA$161)*IF(Z139&lt;=0,1,AA139/Z139)^$F166*(IF(Z149&lt;=0,1,AA149/Z149)^$G166/(1+$H166+$I166))^(1+$F166)</f>
        <v>0</v>
      </c>
      <c r="AB176" s="29" t="n">
        <f aca="false">AA176*(1+AB$159)^($E166*AB$160)*(1+AB$161)*IF(AA139&lt;=0,1,AB139/AA139)^$F166*(IF(AA149&lt;=0,1,AB149/AA149)^$G166/(1+$H166+$I166))^(1+$F166)</f>
        <v>0</v>
      </c>
      <c r="AC176" s="29" t="n">
        <f aca="false">AB176*(1+AC$159)^($E166*AC$160)*(1+AC$161)*IF(AB139&lt;=0,1,AC139/AB139)^$F166*(IF(AB149&lt;=0,1,AC149/AB149)^$G166/(1+$H166+$I166))^(1+$F166)</f>
        <v>0</v>
      </c>
      <c r="AD176" s="29" t="n">
        <f aca="false">AC176*(1+AD$159)^($E166*AD$160)*(1+AD$161)*IF(AC139&lt;=0,1,AD139/AC139)^$F166*(IF(AC149&lt;=0,1,AD149/AC149)^$G166/(1+$H166+$I166))^(1+$F166)</f>
        <v>0</v>
      </c>
      <c r="AE176" s="29" t="n">
        <f aca="false">AD176*(1+AE$159)^($E166*AE$160)*(1+AE$161)*IF(AD139&lt;=0,1,AE139/AD139)^$F166*(IF(AD149&lt;=0,1,AE149/AD149)^$G166/(1+$H166+$I166))^(1+$F166)</f>
        <v>0</v>
      </c>
    </row>
    <row r="177" customFormat="false" ht="15" hidden="false" customHeight="false" outlineLevel="0" collapsed="false">
      <c r="B177" s="17" t="s">
        <v>62</v>
      </c>
      <c r="C177" s="17" t="str">
        <f aca="false">$C$125</f>
        <v>nfm</v>
      </c>
      <c r="D177" s="18" t="s">
        <v>63</v>
      </c>
      <c r="E177" s="19" t="s">
        <v>112</v>
      </c>
      <c r="F177" s="17" t="s">
        <v>113</v>
      </c>
      <c r="G177" s="20" t="str">
        <f aca="false">Settings!$B$3&amp;".mit.enc."&amp;$B177</f>
        <v>egy.mit.enc.die</v>
      </c>
      <c r="H177" s="21" t="str">
        <f aca="false">Settings!$B$3&amp;".mit.ener."&amp;$C$125&amp;"."&amp;$B177&amp;".e."&amp;$J$125</f>
        <v>egy.mit.ener.nfm.die.e.1</v>
      </c>
      <c r="L177" s="28" t="n">
        <f aca="false">INDEX(Data_Energy!$D$3:$U$22,MATCH($B177,Data_Energy!$C$3:$C$22,0),MATCH($C177,Data_Energy!$D$2:$U$2,0))</f>
        <v>0</v>
      </c>
      <c r="M177" s="29" t="n">
        <f aca="false">L177*(1+M$159)^($E167*M$160)*(1+M$161)*IF(L140&lt;=0,1,M140/L140)^$F167*(IF(L150&lt;=0,1,M150/L150)^$G167/(1+$H167+$I167))^(1+$F167)</f>
        <v>0</v>
      </c>
      <c r="N177" s="29" t="n">
        <f aca="false">M177*(1+N$159)^($E167*N$160)*(1+N$161)*IF(M140&lt;=0,1,N140/M140)^$F167*(IF(M150&lt;=0,1,N150/M150)^$G167/(1+$H167+$I167))^(1+$F167)</f>
        <v>0</v>
      </c>
      <c r="O177" s="29" t="n">
        <f aca="false">N177*(1+O$159)^($E167*O$160)*(1+O$161)*IF(N140&lt;=0,1,O140/N140)^$F167*(IF(N150&lt;=0,1,O150/N150)^$G167/(1+$H167+$I167))^(1+$F167)</f>
        <v>0</v>
      </c>
      <c r="P177" s="29" t="n">
        <f aca="false">O177*(1+P$159)^($E167*P$160)*(1+P$161)*IF(O140&lt;=0,1,P140/O140)^$F167*(IF(O150&lt;=0,1,P150/O150)^$G167/(1+$H167+$I167))^(1+$F167)</f>
        <v>0</v>
      </c>
      <c r="Q177" s="29" t="n">
        <f aca="false">P177*(1+Q$159)^($E167*Q$160)*(1+Q$161)*IF(P140&lt;=0,1,Q140/P140)^$F167*(IF(P150&lt;=0,1,Q150/P150)^$G167/(1+$H167+$I167))^(1+$F167)</f>
        <v>0</v>
      </c>
      <c r="R177" s="29" t="n">
        <f aca="false">Q177*(1+R$159)^($E167*R$160)*(1+R$161)*IF(Q140&lt;=0,1,R140/Q140)^$F167*(IF(Q150&lt;=0,1,R150/Q150)^$G167/(1+$H167+$I167))^(1+$F167)</f>
        <v>0</v>
      </c>
      <c r="S177" s="29" t="n">
        <f aca="false">R177*(1+S$159)^($E167*S$160)*(1+S$161)*IF(R140&lt;=0,1,S140/R140)^$F167*(IF(R150&lt;=0,1,S150/R150)^$G167/(1+$H167+$I167))^(1+$F167)</f>
        <v>0</v>
      </c>
      <c r="T177" s="29" t="n">
        <f aca="false">S177*(1+T$159)^($E167*T$160)*(1+T$161)*IF(S140&lt;=0,1,T140/S140)^$F167*(IF(S150&lt;=0,1,T150/S150)^$G167/(1+$H167+$I167))^(1+$F167)</f>
        <v>0</v>
      </c>
      <c r="U177" s="29" t="n">
        <f aca="false">T177*(1+U$159)^($E167*U$160)*(1+U$161)*IF(T140&lt;=0,1,U140/T140)^$F167*(IF(T150&lt;=0,1,U150/T150)^$G167/(1+$H167+$I167))^(1+$F167)</f>
        <v>0</v>
      </c>
      <c r="V177" s="29" t="n">
        <f aca="false">U177*(1+V$159)^($E167*V$160)*(1+V$161)*IF(U140&lt;=0,1,V140/U140)^$F167*(IF(U150&lt;=0,1,V150/U150)^$G167/(1+$H167+$I167))^(1+$F167)</f>
        <v>0</v>
      </c>
      <c r="W177" s="29" t="n">
        <f aca="false">V177*(1+W$159)^($E167*W$160)*(1+W$161)*IF(V140&lt;=0,1,W140/V140)^$F167*(IF(V150&lt;=0,1,W150/V150)^$G167/(1+$H167+$I167))^(1+$F167)</f>
        <v>0</v>
      </c>
      <c r="X177" s="29" t="n">
        <f aca="false">W177*(1+X$159)^($E167*X$160)*(1+X$161)*IF(W140&lt;=0,1,X140/W140)^$F167*(IF(W150&lt;=0,1,X150/W150)^$G167/(1+$H167+$I167))^(1+$F167)</f>
        <v>0</v>
      </c>
      <c r="Y177" s="29" t="n">
        <f aca="false">X177*(1+Y$159)^($E167*Y$160)*(1+Y$161)*IF(X140&lt;=0,1,Y140/X140)^$F167*(IF(X150&lt;=0,1,Y150/X150)^$G167/(1+$H167+$I167))^(1+$F167)</f>
        <v>0</v>
      </c>
      <c r="Z177" s="29" t="n">
        <f aca="false">Y177*(1+Z$159)^($E167*Z$160)*(1+Z$161)*IF(Y140&lt;=0,1,Z140/Y140)^$F167*(IF(Y150&lt;=0,1,Z150/Y150)^$G167/(1+$H167+$I167))^(1+$F167)</f>
        <v>0</v>
      </c>
      <c r="AA177" s="29" t="n">
        <f aca="false">Z177*(1+AA$159)^($E167*AA$160)*(1+AA$161)*IF(Z140&lt;=0,1,AA140/Z140)^$F167*(IF(Z150&lt;=0,1,AA150/Z150)^$G167/(1+$H167+$I167))^(1+$F167)</f>
        <v>0</v>
      </c>
      <c r="AB177" s="29" t="n">
        <f aca="false">AA177*(1+AB$159)^($E167*AB$160)*(1+AB$161)*IF(AA140&lt;=0,1,AB140/AA140)^$F167*(IF(AA150&lt;=0,1,AB150/AA150)^$G167/(1+$H167+$I167))^(1+$F167)</f>
        <v>0</v>
      </c>
      <c r="AC177" s="29" t="n">
        <f aca="false">AB177*(1+AC$159)^($E167*AC$160)*(1+AC$161)*IF(AB140&lt;=0,1,AC140/AB140)^$F167*(IF(AB150&lt;=0,1,AC150/AB150)^$G167/(1+$H167+$I167))^(1+$F167)</f>
        <v>0</v>
      </c>
      <c r="AD177" s="29" t="n">
        <f aca="false">AC177*(1+AD$159)^($E167*AD$160)*(1+AD$161)*IF(AC140&lt;=0,1,AD140/AC140)^$F167*(IF(AC150&lt;=0,1,AD150/AC150)^$G167/(1+$H167+$I167))^(1+$F167)</f>
        <v>0</v>
      </c>
      <c r="AE177" s="29" t="n">
        <f aca="false">AD177*(1+AE$159)^($E167*AE$160)*(1+AE$161)*IF(AD140&lt;=0,1,AE140/AD140)^$F167*(IF(AD150&lt;=0,1,AE150/AD150)^$G167/(1+$H167+$I167))^(1+$F167)</f>
        <v>0</v>
      </c>
    </row>
    <row r="178" customFormat="false" ht="15" hidden="false" customHeight="false" outlineLevel="0" collapsed="false">
      <c r="B178" s="17" t="s">
        <v>64</v>
      </c>
      <c r="C178" s="17" t="str">
        <f aca="false">$C$125</f>
        <v>nfm</v>
      </c>
      <c r="D178" s="18" t="s">
        <v>65</v>
      </c>
      <c r="E178" s="19" t="s">
        <v>112</v>
      </c>
      <c r="F178" s="17" t="s">
        <v>113</v>
      </c>
      <c r="G178" s="20" t="str">
        <f aca="false">Settings!$B$3&amp;".mit.enc."&amp;$B178</f>
        <v>egy.mit.enc.lpg</v>
      </c>
      <c r="H178" s="21" t="str">
        <f aca="false">Settings!$B$3&amp;".mit.ener."&amp;$C$125&amp;"."&amp;$B178&amp;".e."&amp;$J$125</f>
        <v>egy.mit.ener.nfm.lpg.e.1</v>
      </c>
      <c r="L178" s="28" t="n">
        <f aca="false">INDEX(Data_Energy!$D$3:$U$22,MATCH($B178,Data_Energy!$C$3:$C$22,0),MATCH($C178,Data_Energy!$D$2:$U$2,0))</f>
        <v>0</v>
      </c>
      <c r="M178" s="29" t="n">
        <f aca="false">L178*(1+M$159)^($E168*M$160)*(1+M$161)*IF(L141&lt;=0,1,M141/L141)^$F168*(IF(L151&lt;=0,1,M151/L151)^$G168/(1+$H168+$I168))^(1+$F168)</f>
        <v>0</v>
      </c>
      <c r="N178" s="29" t="n">
        <f aca="false">M178*(1+N$159)^($E168*N$160)*(1+N$161)*IF(M141&lt;=0,1,N141/M141)^$F168*(IF(M151&lt;=0,1,N151/M151)^$G168/(1+$H168+$I168))^(1+$F168)</f>
        <v>0</v>
      </c>
      <c r="O178" s="29" t="n">
        <f aca="false">N178*(1+O$159)^($E168*O$160)*(1+O$161)*IF(N141&lt;=0,1,O141/N141)^$F168*(IF(N151&lt;=0,1,O151/N151)^$G168/(1+$H168+$I168))^(1+$F168)</f>
        <v>0</v>
      </c>
      <c r="P178" s="29" t="n">
        <f aca="false">O178*(1+P$159)^($E168*P$160)*(1+P$161)*IF(O141&lt;=0,1,P141/O141)^$F168*(IF(O151&lt;=0,1,P151/O151)^$G168/(1+$H168+$I168))^(1+$F168)</f>
        <v>0</v>
      </c>
      <c r="Q178" s="29" t="n">
        <f aca="false">P178*(1+Q$159)^($E168*Q$160)*(1+Q$161)*IF(P141&lt;=0,1,Q141/P141)^$F168*(IF(P151&lt;=0,1,Q151/P151)^$G168/(1+$H168+$I168))^(1+$F168)</f>
        <v>0</v>
      </c>
      <c r="R178" s="29" t="n">
        <f aca="false">Q178*(1+R$159)^($E168*R$160)*(1+R$161)*IF(Q141&lt;=0,1,R141/Q141)^$F168*(IF(Q151&lt;=0,1,R151/Q151)^$G168/(1+$H168+$I168))^(1+$F168)</f>
        <v>0</v>
      </c>
      <c r="S178" s="29" t="n">
        <f aca="false">R178*(1+S$159)^($E168*S$160)*(1+S$161)*IF(R141&lt;=0,1,S141/R141)^$F168*(IF(R151&lt;=0,1,S151/R151)^$G168/(1+$H168+$I168))^(1+$F168)</f>
        <v>0</v>
      </c>
      <c r="T178" s="29" t="n">
        <f aca="false">S178*(1+T$159)^($E168*T$160)*(1+T$161)*IF(S141&lt;=0,1,T141/S141)^$F168*(IF(S151&lt;=0,1,T151/S151)^$G168/(1+$H168+$I168))^(1+$F168)</f>
        <v>0</v>
      </c>
      <c r="U178" s="29" t="n">
        <f aca="false">T178*(1+U$159)^($E168*U$160)*(1+U$161)*IF(T141&lt;=0,1,U141/T141)^$F168*(IF(T151&lt;=0,1,U151/T151)^$G168/(1+$H168+$I168))^(1+$F168)</f>
        <v>0</v>
      </c>
      <c r="V178" s="29" t="n">
        <f aca="false">U178*(1+V$159)^($E168*V$160)*(1+V$161)*IF(U141&lt;=0,1,V141/U141)^$F168*(IF(U151&lt;=0,1,V151/U151)^$G168/(1+$H168+$I168))^(1+$F168)</f>
        <v>0</v>
      </c>
      <c r="W178" s="29" t="n">
        <f aca="false">V178*(1+W$159)^($E168*W$160)*(1+W$161)*IF(V141&lt;=0,1,W141/V141)^$F168*(IF(V151&lt;=0,1,W151/V151)^$G168/(1+$H168+$I168))^(1+$F168)</f>
        <v>0</v>
      </c>
      <c r="X178" s="29" t="n">
        <f aca="false">W178*(1+X$159)^($E168*X$160)*(1+X$161)*IF(W141&lt;=0,1,X141/W141)^$F168*(IF(W151&lt;=0,1,X151/W151)^$G168/(1+$H168+$I168))^(1+$F168)</f>
        <v>0</v>
      </c>
      <c r="Y178" s="29" t="n">
        <f aca="false">X178*(1+Y$159)^($E168*Y$160)*(1+Y$161)*IF(X141&lt;=0,1,Y141/X141)^$F168*(IF(X151&lt;=0,1,Y151/X151)^$G168/(1+$H168+$I168))^(1+$F168)</f>
        <v>0</v>
      </c>
      <c r="Z178" s="29" t="n">
        <f aca="false">Y178*(1+Z$159)^($E168*Z$160)*(1+Z$161)*IF(Y141&lt;=0,1,Z141/Y141)^$F168*(IF(Y151&lt;=0,1,Z151/Y151)^$G168/(1+$H168+$I168))^(1+$F168)</f>
        <v>0</v>
      </c>
      <c r="AA178" s="29" t="n">
        <f aca="false">Z178*(1+AA$159)^($E168*AA$160)*(1+AA$161)*IF(Z141&lt;=0,1,AA141/Z141)^$F168*(IF(Z151&lt;=0,1,AA151/Z151)^$G168/(1+$H168+$I168))^(1+$F168)</f>
        <v>0</v>
      </c>
      <c r="AB178" s="29" t="n">
        <f aca="false">AA178*(1+AB$159)^($E168*AB$160)*(1+AB$161)*IF(AA141&lt;=0,1,AB141/AA141)^$F168*(IF(AA151&lt;=0,1,AB151/AA151)^$G168/(1+$H168+$I168))^(1+$F168)</f>
        <v>0</v>
      </c>
      <c r="AC178" s="29" t="n">
        <f aca="false">AB178*(1+AC$159)^($E168*AC$160)*(1+AC$161)*IF(AB141&lt;=0,1,AC141/AB141)^$F168*(IF(AB151&lt;=0,1,AC151/AB151)^$G168/(1+$H168+$I168))^(1+$F168)</f>
        <v>0</v>
      </c>
      <c r="AD178" s="29" t="n">
        <f aca="false">AC178*(1+AD$159)^($E168*AD$160)*(1+AD$161)*IF(AC141&lt;=0,1,AD141/AC141)^$F168*(IF(AC151&lt;=0,1,AD151/AC151)^$G168/(1+$H168+$I168))^(1+$F168)</f>
        <v>0</v>
      </c>
      <c r="AE178" s="29" t="n">
        <f aca="false">AD178*(1+AE$159)^($E168*AE$160)*(1+AE$161)*IF(AD141&lt;=0,1,AE141/AD141)^$F168*(IF(AD151&lt;=0,1,AE151/AD151)^$G168/(1+$H168+$I168))^(1+$F168)</f>
        <v>0</v>
      </c>
    </row>
    <row r="179" customFormat="false" ht="15" hidden="false" customHeight="false" outlineLevel="0" collapsed="false">
      <c r="B179" s="17" t="s">
        <v>66</v>
      </c>
      <c r="C179" s="17" t="str">
        <f aca="false">$C$125</f>
        <v>nfm</v>
      </c>
      <c r="D179" s="18" t="s">
        <v>67</v>
      </c>
      <c r="E179" s="19" t="s">
        <v>112</v>
      </c>
      <c r="F179" s="17" t="s">
        <v>113</v>
      </c>
      <c r="G179" s="20" t="str">
        <f aca="false">Settings!$B$3&amp;".mit.enc."&amp;$B179</f>
        <v>egy.mit.enc.ker</v>
      </c>
      <c r="H179" s="21" t="str">
        <f aca="false">Settings!$B$3&amp;".mit.ener."&amp;$C$125&amp;"."&amp;$B179&amp;".e."&amp;$J$125</f>
        <v>egy.mit.ener.nfm.ker.e.1</v>
      </c>
      <c r="L179" s="28" t="n">
        <f aca="false">INDEX(Data_Energy!$D$3:$U$22,MATCH($B179,Data_Energy!$C$3:$C$22,0),MATCH($C179,Data_Energy!$D$2:$U$2,0))</f>
        <v>0</v>
      </c>
      <c r="M179" s="29" t="n">
        <f aca="false">L179*(1+M$159)^($E169*M$160)*(1+M$161)*IF(L142&lt;=0,1,M142/L142)^$F169*(IF(L152&lt;=0,1,M152/L152)^$G169/(1+$H169+$I169))^(1+$F169)</f>
        <v>0</v>
      </c>
      <c r="N179" s="29" t="n">
        <f aca="false">M179*(1+N$159)^($E169*N$160)*(1+N$161)*IF(M142&lt;=0,1,N142/M142)^$F169*(IF(M152&lt;=0,1,N152/M152)^$G169/(1+$H169+$I169))^(1+$F169)</f>
        <v>0</v>
      </c>
      <c r="O179" s="29" t="n">
        <f aca="false">N179*(1+O$159)^($E169*O$160)*(1+O$161)*IF(N142&lt;=0,1,O142/N142)^$F169*(IF(N152&lt;=0,1,O152/N152)^$G169/(1+$H169+$I169))^(1+$F169)</f>
        <v>0</v>
      </c>
      <c r="P179" s="29" t="n">
        <f aca="false">O179*(1+P$159)^($E169*P$160)*(1+P$161)*IF(O142&lt;=0,1,P142/O142)^$F169*(IF(O152&lt;=0,1,P152/O152)^$G169/(1+$H169+$I169))^(1+$F169)</f>
        <v>0</v>
      </c>
      <c r="Q179" s="29" t="n">
        <f aca="false">P179*(1+Q$159)^($E169*Q$160)*(1+Q$161)*IF(P142&lt;=0,1,Q142/P142)^$F169*(IF(P152&lt;=0,1,Q152/P152)^$G169/(1+$H169+$I169))^(1+$F169)</f>
        <v>0</v>
      </c>
      <c r="R179" s="29" t="n">
        <f aca="false">Q179*(1+R$159)^($E169*R$160)*(1+R$161)*IF(Q142&lt;=0,1,R142/Q142)^$F169*(IF(Q152&lt;=0,1,R152/Q152)^$G169/(1+$H169+$I169))^(1+$F169)</f>
        <v>0</v>
      </c>
      <c r="S179" s="29" t="n">
        <f aca="false">R179*(1+S$159)^($E169*S$160)*(1+S$161)*IF(R142&lt;=0,1,S142/R142)^$F169*(IF(R152&lt;=0,1,S152/R152)^$G169/(1+$H169+$I169))^(1+$F169)</f>
        <v>0</v>
      </c>
      <c r="T179" s="29" t="n">
        <f aca="false">S179*(1+T$159)^($E169*T$160)*(1+T$161)*IF(S142&lt;=0,1,T142/S142)^$F169*(IF(S152&lt;=0,1,T152/S152)^$G169/(1+$H169+$I169))^(1+$F169)</f>
        <v>0</v>
      </c>
      <c r="U179" s="29" t="n">
        <f aca="false">T179*(1+U$159)^($E169*U$160)*(1+U$161)*IF(T142&lt;=0,1,U142/T142)^$F169*(IF(T152&lt;=0,1,U152/T152)^$G169/(1+$H169+$I169))^(1+$F169)</f>
        <v>0</v>
      </c>
      <c r="V179" s="29" t="n">
        <f aca="false">U179*(1+V$159)^($E169*V$160)*(1+V$161)*IF(U142&lt;=0,1,V142/U142)^$F169*(IF(U152&lt;=0,1,V152/U152)^$G169/(1+$H169+$I169))^(1+$F169)</f>
        <v>0</v>
      </c>
      <c r="W179" s="29" t="n">
        <f aca="false">V179*(1+W$159)^($E169*W$160)*(1+W$161)*IF(V142&lt;=0,1,W142/V142)^$F169*(IF(V152&lt;=0,1,W152/V152)^$G169/(1+$H169+$I169))^(1+$F169)</f>
        <v>0</v>
      </c>
      <c r="X179" s="29" t="n">
        <f aca="false">W179*(1+X$159)^($E169*X$160)*(1+X$161)*IF(W142&lt;=0,1,X142/W142)^$F169*(IF(W152&lt;=0,1,X152/W152)^$G169/(1+$H169+$I169))^(1+$F169)</f>
        <v>0</v>
      </c>
      <c r="Y179" s="29" t="n">
        <f aca="false">X179*(1+Y$159)^($E169*Y$160)*(1+Y$161)*IF(X142&lt;=0,1,Y142/X142)^$F169*(IF(X152&lt;=0,1,Y152/X152)^$G169/(1+$H169+$I169))^(1+$F169)</f>
        <v>0</v>
      </c>
      <c r="Z179" s="29" t="n">
        <f aca="false">Y179*(1+Z$159)^($E169*Z$160)*(1+Z$161)*IF(Y142&lt;=0,1,Z142/Y142)^$F169*(IF(Y152&lt;=0,1,Z152/Y152)^$G169/(1+$H169+$I169))^(1+$F169)</f>
        <v>0</v>
      </c>
      <c r="AA179" s="29" t="n">
        <f aca="false">Z179*(1+AA$159)^($E169*AA$160)*(1+AA$161)*IF(Z142&lt;=0,1,AA142/Z142)^$F169*(IF(Z152&lt;=0,1,AA152/Z152)^$G169/(1+$H169+$I169))^(1+$F169)</f>
        <v>0</v>
      </c>
      <c r="AB179" s="29" t="n">
        <f aca="false">AA179*(1+AB$159)^($E169*AB$160)*(1+AB$161)*IF(AA142&lt;=0,1,AB142/AA142)^$F169*(IF(AA152&lt;=0,1,AB152/AA152)^$G169/(1+$H169+$I169))^(1+$F169)</f>
        <v>0</v>
      </c>
      <c r="AC179" s="29" t="n">
        <f aca="false">AB179*(1+AC$159)^($E169*AC$160)*(1+AC$161)*IF(AB142&lt;=0,1,AC142/AB142)^$F169*(IF(AB152&lt;=0,1,AC152/AB152)^$G169/(1+$H169+$I169))^(1+$F169)</f>
        <v>0</v>
      </c>
      <c r="AD179" s="29" t="n">
        <f aca="false">AC179*(1+AD$159)^($E169*AD$160)*(1+AD$161)*IF(AC142&lt;=0,1,AD142/AC142)^$F169*(IF(AC152&lt;=0,1,AD152/AC152)^$G169/(1+$H169+$I169))^(1+$F169)</f>
        <v>0</v>
      </c>
      <c r="AE179" s="29" t="n">
        <f aca="false">AD179*(1+AE$159)^($E169*AE$160)*(1+AE$161)*IF(AD142&lt;=0,1,AE142/AD142)^$F169*(IF(AD152&lt;=0,1,AE152/AD152)^$G169/(1+$H169+$I169))^(1+$F169)</f>
        <v>0</v>
      </c>
    </row>
    <row r="180" customFormat="false" ht="15" hidden="false" customHeight="false" outlineLevel="0" collapsed="false">
      <c r="B180" s="17" t="s">
        <v>68</v>
      </c>
      <c r="C180" s="17" t="str">
        <f aca="false">$C$125</f>
        <v>nfm</v>
      </c>
      <c r="D180" s="18" t="s">
        <v>69</v>
      </c>
      <c r="E180" s="19" t="s">
        <v>112</v>
      </c>
      <c r="F180" s="17" t="s">
        <v>113</v>
      </c>
      <c r="G180" s="20" t="str">
        <f aca="false">Settings!$B$3&amp;".mit.enc."&amp;$B180</f>
        <v>egy.mit.enc.oop</v>
      </c>
      <c r="H180" s="21" t="str">
        <f aca="false">Settings!$B$3&amp;".mit.ener."&amp;$C$125&amp;"."&amp;$B180&amp;".e."&amp;$J$125</f>
        <v>egy.mit.ener.nfm.oop.e.1</v>
      </c>
      <c r="L180" s="28" t="n">
        <f aca="false">INDEX(Data_Energy!$D$3:$U$22,MATCH($B180,Data_Energy!$C$3:$C$22,0),MATCH($C180,Data_Energy!$D$2:$U$2,0))</f>
        <v>0</v>
      </c>
      <c r="M180" s="29" t="n">
        <f aca="false">L180*(1+M$159)^($E170*M$160)*(1+M$161)*IF(L143&lt;=0,1,M143/L143)^$F170*(IF(L153&lt;=0,1,M153/L153)^$G170/(1+$H170+$I170))^(1+$F170)</f>
        <v>0</v>
      </c>
      <c r="N180" s="29" t="n">
        <f aca="false">M180*(1+N$159)^($E170*N$160)*(1+N$161)*IF(M143&lt;=0,1,N143/M143)^$F170*(IF(M153&lt;=0,1,N153/M153)^$G170/(1+$H170+$I170))^(1+$F170)</f>
        <v>0</v>
      </c>
      <c r="O180" s="29" t="n">
        <f aca="false">N180*(1+O$159)^($E170*O$160)*(1+O$161)*IF(N143&lt;=0,1,O143/N143)^$F170*(IF(N153&lt;=0,1,O153/N153)^$G170/(1+$H170+$I170))^(1+$F170)</f>
        <v>0</v>
      </c>
      <c r="P180" s="29" t="n">
        <f aca="false">O180*(1+P$159)^($E170*P$160)*(1+P$161)*IF(O143&lt;=0,1,P143/O143)^$F170*(IF(O153&lt;=0,1,P153/O153)^$G170/(1+$H170+$I170))^(1+$F170)</f>
        <v>0</v>
      </c>
      <c r="Q180" s="29" t="n">
        <f aca="false">P180*(1+Q$159)^($E170*Q$160)*(1+Q$161)*IF(P143&lt;=0,1,Q143/P143)^$F170*(IF(P153&lt;=0,1,Q153/P153)^$G170/(1+$H170+$I170))^(1+$F170)</f>
        <v>0</v>
      </c>
      <c r="R180" s="29" t="n">
        <f aca="false">Q180*(1+R$159)^($E170*R$160)*(1+R$161)*IF(Q143&lt;=0,1,R143/Q143)^$F170*(IF(Q153&lt;=0,1,R153/Q153)^$G170/(1+$H170+$I170))^(1+$F170)</f>
        <v>0</v>
      </c>
      <c r="S180" s="29" t="n">
        <f aca="false">R180*(1+S$159)^($E170*S$160)*(1+S$161)*IF(R143&lt;=0,1,S143/R143)^$F170*(IF(R153&lt;=0,1,S153/R153)^$G170/(1+$H170+$I170))^(1+$F170)</f>
        <v>0</v>
      </c>
      <c r="T180" s="29" t="n">
        <f aca="false">S180*(1+T$159)^($E170*T$160)*(1+T$161)*IF(S143&lt;=0,1,T143/S143)^$F170*(IF(S153&lt;=0,1,T153/S153)^$G170/(1+$H170+$I170))^(1+$F170)</f>
        <v>0</v>
      </c>
      <c r="U180" s="29" t="n">
        <f aca="false">T180*(1+U$159)^($E170*U$160)*(1+U$161)*IF(T143&lt;=0,1,U143/T143)^$F170*(IF(T153&lt;=0,1,U153/T153)^$G170/(1+$H170+$I170))^(1+$F170)</f>
        <v>0</v>
      </c>
      <c r="V180" s="29" t="n">
        <f aca="false">U180*(1+V$159)^($E170*V$160)*(1+V$161)*IF(U143&lt;=0,1,V143/U143)^$F170*(IF(U153&lt;=0,1,V153/U153)^$G170/(1+$H170+$I170))^(1+$F170)</f>
        <v>0</v>
      </c>
      <c r="W180" s="29" t="n">
        <f aca="false">V180*(1+W$159)^($E170*W$160)*(1+W$161)*IF(V143&lt;=0,1,W143/V143)^$F170*(IF(V153&lt;=0,1,W153/V153)^$G170/(1+$H170+$I170))^(1+$F170)</f>
        <v>0</v>
      </c>
      <c r="X180" s="29" t="n">
        <f aca="false">W180*(1+X$159)^($E170*X$160)*(1+X$161)*IF(W143&lt;=0,1,X143/W143)^$F170*(IF(W153&lt;=0,1,X153/W153)^$G170/(1+$H170+$I170))^(1+$F170)</f>
        <v>0</v>
      </c>
      <c r="Y180" s="29" t="n">
        <f aca="false">X180*(1+Y$159)^($E170*Y$160)*(1+Y$161)*IF(X143&lt;=0,1,Y143/X143)^$F170*(IF(X153&lt;=0,1,Y153/X153)^$G170/(1+$H170+$I170))^(1+$F170)</f>
        <v>0</v>
      </c>
      <c r="Z180" s="29" t="n">
        <f aca="false">Y180*(1+Z$159)^($E170*Z$160)*(1+Z$161)*IF(Y143&lt;=0,1,Z143/Y143)^$F170*(IF(Y153&lt;=0,1,Z153/Y153)^$G170/(1+$H170+$I170))^(1+$F170)</f>
        <v>0</v>
      </c>
      <c r="AA180" s="29" t="n">
        <f aca="false">Z180*(1+AA$159)^($E170*AA$160)*(1+AA$161)*IF(Z143&lt;=0,1,AA143/Z143)^$F170*(IF(Z153&lt;=0,1,AA153/Z153)^$G170/(1+$H170+$I170))^(1+$F170)</f>
        <v>0</v>
      </c>
      <c r="AB180" s="29" t="n">
        <f aca="false">AA180*(1+AB$159)^($E170*AB$160)*(1+AB$161)*IF(AA143&lt;=0,1,AB143/AA143)^$F170*(IF(AA153&lt;=0,1,AB153/AA153)^$G170/(1+$H170+$I170))^(1+$F170)</f>
        <v>0</v>
      </c>
      <c r="AC180" s="29" t="n">
        <f aca="false">AB180*(1+AC$159)^($E170*AC$160)*(1+AC$161)*IF(AB143&lt;=0,1,AC143/AB143)^$F170*(IF(AB153&lt;=0,1,AC153/AB153)^$G170/(1+$H170+$I170))^(1+$F170)</f>
        <v>0</v>
      </c>
      <c r="AD180" s="29" t="n">
        <f aca="false">AC180*(1+AD$159)^($E170*AD$160)*(1+AD$161)*IF(AC143&lt;=0,1,AD143/AC143)^$F170*(IF(AC153&lt;=0,1,AD153/AC153)^$G170/(1+$H170+$I170))^(1+$F170)</f>
        <v>0</v>
      </c>
      <c r="AE180" s="29" t="n">
        <f aca="false">AD180*(1+AE$159)^($E170*AE$160)*(1+AE$161)*IF(AD143&lt;=0,1,AE143/AD143)^$F170*(IF(AD153&lt;=0,1,AE153/AD153)^$G170/(1+$H170+$I170))^(1+$F170)</f>
        <v>0</v>
      </c>
    </row>
    <row r="181" customFormat="false" ht="15" hidden="false" customHeight="false" outlineLevel="0" collapsed="false">
      <c r="B181" s="17" t="s">
        <v>71</v>
      </c>
      <c r="C181" s="17" t="str">
        <f aca="false">$C$125</f>
        <v>nfm</v>
      </c>
      <c r="D181" s="18" t="s">
        <v>72</v>
      </c>
      <c r="E181" s="19" t="s">
        <v>112</v>
      </c>
      <c r="F181" s="17" t="s">
        <v>113</v>
      </c>
      <c r="G181" s="20" t="str">
        <f aca="false">Settings!$B$3&amp;".mit.enc."&amp;$B181</f>
        <v>egy.mit.enc.bio</v>
      </c>
      <c r="H181" s="21" t="str">
        <f aca="false">Settings!$B$3&amp;".mit.ener."&amp;$C$125&amp;"."&amp;$B181&amp;".e."&amp;$J$125</f>
        <v>egy.mit.ener.nfm.bio.e.1</v>
      </c>
      <c r="L181" s="28" t="n">
        <f aca="false">INDEX(Data_Energy!$D$3:$U$22,MATCH($B181,Data_Energy!$C$3:$C$22,0),MATCH($C181,Data_Energy!$D$2:$U$2,0))</f>
        <v>0</v>
      </c>
      <c r="M181" s="29" t="n">
        <f aca="false">L181*(1+M$159)^($E171*M$160)*(1+M$161)*IF(L144&lt;=0,1,M144/L144)^$F171*(IF(L154&lt;=0,1,M154/L154)^$G171/(1+$H171+$I171))^(1+$F171)</f>
        <v>0</v>
      </c>
      <c r="N181" s="29" t="n">
        <f aca="false">M181*(1+N$159)^($E171*N$160)*(1+N$161)*IF(M144&lt;=0,1,N144/M144)^$F171*(IF(M154&lt;=0,1,N154/M154)^$G171/(1+$H171+$I171))^(1+$F171)</f>
        <v>0</v>
      </c>
      <c r="O181" s="29" t="n">
        <f aca="false">N181*(1+O$159)^($E171*O$160)*(1+O$161)*IF(N144&lt;=0,1,O144/N144)^$F171*(IF(N154&lt;=0,1,O154/N154)^$G171/(1+$H171+$I171))^(1+$F171)</f>
        <v>0</v>
      </c>
      <c r="P181" s="29" t="n">
        <f aca="false">O181*(1+P$159)^($E171*P$160)*(1+P$161)*IF(O144&lt;=0,1,P144/O144)^$F171*(IF(O154&lt;=0,1,P154/O154)^$G171/(1+$H171+$I171))^(1+$F171)</f>
        <v>0</v>
      </c>
      <c r="Q181" s="29" t="n">
        <f aca="false">P181*(1+Q$159)^($E171*Q$160)*(1+Q$161)*IF(P144&lt;=0,1,Q144/P144)^$F171*(IF(P154&lt;=0,1,Q154/P154)^$G171/(1+$H171+$I171))^(1+$F171)</f>
        <v>0</v>
      </c>
      <c r="R181" s="29" t="n">
        <f aca="false">Q181*(1+R$159)^($E171*R$160)*(1+R$161)*IF(Q144&lt;=0,1,R144/Q144)^$F171*(IF(Q154&lt;=0,1,R154/Q154)^$G171/(1+$H171+$I171))^(1+$F171)</f>
        <v>0</v>
      </c>
      <c r="S181" s="29" t="n">
        <f aca="false">R181*(1+S$159)^($E171*S$160)*(1+S$161)*IF(R144&lt;=0,1,S144/R144)^$F171*(IF(R154&lt;=0,1,S154/R154)^$G171/(1+$H171+$I171))^(1+$F171)</f>
        <v>0</v>
      </c>
      <c r="T181" s="29" t="n">
        <f aca="false">S181*(1+T$159)^($E171*T$160)*(1+T$161)*IF(S144&lt;=0,1,T144/S144)^$F171*(IF(S154&lt;=0,1,T154/S154)^$G171/(1+$H171+$I171))^(1+$F171)</f>
        <v>0</v>
      </c>
      <c r="U181" s="29" t="n">
        <f aca="false">T181*(1+U$159)^($E171*U$160)*(1+U$161)*IF(T144&lt;=0,1,U144/T144)^$F171*(IF(T154&lt;=0,1,U154/T154)^$G171/(1+$H171+$I171))^(1+$F171)</f>
        <v>0</v>
      </c>
      <c r="V181" s="29" t="n">
        <f aca="false">U181*(1+V$159)^($E171*V$160)*(1+V$161)*IF(U144&lt;=0,1,V144/U144)^$F171*(IF(U154&lt;=0,1,V154/U154)^$G171/(1+$H171+$I171))^(1+$F171)</f>
        <v>0</v>
      </c>
      <c r="W181" s="29" t="n">
        <f aca="false">V181*(1+W$159)^($E171*W$160)*(1+W$161)*IF(V144&lt;=0,1,W144/V144)^$F171*(IF(V154&lt;=0,1,W154/V154)^$G171/(1+$H171+$I171))^(1+$F171)</f>
        <v>0</v>
      </c>
      <c r="X181" s="29" t="n">
        <f aca="false">W181*(1+X$159)^($E171*X$160)*(1+X$161)*IF(W144&lt;=0,1,X144/W144)^$F171*(IF(W154&lt;=0,1,X154/W154)^$G171/(1+$H171+$I171))^(1+$F171)</f>
        <v>0</v>
      </c>
      <c r="Y181" s="29" t="n">
        <f aca="false">X181*(1+Y$159)^($E171*Y$160)*(1+Y$161)*IF(X144&lt;=0,1,Y144/X144)^$F171*(IF(X154&lt;=0,1,Y154/X154)^$G171/(1+$H171+$I171))^(1+$F171)</f>
        <v>0</v>
      </c>
      <c r="Z181" s="29" t="n">
        <f aca="false">Y181*(1+Z$159)^($E171*Z$160)*(1+Z$161)*IF(Y144&lt;=0,1,Z144/Y144)^$F171*(IF(Y154&lt;=0,1,Z154/Y154)^$G171/(1+$H171+$I171))^(1+$F171)</f>
        <v>0</v>
      </c>
      <c r="AA181" s="29" t="n">
        <f aca="false">Z181*(1+AA$159)^($E171*AA$160)*(1+AA$161)*IF(Z144&lt;=0,1,AA144/Z144)^$F171*(IF(Z154&lt;=0,1,AA154/Z154)^$G171/(1+$H171+$I171))^(1+$F171)</f>
        <v>0</v>
      </c>
      <c r="AB181" s="29" t="n">
        <f aca="false">AA181*(1+AB$159)^($E171*AB$160)*(1+AB$161)*IF(AA144&lt;=0,1,AB144/AA144)^$F171*(IF(AA154&lt;=0,1,AB154/AA154)^$G171/(1+$H171+$I171))^(1+$F171)</f>
        <v>0</v>
      </c>
      <c r="AC181" s="29" t="n">
        <f aca="false">AB181*(1+AC$159)^($E171*AC$160)*(1+AC$161)*IF(AB144&lt;=0,1,AC144/AB144)^$F171*(IF(AB154&lt;=0,1,AC154/AB154)^$G171/(1+$H171+$I171))^(1+$F171)</f>
        <v>0</v>
      </c>
      <c r="AD181" s="29" t="n">
        <f aca="false">AC181*(1+AD$159)^($E171*AD$160)*(1+AD$161)*IF(AC144&lt;=0,1,AD144/AC144)^$F171*(IF(AC154&lt;=0,1,AD154/AC154)^$G171/(1+$H171+$I171))^(1+$F171)</f>
        <v>0</v>
      </c>
      <c r="AE181" s="29" t="n">
        <f aca="false">AD181*(1+AE$159)^($E171*AE$160)*(1+AE$161)*IF(AD144&lt;=0,1,AE144/AD144)^$F171*(IF(AD154&lt;=0,1,AE154/AD154)^$G171/(1+$H171+$I171))^(1+$F171)</f>
        <v>0</v>
      </c>
    </row>
    <row r="182" customFormat="false" ht="15" hidden="false" customHeight="false" outlineLevel="0" collapsed="false">
      <c r="B182" s="17" t="s">
        <v>73</v>
      </c>
      <c r="C182" s="17" t="str">
        <f aca="false">$C$125</f>
        <v>nfm</v>
      </c>
      <c r="D182" s="18" t="s">
        <v>74</v>
      </c>
      <c r="E182" s="19" t="s">
        <v>112</v>
      </c>
      <c r="F182" s="17" t="s">
        <v>113</v>
      </c>
      <c r="G182" s="20" t="str">
        <f aca="false">Settings!$B$3&amp;".mit.enc."&amp;$B182</f>
        <v>egy.mit.enc.ren</v>
      </c>
      <c r="H182" s="21" t="str">
        <f aca="false">Settings!$B$3&amp;".mit.ener."&amp;$C$125&amp;"."&amp;$B182&amp;".e."&amp;$J$125</f>
        <v>egy.mit.ener.nfm.ren.e.1</v>
      </c>
      <c r="L182" s="28" t="n">
        <f aca="false">INDEX(Data_Energy!$D$3:$U$22,MATCH($B182,Data_Energy!$C$3:$C$22,0),MATCH($C182,Data_Energy!$D$2:$U$2,0))</f>
        <v>0</v>
      </c>
      <c r="M182" s="29" t="n">
        <f aca="false">L182*(1+M$159)^($E172*M$160)*(1+M$161)*IF(L145&lt;=0,1,M145/L145)^$F172*(IF(L155&lt;=0,1,M155/L155)^$G172/(1+$H172+$I172))^(1+$F172)</f>
        <v>0</v>
      </c>
      <c r="N182" s="29" t="n">
        <f aca="false">M182*(1+N$159)^($E172*N$160)*(1+N$161)*IF(M145&lt;=0,1,N145/M145)^$F172*(IF(M155&lt;=0,1,N155/M155)^$G172/(1+$H172+$I172))^(1+$F172)</f>
        <v>0</v>
      </c>
      <c r="O182" s="29" t="n">
        <f aca="false">N182*(1+O$159)^($E172*O$160)*(1+O$161)*IF(N145&lt;=0,1,O145/N145)^$F172*(IF(N155&lt;=0,1,O155/N155)^$G172/(1+$H172+$I172))^(1+$F172)</f>
        <v>0</v>
      </c>
      <c r="P182" s="29" t="n">
        <f aca="false">O182*(1+P$159)^($E172*P$160)*(1+P$161)*IF(O145&lt;=0,1,P145/O145)^$F172*(IF(O155&lt;=0,1,P155/O155)^$G172/(1+$H172+$I172))^(1+$F172)</f>
        <v>0</v>
      </c>
      <c r="Q182" s="29" t="n">
        <f aca="false">P182*(1+Q$159)^($E172*Q$160)*(1+Q$161)*IF(P145&lt;=0,1,Q145/P145)^$F172*(IF(P155&lt;=0,1,Q155/P155)^$G172/(1+$H172+$I172))^(1+$F172)</f>
        <v>0</v>
      </c>
      <c r="R182" s="29" t="n">
        <f aca="false">Q182*(1+R$159)^($E172*R$160)*(1+R$161)*IF(Q145&lt;=0,1,R145/Q145)^$F172*(IF(Q155&lt;=0,1,R155/Q155)^$G172/(1+$H172+$I172))^(1+$F172)</f>
        <v>0</v>
      </c>
      <c r="S182" s="29" t="n">
        <f aca="false">R182*(1+S$159)^($E172*S$160)*(1+S$161)*IF(R145&lt;=0,1,S145/R145)^$F172*(IF(R155&lt;=0,1,S155/R155)^$G172/(1+$H172+$I172))^(1+$F172)</f>
        <v>0</v>
      </c>
      <c r="T182" s="29" t="n">
        <f aca="false">S182*(1+T$159)^($E172*T$160)*(1+T$161)*IF(S145&lt;=0,1,T145/S145)^$F172*(IF(S155&lt;=0,1,T155/S155)^$G172/(1+$H172+$I172))^(1+$F172)</f>
        <v>0</v>
      </c>
      <c r="U182" s="29" t="n">
        <f aca="false">T182*(1+U$159)^($E172*U$160)*(1+U$161)*IF(T145&lt;=0,1,U145/T145)^$F172*(IF(T155&lt;=0,1,U155/T155)^$G172/(1+$H172+$I172))^(1+$F172)</f>
        <v>0</v>
      </c>
      <c r="V182" s="29" t="n">
        <f aca="false">U182*(1+V$159)^($E172*V$160)*(1+V$161)*IF(U145&lt;=0,1,V145/U145)^$F172*(IF(U155&lt;=0,1,V155/U155)^$G172/(1+$H172+$I172))^(1+$F172)</f>
        <v>0</v>
      </c>
      <c r="W182" s="29" t="n">
        <f aca="false">V182*(1+W$159)^($E172*W$160)*(1+W$161)*IF(V145&lt;=0,1,W145/V145)^$F172*(IF(V155&lt;=0,1,W155/V155)^$G172/(1+$H172+$I172))^(1+$F172)</f>
        <v>0</v>
      </c>
      <c r="X182" s="29" t="n">
        <f aca="false">W182*(1+X$159)^($E172*X$160)*(1+X$161)*IF(W145&lt;=0,1,X145/W145)^$F172*(IF(W155&lt;=0,1,X155/W155)^$G172/(1+$H172+$I172))^(1+$F172)</f>
        <v>0</v>
      </c>
      <c r="Y182" s="29" t="n">
        <f aca="false">X182*(1+Y$159)^($E172*Y$160)*(1+Y$161)*IF(X145&lt;=0,1,Y145/X145)^$F172*(IF(X155&lt;=0,1,Y155/X155)^$G172/(1+$H172+$I172))^(1+$F172)</f>
        <v>0</v>
      </c>
      <c r="Z182" s="29" t="n">
        <f aca="false">Y182*(1+Z$159)^($E172*Z$160)*(1+Z$161)*IF(Y145&lt;=0,1,Z145/Y145)^$F172*(IF(Y155&lt;=0,1,Z155/Y155)^$G172/(1+$H172+$I172))^(1+$F172)</f>
        <v>0</v>
      </c>
      <c r="AA182" s="29" t="n">
        <f aca="false">Z182*(1+AA$159)^($E172*AA$160)*(1+AA$161)*IF(Z145&lt;=0,1,AA145/Z145)^$F172*(IF(Z155&lt;=0,1,AA155/Z155)^$G172/(1+$H172+$I172))^(1+$F172)</f>
        <v>0</v>
      </c>
      <c r="AB182" s="29" t="n">
        <f aca="false">AA182*(1+AB$159)^($E172*AB$160)*(1+AB$161)*IF(AA145&lt;=0,1,AB145/AA145)^$F172*(IF(AA155&lt;=0,1,AB155/AA155)^$G172/(1+$H172+$I172))^(1+$F172)</f>
        <v>0</v>
      </c>
      <c r="AC182" s="29" t="n">
        <f aca="false">AB182*(1+AC$159)^($E172*AC$160)*(1+AC$161)*IF(AB145&lt;=0,1,AC145/AB145)^$F172*(IF(AB155&lt;=0,1,AC155/AB155)^$G172/(1+$H172+$I172))^(1+$F172)</f>
        <v>0</v>
      </c>
      <c r="AD182" s="29" t="n">
        <f aca="false">AC182*(1+AD$159)^($E172*AD$160)*(1+AD$161)*IF(AC145&lt;=0,1,AD145/AC145)^$F172*(IF(AC155&lt;=0,1,AD155/AC155)^$G172/(1+$H172+$I172))^(1+$F172)</f>
        <v>0</v>
      </c>
      <c r="AE182" s="29" t="n">
        <f aca="false">AD182*(1+AE$159)^($E172*AE$160)*(1+AE$161)*IF(AD145&lt;=0,1,AE145/AD145)^$F172*(IF(AD155&lt;=0,1,AE155/AD155)^$G172/(1+$H172+$I172))^(1+$F172)</f>
        <v>0</v>
      </c>
    </row>
    <row r="183" customFormat="false" ht="15" hidden="false" customHeight="false" outlineLevel="0" collapsed="false">
      <c r="B183" s="17" t="s">
        <v>114</v>
      </c>
      <c r="C183" s="17" t="str">
        <f aca="false">$C$125</f>
        <v>nfm</v>
      </c>
      <c r="D183" s="30" t="s">
        <v>115</v>
      </c>
      <c r="E183" s="19" t="s">
        <v>112</v>
      </c>
      <c r="F183" s="17" t="s">
        <v>113</v>
      </c>
      <c r="H183" s="21" t="str">
        <f aca="false">Settings!$B$3&amp;".mit.ener."&amp;$C$125&amp;".tot.e."&amp;$J$125</f>
        <v>egy.mit.ener.nfm.tot.e.1</v>
      </c>
      <c r="L183" s="31" t="n">
        <f aca="false">SUM(L174:L182)</f>
        <v>0</v>
      </c>
      <c r="M183" s="31" t="n">
        <f aca="false">SUM(M174:M182)</f>
        <v>0</v>
      </c>
      <c r="N183" s="31" t="n">
        <f aca="false">SUM(N174:N182)</f>
        <v>0</v>
      </c>
      <c r="O183" s="31" t="n">
        <f aca="false">SUM(O174:O182)</f>
        <v>0</v>
      </c>
      <c r="P183" s="31" t="n">
        <f aca="false">SUM(P174:P182)</f>
        <v>0</v>
      </c>
      <c r="Q183" s="31" t="n">
        <f aca="false">SUM(Q174:Q182)</f>
        <v>0</v>
      </c>
      <c r="R183" s="31" t="n">
        <f aca="false">SUM(R174:R182)</f>
        <v>0</v>
      </c>
      <c r="S183" s="31" t="n">
        <f aca="false">SUM(S174:S182)</f>
        <v>0</v>
      </c>
      <c r="T183" s="31" t="n">
        <f aca="false">SUM(T174:T182)</f>
        <v>0</v>
      </c>
      <c r="U183" s="31" t="n">
        <f aca="false">SUM(U174:U182)</f>
        <v>0</v>
      </c>
      <c r="V183" s="31" t="n">
        <f aca="false">SUM(V174:V182)</f>
        <v>0</v>
      </c>
      <c r="W183" s="31" t="n">
        <f aca="false">SUM(W174:W182)</f>
        <v>0</v>
      </c>
      <c r="X183" s="31" t="n">
        <f aca="false">SUM(X174:X182)</f>
        <v>0</v>
      </c>
      <c r="Y183" s="31" t="n">
        <f aca="false">SUM(Y174:Y182)</f>
        <v>0</v>
      </c>
      <c r="Z183" s="31" t="n">
        <f aca="false">SUM(Z174:Z182)</f>
        <v>0</v>
      </c>
      <c r="AA183" s="31" t="n">
        <f aca="false">SUM(AA174:AA182)</f>
        <v>0</v>
      </c>
      <c r="AB183" s="31" t="n">
        <f aca="false">SUM(AB174:AB182)</f>
        <v>0</v>
      </c>
      <c r="AC183" s="31" t="n">
        <f aca="false">SUM(AC174:AC182)</f>
        <v>0</v>
      </c>
      <c r="AD183" s="31" t="n">
        <f aca="false">SUM(AD174:AD182)</f>
        <v>0</v>
      </c>
      <c r="AE183" s="31" t="n">
        <f aca="false">SUM(AE174:AE182)</f>
        <v>0</v>
      </c>
    </row>
    <row r="185" customFormat="false" ht="15" hidden="false" customHeight="false" outlineLevel="0" collapsed="false">
      <c r="A185" s="12"/>
      <c r="B185" s="7" t="s">
        <v>120</v>
      </c>
      <c r="C185" s="8" t="s">
        <v>121</v>
      </c>
      <c r="D185" s="7" t="s">
        <v>48</v>
      </c>
      <c r="E185" s="8" t="s">
        <v>39</v>
      </c>
      <c r="F185" s="8" t="s">
        <v>49</v>
      </c>
      <c r="G185" s="8" t="s">
        <v>50</v>
      </c>
      <c r="H185" s="13" t="s">
        <v>42</v>
      </c>
      <c r="I185" s="7" t="s">
        <v>51</v>
      </c>
      <c r="J185" s="14" t="n">
        <v>1</v>
      </c>
      <c r="K185" s="7" t="n">
        <v>2021</v>
      </c>
      <c r="L185" s="15" t="n">
        <v>2022</v>
      </c>
      <c r="M185" s="7" t="n">
        <v>2023</v>
      </c>
      <c r="N185" s="7" t="n">
        <v>2024</v>
      </c>
      <c r="O185" s="7" t="n">
        <v>2025</v>
      </c>
      <c r="P185" s="7" t="n">
        <v>2026</v>
      </c>
      <c r="Q185" s="7" t="n">
        <v>2027</v>
      </c>
      <c r="R185" s="7" t="n">
        <v>2028</v>
      </c>
      <c r="S185" s="7" t="n">
        <v>2029</v>
      </c>
      <c r="T185" s="7" t="n">
        <v>2030</v>
      </c>
      <c r="U185" s="7" t="n">
        <v>2031</v>
      </c>
      <c r="V185" s="7" t="n">
        <v>2032</v>
      </c>
      <c r="W185" s="7" t="n">
        <v>2033</v>
      </c>
      <c r="X185" s="7" t="n">
        <v>2034</v>
      </c>
      <c r="Y185" s="7" t="n">
        <v>2035</v>
      </c>
      <c r="Z185" s="7" t="n">
        <v>2036</v>
      </c>
      <c r="AA185" s="7" t="n">
        <v>2037</v>
      </c>
      <c r="AB185" s="7" t="n">
        <v>2038</v>
      </c>
      <c r="AC185" s="7" t="n">
        <v>2039</v>
      </c>
      <c r="AD185" s="7" t="n">
        <v>2040</v>
      </c>
      <c r="AE185" s="7" t="n">
        <v>2041</v>
      </c>
      <c r="AF185" s="7" t="n">
        <v>2042</v>
      </c>
      <c r="AG185" s="7" t="n">
        <v>2043</v>
      </c>
      <c r="AH185" s="7" t="n">
        <v>2044</v>
      </c>
      <c r="AI185" s="7" t="n">
        <v>2045</v>
      </c>
    </row>
    <row r="186" customFormat="false" ht="15" hidden="false" customHeight="false" outlineLevel="0" collapsed="false">
      <c r="B186" s="16" t="s">
        <v>52</v>
      </c>
    </row>
    <row r="187" customFormat="false" ht="15" hidden="false" customHeight="false" outlineLevel="0" collapsed="false">
      <c r="B187" s="17" t="s">
        <v>53</v>
      </c>
      <c r="C187" s="17" t="str">
        <f aca="false">$C$185</f>
        <v>mch</v>
      </c>
      <c r="D187" s="18" t="s">
        <v>54</v>
      </c>
      <c r="E187" s="19" t="s">
        <v>55</v>
      </c>
      <c r="F187" s="17" t="s">
        <v>56</v>
      </c>
      <c r="G187" s="20" t="str">
        <f aca="false">Settings!$B$3&amp;".mit.pbc."&amp;Settings!$B$4&amp;"."&amp;$B187&amp;".a."&amp;$J$185</f>
        <v>egy.mit.pbc.ind.coa.a.1</v>
      </c>
      <c r="H187" s="21" t="str">
        <f aca="false">Settings!$B$3&amp;".mit.ptp."&amp;$C$185&amp;"."&amp;$B187&amp;".e."&amp;$J$185</f>
        <v>egy.mit.ptp.mch.coa.e.1</v>
      </c>
      <c r="K187" s="22" t="n">
        <f aca="false">INDEX(Data_Prices!K:K,MATCH($G187,Data_Prices!$A:$A,0))</f>
        <v>11.1829015892439</v>
      </c>
      <c r="L187" s="22" t="n">
        <f aca="false">INDEX(Data_Prices!L:L,MATCH($G187,Data_Prices!$A:$A,0))</f>
        <v>10.5233613454312</v>
      </c>
      <c r="M187" s="22" t="n">
        <f aca="false">INDEX(Data_Prices!M:M,MATCH($G187,Data_Prices!$A:$A,0))</f>
        <v>10.2995608274442</v>
      </c>
      <c r="N187" s="22" t="n">
        <f aca="false">INDEX(Data_Prices!N:N,MATCH($G187,Data_Prices!$A:$A,0))</f>
        <v>9.57752835953826</v>
      </c>
      <c r="O187" s="22" t="n">
        <f aca="false">INDEX(Data_Prices!O:O,MATCH($G187,Data_Prices!$A:$A,0))</f>
        <v>8.48547828695805</v>
      </c>
      <c r="P187" s="22" t="n">
        <f aca="false">INDEX(Data_Prices!P:P,MATCH($G187,Data_Prices!$A:$A,0))</f>
        <v>9.08719223524986</v>
      </c>
      <c r="Q187" s="22" t="n">
        <f aca="false">INDEX(Data_Prices!Q:Q,MATCH($G187,Data_Prices!$A:$A,0))</f>
        <v>9.22292372893268</v>
      </c>
      <c r="R187" s="22" t="n">
        <f aca="false">INDEX(Data_Prices!R:R,MATCH($G187,Data_Prices!$A:$A,0))</f>
        <v>9.15856495550969</v>
      </c>
      <c r="S187" s="22" t="n">
        <f aca="false">INDEX(Data_Prices!S:S,MATCH($G187,Data_Prices!$A:$A,0))</f>
        <v>9.08954787739738</v>
      </c>
      <c r="T187" s="22" t="n">
        <f aca="false">INDEX(Data_Prices!T:T,MATCH($G187,Data_Prices!$A:$A,0))</f>
        <v>9.01568166602283</v>
      </c>
      <c r="U187" s="22" t="n">
        <f aca="false">INDEX(Data_Prices!U:U,MATCH($G187,Data_Prices!$A:$A,0))</f>
        <v>8.94439776555711</v>
      </c>
      <c r="V187" s="22" t="n">
        <f aca="false">INDEX(Data_Prices!V:V,MATCH($G187,Data_Prices!$A:$A,0))</f>
        <v>8.94439776555711</v>
      </c>
      <c r="W187" s="22" t="n">
        <f aca="false">INDEX(Data_Prices!W:W,MATCH($G187,Data_Prices!$A:$A,0))</f>
        <v>8.94439776555711</v>
      </c>
      <c r="X187" s="22" t="n">
        <f aca="false">INDEX(Data_Prices!X:X,MATCH($G187,Data_Prices!$A:$A,0))</f>
        <v>8.94439776555711</v>
      </c>
      <c r="Y187" s="22" t="n">
        <f aca="false">INDEX(Data_Prices!Y:Y,MATCH($G187,Data_Prices!$A:$A,0))</f>
        <v>8.94439776555711</v>
      </c>
      <c r="Z187" s="22" t="n">
        <f aca="false">INDEX(Data_Prices!Z:Z,MATCH($G187,Data_Prices!$A:$A,0))</f>
        <v>8.94439776555711</v>
      </c>
      <c r="AA187" s="22" t="n">
        <f aca="false">INDEX(Data_Prices!AA:AA,MATCH($G187,Data_Prices!$A:$A,0))</f>
        <v>8.94439776555711</v>
      </c>
      <c r="AB187" s="22" t="n">
        <f aca="false">INDEX(Data_Prices!AB:AB,MATCH($G187,Data_Prices!$A:$A,0))</f>
        <v>8.94439776555711</v>
      </c>
      <c r="AC187" s="22" t="n">
        <f aca="false">INDEX(Data_Prices!AC:AC,MATCH($G187,Data_Prices!$A:$A,0))</f>
        <v>8.94439776555711</v>
      </c>
      <c r="AD187" s="22" t="n">
        <f aca="false">INDEX(Data_Prices!AD:AD,MATCH($G187,Data_Prices!$A:$A,0))</f>
        <v>8.94439776555711</v>
      </c>
      <c r="AE187" s="22" t="n">
        <f aca="false">INDEX(Data_Prices!AE:AE,MATCH($G187,Data_Prices!$A:$A,0))</f>
        <v>8.94439776555711</v>
      </c>
    </row>
    <row r="188" customFormat="false" ht="15" hidden="false" customHeight="false" outlineLevel="0" collapsed="false">
      <c r="B188" s="17" t="s">
        <v>57</v>
      </c>
      <c r="C188" s="17" t="str">
        <f aca="false">$C$185</f>
        <v>mch</v>
      </c>
      <c r="D188" s="18" t="s">
        <v>58</v>
      </c>
      <c r="E188" s="19" t="s">
        <v>55</v>
      </c>
      <c r="F188" s="17" t="s">
        <v>56</v>
      </c>
      <c r="G188" s="20" t="str">
        <f aca="false">Settings!$B$3&amp;".mit.pbc."&amp;Settings!$B$4&amp;"."&amp;$B188&amp;".a."&amp;$J$185</f>
        <v>egy.mit.pbc.ind.nga.a.1</v>
      </c>
      <c r="H188" s="21" t="str">
        <f aca="false">Settings!$B$3&amp;".mit.ptp."&amp;$C$185&amp;"."&amp;$B188&amp;".e."&amp;$J$185</f>
        <v>egy.mit.ptp.mch.nga.e.1</v>
      </c>
      <c r="K188" s="22" t="n">
        <f aca="false">INDEX(Data_Prices!K:K,MATCH($G188,Data_Prices!$A:$A,0))</f>
        <v>6.06346361567291</v>
      </c>
      <c r="L188" s="22" t="n">
        <f aca="false">INDEX(Data_Prices!L:L,MATCH($G188,Data_Prices!$A:$A,0))</f>
        <v>5.45101508161919</v>
      </c>
      <c r="M188" s="22" t="n">
        <f aca="false">INDEX(Data_Prices!M:M,MATCH($G188,Data_Prices!$A:$A,0))</f>
        <v>5.11935630626248</v>
      </c>
      <c r="N188" s="22" t="n">
        <f aca="false">INDEX(Data_Prices!N:N,MATCH($G188,Data_Prices!$A:$A,0))</f>
        <v>5.08218458640407</v>
      </c>
      <c r="O188" s="22" t="n">
        <f aca="false">INDEX(Data_Prices!O:O,MATCH($G188,Data_Prices!$A:$A,0))</f>
        <v>5.08218458640407</v>
      </c>
      <c r="P188" s="22" t="n">
        <f aca="false">INDEX(Data_Prices!P:P,MATCH($G188,Data_Prices!$A:$A,0))</f>
        <v>5.08218458640407</v>
      </c>
      <c r="Q188" s="22" t="n">
        <f aca="false">INDEX(Data_Prices!Q:Q,MATCH($G188,Data_Prices!$A:$A,0))</f>
        <v>5.08218458640407</v>
      </c>
      <c r="R188" s="22" t="n">
        <f aca="false">INDEX(Data_Prices!R:R,MATCH($G188,Data_Prices!$A:$A,0))</f>
        <v>5.08218458640407</v>
      </c>
      <c r="S188" s="22" t="n">
        <f aca="false">INDEX(Data_Prices!S:S,MATCH($G188,Data_Prices!$A:$A,0))</f>
        <v>5.08218458640407</v>
      </c>
      <c r="T188" s="22" t="n">
        <f aca="false">INDEX(Data_Prices!T:T,MATCH($G188,Data_Prices!$A:$A,0))</f>
        <v>5.08218458640407</v>
      </c>
      <c r="U188" s="22" t="n">
        <f aca="false">INDEX(Data_Prices!U:U,MATCH($G188,Data_Prices!$A:$A,0))</f>
        <v>5.08218458640407</v>
      </c>
      <c r="V188" s="22" t="n">
        <f aca="false">INDEX(Data_Prices!V:V,MATCH($G188,Data_Prices!$A:$A,0))</f>
        <v>5.08218458640407</v>
      </c>
      <c r="W188" s="22" t="n">
        <f aca="false">INDEX(Data_Prices!W:W,MATCH($G188,Data_Prices!$A:$A,0))</f>
        <v>5.08218458640407</v>
      </c>
      <c r="X188" s="22" t="n">
        <f aca="false">INDEX(Data_Prices!X:X,MATCH($G188,Data_Prices!$A:$A,0))</f>
        <v>5.08218458640407</v>
      </c>
      <c r="Y188" s="22" t="n">
        <f aca="false">INDEX(Data_Prices!Y:Y,MATCH($G188,Data_Prices!$A:$A,0))</f>
        <v>5.08218458640407</v>
      </c>
      <c r="Z188" s="22" t="n">
        <f aca="false">INDEX(Data_Prices!Z:Z,MATCH($G188,Data_Prices!$A:$A,0))</f>
        <v>5.08218458640407</v>
      </c>
      <c r="AA188" s="22" t="n">
        <f aca="false">INDEX(Data_Prices!AA:AA,MATCH($G188,Data_Prices!$A:$A,0))</f>
        <v>5.08218458640407</v>
      </c>
      <c r="AB188" s="22" t="n">
        <f aca="false">INDEX(Data_Prices!AB:AB,MATCH($G188,Data_Prices!$A:$A,0))</f>
        <v>5.08218458640407</v>
      </c>
      <c r="AC188" s="22" t="n">
        <f aca="false">INDEX(Data_Prices!AC:AC,MATCH($G188,Data_Prices!$A:$A,0))</f>
        <v>5.08218458640407</v>
      </c>
      <c r="AD188" s="22" t="n">
        <f aca="false">INDEX(Data_Prices!AD:AD,MATCH($G188,Data_Prices!$A:$A,0))</f>
        <v>5.08218458640407</v>
      </c>
      <c r="AE188" s="22" t="n">
        <f aca="false">INDEX(Data_Prices!AE:AE,MATCH($G188,Data_Prices!$A:$A,0))</f>
        <v>5.08218458640407</v>
      </c>
    </row>
    <row r="189" customFormat="false" ht="15" hidden="false" customHeight="false" outlineLevel="0" collapsed="false">
      <c r="B189" s="17" t="s">
        <v>59</v>
      </c>
      <c r="C189" s="17" t="str">
        <f aca="false">$C$185</f>
        <v>mch</v>
      </c>
      <c r="D189" s="18" t="s">
        <v>60</v>
      </c>
      <c r="E189" s="19" t="s">
        <v>61</v>
      </c>
      <c r="F189" s="17" t="s">
        <v>56</v>
      </c>
      <c r="G189" s="20" t="str">
        <f aca="false">Settings!$B$3&amp;".mit.pbc."&amp;Settings!$B$4&amp;"."&amp;$B189&amp;".a."&amp;$J$185</f>
        <v>egy.mit.pbc.ind.gso.a.1</v>
      </c>
      <c r="H189" s="21" t="str">
        <f aca="false">Settings!$B$3&amp;".mit.ptp."&amp;$C$185&amp;"."&amp;$B189&amp;".e."&amp;$J$185</f>
        <v>egy.mit.ptp.mch.gso.e.1</v>
      </c>
      <c r="K189" s="22" t="n">
        <f aca="false">INDEX(Data_Prices!K:K,MATCH($G189,Data_Prices!$A:$A,0))</f>
        <v>0.671146533321816</v>
      </c>
      <c r="L189" s="22" t="n">
        <f aca="false">INDEX(Data_Prices!L:L,MATCH($G189,Data_Prices!$A:$A,0))</f>
        <v>0.611977976791406</v>
      </c>
      <c r="M189" s="22" t="n">
        <f aca="false">INDEX(Data_Prices!M:M,MATCH($G189,Data_Prices!$A:$A,0))</f>
        <v>0.611809749641876</v>
      </c>
      <c r="N189" s="22" t="n">
        <f aca="false">INDEX(Data_Prices!N:N,MATCH($G189,Data_Prices!$A:$A,0))</f>
        <v>0.603583100177906</v>
      </c>
      <c r="O189" s="22" t="n">
        <f aca="false">INDEX(Data_Prices!O:O,MATCH($G189,Data_Prices!$A:$A,0))</f>
        <v>0.603583100177906</v>
      </c>
      <c r="P189" s="22" t="n">
        <f aca="false">INDEX(Data_Prices!P:P,MATCH($G189,Data_Prices!$A:$A,0))</f>
        <v>0.603583100177906</v>
      </c>
      <c r="Q189" s="22" t="n">
        <f aca="false">INDEX(Data_Prices!Q:Q,MATCH($G189,Data_Prices!$A:$A,0))</f>
        <v>0.603583100177906</v>
      </c>
      <c r="R189" s="22" t="n">
        <f aca="false">INDEX(Data_Prices!R:R,MATCH($G189,Data_Prices!$A:$A,0))</f>
        <v>0.603583100177906</v>
      </c>
      <c r="S189" s="22" t="n">
        <f aca="false">INDEX(Data_Prices!S:S,MATCH($G189,Data_Prices!$A:$A,0))</f>
        <v>0.603583100177906</v>
      </c>
      <c r="T189" s="22" t="n">
        <f aca="false">INDEX(Data_Prices!T:T,MATCH($G189,Data_Prices!$A:$A,0))</f>
        <v>0.603583100177906</v>
      </c>
      <c r="U189" s="22" t="n">
        <f aca="false">INDEX(Data_Prices!U:U,MATCH($G189,Data_Prices!$A:$A,0))</f>
        <v>0.603583100177906</v>
      </c>
      <c r="V189" s="22" t="n">
        <f aca="false">INDEX(Data_Prices!V:V,MATCH($G189,Data_Prices!$A:$A,0))</f>
        <v>0.603583100177906</v>
      </c>
      <c r="W189" s="22" t="n">
        <f aca="false">INDEX(Data_Prices!W:W,MATCH($G189,Data_Prices!$A:$A,0))</f>
        <v>0.603583100177906</v>
      </c>
      <c r="X189" s="22" t="n">
        <f aca="false">INDEX(Data_Prices!X:X,MATCH($G189,Data_Prices!$A:$A,0))</f>
        <v>0.603583100177906</v>
      </c>
      <c r="Y189" s="22" t="n">
        <f aca="false">INDEX(Data_Prices!Y:Y,MATCH($G189,Data_Prices!$A:$A,0))</f>
        <v>0.603583100177906</v>
      </c>
      <c r="Z189" s="22" t="n">
        <f aca="false">INDEX(Data_Prices!Z:Z,MATCH($G189,Data_Prices!$A:$A,0))</f>
        <v>0.603583100177906</v>
      </c>
      <c r="AA189" s="22" t="n">
        <f aca="false">INDEX(Data_Prices!AA:AA,MATCH($G189,Data_Prices!$A:$A,0))</f>
        <v>0.603583100177906</v>
      </c>
      <c r="AB189" s="22" t="n">
        <f aca="false">INDEX(Data_Prices!AB:AB,MATCH($G189,Data_Prices!$A:$A,0))</f>
        <v>0.603583100177906</v>
      </c>
      <c r="AC189" s="22" t="n">
        <f aca="false">INDEX(Data_Prices!AC:AC,MATCH($G189,Data_Prices!$A:$A,0))</f>
        <v>0.603583100177906</v>
      </c>
      <c r="AD189" s="22" t="n">
        <f aca="false">INDEX(Data_Prices!AD:AD,MATCH($G189,Data_Prices!$A:$A,0))</f>
        <v>0.603583100177906</v>
      </c>
      <c r="AE189" s="22" t="n">
        <f aca="false">INDEX(Data_Prices!AE:AE,MATCH($G189,Data_Prices!$A:$A,0))</f>
        <v>0.603583100177906</v>
      </c>
    </row>
    <row r="190" customFormat="false" ht="15" hidden="false" customHeight="false" outlineLevel="0" collapsed="false">
      <c r="B190" s="17" t="s">
        <v>62</v>
      </c>
      <c r="C190" s="17" t="str">
        <f aca="false">$C$185</f>
        <v>mch</v>
      </c>
      <c r="D190" s="18" t="s">
        <v>63</v>
      </c>
      <c r="E190" s="19" t="s">
        <v>61</v>
      </c>
      <c r="F190" s="17" t="s">
        <v>56</v>
      </c>
      <c r="G190" s="20" t="str">
        <f aca="false">Settings!$B$3&amp;".mit.pbc."&amp;Settings!$B$4&amp;"."&amp;$B190&amp;".a."&amp;$J$185</f>
        <v>egy.mit.pbc.ind.die.a.1</v>
      </c>
      <c r="H190" s="21" t="str">
        <f aca="false">Settings!$B$3&amp;".mit.ptp."&amp;$C$185&amp;"."&amp;$B190&amp;".e."&amp;$J$185</f>
        <v>egy.mit.ptp.mch.die.e.1</v>
      </c>
      <c r="K190" s="22" t="n">
        <f aca="false">INDEX(Data_Prices!K:K,MATCH($G190,Data_Prices!$A:$A,0))</f>
        <v>0.559711213155688</v>
      </c>
      <c r="L190" s="22" t="n">
        <f aca="false">INDEX(Data_Prices!L:L,MATCH($G190,Data_Prices!$A:$A,0))</f>
        <v>0.494588730841068</v>
      </c>
      <c r="M190" s="22" t="n">
        <f aca="false">INDEX(Data_Prices!M:M,MATCH($G190,Data_Prices!$A:$A,0))</f>
        <v>0.507786547202501</v>
      </c>
      <c r="N190" s="22" t="n">
        <f aca="false">INDEX(Data_Prices!N:N,MATCH($G190,Data_Prices!$A:$A,0))</f>
        <v>0.470436426795617</v>
      </c>
      <c r="O190" s="22" t="n">
        <f aca="false">INDEX(Data_Prices!O:O,MATCH($G190,Data_Prices!$A:$A,0))</f>
        <v>0.470436426795617</v>
      </c>
      <c r="P190" s="22" t="n">
        <f aca="false">INDEX(Data_Prices!P:P,MATCH($G190,Data_Prices!$A:$A,0))</f>
        <v>0.470436426795617</v>
      </c>
      <c r="Q190" s="22" t="n">
        <f aca="false">INDEX(Data_Prices!Q:Q,MATCH($G190,Data_Prices!$A:$A,0))</f>
        <v>0.470436426795617</v>
      </c>
      <c r="R190" s="22" t="n">
        <f aca="false">INDEX(Data_Prices!R:R,MATCH($G190,Data_Prices!$A:$A,0))</f>
        <v>0.470436426795617</v>
      </c>
      <c r="S190" s="22" t="n">
        <f aca="false">INDEX(Data_Prices!S:S,MATCH($G190,Data_Prices!$A:$A,0))</f>
        <v>0.470436426795617</v>
      </c>
      <c r="T190" s="22" t="n">
        <f aca="false">INDEX(Data_Prices!T:T,MATCH($G190,Data_Prices!$A:$A,0))</f>
        <v>0.470436426795617</v>
      </c>
      <c r="U190" s="22" t="n">
        <f aca="false">INDEX(Data_Prices!U:U,MATCH($G190,Data_Prices!$A:$A,0))</f>
        <v>0.470436426795617</v>
      </c>
      <c r="V190" s="22" t="n">
        <f aca="false">INDEX(Data_Prices!V:V,MATCH($G190,Data_Prices!$A:$A,0))</f>
        <v>0.470436426795617</v>
      </c>
      <c r="W190" s="22" t="n">
        <f aca="false">INDEX(Data_Prices!W:W,MATCH($G190,Data_Prices!$A:$A,0))</f>
        <v>0.470436426795617</v>
      </c>
      <c r="X190" s="22" t="n">
        <f aca="false">INDEX(Data_Prices!X:X,MATCH($G190,Data_Prices!$A:$A,0))</f>
        <v>0.470436426795617</v>
      </c>
      <c r="Y190" s="22" t="n">
        <f aca="false">INDEX(Data_Prices!Y:Y,MATCH($G190,Data_Prices!$A:$A,0))</f>
        <v>0.470436426795617</v>
      </c>
      <c r="Z190" s="22" t="n">
        <f aca="false">INDEX(Data_Prices!Z:Z,MATCH($G190,Data_Prices!$A:$A,0))</f>
        <v>0.470436426795617</v>
      </c>
      <c r="AA190" s="22" t="n">
        <f aca="false">INDEX(Data_Prices!AA:AA,MATCH($G190,Data_Prices!$A:$A,0))</f>
        <v>0.470436426795617</v>
      </c>
      <c r="AB190" s="22" t="n">
        <f aca="false">INDEX(Data_Prices!AB:AB,MATCH($G190,Data_Prices!$A:$A,0))</f>
        <v>0.470436426795617</v>
      </c>
      <c r="AC190" s="22" t="n">
        <f aca="false">INDEX(Data_Prices!AC:AC,MATCH($G190,Data_Prices!$A:$A,0))</f>
        <v>0.470436426795617</v>
      </c>
      <c r="AD190" s="22" t="n">
        <f aca="false">INDEX(Data_Prices!AD:AD,MATCH($G190,Data_Prices!$A:$A,0))</f>
        <v>0.470436426795617</v>
      </c>
      <c r="AE190" s="22" t="n">
        <f aca="false">INDEX(Data_Prices!AE:AE,MATCH($G190,Data_Prices!$A:$A,0))</f>
        <v>0.470436426795617</v>
      </c>
    </row>
    <row r="191" customFormat="false" ht="15" hidden="false" customHeight="false" outlineLevel="0" collapsed="false">
      <c r="B191" s="17" t="s">
        <v>64</v>
      </c>
      <c r="C191" s="17" t="str">
        <f aca="false">$C$185</f>
        <v>mch</v>
      </c>
      <c r="D191" s="18" t="s">
        <v>65</v>
      </c>
      <c r="E191" s="19" t="s">
        <v>61</v>
      </c>
      <c r="F191" s="17" t="s">
        <v>56</v>
      </c>
      <c r="G191" s="20" t="str">
        <f aca="false">Settings!$B$3&amp;".mit.pbc."&amp;Settings!$B$4&amp;"."&amp;$B191&amp;".a."&amp;$J$185</f>
        <v>egy.mit.pbc.ind.lpg.a.1</v>
      </c>
      <c r="H191" s="21" t="str">
        <f aca="false">Settings!$B$3&amp;".mit.ptp."&amp;$C$185&amp;"."&amp;$B191&amp;".e."&amp;$J$185</f>
        <v>egy.mit.ptp.mch.lpg.e.1</v>
      </c>
      <c r="K191" s="22" t="n">
        <f aca="false">INDEX(Data_Prices!K:K,MATCH($G191,Data_Prices!$A:$A,0))</f>
        <v>0.200366691126738</v>
      </c>
      <c r="L191" s="22" t="n">
        <f aca="false">INDEX(Data_Prices!L:L,MATCH($G191,Data_Prices!$A:$A,0))</f>
        <v>0.157344736252274</v>
      </c>
      <c r="M191" s="22" t="n">
        <f aca="false">INDEX(Data_Prices!M:M,MATCH($G191,Data_Prices!$A:$A,0))</f>
        <v>0.164484037759277</v>
      </c>
      <c r="N191" s="22" t="n">
        <f aca="false">INDEX(Data_Prices!N:N,MATCH($G191,Data_Prices!$A:$A,0))</f>
        <v>0.150709077807049</v>
      </c>
      <c r="O191" s="22" t="n">
        <f aca="false">INDEX(Data_Prices!O:O,MATCH($G191,Data_Prices!$A:$A,0))</f>
        <v>0.150709077807049</v>
      </c>
      <c r="P191" s="22" t="n">
        <f aca="false">INDEX(Data_Prices!P:P,MATCH($G191,Data_Prices!$A:$A,0))</f>
        <v>0.150709077807049</v>
      </c>
      <c r="Q191" s="22" t="n">
        <f aca="false">INDEX(Data_Prices!Q:Q,MATCH($G191,Data_Prices!$A:$A,0))</f>
        <v>0.150709077807049</v>
      </c>
      <c r="R191" s="22" t="n">
        <f aca="false">INDEX(Data_Prices!R:R,MATCH($G191,Data_Prices!$A:$A,0))</f>
        <v>0.150709077807049</v>
      </c>
      <c r="S191" s="22" t="n">
        <f aca="false">INDEX(Data_Prices!S:S,MATCH($G191,Data_Prices!$A:$A,0))</f>
        <v>0.150709077807049</v>
      </c>
      <c r="T191" s="22" t="n">
        <f aca="false">INDEX(Data_Prices!T:T,MATCH($G191,Data_Prices!$A:$A,0))</f>
        <v>0.150709077807049</v>
      </c>
      <c r="U191" s="22" t="n">
        <f aca="false">INDEX(Data_Prices!U:U,MATCH($G191,Data_Prices!$A:$A,0))</f>
        <v>0.150709077807049</v>
      </c>
      <c r="V191" s="22" t="n">
        <f aca="false">INDEX(Data_Prices!V:V,MATCH($G191,Data_Prices!$A:$A,0))</f>
        <v>0.150709077807049</v>
      </c>
      <c r="W191" s="22" t="n">
        <f aca="false">INDEX(Data_Prices!W:W,MATCH($G191,Data_Prices!$A:$A,0))</f>
        <v>0.150709077807049</v>
      </c>
      <c r="X191" s="22" t="n">
        <f aca="false">INDEX(Data_Prices!X:X,MATCH($G191,Data_Prices!$A:$A,0))</f>
        <v>0.150709077807049</v>
      </c>
      <c r="Y191" s="22" t="n">
        <f aca="false">INDEX(Data_Prices!Y:Y,MATCH($G191,Data_Prices!$A:$A,0))</f>
        <v>0.150709077807049</v>
      </c>
      <c r="Z191" s="22" t="n">
        <f aca="false">INDEX(Data_Prices!Z:Z,MATCH($G191,Data_Prices!$A:$A,0))</f>
        <v>0.150709077807049</v>
      </c>
      <c r="AA191" s="22" t="n">
        <f aca="false">INDEX(Data_Prices!AA:AA,MATCH($G191,Data_Prices!$A:$A,0))</f>
        <v>0.150709077807049</v>
      </c>
      <c r="AB191" s="22" t="n">
        <f aca="false">INDEX(Data_Prices!AB:AB,MATCH($G191,Data_Prices!$A:$A,0))</f>
        <v>0.150709077807049</v>
      </c>
      <c r="AC191" s="22" t="n">
        <f aca="false">INDEX(Data_Prices!AC:AC,MATCH($G191,Data_Prices!$A:$A,0))</f>
        <v>0.150709077807049</v>
      </c>
      <c r="AD191" s="22" t="n">
        <f aca="false">INDEX(Data_Prices!AD:AD,MATCH($G191,Data_Prices!$A:$A,0))</f>
        <v>0.150709077807049</v>
      </c>
      <c r="AE191" s="22" t="n">
        <f aca="false">INDEX(Data_Prices!AE:AE,MATCH($G191,Data_Prices!$A:$A,0))</f>
        <v>0.150709077807049</v>
      </c>
    </row>
    <row r="192" customFormat="false" ht="15" hidden="false" customHeight="false" outlineLevel="0" collapsed="false">
      <c r="B192" s="17" t="s">
        <v>66</v>
      </c>
      <c r="C192" s="17" t="str">
        <f aca="false">$C$185</f>
        <v>mch</v>
      </c>
      <c r="D192" s="18" t="s">
        <v>67</v>
      </c>
      <c r="E192" s="19" t="s">
        <v>61</v>
      </c>
      <c r="F192" s="17" t="s">
        <v>56</v>
      </c>
      <c r="G192" s="20" t="str">
        <f aca="false">Settings!$B$3&amp;".mit.pbc."&amp;Settings!$B$4&amp;"."&amp;$B192&amp;".a."&amp;$J$185</f>
        <v>egy.mit.pbc.ind.ker.a.1</v>
      </c>
      <c r="H192" s="21" t="str">
        <f aca="false">Settings!$B$3&amp;".mit.ptp."&amp;$C$185&amp;"."&amp;$B192&amp;".e."&amp;$J$185</f>
        <v>egy.mit.ptp.mch.ker.e.1</v>
      </c>
      <c r="K192" s="22" t="n">
        <f aca="false">INDEX(Data_Prices!K:K,MATCH($G192,Data_Prices!$A:$A,0))</f>
        <v>0.484294240973435</v>
      </c>
      <c r="L192" s="22" t="n">
        <f aca="false">INDEX(Data_Prices!L:L,MATCH($G192,Data_Prices!$A:$A,0))</f>
        <v>0.456428170500128</v>
      </c>
      <c r="M192" s="22" t="n">
        <f aca="false">INDEX(Data_Prices!M:M,MATCH($G192,Data_Prices!$A:$A,0))</f>
        <v>0.431689201955995</v>
      </c>
      <c r="N192" s="22" t="n">
        <f aca="false">INDEX(Data_Prices!N:N,MATCH($G192,Data_Prices!$A:$A,0))</f>
        <v>0.42507558395597</v>
      </c>
      <c r="O192" s="22" t="n">
        <f aca="false">INDEX(Data_Prices!O:O,MATCH($G192,Data_Prices!$A:$A,0))</f>
        <v>0.42507558395597</v>
      </c>
      <c r="P192" s="22" t="n">
        <f aca="false">INDEX(Data_Prices!P:P,MATCH($G192,Data_Prices!$A:$A,0))</f>
        <v>0.42507558395597</v>
      </c>
      <c r="Q192" s="22" t="n">
        <f aca="false">INDEX(Data_Prices!Q:Q,MATCH($G192,Data_Prices!$A:$A,0))</f>
        <v>0.42507558395597</v>
      </c>
      <c r="R192" s="22" t="n">
        <f aca="false">INDEX(Data_Prices!R:R,MATCH($G192,Data_Prices!$A:$A,0))</f>
        <v>0.42507558395597</v>
      </c>
      <c r="S192" s="22" t="n">
        <f aca="false">INDEX(Data_Prices!S:S,MATCH($G192,Data_Prices!$A:$A,0))</f>
        <v>0.42507558395597</v>
      </c>
      <c r="T192" s="22" t="n">
        <f aca="false">INDEX(Data_Prices!T:T,MATCH($G192,Data_Prices!$A:$A,0))</f>
        <v>0.42507558395597</v>
      </c>
      <c r="U192" s="22" t="n">
        <f aca="false">INDEX(Data_Prices!U:U,MATCH($G192,Data_Prices!$A:$A,0))</f>
        <v>0.42507558395597</v>
      </c>
      <c r="V192" s="22" t="n">
        <f aca="false">INDEX(Data_Prices!V:V,MATCH($G192,Data_Prices!$A:$A,0))</f>
        <v>0.42507558395597</v>
      </c>
      <c r="W192" s="22" t="n">
        <f aca="false">INDEX(Data_Prices!W:W,MATCH($G192,Data_Prices!$A:$A,0))</f>
        <v>0.42507558395597</v>
      </c>
      <c r="X192" s="22" t="n">
        <f aca="false">INDEX(Data_Prices!X:X,MATCH($G192,Data_Prices!$A:$A,0))</f>
        <v>0.42507558395597</v>
      </c>
      <c r="Y192" s="22" t="n">
        <f aca="false">INDEX(Data_Prices!Y:Y,MATCH($G192,Data_Prices!$A:$A,0))</f>
        <v>0.42507558395597</v>
      </c>
      <c r="Z192" s="22" t="n">
        <f aca="false">INDEX(Data_Prices!Z:Z,MATCH($G192,Data_Prices!$A:$A,0))</f>
        <v>0.42507558395597</v>
      </c>
      <c r="AA192" s="22" t="n">
        <f aca="false">INDEX(Data_Prices!AA:AA,MATCH($G192,Data_Prices!$A:$A,0))</f>
        <v>0.42507558395597</v>
      </c>
      <c r="AB192" s="22" t="n">
        <f aca="false">INDEX(Data_Prices!AB:AB,MATCH($G192,Data_Prices!$A:$A,0))</f>
        <v>0.42507558395597</v>
      </c>
      <c r="AC192" s="22" t="n">
        <f aca="false">INDEX(Data_Prices!AC:AC,MATCH($G192,Data_Prices!$A:$A,0))</f>
        <v>0.42507558395597</v>
      </c>
      <c r="AD192" s="22" t="n">
        <f aca="false">INDEX(Data_Prices!AD:AD,MATCH($G192,Data_Prices!$A:$A,0))</f>
        <v>0.42507558395597</v>
      </c>
      <c r="AE192" s="22" t="n">
        <f aca="false">INDEX(Data_Prices!AE:AE,MATCH($G192,Data_Prices!$A:$A,0))</f>
        <v>0.42507558395597</v>
      </c>
    </row>
    <row r="193" customFormat="false" ht="15" hidden="false" customHeight="false" outlineLevel="0" collapsed="false">
      <c r="B193" s="17" t="s">
        <v>68</v>
      </c>
      <c r="C193" s="17" t="str">
        <f aca="false">$C$185</f>
        <v>mch</v>
      </c>
      <c r="D193" s="18" t="s">
        <v>69</v>
      </c>
      <c r="E193" s="19" t="s">
        <v>70</v>
      </c>
      <c r="F193" s="17" t="s">
        <v>56</v>
      </c>
      <c r="G193" s="20" t="str">
        <f aca="false">Settings!$B$3&amp;".mit.pbc."&amp;Settings!$B$4&amp;"."&amp;$B193&amp;".a."&amp;$J$185</f>
        <v>egy.mit.pbc.ind.oop.a.1</v>
      </c>
      <c r="H193" s="21" t="str">
        <f aca="false">Settings!$B$3&amp;".mit.ptp."&amp;$C$185&amp;"."&amp;$B193&amp;".e."&amp;$J$185</f>
        <v>egy.mit.ptp.mch.oop.e.1</v>
      </c>
      <c r="K193" s="22" t="n">
        <f aca="false">INDEX(Data_Prices!K:K,MATCH($G193,Data_Prices!$A:$A,0))</f>
        <v>41.5003384988684</v>
      </c>
      <c r="L193" s="22" t="n">
        <f aca="false">INDEX(Data_Prices!L:L,MATCH($G193,Data_Prices!$A:$A,0))</f>
        <v>34.4153703043132</v>
      </c>
      <c r="M193" s="22" t="n">
        <f aca="false">INDEX(Data_Prices!M:M,MATCH($G193,Data_Prices!$A:$A,0))</f>
        <v>37.368960690432</v>
      </c>
      <c r="N193" s="22" t="n">
        <f aca="false">INDEX(Data_Prices!N:N,MATCH($G193,Data_Prices!$A:$A,0))</f>
        <v>28.9827611014773</v>
      </c>
      <c r="O193" s="22" t="n">
        <f aca="false">INDEX(Data_Prices!O:O,MATCH($G193,Data_Prices!$A:$A,0))</f>
        <v>15</v>
      </c>
      <c r="P193" s="22" t="n">
        <f aca="false">INDEX(Data_Prices!P:P,MATCH($G193,Data_Prices!$A:$A,0))</f>
        <v>24.2586300842555</v>
      </c>
      <c r="Q193" s="22" t="n">
        <f aca="false">INDEX(Data_Prices!Q:Q,MATCH($G193,Data_Prices!$A:$A,0))</f>
        <v>15</v>
      </c>
      <c r="R193" s="22" t="n">
        <f aca="false">INDEX(Data_Prices!R:R,MATCH($G193,Data_Prices!$A:$A,0))</f>
        <v>15</v>
      </c>
      <c r="S193" s="22" t="n">
        <f aca="false">INDEX(Data_Prices!S:S,MATCH($G193,Data_Prices!$A:$A,0))</f>
        <v>15</v>
      </c>
      <c r="T193" s="22" t="n">
        <f aca="false">INDEX(Data_Prices!T:T,MATCH($G193,Data_Prices!$A:$A,0))</f>
        <v>15</v>
      </c>
      <c r="U193" s="22" t="n">
        <f aca="false">INDEX(Data_Prices!U:U,MATCH($G193,Data_Prices!$A:$A,0))</f>
        <v>15</v>
      </c>
      <c r="V193" s="22" t="n">
        <f aca="false">INDEX(Data_Prices!V:V,MATCH($G193,Data_Prices!$A:$A,0))</f>
        <v>15</v>
      </c>
      <c r="W193" s="22" t="n">
        <f aca="false">INDEX(Data_Prices!W:W,MATCH($G193,Data_Prices!$A:$A,0))</f>
        <v>15</v>
      </c>
      <c r="X193" s="22" t="n">
        <f aca="false">INDEX(Data_Prices!X:X,MATCH($G193,Data_Prices!$A:$A,0))</f>
        <v>15</v>
      </c>
      <c r="Y193" s="22" t="n">
        <f aca="false">INDEX(Data_Prices!Y:Y,MATCH($G193,Data_Prices!$A:$A,0))</f>
        <v>15</v>
      </c>
      <c r="Z193" s="22" t="n">
        <f aca="false">INDEX(Data_Prices!Z:Z,MATCH($G193,Data_Prices!$A:$A,0))</f>
        <v>15</v>
      </c>
      <c r="AA193" s="22" t="n">
        <f aca="false">INDEX(Data_Prices!AA:AA,MATCH($G193,Data_Prices!$A:$A,0))</f>
        <v>15</v>
      </c>
      <c r="AB193" s="22" t="n">
        <f aca="false">INDEX(Data_Prices!AB:AB,MATCH($G193,Data_Prices!$A:$A,0))</f>
        <v>15</v>
      </c>
      <c r="AC193" s="22" t="n">
        <f aca="false">INDEX(Data_Prices!AC:AC,MATCH($G193,Data_Prices!$A:$A,0))</f>
        <v>15</v>
      </c>
      <c r="AD193" s="22" t="n">
        <f aca="false">INDEX(Data_Prices!AD:AD,MATCH($G193,Data_Prices!$A:$A,0))</f>
        <v>15</v>
      </c>
      <c r="AE193" s="22" t="n">
        <f aca="false">INDEX(Data_Prices!AE:AE,MATCH($G193,Data_Prices!$A:$A,0))</f>
        <v>15</v>
      </c>
    </row>
    <row r="194" customFormat="false" ht="15" hidden="false" customHeight="false" outlineLevel="0" collapsed="false">
      <c r="B194" s="17" t="s">
        <v>71</v>
      </c>
      <c r="C194" s="17" t="str">
        <f aca="false">$C$185</f>
        <v>mch</v>
      </c>
      <c r="D194" s="18" t="s">
        <v>72</v>
      </c>
      <c r="E194" s="19" t="s">
        <v>55</v>
      </c>
      <c r="F194" s="17" t="s">
        <v>56</v>
      </c>
      <c r="G194" s="20" t="str">
        <f aca="false">Settings!$B$3&amp;".mit.pbc."&amp;Settings!$B$4&amp;"."&amp;$B194&amp;".a."&amp;$J$185</f>
        <v>egy.mit.pbc.ind.bio.a.1</v>
      </c>
      <c r="H194" s="21" t="str">
        <f aca="false">Settings!$B$3&amp;".mit.ptp."&amp;$C$185&amp;"."&amp;$B194&amp;".e."&amp;$J$185</f>
        <v>egy.mit.ptp.mch.bio.e.1</v>
      </c>
      <c r="K194" s="22" t="n">
        <f aca="false">INDEX(Data_Prices!K:K,MATCH($G194,Data_Prices!$A:$A,0))</f>
        <v>15.3345505293169</v>
      </c>
      <c r="L194" s="22" t="n">
        <f aca="false">INDEX(Data_Prices!L:L,MATCH($G194,Data_Prices!$A:$A,0))</f>
        <v>14.1995283906349</v>
      </c>
      <c r="M194" s="22" t="n">
        <f aca="false">INDEX(Data_Prices!M:M,MATCH($G194,Data_Prices!$A:$A,0))</f>
        <v>13.8404416133152</v>
      </c>
      <c r="N194" s="22" t="n">
        <f aca="false">INDEX(Data_Prices!N:N,MATCH($G194,Data_Prices!$A:$A,0))</f>
        <v>13.5677269404465</v>
      </c>
      <c r="O194" s="22" t="n">
        <f aca="false">INDEX(Data_Prices!O:O,MATCH($G194,Data_Prices!$A:$A,0))</f>
        <v>13.5677269404465</v>
      </c>
      <c r="P194" s="22" t="n">
        <f aca="false">INDEX(Data_Prices!P:P,MATCH($G194,Data_Prices!$A:$A,0))</f>
        <v>13.5677269404465</v>
      </c>
      <c r="Q194" s="22" t="n">
        <f aca="false">INDEX(Data_Prices!Q:Q,MATCH($G194,Data_Prices!$A:$A,0))</f>
        <v>13.5677269404465</v>
      </c>
      <c r="R194" s="22" t="n">
        <f aca="false">INDEX(Data_Prices!R:R,MATCH($G194,Data_Prices!$A:$A,0))</f>
        <v>13.5677269404465</v>
      </c>
      <c r="S194" s="22" t="n">
        <f aca="false">INDEX(Data_Prices!S:S,MATCH($G194,Data_Prices!$A:$A,0))</f>
        <v>13.5677269404465</v>
      </c>
      <c r="T194" s="22" t="n">
        <f aca="false">INDEX(Data_Prices!T:T,MATCH($G194,Data_Prices!$A:$A,0))</f>
        <v>13.5677269404465</v>
      </c>
      <c r="U194" s="22" t="n">
        <f aca="false">INDEX(Data_Prices!U:U,MATCH($G194,Data_Prices!$A:$A,0))</f>
        <v>13.5677269404465</v>
      </c>
      <c r="V194" s="22" t="n">
        <f aca="false">INDEX(Data_Prices!V:V,MATCH($G194,Data_Prices!$A:$A,0))</f>
        <v>13.5677269404465</v>
      </c>
      <c r="W194" s="22" t="n">
        <f aca="false">INDEX(Data_Prices!W:W,MATCH($G194,Data_Prices!$A:$A,0))</f>
        <v>13.5677269404465</v>
      </c>
      <c r="X194" s="22" t="n">
        <f aca="false">INDEX(Data_Prices!X:X,MATCH($G194,Data_Prices!$A:$A,0))</f>
        <v>13.5677269404465</v>
      </c>
      <c r="Y194" s="22" t="n">
        <f aca="false">INDEX(Data_Prices!Y:Y,MATCH($G194,Data_Prices!$A:$A,0))</f>
        <v>13.5677269404465</v>
      </c>
      <c r="Z194" s="22" t="n">
        <f aca="false">INDEX(Data_Prices!Z:Z,MATCH($G194,Data_Prices!$A:$A,0))</f>
        <v>13.5677269404465</v>
      </c>
      <c r="AA194" s="22" t="n">
        <f aca="false">INDEX(Data_Prices!AA:AA,MATCH($G194,Data_Prices!$A:$A,0))</f>
        <v>13.5677269404465</v>
      </c>
      <c r="AB194" s="22" t="n">
        <f aca="false">INDEX(Data_Prices!AB:AB,MATCH($G194,Data_Prices!$A:$A,0))</f>
        <v>13.5677269404465</v>
      </c>
      <c r="AC194" s="22" t="n">
        <f aca="false">INDEX(Data_Prices!AC:AC,MATCH($G194,Data_Prices!$A:$A,0))</f>
        <v>13.5677269404465</v>
      </c>
      <c r="AD194" s="22" t="n">
        <f aca="false">INDEX(Data_Prices!AD:AD,MATCH($G194,Data_Prices!$A:$A,0))</f>
        <v>13.5677269404465</v>
      </c>
      <c r="AE194" s="22" t="n">
        <f aca="false">INDEX(Data_Prices!AE:AE,MATCH($G194,Data_Prices!$A:$A,0))</f>
        <v>13.5677269404465</v>
      </c>
    </row>
    <row r="195" customFormat="false" ht="15" hidden="false" customHeight="false" outlineLevel="0" collapsed="false">
      <c r="B195" s="17" t="s">
        <v>73</v>
      </c>
      <c r="C195" s="17" t="str">
        <f aca="false">$C$185</f>
        <v>mch</v>
      </c>
      <c r="D195" s="18" t="s">
        <v>74</v>
      </c>
      <c r="E195" s="19" t="s">
        <v>75</v>
      </c>
      <c r="F195" s="17" t="s">
        <v>56</v>
      </c>
      <c r="G195" s="20" t="str">
        <f aca="false">Settings!$B$3&amp;".mit.pbc."&amp;Settings!$B$4&amp;"."&amp;$B195&amp;".a."&amp;$J$185</f>
        <v>egy.mit.pbc.ind.ren.a.1</v>
      </c>
      <c r="H195" s="21" t="str">
        <f aca="false">Settings!$B$3&amp;".mit.ptp."&amp;$C$185&amp;"."&amp;$B195&amp;".e."&amp;$J$185</f>
        <v>egy.mit.ptp.mch.ren.e.1</v>
      </c>
      <c r="K195" s="22" t="n">
        <f aca="false">INDEX(Data_Prices!K:K,MATCH($G195,Data_Prices!$A:$A,0))</f>
        <v>0</v>
      </c>
      <c r="L195" s="22" t="n">
        <f aca="false">INDEX(Data_Prices!L:L,MATCH($G195,Data_Prices!$A:$A,0))</f>
        <v>0.144044986793198</v>
      </c>
      <c r="M195" s="22" t="n">
        <f aca="false">INDEX(Data_Prices!M:M,MATCH($G195,Data_Prices!$A:$A,0))</f>
        <v>0.141020409657004</v>
      </c>
      <c r="N195" s="22" t="n">
        <f aca="false">INDEX(Data_Prices!N:N,MATCH($G195,Data_Prices!$A:$A,0))</f>
        <v>0.135116359594476</v>
      </c>
      <c r="O195" s="22" t="n">
        <f aca="false">INDEX(Data_Prices!O:O,MATCH($G195,Data_Prices!$A:$A,0))</f>
        <v>0.130988256985856</v>
      </c>
      <c r="P195" s="22" t="n">
        <f aca="false">INDEX(Data_Prices!P:P,MATCH($G195,Data_Prices!$A:$A,0))</f>
        <v>0.127908416086318</v>
      </c>
      <c r="Q195" s="22" t="n">
        <f aca="false">INDEX(Data_Prices!Q:Q,MATCH($G195,Data_Prices!$A:$A,0))</f>
        <v>0.124814310557813</v>
      </c>
      <c r="R195" s="22" t="n">
        <f aca="false">INDEX(Data_Prices!R:R,MATCH($G195,Data_Prices!$A:$A,0))</f>
        <v>0.121460257122878</v>
      </c>
      <c r="S195" s="22" t="n">
        <f aca="false">INDEX(Data_Prices!S:S,MATCH($G195,Data_Prices!$A:$A,0))</f>
        <v>0.117950744135786</v>
      </c>
      <c r="T195" s="22" t="n">
        <f aca="false">INDEX(Data_Prices!T:T,MATCH($G195,Data_Prices!$A:$A,0))</f>
        <v>0.114199161044597</v>
      </c>
      <c r="U195" s="22" t="n">
        <f aca="false">INDEX(Data_Prices!U:U,MATCH($G195,Data_Prices!$A:$A,0))</f>
        <v>0.113665100059665</v>
      </c>
      <c r="V195" s="22" t="n">
        <f aca="false">INDEX(Data_Prices!V:V,MATCH($G195,Data_Prices!$A:$A,0))</f>
        <v>0.113016929625957</v>
      </c>
      <c r="W195" s="22" t="n">
        <f aca="false">INDEX(Data_Prices!W:W,MATCH($G195,Data_Prices!$A:$A,0))</f>
        <v>0.112314070507636</v>
      </c>
      <c r="X195" s="22" t="n">
        <f aca="false">INDEX(Data_Prices!X:X,MATCH($G195,Data_Prices!$A:$A,0))</f>
        <v>0.111422042732843</v>
      </c>
      <c r="Y195" s="22" t="n">
        <f aca="false">INDEX(Data_Prices!Y:Y,MATCH($G195,Data_Prices!$A:$A,0))</f>
        <v>0.110434123675809</v>
      </c>
      <c r="Z195" s="22" t="n">
        <f aca="false">INDEX(Data_Prices!Z:Z,MATCH($G195,Data_Prices!$A:$A,0))</f>
        <v>0.109483973304471</v>
      </c>
      <c r="AA195" s="22" t="n">
        <f aca="false">INDEX(Data_Prices!AA:AA,MATCH($G195,Data_Prices!$A:$A,0))</f>
        <v>0.10839192105294</v>
      </c>
      <c r="AB195" s="22" t="n">
        <f aca="false">INDEX(Data_Prices!AB:AB,MATCH($G195,Data_Prices!$A:$A,0))</f>
        <v>0.107354433626704</v>
      </c>
      <c r="AC195" s="22" t="n">
        <f aca="false">INDEX(Data_Prices!AC:AC,MATCH($G195,Data_Prices!$A:$A,0))</f>
        <v>0.105168675441661</v>
      </c>
      <c r="AD195" s="22" t="n">
        <f aca="false">INDEX(Data_Prices!AD:AD,MATCH($G195,Data_Prices!$A:$A,0))</f>
        <v>0.103057983256008</v>
      </c>
      <c r="AE195" s="22" t="n">
        <f aca="false">INDEX(Data_Prices!AE:AE,MATCH($G195,Data_Prices!$A:$A,0))</f>
        <v>0.100931838990114</v>
      </c>
    </row>
    <row r="196" customFormat="false" ht="15" hidden="false" customHeight="false" outlineLevel="0" collapsed="false">
      <c r="B196" s="16" t="s">
        <v>76</v>
      </c>
    </row>
    <row r="197" customFormat="false" ht="15" hidden="false" customHeight="false" outlineLevel="0" collapsed="false">
      <c r="B197" s="17" t="s">
        <v>53</v>
      </c>
      <c r="C197" s="17" t="str">
        <f aca="false">$C$185</f>
        <v>mch</v>
      </c>
      <c r="D197" s="18" t="s">
        <v>54</v>
      </c>
      <c r="E197" s="19" t="s">
        <v>55</v>
      </c>
      <c r="F197" s="17" t="s">
        <v>77</v>
      </c>
      <c r="G197" s="20" t="str">
        <f aca="false">Settings!$B$3&amp;".mit.nce."&amp;Settings!$B$4&amp;"."&amp;$B197&amp;".a."&amp;$J$185</f>
        <v>egy.mit.nce.ind.coa.a.1</v>
      </c>
      <c r="H197" s="21" t="str">
        <f aca="false">Settings!$B$3&amp;".mit.atp."&amp;$C$185&amp;"."&amp;$B197&amp;".e."&amp;$J$185</f>
        <v>egy.mit.atp.mch.coa.e.1</v>
      </c>
      <c r="K197" s="22" t="n">
        <f aca="false">K187+INDEX(Data_Prices!K:K,MATCH($G197,Data_Prices!$A:$A,0))*K$217</f>
        <v>11.1829015892439</v>
      </c>
      <c r="L197" s="22" t="n">
        <f aca="false">L187+INDEX(Data_Prices!L:L,MATCH($G197,Data_Prices!$A:$A,0))*L$217</f>
        <v>10.5233613454312</v>
      </c>
      <c r="M197" s="22" t="n">
        <f aca="false">M187+INDEX(Data_Prices!M:M,MATCH($G197,Data_Prices!$A:$A,0))*M$217</f>
        <v>10.2995608274442</v>
      </c>
      <c r="N197" s="22" t="n">
        <f aca="false">N187+INDEX(Data_Prices!N:N,MATCH($G197,Data_Prices!$A:$A,0))*N$217</f>
        <v>9.57752835953826</v>
      </c>
      <c r="O197" s="22" t="n">
        <f aca="false">O187+INDEX(Data_Prices!O:O,MATCH($G197,Data_Prices!$A:$A,0))*O$217</f>
        <v>8.48547828695805</v>
      </c>
      <c r="P197" s="22" t="n">
        <f aca="false">P187+INDEX(Data_Prices!P:P,MATCH($G197,Data_Prices!$A:$A,0))*P$217</f>
        <v>9.08719223524986</v>
      </c>
      <c r="Q197" s="22" t="n">
        <f aca="false">Q187+INDEX(Data_Prices!Q:Q,MATCH($G197,Data_Prices!$A:$A,0))*Q$217</f>
        <v>9.22292372893268</v>
      </c>
      <c r="R197" s="22" t="n">
        <f aca="false">R187+INDEX(Data_Prices!R:R,MATCH($G197,Data_Prices!$A:$A,0))*R$217</f>
        <v>9.15856495550969</v>
      </c>
      <c r="S197" s="22" t="n">
        <f aca="false">S187+INDEX(Data_Prices!S:S,MATCH($G197,Data_Prices!$A:$A,0))*S$217</f>
        <v>9.08954787739738</v>
      </c>
      <c r="T197" s="22" t="n">
        <f aca="false">T187+INDEX(Data_Prices!T:T,MATCH($G197,Data_Prices!$A:$A,0))*T$217</f>
        <v>9.01568166602283</v>
      </c>
      <c r="U197" s="22" t="n">
        <f aca="false">U187+INDEX(Data_Prices!U:U,MATCH($G197,Data_Prices!$A:$A,0))*U$217</f>
        <v>8.94439776555711</v>
      </c>
      <c r="V197" s="22" t="n">
        <f aca="false">V187+INDEX(Data_Prices!V:V,MATCH($G197,Data_Prices!$A:$A,0))*V$217</f>
        <v>8.94439776555711</v>
      </c>
      <c r="W197" s="22" t="n">
        <f aca="false">W187+INDEX(Data_Prices!W:W,MATCH($G197,Data_Prices!$A:$A,0))*W$217</f>
        <v>8.94439776555711</v>
      </c>
      <c r="X197" s="22" t="n">
        <f aca="false">X187+INDEX(Data_Prices!X:X,MATCH($G197,Data_Prices!$A:$A,0))*X$217</f>
        <v>8.94439776555711</v>
      </c>
      <c r="Y197" s="22" t="n">
        <f aca="false">Y187+INDEX(Data_Prices!Y:Y,MATCH($G197,Data_Prices!$A:$A,0))*Y$217</f>
        <v>8.94439776555711</v>
      </c>
      <c r="Z197" s="22" t="n">
        <f aca="false">Z187+INDEX(Data_Prices!Z:Z,MATCH($G197,Data_Prices!$A:$A,0))*Z$217</f>
        <v>8.94439776555711</v>
      </c>
      <c r="AA197" s="22" t="n">
        <f aca="false">AA187+INDEX(Data_Prices!AA:AA,MATCH($G197,Data_Prices!$A:$A,0))*AA$217</f>
        <v>8.94439776555711</v>
      </c>
      <c r="AB197" s="22" t="n">
        <f aca="false">AB187+INDEX(Data_Prices!AB:AB,MATCH($G197,Data_Prices!$A:$A,0))*AB$217</f>
        <v>8.94439776555711</v>
      </c>
      <c r="AC197" s="22" t="n">
        <f aca="false">AC187+INDEX(Data_Prices!AC:AC,MATCH($G197,Data_Prices!$A:$A,0))*AC$217</f>
        <v>8.94439776555711</v>
      </c>
      <c r="AD197" s="22" t="n">
        <f aca="false">AD187+INDEX(Data_Prices!AD:AD,MATCH($G197,Data_Prices!$A:$A,0))*AD$217</f>
        <v>8.94439776555711</v>
      </c>
      <c r="AE197" s="22" t="n">
        <f aca="false">AE187+INDEX(Data_Prices!AE:AE,MATCH($G197,Data_Prices!$A:$A,0))*AE$217</f>
        <v>8.94439776555711</v>
      </c>
    </row>
    <row r="198" customFormat="false" ht="15" hidden="false" customHeight="false" outlineLevel="0" collapsed="false">
      <c r="B198" s="17" t="s">
        <v>57</v>
      </c>
      <c r="C198" s="17" t="str">
        <f aca="false">$C$185</f>
        <v>mch</v>
      </c>
      <c r="D198" s="18" t="s">
        <v>58</v>
      </c>
      <c r="E198" s="19" t="s">
        <v>55</v>
      </c>
      <c r="F198" s="17" t="s">
        <v>77</v>
      </c>
      <c r="G198" s="20" t="str">
        <f aca="false">Settings!$B$3&amp;".mit.nce."&amp;Settings!$B$4&amp;"."&amp;$B198&amp;".a."&amp;$J$185</f>
        <v>egy.mit.nce.ind.nga.a.1</v>
      </c>
      <c r="H198" s="21" t="str">
        <f aca="false">Settings!$B$3&amp;".mit.atp."&amp;$C$185&amp;"."&amp;$B198&amp;".e."&amp;$J$185</f>
        <v>egy.mit.atp.mch.nga.e.1</v>
      </c>
      <c r="K198" s="22" t="n">
        <f aca="false">K188+INDEX(Data_Prices!K:K,MATCH($G198,Data_Prices!$A:$A,0))*K$217</f>
        <v>6.06346361567291</v>
      </c>
      <c r="L198" s="22" t="n">
        <f aca="false">L188+INDEX(Data_Prices!L:L,MATCH($G198,Data_Prices!$A:$A,0))*L$217</f>
        <v>5.45101508161919</v>
      </c>
      <c r="M198" s="22" t="n">
        <f aca="false">M188+INDEX(Data_Prices!M:M,MATCH($G198,Data_Prices!$A:$A,0))*M$217</f>
        <v>5.11935630626248</v>
      </c>
      <c r="N198" s="22" t="n">
        <f aca="false">N188+INDEX(Data_Prices!N:N,MATCH($G198,Data_Prices!$A:$A,0))*N$217</f>
        <v>5.08218458640407</v>
      </c>
      <c r="O198" s="22" t="n">
        <f aca="false">O188+INDEX(Data_Prices!O:O,MATCH($G198,Data_Prices!$A:$A,0))*O$217</f>
        <v>5.08218458640407</v>
      </c>
      <c r="P198" s="22" t="n">
        <f aca="false">P188+INDEX(Data_Prices!P:P,MATCH($G198,Data_Prices!$A:$A,0))*P$217</f>
        <v>5.08218458640407</v>
      </c>
      <c r="Q198" s="22" t="n">
        <f aca="false">Q188+INDEX(Data_Prices!Q:Q,MATCH($G198,Data_Prices!$A:$A,0))*Q$217</f>
        <v>5.08218458640407</v>
      </c>
      <c r="R198" s="22" t="n">
        <f aca="false">R188+INDEX(Data_Prices!R:R,MATCH($G198,Data_Prices!$A:$A,0))*R$217</f>
        <v>5.08218458640407</v>
      </c>
      <c r="S198" s="22" t="n">
        <f aca="false">S188+INDEX(Data_Prices!S:S,MATCH($G198,Data_Prices!$A:$A,0))*S$217</f>
        <v>5.08218458640407</v>
      </c>
      <c r="T198" s="22" t="n">
        <f aca="false">T188+INDEX(Data_Prices!T:T,MATCH($G198,Data_Prices!$A:$A,0))*T$217</f>
        <v>5.08218458640407</v>
      </c>
      <c r="U198" s="22" t="n">
        <f aca="false">U188+INDEX(Data_Prices!U:U,MATCH($G198,Data_Prices!$A:$A,0))*U$217</f>
        <v>5.08218458640407</v>
      </c>
      <c r="V198" s="22" t="n">
        <f aca="false">V188+INDEX(Data_Prices!V:V,MATCH($G198,Data_Prices!$A:$A,0))*V$217</f>
        <v>5.08218458640407</v>
      </c>
      <c r="W198" s="22" t="n">
        <f aca="false">W188+INDEX(Data_Prices!W:W,MATCH($G198,Data_Prices!$A:$A,0))*W$217</f>
        <v>5.08218458640407</v>
      </c>
      <c r="X198" s="22" t="n">
        <f aca="false">X188+INDEX(Data_Prices!X:X,MATCH($G198,Data_Prices!$A:$A,0))*X$217</f>
        <v>5.08218458640407</v>
      </c>
      <c r="Y198" s="22" t="n">
        <f aca="false">Y188+INDEX(Data_Prices!Y:Y,MATCH($G198,Data_Prices!$A:$A,0))*Y$217</f>
        <v>5.08218458640407</v>
      </c>
      <c r="Z198" s="22" t="n">
        <f aca="false">Z188+INDEX(Data_Prices!Z:Z,MATCH($G198,Data_Prices!$A:$A,0))*Z$217</f>
        <v>5.08218458640407</v>
      </c>
      <c r="AA198" s="22" t="n">
        <f aca="false">AA188+INDEX(Data_Prices!AA:AA,MATCH($G198,Data_Prices!$A:$A,0))*AA$217</f>
        <v>5.08218458640407</v>
      </c>
      <c r="AB198" s="22" t="n">
        <f aca="false">AB188+INDEX(Data_Prices!AB:AB,MATCH($G198,Data_Prices!$A:$A,0))*AB$217</f>
        <v>5.08218458640407</v>
      </c>
      <c r="AC198" s="22" t="n">
        <f aca="false">AC188+INDEX(Data_Prices!AC:AC,MATCH($G198,Data_Prices!$A:$A,0))*AC$217</f>
        <v>5.08218458640407</v>
      </c>
      <c r="AD198" s="22" t="n">
        <f aca="false">AD188+INDEX(Data_Prices!AD:AD,MATCH($G198,Data_Prices!$A:$A,0))*AD$217</f>
        <v>5.08218458640407</v>
      </c>
      <c r="AE198" s="22" t="n">
        <f aca="false">AE188+INDEX(Data_Prices!AE:AE,MATCH($G198,Data_Prices!$A:$A,0))*AE$217</f>
        <v>5.08218458640407</v>
      </c>
    </row>
    <row r="199" customFormat="false" ht="15" hidden="false" customHeight="false" outlineLevel="0" collapsed="false">
      <c r="B199" s="17" t="s">
        <v>59</v>
      </c>
      <c r="C199" s="17" t="str">
        <f aca="false">$C$185</f>
        <v>mch</v>
      </c>
      <c r="D199" s="18" t="s">
        <v>60</v>
      </c>
      <c r="E199" s="19" t="s">
        <v>61</v>
      </c>
      <c r="F199" s="17" t="s">
        <v>77</v>
      </c>
      <c r="G199" s="20" t="str">
        <f aca="false">Settings!$B$3&amp;".mit.nce."&amp;Settings!$B$4&amp;"."&amp;$B199&amp;".a."&amp;$J$185</f>
        <v>egy.mit.nce.ind.gso.a.1</v>
      </c>
      <c r="H199" s="21" t="str">
        <f aca="false">Settings!$B$3&amp;".mit.atp."&amp;$C$185&amp;"."&amp;$B199&amp;".e."&amp;$J$185</f>
        <v>egy.mit.atp.mch.gso.e.1</v>
      </c>
      <c r="K199" s="22" t="n">
        <f aca="false">K189+INDEX(Data_Prices!K:K,MATCH($G199,Data_Prices!$A:$A,0))*K$217</f>
        <v>0.671146533321816</v>
      </c>
      <c r="L199" s="22" t="n">
        <f aca="false">L189+INDEX(Data_Prices!L:L,MATCH($G199,Data_Prices!$A:$A,0))*L$217</f>
        <v>0.611977976791406</v>
      </c>
      <c r="M199" s="22" t="n">
        <f aca="false">M189+INDEX(Data_Prices!M:M,MATCH($G199,Data_Prices!$A:$A,0))*M$217</f>
        <v>0.611809749641876</v>
      </c>
      <c r="N199" s="22" t="n">
        <f aca="false">N189+INDEX(Data_Prices!N:N,MATCH($G199,Data_Prices!$A:$A,0))*N$217</f>
        <v>0.603583100177906</v>
      </c>
      <c r="O199" s="22" t="n">
        <f aca="false">O189+INDEX(Data_Prices!O:O,MATCH($G199,Data_Prices!$A:$A,0))*O$217</f>
        <v>0.603583100177906</v>
      </c>
      <c r="P199" s="22" t="n">
        <f aca="false">P189+INDEX(Data_Prices!P:P,MATCH($G199,Data_Prices!$A:$A,0))*P$217</f>
        <v>0.603583100177906</v>
      </c>
      <c r="Q199" s="22" t="n">
        <f aca="false">Q189+INDEX(Data_Prices!Q:Q,MATCH($G199,Data_Prices!$A:$A,0))*Q$217</f>
        <v>0.603583100177906</v>
      </c>
      <c r="R199" s="22" t="n">
        <f aca="false">R189+INDEX(Data_Prices!R:R,MATCH($G199,Data_Prices!$A:$A,0))*R$217</f>
        <v>0.603583100177906</v>
      </c>
      <c r="S199" s="22" t="n">
        <f aca="false">S189+INDEX(Data_Prices!S:S,MATCH($G199,Data_Prices!$A:$A,0))*S$217</f>
        <v>0.603583100177906</v>
      </c>
      <c r="T199" s="22" t="n">
        <f aca="false">T189+INDEX(Data_Prices!T:T,MATCH($G199,Data_Prices!$A:$A,0))*T$217</f>
        <v>0.603583100177906</v>
      </c>
      <c r="U199" s="22" t="n">
        <f aca="false">U189+INDEX(Data_Prices!U:U,MATCH($G199,Data_Prices!$A:$A,0))*U$217</f>
        <v>0.603583100177906</v>
      </c>
      <c r="V199" s="22" t="n">
        <f aca="false">V189+INDEX(Data_Prices!V:V,MATCH($G199,Data_Prices!$A:$A,0))*V$217</f>
        <v>0.603583100177906</v>
      </c>
      <c r="W199" s="22" t="n">
        <f aca="false">W189+INDEX(Data_Prices!W:W,MATCH($G199,Data_Prices!$A:$A,0))*W$217</f>
        <v>0.603583100177906</v>
      </c>
      <c r="X199" s="22" t="n">
        <f aca="false">X189+INDEX(Data_Prices!X:X,MATCH($G199,Data_Prices!$A:$A,0))*X$217</f>
        <v>0.603583100177906</v>
      </c>
      <c r="Y199" s="22" t="n">
        <f aca="false">Y189+INDEX(Data_Prices!Y:Y,MATCH($G199,Data_Prices!$A:$A,0))*Y$217</f>
        <v>0.603583100177906</v>
      </c>
      <c r="Z199" s="22" t="n">
        <f aca="false">Z189+INDEX(Data_Prices!Z:Z,MATCH($G199,Data_Prices!$A:$A,0))*Z$217</f>
        <v>0.603583100177906</v>
      </c>
      <c r="AA199" s="22" t="n">
        <f aca="false">AA189+INDEX(Data_Prices!AA:AA,MATCH($G199,Data_Prices!$A:$A,0))*AA$217</f>
        <v>0.603583100177906</v>
      </c>
      <c r="AB199" s="22" t="n">
        <f aca="false">AB189+INDEX(Data_Prices!AB:AB,MATCH($G199,Data_Prices!$A:$A,0))*AB$217</f>
        <v>0.603583100177906</v>
      </c>
      <c r="AC199" s="22" t="n">
        <f aca="false">AC189+INDEX(Data_Prices!AC:AC,MATCH($G199,Data_Prices!$A:$A,0))*AC$217</f>
        <v>0.603583100177906</v>
      </c>
      <c r="AD199" s="22" t="n">
        <f aca="false">AD189+INDEX(Data_Prices!AD:AD,MATCH($G199,Data_Prices!$A:$A,0))*AD$217</f>
        <v>0.603583100177906</v>
      </c>
      <c r="AE199" s="22" t="n">
        <f aca="false">AE189+INDEX(Data_Prices!AE:AE,MATCH($G199,Data_Prices!$A:$A,0))*AE$217</f>
        <v>0.603583100177906</v>
      </c>
    </row>
    <row r="200" customFormat="false" ht="15" hidden="false" customHeight="false" outlineLevel="0" collapsed="false">
      <c r="B200" s="17" t="s">
        <v>62</v>
      </c>
      <c r="C200" s="17" t="str">
        <f aca="false">$C$185</f>
        <v>mch</v>
      </c>
      <c r="D200" s="18" t="s">
        <v>63</v>
      </c>
      <c r="E200" s="19" t="s">
        <v>61</v>
      </c>
      <c r="F200" s="17" t="s">
        <v>77</v>
      </c>
      <c r="G200" s="20" t="str">
        <f aca="false">Settings!$B$3&amp;".mit.nce."&amp;Settings!$B$4&amp;"."&amp;$B200&amp;".a."&amp;$J$185</f>
        <v>egy.mit.nce.ind.die.a.1</v>
      </c>
      <c r="H200" s="21" t="str">
        <f aca="false">Settings!$B$3&amp;".mit.atp."&amp;$C$185&amp;"."&amp;$B200&amp;".e."&amp;$J$185</f>
        <v>egy.mit.atp.mch.die.e.1</v>
      </c>
      <c r="K200" s="22" t="n">
        <f aca="false">K190+INDEX(Data_Prices!K:K,MATCH($G200,Data_Prices!$A:$A,0))*K$217</f>
        <v>0.559711213155688</v>
      </c>
      <c r="L200" s="22" t="n">
        <f aca="false">L190+INDEX(Data_Prices!L:L,MATCH($G200,Data_Prices!$A:$A,0))*L$217</f>
        <v>0.494588730841068</v>
      </c>
      <c r="M200" s="22" t="n">
        <f aca="false">M190+INDEX(Data_Prices!M:M,MATCH($G200,Data_Prices!$A:$A,0))*M$217</f>
        <v>0.507786547202501</v>
      </c>
      <c r="N200" s="22" t="n">
        <f aca="false">N190+INDEX(Data_Prices!N:N,MATCH($G200,Data_Prices!$A:$A,0))*N$217</f>
        <v>0.470436426795617</v>
      </c>
      <c r="O200" s="22" t="n">
        <f aca="false">O190+INDEX(Data_Prices!O:O,MATCH($G200,Data_Prices!$A:$A,0))*O$217</f>
        <v>0.470436426795617</v>
      </c>
      <c r="P200" s="22" t="n">
        <f aca="false">P190+INDEX(Data_Prices!P:P,MATCH($G200,Data_Prices!$A:$A,0))*P$217</f>
        <v>0.470436426795617</v>
      </c>
      <c r="Q200" s="22" t="n">
        <f aca="false">Q190+INDEX(Data_Prices!Q:Q,MATCH($G200,Data_Prices!$A:$A,0))*Q$217</f>
        <v>0.470436426795617</v>
      </c>
      <c r="R200" s="22" t="n">
        <f aca="false">R190+INDEX(Data_Prices!R:R,MATCH($G200,Data_Prices!$A:$A,0))*R$217</f>
        <v>0.470436426795617</v>
      </c>
      <c r="S200" s="22" t="n">
        <f aca="false">S190+INDEX(Data_Prices!S:S,MATCH($G200,Data_Prices!$A:$A,0))*S$217</f>
        <v>0.470436426795617</v>
      </c>
      <c r="T200" s="22" t="n">
        <f aca="false">T190+INDEX(Data_Prices!T:T,MATCH($G200,Data_Prices!$A:$A,0))*T$217</f>
        <v>0.470436426795617</v>
      </c>
      <c r="U200" s="22" t="n">
        <f aca="false">U190+INDEX(Data_Prices!U:U,MATCH($G200,Data_Prices!$A:$A,0))*U$217</f>
        <v>0.470436426795617</v>
      </c>
      <c r="V200" s="22" t="n">
        <f aca="false">V190+INDEX(Data_Prices!V:V,MATCH($G200,Data_Prices!$A:$A,0))*V$217</f>
        <v>0.470436426795617</v>
      </c>
      <c r="W200" s="22" t="n">
        <f aca="false">W190+INDEX(Data_Prices!W:W,MATCH($G200,Data_Prices!$A:$A,0))*W$217</f>
        <v>0.470436426795617</v>
      </c>
      <c r="X200" s="22" t="n">
        <f aca="false">X190+INDEX(Data_Prices!X:X,MATCH($G200,Data_Prices!$A:$A,0))*X$217</f>
        <v>0.470436426795617</v>
      </c>
      <c r="Y200" s="22" t="n">
        <f aca="false">Y190+INDEX(Data_Prices!Y:Y,MATCH($G200,Data_Prices!$A:$A,0))*Y$217</f>
        <v>0.470436426795617</v>
      </c>
      <c r="Z200" s="22" t="n">
        <f aca="false">Z190+INDEX(Data_Prices!Z:Z,MATCH($G200,Data_Prices!$A:$A,0))*Z$217</f>
        <v>0.470436426795617</v>
      </c>
      <c r="AA200" s="22" t="n">
        <f aca="false">AA190+INDEX(Data_Prices!AA:AA,MATCH($G200,Data_Prices!$A:$A,0))*AA$217</f>
        <v>0.470436426795617</v>
      </c>
      <c r="AB200" s="22" t="n">
        <f aca="false">AB190+INDEX(Data_Prices!AB:AB,MATCH($G200,Data_Prices!$A:$A,0))*AB$217</f>
        <v>0.470436426795617</v>
      </c>
      <c r="AC200" s="22" t="n">
        <f aca="false">AC190+INDEX(Data_Prices!AC:AC,MATCH($G200,Data_Prices!$A:$A,0))*AC$217</f>
        <v>0.470436426795617</v>
      </c>
      <c r="AD200" s="22" t="n">
        <f aca="false">AD190+INDEX(Data_Prices!AD:AD,MATCH($G200,Data_Prices!$A:$A,0))*AD$217</f>
        <v>0.470436426795617</v>
      </c>
      <c r="AE200" s="22" t="n">
        <f aca="false">AE190+INDEX(Data_Prices!AE:AE,MATCH($G200,Data_Prices!$A:$A,0))*AE$217</f>
        <v>0.470436426795617</v>
      </c>
    </row>
    <row r="201" customFormat="false" ht="15" hidden="false" customHeight="false" outlineLevel="0" collapsed="false">
      <c r="B201" s="17" t="s">
        <v>64</v>
      </c>
      <c r="C201" s="17" t="str">
        <f aca="false">$C$185</f>
        <v>mch</v>
      </c>
      <c r="D201" s="18" t="s">
        <v>65</v>
      </c>
      <c r="E201" s="19" t="s">
        <v>61</v>
      </c>
      <c r="F201" s="17" t="s">
        <v>77</v>
      </c>
      <c r="G201" s="20" t="str">
        <f aca="false">Settings!$B$3&amp;".mit.nce."&amp;Settings!$B$4&amp;"."&amp;$B201&amp;".a."&amp;$J$185</f>
        <v>egy.mit.nce.ind.lpg.a.1</v>
      </c>
      <c r="H201" s="21" t="str">
        <f aca="false">Settings!$B$3&amp;".mit.atp."&amp;$C$185&amp;"."&amp;$B201&amp;".e."&amp;$J$185</f>
        <v>egy.mit.atp.mch.lpg.e.1</v>
      </c>
      <c r="K201" s="22" t="n">
        <f aca="false">K191+INDEX(Data_Prices!K:K,MATCH($G201,Data_Prices!$A:$A,0))*K$217</f>
        <v>0.200366691126738</v>
      </c>
      <c r="L201" s="22" t="n">
        <f aca="false">L191+INDEX(Data_Prices!L:L,MATCH($G201,Data_Prices!$A:$A,0))*L$217</f>
        <v>0.157344736252274</v>
      </c>
      <c r="M201" s="22" t="n">
        <f aca="false">M191+INDEX(Data_Prices!M:M,MATCH($G201,Data_Prices!$A:$A,0))*M$217</f>
        <v>0.164484037759277</v>
      </c>
      <c r="N201" s="22" t="n">
        <f aca="false">N191+INDEX(Data_Prices!N:N,MATCH($G201,Data_Prices!$A:$A,0))*N$217</f>
        <v>0.150709077807049</v>
      </c>
      <c r="O201" s="22" t="n">
        <f aca="false">O191+INDEX(Data_Prices!O:O,MATCH($G201,Data_Prices!$A:$A,0))*O$217</f>
        <v>0.150709077807049</v>
      </c>
      <c r="P201" s="22" t="n">
        <f aca="false">P191+INDEX(Data_Prices!P:P,MATCH($G201,Data_Prices!$A:$A,0))*P$217</f>
        <v>0.150709077807049</v>
      </c>
      <c r="Q201" s="22" t="n">
        <f aca="false">Q191+INDEX(Data_Prices!Q:Q,MATCH($G201,Data_Prices!$A:$A,0))*Q$217</f>
        <v>0.150709077807049</v>
      </c>
      <c r="R201" s="22" t="n">
        <f aca="false">R191+INDEX(Data_Prices!R:R,MATCH($G201,Data_Prices!$A:$A,0))*R$217</f>
        <v>0.150709077807049</v>
      </c>
      <c r="S201" s="22" t="n">
        <f aca="false">S191+INDEX(Data_Prices!S:S,MATCH($G201,Data_Prices!$A:$A,0))*S$217</f>
        <v>0.150709077807049</v>
      </c>
      <c r="T201" s="22" t="n">
        <f aca="false">T191+INDEX(Data_Prices!T:T,MATCH($G201,Data_Prices!$A:$A,0))*T$217</f>
        <v>0.150709077807049</v>
      </c>
      <c r="U201" s="22" t="n">
        <f aca="false">U191+INDEX(Data_Prices!U:U,MATCH($G201,Data_Prices!$A:$A,0))*U$217</f>
        <v>0.150709077807049</v>
      </c>
      <c r="V201" s="22" t="n">
        <f aca="false">V191+INDEX(Data_Prices!V:V,MATCH($G201,Data_Prices!$A:$A,0))*V$217</f>
        <v>0.150709077807049</v>
      </c>
      <c r="W201" s="22" t="n">
        <f aca="false">W191+INDEX(Data_Prices!W:W,MATCH($G201,Data_Prices!$A:$A,0))*W$217</f>
        <v>0.150709077807049</v>
      </c>
      <c r="X201" s="22" t="n">
        <f aca="false">X191+INDEX(Data_Prices!X:X,MATCH($G201,Data_Prices!$A:$A,0))*X$217</f>
        <v>0.150709077807049</v>
      </c>
      <c r="Y201" s="22" t="n">
        <f aca="false">Y191+INDEX(Data_Prices!Y:Y,MATCH($G201,Data_Prices!$A:$A,0))*Y$217</f>
        <v>0.150709077807049</v>
      </c>
      <c r="Z201" s="22" t="n">
        <f aca="false">Z191+INDEX(Data_Prices!Z:Z,MATCH($G201,Data_Prices!$A:$A,0))*Z$217</f>
        <v>0.150709077807049</v>
      </c>
      <c r="AA201" s="22" t="n">
        <f aca="false">AA191+INDEX(Data_Prices!AA:AA,MATCH($G201,Data_Prices!$A:$A,0))*AA$217</f>
        <v>0.150709077807049</v>
      </c>
      <c r="AB201" s="22" t="n">
        <f aca="false">AB191+INDEX(Data_Prices!AB:AB,MATCH($G201,Data_Prices!$A:$A,0))*AB$217</f>
        <v>0.150709077807049</v>
      </c>
      <c r="AC201" s="22" t="n">
        <f aca="false">AC191+INDEX(Data_Prices!AC:AC,MATCH($G201,Data_Prices!$A:$A,0))*AC$217</f>
        <v>0.150709077807049</v>
      </c>
      <c r="AD201" s="22" t="n">
        <f aca="false">AD191+INDEX(Data_Prices!AD:AD,MATCH($G201,Data_Prices!$A:$A,0))*AD$217</f>
        <v>0.150709077807049</v>
      </c>
      <c r="AE201" s="22" t="n">
        <f aca="false">AE191+INDEX(Data_Prices!AE:AE,MATCH($G201,Data_Prices!$A:$A,0))*AE$217</f>
        <v>0.150709077807049</v>
      </c>
    </row>
    <row r="202" customFormat="false" ht="15" hidden="false" customHeight="false" outlineLevel="0" collapsed="false">
      <c r="B202" s="17" t="s">
        <v>66</v>
      </c>
      <c r="C202" s="17" t="str">
        <f aca="false">$C$185</f>
        <v>mch</v>
      </c>
      <c r="D202" s="18" t="s">
        <v>67</v>
      </c>
      <c r="E202" s="19" t="s">
        <v>61</v>
      </c>
      <c r="F202" s="17" t="s">
        <v>77</v>
      </c>
      <c r="G202" s="20" t="str">
        <f aca="false">Settings!$B$3&amp;".mit.nce."&amp;Settings!$B$4&amp;"."&amp;$B202&amp;".a."&amp;$J$185</f>
        <v>egy.mit.nce.ind.ker.a.1</v>
      </c>
      <c r="H202" s="21" t="str">
        <f aca="false">Settings!$B$3&amp;".mit.atp."&amp;$C$185&amp;"."&amp;$B202&amp;".e."&amp;$J$185</f>
        <v>egy.mit.atp.mch.ker.e.1</v>
      </c>
      <c r="K202" s="22" t="n">
        <f aca="false">K192+INDEX(Data_Prices!K:K,MATCH($G202,Data_Prices!$A:$A,0))*K$217</f>
        <v>0.484294240973435</v>
      </c>
      <c r="L202" s="22" t="n">
        <f aca="false">L192+INDEX(Data_Prices!L:L,MATCH($G202,Data_Prices!$A:$A,0))*L$217</f>
        <v>0.456428170500128</v>
      </c>
      <c r="M202" s="22" t="n">
        <f aca="false">M192+INDEX(Data_Prices!M:M,MATCH($G202,Data_Prices!$A:$A,0))*M$217</f>
        <v>0.431689201955995</v>
      </c>
      <c r="N202" s="22" t="n">
        <f aca="false">N192+INDEX(Data_Prices!N:N,MATCH($G202,Data_Prices!$A:$A,0))*N$217</f>
        <v>0.42507558395597</v>
      </c>
      <c r="O202" s="22" t="n">
        <f aca="false">O192+INDEX(Data_Prices!O:O,MATCH($G202,Data_Prices!$A:$A,0))*O$217</f>
        <v>0.42507558395597</v>
      </c>
      <c r="P202" s="22" t="n">
        <f aca="false">P192+INDEX(Data_Prices!P:P,MATCH($G202,Data_Prices!$A:$A,0))*P$217</f>
        <v>0.42507558395597</v>
      </c>
      <c r="Q202" s="22" t="n">
        <f aca="false">Q192+INDEX(Data_Prices!Q:Q,MATCH($G202,Data_Prices!$A:$A,0))*Q$217</f>
        <v>0.42507558395597</v>
      </c>
      <c r="R202" s="22" t="n">
        <f aca="false">R192+INDEX(Data_Prices!R:R,MATCH($G202,Data_Prices!$A:$A,0))*R$217</f>
        <v>0.42507558395597</v>
      </c>
      <c r="S202" s="22" t="n">
        <f aca="false">S192+INDEX(Data_Prices!S:S,MATCH($G202,Data_Prices!$A:$A,0))*S$217</f>
        <v>0.42507558395597</v>
      </c>
      <c r="T202" s="22" t="n">
        <f aca="false">T192+INDEX(Data_Prices!T:T,MATCH($G202,Data_Prices!$A:$A,0))*T$217</f>
        <v>0.42507558395597</v>
      </c>
      <c r="U202" s="22" t="n">
        <f aca="false">U192+INDEX(Data_Prices!U:U,MATCH($G202,Data_Prices!$A:$A,0))*U$217</f>
        <v>0.42507558395597</v>
      </c>
      <c r="V202" s="22" t="n">
        <f aca="false">V192+INDEX(Data_Prices!V:V,MATCH($G202,Data_Prices!$A:$A,0))*V$217</f>
        <v>0.42507558395597</v>
      </c>
      <c r="W202" s="22" t="n">
        <f aca="false">W192+INDEX(Data_Prices!W:W,MATCH($G202,Data_Prices!$A:$A,0))*W$217</f>
        <v>0.42507558395597</v>
      </c>
      <c r="X202" s="22" t="n">
        <f aca="false">X192+INDEX(Data_Prices!X:X,MATCH($G202,Data_Prices!$A:$A,0))*X$217</f>
        <v>0.42507558395597</v>
      </c>
      <c r="Y202" s="22" t="n">
        <f aca="false">Y192+INDEX(Data_Prices!Y:Y,MATCH($G202,Data_Prices!$A:$A,0))*Y$217</f>
        <v>0.42507558395597</v>
      </c>
      <c r="Z202" s="22" t="n">
        <f aca="false">Z192+INDEX(Data_Prices!Z:Z,MATCH($G202,Data_Prices!$A:$A,0))*Z$217</f>
        <v>0.42507558395597</v>
      </c>
      <c r="AA202" s="22" t="n">
        <f aca="false">AA192+INDEX(Data_Prices!AA:AA,MATCH($G202,Data_Prices!$A:$A,0))*AA$217</f>
        <v>0.42507558395597</v>
      </c>
      <c r="AB202" s="22" t="n">
        <f aca="false">AB192+INDEX(Data_Prices!AB:AB,MATCH($G202,Data_Prices!$A:$A,0))*AB$217</f>
        <v>0.42507558395597</v>
      </c>
      <c r="AC202" s="22" t="n">
        <f aca="false">AC192+INDEX(Data_Prices!AC:AC,MATCH($G202,Data_Prices!$A:$A,0))*AC$217</f>
        <v>0.42507558395597</v>
      </c>
      <c r="AD202" s="22" t="n">
        <f aca="false">AD192+INDEX(Data_Prices!AD:AD,MATCH($G202,Data_Prices!$A:$A,0))*AD$217</f>
        <v>0.42507558395597</v>
      </c>
      <c r="AE202" s="22" t="n">
        <f aca="false">AE192+INDEX(Data_Prices!AE:AE,MATCH($G202,Data_Prices!$A:$A,0))*AE$217</f>
        <v>0.42507558395597</v>
      </c>
    </row>
    <row r="203" customFormat="false" ht="15" hidden="false" customHeight="false" outlineLevel="0" collapsed="false">
      <c r="B203" s="17" t="s">
        <v>68</v>
      </c>
      <c r="C203" s="17" t="str">
        <f aca="false">$C$185</f>
        <v>mch</v>
      </c>
      <c r="D203" s="18" t="s">
        <v>69</v>
      </c>
      <c r="E203" s="19" t="s">
        <v>70</v>
      </c>
      <c r="F203" s="17" t="s">
        <v>77</v>
      </c>
      <c r="G203" s="20" t="str">
        <f aca="false">Settings!$B$3&amp;".mit.nce."&amp;Settings!$B$4&amp;"."&amp;$B203&amp;".a."&amp;$J$185</f>
        <v>egy.mit.nce.ind.oop.a.1</v>
      </c>
      <c r="H203" s="21" t="str">
        <f aca="false">Settings!$B$3&amp;".mit.atp."&amp;$C$185&amp;"."&amp;$B203&amp;".e."&amp;$J$185</f>
        <v>egy.mit.atp.mch.oop.e.1</v>
      </c>
      <c r="K203" s="22" t="n">
        <f aca="false">K193+INDEX(Data_Prices!K:K,MATCH($G203,Data_Prices!$A:$A,0))*K$217</f>
        <v>41.5003384988684</v>
      </c>
      <c r="L203" s="22" t="n">
        <f aca="false">L193+INDEX(Data_Prices!L:L,MATCH($G203,Data_Prices!$A:$A,0))*L$217</f>
        <v>34.4153703043132</v>
      </c>
      <c r="M203" s="22" t="n">
        <f aca="false">M193+INDEX(Data_Prices!M:M,MATCH($G203,Data_Prices!$A:$A,0))*M$217</f>
        <v>37.368960690432</v>
      </c>
      <c r="N203" s="22" t="n">
        <f aca="false">N193+INDEX(Data_Prices!N:N,MATCH($G203,Data_Prices!$A:$A,0))*N$217</f>
        <v>28.9827611014773</v>
      </c>
      <c r="O203" s="22" t="n">
        <f aca="false">O193+INDEX(Data_Prices!O:O,MATCH($G203,Data_Prices!$A:$A,0))*O$217</f>
        <v>15</v>
      </c>
      <c r="P203" s="22" t="n">
        <f aca="false">P193+INDEX(Data_Prices!P:P,MATCH($G203,Data_Prices!$A:$A,0))*P$217</f>
        <v>24.2586300842555</v>
      </c>
      <c r="Q203" s="22" t="n">
        <f aca="false">Q193+INDEX(Data_Prices!Q:Q,MATCH($G203,Data_Prices!$A:$A,0))*Q$217</f>
        <v>15</v>
      </c>
      <c r="R203" s="22" t="n">
        <f aca="false">R193+INDEX(Data_Prices!R:R,MATCH($G203,Data_Prices!$A:$A,0))*R$217</f>
        <v>15</v>
      </c>
      <c r="S203" s="22" t="n">
        <f aca="false">S193+INDEX(Data_Prices!S:S,MATCH($G203,Data_Prices!$A:$A,0))*S$217</f>
        <v>15</v>
      </c>
      <c r="T203" s="22" t="n">
        <f aca="false">T193+INDEX(Data_Prices!T:T,MATCH($G203,Data_Prices!$A:$A,0))*T$217</f>
        <v>15</v>
      </c>
      <c r="U203" s="22" t="n">
        <f aca="false">U193+INDEX(Data_Prices!U:U,MATCH($G203,Data_Prices!$A:$A,0))*U$217</f>
        <v>15</v>
      </c>
      <c r="V203" s="22" t="n">
        <f aca="false">V193+INDEX(Data_Prices!V:V,MATCH($G203,Data_Prices!$A:$A,0))*V$217</f>
        <v>15</v>
      </c>
      <c r="W203" s="22" t="n">
        <f aca="false">W193+INDEX(Data_Prices!W:W,MATCH($G203,Data_Prices!$A:$A,0))*W$217</f>
        <v>15</v>
      </c>
      <c r="X203" s="22" t="n">
        <f aca="false">X193+INDEX(Data_Prices!X:X,MATCH($G203,Data_Prices!$A:$A,0))*X$217</f>
        <v>15</v>
      </c>
      <c r="Y203" s="22" t="n">
        <f aca="false">Y193+INDEX(Data_Prices!Y:Y,MATCH($G203,Data_Prices!$A:$A,0))*Y$217</f>
        <v>15</v>
      </c>
      <c r="Z203" s="22" t="n">
        <f aca="false">Z193+INDEX(Data_Prices!Z:Z,MATCH($G203,Data_Prices!$A:$A,0))*Z$217</f>
        <v>15</v>
      </c>
      <c r="AA203" s="22" t="n">
        <f aca="false">AA193+INDEX(Data_Prices!AA:AA,MATCH($G203,Data_Prices!$A:$A,0))*AA$217</f>
        <v>15</v>
      </c>
      <c r="AB203" s="22" t="n">
        <f aca="false">AB193+INDEX(Data_Prices!AB:AB,MATCH($G203,Data_Prices!$A:$A,0))*AB$217</f>
        <v>15</v>
      </c>
      <c r="AC203" s="22" t="n">
        <f aca="false">AC193+INDEX(Data_Prices!AC:AC,MATCH($G203,Data_Prices!$A:$A,0))*AC$217</f>
        <v>15</v>
      </c>
      <c r="AD203" s="22" t="n">
        <f aca="false">AD193+INDEX(Data_Prices!AD:AD,MATCH($G203,Data_Prices!$A:$A,0))*AD$217</f>
        <v>15</v>
      </c>
      <c r="AE203" s="22" t="n">
        <f aca="false">AE193+INDEX(Data_Prices!AE:AE,MATCH($G203,Data_Prices!$A:$A,0))*AE$217</f>
        <v>15</v>
      </c>
    </row>
    <row r="204" customFormat="false" ht="15" hidden="false" customHeight="false" outlineLevel="0" collapsed="false">
      <c r="B204" s="17" t="s">
        <v>71</v>
      </c>
      <c r="C204" s="17" t="str">
        <f aca="false">$C$185</f>
        <v>mch</v>
      </c>
      <c r="D204" s="18" t="s">
        <v>72</v>
      </c>
      <c r="E204" s="19" t="s">
        <v>55</v>
      </c>
      <c r="F204" s="17" t="s">
        <v>77</v>
      </c>
      <c r="G204" s="20" t="str">
        <f aca="false">Settings!$B$3&amp;".mit.nce."&amp;Settings!$B$4&amp;"."&amp;$B204&amp;".a."&amp;$J$185</f>
        <v>egy.mit.nce.ind.bio.a.1</v>
      </c>
      <c r="H204" s="21" t="str">
        <f aca="false">Settings!$B$3&amp;".mit.atp."&amp;$C$185&amp;"."&amp;$B204&amp;".e."&amp;$J$185</f>
        <v>egy.mit.atp.mch.bio.e.1</v>
      </c>
      <c r="K204" s="22" t="n">
        <f aca="false">K194+INDEX(Data_Prices!K:K,MATCH($G204,Data_Prices!$A:$A,0))*K$217</f>
        <v>15.3345505293169</v>
      </c>
      <c r="L204" s="22" t="n">
        <f aca="false">L194+INDEX(Data_Prices!L:L,MATCH($G204,Data_Prices!$A:$A,0))*L$217</f>
        <v>14.1995283906349</v>
      </c>
      <c r="M204" s="22" t="n">
        <f aca="false">M194+INDEX(Data_Prices!M:M,MATCH($G204,Data_Prices!$A:$A,0))*M$217</f>
        <v>13.8404416133152</v>
      </c>
      <c r="N204" s="22" t="n">
        <f aca="false">N194+INDEX(Data_Prices!N:N,MATCH($G204,Data_Prices!$A:$A,0))*N$217</f>
        <v>13.5677269404465</v>
      </c>
      <c r="O204" s="22" t="n">
        <f aca="false">O194+INDEX(Data_Prices!O:O,MATCH($G204,Data_Prices!$A:$A,0))*O$217</f>
        <v>13.5677269404465</v>
      </c>
      <c r="P204" s="22" t="n">
        <f aca="false">P194+INDEX(Data_Prices!P:P,MATCH($G204,Data_Prices!$A:$A,0))*P$217</f>
        <v>13.5677269404465</v>
      </c>
      <c r="Q204" s="22" t="n">
        <f aca="false">Q194+INDEX(Data_Prices!Q:Q,MATCH($G204,Data_Prices!$A:$A,0))*Q$217</f>
        <v>13.5677269404465</v>
      </c>
      <c r="R204" s="22" t="n">
        <f aca="false">R194+INDEX(Data_Prices!R:R,MATCH($G204,Data_Prices!$A:$A,0))*R$217</f>
        <v>13.5677269404465</v>
      </c>
      <c r="S204" s="22" t="n">
        <f aca="false">S194+INDEX(Data_Prices!S:S,MATCH($G204,Data_Prices!$A:$A,0))*S$217</f>
        <v>13.5677269404465</v>
      </c>
      <c r="T204" s="22" t="n">
        <f aca="false">T194+INDEX(Data_Prices!T:T,MATCH($G204,Data_Prices!$A:$A,0))*T$217</f>
        <v>13.5677269404465</v>
      </c>
      <c r="U204" s="22" t="n">
        <f aca="false">U194+INDEX(Data_Prices!U:U,MATCH($G204,Data_Prices!$A:$A,0))*U$217</f>
        <v>13.5677269404465</v>
      </c>
      <c r="V204" s="22" t="n">
        <f aca="false">V194+INDEX(Data_Prices!V:V,MATCH($G204,Data_Prices!$A:$A,0))*V$217</f>
        <v>13.5677269404465</v>
      </c>
      <c r="W204" s="22" t="n">
        <f aca="false">W194+INDEX(Data_Prices!W:W,MATCH($G204,Data_Prices!$A:$A,0))*W$217</f>
        <v>13.5677269404465</v>
      </c>
      <c r="X204" s="22" t="n">
        <f aca="false">X194+INDEX(Data_Prices!X:X,MATCH($G204,Data_Prices!$A:$A,0))*X$217</f>
        <v>13.5677269404465</v>
      </c>
      <c r="Y204" s="22" t="n">
        <f aca="false">Y194+INDEX(Data_Prices!Y:Y,MATCH($G204,Data_Prices!$A:$A,0))*Y$217</f>
        <v>13.5677269404465</v>
      </c>
      <c r="Z204" s="22" t="n">
        <f aca="false">Z194+INDEX(Data_Prices!Z:Z,MATCH($G204,Data_Prices!$A:$A,0))*Z$217</f>
        <v>13.5677269404465</v>
      </c>
      <c r="AA204" s="22" t="n">
        <f aca="false">AA194+INDEX(Data_Prices!AA:AA,MATCH($G204,Data_Prices!$A:$A,0))*AA$217</f>
        <v>13.5677269404465</v>
      </c>
      <c r="AB204" s="22" t="n">
        <f aca="false">AB194+INDEX(Data_Prices!AB:AB,MATCH($G204,Data_Prices!$A:$A,0))*AB$217</f>
        <v>13.5677269404465</v>
      </c>
      <c r="AC204" s="22" t="n">
        <f aca="false">AC194+INDEX(Data_Prices!AC:AC,MATCH($G204,Data_Prices!$A:$A,0))*AC$217</f>
        <v>13.5677269404465</v>
      </c>
      <c r="AD204" s="22" t="n">
        <f aca="false">AD194+INDEX(Data_Prices!AD:AD,MATCH($G204,Data_Prices!$A:$A,0))*AD$217</f>
        <v>13.5677269404465</v>
      </c>
      <c r="AE204" s="22" t="n">
        <f aca="false">AE194+INDEX(Data_Prices!AE:AE,MATCH($G204,Data_Prices!$A:$A,0))*AE$217</f>
        <v>13.5677269404465</v>
      </c>
    </row>
    <row r="205" customFormat="false" ht="15" hidden="false" customHeight="false" outlineLevel="0" collapsed="false">
      <c r="B205" s="17" t="s">
        <v>73</v>
      </c>
      <c r="C205" s="17" t="str">
        <f aca="false">$C$185</f>
        <v>mch</v>
      </c>
      <c r="D205" s="18" t="s">
        <v>74</v>
      </c>
      <c r="E205" s="19" t="s">
        <v>75</v>
      </c>
      <c r="F205" s="17" t="s">
        <v>77</v>
      </c>
      <c r="G205" s="20" t="str">
        <f aca="false">Settings!$B$3&amp;".mit.nce."&amp;Settings!$B$4&amp;"."&amp;$B205&amp;".a."&amp;$J$185</f>
        <v>egy.mit.nce.ind.ren.a.1</v>
      </c>
      <c r="H205" s="21" t="str">
        <f aca="false">Settings!$B$3&amp;".mit.atp."&amp;$C$185&amp;"."&amp;$B205&amp;".e."&amp;$J$185</f>
        <v>egy.mit.atp.mch.ren.e.1</v>
      </c>
      <c r="K205" s="22" t="n">
        <f aca="false">K195+INDEX(Data_Prices!K:K,MATCH($G205,Data_Prices!$A:$A,0))*K$217</f>
        <v>0</v>
      </c>
      <c r="L205" s="22" t="n">
        <f aca="false">L195+INDEX(Data_Prices!L:L,MATCH($G205,Data_Prices!$A:$A,0))*L$217</f>
        <v>0.144044986793198</v>
      </c>
      <c r="M205" s="22" t="n">
        <f aca="false">M195+INDEX(Data_Prices!M:M,MATCH($G205,Data_Prices!$A:$A,0))*M$217</f>
        <v>0.141020409657004</v>
      </c>
      <c r="N205" s="22" t="n">
        <f aca="false">N195+INDEX(Data_Prices!N:N,MATCH($G205,Data_Prices!$A:$A,0))*N$217</f>
        <v>0.135116359594476</v>
      </c>
      <c r="O205" s="22" t="n">
        <f aca="false">O195+INDEX(Data_Prices!O:O,MATCH($G205,Data_Prices!$A:$A,0))*O$217</f>
        <v>0.130988256985856</v>
      </c>
      <c r="P205" s="22" t="n">
        <f aca="false">P195+INDEX(Data_Prices!P:P,MATCH($G205,Data_Prices!$A:$A,0))*P$217</f>
        <v>0.127908416086318</v>
      </c>
      <c r="Q205" s="22" t="n">
        <f aca="false">Q195+INDEX(Data_Prices!Q:Q,MATCH($G205,Data_Prices!$A:$A,0))*Q$217</f>
        <v>0.124814310557813</v>
      </c>
      <c r="R205" s="22" t="n">
        <f aca="false">R195+INDEX(Data_Prices!R:R,MATCH($G205,Data_Prices!$A:$A,0))*R$217</f>
        <v>0.121460257122878</v>
      </c>
      <c r="S205" s="22" t="n">
        <f aca="false">S195+INDEX(Data_Prices!S:S,MATCH($G205,Data_Prices!$A:$A,0))*S$217</f>
        <v>0.117950744135786</v>
      </c>
      <c r="T205" s="22" t="n">
        <f aca="false">T195+INDEX(Data_Prices!T:T,MATCH($G205,Data_Prices!$A:$A,0))*T$217</f>
        <v>0.114199161044597</v>
      </c>
      <c r="U205" s="22" t="n">
        <f aca="false">U195+INDEX(Data_Prices!U:U,MATCH($G205,Data_Prices!$A:$A,0))*U$217</f>
        <v>0.113665100059665</v>
      </c>
      <c r="V205" s="22" t="n">
        <f aca="false">V195+INDEX(Data_Prices!V:V,MATCH($G205,Data_Prices!$A:$A,0))*V$217</f>
        <v>0.113016929625957</v>
      </c>
      <c r="W205" s="22" t="n">
        <f aca="false">W195+INDEX(Data_Prices!W:W,MATCH($G205,Data_Prices!$A:$A,0))*W$217</f>
        <v>0.112314070507636</v>
      </c>
      <c r="X205" s="22" t="n">
        <f aca="false">X195+INDEX(Data_Prices!X:X,MATCH($G205,Data_Prices!$A:$A,0))*X$217</f>
        <v>0.111422042732843</v>
      </c>
      <c r="Y205" s="22" t="n">
        <f aca="false">Y195+INDEX(Data_Prices!Y:Y,MATCH($G205,Data_Prices!$A:$A,0))*Y$217</f>
        <v>0.110434123675809</v>
      </c>
      <c r="Z205" s="22" t="n">
        <f aca="false">Z195+INDEX(Data_Prices!Z:Z,MATCH($G205,Data_Prices!$A:$A,0))*Z$217</f>
        <v>0.109483973304471</v>
      </c>
      <c r="AA205" s="22" t="n">
        <f aca="false">AA195+INDEX(Data_Prices!AA:AA,MATCH($G205,Data_Prices!$A:$A,0))*AA$217</f>
        <v>0.10839192105294</v>
      </c>
      <c r="AB205" s="22" t="n">
        <f aca="false">AB195+INDEX(Data_Prices!AB:AB,MATCH($G205,Data_Prices!$A:$A,0))*AB$217</f>
        <v>0.107354433626704</v>
      </c>
      <c r="AC205" s="22" t="n">
        <f aca="false">AC195+INDEX(Data_Prices!AC:AC,MATCH($G205,Data_Prices!$A:$A,0))*AC$217</f>
        <v>0.105168675441661</v>
      </c>
      <c r="AD205" s="22" t="n">
        <f aca="false">AD195+INDEX(Data_Prices!AD:AD,MATCH($G205,Data_Prices!$A:$A,0))*AD$217</f>
        <v>0.103057983256008</v>
      </c>
      <c r="AE205" s="22" t="n">
        <f aca="false">AE195+INDEX(Data_Prices!AE:AE,MATCH($G205,Data_Prices!$A:$A,0))*AE$217</f>
        <v>0.100931838990114</v>
      </c>
    </row>
    <row r="206" customFormat="false" ht="15" hidden="false" customHeight="false" outlineLevel="0" collapsed="false">
      <c r="B206" s="16" t="s">
        <v>78</v>
      </c>
    </row>
    <row r="207" customFormat="false" ht="15" hidden="false" customHeight="false" outlineLevel="0" collapsed="false">
      <c r="B207" s="17" t="s">
        <v>53</v>
      </c>
      <c r="C207" s="17" t="str">
        <f aca="false">$C$185</f>
        <v>mch</v>
      </c>
      <c r="D207" s="18" t="s">
        <v>54</v>
      </c>
      <c r="E207" s="19" t="s">
        <v>55</v>
      </c>
      <c r="F207" s="17" t="s">
        <v>79</v>
      </c>
      <c r="G207" s="20" t="str">
        <f aca="false">Settings!$B$3&amp;".mit.shp."&amp;$B207&amp;"."&amp;Settings!$B$4&amp;"."&amp;$J$185</f>
        <v>egy.mit.shp.coa.ind.1</v>
      </c>
      <c r="H207" s="21" t="str">
        <f aca="false">Settings!$B$3&amp;".mit.shp."&amp;$C$185&amp;"."&amp;$B207&amp;".e."&amp;$J$185</f>
        <v>egy.mit.shp.mch.coa.e.1</v>
      </c>
      <c r="K207" s="23" t="n">
        <f aca="false">K197+INDEX(Data_Prices!K:K,MATCH($G207,Data_Prices!$A:$A,0))*K$218</f>
        <v>11.1829015892439</v>
      </c>
      <c r="L207" s="23" t="n">
        <f aca="false">L197+INDEX(Data_Prices!L:L,MATCH($G207,Data_Prices!$A:$A,0))*L$218</f>
        <v>10.5233613454312</v>
      </c>
      <c r="M207" s="23" t="n">
        <f aca="false">M197+INDEX(Data_Prices!M:M,MATCH($G207,Data_Prices!$A:$A,0))*M$218</f>
        <v>10.2995608274442</v>
      </c>
      <c r="N207" s="23" t="n">
        <f aca="false">N197+INDEX(Data_Prices!N:N,MATCH($G207,Data_Prices!$A:$A,0))*N$218</f>
        <v>9.57752835953826</v>
      </c>
      <c r="O207" s="23" t="n">
        <f aca="false">O197+INDEX(Data_Prices!O:O,MATCH($G207,Data_Prices!$A:$A,0))*O$218</f>
        <v>8.48547828695805</v>
      </c>
      <c r="P207" s="23" t="n">
        <f aca="false">P197+INDEX(Data_Prices!P:P,MATCH($G207,Data_Prices!$A:$A,0))*P$218</f>
        <v>9.08719223524986</v>
      </c>
      <c r="Q207" s="23" t="n">
        <f aca="false">Q197+INDEX(Data_Prices!Q:Q,MATCH($G207,Data_Prices!$A:$A,0))*Q$218</f>
        <v>9.22292372893268</v>
      </c>
      <c r="R207" s="23" t="n">
        <f aca="false">R197+INDEX(Data_Prices!R:R,MATCH($G207,Data_Prices!$A:$A,0))*R$218</f>
        <v>9.15856495550969</v>
      </c>
      <c r="S207" s="23" t="n">
        <f aca="false">S197+INDEX(Data_Prices!S:S,MATCH($G207,Data_Prices!$A:$A,0))*S$218</f>
        <v>9.08954787739738</v>
      </c>
      <c r="T207" s="23" t="n">
        <f aca="false">T197+INDEX(Data_Prices!T:T,MATCH($G207,Data_Prices!$A:$A,0))*T$218</f>
        <v>9.01568166602283</v>
      </c>
      <c r="U207" s="23" t="n">
        <f aca="false">U197+INDEX(Data_Prices!U:U,MATCH($G207,Data_Prices!$A:$A,0))*U$218</f>
        <v>8.94439776555711</v>
      </c>
      <c r="V207" s="23" t="n">
        <f aca="false">V197+INDEX(Data_Prices!V:V,MATCH($G207,Data_Prices!$A:$A,0))*V$218</f>
        <v>8.94439776555711</v>
      </c>
      <c r="W207" s="23" t="n">
        <f aca="false">W197+INDEX(Data_Prices!W:W,MATCH($G207,Data_Prices!$A:$A,0))*W$218</f>
        <v>8.94439776555711</v>
      </c>
      <c r="X207" s="23" t="n">
        <f aca="false">X197+INDEX(Data_Prices!X:X,MATCH($G207,Data_Prices!$A:$A,0))*X$218</f>
        <v>8.94439776555711</v>
      </c>
      <c r="Y207" s="23" t="n">
        <f aca="false">Y197+INDEX(Data_Prices!Y:Y,MATCH($G207,Data_Prices!$A:$A,0))*Y$218</f>
        <v>8.94439776555711</v>
      </c>
      <c r="Z207" s="23" t="n">
        <f aca="false">Z197+INDEX(Data_Prices!Z:Z,MATCH($G207,Data_Prices!$A:$A,0))*Z$218</f>
        <v>8.94439776555711</v>
      </c>
      <c r="AA207" s="23" t="n">
        <f aca="false">AA197+INDEX(Data_Prices!AA:AA,MATCH($G207,Data_Prices!$A:$A,0))*AA$218</f>
        <v>8.94439776555711</v>
      </c>
      <c r="AB207" s="23" t="n">
        <f aca="false">AB197+INDEX(Data_Prices!AB:AB,MATCH($G207,Data_Prices!$A:$A,0))*AB$218</f>
        <v>8.94439776555711</v>
      </c>
      <c r="AC207" s="23" t="n">
        <f aca="false">AC197+INDEX(Data_Prices!AC:AC,MATCH($G207,Data_Prices!$A:$A,0))*AC$218</f>
        <v>8.94439776555711</v>
      </c>
      <c r="AD207" s="23" t="n">
        <f aca="false">AD197+INDEX(Data_Prices!AD:AD,MATCH($G207,Data_Prices!$A:$A,0))*AD$218</f>
        <v>8.94439776555711</v>
      </c>
      <c r="AE207" s="23" t="n">
        <f aca="false">AE197+INDEX(Data_Prices!AE:AE,MATCH($G207,Data_Prices!$A:$A,0))*AE$218</f>
        <v>8.94439776555711</v>
      </c>
    </row>
    <row r="208" customFormat="false" ht="15" hidden="false" customHeight="false" outlineLevel="0" collapsed="false">
      <c r="B208" s="17" t="s">
        <v>57</v>
      </c>
      <c r="C208" s="17" t="str">
        <f aca="false">$C$185</f>
        <v>mch</v>
      </c>
      <c r="D208" s="18" t="s">
        <v>58</v>
      </c>
      <c r="E208" s="19" t="s">
        <v>55</v>
      </c>
      <c r="F208" s="17" t="s">
        <v>79</v>
      </c>
      <c r="G208" s="20" t="str">
        <f aca="false">Settings!$B$3&amp;".mit.shp."&amp;$B208&amp;"."&amp;Settings!$B$4&amp;"."&amp;$J$185</f>
        <v>egy.mit.shp.nga.ind.1</v>
      </c>
      <c r="H208" s="21" t="str">
        <f aca="false">Settings!$B$3&amp;".mit.shp."&amp;$C$185&amp;"."&amp;$B208&amp;".e."&amp;$J$185</f>
        <v>egy.mit.shp.mch.nga.e.1</v>
      </c>
      <c r="K208" s="23" t="n">
        <f aca="false">K198+INDEX(Data_Prices!K:K,MATCH($G208,Data_Prices!$A:$A,0))*K$218</f>
        <v>6.06346361567291</v>
      </c>
      <c r="L208" s="23" t="n">
        <f aca="false">L198+INDEX(Data_Prices!L:L,MATCH($G208,Data_Prices!$A:$A,0))*L$218</f>
        <v>5.45101508161919</v>
      </c>
      <c r="M208" s="23" t="n">
        <f aca="false">M198+INDEX(Data_Prices!M:M,MATCH($G208,Data_Prices!$A:$A,0))*M$218</f>
        <v>5.11935630626248</v>
      </c>
      <c r="N208" s="23" t="n">
        <f aca="false">N198+INDEX(Data_Prices!N:N,MATCH($G208,Data_Prices!$A:$A,0))*N$218</f>
        <v>5.08218458640407</v>
      </c>
      <c r="O208" s="23" t="n">
        <f aca="false">O198+INDEX(Data_Prices!O:O,MATCH($G208,Data_Prices!$A:$A,0))*O$218</f>
        <v>5.08218458640407</v>
      </c>
      <c r="P208" s="23" t="n">
        <f aca="false">P198+INDEX(Data_Prices!P:P,MATCH($G208,Data_Prices!$A:$A,0))*P$218</f>
        <v>5.08218458640407</v>
      </c>
      <c r="Q208" s="23" t="n">
        <f aca="false">Q198+INDEX(Data_Prices!Q:Q,MATCH($G208,Data_Prices!$A:$A,0))*Q$218</f>
        <v>5.08218458640407</v>
      </c>
      <c r="R208" s="23" t="n">
        <f aca="false">R198+INDEX(Data_Prices!R:R,MATCH($G208,Data_Prices!$A:$A,0))*R$218</f>
        <v>5.08218458640407</v>
      </c>
      <c r="S208" s="23" t="n">
        <f aca="false">S198+INDEX(Data_Prices!S:S,MATCH($G208,Data_Prices!$A:$A,0))*S$218</f>
        <v>5.08218458640407</v>
      </c>
      <c r="T208" s="23" t="n">
        <f aca="false">T198+INDEX(Data_Prices!T:T,MATCH($G208,Data_Prices!$A:$A,0))*T$218</f>
        <v>5.08218458640407</v>
      </c>
      <c r="U208" s="23" t="n">
        <f aca="false">U198+INDEX(Data_Prices!U:U,MATCH($G208,Data_Prices!$A:$A,0))*U$218</f>
        <v>5.08218458640407</v>
      </c>
      <c r="V208" s="23" t="n">
        <f aca="false">V198+INDEX(Data_Prices!V:V,MATCH($G208,Data_Prices!$A:$A,0))*V$218</f>
        <v>5.08218458640407</v>
      </c>
      <c r="W208" s="23" t="n">
        <f aca="false">W198+INDEX(Data_Prices!W:W,MATCH($G208,Data_Prices!$A:$A,0))*W$218</f>
        <v>5.08218458640407</v>
      </c>
      <c r="X208" s="23" t="n">
        <f aca="false">X198+INDEX(Data_Prices!X:X,MATCH($G208,Data_Prices!$A:$A,0))*X$218</f>
        <v>5.08218458640407</v>
      </c>
      <c r="Y208" s="23" t="n">
        <f aca="false">Y198+INDEX(Data_Prices!Y:Y,MATCH($G208,Data_Prices!$A:$A,0))*Y$218</f>
        <v>5.08218458640407</v>
      </c>
      <c r="Z208" s="23" t="n">
        <f aca="false">Z198+INDEX(Data_Prices!Z:Z,MATCH($G208,Data_Prices!$A:$A,0))*Z$218</f>
        <v>5.08218458640407</v>
      </c>
      <c r="AA208" s="23" t="n">
        <f aca="false">AA198+INDEX(Data_Prices!AA:AA,MATCH($G208,Data_Prices!$A:$A,0))*AA$218</f>
        <v>5.08218458640407</v>
      </c>
      <c r="AB208" s="23" t="n">
        <f aca="false">AB198+INDEX(Data_Prices!AB:AB,MATCH($G208,Data_Prices!$A:$A,0))*AB$218</f>
        <v>5.08218458640407</v>
      </c>
      <c r="AC208" s="23" t="n">
        <f aca="false">AC198+INDEX(Data_Prices!AC:AC,MATCH($G208,Data_Prices!$A:$A,0))*AC$218</f>
        <v>5.08218458640407</v>
      </c>
      <c r="AD208" s="23" t="n">
        <f aca="false">AD198+INDEX(Data_Prices!AD:AD,MATCH($G208,Data_Prices!$A:$A,0))*AD$218</f>
        <v>5.08218458640407</v>
      </c>
      <c r="AE208" s="23" t="n">
        <f aca="false">AE198+INDEX(Data_Prices!AE:AE,MATCH($G208,Data_Prices!$A:$A,0))*AE$218</f>
        <v>5.08218458640407</v>
      </c>
    </row>
    <row r="209" customFormat="false" ht="15" hidden="false" customHeight="false" outlineLevel="0" collapsed="false">
      <c r="B209" s="17" t="s">
        <v>59</v>
      </c>
      <c r="C209" s="17" t="str">
        <f aca="false">$C$185</f>
        <v>mch</v>
      </c>
      <c r="D209" s="18" t="s">
        <v>60</v>
      </c>
      <c r="E209" s="19" t="s">
        <v>61</v>
      </c>
      <c r="F209" s="17" t="s">
        <v>79</v>
      </c>
      <c r="G209" s="20" t="str">
        <f aca="false">Settings!$B$3&amp;".mit.shp."&amp;$B209&amp;"."&amp;Settings!$B$4&amp;"."&amp;$J$185</f>
        <v>egy.mit.shp.gso.ind.1</v>
      </c>
      <c r="H209" s="21" t="str">
        <f aca="false">Settings!$B$3&amp;".mit.shp."&amp;$C$185&amp;"."&amp;$B209&amp;".e."&amp;$J$185</f>
        <v>egy.mit.shp.mch.gso.e.1</v>
      </c>
      <c r="K209" s="23" t="n">
        <f aca="false">K199+INDEX(Data_Prices!K:K,MATCH($G209,Data_Prices!$A:$A,0))*K$218</f>
        <v>0.671146533321816</v>
      </c>
      <c r="L209" s="23" t="n">
        <f aca="false">L199+INDEX(Data_Prices!L:L,MATCH($G209,Data_Prices!$A:$A,0))*L$218</f>
        <v>0.611977976791406</v>
      </c>
      <c r="M209" s="23" t="n">
        <f aca="false">M199+INDEX(Data_Prices!M:M,MATCH($G209,Data_Prices!$A:$A,0))*M$218</f>
        <v>0.611809749641876</v>
      </c>
      <c r="N209" s="23" t="n">
        <f aca="false">N199+INDEX(Data_Prices!N:N,MATCH($G209,Data_Prices!$A:$A,0))*N$218</f>
        <v>0.603583100177906</v>
      </c>
      <c r="O209" s="23" t="n">
        <f aca="false">O199+INDEX(Data_Prices!O:O,MATCH($G209,Data_Prices!$A:$A,0))*O$218</f>
        <v>0.603583100177906</v>
      </c>
      <c r="P209" s="23" t="n">
        <f aca="false">P199+INDEX(Data_Prices!P:P,MATCH($G209,Data_Prices!$A:$A,0))*P$218</f>
        <v>0.603583100177906</v>
      </c>
      <c r="Q209" s="23" t="n">
        <f aca="false">Q199+INDEX(Data_Prices!Q:Q,MATCH($G209,Data_Prices!$A:$A,0))*Q$218</f>
        <v>0.603583100177906</v>
      </c>
      <c r="R209" s="23" t="n">
        <f aca="false">R199+INDEX(Data_Prices!R:R,MATCH($G209,Data_Prices!$A:$A,0))*R$218</f>
        <v>0.603583100177906</v>
      </c>
      <c r="S209" s="23" t="n">
        <f aca="false">S199+INDEX(Data_Prices!S:S,MATCH($G209,Data_Prices!$A:$A,0))*S$218</f>
        <v>0.603583100177906</v>
      </c>
      <c r="T209" s="23" t="n">
        <f aca="false">T199+INDEX(Data_Prices!T:T,MATCH($G209,Data_Prices!$A:$A,0))*T$218</f>
        <v>0.603583100177906</v>
      </c>
      <c r="U209" s="23" t="n">
        <f aca="false">U199+INDEX(Data_Prices!U:U,MATCH($G209,Data_Prices!$A:$A,0))*U$218</f>
        <v>0.603583100177906</v>
      </c>
      <c r="V209" s="23" t="n">
        <f aca="false">V199+INDEX(Data_Prices!V:V,MATCH($G209,Data_Prices!$A:$A,0))*V$218</f>
        <v>0.603583100177906</v>
      </c>
      <c r="W209" s="23" t="n">
        <f aca="false">W199+INDEX(Data_Prices!W:W,MATCH($G209,Data_Prices!$A:$A,0))*W$218</f>
        <v>0.603583100177906</v>
      </c>
      <c r="X209" s="23" t="n">
        <f aca="false">X199+INDEX(Data_Prices!X:X,MATCH($G209,Data_Prices!$A:$A,0))*X$218</f>
        <v>0.603583100177906</v>
      </c>
      <c r="Y209" s="23" t="n">
        <f aca="false">Y199+INDEX(Data_Prices!Y:Y,MATCH($G209,Data_Prices!$A:$A,0))*Y$218</f>
        <v>0.603583100177906</v>
      </c>
      <c r="Z209" s="23" t="n">
        <f aca="false">Z199+INDEX(Data_Prices!Z:Z,MATCH($G209,Data_Prices!$A:$A,0))*Z$218</f>
        <v>0.603583100177906</v>
      </c>
      <c r="AA209" s="23" t="n">
        <f aca="false">AA199+INDEX(Data_Prices!AA:AA,MATCH($G209,Data_Prices!$A:$A,0))*AA$218</f>
        <v>0.603583100177906</v>
      </c>
      <c r="AB209" s="23" t="n">
        <f aca="false">AB199+INDEX(Data_Prices!AB:AB,MATCH($G209,Data_Prices!$A:$A,0))*AB$218</f>
        <v>0.603583100177906</v>
      </c>
      <c r="AC209" s="23" t="n">
        <f aca="false">AC199+INDEX(Data_Prices!AC:AC,MATCH($G209,Data_Prices!$A:$A,0))*AC$218</f>
        <v>0.603583100177906</v>
      </c>
      <c r="AD209" s="23" t="n">
        <f aca="false">AD199+INDEX(Data_Prices!AD:AD,MATCH($G209,Data_Prices!$A:$A,0))*AD$218</f>
        <v>0.603583100177906</v>
      </c>
      <c r="AE209" s="23" t="n">
        <f aca="false">AE199+INDEX(Data_Prices!AE:AE,MATCH($G209,Data_Prices!$A:$A,0))*AE$218</f>
        <v>0.603583100177906</v>
      </c>
    </row>
    <row r="210" customFormat="false" ht="15" hidden="false" customHeight="false" outlineLevel="0" collapsed="false">
      <c r="B210" s="17" t="s">
        <v>62</v>
      </c>
      <c r="C210" s="17" t="str">
        <f aca="false">$C$185</f>
        <v>mch</v>
      </c>
      <c r="D210" s="18" t="s">
        <v>63</v>
      </c>
      <c r="E210" s="19" t="s">
        <v>61</v>
      </c>
      <c r="F210" s="17" t="s">
        <v>79</v>
      </c>
      <c r="G210" s="20" t="str">
        <f aca="false">Settings!$B$3&amp;".mit.shp."&amp;$B210&amp;"."&amp;Settings!$B$4&amp;"."&amp;$J$185</f>
        <v>egy.mit.shp.die.ind.1</v>
      </c>
      <c r="H210" s="21" t="str">
        <f aca="false">Settings!$B$3&amp;".mit.shp."&amp;$C$185&amp;"."&amp;$B210&amp;".e."&amp;$J$185</f>
        <v>egy.mit.shp.mch.die.e.1</v>
      </c>
      <c r="K210" s="23" t="n">
        <f aca="false">K200+INDEX(Data_Prices!K:K,MATCH($G210,Data_Prices!$A:$A,0))*K$218</f>
        <v>0.559711213155688</v>
      </c>
      <c r="L210" s="23" t="n">
        <f aca="false">L200+INDEX(Data_Prices!L:L,MATCH($G210,Data_Prices!$A:$A,0))*L$218</f>
        <v>0.494588730841068</v>
      </c>
      <c r="M210" s="23" t="n">
        <f aca="false">M200+INDEX(Data_Prices!M:M,MATCH($G210,Data_Prices!$A:$A,0))*M$218</f>
        <v>0.507786547202501</v>
      </c>
      <c r="N210" s="23" t="n">
        <f aca="false">N200+INDEX(Data_Prices!N:N,MATCH($G210,Data_Prices!$A:$A,0))*N$218</f>
        <v>0.470436426795617</v>
      </c>
      <c r="O210" s="23" t="n">
        <f aca="false">O200+INDEX(Data_Prices!O:O,MATCH($G210,Data_Prices!$A:$A,0))*O$218</f>
        <v>0.470436426795617</v>
      </c>
      <c r="P210" s="23" t="n">
        <f aca="false">P200+INDEX(Data_Prices!P:P,MATCH($G210,Data_Prices!$A:$A,0))*P$218</f>
        <v>0.470436426795617</v>
      </c>
      <c r="Q210" s="23" t="n">
        <f aca="false">Q200+INDEX(Data_Prices!Q:Q,MATCH($G210,Data_Prices!$A:$A,0))*Q$218</f>
        <v>0.470436426795617</v>
      </c>
      <c r="R210" s="23" t="n">
        <f aca="false">R200+INDEX(Data_Prices!R:R,MATCH($G210,Data_Prices!$A:$A,0))*R$218</f>
        <v>0.470436426795617</v>
      </c>
      <c r="S210" s="23" t="n">
        <f aca="false">S200+INDEX(Data_Prices!S:S,MATCH($G210,Data_Prices!$A:$A,0))*S$218</f>
        <v>0.470436426795617</v>
      </c>
      <c r="T210" s="23" t="n">
        <f aca="false">T200+INDEX(Data_Prices!T:T,MATCH($G210,Data_Prices!$A:$A,0))*T$218</f>
        <v>0.470436426795617</v>
      </c>
      <c r="U210" s="23" t="n">
        <f aca="false">U200+INDEX(Data_Prices!U:U,MATCH($G210,Data_Prices!$A:$A,0))*U$218</f>
        <v>0.470436426795617</v>
      </c>
      <c r="V210" s="23" t="n">
        <f aca="false">V200+INDEX(Data_Prices!V:V,MATCH($G210,Data_Prices!$A:$A,0))*V$218</f>
        <v>0.470436426795617</v>
      </c>
      <c r="W210" s="23" t="n">
        <f aca="false">W200+INDEX(Data_Prices!W:W,MATCH($G210,Data_Prices!$A:$A,0))*W$218</f>
        <v>0.470436426795617</v>
      </c>
      <c r="X210" s="23" t="n">
        <f aca="false">X200+INDEX(Data_Prices!X:X,MATCH($G210,Data_Prices!$A:$A,0))*X$218</f>
        <v>0.470436426795617</v>
      </c>
      <c r="Y210" s="23" t="n">
        <f aca="false">Y200+INDEX(Data_Prices!Y:Y,MATCH($G210,Data_Prices!$A:$A,0))*Y$218</f>
        <v>0.470436426795617</v>
      </c>
      <c r="Z210" s="23" t="n">
        <f aca="false">Z200+INDEX(Data_Prices!Z:Z,MATCH($G210,Data_Prices!$A:$A,0))*Z$218</f>
        <v>0.470436426795617</v>
      </c>
      <c r="AA210" s="23" t="n">
        <f aca="false">AA200+INDEX(Data_Prices!AA:AA,MATCH($G210,Data_Prices!$A:$A,0))*AA$218</f>
        <v>0.470436426795617</v>
      </c>
      <c r="AB210" s="23" t="n">
        <f aca="false">AB200+INDEX(Data_Prices!AB:AB,MATCH($G210,Data_Prices!$A:$A,0))*AB$218</f>
        <v>0.470436426795617</v>
      </c>
      <c r="AC210" s="23" t="n">
        <f aca="false">AC200+INDEX(Data_Prices!AC:AC,MATCH($G210,Data_Prices!$A:$A,0))*AC$218</f>
        <v>0.470436426795617</v>
      </c>
      <c r="AD210" s="23" t="n">
        <f aca="false">AD200+INDEX(Data_Prices!AD:AD,MATCH($G210,Data_Prices!$A:$A,0))*AD$218</f>
        <v>0.470436426795617</v>
      </c>
      <c r="AE210" s="23" t="n">
        <f aca="false">AE200+INDEX(Data_Prices!AE:AE,MATCH($G210,Data_Prices!$A:$A,0))*AE$218</f>
        <v>0.470436426795617</v>
      </c>
    </row>
    <row r="211" customFormat="false" ht="15" hidden="false" customHeight="false" outlineLevel="0" collapsed="false">
      <c r="B211" s="17" t="s">
        <v>64</v>
      </c>
      <c r="C211" s="17" t="str">
        <f aca="false">$C$185</f>
        <v>mch</v>
      </c>
      <c r="D211" s="18" t="s">
        <v>65</v>
      </c>
      <c r="E211" s="19" t="s">
        <v>61</v>
      </c>
      <c r="F211" s="17" t="s">
        <v>79</v>
      </c>
      <c r="G211" s="20" t="str">
        <f aca="false">Settings!$B$3&amp;".mit.shp."&amp;$B211&amp;"."&amp;Settings!$B$4&amp;"."&amp;$J$185</f>
        <v>egy.mit.shp.lpg.ind.1</v>
      </c>
      <c r="H211" s="21" t="str">
        <f aca="false">Settings!$B$3&amp;".mit.shp."&amp;$C$185&amp;"."&amp;$B211&amp;".e."&amp;$J$185</f>
        <v>egy.mit.shp.mch.lpg.e.1</v>
      </c>
      <c r="K211" s="23" t="n">
        <f aca="false">K201+INDEX(Data_Prices!K:K,MATCH($G211,Data_Prices!$A:$A,0))*K$218</f>
        <v>0.200366691126738</v>
      </c>
      <c r="L211" s="23" t="n">
        <f aca="false">L201+INDEX(Data_Prices!L:L,MATCH($G211,Data_Prices!$A:$A,0))*L$218</f>
        <v>0.157344736252274</v>
      </c>
      <c r="M211" s="23" t="n">
        <f aca="false">M201+INDEX(Data_Prices!M:M,MATCH($G211,Data_Prices!$A:$A,0))*M$218</f>
        <v>0.164484037759277</v>
      </c>
      <c r="N211" s="23" t="n">
        <f aca="false">N201+INDEX(Data_Prices!N:N,MATCH($G211,Data_Prices!$A:$A,0))*N$218</f>
        <v>0.150709077807049</v>
      </c>
      <c r="O211" s="23" t="n">
        <f aca="false">O201+INDEX(Data_Prices!O:O,MATCH($G211,Data_Prices!$A:$A,0))*O$218</f>
        <v>0.150709077807049</v>
      </c>
      <c r="P211" s="23" t="n">
        <f aca="false">P201+INDEX(Data_Prices!P:P,MATCH($G211,Data_Prices!$A:$A,0))*P$218</f>
        <v>0.150709077807049</v>
      </c>
      <c r="Q211" s="23" t="n">
        <f aca="false">Q201+INDEX(Data_Prices!Q:Q,MATCH($G211,Data_Prices!$A:$A,0))*Q$218</f>
        <v>0.150709077807049</v>
      </c>
      <c r="R211" s="23" t="n">
        <f aca="false">R201+INDEX(Data_Prices!R:R,MATCH($G211,Data_Prices!$A:$A,0))*R$218</f>
        <v>0.150709077807049</v>
      </c>
      <c r="S211" s="23" t="n">
        <f aca="false">S201+INDEX(Data_Prices!S:S,MATCH($G211,Data_Prices!$A:$A,0))*S$218</f>
        <v>0.150709077807049</v>
      </c>
      <c r="T211" s="23" t="n">
        <f aca="false">T201+INDEX(Data_Prices!T:T,MATCH($G211,Data_Prices!$A:$A,0))*T$218</f>
        <v>0.150709077807049</v>
      </c>
      <c r="U211" s="23" t="n">
        <f aca="false">U201+INDEX(Data_Prices!U:U,MATCH($G211,Data_Prices!$A:$A,0))*U$218</f>
        <v>0.150709077807049</v>
      </c>
      <c r="V211" s="23" t="n">
        <f aca="false">V201+INDEX(Data_Prices!V:V,MATCH($G211,Data_Prices!$A:$A,0))*V$218</f>
        <v>0.150709077807049</v>
      </c>
      <c r="W211" s="23" t="n">
        <f aca="false">W201+INDEX(Data_Prices!W:W,MATCH($G211,Data_Prices!$A:$A,0))*W$218</f>
        <v>0.150709077807049</v>
      </c>
      <c r="X211" s="23" t="n">
        <f aca="false">X201+INDEX(Data_Prices!X:X,MATCH($G211,Data_Prices!$A:$A,0))*X$218</f>
        <v>0.150709077807049</v>
      </c>
      <c r="Y211" s="23" t="n">
        <f aca="false">Y201+INDEX(Data_Prices!Y:Y,MATCH($G211,Data_Prices!$A:$A,0))*Y$218</f>
        <v>0.150709077807049</v>
      </c>
      <c r="Z211" s="23" t="n">
        <f aca="false">Z201+INDEX(Data_Prices!Z:Z,MATCH($G211,Data_Prices!$A:$A,0))*Z$218</f>
        <v>0.150709077807049</v>
      </c>
      <c r="AA211" s="23" t="n">
        <f aca="false">AA201+INDEX(Data_Prices!AA:AA,MATCH($G211,Data_Prices!$A:$A,0))*AA$218</f>
        <v>0.150709077807049</v>
      </c>
      <c r="AB211" s="23" t="n">
        <f aca="false">AB201+INDEX(Data_Prices!AB:AB,MATCH($G211,Data_Prices!$A:$A,0))*AB$218</f>
        <v>0.150709077807049</v>
      </c>
      <c r="AC211" s="23" t="n">
        <f aca="false">AC201+INDEX(Data_Prices!AC:AC,MATCH($G211,Data_Prices!$A:$A,0))*AC$218</f>
        <v>0.150709077807049</v>
      </c>
      <c r="AD211" s="23" t="n">
        <f aca="false">AD201+INDEX(Data_Prices!AD:AD,MATCH($G211,Data_Prices!$A:$A,0))*AD$218</f>
        <v>0.150709077807049</v>
      </c>
      <c r="AE211" s="23" t="n">
        <f aca="false">AE201+INDEX(Data_Prices!AE:AE,MATCH($G211,Data_Prices!$A:$A,0))*AE$218</f>
        <v>0.150709077807049</v>
      </c>
    </row>
    <row r="212" customFormat="false" ht="15" hidden="false" customHeight="false" outlineLevel="0" collapsed="false">
      <c r="B212" s="17" t="s">
        <v>66</v>
      </c>
      <c r="C212" s="17" t="str">
        <f aca="false">$C$185</f>
        <v>mch</v>
      </c>
      <c r="D212" s="18" t="s">
        <v>67</v>
      </c>
      <c r="E212" s="19" t="s">
        <v>61</v>
      </c>
      <c r="F212" s="17" t="s">
        <v>79</v>
      </c>
      <c r="G212" s="20" t="str">
        <f aca="false">Settings!$B$3&amp;".mit.shp."&amp;$B212&amp;"."&amp;Settings!$B$4&amp;"."&amp;$J$185</f>
        <v>egy.mit.shp.ker.ind.1</v>
      </c>
      <c r="H212" s="21" t="str">
        <f aca="false">Settings!$B$3&amp;".mit.shp."&amp;$C$185&amp;"."&amp;$B212&amp;".e."&amp;$J$185</f>
        <v>egy.mit.shp.mch.ker.e.1</v>
      </c>
      <c r="K212" s="23" t="n">
        <f aca="false">K202+INDEX(Data_Prices!K:K,MATCH($G212,Data_Prices!$A:$A,0))*K$218</f>
        <v>0.484294240973435</v>
      </c>
      <c r="L212" s="23" t="n">
        <f aca="false">L202+INDEX(Data_Prices!L:L,MATCH($G212,Data_Prices!$A:$A,0))*L$218</f>
        <v>0.456428170500128</v>
      </c>
      <c r="M212" s="23" t="n">
        <f aca="false">M202+INDEX(Data_Prices!M:M,MATCH($G212,Data_Prices!$A:$A,0))*M$218</f>
        <v>0.431689201955995</v>
      </c>
      <c r="N212" s="23" t="n">
        <f aca="false">N202+INDEX(Data_Prices!N:N,MATCH($G212,Data_Prices!$A:$A,0))*N$218</f>
        <v>0.42507558395597</v>
      </c>
      <c r="O212" s="23" t="n">
        <f aca="false">O202+INDEX(Data_Prices!O:O,MATCH($G212,Data_Prices!$A:$A,0))*O$218</f>
        <v>0.42507558395597</v>
      </c>
      <c r="P212" s="23" t="n">
        <f aca="false">P202+INDEX(Data_Prices!P:P,MATCH($G212,Data_Prices!$A:$A,0))*P$218</f>
        <v>0.42507558395597</v>
      </c>
      <c r="Q212" s="23" t="n">
        <f aca="false">Q202+INDEX(Data_Prices!Q:Q,MATCH($G212,Data_Prices!$A:$A,0))*Q$218</f>
        <v>0.42507558395597</v>
      </c>
      <c r="R212" s="23" t="n">
        <f aca="false">R202+INDEX(Data_Prices!R:R,MATCH($G212,Data_Prices!$A:$A,0))*R$218</f>
        <v>0.42507558395597</v>
      </c>
      <c r="S212" s="23" t="n">
        <f aca="false">S202+INDEX(Data_Prices!S:S,MATCH($G212,Data_Prices!$A:$A,0))*S$218</f>
        <v>0.42507558395597</v>
      </c>
      <c r="T212" s="23" t="n">
        <f aca="false">T202+INDEX(Data_Prices!T:T,MATCH($G212,Data_Prices!$A:$A,0))*T$218</f>
        <v>0.42507558395597</v>
      </c>
      <c r="U212" s="23" t="n">
        <f aca="false">U202+INDEX(Data_Prices!U:U,MATCH($G212,Data_Prices!$A:$A,0))*U$218</f>
        <v>0.42507558395597</v>
      </c>
      <c r="V212" s="23" t="n">
        <f aca="false">V202+INDEX(Data_Prices!V:V,MATCH($G212,Data_Prices!$A:$A,0))*V$218</f>
        <v>0.42507558395597</v>
      </c>
      <c r="W212" s="23" t="n">
        <f aca="false">W202+INDEX(Data_Prices!W:W,MATCH($G212,Data_Prices!$A:$A,0))*W$218</f>
        <v>0.42507558395597</v>
      </c>
      <c r="X212" s="23" t="n">
        <f aca="false">X202+INDEX(Data_Prices!X:X,MATCH($G212,Data_Prices!$A:$A,0))*X$218</f>
        <v>0.42507558395597</v>
      </c>
      <c r="Y212" s="23" t="n">
        <f aca="false">Y202+INDEX(Data_Prices!Y:Y,MATCH($G212,Data_Prices!$A:$A,0))*Y$218</f>
        <v>0.42507558395597</v>
      </c>
      <c r="Z212" s="23" t="n">
        <f aca="false">Z202+INDEX(Data_Prices!Z:Z,MATCH($G212,Data_Prices!$A:$A,0))*Z$218</f>
        <v>0.42507558395597</v>
      </c>
      <c r="AA212" s="23" t="n">
        <f aca="false">AA202+INDEX(Data_Prices!AA:AA,MATCH($G212,Data_Prices!$A:$A,0))*AA$218</f>
        <v>0.42507558395597</v>
      </c>
      <c r="AB212" s="23" t="n">
        <f aca="false">AB202+INDEX(Data_Prices!AB:AB,MATCH($G212,Data_Prices!$A:$A,0))*AB$218</f>
        <v>0.42507558395597</v>
      </c>
      <c r="AC212" s="23" t="n">
        <f aca="false">AC202+INDEX(Data_Prices!AC:AC,MATCH($G212,Data_Prices!$A:$A,0))*AC$218</f>
        <v>0.42507558395597</v>
      </c>
      <c r="AD212" s="23" t="n">
        <f aca="false">AD202+INDEX(Data_Prices!AD:AD,MATCH($G212,Data_Prices!$A:$A,0))*AD$218</f>
        <v>0.42507558395597</v>
      </c>
      <c r="AE212" s="23" t="n">
        <f aca="false">AE202+INDEX(Data_Prices!AE:AE,MATCH($G212,Data_Prices!$A:$A,0))*AE$218</f>
        <v>0.42507558395597</v>
      </c>
    </row>
    <row r="213" customFormat="false" ht="15" hidden="false" customHeight="false" outlineLevel="0" collapsed="false">
      <c r="B213" s="17" t="s">
        <v>68</v>
      </c>
      <c r="C213" s="17" t="str">
        <f aca="false">$C$185</f>
        <v>mch</v>
      </c>
      <c r="D213" s="18" t="s">
        <v>69</v>
      </c>
      <c r="E213" s="19" t="s">
        <v>70</v>
      </c>
      <c r="F213" s="17" t="s">
        <v>79</v>
      </c>
      <c r="G213" s="20" t="str">
        <f aca="false">Settings!$B$3&amp;".mit.shp."&amp;$B213&amp;"."&amp;Settings!$B$4&amp;"."&amp;$J$185</f>
        <v>egy.mit.shp.oop.ind.1</v>
      </c>
      <c r="H213" s="21" t="str">
        <f aca="false">Settings!$B$3&amp;".mit.shp."&amp;$C$185&amp;"."&amp;$B213&amp;".e."&amp;$J$185</f>
        <v>egy.mit.shp.mch.oop.e.1</v>
      </c>
      <c r="K213" s="23" t="n">
        <f aca="false">K203+INDEX(Data_Prices!K:K,MATCH($G213,Data_Prices!$A:$A,0))*K$218</f>
        <v>41.5003384988684</v>
      </c>
      <c r="L213" s="23" t="n">
        <f aca="false">L203+INDEX(Data_Prices!L:L,MATCH($G213,Data_Prices!$A:$A,0))*L$218</f>
        <v>34.4153703043132</v>
      </c>
      <c r="M213" s="23" t="n">
        <f aca="false">M203+INDEX(Data_Prices!M:M,MATCH($G213,Data_Prices!$A:$A,0))*M$218</f>
        <v>37.368960690432</v>
      </c>
      <c r="N213" s="23" t="n">
        <f aca="false">N203+INDEX(Data_Prices!N:N,MATCH($G213,Data_Prices!$A:$A,0))*N$218</f>
        <v>28.9827611014773</v>
      </c>
      <c r="O213" s="23" t="n">
        <f aca="false">O203+INDEX(Data_Prices!O:O,MATCH($G213,Data_Prices!$A:$A,0))*O$218</f>
        <v>15</v>
      </c>
      <c r="P213" s="23" t="n">
        <f aca="false">P203+INDEX(Data_Prices!P:P,MATCH($G213,Data_Prices!$A:$A,0))*P$218</f>
        <v>24.2586300842555</v>
      </c>
      <c r="Q213" s="23" t="n">
        <f aca="false">Q203+INDEX(Data_Prices!Q:Q,MATCH($G213,Data_Prices!$A:$A,0))*Q$218</f>
        <v>15</v>
      </c>
      <c r="R213" s="23" t="n">
        <f aca="false">R203+INDEX(Data_Prices!R:R,MATCH($G213,Data_Prices!$A:$A,0))*R$218</f>
        <v>15</v>
      </c>
      <c r="S213" s="23" t="n">
        <f aca="false">S203+INDEX(Data_Prices!S:S,MATCH($G213,Data_Prices!$A:$A,0))*S$218</f>
        <v>15</v>
      </c>
      <c r="T213" s="23" t="n">
        <f aca="false">T203+INDEX(Data_Prices!T:T,MATCH($G213,Data_Prices!$A:$A,0))*T$218</f>
        <v>15</v>
      </c>
      <c r="U213" s="23" t="n">
        <f aca="false">U203+INDEX(Data_Prices!U:U,MATCH($G213,Data_Prices!$A:$A,0))*U$218</f>
        <v>15</v>
      </c>
      <c r="V213" s="23" t="n">
        <f aca="false">V203+INDEX(Data_Prices!V:V,MATCH($G213,Data_Prices!$A:$A,0))*V$218</f>
        <v>15</v>
      </c>
      <c r="W213" s="23" t="n">
        <f aca="false">W203+INDEX(Data_Prices!W:W,MATCH($G213,Data_Prices!$A:$A,0))*W$218</f>
        <v>15</v>
      </c>
      <c r="X213" s="23" t="n">
        <f aca="false">X203+INDEX(Data_Prices!X:X,MATCH($G213,Data_Prices!$A:$A,0))*X$218</f>
        <v>15</v>
      </c>
      <c r="Y213" s="23" t="n">
        <f aca="false">Y203+INDEX(Data_Prices!Y:Y,MATCH($G213,Data_Prices!$A:$A,0))*Y$218</f>
        <v>15</v>
      </c>
      <c r="Z213" s="23" t="n">
        <f aca="false">Z203+INDEX(Data_Prices!Z:Z,MATCH($G213,Data_Prices!$A:$A,0))*Z$218</f>
        <v>15</v>
      </c>
      <c r="AA213" s="23" t="n">
        <f aca="false">AA203+INDEX(Data_Prices!AA:AA,MATCH($G213,Data_Prices!$A:$A,0))*AA$218</f>
        <v>15</v>
      </c>
      <c r="AB213" s="23" t="n">
        <f aca="false">AB203+INDEX(Data_Prices!AB:AB,MATCH($G213,Data_Prices!$A:$A,0))*AB$218</f>
        <v>15</v>
      </c>
      <c r="AC213" s="23" t="n">
        <f aca="false">AC203+INDEX(Data_Prices!AC:AC,MATCH($G213,Data_Prices!$A:$A,0))*AC$218</f>
        <v>15</v>
      </c>
      <c r="AD213" s="23" t="n">
        <f aca="false">AD203+INDEX(Data_Prices!AD:AD,MATCH($G213,Data_Prices!$A:$A,0))*AD$218</f>
        <v>15</v>
      </c>
      <c r="AE213" s="23" t="n">
        <f aca="false">AE203+INDEX(Data_Prices!AE:AE,MATCH($G213,Data_Prices!$A:$A,0))*AE$218</f>
        <v>15</v>
      </c>
    </row>
    <row r="214" customFormat="false" ht="15" hidden="false" customHeight="false" outlineLevel="0" collapsed="false">
      <c r="B214" s="17" t="s">
        <v>71</v>
      </c>
      <c r="C214" s="17" t="str">
        <f aca="false">$C$185</f>
        <v>mch</v>
      </c>
      <c r="D214" s="18" t="s">
        <v>72</v>
      </c>
      <c r="E214" s="19" t="s">
        <v>55</v>
      </c>
      <c r="F214" s="17" t="s">
        <v>79</v>
      </c>
      <c r="G214" s="20" t="str">
        <f aca="false">Settings!$B$3&amp;".mit.shp."&amp;$B214&amp;"."&amp;Settings!$B$4&amp;"."&amp;$J$185</f>
        <v>egy.mit.shp.bio.ind.1</v>
      </c>
      <c r="H214" s="21" t="str">
        <f aca="false">Settings!$B$3&amp;".mit.shp."&amp;$C$185&amp;"."&amp;$B214&amp;".e."&amp;$J$185</f>
        <v>egy.mit.shp.mch.bio.e.1</v>
      </c>
      <c r="K214" s="23" t="n">
        <f aca="false">K204+INDEX(Data_Prices!K:K,MATCH($G214,Data_Prices!$A:$A,0))*K$218</f>
        <v>15.3345505293169</v>
      </c>
      <c r="L214" s="23" t="n">
        <f aca="false">L204+INDEX(Data_Prices!L:L,MATCH($G214,Data_Prices!$A:$A,0))*L$218</f>
        <v>14.1995283906349</v>
      </c>
      <c r="M214" s="23" t="n">
        <f aca="false">M204+INDEX(Data_Prices!M:M,MATCH($G214,Data_Prices!$A:$A,0))*M$218</f>
        <v>13.8404416133152</v>
      </c>
      <c r="N214" s="23" t="n">
        <f aca="false">N204+INDEX(Data_Prices!N:N,MATCH($G214,Data_Prices!$A:$A,0))*N$218</f>
        <v>13.5677269404465</v>
      </c>
      <c r="O214" s="23" t="n">
        <f aca="false">O204+INDEX(Data_Prices!O:O,MATCH($G214,Data_Prices!$A:$A,0))*O$218</f>
        <v>13.5677269404465</v>
      </c>
      <c r="P214" s="23" t="n">
        <f aca="false">P204+INDEX(Data_Prices!P:P,MATCH($G214,Data_Prices!$A:$A,0))*P$218</f>
        <v>13.5677269404465</v>
      </c>
      <c r="Q214" s="23" t="n">
        <f aca="false">Q204+INDEX(Data_Prices!Q:Q,MATCH($G214,Data_Prices!$A:$A,0))*Q$218</f>
        <v>13.5677269404465</v>
      </c>
      <c r="R214" s="23" t="n">
        <f aca="false">R204+INDEX(Data_Prices!R:R,MATCH($G214,Data_Prices!$A:$A,0))*R$218</f>
        <v>13.5677269404465</v>
      </c>
      <c r="S214" s="23" t="n">
        <f aca="false">S204+INDEX(Data_Prices!S:S,MATCH($G214,Data_Prices!$A:$A,0))*S$218</f>
        <v>13.5677269404465</v>
      </c>
      <c r="T214" s="23" t="n">
        <f aca="false">T204+INDEX(Data_Prices!T:T,MATCH($G214,Data_Prices!$A:$A,0))*T$218</f>
        <v>13.5677269404465</v>
      </c>
      <c r="U214" s="23" t="n">
        <f aca="false">U204+INDEX(Data_Prices!U:U,MATCH($G214,Data_Prices!$A:$A,0))*U$218</f>
        <v>13.5677269404465</v>
      </c>
      <c r="V214" s="23" t="n">
        <f aca="false">V204+INDEX(Data_Prices!V:V,MATCH($G214,Data_Prices!$A:$A,0))*V$218</f>
        <v>13.5677269404465</v>
      </c>
      <c r="W214" s="23" t="n">
        <f aca="false">W204+INDEX(Data_Prices!W:W,MATCH($G214,Data_Prices!$A:$A,0))*W$218</f>
        <v>13.5677269404465</v>
      </c>
      <c r="X214" s="23" t="n">
        <f aca="false">X204+INDEX(Data_Prices!X:X,MATCH($G214,Data_Prices!$A:$A,0))*X$218</f>
        <v>13.5677269404465</v>
      </c>
      <c r="Y214" s="23" t="n">
        <f aca="false">Y204+INDEX(Data_Prices!Y:Y,MATCH($G214,Data_Prices!$A:$A,0))*Y$218</f>
        <v>13.5677269404465</v>
      </c>
      <c r="Z214" s="23" t="n">
        <f aca="false">Z204+INDEX(Data_Prices!Z:Z,MATCH($G214,Data_Prices!$A:$A,0))*Z$218</f>
        <v>13.5677269404465</v>
      </c>
      <c r="AA214" s="23" t="n">
        <f aca="false">AA204+INDEX(Data_Prices!AA:AA,MATCH($G214,Data_Prices!$A:$A,0))*AA$218</f>
        <v>13.5677269404465</v>
      </c>
      <c r="AB214" s="23" t="n">
        <f aca="false">AB204+INDEX(Data_Prices!AB:AB,MATCH($G214,Data_Prices!$A:$A,0))*AB$218</f>
        <v>13.5677269404465</v>
      </c>
      <c r="AC214" s="23" t="n">
        <f aca="false">AC204+INDEX(Data_Prices!AC:AC,MATCH($G214,Data_Prices!$A:$A,0))*AC$218</f>
        <v>13.5677269404465</v>
      </c>
      <c r="AD214" s="23" t="n">
        <f aca="false">AD204+INDEX(Data_Prices!AD:AD,MATCH($G214,Data_Prices!$A:$A,0))*AD$218</f>
        <v>13.5677269404465</v>
      </c>
      <c r="AE214" s="23" t="n">
        <f aca="false">AE204+INDEX(Data_Prices!AE:AE,MATCH($G214,Data_Prices!$A:$A,0))*AE$218</f>
        <v>13.5677269404465</v>
      </c>
    </row>
    <row r="215" customFormat="false" ht="15" hidden="false" customHeight="false" outlineLevel="0" collapsed="false">
      <c r="B215" s="17" t="s">
        <v>73</v>
      </c>
      <c r="C215" s="17" t="str">
        <f aca="false">$C$185</f>
        <v>mch</v>
      </c>
      <c r="D215" s="18" t="s">
        <v>74</v>
      </c>
      <c r="E215" s="19" t="s">
        <v>75</v>
      </c>
      <c r="F215" s="17" t="s">
        <v>79</v>
      </c>
      <c r="G215" s="20" t="str">
        <f aca="false">Settings!$B$3&amp;".mit.shp."&amp;$B215&amp;"."&amp;Settings!$B$4&amp;"."&amp;$J$185</f>
        <v>egy.mit.shp.ren.ind.1</v>
      </c>
      <c r="H215" s="21" t="str">
        <f aca="false">Settings!$B$3&amp;".mit.shp."&amp;$C$185&amp;"."&amp;$B215&amp;".e."&amp;$J$185</f>
        <v>egy.mit.shp.mch.ren.e.1</v>
      </c>
      <c r="K215" s="23" t="n">
        <f aca="false">K205+INDEX(Data_Prices!K:K,MATCH($G215,Data_Prices!$A:$A,0))*K$218</f>
        <v>0</v>
      </c>
      <c r="L215" s="23" t="n">
        <f aca="false">L205+INDEX(Data_Prices!L:L,MATCH($G215,Data_Prices!$A:$A,0))*L$218</f>
        <v>0.144044986793198</v>
      </c>
      <c r="M215" s="23" t="n">
        <f aca="false">M205+INDEX(Data_Prices!M:M,MATCH($G215,Data_Prices!$A:$A,0))*M$218</f>
        <v>0.141020409657004</v>
      </c>
      <c r="N215" s="23" t="n">
        <f aca="false">N205+INDEX(Data_Prices!N:N,MATCH($G215,Data_Prices!$A:$A,0))*N$218</f>
        <v>0.135116359594476</v>
      </c>
      <c r="O215" s="23" t="n">
        <f aca="false">O205+INDEX(Data_Prices!O:O,MATCH($G215,Data_Prices!$A:$A,0))*O$218</f>
        <v>0.130988256985856</v>
      </c>
      <c r="P215" s="23" t="n">
        <f aca="false">P205+INDEX(Data_Prices!P:P,MATCH($G215,Data_Prices!$A:$A,0))*P$218</f>
        <v>0.127908416086318</v>
      </c>
      <c r="Q215" s="23" t="n">
        <f aca="false">Q205+INDEX(Data_Prices!Q:Q,MATCH($G215,Data_Prices!$A:$A,0))*Q$218</f>
        <v>0.124814310557813</v>
      </c>
      <c r="R215" s="23" t="n">
        <f aca="false">R205+INDEX(Data_Prices!R:R,MATCH($G215,Data_Prices!$A:$A,0))*R$218</f>
        <v>0.121460257122878</v>
      </c>
      <c r="S215" s="23" t="n">
        <f aca="false">S205+INDEX(Data_Prices!S:S,MATCH($G215,Data_Prices!$A:$A,0))*S$218</f>
        <v>0.117950744135786</v>
      </c>
      <c r="T215" s="23" t="n">
        <f aca="false">T205+INDEX(Data_Prices!T:T,MATCH($G215,Data_Prices!$A:$A,0))*T$218</f>
        <v>0.114199161044597</v>
      </c>
      <c r="U215" s="23" t="n">
        <f aca="false">U205+INDEX(Data_Prices!U:U,MATCH($G215,Data_Prices!$A:$A,0))*U$218</f>
        <v>0.113665100059665</v>
      </c>
      <c r="V215" s="23" t="n">
        <f aca="false">V205+INDEX(Data_Prices!V:V,MATCH($G215,Data_Prices!$A:$A,0))*V$218</f>
        <v>0.113016929625957</v>
      </c>
      <c r="W215" s="23" t="n">
        <f aca="false">W205+INDEX(Data_Prices!W:W,MATCH($G215,Data_Prices!$A:$A,0))*W$218</f>
        <v>0.112314070507636</v>
      </c>
      <c r="X215" s="23" t="n">
        <f aca="false">X205+INDEX(Data_Prices!X:X,MATCH($G215,Data_Prices!$A:$A,0))*X$218</f>
        <v>0.111422042732843</v>
      </c>
      <c r="Y215" s="23" t="n">
        <f aca="false">Y205+INDEX(Data_Prices!Y:Y,MATCH($G215,Data_Prices!$A:$A,0))*Y$218</f>
        <v>0.110434123675809</v>
      </c>
      <c r="Z215" s="23" t="n">
        <f aca="false">Z205+INDEX(Data_Prices!Z:Z,MATCH($G215,Data_Prices!$A:$A,0))*Z$218</f>
        <v>0.109483973304471</v>
      </c>
      <c r="AA215" s="23" t="n">
        <f aca="false">AA205+INDEX(Data_Prices!AA:AA,MATCH($G215,Data_Prices!$A:$A,0))*AA$218</f>
        <v>0.10839192105294</v>
      </c>
      <c r="AB215" s="23" t="n">
        <f aca="false">AB205+INDEX(Data_Prices!AB:AB,MATCH($G215,Data_Prices!$A:$A,0))*AB$218</f>
        <v>0.107354433626704</v>
      </c>
      <c r="AC215" s="23" t="n">
        <f aca="false">AC205+INDEX(Data_Prices!AC:AC,MATCH($G215,Data_Prices!$A:$A,0))*AC$218</f>
        <v>0.105168675441661</v>
      </c>
      <c r="AD215" s="23" t="n">
        <f aca="false">AD205+INDEX(Data_Prices!AD:AD,MATCH($G215,Data_Prices!$A:$A,0))*AD$218</f>
        <v>0.103057983256008</v>
      </c>
      <c r="AE215" s="23" t="n">
        <f aca="false">AE205+INDEX(Data_Prices!AE:AE,MATCH($G215,Data_Prices!$A:$A,0))*AE$218</f>
        <v>0.100931838990114</v>
      </c>
    </row>
    <row r="216" customFormat="false" ht="15" hidden="false" customHeight="false" outlineLevel="0" collapsed="false">
      <c r="B216" s="16" t="s">
        <v>80</v>
      </c>
    </row>
    <row r="217" customFormat="false" ht="15" hidden="false" customHeight="false" outlineLevel="0" collapsed="false">
      <c r="B217" s="17" t="s">
        <v>81</v>
      </c>
      <c r="C217" s="17" t="str">
        <f aca="false">$C$185</f>
        <v>mch</v>
      </c>
      <c r="D217" s="18" t="s">
        <v>82</v>
      </c>
      <c r="E217" s="19" t="s">
        <v>83</v>
      </c>
      <c r="F217" s="17" t="s">
        <v>84</v>
      </c>
      <c r="G217" s="20" t="str">
        <f aca="false">Settings!$B$3&amp;".mit.tcf."&amp;$C$185&amp;"."&amp;$J$185</f>
        <v>egy.mit.tcf.mch.1</v>
      </c>
      <c r="K217" s="23" t="n">
        <f aca="false">INDEX(Data_Prices!K:K,MATCH($G217,Data_Prices!$A:$A,0))</f>
        <v>0</v>
      </c>
      <c r="L217" s="23" t="n">
        <f aca="false">INDEX(Data_Prices!L:L,MATCH($G217,Data_Prices!$A:$A,0))</f>
        <v>0</v>
      </c>
      <c r="M217" s="23" t="n">
        <f aca="false">INDEX(Data_Prices!M:M,MATCH($G217,Data_Prices!$A:$A,0))</f>
        <v>0</v>
      </c>
      <c r="N217" s="23" t="n">
        <f aca="false">INDEX(Data_Prices!N:N,MATCH($G217,Data_Prices!$A:$A,0))</f>
        <v>0</v>
      </c>
      <c r="O217" s="23" t="n">
        <f aca="false">INDEX(Data_Prices!O:O,MATCH($G217,Data_Prices!$A:$A,0))</f>
        <v>0</v>
      </c>
      <c r="P217" s="23" t="n">
        <f aca="false">INDEX(Data_Prices!P:P,MATCH($G217,Data_Prices!$A:$A,0))</f>
        <v>0</v>
      </c>
      <c r="Q217" s="23" t="n">
        <f aca="false">INDEX(Data_Prices!Q:Q,MATCH($G217,Data_Prices!$A:$A,0))</f>
        <v>0</v>
      </c>
      <c r="R217" s="23" t="n">
        <f aca="false">INDEX(Data_Prices!R:R,MATCH($G217,Data_Prices!$A:$A,0))</f>
        <v>0</v>
      </c>
      <c r="S217" s="23" t="n">
        <f aca="false">INDEX(Data_Prices!S:S,MATCH($G217,Data_Prices!$A:$A,0))</f>
        <v>0</v>
      </c>
      <c r="T217" s="23" t="n">
        <f aca="false">INDEX(Data_Prices!T:T,MATCH($G217,Data_Prices!$A:$A,0))</f>
        <v>0</v>
      </c>
      <c r="U217" s="23" t="n">
        <f aca="false">INDEX(Data_Prices!U:U,MATCH($G217,Data_Prices!$A:$A,0))</f>
        <v>0</v>
      </c>
      <c r="V217" s="23" t="n">
        <f aca="false">INDEX(Data_Prices!V:V,MATCH($G217,Data_Prices!$A:$A,0))</f>
        <v>0</v>
      </c>
      <c r="W217" s="23" t="n">
        <f aca="false">INDEX(Data_Prices!W:W,MATCH($G217,Data_Prices!$A:$A,0))</f>
        <v>0</v>
      </c>
      <c r="X217" s="23" t="n">
        <f aca="false">INDEX(Data_Prices!X:X,MATCH($G217,Data_Prices!$A:$A,0))</f>
        <v>0</v>
      </c>
      <c r="Y217" s="23" t="n">
        <f aca="false">INDEX(Data_Prices!Y:Y,MATCH($G217,Data_Prices!$A:$A,0))</f>
        <v>0</v>
      </c>
      <c r="Z217" s="23" t="n">
        <f aca="false">INDEX(Data_Prices!Z:Z,MATCH($G217,Data_Prices!$A:$A,0))</f>
        <v>0</v>
      </c>
      <c r="AA217" s="23" t="n">
        <f aca="false">INDEX(Data_Prices!AA:AA,MATCH($G217,Data_Prices!$A:$A,0))</f>
        <v>0</v>
      </c>
      <c r="AB217" s="23" t="n">
        <f aca="false">INDEX(Data_Prices!AB:AB,MATCH($G217,Data_Prices!$A:$A,0))</f>
        <v>0</v>
      </c>
      <c r="AC217" s="23" t="n">
        <f aca="false">INDEX(Data_Prices!AC:AC,MATCH($G217,Data_Prices!$A:$A,0))</f>
        <v>0</v>
      </c>
      <c r="AD217" s="23" t="n">
        <f aca="false">INDEX(Data_Prices!AD:AD,MATCH($G217,Data_Prices!$A:$A,0))</f>
        <v>0</v>
      </c>
      <c r="AE217" s="23" t="n">
        <f aca="false">INDEX(Data_Prices!AE:AE,MATCH($G217,Data_Prices!$A:$A,0))</f>
        <v>0</v>
      </c>
    </row>
    <row r="218" customFormat="false" ht="15" hidden="false" customHeight="false" outlineLevel="0" collapsed="false">
      <c r="B218" s="17" t="s">
        <v>81</v>
      </c>
      <c r="C218" s="17" t="str">
        <f aca="false">$C$185</f>
        <v>mch</v>
      </c>
      <c r="D218" s="18" t="s">
        <v>85</v>
      </c>
      <c r="E218" s="19" t="s">
        <v>83</v>
      </c>
      <c r="F218" s="17" t="s">
        <v>86</v>
      </c>
      <c r="G218" s="20" t="str">
        <f aca="false">Settings!$B$3&amp;".mit.ssc."&amp;$C$185&amp;"."&amp;$J$185</f>
        <v>egy.mit.ssc.mch.1</v>
      </c>
      <c r="K218" s="23" t="n">
        <f aca="false">INDEX(Data_Prices!K:K,MATCH($G218,Data_Prices!$A:$A,0))</f>
        <v>0</v>
      </c>
      <c r="L218" s="23" t="n">
        <f aca="false">INDEX(Data_Prices!L:L,MATCH($G218,Data_Prices!$A:$A,0))</f>
        <v>0</v>
      </c>
      <c r="M218" s="23" t="n">
        <f aca="false">INDEX(Data_Prices!M:M,MATCH($G218,Data_Prices!$A:$A,0))</f>
        <v>0</v>
      </c>
      <c r="N218" s="23" t="n">
        <f aca="false">INDEX(Data_Prices!N:N,MATCH($G218,Data_Prices!$A:$A,0))</f>
        <v>0</v>
      </c>
      <c r="O218" s="23" t="n">
        <f aca="false">INDEX(Data_Prices!O:O,MATCH($G218,Data_Prices!$A:$A,0))</f>
        <v>0</v>
      </c>
      <c r="P218" s="23" t="n">
        <f aca="false">INDEX(Data_Prices!P:P,MATCH($G218,Data_Prices!$A:$A,0))</f>
        <v>0</v>
      </c>
      <c r="Q218" s="23" t="n">
        <f aca="false">INDEX(Data_Prices!Q:Q,MATCH($G218,Data_Prices!$A:$A,0))</f>
        <v>0</v>
      </c>
      <c r="R218" s="23" t="n">
        <f aca="false">INDEX(Data_Prices!R:R,MATCH($G218,Data_Prices!$A:$A,0))</f>
        <v>0</v>
      </c>
      <c r="S218" s="23" t="n">
        <f aca="false">INDEX(Data_Prices!S:S,MATCH($G218,Data_Prices!$A:$A,0))</f>
        <v>0</v>
      </c>
      <c r="T218" s="23" t="n">
        <f aca="false">INDEX(Data_Prices!T:T,MATCH($G218,Data_Prices!$A:$A,0))</f>
        <v>0</v>
      </c>
      <c r="U218" s="23" t="n">
        <f aca="false">INDEX(Data_Prices!U:U,MATCH($G218,Data_Prices!$A:$A,0))</f>
        <v>0</v>
      </c>
      <c r="V218" s="23" t="n">
        <f aca="false">INDEX(Data_Prices!V:V,MATCH($G218,Data_Prices!$A:$A,0))</f>
        <v>0</v>
      </c>
      <c r="W218" s="23" t="n">
        <f aca="false">INDEX(Data_Prices!W:W,MATCH($G218,Data_Prices!$A:$A,0))</f>
        <v>0</v>
      </c>
      <c r="X218" s="23" t="n">
        <f aca="false">INDEX(Data_Prices!X:X,MATCH($G218,Data_Prices!$A:$A,0))</f>
        <v>0</v>
      </c>
      <c r="Y218" s="23" t="n">
        <f aca="false">INDEX(Data_Prices!Y:Y,MATCH($G218,Data_Prices!$A:$A,0))</f>
        <v>0</v>
      </c>
      <c r="Z218" s="23" t="n">
        <f aca="false">INDEX(Data_Prices!Z:Z,MATCH($G218,Data_Prices!$A:$A,0))</f>
        <v>0</v>
      </c>
      <c r="AA218" s="23" t="n">
        <f aca="false">INDEX(Data_Prices!AA:AA,MATCH($G218,Data_Prices!$A:$A,0))</f>
        <v>0</v>
      </c>
      <c r="AB218" s="23" t="n">
        <f aca="false">INDEX(Data_Prices!AB:AB,MATCH($G218,Data_Prices!$A:$A,0))</f>
        <v>0</v>
      </c>
      <c r="AC218" s="23" t="n">
        <f aca="false">INDEX(Data_Prices!AC:AC,MATCH($G218,Data_Prices!$A:$A,0))</f>
        <v>0</v>
      </c>
      <c r="AD218" s="23" t="n">
        <f aca="false">INDEX(Data_Prices!AD:AD,MATCH($G218,Data_Prices!$A:$A,0))</f>
        <v>0</v>
      </c>
      <c r="AE218" s="23" t="n">
        <f aca="false">INDEX(Data_Prices!AE:AE,MATCH($G218,Data_Prices!$A:$A,0))</f>
        <v>0</v>
      </c>
    </row>
    <row r="219" customFormat="false" ht="15" hidden="false" customHeight="false" outlineLevel="0" collapsed="false">
      <c r="B219" s="17" t="s">
        <v>81</v>
      </c>
      <c r="C219" s="17" t="str">
        <f aca="false">$C$185</f>
        <v>mch</v>
      </c>
      <c r="D219" s="18" t="s">
        <v>87</v>
      </c>
      <c r="E219" s="19" t="s">
        <v>88</v>
      </c>
      <c r="F219" s="17" t="s">
        <v>89</v>
      </c>
      <c r="G219" s="20" t="str">
        <f aca="false">Settings!$B$3&amp;".mit.gdp.pos.pct."&amp;$J$185</f>
        <v>egy.mit.gdp.pos.pct.1</v>
      </c>
      <c r="K219" s="24" t="n">
        <f aca="false">INDEX(Data_Macro!K:K,MATCH($G219,Data_Macro!$A:$A,0))</f>
        <v>0</v>
      </c>
      <c r="L219" s="24" t="n">
        <f aca="false">INDEX(Data_Macro!L:L,MATCH($G219,Data_Macro!$A:$A,0))</f>
        <v>0.06651345</v>
      </c>
      <c r="M219" s="24" t="n">
        <f aca="false">INDEX(Data_Macro!M:M,MATCH($G219,Data_Macro!$A:$A,0))</f>
        <v>0.03760281</v>
      </c>
      <c r="N219" s="24" t="n">
        <f aca="false">INDEX(Data_Macro!N:N,MATCH($G219,Data_Macro!$A:$A,0))</f>
        <v>0.02398801</v>
      </c>
      <c r="O219" s="24" t="n">
        <f aca="false">INDEX(Data_Macro!O:O,MATCH($G219,Data_Macro!$A:$A,0))</f>
        <v>0.04392387</v>
      </c>
      <c r="P219" s="24" t="n">
        <f aca="false">INDEX(Data_Macro!P:P,MATCH($G219,Data_Macro!$A:$A,0))</f>
        <v>0.04239706</v>
      </c>
      <c r="Q219" s="24" t="n">
        <f aca="false">INDEX(Data_Macro!Q:Q,MATCH($G219,Data_Macro!$A:$A,0))</f>
        <v>0.04829218</v>
      </c>
      <c r="R219" s="24" t="n">
        <f aca="false">INDEX(Data_Macro!R:R,MATCH($G219,Data_Macro!$A:$A,0))</f>
        <v>0.05535316</v>
      </c>
      <c r="S219" s="24" t="n">
        <f aca="false">INDEX(Data_Macro!S:S,MATCH($G219,Data_Macro!$A:$A,0))</f>
        <v>0.05226606</v>
      </c>
      <c r="T219" s="24" t="n">
        <f aca="false">INDEX(Data_Macro!T:T,MATCH($G219,Data_Macro!$A:$A,0))</f>
        <v>0.04841877</v>
      </c>
      <c r="U219" s="24" t="n">
        <f aca="false">INDEX(Data_Macro!U:U,MATCH($G219,Data_Macro!$A:$A,0))</f>
        <v>0.04788736</v>
      </c>
      <c r="V219" s="24" t="n">
        <f aca="false">INDEX(Data_Macro!V:V,MATCH($G219,Data_Macro!$A:$A,0))</f>
        <v>0.04735595</v>
      </c>
      <c r="W219" s="24" t="n">
        <f aca="false">INDEX(Data_Macro!W:W,MATCH($G219,Data_Macro!$A:$A,0))</f>
        <v>0.04682454</v>
      </c>
      <c r="X219" s="24" t="n">
        <f aca="false">INDEX(Data_Macro!X:X,MATCH($G219,Data_Macro!$A:$A,0))</f>
        <v>0.04629313</v>
      </c>
      <c r="Y219" s="24" t="n">
        <f aca="false">INDEX(Data_Macro!Y:Y,MATCH($G219,Data_Macro!$A:$A,0))</f>
        <v>0.04576172</v>
      </c>
      <c r="Z219" s="24" t="n">
        <f aca="false">INDEX(Data_Macro!Z:Z,MATCH($G219,Data_Macro!$A:$A,0))</f>
        <v>0.04523031</v>
      </c>
      <c r="AA219" s="24" t="n">
        <f aca="false">INDEX(Data_Macro!AA:AA,MATCH($G219,Data_Macro!$A:$A,0))</f>
        <v>0.0446989</v>
      </c>
      <c r="AB219" s="24" t="n">
        <f aca="false">INDEX(Data_Macro!AB:AB,MATCH($G219,Data_Macro!$A:$A,0))</f>
        <v>0.04416749</v>
      </c>
      <c r="AC219" s="24" t="n">
        <f aca="false">INDEX(Data_Macro!AC:AC,MATCH($G219,Data_Macro!$A:$A,0))</f>
        <v>0.04363608</v>
      </c>
      <c r="AD219" s="24" t="n">
        <f aca="false">INDEX(Data_Macro!AD:AD,MATCH($G219,Data_Macro!$A:$A,0))</f>
        <v>0.04310467</v>
      </c>
      <c r="AE219" s="24" t="n">
        <f aca="false">INDEX(Data_Macro!AE:AE,MATCH($G219,Data_Macro!$A:$A,0))</f>
        <v>0.04257326</v>
      </c>
    </row>
    <row r="220" customFormat="false" ht="15" hidden="false" customHeight="false" outlineLevel="0" collapsed="false">
      <c r="B220" s="17" t="s">
        <v>81</v>
      </c>
      <c r="C220" s="17" t="str">
        <f aca="false">$C$185</f>
        <v>mch</v>
      </c>
      <c r="D220" s="18" t="s">
        <v>90</v>
      </c>
      <c r="E220" s="19" t="s">
        <v>91</v>
      </c>
      <c r="F220" s="17" t="s">
        <v>92</v>
      </c>
      <c r="G220" s="20" t="str">
        <f aca="false">Settings!$B$3&amp;".mit.inc.ela.adj."&amp;$J$185</f>
        <v>egy.mit.inc.ela.adj.1</v>
      </c>
      <c r="K220" s="23" t="n">
        <f aca="false">INDEX(Data_Macro!K:K,MATCH($G220,Data_Macro!$A:$A,0))</f>
        <v>0</v>
      </c>
      <c r="L220" s="23" t="n">
        <f aca="false">INDEX(Data_Macro!L:L,MATCH($G220,Data_Macro!$A:$A,0))</f>
        <v>1.02715172471961</v>
      </c>
      <c r="M220" s="23" t="n">
        <f aca="false">INDEX(Data_Macro!M:M,MATCH($G220,Data_Macro!$A:$A,0))</f>
        <v>1.02715172471961</v>
      </c>
      <c r="N220" s="23" t="n">
        <f aca="false">INDEX(Data_Macro!N:N,MATCH($G220,Data_Macro!$A:$A,0))</f>
        <v>1.02056983588512</v>
      </c>
      <c r="O220" s="23" t="n">
        <f aca="false">INDEX(Data_Macro!O:O,MATCH($G220,Data_Macro!$A:$A,0))</f>
        <v>1.01733442885234</v>
      </c>
      <c r="P220" s="23" t="n">
        <f aca="false">INDEX(Data_Macro!P:P,MATCH($G220,Data_Macro!$A:$A,0))</f>
        <v>1.00766833225382</v>
      </c>
      <c r="Q220" s="23" t="n">
        <f aca="false">INDEX(Data_Macro!Q:Q,MATCH($G220,Data_Macro!$A:$A,0))</f>
        <v>1.00074428717553</v>
      </c>
      <c r="R220" s="23" t="n">
        <f aca="false">INDEX(Data_Macro!R:R,MATCH($G220,Data_Macro!$A:$A,0))</f>
        <v>0.991886489011858</v>
      </c>
      <c r="S220" s="23" t="n">
        <f aca="false">INDEX(Data_Macro!S:S,MATCH($G220,Data_Macro!$A:$A,0))</f>
        <v>0.98065540330043</v>
      </c>
      <c r="T220" s="23" t="n">
        <f aca="false">INDEX(Data_Macro!T:T,MATCH($G220,Data_Macro!$A:$A,0))</f>
        <v>0.970209403992443</v>
      </c>
      <c r="U220" s="23" t="n">
        <f aca="false">INDEX(Data_Macro!U:U,MATCH($G220,Data_Macro!$A:$A,0))</f>
        <v>0.964192659077105</v>
      </c>
      <c r="V220" s="23" t="n">
        <f aca="false">INDEX(Data_Macro!V:V,MATCH($G220,Data_Macro!$A:$A,0))</f>
        <v>0.961612871227152</v>
      </c>
      <c r="W220" s="23" t="n">
        <f aca="false">INDEX(Data_Macro!W:W,MATCH($G220,Data_Macro!$A:$A,0))</f>
        <v>0.95919844785405</v>
      </c>
      <c r="X220" s="23" t="n">
        <f aca="false">INDEX(Data_Macro!X:X,MATCH($G220,Data_Macro!$A:$A,0))</f>
        <v>0.956951254445196</v>
      </c>
      <c r="Y220" s="23" t="n">
        <f aca="false">INDEX(Data_Macro!Y:Y,MATCH($G220,Data_Macro!$A:$A,0))</f>
        <v>0.954872978595777</v>
      </c>
      <c r="Z220" s="23" t="n">
        <f aca="false">INDEX(Data_Macro!Z:Z,MATCH($G220,Data_Macro!$A:$A,0))</f>
        <v>0.952965140861449</v>
      </c>
      <c r="AA220" s="23" t="n">
        <f aca="false">INDEX(Data_Macro!AA:AA,MATCH($G220,Data_Macro!$A:$A,0))</f>
        <v>0.951229104903385</v>
      </c>
      <c r="AB220" s="23" t="n">
        <f aca="false">INDEX(Data_Macro!AB:AB,MATCH($G220,Data_Macro!$A:$A,0))</f>
        <v>0.949666086892293</v>
      </c>
      <c r="AC220" s="23" t="n">
        <f aca="false">INDEX(Data_Macro!AC:AC,MATCH($G220,Data_Macro!$A:$A,0))</f>
        <v>0.948277164137976</v>
      </c>
      <c r="AD220" s="23" t="n">
        <f aca="false">INDEX(Data_Macro!AD:AD,MATCH($G220,Data_Macro!$A:$A,0))</f>
        <v>0.947063282915592</v>
      </c>
      <c r="AE220" s="23" t="n">
        <f aca="false">INDEX(Data_Macro!AE:AE,MATCH($G220,Data_Macro!$A:$A,0))</f>
        <v>0.946025265458513</v>
      </c>
    </row>
    <row r="221" customFormat="false" ht="15" hidden="false" customHeight="false" outlineLevel="0" collapsed="false">
      <c r="B221" s="17" t="s">
        <v>81</v>
      </c>
      <c r="C221" s="17" t="str">
        <f aca="false">$C$185</f>
        <v>mch</v>
      </c>
      <c r="D221" s="18" t="s">
        <v>93</v>
      </c>
      <c r="E221" s="19" t="s">
        <v>91</v>
      </c>
      <c r="F221" s="17" t="s">
        <v>94</v>
      </c>
      <c r="G221" s="20" t="str">
        <f aca="false">Settings!$B$3&amp;".mit.shock."&amp;$J$185</f>
        <v>egy.mit.shock.1</v>
      </c>
      <c r="K221" s="23" t="n">
        <f aca="false">INDEX(Data_Macro!K:K,MATCH($G221,Data_Macro!$A:$A,0))</f>
        <v>0</v>
      </c>
      <c r="L221" s="23" t="n">
        <f aca="false">INDEX(Data_Macro!L:L,MATCH($G221,Data_Macro!$A:$A,0))</f>
        <v>0</v>
      </c>
      <c r="M221" s="23" t="n">
        <f aca="false">INDEX(Data_Macro!M:M,MATCH($G221,Data_Macro!$A:$A,0))</f>
        <v>-0.208133083020442</v>
      </c>
      <c r="N221" s="23" t="n">
        <f aca="false">INDEX(Data_Macro!N:N,MATCH($G221,Data_Macro!$A:$A,0))</f>
        <v>0.0923714285714286</v>
      </c>
      <c r="O221" s="23" t="n">
        <f aca="false">INDEX(Data_Macro!O:O,MATCH($G221,Data_Macro!$A:$A,0))</f>
        <v>0</v>
      </c>
      <c r="P221" s="23" t="n">
        <f aca="false">INDEX(Data_Macro!P:P,MATCH($G221,Data_Macro!$A:$A,0))</f>
        <v>0</v>
      </c>
      <c r="Q221" s="23" t="n">
        <f aca="false">INDEX(Data_Macro!Q:Q,MATCH($G221,Data_Macro!$A:$A,0))</f>
        <v>0</v>
      </c>
      <c r="R221" s="23" t="n">
        <f aca="false">INDEX(Data_Macro!R:R,MATCH($G221,Data_Macro!$A:$A,0))</f>
        <v>0</v>
      </c>
      <c r="S221" s="23" t="n">
        <f aca="false">INDEX(Data_Macro!S:S,MATCH($G221,Data_Macro!$A:$A,0))</f>
        <v>0</v>
      </c>
      <c r="T221" s="23" t="n">
        <f aca="false">INDEX(Data_Macro!T:T,MATCH($G221,Data_Macro!$A:$A,0))</f>
        <v>0</v>
      </c>
      <c r="U221" s="23" t="n">
        <f aca="false">INDEX(Data_Macro!U:U,MATCH($G221,Data_Macro!$A:$A,0))</f>
        <v>0</v>
      </c>
      <c r="V221" s="23" t="n">
        <f aca="false">INDEX(Data_Macro!V:V,MATCH($G221,Data_Macro!$A:$A,0))</f>
        <v>0</v>
      </c>
      <c r="W221" s="23" t="n">
        <f aca="false">INDEX(Data_Macro!W:W,MATCH($G221,Data_Macro!$A:$A,0))</f>
        <v>0</v>
      </c>
      <c r="X221" s="23" t="n">
        <f aca="false">INDEX(Data_Macro!X:X,MATCH($G221,Data_Macro!$A:$A,0))</f>
        <v>0</v>
      </c>
      <c r="Y221" s="23" t="n">
        <f aca="false">INDEX(Data_Macro!Y:Y,MATCH($G221,Data_Macro!$A:$A,0))</f>
        <v>0</v>
      </c>
      <c r="Z221" s="23" t="n">
        <f aca="false">INDEX(Data_Macro!Z:Z,MATCH($G221,Data_Macro!$A:$A,0))</f>
        <v>0</v>
      </c>
      <c r="AA221" s="23" t="n">
        <f aca="false">INDEX(Data_Macro!AA:AA,MATCH($G221,Data_Macro!$A:$A,0))</f>
        <v>0</v>
      </c>
      <c r="AB221" s="23" t="n">
        <f aca="false">INDEX(Data_Macro!AB:AB,MATCH($G221,Data_Macro!$A:$A,0))</f>
        <v>0</v>
      </c>
      <c r="AC221" s="23" t="n">
        <f aca="false">INDEX(Data_Macro!AC:AC,MATCH($G221,Data_Macro!$A:$A,0))</f>
        <v>0</v>
      </c>
      <c r="AD221" s="23" t="n">
        <f aca="false">INDEX(Data_Macro!AD:AD,MATCH($G221,Data_Macro!$A:$A,0))</f>
        <v>0</v>
      </c>
      <c r="AE221" s="23" t="n">
        <f aca="false">INDEX(Data_Macro!AE:AE,MATCH($G221,Data_Macro!$A:$A,0))</f>
        <v>0</v>
      </c>
    </row>
    <row r="222" customFormat="false" ht="15" hidden="false" customHeight="false" outlineLevel="0" collapsed="false">
      <c r="B222" s="16" t="s">
        <v>95</v>
      </c>
    </row>
    <row r="223" customFormat="false" ht="15" hidden="false" customHeight="false" outlineLevel="0" collapsed="false">
      <c r="B223" s="8" t="s">
        <v>36</v>
      </c>
      <c r="C223" s="8" t="s">
        <v>37</v>
      </c>
      <c r="D223" s="25" t="s">
        <v>38</v>
      </c>
      <c r="E223" s="8" t="s">
        <v>96</v>
      </c>
      <c r="F223" s="8" t="s">
        <v>97</v>
      </c>
      <c r="G223" s="8" t="s">
        <v>98</v>
      </c>
      <c r="H223" s="8" t="s">
        <v>99</v>
      </c>
      <c r="I223" s="8" t="s">
        <v>100</v>
      </c>
      <c r="J223" s="8" t="s">
        <v>101</v>
      </c>
    </row>
    <row r="224" customFormat="false" ht="15" hidden="false" customHeight="false" outlineLevel="0" collapsed="false">
      <c r="B224" s="17" t="s">
        <v>53</v>
      </c>
      <c r="C224" s="17" t="str">
        <f aca="false">$C$185</f>
        <v>mch</v>
      </c>
      <c r="D224" s="26" t="s">
        <v>102</v>
      </c>
      <c r="E224" s="27" t="n">
        <f aca="false">INDEX(Data_Elast!$D:$G,MATCH("el_inc_"&amp;INDEX(Data_Elast!$J:$J,MATCH($B224,Data_Elast!$I:$I,0)),Data_Elast!$A:$A,0),MATCH(Settings!$B$5,Data_Elast!$D$1:$G$1,0))</f>
        <v>0.5</v>
      </c>
      <c r="F224" s="27" t="n">
        <f aca="false">INDEX(Data_Elast!$D:$G,MATCH("el_dem_"&amp;INDEX(Data_Elast!$J:$J,MATCH($B224,Data_Elast!$I:$I,0)),Data_Elast!$A:$A,0),MATCH(Settings!$B$5,Data_Elast!$D$1:$G$1,0))</f>
        <v>-0.3</v>
      </c>
      <c r="G224" s="27" t="n">
        <f aca="false">INDEX(Data_Elast!$D:$G,MATCH("el_eff_"&amp;INDEX(Data_Elast!$J:$J,MATCH($B224,Data_Elast!$I:$I,0)),Data_Elast!$A:$A,0),MATCH(Settings!$B$5,Data_Elast!$D$1:$G$1,0))</f>
        <v>-0.4</v>
      </c>
      <c r="H224" s="27" t="n">
        <f aca="false">INDEX(Data_Elast!$D:$G,MATCH("eff_imp_"&amp;INDEX(Data_Elast!$K:$K,MATCH($B224,Data_Elast!$I:$I,0)),Data_Elast!$A:$A,0),MATCH(Settings!$B$5,Data_Elast!$D$1:$G$1,0))</f>
        <v>0.005</v>
      </c>
      <c r="I224" s="27" t="n">
        <f aca="false">Settings!$B$7</f>
        <v>0</v>
      </c>
      <c r="J224" s="19" t="str">
        <f aca="false">INDEX(Data_Elast!$J:$J,MATCH($B224,Data_Elast!$I:$I,0))</f>
        <v>coa</v>
      </c>
    </row>
    <row r="225" customFormat="false" ht="15" hidden="false" customHeight="false" outlineLevel="0" collapsed="false">
      <c r="B225" s="17" t="s">
        <v>57</v>
      </c>
      <c r="C225" s="17" t="str">
        <f aca="false">$C$185</f>
        <v>mch</v>
      </c>
      <c r="D225" s="26" t="s">
        <v>103</v>
      </c>
      <c r="E225" s="27" t="n">
        <f aca="false">INDEX(Data_Elast!$D:$G,MATCH("el_inc_"&amp;INDEX(Data_Elast!$J:$J,MATCH($B225,Data_Elast!$I:$I,0)),Data_Elast!$A:$A,0),MATCH(Settings!$B$5,Data_Elast!$D$1:$G$1,0))</f>
        <v>1</v>
      </c>
      <c r="F225" s="27" t="n">
        <f aca="false">INDEX(Data_Elast!$D:$G,MATCH("el_dem_"&amp;INDEX(Data_Elast!$J:$J,MATCH($B225,Data_Elast!$I:$I,0)),Data_Elast!$A:$A,0),MATCH(Settings!$B$5,Data_Elast!$D$1:$G$1,0))</f>
        <v>-0.5</v>
      </c>
      <c r="G225" s="27" t="n">
        <f aca="false">INDEX(Data_Elast!$D:$G,MATCH("el_eff_"&amp;INDEX(Data_Elast!$J:$J,MATCH($B225,Data_Elast!$I:$I,0)),Data_Elast!$A:$A,0),MATCH(Settings!$B$5,Data_Elast!$D$1:$G$1,0))</f>
        <v>-0.5</v>
      </c>
      <c r="H225" s="27" t="n">
        <f aca="false">INDEX(Data_Elast!$D:$G,MATCH("eff_imp_"&amp;INDEX(Data_Elast!$K:$K,MATCH($B225,Data_Elast!$I:$I,0)),Data_Elast!$A:$A,0),MATCH(Settings!$B$5,Data_Elast!$D$1:$G$1,0))</f>
        <v>0.01</v>
      </c>
      <c r="I225" s="27" t="n">
        <f aca="false">Settings!$B$7</f>
        <v>0</v>
      </c>
      <c r="J225" s="19" t="str">
        <f aca="false">INDEX(Data_Elast!$J:$J,MATCH($B225,Data_Elast!$I:$I,0))</f>
        <v>nga</v>
      </c>
    </row>
    <row r="226" customFormat="false" ht="15" hidden="false" customHeight="false" outlineLevel="0" collapsed="false">
      <c r="B226" s="17" t="s">
        <v>59</v>
      </c>
      <c r="C226" s="17" t="str">
        <f aca="false">$C$185</f>
        <v>mch</v>
      </c>
      <c r="D226" s="26" t="s">
        <v>104</v>
      </c>
      <c r="E226" s="27" t="n">
        <f aca="false">INDEX(Data_Elast!$D:$G,MATCH("el_inc_"&amp;INDEX(Data_Elast!$J:$J,MATCH($B226,Data_Elast!$I:$I,0)),Data_Elast!$A:$A,0),MATCH(Settings!$B$5,Data_Elast!$D$1:$G$1,0))</f>
        <v>0.5</v>
      </c>
      <c r="F226" s="27" t="n">
        <f aca="false">INDEX(Data_Elast!$D:$G,MATCH("el_dem_"&amp;INDEX(Data_Elast!$J:$J,MATCH($B226,Data_Elast!$I:$I,0)),Data_Elast!$A:$A,0),MATCH(Settings!$B$5,Data_Elast!$D$1:$G$1,0))</f>
        <v>-0.4</v>
      </c>
      <c r="G226" s="27" t="n">
        <f aca="false">INDEX(Data_Elast!$D:$G,MATCH("el_eff_"&amp;INDEX(Data_Elast!$J:$J,MATCH($B226,Data_Elast!$I:$I,0)),Data_Elast!$A:$A,0),MATCH(Settings!$B$5,Data_Elast!$D$1:$G$1,0))</f>
        <v>-0.7</v>
      </c>
      <c r="H226" s="27" t="n">
        <f aca="false">INDEX(Data_Elast!$D:$G,MATCH("eff_imp_"&amp;INDEX(Data_Elast!$K:$K,MATCH($B226,Data_Elast!$I:$I,0)),Data_Elast!$A:$A,0),MATCH(Settings!$B$5,Data_Elast!$D$1:$G$1,0))</f>
        <v>0.005</v>
      </c>
      <c r="I226" s="27" t="n">
        <f aca="false">Settings!$B$7</f>
        <v>0</v>
      </c>
      <c r="J226" s="19" t="str">
        <f aca="false">INDEX(Data_Elast!$J:$J,MATCH($B226,Data_Elast!$I:$I,0))</f>
        <v>gso</v>
      </c>
    </row>
    <row r="227" customFormat="false" ht="15" hidden="false" customHeight="false" outlineLevel="0" collapsed="false">
      <c r="B227" s="17" t="s">
        <v>62</v>
      </c>
      <c r="C227" s="17" t="str">
        <f aca="false">$C$185</f>
        <v>mch</v>
      </c>
      <c r="D227" s="26" t="s">
        <v>105</v>
      </c>
      <c r="E227" s="27" t="n">
        <f aca="false">INDEX(Data_Elast!$D:$G,MATCH("el_inc_"&amp;INDEX(Data_Elast!$J:$J,MATCH($B227,Data_Elast!$I:$I,0)),Data_Elast!$A:$A,0),MATCH(Settings!$B$5,Data_Elast!$D$1:$G$1,0))</f>
        <v>0.5</v>
      </c>
      <c r="F227" s="27" t="n">
        <f aca="false">INDEX(Data_Elast!$D:$G,MATCH("el_dem_"&amp;INDEX(Data_Elast!$J:$J,MATCH($B227,Data_Elast!$I:$I,0)),Data_Elast!$A:$A,0),MATCH(Settings!$B$5,Data_Elast!$D$1:$G$1,0))</f>
        <v>-0.7</v>
      </c>
      <c r="G227" s="27" t="n">
        <f aca="false">INDEX(Data_Elast!$D:$G,MATCH("el_eff_"&amp;INDEX(Data_Elast!$J:$J,MATCH($B227,Data_Elast!$I:$I,0)),Data_Elast!$A:$A,0),MATCH(Settings!$B$5,Data_Elast!$D$1:$G$1,0))</f>
        <v>-1.2</v>
      </c>
      <c r="H227" s="27" t="n">
        <f aca="false">INDEX(Data_Elast!$D:$G,MATCH("eff_imp_"&amp;INDEX(Data_Elast!$K:$K,MATCH($B227,Data_Elast!$I:$I,0)),Data_Elast!$A:$A,0),MATCH(Settings!$B$5,Data_Elast!$D$1:$G$1,0))</f>
        <v>0.005</v>
      </c>
      <c r="I227" s="27" t="n">
        <f aca="false">Settings!$B$7</f>
        <v>0</v>
      </c>
      <c r="J227" s="19" t="str">
        <f aca="false">INDEX(Data_Elast!$J:$J,MATCH($B227,Data_Elast!$I:$I,0))</f>
        <v>die</v>
      </c>
    </row>
    <row r="228" customFormat="false" ht="15" hidden="false" customHeight="false" outlineLevel="0" collapsed="false">
      <c r="B228" s="17" t="s">
        <v>64</v>
      </c>
      <c r="C228" s="17" t="str">
        <f aca="false">$C$185</f>
        <v>mch</v>
      </c>
      <c r="D228" s="26" t="s">
        <v>106</v>
      </c>
      <c r="E228" s="27" t="n">
        <f aca="false">INDEX(Data_Elast!$D:$G,MATCH("el_inc_"&amp;INDEX(Data_Elast!$J:$J,MATCH($B228,Data_Elast!$I:$I,0)),Data_Elast!$A:$A,0),MATCH(Settings!$B$5,Data_Elast!$D$1:$G$1,0))</f>
        <v>0.8</v>
      </c>
      <c r="F228" s="27" t="n">
        <f aca="false">INDEX(Data_Elast!$D:$G,MATCH("el_dem_"&amp;INDEX(Data_Elast!$J:$J,MATCH($B228,Data_Elast!$I:$I,0)),Data_Elast!$A:$A,0),MATCH(Settings!$B$5,Data_Elast!$D$1:$G$1,0))</f>
        <v>-0.4</v>
      </c>
      <c r="G228" s="27" t="n">
        <f aca="false">INDEX(Data_Elast!$D:$G,MATCH("el_eff_"&amp;INDEX(Data_Elast!$J:$J,MATCH($B228,Data_Elast!$I:$I,0)),Data_Elast!$A:$A,0),MATCH(Settings!$B$5,Data_Elast!$D$1:$G$1,0))</f>
        <v>-0.4</v>
      </c>
      <c r="H228" s="27" t="n">
        <f aca="false">INDEX(Data_Elast!$D:$G,MATCH("eff_imp_"&amp;INDEX(Data_Elast!$K:$K,MATCH($B228,Data_Elast!$I:$I,0)),Data_Elast!$A:$A,0),MATCH(Settings!$B$5,Data_Elast!$D$1:$G$1,0))</f>
        <v>0.005</v>
      </c>
      <c r="I228" s="27" t="n">
        <f aca="false">Settings!$B$7</f>
        <v>0</v>
      </c>
      <c r="J228" s="19" t="str">
        <f aca="false">INDEX(Data_Elast!$J:$J,MATCH($B228,Data_Elast!$I:$I,0))</f>
        <v>oil</v>
      </c>
    </row>
    <row r="229" customFormat="false" ht="15" hidden="false" customHeight="false" outlineLevel="0" collapsed="false">
      <c r="B229" s="17" t="s">
        <v>66</v>
      </c>
      <c r="C229" s="17" t="str">
        <f aca="false">$C$185</f>
        <v>mch</v>
      </c>
      <c r="D229" s="26" t="s">
        <v>107</v>
      </c>
      <c r="E229" s="27" t="n">
        <f aca="false">INDEX(Data_Elast!$D:$G,MATCH("el_inc_"&amp;INDEX(Data_Elast!$J:$J,MATCH($B229,Data_Elast!$I:$I,0)),Data_Elast!$A:$A,0),MATCH(Settings!$B$5,Data_Elast!$D$1:$G$1,0))</f>
        <v>0.8</v>
      </c>
      <c r="F229" s="27" t="n">
        <f aca="false">INDEX(Data_Elast!$D:$G,MATCH("el_dem_"&amp;INDEX(Data_Elast!$J:$J,MATCH($B229,Data_Elast!$I:$I,0)),Data_Elast!$A:$A,0),MATCH(Settings!$B$5,Data_Elast!$D$1:$G$1,0))</f>
        <v>-0.4</v>
      </c>
      <c r="G229" s="27" t="n">
        <f aca="false">INDEX(Data_Elast!$D:$G,MATCH("el_eff_"&amp;INDEX(Data_Elast!$J:$J,MATCH($B229,Data_Elast!$I:$I,0)),Data_Elast!$A:$A,0),MATCH(Settings!$B$5,Data_Elast!$D$1:$G$1,0))</f>
        <v>-0.4</v>
      </c>
      <c r="H229" s="27" t="n">
        <f aca="false">INDEX(Data_Elast!$D:$G,MATCH("eff_imp_"&amp;INDEX(Data_Elast!$K:$K,MATCH($B229,Data_Elast!$I:$I,0)),Data_Elast!$A:$A,0),MATCH(Settings!$B$5,Data_Elast!$D$1:$G$1,0))</f>
        <v>0.005</v>
      </c>
      <c r="I229" s="27" t="n">
        <f aca="false">Settings!$B$7</f>
        <v>0</v>
      </c>
      <c r="J229" s="19" t="str">
        <f aca="false">INDEX(Data_Elast!$J:$J,MATCH($B229,Data_Elast!$I:$I,0))</f>
        <v>oil</v>
      </c>
    </row>
    <row r="230" customFormat="false" ht="15" hidden="false" customHeight="false" outlineLevel="0" collapsed="false">
      <c r="B230" s="17" t="s">
        <v>68</v>
      </c>
      <c r="C230" s="17" t="str">
        <f aca="false">$C$185</f>
        <v>mch</v>
      </c>
      <c r="D230" s="26" t="s">
        <v>108</v>
      </c>
      <c r="E230" s="27" t="n">
        <f aca="false">INDEX(Data_Elast!$D:$G,MATCH("el_inc_"&amp;INDEX(Data_Elast!$J:$J,MATCH($B230,Data_Elast!$I:$I,0)),Data_Elast!$A:$A,0),MATCH(Settings!$B$5,Data_Elast!$D$1:$G$1,0))</f>
        <v>0.8</v>
      </c>
      <c r="F230" s="27" t="n">
        <f aca="false">INDEX(Data_Elast!$D:$G,MATCH("el_dem_"&amp;INDEX(Data_Elast!$J:$J,MATCH($B230,Data_Elast!$I:$I,0)),Data_Elast!$A:$A,0),MATCH(Settings!$B$5,Data_Elast!$D$1:$G$1,0))</f>
        <v>-0.4</v>
      </c>
      <c r="G230" s="27" t="n">
        <f aca="false">INDEX(Data_Elast!$D:$G,MATCH("el_eff_"&amp;INDEX(Data_Elast!$J:$J,MATCH($B230,Data_Elast!$I:$I,0)),Data_Elast!$A:$A,0),MATCH(Settings!$B$5,Data_Elast!$D$1:$G$1,0))</f>
        <v>-0.4</v>
      </c>
      <c r="H230" s="27" t="n">
        <f aca="false">INDEX(Data_Elast!$D:$G,MATCH("eff_imp_"&amp;INDEX(Data_Elast!$K:$K,MATCH($B230,Data_Elast!$I:$I,0)),Data_Elast!$A:$A,0),MATCH(Settings!$B$5,Data_Elast!$D$1:$G$1,0))</f>
        <v>0.005</v>
      </c>
      <c r="I230" s="27" t="n">
        <f aca="false">Settings!$B$7</f>
        <v>0</v>
      </c>
      <c r="J230" s="19" t="str">
        <f aca="false">INDEX(Data_Elast!$J:$J,MATCH($B230,Data_Elast!$I:$I,0))</f>
        <v>oil</v>
      </c>
    </row>
    <row r="231" customFormat="false" ht="15" hidden="false" customHeight="false" outlineLevel="0" collapsed="false">
      <c r="B231" s="17" t="s">
        <v>71</v>
      </c>
      <c r="C231" s="17" t="str">
        <f aca="false">$C$185</f>
        <v>mch</v>
      </c>
      <c r="D231" s="26" t="s">
        <v>109</v>
      </c>
      <c r="E231" s="27" t="n">
        <f aca="false">INDEX(Data_Elast!$D:$G,MATCH("el_inc_"&amp;INDEX(Data_Elast!$J:$J,MATCH($B231,Data_Elast!$I:$I,0)),Data_Elast!$A:$A,0),MATCH(Settings!$B$5,Data_Elast!$D$1:$G$1,0))</f>
        <v>0.1</v>
      </c>
      <c r="F231" s="27" t="n">
        <f aca="false">INDEX(Data_Elast!$D:$G,MATCH("el_dem_"&amp;INDEX(Data_Elast!$J:$J,MATCH($B231,Data_Elast!$I:$I,0)),Data_Elast!$A:$A,0),MATCH(Settings!$B$5,Data_Elast!$D$1:$G$1,0))</f>
        <v>-0.3</v>
      </c>
      <c r="G231" s="27" t="n">
        <f aca="false">INDEX(Data_Elast!$D:$G,MATCH("el_eff_"&amp;INDEX(Data_Elast!$J:$J,MATCH($B231,Data_Elast!$I:$I,0)),Data_Elast!$A:$A,0),MATCH(Settings!$B$5,Data_Elast!$D$1:$G$1,0))</f>
        <v>-0.2</v>
      </c>
      <c r="H231" s="27" t="n">
        <f aca="false">INDEX(Data_Elast!$D:$G,MATCH("eff_imp_"&amp;INDEX(Data_Elast!$K:$K,MATCH($B231,Data_Elast!$I:$I,0)),Data_Elast!$A:$A,0),MATCH(Settings!$B$5,Data_Elast!$D$1:$G$1,0))</f>
        <v>0.005</v>
      </c>
      <c r="I231" s="27" t="n">
        <f aca="false">Settings!$B$7</f>
        <v>0</v>
      </c>
      <c r="J231" s="19" t="str">
        <f aca="false">INDEX(Data_Elast!$J:$J,MATCH($B231,Data_Elast!$I:$I,0))</f>
        <v>bio</v>
      </c>
    </row>
    <row r="232" customFormat="false" ht="15" hidden="false" customHeight="false" outlineLevel="0" collapsed="false">
      <c r="B232" s="17" t="s">
        <v>73</v>
      </c>
      <c r="C232" s="17" t="str">
        <f aca="false">$C$185</f>
        <v>mch</v>
      </c>
      <c r="D232" s="26" t="s">
        <v>110</v>
      </c>
      <c r="E232" s="27" t="n">
        <f aca="false">INDEX(Data_Elast!$D:$G,MATCH("el_inc_"&amp;INDEX(Data_Elast!$J:$J,MATCH($B232,Data_Elast!$I:$I,0)),Data_Elast!$A:$A,0),MATCH(Settings!$B$5,Data_Elast!$D$1:$G$1,0))</f>
        <v>0.8</v>
      </c>
      <c r="F232" s="27" t="n">
        <f aca="false">INDEX(Data_Elast!$D:$G,MATCH("el_dem_"&amp;INDEX(Data_Elast!$J:$J,MATCH($B232,Data_Elast!$I:$I,0)),Data_Elast!$A:$A,0),MATCH(Settings!$B$5,Data_Elast!$D$1:$G$1,0))</f>
        <v>-0.5</v>
      </c>
      <c r="G232" s="27" t="n">
        <f aca="false">INDEX(Data_Elast!$D:$G,MATCH("el_eff_"&amp;INDEX(Data_Elast!$J:$J,MATCH($B232,Data_Elast!$I:$I,0)),Data_Elast!$A:$A,0),MATCH(Settings!$B$5,Data_Elast!$D$1:$G$1,0))</f>
        <v>-0.4</v>
      </c>
      <c r="H232" s="27" t="n">
        <f aca="false">INDEX(Data_Elast!$D:$G,MATCH("eff_imp_"&amp;INDEX(Data_Elast!$K:$K,MATCH($B232,Data_Elast!$I:$I,0)),Data_Elast!$A:$A,0),MATCH(Settings!$B$5,Data_Elast!$D$1:$G$1,0))</f>
        <v>0.005</v>
      </c>
      <c r="I232" s="27" t="n">
        <f aca="false">Settings!$B$7</f>
        <v>0</v>
      </c>
      <c r="J232" s="19" t="str">
        <f aca="false">INDEX(Data_Elast!$J:$J,MATCH($B232,Data_Elast!$I:$I,0))</f>
        <v>ren</v>
      </c>
    </row>
    <row r="233" customFormat="false" ht="15" hidden="false" customHeight="false" outlineLevel="0" collapsed="false">
      <c r="B233" s="16" t="s">
        <v>111</v>
      </c>
    </row>
    <row r="234" customFormat="false" ht="15" hidden="false" customHeight="false" outlineLevel="0" collapsed="false">
      <c r="B234" s="17" t="s">
        <v>53</v>
      </c>
      <c r="C234" s="17" t="str">
        <f aca="false">$C$185</f>
        <v>mch</v>
      </c>
      <c r="D234" s="18" t="s">
        <v>54</v>
      </c>
      <c r="E234" s="19" t="s">
        <v>112</v>
      </c>
      <c r="F234" s="17" t="s">
        <v>113</v>
      </c>
      <c r="G234" s="20" t="str">
        <f aca="false">Settings!$B$3&amp;".mit.enc."&amp;$B234</f>
        <v>egy.mit.enc.coa</v>
      </c>
      <c r="H234" s="21" t="str">
        <f aca="false">Settings!$B$3&amp;".mit.ener."&amp;$C$185&amp;"."&amp;$B234&amp;".e."&amp;$J$185</f>
        <v>egy.mit.ener.mch.coa.e.1</v>
      </c>
      <c r="L234" s="28" t="n">
        <f aca="false">INDEX(Data_Energy!$D$3:$U$22,MATCH($B234,Data_Energy!$C$3:$C$22,0),MATCH($C234,Data_Energy!$D$2:$U$2,0))</f>
        <v>0</v>
      </c>
      <c r="M234" s="29" t="n">
        <f aca="false">L234*(1+M$219)^($E224*M$220)*(1+M$221)*IF(L197&lt;=0,1,M197/L197)^$F224*(IF(L207&lt;=0,1,M207/L207)^$G224/(1+$H224+$I224))^(1+$F224)</f>
        <v>0</v>
      </c>
      <c r="N234" s="29" t="n">
        <f aca="false">M234*(1+N$219)^($E224*N$220)*(1+N$221)*IF(M197&lt;=0,1,N197/M197)^$F224*(IF(M207&lt;=0,1,N207/M207)^$G224/(1+$H224+$I224))^(1+$F224)</f>
        <v>0</v>
      </c>
      <c r="O234" s="29" t="n">
        <f aca="false">N234*(1+O$219)^($E224*O$220)*(1+O$221)*IF(N197&lt;=0,1,O197/N197)^$F224*(IF(N207&lt;=0,1,O207/N207)^$G224/(1+$H224+$I224))^(1+$F224)</f>
        <v>0</v>
      </c>
      <c r="P234" s="29" t="n">
        <f aca="false">O234*(1+P$219)^($E224*P$220)*(1+P$221)*IF(O197&lt;=0,1,P197/O197)^$F224*(IF(O207&lt;=0,1,P207/O207)^$G224/(1+$H224+$I224))^(1+$F224)</f>
        <v>0</v>
      </c>
      <c r="Q234" s="29" t="n">
        <f aca="false">P234*(1+Q$219)^($E224*Q$220)*(1+Q$221)*IF(P197&lt;=0,1,Q197/P197)^$F224*(IF(P207&lt;=0,1,Q207/P207)^$G224/(1+$H224+$I224))^(1+$F224)</f>
        <v>0</v>
      </c>
      <c r="R234" s="29" t="n">
        <f aca="false">Q234*(1+R$219)^($E224*R$220)*(1+R$221)*IF(Q197&lt;=0,1,R197/Q197)^$F224*(IF(Q207&lt;=0,1,R207/Q207)^$G224/(1+$H224+$I224))^(1+$F224)</f>
        <v>0</v>
      </c>
      <c r="S234" s="29" t="n">
        <f aca="false">R234*(1+S$219)^($E224*S$220)*(1+S$221)*IF(R197&lt;=0,1,S197/R197)^$F224*(IF(R207&lt;=0,1,S207/R207)^$G224/(1+$H224+$I224))^(1+$F224)</f>
        <v>0</v>
      </c>
      <c r="T234" s="29" t="n">
        <f aca="false">S234*(1+T$219)^($E224*T$220)*(1+T$221)*IF(S197&lt;=0,1,T197/S197)^$F224*(IF(S207&lt;=0,1,T207/S207)^$G224/(1+$H224+$I224))^(1+$F224)</f>
        <v>0</v>
      </c>
      <c r="U234" s="29" t="n">
        <f aca="false">T234*(1+U$219)^($E224*U$220)*(1+U$221)*IF(T197&lt;=0,1,U197/T197)^$F224*(IF(T207&lt;=0,1,U207/T207)^$G224/(1+$H224+$I224))^(1+$F224)</f>
        <v>0</v>
      </c>
      <c r="V234" s="29" t="n">
        <f aca="false">U234*(1+V$219)^($E224*V$220)*(1+V$221)*IF(U197&lt;=0,1,V197/U197)^$F224*(IF(U207&lt;=0,1,V207/U207)^$G224/(1+$H224+$I224))^(1+$F224)</f>
        <v>0</v>
      </c>
      <c r="W234" s="29" t="n">
        <f aca="false">V234*(1+W$219)^($E224*W$220)*(1+W$221)*IF(V197&lt;=0,1,W197/V197)^$F224*(IF(V207&lt;=0,1,W207/V207)^$G224/(1+$H224+$I224))^(1+$F224)</f>
        <v>0</v>
      </c>
      <c r="X234" s="29" t="n">
        <f aca="false">W234*(1+X$219)^($E224*X$220)*(1+X$221)*IF(W197&lt;=0,1,X197/W197)^$F224*(IF(W207&lt;=0,1,X207/W207)^$G224/(1+$H224+$I224))^(1+$F224)</f>
        <v>0</v>
      </c>
      <c r="Y234" s="29" t="n">
        <f aca="false">X234*(1+Y$219)^($E224*Y$220)*(1+Y$221)*IF(X197&lt;=0,1,Y197/X197)^$F224*(IF(X207&lt;=0,1,Y207/X207)^$G224/(1+$H224+$I224))^(1+$F224)</f>
        <v>0</v>
      </c>
      <c r="Z234" s="29" t="n">
        <f aca="false">Y234*(1+Z$219)^($E224*Z$220)*(1+Z$221)*IF(Y197&lt;=0,1,Z197/Y197)^$F224*(IF(Y207&lt;=0,1,Z207/Y207)^$G224/(1+$H224+$I224))^(1+$F224)</f>
        <v>0</v>
      </c>
      <c r="AA234" s="29" t="n">
        <f aca="false">Z234*(1+AA$219)^($E224*AA$220)*(1+AA$221)*IF(Z197&lt;=0,1,AA197/Z197)^$F224*(IF(Z207&lt;=0,1,AA207/Z207)^$G224/(1+$H224+$I224))^(1+$F224)</f>
        <v>0</v>
      </c>
      <c r="AB234" s="29" t="n">
        <f aca="false">AA234*(1+AB$219)^($E224*AB$220)*(1+AB$221)*IF(AA197&lt;=0,1,AB197/AA197)^$F224*(IF(AA207&lt;=0,1,AB207/AA207)^$G224/(1+$H224+$I224))^(1+$F224)</f>
        <v>0</v>
      </c>
      <c r="AC234" s="29" t="n">
        <f aca="false">AB234*(1+AC$219)^($E224*AC$220)*(1+AC$221)*IF(AB197&lt;=0,1,AC197/AB197)^$F224*(IF(AB207&lt;=0,1,AC207/AB207)^$G224/(1+$H224+$I224))^(1+$F224)</f>
        <v>0</v>
      </c>
      <c r="AD234" s="29" t="n">
        <f aca="false">AC234*(1+AD$219)^($E224*AD$220)*(1+AD$221)*IF(AC197&lt;=0,1,AD197/AC197)^$F224*(IF(AC207&lt;=0,1,AD207/AC207)^$G224/(1+$H224+$I224))^(1+$F224)</f>
        <v>0</v>
      </c>
      <c r="AE234" s="29" t="n">
        <f aca="false">AD234*(1+AE$219)^($E224*AE$220)*(1+AE$221)*IF(AD197&lt;=0,1,AE197/AD197)^$F224*(IF(AD207&lt;=0,1,AE207/AD207)^$G224/(1+$H224+$I224))^(1+$F224)</f>
        <v>0</v>
      </c>
    </row>
    <row r="235" customFormat="false" ht="15" hidden="false" customHeight="false" outlineLevel="0" collapsed="false">
      <c r="B235" s="17" t="s">
        <v>57</v>
      </c>
      <c r="C235" s="17" t="str">
        <f aca="false">$C$185</f>
        <v>mch</v>
      </c>
      <c r="D235" s="18" t="s">
        <v>58</v>
      </c>
      <c r="E235" s="19" t="s">
        <v>112</v>
      </c>
      <c r="F235" s="17" t="s">
        <v>113</v>
      </c>
      <c r="G235" s="20" t="str">
        <f aca="false">Settings!$B$3&amp;".mit.enc."&amp;$B235</f>
        <v>egy.mit.enc.nga</v>
      </c>
      <c r="H235" s="21" t="str">
        <f aca="false">Settings!$B$3&amp;".mit.ener."&amp;$C$185&amp;"."&amp;$B235&amp;".e."&amp;$J$185</f>
        <v>egy.mit.ener.mch.nga.e.1</v>
      </c>
      <c r="L235" s="28" t="n">
        <f aca="false">INDEX(Data_Energy!$D$3:$U$22,MATCH($B235,Data_Energy!$C$3:$C$22,0),MATCH($C235,Data_Energy!$D$2:$U$2,0))</f>
        <v>0</v>
      </c>
      <c r="M235" s="29" t="n">
        <f aca="false">L235*(1+M$219)^($E225*M$220)*(1+M$221)*IF(L198&lt;=0,1,M198/L198)^$F225*(IF(L208&lt;=0,1,M208/L208)^$G225/(1+$H225+$I225))^(1+$F225)</f>
        <v>0</v>
      </c>
      <c r="N235" s="29" t="n">
        <f aca="false">M235*(1+N$219)^($E225*N$220)*(1+N$221)*IF(M198&lt;=0,1,N198/M198)^$F225*(IF(M208&lt;=0,1,N208/M208)^$G225/(1+$H225+$I225))^(1+$F225)</f>
        <v>0</v>
      </c>
      <c r="O235" s="29" t="n">
        <f aca="false">N235*(1+O$219)^($E225*O$220)*(1+O$221)*IF(N198&lt;=0,1,O198/N198)^$F225*(IF(N208&lt;=0,1,O208/N208)^$G225/(1+$H225+$I225))^(1+$F225)</f>
        <v>0</v>
      </c>
      <c r="P235" s="29" t="n">
        <f aca="false">O235*(1+P$219)^($E225*P$220)*(1+P$221)*IF(O198&lt;=0,1,P198/O198)^$F225*(IF(O208&lt;=0,1,P208/O208)^$G225/(1+$H225+$I225))^(1+$F225)</f>
        <v>0</v>
      </c>
      <c r="Q235" s="29" t="n">
        <f aca="false">P235*(1+Q$219)^($E225*Q$220)*(1+Q$221)*IF(P198&lt;=0,1,Q198/P198)^$F225*(IF(P208&lt;=0,1,Q208/P208)^$G225/(1+$H225+$I225))^(1+$F225)</f>
        <v>0</v>
      </c>
      <c r="R235" s="29" t="n">
        <f aca="false">Q235*(1+R$219)^($E225*R$220)*(1+R$221)*IF(Q198&lt;=0,1,R198/Q198)^$F225*(IF(Q208&lt;=0,1,R208/Q208)^$G225/(1+$H225+$I225))^(1+$F225)</f>
        <v>0</v>
      </c>
      <c r="S235" s="29" t="n">
        <f aca="false">R235*(1+S$219)^($E225*S$220)*(1+S$221)*IF(R198&lt;=0,1,S198/R198)^$F225*(IF(R208&lt;=0,1,S208/R208)^$G225/(1+$H225+$I225))^(1+$F225)</f>
        <v>0</v>
      </c>
      <c r="T235" s="29" t="n">
        <f aca="false">S235*(1+T$219)^($E225*T$220)*(1+T$221)*IF(S198&lt;=0,1,T198/S198)^$F225*(IF(S208&lt;=0,1,T208/S208)^$G225/(1+$H225+$I225))^(1+$F225)</f>
        <v>0</v>
      </c>
      <c r="U235" s="29" t="n">
        <f aca="false">T235*(1+U$219)^($E225*U$220)*(1+U$221)*IF(T198&lt;=0,1,U198/T198)^$F225*(IF(T208&lt;=0,1,U208/T208)^$G225/(1+$H225+$I225))^(1+$F225)</f>
        <v>0</v>
      </c>
      <c r="V235" s="29" t="n">
        <f aca="false">U235*(1+V$219)^($E225*V$220)*(1+V$221)*IF(U198&lt;=0,1,V198/U198)^$F225*(IF(U208&lt;=0,1,V208/U208)^$G225/(1+$H225+$I225))^(1+$F225)</f>
        <v>0</v>
      </c>
      <c r="W235" s="29" t="n">
        <f aca="false">V235*(1+W$219)^($E225*W$220)*(1+W$221)*IF(V198&lt;=0,1,W198/V198)^$F225*(IF(V208&lt;=0,1,W208/V208)^$G225/(1+$H225+$I225))^(1+$F225)</f>
        <v>0</v>
      </c>
      <c r="X235" s="29" t="n">
        <f aca="false">W235*(1+X$219)^($E225*X$220)*(1+X$221)*IF(W198&lt;=0,1,X198/W198)^$F225*(IF(W208&lt;=0,1,X208/W208)^$G225/(1+$H225+$I225))^(1+$F225)</f>
        <v>0</v>
      </c>
      <c r="Y235" s="29" t="n">
        <f aca="false">X235*(1+Y$219)^($E225*Y$220)*(1+Y$221)*IF(X198&lt;=0,1,Y198/X198)^$F225*(IF(X208&lt;=0,1,Y208/X208)^$G225/(1+$H225+$I225))^(1+$F225)</f>
        <v>0</v>
      </c>
      <c r="Z235" s="29" t="n">
        <f aca="false">Y235*(1+Z$219)^($E225*Z$220)*(1+Z$221)*IF(Y198&lt;=0,1,Z198/Y198)^$F225*(IF(Y208&lt;=0,1,Z208/Y208)^$G225/(1+$H225+$I225))^(1+$F225)</f>
        <v>0</v>
      </c>
      <c r="AA235" s="29" t="n">
        <f aca="false">Z235*(1+AA$219)^($E225*AA$220)*(1+AA$221)*IF(Z198&lt;=0,1,AA198/Z198)^$F225*(IF(Z208&lt;=0,1,AA208/Z208)^$G225/(1+$H225+$I225))^(1+$F225)</f>
        <v>0</v>
      </c>
      <c r="AB235" s="29" t="n">
        <f aca="false">AA235*(1+AB$219)^($E225*AB$220)*(1+AB$221)*IF(AA198&lt;=0,1,AB198/AA198)^$F225*(IF(AA208&lt;=0,1,AB208/AA208)^$G225/(1+$H225+$I225))^(1+$F225)</f>
        <v>0</v>
      </c>
      <c r="AC235" s="29" t="n">
        <f aca="false">AB235*(1+AC$219)^($E225*AC$220)*(1+AC$221)*IF(AB198&lt;=0,1,AC198/AB198)^$F225*(IF(AB208&lt;=0,1,AC208/AB208)^$G225/(1+$H225+$I225))^(1+$F225)</f>
        <v>0</v>
      </c>
      <c r="AD235" s="29" t="n">
        <f aca="false">AC235*(1+AD$219)^($E225*AD$220)*(1+AD$221)*IF(AC198&lt;=0,1,AD198/AC198)^$F225*(IF(AC208&lt;=0,1,AD208/AC208)^$G225/(1+$H225+$I225))^(1+$F225)</f>
        <v>0</v>
      </c>
      <c r="AE235" s="29" t="n">
        <f aca="false">AD235*(1+AE$219)^($E225*AE$220)*(1+AE$221)*IF(AD198&lt;=0,1,AE198/AD198)^$F225*(IF(AD208&lt;=0,1,AE208/AD208)^$G225/(1+$H225+$I225))^(1+$F225)</f>
        <v>0</v>
      </c>
    </row>
    <row r="236" customFormat="false" ht="15" hidden="false" customHeight="false" outlineLevel="0" collapsed="false">
      <c r="B236" s="17" t="s">
        <v>59</v>
      </c>
      <c r="C236" s="17" t="str">
        <f aca="false">$C$185</f>
        <v>mch</v>
      </c>
      <c r="D236" s="18" t="s">
        <v>60</v>
      </c>
      <c r="E236" s="19" t="s">
        <v>112</v>
      </c>
      <c r="F236" s="17" t="s">
        <v>113</v>
      </c>
      <c r="G236" s="20" t="str">
        <f aca="false">Settings!$B$3&amp;".mit.enc."&amp;$B236</f>
        <v>egy.mit.enc.gso</v>
      </c>
      <c r="H236" s="21" t="str">
        <f aca="false">Settings!$B$3&amp;".mit.ener."&amp;$C$185&amp;"."&amp;$B236&amp;".e."&amp;$J$185</f>
        <v>egy.mit.ener.mch.gso.e.1</v>
      </c>
      <c r="L236" s="28" t="n">
        <f aca="false">INDEX(Data_Energy!$D$3:$U$22,MATCH($B236,Data_Energy!$C$3:$C$22,0),MATCH($C236,Data_Energy!$D$2:$U$2,0))</f>
        <v>0</v>
      </c>
      <c r="M236" s="29" t="n">
        <f aca="false">L236*(1+M$219)^($E226*M$220)*(1+M$221)*IF(L199&lt;=0,1,M199/L199)^$F226*(IF(L209&lt;=0,1,M209/L209)^$G226/(1+$H226+$I226))^(1+$F226)</f>
        <v>0</v>
      </c>
      <c r="N236" s="29" t="n">
        <f aca="false">M236*(1+N$219)^($E226*N$220)*(1+N$221)*IF(M199&lt;=0,1,N199/M199)^$F226*(IF(M209&lt;=0,1,N209/M209)^$G226/(1+$H226+$I226))^(1+$F226)</f>
        <v>0</v>
      </c>
      <c r="O236" s="29" t="n">
        <f aca="false">N236*(1+O$219)^($E226*O$220)*(1+O$221)*IF(N199&lt;=0,1,O199/N199)^$F226*(IF(N209&lt;=0,1,O209/N209)^$G226/(1+$H226+$I226))^(1+$F226)</f>
        <v>0</v>
      </c>
      <c r="P236" s="29" t="n">
        <f aca="false">O236*(1+P$219)^($E226*P$220)*(1+P$221)*IF(O199&lt;=0,1,P199/O199)^$F226*(IF(O209&lt;=0,1,P209/O209)^$G226/(1+$H226+$I226))^(1+$F226)</f>
        <v>0</v>
      </c>
      <c r="Q236" s="29" t="n">
        <f aca="false">P236*(1+Q$219)^($E226*Q$220)*(1+Q$221)*IF(P199&lt;=0,1,Q199/P199)^$F226*(IF(P209&lt;=0,1,Q209/P209)^$G226/(1+$H226+$I226))^(1+$F226)</f>
        <v>0</v>
      </c>
      <c r="R236" s="29" t="n">
        <f aca="false">Q236*(1+R$219)^($E226*R$220)*(1+R$221)*IF(Q199&lt;=0,1,R199/Q199)^$F226*(IF(Q209&lt;=0,1,R209/Q209)^$G226/(1+$H226+$I226))^(1+$F226)</f>
        <v>0</v>
      </c>
      <c r="S236" s="29" t="n">
        <f aca="false">R236*(1+S$219)^($E226*S$220)*(1+S$221)*IF(R199&lt;=0,1,S199/R199)^$F226*(IF(R209&lt;=0,1,S209/R209)^$G226/(1+$H226+$I226))^(1+$F226)</f>
        <v>0</v>
      </c>
      <c r="T236" s="29" t="n">
        <f aca="false">S236*(1+T$219)^($E226*T$220)*(1+T$221)*IF(S199&lt;=0,1,T199/S199)^$F226*(IF(S209&lt;=0,1,T209/S209)^$G226/(1+$H226+$I226))^(1+$F226)</f>
        <v>0</v>
      </c>
      <c r="U236" s="29" t="n">
        <f aca="false">T236*(1+U$219)^($E226*U$220)*(1+U$221)*IF(T199&lt;=0,1,U199/T199)^$F226*(IF(T209&lt;=0,1,U209/T209)^$G226/(1+$H226+$I226))^(1+$F226)</f>
        <v>0</v>
      </c>
      <c r="V236" s="29" t="n">
        <f aca="false">U236*(1+V$219)^($E226*V$220)*(1+V$221)*IF(U199&lt;=0,1,V199/U199)^$F226*(IF(U209&lt;=0,1,V209/U209)^$G226/(1+$H226+$I226))^(1+$F226)</f>
        <v>0</v>
      </c>
      <c r="W236" s="29" t="n">
        <f aca="false">V236*(1+W$219)^($E226*W$220)*(1+W$221)*IF(V199&lt;=0,1,W199/V199)^$F226*(IF(V209&lt;=0,1,W209/V209)^$G226/(1+$H226+$I226))^(1+$F226)</f>
        <v>0</v>
      </c>
      <c r="X236" s="29" t="n">
        <f aca="false">W236*(1+X$219)^($E226*X$220)*(1+X$221)*IF(W199&lt;=0,1,X199/W199)^$F226*(IF(W209&lt;=0,1,X209/W209)^$G226/(1+$H226+$I226))^(1+$F226)</f>
        <v>0</v>
      </c>
      <c r="Y236" s="29" t="n">
        <f aca="false">X236*(1+Y$219)^($E226*Y$220)*(1+Y$221)*IF(X199&lt;=0,1,Y199/X199)^$F226*(IF(X209&lt;=0,1,Y209/X209)^$G226/(1+$H226+$I226))^(1+$F226)</f>
        <v>0</v>
      </c>
      <c r="Z236" s="29" t="n">
        <f aca="false">Y236*(1+Z$219)^($E226*Z$220)*(1+Z$221)*IF(Y199&lt;=0,1,Z199/Y199)^$F226*(IF(Y209&lt;=0,1,Z209/Y209)^$G226/(1+$H226+$I226))^(1+$F226)</f>
        <v>0</v>
      </c>
      <c r="AA236" s="29" t="n">
        <f aca="false">Z236*(1+AA$219)^($E226*AA$220)*(1+AA$221)*IF(Z199&lt;=0,1,AA199/Z199)^$F226*(IF(Z209&lt;=0,1,AA209/Z209)^$G226/(1+$H226+$I226))^(1+$F226)</f>
        <v>0</v>
      </c>
      <c r="AB236" s="29" t="n">
        <f aca="false">AA236*(1+AB$219)^($E226*AB$220)*(1+AB$221)*IF(AA199&lt;=0,1,AB199/AA199)^$F226*(IF(AA209&lt;=0,1,AB209/AA209)^$G226/(1+$H226+$I226))^(1+$F226)</f>
        <v>0</v>
      </c>
      <c r="AC236" s="29" t="n">
        <f aca="false">AB236*(1+AC$219)^($E226*AC$220)*(1+AC$221)*IF(AB199&lt;=0,1,AC199/AB199)^$F226*(IF(AB209&lt;=0,1,AC209/AB209)^$G226/(1+$H226+$I226))^(1+$F226)</f>
        <v>0</v>
      </c>
      <c r="AD236" s="29" t="n">
        <f aca="false">AC236*(1+AD$219)^($E226*AD$220)*(1+AD$221)*IF(AC199&lt;=0,1,AD199/AC199)^$F226*(IF(AC209&lt;=0,1,AD209/AC209)^$G226/(1+$H226+$I226))^(1+$F226)</f>
        <v>0</v>
      </c>
      <c r="AE236" s="29" t="n">
        <f aca="false">AD236*(1+AE$219)^($E226*AE$220)*(1+AE$221)*IF(AD199&lt;=0,1,AE199/AD199)^$F226*(IF(AD209&lt;=0,1,AE209/AD209)^$G226/(1+$H226+$I226))^(1+$F226)</f>
        <v>0</v>
      </c>
    </row>
    <row r="237" customFormat="false" ht="15" hidden="false" customHeight="false" outlineLevel="0" collapsed="false">
      <c r="B237" s="17" t="s">
        <v>62</v>
      </c>
      <c r="C237" s="17" t="str">
        <f aca="false">$C$185</f>
        <v>mch</v>
      </c>
      <c r="D237" s="18" t="s">
        <v>63</v>
      </c>
      <c r="E237" s="19" t="s">
        <v>112</v>
      </c>
      <c r="F237" s="17" t="s">
        <v>113</v>
      </c>
      <c r="G237" s="20" t="str">
        <f aca="false">Settings!$B$3&amp;".mit.enc."&amp;$B237</f>
        <v>egy.mit.enc.die</v>
      </c>
      <c r="H237" s="21" t="str">
        <f aca="false">Settings!$B$3&amp;".mit.ener."&amp;$C$185&amp;"."&amp;$B237&amp;".e."&amp;$J$185</f>
        <v>egy.mit.ener.mch.die.e.1</v>
      </c>
      <c r="L237" s="28" t="n">
        <f aca="false">INDEX(Data_Energy!$D$3:$U$22,MATCH($B237,Data_Energy!$C$3:$C$22,0),MATCH($C237,Data_Energy!$D$2:$U$2,0))</f>
        <v>0</v>
      </c>
      <c r="M237" s="29" t="n">
        <f aca="false">L237*(1+M$219)^($E227*M$220)*(1+M$221)*IF(L200&lt;=0,1,M200/L200)^$F227*(IF(L210&lt;=0,1,M210/L210)^$G227/(1+$H227+$I227))^(1+$F227)</f>
        <v>0</v>
      </c>
      <c r="N237" s="29" t="n">
        <f aca="false">M237*(1+N$219)^($E227*N$220)*(1+N$221)*IF(M200&lt;=0,1,N200/M200)^$F227*(IF(M210&lt;=0,1,N210/M210)^$G227/(1+$H227+$I227))^(1+$F227)</f>
        <v>0</v>
      </c>
      <c r="O237" s="29" t="n">
        <f aca="false">N237*(1+O$219)^($E227*O$220)*(1+O$221)*IF(N200&lt;=0,1,O200/N200)^$F227*(IF(N210&lt;=0,1,O210/N210)^$G227/(1+$H227+$I227))^(1+$F227)</f>
        <v>0</v>
      </c>
      <c r="P237" s="29" t="n">
        <f aca="false">O237*(1+P$219)^($E227*P$220)*(1+P$221)*IF(O200&lt;=0,1,P200/O200)^$F227*(IF(O210&lt;=0,1,P210/O210)^$G227/(1+$H227+$I227))^(1+$F227)</f>
        <v>0</v>
      </c>
      <c r="Q237" s="29" t="n">
        <f aca="false">P237*(1+Q$219)^($E227*Q$220)*(1+Q$221)*IF(P200&lt;=0,1,Q200/P200)^$F227*(IF(P210&lt;=0,1,Q210/P210)^$G227/(1+$H227+$I227))^(1+$F227)</f>
        <v>0</v>
      </c>
      <c r="R237" s="29" t="n">
        <f aca="false">Q237*(1+R$219)^($E227*R$220)*(1+R$221)*IF(Q200&lt;=0,1,R200/Q200)^$F227*(IF(Q210&lt;=0,1,R210/Q210)^$G227/(1+$H227+$I227))^(1+$F227)</f>
        <v>0</v>
      </c>
      <c r="S237" s="29" t="n">
        <f aca="false">R237*(1+S$219)^($E227*S$220)*(1+S$221)*IF(R200&lt;=0,1,S200/R200)^$F227*(IF(R210&lt;=0,1,S210/R210)^$G227/(1+$H227+$I227))^(1+$F227)</f>
        <v>0</v>
      </c>
      <c r="T237" s="29" t="n">
        <f aca="false">S237*(1+T$219)^($E227*T$220)*(1+T$221)*IF(S200&lt;=0,1,T200/S200)^$F227*(IF(S210&lt;=0,1,T210/S210)^$G227/(1+$H227+$I227))^(1+$F227)</f>
        <v>0</v>
      </c>
      <c r="U237" s="29" t="n">
        <f aca="false">T237*(1+U$219)^($E227*U$220)*(1+U$221)*IF(T200&lt;=0,1,U200/T200)^$F227*(IF(T210&lt;=0,1,U210/T210)^$G227/(1+$H227+$I227))^(1+$F227)</f>
        <v>0</v>
      </c>
      <c r="V237" s="29" t="n">
        <f aca="false">U237*(1+V$219)^($E227*V$220)*(1+V$221)*IF(U200&lt;=0,1,V200/U200)^$F227*(IF(U210&lt;=0,1,V210/U210)^$G227/(1+$H227+$I227))^(1+$F227)</f>
        <v>0</v>
      </c>
      <c r="W237" s="29" t="n">
        <f aca="false">V237*(1+W$219)^($E227*W$220)*(1+W$221)*IF(V200&lt;=0,1,W200/V200)^$F227*(IF(V210&lt;=0,1,W210/V210)^$G227/(1+$H227+$I227))^(1+$F227)</f>
        <v>0</v>
      </c>
      <c r="X237" s="29" t="n">
        <f aca="false">W237*(1+X$219)^($E227*X$220)*(1+X$221)*IF(W200&lt;=0,1,X200/W200)^$F227*(IF(W210&lt;=0,1,X210/W210)^$G227/(1+$H227+$I227))^(1+$F227)</f>
        <v>0</v>
      </c>
      <c r="Y237" s="29" t="n">
        <f aca="false">X237*(1+Y$219)^($E227*Y$220)*(1+Y$221)*IF(X200&lt;=0,1,Y200/X200)^$F227*(IF(X210&lt;=0,1,Y210/X210)^$G227/(1+$H227+$I227))^(1+$F227)</f>
        <v>0</v>
      </c>
      <c r="Z237" s="29" t="n">
        <f aca="false">Y237*(1+Z$219)^($E227*Z$220)*(1+Z$221)*IF(Y200&lt;=0,1,Z200/Y200)^$F227*(IF(Y210&lt;=0,1,Z210/Y210)^$G227/(1+$H227+$I227))^(1+$F227)</f>
        <v>0</v>
      </c>
      <c r="AA237" s="29" t="n">
        <f aca="false">Z237*(1+AA$219)^($E227*AA$220)*(1+AA$221)*IF(Z200&lt;=0,1,AA200/Z200)^$F227*(IF(Z210&lt;=0,1,AA210/Z210)^$G227/(1+$H227+$I227))^(1+$F227)</f>
        <v>0</v>
      </c>
      <c r="AB237" s="29" t="n">
        <f aca="false">AA237*(1+AB$219)^($E227*AB$220)*(1+AB$221)*IF(AA200&lt;=0,1,AB200/AA200)^$F227*(IF(AA210&lt;=0,1,AB210/AA210)^$G227/(1+$H227+$I227))^(1+$F227)</f>
        <v>0</v>
      </c>
      <c r="AC237" s="29" t="n">
        <f aca="false">AB237*(1+AC$219)^($E227*AC$220)*(1+AC$221)*IF(AB200&lt;=0,1,AC200/AB200)^$F227*(IF(AB210&lt;=0,1,AC210/AB210)^$G227/(1+$H227+$I227))^(1+$F227)</f>
        <v>0</v>
      </c>
      <c r="AD237" s="29" t="n">
        <f aca="false">AC237*(1+AD$219)^($E227*AD$220)*(1+AD$221)*IF(AC200&lt;=0,1,AD200/AC200)^$F227*(IF(AC210&lt;=0,1,AD210/AC210)^$G227/(1+$H227+$I227))^(1+$F227)</f>
        <v>0</v>
      </c>
      <c r="AE237" s="29" t="n">
        <f aca="false">AD237*(1+AE$219)^($E227*AE$220)*(1+AE$221)*IF(AD200&lt;=0,1,AE200/AD200)^$F227*(IF(AD210&lt;=0,1,AE210/AD210)^$G227/(1+$H227+$I227))^(1+$F227)</f>
        <v>0</v>
      </c>
    </row>
    <row r="238" customFormat="false" ht="15" hidden="false" customHeight="false" outlineLevel="0" collapsed="false">
      <c r="B238" s="17" t="s">
        <v>64</v>
      </c>
      <c r="C238" s="17" t="str">
        <f aca="false">$C$185</f>
        <v>mch</v>
      </c>
      <c r="D238" s="18" t="s">
        <v>65</v>
      </c>
      <c r="E238" s="19" t="s">
        <v>112</v>
      </c>
      <c r="F238" s="17" t="s">
        <v>113</v>
      </c>
      <c r="G238" s="20" t="str">
        <f aca="false">Settings!$B$3&amp;".mit.enc."&amp;$B238</f>
        <v>egy.mit.enc.lpg</v>
      </c>
      <c r="H238" s="21" t="str">
        <f aca="false">Settings!$B$3&amp;".mit.ener."&amp;$C$185&amp;"."&amp;$B238&amp;".e."&amp;$J$185</f>
        <v>egy.mit.ener.mch.lpg.e.1</v>
      </c>
      <c r="L238" s="28" t="n">
        <f aca="false">INDEX(Data_Energy!$D$3:$U$22,MATCH($B238,Data_Energy!$C$3:$C$22,0),MATCH($C238,Data_Energy!$D$2:$U$2,0))</f>
        <v>0</v>
      </c>
      <c r="M238" s="29" t="n">
        <f aca="false">L238*(1+M$219)^($E228*M$220)*(1+M$221)*IF(L201&lt;=0,1,M201/L201)^$F228*(IF(L211&lt;=0,1,M211/L211)^$G228/(1+$H228+$I228))^(1+$F228)</f>
        <v>0</v>
      </c>
      <c r="N238" s="29" t="n">
        <f aca="false">M238*(1+N$219)^($E228*N$220)*(1+N$221)*IF(M201&lt;=0,1,N201/M201)^$F228*(IF(M211&lt;=0,1,N211/M211)^$G228/(1+$H228+$I228))^(1+$F228)</f>
        <v>0</v>
      </c>
      <c r="O238" s="29" t="n">
        <f aca="false">N238*(1+O$219)^($E228*O$220)*(1+O$221)*IF(N201&lt;=0,1,O201/N201)^$F228*(IF(N211&lt;=0,1,O211/N211)^$G228/(1+$H228+$I228))^(1+$F228)</f>
        <v>0</v>
      </c>
      <c r="P238" s="29" t="n">
        <f aca="false">O238*(1+P$219)^($E228*P$220)*(1+P$221)*IF(O201&lt;=0,1,P201/O201)^$F228*(IF(O211&lt;=0,1,P211/O211)^$G228/(1+$H228+$I228))^(1+$F228)</f>
        <v>0</v>
      </c>
      <c r="Q238" s="29" t="n">
        <f aca="false">P238*(1+Q$219)^($E228*Q$220)*(1+Q$221)*IF(P201&lt;=0,1,Q201/P201)^$F228*(IF(P211&lt;=0,1,Q211/P211)^$G228/(1+$H228+$I228))^(1+$F228)</f>
        <v>0</v>
      </c>
      <c r="R238" s="29" t="n">
        <f aca="false">Q238*(1+R$219)^($E228*R$220)*(1+R$221)*IF(Q201&lt;=0,1,R201/Q201)^$F228*(IF(Q211&lt;=0,1,R211/Q211)^$G228/(1+$H228+$I228))^(1+$F228)</f>
        <v>0</v>
      </c>
      <c r="S238" s="29" t="n">
        <f aca="false">R238*(1+S$219)^($E228*S$220)*(1+S$221)*IF(R201&lt;=0,1,S201/R201)^$F228*(IF(R211&lt;=0,1,S211/R211)^$G228/(1+$H228+$I228))^(1+$F228)</f>
        <v>0</v>
      </c>
      <c r="T238" s="29" t="n">
        <f aca="false">S238*(1+T$219)^($E228*T$220)*(1+T$221)*IF(S201&lt;=0,1,T201/S201)^$F228*(IF(S211&lt;=0,1,T211/S211)^$G228/(1+$H228+$I228))^(1+$F228)</f>
        <v>0</v>
      </c>
      <c r="U238" s="29" t="n">
        <f aca="false">T238*(1+U$219)^($E228*U$220)*(1+U$221)*IF(T201&lt;=0,1,U201/T201)^$F228*(IF(T211&lt;=0,1,U211/T211)^$G228/(1+$H228+$I228))^(1+$F228)</f>
        <v>0</v>
      </c>
      <c r="V238" s="29" t="n">
        <f aca="false">U238*(1+V$219)^($E228*V$220)*(1+V$221)*IF(U201&lt;=0,1,V201/U201)^$F228*(IF(U211&lt;=0,1,V211/U211)^$G228/(1+$H228+$I228))^(1+$F228)</f>
        <v>0</v>
      </c>
      <c r="W238" s="29" t="n">
        <f aca="false">V238*(1+W$219)^($E228*W$220)*(1+W$221)*IF(V201&lt;=0,1,W201/V201)^$F228*(IF(V211&lt;=0,1,W211/V211)^$G228/(1+$H228+$I228))^(1+$F228)</f>
        <v>0</v>
      </c>
      <c r="X238" s="29" t="n">
        <f aca="false">W238*(1+X$219)^($E228*X$220)*(1+X$221)*IF(W201&lt;=0,1,X201/W201)^$F228*(IF(W211&lt;=0,1,X211/W211)^$G228/(1+$H228+$I228))^(1+$F228)</f>
        <v>0</v>
      </c>
      <c r="Y238" s="29" t="n">
        <f aca="false">X238*(1+Y$219)^($E228*Y$220)*(1+Y$221)*IF(X201&lt;=0,1,Y201/X201)^$F228*(IF(X211&lt;=0,1,Y211/X211)^$G228/(1+$H228+$I228))^(1+$F228)</f>
        <v>0</v>
      </c>
      <c r="Z238" s="29" t="n">
        <f aca="false">Y238*(1+Z$219)^($E228*Z$220)*(1+Z$221)*IF(Y201&lt;=0,1,Z201/Y201)^$F228*(IF(Y211&lt;=0,1,Z211/Y211)^$G228/(1+$H228+$I228))^(1+$F228)</f>
        <v>0</v>
      </c>
      <c r="AA238" s="29" t="n">
        <f aca="false">Z238*(1+AA$219)^($E228*AA$220)*(1+AA$221)*IF(Z201&lt;=0,1,AA201/Z201)^$F228*(IF(Z211&lt;=0,1,AA211/Z211)^$G228/(1+$H228+$I228))^(1+$F228)</f>
        <v>0</v>
      </c>
      <c r="AB238" s="29" t="n">
        <f aca="false">AA238*(1+AB$219)^($E228*AB$220)*(1+AB$221)*IF(AA201&lt;=0,1,AB201/AA201)^$F228*(IF(AA211&lt;=0,1,AB211/AA211)^$G228/(1+$H228+$I228))^(1+$F228)</f>
        <v>0</v>
      </c>
      <c r="AC238" s="29" t="n">
        <f aca="false">AB238*(1+AC$219)^($E228*AC$220)*(1+AC$221)*IF(AB201&lt;=0,1,AC201/AB201)^$F228*(IF(AB211&lt;=0,1,AC211/AB211)^$G228/(1+$H228+$I228))^(1+$F228)</f>
        <v>0</v>
      </c>
      <c r="AD238" s="29" t="n">
        <f aca="false">AC238*(1+AD$219)^($E228*AD$220)*(1+AD$221)*IF(AC201&lt;=0,1,AD201/AC201)^$F228*(IF(AC211&lt;=0,1,AD211/AC211)^$G228/(1+$H228+$I228))^(1+$F228)</f>
        <v>0</v>
      </c>
      <c r="AE238" s="29" t="n">
        <f aca="false">AD238*(1+AE$219)^($E228*AE$220)*(1+AE$221)*IF(AD201&lt;=0,1,AE201/AD201)^$F228*(IF(AD211&lt;=0,1,AE211/AD211)^$G228/(1+$H228+$I228))^(1+$F228)</f>
        <v>0</v>
      </c>
    </row>
    <row r="239" customFormat="false" ht="15" hidden="false" customHeight="false" outlineLevel="0" collapsed="false">
      <c r="B239" s="17" t="s">
        <v>66</v>
      </c>
      <c r="C239" s="17" t="str">
        <f aca="false">$C$185</f>
        <v>mch</v>
      </c>
      <c r="D239" s="18" t="s">
        <v>67</v>
      </c>
      <c r="E239" s="19" t="s">
        <v>112</v>
      </c>
      <c r="F239" s="17" t="s">
        <v>113</v>
      </c>
      <c r="G239" s="20" t="str">
        <f aca="false">Settings!$B$3&amp;".mit.enc."&amp;$B239</f>
        <v>egy.mit.enc.ker</v>
      </c>
      <c r="H239" s="21" t="str">
        <f aca="false">Settings!$B$3&amp;".mit.ener."&amp;$C$185&amp;"."&amp;$B239&amp;".e."&amp;$J$185</f>
        <v>egy.mit.ener.mch.ker.e.1</v>
      </c>
      <c r="L239" s="28" t="n">
        <f aca="false">INDEX(Data_Energy!$D$3:$U$22,MATCH($B239,Data_Energy!$C$3:$C$22,0),MATCH($C239,Data_Energy!$D$2:$U$2,0))</f>
        <v>0</v>
      </c>
      <c r="M239" s="29" t="n">
        <f aca="false">L239*(1+M$219)^($E229*M$220)*(1+M$221)*IF(L202&lt;=0,1,M202/L202)^$F229*(IF(L212&lt;=0,1,M212/L212)^$G229/(1+$H229+$I229))^(1+$F229)</f>
        <v>0</v>
      </c>
      <c r="N239" s="29" t="n">
        <f aca="false">M239*(1+N$219)^($E229*N$220)*(1+N$221)*IF(M202&lt;=0,1,N202/M202)^$F229*(IF(M212&lt;=0,1,N212/M212)^$G229/(1+$H229+$I229))^(1+$F229)</f>
        <v>0</v>
      </c>
      <c r="O239" s="29" t="n">
        <f aca="false">N239*(1+O$219)^($E229*O$220)*(1+O$221)*IF(N202&lt;=0,1,O202/N202)^$F229*(IF(N212&lt;=0,1,O212/N212)^$G229/(1+$H229+$I229))^(1+$F229)</f>
        <v>0</v>
      </c>
      <c r="P239" s="29" t="n">
        <f aca="false">O239*(1+P$219)^($E229*P$220)*(1+P$221)*IF(O202&lt;=0,1,P202/O202)^$F229*(IF(O212&lt;=0,1,P212/O212)^$G229/(1+$H229+$I229))^(1+$F229)</f>
        <v>0</v>
      </c>
      <c r="Q239" s="29" t="n">
        <f aca="false">P239*(1+Q$219)^($E229*Q$220)*(1+Q$221)*IF(P202&lt;=0,1,Q202/P202)^$F229*(IF(P212&lt;=0,1,Q212/P212)^$G229/(1+$H229+$I229))^(1+$F229)</f>
        <v>0</v>
      </c>
      <c r="R239" s="29" t="n">
        <f aca="false">Q239*(1+R$219)^($E229*R$220)*(1+R$221)*IF(Q202&lt;=0,1,R202/Q202)^$F229*(IF(Q212&lt;=0,1,R212/Q212)^$G229/(1+$H229+$I229))^(1+$F229)</f>
        <v>0</v>
      </c>
      <c r="S239" s="29" t="n">
        <f aca="false">R239*(1+S$219)^($E229*S$220)*(1+S$221)*IF(R202&lt;=0,1,S202/R202)^$F229*(IF(R212&lt;=0,1,S212/R212)^$G229/(1+$H229+$I229))^(1+$F229)</f>
        <v>0</v>
      </c>
      <c r="T239" s="29" t="n">
        <f aca="false">S239*(1+T$219)^($E229*T$220)*(1+T$221)*IF(S202&lt;=0,1,T202/S202)^$F229*(IF(S212&lt;=0,1,T212/S212)^$G229/(1+$H229+$I229))^(1+$F229)</f>
        <v>0</v>
      </c>
      <c r="U239" s="29" t="n">
        <f aca="false">T239*(1+U$219)^($E229*U$220)*(1+U$221)*IF(T202&lt;=0,1,U202/T202)^$F229*(IF(T212&lt;=0,1,U212/T212)^$G229/(1+$H229+$I229))^(1+$F229)</f>
        <v>0</v>
      </c>
      <c r="V239" s="29" t="n">
        <f aca="false">U239*(1+V$219)^($E229*V$220)*(1+V$221)*IF(U202&lt;=0,1,V202/U202)^$F229*(IF(U212&lt;=0,1,V212/U212)^$G229/(1+$H229+$I229))^(1+$F229)</f>
        <v>0</v>
      </c>
      <c r="W239" s="29" t="n">
        <f aca="false">V239*(1+W$219)^($E229*W$220)*(1+W$221)*IF(V202&lt;=0,1,W202/V202)^$F229*(IF(V212&lt;=0,1,W212/V212)^$G229/(1+$H229+$I229))^(1+$F229)</f>
        <v>0</v>
      </c>
      <c r="X239" s="29" t="n">
        <f aca="false">W239*(1+X$219)^($E229*X$220)*(1+X$221)*IF(W202&lt;=0,1,X202/W202)^$F229*(IF(W212&lt;=0,1,X212/W212)^$G229/(1+$H229+$I229))^(1+$F229)</f>
        <v>0</v>
      </c>
      <c r="Y239" s="29" t="n">
        <f aca="false">X239*(1+Y$219)^($E229*Y$220)*(1+Y$221)*IF(X202&lt;=0,1,Y202/X202)^$F229*(IF(X212&lt;=0,1,Y212/X212)^$G229/(1+$H229+$I229))^(1+$F229)</f>
        <v>0</v>
      </c>
      <c r="Z239" s="29" t="n">
        <f aca="false">Y239*(1+Z$219)^($E229*Z$220)*(1+Z$221)*IF(Y202&lt;=0,1,Z202/Y202)^$F229*(IF(Y212&lt;=0,1,Z212/Y212)^$G229/(1+$H229+$I229))^(1+$F229)</f>
        <v>0</v>
      </c>
      <c r="AA239" s="29" t="n">
        <f aca="false">Z239*(1+AA$219)^($E229*AA$220)*(1+AA$221)*IF(Z202&lt;=0,1,AA202/Z202)^$F229*(IF(Z212&lt;=0,1,AA212/Z212)^$G229/(1+$H229+$I229))^(1+$F229)</f>
        <v>0</v>
      </c>
      <c r="AB239" s="29" t="n">
        <f aca="false">AA239*(1+AB$219)^($E229*AB$220)*(1+AB$221)*IF(AA202&lt;=0,1,AB202/AA202)^$F229*(IF(AA212&lt;=0,1,AB212/AA212)^$G229/(1+$H229+$I229))^(1+$F229)</f>
        <v>0</v>
      </c>
      <c r="AC239" s="29" t="n">
        <f aca="false">AB239*(1+AC$219)^($E229*AC$220)*(1+AC$221)*IF(AB202&lt;=0,1,AC202/AB202)^$F229*(IF(AB212&lt;=0,1,AC212/AB212)^$G229/(1+$H229+$I229))^(1+$F229)</f>
        <v>0</v>
      </c>
      <c r="AD239" s="29" t="n">
        <f aca="false">AC239*(1+AD$219)^($E229*AD$220)*(1+AD$221)*IF(AC202&lt;=0,1,AD202/AC202)^$F229*(IF(AC212&lt;=0,1,AD212/AC212)^$G229/(1+$H229+$I229))^(1+$F229)</f>
        <v>0</v>
      </c>
      <c r="AE239" s="29" t="n">
        <f aca="false">AD239*(1+AE$219)^($E229*AE$220)*(1+AE$221)*IF(AD202&lt;=0,1,AE202/AD202)^$F229*(IF(AD212&lt;=0,1,AE212/AD212)^$G229/(1+$H229+$I229))^(1+$F229)</f>
        <v>0</v>
      </c>
    </row>
    <row r="240" customFormat="false" ht="15" hidden="false" customHeight="false" outlineLevel="0" collapsed="false">
      <c r="B240" s="17" t="s">
        <v>68</v>
      </c>
      <c r="C240" s="17" t="str">
        <f aca="false">$C$185</f>
        <v>mch</v>
      </c>
      <c r="D240" s="18" t="s">
        <v>69</v>
      </c>
      <c r="E240" s="19" t="s">
        <v>112</v>
      </c>
      <c r="F240" s="17" t="s">
        <v>113</v>
      </c>
      <c r="G240" s="20" t="str">
        <f aca="false">Settings!$B$3&amp;".mit.enc."&amp;$B240</f>
        <v>egy.mit.enc.oop</v>
      </c>
      <c r="H240" s="21" t="str">
        <f aca="false">Settings!$B$3&amp;".mit.ener."&amp;$C$185&amp;"."&amp;$B240&amp;".e."&amp;$J$185</f>
        <v>egy.mit.ener.mch.oop.e.1</v>
      </c>
      <c r="L240" s="28" t="n">
        <f aca="false">INDEX(Data_Energy!$D$3:$U$22,MATCH($B240,Data_Energy!$C$3:$C$22,0),MATCH($C240,Data_Energy!$D$2:$U$2,0))</f>
        <v>0</v>
      </c>
      <c r="M240" s="29" t="n">
        <f aca="false">L240*(1+M$219)^($E230*M$220)*(1+M$221)*IF(L203&lt;=0,1,M203/L203)^$F230*(IF(L213&lt;=0,1,M213/L213)^$G230/(1+$H230+$I230))^(1+$F230)</f>
        <v>0</v>
      </c>
      <c r="N240" s="29" t="n">
        <f aca="false">M240*(1+N$219)^($E230*N$220)*(1+N$221)*IF(M203&lt;=0,1,N203/M203)^$F230*(IF(M213&lt;=0,1,N213/M213)^$G230/(1+$H230+$I230))^(1+$F230)</f>
        <v>0</v>
      </c>
      <c r="O240" s="29" t="n">
        <f aca="false">N240*(1+O$219)^($E230*O$220)*(1+O$221)*IF(N203&lt;=0,1,O203/N203)^$F230*(IF(N213&lt;=0,1,O213/N213)^$G230/(1+$H230+$I230))^(1+$F230)</f>
        <v>0</v>
      </c>
      <c r="P240" s="29" t="n">
        <f aca="false">O240*(1+P$219)^($E230*P$220)*(1+P$221)*IF(O203&lt;=0,1,P203/O203)^$F230*(IF(O213&lt;=0,1,P213/O213)^$G230/(1+$H230+$I230))^(1+$F230)</f>
        <v>0</v>
      </c>
      <c r="Q240" s="29" t="n">
        <f aca="false">P240*(1+Q$219)^($E230*Q$220)*(1+Q$221)*IF(P203&lt;=0,1,Q203/P203)^$F230*(IF(P213&lt;=0,1,Q213/P213)^$G230/(1+$H230+$I230))^(1+$F230)</f>
        <v>0</v>
      </c>
      <c r="R240" s="29" t="n">
        <f aca="false">Q240*(1+R$219)^($E230*R$220)*(1+R$221)*IF(Q203&lt;=0,1,R203/Q203)^$F230*(IF(Q213&lt;=0,1,R213/Q213)^$G230/(1+$H230+$I230))^(1+$F230)</f>
        <v>0</v>
      </c>
      <c r="S240" s="29" t="n">
        <f aca="false">R240*(1+S$219)^($E230*S$220)*(1+S$221)*IF(R203&lt;=0,1,S203/R203)^$F230*(IF(R213&lt;=0,1,S213/R213)^$G230/(1+$H230+$I230))^(1+$F230)</f>
        <v>0</v>
      </c>
      <c r="T240" s="29" t="n">
        <f aca="false">S240*(1+T$219)^($E230*T$220)*(1+T$221)*IF(S203&lt;=0,1,T203/S203)^$F230*(IF(S213&lt;=0,1,T213/S213)^$G230/(1+$H230+$I230))^(1+$F230)</f>
        <v>0</v>
      </c>
      <c r="U240" s="29" t="n">
        <f aca="false">T240*(1+U$219)^($E230*U$220)*(1+U$221)*IF(T203&lt;=0,1,U203/T203)^$F230*(IF(T213&lt;=0,1,U213/T213)^$G230/(1+$H230+$I230))^(1+$F230)</f>
        <v>0</v>
      </c>
      <c r="V240" s="29" t="n">
        <f aca="false">U240*(1+V$219)^($E230*V$220)*(1+V$221)*IF(U203&lt;=0,1,V203/U203)^$F230*(IF(U213&lt;=0,1,V213/U213)^$G230/(1+$H230+$I230))^(1+$F230)</f>
        <v>0</v>
      </c>
      <c r="W240" s="29" t="n">
        <f aca="false">V240*(1+W$219)^($E230*W$220)*(1+W$221)*IF(V203&lt;=0,1,W203/V203)^$F230*(IF(V213&lt;=0,1,W213/V213)^$G230/(1+$H230+$I230))^(1+$F230)</f>
        <v>0</v>
      </c>
      <c r="X240" s="29" t="n">
        <f aca="false">W240*(1+X$219)^($E230*X$220)*(1+X$221)*IF(W203&lt;=0,1,X203/W203)^$F230*(IF(W213&lt;=0,1,X213/W213)^$G230/(1+$H230+$I230))^(1+$F230)</f>
        <v>0</v>
      </c>
      <c r="Y240" s="29" t="n">
        <f aca="false">X240*(1+Y$219)^($E230*Y$220)*(1+Y$221)*IF(X203&lt;=0,1,Y203/X203)^$F230*(IF(X213&lt;=0,1,Y213/X213)^$G230/(1+$H230+$I230))^(1+$F230)</f>
        <v>0</v>
      </c>
      <c r="Z240" s="29" t="n">
        <f aca="false">Y240*(1+Z$219)^($E230*Z$220)*(1+Z$221)*IF(Y203&lt;=0,1,Z203/Y203)^$F230*(IF(Y213&lt;=0,1,Z213/Y213)^$G230/(1+$H230+$I230))^(1+$F230)</f>
        <v>0</v>
      </c>
      <c r="AA240" s="29" t="n">
        <f aca="false">Z240*(1+AA$219)^($E230*AA$220)*(1+AA$221)*IF(Z203&lt;=0,1,AA203/Z203)^$F230*(IF(Z213&lt;=0,1,AA213/Z213)^$G230/(1+$H230+$I230))^(1+$F230)</f>
        <v>0</v>
      </c>
      <c r="AB240" s="29" t="n">
        <f aca="false">AA240*(1+AB$219)^($E230*AB$220)*(1+AB$221)*IF(AA203&lt;=0,1,AB203/AA203)^$F230*(IF(AA213&lt;=0,1,AB213/AA213)^$G230/(1+$H230+$I230))^(1+$F230)</f>
        <v>0</v>
      </c>
      <c r="AC240" s="29" t="n">
        <f aca="false">AB240*(1+AC$219)^($E230*AC$220)*(1+AC$221)*IF(AB203&lt;=0,1,AC203/AB203)^$F230*(IF(AB213&lt;=0,1,AC213/AB213)^$G230/(1+$H230+$I230))^(1+$F230)</f>
        <v>0</v>
      </c>
      <c r="AD240" s="29" t="n">
        <f aca="false">AC240*(1+AD$219)^($E230*AD$220)*(1+AD$221)*IF(AC203&lt;=0,1,AD203/AC203)^$F230*(IF(AC213&lt;=0,1,AD213/AC213)^$G230/(1+$H230+$I230))^(1+$F230)</f>
        <v>0</v>
      </c>
      <c r="AE240" s="29" t="n">
        <f aca="false">AD240*(1+AE$219)^($E230*AE$220)*(1+AE$221)*IF(AD203&lt;=0,1,AE203/AD203)^$F230*(IF(AD213&lt;=0,1,AE213/AD213)^$G230/(1+$H230+$I230))^(1+$F230)</f>
        <v>0</v>
      </c>
    </row>
    <row r="241" customFormat="false" ht="15" hidden="false" customHeight="false" outlineLevel="0" collapsed="false">
      <c r="B241" s="17" t="s">
        <v>71</v>
      </c>
      <c r="C241" s="17" t="str">
        <f aca="false">$C$185</f>
        <v>mch</v>
      </c>
      <c r="D241" s="18" t="s">
        <v>72</v>
      </c>
      <c r="E241" s="19" t="s">
        <v>112</v>
      </c>
      <c r="F241" s="17" t="s">
        <v>113</v>
      </c>
      <c r="G241" s="20" t="str">
        <f aca="false">Settings!$B$3&amp;".mit.enc."&amp;$B241</f>
        <v>egy.mit.enc.bio</v>
      </c>
      <c r="H241" s="21" t="str">
        <f aca="false">Settings!$B$3&amp;".mit.ener."&amp;$C$185&amp;"."&amp;$B241&amp;".e."&amp;$J$185</f>
        <v>egy.mit.ener.mch.bio.e.1</v>
      </c>
      <c r="L241" s="28" t="n">
        <f aca="false">INDEX(Data_Energy!$D$3:$U$22,MATCH($B241,Data_Energy!$C$3:$C$22,0),MATCH($C241,Data_Energy!$D$2:$U$2,0))</f>
        <v>0</v>
      </c>
      <c r="M241" s="29" t="n">
        <f aca="false">L241*(1+M$219)^($E231*M$220)*(1+M$221)*IF(L204&lt;=0,1,M204/L204)^$F231*(IF(L214&lt;=0,1,M214/L214)^$G231/(1+$H231+$I231))^(1+$F231)</f>
        <v>0</v>
      </c>
      <c r="N241" s="29" t="n">
        <f aca="false">M241*(1+N$219)^($E231*N$220)*(1+N$221)*IF(M204&lt;=0,1,N204/M204)^$F231*(IF(M214&lt;=0,1,N214/M214)^$G231/(1+$H231+$I231))^(1+$F231)</f>
        <v>0</v>
      </c>
      <c r="O241" s="29" t="n">
        <f aca="false">N241*(1+O$219)^($E231*O$220)*(1+O$221)*IF(N204&lt;=0,1,O204/N204)^$F231*(IF(N214&lt;=0,1,O214/N214)^$G231/(1+$H231+$I231))^(1+$F231)</f>
        <v>0</v>
      </c>
      <c r="P241" s="29" t="n">
        <f aca="false">O241*(1+P$219)^($E231*P$220)*(1+P$221)*IF(O204&lt;=0,1,P204/O204)^$F231*(IF(O214&lt;=0,1,P214/O214)^$G231/(1+$H231+$I231))^(1+$F231)</f>
        <v>0</v>
      </c>
      <c r="Q241" s="29" t="n">
        <f aca="false">P241*(1+Q$219)^($E231*Q$220)*(1+Q$221)*IF(P204&lt;=0,1,Q204/P204)^$F231*(IF(P214&lt;=0,1,Q214/P214)^$G231/(1+$H231+$I231))^(1+$F231)</f>
        <v>0</v>
      </c>
      <c r="R241" s="29" t="n">
        <f aca="false">Q241*(1+R$219)^($E231*R$220)*(1+R$221)*IF(Q204&lt;=0,1,R204/Q204)^$F231*(IF(Q214&lt;=0,1,R214/Q214)^$G231/(1+$H231+$I231))^(1+$F231)</f>
        <v>0</v>
      </c>
      <c r="S241" s="29" t="n">
        <f aca="false">R241*(1+S$219)^($E231*S$220)*(1+S$221)*IF(R204&lt;=0,1,S204/R204)^$F231*(IF(R214&lt;=0,1,S214/R214)^$G231/(1+$H231+$I231))^(1+$F231)</f>
        <v>0</v>
      </c>
      <c r="T241" s="29" t="n">
        <f aca="false">S241*(1+T$219)^($E231*T$220)*(1+T$221)*IF(S204&lt;=0,1,T204/S204)^$F231*(IF(S214&lt;=0,1,T214/S214)^$G231/(1+$H231+$I231))^(1+$F231)</f>
        <v>0</v>
      </c>
      <c r="U241" s="29" t="n">
        <f aca="false">T241*(1+U$219)^($E231*U$220)*(1+U$221)*IF(T204&lt;=0,1,U204/T204)^$F231*(IF(T214&lt;=0,1,U214/T214)^$G231/(1+$H231+$I231))^(1+$F231)</f>
        <v>0</v>
      </c>
      <c r="V241" s="29" t="n">
        <f aca="false">U241*(1+V$219)^($E231*V$220)*(1+V$221)*IF(U204&lt;=0,1,V204/U204)^$F231*(IF(U214&lt;=0,1,V214/U214)^$G231/(1+$H231+$I231))^(1+$F231)</f>
        <v>0</v>
      </c>
      <c r="W241" s="29" t="n">
        <f aca="false">V241*(1+W$219)^($E231*W$220)*(1+W$221)*IF(V204&lt;=0,1,W204/V204)^$F231*(IF(V214&lt;=0,1,W214/V214)^$G231/(1+$H231+$I231))^(1+$F231)</f>
        <v>0</v>
      </c>
      <c r="X241" s="29" t="n">
        <f aca="false">W241*(1+X$219)^($E231*X$220)*(1+X$221)*IF(W204&lt;=0,1,X204/W204)^$F231*(IF(W214&lt;=0,1,X214/W214)^$G231/(1+$H231+$I231))^(1+$F231)</f>
        <v>0</v>
      </c>
      <c r="Y241" s="29" t="n">
        <f aca="false">X241*(1+Y$219)^($E231*Y$220)*(1+Y$221)*IF(X204&lt;=0,1,Y204/X204)^$F231*(IF(X214&lt;=0,1,Y214/X214)^$G231/(1+$H231+$I231))^(1+$F231)</f>
        <v>0</v>
      </c>
      <c r="Z241" s="29" t="n">
        <f aca="false">Y241*(1+Z$219)^($E231*Z$220)*(1+Z$221)*IF(Y204&lt;=0,1,Z204/Y204)^$F231*(IF(Y214&lt;=0,1,Z214/Y214)^$G231/(1+$H231+$I231))^(1+$F231)</f>
        <v>0</v>
      </c>
      <c r="AA241" s="29" t="n">
        <f aca="false">Z241*(1+AA$219)^($E231*AA$220)*(1+AA$221)*IF(Z204&lt;=0,1,AA204/Z204)^$F231*(IF(Z214&lt;=0,1,AA214/Z214)^$G231/(1+$H231+$I231))^(1+$F231)</f>
        <v>0</v>
      </c>
      <c r="AB241" s="29" t="n">
        <f aca="false">AA241*(1+AB$219)^($E231*AB$220)*(1+AB$221)*IF(AA204&lt;=0,1,AB204/AA204)^$F231*(IF(AA214&lt;=0,1,AB214/AA214)^$G231/(1+$H231+$I231))^(1+$F231)</f>
        <v>0</v>
      </c>
      <c r="AC241" s="29" t="n">
        <f aca="false">AB241*(1+AC$219)^($E231*AC$220)*(1+AC$221)*IF(AB204&lt;=0,1,AC204/AB204)^$F231*(IF(AB214&lt;=0,1,AC214/AB214)^$G231/(1+$H231+$I231))^(1+$F231)</f>
        <v>0</v>
      </c>
      <c r="AD241" s="29" t="n">
        <f aca="false">AC241*(1+AD$219)^($E231*AD$220)*(1+AD$221)*IF(AC204&lt;=0,1,AD204/AC204)^$F231*(IF(AC214&lt;=0,1,AD214/AC214)^$G231/(1+$H231+$I231))^(1+$F231)</f>
        <v>0</v>
      </c>
      <c r="AE241" s="29" t="n">
        <f aca="false">AD241*(1+AE$219)^($E231*AE$220)*(1+AE$221)*IF(AD204&lt;=0,1,AE204/AD204)^$F231*(IF(AD214&lt;=0,1,AE214/AD214)^$G231/(1+$H231+$I231))^(1+$F231)</f>
        <v>0</v>
      </c>
    </row>
    <row r="242" customFormat="false" ht="15" hidden="false" customHeight="false" outlineLevel="0" collapsed="false">
      <c r="B242" s="17" t="s">
        <v>73</v>
      </c>
      <c r="C242" s="17" t="str">
        <f aca="false">$C$185</f>
        <v>mch</v>
      </c>
      <c r="D242" s="18" t="s">
        <v>74</v>
      </c>
      <c r="E242" s="19" t="s">
        <v>112</v>
      </c>
      <c r="F242" s="17" t="s">
        <v>113</v>
      </c>
      <c r="G242" s="20" t="str">
        <f aca="false">Settings!$B$3&amp;".mit.enc."&amp;$B242</f>
        <v>egy.mit.enc.ren</v>
      </c>
      <c r="H242" s="21" t="str">
        <f aca="false">Settings!$B$3&amp;".mit.ener."&amp;$C$185&amp;"."&amp;$B242&amp;".e."&amp;$J$185</f>
        <v>egy.mit.ener.mch.ren.e.1</v>
      </c>
      <c r="L242" s="28" t="n">
        <f aca="false">INDEX(Data_Energy!$D$3:$U$22,MATCH($B242,Data_Energy!$C$3:$C$22,0),MATCH($C242,Data_Energy!$D$2:$U$2,0))</f>
        <v>0</v>
      </c>
      <c r="M242" s="29" t="n">
        <f aca="false">L242*(1+M$219)^($E232*M$220)*(1+M$221)*IF(L205&lt;=0,1,M205/L205)^$F232*(IF(L215&lt;=0,1,M215/L215)^$G232/(1+$H232+$I232))^(1+$F232)</f>
        <v>0</v>
      </c>
      <c r="N242" s="29" t="n">
        <f aca="false">M242*(1+N$219)^($E232*N$220)*(1+N$221)*IF(M205&lt;=0,1,N205/M205)^$F232*(IF(M215&lt;=0,1,N215/M215)^$G232/(1+$H232+$I232))^(1+$F232)</f>
        <v>0</v>
      </c>
      <c r="O242" s="29" t="n">
        <f aca="false">N242*(1+O$219)^($E232*O$220)*(1+O$221)*IF(N205&lt;=0,1,O205/N205)^$F232*(IF(N215&lt;=0,1,O215/N215)^$G232/(1+$H232+$I232))^(1+$F232)</f>
        <v>0</v>
      </c>
      <c r="P242" s="29" t="n">
        <f aca="false">O242*(1+P$219)^($E232*P$220)*(1+P$221)*IF(O205&lt;=0,1,P205/O205)^$F232*(IF(O215&lt;=0,1,P215/O215)^$G232/(1+$H232+$I232))^(1+$F232)</f>
        <v>0</v>
      </c>
      <c r="Q242" s="29" t="n">
        <f aca="false">P242*(1+Q$219)^($E232*Q$220)*(1+Q$221)*IF(P205&lt;=0,1,Q205/P205)^$F232*(IF(P215&lt;=0,1,Q215/P215)^$G232/(1+$H232+$I232))^(1+$F232)</f>
        <v>0</v>
      </c>
      <c r="R242" s="29" t="n">
        <f aca="false">Q242*(1+R$219)^($E232*R$220)*(1+R$221)*IF(Q205&lt;=0,1,R205/Q205)^$F232*(IF(Q215&lt;=0,1,R215/Q215)^$G232/(1+$H232+$I232))^(1+$F232)</f>
        <v>0</v>
      </c>
      <c r="S242" s="29" t="n">
        <f aca="false">R242*(1+S$219)^($E232*S$220)*(1+S$221)*IF(R205&lt;=0,1,S205/R205)^$F232*(IF(R215&lt;=0,1,S215/R215)^$G232/(1+$H232+$I232))^(1+$F232)</f>
        <v>0</v>
      </c>
      <c r="T242" s="29" t="n">
        <f aca="false">S242*(1+T$219)^($E232*T$220)*(1+T$221)*IF(S205&lt;=0,1,T205/S205)^$F232*(IF(S215&lt;=0,1,T215/S215)^$G232/(1+$H232+$I232))^(1+$F232)</f>
        <v>0</v>
      </c>
      <c r="U242" s="29" t="n">
        <f aca="false">T242*(1+U$219)^($E232*U$220)*(1+U$221)*IF(T205&lt;=0,1,U205/T205)^$F232*(IF(T215&lt;=0,1,U215/T215)^$G232/(1+$H232+$I232))^(1+$F232)</f>
        <v>0</v>
      </c>
      <c r="V242" s="29" t="n">
        <f aca="false">U242*(1+V$219)^($E232*V$220)*(1+V$221)*IF(U205&lt;=0,1,V205/U205)^$F232*(IF(U215&lt;=0,1,V215/U215)^$G232/(1+$H232+$I232))^(1+$F232)</f>
        <v>0</v>
      </c>
      <c r="W242" s="29" t="n">
        <f aca="false">V242*(1+W$219)^($E232*W$220)*(1+W$221)*IF(V205&lt;=0,1,W205/V205)^$F232*(IF(V215&lt;=0,1,W215/V215)^$G232/(1+$H232+$I232))^(1+$F232)</f>
        <v>0</v>
      </c>
      <c r="X242" s="29" t="n">
        <f aca="false">W242*(1+X$219)^($E232*X$220)*(1+X$221)*IF(W205&lt;=0,1,X205/W205)^$F232*(IF(W215&lt;=0,1,X215/W215)^$G232/(1+$H232+$I232))^(1+$F232)</f>
        <v>0</v>
      </c>
      <c r="Y242" s="29" t="n">
        <f aca="false">X242*(1+Y$219)^($E232*Y$220)*(1+Y$221)*IF(X205&lt;=0,1,Y205/X205)^$F232*(IF(X215&lt;=0,1,Y215/X215)^$G232/(1+$H232+$I232))^(1+$F232)</f>
        <v>0</v>
      </c>
      <c r="Z242" s="29" t="n">
        <f aca="false">Y242*(1+Z$219)^($E232*Z$220)*(1+Z$221)*IF(Y205&lt;=0,1,Z205/Y205)^$F232*(IF(Y215&lt;=0,1,Z215/Y215)^$G232/(1+$H232+$I232))^(1+$F232)</f>
        <v>0</v>
      </c>
      <c r="AA242" s="29" t="n">
        <f aca="false">Z242*(1+AA$219)^($E232*AA$220)*(1+AA$221)*IF(Z205&lt;=0,1,AA205/Z205)^$F232*(IF(Z215&lt;=0,1,AA215/Z215)^$G232/(1+$H232+$I232))^(1+$F232)</f>
        <v>0</v>
      </c>
      <c r="AB242" s="29" t="n">
        <f aca="false">AA242*(1+AB$219)^($E232*AB$220)*(1+AB$221)*IF(AA205&lt;=0,1,AB205/AA205)^$F232*(IF(AA215&lt;=0,1,AB215/AA215)^$G232/(1+$H232+$I232))^(1+$F232)</f>
        <v>0</v>
      </c>
      <c r="AC242" s="29" t="n">
        <f aca="false">AB242*(1+AC$219)^($E232*AC$220)*(1+AC$221)*IF(AB205&lt;=0,1,AC205/AB205)^$F232*(IF(AB215&lt;=0,1,AC215/AB215)^$G232/(1+$H232+$I232))^(1+$F232)</f>
        <v>0</v>
      </c>
      <c r="AD242" s="29" t="n">
        <f aca="false">AC242*(1+AD$219)^($E232*AD$220)*(1+AD$221)*IF(AC205&lt;=0,1,AD205/AC205)^$F232*(IF(AC215&lt;=0,1,AD215/AC215)^$G232/(1+$H232+$I232))^(1+$F232)</f>
        <v>0</v>
      </c>
      <c r="AE242" s="29" t="n">
        <f aca="false">AD242*(1+AE$219)^($E232*AE$220)*(1+AE$221)*IF(AD205&lt;=0,1,AE205/AD205)^$F232*(IF(AD215&lt;=0,1,AE215/AD215)^$G232/(1+$H232+$I232))^(1+$F232)</f>
        <v>0</v>
      </c>
    </row>
    <row r="243" customFormat="false" ht="15" hidden="false" customHeight="false" outlineLevel="0" collapsed="false">
      <c r="B243" s="17" t="s">
        <v>114</v>
      </c>
      <c r="C243" s="17" t="str">
        <f aca="false">$C$185</f>
        <v>mch</v>
      </c>
      <c r="D243" s="30" t="s">
        <v>115</v>
      </c>
      <c r="E243" s="19" t="s">
        <v>112</v>
      </c>
      <c r="F243" s="17" t="s">
        <v>113</v>
      </c>
      <c r="H243" s="21" t="str">
        <f aca="false">Settings!$B$3&amp;".mit.ener."&amp;$C$185&amp;".tot.e."&amp;$J$185</f>
        <v>egy.mit.ener.mch.tot.e.1</v>
      </c>
      <c r="L243" s="31" t="n">
        <f aca="false">SUM(L234:L242)</f>
        <v>0</v>
      </c>
      <c r="M243" s="31" t="n">
        <f aca="false">SUM(M234:M242)</f>
        <v>0</v>
      </c>
      <c r="N243" s="31" t="n">
        <f aca="false">SUM(N234:N242)</f>
        <v>0</v>
      </c>
      <c r="O243" s="31" t="n">
        <f aca="false">SUM(O234:O242)</f>
        <v>0</v>
      </c>
      <c r="P243" s="31" t="n">
        <f aca="false">SUM(P234:P242)</f>
        <v>0</v>
      </c>
      <c r="Q243" s="31" t="n">
        <f aca="false">SUM(Q234:Q242)</f>
        <v>0</v>
      </c>
      <c r="R243" s="31" t="n">
        <f aca="false">SUM(R234:R242)</f>
        <v>0</v>
      </c>
      <c r="S243" s="31" t="n">
        <f aca="false">SUM(S234:S242)</f>
        <v>0</v>
      </c>
      <c r="T243" s="31" t="n">
        <f aca="false">SUM(T234:T242)</f>
        <v>0</v>
      </c>
      <c r="U243" s="31" t="n">
        <f aca="false">SUM(U234:U242)</f>
        <v>0</v>
      </c>
      <c r="V243" s="31" t="n">
        <f aca="false">SUM(V234:V242)</f>
        <v>0</v>
      </c>
      <c r="W243" s="31" t="n">
        <f aca="false">SUM(W234:W242)</f>
        <v>0</v>
      </c>
      <c r="X243" s="31" t="n">
        <f aca="false">SUM(X234:X242)</f>
        <v>0</v>
      </c>
      <c r="Y243" s="31" t="n">
        <f aca="false">SUM(Y234:Y242)</f>
        <v>0</v>
      </c>
      <c r="Z243" s="31" t="n">
        <f aca="false">SUM(Z234:Z242)</f>
        <v>0</v>
      </c>
      <c r="AA243" s="31" t="n">
        <f aca="false">SUM(AA234:AA242)</f>
        <v>0</v>
      </c>
      <c r="AB243" s="31" t="n">
        <f aca="false">SUM(AB234:AB242)</f>
        <v>0</v>
      </c>
      <c r="AC243" s="31" t="n">
        <f aca="false">SUM(AC234:AC242)</f>
        <v>0</v>
      </c>
      <c r="AD243" s="31" t="n">
        <f aca="false">SUM(AD234:AD242)</f>
        <v>0</v>
      </c>
      <c r="AE243" s="31" t="n">
        <f aca="false">SUM(AE234:AE242)</f>
        <v>0</v>
      </c>
    </row>
    <row r="245" customFormat="false" ht="18" hidden="false" customHeight="true" outlineLevel="0" collapsed="false">
      <c r="A245" s="9" t="n">
        <v>7</v>
      </c>
      <c r="B245" s="10" t="s">
        <v>122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7" customFormat="false" ht="15" hidden="false" customHeight="false" outlineLevel="0" collapsed="false">
      <c r="A247" s="12"/>
      <c r="B247" s="7" t="s">
        <v>46</v>
      </c>
      <c r="C247" s="8" t="s">
        <v>47</v>
      </c>
      <c r="D247" s="7" t="s">
        <v>48</v>
      </c>
      <c r="E247" s="8" t="s">
        <v>39</v>
      </c>
      <c r="F247" s="8" t="s">
        <v>49</v>
      </c>
      <c r="G247" s="8" t="s">
        <v>50</v>
      </c>
      <c r="H247" s="13" t="s">
        <v>42</v>
      </c>
      <c r="I247" s="7" t="s">
        <v>51</v>
      </c>
      <c r="J247" s="14" t="n">
        <v>2</v>
      </c>
      <c r="K247" s="7" t="n">
        <v>2021</v>
      </c>
      <c r="L247" s="15" t="n">
        <v>2022</v>
      </c>
      <c r="M247" s="7" t="n">
        <v>2023</v>
      </c>
      <c r="N247" s="7" t="n">
        <v>2024</v>
      </c>
      <c r="O247" s="7" t="n">
        <v>2025</v>
      </c>
      <c r="P247" s="7" t="n">
        <v>2026</v>
      </c>
      <c r="Q247" s="7" t="n">
        <v>2027</v>
      </c>
      <c r="R247" s="7" t="n">
        <v>2028</v>
      </c>
      <c r="S247" s="7" t="n">
        <v>2029</v>
      </c>
      <c r="T247" s="7" t="n">
        <v>2030</v>
      </c>
      <c r="U247" s="7" t="n">
        <v>2031</v>
      </c>
      <c r="V247" s="7" t="n">
        <v>2032</v>
      </c>
      <c r="W247" s="7" t="n">
        <v>2033</v>
      </c>
      <c r="X247" s="7" t="n">
        <v>2034</v>
      </c>
      <c r="Y247" s="7" t="n">
        <v>2035</v>
      </c>
      <c r="Z247" s="7" t="n">
        <v>2036</v>
      </c>
      <c r="AA247" s="7" t="n">
        <v>2037</v>
      </c>
      <c r="AB247" s="7" t="n">
        <v>2038</v>
      </c>
      <c r="AC247" s="7" t="n">
        <v>2039</v>
      </c>
      <c r="AD247" s="7" t="n">
        <v>2040</v>
      </c>
      <c r="AE247" s="7" t="n">
        <v>2041</v>
      </c>
      <c r="AF247" s="7" t="n">
        <v>2042</v>
      </c>
      <c r="AG247" s="7" t="n">
        <v>2043</v>
      </c>
      <c r="AH247" s="7" t="n">
        <v>2044</v>
      </c>
      <c r="AI247" s="7" t="n">
        <v>2045</v>
      </c>
    </row>
    <row r="248" customFormat="false" ht="15" hidden="false" customHeight="false" outlineLevel="0" collapsed="false">
      <c r="B248" s="16" t="s">
        <v>52</v>
      </c>
    </row>
    <row r="249" customFormat="false" ht="15" hidden="false" customHeight="false" outlineLevel="0" collapsed="false">
      <c r="B249" s="17" t="s">
        <v>53</v>
      </c>
      <c r="C249" s="17" t="str">
        <f aca="false">$C$247</f>
        <v>irn</v>
      </c>
      <c r="D249" s="18" t="s">
        <v>54</v>
      </c>
      <c r="E249" s="19" t="s">
        <v>55</v>
      </c>
      <c r="F249" s="17" t="s">
        <v>56</v>
      </c>
      <c r="G249" s="20" t="str">
        <f aca="false">Settings!$B$3&amp;".mit.pbc."&amp;Settings!$B$4&amp;"."&amp;$B249&amp;".a."&amp;$J$247</f>
        <v>egy.mit.pbc.ind.coa.a.2</v>
      </c>
      <c r="H249" s="21" t="str">
        <f aca="false">Settings!$B$3&amp;".mit.ptp."&amp;$C$247&amp;"."&amp;$B249&amp;".e."&amp;$J$247</f>
        <v>egy.mit.ptp.irn.coa.e.2</v>
      </c>
      <c r="K249" s="22" t="n">
        <f aca="false">INDEX(Data_Prices!K:K,MATCH($G249,Data_Prices!$A:$A,0))</f>
        <v>11.1829015892439</v>
      </c>
      <c r="L249" s="22" t="n">
        <f aca="false">INDEX(Data_Prices!L:L,MATCH($G249,Data_Prices!$A:$A,0))</f>
        <v>10.5233613454312</v>
      </c>
      <c r="M249" s="22" t="n">
        <f aca="false">INDEX(Data_Prices!M:M,MATCH($G249,Data_Prices!$A:$A,0))</f>
        <v>10.2995608274442</v>
      </c>
      <c r="N249" s="22" t="n">
        <f aca="false">INDEX(Data_Prices!N:N,MATCH($G249,Data_Prices!$A:$A,0))</f>
        <v>9.57752835953826</v>
      </c>
      <c r="O249" s="22" t="n">
        <f aca="false">INDEX(Data_Prices!O:O,MATCH($G249,Data_Prices!$A:$A,0))</f>
        <v>8.48547828695805</v>
      </c>
      <c r="P249" s="22" t="n">
        <f aca="false">INDEX(Data_Prices!P:P,MATCH($G249,Data_Prices!$A:$A,0))</f>
        <v>9.08719223524986</v>
      </c>
      <c r="Q249" s="22" t="n">
        <f aca="false">INDEX(Data_Prices!Q:Q,MATCH($G249,Data_Prices!$A:$A,0))</f>
        <v>9.22292372893268</v>
      </c>
      <c r="R249" s="22" t="n">
        <f aca="false">INDEX(Data_Prices!R:R,MATCH($G249,Data_Prices!$A:$A,0))</f>
        <v>9.15856495550969</v>
      </c>
      <c r="S249" s="22" t="n">
        <f aca="false">INDEX(Data_Prices!S:S,MATCH($G249,Data_Prices!$A:$A,0))</f>
        <v>9.08954787739738</v>
      </c>
      <c r="T249" s="22" t="n">
        <f aca="false">INDEX(Data_Prices!T:T,MATCH($G249,Data_Prices!$A:$A,0))</f>
        <v>9.01568166602283</v>
      </c>
      <c r="U249" s="22" t="n">
        <f aca="false">INDEX(Data_Prices!U:U,MATCH($G249,Data_Prices!$A:$A,0))</f>
        <v>8.94439776555711</v>
      </c>
      <c r="V249" s="22" t="n">
        <f aca="false">INDEX(Data_Prices!V:V,MATCH($G249,Data_Prices!$A:$A,0))</f>
        <v>8.94439776555711</v>
      </c>
      <c r="W249" s="22" t="n">
        <f aca="false">INDEX(Data_Prices!W:W,MATCH($G249,Data_Prices!$A:$A,0))</f>
        <v>8.94439776555711</v>
      </c>
      <c r="X249" s="22" t="n">
        <f aca="false">INDEX(Data_Prices!X:X,MATCH($G249,Data_Prices!$A:$A,0))</f>
        <v>8.94439776555711</v>
      </c>
      <c r="Y249" s="22" t="n">
        <f aca="false">INDEX(Data_Prices!Y:Y,MATCH($G249,Data_Prices!$A:$A,0))</f>
        <v>8.94439776555711</v>
      </c>
      <c r="Z249" s="22" t="n">
        <f aca="false">INDEX(Data_Prices!Z:Z,MATCH($G249,Data_Prices!$A:$A,0))</f>
        <v>8.94439776555711</v>
      </c>
      <c r="AA249" s="22" t="n">
        <f aca="false">INDEX(Data_Prices!AA:AA,MATCH($G249,Data_Prices!$A:$A,0))</f>
        <v>8.94439776555711</v>
      </c>
      <c r="AB249" s="22" t="n">
        <f aca="false">INDEX(Data_Prices!AB:AB,MATCH($G249,Data_Prices!$A:$A,0))</f>
        <v>8.94439776555711</v>
      </c>
      <c r="AC249" s="22" t="n">
        <f aca="false">INDEX(Data_Prices!AC:AC,MATCH($G249,Data_Prices!$A:$A,0))</f>
        <v>8.94439776555711</v>
      </c>
      <c r="AD249" s="22" t="n">
        <f aca="false">INDEX(Data_Prices!AD:AD,MATCH($G249,Data_Prices!$A:$A,0))</f>
        <v>8.94439776555711</v>
      </c>
      <c r="AE249" s="22" t="n">
        <f aca="false">INDEX(Data_Prices!AE:AE,MATCH($G249,Data_Prices!$A:$A,0))</f>
        <v>8.94439776555711</v>
      </c>
    </row>
    <row r="250" customFormat="false" ht="15" hidden="false" customHeight="false" outlineLevel="0" collapsed="false">
      <c r="B250" s="17" t="s">
        <v>57</v>
      </c>
      <c r="C250" s="17" t="str">
        <f aca="false">$C$247</f>
        <v>irn</v>
      </c>
      <c r="D250" s="18" t="s">
        <v>58</v>
      </c>
      <c r="E250" s="19" t="s">
        <v>55</v>
      </c>
      <c r="F250" s="17" t="s">
        <v>56</v>
      </c>
      <c r="G250" s="20" t="str">
        <f aca="false">Settings!$B$3&amp;".mit.pbc."&amp;Settings!$B$4&amp;"."&amp;$B250&amp;".a."&amp;$J$247</f>
        <v>egy.mit.pbc.ind.nga.a.2</v>
      </c>
      <c r="H250" s="21" t="str">
        <f aca="false">Settings!$B$3&amp;".mit.ptp."&amp;$C$247&amp;"."&amp;$B250&amp;".e."&amp;$J$247</f>
        <v>egy.mit.ptp.irn.nga.e.2</v>
      </c>
      <c r="K250" s="22" t="n">
        <f aca="false">INDEX(Data_Prices!K:K,MATCH($G250,Data_Prices!$A:$A,0))</f>
        <v>6.06346361567291</v>
      </c>
      <c r="L250" s="22" t="n">
        <f aca="false">INDEX(Data_Prices!L:L,MATCH($G250,Data_Prices!$A:$A,0))</f>
        <v>5.45101508161919</v>
      </c>
      <c r="M250" s="22" t="n">
        <f aca="false">INDEX(Data_Prices!M:M,MATCH($G250,Data_Prices!$A:$A,0))</f>
        <v>5.11935630626248</v>
      </c>
      <c r="N250" s="22" t="n">
        <f aca="false">INDEX(Data_Prices!N:N,MATCH($G250,Data_Prices!$A:$A,0))</f>
        <v>5.08218458640407</v>
      </c>
      <c r="O250" s="22" t="n">
        <f aca="false">INDEX(Data_Prices!O:O,MATCH($G250,Data_Prices!$A:$A,0))</f>
        <v>5.08218458640407</v>
      </c>
      <c r="P250" s="22" t="n">
        <f aca="false">INDEX(Data_Prices!P:P,MATCH($G250,Data_Prices!$A:$A,0))</f>
        <v>5.08218458640407</v>
      </c>
      <c r="Q250" s="22" t="n">
        <f aca="false">INDEX(Data_Prices!Q:Q,MATCH($G250,Data_Prices!$A:$A,0))</f>
        <v>5.08218458640407</v>
      </c>
      <c r="R250" s="22" t="n">
        <f aca="false">INDEX(Data_Prices!R:R,MATCH($G250,Data_Prices!$A:$A,0))</f>
        <v>5.08218458640407</v>
      </c>
      <c r="S250" s="22" t="n">
        <f aca="false">INDEX(Data_Prices!S:S,MATCH($G250,Data_Prices!$A:$A,0))</f>
        <v>5.08218458640407</v>
      </c>
      <c r="T250" s="22" t="n">
        <f aca="false">INDEX(Data_Prices!T:T,MATCH($G250,Data_Prices!$A:$A,0))</f>
        <v>5.08218458640407</v>
      </c>
      <c r="U250" s="22" t="n">
        <f aca="false">INDEX(Data_Prices!U:U,MATCH($G250,Data_Prices!$A:$A,0))</f>
        <v>5.08218458640407</v>
      </c>
      <c r="V250" s="22" t="n">
        <f aca="false">INDEX(Data_Prices!V:V,MATCH($G250,Data_Prices!$A:$A,0))</f>
        <v>5.08218458640407</v>
      </c>
      <c r="W250" s="22" t="n">
        <f aca="false">INDEX(Data_Prices!W:W,MATCH($G250,Data_Prices!$A:$A,0))</f>
        <v>5.08218458640407</v>
      </c>
      <c r="X250" s="22" t="n">
        <f aca="false">INDEX(Data_Prices!X:X,MATCH($G250,Data_Prices!$A:$A,0))</f>
        <v>5.08218458640407</v>
      </c>
      <c r="Y250" s="22" t="n">
        <f aca="false">INDEX(Data_Prices!Y:Y,MATCH($G250,Data_Prices!$A:$A,0))</f>
        <v>5.08218458640407</v>
      </c>
      <c r="Z250" s="22" t="n">
        <f aca="false">INDEX(Data_Prices!Z:Z,MATCH($G250,Data_Prices!$A:$A,0))</f>
        <v>5.08218458640407</v>
      </c>
      <c r="AA250" s="22" t="n">
        <f aca="false">INDEX(Data_Prices!AA:AA,MATCH($G250,Data_Prices!$A:$A,0))</f>
        <v>5.08218458640407</v>
      </c>
      <c r="AB250" s="22" t="n">
        <f aca="false">INDEX(Data_Prices!AB:AB,MATCH($G250,Data_Prices!$A:$A,0))</f>
        <v>5.08218458640407</v>
      </c>
      <c r="AC250" s="22" t="n">
        <f aca="false">INDEX(Data_Prices!AC:AC,MATCH($G250,Data_Prices!$A:$A,0))</f>
        <v>5.08218458640407</v>
      </c>
      <c r="AD250" s="22" t="n">
        <f aca="false">INDEX(Data_Prices!AD:AD,MATCH($G250,Data_Prices!$A:$A,0))</f>
        <v>5.08218458640407</v>
      </c>
      <c r="AE250" s="22" t="n">
        <f aca="false">INDEX(Data_Prices!AE:AE,MATCH($G250,Data_Prices!$A:$A,0))</f>
        <v>5.08218458640407</v>
      </c>
    </row>
    <row r="251" customFormat="false" ht="15" hidden="false" customHeight="false" outlineLevel="0" collapsed="false">
      <c r="B251" s="17" t="s">
        <v>59</v>
      </c>
      <c r="C251" s="17" t="str">
        <f aca="false">$C$247</f>
        <v>irn</v>
      </c>
      <c r="D251" s="18" t="s">
        <v>60</v>
      </c>
      <c r="E251" s="19" t="s">
        <v>61</v>
      </c>
      <c r="F251" s="17" t="s">
        <v>56</v>
      </c>
      <c r="G251" s="20" t="str">
        <f aca="false">Settings!$B$3&amp;".mit.pbc."&amp;Settings!$B$4&amp;"."&amp;$B251&amp;".a."&amp;$J$247</f>
        <v>egy.mit.pbc.ind.gso.a.2</v>
      </c>
      <c r="H251" s="21" t="str">
        <f aca="false">Settings!$B$3&amp;".mit.ptp."&amp;$C$247&amp;"."&amp;$B251&amp;".e."&amp;$J$247</f>
        <v>egy.mit.ptp.irn.gso.e.2</v>
      </c>
      <c r="K251" s="22" t="n">
        <f aca="false">INDEX(Data_Prices!K:K,MATCH($G251,Data_Prices!$A:$A,0))</f>
        <v>0.671146533321816</v>
      </c>
      <c r="L251" s="22" t="n">
        <f aca="false">INDEX(Data_Prices!L:L,MATCH($G251,Data_Prices!$A:$A,0))</f>
        <v>0.611977976791406</v>
      </c>
      <c r="M251" s="22" t="n">
        <f aca="false">INDEX(Data_Prices!M:M,MATCH($G251,Data_Prices!$A:$A,0))</f>
        <v>0.611809749641876</v>
      </c>
      <c r="N251" s="22" t="n">
        <f aca="false">INDEX(Data_Prices!N:N,MATCH($G251,Data_Prices!$A:$A,0))</f>
        <v>0.603583100177906</v>
      </c>
      <c r="O251" s="22" t="n">
        <f aca="false">INDEX(Data_Prices!O:O,MATCH($G251,Data_Prices!$A:$A,0))</f>
        <v>0.603583100177906</v>
      </c>
      <c r="P251" s="22" t="n">
        <f aca="false">INDEX(Data_Prices!P:P,MATCH($G251,Data_Prices!$A:$A,0))</f>
        <v>0.603583100177906</v>
      </c>
      <c r="Q251" s="22" t="n">
        <f aca="false">INDEX(Data_Prices!Q:Q,MATCH($G251,Data_Prices!$A:$A,0))</f>
        <v>0.603583100177906</v>
      </c>
      <c r="R251" s="22" t="n">
        <f aca="false">INDEX(Data_Prices!R:R,MATCH($G251,Data_Prices!$A:$A,0))</f>
        <v>0.603583100177906</v>
      </c>
      <c r="S251" s="22" t="n">
        <f aca="false">INDEX(Data_Prices!S:S,MATCH($G251,Data_Prices!$A:$A,0))</f>
        <v>0.603583100177906</v>
      </c>
      <c r="T251" s="22" t="n">
        <f aca="false">INDEX(Data_Prices!T:T,MATCH($G251,Data_Prices!$A:$A,0))</f>
        <v>0.603583100177906</v>
      </c>
      <c r="U251" s="22" t="n">
        <f aca="false">INDEX(Data_Prices!U:U,MATCH($G251,Data_Prices!$A:$A,0))</f>
        <v>0.603583100177906</v>
      </c>
      <c r="V251" s="22" t="n">
        <f aca="false">INDEX(Data_Prices!V:V,MATCH($G251,Data_Prices!$A:$A,0))</f>
        <v>0.603583100177906</v>
      </c>
      <c r="W251" s="22" t="n">
        <f aca="false">INDEX(Data_Prices!W:W,MATCH($G251,Data_Prices!$A:$A,0))</f>
        <v>0.603583100177906</v>
      </c>
      <c r="X251" s="22" t="n">
        <f aca="false">INDEX(Data_Prices!X:X,MATCH($G251,Data_Prices!$A:$A,0))</f>
        <v>0.603583100177906</v>
      </c>
      <c r="Y251" s="22" t="n">
        <f aca="false">INDEX(Data_Prices!Y:Y,MATCH($G251,Data_Prices!$A:$A,0))</f>
        <v>0.603583100177906</v>
      </c>
      <c r="Z251" s="22" t="n">
        <f aca="false">INDEX(Data_Prices!Z:Z,MATCH($G251,Data_Prices!$A:$A,0))</f>
        <v>0.603583100177906</v>
      </c>
      <c r="AA251" s="22" t="n">
        <f aca="false">INDEX(Data_Prices!AA:AA,MATCH($G251,Data_Prices!$A:$A,0))</f>
        <v>0.603583100177906</v>
      </c>
      <c r="AB251" s="22" t="n">
        <f aca="false">INDEX(Data_Prices!AB:AB,MATCH($G251,Data_Prices!$A:$A,0))</f>
        <v>0.603583100177906</v>
      </c>
      <c r="AC251" s="22" t="n">
        <f aca="false">INDEX(Data_Prices!AC:AC,MATCH($G251,Data_Prices!$A:$A,0))</f>
        <v>0.603583100177906</v>
      </c>
      <c r="AD251" s="22" t="n">
        <f aca="false">INDEX(Data_Prices!AD:AD,MATCH($G251,Data_Prices!$A:$A,0))</f>
        <v>0.603583100177906</v>
      </c>
      <c r="AE251" s="22" t="n">
        <f aca="false">INDEX(Data_Prices!AE:AE,MATCH($G251,Data_Prices!$A:$A,0))</f>
        <v>0.603583100177906</v>
      </c>
    </row>
    <row r="252" customFormat="false" ht="15" hidden="false" customHeight="false" outlineLevel="0" collapsed="false">
      <c r="B252" s="17" t="s">
        <v>62</v>
      </c>
      <c r="C252" s="17" t="str">
        <f aca="false">$C$247</f>
        <v>irn</v>
      </c>
      <c r="D252" s="18" t="s">
        <v>63</v>
      </c>
      <c r="E252" s="19" t="s">
        <v>61</v>
      </c>
      <c r="F252" s="17" t="s">
        <v>56</v>
      </c>
      <c r="G252" s="20" t="str">
        <f aca="false">Settings!$B$3&amp;".mit.pbc."&amp;Settings!$B$4&amp;"."&amp;$B252&amp;".a."&amp;$J$247</f>
        <v>egy.mit.pbc.ind.die.a.2</v>
      </c>
      <c r="H252" s="21" t="str">
        <f aca="false">Settings!$B$3&amp;".mit.ptp."&amp;$C$247&amp;"."&amp;$B252&amp;".e."&amp;$J$247</f>
        <v>egy.mit.ptp.irn.die.e.2</v>
      </c>
      <c r="K252" s="22" t="n">
        <f aca="false">INDEX(Data_Prices!K:K,MATCH($G252,Data_Prices!$A:$A,0))</f>
        <v>0.559711213155688</v>
      </c>
      <c r="L252" s="22" t="n">
        <f aca="false">INDEX(Data_Prices!L:L,MATCH($G252,Data_Prices!$A:$A,0))</f>
        <v>0.494588730841068</v>
      </c>
      <c r="M252" s="22" t="n">
        <f aca="false">INDEX(Data_Prices!M:M,MATCH($G252,Data_Prices!$A:$A,0))</f>
        <v>0.507786547202501</v>
      </c>
      <c r="N252" s="22" t="n">
        <f aca="false">INDEX(Data_Prices!N:N,MATCH($G252,Data_Prices!$A:$A,0))</f>
        <v>0.470436426795617</v>
      </c>
      <c r="O252" s="22" t="n">
        <f aca="false">INDEX(Data_Prices!O:O,MATCH($G252,Data_Prices!$A:$A,0))</f>
        <v>0.470436426795617</v>
      </c>
      <c r="P252" s="22" t="n">
        <f aca="false">INDEX(Data_Prices!P:P,MATCH($G252,Data_Prices!$A:$A,0))</f>
        <v>0.470436426795617</v>
      </c>
      <c r="Q252" s="22" t="n">
        <f aca="false">INDEX(Data_Prices!Q:Q,MATCH($G252,Data_Prices!$A:$A,0))</f>
        <v>0.470436426795617</v>
      </c>
      <c r="R252" s="22" t="n">
        <f aca="false">INDEX(Data_Prices!R:R,MATCH($G252,Data_Prices!$A:$A,0))</f>
        <v>0.470436426795617</v>
      </c>
      <c r="S252" s="22" t="n">
        <f aca="false">INDEX(Data_Prices!S:S,MATCH($G252,Data_Prices!$A:$A,0))</f>
        <v>0.470436426795617</v>
      </c>
      <c r="T252" s="22" t="n">
        <f aca="false">INDEX(Data_Prices!T:T,MATCH($G252,Data_Prices!$A:$A,0))</f>
        <v>0.470436426795617</v>
      </c>
      <c r="U252" s="22" t="n">
        <f aca="false">INDEX(Data_Prices!U:U,MATCH($G252,Data_Prices!$A:$A,0))</f>
        <v>0.470436426795617</v>
      </c>
      <c r="V252" s="22" t="n">
        <f aca="false">INDEX(Data_Prices!V:V,MATCH($G252,Data_Prices!$A:$A,0))</f>
        <v>0.470436426795617</v>
      </c>
      <c r="W252" s="22" t="n">
        <f aca="false">INDEX(Data_Prices!W:W,MATCH($G252,Data_Prices!$A:$A,0))</f>
        <v>0.470436426795617</v>
      </c>
      <c r="X252" s="22" t="n">
        <f aca="false">INDEX(Data_Prices!X:X,MATCH($G252,Data_Prices!$A:$A,0))</f>
        <v>0.470436426795617</v>
      </c>
      <c r="Y252" s="22" t="n">
        <f aca="false">INDEX(Data_Prices!Y:Y,MATCH($G252,Data_Prices!$A:$A,0))</f>
        <v>0.470436426795617</v>
      </c>
      <c r="Z252" s="22" t="n">
        <f aca="false">INDEX(Data_Prices!Z:Z,MATCH($G252,Data_Prices!$A:$A,0))</f>
        <v>0.470436426795617</v>
      </c>
      <c r="AA252" s="22" t="n">
        <f aca="false">INDEX(Data_Prices!AA:AA,MATCH($G252,Data_Prices!$A:$A,0))</f>
        <v>0.470436426795617</v>
      </c>
      <c r="AB252" s="22" t="n">
        <f aca="false">INDEX(Data_Prices!AB:AB,MATCH($G252,Data_Prices!$A:$A,0))</f>
        <v>0.470436426795617</v>
      </c>
      <c r="AC252" s="22" t="n">
        <f aca="false">INDEX(Data_Prices!AC:AC,MATCH($G252,Data_Prices!$A:$A,0))</f>
        <v>0.470436426795617</v>
      </c>
      <c r="AD252" s="22" t="n">
        <f aca="false">INDEX(Data_Prices!AD:AD,MATCH($G252,Data_Prices!$A:$A,0))</f>
        <v>0.470436426795617</v>
      </c>
      <c r="AE252" s="22" t="n">
        <f aca="false">INDEX(Data_Prices!AE:AE,MATCH($G252,Data_Prices!$A:$A,0))</f>
        <v>0.470436426795617</v>
      </c>
    </row>
    <row r="253" customFormat="false" ht="15" hidden="false" customHeight="false" outlineLevel="0" collapsed="false">
      <c r="B253" s="17" t="s">
        <v>64</v>
      </c>
      <c r="C253" s="17" t="str">
        <f aca="false">$C$247</f>
        <v>irn</v>
      </c>
      <c r="D253" s="18" t="s">
        <v>65</v>
      </c>
      <c r="E253" s="19" t="s">
        <v>61</v>
      </c>
      <c r="F253" s="17" t="s">
        <v>56</v>
      </c>
      <c r="G253" s="20" t="str">
        <f aca="false">Settings!$B$3&amp;".mit.pbc."&amp;Settings!$B$4&amp;"."&amp;$B253&amp;".a."&amp;$J$247</f>
        <v>egy.mit.pbc.ind.lpg.a.2</v>
      </c>
      <c r="H253" s="21" t="str">
        <f aca="false">Settings!$B$3&amp;".mit.ptp."&amp;$C$247&amp;"."&amp;$B253&amp;".e."&amp;$J$247</f>
        <v>egy.mit.ptp.irn.lpg.e.2</v>
      </c>
      <c r="K253" s="22" t="n">
        <f aca="false">INDEX(Data_Prices!K:K,MATCH($G253,Data_Prices!$A:$A,0))</f>
        <v>0.200366691126738</v>
      </c>
      <c r="L253" s="22" t="n">
        <f aca="false">INDEX(Data_Prices!L:L,MATCH($G253,Data_Prices!$A:$A,0))</f>
        <v>0.157344736252274</v>
      </c>
      <c r="M253" s="22" t="n">
        <f aca="false">INDEX(Data_Prices!M:M,MATCH($G253,Data_Prices!$A:$A,0))</f>
        <v>0.164484037759277</v>
      </c>
      <c r="N253" s="22" t="n">
        <f aca="false">INDEX(Data_Prices!N:N,MATCH($G253,Data_Prices!$A:$A,0))</f>
        <v>0.150709077807049</v>
      </c>
      <c r="O253" s="22" t="n">
        <f aca="false">INDEX(Data_Prices!O:O,MATCH($G253,Data_Prices!$A:$A,0))</f>
        <v>0.150709077807049</v>
      </c>
      <c r="P253" s="22" t="n">
        <f aca="false">INDEX(Data_Prices!P:P,MATCH($G253,Data_Prices!$A:$A,0))</f>
        <v>0.150709077807049</v>
      </c>
      <c r="Q253" s="22" t="n">
        <f aca="false">INDEX(Data_Prices!Q:Q,MATCH($G253,Data_Prices!$A:$A,0))</f>
        <v>0.150709077807049</v>
      </c>
      <c r="R253" s="22" t="n">
        <f aca="false">INDEX(Data_Prices!R:R,MATCH($G253,Data_Prices!$A:$A,0))</f>
        <v>0.150709077807049</v>
      </c>
      <c r="S253" s="22" t="n">
        <f aca="false">INDEX(Data_Prices!S:S,MATCH($G253,Data_Prices!$A:$A,0))</f>
        <v>0.150709077807049</v>
      </c>
      <c r="T253" s="22" t="n">
        <f aca="false">INDEX(Data_Prices!T:T,MATCH($G253,Data_Prices!$A:$A,0))</f>
        <v>0.150709077807049</v>
      </c>
      <c r="U253" s="22" t="n">
        <f aca="false">INDEX(Data_Prices!U:U,MATCH($G253,Data_Prices!$A:$A,0))</f>
        <v>0.150709077807049</v>
      </c>
      <c r="V253" s="22" t="n">
        <f aca="false">INDEX(Data_Prices!V:V,MATCH($G253,Data_Prices!$A:$A,0))</f>
        <v>0.150709077807049</v>
      </c>
      <c r="W253" s="22" t="n">
        <f aca="false">INDEX(Data_Prices!W:W,MATCH($G253,Data_Prices!$A:$A,0))</f>
        <v>0.150709077807049</v>
      </c>
      <c r="X253" s="22" t="n">
        <f aca="false">INDEX(Data_Prices!X:X,MATCH($G253,Data_Prices!$A:$A,0))</f>
        <v>0.150709077807049</v>
      </c>
      <c r="Y253" s="22" t="n">
        <f aca="false">INDEX(Data_Prices!Y:Y,MATCH($G253,Data_Prices!$A:$A,0))</f>
        <v>0.150709077807049</v>
      </c>
      <c r="Z253" s="22" t="n">
        <f aca="false">INDEX(Data_Prices!Z:Z,MATCH($G253,Data_Prices!$A:$A,0))</f>
        <v>0.150709077807049</v>
      </c>
      <c r="AA253" s="22" t="n">
        <f aca="false">INDEX(Data_Prices!AA:AA,MATCH($G253,Data_Prices!$A:$A,0))</f>
        <v>0.150709077807049</v>
      </c>
      <c r="AB253" s="22" t="n">
        <f aca="false">INDEX(Data_Prices!AB:AB,MATCH($G253,Data_Prices!$A:$A,0))</f>
        <v>0.150709077807049</v>
      </c>
      <c r="AC253" s="22" t="n">
        <f aca="false">INDEX(Data_Prices!AC:AC,MATCH($G253,Data_Prices!$A:$A,0))</f>
        <v>0.150709077807049</v>
      </c>
      <c r="AD253" s="22" t="n">
        <f aca="false">INDEX(Data_Prices!AD:AD,MATCH($G253,Data_Prices!$A:$A,0))</f>
        <v>0.150709077807049</v>
      </c>
      <c r="AE253" s="22" t="n">
        <f aca="false">INDEX(Data_Prices!AE:AE,MATCH($G253,Data_Prices!$A:$A,0))</f>
        <v>0.150709077807049</v>
      </c>
    </row>
    <row r="254" customFormat="false" ht="15" hidden="false" customHeight="false" outlineLevel="0" collapsed="false">
      <c r="B254" s="17" t="s">
        <v>66</v>
      </c>
      <c r="C254" s="17" t="str">
        <f aca="false">$C$247</f>
        <v>irn</v>
      </c>
      <c r="D254" s="18" t="s">
        <v>67</v>
      </c>
      <c r="E254" s="19" t="s">
        <v>61</v>
      </c>
      <c r="F254" s="17" t="s">
        <v>56</v>
      </c>
      <c r="G254" s="20" t="str">
        <f aca="false">Settings!$B$3&amp;".mit.pbc."&amp;Settings!$B$4&amp;"."&amp;$B254&amp;".a."&amp;$J$247</f>
        <v>egy.mit.pbc.ind.ker.a.2</v>
      </c>
      <c r="H254" s="21" t="str">
        <f aca="false">Settings!$B$3&amp;".mit.ptp."&amp;$C$247&amp;"."&amp;$B254&amp;".e."&amp;$J$247</f>
        <v>egy.mit.ptp.irn.ker.e.2</v>
      </c>
      <c r="K254" s="22" t="n">
        <f aca="false">INDEX(Data_Prices!K:K,MATCH($G254,Data_Prices!$A:$A,0))</f>
        <v>0.484294240973435</v>
      </c>
      <c r="L254" s="22" t="n">
        <f aca="false">INDEX(Data_Prices!L:L,MATCH($G254,Data_Prices!$A:$A,0))</f>
        <v>0.456428170500128</v>
      </c>
      <c r="M254" s="22" t="n">
        <f aca="false">INDEX(Data_Prices!M:M,MATCH($G254,Data_Prices!$A:$A,0))</f>
        <v>0.431689201955995</v>
      </c>
      <c r="N254" s="22" t="n">
        <f aca="false">INDEX(Data_Prices!N:N,MATCH($G254,Data_Prices!$A:$A,0))</f>
        <v>0.42507558395597</v>
      </c>
      <c r="O254" s="22" t="n">
        <f aca="false">INDEX(Data_Prices!O:O,MATCH($G254,Data_Prices!$A:$A,0))</f>
        <v>0.42507558395597</v>
      </c>
      <c r="P254" s="22" t="n">
        <f aca="false">INDEX(Data_Prices!P:P,MATCH($G254,Data_Prices!$A:$A,0))</f>
        <v>0.42507558395597</v>
      </c>
      <c r="Q254" s="22" t="n">
        <f aca="false">INDEX(Data_Prices!Q:Q,MATCH($G254,Data_Prices!$A:$A,0))</f>
        <v>0.42507558395597</v>
      </c>
      <c r="R254" s="22" t="n">
        <f aca="false">INDEX(Data_Prices!R:R,MATCH($G254,Data_Prices!$A:$A,0))</f>
        <v>0.42507558395597</v>
      </c>
      <c r="S254" s="22" t="n">
        <f aca="false">INDEX(Data_Prices!S:S,MATCH($G254,Data_Prices!$A:$A,0))</f>
        <v>0.42507558395597</v>
      </c>
      <c r="T254" s="22" t="n">
        <f aca="false">INDEX(Data_Prices!T:T,MATCH($G254,Data_Prices!$A:$A,0))</f>
        <v>0.42507558395597</v>
      </c>
      <c r="U254" s="22" t="n">
        <f aca="false">INDEX(Data_Prices!U:U,MATCH($G254,Data_Prices!$A:$A,0))</f>
        <v>0.42507558395597</v>
      </c>
      <c r="V254" s="22" t="n">
        <f aca="false">INDEX(Data_Prices!V:V,MATCH($G254,Data_Prices!$A:$A,0))</f>
        <v>0.42507558395597</v>
      </c>
      <c r="W254" s="22" t="n">
        <f aca="false">INDEX(Data_Prices!W:W,MATCH($G254,Data_Prices!$A:$A,0))</f>
        <v>0.42507558395597</v>
      </c>
      <c r="X254" s="22" t="n">
        <f aca="false">INDEX(Data_Prices!X:X,MATCH($G254,Data_Prices!$A:$A,0))</f>
        <v>0.42507558395597</v>
      </c>
      <c r="Y254" s="22" t="n">
        <f aca="false">INDEX(Data_Prices!Y:Y,MATCH($G254,Data_Prices!$A:$A,0))</f>
        <v>0.42507558395597</v>
      </c>
      <c r="Z254" s="22" t="n">
        <f aca="false">INDEX(Data_Prices!Z:Z,MATCH($G254,Data_Prices!$A:$A,0))</f>
        <v>0.42507558395597</v>
      </c>
      <c r="AA254" s="22" t="n">
        <f aca="false">INDEX(Data_Prices!AA:AA,MATCH($G254,Data_Prices!$A:$A,0))</f>
        <v>0.42507558395597</v>
      </c>
      <c r="AB254" s="22" t="n">
        <f aca="false">INDEX(Data_Prices!AB:AB,MATCH($G254,Data_Prices!$A:$A,0))</f>
        <v>0.42507558395597</v>
      </c>
      <c r="AC254" s="22" t="n">
        <f aca="false">INDEX(Data_Prices!AC:AC,MATCH($G254,Data_Prices!$A:$A,0))</f>
        <v>0.42507558395597</v>
      </c>
      <c r="AD254" s="22" t="n">
        <f aca="false">INDEX(Data_Prices!AD:AD,MATCH($G254,Data_Prices!$A:$A,0))</f>
        <v>0.42507558395597</v>
      </c>
      <c r="AE254" s="22" t="n">
        <f aca="false">INDEX(Data_Prices!AE:AE,MATCH($G254,Data_Prices!$A:$A,0))</f>
        <v>0.42507558395597</v>
      </c>
    </row>
    <row r="255" customFormat="false" ht="15" hidden="false" customHeight="false" outlineLevel="0" collapsed="false">
      <c r="B255" s="17" t="s">
        <v>68</v>
      </c>
      <c r="C255" s="17" t="str">
        <f aca="false">$C$247</f>
        <v>irn</v>
      </c>
      <c r="D255" s="18" t="s">
        <v>69</v>
      </c>
      <c r="E255" s="19" t="s">
        <v>70</v>
      </c>
      <c r="F255" s="17" t="s">
        <v>56</v>
      </c>
      <c r="G255" s="20" t="str">
        <f aca="false">Settings!$B$3&amp;".mit.pbc."&amp;Settings!$B$4&amp;"."&amp;$B255&amp;".a."&amp;$J$247</f>
        <v>egy.mit.pbc.ind.oop.a.2</v>
      </c>
      <c r="H255" s="21" t="str">
        <f aca="false">Settings!$B$3&amp;".mit.ptp."&amp;$C$247&amp;"."&amp;$B255&amp;".e."&amp;$J$247</f>
        <v>egy.mit.ptp.irn.oop.e.2</v>
      </c>
      <c r="K255" s="22" t="n">
        <f aca="false">INDEX(Data_Prices!K:K,MATCH($G255,Data_Prices!$A:$A,0))</f>
        <v>41.5003384988684</v>
      </c>
      <c r="L255" s="22" t="n">
        <f aca="false">INDEX(Data_Prices!L:L,MATCH($G255,Data_Prices!$A:$A,0))</f>
        <v>34.4153703043132</v>
      </c>
      <c r="M255" s="22" t="n">
        <f aca="false">INDEX(Data_Prices!M:M,MATCH($G255,Data_Prices!$A:$A,0))</f>
        <v>37.368960690432</v>
      </c>
      <c r="N255" s="22" t="n">
        <f aca="false">INDEX(Data_Prices!N:N,MATCH($G255,Data_Prices!$A:$A,0))</f>
        <v>28.9827611014773</v>
      </c>
      <c r="O255" s="22" t="n">
        <f aca="false">INDEX(Data_Prices!O:O,MATCH($G255,Data_Prices!$A:$A,0))</f>
        <v>15</v>
      </c>
      <c r="P255" s="22" t="n">
        <f aca="false">INDEX(Data_Prices!P:P,MATCH($G255,Data_Prices!$A:$A,0))</f>
        <v>24.2586300842555</v>
      </c>
      <c r="Q255" s="22" t="n">
        <f aca="false">INDEX(Data_Prices!Q:Q,MATCH($G255,Data_Prices!$A:$A,0))</f>
        <v>13.0962081961325</v>
      </c>
      <c r="R255" s="22" t="n">
        <f aca="false">INDEX(Data_Prices!R:R,MATCH($G255,Data_Prices!$A:$A,0))</f>
        <v>10.0252451140106</v>
      </c>
      <c r="S255" s="22" t="n">
        <f aca="false">INDEX(Data_Prices!S:S,MATCH($G255,Data_Prices!$A:$A,0))</f>
        <v>8.47723069137362</v>
      </c>
      <c r="T255" s="22" t="n">
        <f aca="false">INDEX(Data_Prices!T:T,MATCH($G255,Data_Prices!$A:$A,0))</f>
        <v>7.12348244520922</v>
      </c>
      <c r="U255" s="22" t="n">
        <f aca="false">INDEX(Data_Prices!U:U,MATCH($G255,Data_Prices!$A:$A,0))</f>
        <v>5.65275973941006</v>
      </c>
      <c r="V255" s="22" t="n">
        <f aca="false">INDEX(Data_Prices!V:V,MATCH($G255,Data_Prices!$A:$A,0))</f>
        <v>5.65275973941006</v>
      </c>
      <c r="W255" s="22" t="n">
        <f aca="false">INDEX(Data_Prices!W:W,MATCH($G255,Data_Prices!$A:$A,0))</f>
        <v>5.65275973941006</v>
      </c>
      <c r="X255" s="22" t="n">
        <f aca="false">INDEX(Data_Prices!X:X,MATCH($G255,Data_Prices!$A:$A,0))</f>
        <v>5.65275973941006</v>
      </c>
      <c r="Y255" s="22" t="n">
        <f aca="false">INDEX(Data_Prices!Y:Y,MATCH($G255,Data_Prices!$A:$A,0))</f>
        <v>5.65275973941006</v>
      </c>
      <c r="Z255" s="22" t="n">
        <f aca="false">INDEX(Data_Prices!Z:Z,MATCH($G255,Data_Prices!$A:$A,0))</f>
        <v>5.65275973941007</v>
      </c>
      <c r="AA255" s="22" t="n">
        <f aca="false">INDEX(Data_Prices!AA:AA,MATCH($G255,Data_Prices!$A:$A,0))</f>
        <v>5.65275973941006</v>
      </c>
      <c r="AB255" s="22" t="n">
        <f aca="false">INDEX(Data_Prices!AB:AB,MATCH($G255,Data_Prices!$A:$A,0))</f>
        <v>5.65275973941006</v>
      </c>
      <c r="AC255" s="22" t="n">
        <f aca="false">INDEX(Data_Prices!AC:AC,MATCH($G255,Data_Prices!$A:$A,0))</f>
        <v>5.65275973941004</v>
      </c>
      <c r="AD255" s="22" t="n">
        <f aca="false">INDEX(Data_Prices!AD:AD,MATCH($G255,Data_Prices!$A:$A,0))</f>
        <v>5.65275973941006</v>
      </c>
      <c r="AE255" s="22" t="n">
        <f aca="false">INDEX(Data_Prices!AE:AE,MATCH($G255,Data_Prices!$A:$A,0))</f>
        <v>5.65275973941004</v>
      </c>
    </row>
    <row r="256" customFormat="false" ht="15" hidden="false" customHeight="false" outlineLevel="0" collapsed="false">
      <c r="B256" s="17" t="s">
        <v>71</v>
      </c>
      <c r="C256" s="17" t="str">
        <f aca="false">$C$247</f>
        <v>irn</v>
      </c>
      <c r="D256" s="18" t="s">
        <v>72</v>
      </c>
      <c r="E256" s="19" t="s">
        <v>55</v>
      </c>
      <c r="F256" s="17" t="s">
        <v>56</v>
      </c>
      <c r="G256" s="20" t="str">
        <f aca="false">Settings!$B$3&amp;".mit.pbc."&amp;Settings!$B$4&amp;"."&amp;$B256&amp;".a."&amp;$J$247</f>
        <v>egy.mit.pbc.ind.bio.a.2</v>
      </c>
      <c r="H256" s="21" t="str">
        <f aca="false">Settings!$B$3&amp;".mit.ptp."&amp;$C$247&amp;"."&amp;$B256&amp;".e."&amp;$J$247</f>
        <v>egy.mit.ptp.irn.bio.e.2</v>
      </c>
      <c r="K256" s="22" t="n">
        <f aca="false">INDEX(Data_Prices!K:K,MATCH($G256,Data_Prices!$A:$A,0))</f>
        <v>15.3345505293169</v>
      </c>
      <c r="L256" s="22" t="n">
        <f aca="false">INDEX(Data_Prices!L:L,MATCH($G256,Data_Prices!$A:$A,0))</f>
        <v>14.1995283906349</v>
      </c>
      <c r="M256" s="22" t="n">
        <f aca="false">INDEX(Data_Prices!M:M,MATCH($G256,Data_Prices!$A:$A,0))</f>
        <v>13.8404416133152</v>
      </c>
      <c r="N256" s="22" t="n">
        <f aca="false">INDEX(Data_Prices!N:N,MATCH($G256,Data_Prices!$A:$A,0))</f>
        <v>13.5677269404465</v>
      </c>
      <c r="O256" s="22" t="n">
        <f aca="false">INDEX(Data_Prices!O:O,MATCH($G256,Data_Prices!$A:$A,0))</f>
        <v>13.5677269404465</v>
      </c>
      <c r="P256" s="22" t="n">
        <f aca="false">INDEX(Data_Prices!P:P,MATCH($G256,Data_Prices!$A:$A,0))</f>
        <v>13.5677269404465</v>
      </c>
      <c r="Q256" s="22" t="n">
        <f aca="false">INDEX(Data_Prices!Q:Q,MATCH($G256,Data_Prices!$A:$A,0))</f>
        <v>13.5677269404465</v>
      </c>
      <c r="R256" s="22" t="n">
        <f aca="false">INDEX(Data_Prices!R:R,MATCH($G256,Data_Prices!$A:$A,0))</f>
        <v>13.5677269404465</v>
      </c>
      <c r="S256" s="22" t="n">
        <f aca="false">INDEX(Data_Prices!S:S,MATCH($G256,Data_Prices!$A:$A,0))</f>
        <v>13.5677269404465</v>
      </c>
      <c r="T256" s="22" t="n">
        <f aca="false">INDEX(Data_Prices!T:T,MATCH($G256,Data_Prices!$A:$A,0))</f>
        <v>13.5677269404465</v>
      </c>
      <c r="U256" s="22" t="n">
        <f aca="false">INDEX(Data_Prices!U:U,MATCH($G256,Data_Prices!$A:$A,0))</f>
        <v>13.5677269404465</v>
      </c>
      <c r="V256" s="22" t="n">
        <f aca="false">INDEX(Data_Prices!V:V,MATCH($G256,Data_Prices!$A:$A,0))</f>
        <v>13.5677269404465</v>
      </c>
      <c r="W256" s="22" t="n">
        <f aca="false">INDEX(Data_Prices!W:W,MATCH($G256,Data_Prices!$A:$A,0))</f>
        <v>13.5677269404465</v>
      </c>
      <c r="X256" s="22" t="n">
        <f aca="false">INDEX(Data_Prices!X:X,MATCH($G256,Data_Prices!$A:$A,0))</f>
        <v>13.5677269404465</v>
      </c>
      <c r="Y256" s="22" t="n">
        <f aca="false">INDEX(Data_Prices!Y:Y,MATCH($G256,Data_Prices!$A:$A,0))</f>
        <v>13.5677269404465</v>
      </c>
      <c r="Z256" s="22" t="n">
        <f aca="false">INDEX(Data_Prices!Z:Z,MATCH($G256,Data_Prices!$A:$A,0))</f>
        <v>13.5677269404465</v>
      </c>
      <c r="AA256" s="22" t="n">
        <f aca="false">INDEX(Data_Prices!AA:AA,MATCH($G256,Data_Prices!$A:$A,0))</f>
        <v>13.5677269404465</v>
      </c>
      <c r="AB256" s="22" t="n">
        <f aca="false">INDEX(Data_Prices!AB:AB,MATCH($G256,Data_Prices!$A:$A,0))</f>
        <v>13.5677269404465</v>
      </c>
      <c r="AC256" s="22" t="n">
        <f aca="false">INDEX(Data_Prices!AC:AC,MATCH($G256,Data_Prices!$A:$A,0))</f>
        <v>13.5677269404465</v>
      </c>
      <c r="AD256" s="22" t="n">
        <f aca="false">INDEX(Data_Prices!AD:AD,MATCH($G256,Data_Prices!$A:$A,0))</f>
        <v>13.5677269404465</v>
      </c>
      <c r="AE256" s="22" t="n">
        <f aca="false">INDEX(Data_Prices!AE:AE,MATCH($G256,Data_Prices!$A:$A,0))</f>
        <v>13.5677269404465</v>
      </c>
    </row>
    <row r="257" customFormat="false" ht="15" hidden="false" customHeight="false" outlineLevel="0" collapsed="false">
      <c r="B257" s="17" t="s">
        <v>73</v>
      </c>
      <c r="C257" s="17" t="str">
        <f aca="false">$C$247</f>
        <v>irn</v>
      </c>
      <c r="D257" s="18" t="s">
        <v>74</v>
      </c>
      <c r="E257" s="19" t="s">
        <v>75</v>
      </c>
      <c r="F257" s="17" t="s">
        <v>56</v>
      </c>
      <c r="G257" s="20" t="str">
        <f aca="false">Settings!$B$3&amp;".mit.pbc."&amp;Settings!$B$4&amp;"."&amp;$B257&amp;".a."&amp;$J$247</f>
        <v>egy.mit.pbc.ind.ren.a.2</v>
      </c>
      <c r="H257" s="21" t="str">
        <f aca="false">Settings!$B$3&amp;".mit.ptp."&amp;$C$247&amp;"."&amp;$B257&amp;".e."&amp;$J$247</f>
        <v>egy.mit.ptp.irn.ren.e.2</v>
      </c>
      <c r="K257" s="22" t="n">
        <f aca="false">INDEX(Data_Prices!K:K,MATCH($G257,Data_Prices!$A:$A,0))</f>
        <v>0</v>
      </c>
      <c r="L257" s="22" t="n">
        <f aca="false">INDEX(Data_Prices!L:L,MATCH($G257,Data_Prices!$A:$A,0))</f>
        <v>0.144044986793198</v>
      </c>
      <c r="M257" s="22" t="n">
        <f aca="false">INDEX(Data_Prices!M:M,MATCH($G257,Data_Prices!$A:$A,0))</f>
        <v>0.141386241751359</v>
      </c>
      <c r="N257" s="22" t="n">
        <f aca="false">INDEX(Data_Prices!N:N,MATCH($G257,Data_Prices!$A:$A,0))</f>
        <v>0.135397565443731</v>
      </c>
      <c r="O257" s="22" t="n">
        <f aca="false">INDEX(Data_Prices!O:O,MATCH($G257,Data_Prices!$A:$A,0))</f>
        <v>0.131522885420651</v>
      </c>
      <c r="P257" s="22" t="n">
        <f aca="false">INDEX(Data_Prices!P:P,MATCH($G257,Data_Prices!$A:$A,0))</f>
        <v>0.128826108485231</v>
      </c>
      <c r="Q257" s="22" t="n">
        <f aca="false">INDEX(Data_Prices!Q:Q,MATCH($G257,Data_Prices!$A:$A,0))</f>
        <v>0.12594200976474</v>
      </c>
      <c r="R257" s="22" t="n">
        <f aca="false">INDEX(Data_Prices!R:R,MATCH($G257,Data_Prices!$A:$A,0))</f>
        <v>0.123113265701861</v>
      </c>
      <c r="S257" s="22" t="n">
        <f aca="false">INDEX(Data_Prices!S:S,MATCH($G257,Data_Prices!$A:$A,0))</f>
        <v>0.119391738089068</v>
      </c>
      <c r="T257" s="22" t="n">
        <f aca="false">INDEX(Data_Prices!T:T,MATCH($G257,Data_Prices!$A:$A,0))</f>
        <v>0.11554419046792</v>
      </c>
      <c r="U257" s="22" t="n">
        <f aca="false">INDEX(Data_Prices!U:U,MATCH($G257,Data_Prices!$A:$A,0))</f>
        <v>0.114924230654159</v>
      </c>
      <c r="V257" s="22" t="n">
        <f aca="false">INDEX(Data_Prices!V:V,MATCH($G257,Data_Prices!$A:$A,0))</f>
        <v>0.114346912116736</v>
      </c>
      <c r="W257" s="22" t="n">
        <f aca="false">INDEX(Data_Prices!W:W,MATCH($G257,Data_Prices!$A:$A,0))</f>
        <v>0.113738711172664</v>
      </c>
      <c r="X257" s="22" t="n">
        <f aca="false">INDEX(Data_Prices!X:X,MATCH($G257,Data_Prices!$A:$A,0))</f>
        <v>0.112999900487521</v>
      </c>
      <c r="Y257" s="22" t="n">
        <f aca="false">INDEX(Data_Prices!Y:Y,MATCH($G257,Data_Prices!$A:$A,0))</f>
        <v>0.112177685835534</v>
      </c>
      <c r="Z257" s="22" t="n">
        <f aca="false">INDEX(Data_Prices!Z:Z,MATCH($G257,Data_Prices!$A:$A,0))</f>
        <v>0.111417903250404</v>
      </c>
      <c r="AA257" s="22" t="n">
        <f aca="false">INDEX(Data_Prices!AA:AA,MATCH($G257,Data_Prices!$A:$A,0))</f>
        <v>0.110525819985454</v>
      </c>
      <c r="AB257" s="22" t="n">
        <f aca="false">INDEX(Data_Prices!AB:AB,MATCH($G257,Data_Prices!$A:$A,0))</f>
        <v>0.109699565234896</v>
      </c>
      <c r="AC257" s="22" t="n">
        <f aca="false">INDEX(Data_Prices!AC:AC,MATCH($G257,Data_Prices!$A:$A,0))</f>
        <v>0.107726788963949</v>
      </c>
      <c r="AD257" s="22" t="n">
        <f aca="false">INDEX(Data_Prices!AD:AD,MATCH($G257,Data_Prices!$A:$A,0))</f>
        <v>0.105820924450935</v>
      </c>
      <c r="AE257" s="22" t="n">
        <f aca="false">INDEX(Data_Prices!AE:AE,MATCH($G257,Data_Prices!$A:$A,0))</f>
        <v>0.103855595705721</v>
      </c>
    </row>
    <row r="258" customFormat="false" ht="15" hidden="false" customHeight="false" outlineLevel="0" collapsed="false">
      <c r="B258" s="16" t="s">
        <v>76</v>
      </c>
    </row>
    <row r="259" customFormat="false" ht="15" hidden="false" customHeight="false" outlineLevel="0" collapsed="false">
      <c r="B259" s="17" t="s">
        <v>53</v>
      </c>
      <c r="C259" s="17" t="str">
        <f aca="false">$C$247</f>
        <v>irn</v>
      </c>
      <c r="D259" s="18" t="s">
        <v>54</v>
      </c>
      <c r="E259" s="19" t="s">
        <v>55</v>
      </c>
      <c r="F259" s="17" t="s">
        <v>77</v>
      </c>
      <c r="G259" s="20" t="str">
        <f aca="false">Settings!$B$3&amp;".mit.nce."&amp;Settings!$B$4&amp;"."&amp;$B259&amp;".a."&amp;$J$247</f>
        <v>egy.mit.nce.ind.coa.a.2</v>
      </c>
      <c r="H259" s="21" t="str">
        <f aca="false">Settings!$B$3&amp;".mit.atp."&amp;$C$247&amp;"."&amp;$B259&amp;".e."&amp;$J$247</f>
        <v>egy.mit.atp.irn.coa.e.2</v>
      </c>
      <c r="K259" s="22" t="n">
        <f aca="false">K249+INDEX(Data_Prices!K:K,MATCH($G259,Data_Prices!$A:$A,0))*K$279</f>
        <v>11.1829015892439</v>
      </c>
      <c r="L259" s="22" t="n">
        <f aca="false">L249+INDEX(Data_Prices!L:L,MATCH($G259,Data_Prices!$A:$A,0))*L$279</f>
        <v>10.5233613454312</v>
      </c>
      <c r="M259" s="22" t="n">
        <f aca="false">M249+INDEX(Data_Prices!M:M,MATCH($G259,Data_Prices!$A:$A,0))*M$279</f>
        <v>10.2995608274442</v>
      </c>
      <c r="N259" s="22" t="n">
        <f aca="false">N249+INDEX(Data_Prices!N:N,MATCH($G259,Data_Prices!$A:$A,0))*N$279</f>
        <v>9.57752835953826</v>
      </c>
      <c r="O259" s="22" t="n">
        <f aca="false">O249+INDEX(Data_Prices!O:O,MATCH($G259,Data_Prices!$A:$A,0))*O$279</f>
        <v>8.48547828695805</v>
      </c>
      <c r="P259" s="22" t="n">
        <f aca="false">P249+INDEX(Data_Prices!P:P,MATCH($G259,Data_Prices!$A:$A,0))*P$279</f>
        <v>9.08719223524986</v>
      </c>
      <c r="Q259" s="22" t="n">
        <f aca="false">Q249+INDEX(Data_Prices!Q:Q,MATCH($G259,Data_Prices!$A:$A,0))*Q$279</f>
        <v>10.4729237289327</v>
      </c>
      <c r="R259" s="22" t="n">
        <f aca="false">R249+INDEX(Data_Prices!R:R,MATCH($G259,Data_Prices!$A:$A,0))*R$279</f>
        <v>11.6585649555097</v>
      </c>
      <c r="S259" s="22" t="n">
        <f aca="false">S249+INDEX(Data_Prices!S:S,MATCH($G259,Data_Prices!$A:$A,0))*S$279</f>
        <v>12.8395478773974</v>
      </c>
      <c r="T259" s="22" t="n">
        <f aca="false">T249+INDEX(Data_Prices!T:T,MATCH($G259,Data_Prices!$A:$A,0))*T$279</f>
        <v>14.0156816660228</v>
      </c>
      <c r="U259" s="22" t="n">
        <f aca="false">U249+INDEX(Data_Prices!U:U,MATCH($G259,Data_Prices!$A:$A,0))*U$279</f>
        <v>15.1943977655571</v>
      </c>
      <c r="V259" s="22" t="n">
        <f aca="false">V249+INDEX(Data_Prices!V:V,MATCH($G259,Data_Prices!$A:$A,0))*V$279</f>
        <v>16.4443977655571</v>
      </c>
      <c r="W259" s="22" t="n">
        <f aca="false">W249+INDEX(Data_Prices!W:W,MATCH($G259,Data_Prices!$A:$A,0))*W$279</f>
        <v>17.6943977655571</v>
      </c>
      <c r="X259" s="22" t="n">
        <f aca="false">X249+INDEX(Data_Prices!X:X,MATCH($G259,Data_Prices!$A:$A,0))*X$279</f>
        <v>18.9443977655571</v>
      </c>
      <c r="Y259" s="22" t="n">
        <f aca="false">Y249+INDEX(Data_Prices!Y:Y,MATCH($G259,Data_Prices!$A:$A,0))*Y$279</f>
        <v>20.1943977655571</v>
      </c>
      <c r="Z259" s="22" t="n">
        <f aca="false">Z249+INDEX(Data_Prices!Z:Z,MATCH($G259,Data_Prices!$A:$A,0))*Z$279</f>
        <v>21.4443977655571</v>
      </c>
      <c r="AA259" s="22" t="n">
        <f aca="false">AA249+INDEX(Data_Prices!AA:AA,MATCH($G259,Data_Prices!$A:$A,0))*AA$279</f>
        <v>22.6943977655571</v>
      </c>
      <c r="AB259" s="22" t="n">
        <f aca="false">AB249+INDEX(Data_Prices!AB:AB,MATCH($G259,Data_Prices!$A:$A,0))*AB$279</f>
        <v>23.9443977655571</v>
      </c>
      <c r="AC259" s="22" t="n">
        <f aca="false">AC249+INDEX(Data_Prices!AC:AC,MATCH($G259,Data_Prices!$A:$A,0))*AC$279</f>
        <v>25.1943977655571</v>
      </c>
      <c r="AD259" s="22" t="n">
        <f aca="false">AD249+INDEX(Data_Prices!AD:AD,MATCH($G259,Data_Prices!$A:$A,0))*AD$279</f>
        <v>26.4443977655571</v>
      </c>
      <c r="AE259" s="22" t="n">
        <f aca="false">AE249+INDEX(Data_Prices!AE:AE,MATCH($G259,Data_Prices!$A:$A,0))*AE$279</f>
        <v>27.6943977655571</v>
      </c>
    </row>
    <row r="260" customFormat="false" ht="15" hidden="false" customHeight="false" outlineLevel="0" collapsed="false">
      <c r="B260" s="17" t="s">
        <v>57</v>
      </c>
      <c r="C260" s="17" t="str">
        <f aca="false">$C$247</f>
        <v>irn</v>
      </c>
      <c r="D260" s="18" t="s">
        <v>58</v>
      </c>
      <c r="E260" s="19" t="s">
        <v>55</v>
      </c>
      <c r="F260" s="17" t="s">
        <v>77</v>
      </c>
      <c r="G260" s="20" t="str">
        <f aca="false">Settings!$B$3&amp;".mit.nce."&amp;Settings!$B$4&amp;"."&amp;$B260&amp;".a."&amp;$J$247</f>
        <v>egy.mit.nce.ind.nga.a.2</v>
      </c>
      <c r="H260" s="21" t="str">
        <f aca="false">Settings!$B$3&amp;".mit.atp."&amp;$C$247&amp;"."&amp;$B260&amp;".e."&amp;$J$247</f>
        <v>egy.mit.atp.irn.nga.e.2</v>
      </c>
      <c r="K260" s="22" t="n">
        <f aca="false">K250+INDEX(Data_Prices!K:K,MATCH($G260,Data_Prices!$A:$A,0))*K$279</f>
        <v>6.06346361567291</v>
      </c>
      <c r="L260" s="22" t="n">
        <f aca="false">L250+INDEX(Data_Prices!L:L,MATCH($G260,Data_Prices!$A:$A,0))*L$279</f>
        <v>5.45101508161919</v>
      </c>
      <c r="M260" s="22" t="n">
        <f aca="false">M250+INDEX(Data_Prices!M:M,MATCH($G260,Data_Prices!$A:$A,0))*M$279</f>
        <v>5.11935630626248</v>
      </c>
      <c r="N260" s="22" t="n">
        <f aca="false">N250+INDEX(Data_Prices!N:N,MATCH($G260,Data_Prices!$A:$A,0))*N$279</f>
        <v>5.08218458640407</v>
      </c>
      <c r="O260" s="22" t="n">
        <f aca="false">O250+INDEX(Data_Prices!O:O,MATCH($G260,Data_Prices!$A:$A,0))*O$279</f>
        <v>5.08218458640407</v>
      </c>
      <c r="P260" s="22" t="n">
        <f aca="false">P250+INDEX(Data_Prices!P:P,MATCH($G260,Data_Prices!$A:$A,0))*P$279</f>
        <v>5.08218458640407</v>
      </c>
      <c r="Q260" s="22" t="n">
        <f aca="false">Q250+INDEX(Data_Prices!Q:Q,MATCH($G260,Data_Prices!$A:$A,0))*Q$279</f>
        <v>5.77968458640407</v>
      </c>
      <c r="R260" s="22" t="n">
        <f aca="false">R250+INDEX(Data_Prices!R:R,MATCH($G260,Data_Prices!$A:$A,0))*R$279</f>
        <v>6.47718458640407</v>
      </c>
      <c r="S260" s="22" t="n">
        <f aca="false">S250+INDEX(Data_Prices!S:S,MATCH($G260,Data_Prices!$A:$A,0))*S$279</f>
        <v>7.17468458640407</v>
      </c>
      <c r="T260" s="22" t="n">
        <f aca="false">T250+INDEX(Data_Prices!T:T,MATCH($G260,Data_Prices!$A:$A,0))*T$279</f>
        <v>7.87218458640407</v>
      </c>
      <c r="U260" s="22" t="n">
        <f aca="false">U250+INDEX(Data_Prices!U:U,MATCH($G260,Data_Prices!$A:$A,0))*U$279</f>
        <v>8.56968458640407</v>
      </c>
      <c r="V260" s="22" t="n">
        <f aca="false">V250+INDEX(Data_Prices!V:V,MATCH($G260,Data_Prices!$A:$A,0))*V$279</f>
        <v>9.26718458640407</v>
      </c>
      <c r="W260" s="22" t="n">
        <f aca="false">W250+INDEX(Data_Prices!W:W,MATCH($G260,Data_Prices!$A:$A,0))*W$279</f>
        <v>9.96468458640407</v>
      </c>
      <c r="X260" s="22" t="n">
        <f aca="false">X250+INDEX(Data_Prices!X:X,MATCH($G260,Data_Prices!$A:$A,0))*X$279</f>
        <v>10.6621845864041</v>
      </c>
      <c r="Y260" s="22" t="n">
        <f aca="false">Y250+INDEX(Data_Prices!Y:Y,MATCH($G260,Data_Prices!$A:$A,0))*Y$279</f>
        <v>11.3596845864041</v>
      </c>
      <c r="Z260" s="22" t="n">
        <f aca="false">Z250+INDEX(Data_Prices!Z:Z,MATCH($G260,Data_Prices!$A:$A,0))*Z$279</f>
        <v>12.0571845864041</v>
      </c>
      <c r="AA260" s="22" t="n">
        <f aca="false">AA250+INDEX(Data_Prices!AA:AA,MATCH($G260,Data_Prices!$A:$A,0))*AA$279</f>
        <v>12.7546845864041</v>
      </c>
      <c r="AB260" s="22" t="n">
        <f aca="false">AB250+INDEX(Data_Prices!AB:AB,MATCH($G260,Data_Prices!$A:$A,0))*AB$279</f>
        <v>13.4521845864041</v>
      </c>
      <c r="AC260" s="22" t="n">
        <f aca="false">AC250+INDEX(Data_Prices!AC:AC,MATCH($G260,Data_Prices!$A:$A,0))*AC$279</f>
        <v>14.1496845864041</v>
      </c>
      <c r="AD260" s="22" t="n">
        <f aca="false">AD250+INDEX(Data_Prices!AD:AD,MATCH($G260,Data_Prices!$A:$A,0))*AD$279</f>
        <v>14.8471845864041</v>
      </c>
      <c r="AE260" s="22" t="n">
        <f aca="false">AE250+INDEX(Data_Prices!AE:AE,MATCH($G260,Data_Prices!$A:$A,0))*AE$279</f>
        <v>15.5446845864041</v>
      </c>
    </row>
    <row r="261" customFormat="false" ht="15" hidden="false" customHeight="false" outlineLevel="0" collapsed="false">
      <c r="B261" s="17" t="s">
        <v>59</v>
      </c>
      <c r="C261" s="17" t="str">
        <f aca="false">$C$247</f>
        <v>irn</v>
      </c>
      <c r="D261" s="18" t="s">
        <v>60</v>
      </c>
      <c r="E261" s="19" t="s">
        <v>61</v>
      </c>
      <c r="F261" s="17" t="s">
        <v>77</v>
      </c>
      <c r="G261" s="20" t="str">
        <f aca="false">Settings!$B$3&amp;".mit.nce."&amp;Settings!$B$4&amp;"."&amp;$B261&amp;".a."&amp;$J$247</f>
        <v>egy.mit.nce.ind.gso.a.2</v>
      </c>
      <c r="H261" s="21" t="str">
        <f aca="false">Settings!$B$3&amp;".mit.atp."&amp;$C$247&amp;"."&amp;$B261&amp;".e."&amp;$J$247</f>
        <v>egy.mit.atp.irn.gso.e.2</v>
      </c>
      <c r="K261" s="22" t="n">
        <f aca="false">K251+INDEX(Data_Prices!K:K,MATCH($G261,Data_Prices!$A:$A,0))*K$279</f>
        <v>0.671146533321816</v>
      </c>
      <c r="L261" s="22" t="n">
        <f aca="false">L251+INDEX(Data_Prices!L:L,MATCH($G261,Data_Prices!$A:$A,0))*L$279</f>
        <v>0.611977976791406</v>
      </c>
      <c r="M261" s="22" t="n">
        <f aca="false">M251+INDEX(Data_Prices!M:M,MATCH($G261,Data_Prices!$A:$A,0))*M$279</f>
        <v>0.611809749641876</v>
      </c>
      <c r="N261" s="22" t="n">
        <f aca="false">N251+INDEX(Data_Prices!N:N,MATCH($G261,Data_Prices!$A:$A,0))*N$279</f>
        <v>0.603583100177906</v>
      </c>
      <c r="O261" s="22" t="n">
        <f aca="false">O251+INDEX(Data_Prices!O:O,MATCH($G261,Data_Prices!$A:$A,0))*O$279</f>
        <v>0.603583100177906</v>
      </c>
      <c r="P261" s="22" t="n">
        <f aca="false">P251+INDEX(Data_Prices!P:P,MATCH($G261,Data_Prices!$A:$A,0))*P$279</f>
        <v>0.603583100177906</v>
      </c>
      <c r="Q261" s="22" t="n">
        <f aca="false">Q251+INDEX(Data_Prices!Q:Q,MATCH($G261,Data_Prices!$A:$A,0))*Q$279</f>
        <v>0.632510943349406</v>
      </c>
      <c r="R261" s="22" t="n">
        <f aca="false">R251+INDEX(Data_Prices!R:R,MATCH($G261,Data_Prices!$A:$A,0))*R$279</f>
        <v>0.661438786520906</v>
      </c>
      <c r="S261" s="22" t="n">
        <f aca="false">S251+INDEX(Data_Prices!S:S,MATCH($G261,Data_Prices!$A:$A,0))*S$279</f>
        <v>0.690366629692406</v>
      </c>
      <c r="T261" s="22" t="n">
        <f aca="false">T251+INDEX(Data_Prices!T:T,MATCH($G261,Data_Prices!$A:$A,0))*T$279</f>
        <v>0.719294472863906</v>
      </c>
      <c r="U261" s="22" t="n">
        <f aca="false">U251+INDEX(Data_Prices!U:U,MATCH($G261,Data_Prices!$A:$A,0))*U$279</f>
        <v>0.748222316035406</v>
      </c>
      <c r="V261" s="22" t="n">
        <f aca="false">V251+INDEX(Data_Prices!V:V,MATCH($G261,Data_Prices!$A:$A,0))*V$279</f>
        <v>0.777150159206905</v>
      </c>
      <c r="W261" s="22" t="n">
        <f aca="false">W251+INDEX(Data_Prices!W:W,MATCH($G261,Data_Prices!$A:$A,0))*W$279</f>
        <v>0.806078002378406</v>
      </c>
      <c r="X261" s="22" t="n">
        <f aca="false">X251+INDEX(Data_Prices!X:X,MATCH($G261,Data_Prices!$A:$A,0))*X$279</f>
        <v>0.835005845549906</v>
      </c>
      <c r="Y261" s="22" t="n">
        <f aca="false">Y251+INDEX(Data_Prices!Y:Y,MATCH($G261,Data_Prices!$A:$A,0))*Y$279</f>
        <v>0.863933688721406</v>
      </c>
      <c r="Z261" s="22" t="n">
        <f aca="false">Z251+INDEX(Data_Prices!Z:Z,MATCH($G261,Data_Prices!$A:$A,0))*Z$279</f>
        <v>0.892861531892906</v>
      </c>
      <c r="AA261" s="22" t="n">
        <f aca="false">AA251+INDEX(Data_Prices!AA:AA,MATCH($G261,Data_Prices!$A:$A,0))*AA$279</f>
        <v>0.921789375064406</v>
      </c>
      <c r="AB261" s="22" t="n">
        <f aca="false">AB251+INDEX(Data_Prices!AB:AB,MATCH($G261,Data_Prices!$A:$A,0))*AB$279</f>
        <v>0.950717218235906</v>
      </c>
      <c r="AC261" s="22" t="n">
        <f aca="false">AC251+INDEX(Data_Prices!AC:AC,MATCH($G261,Data_Prices!$A:$A,0))*AC$279</f>
        <v>0.979645061407406</v>
      </c>
      <c r="AD261" s="22" t="n">
        <f aca="false">AD251+INDEX(Data_Prices!AD:AD,MATCH($G261,Data_Prices!$A:$A,0))*AD$279</f>
        <v>1.00857290457891</v>
      </c>
      <c r="AE261" s="22" t="n">
        <f aca="false">AE251+INDEX(Data_Prices!AE:AE,MATCH($G261,Data_Prices!$A:$A,0))*AE$279</f>
        <v>1.03750074775041</v>
      </c>
    </row>
    <row r="262" customFormat="false" ht="15" hidden="false" customHeight="false" outlineLevel="0" collapsed="false">
      <c r="B262" s="17" t="s">
        <v>62</v>
      </c>
      <c r="C262" s="17" t="str">
        <f aca="false">$C$247</f>
        <v>irn</v>
      </c>
      <c r="D262" s="18" t="s">
        <v>63</v>
      </c>
      <c r="E262" s="19" t="s">
        <v>61</v>
      </c>
      <c r="F262" s="17" t="s">
        <v>77</v>
      </c>
      <c r="G262" s="20" t="str">
        <f aca="false">Settings!$B$3&amp;".mit.nce."&amp;Settings!$B$4&amp;"."&amp;$B262&amp;".a."&amp;$J$247</f>
        <v>egy.mit.nce.ind.die.a.2</v>
      </c>
      <c r="H262" s="21" t="str">
        <f aca="false">Settings!$B$3&amp;".mit.atp."&amp;$C$247&amp;"."&amp;$B262&amp;".e."&amp;$J$247</f>
        <v>egy.mit.atp.irn.die.e.2</v>
      </c>
      <c r="K262" s="22" t="n">
        <f aca="false">K252+INDEX(Data_Prices!K:K,MATCH($G262,Data_Prices!$A:$A,0))*K$279</f>
        <v>0.559711213155688</v>
      </c>
      <c r="L262" s="22" t="n">
        <f aca="false">L252+INDEX(Data_Prices!L:L,MATCH($G262,Data_Prices!$A:$A,0))*L$279</f>
        <v>0.494588730841068</v>
      </c>
      <c r="M262" s="22" t="n">
        <f aca="false">M252+INDEX(Data_Prices!M:M,MATCH($G262,Data_Prices!$A:$A,0))*M$279</f>
        <v>0.507786547202501</v>
      </c>
      <c r="N262" s="22" t="n">
        <f aca="false">N252+INDEX(Data_Prices!N:N,MATCH($G262,Data_Prices!$A:$A,0))*N$279</f>
        <v>0.470436426795617</v>
      </c>
      <c r="O262" s="22" t="n">
        <f aca="false">O252+INDEX(Data_Prices!O:O,MATCH($G262,Data_Prices!$A:$A,0))*O$279</f>
        <v>0.470436426795617</v>
      </c>
      <c r="P262" s="22" t="n">
        <f aca="false">P252+INDEX(Data_Prices!P:P,MATCH($G262,Data_Prices!$A:$A,0))*P$279</f>
        <v>0.470436426795617</v>
      </c>
      <c r="Q262" s="22" t="n">
        <f aca="false">Q252+INDEX(Data_Prices!Q:Q,MATCH($G262,Data_Prices!$A:$A,0))*Q$279</f>
        <v>0.503446865654492</v>
      </c>
      <c r="R262" s="22" t="n">
        <f aca="false">R252+INDEX(Data_Prices!R:R,MATCH($G262,Data_Prices!$A:$A,0))*R$279</f>
        <v>0.536457304513367</v>
      </c>
      <c r="S262" s="22" t="n">
        <f aca="false">S252+INDEX(Data_Prices!S:S,MATCH($G262,Data_Prices!$A:$A,0))*S$279</f>
        <v>0.569467743372243</v>
      </c>
      <c r="T262" s="22" t="n">
        <f aca="false">T252+INDEX(Data_Prices!T:T,MATCH($G262,Data_Prices!$A:$A,0))*T$279</f>
        <v>0.602478182231117</v>
      </c>
      <c r="U262" s="22" t="n">
        <f aca="false">U252+INDEX(Data_Prices!U:U,MATCH($G262,Data_Prices!$A:$A,0))*U$279</f>
        <v>0.635488621089992</v>
      </c>
      <c r="V262" s="22" t="n">
        <f aca="false">V252+INDEX(Data_Prices!V:V,MATCH($G262,Data_Prices!$A:$A,0))*V$279</f>
        <v>0.668499059948867</v>
      </c>
      <c r="W262" s="22" t="n">
        <f aca="false">W252+INDEX(Data_Prices!W:W,MATCH($G262,Data_Prices!$A:$A,0))*W$279</f>
        <v>0.701509498807742</v>
      </c>
      <c r="X262" s="22" t="n">
        <f aca="false">X252+INDEX(Data_Prices!X:X,MATCH($G262,Data_Prices!$A:$A,0))*X$279</f>
        <v>0.734519937666617</v>
      </c>
      <c r="Y262" s="22" t="n">
        <f aca="false">Y252+INDEX(Data_Prices!Y:Y,MATCH($G262,Data_Prices!$A:$A,0))*Y$279</f>
        <v>0.767530376525492</v>
      </c>
      <c r="Z262" s="22" t="n">
        <f aca="false">Z252+INDEX(Data_Prices!Z:Z,MATCH($G262,Data_Prices!$A:$A,0))*Z$279</f>
        <v>0.800540815384367</v>
      </c>
      <c r="AA262" s="22" t="n">
        <f aca="false">AA252+INDEX(Data_Prices!AA:AA,MATCH($G262,Data_Prices!$A:$A,0))*AA$279</f>
        <v>0.833551254243242</v>
      </c>
      <c r="AB262" s="22" t="n">
        <f aca="false">AB252+INDEX(Data_Prices!AB:AB,MATCH($G262,Data_Prices!$A:$A,0))*AB$279</f>
        <v>0.866561693102117</v>
      </c>
      <c r="AC262" s="22" t="n">
        <f aca="false">AC252+INDEX(Data_Prices!AC:AC,MATCH($G262,Data_Prices!$A:$A,0))*AC$279</f>
        <v>0.899572131960992</v>
      </c>
      <c r="AD262" s="22" t="n">
        <f aca="false">AD252+INDEX(Data_Prices!AD:AD,MATCH($G262,Data_Prices!$A:$A,0))*AD$279</f>
        <v>0.932582570819867</v>
      </c>
      <c r="AE262" s="22" t="n">
        <f aca="false">AE252+INDEX(Data_Prices!AE:AE,MATCH($G262,Data_Prices!$A:$A,0))*AE$279</f>
        <v>0.965593009678742</v>
      </c>
    </row>
    <row r="263" customFormat="false" ht="15" hidden="false" customHeight="false" outlineLevel="0" collapsed="false">
      <c r="B263" s="17" t="s">
        <v>64</v>
      </c>
      <c r="C263" s="17" t="str">
        <f aca="false">$C$247</f>
        <v>irn</v>
      </c>
      <c r="D263" s="18" t="s">
        <v>65</v>
      </c>
      <c r="E263" s="19" t="s">
        <v>61</v>
      </c>
      <c r="F263" s="17" t="s">
        <v>77</v>
      </c>
      <c r="G263" s="20" t="str">
        <f aca="false">Settings!$B$3&amp;".mit.nce."&amp;Settings!$B$4&amp;"."&amp;$B263&amp;".a."&amp;$J$247</f>
        <v>egy.mit.nce.ind.lpg.a.2</v>
      </c>
      <c r="H263" s="21" t="str">
        <f aca="false">Settings!$B$3&amp;".mit.atp."&amp;$C$247&amp;"."&amp;$B263&amp;".e."&amp;$J$247</f>
        <v>egy.mit.atp.irn.lpg.e.2</v>
      </c>
      <c r="K263" s="22" t="n">
        <f aca="false">K253+INDEX(Data_Prices!K:K,MATCH($G263,Data_Prices!$A:$A,0))*K$279</f>
        <v>0.200366691126738</v>
      </c>
      <c r="L263" s="22" t="n">
        <f aca="false">L253+INDEX(Data_Prices!L:L,MATCH($G263,Data_Prices!$A:$A,0))*L$279</f>
        <v>0.157344736252274</v>
      </c>
      <c r="M263" s="22" t="n">
        <f aca="false">M253+INDEX(Data_Prices!M:M,MATCH($G263,Data_Prices!$A:$A,0))*M$279</f>
        <v>0.164484037759277</v>
      </c>
      <c r="N263" s="22" t="n">
        <f aca="false">N253+INDEX(Data_Prices!N:N,MATCH($G263,Data_Prices!$A:$A,0))*N$279</f>
        <v>0.150709077807049</v>
      </c>
      <c r="O263" s="22" t="n">
        <f aca="false">O253+INDEX(Data_Prices!O:O,MATCH($G263,Data_Prices!$A:$A,0))*O$279</f>
        <v>0.150709077807049</v>
      </c>
      <c r="P263" s="22" t="n">
        <f aca="false">P253+INDEX(Data_Prices!P:P,MATCH($G263,Data_Prices!$A:$A,0))*P$279</f>
        <v>0.150709077807049</v>
      </c>
      <c r="Q263" s="22" t="n">
        <f aca="false">Q253+INDEX(Data_Prices!Q:Q,MATCH($G263,Data_Prices!$A:$A,0))*Q$279</f>
        <v>0.172815160734345</v>
      </c>
      <c r="R263" s="22" t="n">
        <f aca="false">R253+INDEX(Data_Prices!R:R,MATCH($G263,Data_Prices!$A:$A,0))*R$279</f>
        <v>0.19492124366164</v>
      </c>
      <c r="S263" s="22" t="n">
        <f aca="false">S253+INDEX(Data_Prices!S:S,MATCH($G263,Data_Prices!$A:$A,0))*S$279</f>
        <v>0.217027326588936</v>
      </c>
      <c r="T263" s="22" t="n">
        <f aca="false">T253+INDEX(Data_Prices!T:T,MATCH($G263,Data_Prices!$A:$A,0))*T$279</f>
        <v>0.239133409516232</v>
      </c>
      <c r="U263" s="22" t="n">
        <f aca="false">U253+INDEX(Data_Prices!U:U,MATCH($G263,Data_Prices!$A:$A,0))*U$279</f>
        <v>0.261239492443527</v>
      </c>
      <c r="V263" s="22" t="n">
        <f aca="false">V253+INDEX(Data_Prices!V:V,MATCH($G263,Data_Prices!$A:$A,0))*V$279</f>
        <v>0.283345575370823</v>
      </c>
      <c r="W263" s="22" t="n">
        <f aca="false">W253+INDEX(Data_Prices!W:W,MATCH($G263,Data_Prices!$A:$A,0))*W$279</f>
        <v>0.305451658298119</v>
      </c>
      <c r="X263" s="22" t="n">
        <f aca="false">X253+INDEX(Data_Prices!X:X,MATCH($G263,Data_Prices!$A:$A,0))*X$279</f>
        <v>0.327557741225415</v>
      </c>
      <c r="Y263" s="22" t="n">
        <f aca="false">Y253+INDEX(Data_Prices!Y:Y,MATCH($G263,Data_Prices!$A:$A,0))*Y$279</f>
        <v>0.34966382415271</v>
      </c>
      <c r="Z263" s="22" t="n">
        <f aca="false">Z253+INDEX(Data_Prices!Z:Z,MATCH($G263,Data_Prices!$A:$A,0))*Z$279</f>
        <v>0.371769907080006</v>
      </c>
      <c r="AA263" s="22" t="n">
        <f aca="false">AA253+INDEX(Data_Prices!AA:AA,MATCH($G263,Data_Prices!$A:$A,0))*AA$279</f>
        <v>0.393875990007302</v>
      </c>
      <c r="AB263" s="22" t="n">
        <f aca="false">AB253+INDEX(Data_Prices!AB:AB,MATCH($G263,Data_Prices!$A:$A,0))*AB$279</f>
        <v>0.415982072934597</v>
      </c>
      <c r="AC263" s="22" t="n">
        <f aca="false">AC253+INDEX(Data_Prices!AC:AC,MATCH($G263,Data_Prices!$A:$A,0))*AC$279</f>
        <v>0.438088155861893</v>
      </c>
      <c r="AD263" s="22" t="n">
        <f aca="false">AD253+INDEX(Data_Prices!AD:AD,MATCH($G263,Data_Prices!$A:$A,0))*AD$279</f>
        <v>0.460194238789189</v>
      </c>
      <c r="AE263" s="22" t="n">
        <f aca="false">AE253+INDEX(Data_Prices!AE:AE,MATCH($G263,Data_Prices!$A:$A,0))*AE$279</f>
        <v>0.482300321716484</v>
      </c>
    </row>
    <row r="264" customFormat="false" ht="15" hidden="false" customHeight="false" outlineLevel="0" collapsed="false">
      <c r="B264" s="17" t="s">
        <v>66</v>
      </c>
      <c r="C264" s="17" t="str">
        <f aca="false">$C$247</f>
        <v>irn</v>
      </c>
      <c r="D264" s="18" t="s">
        <v>67</v>
      </c>
      <c r="E264" s="19" t="s">
        <v>61</v>
      </c>
      <c r="F264" s="17" t="s">
        <v>77</v>
      </c>
      <c r="G264" s="20" t="str">
        <f aca="false">Settings!$B$3&amp;".mit.nce."&amp;Settings!$B$4&amp;"."&amp;$B264&amp;".a."&amp;$J$247</f>
        <v>egy.mit.nce.ind.ker.a.2</v>
      </c>
      <c r="H264" s="21" t="str">
        <f aca="false">Settings!$B$3&amp;".mit.atp."&amp;$C$247&amp;"."&amp;$B264&amp;".e."&amp;$J$247</f>
        <v>egy.mit.atp.irn.ker.e.2</v>
      </c>
      <c r="K264" s="22" t="n">
        <f aca="false">K254+INDEX(Data_Prices!K:K,MATCH($G264,Data_Prices!$A:$A,0))*K$279</f>
        <v>0.484294240973435</v>
      </c>
      <c r="L264" s="22" t="n">
        <f aca="false">L254+INDEX(Data_Prices!L:L,MATCH($G264,Data_Prices!$A:$A,0))*L$279</f>
        <v>0.456428170500128</v>
      </c>
      <c r="M264" s="22" t="n">
        <f aca="false">M254+INDEX(Data_Prices!M:M,MATCH($G264,Data_Prices!$A:$A,0))*M$279</f>
        <v>0.431689201955995</v>
      </c>
      <c r="N264" s="22" t="n">
        <f aca="false">N254+INDEX(Data_Prices!N:N,MATCH($G264,Data_Prices!$A:$A,0))*N$279</f>
        <v>0.42507558395597</v>
      </c>
      <c r="O264" s="22" t="n">
        <f aca="false">O254+INDEX(Data_Prices!O:O,MATCH($G264,Data_Prices!$A:$A,0))*O$279</f>
        <v>0.42507558395597</v>
      </c>
      <c r="P264" s="22" t="n">
        <f aca="false">P254+INDEX(Data_Prices!P:P,MATCH($G264,Data_Prices!$A:$A,0))*P$279</f>
        <v>0.42507558395597</v>
      </c>
      <c r="Q264" s="22" t="n">
        <f aca="false">Q254+INDEX(Data_Prices!Q:Q,MATCH($G264,Data_Prices!$A:$A,0))*Q$279</f>
        <v>0.457064414066078</v>
      </c>
      <c r="R264" s="22" t="n">
        <f aca="false">R254+INDEX(Data_Prices!R:R,MATCH($G264,Data_Prices!$A:$A,0))*R$279</f>
        <v>0.489053244176187</v>
      </c>
      <c r="S264" s="22" t="n">
        <f aca="false">S254+INDEX(Data_Prices!S:S,MATCH($G264,Data_Prices!$A:$A,0))*S$279</f>
        <v>0.521042074286296</v>
      </c>
      <c r="T264" s="22" t="n">
        <f aca="false">T254+INDEX(Data_Prices!T:T,MATCH($G264,Data_Prices!$A:$A,0))*T$279</f>
        <v>0.553030904396404</v>
      </c>
      <c r="U264" s="22" t="n">
        <f aca="false">U254+INDEX(Data_Prices!U:U,MATCH($G264,Data_Prices!$A:$A,0))*U$279</f>
        <v>0.585019734506513</v>
      </c>
      <c r="V264" s="22" t="n">
        <f aca="false">V254+INDEX(Data_Prices!V:V,MATCH($G264,Data_Prices!$A:$A,0))*V$279</f>
        <v>0.617008564616621</v>
      </c>
      <c r="W264" s="22" t="n">
        <f aca="false">W254+INDEX(Data_Prices!W:W,MATCH($G264,Data_Prices!$A:$A,0))*W$279</f>
        <v>0.648997394726729</v>
      </c>
      <c r="X264" s="22" t="n">
        <f aca="false">X254+INDEX(Data_Prices!X:X,MATCH($G264,Data_Prices!$A:$A,0))*X$279</f>
        <v>0.680986224836838</v>
      </c>
      <c r="Y264" s="22" t="n">
        <f aca="false">Y254+INDEX(Data_Prices!Y:Y,MATCH($G264,Data_Prices!$A:$A,0))*Y$279</f>
        <v>0.712975054946947</v>
      </c>
      <c r="Z264" s="22" t="n">
        <f aca="false">Z254+INDEX(Data_Prices!Z:Z,MATCH($G264,Data_Prices!$A:$A,0))*Z$279</f>
        <v>0.744963885057055</v>
      </c>
      <c r="AA264" s="22" t="n">
        <f aca="false">AA254+INDEX(Data_Prices!AA:AA,MATCH($G264,Data_Prices!$A:$A,0))*AA$279</f>
        <v>0.776952715167163</v>
      </c>
      <c r="AB264" s="22" t="n">
        <f aca="false">AB254+INDEX(Data_Prices!AB:AB,MATCH($G264,Data_Prices!$A:$A,0))*AB$279</f>
        <v>0.808941545277272</v>
      </c>
      <c r="AC264" s="22" t="n">
        <f aca="false">AC254+INDEX(Data_Prices!AC:AC,MATCH($G264,Data_Prices!$A:$A,0))*AC$279</f>
        <v>0.84093037538738</v>
      </c>
      <c r="AD264" s="22" t="n">
        <f aca="false">AD254+INDEX(Data_Prices!AD:AD,MATCH($G264,Data_Prices!$A:$A,0))*AD$279</f>
        <v>0.872919205497489</v>
      </c>
      <c r="AE264" s="22" t="n">
        <f aca="false">AE254+INDEX(Data_Prices!AE:AE,MATCH($G264,Data_Prices!$A:$A,0))*AE$279</f>
        <v>0.904908035607597</v>
      </c>
    </row>
    <row r="265" customFormat="false" ht="15" hidden="false" customHeight="false" outlineLevel="0" collapsed="false">
      <c r="B265" s="17" t="s">
        <v>68</v>
      </c>
      <c r="C265" s="17" t="str">
        <f aca="false">$C$247</f>
        <v>irn</v>
      </c>
      <c r="D265" s="18" t="s">
        <v>69</v>
      </c>
      <c r="E265" s="19" t="s">
        <v>70</v>
      </c>
      <c r="F265" s="17" t="s">
        <v>77</v>
      </c>
      <c r="G265" s="20" t="str">
        <f aca="false">Settings!$B$3&amp;".mit.nce."&amp;Settings!$B$4&amp;"."&amp;$B265&amp;".a."&amp;$J$247</f>
        <v>egy.mit.nce.ind.oop.a.2</v>
      </c>
      <c r="H265" s="21" t="str">
        <f aca="false">Settings!$B$3&amp;".mit.atp."&amp;$C$247&amp;"."&amp;$B265&amp;".e."&amp;$J$247</f>
        <v>egy.mit.atp.irn.oop.e.2</v>
      </c>
      <c r="K265" s="22" t="n">
        <f aca="false">K255+INDEX(Data_Prices!K:K,MATCH($G265,Data_Prices!$A:$A,0))*K$279</f>
        <v>41.5003384988684</v>
      </c>
      <c r="L265" s="22" t="n">
        <f aca="false">L255+INDEX(Data_Prices!L:L,MATCH($G265,Data_Prices!$A:$A,0))*L$279</f>
        <v>34.4153703043132</v>
      </c>
      <c r="M265" s="22" t="n">
        <f aca="false">M255+INDEX(Data_Prices!M:M,MATCH($G265,Data_Prices!$A:$A,0))*M$279</f>
        <v>37.368960690432</v>
      </c>
      <c r="N265" s="22" t="n">
        <f aca="false">N255+INDEX(Data_Prices!N:N,MATCH($G265,Data_Prices!$A:$A,0))*N$279</f>
        <v>28.9827611014773</v>
      </c>
      <c r="O265" s="22" t="n">
        <f aca="false">O255+INDEX(Data_Prices!O:O,MATCH($G265,Data_Prices!$A:$A,0))*O$279</f>
        <v>15</v>
      </c>
      <c r="P265" s="22" t="n">
        <f aca="false">P255+INDEX(Data_Prices!P:P,MATCH($G265,Data_Prices!$A:$A,0))*P$279</f>
        <v>24.2586300842555</v>
      </c>
      <c r="Q265" s="22" t="n">
        <f aca="false">Q255+INDEX(Data_Prices!Q:Q,MATCH($G265,Data_Prices!$A:$A,0))*Q$279</f>
        <v>18.9637581961325</v>
      </c>
      <c r="R265" s="22" t="n">
        <f aca="false">R255+INDEX(Data_Prices!R:R,MATCH($G265,Data_Prices!$A:$A,0))*R$279</f>
        <v>21.7603451140106</v>
      </c>
      <c r="S265" s="22" t="n">
        <f aca="false">S255+INDEX(Data_Prices!S:S,MATCH($G265,Data_Prices!$A:$A,0))*S$279</f>
        <v>26.0798806913736</v>
      </c>
      <c r="T265" s="22" t="n">
        <f aca="false">T255+INDEX(Data_Prices!T:T,MATCH($G265,Data_Prices!$A:$A,0))*T$279</f>
        <v>30.5936824452092</v>
      </c>
      <c r="U265" s="22" t="n">
        <f aca="false">U255+INDEX(Data_Prices!U:U,MATCH($G265,Data_Prices!$A:$A,0))*U$279</f>
        <v>34.9905097394101</v>
      </c>
      <c r="V265" s="22" t="n">
        <f aca="false">V255+INDEX(Data_Prices!V:V,MATCH($G265,Data_Prices!$A:$A,0))*V$279</f>
        <v>40.8580597394101</v>
      </c>
      <c r="W265" s="22" t="n">
        <f aca="false">W255+INDEX(Data_Prices!W:W,MATCH($G265,Data_Prices!$A:$A,0))*W$279</f>
        <v>46.7256097394101</v>
      </c>
      <c r="X265" s="22" t="n">
        <f aca="false">X255+INDEX(Data_Prices!X:X,MATCH($G265,Data_Prices!$A:$A,0))*X$279</f>
        <v>52.5931597394101</v>
      </c>
      <c r="Y265" s="22" t="n">
        <f aca="false">Y255+INDEX(Data_Prices!Y:Y,MATCH($G265,Data_Prices!$A:$A,0))*Y$279</f>
        <v>58.4607097394101</v>
      </c>
      <c r="Z265" s="22" t="n">
        <f aca="false">Z255+INDEX(Data_Prices!Z:Z,MATCH($G265,Data_Prices!$A:$A,0))*Z$279</f>
        <v>64.3282597394101</v>
      </c>
      <c r="AA265" s="22" t="n">
        <f aca="false">AA255+INDEX(Data_Prices!AA:AA,MATCH($G265,Data_Prices!$A:$A,0))*AA$279</f>
        <v>70.1958097394101</v>
      </c>
      <c r="AB265" s="22" t="n">
        <f aca="false">AB255+INDEX(Data_Prices!AB:AB,MATCH($G265,Data_Prices!$A:$A,0))*AB$279</f>
        <v>76.0633597394101</v>
      </c>
      <c r="AC265" s="22" t="n">
        <f aca="false">AC255+INDEX(Data_Prices!AC:AC,MATCH($G265,Data_Prices!$A:$A,0))*AC$279</f>
        <v>81.9309097394101</v>
      </c>
      <c r="AD265" s="22" t="n">
        <f aca="false">AD255+INDEX(Data_Prices!AD:AD,MATCH($G265,Data_Prices!$A:$A,0))*AD$279</f>
        <v>87.7984597394101</v>
      </c>
      <c r="AE265" s="22" t="n">
        <f aca="false">AE255+INDEX(Data_Prices!AE:AE,MATCH($G265,Data_Prices!$A:$A,0))*AE$279</f>
        <v>93.6660097394101</v>
      </c>
    </row>
    <row r="266" customFormat="false" ht="15" hidden="false" customHeight="false" outlineLevel="0" collapsed="false">
      <c r="B266" s="17" t="s">
        <v>71</v>
      </c>
      <c r="C266" s="17" t="str">
        <f aca="false">$C$247</f>
        <v>irn</v>
      </c>
      <c r="D266" s="18" t="s">
        <v>72</v>
      </c>
      <c r="E266" s="19" t="s">
        <v>55</v>
      </c>
      <c r="F266" s="17" t="s">
        <v>77</v>
      </c>
      <c r="G266" s="20" t="str">
        <f aca="false">Settings!$B$3&amp;".mit.nce."&amp;Settings!$B$4&amp;"."&amp;$B266&amp;".a."&amp;$J$247</f>
        <v>egy.mit.nce.ind.bio.a.2</v>
      </c>
      <c r="H266" s="21" t="str">
        <f aca="false">Settings!$B$3&amp;".mit.atp."&amp;$C$247&amp;"."&amp;$B266&amp;".e."&amp;$J$247</f>
        <v>egy.mit.atp.irn.bio.e.2</v>
      </c>
      <c r="K266" s="22" t="n">
        <f aca="false">K256+INDEX(Data_Prices!K:K,MATCH($G266,Data_Prices!$A:$A,0))*K$279</f>
        <v>15.3345505293169</v>
      </c>
      <c r="L266" s="22" t="n">
        <f aca="false">L256+INDEX(Data_Prices!L:L,MATCH($G266,Data_Prices!$A:$A,0))*L$279</f>
        <v>14.1995283906349</v>
      </c>
      <c r="M266" s="22" t="n">
        <f aca="false">M256+INDEX(Data_Prices!M:M,MATCH($G266,Data_Prices!$A:$A,0))*M$279</f>
        <v>13.8404416133152</v>
      </c>
      <c r="N266" s="22" t="n">
        <f aca="false">N256+INDEX(Data_Prices!N:N,MATCH($G266,Data_Prices!$A:$A,0))*N$279</f>
        <v>13.5677269404465</v>
      </c>
      <c r="O266" s="22" t="n">
        <f aca="false">O256+INDEX(Data_Prices!O:O,MATCH($G266,Data_Prices!$A:$A,0))*O$279</f>
        <v>13.5677269404465</v>
      </c>
      <c r="P266" s="22" t="n">
        <f aca="false">P256+INDEX(Data_Prices!P:P,MATCH($G266,Data_Prices!$A:$A,0))*P$279</f>
        <v>13.5677269404465</v>
      </c>
      <c r="Q266" s="22" t="n">
        <f aca="false">Q256+INDEX(Data_Prices!Q:Q,MATCH($G266,Data_Prices!$A:$A,0))*Q$279</f>
        <v>13.5677269404465</v>
      </c>
      <c r="R266" s="22" t="n">
        <f aca="false">R256+INDEX(Data_Prices!R:R,MATCH($G266,Data_Prices!$A:$A,0))*R$279</f>
        <v>13.5677269404465</v>
      </c>
      <c r="S266" s="22" t="n">
        <f aca="false">S256+INDEX(Data_Prices!S:S,MATCH($G266,Data_Prices!$A:$A,0))*S$279</f>
        <v>13.5677269404465</v>
      </c>
      <c r="T266" s="22" t="n">
        <f aca="false">T256+INDEX(Data_Prices!T:T,MATCH($G266,Data_Prices!$A:$A,0))*T$279</f>
        <v>13.5677269404465</v>
      </c>
      <c r="U266" s="22" t="n">
        <f aca="false">U256+INDEX(Data_Prices!U:U,MATCH($G266,Data_Prices!$A:$A,0))*U$279</f>
        <v>13.5677269404465</v>
      </c>
      <c r="V266" s="22" t="n">
        <f aca="false">V256+INDEX(Data_Prices!V:V,MATCH($G266,Data_Prices!$A:$A,0))*V$279</f>
        <v>13.5677269404465</v>
      </c>
      <c r="W266" s="22" t="n">
        <f aca="false">W256+INDEX(Data_Prices!W:W,MATCH($G266,Data_Prices!$A:$A,0))*W$279</f>
        <v>13.5677269404465</v>
      </c>
      <c r="X266" s="22" t="n">
        <f aca="false">X256+INDEX(Data_Prices!X:X,MATCH($G266,Data_Prices!$A:$A,0))*X$279</f>
        <v>13.5677269404465</v>
      </c>
      <c r="Y266" s="22" t="n">
        <f aca="false">Y256+INDEX(Data_Prices!Y:Y,MATCH($G266,Data_Prices!$A:$A,0))*Y$279</f>
        <v>13.5677269404465</v>
      </c>
      <c r="Z266" s="22" t="n">
        <f aca="false">Z256+INDEX(Data_Prices!Z:Z,MATCH($G266,Data_Prices!$A:$A,0))*Z$279</f>
        <v>13.5677269404465</v>
      </c>
      <c r="AA266" s="22" t="n">
        <f aca="false">AA256+INDEX(Data_Prices!AA:AA,MATCH($G266,Data_Prices!$A:$A,0))*AA$279</f>
        <v>13.5677269404465</v>
      </c>
      <c r="AB266" s="22" t="n">
        <f aca="false">AB256+INDEX(Data_Prices!AB:AB,MATCH($G266,Data_Prices!$A:$A,0))*AB$279</f>
        <v>13.5677269404465</v>
      </c>
      <c r="AC266" s="22" t="n">
        <f aca="false">AC256+INDEX(Data_Prices!AC:AC,MATCH($G266,Data_Prices!$A:$A,0))*AC$279</f>
        <v>13.5677269404465</v>
      </c>
      <c r="AD266" s="22" t="n">
        <f aca="false">AD256+INDEX(Data_Prices!AD:AD,MATCH($G266,Data_Prices!$A:$A,0))*AD$279</f>
        <v>13.5677269404465</v>
      </c>
      <c r="AE266" s="22" t="n">
        <f aca="false">AE256+INDEX(Data_Prices!AE:AE,MATCH($G266,Data_Prices!$A:$A,0))*AE$279</f>
        <v>13.5677269404465</v>
      </c>
    </row>
    <row r="267" customFormat="false" ht="15" hidden="false" customHeight="false" outlineLevel="0" collapsed="false">
      <c r="B267" s="17" t="s">
        <v>73</v>
      </c>
      <c r="C267" s="17" t="str">
        <f aca="false">$C$247</f>
        <v>irn</v>
      </c>
      <c r="D267" s="18" t="s">
        <v>74</v>
      </c>
      <c r="E267" s="19" t="s">
        <v>75</v>
      </c>
      <c r="F267" s="17" t="s">
        <v>77</v>
      </c>
      <c r="G267" s="20" t="str">
        <f aca="false">Settings!$B$3&amp;".mit.nce."&amp;Settings!$B$4&amp;"."&amp;$B267&amp;".a."&amp;$J$247</f>
        <v>egy.mit.nce.ind.ren.a.2</v>
      </c>
      <c r="H267" s="21" t="str">
        <f aca="false">Settings!$B$3&amp;".mit.atp."&amp;$C$247&amp;"."&amp;$B267&amp;".e."&amp;$J$247</f>
        <v>egy.mit.atp.irn.ren.e.2</v>
      </c>
      <c r="K267" s="22" t="n">
        <f aca="false">K257+INDEX(Data_Prices!K:K,MATCH($G267,Data_Prices!$A:$A,0))*K$279</f>
        <v>0</v>
      </c>
      <c r="L267" s="22" t="n">
        <f aca="false">L257+INDEX(Data_Prices!L:L,MATCH($G267,Data_Prices!$A:$A,0))*L$279</f>
        <v>0.144044986793198</v>
      </c>
      <c r="M267" s="22" t="n">
        <f aca="false">M257+INDEX(Data_Prices!M:M,MATCH($G267,Data_Prices!$A:$A,0))*M$279</f>
        <v>0.141386241751359</v>
      </c>
      <c r="N267" s="22" t="n">
        <f aca="false">N257+INDEX(Data_Prices!N:N,MATCH($G267,Data_Prices!$A:$A,0))*N$279</f>
        <v>0.135397565443731</v>
      </c>
      <c r="O267" s="22" t="n">
        <f aca="false">O257+INDEX(Data_Prices!O:O,MATCH($G267,Data_Prices!$A:$A,0))*O$279</f>
        <v>0.131522885420651</v>
      </c>
      <c r="P267" s="22" t="n">
        <f aca="false">P257+INDEX(Data_Prices!P:P,MATCH($G267,Data_Prices!$A:$A,0))*P$279</f>
        <v>0.128826108485231</v>
      </c>
      <c r="Q267" s="22" t="n">
        <f aca="false">Q257+INDEX(Data_Prices!Q:Q,MATCH($G267,Data_Prices!$A:$A,0))*Q$279</f>
        <v>0.12594200976474</v>
      </c>
      <c r="R267" s="22" t="n">
        <f aca="false">R257+INDEX(Data_Prices!R:R,MATCH($G267,Data_Prices!$A:$A,0))*R$279</f>
        <v>0.123113265701861</v>
      </c>
      <c r="S267" s="22" t="n">
        <f aca="false">S257+INDEX(Data_Prices!S:S,MATCH($G267,Data_Prices!$A:$A,0))*S$279</f>
        <v>0.119391738089068</v>
      </c>
      <c r="T267" s="22" t="n">
        <f aca="false">T257+INDEX(Data_Prices!T:T,MATCH($G267,Data_Prices!$A:$A,0))*T$279</f>
        <v>0.11554419046792</v>
      </c>
      <c r="U267" s="22" t="n">
        <f aca="false">U257+INDEX(Data_Prices!U:U,MATCH($G267,Data_Prices!$A:$A,0))*U$279</f>
        <v>0.114924230654159</v>
      </c>
      <c r="V267" s="22" t="n">
        <f aca="false">V257+INDEX(Data_Prices!V:V,MATCH($G267,Data_Prices!$A:$A,0))*V$279</f>
        <v>0.114346912116736</v>
      </c>
      <c r="W267" s="22" t="n">
        <f aca="false">W257+INDEX(Data_Prices!W:W,MATCH($G267,Data_Prices!$A:$A,0))*W$279</f>
        <v>0.113738711172664</v>
      </c>
      <c r="X267" s="22" t="n">
        <f aca="false">X257+INDEX(Data_Prices!X:X,MATCH($G267,Data_Prices!$A:$A,0))*X$279</f>
        <v>0.112999900487521</v>
      </c>
      <c r="Y267" s="22" t="n">
        <f aca="false">Y257+INDEX(Data_Prices!Y:Y,MATCH($G267,Data_Prices!$A:$A,0))*Y$279</f>
        <v>0.112177685835534</v>
      </c>
      <c r="Z267" s="22" t="n">
        <f aca="false">Z257+INDEX(Data_Prices!Z:Z,MATCH($G267,Data_Prices!$A:$A,0))*Z$279</f>
        <v>0.111417903250404</v>
      </c>
      <c r="AA267" s="22" t="n">
        <f aca="false">AA257+INDEX(Data_Prices!AA:AA,MATCH($G267,Data_Prices!$A:$A,0))*AA$279</f>
        <v>0.110525819985454</v>
      </c>
      <c r="AB267" s="22" t="n">
        <f aca="false">AB257+INDEX(Data_Prices!AB:AB,MATCH($G267,Data_Prices!$A:$A,0))*AB$279</f>
        <v>0.109699565234896</v>
      </c>
      <c r="AC267" s="22" t="n">
        <f aca="false">AC257+INDEX(Data_Prices!AC:AC,MATCH($G267,Data_Prices!$A:$A,0))*AC$279</f>
        <v>0.107726788963949</v>
      </c>
      <c r="AD267" s="22" t="n">
        <f aca="false">AD257+INDEX(Data_Prices!AD:AD,MATCH($G267,Data_Prices!$A:$A,0))*AD$279</f>
        <v>0.105820924450935</v>
      </c>
      <c r="AE267" s="22" t="n">
        <f aca="false">AE257+INDEX(Data_Prices!AE:AE,MATCH($G267,Data_Prices!$A:$A,0))*AE$279</f>
        <v>0.103855595705721</v>
      </c>
    </row>
    <row r="268" customFormat="false" ht="15" hidden="false" customHeight="false" outlineLevel="0" collapsed="false">
      <c r="B268" s="16" t="s">
        <v>78</v>
      </c>
    </row>
    <row r="269" customFormat="false" ht="15" hidden="false" customHeight="false" outlineLevel="0" collapsed="false">
      <c r="B269" s="17" t="s">
        <v>53</v>
      </c>
      <c r="C269" s="17" t="str">
        <f aca="false">$C$247</f>
        <v>irn</v>
      </c>
      <c r="D269" s="18" t="s">
        <v>54</v>
      </c>
      <c r="E269" s="19" t="s">
        <v>55</v>
      </c>
      <c r="F269" s="17" t="s">
        <v>79</v>
      </c>
      <c r="G269" s="20" t="str">
        <f aca="false">Settings!$B$3&amp;".mit.shp."&amp;$B269&amp;"."&amp;Settings!$B$4&amp;"."&amp;$J$247</f>
        <v>egy.mit.shp.coa.ind.2</v>
      </c>
      <c r="H269" s="21" t="str">
        <f aca="false">Settings!$B$3&amp;".mit.shp."&amp;$C$247&amp;"."&amp;$B269&amp;".e."&amp;$J$247</f>
        <v>egy.mit.shp.irn.coa.e.2</v>
      </c>
      <c r="K269" s="23" t="n">
        <f aca="false">K259+INDEX(Data_Prices!K:K,MATCH($G269,Data_Prices!$A:$A,0))*K$280</f>
        <v>11.1829015892439</v>
      </c>
      <c r="L269" s="23" t="n">
        <f aca="false">L259+INDEX(Data_Prices!L:L,MATCH($G269,Data_Prices!$A:$A,0))*L$280</f>
        <v>10.5233613454312</v>
      </c>
      <c r="M269" s="23" t="n">
        <f aca="false">M259+INDEX(Data_Prices!M:M,MATCH($G269,Data_Prices!$A:$A,0))*M$280</f>
        <v>10.2995608274442</v>
      </c>
      <c r="N269" s="23" t="n">
        <f aca="false">N259+INDEX(Data_Prices!N:N,MATCH($G269,Data_Prices!$A:$A,0))*N$280</f>
        <v>9.57752835953826</v>
      </c>
      <c r="O269" s="23" t="n">
        <f aca="false">O259+INDEX(Data_Prices!O:O,MATCH($G269,Data_Prices!$A:$A,0))*O$280</f>
        <v>8.48547828695805</v>
      </c>
      <c r="P269" s="23" t="n">
        <f aca="false">P259+INDEX(Data_Prices!P:P,MATCH($G269,Data_Prices!$A:$A,0))*P$280</f>
        <v>9.08719223524986</v>
      </c>
      <c r="Q269" s="23" t="n">
        <f aca="false">Q259+INDEX(Data_Prices!Q:Q,MATCH($G269,Data_Prices!$A:$A,0))*Q$280</f>
        <v>10.4729237289327</v>
      </c>
      <c r="R269" s="23" t="n">
        <f aca="false">R259+INDEX(Data_Prices!R:R,MATCH($G269,Data_Prices!$A:$A,0))*R$280</f>
        <v>11.6585649555097</v>
      </c>
      <c r="S269" s="23" t="n">
        <f aca="false">S259+INDEX(Data_Prices!S:S,MATCH($G269,Data_Prices!$A:$A,0))*S$280</f>
        <v>12.8395478773974</v>
      </c>
      <c r="T269" s="23" t="n">
        <f aca="false">T259+INDEX(Data_Prices!T:T,MATCH($G269,Data_Prices!$A:$A,0))*T$280</f>
        <v>14.0156816660228</v>
      </c>
      <c r="U269" s="23" t="n">
        <f aca="false">U259+INDEX(Data_Prices!U:U,MATCH($G269,Data_Prices!$A:$A,0))*U$280</f>
        <v>15.1943977655571</v>
      </c>
      <c r="V269" s="23" t="n">
        <f aca="false">V259+INDEX(Data_Prices!V:V,MATCH($G269,Data_Prices!$A:$A,0))*V$280</f>
        <v>16.4443977655571</v>
      </c>
      <c r="W269" s="23" t="n">
        <f aca="false">W259+INDEX(Data_Prices!W:W,MATCH($G269,Data_Prices!$A:$A,0))*W$280</f>
        <v>17.6943977655571</v>
      </c>
      <c r="X269" s="23" t="n">
        <f aca="false">X259+INDEX(Data_Prices!X:X,MATCH($G269,Data_Prices!$A:$A,0))*X$280</f>
        <v>18.9443977655571</v>
      </c>
      <c r="Y269" s="23" t="n">
        <f aca="false">Y259+INDEX(Data_Prices!Y:Y,MATCH($G269,Data_Prices!$A:$A,0))*Y$280</f>
        <v>20.1943977655571</v>
      </c>
      <c r="Z269" s="23" t="n">
        <f aca="false">Z259+INDEX(Data_Prices!Z:Z,MATCH($G269,Data_Prices!$A:$A,0))*Z$280</f>
        <v>21.4443977655571</v>
      </c>
      <c r="AA269" s="23" t="n">
        <f aca="false">AA259+INDEX(Data_Prices!AA:AA,MATCH($G269,Data_Prices!$A:$A,0))*AA$280</f>
        <v>22.6943977655571</v>
      </c>
      <c r="AB269" s="23" t="n">
        <f aca="false">AB259+INDEX(Data_Prices!AB:AB,MATCH($G269,Data_Prices!$A:$A,0))*AB$280</f>
        <v>23.9443977655571</v>
      </c>
      <c r="AC269" s="23" t="n">
        <f aca="false">AC259+INDEX(Data_Prices!AC:AC,MATCH($G269,Data_Prices!$A:$A,0))*AC$280</f>
        <v>25.1943977655571</v>
      </c>
      <c r="AD269" s="23" t="n">
        <f aca="false">AD259+INDEX(Data_Prices!AD:AD,MATCH($G269,Data_Prices!$A:$A,0))*AD$280</f>
        <v>26.4443977655571</v>
      </c>
      <c r="AE269" s="23" t="n">
        <f aca="false">AE259+INDEX(Data_Prices!AE:AE,MATCH($G269,Data_Prices!$A:$A,0))*AE$280</f>
        <v>27.6943977655571</v>
      </c>
    </row>
    <row r="270" customFormat="false" ht="15" hidden="false" customHeight="false" outlineLevel="0" collapsed="false">
      <c r="B270" s="17" t="s">
        <v>57</v>
      </c>
      <c r="C270" s="17" t="str">
        <f aca="false">$C$247</f>
        <v>irn</v>
      </c>
      <c r="D270" s="18" t="s">
        <v>58</v>
      </c>
      <c r="E270" s="19" t="s">
        <v>55</v>
      </c>
      <c r="F270" s="17" t="s">
        <v>79</v>
      </c>
      <c r="G270" s="20" t="str">
        <f aca="false">Settings!$B$3&amp;".mit.shp."&amp;$B270&amp;"."&amp;Settings!$B$4&amp;"."&amp;$J$247</f>
        <v>egy.mit.shp.nga.ind.2</v>
      </c>
      <c r="H270" s="21" t="str">
        <f aca="false">Settings!$B$3&amp;".mit.shp."&amp;$C$247&amp;"."&amp;$B270&amp;".e."&amp;$J$247</f>
        <v>egy.mit.shp.irn.nga.e.2</v>
      </c>
      <c r="K270" s="23" t="n">
        <f aca="false">K260+INDEX(Data_Prices!K:K,MATCH($G270,Data_Prices!$A:$A,0))*K$280</f>
        <v>6.06346361567291</v>
      </c>
      <c r="L270" s="23" t="n">
        <f aca="false">L260+INDEX(Data_Prices!L:L,MATCH($G270,Data_Prices!$A:$A,0))*L$280</f>
        <v>5.45101508161919</v>
      </c>
      <c r="M270" s="23" t="n">
        <f aca="false">M260+INDEX(Data_Prices!M:M,MATCH($G270,Data_Prices!$A:$A,0))*M$280</f>
        <v>5.11935630626248</v>
      </c>
      <c r="N270" s="23" t="n">
        <f aca="false">N260+INDEX(Data_Prices!N:N,MATCH($G270,Data_Prices!$A:$A,0))*N$280</f>
        <v>5.08218458640407</v>
      </c>
      <c r="O270" s="23" t="n">
        <f aca="false">O260+INDEX(Data_Prices!O:O,MATCH($G270,Data_Prices!$A:$A,0))*O$280</f>
        <v>5.08218458640407</v>
      </c>
      <c r="P270" s="23" t="n">
        <f aca="false">P260+INDEX(Data_Prices!P:P,MATCH($G270,Data_Prices!$A:$A,0))*P$280</f>
        <v>5.08218458640407</v>
      </c>
      <c r="Q270" s="23" t="n">
        <f aca="false">Q260+INDEX(Data_Prices!Q:Q,MATCH($G270,Data_Prices!$A:$A,0))*Q$280</f>
        <v>5.77968458640407</v>
      </c>
      <c r="R270" s="23" t="n">
        <f aca="false">R260+INDEX(Data_Prices!R:R,MATCH($G270,Data_Prices!$A:$A,0))*R$280</f>
        <v>6.47718458640407</v>
      </c>
      <c r="S270" s="23" t="n">
        <f aca="false">S260+INDEX(Data_Prices!S:S,MATCH($G270,Data_Prices!$A:$A,0))*S$280</f>
        <v>7.17468458640407</v>
      </c>
      <c r="T270" s="23" t="n">
        <f aca="false">T260+INDEX(Data_Prices!T:T,MATCH($G270,Data_Prices!$A:$A,0))*T$280</f>
        <v>7.87218458640407</v>
      </c>
      <c r="U270" s="23" t="n">
        <f aca="false">U260+INDEX(Data_Prices!U:U,MATCH($G270,Data_Prices!$A:$A,0))*U$280</f>
        <v>8.56968458640407</v>
      </c>
      <c r="V270" s="23" t="n">
        <f aca="false">V260+INDEX(Data_Prices!V:V,MATCH($G270,Data_Prices!$A:$A,0))*V$280</f>
        <v>9.26718458640407</v>
      </c>
      <c r="W270" s="23" t="n">
        <f aca="false">W260+INDEX(Data_Prices!W:W,MATCH($G270,Data_Prices!$A:$A,0))*W$280</f>
        <v>9.96468458640407</v>
      </c>
      <c r="X270" s="23" t="n">
        <f aca="false">X260+INDEX(Data_Prices!X:X,MATCH($G270,Data_Prices!$A:$A,0))*X$280</f>
        <v>10.6621845864041</v>
      </c>
      <c r="Y270" s="23" t="n">
        <f aca="false">Y260+INDEX(Data_Prices!Y:Y,MATCH($G270,Data_Prices!$A:$A,0))*Y$280</f>
        <v>11.3596845864041</v>
      </c>
      <c r="Z270" s="23" t="n">
        <f aca="false">Z260+INDEX(Data_Prices!Z:Z,MATCH($G270,Data_Prices!$A:$A,0))*Z$280</f>
        <v>12.0571845864041</v>
      </c>
      <c r="AA270" s="23" t="n">
        <f aca="false">AA260+INDEX(Data_Prices!AA:AA,MATCH($G270,Data_Prices!$A:$A,0))*AA$280</f>
        <v>12.7546845864041</v>
      </c>
      <c r="AB270" s="23" t="n">
        <f aca="false">AB260+INDEX(Data_Prices!AB:AB,MATCH($G270,Data_Prices!$A:$A,0))*AB$280</f>
        <v>13.4521845864041</v>
      </c>
      <c r="AC270" s="23" t="n">
        <f aca="false">AC260+INDEX(Data_Prices!AC:AC,MATCH($G270,Data_Prices!$A:$A,0))*AC$280</f>
        <v>14.1496845864041</v>
      </c>
      <c r="AD270" s="23" t="n">
        <f aca="false">AD260+INDEX(Data_Prices!AD:AD,MATCH($G270,Data_Prices!$A:$A,0))*AD$280</f>
        <v>14.8471845864041</v>
      </c>
      <c r="AE270" s="23" t="n">
        <f aca="false">AE260+INDEX(Data_Prices!AE:AE,MATCH($G270,Data_Prices!$A:$A,0))*AE$280</f>
        <v>15.5446845864041</v>
      </c>
    </row>
    <row r="271" customFormat="false" ht="15" hidden="false" customHeight="false" outlineLevel="0" collapsed="false">
      <c r="B271" s="17" t="s">
        <v>59</v>
      </c>
      <c r="C271" s="17" t="str">
        <f aca="false">$C$247</f>
        <v>irn</v>
      </c>
      <c r="D271" s="18" t="s">
        <v>60</v>
      </c>
      <c r="E271" s="19" t="s">
        <v>61</v>
      </c>
      <c r="F271" s="17" t="s">
        <v>79</v>
      </c>
      <c r="G271" s="20" t="str">
        <f aca="false">Settings!$B$3&amp;".mit.shp."&amp;$B271&amp;"."&amp;Settings!$B$4&amp;"."&amp;$J$247</f>
        <v>egy.mit.shp.gso.ind.2</v>
      </c>
      <c r="H271" s="21" t="str">
        <f aca="false">Settings!$B$3&amp;".mit.shp."&amp;$C$247&amp;"."&amp;$B271&amp;".e."&amp;$J$247</f>
        <v>egy.mit.shp.irn.gso.e.2</v>
      </c>
      <c r="K271" s="23" t="n">
        <f aca="false">K261+INDEX(Data_Prices!K:K,MATCH($G271,Data_Prices!$A:$A,0))*K$280</f>
        <v>0.671146533321816</v>
      </c>
      <c r="L271" s="23" t="n">
        <f aca="false">L261+INDEX(Data_Prices!L:L,MATCH($G271,Data_Prices!$A:$A,0))*L$280</f>
        <v>0.611977976791406</v>
      </c>
      <c r="M271" s="23" t="n">
        <f aca="false">M261+INDEX(Data_Prices!M:M,MATCH($G271,Data_Prices!$A:$A,0))*M$280</f>
        <v>0.611809749641876</v>
      </c>
      <c r="N271" s="23" t="n">
        <f aca="false">N261+INDEX(Data_Prices!N:N,MATCH($G271,Data_Prices!$A:$A,0))*N$280</f>
        <v>0.603583100177906</v>
      </c>
      <c r="O271" s="23" t="n">
        <f aca="false">O261+INDEX(Data_Prices!O:O,MATCH($G271,Data_Prices!$A:$A,0))*O$280</f>
        <v>0.603583100177906</v>
      </c>
      <c r="P271" s="23" t="n">
        <f aca="false">P261+INDEX(Data_Prices!P:P,MATCH($G271,Data_Prices!$A:$A,0))*P$280</f>
        <v>0.603583100177906</v>
      </c>
      <c r="Q271" s="23" t="n">
        <f aca="false">Q261+INDEX(Data_Prices!Q:Q,MATCH($G271,Data_Prices!$A:$A,0))*Q$280</f>
        <v>0.632510943349406</v>
      </c>
      <c r="R271" s="23" t="n">
        <f aca="false">R261+INDEX(Data_Prices!R:R,MATCH($G271,Data_Prices!$A:$A,0))*R$280</f>
        <v>0.661438786520906</v>
      </c>
      <c r="S271" s="23" t="n">
        <f aca="false">S261+INDEX(Data_Prices!S:S,MATCH($G271,Data_Prices!$A:$A,0))*S$280</f>
        <v>0.690366629692406</v>
      </c>
      <c r="T271" s="23" t="n">
        <f aca="false">T261+INDEX(Data_Prices!T:T,MATCH($G271,Data_Prices!$A:$A,0))*T$280</f>
        <v>0.719294472863906</v>
      </c>
      <c r="U271" s="23" t="n">
        <f aca="false">U261+INDEX(Data_Prices!U:U,MATCH($G271,Data_Prices!$A:$A,0))*U$280</f>
        <v>0.748222316035406</v>
      </c>
      <c r="V271" s="23" t="n">
        <f aca="false">V261+INDEX(Data_Prices!V:V,MATCH($G271,Data_Prices!$A:$A,0))*V$280</f>
        <v>0.777150159206905</v>
      </c>
      <c r="W271" s="23" t="n">
        <f aca="false">W261+INDEX(Data_Prices!W:W,MATCH($G271,Data_Prices!$A:$A,0))*W$280</f>
        <v>0.806078002378406</v>
      </c>
      <c r="X271" s="23" t="n">
        <f aca="false">X261+INDEX(Data_Prices!X:X,MATCH($G271,Data_Prices!$A:$A,0))*X$280</f>
        <v>0.835005845549906</v>
      </c>
      <c r="Y271" s="23" t="n">
        <f aca="false">Y261+INDEX(Data_Prices!Y:Y,MATCH($G271,Data_Prices!$A:$A,0))*Y$280</f>
        <v>0.863933688721406</v>
      </c>
      <c r="Z271" s="23" t="n">
        <f aca="false">Z261+INDEX(Data_Prices!Z:Z,MATCH($G271,Data_Prices!$A:$A,0))*Z$280</f>
        <v>0.892861531892906</v>
      </c>
      <c r="AA271" s="23" t="n">
        <f aca="false">AA261+INDEX(Data_Prices!AA:AA,MATCH($G271,Data_Prices!$A:$A,0))*AA$280</f>
        <v>0.921789375064406</v>
      </c>
      <c r="AB271" s="23" t="n">
        <f aca="false">AB261+INDEX(Data_Prices!AB:AB,MATCH($G271,Data_Prices!$A:$A,0))*AB$280</f>
        <v>0.950717218235906</v>
      </c>
      <c r="AC271" s="23" t="n">
        <f aca="false">AC261+INDEX(Data_Prices!AC:AC,MATCH($G271,Data_Prices!$A:$A,0))*AC$280</f>
        <v>0.979645061407406</v>
      </c>
      <c r="AD271" s="23" t="n">
        <f aca="false">AD261+INDEX(Data_Prices!AD:AD,MATCH($G271,Data_Prices!$A:$A,0))*AD$280</f>
        <v>1.00857290457891</v>
      </c>
      <c r="AE271" s="23" t="n">
        <f aca="false">AE261+INDEX(Data_Prices!AE:AE,MATCH($G271,Data_Prices!$A:$A,0))*AE$280</f>
        <v>1.03750074775041</v>
      </c>
    </row>
    <row r="272" customFormat="false" ht="15" hidden="false" customHeight="false" outlineLevel="0" collapsed="false">
      <c r="B272" s="17" t="s">
        <v>62</v>
      </c>
      <c r="C272" s="17" t="str">
        <f aca="false">$C$247</f>
        <v>irn</v>
      </c>
      <c r="D272" s="18" t="s">
        <v>63</v>
      </c>
      <c r="E272" s="19" t="s">
        <v>61</v>
      </c>
      <c r="F272" s="17" t="s">
        <v>79</v>
      </c>
      <c r="G272" s="20" t="str">
        <f aca="false">Settings!$B$3&amp;".mit.shp."&amp;$B272&amp;"."&amp;Settings!$B$4&amp;"."&amp;$J$247</f>
        <v>egy.mit.shp.die.ind.2</v>
      </c>
      <c r="H272" s="21" t="str">
        <f aca="false">Settings!$B$3&amp;".mit.shp."&amp;$C$247&amp;"."&amp;$B272&amp;".e."&amp;$J$247</f>
        <v>egy.mit.shp.irn.die.e.2</v>
      </c>
      <c r="K272" s="23" t="n">
        <f aca="false">K262+INDEX(Data_Prices!K:K,MATCH($G272,Data_Prices!$A:$A,0))*K$280</f>
        <v>0.559711213155688</v>
      </c>
      <c r="L272" s="23" t="n">
        <f aca="false">L262+INDEX(Data_Prices!L:L,MATCH($G272,Data_Prices!$A:$A,0))*L$280</f>
        <v>0.494588730841068</v>
      </c>
      <c r="M272" s="23" t="n">
        <f aca="false">M262+INDEX(Data_Prices!M:M,MATCH($G272,Data_Prices!$A:$A,0))*M$280</f>
        <v>0.507786547202501</v>
      </c>
      <c r="N272" s="23" t="n">
        <f aca="false">N262+INDEX(Data_Prices!N:N,MATCH($G272,Data_Prices!$A:$A,0))*N$280</f>
        <v>0.470436426795617</v>
      </c>
      <c r="O272" s="23" t="n">
        <f aca="false">O262+INDEX(Data_Prices!O:O,MATCH($G272,Data_Prices!$A:$A,0))*O$280</f>
        <v>0.470436426795617</v>
      </c>
      <c r="P272" s="23" t="n">
        <f aca="false">P262+INDEX(Data_Prices!P:P,MATCH($G272,Data_Prices!$A:$A,0))*P$280</f>
        <v>0.470436426795617</v>
      </c>
      <c r="Q272" s="23" t="n">
        <f aca="false">Q262+INDEX(Data_Prices!Q:Q,MATCH($G272,Data_Prices!$A:$A,0))*Q$280</f>
        <v>0.503446865654492</v>
      </c>
      <c r="R272" s="23" t="n">
        <f aca="false">R262+INDEX(Data_Prices!R:R,MATCH($G272,Data_Prices!$A:$A,0))*R$280</f>
        <v>0.536457304513367</v>
      </c>
      <c r="S272" s="23" t="n">
        <f aca="false">S262+INDEX(Data_Prices!S:S,MATCH($G272,Data_Prices!$A:$A,0))*S$280</f>
        <v>0.569467743372243</v>
      </c>
      <c r="T272" s="23" t="n">
        <f aca="false">T262+INDEX(Data_Prices!T:T,MATCH($G272,Data_Prices!$A:$A,0))*T$280</f>
        <v>0.602478182231117</v>
      </c>
      <c r="U272" s="23" t="n">
        <f aca="false">U262+INDEX(Data_Prices!U:U,MATCH($G272,Data_Prices!$A:$A,0))*U$280</f>
        <v>0.635488621089992</v>
      </c>
      <c r="V272" s="23" t="n">
        <f aca="false">V262+INDEX(Data_Prices!V:V,MATCH($G272,Data_Prices!$A:$A,0))*V$280</f>
        <v>0.668499059948867</v>
      </c>
      <c r="W272" s="23" t="n">
        <f aca="false">W262+INDEX(Data_Prices!W:W,MATCH($G272,Data_Prices!$A:$A,0))*W$280</f>
        <v>0.701509498807742</v>
      </c>
      <c r="X272" s="23" t="n">
        <f aca="false">X262+INDEX(Data_Prices!X:X,MATCH($G272,Data_Prices!$A:$A,0))*X$280</f>
        <v>0.734519937666617</v>
      </c>
      <c r="Y272" s="23" t="n">
        <f aca="false">Y262+INDEX(Data_Prices!Y:Y,MATCH($G272,Data_Prices!$A:$A,0))*Y$280</f>
        <v>0.767530376525492</v>
      </c>
      <c r="Z272" s="23" t="n">
        <f aca="false">Z262+INDEX(Data_Prices!Z:Z,MATCH($G272,Data_Prices!$A:$A,0))*Z$280</f>
        <v>0.800540815384367</v>
      </c>
      <c r="AA272" s="23" t="n">
        <f aca="false">AA262+INDEX(Data_Prices!AA:AA,MATCH($G272,Data_Prices!$A:$A,0))*AA$280</f>
        <v>0.833551254243242</v>
      </c>
      <c r="AB272" s="23" t="n">
        <f aca="false">AB262+INDEX(Data_Prices!AB:AB,MATCH($G272,Data_Prices!$A:$A,0))*AB$280</f>
        <v>0.866561693102117</v>
      </c>
      <c r="AC272" s="23" t="n">
        <f aca="false">AC262+INDEX(Data_Prices!AC:AC,MATCH($G272,Data_Prices!$A:$A,0))*AC$280</f>
        <v>0.899572131960992</v>
      </c>
      <c r="AD272" s="23" t="n">
        <f aca="false">AD262+INDEX(Data_Prices!AD:AD,MATCH($G272,Data_Prices!$A:$A,0))*AD$280</f>
        <v>0.932582570819867</v>
      </c>
      <c r="AE272" s="23" t="n">
        <f aca="false">AE262+INDEX(Data_Prices!AE:AE,MATCH($G272,Data_Prices!$A:$A,0))*AE$280</f>
        <v>0.965593009678742</v>
      </c>
    </row>
    <row r="273" customFormat="false" ht="15" hidden="false" customHeight="false" outlineLevel="0" collapsed="false">
      <c r="B273" s="17" t="s">
        <v>64</v>
      </c>
      <c r="C273" s="17" t="str">
        <f aca="false">$C$247</f>
        <v>irn</v>
      </c>
      <c r="D273" s="18" t="s">
        <v>65</v>
      </c>
      <c r="E273" s="19" t="s">
        <v>61</v>
      </c>
      <c r="F273" s="17" t="s">
        <v>79</v>
      </c>
      <c r="G273" s="20" t="str">
        <f aca="false">Settings!$B$3&amp;".mit.shp."&amp;$B273&amp;"."&amp;Settings!$B$4&amp;"."&amp;$J$247</f>
        <v>egy.mit.shp.lpg.ind.2</v>
      </c>
      <c r="H273" s="21" t="str">
        <f aca="false">Settings!$B$3&amp;".mit.shp."&amp;$C$247&amp;"."&amp;$B273&amp;".e."&amp;$J$247</f>
        <v>egy.mit.shp.irn.lpg.e.2</v>
      </c>
      <c r="K273" s="23" t="n">
        <f aca="false">K263+INDEX(Data_Prices!K:K,MATCH($G273,Data_Prices!$A:$A,0))*K$280</f>
        <v>0.200366691126738</v>
      </c>
      <c r="L273" s="23" t="n">
        <f aca="false">L263+INDEX(Data_Prices!L:L,MATCH($G273,Data_Prices!$A:$A,0))*L$280</f>
        <v>0.157344736252274</v>
      </c>
      <c r="M273" s="23" t="n">
        <f aca="false">M263+INDEX(Data_Prices!M:M,MATCH($G273,Data_Prices!$A:$A,0))*M$280</f>
        <v>0.164484037759277</v>
      </c>
      <c r="N273" s="23" t="n">
        <f aca="false">N263+INDEX(Data_Prices!N:N,MATCH($G273,Data_Prices!$A:$A,0))*N$280</f>
        <v>0.150709077807049</v>
      </c>
      <c r="O273" s="23" t="n">
        <f aca="false">O263+INDEX(Data_Prices!O:O,MATCH($G273,Data_Prices!$A:$A,0))*O$280</f>
        <v>0.150709077807049</v>
      </c>
      <c r="P273" s="23" t="n">
        <f aca="false">P263+INDEX(Data_Prices!P:P,MATCH($G273,Data_Prices!$A:$A,0))*P$280</f>
        <v>0.150709077807049</v>
      </c>
      <c r="Q273" s="23" t="n">
        <f aca="false">Q263+INDEX(Data_Prices!Q:Q,MATCH($G273,Data_Prices!$A:$A,0))*Q$280</f>
        <v>0.172815160734345</v>
      </c>
      <c r="R273" s="23" t="n">
        <f aca="false">R263+INDEX(Data_Prices!R:R,MATCH($G273,Data_Prices!$A:$A,0))*R$280</f>
        <v>0.19492124366164</v>
      </c>
      <c r="S273" s="23" t="n">
        <f aca="false">S263+INDEX(Data_Prices!S:S,MATCH($G273,Data_Prices!$A:$A,0))*S$280</f>
        <v>0.217027326588936</v>
      </c>
      <c r="T273" s="23" t="n">
        <f aca="false">T263+INDEX(Data_Prices!T:T,MATCH($G273,Data_Prices!$A:$A,0))*T$280</f>
        <v>0.239133409516232</v>
      </c>
      <c r="U273" s="23" t="n">
        <f aca="false">U263+INDEX(Data_Prices!U:U,MATCH($G273,Data_Prices!$A:$A,0))*U$280</f>
        <v>0.261239492443527</v>
      </c>
      <c r="V273" s="23" t="n">
        <f aca="false">V263+INDEX(Data_Prices!V:V,MATCH($G273,Data_Prices!$A:$A,0))*V$280</f>
        <v>0.283345575370823</v>
      </c>
      <c r="W273" s="23" t="n">
        <f aca="false">W263+INDEX(Data_Prices!W:W,MATCH($G273,Data_Prices!$A:$A,0))*W$280</f>
        <v>0.305451658298119</v>
      </c>
      <c r="X273" s="23" t="n">
        <f aca="false">X263+INDEX(Data_Prices!X:X,MATCH($G273,Data_Prices!$A:$A,0))*X$280</f>
        <v>0.327557741225415</v>
      </c>
      <c r="Y273" s="23" t="n">
        <f aca="false">Y263+INDEX(Data_Prices!Y:Y,MATCH($G273,Data_Prices!$A:$A,0))*Y$280</f>
        <v>0.34966382415271</v>
      </c>
      <c r="Z273" s="23" t="n">
        <f aca="false">Z263+INDEX(Data_Prices!Z:Z,MATCH($G273,Data_Prices!$A:$A,0))*Z$280</f>
        <v>0.371769907080006</v>
      </c>
      <c r="AA273" s="23" t="n">
        <f aca="false">AA263+INDEX(Data_Prices!AA:AA,MATCH($G273,Data_Prices!$A:$A,0))*AA$280</f>
        <v>0.393875990007302</v>
      </c>
      <c r="AB273" s="23" t="n">
        <f aca="false">AB263+INDEX(Data_Prices!AB:AB,MATCH($G273,Data_Prices!$A:$A,0))*AB$280</f>
        <v>0.415982072934597</v>
      </c>
      <c r="AC273" s="23" t="n">
        <f aca="false">AC263+INDEX(Data_Prices!AC:AC,MATCH($G273,Data_Prices!$A:$A,0))*AC$280</f>
        <v>0.438088155861893</v>
      </c>
      <c r="AD273" s="23" t="n">
        <f aca="false">AD263+INDEX(Data_Prices!AD:AD,MATCH($G273,Data_Prices!$A:$A,0))*AD$280</f>
        <v>0.460194238789189</v>
      </c>
      <c r="AE273" s="23" t="n">
        <f aca="false">AE263+INDEX(Data_Prices!AE:AE,MATCH($G273,Data_Prices!$A:$A,0))*AE$280</f>
        <v>0.482300321716484</v>
      </c>
    </row>
    <row r="274" customFormat="false" ht="15" hidden="false" customHeight="false" outlineLevel="0" collapsed="false">
      <c r="B274" s="17" t="s">
        <v>66</v>
      </c>
      <c r="C274" s="17" t="str">
        <f aca="false">$C$247</f>
        <v>irn</v>
      </c>
      <c r="D274" s="18" t="s">
        <v>67</v>
      </c>
      <c r="E274" s="19" t="s">
        <v>61</v>
      </c>
      <c r="F274" s="17" t="s">
        <v>79</v>
      </c>
      <c r="G274" s="20" t="str">
        <f aca="false">Settings!$B$3&amp;".mit.shp."&amp;$B274&amp;"."&amp;Settings!$B$4&amp;"."&amp;$J$247</f>
        <v>egy.mit.shp.ker.ind.2</v>
      </c>
      <c r="H274" s="21" t="str">
        <f aca="false">Settings!$B$3&amp;".mit.shp."&amp;$C$247&amp;"."&amp;$B274&amp;".e."&amp;$J$247</f>
        <v>egy.mit.shp.irn.ker.e.2</v>
      </c>
      <c r="K274" s="23" t="n">
        <f aca="false">K264+INDEX(Data_Prices!K:K,MATCH($G274,Data_Prices!$A:$A,0))*K$280</f>
        <v>0.484294240973435</v>
      </c>
      <c r="L274" s="23" t="n">
        <f aca="false">L264+INDEX(Data_Prices!L:L,MATCH($G274,Data_Prices!$A:$A,0))*L$280</f>
        <v>0.456428170500128</v>
      </c>
      <c r="M274" s="23" t="n">
        <f aca="false">M264+INDEX(Data_Prices!M:M,MATCH($G274,Data_Prices!$A:$A,0))*M$280</f>
        <v>0.431689201955995</v>
      </c>
      <c r="N274" s="23" t="n">
        <f aca="false">N264+INDEX(Data_Prices!N:N,MATCH($G274,Data_Prices!$A:$A,0))*N$280</f>
        <v>0.42507558395597</v>
      </c>
      <c r="O274" s="23" t="n">
        <f aca="false">O264+INDEX(Data_Prices!O:O,MATCH($G274,Data_Prices!$A:$A,0))*O$280</f>
        <v>0.42507558395597</v>
      </c>
      <c r="P274" s="23" t="n">
        <f aca="false">P264+INDEX(Data_Prices!P:P,MATCH($G274,Data_Prices!$A:$A,0))*P$280</f>
        <v>0.42507558395597</v>
      </c>
      <c r="Q274" s="23" t="n">
        <f aca="false">Q264+INDEX(Data_Prices!Q:Q,MATCH($G274,Data_Prices!$A:$A,0))*Q$280</f>
        <v>0.457064414066078</v>
      </c>
      <c r="R274" s="23" t="n">
        <f aca="false">R264+INDEX(Data_Prices!R:R,MATCH($G274,Data_Prices!$A:$A,0))*R$280</f>
        <v>0.489053244176187</v>
      </c>
      <c r="S274" s="23" t="n">
        <f aca="false">S264+INDEX(Data_Prices!S:S,MATCH($G274,Data_Prices!$A:$A,0))*S$280</f>
        <v>0.521042074286296</v>
      </c>
      <c r="T274" s="23" t="n">
        <f aca="false">T264+INDEX(Data_Prices!T:T,MATCH($G274,Data_Prices!$A:$A,0))*T$280</f>
        <v>0.553030904396404</v>
      </c>
      <c r="U274" s="23" t="n">
        <f aca="false">U264+INDEX(Data_Prices!U:U,MATCH($G274,Data_Prices!$A:$A,0))*U$280</f>
        <v>0.585019734506513</v>
      </c>
      <c r="V274" s="23" t="n">
        <f aca="false">V264+INDEX(Data_Prices!V:V,MATCH($G274,Data_Prices!$A:$A,0))*V$280</f>
        <v>0.617008564616621</v>
      </c>
      <c r="W274" s="23" t="n">
        <f aca="false">W264+INDEX(Data_Prices!W:W,MATCH($G274,Data_Prices!$A:$A,0))*W$280</f>
        <v>0.648997394726729</v>
      </c>
      <c r="X274" s="23" t="n">
        <f aca="false">X264+INDEX(Data_Prices!X:X,MATCH($G274,Data_Prices!$A:$A,0))*X$280</f>
        <v>0.680986224836838</v>
      </c>
      <c r="Y274" s="23" t="n">
        <f aca="false">Y264+INDEX(Data_Prices!Y:Y,MATCH($G274,Data_Prices!$A:$A,0))*Y$280</f>
        <v>0.712975054946947</v>
      </c>
      <c r="Z274" s="23" t="n">
        <f aca="false">Z264+INDEX(Data_Prices!Z:Z,MATCH($G274,Data_Prices!$A:$A,0))*Z$280</f>
        <v>0.744963885057055</v>
      </c>
      <c r="AA274" s="23" t="n">
        <f aca="false">AA264+INDEX(Data_Prices!AA:AA,MATCH($G274,Data_Prices!$A:$A,0))*AA$280</f>
        <v>0.776952715167163</v>
      </c>
      <c r="AB274" s="23" t="n">
        <f aca="false">AB264+INDEX(Data_Prices!AB:AB,MATCH($G274,Data_Prices!$A:$A,0))*AB$280</f>
        <v>0.808941545277272</v>
      </c>
      <c r="AC274" s="23" t="n">
        <f aca="false">AC264+INDEX(Data_Prices!AC:AC,MATCH($G274,Data_Prices!$A:$A,0))*AC$280</f>
        <v>0.84093037538738</v>
      </c>
      <c r="AD274" s="23" t="n">
        <f aca="false">AD264+INDEX(Data_Prices!AD:AD,MATCH($G274,Data_Prices!$A:$A,0))*AD$280</f>
        <v>0.872919205497489</v>
      </c>
      <c r="AE274" s="23" t="n">
        <f aca="false">AE264+INDEX(Data_Prices!AE:AE,MATCH($G274,Data_Prices!$A:$A,0))*AE$280</f>
        <v>0.904908035607597</v>
      </c>
    </row>
    <row r="275" customFormat="false" ht="15" hidden="false" customHeight="false" outlineLevel="0" collapsed="false">
      <c r="B275" s="17" t="s">
        <v>68</v>
      </c>
      <c r="C275" s="17" t="str">
        <f aca="false">$C$247</f>
        <v>irn</v>
      </c>
      <c r="D275" s="18" t="s">
        <v>69</v>
      </c>
      <c r="E275" s="19" t="s">
        <v>70</v>
      </c>
      <c r="F275" s="17" t="s">
        <v>79</v>
      </c>
      <c r="G275" s="20" t="str">
        <f aca="false">Settings!$B$3&amp;".mit.shp."&amp;$B275&amp;"."&amp;Settings!$B$4&amp;"."&amp;$J$247</f>
        <v>egy.mit.shp.oop.ind.2</v>
      </c>
      <c r="H275" s="21" t="str">
        <f aca="false">Settings!$B$3&amp;".mit.shp."&amp;$C$247&amp;"."&amp;$B275&amp;".e."&amp;$J$247</f>
        <v>egy.mit.shp.irn.oop.e.2</v>
      </c>
      <c r="K275" s="23" t="n">
        <f aca="false">K265+INDEX(Data_Prices!K:K,MATCH($G275,Data_Prices!$A:$A,0))*K$280</f>
        <v>41.5003384988684</v>
      </c>
      <c r="L275" s="23" t="n">
        <f aca="false">L265+INDEX(Data_Prices!L:L,MATCH($G275,Data_Prices!$A:$A,0))*L$280</f>
        <v>34.4153703043132</v>
      </c>
      <c r="M275" s="23" t="n">
        <f aca="false">M265+INDEX(Data_Prices!M:M,MATCH($G275,Data_Prices!$A:$A,0))*M$280</f>
        <v>37.368960690432</v>
      </c>
      <c r="N275" s="23" t="n">
        <f aca="false">N265+INDEX(Data_Prices!N:N,MATCH($G275,Data_Prices!$A:$A,0))*N$280</f>
        <v>28.9827611014773</v>
      </c>
      <c r="O275" s="23" t="n">
        <f aca="false">O265+INDEX(Data_Prices!O:O,MATCH($G275,Data_Prices!$A:$A,0))*O$280</f>
        <v>15</v>
      </c>
      <c r="P275" s="23" t="n">
        <f aca="false">P265+INDEX(Data_Prices!P:P,MATCH($G275,Data_Prices!$A:$A,0))*P$280</f>
        <v>24.2586300842555</v>
      </c>
      <c r="Q275" s="23" t="n">
        <f aca="false">Q265+INDEX(Data_Prices!Q:Q,MATCH($G275,Data_Prices!$A:$A,0))*Q$280</f>
        <v>18.9637581961325</v>
      </c>
      <c r="R275" s="23" t="n">
        <f aca="false">R265+INDEX(Data_Prices!R:R,MATCH($G275,Data_Prices!$A:$A,0))*R$280</f>
        <v>21.7603451140106</v>
      </c>
      <c r="S275" s="23" t="n">
        <f aca="false">S265+INDEX(Data_Prices!S:S,MATCH($G275,Data_Prices!$A:$A,0))*S$280</f>
        <v>26.0798806913736</v>
      </c>
      <c r="T275" s="23" t="n">
        <f aca="false">T265+INDEX(Data_Prices!T:T,MATCH($G275,Data_Prices!$A:$A,0))*T$280</f>
        <v>30.5936824452092</v>
      </c>
      <c r="U275" s="23" t="n">
        <f aca="false">U265+INDEX(Data_Prices!U:U,MATCH($G275,Data_Prices!$A:$A,0))*U$280</f>
        <v>34.9905097394101</v>
      </c>
      <c r="V275" s="23" t="n">
        <f aca="false">V265+INDEX(Data_Prices!V:V,MATCH($G275,Data_Prices!$A:$A,0))*V$280</f>
        <v>40.8580597394101</v>
      </c>
      <c r="W275" s="23" t="n">
        <f aca="false">W265+INDEX(Data_Prices!W:W,MATCH($G275,Data_Prices!$A:$A,0))*W$280</f>
        <v>46.7256097394101</v>
      </c>
      <c r="X275" s="23" t="n">
        <f aca="false">X265+INDEX(Data_Prices!X:X,MATCH($G275,Data_Prices!$A:$A,0))*X$280</f>
        <v>52.5931597394101</v>
      </c>
      <c r="Y275" s="23" t="n">
        <f aca="false">Y265+INDEX(Data_Prices!Y:Y,MATCH($G275,Data_Prices!$A:$A,0))*Y$280</f>
        <v>58.4607097394101</v>
      </c>
      <c r="Z275" s="23" t="n">
        <f aca="false">Z265+INDEX(Data_Prices!Z:Z,MATCH($G275,Data_Prices!$A:$A,0))*Z$280</f>
        <v>64.3282597394101</v>
      </c>
      <c r="AA275" s="23" t="n">
        <f aca="false">AA265+INDEX(Data_Prices!AA:AA,MATCH($G275,Data_Prices!$A:$A,0))*AA$280</f>
        <v>70.1958097394101</v>
      </c>
      <c r="AB275" s="23" t="n">
        <f aca="false">AB265+INDEX(Data_Prices!AB:AB,MATCH($G275,Data_Prices!$A:$A,0))*AB$280</f>
        <v>76.0633597394101</v>
      </c>
      <c r="AC275" s="23" t="n">
        <f aca="false">AC265+INDEX(Data_Prices!AC:AC,MATCH($G275,Data_Prices!$A:$A,0))*AC$280</f>
        <v>81.9309097394101</v>
      </c>
      <c r="AD275" s="23" t="n">
        <f aca="false">AD265+INDEX(Data_Prices!AD:AD,MATCH($G275,Data_Prices!$A:$A,0))*AD$280</f>
        <v>87.7984597394101</v>
      </c>
      <c r="AE275" s="23" t="n">
        <f aca="false">AE265+INDEX(Data_Prices!AE:AE,MATCH($G275,Data_Prices!$A:$A,0))*AE$280</f>
        <v>93.6660097394101</v>
      </c>
    </row>
    <row r="276" customFormat="false" ht="15" hidden="false" customHeight="false" outlineLevel="0" collapsed="false">
      <c r="B276" s="17" t="s">
        <v>71</v>
      </c>
      <c r="C276" s="17" t="str">
        <f aca="false">$C$247</f>
        <v>irn</v>
      </c>
      <c r="D276" s="18" t="s">
        <v>72</v>
      </c>
      <c r="E276" s="19" t="s">
        <v>55</v>
      </c>
      <c r="F276" s="17" t="s">
        <v>79</v>
      </c>
      <c r="G276" s="20" t="str">
        <f aca="false">Settings!$B$3&amp;".mit.shp."&amp;$B276&amp;"."&amp;Settings!$B$4&amp;"."&amp;$J$247</f>
        <v>egy.mit.shp.bio.ind.2</v>
      </c>
      <c r="H276" s="21" t="str">
        <f aca="false">Settings!$B$3&amp;".mit.shp."&amp;$C$247&amp;"."&amp;$B276&amp;".e."&amp;$J$247</f>
        <v>egy.mit.shp.irn.bio.e.2</v>
      </c>
      <c r="K276" s="23" t="n">
        <f aca="false">K266+INDEX(Data_Prices!K:K,MATCH($G276,Data_Prices!$A:$A,0))*K$280</f>
        <v>15.3345505293169</v>
      </c>
      <c r="L276" s="23" t="n">
        <f aca="false">L266+INDEX(Data_Prices!L:L,MATCH($G276,Data_Prices!$A:$A,0))*L$280</f>
        <v>14.1995283906349</v>
      </c>
      <c r="M276" s="23" t="n">
        <f aca="false">M266+INDEX(Data_Prices!M:M,MATCH($G276,Data_Prices!$A:$A,0))*M$280</f>
        <v>13.8404416133152</v>
      </c>
      <c r="N276" s="23" t="n">
        <f aca="false">N266+INDEX(Data_Prices!N:N,MATCH($G276,Data_Prices!$A:$A,0))*N$280</f>
        <v>13.5677269404465</v>
      </c>
      <c r="O276" s="23" t="n">
        <f aca="false">O266+INDEX(Data_Prices!O:O,MATCH($G276,Data_Prices!$A:$A,0))*O$280</f>
        <v>13.5677269404465</v>
      </c>
      <c r="P276" s="23" t="n">
        <f aca="false">P266+INDEX(Data_Prices!P:P,MATCH($G276,Data_Prices!$A:$A,0))*P$280</f>
        <v>13.5677269404465</v>
      </c>
      <c r="Q276" s="23" t="n">
        <f aca="false">Q266+INDEX(Data_Prices!Q:Q,MATCH($G276,Data_Prices!$A:$A,0))*Q$280</f>
        <v>13.5677269404465</v>
      </c>
      <c r="R276" s="23" t="n">
        <f aca="false">R266+INDEX(Data_Prices!R:R,MATCH($G276,Data_Prices!$A:$A,0))*R$280</f>
        <v>13.5677269404465</v>
      </c>
      <c r="S276" s="23" t="n">
        <f aca="false">S266+INDEX(Data_Prices!S:S,MATCH($G276,Data_Prices!$A:$A,0))*S$280</f>
        <v>13.5677269404465</v>
      </c>
      <c r="T276" s="23" t="n">
        <f aca="false">T266+INDEX(Data_Prices!T:T,MATCH($G276,Data_Prices!$A:$A,0))*T$280</f>
        <v>13.5677269404465</v>
      </c>
      <c r="U276" s="23" t="n">
        <f aca="false">U266+INDEX(Data_Prices!U:U,MATCH($G276,Data_Prices!$A:$A,0))*U$280</f>
        <v>13.5677269404465</v>
      </c>
      <c r="V276" s="23" t="n">
        <f aca="false">V266+INDEX(Data_Prices!V:V,MATCH($G276,Data_Prices!$A:$A,0))*V$280</f>
        <v>13.5677269404465</v>
      </c>
      <c r="W276" s="23" t="n">
        <f aca="false">W266+INDEX(Data_Prices!W:W,MATCH($G276,Data_Prices!$A:$A,0))*W$280</f>
        <v>13.5677269404465</v>
      </c>
      <c r="X276" s="23" t="n">
        <f aca="false">X266+INDEX(Data_Prices!X:X,MATCH($G276,Data_Prices!$A:$A,0))*X$280</f>
        <v>13.5677269404465</v>
      </c>
      <c r="Y276" s="23" t="n">
        <f aca="false">Y266+INDEX(Data_Prices!Y:Y,MATCH($G276,Data_Prices!$A:$A,0))*Y$280</f>
        <v>13.5677269404465</v>
      </c>
      <c r="Z276" s="23" t="n">
        <f aca="false">Z266+INDEX(Data_Prices!Z:Z,MATCH($G276,Data_Prices!$A:$A,0))*Z$280</f>
        <v>13.5677269404465</v>
      </c>
      <c r="AA276" s="23" t="n">
        <f aca="false">AA266+INDEX(Data_Prices!AA:AA,MATCH($G276,Data_Prices!$A:$A,0))*AA$280</f>
        <v>13.5677269404465</v>
      </c>
      <c r="AB276" s="23" t="n">
        <f aca="false">AB266+INDEX(Data_Prices!AB:AB,MATCH($G276,Data_Prices!$A:$A,0))*AB$280</f>
        <v>13.5677269404465</v>
      </c>
      <c r="AC276" s="23" t="n">
        <f aca="false">AC266+INDEX(Data_Prices!AC:AC,MATCH($G276,Data_Prices!$A:$A,0))*AC$280</f>
        <v>13.5677269404465</v>
      </c>
      <c r="AD276" s="23" t="n">
        <f aca="false">AD266+INDEX(Data_Prices!AD:AD,MATCH($G276,Data_Prices!$A:$A,0))*AD$280</f>
        <v>13.5677269404465</v>
      </c>
      <c r="AE276" s="23" t="n">
        <f aca="false">AE266+INDEX(Data_Prices!AE:AE,MATCH($G276,Data_Prices!$A:$A,0))*AE$280</f>
        <v>13.5677269404465</v>
      </c>
    </row>
    <row r="277" customFormat="false" ht="15" hidden="false" customHeight="false" outlineLevel="0" collapsed="false">
      <c r="B277" s="17" t="s">
        <v>73</v>
      </c>
      <c r="C277" s="17" t="str">
        <f aca="false">$C$247</f>
        <v>irn</v>
      </c>
      <c r="D277" s="18" t="s">
        <v>74</v>
      </c>
      <c r="E277" s="19" t="s">
        <v>75</v>
      </c>
      <c r="F277" s="17" t="s">
        <v>79</v>
      </c>
      <c r="G277" s="20" t="str">
        <f aca="false">Settings!$B$3&amp;".mit.shp."&amp;$B277&amp;"."&amp;Settings!$B$4&amp;"."&amp;$J$247</f>
        <v>egy.mit.shp.ren.ind.2</v>
      </c>
      <c r="H277" s="21" t="str">
        <f aca="false">Settings!$B$3&amp;".mit.shp."&amp;$C$247&amp;"."&amp;$B277&amp;".e."&amp;$J$247</f>
        <v>egy.mit.shp.irn.ren.e.2</v>
      </c>
      <c r="K277" s="23" t="n">
        <f aca="false">K267+INDEX(Data_Prices!K:K,MATCH($G277,Data_Prices!$A:$A,0))*K$280</f>
        <v>0</v>
      </c>
      <c r="L277" s="23" t="n">
        <f aca="false">L267+INDEX(Data_Prices!L:L,MATCH($G277,Data_Prices!$A:$A,0))*L$280</f>
        <v>0.144044986793198</v>
      </c>
      <c r="M277" s="23" t="n">
        <f aca="false">M267+INDEX(Data_Prices!M:M,MATCH($G277,Data_Prices!$A:$A,0))*M$280</f>
        <v>0.141386241751359</v>
      </c>
      <c r="N277" s="23" t="n">
        <f aca="false">N267+INDEX(Data_Prices!N:N,MATCH($G277,Data_Prices!$A:$A,0))*N$280</f>
        <v>0.135397565443731</v>
      </c>
      <c r="O277" s="23" t="n">
        <f aca="false">O267+INDEX(Data_Prices!O:O,MATCH($G277,Data_Prices!$A:$A,0))*O$280</f>
        <v>0.131522885420651</v>
      </c>
      <c r="P277" s="23" t="n">
        <f aca="false">P267+INDEX(Data_Prices!P:P,MATCH($G277,Data_Prices!$A:$A,0))*P$280</f>
        <v>0.128826108485231</v>
      </c>
      <c r="Q277" s="23" t="n">
        <f aca="false">Q267+INDEX(Data_Prices!Q:Q,MATCH($G277,Data_Prices!$A:$A,0))*Q$280</f>
        <v>0.12594200976474</v>
      </c>
      <c r="R277" s="23" t="n">
        <f aca="false">R267+INDEX(Data_Prices!R:R,MATCH($G277,Data_Prices!$A:$A,0))*R$280</f>
        <v>0.123113265701861</v>
      </c>
      <c r="S277" s="23" t="n">
        <f aca="false">S267+INDEX(Data_Prices!S:S,MATCH($G277,Data_Prices!$A:$A,0))*S$280</f>
        <v>0.119391738089068</v>
      </c>
      <c r="T277" s="23" t="n">
        <f aca="false">T267+INDEX(Data_Prices!T:T,MATCH($G277,Data_Prices!$A:$A,0))*T$280</f>
        <v>0.11554419046792</v>
      </c>
      <c r="U277" s="23" t="n">
        <f aca="false">U267+INDEX(Data_Prices!U:U,MATCH($G277,Data_Prices!$A:$A,0))*U$280</f>
        <v>0.114924230654159</v>
      </c>
      <c r="V277" s="23" t="n">
        <f aca="false">V267+INDEX(Data_Prices!V:V,MATCH($G277,Data_Prices!$A:$A,0))*V$280</f>
        <v>0.114346912116736</v>
      </c>
      <c r="W277" s="23" t="n">
        <f aca="false">W267+INDEX(Data_Prices!W:W,MATCH($G277,Data_Prices!$A:$A,0))*W$280</f>
        <v>0.113738711172664</v>
      </c>
      <c r="X277" s="23" t="n">
        <f aca="false">X267+INDEX(Data_Prices!X:X,MATCH($G277,Data_Prices!$A:$A,0))*X$280</f>
        <v>0.112999900487521</v>
      </c>
      <c r="Y277" s="23" t="n">
        <f aca="false">Y267+INDEX(Data_Prices!Y:Y,MATCH($G277,Data_Prices!$A:$A,0))*Y$280</f>
        <v>0.112177685835534</v>
      </c>
      <c r="Z277" s="23" t="n">
        <f aca="false">Z267+INDEX(Data_Prices!Z:Z,MATCH($G277,Data_Prices!$A:$A,0))*Z$280</f>
        <v>0.111417903250404</v>
      </c>
      <c r="AA277" s="23" t="n">
        <f aca="false">AA267+INDEX(Data_Prices!AA:AA,MATCH($G277,Data_Prices!$A:$A,0))*AA$280</f>
        <v>0.110525819985454</v>
      </c>
      <c r="AB277" s="23" t="n">
        <f aca="false">AB267+INDEX(Data_Prices!AB:AB,MATCH($G277,Data_Prices!$A:$A,0))*AB$280</f>
        <v>0.109699565234896</v>
      </c>
      <c r="AC277" s="23" t="n">
        <f aca="false">AC267+INDEX(Data_Prices!AC:AC,MATCH($G277,Data_Prices!$A:$A,0))*AC$280</f>
        <v>0.107726788963949</v>
      </c>
      <c r="AD277" s="23" t="n">
        <f aca="false">AD267+INDEX(Data_Prices!AD:AD,MATCH($G277,Data_Prices!$A:$A,0))*AD$280</f>
        <v>0.105820924450935</v>
      </c>
      <c r="AE277" s="23" t="n">
        <f aca="false">AE267+INDEX(Data_Prices!AE:AE,MATCH($G277,Data_Prices!$A:$A,0))*AE$280</f>
        <v>0.103855595705721</v>
      </c>
    </row>
    <row r="278" customFormat="false" ht="15" hidden="false" customHeight="false" outlineLevel="0" collapsed="false">
      <c r="B278" s="16" t="s">
        <v>80</v>
      </c>
    </row>
    <row r="279" customFormat="false" ht="15" hidden="false" customHeight="false" outlineLevel="0" collapsed="false">
      <c r="B279" s="17" t="s">
        <v>81</v>
      </c>
      <c r="C279" s="17" t="str">
        <f aca="false">$C$247</f>
        <v>irn</v>
      </c>
      <c r="D279" s="18" t="s">
        <v>82</v>
      </c>
      <c r="E279" s="19" t="s">
        <v>83</v>
      </c>
      <c r="F279" s="17" t="s">
        <v>84</v>
      </c>
      <c r="G279" s="20" t="str">
        <f aca="false">Settings!$B$3&amp;".mit.tcf."&amp;$C$247&amp;"."&amp;$J$247</f>
        <v>egy.mit.tcf.irn.2</v>
      </c>
      <c r="K279" s="23" t="n">
        <f aca="false">INDEX(Data_Prices!K:K,MATCH($G279,Data_Prices!$A:$A,0))</f>
        <v>0</v>
      </c>
      <c r="L279" s="23" t="n">
        <f aca="false">INDEX(Data_Prices!L:L,MATCH($G279,Data_Prices!$A:$A,0))</f>
        <v>0</v>
      </c>
      <c r="M279" s="23" t="n">
        <f aca="false">INDEX(Data_Prices!M:M,MATCH($G279,Data_Prices!$A:$A,0))</f>
        <v>0</v>
      </c>
      <c r="N279" s="23" t="n">
        <f aca="false">INDEX(Data_Prices!N:N,MATCH($G279,Data_Prices!$A:$A,0))</f>
        <v>0</v>
      </c>
      <c r="O279" s="23" t="n">
        <f aca="false">INDEX(Data_Prices!O:O,MATCH($G279,Data_Prices!$A:$A,0))</f>
        <v>0</v>
      </c>
      <c r="P279" s="23" t="n">
        <f aca="false">INDEX(Data_Prices!P:P,MATCH($G279,Data_Prices!$A:$A,0))</f>
        <v>1</v>
      </c>
      <c r="Q279" s="23" t="n">
        <f aca="false">INDEX(Data_Prices!Q:Q,MATCH($G279,Data_Prices!$A:$A,0))</f>
        <v>1</v>
      </c>
      <c r="R279" s="23" t="n">
        <f aca="false">INDEX(Data_Prices!R:R,MATCH($G279,Data_Prices!$A:$A,0))</f>
        <v>1</v>
      </c>
      <c r="S279" s="23" t="n">
        <f aca="false">INDEX(Data_Prices!S:S,MATCH($G279,Data_Prices!$A:$A,0))</f>
        <v>1</v>
      </c>
      <c r="T279" s="23" t="n">
        <f aca="false">INDEX(Data_Prices!T:T,MATCH($G279,Data_Prices!$A:$A,0))</f>
        <v>1</v>
      </c>
      <c r="U279" s="23" t="n">
        <f aca="false">INDEX(Data_Prices!U:U,MATCH($G279,Data_Prices!$A:$A,0))</f>
        <v>1</v>
      </c>
      <c r="V279" s="23" t="n">
        <f aca="false">INDEX(Data_Prices!V:V,MATCH($G279,Data_Prices!$A:$A,0))</f>
        <v>1</v>
      </c>
      <c r="W279" s="23" t="n">
        <f aca="false">INDEX(Data_Prices!W:W,MATCH($G279,Data_Prices!$A:$A,0))</f>
        <v>1</v>
      </c>
      <c r="X279" s="23" t="n">
        <f aca="false">INDEX(Data_Prices!X:X,MATCH($G279,Data_Prices!$A:$A,0))</f>
        <v>1</v>
      </c>
      <c r="Y279" s="23" t="n">
        <f aca="false">INDEX(Data_Prices!Y:Y,MATCH($G279,Data_Prices!$A:$A,0))</f>
        <v>1</v>
      </c>
      <c r="Z279" s="23" t="n">
        <f aca="false">INDEX(Data_Prices!Z:Z,MATCH($G279,Data_Prices!$A:$A,0))</f>
        <v>1</v>
      </c>
      <c r="AA279" s="23" t="n">
        <f aca="false">INDEX(Data_Prices!AA:AA,MATCH($G279,Data_Prices!$A:$A,0))</f>
        <v>1</v>
      </c>
      <c r="AB279" s="23" t="n">
        <f aca="false">INDEX(Data_Prices!AB:AB,MATCH($G279,Data_Prices!$A:$A,0))</f>
        <v>1</v>
      </c>
      <c r="AC279" s="23" t="n">
        <f aca="false">INDEX(Data_Prices!AC:AC,MATCH($G279,Data_Prices!$A:$A,0))</f>
        <v>1</v>
      </c>
      <c r="AD279" s="23" t="n">
        <f aca="false">INDEX(Data_Prices!AD:AD,MATCH($G279,Data_Prices!$A:$A,0))</f>
        <v>1</v>
      </c>
      <c r="AE279" s="23" t="n">
        <f aca="false">INDEX(Data_Prices!AE:AE,MATCH($G279,Data_Prices!$A:$A,0))</f>
        <v>1</v>
      </c>
    </row>
    <row r="280" customFormat="false" ht="15" hidden="false" customHeight="false" outlineLevel="0" collapsed="false">
      <c r="B280" s="17" t="s">
        <v>81</v>
      </c>
      <c r="C280" s="17" t="str">
        <f aca="false">$C$247</f>
        <v>irn</v>
      </c>
      <c r="D280" s="18" t="s">
        <v>85</v>
      </c>
      <c r="E280" s="19" t="s">
        <v>83</v>
      </c>
      <c r="F280" s="17" t="s">
        <v>86</v>
      </c>
      <c r="G280" s="20" t="str">
        <f aca="false">Settings!$B$3&amp;".mit.ssc."&amp;$C$247&amp;"."&amp;$J$247</f>
        <v>egy.mit.ssc.irn.2</v>
      </c>
      <c r="K280" s="23" t="n">
        <f aca="false">INDEX(Data_Prices!K:K,MATCH($G280,Data_Prices!$A:$A,0))</f>
        <v>0</v>
      </c>
      <c r="L280" s="23" t="n">
        <f aca="false">INDEX(Data_Prices!L:L,MATCH($G280,Data_Prices!$A:$A,0))</f>
        <v>0</v>
      </c>
      <c r="M280" s="23" t="n">
        <f aca="false">INDEX(Data_Prices!M:M,MATCH($G280,Data_Prices!$A:$A,0))</f>
        <v>0</v>
      </c>
      <c r="N280" s="23" t="n">
        <f aca="false">INDEX(Data_Prices!N:N,MATCH($G280,Data_Prices!$A:$A,0))</f>
        <v>0</v>
      </c>
      <c r="O280" s="23" t="n">
        <f aca="false">INDEX(Data_Prices!O:O,MATCH($G280,Data_Prices!$A:$A,0))</f>
        <v>0</v>
      </c>
      <c r="P280" s="23" t="n">
        <f aca="false">INDEX(Data_Prices!P:P,MATCH($G280,Data_Prices!$A:$A,0))</f>
        <v>0</v>
      </c>
      <c r="Q280" s="23" t="n">
        <f aca="false">INDEX(Data_Prices!Q:Q,MATCH($G280,Data_Prices!$A:$A,0))</f>
        <v>0</v>
      </c>
      <c r="R280" s="23" t="n">
        <f aca="false">INDEX(Data_Prices!R:R,MATCH($G280,Data_Prices!$A:$A,0))</f>
        <v>0</v>
      </c>
      <c r="S280" s="23" t="n">
        <f aca="false">INDEX(Data_Prices!S:S,MATCH($G280,Data_Prices!$A:$A,0))</f>
        <v>0</v>
      </c>
      <c r="T280" s="23" t="n">
        <f aca="false">INDEX(Data_Prices!T:T,MATCH($G280,Data_Prices!$A:$A,0))</f>
        <v>0</v>
      </c>
      <c r="U280" s="23" t="n">
        <f aca="false">INDEX(Data_Prices!U:U,MATCH($G280,Data_Prices!$A:$A,0))</f>
        <v>0</v>
      </c>
      <c r="V280" s="23" t="n">
        <f aca="false">INDEX(Data_Prices!V:V,MATCH($G280,Data_Prices!$A:$A,0))</f>
        <v>0</v>
      </c>
      <c r="W280" s="23" t="n">
        <f aca="false">INDEX(Data_Prices!W:W,MATCH($G280,Data_Prices!$A:$A,0))</f>
        <v>0</v>
      </c>
      <c r="X280" s="23" t="n">
        <f aca="false">INDEX(Data_Prices!X:X,MATCH($G280,Data_Prices!$A:$A,0))</f>
        <v>0</v>
      </c>
      <c r="Y280" s="23" t="n">
        <f aca="false">INDEX(Data_Prices!Y:Y,MATCH($G280,Data_Prices!$A:$A,0))</f>
        <v>0</v>
      </c>
      <c r="Z280" s="23" t="n">
        <f aca="false">INDEX(Data_Prices!Z:Z,MATCH($G280,Data_Prices!$A:$A,0))</f>
        <v>0</v>
      </c>
      <c r="AA280" s="23" t="n">
        <f aca="false">INDEX(Data_Prices!AA:AA,MATCH($G280,Data_Prices!$A:$A,0))</f>
        <v>0</v>
      </c>
      <c r="AB280" s="23" t="n">
        <f aca="false">INDEX(Data_Prices!AB:AB,MATCH($G280,Data_Prices!$A:$A,0))</f>
        <v>0</v>
      </c>
      <c r="AC280" s="23" t="n">
        <f aca="false">INDEX(Data_Prices!AC:AC,MATCH($G280,Data_Prices!$A:$A,0))</f>
        <v>0</v>
      </c>
      <c r="AD280" s="23" t="n">
        <f aca="false">INDEX(Data_Prices!AD:AD,MATCH($G280,Data_Prices!$A:$A,0))</f>
        <v>0</v>
      </c>
      <c r="AE280" s="23" t="n">
        <f aca="false">INDEX(Data_Prices!AE:AE,MATCH($G280,Data_Prices!$A:$A,0))</f>
        <v>0</v>
      </c>
    </row>
    <row r="281" customFormat="false" ht="15" hidden="false" customHeight="false" outlineLevel="0" collapsed="false">
      <c r="B281" s="17" t="s">
        <v>81</v>
      </c>
      <c r="C281" s="17" t="str">
        <f aca="false">$C$247</f>
        <v>irn</v>
      </c>
      <c r="D281" s="18" t="s">
        <v>87</v>
      </c>
      <c r="E281" s="19" t="s">
        <v>88</v>
      </c>
      <c r="F281" s="17" t="s">
        <v>89</v>
      </c>
      <c r="G281" s="20" t="str">
        <f aca="false">Settings!$B$3&amp;".mit.gdp.pos.pct."&amp;$J$247</f>
        <v>egy.mit.gdp.pos.pct.2</v>
      </c>
      <c r="K281" s="24" t="n">
        <f aca="false">INDEX(Data_Macro!K:K,MATCH($G281,Data_Macro!$A:$A,0))</f>
        <v>0</v>
      </c>
      <c r="L281" s="24" t="n">
        <f aca="false">INDEX(Data_Macro!L:L,MATCH($G281,Data_Macro!$A:$A,0))</f>
        <v>0.06651345</v>
      </c>
      <c r="M281" s="24" t="n">
        <f aca="false">INDEX(Data_Macro!M:M,MATCH($G281,Data_Macro!$A:$A,0))</f>
        <v>0.03760281</v>
      </c>
      <c r="N281" s="24" t="n">
        <f aca="false">INDEX(Data_Macro!N:N,MATCH($G281,Data_Macro!$A:$A,0))</f>
        <v>0.02398801</v>
      </c>
      <c r="O281" s="24" t="n">
        <f aca="false">INDEX(Data_Macro!O:O,MATCH($G281,Data_Macro!$A:$A,0))</f>
        <v>0.04392387</v>
      </c>
      <c r="P281" s="24" t="n">
        <f aca="false">INDEX(Data_Macro!P:P,MATCH($G281,Data_Macro!$A:$A,0))</f>
        <v>0.04239706</v>
      </c>
      <c r="Q281" s="24" t="n">
        <f aca="false">INDEX(Data_Macro!Q:Q,MATCH($G281,Data_Macro!$A:$A,0))</f>
        <v>0.0482983837830076</v>
      </c>
      <c r="R281" s="24" t="n">
        <f aca="false">INDEX(Data_Macro!R:R,MATCH($G281,Data_Macro!$A:$A,0))</f>
        <v>0.0555905477124225</v>
      </c>
      <c r="S281" s="24" t="n">
        <f aca="false">INDEX(Data_Macro!S:S,MATCH($G281,Data_Macro!$A:$A,0))</f>
        <v>0.0521372353896314</v>
      </c>
      <c r="T281" s="24" t="n">
        <f aca="false">INDEX(Data_Macro!T:T,MATCH($G281,Data_Macro!$A:$A,0))</f>
        <v>0.0481249074919299</v>
      </c>
      <c r="U281" s="24" t="n">
        <f aca="false">INDEX(Data_Macro!U:U,MATCH($G281,Data_Macro!$A:$A,0))</f>
        <v>0.0472087965265213</v>
      </c>
      <c r="V281" s="24" t="n">
        <f aca="false">INDEX(Data_Macro!V:V,MATCH($G281,Data_Macro!$A:$A,0))</f>
        <v>0.0466890433006764</v>
      </c>
      <c r="W281" s="24" t="n">
        <f aca="false">INDEX(Data_Macro!W:W,MATCH($G281,Data_Macro!$A:$A,0))</f>
        <v>0.0466327501470292</v>
      </c>
      <c r="X281" s="24" t="n">
        <f aca="false">INDEX(Data_Macro!X:X,MATCH($G281,Data_Macro!$A:$A,0))</f>
        <v>0.0468727232644215</v>
      </c>
      <c r="Y281" s="24" t="n">
        <f aca="false">INDEX(Data_Macro!Y:Y,MATCH($G281,Data_Macro!$A:$A,0))</f>
        <v>0.0474699217530487</v>
      </c>
      <c r="Z281" s="24" t="n">
        <f aca="false">INDEX(Data_Macro!Z:Z,MATCH($G281,Data_Macro!$A:$A,0))</f>
        <v>0.048590713024029</v>
      </c>
      <c r="AA281" s="24" t="n">
        <f aca="false">INDEX(Data_Macro!AA:AA,MATCH($G281,Data_Macro!$A:$A,0))</f>
        <v>0.0499411820780664</v>
      </c>
      <c r="AB281" s="24" t="n">
        <f aca="false">INDEX(Data_Macro!AB:AB,MATCH($G281,Data_Macro!$A:$A,0))</f>
        <v>0.0513941835424786</v>
      </c>
      <c r="AC281" s="24" t="n">
        <f aca="false">INDEX(Data_Macro!AC:AC,MATCH($G281,Data_Macro!$A:$A,0))</f>
        <v>0.0526817630197767</v>
      </c>
      <c r="AD281" s="24" t="n">
        <f aca="false">INDEX(Data_Macro!AD:AD,MATCH($G281,Data_Macro!$A:$A,0))</f>
        <v>0.0538007113363503</v>
      </c>
      <c r="AE281" s="24" t="n">
        <f aca="false">INDEX(Data_Macro!AE:AE,MATCH($G281,Data_Macro!$A:$A,0))</f>
        <v>0.0547893980443376</v>
      </c>
    </row>
    <row r="282" customFormat="false" ht="15" hidden="false" customHeight="false" outlineLevel="0" collapsed="false">
      <c r="B282" s="17" t="s">
        <v>81</v>
      </c>
      <c r="C282" s="17" t="str">
        <f aca="false">$C$247</f>
        <v>irn</v>
      </c>
      <c r="D282" s="18" t="s">
        <v>90</v>
      </c>
      <c r="E282" s="19" t="s">
        <v>91</v>
      </c>
      <c r="F282" s="17" t="s">
        <v>92</v>
      </c>
      <c r="G282" s="20" t="str">
        <f aca="false">Settings!$B$3&amp;".mit.inc.ela.adj."&amp;$J$247</f>
        <v>egy.mit.inc.ela.adj.2</v>
      </c>
      <c r="K282" s="23" t="n">
        <f aca="false">INDEX(Data_Macro!K:K,MATCH($G282,Data_Macro!$A:$A,0))</f>
        <v>0</v>
      </c>
      <c r="L282" s="23" t="n">
        <f aca="false">INDEX(Data_Macro!L:L,MATCH($G282,Data_Macro!$A:$A,0))</f>
        <v>1.02715172471961</v>
      </c>
      <c r="M282" s="23" t="n">
        <f aca="false">INDEX(Data_Macro!M:M,MATCH($G282,Data_Macro!$A:$A,0))</f>
        <v>1.02715172471961</v>
      </c>
      <c r="N282" s="23" t="n">
        <f aca="false">INDEX(Data_Macro!N:N,MATCH($G282,Data_Macro!$A:$A,0))</f>
        <v>1.02056983588512</v>
      </c>
      <c r="O282" s="23" t="n">
        <f aca="false">INDEX(Data_Macro!O:O,MATCH($G282,Data_Macro!$A:$A,0))</f>
        <v>1.01733442885234</v>
      </c>
      <c r="P282" s="23" t="n">
        <f aca="false">INDEX(Data_Macro!P:P,MATCH($G282,Data_Macro!$A:$A,0))</f>
        <v>1.00766833225382</v>
      </c>
      <c r="Q282" s="23" t="n">
        <f aca="false">INDEX(Data_Macro!Q:Q,MATCH($G282,Data_Macro!$A:$A,0))</f>
        <v>1.00074428717553</v>
      </c>
      <c r="R282" s="23" t="n">
        <f aca="false">INDEX(Data_Macro!R:R,MATCH($G282,Data_Macro!$A:$A,0))</f>
        <v>0.991884557194643</v>
      </c>
      <c r="S282" s="23" t="n">
        <f aca="false">INDEX(Data_Macro!S:S,MATCH($G282,Data_Macro!$A:$A,0))</f>
        <v>0.980580565078603</v>
      </c>
      <c r="T282" s="23" t="n">
        <f aca="false">INDEX(Data_Macro!T:T,MATCH($G282,Data_Macro!$A:$A,0))</f>
        <v>0.970250789717781</v>
      </c>
      <c r="U282" s="23" t="n">
        <f aca="false">INDEX(Data_Macro!U:U,MATCH($G282,Data_Macro!$A:$A,0))</f>
        <v>0.964288208159648</v>
      </c>
      <c r="V282" s="23" t="n">
        <f aca="false">INDEX(Data_Macro!V:V,MATCH($G282,Data_Macro!$A:$A,0))</f>
        <v>0.961834393419511</v>
      </c>
      <c r="W282" s="23" t="n">
        <f aca="false">INDEX(Data_Macro!W:W,MATCH($G282,Data_Macro!$A:$A,0))</f>
        <v>0.959416951161644</v>
      </c>
      <c r="X282" s="23" t="n">
        <f aca="false">INDEX(Data_Macro!X:X,MATCH($G282,Data_Macro!$A:$A,0))</f>
        <v>0.957014292521884</v>
      </c>
      <c r="Y282" s="23" t="n">
        <f aca="false">INDEX(Data_Macro!Y:Y,MATCH($G282,Data_Macro!$A:$A,0))</f>
        <v>0.954681937225522</v>
      </c>
      <c r="Z282" s="23" t="n">
        <f aca="false">INDEX(Data_Macro!Z:Z,MATCH($G282,Data_Macro!$A:$A,0))</f>
        <v>0.952400711587746</v>
      </c>
      <c r="AA282" s="23" t="n">
        <f aca="false">INDEX(Data_Macro!AA:AA,MATCH($G282,Data_Macro!$A:$A,0))</f>
        <v>0.950116474994055</v>
      </c>
      <c r="AB282" s="23" t="n">
        <f aca="false">INDEX(Data_Macro!AB:AB,MATCH($G282,Data_Macro!$A:$A,0))</f>
        <v>0.947927358499145</v>
      </c>
      <c r="AC282" s="23" t="n">
        <f aca="false">INDEX(Data_Macro!AC:AC,MATCH($G282,Data_Macro!$A:$A,0))</f>
        <v>0.945876747762997</v>
      </c>
      <c r="AD282" s="23" t="n">
        <f aca="false">INDEX(Data_Macro!AD:AD,MATCH($G282,Data_Macro!$A:$A,0))</f>
        <v>0.944054805828393</v>
      </c>
      <c r="AE282" s="23" t="n">
        <f aca="false">INDEX(Data_Macro!AE:AE,MATCH($G282,Data_Macro!$A:$A,0))</f>
        <v>0.942463912252065</v>
      </c>
    </row>
    <row r="283" customFormat="false" ht="15" hidden="false" customHeight="false" outlineLevel="0" collapsed="false">
      <c r="B283" s="17" t="s">
        <v>81</v>
      </c>
      <c r="C283" s="17" t="str">
        <f aca="false">$C$247</f>
        <v>irn</v>
      </c>
      <c r="D283" s="18" t="s">
        <v>93</v>
      </c>
      <c r="E283" s="19" t="s">
        <v>91</v>
      </c>
      <c r="F283" s="17" t="s">
        <v>94</v>
      </c>
      <c r="G283" s="20" t="str">
        <f aca="false">Settings!$B$3&amp;".mit.shock."&amp;$J$247</f>
        <v>egy.mit.shock.2</v>
      </c>
      <c r="K283" s="23" t="n">
        <f aca="false">INDEX(Data_Macro!K:K,MATCH($G283,Data_Macro!$A:$A,0))</f>
        <v>0</v>
      </c>
      <c r="L283" s="23" t="n">
        <f aca="false">INDEX(Data_Macro!L:L,MATCH($G283,Data_Macro!$A:$A,0))</f>
        <v>0</v>
      </c>
      <c r="M283" s="23" t="n">
        <f aca="false">INDEX(Data_Macro!M:M,MATCH($G283,Data_Macro!$A:$A,0))</f>
        <v>-0.208133083020442</v>
      </c>
      <c r="N283" s="23" t="n">
        <f aca="false">INDEX(Data_Macro!N:N,MATCH($G283,Data_Macro!$A:$A,0))</f>
        <v>0.0923714285714286</v>
      </c>
      <c r="O283" s="23" t="n">
        <f aca="false">INDEX(Data_Macro!O:O,MATCH($G283,Data_Macro!$A:$A,0))</f>
        <v>0</v>
      </c>
      <c r="P283" s="23" t="n">
        <f aca="false">INDEX(Data_Macro!P:P,MATCH($G283,Data_Macro!$A:$A,0))</f>
        <v>0</v>
      </c>
      <c r="Q283" s="23" t="n">
        <f aca="false">INDEX(Data_Macro!Q:Q,MATCH($G283,Data_Macro!$A:$A,0))</f>
        <v>0</v>
      </c>
      <c r="R283" s="23" t="n">
        <f aca="false">INDEX(Data_Macro!R:R,MATCH($G283,Data_Macro!$A:$A,0))</f>
        <v>0</v>
      </c>
      <c r="S283" s="23" t="n">
        <f aca="false">INDEX(Data_Macro!S:S,MATCH($G283,Data_Macro!$A:$A,0))</f>
        <v>0</v>
      </c>
      <c r="T283" s="23" t="n">
        <f aca="false">INDEX(Data_Macro!T:T,MATCH($G283,Data_Macro!$A:$A,0))</f>
        <v>0</v>
      </c>
      <c r="U283" s="23" t="n">
        <f aca="false">INDEX(Data_Macro!U:U,MATCH($G283,Data_Macro!$A:$A,0))</f>
        <v>0</v>
      </c>
      <c r="V283" s="23" t="n">
        <f aca="false">INDEX(Data_Macro!V:V,MATCH($G283,Data_Macro!$A:$A,0))</f>
        <v>0</v>
      </c>
      <c r="W283" s="23" t="n">
        <f aca="false">INDEX(Data_Macro!W:W,MATCH($G283,Data_Macro!$A:$A,0))</f>
        <v>0</v>
      </c>
      <c r="X283" s="23" t="n">
        <f aca="false">INDEX(Data_Macro!X:X,MATCH($G283,Data_Macro!$A:$A,0))</f>
        <v>0</v>
      </c>
      <c r="Y283" s="23" t="n">
        <f aca="false">INDEX(Data_Macro!Y:Y,MATCH($G283,Data_Macro!$A:$A,0))</f>
        <v>0</v>
      </c>
      <c r="Z283" s="23" t="n">
        <f aca="false">INDEX(Data_Macro!Z:Z,MATCH($G283,Data_Macro!$A:$A,0))</f>
        <v>0</v>
      </c>
      <c r="AA283" s="23" t="n">
        <f aca="false">INDEX(Data_Macro!AA:AA,MATCH($G283,Data_Macro!$A:$A,0))</f>
        <v>0</v>
      </c>
      <c r="AB283" s="23" t="n">
        <f aca="false">INDEX(Data_Macro!AB:AB,MATCH($G283,Data_Macro!$A:$A,0))</f>
        <v>0</v>
      </c>
      <c r="AC283" s="23" t="n">
        <f aca="false">INDEX(Data_Macro!AC:AC,MATCH($G283,Data_Macro!$A:$A,0))</f>
        <v>0</v>
      </c>
      <c r="AD283" s="23" t="n">
        <f aca="false">INDEX(Data_Macro!AD:AD,MATCH($G283,Data_Macro!$A:$A,0))</f>
        <v>0</v>
      </c>
      <c r="AE283" s="23" t="n">
        <f aca="false">INDEX(Data_Macro!AE:AE,MATCH($G283,Data_Macro!$A:$A,0))</f>
        <v>0</v>
      </c>
    </row>
    <row r="284" customFormat="false" ht="15" hidden="false" customHeight="false" outlineLevel="0" collapsed="false">
      <c r="B284" s="16" t="s">
        <v>95</v>
      </c>
    </row>
    <row r="285" customFormat="false" ht="15" hidden="false" customHeight="false" outlineLevel="0" collapsed="false">
      <c r="B285" s="8" t="s">
        <v>36</v>
      </c>
      <c r="C285" s="8" t="s">
        <v>37</v>
      </c>
      <c r="D285" s="25" t="s">
        <v>38</v>
      </c>
      <c r="E285" s="8" t="s">
        <v>96</v>
      </c>
      <c r="F285" s="8" t="s">
        <v>97</v>
      </c>
      <c r="G285" s="8" t="s">
        <v>98</v>
      </c>
      <c r="H285" s="8" t="s">
        <v>99</v>
      </c>
      <c r="I285" s="8" t="s">
        <v>100</v>
      </c>
      <c r="J285" s="8" t="s">
        <v>101</v>
      </c>
    </row>
    <row r="286" customFormat="false" ht="15" hidden="false" customHeight="false" outlineLevel="0" collapsed="false">
      <c r="B286" s="17" t="s">
        <v>53</v>
      </c>
      <c r="C286" s="17" t="str">
        <f aca="false">$C$247</f>
        <v>irn</v>
      </c>
      <c r="D286" s="26" t="s">
        <v>102</v>
      </c>
      <c r="E286" s="27" t="n">
        <f aca="false">INDEX(Data_Elast!$D:$G,MATCH("el_inc_"&amp;INDEX(Data_Elast!$J:$J,MATCH($B286,Data_Elast!$I:$I,0)),Data_Elast!$A:$A,0),MATCH(Settings!$B$5,Data_Elast!$D$1:$G$1,0))</f>
        <v>0.5</v>
      </c>
      <c r="F286" s="27" t="n">
        <f aca="false">INDEX(Data_Elast!$D:$G,MATCH("el_dem_"&amp;INDEX(Data_Elast!$J:$J,MATCH($B286,Data_Elast!$I:$I,0)),Data_Elast!$A:$A,0),MATCH(Settings!$B$5,Data_Elast!$D$1:$G$1,0))</f>
        <v>-0.3</v>
      </c>
      <c r="G286" s="27" t="n">
        <f aca="false">INDEX(Data_Elast!$D:$G,MATCH("el_eff_"&amp;INDEX(Data_Elast!$J:$J,MATCH($B286,Data_Elast!$I:$I,0)),Data_Elast!$A:$A,0),MATCH(Settings!$B$5,Data_Elast!$D$1:$G$1,0))</f>
        <v>-0.4</v>
      </c>
      <c r="H286" s="27" t="n">
        <f aca="false">INDEX(Data_Elast!$D:$G,MATCH("eff_imp_"&amp;INDEX(Data_Elast!$K:$K,MATCH($B286,Data_Elast!$I:$I,0)),Data_Elast!$A:$A,0),MATCH(Settings!$B$5,Data_Elast!$D$1:$G$1,0))</f>
        <v>0.005</v>
      </c>
      <c r="I286" s="27" t="n">
        <f aca="false">Settings!$B$7</f>
        <v>0</v>
      </c>
      <c r="J286" s="19" t="str">
        <f aca="false">INDEX(Data_Elast!$J:$J,MATCH($B286,Data_Elast!$I:$I,0))</f>
        <v>coa</v>
      </c>
    </row>
    <row r="287" customFormat="false" ht="15" hidden="false" customHeight="false" outlineLevel="0" collapsed="false">
      <c r="B287" s="17" t="s">
        <v>57</v>
      </c>
      <c r="C287" s="17" t="str">
        <f aca="false">$C$247</f>
        <v>irn</v>
      </c>
      <c r="D287" s="26" t="s">
        <v>103</v>
      </c>
      <c r="E287" s="27" t="n">
        <f aca="false">INDEX(Data_Elast!$D:$G,MATCH("el_inc_"&amp;INDEX(Data_Elast!$J:$J,MATCH($B287,Data_Elast!$I:$I,0)),Data_Elast!$A:$A,0),MATCH(Settings!$B$5,Data_Elast!$D$1:$G$1,0))</f>
        <v>1</v>
      </c>
      <c r="F287" s="27" t="n">
        <f aca="false">INDEX(Data_Elast!$D:$G,MATCH("el_dem_"&amp;INDEX(Data_Elast!$J:$J,MATCH($B287,Data_Elast!$I:$I,0)),Data_Elast!$A:$A,0),MATCH(Settings!$B$5,Data_Elast!$D$1:$G$1,0))</f>
        <v>-0.5</v>
      </c>
      <c r="G287" s="27" t="n">
        <f aca="false">INDEX(Data_Elast!$D:$G,MATCH("el_eff_"&amp;INDEX(Data_Elast!$J:$J,MATCH($B287,Data_Elast!$I:$I,0)),Data_Elast!$A:$A,0),MATCH(Settings!$B$5,Data_Elast!$D$1:$G$1,0))</f>
        <v>-0.5</v>
      </c>
      <c r="H287" s="27" t="n">
        <f aca="false">INDEX(Data_Elast!$D:$G,MATCH("eff_imp_"&amp;INDEX(Data_Elast!$K:$K,MATCH($B287,Data_Elast!$I:$I,0)),Data_Elast!$A:$A,0),MATCH(Settings!$B$5,Data_Elast!$D$1:$G$1,0))</f>
        <v>0.01</v>
      </c>
      <c r="I287" s="27" t="n">
        <f aca="false">Settings!$B$7</f>
        <v>0</v>
      </c>
      <c r="J287" s="19" t="str">
        <f aca="false">INDEX(Data_Elast!$J:$J,MATCH($B287,Data_Elast!$I:$I,0))</f>
        <v>nga</v>
      </c>
    </row>
    <row r="288" customFormat="false" ht="15" hidden="false" customHeight="false" outlineLevel="0" collapsed="false">
      <c r="B288" s="17" t="s">
        <v>59</v>
      </c>
      <c r="C288" s="17" t="str">
        <f aca="false">$C$247</f>
        <v>irn</v>
      </c>
      <c r="D288" s="26" t="s">
        <v>104</v>
      </c>
      <c r="E288" s="27" t="n">
        <f aca="false">INDEX(Data_Elast!$D:$G,MATCH("el_inc_"&amp;INDEX(Data_Elast!$J:$J,MATCH($B288,Data_Elast!$I:$I,0)),Data_Elast!$A:$A,0),MATCH(Settings!$B$5,Data_Elast!$D$1:$G$1,0))</f>
        <v>0.5</v>
      </c>
      <c r="F288" s="27" t="n">
        <f aca="false">INDEX(Data_Elast!$D:$G,MATCH("el_dem_"&amp;INDEX(Data_Elast!$J:$J,MATCH($B288,Data_Elast!$I:$I,0)),Data_Elast!$A:$A,0),MATCH(Settings!$B$5,Data_Elast!$D$1:$G$1,0))</f>
        <v>-0.4</v>
      </c>
      <c r="G288" s="27" t="n">
        <f aca="false">INDEX(Data_Elast!$D:$G,MATCH("el_eff_"&amp;INDEX(Data_Elast!$J:$J,MATCH($B288,Data_Elast!$I:$I,0)),Data_Elast!$A:$A,0),MATCH(Settings!$B$5,Data_Elast!$D$1:$G$1,0))</f>
        <v>-0.7</v>
      </c>
      <c r="H288" s="27" t="n">
        <f aca="false">INDEX(Data_Elast!$D:$G,MATCH("eff_imp_"&amp;INDEX(Data_Elast!$K:$K,MATCH($B288,Data_Elast!$I:$I,0)),Data_Elast!$A:$A,0),MATCH(Settings!$B$5,Data_Elast!$D$1:$G$1,0))</f>
        <v>0.005</v>
      </c>
      <c r="I288" s="27" t="n">
        <f aca="false">Settings!$B$7</f>
        <v>0</v>
      </c>
      <c r="J288" s="19" t="str">
        <f aca="false">INDEX(Data_Elast!$J:$J,MATCH($B288,Data_Elast!$I:$I,0))</f>
        <v>gso</v>
      </c>
    </row>
    <row r="289" customFormat="false" ht="15" hidden="false" customHeight="false" outlineLevel="0" collapsed="false">
      <c r="B289" s="17" t="s">
        <v>62</v>
      </c>
      <c r="C289" s="17" t="str">
        <f aca="false">$C$247</f>
        <v>irn</v>
      </c>
      <c r="D289" s="26" t="s">
        <v>105</v>
      </c>
      <c r="E289" s="27" t="n">
        <f aca="false">INDEX(Data_Elast!$D:$G,MATCH("el_inc_"&amp;INDEX(Data_Elast!$J:$J,MATCH($B289,Data_Elast!$I:$I,0)),Data_Elast!$A:$A,0),MATCH(Settings!$B$5,Data_Elast!$D$1:$G$1,0))</f>
        <v>0.5</v>
      </c>
      <c r="F289" s="27" t="n">
        <f aca="false">INDEX(Data_Elast!$D:$G,MATCH("el_dem_"&amp;INDEX(Data_Elast!$J:$J,MATCH($B289,Data_Elast!$I:$I,0)),Data_Elast!$A:$A,0),MATCH(Settings!$B$5,Data_Elast!$D$1:$G$1,0))</f>
        <v>-0.7</v>
      </c>
      <c r="G289" s="27" t="n">
        <f aca="false">INDEX(Data_Elast!$D:$G,MATCH("el_eff_"&amp;INDEX(Data_Elast!$J:$J,MATCH($B289,Data_Elast!$I:$I,0)),Data_Elast!$A:$A,0),MATCH(Settings!$B$5,Data_Elast!$D$1:$G$1,0))</f>
        <v>-1.2</v>
      </c>
      <c r="H289" s="27" t="n">
        <f aca="false">INDEX(Data_Elast!$D:$G,MATCH("eff_imp_"&amp;INDEX(Data_Elast!$K:$K,MATCH($B289,Data_Elast!$I:$I,0)),Data_Elast!$A:$A,0),MATCH(Settings!$B$5,Data_Elast!$D$1:$G$1,0))</f>
        <v>0.005</v>
      </c>
      <c r="I289" s="27" t="n">
        <f aca="false">Settings!$B$7</f>
        <v>0</v>
      </c>
      <c r="J289" s="19" t="str">
        <f aca="false">INDEX(Data_Elast!$J:$J,MATCH($B289,Data_Elast!$I:$I,0))</f>
        <v>die</v>
      </c>
    </row>
    <row r="290" customFormat="false" ht="15" hidden="false" customHeight="false" outlineLevel="0" collapsed="false">
      <c r="B290" s="17" t="s">
        <v>64</v>
      </c>
      <c r="C290" s="17" t="str">
        <f aca="false">$C$247</f>
        <v>irn</v>
      </c>
      <c r="D290" s="26" t="s">
        <v>106</v>
      </c>
      <c r="E290" s="27" t="n">
        <f aca="false">INDEX(Data_Elast!$D:$G,MATCH("el_inc_"&amp;INDEX(Data_Elast!$J:$J,MATCH($B290,Data_Elast!$I:$I,0)),Data_Elast!$A:$A,0),MATCH(Settings!$B$5,Data_Elast!$D$1:$G$1,0))</f>
        <v>0.8</v>
      </c>
      <c r="F290" s="27" t="n">
        <f aca="false">INDEX(Data_Elast!$D:$G,MATCH("el_dem_"&amp;INDEX(Data_Elast!$J:$J,MATCH($B290,Data_Elast!$I:$I,0)),Data_Elast!$A:$A,0),MATCH(Settings!$B$5,Data_Elast!$D$1:$G$1,0))</f>
        <v>-0.4</v>
      </c>
      <c r="G290" s="27" t="n">
        <f aca="false">INDEX(Data_Elast!$D:$G,MATCH("el_eff_"&amp;INDEX(Data_Elast!$J:$J,MATCH($B290,Data_Elast!$I:$I,0)),Data_Elast!$A:$A,0),MATCH(Settings!$B$5,Data_Elast!$D$1:$G$1,0))</f>
        <v>-0.4</v>
      </c>
      <c r="H290" s="27" t="n">
        <f aca="false">INDEX(Data_Elast!$D:$G,MATCH("eff_imp_"&amp;INDEX(Data_Elast!$K:$K,MATCH($B290,Data_Elast!$I:$I,0)),Data_Elast!$A:$A,0),MATCH(Settings!$B$5,Data_Elast!$D$1:$G$1,0))</f>
        <v>0.005</v>
      </c>
      <c r="I290" s="27" t="n">
        <f aca="false">Settings!$B$7</f>
        <v>0</v>
      </c>
      <c r="J290" s="19" t="str">
        <f aca="false">INDEX(Data_Elast!$J:$J,MATCH($B290,Data_Elast!$I:$I,0))</f>
        <v>oil</v>
      </c>
    </row>
    <row r="291" customFormat="false" ht="15" hidden="false" customHeight="false" outlineLevel="0" collapsed="false">
      <c r="B291" s="17" t="s">
        <v>66</v>
      </c>
      <c r="C291" s="17" t="str">
        <f aca="false">$C$247</f>
        <v>irn</v>
      </c>
      <c r="D291" s="26" t="s">
        <v>107</v>
      </c>
      <c r="E291" s="27" t="n">
        <f aca="false">INDEX(Data_Elast!$D:$G,MATCH("el_inc_"&amp;INDEX(Data_Elast!$J:$J,MATCH($B291,Data_Elast!$I:$I,0)),Data_Elast!$A:$A,0),MATCH(Settings!$B$5,Data_Elast!$D$1:$G$1,0))</f>
        <v>0.8</v>
      </c>
      <c r="F291" s="27" t="n">
        <f aca="false">INDEX(Data_Elast!$D:$G,MATCH("el_dem_"&amp;INDEX(Data_Elast!$J:$J,MATCH($B291,Data_Elast!$I:$I,0)),Data_Elast!$A:$A,0),MATCH(Settings!$B$5,Data_Elast!$D$1:$G$1,0))</f>
        <v>-0.4</v>
      </c>
      <c r="G291" s="27" t="n">
        <f aca="false">INDEX(Data_Elast!$D:$G,MATCH("el_eff_"&amp;INDEX(Data_Elast!$J:$J,MATCH($B291,Data_Elast!$I:$I,0)),Data_Elast!$A:$A,0),MATCH(Settings!$B$5,Data_Elast!$D$1:$G$1,0))</f>
        <v>-0.4</v>
      </c>
      <c r="H291" s="27" t="n">
        <f aca="false">INDEX(Data_Elast!$D:$G,MATCH("eff_imp_"&amp;INDEX(Data_Elast!$K:$K,MATCH($B291,Data_Elast!$I:$I,0)),Data_Elast!$A:$A,0),MATCH(Settings!$B$5,Data_Elast!$D$1:$G$1,0))</f>
        <v>0.005</v>
      </c>
      <c r="I291" s="27" t="n">
        <f aca="false">Settings!$B$7</f>
        <v>0</v>
      </c>
      <c r="J291" s="19" t="str">
        <f aca="false">INDEX(Data_Elast!$J:$J,MATCH($B291,Data_Elast!$I:$I,0))</f>
        <v>oil</v>
      </c>
    </row>
    <row r="292" customFormat="false" ht="15" hidden="false" customHeight="false" outlineLevel="0" collapsed="false">
      <c r="B292" s="17" t="s">
        <v>68</v>
      </c>
      <c r="C292" s="17" t="str">
        <f aca="false">$C$247</f>
        <v>irn</v>
      </c>
      <c r="D292" s="26" t="s">
        <v>108</v>
      </c>
      <c r="E292" s="27" t="n">
        <f aca="false">INDEX(Data_Elast!$D:$G,MATCH("el_inc_"&amp;INDEX(Data_Elast!$J:$J,MATCH($B292,Data_Elast!$I:$I,0)),Data_Elast!$A:$A,0),MATCH(Settings!$B$5,Data_Elast!$D$1:$G$1,0))</f>
        <v>0.8</v>
      </c>
      <c r="F292" s="27" t="n">
        <f aca="false">INDEX(Data_Elast!$D:$G,MATCH("el_dem_"&amp;INDEX(Data_Elast!$J:$J,MATCH($B292,Data_Elast!$I:$I,0)),Data_Elast!$A:$A,0),MATCH(Settings!$B$5,Data_Elast!$D$1:$G$1,0))</f>
        <v>-0.4</v>
      </c>
      <c r="G292" s="27" t="n">
        <f aca="false">INDEX(Data_Elast!$D:$G,MATCH("el_eff_"&amp;INDEX(Data_Elast!$J:$J,MATCH($B292,Data_Elast!$I:$I,0)),Data_Elast!$A:$A,0),MATCH(Settings!$B$5,Data_Elast!$D$1:$G$1,0))</f>
        <v>-0.4</v>
      </c>
      <c r="H292" s="27" t="n">
        <f aca="false">INDEX(Data_Elast!$D:$G,MATCH("eff_imp_"&amp;INDEX(Data_Elast!$K:$K,MATCH($B292,Data_Elast!$I:$I,0)),Data_Elast!$A:$A,0),MATCH(Settings!$B$5,Data_Elast!$D$1:$G$1,0))</f>
        <v>0.005</v>
      </c>
      <c r="I292" s="27" t="n">
        <f aca="false">Settings!$B$7</f>
        <v>0</v>
      </c>
      <c r="J292" s="19" t="str">
        <f aca="false">INDEX(Data_Elast!$J:$J,MATCH($B292,Data_Elast!$I:$I,0))</f>
        <v>oil</v>
      </c>
    </row>
    <row r="293" customFormat="false" ht="15" hidden="false" customHeight="false" outlineLevel="0" collapsed="false">
      <c r="B293" s="17" t="s">
        <v>71</v>
      </c>
      <c r="C293" s="17" t="str">
        <f aca="false">$C$247</f>
        <v>irn</v>
      </c>
      <c r="D293" s="26" t="s">
        <v>109</v>
      </c>
      <c r="E293" s="27" t="n">
        <f aca="false">INDEX(Data_Elast!$D:$G,MATCH("el_inc_"&amp;INDEX(Data_Elast!$J:$J,MATCH($B293,Data_Elast!$I:$I,0)),Data_Elast!$A:$A,0),MATCH(Settings!$B$5,Data_Elast!$D$1:$G$1,0))</f>
        <v>0.1</v>
      </c>
      <c r="F293" s="27" t="n">
        <f aca="false">INDEX(Data_Elast!$D:$G,MATCH("el_dem_"&amp;INDEX(Data_Elast!$J:$J,MATCH($B293,Data_Elast!$I:$I,0)),Data_Elast!$A:$A,0),MATCH(Settings!$B$5,Data_Elast!$D$1:$G$1,0))</f>
        <v>-0.3</v>
      </c>
      <c r="G293" s="27" t="n">
        <f aca="false">INDEX(Data_Elast!$D:$G,MATCH("el_eff_"&amp;INDEX(Data_Elast!$J:$J,MATCH($B293,Data_Elast!$I:$I,0)),Data_Elast!$A:$A,0),MATCH(Settings!$B$5,Data_Elast!$D$1:$G$1,0))</f>
        <v>-0.2</v>
      </c>
      <c r="H293" s="27" t="n">
        <f aca="false">INDEX(Data_Elast!$D:$G,MATCH("eff_imp_"&amp;INDEX(Data_Elast!$K:$K,MATCH($B293,Data_Elast!$I:$I,0)),Data_Elast!$A:$A,0),MATCH(Settings!$B$5,Data_Elast!$D$1:$G$1,0))</f>
        <v>0.005</v>
      </c>
      <c r="I293" s="27" t="n">
        <f aca="false">Settings!$B$7</f>
        <v>0</v>
      </c>
      <c r="J293" s="19" t="str">
        <f aca="false">INDEX(Data_Elast!$J:$J,MATCH($B293,Data_Elast!$I:$I,0))</f>
        <v>bio</v>
      </c>
    </row>
    <row r="294" customFormat="false" ht="15" hidden="false" customHeight="false" outlineLevel="0" collapsed="false">
      <c r="B294" s="17" t="s">
        <v>73</v>
      </c>
      <c r="C294" s="17" t="str">
        <f aca="false">$C$247</f>
        <v>irn</v>
      </c>
      <c r="D294" s="26" t="s">
        <v>110</v>
      </c>
      <c r="E294" s="27" t="n">
        <f aca="false">INDEX(Data_Elast!$D:$G,MATCH("el_inc_"&amp;INDEX(Data_Elast!$J:$J,MATCH($B294,Data_Elast!$I:$I,0)),Data_Elast!$A:$A,0),MATCH(Settings!$B$5,Data_Elast!$D$1:$G$1,0))</f>
        <v>0.8</v>
      </c>
      <c r="F294" s="27" t="n">
        <f aca="false">INDEX(Data_Elast!$D:$G,MATCH("el_dem_"&amp;INDEX(Data_Elast!$J:$J,MATCH($B294,Data_Elast!$I:$I,0)),Data_Elast!$A:$A,0),MATCH(Settings!$B$5,Data_Elast!$D$1:$G$1,0))</f>
        <v>-0.5</v>
      </c>
      <c r="G294" s="27" t="n">
        <f aca="false">INDEX(Data_Elast!$D:$G,MATCH("el_eff_"&amp;INDEX(Data_Elast!$J:$J,MATCH($B294,Data_Elast!$I:$I,0)),Data_Elast!$A:$A,0),MATCH(Settings!$B$5,Data_Elast!$D$1:$G$1,0))</f>
        <v>-0.4</v>
      </c>
      <c r="H294" s="27" t="n">
        <f aca="false">INDEX(Data_Elast!$D:$G,MATCH("eff_imp_"&amp;INDEX(Data_Elast!$K:$K,MATCH($B294,Data_Elast!$I:$I,0)),Data_Elast!$A:$A,0),MATCH(Settings!$B$5,Data_Elast!$D$1:$G$1,0))</f>
        <v>0.005</v>
      </c>
      <c r="I294" s="27" t="n">
        <f aca="false">Settings!$B$7</f>
        <v>0</v>
      </c>
      <c r="J294" s="19" t="str">
        <f aca="false">INDEX(Data_Elast!$J:$J,MATCH($B294,Data_Elast!$I:$I,0))</f>
        <v>ren</v>
      </c>
    </row>
    <row r="295" customFormat="false" ht="15" hidden="false" customHeight="false" outlineLevel="0" collapsed="false">
      <c r="B295" s="16" t="s">
        <v>111</v>
      </c>
    </row>
    <row r="296" customFormat="false" ht="15" hidden="false" customHeight="false" outlineLevel="0" collapsed="false">
      <c r="B296" s="17" t="s">
        <v>53</v>
      </c>
      <c r="C296" s="17" t="str">
        <f aca="false">$C$247</f>
        <v>irn</v>
      </c>
      <c r="D296" s="18" t="s">
        <v>54</v>
      </c>
      <c r="E296" s="19" t="s">
        <v>112</v>
      </c>
      <c r="F296" s="17" t="s">
        <v>113</v>
      </c>
      <c r="G296" s="20" t="str">
        <f aca="false">Settings!$B$3&amp;".mit.enc."&amp;$B296</f>
        <v>egy.mit.enc.coa</v>
      </c>
      <c r="H296" s="21" t="str">
        <f aca="false">Settings!$B$3&amp;".mit.ener."&amp;$C$247&amp;"."&amp;$B296&amp;".e."&amp;$J$247</f>
        <v>egy.mit.ener.irn.coa.e.2</v>
      </c>
      <c r="L296" s="28" t="n">
        <f aca="false">INDEX(Data_Energy!$D$3:$U$22,MATCH($B296,Data_Energy!$C$3:$C$22,0),MATCH($C296,Data_Energy!$D$2:$U$2,0))</f>
        <v>232.657354770131</v>
      </c>
      <c r="M296" s="29" t="n">
        <f aca="false">L296*(1+M$281)^($E286*M$282)*(1+M$283)*IF(L259&lt;=0,1,M259/L259)^$F286*(IF(L269&lt;=0,1,M269/L269)^$G286/(1+$H286+$I286))^(1+$F286)</f>
        <v>189.452656106887</v>
      </c>
      <c r="N296" s="29" t="n">
        <f aca="false">M296*(1+N$281)^($E286*N$282)*(1+N$283)*IF(M259&lt;=0,1,N259/M259)^$F286*(IF(M269&lt;=0,1,N269/M269)^$G286/(1+$H286+$I286))^(1+$F286)</f>
        <v>217.728838709141</v>
      </c>
      <c r="O296" s="29" t="n">
        <f aca="false">N296*(1+O$281)^($E286*O$282)*(1+O$283)*IF(N259&lt;=0,1,O259/N259)^$F286*(IF(N269&lt;=0,1,O269/N269)^$G286/(1+$H286+$I286))^(1+$F286)</f>
        <v>237.897930150489</v>
      </c>
      <c r="P296" s="29" t="n">
        <f aca="false">O296*(1+P$281)^($E286*P$282)*(1+P$283)*IF(O259&lt;=0,1,P259/O259)^$F286*(IF(O269&lt;=0,1,P269/O269)^$G286/(1+$H286+$I286))^(1+$F286)</f>
        <v>232.650069031245</v>
      </c>
      <c r="Q296" s="29" t="n">
        <f aca="false">P296*(1+Q$281)^($E286*Q$282)*(1+Q$283)*IF(P259&lt;=0,1,Q259/P259)^$F286*(IF(P269&lt;=0,1,Q269/P269)^$G286/(1+$H286+$I286))^(1+$F286)</f>
        <v>218.618471368115</v>
      </c>
      <c r="R296" s="29" t="n">
        <f aca="false">Q296*(1+R$281)^($E286*R$282)*(1+R$283)*IF(Q259&lt;=0,1,R259/Q259)^$F286*(IF(Q269&lt;=0,1,R269/Q269)^$G286/(1+$H286+$I286))^(1+$F286)</f>
        <v>210.284986903495</v>
      </c>
      <c r="S296" s="29" t="n">
        <f aca="false">R296*(1+S$281)^($E286*S$282)*(1+S$283)*IF(R259&lt;=0,1,S259/R259)^$F286*(IF(R269&lt;=0,1,S269/R269)^$G286/(1+$H286+$I286))^(1+$F286)</f>
        <v>203.146439638976</v>
      </c>
      <c r="T296" s="29" t="n">
        <f aca="false">S296*(1+T$281)^($E286*T$282)*(1+T$283)*IF(S259&lt;=0,1,T259/S259)^$F286*(IF(S269&lt;=0,1,T269/S269)^$G286/(1+$H286+$I286))^(1+$F286)</f>
        <v>196.842308863218</v>
      </c>
      <c r="U296" s="29" t="n">
        <f aca="false">T296*(1+U$281)^($E286*U$282)*(1+U$283)*IF(T259&lt;=0,1,U259/T259)^$F286*(IF(T269&lt;=0,1,U269/T269)^$G286/(1+$H286+$I286))^(1+$F286)</f>
        <v>191.39075749538</v>
      </c>
      <c r="V296" s="29" t="n">
        <f aca="false">U296*(1+V$281)^($E286*V$282)*(1+V$283)*IF(U259&lt;=0,1,V259/U259)^$F286*(IF(U269&lt;=0,1,V269/U269)^$G286/(1+$H286+$I286))^(1+$F286)</f>
        <v>186.217881149256</v>
      </c>
      <c r="W296" s="29" t="n">
        <f aca="false">V296*(1+W$281)^($E286*W$282)*(1+W$283)*IF(V259&lt;=0,1,W259/V259)^$F286*(IF(V269&lt;=0,1,W269/V269)^$G286/(1+$H286+$I286))^(1+$F286)</f>
        <v>181.780087995083</v>
      </c>
      <c r="X296" s="29" t="n">
        <f aca="false">W296*(1+X$281)^($E286*X$282)*(1+X$283)*IF(W259&lt;=0,1,X259/W259)^$F286*(IF(W269&lt;=0,1,X269/W269)^$G286/(1+$H286+$I286))^(1+$F286)</f>
        <v>177.973491872085</v>
      </c>
      <c r="Y296" s="29" t="n">
        <f aca="false">X296*(1+Y$281)^($E286*Y$282)*(1+Y$283)*IF(X259&lt;=0,1,Y259/X259)^$F286*(IF(X269&lt;=0,1,Y269/X269)^$G286/(1+$H286+$I286))^(1+$F286)</f>
        <v>174.726352563084</v>
      </c>
      <c r="Z296" s="29" t="n">
        <f aca="false">Y296*(1+Z$281)^($E286*Z$282)*(1+Z$283)*IF(Y259&lt;=0,1,Z259/Y259)^$F286*(IF(Y269&lt;=0,1,Z269/Y269)^$G286/(1+$H286+$I286))^(1+$F286)</f>
        <v>171.999286703688</v>
      </c>
      <c r="AA296" s="29" t="n">
        <f aca="false">Z296*(1+AA$281)^($E286*AA$282)*(1+AA$283)*IF(Z259&lt;=0,1,AA259/Z259)^$F286*(IF(Z269&lt;=0,1,AA269/Z269)^$G286/(1+$H286+$I286))^(1+$F286)</f>
        <v>169.743912191121</v>
      </c>
      <c r="AB296" s="29" t="n">
        <f aca="false">AA296*(1+AB$281)^($E286*AB$282)*(1+AB$283)*IF(AA259&lt;=0,1,AB259/AA259)^$F286*(IF(AA269&lt;=0,1,AB269/AA269)^$G286/(1+$H286+$I286))^(1+$F286)</f>
        <v>167.914656525018</v>
      </c>
      <c r="AC296" s="29" t="n">
        <f aca="false">AB296*(1+AC$281)^($E286*AC$282)*(1+AC$283)*IF(AB259&lt;=0,1,AC259/AB259)^$F286*(IF(AB269&lt;=0,1,AC269/AB269)^$G286/(1+$H286+$I286))^(1+$F286)</f>
        <v>166.456009647827</v>
      </c>
      <c r="AD296" s="29" t="n">
        <f aca="false">AC296*(1+AD$281)^($E286*AD$282)*(1+AD$283)*IF(AC259&lt;=0,1,AD259/AC259)^$F286*(IF(AC269&lt;=0,1,AD269/AC269)^$G286/(1+$H286+$I286))^(1+$F286)</f>
        <v>165.321234711665</v>
      </c>
      <c r="AE296" s="29" t="n">
        <f aca="false">AD296*(1+AE$281)^($E286*AE$282)*(1+AE$283)*IF(AD259&lt;=0,1,AE259/AD259)^$F286*(IF(AD269&lt;=0,1,AE269/AD269)^$G286/(1+$H286+$I286))^(1+$F286)</f>
        <v>164.473168735151</v>
      </c>
    </row>
    <row r="297" customFormat="false" ht="15" hidden="false" customHeight="false" outlineLevel="0" collapsed="false">
      <c r="B297" s="17" t="s">
        <v>57</v>
      </c>
      <c r="C297" s="17" t="str">
        <f aca="false">$C$247</f>
        <v>irn</v>
      </c>
      <c r="D297" s="18" t="s">
        <v>58</v>
      </c>
      <c r="E297" s="19" t="s">
        <v>112</v>
      </c>
      <c r="F297" s="17" t="s">
        <v>113</v>
      </c>
      <c r="G297" s="20" t="str">
        <f aca="false">Settings!$B$3&amp;".mit.enc."&amp;$B297</f>
        <v>egy.mit.enc.nga</v>
      </c>
      <c r="H297" s="21" t="str">
        <f aca="false">Settings!$B$3&amp;".mit.ener."&amp;$C$247&amp;"."&amp;$B297&amp;".e."&amp;$J$247</f>
        <v>egy.mit.ener.irn.nga.e.2</v>
      </c>
      <c r="L297" s="28" t="n">
        <f aca="false">INDEX(Data_Energy!$D$3:$U$22,MATCH($B297,Data_Energy!$C$3:$C$22,0),MATCH($C297,Data_Energy!$D$2:$U$2,0))</f>
        <v>1669.05671904213</v>
      </c>
      <c r="M297" s="29" t="n">
        <f aca="false">L297*(1+M$281)^($E287*M$282)*(1+M$283)*IF(L260&lt;=0,1,M260/L260)^$F287*(IF(L270&lt;=0,1,M270/L270)^$G287/(1+$H287+$I287))^(1+$F287)</f>
        <v>1431.77752088248</v>
      </c>
      <c r="N297" s="29" t="n">
        <f aca="false">M297*(1+N$281)^($E287*N$282)*(1+N$283)*IF(M260&lt;=0,1,N260/M260)^$F287*(IF(M270&lt;=0,1,N270/M270)^$G287/(1+$H287+$I287))^(1+$F287)</f>
        <v>1603.11808152123</v>
      </c>
      <c r="O297" s="29" t="n">
        <f aca="false">N297*(1+O$281)^($E287*O$282)*(1+O$283)*IF(N260&lt;=0,1,O260/N260)^$F287*(IF(N270&lt;=0,1,O270/N270)^$G287/(1+$H287+$I287))^(1+$F287)</f>
        <v>1666.46910747486</v>
      </c>
      <c r="P297" s="29" t="n">
        <f aca="false">O297*(1+P$281)^($E287*P$282)*(1+P$283)*IF(O260&lt;=0,1,P260/O260)^$F287*(IF(O270&lt;=0,1,P270/O270)^$G287/(1+$H287+$I287))^(1+$F287)</f>
        <v>1729.05195222199</v>
      </c>
      <c r="Q297" s="29" t="n">
        <f aca="false">P297*(1+Q$281)^($E287*Q$282)*(1+Q$283)*IF(P260&lt;=0,1,Q260/P260)^$F287*(IF(P270&lt;=0,1,Q270/P270)^$G287/(1+$H287+$I287))^(1+$F287)</f>
        <v>1637.78632580039</v>
      </c>
      <c r="R297" s="29" t="n">
        <f aca="false">Q297*(1+R$281)^($E287*R$282)*(1+R$283)*IF(Q260&lt;=0,1,R260/Q260)^$F287*(IF(Q270&lt;=0,1,R270/Q270)^$G287/(1+$H287+$I287))^(1+$F287)</f>
        <v>1578.66423029268</v>
      </c>
      <c r="S297" s="29" t="n">
        <f aca="false">R297*(1+S$281)^($E287*S$282)*(1+S$283)*IF(R260&lt;=0,1,S260/R260)^$F287*(IF(R270&lt;=0,1,S270/R270)^$G287/(1+$H287+$I287))^(1+$F287)</f>
        <v>1529.18642645785</v>
      </c>
      <c r="T297" s="29" t="n">
        <f aca="false">S297*(1+T$281)^($E287*T$282)*(1+T$283)*IF(S260&lt;=0,1,T260/S260)^$F287*(IF(S270&lt;=0,1,T270/S270)^$G287/(1+$H287+$I287))^(1+$F287)</f>
        <v>1485.54624416421</v>
      </c>
      <c r="U297" s="29" t="n">
        <f aca="false">T297*(1+U$281)^($E287*U$282)*(1+U$283)*IF(T260&lt;=0,1,U260/T260)^$F287*(IF(T270&lt;=0,1,U270/T270)^$G287/(1+$H287+$I287))^(1+$F287)</f>
        <v>1450.07735137627</v>
      </c>
      <c r="V297" s="29" t="n">
        <f aca="false">U297*(1+V$281)^($E287*V$282)*(1+V$283)*IF(U260&lt;=0,1,V260/U260)^$F287*(IF(U270&lt;=0,1,V270/U270)^$G287/(1+$H287+$I287))^(1+$F287)</f>
        <v>1421.68890759584</v>
      </c>
      <c r="W297" s="29" t="n">
        <f aca="false">V297*(1+W$281)^($E287*W$282)*(1+W$283)*IF(V260&lt;=0,1,W260/V260)^$F287*(IF(V270&lt;=0,1,W270/V270)^$G287/(1+$H287+$I287))^(1+$F287)</f>
        <v>1399.58115789727</v>
      </c>
      <c r="X297" s="29" t="n">
        <f aca="false">W297*(1+X$281)^($E287*X$282)*(1+X$283)*IF(W260&lt;=0,1,X260/W260)^$F287*(IF(W270&lt;=0,1,X270/W270)^$G287/(1+$H287+$I287))^(1+$F287)</f>
        <v>1383.05404578153</v>
      </c>
      <c r="Y297" s="29" t="n">
        <f aca="false">X297*(1+Y$281)^($E287*Y$282)*(1+Y$283)*IF(X260&lt;=0,1,Y260/X260)^$F287*(IF(X270&lt;=0,1,Y270/X270)^$G287/(1+$H287+$I287))^(1+$F287)</f>
        <v>1371.7254363433</v>
      </c>
      <c r="Z297" s="29" t="n">
        <f aca="false">Y297*(1+Z$281)^($E287*Z$282)*(1+Z$283)*IF(Y260&lt;=0,1,Z260/Y260)^$F287*(IF(Y270&lt;=0,1,Z270/Y270)^$G287/(1+$H287+$I287))^(1+$F287)</f>
        <v>1365.59511084898</v>
      </c>
      <c r="AA297" s="29" t="n">
        <f aca="false">Z297*(1+AA$281)^($E287*AA$282)*(1+AA$283)*IF(Z260&lt;=0,1,AA260/Z260)^$F287*(IF(Z270&lt;=0,1,AA270/Z270)^$G287/(1+$H287+$I287))^(1+$F287)</f>
        <v>1364.43418952399</v>
      </c>
      <c r="AB297" s="29" t="n">
        <f aca="false">AA297*(1+AB$281)^($E287*AB$282)*(1+AB$283)*IF(AA260&lt;=0,1,AB260/AA260)^$F287*(IF(AA270&lt;=0,1,AB270/AA270)^$G287/(1+$H287+$I287))^(1+$F287)</f>
        <v>1367.98635270479</v>
      </c>
      <c r="AC297" s="29" t="n">
        <f aca="false">AB297*(1+AC$281)^($E287*AC$282)*(1+AC$283)*IF(AB260&lt;=0,1,AC260/AB260)^$F287*(IF(AB270&lt;=0,1,AC270/AB270)^$G287/(1+$H287+$I287))^(1+$F287)</f>
        <v>1375.77030004243</v>
      </c>
      <c r="AD297" s="29" t="n">
        <f aca="false">AC297*(1+AD$281)^($E287*AD$282)*(1+AD$283)*IF(AC260&lt;=0,1,AD260/AC260)^$F287*(IF(AC270&lt;=0,1,AD270/AC270)^$G287/(1+$H287+$I287))^(1+$F287)</f>
        <v>1387.3865840128</v>
      </c>
      <c r="AE297" s="29" t="n">
        <f aca="false">AD297*(1+AE$281)^($E287*AE$282)*(1+AE$283)*IF(AD260&lt;=0,1,AE260/AD260)^$F287*(IF(AD270&lt;=0,1,AE270/AD270)^$G287/(1+$H287+$I287))^(1+$F287)</f>
        <v>1402.5434936424</v>
      </c>
    </row>
    <row r="298" customFormat="false" ht="15" hidden="false" customHeight="false" outlineLevel="0" collapsed="false">
      <c r="B298" s="17" t="s">
        <v>59</v>
      </c>
      <c r="C298" s="17" t="str">
        <f aca="false">$C$247</f>
        <v>irn</v>
      </c>
      <c r="D298" s="18" t="s">
        <v>60</v>
      </c>
      <c r="E298" s="19" t="s">
        <v>112</v>
      </c>
      <c r="F298" s="17" t="s">
        <v>113</v>
      </c>
      <c r="G298" s="20" t="str">
        <f aca="false">Settings!$B$3&amp;".mit.enc."&amp;$B298</f>
        <v>egy.mit.enc.gso</v>
      </c>
      <c r="H298" s="21" t="str">
        <f aca="false">Settings!$B$3&amp;".mit.ener."&amp;$C$247&amp;"."&amp;$B298&amp;".e."&amp;$J$247</f>
        <v>egy.mit.ener.irn.gso.e.2</v>
      </c>
      <c r="L298" s="28" t="n">
        <f aca="false">INDEX(Data_Energy!$D$3:$U$22,MATCH($B298,Data_Energy!$C$3:$C$22,0),MATCH($C298,Data_Energy!$D$2:$U$2,0))</f>
        <v>0</v>
      </c>
      <c r="M298" s="29" t="n">
        <f aca="false">L298*(1+M$281)^($E288*M$282)*(1+M$283)*IF(L261&lt;=0,1,M261/L261)^$F288*(IF(L271&lt;=0,1,M271/L271)^$G288/(1+$H288+$I288))^(1+$F288)</f>
        <v>0</v>
      </c>
      <c r="N298" s="29" t="n">
        <f aca="false">M298*(1+N$281)^($E288*N$282)*(1+N$283)*IF(M261&lt;=0,1,N261/M261)^$F288*(IF(M271&lt;=0,1,N271/M271)^$G288/(1+$H288+$I288))^(1+$F288)</f>
        <v>0</v>
      </c>
      <c r="O298" s="29" t="n">
        <f aca="false">N298*(1+O$281)^($E288*O$282)*(1+O$283)*IF(N261&lt;=0,1,O261/N261)^$F288*(IF(N271&lt;=0,1,O271/N271)^$G288/(1+$H288+$I288))^(1+$F288)</f>
        <v>0</v>
      </c>
      <c r="P298" s="29" t="n">
        <f aca="false">O298*(1+P$281)^($E288*P$282)*(1+P$283)*IF(O261&lt;=0,1,P261/O261)^$F288*(IF(O271&lt;=0,1,P271/O271)^$G288/(1+$H288+$I288))^(1+$F288)</f>
        <v>0</v>
      </c>
      <c r="Q298" s="29" t="n">
        <f aca="false">P298*(1+Q$281)^($E288*Q$282)*(1+Q$283)*IF(P261&lt;=0,1,Q261/P261)^$F288*(IF(P271&lt;=0,1,Q271/P271)^$G288/(1+$H288+$I288))^(1+$F288)</f>
        <v>0</v>
      </c>
      <c r="R298" s="29" t="n">
        <f aca="false">Q298*(1+R$281)^($E288*R$282)*(1+R$283)*IF(Q261&lt;=0,1,R261/Q261)^$F288*(IF(Q271&lt;=0,1,R271/Q271)^$G288/(1+$H288+$I288))^(1+$F288)</f>
        <v>0</v>
      </c>
      <c r="S298" s="29" t="n">
        <f aca="false">R298*(1+S$281)^($E288*S$282)*(1+S$283)*IF(R261&lt;=0,1,S261/R261)^$F288*(IF(R271&lt;=0,1,S271/R271)^$G288/(1+$H288+$I288))^(1+$F288)</f>
        <v>0</v>
      </c>
      <c r="T298" s="29" t="n">
        <f aca="false">S298*(1+T$281)^($E288*T$282)*(1+T$283)*IF(S261&lt;=0,1,T261/S261)^$F288*(IF(S271&lt;=0,1,T271/S271)^$G288/(1+$H288+$I288))^(1+$F288)</f>
        <v>0</v>
      </c>
      <c r="U298" s="29" t="n">
        <f aca="false">T298*(1+U$281)^($E288*U$282)*(1+U$283)*IF(T261&lt;=0,1,U261/T261)^$F288*(IF(T271&lt;=0,1,U271/T271)^$G288/(1+$H288+$I288))^(1+$F288)</f>
        <v>0</v>
      </c>
      <c r="V298" s="29" t="n">
        <f aca="false">U298*(1+V$281)^($E288*V$282)*(1+V$283)*IF(U261&lt;=0,1,V261/U261)^$F288*(IF(U271&lt;=0,1,V271/U271)^$G288/(1+$H288+$I288))^(1+$F288)</f>
        <v>0</v>
      </c>
      <c r="W298" s="29" t="n">
        <f aca="false">V298*(1+W$281)^($E288*W$282)*(1+W$283)*IF(V261&lt;=0,1,W261/V261)^$F288*(IF(V271&lt;=0,1,W271/V271)^$G288/(1+$H288+$I288))^(1+$F288)</f>
        <v>0</v>
      </c>
      <c r="X298" s="29" t="n">
        <f aca="false">W298*(1+X$281)^($E288*X$282)*(1+X$283)*IF(W261&lt;=0,1,X261/W261)^$F288*(IF(W271&lt;=0,1,X271/W271)^$G288/(1+$H288+$I288))^(1+$F288)</f>
        <v>0</v>
      </c>
      <c r="Y298" s="29" t="n">
        <f aca="false">X298*(1+Y$281)^($E288*Y$282)*(1+Y$283)*IF(X261&lt;=0,1,Y261/X261)^$F288*(IF(X271&lt;=0,1,Y271/X271)^$G288/(1+$H288+$I288))^(1+$F288)</f>
        <v>0</v>
      </c>
      <c r="Z298" s="29" t="n">
        <f aca="false">Y298*(1+Z$281)^($E288*Z$282)*(1+Z$283)*IF(Y261&lt;=0,1,Z261/Y261)^$F288*(IF(Y271&lt;=0,1,Z271/Y271)^$G288/(1+$H288+$I288))^(1+$F288)</f>
        <v>0</v>
      </c>
      <c r="AA298" s="29" t="n">
        <f aca="false">Z298*(1+AA$281)^($E288*AA$282)*(1+AA$283)*IF(Z261&lt;=0,1,AA261/Z261)^$F288*(IF(Z271&lt;=0,1,AA271/Z271)^$G288/(1+$H288+$I288))^(1+$F288)</f>
        <v>0</v>
      </c>
      <c r="AB298" s="29" t="n">
        <f aca="false">AA298*(1+AB$281)^($E288*AB$282)*(1+AB$283)*IF(AA261&lt;=0,1,AB261/AA261)^$F288*(IF(AA271&lt;=0,1,AB271/AA271)^$G288/(1+$H288+$I288))^(1+$F288)</f>
        <v>0</v>
      </c>
      <c r="AC298" s="29" t="n">
        <f aca="false">AB298*(1+AC$281)^($E288*AC$282)*(1+AC$283)*IF(AB261&lt;=0,1,AC261/AB261)^$F288*(IF(AB271&lt;=0,1,AC271/AB271)^$G288/(1+$H288+$I288))^(1+$F288)</f>
        <v>0</v>
      </c>
      <c r="AD298" s="29" t="n">
        <f aca="false">AC298*(1+AD$281)^($E288*AD$282)*(1+AD$283)*IF(AC261&lt;=0,1,AD261/AC261)^$F288*(IF(AC271&lt;=0,1,AD271/AC271)^$G288/(1+$H288+$I288))^(1+$F288)</f>
        <v>0</v>
      </c>
      <c r="AE298" s="29" t="n">
        <f aca="false">AD298*(1+AE$281)^($E288*AE$282)*(1+AE$283)*IF(AD261&lt;=0,1,AE261/AD261)^$F288*(IF(AD271&lt;=0,1,AE271/AD271)^$G288/(1+$H288+$I288))^(1+$F288)</f>
        <v>0</v>
      </c>
    </row>
    <row r="299" customFormat="false" ht="15" hidden="false" customHeight="false" outlineLevel="0" collapsed="false">
      <c r="B299" s="17" t="s">
        <v>62</v>
      </c>
      <c r="C299" s="17" t="str">
        <f aca="false">$C$247</f>
        <v>irn</v>
      </c>
      <c r="D299" s="18" t="s">
        <v>63</v>
      </c>
      <c r="E299" s="19" t="s">
        <v>112</v>
      </c>
      <c r="F299" s="17" t="s">
        <v>113</v>
      </c>
      <c r="G299" s="20" t="str">
        <f aca="false">Settings!$B$3&amp;".mit.enc."&amp;$B299</f>
        <v>egy.mit.enc.die</v>
      </c>
      <c r="H299" s="21" t="str">
        <f aca="false">Settings!$B$3&amp;".mit.ener."&amp;$C$247&amp;"."&amp;$B299&amp;".e."&amp;$J$247</f>
        <v>egy.mit.ener.irn.die.e.2</v>
      </c>
      <c r="L299" s="28" t="n">
        <f aca="false">INDEX(Data_Energy!$D$3:$U$22,MATCH($B299,Data_Energy!$C$3:$C$22,0),MATCH($C299,Data_Energy!$D$2:$U$2,0))</f>
        <v>0</v>
      </c>
      <c r="M299" s="29" t="n">
        <f aca="false">L299*(1+M$281)^($E289*M$282)*(1+M$283)*IF(L262&lt;=0,1,M262/L262)^$F289*(IF(L272&lt;=0,1,M272/L272)^$G289/(1+$H289+$I289))^(1+$F289)</f>
        <v>0</v>
      </c>
      <c r="N299" s="29" t="n">
        <f aca="false">M299*(1+N$281)^($E289*N$282)*(1+N$283)*IF(M262&lt;=0,1,N262/M262)^$F289*(IF(M272&lt;=0,1,N272/M272)^$G289/(1+$H289+$I289))^(1+$F289)</f>
        <v>0</v>
      </c>
      <c r="O299" s="29" t="n">
        <f aca="false">N299*(1+O$281)^($E289*O$282)*(1+O$283)*IF(N262&lt;=0,1,O262/N262)^$F289*(IF(N272&lt;=0,1,O272/N272)^$G289/(1+$H289+$I289))^(1+$F289)</f>
        <v>0</v>
      </c>
      <c r="P299" s="29" t="n">
        <f aca="false">O299*(1+P$281)^($E289*P$282)*(1+P$283)*IF(O262&lt;=0,1,P262/O262)^$F289*(IF(O272&lt;=0,1,P272/O272)^$G289/(1+$H289+$I289))^(1+$F289)</f>
        <v>0</v>
      </c>
      <c r="Q299" s="29" t="n">
        <f aca="false">P299*(1+Q$281)^($E289*Q$282)*(1+Q$283)*IF(P262&lt;=0,1,Q262/P262)^$F289*(IF(P272&lt;=0,1,Q272/P272)^$G289/(1+$H289+$I289))^(1+$F289)</f>
        <v>0</v>
      </c>
      <c r="R299" s="29" t="n">
        <f aca="false">Q299*(1+R$281)^($E289*R$282)*(1+R$283)*IF(Q262&lt;=0,1,R262/Q262)^$F289*(IF(Q272&lt;=0,1,R272/Q272)^$G289/(1+$H289+$I289))^(1+$F289)</f>
        <v>0</v>
      </c>
      <c r="S299" s="29" t="n">
        <f aca="false">R299*(1+S$281)^($E289*S$282)*(1+S$283)*IF(R262&lt;=0,1,S262/R262)^$F289*(IF(R272&lt;=0,1,S272/R272)^$G289/(1+$H289+$I289))^(1+$F289)</f>
        <v>0</v>
      </c>
      <c r="T299" s="29" t="n">
        <f aca="false">S299*(1+T$281)^($E289*T$282)*(1+T$283)*IF(S262&lt;=0,1,T262/S262)^$F289*(IF(S272&lt;=0,1,T272/S272)^$G289/(1+$H289+$I289))^(1+$F289)</f>
        <v>0</v>
      </c>
      <c r="U299" s="29" t="n">
        <f aca="false">T299*(1+U$281)^($E289*U$282)*(1+U$283)*IF(T262&lt;=0,1,U262/T262)^$F289*(IF(T272&lt;=0,1,U272/T272)^$G289/(1+$H289+$I289))^(1+$F289)</f>
        <v>0</v>
      </c>
      <c r="V299" s="29" t="n">
        <f aca="false">U299*(1+V$281)^($E289*V$282)*(1+V$283)*IF(U262&lt;=0,1,V262/U262)^$F289*(IF(U272&lt;=0,1,V272/U272)^$G289/(1+$H289+$I289))^(1+$F289)</f>
        <v>0</v>
      </c>
      <c r="W299" s="29" t="n">
        <f aca="false">V299*(1+W$281)^($E289*W$282)*(1+W$283)*IF(V262&lt;=0,1,W262/V262)^$F289*(IF(V272&lt;=0,1,W272/V272)^$G289/(1+$H289+$I289))^(1+$F289)</f>
        <v>0</v>
      </c>
      <c r="X299" s="29" t="n">
        <f aca="false">W299*(1+X$281)^($E289*X$282)*(1+X$283)*IF(W262&lt;=0,1,X262/W262)^$F289*(IF(W272&lt;=0,1,X272/W272)^$G289/(1+$H289+$I289))^(1+$F289)</f>
        <v>0</v>
      </c>
      <c r="Y299" s="29" t="n">
        <f aca="false">X299*(1+Y$281)^($E289*Y$282)*(1+Y$283)*IF(X262&lt;=0,1,Y262/X262)^$F289*(IF(X272&lt;=0,1,Y272/X272)^$G289/(1+$H289+$I289))^(1+$F289)</f>
        <v>0</v>
      </c>
      <c r="Z299" s="29" t="n">
        <f aca="false">Y299*(1+Z$281)^($E289*Z$282)*(1+Z$283)*IF(Y262&lt;=0,1,Z262/Y262)^$F289*(IF(Y272&lt;=0,1,Z272/Y272)^$G289/(1+$H289+$I289))^(1+$F289)</f>
        <v>0</v>
      </c>
      <c r="AA299" s="29" t="n">
        <f aca="false">Z299*(1+AA$281)^($E289*AA$282)*(1+AA$283)*IF(Z262&lt;=0,1,AA262/Z262)^$F289*(IF(Z272&lt;=0,1,AA272/Z272)^$G289/(1+$H289+$I289))^(1+$F289)</f>
        <v>0</v>
      </c>
      <c r="AB299" s="29" t="n">
        <f aca="false">AA299*(1+AB$281)^($E289*AB$282)*(1+AB$283)*IF(AA262&lt;=0,1,AB262/AA262)^$F289*(IF(AA272&lt;=0,1,AB272/AA272)^$G289/(1+$H289+$I289))^(1+$F289)</f>
        <v>0</v>
      </c>
      <c r="AC299" s="29" t="n">
        <f aca="false">AB299*(1+AC$281)^($E289*AC$282)*(1+AC$283)*IF(AB262&lt;=0,1,AC262/AB262)^$F289*(IF(AB272&lt;=0,1,AC272/AB272)^$G289/(1+$H289+$I289))^(1+$F289)</f>
        <v>0</v>
      </c>
      <c r="AD299" s="29" t="n">
        <f aca="false">AC299*(1+AD$281)^($E289*AD$282)*(1+AD$283)*IF(AC262&lt;=0,1,AD262/AC262)^$F289*(IF(AC272&lt;=0,1,AD272/AC272)^$G289/(1+$H289+$I289))^(1+$F289)</f>
        <v>0</v>
      </c>
      <c r="AE299" s="29" t="n">
        <f aca="false">AD299*(1+AE$281)^($E289*AE$282)*(1+AE$283)*IF(AD262&lt;=0,1,AE262/AD262)^$F289*(IF(AD272&lt;=0,1,AE272/AD272)^$G289/(1+$H289+$I289))^(1+$F289)</f>
        <v>0</v>
      </c>
    </row>
    <row r="300" customFormat="false" ht="15" hidden="false" customHeight="false" outlineLevel="0" collapsed="false">
      <c r="B300" s="17" t="s">
        <v>64</v>
      </c>
      <c r="C300" s="17" t="str">
        <f aca="false">$C$247</f>
        <v>irn</v>
      </c>
      <c r="D300" s="18" t="s">
        <v>65</v>
      </c>
      <c r="E300" s="19" t="s">
        <v>112</v>
      </c>
      <c r="F300" s="17" t="s">
        <v>113</v>
      </c>
      <c r="G300" s="20" t="str">
        <f aca="false">Settings!$B$3&amp;".mit.enc."&amp;$B300</f>
        <v>egy.mit.enc.lpg</v>
      </c>
      <c r="H300" s="21" t="str">
        <f aca="false">Settings!$B$3&amp;".mit.ener."&amp;$C$247&amp;"."&amp;$B300&amp;".e."&amp;$J$247</f>
        <v>egy.mit.ener.irn.lpg.e.2</v>
      </c>
      <c r="L300" s="28" t="n">
        <f aca="false">INDEX(Data_Energy!$D$3:$U$22,MATCH($B300,Data_Energy!$C$3:$C$22,0),MATCH($C300,Data_Energy!$D$2:$U$2,0))</f>
        <v>0</v>
      </c>
      <c r="M300" s="29" t="n">
        <f aca="false">L300*(1+M$281)^($E290*M$282)*(1+M$283)*IF(L263&lt;=0,1,M263/L263)^$F290*(IF(L273&lt;=0,1,M273/L273)^$G290/(1+$H290+$I290))^(1+$F290)</f>
        <v>0</v>
      </c>
      <c r="N300" s="29" t="n">
        <f aca="false">M300*(1+N$281)^($E290*N$282)*(1+N$283)*IF(M263&lt;=0,1,N263/M263)^$F290*(IF(M273&lt;=0,1,N273/M273)^$G290/(1+$H290+$I290))^(1+$F290)</f>
        <v>0</v>
      </c>
      <c r="O300" s="29" t="n">
        <f aca="false">N300*(1+O$281)^($E290*O$282)*(1+O$283)*IF(N263&lt;=0,1,O263/N263)^$F290*(IF(N273&lt;=0,1,O273/N273)^$G290/(1+$H290+$I290))^(1+$F290)</f>
        <v>0</v>
      </c>
      <c r="P300" s="29" t="n">
        <f aca="false">O300*(1+P$281)^($E290*P$282)*(1+P$283)*IF(O263&lt;=0,1,P263/O263)^$F290*(IF(O273&lt;=0,1,P273/O273)^$G290/(1+$H290+$I290))^(1+$F290)</f>
        <v>0</v>
      </c>
      <c r="Q300" s="29" t="n">
        <f aca="false">P300*(1+Q$281)^($E290*Q$282)*(1+Q$283)*IF(P263&lt;=0,1,Q263/P263)^$F290*(IF(P273&lt;=0,1,Q273/P273)^$G290/(1+$H290+$I290))^(1+$F290)</f>
        <v>0</v>
      </c>
      <c r="R300" s="29" t="n">
        <f aca="false">Q300*(1+R$281)^($E290*R$282)*(1+R$283)*IF(Q263&lt;=0,1,R263/Q263)^$F290*(IF(Q273&lt;=0,1,R273/Q273)^$G290/(1+$H290+$I290))^(1+$F290)</f>
        <v>0</v>
      </c>
      <c r="S300" s="29" t="n">
        <f aca="false">R300*(1+S$281)^($E290*S$282)*(1+S$283)*IF(R263&lt;=0,1,S263/R263)^$F290*(IF(R273&lt;=0,1,S273/R273)^$G290/(1+$H290+$I290))^(1+$F290)</f>
        <v>0</v>
      </c>
      <c r="T300" s="29" t="n">
        <f aca="false">S300*(1+T$281)^($E290*T$282)*(1+T$283)*IF(S263&lt;=0,1,T263/S263)^$F290*(IF(S273&lt;=0,1,T273/S273)^$G290/(1+$H290+$I290))^(1+$F290)</f>
        <v>0</v>
      </c>
      <c r="U300" s="29" t="n">
        <f aca="false">T300*(1+U$281)^($E290*U$282)*(1+U$283)*IF(T263&lt;=0,1,U263/T263)^$F290*(IF(T273&lt;=0,1,U273/T273)^$G290/(1+$H290+$I290))^(1+$F290)</f>
        <v>0</v>
      </c>
      <c r="V300" s="29" t="n">
        <f aca="false">U300*(1+V$281)^($E290*V$282)*(1+V$283)*IF(U263&lt;=0,1,V263/U263)^$F290*(IF(U273&lt;=0,1,V273/U273)^$G290/(1+$H290+$I290))^(1+$F290)</f>
        <v>0</v>
      </c>
      <c r="W300" s="29" t="n">
        <f aca="false">V300*(1+W$281)^($E290*W$282)*(1+W$283)*IF(V263&lt;=0,1,W263/V263)^$F290*(IF(V273&lt;=0,1,W273/V273)^$G290/(1+$H290+$I290))^(1+$F290)</f>
        <v>0</v>
      </c>
      <c r="X300" s="29" t="n">
        <f aca="false">W300*(1+X$281)^($E290*X$282)*(1+X$283)*IF(W263&lt;=0,1,X263/W263)^$F290*(IF(W273&lt;=0,1,X273/W273)^$G290/(1+$H290+$I290))^(1+$F290)</f>
        <v>0</v>
      </c>
      <c r="Y300" s="29" t="n">
        <f aca="false">X300*(1+Y$281)^($E290*Y$282)*(1+Y$283)*IF(X263&lt;=0,1,Y263/X263)^$F290*(IF(X273&lt;=0,1,Y273/X273)^$G290/(1+$H290+$I290))^(1+$F290)</f>
        <v>0</v>
      </c>
      <c r="Z300" s="29" t="n">
        <f aca="false">Y300*(1+Z$281)^($E290*Z$282)*(1+Z$283)*IF(Y263&lt;=0,1,Z263/Y263)^$F290*(IF(Y273&lt;=0,1,Z273/Y273)^$G290/(1+$H290+$I290))^(1+$F290)</f>
        <v>0</v>
      </c>
      <c r="AA300" s="29" t="n">
        <f aca="false">Z300*(1+AA$281)^($E290*AA$282)*(1+AA$283)*IF(Z263&lt;=0,1,AA263/Z263)^$F290*(IF(Z273&lt;=0,1,AA273/Z273)^$G290/(1+$H290+$I290))^(1+$F290)</f>
        <v>0</v>
      </c>
      <c r="AB300" s="29" t="n">
        <f aca="false">AA300*(1+AB$281)^($E290*AB$282)*(1+AB$283)*IF(AA263&lt;=0,1,AB263/AA263)^$F290*(IF(AA273&lt;=0,1,AB273/AA273)^$G290/(1+$H290+$I290))^(1+$F290)</f>
        <v>0</v>
      </c>
      <c r="AC300" s="29" t="n">
        <f aca="false">AB300*(1+AC$281)^($E290*AC$282)*(1+AC$283)*IF(AB263&lt;=0,1,AC263/AB263)^$F290*(IF(AB273&lt;=0,1,AC273/AB273)^$G290/(1+$H290+$I290))^(1+$F290)</f>
        <v>0</v>
      </c>
      <c r="AD300" s="29" t="n">
        <f aca="false">AC300*(1+AD$281)^($E290*AD$282)*(1+AD$283)*IF(AC263&lt;=0,1,AD263/AC263)^$F290*(IF(AC273&lt;=0,1,AD273/AC273)^$G290/(1+$H290+$I290))^(1+$F290)</f>
        <v>0</v>
      </c>
      <c r="AE300" s="29" t="n">
        <f aca="false">AD300*(1+AE$281)^($E290*AE$282)*(1+AE$283)*IF(AD263&lt;=0,1,AE263/AD263)^$F290*(IF(AD273&lt;=0,1,AE273/AD273)^$G290/(1+$H290+$I290))^(1+$F290)</f>
        <v>0</v>
      </c>
    </row>
    <row r="301" customFormat="false" ht="15" hidden="false" customHeight="false" outlineLevel="0" collapsed="false">
      <c r="B301" s="17" t="s">
        <v>66</v>
      </c>
      <c r="C301" s="17" t="str">
        <f aca="false">$C$247</f>
        <v>irn</v>
      </c>
      <c r="D301" s="18" t="s">
        <v>67</v>
      </c>
      <c r="E301" s="19" t="s">
        <v>112</v>
      </c>
      <c r="F301" s="17" t="s">
        <v>113</v>
      </c>
      <c r="G301" s="20" t="str">
        <f aca="false">Settings!$B$3&amp;".mit.enc."&amp;$B301</f>
        <v>egy.mit.enc.ker</v>
      </c>
      <c r="H301" s="21" t="str">
        <f aca="false">Settings!$B$3&amp;".mit.ener."&amp;$C$247&amp;"."&amp;$B301&amp;".e."&amp;$J$247</f>
        <v>egy.mit.ener.irn.ker.e.2</v>
      </c>
      <c r="L301" s="28" t="n">
        <f aca="false">INDEX(Data_Energy!$D$3:$U$22,MATCH($B301,Data_Energy!$C$3:$C$22,0),MATCH($C301,Data_Energy!$D$2:$U$2,0))</f>
        <v>0</v>
      </c>
      <c r="M301" s="29" t="n">
        <f aca="false">L301*(1+M$281)^($E291*M$282)*(1+M$283)*IF(L264&lt;=0,1,M264/L264)^$F291*(IF(L274&lt;=0,1,M274/L274)^$G291/(1+$H291+$I291))^(1+$F291)</f>
        <v>0</v>
      </c>
      <c r="N301" s="29" t="n">
        <f aca="false">M301*(1+N$281)^($E291*N$282)*(1+N$283)*IF(M264&lt;=0,1,N264/M264)^$F291*(IF(M274&lt;=0,1,N274/M274)^$G291/(1+$H291+$I291))^(1+$F291)</f>
        <v>0</v>
      </c>
      <c r="O301" s="29" t="n">
        <f aca="false">N301*(1+O$281)^($E291*O$282)*(1+O$283)*IF(N264&lt;=0,1,O264/N264)^$F291*(IF(N274&lt;=0,1,O274/N274)^$G291/(1+$H291+$I291))^(1+$F291)</f>
        <v>0</v>
      </c>
      <c r="P301" s="29" t="n">
        <f aca="false">O301*(1+P$281)^($E291*P$282)*(1+P$283)*IF(O264&lt;=0,1,P264/O264)^$F291*(IF(O274&lt;=0,1,P274/O274)^$G291/(1+$H291+$I291))^(1+$F291)</f>
        <v>0</v>
      </c>
      <c r="Q301" s="29" t="n">
        <f aca="false">P301*(1+Q$281)^($E291*Q$282)*(1+Q$283)*IF(P264&lt;=0,1,Q264/P264)^$F291*(IF(P274&lt;=0,1,Q274/P274)^$G291/(1+$H291+$I291))^(1+$F291)</f>
        <v>0</v>
      </c>
      <c r="R301" s="29" t="n">
        <f aca="false">Q301*(1+R$281)^($E291*R$282)*(1+R$283)*IF(Q264&lt;=0,1,R264/Q264)^$F291*(IF(Q274&lt;=0,1,R274/Q274)^$G291/(1+$H291+$I291))^(1+$F291)</f>
        <v>0</v>
      </c>
      <c r="S301" s="29" t="n">
        <f aca="false">R301*(1+S$281)^($E291*S$282)*(1+S$283)*IF(R264&lt;=0,1,S264/R264)^$F291*(IF(R274&lt;=0,1,S274/R274)^$G291/(1+$H291+$I291))^(1+$F291)</f>
        <v>0</v>
      </c>
      <c r="T301" s="29" t="n">
        <f aca="false">S301*(1+T$281)^($E291*T$282)*(1+T$283)*IF(S264&lt;=0,1,T264/S264)^$F291*(IF(S274&lt;=0,1,T274/S274)^$G291/(1+$H291+$I291))^(1+$F291)</f>
        <v>0</v>
      </c>
      <c r="U301" s="29" t="n">
        <f aca="false">T301*(1+U$281)^($E291*U$282)*(1+U$283)*IF(T264&lt;=0,1,U264/T264)^$F291*(IF(T274&lt;=0,1,U274/T274)^$G291/(1+$H291+$I291))^(1+$F291)</f>
        <v>0</v>
      </c>
      <c r="V301" s="29" t="n">
        <f aca="false">U301*(1+V$281)^($E291*V$282)*(1+V$283)*IF(U264&lt;=0,1,V264/U264)^$F291*(IF(U274&lt;=0,1,V274/U274)^$G291/(1+$H291+$I291))^(1+$F291)</f>
        <v>0</v>
      </c>
      <c r="W301" s="29" t="n">
        <f aca="false">V301*(1+W$281)^($E291*W$282)*(1+W$283)*IF(V264&lt;=0,1,W264/V264)^$F291*(IF(V274&lt;=0,1,W274/V274)^$G291/(1+$H291+$I291))^(1+$F291)</f>
        <v>0</v>
      </c>
      <c r="X301" s="29" t="n">
        <f aca="false">W301*(1+X$281)^($E291*X$282)*(1+X$283)*IF(W264&lt;=0,1,X264/W264)^$F291*(IF(W274&lt;=0,1,X274/W274)^$G291/(1+$H291+$I291))^(1+$F291)</f>
        <v>0</v>
      </c>
      <c r="Y301" s="29" t="n">
        <f aca="false">X301*(1+Y$281)^($E291*Y$282)*(1+Y$283)*IF(X264&lt;=0,1,Y264/X264)^$F291*(IF(X274&lt;=0,1,Y274/X274)^$G291/(1+$H291+$I291))^(1+$F291)</f>
        <v>0</v>
      </c>
      <c r="Z301" s="29" t="n">
        <f aca="false">Y301*(1+Z$281)^($E291*Z$282)*(1+Z$283)*IF(Y264&lt;=0,1,Z264/Y264)^$F291*(IF(Y274&lt;=0,1,Z274/Y274)^$G291/(1+$H291+$I291))^(1+$F291)</f>
        <v>0</v>
      </c>
      <c r="AA301" s="29" t="n">
        <f aca="false">Z301*(1+AA$281)^($E291*AA$282)*(1+AA$283)*IF(Z264&lt;=0,1,AA264/Z264)^$F291*(IF(Z274&lt;=0,1,AA274/Z274)^$G291/(1+$H291+$I291))^(1+$F291)</f>
        <v>0</v>
      </c>
      <c r="AB301" s="29" t="n">
        <f aca="false">AA301*(1+AB$281)^($E291*AB$282)*(1+AB$283)*IF(AA264&lt;=0,1,AB264/AA264)^$F291*(IF(AA274&lt;=0,1,AB274/AA274)^$G291/(1+$H291+$I291))^(1+$F291)</f>
        <v>0</v>
      </c>
      <c r="AC301" s="29" t="n">
        <f aca="false">AB301*(1+AC$281)^($E291*AC$282)*(1+AC$283)*IF(AB264&lt;=0,1,AC264/AB264)^$F291*(IF(AB274&lt;=0,1,AC274/AB274)^$G291/(1+$H291+$I291))^(1+$F291)</f>
        <v>0</v>
      </c>
      <c r="AD301" s="29" t="n">
        <f aca="false">AC301*(1+AD$281)^($E291*AD$282)*(1+AD$283)*IF(AC264&lt;=0,1,AD264/AC264)^$F291*(IF(AC274&lt;=0,1,AD274/AC274)^$G291/(1+$H291+$I291))^(1+$F291)</f>
        <v>0</v>
      </c>
      <c r="AE301" s="29" t="n">
        <f aca="false">AD301*(1+AE$281)^($E291*AE$282)*(1+AE$283)*IF(AD264&lt;=0,1,AE264/AD264)^$F291*(IF(AD274&lt;=0,1,AE274/AD274)^$G291/(1+$H291+$I291))^(1+$F291)</f>
        <v>0</v>
      </c>
    </row>
    <row r="302" customFormat="false" ht="15" hidden="false" customHeight="false" outlineLevel="0" collapsed="false">
      <c r="B302" s="17" t="s">
        <v>68</v>
      </c>
      <c r="C302" s="17" t="str">
        <f aca="false">$C$247</f>
        <v>irn</v>
      </c>
      <c r="D302" s="18" t="s">
        <v>69</v>
      </c>
      <c r="E302" s="19" t="s">
        <v>112</v>
      </c>
      <c r="F302" s="17" t="s">
        <v>113</v>
      </c>
      <c r="G302" s="20" t="str">
        <f aca="false">Settings!$B$3&amp;".mit.enc."&amp;$B302</f>
        <v>egy.mit.enc.oop</v>
      </c>
      <c r="H302" s="21" t="str">
        <f aca="false">Settings!$B$3&amp;".mit.ener."&amp;$C$247&amp;"."&amp;$B302&amp;".e."&amp;$J$247</f>
        <v>egy.mit.ener.irn.oop.e.2</v>
      </c>
      <c r="L302" s="28" t="n">
        <f aca="false">INDEX(Data_Energy!$D$3:$U$22,MATCH($B302,Data_Energy!$C$3:$C$22,0),MATCH($C302,Data_Energy!$D$2:$U$2,0))</f>
        <v>0</v>
      </c>
      <c r="M302" s="29" t="n">
        <f aca="false">L302*(1+M$281)^($E292*M$282)*(1+M$283)*IF(L265&lt;=0,1,M265/L265)^$F292*(IF(L275&lt;=0,1,M275/L275)^$G292/(1+$H292+$I292))^(1+$F292)</f>
        <v>0</v>
      </c>
      <c r="N302" s="29" t="n">
        <f aca="false">M302*(1+N$281)^($E292*N$282)*(1+N$283)*IF(M265&lt;=0,1,N265/M265)^$F292*(IF(M275&lt;=0,1,N275/M275)^$G292/(1+$H292+$I292))^(1+$F292)</f>
        <v>0</v>
      </c>
      <c r="O302" s="29" t="n">
        <f aca="false">N302*(1+O$281)^($E292*O$282)*(1+O$283)*IF(N265&lt;=0,1,O265/N265)^$F292*(IF(N275&lt;=0,1,O275/N275)^$G292/(1+$H292+$I292))^(1+$F292)</f>
        <v>0</v>
      </c>
      <c r="P302" s="29" t="n">
        <f aca="false">O302*(1+P$281)^($E292*P$282)*(1+P$283)*IF(O265&lt;=0,1,P265/O265)^$F292*(IF(O275&lt;=0,1,P275/O275)^$G292/(1+$H292+$I292))^(1+$F292)</f>
        <v>0</v>
      </c>
      <c r="Q302" s="29" t="n">
        <f aca="false">P302*(1+Q$281)^($E292*Q$282)*(1+Q$283)*IF(P265&lt;=0,1,Q265/P265)^$F292*(IF(P275&lt;=0,1,Q275/P275)^$G292/(1+$H292+$I292))^(1+$F292)</f>
        <v>0</v>
      </c>
      <c r="R302" s="29" t="n">
        <f aca="false">Q302*(1+R$281)^($E292*R$282)*(1+R$283)*IF(Q265&lt;=0,1,R265/Q265)^$F292*(IF(Q275&lt;=0,1,R275/Q275)^$G292/(1+$H292+$I292))^(1+$F292)</f>
        <v>0</v>
      </c>
      <c r="S302" s="29" t="n">
        <f aca="false">R302*(1+S$281)^($E292*S$282)*(1+S$283)*IF(R265&lt;=0,1,S265/R265)^$F292*(IF(R275&lt;=0,1,S275/R275)^$G292/(1+$H292+$I292))^(1+$F292)</f>
        <v>0</v>
      </c>
      <c r="T302" s="29" t="n">
        <f aca="false">S302*(1+T$281)^($E292*T$282)*(1+T$283)*IF(S265&lt;=0,1,T265/S265)^$F292*(IF(S275&lt;=0,1,T275/S275)^$G292/(1+$H292+$I292))^(1+$F292)</f>
        <v>0</v>
      </c>
      <c r="U302" s="29" t="n">
        <f aca="false">T302*(1+U$281)^($E292*U$282)*(1+U$283)*IF(T265&lt;=0,1,U265/T265)^$F292*(IF(T275&lt;=0,1,U275/T275)^$G292/(1+$H292+$I292))^(1+$F292)</f>
        <v>0</v>
      </c>
      <c r="V302" s="29" t="n">
        <f aca="false">U302*(1+V$281)^($E292*V$282)*(1+V$283)*IF(U265&lt;=0,1,V265/U265)^$F292*(IF(U275&lt;=0,1,V275/U275)^$G292/(1+$H292+$I292))^(1+$F292)</f>
        <v>0</v>
      </c>
      <c r="W302" s="29" t="n">
        <f aca="false">V302*(1+W$281)^($E292*W$282)*(1+W$283)*IF(V265&lt;=0,1,W265/V265)^$F292*(IF(V275&lt;=0,1,W275/V275)^$G292/(1+$H292+$I292))^(1+$F292)</f>
        <v>0</v>
      </c>
      <c r="X302" s="29" t="n">
        <f aca="false">W302*(1+X$281)^($E292*X$282)*(1+X$283)*IF(W265&lt;=0,1,X265/W265)^$F292*(IF(W275&lt;=0,1,X275/W275)^$G292/(1+$H292+$I292))^(1+$F292)</f>
        <v>0</v>
      </c>
      <c r="Y302" s="29" t="n">
        <f aca="false">X302*(1+Y$281)^($E292*Y$282)*(1+Y$283)*IF(X265&lt;=0,1,Y265/X265)^$F292*(IF(X275&lt;=0,1,Y275/X275)^$G292/(1+$H292+$I292))^(1+$F292)</f>
        <v>0</v>
      </c>
      <c r="Z302" s="29" t="n">
        <f aca="false">Y302*(1+Z$281)^($E292*Z$282)*(1+Z$283)*IF(Y265&lt;=0,1,Z265/Y265)^$F292*(IF(Y275&lt;=0,1,Z275/Y275)^$G292/(1+$H292+$I292))^(1+$F292)</f>
        <v>0</v>
      </c>
      <c r="AA302" s="29" t="n">
        <f aca="false">Z302*(1+AA$281)^($E292*AA$282)*(1+AA$283)*IF(Z265&lt;=0,1,AA265/Z265)^$F292*(IF(Z275&lt;=0,1,AA275/Z275)^$G292/(1+$H292+$I292))^(1+$F292)</f>
        <v>0</v>
      </c>
      <c r="AB302" s="29" t="n">
        <f aca="false">AA302*(1+AB$281)^($E292*AB$282)*(1+AB$283)*IF(AA265&lt;=0,1,AB265/AA265)^$F292*(IF(AA275&lt;=0,1,AB275/AA275)^$G292/(1+$H292+$I292))^(1+$F292)</f>
        <v>0</v>
      </c>
      <c r="AC302" s="29" t="n">
        <f aca="false">AB302*(1+AC$281)^($E292*AC$282)*(1+AC$283)*IF(AB265&lt;=0,1,AC265/AB265)^$F292*(IF(AB275&lt;=0,1,AC275/AB275)^$G292/(1+$H292+$I292))^(1+$F292)</f>
        <v>0</v>
      </c>
      <c r="AD302" s="29" t="n">
        <f aca="false">AC302*(1+AD$281)^($E292*AD$282)*(1+AD$283)*IF(AC265&lt;=0,1,AD265/AC265)^$F292*(IF(AC275&lt;=0,1,AD275/AC275)^$G292/(1+$H292+$I292))^(1+$F292)</f>
        <v>0</v>
      </c>
      <c r="AE302" s="29" t="n">
        <f aca="false">AD302*(1+AE$281)^($E292*AE$282)*(1+AE$283)*IF(AD265&lt;=0,1,AE265/AD265)^$F292*(IF(AD275&lt;=0,1,AE275/AD275)^$G292/(1+$H292+$I292))^(1+$F292)</f>
        <v>0</v>
      </c>
    </row>
    <row r="303" customFormat="false" ht="15" hidden="false" customHeight="false" outlineLevel="0" collapsed="false">
      <c r="B303" s="17" t="s">
        <v>71</v>
      </c>
      <c r="C303" s="17" t="str">
        <f aca="false">$C$247</f>
        <v>irn</v>
      </c>
      <c r="D303" s="18" t="s">
        <v>72</v>
      </c>
      <c r="E303" s="19" t="s">
        <v>112</v>
      </c>
      <c r="F303" s="17" t="s">
        <v>113</v>
      </c>
      <c r="G303" s="20" t="str">
        <f aca="false">Settings!$B$3&amp;".mit.enc."&amp;$B303</f>
        <v>egy.mit.enc.bio</v>
      </c>
      <c r="H303" s="21" t="str">
        <f aca="false">Settings!$B$3&amp;".mit.ener."&amp;$C$247&amp;"."&amp;$B303&amp;".e."&amp;$J$247</f>
        <v>egy.mit.ener.irn.bio.e.2</v>
      </c>
      <c r="L303" s="28" t="n">
        <f aca="false">INDEX(Data_Energy!$D$3:$U$22,MATCH($B303,Data_Energy!$C$3:$C$22,0),MATCH($C303,Data_Energy!$D$2:$U$2,0))</f>
        <v>0</v>
      </c>
      <c r="M303" s="29" t="n">
        <f aca="false">L303*(1+M$281)^($E293*M$282)*(1+M$283)*IF(L266&lt;=0,1,M266/L266)^$F293*(IF(L276&lt;=0,1,M276/L276)^$G293/(1+$H293+$I293))^(1+$F293)</f>
        <v>0</v>
      </c>
      <c r="N303" s="29" t="n">
        <f aca="false">M303*(1+N$281)^($E293*N$282)*(1+N$283)*IF(M266&lt;=0,1,N266/M266)^$F293*(IF(M276&lt;=0,1,N276/M276)^$G293/(1+$H293+$I293))^(1+$F293)</f>
        <v>0</v>
      </c>
      <c r="O303" s="29" t="n">
        <f aca="false">N303*(1+O$281)^($E293*O$282)*(1+O$283)*IF(N266&lt;=0,1,O266/N266)^$F293*(IF(N276&lt;=0,1,O276/N276)^$G293/(1+$H293+$I293))^(1+$F293)</f>
        <v>0</v>
      </c>
      <c r="P303" s="29" t="n">
        <f aca="false">O303*(1+P$281)^($E293*P$282)*(1+P$283)*IF(O266&lt;=0,1,P266/O266)^$F293*(IF(O276&lt;=0,1,P276/O276)^$G293/(1+$H293+$I293))^(1+$F293)</f>
        <v>0</v>
      </c>
      <c r="Q303" s="29" t="n">
        <f aca="false">P303*(1+Q$281)^($E293*Q$282)*(1+Q$283)*IF(P266&lt;=0,1,Q266/P266)^$F293*(IF(P276&lt;=0,1,Q276/P276)^$G293/(1+$H293+$I293))^(1+$F293)</f>
        <v>0</v>
      </c>
      <c r="R303" s="29" t="n">
        <f aca="false">Q303*(1+R$281)^($E293*R$282)*(1+R$283)*IF(Q266&lt;=0,1,R266/Q266)^$F293*(IF(Q276&lt;=0,1,R276/Q276)^$G293/(1+$H293+$I293))^(1+$F293)</f>
        <v>0</v>
      </c>
      <c r="S303" s="29" t="n">
        <f aca="false">R303*(1+S$281)^($E293*S$282)*(1+S$283)*IF(R266&lt;=0,1,S266/R266)^$F293*(IF(R276&lt;=0,1,S276/R276)^$G293/(1+$H293+$I293))^(1+$F293)</f>
        <v>0</v>
      </c>
      <c r="T303" s="29" t="n">
        <f aca="false">S303*(1+T$281)^($E293*T$282)*(1+T$283)*IF(S266&lt;=0,1,T266/S266)^$F293*(IF(S276&lt;=0,1,T276/S276)^$G293/(1+$H293+$I293))^(1+$F293)</f>
        <v>0</v>
      </c>
      <c r="U303" s="29" t="n">
        <f aca="false">T303*(1+U$281)^($E293*U$282)*(1+U$283)*IF(T266&lt;=0,1,U266/T266)^$F293*(IF(T276&lt;=0,1,U276/T276)^$G293/(1+$H293+$I293))^(1+$F293)</f>
        <v>0</v>
      </c>
      <c r="V303" s="29" t="n">
        <f aca="false">U303*(1+V$281)^($E293*V$282)*(1+V$283)*IF(U266&lt;=0,1,V266/U266)^$F293*(IF(U276&lt;=0,1,V276/U276)^$G293/(1+$H293+$I293))^(1+$F293)</f>
        <v>0</v>
      </c>
      <c r="W303" s="29" t="n">
        <f aca="false">V303*(1+W$281)^($E293*W$282)*(1+W$283)*IF(V266&lt;=0,1,W266/V266)^$F293*(IF(V276&lt;=0,1,W276/V276)^$G293/(1+$H293+$I293))^(1+$F293)</f>
        <v>0</v>
      </c>
      <c r="X303" s="29" t="n">
        <f aca="false">W303*(1+X$281)^($E293*X$282)*(1+X$283)*IF(W266&lt;=0,1,X266/W266)^$F293*(IF(W276&lt;=0,1,X276/W276)^$G293/(1+$H293+$I293))^(1+$F293)</f>
        <v>0</v>
      </c>
      <c r="Y303" s="29" t="n">
        <f aca="false">X303*(1+Y$281)^($E293*Y$282)*(1+Y$283)*IF(X266&lt;=0,1,Y266/X266)^$F293*(IF(X276&lt;=0,1,Y276/X276)^$G293/(1+$H293+$I293))^(1+$F293)</f>
        <v>0</v>
      </c>
      <c r="Z303" s="29" t="n">
        <f aca="false">Y303*(1+Z$281)^($E293*Z$282)*(1+Z$283)*IF(Y266&lt;=0,1,Z266/Y266)^$F293*(IF(Y276&lt;=0,1,Z276/Y276)^$G293/(1+$H293+$I293))^(1+$F293)</f>
        <v>0</v>
      </c>
      <c r="AA303" s="29" t="n">
        <f aca="false">Z303*(1+AA$281)^($E293*AA$282)*(1+AA$283)*IF(Z266&lt;=0,1,AA266/Z266)^$F293*(IF(Z276&lt;=0,1,AA276/Z276)^$G293/(1+$H293+$I293))^(1+$F293)</f>
        <v>0</v>
      </c>
      <c r="AB303" s="29" t="n">
        <f aca="false">AA303*(1+AB$281)^($E293*AB$282)*(1+AB$283)*IF(AA266&lt;=0,1,AB266/AA266)^$F293*(IF(AA276&lt;=0,1,AB276/AA276)^$G293/(1+$H293+$I293))^(1+$F293)</f>
        <v>0</v>
      </c>
      <c r="AC303" s="29" t="n">
        <f aca="false">AB303*(1+AC$281)^($E293*AC$282)*(1+AC$283)*IF(AB266&lt;=0,1,AC266/AB266)^$F293*(IF(AB276&lt;=0,1,AC276/AB276)^$G293/(1+$H293+$I293))^(1+$F293)</f>
        <v>0</v>
      </c>
      <c r="AD303" s="29" t="n">
        <f aca="false">AC303*(1+AD$281)^($E293*AD$282)*(1+AD$283)*IF(AC266&lt;=0,1,AD266/AC266)^$F293*(IF(AC276&lt;=0,1,AD276/AC276)^$G293/(1+$H293+$I293))^(1+$F293)</f>
        <v>0</v>
      </c>
      <c r="AE303" s="29" t="n">
        <f aca="false">AD303*(1+AE$281)^($E293*AE$282)*(1+AE$283)*IF(AD266&lt;=0,1,AE266/AD266)^$F293*(IF(AD276&lt;=0,1,AE276/AD276)^$G293/(1+$H293+$I293))^(1+$F293)</f>
        <v>0</v>
      </c>
    </row>
    <row r="304" customFormat="false" ht="15" hidden="false" customHeight="false" outlineLevel="0" collapsed="false">
      <c r="B304" s="17" t="s">
        <v>73</v>
      </c>
      <c r="C304" s="17" t="str">
        <f aca="false">$C$247</f>
        <v>irn</v>
      </c>
      <c r="D304" s="18" t="s">
        <v>74</v>
      </c>
      <c r="E304" s="19" t="s">
        <v>112</v>
      </c>
      <c r="F304" s="17" t="s">
        <v>113</v>
      </c>
      <c r="G304" s="20" t="str">
        <f aca="false">Settings!$B$3&amp;".mit.enc."&amp;$B304</f>
        <v>egy.mit.enc.ren</v>
      </c>
      <c r="H304" s="21" t="str">
        <f aca="false">Settings!$B$3&amp;".mit.ener."&amp;$C$247&amp;"."&amp;$B304&amp;".e."&amp;$J$247</f>
        <v>egy.mit.ener.irn.ren.e.2</v>
      </c>
      <c r="L304" s="28" t="n">
        <f aca="false">INDEX(Data_Energy!$D$3:$U$22,MATCH($B304,Data_Energy!$C$3:$C$22,0),MATCH($C304,Data_Energy!$D$2:$U$2,0))</f>
        <v>0</v>
      </c>
      <c r="M304" s="29" t="n">
        <f aca="false">L304*(1+M$281)^($E294*M$282)*(1+M$283)*IF(L267&lt;=0,1,M267/L267)^$F294*(IF(L277&lt;=0,1,M277/L277)^$G294/(1+$H294+$I294))^(1+$F294)</f>
        <v>0</v>
      </c>
      <c r="N304" s="29" t="n">
        <f aca="false">M304*(1+N$281)^($E294*N$282)*(1+N$283)*IF(M267&lt;=0,1,N267/M267)^$F294*(IF(M277&lt;=0,1,N277/M277)^$G294/(1+$H294+$I294))^(1+$F294)</f>
        <v>0</v>
      </c>
      <c r="O304" s="29" t="n">
        <f aca="false">N304*(1+O$281)^($E294*O$282)*(1+O$283)*IF(N267&lt;=0,1,O267/N267)^$F294*(IF(N277&lt;=0,1,O277/N277)^$G294/(1+$H294+$I294))^(1+$F294)</f>
        <v>0</v>
      </c>
      <c r="P304" s="29" t="n">
        <f aca="false">O304*(1+P$281)^($E294*P$282)*(1+P$283)*IF(O267&lt;=0,1,P267/O267)^$F294*(IF(O277&lt;=0,1,P277/O277)^$G294/(1+$H294+$I294))^(1+$F294)</f>
        <v>0</v>
      </c>
      <c r="Q304" s="29" t="n">
        <f aca="false">P304*(1+Q$281)^($E294*Q$282)*(1+Q$283)*IF(P267&lt;=0,1,Q267/P267)^$F294*(IF(P277&lt;=0,1,Q277/P277)^$G294/(1+$H294+$I294))^(1+$F294)</f>
        <v>0</v>
      </c>
      <c r="R304" s="29" t="n">
        <f aca="false">Q304*(1+R$281)^($E294*R$282)*(1+R$283)*IF(Q267&lt;=0,1,R267/Q267)^$F294*(IF(Q277&lt;=0,1,R277/Q277)^$G294/(1+$H294+$I294))^(1+$F294)</f>
        <v>0</v>
      </c>
      <c r="S304" s="29" t="n">
        <f aca="false">R304*(1+S$281)^($E294*S$282)*(1+S$283)*IF(R267&lt;=0,1,S267/R267)^$F294*(IF(R277&lt;=0,1,S277/R277)^$G294/(1+$H294+$I294))^(1+$F294)</f>
        <v>0</v>
      </c>
      <c r="T304" s="29" t="n">
        <f aca="false">S304*(1+T$281)^($E294*T$282)*(1+T$283)*IF(S267&lt;=0,1,T267/S267)^$F294*(IF(S277&lt;=0,1,T277/S277)^$G294/(1+$H294+$I294))^(1+$F294)</f>
        <v>0</v>
      </c>
      <c r="U304" s="29" t="n">
        <f aca="false">T304*(1+U$281)^($E294*U$282)*(1+U$283)*IF(T267&lt;=0,1,U267/T267)^$F294*(IF(T277&lt;=0,1,U277/T277)^$G294/(1+$H294+$I294))^(1+$F294)</f>
        <v>0</v>
      </c>
      <c r="V304" s="29" t="n">
        <f aca="false">U304*(1+V$281)^($E294*V$282)*(1+V$283)*IF(U267&lt;=0,1,V267/U267)^$F294*(IF(U277&lt;=0,1,V277/U277)^$G294/(1+$H294+$I294))^(1+$F294)</f>
        <v>0</v>
      </c>
      <c r="W304" s="29" t="n">
        <f aca="false">V304*(1+W$281)^($E294*W$282)*(1+W$283)*IF(V267&lt;=0,1,W267/V267)^$F294*(IF(V277&lt;=0,1,W277/V277)^$G294/(1+$H294+$I294))^(1+$F294)</f>
        <v>0</v>
      </c>
      <c r="X304" s="29" t="n">
        <f aca="false">W304*(1+X$281)^($E294*X$282)*(1+X$283)*IF(W267&lt;=0,1,X267/W267)^$F294*(IF(W277&lt;=0,1,X277/W277)^$G294/(1+$H294+$I294))^(1+$F294)</f>
        <v>0</v>
      </c>
      <c r="Y304" s="29" t="n">
        <f aca="false">X304*(1+Y$281)^($E294*Y$282)*(1+Y$283)*IF(X267&lt;=0,1,Y267/X267)^$F294*(IF(X277&lt;=0,1,Y277/X277)^$G294/(1+$H294+$I294))^(1+$F294)</f>
        <v>0</v>
      </c>
      <c r="Z304" s="29" t="n">
        <f aca="false">Y304*(1+Z$281)^($E294*Z$282)*(1+Z$283)*IF(Y267&lt;=0,1,Z267/Y267)^$F294*(IF(Y277&lt;=0,1,Z277/Y277)^$G294/(1+$H294+$I294))^(1+$F294)</f>
        <v>0</v>
      </c>
      <c r="AA304" s="29" t="n">
        <f aca="false">Z304*(1+AA$281)^($E294*AA$282)*(1+AA$283)*IF(Z267&lt;=0,1,AA267/Z267)^$F294*(IF(Z277&lt;=0,1,AA277/Z277)^$G294/(1+$H294+$I294))^(1+$F294)</f>
        <v>0</v>
      </c>
      <c r="AB304" s="29" t="n">
        <f aca="false">AA304*(1+AB$281)^($E294*AB$282)*(1+AB$283)*IF(AA267&lt;=0,1,AB267/AA267)^$F294*(IF(AA277&lt;=0,1,AB277/AA277)^$G294/(1+$H294+$I294))^(1+$F294)</f>
        <v>0</v>
      </c>
      <c r="AC304" s="29" t="n">
        <f aca="false">AB304*(1+AC$281)^($E294*AC$282)*(1+AC$283)*IF(AB267&lt;=0,1,AC267/AB267)^$F294*(IF(AB277&lt;=0,1,AC277/AB277)^$G294/(1+$H294+$I294))^(1+$F294)</f>
        <v>0</v>
      </c>
      <c r="AD304" s="29" t="n">
        <f aca="false">AC304*(1+AD$281)^($E294*AD$282)*(1+AD$283)*IF(AC267&lt;=0,1,AD267/AC267)^$F294*(IF(AC277&lt;=0,1,AD277/AC277)^$G294/(1+$H294+$I294))^(1+$F294)</f>
        <v>0</v>
      </c>
      <c r="AE304" s="29" t="n">
        <f aca="false">AD304*(1+AE$281)^($E294*AE$282)*(1+AE$283)*IF(AD267&lt;=0,1,AE267/AD267)^$F294*(IF(AD277&lt;=0,1,AE277/AD277)^$G294/(1+$H294+$I294))^(1+$F294)</f>
        <v>0</v>
      </c>
    </row>
    <row r="305" customFormat="false" ht="15" hidden="false" customHeight="false" outlineLevel="0" collapsed="false">
      <c r="B305" s="17" t="s">
        <v>114</v>
      </c>
      <c r="C305" s="17" t="str">
        <f aca="false">$C$247</f>
        <v>irn</v>
      </c>
      <c r="D305" s="30" t="s">
        <v>115</v>
      </c>
      <c r="E305" s="19" t="s">
        <v>112</v>
      </c>
      <c r="F305" s="17" t="s">
        <v>113</v>
      </c>
      <c r="H305" s="21" t="str">
        <f aca="false">Settings!$B$3&amp;".mit.ener."&amp;$C$247&amp;".tot.e."&amp;$J$247</f>
        <v>egy.mit.ener.irn.tot.e.2</v>
      </c>
      <c r="L305" s="31" t="n">
        <f aca="false">SUM(L296:L304)</f>
        <v>1901.71407381226</v>
      </c>
      <c r="M305" s="31" t="n">
        <f aca="false">SUM(M296:M304)</f>
        <v>1621.23017698937</v>
      </c>
      <c r="N305" s="31" t="n">
        <f aca="false">SUM(N296:N304)</f>
        <v>1820.84692023037</v>
      </c>
      <c r="O305" s="31" t="n">
        <f aca="false">SUM(O296:O304)</f>
        <v>1904.36703762535</v>
      </c>
      <c r="P305" s="31" t="n">
        <f aca="false">SUM(P296:P304)</f>
        <v>1961.70202125324</v>
      </c>
      <c r="Q305" s="31" t="n">
        <f aca="false">SUM(Q296:Q304)</f>
        <v>1856.4047971685</v>
      </c>
      <c r="R305" s="31" t="n">
        <f aca="false">SUM(R296:R304)</f>
        <v>1788.94921719618</v>
      </c>
      <c r="S305" s="31" t="n">
        <f aca="false">SUM(S296:S304)</f>
        <v>1732.33286609683</v>
      </c>
      <c r="T305" s="31" t="n">
        <f aca="false">SUM(T296:T304)</f>
        <v>1682.38855302743</v>
      </c>
      <c r="U305" s="31" t="n">
        <f aca="false">SUM(U296:U304)</f>
        <v>1641.46810887165</v>
      </c>
      <c r="V305" s="31" t="n">
        <f aca="false">SUM(V296:V304)</f>
        <v>1607.90678874509</v>
      </c>
      <c r="W305" s="31" t="n">
        <f aca="false">SUM(W296:W304)</f>
        <v>1581.36124589235</v>
      </c>
      <c r="X305" s="31" t="n">
        <f aca="false">SUM(X296:X304)</f>
        <v>1561.02753765362</v>
      </c>
      <c r="Y305" s="31" t="n">
        <f aca="false">SUM(Y296:Y304)</f>
        <v>1546.45178890638</v>
      </c>
      <c r="Z305" s="31" t="n">
        <f aca="false">SUM(Z296:Z304)</f>
        <v>1537.59439755267</v>
      </c>
      <c r="AA305" s="31" t="n">
        <f aca="false">SUM(AA296:AA304)</f>
        <v>1534.17810171511</v>
      </c>
      <c r="AB305" s="31" t="n">
        <f aca="false">SUM(AB296:AB304)</f>
        <v>1535.9010092298</v>
      </c>
      <c r="AC305" s="31" t="n">
        <f aca="false">SUM(AC296:AC304)</f>
        <v>1542.22630969026</v>
      </c>
      <c r="AD305" s="31" t="n">
        <f aca="false">SUM(AD296:AD304)</f>
        <v>1552.70781872447</v>
      </c>
      <c r="AE305" s="31" t="n">
        <f aca="false">SUM(AE296:AE304)</f>
        <v>1567.01666237755</v>
      </c>
    </row>
    <row r="307" customFormat="false" ht="15" hidden="false" customHeight="false" outlineLevel="0" collapsed="false">
      <c r="A307" s="12"/>
      <c r="B307" s="7" t="s">
        <v>116</v>
      </c>
      <c r="C307" s="8" t="s">
        <v>117</v>
      </c>
      <c r="D307" s="7" t="s">
        <v>48</v>
      </c>
      <c r="E307" s="8" t="s">
        <v>39</v>
      </c>
      <c r="F307" s="8" t="s">
        <v>49</v>
      </c>
      <c r="G307" s="8" t="s">
        <v>50</v>
      </c>
      <c r="H307" s="13" t="s">
        <v>42</v>
      </c>
      <c r="I307" s="7" t="s">
        <v>51</v>
      </c>
      <c r="J307" s="14" t="n">
        <v>2</v>
      </c>
      <c r="K307" s="7" t="n">
        <v>2021</v>
      </c>
      <c r="L307" s="15" t="n">
        <v>2022</v>
      </c>
      <c r="M307" s="7" t="n">
        <v>2023</v>
      </c>
      <c r="N307" s="7" t="n">
        <v>2024</v>
      </c>
      <c r="O307" s="7" t="n">
        <v>2025</v>
      </c>
      <c r="P307" s="7" t="n">
        <v>2026</v>
      </c>
      <c r="Q307" s="7" t="n">
        <v>2027</v>
      </c>
      <c r="R307" s="7" t="n">
        <v>2028</v>
      </c>
      <c r="S307" s="7" t="n">
        <v>2029</v>
      </c>
      <c r="T307" s="7" t="n">
        <v>2030</v>
      </c>
      <c r="U307" s="7" t="n">
        <v>2031</v>
      </c>
      <c r="V307" s="7" t="n">
        <v>2032</v>
      </c>
      <c r="W307" s="7" t="n">
        <v>2033</v>
      </c>
      <c r="X307" s="7" t="n">
        <v>2034</v>
      </c>
      <c r="Y307" s="7" t="n">
        <v>2035</v>
      </c>
      <c r="Z307" s="7" t="n">
        <v>2036</v>
      </c>
      <c r="AA307" s="7" t="n">
        <v>2037</v>
      </c>
      <c r="AB307" s="7" t="n">
        <v>2038</v>
      </c>
      <c r="AC307" s="7" t="n">
        <v>2039</v>
      </c>
      <c r="AD307" s="7" t="n">
        <v>2040</v>
      </c>
      <c r="AE307" s="7" t="n">
        <v>2041</v>
      </c>
      <c r="AF307" s="7" t="n">
        <v>2042</v>
      </c>
      <c r="AG307" s="7" t="n">
        <v>2043</v>
      </c>
      <c r="AH307" s="7" t="n">
        <v>2044</v>
      </c>
      <c r="AI307" s="7" t="n">
        <v>2045</v>
      </c>
    </row>
    <row r="308" customFormat="false" ht="15" hidden="false" customHeight="false" outlineLevel="0" collapsed="false">
      <c r="B308" s="16" t="s">
        <v>52</v>
      </c>
    </row>
    <row r="309" customFormat="false" ht="15" hidden="false" customHeight="false" outlineLevel="0" collapsed="false">
      <c r="B309" s="17" t="s">
        <v>53</v>
      </c>
      <c r="C309" s="17" t="str">
        <f aca="false">$C$307</f>
        <v>cem</v>
      </c>
      <c r="D309" s="18" t="s">
        <v>54</v>
      </c>
      <c r="E309" s="19" t="s">
        <v>55</v>
      </c>
      <c r="F309" s="17" t="s">
        <v>56</v>
      </c>
      <c r="G309" s="20" t="str">
        <f aca="false">Settings!$B$3&amp;".mit.pbc."&amp;Settings!$B$4&amp;"."&amp;$B309&amp;".a."&amp;$J$307</f>
        <v>egy.mit.pbc.ind.coa.a.2</v>
      </c>
      <c r="H309" s="21" t="str">
        <f aca="false">Settings!$B$3&amp;".mit.ptp."&amp;$C$307&amp;"."&amp;$B309&amp;".e."&amp;$J$307</f>
        <v>egy.mit.ptp.cem.coa.e.2</v>
      </c>
      <c r="K309" s="22" t="n">
        <f aca="false">INDEX(Data_Prices!K:K,MATCH($G309,Data_Prices!$A:$A,0))</f>
        <v>11.1829015892439</v>
      </c>
      <c r="L309" s="22" t="n">
        <f aca="false">INDEX(Data_Prices!L:L,MATCH($G309,Data_Prices!$A:$A,0))</f>
        <v>10.5233613454312</v>
      </c>
      <c r="M309" s="22" t="n">
        <f aca="false">INDEX(Data_Prices!M:M,MATCH($G309,Data_Prices!$A:$A,0))</f>
        <v>10.2995608274442</v>
      </c>
      <c r="N309" s="22" t="n">
        <f aca="false">INDEX(Data_Prices!N:N,MATCH($G309,Data_Prices!$A:$A,0))</f>
        <v>9.57752835953826</v>
      </c>
      <c r="O309" s="22" t="n">
        <f aca="false">INDEX(Data_Prices!O:O,MATCH($G309,Data_Prices!$A:$A,0))</f>
        <v>8.48547828695805</v>
      </c>
      <c r="P309" s="22" t="n">
        <f aca="false">INDEX(Data_Prices!P:P,MATCH($G309,Data_Prices!$A:$A,0))</f>
        <v>9.08719223524986</v>
      </c>
      <c r="Q309" s="22" t="n">
        <f aca="false">INDEX(Data_Prices!Q:Q,MATCH($G309,Data_Prices!$A:$A,0))</f>
        <v>9.22292372893268</v>
      </c>
      <c r="R309" s="22" t="n">
        <f aca="false">INDEX(Data_Prices!R:R,MATCH($G309,Data_Prices!$A:$A,0))</f>
        <v>9.15856495550969</v>
      </c>
      <c r="S309" s="22" t="n">
        <f aca="false">INDEX(Data_Prices!S:S,MATCH($G309,Data_Prices!$A:$A,0))</f>
        <v>9.08954787739738</v>
      </c>
      <c r="T309" s="22" t="n">
        <f aca="false">INDEX(Data_Prices!T:T,MATCH($G309,Data_Prices!$A:$A,0))</f>
        <v>9.01568166602283</v>
      </c>
      <c r="U309" s="22" t="n">
        <f aca="false">INDEX(Data_Prices!U:U,MATCH($G309,Data_Prices!$A:$A,0))</f>
        <v>8.94439776555711</v>
      </c>
      <c r="V309" s="22" t="n">
        <f aca="false">INDEX(Data_Prices!V:V,MATCH($G309,Data_Prices!$A:$A,0))</f>
        <v>8.94439776555711</v>
      </c>
      <c r="W309" s="22" t="n">
        <f aca="false">INDEX(Data_Prices!W:W,MATCH($G309,Data_Prices!$A:$A,0))</f>
        <v>8.94439776555711</v>
      </c>
      <c r="X309" s="22" t="n">
        <f aca="false">INDEX(Data_Prices!X:X,MATCH($G309,Data_Prices!$A:$A,0))</f>
        <v>8.94439776555711</v>
      </c>
      <c r="Y309" s="22" t="n">
        <f aca="false">INDEX(Data_Prices!Y:Y,MATCH($G309,Data_Prices!$A:$A,0))</f>
        <v>8.94439776555711</v>
      </c>
      <c r="Z309" s="22" t="n">
        <f aca="false">INDEX(Data_Prices!Z:Z,MATCH($G309,Data_Prices!$A:$A,0))</f>
        <v>8.94439776555711</v>
      </c>
      <c r="AA309" s="22" t="n">
        <f aca="false">INDEX(Data_Prices!AA:AA,MATCH($G309,Data_Prices!$A:$A,0))</f>
        <v>8.94439776555711</v>
      </c>
      <c r="AB309" s="22" t="n">
        <f aca="false">INDEX(Data_Prices!AB:AB,MATCH($G309,Data_Prices!$A:$A,0))</f>
        <v>8.94439776555711</v>
      </c>
      <c r="AC309" s="22" t="n">
        <f aca="false">INDEX(Data_Prices!AC:AC,MATCH($G309,Data_Prices!$A:$A,0))</f>
        <v>8.94439776555711</v>
      </c>
      <c r="AD309" s="22" t="n">
        <f aca="false">INDEX(Data_Prices!AD:AD,MATCH($G309,Data_Prices!$A:$A,0))</f>
        <v>8.94439776555711</v>
      </c>
      <c r="AE309" s="22" t="n">
        <f aca="false">INDEX(Data_Prices!AE:AE,MATCH($G309,Data_Prices!$A:$A,0))</f>
        <v>8.94439776555711</v>
      </c>
    </row>
    <row r="310" customFormat="false" ht="15" hidden="false" customHeight="false" outlineLevel="0" collapsed="false">
      <c r="B310" s="17" t="s">
        <v>57</v>
      </c>
      <c r="C310" s="17" t="str">
        <f aca="false">$C$307</f>
        <v>cem</v>
      </c>
      <c r="D310" s="18" t="s">
        <v>58</v>
      </c>
      <c r="E310" s="19" t="s">
        <v>55</v>
      </c>
      <c r="F310" s="17" t="s">
        <v>56</v>
      </c>
      <c r="G310" s="20" t="str">
        <f aca="false">Settings!$B$3&amp;".mit.pbc."&amp;Settings!$B$4&amp;"."&amp;$B310&amp;".a."&amp;$J$307</f>
        <v>egy.mit.pbc.ind.nga.a.2</v>
      </c>
      <c r="H310" s="21" t="str">
        <f aca="false">Settings!$B$3&amp;".mit.ptp."&amp;$C$307&amp;"."&amp;$B310&amp;".e."&amp;$J$307</f>
        <v>egy.mit.ptp.cem.nga.e.2</v>
      </c>
      <c r="K310" s="22" t="n">
        <f aca="false">INDEX(Data_Prices!K:K,MATCH($G310,Data_Prices!$A:$A,0))</f>
        <v>6.06346361567291</v>
      </c>
      <c r="L310" s="22" t="n">
        <f aca="false">INDEX(Data_Prices!L:L,MATCH($G310,Data_Prices!$A:$A,0))</f>
        <v>5.45101508161919</v>
      </c>
      <c r="M310" s="22" t="n">
        <f aca="false">INDEX(Data_Prices!M:M,MATCH($G310,Data_Prices!$A:$A,0))</f>
        <v>5.11935630626248</v>
      </c>
      <c r="N310" s="22" t="n">
        <f aca="false">INDEX(Data_Prices!N:N,MATCH($G310,Data_Prices!$A:$A,0))</f>
        <v>5.08218458640407</v>
      </c>
      <c r="O310" s="22" t="n">
        <f aca="false">INDEX(Data_Prices!O:O,MATCH($G310,Data_Prices!$A:$A,0))</f>
        <v>5.08218458640407</v>
      </c>
      <c r="P310" s="22" t="n">
        <f aca="false">INDEX(Data_Prices!P:P,MATCH($G310,Data_Prices!$A:$A,0))</f>
        <v>5.08218458640407</v>
      </c>
      <c r="Q310" s="22" t="n">
        <f aca="false">INDEX(Data_Prices!Q:Q,MATCH($G310,Data_Prices!$A:$A,0))</f>
        <v>5.08218458640407</v>
      </c>
      <c r="R310" s="22" t="n">
        <f aca="false">INDEX(Data_Prices!R:R,MATCH($G310,Data_Prices!$A:$A,0))</f>
        <v>5.08218458640407</v>
      </c>
      <c r="S310" s="22" t="n">
        <f aca="false">INDEX(Data_Prices!S:S,MATCH($G310,Data_Prices!$A:$A,0))</f>
        <v>5.08218458640407</v>
      </c>
      <c r="T310" s="22" t="n">
        <f aca="false">INDEX(Data_Prices!T:T,MATCH($G310,Data_Prices!$A:$A,0))</f>
        <v>5.08218458640407</v>
      </c>
      <c r="U310" s="22" t="n">
        <f aca="false">INDEX(Data_Prices!U:U,MATCH($G310,Data_Prices!$A:$A,0))</f>
        <v>5.08218458640407</v>
      </c>
      <c r="V310" s="22" t="n">
        <f aca="false">INDEX(Data_Prices!V:V,MATCH($G310,Data_Prices!$A:$A,0))</f>
        <v>5.08218458640407</v>
      </c>
      <c r="W310" s="22" t="n">
        <f aca="false">INDEX(Data_Prices!W:W,MATCH($G310,Data_Prices!$A:$A,0))</f>
        <v>5.08218458640407</v>
      </c>
      <c r="X310" s="22" t="n">
        <f aca="false">INDEX(Data_Prices!X:X,MATCH($G310,Data_Prices!$A:$A,0))</f>
        <v>5.08218458640407</v>
      </c>
      <c r="Y310" s="22" t="n">
        <f aca="false">INDEX(Data_Prices!Y:Y,MATCH($G310,Data_Prices!$A:$A,0))</f>
        <v>5.08218458640407</v>
      </c>
      <c r="Z310" s="22" t="n">
        <f aca="false">INDEX(Data_Prices!Z:Z,MATCH($G310,Data_Prices!$A:$A,0))</f>
        <v>5.08218458640407</v>
      </c>
      <c r="AA310" s="22" t="n">
        <f aca="false">INDEX(Data_Prices!AA:AA,MATCH($G310,Data_Prices!$A:$A,0))</f>
        <v>5.08218458640407</v>
      </c>
      <c r="AB310" s="22" t="n">
        <f aca="false">INDEX(Data_Prices!AB:AB,MATCH($G310,Data_Prices!$A:$A,0))</f>
        <v>5.08218458640407</v>
      </c>
      <c r="AC310" s="22" t="n">
        <f aca="false">INDEX(Data_Prices!AC:AC,MATCH($G310,Data_Prices!$A:$A,0))</f>
        <v>5.08218458640407</v>
      </c>
      <c r="AD310" s="22" t="n">
        <f aca="false">INDEX(Data_Prices!AD:AD,MATCH($G310,Data_Prices!$A:$A,0))</f>
        <v>5.08218458640407</v>
      </c>
      <c r="AE310" s="22" t="n">
        <f aca="false">INDEX(Data_Prices!AE:AE,MATCH($G310,Data_Prices!$A:$A,0))</f>
        <v>5.08218458640407</v>
      </c>
    </row>
    <row r="311" customFormat="false" ht="15" hidden="false" customHeight="false" outlineLevel="0" collapsed="false">
      <c r="B311" s="17" t="s">
        <v>59</v>
      </c>
      <c r="C311" s="17" t="str">
        <f aca="false">$C$307</f>
        <v>cem</v>
      </c>
      <c r="D311" s="18" t="s">
        <v>60</v>
      </c>
      <c r="E311" s="19" t="s">
        <v>61</v>
      </c>
      <c r="F311" s="17" t="s">
        <v>56</v>
      </c>
      <c r="G311" s="20" t="str">
        <f aca="false">Settings!$B$3&amp;".mit.pbc."&amp;Settings!$B$4&amp;"."&amp;$B311&amp;".a."&amp;$J$307</f>
        <v>egy.mit.pbc.ind.gso.a.2</v>
      </c>
      <c r="H311" s="21" t="str">
        <f aca="false">Settings!$B$3&amp;".mit.ptp."&amp;$C$307&amp;"."&amp;$B311&amp;".e."&amp;$J$307</f>
        <v>egy.mit.ptp.cem.gso.e.2</v>
      </c>
      <c r="K311" s="22" t="n">
        <f aca="false">INDEX(Data_Prices!K:K,MATCH($G311,Data_Prices!$A:$A,0))</f>
        <v>0.671146533321816</v>
      </c>
      <c r="L311" s="22" t="n">
        <f aca="false">INDEX(Data_Prices!L:L,MATCH($G311,Data_Prices!$A:$A,0))</f>
        <v>0.611977976791406</v>
      </c>
      <c r="M311" s="22" t="n">
        <f aca="false">INDEX(Data_Prices!M:M,MATCH($G311,Data_Prices!$A:$A,0))</f>
        <v>0.611809749641876</v>
      </c>
      <c r="N311" s="22" t="n">
        <f aca="false">INDEX(Data_Prices!N:N,MATCH($G311,Data_Prices!$A:$A,0))</f>
        <v>0.603583100177906</v>
      </c>
      <c r="O311" s="22" t="n">
        <f aca="false">INDEX(Data_Prices!O:O,MATCH($G311,Data_Prices!$A:$A,0))</f>
        <v>0.603583100177906</v>
      </c>
      <c r="P311" s="22" t="n">
        <f aca="false">INDEX(Data_Prices!P:P,MATCH($G311,Data_Prices!$A:$A,0))</f>
        <v>0.603583100177906</v>
      </c>
      <c r="Q311" s="22" t="n">
        <f aca="false">INDEX(Data_Prices!Q:Q,MATCH($G311,Data_Prices!$A:$A,0))</f>
        <v>0.603583100177906</v>
      </c>
      <c r="R311" s="22" t="n">
        <f aca="false">INDEX(Data_Prices!R:R,MATCH($G311,Data_Prices!$A:$A,0))</f>
        <v>0.603583100177906</v>
      </c>
      <c r="S311" s="22" t="n">
        <f aca="false">INDEX(Data_Prices!S:S,MATCH($G311,Data_Prices!$A:$A,0))</f>
        <v>0.603583100177906</v>
      </c>
      <c r="T311" s="22" t="n">
        <f aca="false">INDEX(Data_Prices!T:T,MATCH($G311,Data_Prices!$A:$A,0))</f>
        <v>0.603583100177906</v>
      </c>
      <c r="U311" s="22" t="n">
        <f aca="false">INDEX(Data_Prices!U:U,MATCH($G311,Data_Prices!$A:$A,0))</f>
        <v>0.603583100177906</v>
      </c>
      <c r="V311" s="22" t="n">
        <f aca="false">INDEX(Data_Prices!V:V,MATCH($G311,Data_Prices!$A:$A,0))</f>
        <v>0.603583100177906</v>
      </c>
      <c r="W311" s="22" t="n">
        <f aca="false">INDEX(Data_Prices!W:W,MATCH($G311,Data_Prices!$A:$A,0))</f>
        <v>0.603583100177906</v>
      </c>
      <c r="X311" s="22" t="n">
        <f aca="false">INDEX(Data_Prices!X:X,MATCH($G311,Data_Prices!$A:$A,0))</f>
        <v>0.603583100177906</v>
      </c>
      <c r="Y311" s="22" t="n">
        <f aca="false">INDEX(Data_Prices!Y:Y,MATCH($G311,Data_Prices!$A:$A,0))</f>
        <v>0.603583100177906</v>
      </c>
      <c r="Z311" s="22" t="n">
        <f aca="false">INDEX(Data_Prices!Z:Z,MATCH($G311,Data_Prices!$A:$A,0))</f>
        <v>0.603583100177906</v>
      </c>
      <c r="AA311" s="22" t="n">
        <f aca="false">INDEX(Data_Prices!AA:AA,MATCH($G311,Data_Prices!$A:$A,0))</f>
        <v>0.603583100177906</v>
      </c>
      <c r="AB311" s="22" t="n">
        <f aca="false">INDEX(Data_Prices!AB:AB,MATCH($G311,Data_Prices!$A:$A,0))</f>
        <v>0.603583100177906</v>
      </c>
      <c r="AC311" s="22" t="n">
        <f aca="false">INDEX(Data_Prices!AC:AC,MATCH($G311,Data_Prices!$A:$A,0))</f>
        <v>0.603583100177906</v>
      </c>
      <c r="AD311" s="22" t="n">
        <f aca="false">INDEX(Data_Prices!AD:AD,MATCH($G311,Data_Prices!$A:$A,0))</f>
        <v>0.603583100177906</v>
      </c>
      <c r="AE311" s="22" t="n">
        <f aca="false">INDEX(Data_Prices!AE:AE,MATCH($G311,Data_Prices!$A:$A,0))</f>
        <v>0.603583100177906</v>
      </c>
    </row>
    <row r="312" customFormat="false" ht="15" hidden="false" customHeight="false" outlineLevel="0" collapsed="false">
      <c r="B312" s="17" t="s">
        <v>62</v>
      </c>
      <c r="C312" s="17" t="str">
        <f aca="false">$C$307</f>
        <v>cem</v>
      </c>
      <c r="D312" s="18" t="s">
        <v>63</v>
      </c>
      <c r="E312" s="19" t="s">
        <v>61</v>
      </c>
      <c r="F312" s="17" t="s">
        <v>56</v>
      </c>
      <c r="G312" s="20" t="str">
        <f aca="false">Settings!$B$3&amp;".mit.pbc."&amp;Settings!$B$4&amp;"."&amp;$B312&amp;".a."&amp;$J$307</f>
        <v>egy.mit.pbc.ind.die.a.2</v>
      </c>
      <c r="H312" s="21" t="str">
        <f aca="false">Settings!$B$3&amp;".mit.ptp."&amp;$C$307&amp;"."&amp;$B312&amp;".e."&amp;$J$307</f>
        <v>egy.mit.ptp.cem.die.e.2</v>
      </c>
      <c r="K312" s="22" t="n">
        <f aca="false">INDEX(Data_Prices!K:K,MATCH($G312,Data_Prices!$A:$A,0))</f>
        <v>0.559711213155688</v>
      </c>
      <c r="L312" s="22" t="n">
        <f aca="false">INDEX(Data_Prices!L:L,MATCH($G312,Data_Prices!$A:$A,0))</f>
        <v>0.494588730841068</v>
      </c>
      <c r="M312" s="22" t="n">
        <f aca="false">INDEX(Data_Prices!M:M,MATCH($G312,Data_Prices!$A:$A,0))</f>
        <v>0.507786547202501</v>
      </c>
      <c r="N312" s="22" t="n">
        <f aca="false">INDEX(Data_Prices!N:N,MATCH($G312,Data_Prices!$A:$A,0))</f>
        <v>0.470436426795617</v>
      </c>
      <c r="O312" s="22" t="n">
        <f aca="false">INDEX(Data_Prices!O:O,MATCH($G312,Data_Prices!$A:$A,0))</f>
        <v>0.470436426795617</v>
      </c>
      <c r="P312" s="22" t="n">
        <f aca="false">INDEX(Data_Prices!P:P,MATCH($G312,Data_Prices!$A:$A,0))</f>
        <v>0.470436426795617</v>
      </c>
      <c r="Q312" s="22" t="n">
        <f aca="false">INDEX(Data_Prices!Q:Q,MATCH($G312,Data_Prices!$A:$A,0))</f>
        <v>0.470436426795617</v>
      </c>
      <c r="R312" s="22" t="n">
        <f aca="false">INDEX(Data_Prices!R:R,MATCH($G312,Data_Prices!$A:$A,0))</f>
        <v>0.470436426795617</v>
      </c>
      <c r="S312" s="22" t="n">
        <f aca="false">INDEX(Data_Prices!S:S,MATCH($G312,Data_Prices!$A:$A,0))</f>
        <v>0.470436426795617</v>
      </c>
      <c r="T312" s="22" t="n">
        <f aca="false">INDEX(Data_Prices!T:T,MATCH($G312,Data_Prices!$A:$A,0))</f>
        <v>0.470436426795617</v>
      </c>
      <c r="U312" s="22" t="n">
        <f aca="false">INDEX(Data_Prices!U:U,MATCH($G312,Data_Prices!$A:$A,0))</f>
        <v>0.470436426795617</v>
      </c>
      <c r="V312" s="22" t="n">
        <f aca="false">INDEX(Data_Prices!V:V,MATCH($G312,Data_Prices!$A:$A,0))</f>
        <v>0.470436426795617</v>
      </c>
      <c r="W312" s="22" t="n">
        <f aca="false">INDEX(Data_Prices!W:W,MATCH($G312,Data_Prices!$A:$A,0))</f>
        <v>0.470436426795617</v>
      </c>
      <c r="X312" s="22" t="n">
        <f aca="false">INDEX(Data_Prices!X:X,MATCH($G312,Data_Prices!$A:$A,0))</f>
        <v>0.470436426795617</v>
      </c>
      <c r="Y312" s="22" t="n">
        <f aca="false">INDEX(Data_Prices!Y:Y,MATCH($G312,Data_Prices!$A:$A,0))</f>
        <v>0.470436426795617</v>
      </c>
      <c r="Z312" s="22" t="n">
        <f aca="false">INDEX(Data_Prices!Z:Z,MATCH($G312,Data_Prices!$A:$A,0))</f>
        <v>0.470436426795617</v>
      </c>
      <c r="AA312" s="22" t="n">
        <f aca="false">INDEX(Data_Prices!AA:AA,MATCH($G312,Data_Prices!$A:$A,0))</f>
        <v>0.470436426795617</v>
      </c>
      <c r="AB312" s="22" t="n">
        <f aca="false">INDEX(Data_Prices!AB:AB,MATCH($G312,Data_Prices!$A:$A,0))</f>
        <v>0.470436426795617</v>
      </c>
      <c r="AC312" s="22" t="n">
        <f aca="false">INDEX(Data_Prices!AC:AC,MATCH($G312,Data_Prices!$A:$A,0))</f>
        <v>0.470436426795617</v>
      </c>
      <c r="AD312" s="22" t="n">
        <f aca="false">INDEX(Data_Prices!AD:AD,MATCH($G312,Data_Prices!$A:$A,0))</f>
        <v>0.470436426795617</v>
      </c>
      <c r="AE312" s="22" t="n">
        <f aca="false">INDEX(Data_Prices!AE:AE,MATCH($G312,Data_Prices!$A:$A,0))</f>
        <v>0.470436426795617</v>
      </c>
    </row>
    <row r="313" customFormat="false" ht="15" hidden="false" customHeight="false" outlineLevel="0" collapsed="false">
      <c r="B313" s="17" t="s">
        <v>64</v>
      </c>
      <c r="C313" s="17" t="str">
        <f aca="false">$C$307</f>
        <v>cem</v>
      </c>
      <c r="D313" s="18" t="s">
        <v>65</v>
      </c>
      <c r="E313" s="19" t="s">
        <v>61</v>
      </c>
      <c r="F313" s="17" t="s">
        <v>56</v>
      </c>
      <c r="G313" s="20" t="str">
        <f aca="false">Settings!$B$3&amp;".mit.pbc."&amp;Settings!$B$4&amp;"."&amp;$B313&amp;".a."&amp;$J$307</f>
        <v>egy.mit.pbc.ind.lpg.a.2</v>
      </c>
      <c r="H313" s="21" t="str">
        <f aca="false">Settings!$B$3&amp;".mit.ptp."&amp;$C$307&amp;"."&amp;$B313&amp;".e."&amp;$J$307</f>
        <v>egy.mit.ptp.cem.lpg.e.2</v>
      </c>
      <c r="K313" s="22" t="n">
        <f aca="false">INDEX(Data_Prices!K:K,MATCH($G313,Data_Prices!$A:$A,0))</f>
        <v>0.200366691126738</v>
      </c>
      <c r="L313" s="22" t="n">
        <f aca="false">INDEX(Data_Prices!L:L,MATCH($G313,Data_Prices!$A:$A,0))</f>
        <v>0.157344736252274</v>
      </c>
      <c r="M313" s="22" t="n">
        <f aca="false">INDEX(Data_Prices!M:M,MATCH($G313,Data_Prices!$A:$A,0))</f>
        <v>0.164484037759277</v>
      </c>
      <c r="N313" s="22" t="n">
        <f aca="false">INDEX(Data_Prices!N:N,MATCH($G313,Data_Prices!$A:$A,0))</f>
        <v>0.150709077807049</v>
      </c>
      <c r="O313" s="22" t="n">
        <f aca="false">INDEX(Data_Prices!O:O,MATCH($G313,Data_Prices!$A:$A,0))</f>
        <v>0.150709077807049</v>
      </c>
      <c r="P313" s="22" t="n">
        <f aca="false">INDEX(Data_Prices!P:P,MATCH($G313,Data_Prices!$A:$A,0))</f>
        <v>0.150709077807049</v>
      </c>
      <c r="Q313" s="22" t="n">
        <f aca="false">INDEX(Data_Prices!Q:Q,MATCH($G313,Data_Prices!$A:$A,0))</f>
        <v>0.150709077807049</v>
      </c>
      <c r="R313" s="22" t="n">
        <f aca="false">INDEX(Data_Prices!R:R,MATCH($G313,Data_Prices!$A:$A,0))</f>
        <v>0.150709077807049</v>
      </c>
      <c r="S313" s="22" t="n">
        <f aca="false">INDEX(Data_Prices!S:S,MATCH($G313,Data_Prices!$A:$A,0))</f>
        <v>0.150709077807049</v>
      </c>
      <c r="T313" s="22" t="n">
        <f aca="false">INDEX(Data_Prices!T:T,MATCH($G313,Data_Prices!$A:$A,0))</f>
        <v>0.150709077807049</v>
      </c>
      <c r="U313" s="22" t="n">
        <f aca="false">INDEX(Data_Prices!U:U,MATCH($G313,Data_Prices!$A:$A,0))</f>
        <v>0.150709077807049</v>
      </c>
      <c r="V313" s="22" t="n">
        <f aca="false">INDEX(Data_Prices!V:V,MATCH($G313,Data_Prices!$A:$A,0))</f>
        <v>0.150709077807049</v>
      </c>
      <c r="W313" s="22" t="n">
        <f aca="false">INDEX(Data_Prices!W:W,MATCH($G313,Data_Prices!$A:$A,0))</f>
        <v>0.150709077807049</v>
      </c>
      <c r="X313" s="22" t="n">
        <f aca="false">INDEX(Data_Prices!X:X,MATCH($G313,Data_Prices!$A:$A,0))</f>
        <v>0.150709077807049</v>
      </c>
      <c r="Y313" s="22" t="n">
        <f aca="false">INDEX(Data_Prices!Y:Y,MATCH($G313,Data_Prices!$A:$A,0))</f>
        <v>0.150709077807049</v>
      </c>
      <c r="Z313" s="22" t="n">
        <f aca="false">INDEX(Data_Prices!Z:Z,MATCH($G313,Data_Prices!$A:$A,0))</f>
        <v>0.150709077807049</v>
      </c>
      <c r="AA313" s="22" t="n">
        <f aca="false">INDEX(Data_Prices!AA:AA,MATCH($G313,Data_Prices!$A:$A,0))</f>
        <v>0.150709077807049</v>
      </c>
      <c r="AB313" s="22" t="n">
        <f aca="false">INDEX(Data_Prices!AB:AB,MATCH($G313,Data_Prices!$A:$A,0))</f>
        <v>0.150709077807049</v>
      </c>
      <c r="AC313" s="22" t="n">
        <f aca="false">INDEX(Data_Prices!AC:AC,MATCH($G313,Data_Prices!$A:$A,0))</f>
        <v>0.150709077807049</v>
      </c>
      <c r="AD313" s="22" t="n">
        <f aca="false">INDEX(Data_Prices!AD:AD,MATCH($G313,Data_Prices!$A:$A,0))</f>
        <v>0.150709077807049</v>
      </c>
      <c r="AE313" s="22" t="n">
        <f aca="false">INDEX(Data_Prices!AE:AE,MATCH($G313,Data_Prices!$A:$A,0))</f>
        <v>0.150709077807049</v>
      </c>
    </row>
    <row r="314" customFormat="false" ht="15" hidden="false" customHeight="false" outlineLevel="0" collapsed="false">
      <c r="B314" s="17" t="s">
        <v>66</v>
      </c>
      <c r="C314" s="17" t="str">
        <f aca="false">$C$307</f>
        <v>cem</v>
      </c>
      <c r="D314" s="18" t="s">
        <v>67</v>
      </c>
      <c r="E314" s="19" t="s">
        <v>61</v>
      </c>
      <c r="F314" s="17" t="s">
        <v>56</v>
      </c>
      <c r="G314" s="20" t="str">
        <f aca="false">Settings!$B$3&amp;".mit.pbc."&amp;Settings!$B$4&amp;"."&amp;$B314&amp;".a."&amp;$J$307</f>
        <v>egy.mit.pbc.ind.ker.a.2</v>
      </c>
      <c r="H314" s="21" t="str">
        <f aca="false">Settings!$B$3&amp;".mit.ptp."&amp;$C$307&amp;"."&amp;$B314&amp;".e."&amp;$J$307</f>
        <v>egy.mit.ptp.cem.ker.e.2</v>
      </c>
      <c r="K314" s="22" t="n">
        <f aca="false">INDEX(Data_Prices!K:K,MATCH($G314,Data_Prices!$A:$A,0))</f>
        <v>0.484294240973435</v>
      </c>
      <c r="L314" s="22" t="n">
        <f aca="false">INDEX(Data_Prices!L:L,MATCH($G314,Data_Prices!$A:$A,0))</f>
        <v>0.456428170500128</v>
      </c>
      <c r="M314" s="22" t="n">
        <f aca="false">INDEX(Data_Prices!M:M,MATCH($G314,Data_Prices!$A:$A,0))</f>
        <v>0.431689201955995</v>
      </c>
      <c r="N314" s="22" t="n">
        <f aca="false">INDEX(Data_Prices!N:N,MATCH($G314,Data_Prices!$A:$A,0))</f>
        <v>0.42507558395597</v>
      </c>
      <c r="O314" s="22" t="n">
        <f aca="false">INDEX(Data_Prices!O:O,MATCH($G314,Data_Prices!$A:$A,0))</f>
        <v>0.42507558395597</v>
      </c>
      <c r="P314" s="22" t="n">
        <f aca="false">INDEX(Data_Prices!P:P,MATCH($G314,Data_Prices!$A:$A,0))</f>
        <v>0.42507558395597</v>
      </c>
      <c r="Q314" s="22" t="n">
        <f aca="false">INDEX(Data_Prices!Q:Q,MATCH($G314,Data_Prices!$A:$A,0))</f>
        <v>0.42507558395597</v>
      </c>
      <c r="R314" s="22" t="n">
        <f aca="false">INDEX(Data_Prices!R:R,MATCH($G314,Data_Prices!$A:$A,0))</f>
        <v>0.42507558395597</v>
      </c>
      <c r="S314" s="22" t="n">
        <f aca="false">INDEX(Data_Prices!S:S,MATCH($G314,Data_Prices!$A:$A,0))</f>
        <v>0.42507558395597</v>
      </c>
      <c r="T314" s="22" t="n">
        <f aca="false">INDEX(Data_Prices!T:T,MATCH($G314,Data_Prices!$A:$A,0))</f>
        <v>0.42507558395597</v>
      </c>
      <c r="U314" s="22" t="n">
        <f aca="false">INDEX(Data_Prices!U:U,MATCH($G314,Data_Prices!$A:$A,0))</f>
        <v>0.42507558395597</v>
      </c>
      <c r="V314" s="22" t="n">
        <f aca="false">INDEX(Data_Prices!V:V,MATCH($G314,Data_Prices!$A:$A,0))</f>
        <v>0.42507558395597</v>
      </c>
      <c r="W314" s="22" t="n">
        <f aca="false">INDEX(Data_Prices!W:W,MATCH($G314,Data_Prices!$A:$A,0))</f>
        <v>0.42507558395597</v>
      </c>
      <c r="X314" s="22" t="n">
        <f aca="false">INDEX(Data_Prices!X:X,MATCH($G314,Data_Prices!$A:$A,0))</f>
        <v>0.42507558395597</v>
      </c>
      <c r="Y314" s="22" t="n">
        <f aca="false">INDEX(Data_Prices!Y:Y,MATCH($G314,Data_Prices!$A:$A,0))</f>
        <v>0.42507558395597</v>
      </c>
      <c r="Z314" s="22" t="n">
        <f aca="false">INDEX(Data_Prices!Z:Z,MATCH($G314,Data_Prices!$A:$A,0))</f>
        <v>0.42507558395597</v>
      </c>
      <c r="AA314" s="22" t="n">
        <f aca="false">INDEX(Data_Prices!AA:AA,MATCH($G314,Data_Prices!$A:$A,0))</f>
        <v>0.42507558395597</v>
      </c>
      <c r="AB314" s="22" t="n">
        <f aca="false">INDEX(Data_Prices!AB:AB,MATCH($G314,Data_Prices!$A:$A,0))</f>
        <v>0.42507558395597</v>
      </c>
      <c r="AC314" s="22" t="n">
        <f aca="false">INDEX(Data_Prices!AC:AC,MATCH($G314,Data_Prices!$A:$A,0))</f>
        <v>0.42507558395597</v>
      </c>
      <c r="AD314" s="22" t="n">
        <f aca="false">INDEX(Data_Prices!AD:AD,MATCH($G314,Data_Prices!$A:$A,0))</f>
        <v>0.42507558395597</v>
      </c>
      <c r="AE314" s="22" t="n">
        <f aca="false">INDEX(Data_Prices!AE:AE,MATCH($G314,Data_Prices!$A:$A,0))</f>
        <v>0.42507558395597</v>
      </c>
    </row>
    <row r="315" customFormat="false" ht="15" hidden="false" customHeight="false" outlineLevel="0" collapsed="false">
      <c r="B315" s="17" t="s">
        <v>68</v>
      </c>
      <c r="C315" s="17" t="str">
        <f aca="false">$C$307</f>
        <v>cem</v>
      </c>
      <c r="D315" s="18" t="s">
        <v>69</v>
      </c>
      <c r="E315" s="19" t="s">
        <v>70</v>
      </c>
      <c r="F315" s="17" t="s">
        <v>56</v>
      </c>
      <c r="G315" s="20" t="str">
        <f aca="false">Settings!$B$3&amp;".mit.pbc."&amp;Settings!$B$4&amp;"."&amp;$B315&amp;".a."&amp;$J$307</f>
        <v>egy.mit.pbc.ind.oop.a.2</v>
      </c>
      <c r="H315" s="21" t="str">
        <f aca="false">Settings!$B$3&amp;".mit.ptp."&amp;$C$307&amp;"."&amp;$B315&amp;".e."&amp;$J$307</f>
        <v>egy.mit.ptp.cem.oop.e.2</v>
      </c>
      <c r="K315" s="22" t="n">
        <f aca="false">INDEX(Data_Prices!K:K,MATCH($G315,Data_Prices!$A:$A,0))</f>
        <v>41.5003384988684</v>
      </c>
      <c r="L315" s="22" t="n">
        <f aca="false">INDEX(Data_Prices!L:L,MATCH($G315,Data_Prices!$A:$A,0))</f>
        <v>34.4153703043132</v>
      </c>
      <c r="M315" s="22" t="n">
        <f aca="false">INDEX(Data_Prices!M:M,MATCH($G315,Data_Prices!$A:$A,0))</f>
        <v>37.368960690432</v>
      </c>
      <c r="N315" s="22" t="n">
        <f aca="false">INDEX(Data_Prices!N:N,MATCH($G315,Data_Prices!$A:$A,0))</f>
        <v>28.9827611014773</v>
      </c>
      <c r="O315" s="22" t="n">
        <f aca="false">INDEX(Data_Prices!O:O,MATCH($G315,Data_Prices!$A:$A,0))</f>
        <v>15</v>
      </c>
      <c r="P315" s="22" t="n">
        <f aca="false">INDEX(Data_Prices!P:P,MATCH($G315,Data_Prices!$A:$A,0))</f>
        <v>24.2586300842555</v>
      </c>
      <c r="Q315" s="22" t="n">
        <f aca="false">INDEX(Data_Prices!Q:Q,MATCH($G315,Data_Prices!$A:$A,0))</f>
        <v>13.0962081961325</v>
      </c>
      <c r="R315" s="22" t="n">
        <f aca="false">INDEX(Data_Prices!R:R,MATCH($G315,Data_Prices!$A:$A,0))</f>
        <v>10.0252451140106</v>
      </c>
      <c r="S315" s="22" t="n">
        <f aca="false">INDEX(Data_Prices!S:S,MATCH($G315,Data_Prices!$A:$A,0))</f>
        <v>8.47723069137362</v>
      </c>
      <c r="T315" s="22" t="n">
        <f aca="false">INDEX(Data_Prices!T:T,MATCH($G315,Data_Prices!$A:$A,0))</f>
        <v>7.12348244520922</v>
      </c>
      <c r="U315" s="22" t="n">
        <f aca="false">INDEX(Data_Prices!U:U,MATCH($G315,Data_Prices!$A:$A,0))</f>
        <v>5.65275973941006</v>
      </c>
      <c r="V315" s="22" t="n">
        <f aca="false">INDEX(Data_Prices!V:V,MATCH($G315,Data_Prices!$A:$A,0))</f>
        <v>5.65275973941006</v>
      </c>
      <c r="W315" s="22" t="n">
        <f aca="false">INDEX(Data_Prices!W:W,MATCH($G315,Data_Prices!$A:$A,0))</f>
        <v>5.65275973941006</v>
      </c>
      <c r="X315" s="22" t="n">
        <f aca="false">INDEX(Data_Prices!X:X,MATCH($G315,Data_Prices!$A:$A,0))</f>
        <v>5.65275973941006</v>
      </c>
      <c r="Y315" s="22" t="n">
        <f aca="false">INDEX(Data_Prices!Y:Y,MATCH($G315,Data_Prices!$A:$A,0))</f>
        <v>5.65275973941006</v>
      </c>
      <c r="Z315" s="22" t="n">
        <f aca="false">INDEX(Data_Prices!Z:Z,MATCH($G315,Data_Prices!$A:$A,0))</f>
        <v>5.65275973941007</v>
      </c>
      <c r="AA315" s="22" t="n">
        <f aca="false">INDEX(Data_Prices!AA:AA,MATCH($G315,Data_Prices!$A:$A,0))</f>
        <v>5.65275973941006</v>
      </c>
      <c r="AB315" s="22" t="n">
        <f aca="false">INDEX(Data_Prices!AB:AB,MATCH($G315,Data_Prices!$A:$A,0))</f>
        <v>5.65275973941006</v>
      </c>
      <c r="AC315" s="22" t="n">
        <f aca="false">INDEX(Data_Prices!AC:AC,MATCH($G315,Data_Prices!$A:$A,0))</f>
        <v>5.65275973941004</v>
      </c>
      <c r="AD315" s="22" t="n">
        <f aca="false">INDEX(Data_Prices!AD:AD,MATCH($G315,Data_Prices!$A:$A,0))</f>
        <v>5.65275973941006</v>
      </c>
      <c r="AE315" s="22" t="n">
        <f aca="false">INDEX(Data_Prices!AE:AE,MATCH($G315,Data_Prices!$A:$A,0))</f>
        <v>5.65275973941004</v>
      </c>
    </row>
    <row r="316" customFormat="false" ht="15" hidden="false" customHeight="false" outlineLevel="0" collapsed="false">
      <c r="B316" s="17" t="s">
        <v>71</v>
      </c>
      <c r="C316" s="17" t="str">
        <f aca="false">$C$307</f>
        <v>cem</v>
      </c>
      <c r="D316" s="18" t="s">
        <v>72</v>
      </c>
      <c r="E316" s="19" t="s">
        <v>55</v>
      </c>
      <c r="F316" s="17" t="s">
        <v>56</v>
      </c>
      <c r="G316" s="20" t="str">
        <f aca="false">Settings!$B$3&amp;".mit.pbc."&amp;Settings!$B$4&amp;"."&amp;$B316&amp;".a."&amp;$J$307</f>
        <v>egy.mit.pbc.ind.bio.a.2</v>
      </c>
      <c r="H316" s="21" t="str">
        <f aca="false">Settings!$B$3&amp;".mit.ptp."&amp;$C$307&amp;"."&amp;$B316&amp;".e."&amp;$J$307</f>
        <v>egy.mit.ptp.cem.bio.e.2</v>
      </c>
      <c r="K316" s="22" t="n">
        <f aca="false">INDEX(Data_Prices!K:K,MATCH($G316,Data_Prices!$A:$A,0))</f>
        <v>15.3345505293169</v>
      </c>
      <c r="L316" s="22" t="n">
        <f aca="false">INDEX(Data_Prices!L:L,MATCH($G316,Data_Prices!$A:$A,0))</f>
        <v>14.1995283906349</v>
      </c>
      <c r="M316" s="22" t="n">
        <f aca="false">INDEX(Data_Prices!M:M,MATCH($G316,Data_Prices!$A:$A,0))</f>
        <v>13.8404416133152</v>
      </c>
      <c r="N316" s="22" t="n">
        <f aca="false">INDEX(Data_Prices!N:N,MATCH($G316,Data_Prices!$A:$A,0))</f>
        <v>13.5677269404465</v>
      </c>
      <c r="O316" s="22" t="n">
        <f aca="false">INDEX(Data_Prices!O:O,MATCH($G316,Data_Prices!$A:$A,0))</f>
        <v>13.5677269404465</v>
      </c>
      <c r="P316" s="22" t="n">
        <f aca="false">INDEX(Data_Prices!P:P,MATCH($G316,Data_Prices!$A:$A,0))</f>
        <v>13.5677269404465</v>
      </c>
      <c r="Q316" s="22" t="n">
        <f aca="false">INDEX(Data_Prices!Q:Q,MATCH($G316,Data_Prices!$A:$A,0))</f>
        <v>13.5677269404465</v>
      </c>
      <c r="R316" s="22" t="n">
        <f aca="false">INDEX(Data_Prices!R:R,MATCH($G316,Data_Prices!$A:$A,0))</f>
        <v>13.5677269404465</v>
      </c>
      <c r="S316" s="22" t="n">
        <f aca="false">INDEX(Data_Prices!S:S,MATCH($G316,Data_Prices!$A:$A,0))</f>
        <v>13.5677269404465</v>
      </c>
      <c r="T316" s="22" t="n">
        <f aca="false">INDEX(Data_Prices!T:T,MATCH($G316,Data_Prices!$A:$A,0))</f>
        <v>13.5677269404465</v>
      </c>
      <c r="U316" s="22" t="n">
        <f aca="false">INDEX(Data_Prices!U:U,MATCH($G316,Data_Prices!$A:$A,0))</f>
        <v>13.5677269404465</v>
      </c>
      <c r="V316" s="22" t="n">
        <f aca="false">INDEX(Data_Prices!V:V,MATCH($G316,Data_Prices!$A:$A,0))</f>
        <v>13.5677269404465</v>
      </c>
      <c r="W316" s="22" t="n">
        <f aca="false">INDEX(Data_Prices!W:W,MATCH($G316,Data_Prices!$A:$A,0))</f>
        <v>13.5677269404465</v>
      </c>
      <c r="X316" s="22" t="n">
        <f aca="false">INDEX(Data_Prices!X:X,MATCH($G316,Data_Prices!$A:$A,0))</f>
        <v>13.5677269404465</v>
      </c>
      <c r="Y316" s="22" t="n">
        <f aca="false">INDEX(Data_Prices!Y:Y,MATCH($G316,Data_Prices!$A:$A,0))</f>
        <v>13.5677269404465</v>
      </c>
      <c r="Z316" s="22" t="n">
        <f aca="false">INDEX(Data_Prices!Z:Z,MATCH($G316,Data_Prices!$A:$A,0))</f>
        <v>13.5677269404465</v>
      </c>
      <c r="AA316" s="22" t="n">
        <f aca="false">INDEX(Data_Prices!AA:AA,MATCH($G316,Data_Prices!$A:$A,0))</f>
        <v>13.5677269404465</v>
      </c>
      <c r="AB316" s="22" t="n">
        <f aca="false">INDEX(Data_Prices!AB:AB,MATCH($G316,Data_Prices!$A:$A,0))</f>
        <v>13.5677269404465</v>
      </c>
      <c r="AC316" s="22" t="n">
        <f aca="false">INDEX(Data_Prices!AC:AC,MATCH($G316,Data_Prices!$A:$A,0))</f>
        <v>13.5677269404465</v>
      </c>
      <c r="AD316" s="22" t="n">
        <f aca="false">INDEX(Data_Prices!AD:AD,MATCH($G316,Data_Prices!$A:$A,0))</f>
        <v>13.5677269404465</v>
      </c>
      <c r="AE316" s="22" t="n">
        <f aca="false">INDEX(Data_Prices!AE:AE,MATCH($G316,Data_Prices!$A:$A,0))</f>
        <v>13.5677269404465</v>
      </c>
    </row>
    <row r="317" customFormat="false" ht="15" hidden="false" customHeight="false" outlineLevel="0" collapsed="false">
      <c r="B317" s="17" t="s">
        <v>73</v>
      </c>
      <c r="C317" s="17" t="str">
        <f aca="false">$C$307</f>
        <v>cem</v>
      </c>
      <c r="D317" s="18" t="s">
        <v>74</v>
      </c>
      <c r="E317" s="19" t="s">
        <v>75</v>
      </c>
      <c r="F317" s="17" t="s">
        <v>56</v>
      </c>
      <c r="G317" s="20" t="str">
        <f aca="false">Settings!$B$3&amp;".mit.pbc."&amp;Settings!$B$4&amp;"."&amp;$B317&amp;".a."&amp;$J$307</f>
        <v>egy.mit.pbc.ind.ren.a.2</v>
      </c>
      <c r="H317" s="21" t="str">
        <f aca="false">Settings!$B$3&amp;".mit.ptp."&amp;$C$307&amp;"."&amp;$B317&amp;".e."&amp;$J$307</f>
        <v>egy.mit.ptp.cem.ren.e.2</v>
      </c>
      <c r="K317" s="22" t="n">
        <f aca="false">INDEX(Data_Prices!K:K,MATCH($G317,Data_Prices!$A:$A,0))</f>
        <v>0</v>
      </c>
      <c r="L317" s="22" t="n">
        <f aca="false">INDEX(Data_Prices!L:L,MATCH($G317,Data_Prices!$A:$A,0))</f>
        <v>0.144044986793198</v>
      </c>
      <c r="M317" s="22" t="n">
        <f aca="false">INDEX(Data_Prices!M:M,MATCH($G317,Data_Prices!$A:$A,0))</f>
        <v>0.141386241751359</v>
      </c>
      <c r="N317" s="22" t="n">
        <f aca="false">INDEX(Data_Prices!N:N,MATCH($G317,Data_Prices!$A:$A,0))</f>
        <v>0.135397565443731</v>
      </c>
      <c r="O317" s="22" t="n">
        <f aca="false">INDEX(Data_Prices!O:O,MATCH($G317,Data_Prices!$A:$A,0))</f>
        <v>0.131522885420651</v>
      </c>
      <c r="P317" s="22" t="n">
        <f aca="false">INDEX(Data_Prices!P:P,MATCH($G317,Data_Prices!$A:$A,0))</f>
        <v>0.128826108485231</v>
      </c>
      <c r="Q317" s="22" t="n">
        <f aca="false">INDEX(Data_Prices!Q:Q,MATCH($G317,Data_Prices!$A:$A,0))</f>
        <v>0.12594200976474</v>
      </c>
      <c r="R317" s="22" t="n">
        <f aca="false">INDEX(Data_Prices!R:R,MATCH($G317,Data_Prices!$A:$A,0))</f>
        <v>0.123113265701861</v>
      </c>
      <c r="S317" s="22" t="n">
        <f aca="false">INDEX(Data_Prices!S:S,MATCH($G317,Data_Prices!$A:$A,0))</f>
        <v>0.119391738089068</v>
      </c>
      <c r="T317" s="22" t="n">
        <f aca="false">INDEX(Data_Prices!T:T,MATCH($G317,Data_Prices!$A:$A,0))</f>
        <v>0.11554419046792</v>
      </c>
      <c r="U317" s="22" t="n">
        <f aca="false">INDEX(Data_Prices!U:U,MATCH($G317,Data_Prices!$A:$A,0))</f>
        <v>0.114924230654159</v>
      </c>
      <c r="V317" s="22" t="n">
        <f aca="false">INDEX(Data_Prices!V:V,MATCH($G317,Data_Prices!$A:$A,0))</f>
        <v>0.114346912116736</v>
      </c>
      <c r="W317" s="22" t="n">
        <f aca="false">INDEX(Data_Prices!W:W,MATCH($G317,Data_Prices!$A:$A,0))</f>
        <v>0.113738711172664</v>
      </c>
      <c r="X317" s="22" t="n">
        <f aca="false">INDEX(Data_Prices!X:X,MATCH($G317,Data_Prices!$A:$A,0))</f>
        <v>0.112999900487521</v>
      </c>
      <c r="Y317" s="22" t="n">
        <f aca="false">INDEX(Data_Prices!Y:Y,MATCH($G317,Data_Prices!$A:$A,0))</f>
        <v>0.112177685835534</v>
      </c>
      <c r="Z317" s="22" t="n">
        <f aca="false">INDEX(Data_Prices!Z:Z,MATCH($G317,Data_Prices!$A:$A,0))</f>
        <v>0.111417903250404</v>
      </c>
      <c r="AA317" s="22" t="n">
        <f aca="false">INDEX(Data_Prices!AA:AA,MATCH($G317,Data_Prices!$A:$A,0))</f>
        <v>0.110525819985454</v>
      </c>
      <c r="AB317" s="22" t="n">
        <f aca="false">INDEX(Data_Prices!AB:AB,MATCH($G317,Data_Prices!$A:$A,0))</f>
        <v>0.109699565234896</v>
      </c>
      <c r="AC317" s="22" t="n">
        <f aca="false">INDEX(Data_Prices!AC:AC,MATCH($G317,Data_Prices!$A:$A,0))</f>
        <v>0.107726788963949</v>
      </c>
      <c r="AD317" s="22" t="n">
        <f aca="false">INDEX(Data_Prices!AD:AD,MATCH($G317,Data_Prices!$A:$A,0))</f>
        <v>0.105820924450935</v>
      </c>
      <c r="AE317" s="22" t="n">
        <f aca="false">INDEX(Data_Prices!AE:AE,MATCH($G317,Data_Prices!$A:$A,0))</f>
        <v>0.103855595705721</v>
      </c>
    </row>
    <row r="318" customFormat="false" ht="15" hidden="false" customHeight="false" outlineLevel="0" collapsed="false">
      <c r="B318" s="16" t="s">
        <v>76</v>
      </c>
    </row>
    <row r="319" customFormat="false" ht="15" hidden="false" customHeight="false" outlineLevel="0" collapsed="false">
      <c r="B319" s="17" t="s">
        <v>53</v>
      </c>
      <c r="C319" s="17" t="str">
        <f aca="false">$C$307</f>
        <v>cem</v>
      </c>
      <c r="D319" s="18" t="s">
        <v>54</v>
      </c>
      <c r="E319" s="19" t="s">
        <v>55</v>
      </c>
      <c r="F319" s="17" t="s">
        <v>77</v>
      </c>
      <c r="G319" s="20" t="str">
        <f aca="false">Settings!$B$3&amp;".mit.nce."&amp;Settings!$B$4&amp;"."&amp;$B319&amp;".a."&amp;$J$307</f>
        <v>egy.mit.nce.ind.coa.a.2</v>
      </c>
      <c r="H319" s="21" t="str">
        <f aca="false">Settings!$B$3&amp;".mit.atp."&amp;$C$307&amp;"."&amp;$B319&amp;".e."&amp;$J$307</f>
        <v>egy.mit.atp.cem.coa.e.2</v>
      </c>
      <c r="K319" s="22" t="n">
        <f aca="false">K309+INDEX(Data_Prices!K:K,MATCH($G319,Data_Prices!$A:$A,0))*K$339</f>
        <v>11.1829015892439</v>
      </c>
      <c r="L319" s="22" t="n">
        <f aca="false">L309+INDEX(Data_Prices!L:L,MATCH($G319,Data_Prices!$A:$A,0))*L$339</f>
        <v>10.5233613454312</v>
      </c>
      <c r="M319" s="22" t="n">
        <f aca="false">M309+INDEX(Data_Prices!M:M,MATCH($G319,Data_Prices!$A:$A,0))*M$339</f>
        <v>10.2995608274442</v>
      </c>
      <c r="N319" s="22" t="n">
        <f aca="false">N309+INDEX(Data_Prices!N:N,MATCH($G319,Data_Prices!$A:$A,0))*N$339</f>
        <v>9.57752835953826</v>
      </c>
      <c r="O319" s="22" t="n">
        <f aca="false">O309+INDEX(Data_Prices!O:O,MATCH($G319,Data_Prices!$A:$A,0))*O$339</f>
        <v>8.48547828695805</v>
      </c>
      <c r="P319" s="22" t="n">
        <f aca="false">P309+INDEX(Data_Prices!P:P,MATCH($G319,Data_Prices!$A:$A,0))*P$339</f>
        <v>9.08719223524986</v>
      </c>
      <c r="Q319" s="22" t="n">
        <f aca="false">Q309+INDEX(Data_Prices!Q:Q,MATCH($G319,Data_Prices!$A:$A,0))*Q$339</f>
        <v>10.4729237289327</v>
      </c>
      <c r="R319" s="22" t="n">
        <f aca="false">R309+INDEX(Data_Prices!R:R,MATCH($G319,Data_Prices!$A:$A,0))*R$339</f>
        <v>11.6585649555097</v>
      </c>
      <c r="S319" s="22" t="n">
        <f aca="false">S309+INDEX(Data_Prices!S:S,MATCH($G319,Data_Prices!$A:$A,0))*S$339</f>
        <v>12.8395478773974</v>
      </c>
      <c r="T319" s="22" t="n">
        <f aca="false">T309+INDEX(Data_Prices!T:T,MATCH($G319,Data_Prices!$A:$A,0))*T$339</f>
        <v>14.0156816660228</v>
      </c>
      <c r="U319" s="22" t="n">
        <f aca="false">U309+INDEX(Data_Prices!U:U,MATCH($G319,Data_Prices!$A:$A,0))*U$339</f>
        <v>15.1943977655571</v>
      </c>
      <c r="V319" s="22" t="n">
        <f aca="false">V309+INDEX(Data_Prices!V:V,MATCH($G319,Data_Prices!$A:$A,0))*V$339</f>
        <v>16.4443977655571</v>
      </c>
      <c r="W319" s="22" t="n">
        <f aca="false">W309+INDEX(Data_Prices!W:W,MATCH($G319,Data_Prices!$A:$A,0))*W$339</f>
        <v>17.6943977655571</v>
      </c>
      <c r="X319" s="22" t="n">
        <f aca="false">X309+INDEX(Data_Prices!X:X,MATCH($G319,Data_Prices!$A:$A,0))*X$339</f>
        <v>18.9443977655571</v>
      </c>
      <c r="Y319" s="22" t="n">
        <f aca="false">Y309+INDEX(Data_Prices!Y:Y,MATCH($G319,Data_Prices!$A:$A,0))*Y$339</f>
        <v>20.1943977655571</v>
      </c>
      <c r="Z319" s="22" t="n">
        <f aca="false">Z309+INDEX(Data_Prices!Z:Z,MATCH($G319,Data_Prices!$A:$A,0))*Z$339</f>
        <v>21.4443977655571</v>
      </c>
      <c r="AA319" s="22" t="n">
        <f aca="false">AA309+INDEX(Data_Prices!AA:AA,MATCH($G319,Data_Prices!$A:$A,0))*AA$339</f>
        <v>22.6943977655571</v>
      </c>
      <c r="AB319" s="22" t="n">
        <f aca="false">AB309+INDEX(Data_Prices!AB:AB,MATCH($G319,Data_Prices!$A:$A,0))*AB$339</f>
        <v>23.9443977655571</v>
      </c>
      <c r="AC319" s="22" t="n">
        <f aca="false">AC309+INDEX(Data_Prices!AC:AC,MATCH($G319,Data_Prices!$A:$A,0))*AC$339</f>
        <v>25.1943977655571</v>
      </c>
      <c r="AD319" s="22" t="n">
        <f aca="false">AD309+INDEX(Data_Prices!AD:AD,MATCH($G319,Data_Prices!$A:$A,0))*AD$339</f>
        <v>26.4443977655571</v>
      </c>
      <c r="AE319" s="22" t="n">
        <f aca="false">AE309+INDEX(Data_Prices!AE:AE,MATCH($G319,Data_Prices!$A:$A,0))*AE$339</f>
        <v>27.6943977655571</v>
      </c>
    </row>
    <row r="320" customFormat="false" ht="15" hidden="false" customHeight="false" outlineLevel="0" collapsed="false">
      <c r="B320" s="17" t="s">
        <v>57</v>
      </c>
      <c r="C320" s="17" t="str">
        <f aca="false">$C$307</f>
        <v>cem</v>
      </c>
      <c r="D320" s="18" t="s">
        <v>58</v>
      </c>
      <c r="E320" s="19" t="s">
        <v>55</v>
      </c>
      <c r="F320" s="17" t="s">
        <v>77</v>
      </c>
      <c r="G320" s="20" t="str">
        <f aca="false">Settings!$B$3&amp;".mit.nce."&amp;Settings!$B$4&amp;"."&amp;$B320&amp;".a."&amp;$J$307</f>
        <v>egy.mit.nce.ind.nga.a.2</v>
      </c>
      <c r="H320" s="21" t="str">
        <f aca="false">Settings!$B$3&amp;".mit.atp."&amp;$C$307&amp;"."&amp;$B320&amp;".e."&amp;$J$307</f>
        <v>egy.mit.atp.cem.nga.e.2</v>
      </c>
      <c r="K320" s="22" t="n">
        <f aca="false">K310+INDEX(Data_Prices!K:K,MATCH($G320,Data_Prices!$A:$A,0))*K$339</f>
        <v>6.06346361567291</v>
      </c>
      <c r="L320" s="22" t="n">
        <f aca="false">L310+INDEX(Data_Prices!L:L,MATCH($G320,Data_Prices!$A:$A,0))*L$339</f>
        <v>5.45101508161919</v>
      </c>
      <c r="M320" s="22" t="n">
        <f aca="false">M310+INDEX(Data_Prices!M:M,MATCH($G320,Data_Prices!$A:$A,0))*M$339</f>
        <v>5.11935630626248</v>
      </c>
      <c r="N320" s="22" t="n">
        <f aca="false">N310+INDEX(Data_Prices!N:N,MATCH($G320,Data_Prices!$A:$A,0))*N$339</f>
        <v>5.08218458640407</v>
      </c>
      <c r="O320" s="22" t="n">
        <f aca="false">O310+INDEX(Data_Prices!O:O,MATCH($G320,Data_Prices!$A:$A,0))*O$339</f>
        <v>5.08218458640407</v>
      </c>
      <c r="P320" s="22" t="n">
        <f aca="false">P310+INDEX(Data_Prices!P:P,MATCH($G320,Data_Prices!$A:$A,0))*P$339</f>
        <v>5.08218458640407</v>
      </c>
      <c r="Q320" s="22" t="n">
        <f aca="false">Q310+INDEX(Data_Prices!Q:Q,MATCH($G320,Data_Prices!$A:$A,0))*Q$339</f>
        <v>5.77968458640407</v>
      </c>
      <c r="R320" s="22" t="n">
        <f aca="false">R310+INDEX(Data_Prices!R:R,MATCH($G320,Data_Prices!$A:$A,0))*R$339</f>
        <v>6.47718458640407</v>
      </c>
      <c r="S320" s="22" t="n">
        <f aca="false">S310+INDEX(Data_Prices!S:S,MATCH($G320,Data_Prices!$A:$A,0))*S$339</f>
        <v>7.17468458640407</v>
      </c>
      <c r="T320" s="22" t="n">
        <f aca="false">T310+INDEX(Data_Prices!T:T,MATCH($G320,Data_Prices!$A:$A,0))*T$339</f>
        <v>7.87218458640407</v>
      </c>
      <c r="U320" s="22" t="n">
        <f aca="false">U310+INDEX(Data_Prices!U:U,MATCH($G320,Data_Prices!$A:$A,0))*U$339</f>
        <v>8.56968458640407</v>
      </c>
      <c r="V320" s="22" t="n">
        <f aca="false">V310+INDEX(Data_Prices!V:V,MATCH($G320,Data_Prices!$A:$A,0))*V$339</f>
        <v>9.26718458640407</v>
      </c>
      <c r="W320" s="22" t="n">
        <f aca="false">W310+INDEX(Data_Prices!W:W,MATCH($G320,Data_Prices!$A:$A,0))*W$339</f>
        <v>9.96468458640407</v>
      </c>
      <c r="X320" s="22" t="n">
        <f aca="false">X310+INDEX(Data_Prices!X:X,MATCH($G320,Data_Prices!$A:$A,0))*X$339</f>
        <v>10.6621845864041</v>
      </c>
      <c r="Y320" s="22" t="n">
        <f aca="false">Y310+INDEX(Data_Prices!Y:Y,MATCH($G320,Data_Prices!$A:$A,0))*Y$339</f>
        <v>11.3596845864041</v>
      </c>
      <c r="Z320" s="22" t="n">
        <f aca="false">Z310+INDEX(Data_Prices!Z:Z,MATCH($G320,Data_Prices!$A:$A,0))*Z$339</f>
        <v>12.0571845864041</v>
      </c>
      <c r="AA320" s="22" t="n">
        <f aca="false">AA310+INDEX(Data_Prices!AA:AA,MATCH($G320,Data_Prices!$A:$A,0))*AA$339</f>
        <v>12.7546845864041</v>
      </c>
      <c r="AB320" s="22" t="n">
        <f aca="false">AB310+INDEX(Data_Prices!AB:AB,MATCH($G320,Data_Prices!$A:$A,0))*AB$339</f>
        <v>13.4521845864041</v>
      </c>
      <c r="AC320" s="22" t="n">
        <f aca="false">AC310+INDEX(Data_Prices!AC:AC,MATCH($G320,Data_Prices!$A:$A,0))*AC$339</f>
        <v>14.1496845864041</v>
      </c>
      <c r="AD320" s="22" t="n">
        <f aca="false">AD310+INDEX(Data_Prices!AD:AD,MATCH($G320,Data_Prices!$A:$A,0))*AD$339</f>
        <v>14.8471845864041</v>
      </c>
      <c r="AE320" s="22" t="n">
        <f aca="false">AE310+INDEX(Data_Prices!AE:AE,MATCH($G320,Data_Prices!$A:$A,0))*AE$339</f>
        <v>15.5446845864041</v>
      </c>
    </row>
    <row r="321" customFormat="false" ht="15" hidden="false" customHeight="false" outlineLevel="0" collapsed="false">
      <c r="B321" s="17" t="s">
        <v>59</v>
      </c>
      <c r="C321" s="17" t="str">
        <f aca="false">$C$307</f>
        <v>cem</v>
      </c>
      <c r="D321" s="18" t="s">
        <v>60</v>
      </c>
      <c r="E321" s="19" t="s">
        <v>61</v>
      </c>
      <c r="F321" s="17" t="s">
        <v>77</v>
      </c>
      <c r="G321" s="20" t="str">
        <f aca="false">Settings!$B$3&amp;".mit.nce."&amp;Settings!$B$4&amp;"."&amp;$B321&amp;".a."&amp;$J$307</f>
        <v>egy.mit.nce.ind.gso.a.2</v>
      </c>
      <c r="H321" s="21" t="str">
        <f aca="false">Settings!$B$3&amp;".mit.atp."&amp;$C$307&amp;"."&amp;$B321&amp;".e."&amp;$J$307</f>
        <v>egy.mit.atp.cem.gso.e.2</v>
      </c>
      <c r="K321" s="22" t="n">
        <f aca="false">K311+INDEX(Data_Prices!K:K,MATCH($G321,Data_Prices!$A:$A,0))*K$339</f>
        <v>0.671146533321816</v>
      </c>
      <c r="L321" s="22" t="n">
        <f aca="false">L311+INDEX(Data_Prices!L:L,MATCH($G321,Data_Prices!$A:$A,0))*L$339</f>
        <v>0.611977976791406</v>
      </c>
      <c r="M321" s="22" t="n">
        <f aca="false">M311+INDEX(Data_Prices!M:M,MATCH($G321,Data_Prices!$A:$A,0))*M$339</f>
        <v>0.611809749641876</v>
      </c>
      <c r="N321" s="22" t="n">
        <f aca="false">N311+INDEX(Data_Prices!N:N,MATCH($G321,Data_Prices!$A:$A,0))*N$339</f>
        <v>0.603583100177906</v>
      </c>
      <c r="O321" s="22" t="n">
        <f aca="false">O311+INDEX(Data_Prices!O:O,MATCH($G321,Data_Prices!$A:$A,0))*O$339</f>
        <v>0.603583100177906</v>
      </c>
      <c r="P321" s="22" t="n">
        <f aca="false">P311+INDEX(Data_Prices!P:P,MATCH($G321,Data_Prices!$A:$A,0))*P$339</f>
        <v>0.603583100177906</v>
      </c>
      <c r="Q321" s="22" t="n">
        <f aca="false">Q311+INDEX(Data_Prices!Q:Q,MATCH($G321,Data_Prices!$A:$A,0))*Q$339</f>
        <v>0.632510943349406</v>
      </c>
      <c r="R321" s="22" t="n">
        <f aca="false">R311+INDEX(Data_Prices!R:R,MATCH($G321,Data_Prices!$A:$A,0))*R$339</f>
        <v>0.661438786520906</v>
      </c>
      <c r="S321" s="22" t="n">
        <f aca="false">S311+INDEX(Data_Prices!S:S,MATCH($G321,Data_Prices!$A:$A,0))*S$339</f>
        <v>0.690366629692406</v>
      </c>
      <c r="T321" s="22" t="n">
        <f aca="false">T311+INDEX(Data_Prices!T:T,MATCH($G321,Data_Prices!$A:$A,0))*T$339</f>
        <v>0.719294472863906</v>
      </c>
      <c r="U321" s="22" t="n">
        <f aca="false">U311+INDEX(Data_Prices!U:U,MATCH($G321,Data_Prices!$A:$A,0))*U$339</f>
        <v>0.748222316035406</v>
      </c>
      <c r="V321" s="22" t="n">
        <f aca="false">V311+INDEX(Data_Prices!V:V,MATCH($G321,Data_Prices!$A:$A,0))*V$339</f>
        <v>0.777150159206905</v>
      </c>
      <c r="W321" s="22" t="n">
        <f aca="false">W311+INDEX(Data_Prices!W:W,MATCH($G321,Data_Prices!$A:$A,0))*W$339</f>
        <v>0.806078002378406</v>
      </c>
      <c r="X321" s="22" t="n">
        <f aca="false">X311+INDEX(Data_Prices!X:X,MATCH($G321,Data_Prices!$A:$A,0))*X$339</f>
        <v>0.835005845549906</v>
      </c>
      <c r="Y321" s="22" t="n">
        <f aca="false">Y311+INDEX(Data_Prices!Y:Y,MATCH($G321,Data_Prices!$A:$A,0))*Y$339</f>
        <v>0.863933688721406</v>
      </c>
      <c r="Z321" s="22" t="n">
        <f aca="false">Z311+INDEX(Data_Prices!Z:Z,MATCH($G321,Data_Prices!$A:$A,0))*Z$339</f>
        <v>0.892861531892906</v>
      </c>
      <c r="AA321" s="22" t="n">
        <f aca="false">AA311+INDEX(Data_Prices!AA:AA,MATCH($G321,Data_Prices!$A:$A,0))*AA$339</f>
        <v>0.921789375064406</v>
      </c>
      <c r="AB321" s="22" t="n">
        <f aca="false">AB311+INDEX(Data_Prices!AB:AB,MATCH($G321,Data_Prices!$A:$A,0))*AB$339</f>
        <v>0.950717218235906</v>
      </c>
      <c r="AC321" s="22" t="n">
        <f aca="false">AC311+INDEX(Data_Prices!AC:AC,MATCH($G321,Data_Prices!$A:$A,0))*AC$339</f>
        <v>0.979645061407406</v>
      </c>
      <c r="AD321" s="22" t="n">
        <f aca="false">AD311+INDEX(Data_Prices!AD:AD,MATCH($G321,Data_Prices!$A:$A,0))*AD$339</f>
        <v>1.00857290457891</v>
      </c>
      <c r="AE321" s="22" t="n">
        <f aca="false">AE311+INDEX(Data_Prices!AE:AE,MATCH($G321,Data_Prices!$A:$A,0))*AE$339</f>
        <v>1.03750074775041</v>
      </c>
    </row>
    <row r="322" customFormat="false" ht="15" hidden="false" customHeight="false" outlineLevel="0" collapsed="false">
      <c r="B322" s="17" t="s">
        <v>62</v>
      </c>
      <c r="C322" s="17" t="str">
        <f aca="false">$C$307</f>
        <v>cem</v>
      </c>
      <c r="D322" s="18" t="s">
        <v>63</v>
      </c>
      <c r="E322" s="19" t="s">
        <v>61</v>
      </c>
      <c r="F322" s="17" t="s">
        <v>77</v>
      </c>
      <c r="G322" s="20" t="str">
        <f aca="false">Settings!$B$3&amp;".mit.nce."&amp;Settings!$B$4&amp;"."&amp;$B322&amp;".a."&amp;$J$307</f>
        <v>egy.mit.nce.ind.die.a.2</v>
      </c>
      <c r="H322" s="21" t="str">
        <f aca="false">Settings!$B$3&amp;".mit.atp."&amp;$C$307&amp;"."&amp;$B322&amp;".e."&amp;$J$307</f>
        <v>egy.mit.atp.cem.die.e.2</v>
      </c>
      <c r="K322" s="22" t="n">
        <f aca="false">K312+INDEX(Data_Prices!K:K,MATCH($G322,Data_Prices!$A:$A,0))*K$339</f>
        <v>0.559711213155688</v>
      </c>
      <c r="L322" s="22" t="n">
        <f aca="false">L312+INDEX(Data_Prices!L:L,MATCH($G322,Data_Prices!$A:$A,0))*L$339</f>
        <v>0.494588730841068</v>
      </c>
      <c r="M322" s="22" t="n">
        <f aca="false">M312+INDEX(Data_Prices!M:M,MATCH($G322,Data_Prices!$A:$A,0))*M$339</f>
        <v>0.507786547202501</v>
      </c>
      <c r="N322" s="22" t="n">
        <f aca="false">N312+INDEX(Data_Prices!N:N,MATCH($G322,Data_Prices!$A:$A,0))*N$339</f>
        <v>0.470436426795617</v>
      </c>
      <c r="O322" s="22" t="n">
        <f aca="false">O312+INDEX(Data_Prices!O:O,MATCH($G322,Data_Prices!$A:$A,0))*O$339</f>
        <v>0.470436426795617</v>
      </c>
      <c r="P322" s="22" t="n">
        <f aca="false">P312+INDEX(Data_Prices!P:P,MATCH($G322,Data_Prices!$A:$A,0))*P$339</f>
        <v>0.470436426795617</v>
      </c>
      <c r="Q322" s="22" t="n">
        <f aca="false">Q312+INDEX(Data_Prices!Q:Q,MATCH($G322,Data_Prices!$A:$A,0))*Q$339</f>
        <v>0.503446865654492</v>
      </c>
      <c r="R322" s="22" t="n">
        <f aca="false">R312+INDEX(Data_Prices!R:R,MATCH($G322,Data_Prices!$A:$A,0))*R$339</f>
        <v>0.536457304513367</v>
      </c>
      <c r="S322" s="22" t="n">
        <f aca="false">S312+INDEX(Data_Prices!S:S,MATCH($G322,Data_Prices!$A:$A,0))*S$339</f>
        <v>0.569467743372243</v>
      </c>
      <c r="T322" s="22" t="n">
        <f aca="false">T312+INDEX(Data_Prices!T:T,MATCH($G322,Data_Prices!$A:$A,0))*T$339</f>
        <v>0.602478182231117</v>
      </c>
      <c r="U322" s="22" t="n">
        <f aca="false">U312+INDEX(Data_Prices!U:U,MATCH($G322,Data_Prices!$A:$A,0))*U$339</f>
        <v>0.635488621089992</v>
      </c>
      <c r="V322" s="22" t="n">
        <f aca="false">V312+INDEX(Data_Prices!V:V,MATCH($G322,Data_Prices!$A:$A,0))*V$339</f>
        <v>0.668499059948867</v>
      </c>
      <c r="W322" s="22" t="n">
        <f aca="false">W312+INDEX(Data_Prices!W:W,MATCH($G322,Data_Prices!$A:$A,0))*W$339</f>
        <v>0.701509498807742</v>
      </c>
      <c r="X322" s="22" t="n">
        <f aca="false">X312+INDEX(Data_Prices!X:X,MATCH($G322,Data_Prices!$A:$A,0))*X$339</f>
        <v>0.734519937666617</v>
      </c>
      <c r="Y322" s="22" t="n">
        <f aca="false">Y312+INDEX(Data_Prices!Y:Y,MATCH($G322,Data_Prices!$A:$A,0))*Y$339</f>
        <v>0.767530376525492</v>
      </c>
      <c r="Z322" s="22" t="n">
        <f aca="false">Z312+INDEX(Data_Prices!Z:Z,MATCH($G322,Data_Prices!$A:$A,0))*Z$339</f>
        <v>0.800540815384367</v>
      </c>
      <c r="AA322" s="22" t="n">
        <f aca="false">AA312+INDEX(Data_Prices!AA:AA,MATCH($G322,Data_Prices!$A:$A,0))*AA$339</f>
        <v>0.833551254243242</v>
      </c>
      <c r="AB322" s="22" t="n">
        <f aca="false">AB312+INDEX(Data_Prices!AB:AB,MATCH($G322,Data_Prices!$A:$A,0))*AB$339</f>
        <v>0.866561693102117</v>
      </c>
      <c r="AC322" s="22" t="n">
        <f aca="false">AC312+INDEX(Data_Prices!AC:AC,MATCH($G322,Data_Prices!$A:$A,0))*AC$339</f>
        <v>0.899572131960992</v>
      </c>
      <c r="AD322" s="22" t="n">
        <f aca="false">AD312+INDEX(Data_Prices!AD:AD,MATCH($G322,Data_Prices!$A:$A,0))*AD$339</f>
        <v>0.932582570819867</v>
      </c>
      <c r="AE322" s="22" t="n">
        <f aca="false">AE312+INDEX(Data_Prices!AE:AE,MATCH($G322,Data_Prices!$A:$A,0))*AE$339</f>
        <v>0.965593009678742</v>
      </c>
    </row>
    <row r="323" customFormat="false" ht="15" hidden="false" customHeight="false" outlineLevel="0" collapsed="false">
      <c r="B323" s="17" t="s">
        <v>64</v>
      </c>
      <c r="C323" s="17" t="str">
        <f aca="false">$C$307</f>
        <v>cem</v>
      </c>
      <c r="D323" s="18" t="s">
        <v>65</v>
      </c>
      <c r="E323" s="19" t="s">
        <v>61</v>
      </c>
      <c r="F323" s="17" t="s">
        <v>77</v>
      </c>
      <c r="G323" s="20" t="str">
        <f aca="false">Settings!$B$3&amp;".mit.nce."&amp;Settings!$B$4&amp;"."&amp;$B323&amp;".a."&amp;$J$307</f>
        <v>egy.mit.nce.ind.lpg.a.2</v>
      </c>
      <c r="H323" s="21" t="str">
        <f aca="false">Settings!$B$3&amp;".mit.atp."&amp;$C$307&amp;"."&amp;$B323&amp;".e."&amp;$J$307</f>
        <v>egy.mit.atp.cem.lpg.e.2</v>
      </c>
      <c r="K323" s="22" t="n">
        <f aca="false">K313+INDEX(Data_Prices!K:K,MATCH($G323,Data_Prices!$A:$A,0))*K$339</f>
        <v>0.200366691126738</v>
      </c>
      <c r="L323" s="22" t="n">
        <f aca="false">L313+INDEX(Data_Prices!L:L,MATCH($G323,Data_Prices!$A:$A,0))*L$339</f>
        <v>0.157344736252274</v>
      </c>
      <c r="M323" s="22" t="n">
        <f aca="false">M313+INDEX(Data_Prices!M:M,MATCH($G323,Data_Prices!$A:$A,0))*M$339</f>
        <v>0.164484037759277</v>
      </c>
      <c r="N323" s="22" t="n">
        <f aca="false">N313+INDEX(Data_Prices!N:N,MATCH($G323,Data_Prices!$A:$A,0))*N$339</f>
        <v>0.150709077807049</v>
      </c>
      <c r="O323" s="22" t="n">
        <f aca="false">O313+INDEX(Data_Prices!O:O,MATCH($G323,Data_Prices!$A:$A,0))*O$339</f>
        <v>0.150709077807049</v>
      </c>
      <c r="P323" s="22" t="n">
        <f aca="false">P313+INDEX(Data_Prices!P:P,MATCH($G323,Data_Prices!$A:$A,0))*P$339</f>
        <v>0.150709077807049</v>
      </c>
      <c r="Q323" s="22" t="n">
        <f aca="false">Q313+INDEX(Data_Prices!Q:Q,MATCH($G323,Data_Prices!$A:$A,0))*Q$339</f>
        <v>0.172815160734345</v>
      </c>
      <c r="R323" s="22" t="n">
        <f aca="false">R313+INDEX(Data_Prices!R:R,MATCH($G323,Data_Prices!$A:$A,0))*R$339</f>
        <v>0.19492124366164</v>
      </c>
      <c r="S323" s="22" t="n">
        <f aca="false">S313+INDEX(Data_Prices!S:S,MATCH($G323,Data_Prices!$A:$A,0))*S$339</f>
        <v>0.217027326588936</v>
      </c>
      <c r="T323" s="22" t="n">
        <f aca="false">T313+INDEX(Data_Prices!T:T,MATCH($G323,Data_Prices!$A:$A,0))*T$339</f>
        <v>0.239133409516232</v>
      </c>
      <c r="U323" s="22" t="n">
        <f aca="false">U313+INDEX(Data_Prices!U:U,MATCH($G323,Data_Prices!$A:$A,0))*U$339</f>
        <v>0.261239492443527</v>
      </c>
      <c r="V323" s="22" t="n">
        <f aca="false">V313+INDEX(Data_Prices!V:V,MATCH($G323,Data_Prices!$A:$A,0))*V$339</f>
        <v>0.283345575370823</v>
      </c>
      <c r="W323" s="22" t="n">
        <f aca="false">W313+INDEX(Data_Prices!W:W,MATCH($G323,Data_Prices!$A:$A,0))*W$339</f>
        <v>0.305451658298119</v>
      </c>
      <c r="X323" s="22" t="n">
        <f aca="false">X313+INDEX(Data_Prices!X:X,MATCH($G323,Data_Prices!$A:$A,0))*X$339</f>
        <v>0.327557741225415</v>
      </c>
      <c r="Y323" s="22" t="n">
        <f aca="false">Y313+INDEX(Data_Prices!Y:Y,MATCH($G323,Data_Prices!$A:$A,0))*Y$339</f>
        <v>0.34966382415271</v>
      </c>
      <c r="Z323" s="22" t="n">
        <f aca="false">Z313+INDEX(Data_Prices!Z:Z,MATCH($G323,Data_Prices!$A:$A,0))*Z$339</f>
        <v>0.371769907080006</v>
      </c>
      <c r="AA323" s="22" t="n">
        <f aca="false">AA313+INDEX(Data_Prices!AA:AA,MATCH($G323,Data_Prices!$A:$A,0))*AA$339</f>
        <v>0.393875990007302</v>
      </c>
      <c r="AB323" s="22" t="n">
        <f aca="false">AB313+INDEX(Data_Prices!AB:AB,MATCH($G323,Data_Prices!$A:$A,0))*AB$339</f>
        <v>0.415982072934597</v>
      </c>
      <c r="AC323" s="22" t="n">
        <f aca="false">AC313+INDEX(Data_Prices!AC:AC,MATCH($G323,Data_Prices!$A:$A,0))*AC$339</f>
        <v>0.438088155861893</v>
      </c>
      <c r="AD323" s="22" t="n">
        <f aca="false">AD313+INDEX(Data_Prices!AD:AD,MATCH($G323,Data_Prices!$A:$A,0))*AD$339</f>
        <v>0.460194238789189</v>
      </c>
      <c r="AE323" s="22" t="n">
        <f aca="false">AE313+INDEX(Data_Prices!AE:AE,MATCH($G323,Data_Prices!$A:$A,0))*AE$339</f>
        <v>0.482300321716484</v>
      </c>
    </row>
    <row r="324" customFormat="false" ht="15" hidden="false" customHeight="false" outlineLevel="0" collapsed="false">
      <c r="B324" s="17" t="s">
        <v>66</v>
      </c>
      <c r="C324" s="17" t="str">
        <f aca="false">$C$307</f>
        <v>cem</v>
      </c>
      <c r="D324" s="18" t="s">
        <v>67</v>
      </c>
      <c r="E324" s="19" t="s">
        <v>61</v>
      </c>
      <c r="F324" s="17" t="s">
        <v>77</v>
      </c>
      <c r="G324" s="20" t="str">
        <f aca="false">Settings!$B$3&amp;".mit.nce."&amp;Settings!$B$4&amp;"."&amp;$B324&amp;".a."&amp;$J$307</f>
        <v>egy.mit.nce.ind.ker.a.2</v>
      </c>
      <c r="H324" s="21" t="str">
        <f aca="false">Settings!$B$3&amp;".mit.atp."&amp;$C$307&amp;"."&amp;$B324&amp;".e."&amp;$J$307</f>
        <v>egy.mit.atp.cem.ker.e.2</v>
      </c>
      <c r="K324" s="22" t="n">
        <f aca="false">K314+INDEX(Data_Prices!K:K,MATCH($G324,Data_Prices!$A:$A,0))*K$339</f>
        <v>0.484294240973435</v>
      </c>
      <c r="L324" s="22" t="n">
        <f aca="false">L314+INDEX(Data_Prices!L:L,MATCH($G324,Data_Prices!$A:$A,0))*L$339</f>
        <v>0.456428170500128</v>
      </c>
      <c r="M324" s="22" t="n">
        <f aca="false">M314+INDEX(Data_Prices!M:M,MATCH($G324,Data_Prices!$A:$A,0))*M$339</f>
        <v>0.431689201955995</v>
      </c>
      <c r="N324" s="22" t="n">
        <f aca="false">N314+INDEX(Data_Prices!N:N,MATCH($G324,Data_Prices!$A:$A,0))*N$339</f>
        <v>0.42507558395597</v>
      </c>
      <c r="O324" s="22" t="n">
        <f aca="false">O314+INDEX(Data_Prices!O:O,MATCH($G324,Data_Prices!$A:$A,0))*O$339</f>
        <v>0.42507558395597</v>
      </c>
      <c r="P324" s="22" t="n">
        <f aca="false">P314+INDEX(Data_Prices!P:P,MATCH($G324,Data_Prices!$A:$A,0))*P$339</f>
        <v>0.42507558395597</v>
      </c>
      <c r="Q324" s="22" t="n">
        <f aca="false">Q314+INDEX(Data_Prices!Q:Q,MATCH($G324,Data_Prices!$A:$A,0))*Q$339</f>
        <v>0.457064414066078</v>
      </c>
      <c r="R324" s="22" t="n">
        <f aca="false">R314+INDEX(Data_Prices!R:R,MATCH($G324,Data_Prices!$A:$A,0))*R$339</f>
        <v>0.489053244176187</v>
      </c>
      <c r="S324" s="22" t="n">
        <f aca="false">S314+INDEX(Data_Prices!S:S,MATCH($G324,Data_Prices!$A:$A,0))*S$339</f>
        <v>0.521042074286296</v>
      </c>
      <c r="T324" s="22" t="n">
        <f aca="false">T314+INDEX(Data_Prices!T:T,MATCH($G324,Data_Prices!$A:$A,0))*T$339</f>
        <v>0.553030904396404</v>
      </c>
      <c r="U324" s="22" t="n">
        <f aca="false">U314+INDEX(Data_Prices!U:U,MATCH($G324,Data_Prices!$A:$A,0))*U$339</f>
        <v>0.585019734506513</v>
      </c>
      <c r="V324" s="22" t="n">
        <f aca="false">V314+INDEX(Data_Prices!V:V,MATCH($G324,Data_Prices!$A:$A,0))*V$339</f>
        <v>0.617008564616621</v>
      </c>
      <c r="W324" s="22" t="n">
        <f aca="false">W314+INDEX(Data_Prices!W:W,MATCH($G324,Data_Prices!$A:$A,0))*W$339</f>
        <v>0.648997394726729</v>
      </c>
      <c r="X324" s="22" t="n">
        <f aca="false">X314+INDEX(Data_Prices!X:X,MATCH($G324,Data_Prices!$A:$A,0))*X$339</f>
        <v>0.680986224836838</v>
      </c>
      <c r="Y324" s="22" t="n">
        <f aca="false">Y314+INDEX(Data_Prices!Y:Y,MATCH($G324,Data_Prices!$A:$A,0))*Y$339</f>
        <v>0.712975054946947</v>
      </c>
      <c r="Z324" s="22" t="n">
        <f aca="false">Z314+INDEX(Data_Prices!Z:Z,MATCH($G324,Data_Prices!$A:$A,0))*Z$339</f>
        <v>0.744963885057055</v>
      </c>
      <c r="AA324" s="22" t="n">
        <f aca="false">AA314+INDEX(Data_Prices!AA:AA,MATCH($G324,Data_Prices!$A:$A,0))*AA$339</f>
        <v>0.776952715167163</v>
      </c>
      <c r="AB324" s="22" t="n">
        <f aca="false">AB314+INDEX(Data_Prices!AB:AB,MATCH($G324,Data_Prices!$A:$A,0))*AB$339</f>
        <v>0.808941545277272</v>
      </c>
      <c r="AC324" s="22" t="n">
        <f aca="false">AC314+INDEX(Data_Prices!AC:AC,MATCH($G324,Data_Prices!$A:$A,0))*AC$339</f>
        <v>0.84093037538738</v>
      </c>
      <c r="AD324" s="22" t="n">
        <f aca="false">AD314+INDEX(Data_Prices!AD:AD,MATCH($G324,Data_Prices!$A:$A,0))*AD$339</f>
        <v>0.872919205497489</v>
      </c>
      <c r="AE324" s="22" t="n">
        <f aca="false">AE314+INDEX(Data_Prices!AE:AE,MATCH($G324,Data_Prices!$A:$A,0))*AE$339</f>
        <v>0.904908035607597</v>
      </c>
    </row>
    <row r="325" customFormat="false" ht="15" hidden="false" customHeight="false" outlineLevel="0" collapsed="false">
      <c r="B325" s="17" t="s">
        <v>68</v>
      </c>
      <c r="C325" s="17" t="str">
        <f aca="false">$C$307</f>
        <v>cem</v>
      </c>
      <c r="D325" s="18" t="s">
        <v>69</v>
      </c>
      <c r="E325" s="19" t="s">
        <v>70</v>
      </c>
      <c r="F325" s="17" t="s">
        <v>77</v>
      </c>
      <c r="G325" s="20" t="str">
        <f aca="false">Settings!$B$3&amp;".mit.nce."&amp;Settings!$B$4&amp;"."&amp;$B325&amp;".a."&amp;$J$307</f>
        <v>egy.mit.nce.ind.oop.a.2</v>
      </c>
      <c r="H325" s="21" t="str">
        <f aca="false">Settings!$B$3&amp;".mit.atp."&amp;$C$307&amp;"."&amp;$B325&amp;".e."&amp;$J$307</f>
        <v>egy.mit.atp.cem.oop.e.2</v>
      </c>
      <c r="K325" s="22" t="n">
        <f aca="false">K315+INDEX(Data_Prices!K:K,MATCH($G325,Data_Prices!$A:$A,0))*K$339</f>
        <v>41.5003384988684</v>
      </c>
      <c r="L325" s="22" t="n">
        <f aca="false">L315+INDEX(Data_Prices!L:L,MATCH($G325,Data_Prices!$A:$A,0))*L$339</f>
        <v>34.4153703043132</v>
      </c>
      <c r="M325" s="22" t="n">
        <f aca="false">M315+INDEX(Data_Prices!M:M,MATCH($G325,Data_Prices!$A:$A,0))*M$339</f>
        <v>37.368960690432</v>
      </c>
      <c r="N325" s="22" t="n">
        <f aca="false">N315+INDEX(Data_Prices!N:N,MATCH($G325,Data_Prices!$A:$A,0))*N$339</f>
        <v>28.9827611014773</v>
      </c>
      <c r="O325" s="22" t="n">
        <f aca="false">O315+INDEX(Data_Prices!O:O,MATCH($G325,Data_Prices!$A:$A,0))*O$339</f>
        <v>15</v>
      </c>
      <c r="P325" s="22" t="n">
        <f aca="false">P315+INDEX(Data_Prices!P:P,MATCH($G325,Data_Prices!$A:$A,0))*P$339</f>
        <v>24.2586300842555</v>
      </c>
      <c r="Q325" s="22" t="n">
        <f aca="false">Q315+INDEX(Data_Prices!Q:Q,MATCH($G325,Data_Prices!$A:$A,0))*Q$339</f>
        <v>18.9637581961325</v>
      </c>
      <c r="R325" s="22" t="n">
        <f aca="false">R315+INDEX(Data_Prices!R:R,MATCH($G325,Data_Prices!$A:$A,0))*R$339</f>
        <v>21.7603451140106</v>
      </c>
      <c r="S325" s="22" t="n">
        <f aca="false">S315+INDEX(Data_Prices!S:S,MATCH($G325,Data_Prices!$A:$A,0))*S$339</f>
        <v>26.0798806913736</v>
      </c>
      <c r="T325" s="22" t="n">
        <f aca="false">T315+INDEX(Data_Prices!T:T,MATCH($G325,Data_Prices!$A:$A,0))*T$339</f>
        <v>30.5936824452092</v>
      </c>
      <c r="U325" s="22" t="n">
        <f aca="false">U315+INDEX(Data_Prices!U:U,MATCH($G325,Data_Prices!$A:$A,0))*U$339</f>
        <v>34.9905097394101</v>
      </c>
      <c r="V325" s="22" t="n">
        <f aca="false">V315+INDEX(Data_Prices!V:V,MATCH($G325,Data_Prices!$A:$A,0))*V$339</f>
        <v>40.8580597394101</v>
      </c>
      <c r="W325" s="22" t="n">
        <f aca="false">W315+INDEX(Data_Prices!W:W,MATCH($G325,Data_Prices!$A:$A,0))*W$339</f>
        <v>46.7256097394101</v>
      </c>
      <c r="X325" s="22" t="n">
        <f aca="false">X315+INDEX(Data_Prices!X:X,MATCH($G325,Data_Prices!$A:$A,0))*X$339</f>
        <v>52.5931597394101</v>
      </c>
      <c r="Y325" s="22" t="n">
        <f aca="false">Y315+INDEX(Data_Prices!Y:Y,MATCH($G325,Data_Prices!$A:$A,0))*Y$339</f>
        <v>58.4607097394101</v>
      </c>
      <c r="Z325" s="22" t="n">
        <f aca="false">Z315+INDEX(Data_Prices!Z:Z,MATCH($G325,Data_Prices!$A:$A,0))*Z$339</f>
        <v>64.3282597394101</v>
      </c>
      <c r="AA325" s="22" t="n">
        <f aca="false">AA315+INDEX(Data_Prices!AA:AA,MATCH($G325,Data_Prices!$A:$A,0))*AA$339</f>
        <v>70.1958097394101</v>
      </c>
      <c r="AB325" s="22" t="n">
        <f aca="false">AB315+INDEX(Data_Prices!AB:AB,MATCH($G325,Data_Prices!$A:$A,0))*AB$339</f>
        <v>76.0633597394101</v>
      </c>
      <c r="AC325" s="22" t="n">
        <f aca="false">AC315+INDEX(Data_Prices!AC:AC,MATCH($G325,Data_Prices!$A:$A,0))*AC$339</f>
        <v>81.9309097394101</v>
      </c>
      <c r="AD325" s="22" t="n">
        <f aca="false">AD315+INDEX(Data_Prices!AD:AD,MATCH($G325,Data_Prices!$A:$A,0))*AD$339</f>
        <v>87.7984597394101</v>
      </c>
      <c r="AE325" s="22" t="n">
        <f aca="false">AE315+INDEX(Data_Prices!AE:AE,MATCH($G325,Data_Prices!$A:$A,0))*AE$339</f>
        <v>93.6660097394101</v>
      </c>
    </row>
    <row r="326" customFormat="false" ht="15" hidden="false" customHeight="false" outlineLevel="0" collapsed="false">
      <c r="B326" s="17" t="s">
        <v>71</v>
      </c>
      <c r="C326" s="17" t="str">
        <f aca="false">$C$307</f>
        <v>cem</v>
      </c>
      <c r="D326" s="18" t="s">
        <v>72</v>
      </c>
      <c r="E326" s="19" t="s">
        <v>55</v>
      </c>
      <c r="F326" s="17" t="s">
        <v>77</v>
      </c>
      <c r="G326" s="20" t="str">
        <f aca="false">Settings!$B$3&amp;".mit.nce."&amp;Settings!$B$4&amp;"."&amp;$B326&amp;".a."&amp;$J$307</f>
        <v>egy.mit.nce.ind.bio.a.2</v>
      </c>
      <c r="H326" s="21" t="str">
        <f aca="false">Settings!$B$3&amp;".mit.atp."&amp;$C$307&amp;"."&amp;$B326&amp;".e."&amp;$J$307</f>
        <v>egy.mit.atp.cem.bio.e.2</v>
      </c>
      <c r="K326" s="22" t="n">
        <f aca="false">K316+INDEX(Data_Prices!K:K,MATCH($G326,Data_Prices!$A:$A,0))*K$339</f>
        <v>15.3345505293169</v>
      </c>
      <c r="L326" s="22" t="n">
        <f aca="false">L316+INDEX(Data_Prices!L:L,MATCH($G326,Data_Prices!$A:$A,0))*L$339</f>
        <v>14.1995283906349</v>
      </c>
      <c r="M326" s="22" t="n">
        <f aca="false">M316+INDEX(Data_Prices!M:M,MATCH($G326,Data_Prices!$A:$A,0))*M$339</f>
        <v>13.8404416133152</v>
      </c>
      <c r="N326" s="22" t="n">
        <f aca="false">N316+INDEX(Data_Prices!N:N,MATCH($G326,Data_Prices!$A:$A,0))*N$339</f>
        <v>13.5677269404465</v>
      </c>
      <c r="O326" s="22" t="n">
        <f aca="false">O316+INDEX(Data_Prices!O:O,MATCH($G326,Data_Prices!$A:$A,0))*O$339</f>
        <v>13.5677269404465</v>
      </c>
      <c r="P326" s="22" t="n">
        <f aca="false">P316+INDEX(Data_Prices!P:P,MATCH($G326,Data_Prices!$A:$A,0))*P$339</f>
        <v>13.5677269404465</v>
      </c>
      <c r="Q326" s="22" t="n">
        <f aca="false">Q316+INDEX(Data_Prices!Q:Q,MATCH($G326,Data_Prices!$A:$A,0))*Q$339</f>
        <v>13.5677269404465</v>
      </c>
      <c r="R326" s="22" t="n">
        <f aca="false">R316+INDEX(Data_Prices!R:R,MATCH($G326,Data_Prices!$A:$A,0))*R$339</f>
        <v>13.5677269404465</v>
      </c>
      <c r="S326" s="22" t="n">
        <f aca="false">S316+INDEX(Data_Prices!S:S,MATCH($G326,Data_Prices!$A:$A,0))*S$339</f>
        <v>13.5677269404465</v>
      </c>
      <c r="T326" s="22" t="n">
        <f aca="false">T316+INDEX(Data_Prices!T:T,MATCH($G326,Data_Prices!$A:$A,0))*T$339</f>
        <v>13.5677269404465</v>
      </c>
      <c r="U326" s="22" t="n">
        <f aca="false">U316+INDEX(Data_Prices!U:U,MATCH($G326,Data_Prices!$A:$A,0))*U$339</f>
        <v>13.5677269404465</v>
      </c>
      <c r="V326" s="22" t="n">
        <f aca="false">V316+INDEX(Data_Prices!V:V,MATCH($G326,Data_Prices!$A:$A,0))*V$339</f>
        <v>13.5677269404465</v>
      </c>
      <c r="W326" s="22" t="n">
        <f aca="false">W316+INDEX(Data_Prices!W:W,MATCH($G326,Data_Prices!$A:$A,0))*W$339</f>
        <v>13.5677269404465</v>
      </c>
      <c r="X326" s="22" t="n">
        <f aca="false">X316+INDEX(Data_Prices!X:X,MATCH($G326,Data_Prices!$A:$A,0))*X$339</f>
        <v>13.5677269404465</v>
      </c>
      <c r="Y326" s="22" t="n">
        <f aca="false">Y316+INDEX(Data_Prices!Y:Y,MATCH($G326,Data_Prices!$A:$A,0))*Y$339</f>
        <v>13.5677269404465</v>
      </c>
      <c r="Z326" s="22" t="n">
        <f aca="false">Z316+INDEX(Data_Prices!Z:Z,MATCH($G326,Data_Prices!$A:$A,0))*Z$339</f>
        <v>13.5677269404465</v>
      </c>
      <c r="AA326" s="22" t="n">
        <f aca="false">AA316+INDEX(Data_Prices!AA:AA,MATCH($G326,Data_Prices!$A:$A,0))*AA$339</f>
        <v>13.5677269404465</v>
      </c>
      <c r="AB326" s="22" t="n">
        <f aca="false">AB316+INDEX(Data_Prices!AB:AB,MATCH($G326,Data_Prices!$A:$A,0))*AB$339</f>
        <v>13.5677269404465</v>
      </c>
      <c r="AC326" s="22" t="n">
        <f aca="false">AC316+INDEX(Data_Prices!AC:AC,MATCH($G326,Data_Prices!$A:$A,0))*AC$339</f>
        <v>13.5677269404465</v>
      </c>
      <c r="AD326" s="22" t="n">
        <f aca="false">AD316+INDEX(Data_Prices!AD:AD,MATCH($G326,Data_Prices!$A:$A,0))*AD$339</f>
        <v>13.5677269404465</v>
      </c>
      <c r="AE326" s="22" t="n">
        <f aca="false">AE316+INDEX(Data_Prices!AE:AE,MATCH($G326,Data_Prices!$A:$A,0))*AE$339</f>
        <v>13.5677269404465</v>
      </c>
    </row>
    <row r="327" customFormat="false" ht="15" hidden="false" customHeight="false" outlineLevel="0" collapsed="false">
      <c r="B327" s="17" t="s">
        <v>73</v>
      </c>
      <c r="C327" s="17" t="str">
        <f aca="false">$C$307</f>
        <v>cem</v>
      </c>
      <c r="D327" s="18" t="s">
        <v>74</v>
      </c>
      <c r="E327" s="19" t="s">
        <v>75</v>
      </c>
      <c r="F327" s="17" t="s">
        <v>77</v>
      </c>
      <c r="G327" s="20" t="str">
        <f aca="false">Settings!$B$3&amp;".mit.nce."&amp;Settings!$B$4&amp;"."&amp;$B327&amp;".a."&amp;$J$307</f>
        <v>egy.mit.nce.ind.ren.a.2</v>
      </c>
      <c r="H327" s="21" t="str">
        <f aca="false">Settings!$B$3&amp;".mit.atp."&amp;$C$307&amp;"."&amp;$B327&amp;".e."&amp;$J$307</f>
        <v>egy.mit.atp.cem.ren.e.2</v>
      </c>
      <c r="K327" s="22" t="n">
        <f aca="false">K317+INDEX(Data_Prices!K:K,MATCH($G327,Data_Prices!$A:$A,0))*K$339</f>
        <v>0</v>
      </c>
      <c r="L327" s="22" t="n">
        <f aca="false">L317+INDEX(Data_Prices!L:L,MATCH($G327,Data_Prices!$A:$A,0))*L$339</f>
        <v>0.144044986793198</v>
      </c>
      <c r="M327" s="22" t="n">
        <f aca="false">M317+INDEX(Data_Prices!M:M,MATCH($G327,Data_Prices!$A:$A,0))*M$339</f>
        <v>0.141386241751359</v>
      </c>
      <c r="N327" s="22" t="n">
        <f aca="false">N317+INDEX(Data_Prices!N:N,MATCH($G327,Data_Prices!$A:$A,0))*N$339</f>
        <v>0.135397565443731</v>
      </c>
      <c r="O327" s="22" t="n">
        <f aca="false">O317+INDEX(Data_Prices!O:O,MATCH($G327,Data_Prices!$A:$A,0))*O$339</f>
        <v>0.131522885420651</v>
      </c>
      <c r="P327" s="22" t="n">
        <f aca="false">P317+INDEX(Data_Prices!P:P,MATCH($G327,Data_Prices!$A:$A,0))*P$339</f>
        <v>0.128826108485231</v>
      </c>
      <c r="Q327" s="22" t="n">
        <f aca="false">Q317+INDEX(Data_Prices!Q:Q,MATCH($G327,Data_Prices!$A:$A,0))*Q$339</f>
        <v>0.12594200976474</v>
      </c>
      <c r="R327" s="22" t="n">
        <f aca="false">R317+INDEX(Data_Prices!R:R,MATCH($G327,Data_Prices!$A:$A,0))*R$339</f>
        <v>0.123113265701861</v>
      </c>
      <c r="S327" s="22" t="n">
        <f aca="false">S317+INDEX(Data_Prices!S:S,MATCH($G327,Data_Prices!$A:$A,0))*S$339</f>
        <v>0.119391738089068</v>
      </c>
      <c r="T327" s="22" t="n">
        <f aca="false">T317+INDEX(Data_Prices!T:T,MATCH($G327,Data_Prices!$A:$A,0))*T$339</f>
        <v>0.11554419046792</v>
      </c>
      <c r="U327" s="22" t="n">
        <f aca="false">U317+INDEX(Data_Prices!U:U,MATCH($G327,Data_Prices!$A:$A,0))*U$339</f>
        <v>0.114924230654159</v>
      </c>
      <c r="V327" s="22" t="n">
        <f aca="false">V317+INDEX(Data_Prices!V:V,MATCH($G327,Data_Prices!$A:$A,0))*V$339</f>
        <v>0.114346912116736</v>
      </c>
      <c r="W327" s="22" t="n">
        <f aca="false">W317+INDEX(Data_Prices!W:W,MATCH($G327,Data_Prices!$A:$A,0))*W$339</f>
        <v>0.113738711172664</v>
      </c>
      <c r="X327" s="22" t="n">
        <f aca="false">X317+INDEX(Data_Prices!X:X,MATCH($G327,Data_Prices!$A:$A,0))*X$339</f>
        <v>0.112999900487521</v>
      </c>
      <c r="Y327" s="22" t="n">
        <f aca="false">Y317+INDEX(Data_Prices!Y:Y,MATCH($G327,Data_Prices!$A:$A,0))*Y$339</f>
        <v>0.112177685835534</v>
      </c>
      <c r="Z327" s="22" t="n">
        <f aca="false">Z317+INDEX(Data_Prices!Z:Z,MATCH($G327,Data_Prices!$A:$A,0))*Z$339</f>
        <v>0.111417903250404</v>
      </c>
      <c r="AA327" s="22" t="n">
        <f aca="false">AA317+INDEX(Data_Prices!AA:AA,MATCH($G327,Data_Prices!$A:$A,0))*AA$339</f>
        <v>0.110525819985454</v>
      </c>
      <c r="AB327" s="22" t="n">
        <f aca="false">AB317+INDEX(Data_Prices!AB:AB,MATCH($G327,Data_Prices!$A:$A,0))*AB$339</f>
        <v>0.109699565234896</v>
      </c>
      <c r="AC327" s="22" t="n">
        <f aca="false">AC317+INDEX(Data_Prices!AC:AC,MATCH($G327,Data_Prices!$A:$A,0))*AC$339</f>
        <v>0.107726788963949</v>
      </c>
      <c r="AD327" s="22" t="n">
        <f aca="false">AD317+INDEX(Data_Prices!AD:AD,MATCH($G327,Data_Prices!$A:$A,0))*AD$339</f>
        <v>0.105820924450935</v>
      </c>
      <c r="AE327" s="22" t="n">
        <f aca="false">AE317+INDEX(Data_Prices!AE:AE,MATCH($G327,Data_Prices!$A:$A,0))*AE$339</f>
        <v>0.103855595705721</v>
      </c>
    </row>
    <row r="328" customFormat="false" ht="15" hidden="false" customHeight="false" outlineLevel="0" collapsed="false">
      <c r="B328" s="16" t="s">
        <v>78</v>
      </c>
    </row>
    <row r="329" customFormat="false" ht="15" hidden="false" customHeight="false" outlineLevel="0" collapsed="false">
      <c r="B329" s="17" t="s">
        <v>53</v>
      </c>
      <c r="C329" s="17" t="str">
        <f aca="false">$C$307</f>
        <v>cem</v>
      </c>
      <c r="D329" s="18" t="s">
        <v>54</v>
      </c>
      <c r="E329" s="19" t="s">
        <v>55</v>
      </c>
      <c r="F329" s="17" t="s">
        <v>79</v>
      </c>
      <c r="G329" s="20" t="str">
        <f aca="false">Settings!$B$3&amp;".mit.shp."&amp;$B329&amp;"."&amp;Settings!$B$4&amp;"."&amp;$J$307</f>
        <v>egy.mit.shp.coa.ind.2</v>
      </c>
      <c r="H329" s="21" t="str">
        <f aca="false">Settings!$B$3&amp;".mit.shp."&amp;$C$307&amp;"."&amp;$B329&amp;".e."&amp;$J$307</f>
        <v>egy.mit.shp.cem.coa.e.2</v>
      </c>
      <c r="K329" s="23" t="n">
        <f aca="false">K319+INDEX(Data_Prices!K:K,MATCH($G329,Data_Prices!$A:$A,0))*K$340</f>
        <v>11.1829015892439</v>
      </c>
      <c r="L329" s="23" t="n">
        <f aca="false">L319+INDEX(Data_Prices!L:L,MATCH($G329,Data_Prices!$A:$A,0))*L$340</f>
        <v>10.5233613454312</v>
      </c>
      <c r="M329" s="23" t="n">
        <f aca="false">M319+INDEX(Data_Prices!M:M,MATCH($G329,Data_Prices!$A:$A,0))*M$340</f>
        <v>10.2995608274442</v>
      </c>
      <c r="N329" s="23" t="n">
        <f aca="false">N319+INDEX(Data_Prices!N:N,MATCH($G329,Data_Prices!$A:$A,0))*N$340</f>
        <v>9.57752835953826</v>
      </c>
      <c r="O329" s="23" t="n">
        <f aca="false">O319+INDEX(Data_Prices!O:O,MATCH($G329,Data_Prices!$A:$A,0))*O$340</f>
        <v>8.48547828695805</v>
      </c>
      <c r="P329" s="23" t="n">
        <f aca="false">P319+INDEX(Data_Prices!P:P,MATCH($G329,Data_Prices!$A:$A,0))*P$340</f>
        <v>9.08719223524986</v>
      </c>
      <c r="Q329" s="23" t="n">
        <f aca="false">Q319+INDEX(Data_Prices!Q:Q,MATCH($G329,Data_Prices!$A:$A,0))*Q$340</f>
        <v>10.4729237289327</v>
      </c>
      <c r="R329" s="23" t="n">
        <f aca="false">R319+INDEX(Data_Prices!R:R,MATCH($G329,Data_Prices!$A:$A,0))*R$340</f>
        <v>11.6585649555097</v>
      </c>
      <c r="S329" s="23" t="n">
        <f aca="false">S319+INDEX(Data_Prices!S:S,MATCH($G329,Data_Prices!$A:$A,0))*S$340</f>
        <v>12.8395478773974</v>
      </c>
      <c r="T329" s="23" t="n">
        <f aca="false">T319+INDEX(Data_Prices!T:T,MATCH($G329,Data_Prices!$A:$A,0))*T$340</f>
        <v>14.0156816660228</v>
      </c>
      <c r="U329" s="23" t="n">
        <f aca="false">U319+INDEX(Data_Prices!U:U,MATCH($G329,Data_Prices!$A:$A,0))*U$340</f>
        <v>15.1943977655571</v>
      </c>
      <c r="V329" s="23" t="n">
        <f aca="false">V319+INDEX(Data_Prices!V:V,MATCH($G329,Data_Prices!$A:$A,0))*V$340</f>
        <v>16.4443977655571</v>
      </c>
      <c r="W329" s="23" t="n">
        <f aca="false">W319+INDEX(Data_Prices!W:W,MATCH($G329,Data_Prices!$A:$A,0))*W$340</f>
        <v>17.6943977655571</v>
      </c>
      <c r="X329" s="23" t="n">
        <f aca="false">X319+INDEX(Data_Prices!X:X,MATCH($G329,Data_Prices!$A:$A,0))*X$340</f>
        <v>18.9443977655571</v>
      </c>
      <c r="Y329" s="23" t="n">
        <f aca="false">Y319+INDEX(Data_Prices!Y:Y,MATCH($G329,Data_Prices!$A:$A,0))*Y$340</f>
        <v>20.1943977655571</v>
      </c>
      <c r="Z329" s="23" t="n">
        <f aca="false">Z319+INDEX(Data_Prices!Z:Z,MATCH($G329,Data_Prices!$A:$A,0))*Z$340</f>
        <v>21.4443977655571</v>
      </c>
      <c r="AA329" s="23" t="n">
        <f aca="false">AA319+INDEX(Data_Prices!AA:AA,MATCH($G329,Data_Prices!$A:$A,0))*AA$340</f>
        <v>22.6943977655571</v>
      </c>
      <c r="AB329" s="23" t="n">
        <f aca="false">AB319+INDEX(Data_Prices!AB:AB,MATCH($G329,Data_Prices!$A:$A,0))*AB$340</f>
        <v>23.9443977655571</v>
      </c>
      <c r="AC329" s="23" t="n">
        <f aca="false">AC319+INDEX(Data_Prices!AC:AC,MATCH($G329,Data_Prices!$A:$A,0))*AC$340</f>
        <v>25.1943977655571</v>
      </c>
      <c r="AD329" s="23" t="n">
        <f aca="false">AD319+INDEX(Data_Prices!AD:AD,MATCH($G329,Data_Prices!$A:$A,0))*AD$340</f>
        <v>26.4443977655571</v>
      </c>
      <c r="AE329" s="23" t="n">
        <f aca="false">AE319+INDEX(Data_Prices!AE:AE,MATCH($G329,Data_Prices!$A:$A,0))*AE$340</f>
        <v>27.6943977655571</v>
      </c>
    </row>
    <row r="330" customFormat="false" ht="15" hidden="false" customHeight="false" outlineLevel="0" collapsed="false">
      <c r="B330" s="17" t="s">
        <v>57</v>
      </c>
      <c r="C330" s="17" t="str">
        <f aca="false">$C$307</f>
        <v>cem</v>
      </c>
      <c r="D330" s="18" t="s">
        <v>58</v>
      </c>
      <c r="E330" s="19" t="s">
        <v>55</v>
      </c>
      <c r="F330" s="17" t="s">
        <v>79</v>
      </c>
      <c r="G330" s="20" t="str">
        <f aca="false">Settings!$B$3&amp;".mit.shp."&amp;$B330&amp;"."&amp;Settings!$B$4&amp;"."&amp;$J$307</f>
        <v>egy.mit.shp.nga.ind.2</v>
      </c>
      <c r="H330" s="21" t="str">
        <f aca="false">Settings!$B$3&amp;".mit.shp."&amp;$C$307&amp;"."&amp;$B330&amp;".e."&amp;$J$307</f>
        <v>egy.mit.shp.cem.nga.e.2</v>
      </c>
      <c r="K330" s="23" t="n">
        <f aca="false">K320+INDEX(Data_Prices!K:K,MATCH($G330,Data_Prices!$A:$A,0))*K$340</f>
        <v>6.06346361567291</v>
      </c>
      <c r="L330" s="23" t="n">
        <f aca="false">L320+INDEX(Data_Prices!L:L,MATCH($G330,Data_Prices!$A:$A,0))*L$340</f>
        <v>5.45101508161919</v>
      </c>
      <c r="M330" s="23" t="n">
        <f aca="false">M320+INDEX(Data_Prices!M:M,MATCH($G330,Data_Prices!$A:$A,0))*M$340</f>
        <v>5.11935630626248</v>
      </c>
      <c r="N330" s="23" t="n">
        <f aca="false">N320+INDEX(Data_Prices!N:N,MATCH($G330,Data_Prices!$A:$A,0))*N$340</f>
        <v>5.08218458640407</v>
      </c>
      <c r="O330" s="23" t="n">
        <f aca="false">O320+INDEX(Data_Prices!O:O,MATCH($G330,Data_Prices!$A:$A,0))*O$340</f>
        <v>5.08218458640407</v>
      </c>
      <c r="P330" s="23" t="n">
        <f aca="false">P320+INDEX(Data_Prices!P:P,MATCH($G330,Data_Prices!$A:$A,0))*P$340</f>
        <v>5.08218458640407</v>
      </c>
      <c r="Q330" s="23" t="n">
        <f aca="false">Q320+INDEX(Data_Prices!Q:Q,MATCH($G330,Data_Prices!$A:$A,0))*Q$340</f>
        <v>5.77968458640407</v>
      </c>
      <c r="R330" s="23" t="n">
        <f aca="false">R320+INDEX(Data_Prices!R:R,MATCH($G330,Data_Prices!$A:$A,0))*R$340</f>
        <v>6.47718458640407</v>
      </c>
      <c r="S330" s="23" t="n">
        <f aca="false">S320+INDEX(Data_Prices!S:S,MATCH($G330,Data_Prices!$A:$A,0))*S$340</f>
        <v>7.17468458640407</v>
      </c>
      <c r="T330" s="23" t="n">
        <f aca="false">T320+INDEX(Data_Prices!T:T,MATCH($G330,Data_Prices!$A:$A,0))*T$340</f>
        <v>7.87218458640407</v>
      </c>
      <c r="U330" s="23" t="n">
        <f aca="false">U320+INDEX(Data_Prices!U:U,MATCH($G330,Data_Prices!$A:$A,0))*U$340</f>
        <v>8.56968458640407</v>
      </c>
      <c r="V330" s="23" t="n">
        <f aca="false">V320+INDEX(Data_Prices!V:V,MATCH($G330,Data_Prices!$A:$A,0))*V$340</f>
        <v>9.26718458640407</v>
      </c>
      <c r="W330" s="23" t="n">
        <f aca="false">W320+INDEX(Data_Prices!W:W,MATCH($G330,Data_Prices!$A:$A,0))*W$340</f>
        <v>9.96468458640407</v>
      </c>
      <c r="X330" s="23" t="n">
        <f aca="false">X320+INDEX(Data_Prices!X:X,MATCH($G330,Data_Prices!$A:$A,0))*X$340</f>
        <v>10.6621845864041</v>
      </c>
      <c r="Y330" s="23" t="n">
        <f aca="false">Y320+INDEX(Data_Prices!Y:Y,MATCH($G330,Data_Prices!$A:$A,0))*Y$340</f>
        <v>11.3596845864041</v>
      </c>
      <c r="Z330" s="23" t="n">
        <f aca="false">Z320+INDEX(Data_Prices!Z:Z,MATCH($G330,Data_Prices!$A:$A,0))*Z$340</f>
        <v>12.0571845864041</v>
      </c>
      <c r="AA330" s="23" t="n">
        <f aca="false">AA320+INDEX(Data_Prices!AA:AA,MATCH($G330,Data_Prices!$A:$A,0))*AA$340</f>
        <v>12.7546845864041</v>
      </c>
      <c r="AB330" s="23" t="n">
        <f aca="false">AB320+INDEX(Data_Prices!AB:AB,MATCH($G330,Data_Prices!$A:$A,0))*AB$340</f>
        <v>13.4521845864041</v>
      </c>
      <c r="AC330" s="23" t="n">
        <f aca="false">AC320+INDEX(Data_Prices!AC:AC,MATCH($G330,Data_Prices!$A:$A,0))*AC$340</f>
        <v>14.1496845864041</v>
      </c>
      <c r="AD330" s="23" t="n">
        <f aca="false">AD320+INDEX(Data_Prices!AD:AD,MATCH($G330,Data_Prices!$A:$A,0))*AD$340</f>
        <v>14.8471845864041</v>
      </c>
      <c r="AE330" s="23" t="n">
        <f aca="false">AE320+INDEX(Data_Prices!AE:AE,MATCH($G330,Data_Prices!$A:$A,0))*AE$340</f>
        <v>15.5446845864041</v>
      </c>
    </row>
    <row r="331" customFormat="false" ht="15" hidden="false" customHeight="false" outlineLevel="0" collapsed="false">
      <c r="B331" s="17" t="s">
        <v>59</v>
      </c>
      <c r="C331" s="17" t="str">
        <f aca="false">$C$307</f>
        <v>cem</v>
      </c>
      <c r="D331" s="18" t="s">
        <v>60</v>
      </c>
      <c r="E331" s="19" t="s">
        <v>61</v>
      </c>
      <c r="F331" s="17" t="s">
        <v>79</v>
      </c>
      <c r="G331" s="20" t="str">
        <f aca="false">Settings!$B$3&amp;".mit.shp."&amp;$B331&amp;"."&amp;Settings!$B$4&amp;"."&amp;$J$307</f>
        <v>egy.mit.shp.gso.ind.2</v>
      </c>
      <c r="H331" s="21" t="str">
        <f aca="false">Settings!$B$3&amp;".mit.shp."&amp;$C$307&amp;"."&amp;$B331&amp;".e."&amp;$J$307</f>
        <v>egy.mit.shp.cem.gso.e.2</v>
      </c>
      <c r="K331" s="23" t="n">
        <f aca="false">K321+INDEX(Data_Prices!K:K,MATCH($G331,Data_Prices!$A:$A,0))*K$340</f>
        <v>0.671146533321816</v>
      </c>
      <c r="L331" s="23" t="n">
        <f aca="false">L321+INDEX(Data_Prices!L:L,MATCH($G331,Data_Prices!$A:$A,0))*L$340</f>
        <v>0.611977976791406</v>
      </c>
      <c r="M331" s="23" t="n">
        <f aca="false">M321+INDEX(Data_Prices!M:M,MATCH($G331,Data_Prices!$A:$A,0))*M$340</f>
        <v>0.611809749641876</v>
      </c>
      <c r="N331" s="23" t="n">
        <f aca="false">N321+INDEX(Data_Prices!N:N,MATCH($G331,Data_Prices!$A:$A,0))*N$340</f>
        <v>0.603583100177906</v>
      </c>
      <c r="O331" s="23" t="n">
        <f aca="false">O321+INDEX(Data_Prices!O:O,MATCH($G331,Data_Prices!$A:$A,0))*O$340</f>
        <v>0.603583100177906</v>
      </c>
      <c r="P331" s="23" t="n">
        <f aca="false">P321+INDEX(Data_Prices!P:P,MATCH($G331,Data_Prices!$A:$A,0))*P$340</f>
        <v>0.603583100177906</v>
      </c>
      <c r="Q331" s="23" t="n">
        <f aca="false">Q321+INDEX(Data_Prices!Q:Q,MATCH($G331,Data_Prices!$A:$A,0))*Q$340</f>
        <v>0.632510943349406</v>
      </c>
      <c r="R331" s="23" t="n">
        <f aca="false">R321+INDEX(Data_Prices!R:R,MATCH($G331,Data_Prices!$A:$A,0))*R$340</f>
        <v>0.661438786520906</v>
      </c>
      <c r="S331" s="23" t="n">
        <f aca="false">S321+INDEX(Data_Prices!S:S,MATCH($G331,Data_Prices!$A:$A,0))*S$340</f>
        <v>0.690366629692406</v>
      </c>
      <c r="T331" s="23" t="n">
        <f aca="false">T321+INDEX(Data_Prices!T:T,MATCH($G331,Data_Prices!$A:$A,0))*T$340</f>
        <v>0.719294472863906</v>
      </c>
      <c r="U331" s="23" t="n">
        <f aca="false">U321+INDEX(Data_Prices!U:U,MATCH($G331,Data_Prices!$A:$A,0))*U$340</f>
        <v>0.748222316035406</v>
      </c>
      <c r="V331" s="23" t="n">
        <f aca="false">V321+INDEX(Data_Prices!V:V,MATCH($G331,Data_Prices!$A:$A,0))*V$340</f>
        <v>0.777150159206905</v>
      </c>
      <c r="W331" s="23" t="n">
        <f aca="false">W321+INDEX(Data_Prices!W:W,MATCH($G331,Data_Prices!$A:$A,0))*W$340</f>
        <v>0.806078002378406</v>
      </c>
      <c r="X331" s="23" t="n">
        <f aca="false">X321+INDEX(Data_Prices!X:X,MATCH($G331,Data_Prices!$A:$A,0))*X$340</f>
        <v>0.835005845549906</v>
      </c>
      <c r="Y331" s="23" t="n">
        <f aca="false">Y321+INDEX(Data_Prices!Y:Y,MATCH($G331,Data_Prices!$A:$A,0))*Y$340</f>
        <v>0.863933688721406</v>
      </c>
      <c r="Z331" s="23" t="n">
        <f aca="false">Z321+INDEX(Data_Prices!Z:Z,MATCH($G331,Data_Prices!$A:$A,0))*Z$340</f>
        <v>0.892861531892906</v>
      </c>
      <c r="AA331" s="23" t="n">
        <f aca="false">AA321+INDEX(Data_Prices!AA:AA,MATCH($G331,Data_Prices!$A:$A,0))*AA$340</f>
        <v>0.921789375064406</v>
      </c>
      <c r="AB331" s="23" t="n">
        <f aca="false">AB321+INDEX(Data_Prices!AB:AB,MATCH($G331,Data_Prices!$A:$A,0))*AB$340</f>
        <v>0.950717218235906</v>
      </c>
      <c r="AC331" s="23" t="n">
        <f aca="false">AC321+INDEX(Data_Prices!AC:AC,MATCH($G331,Data_Prices!$A:$A,0))*AC$340</f>
        <v>0.979645061407406</v>
      </c>
      <c r="AD331" s="23" t="n">
        <f aca="false">AD321+INDEX(Data_Prices!AD:AD,MATCH($G331,Data_Prices!$A:$A,0))*AD$340</f>
        <v>1.00857290457891</v>
      </c>
      <c r="AE331" s="23" t="n">
        <f aca="false">AE321+INDEX(Data_Prices!AE:AE,MATCH($G331,Data_Prices!$A:$A,0))*AE$340</f>
        <v>1.03750074775041</v>
      </c>
    </row>
    <row r="332" customFormat="false" ht="15" hidden="false" customHeight="false" outlineLevel="0" collapsed="false">
      <c r="B332" s="17" t="s">
        <v>62</v>
      </c>
      <c r="C332" s="17" t="str">
        <f aca="false">$C$307</f>
        <v>cem</v>
      </c>
      <c r="D332" s="18" t="s">
        <v>63</v>
      </c>
      <c r="E332" s="19" t="s">
        <v>61</v>
      </c>
      <c r="F332" s="17" t="s">
        <v>79</v>
      </c>
      <c r="G332" s="20" t="str">
        <f aca="false">Settings!$B$3&amp;".mit.shp."&amp;$B332&amp;"."&amp;Settings!$B$4&amp;"."&amp;$J$307</f>
        <v>egy.mit.shp.die.ind.2</v>
      </c>
      <c r="H332" s="21" t="str">
        <f aca="false">Settings!$B$3&amp;".mit.shp."&amp;$C$307&amp;"."&amp;$B332&amp;".e."&amp;$J$307</f>
        <v>egy.mit.shp.cem.die.e.2</v>
      </c>
      <c r="K332" s="23" t="n">
        <f aca="false">K322+INDEX(Data_Prices!K:K,MATCH($G332,Data_Prices!$A:$A,0))*K$340</f>
        <v>0.559711213155688</v>
      </c>
      <c r="L332" s="23" t="n">
        <f aca="false">L322+INDEX(Data_Prices!L:L,MATCH($G332,Data_Prices!$A:$A,0))*L$340</f>
        <v>0.494588730841068</v>
      </c>
      <c r="M332" s="23" t="n">
        <f aca="false">M322+INDEX(Data_Prices!M:M,MATCH($G332,Data_Prices!$A:$A,0))*M$340</f>
        <v>0.507786547202501</v>
      </c>
      <c r="N332" s="23" t="n">
        <f aca="false">N322+INDEX(Data_Prices!N:N,MATCH($G332,Data_Prices!$A:$A,0))*N$340</f>
        <v>0.470436426795617</v>
      </c>
      <c r="O332" s="23" t="n">
        <f aca="false">O322+INDEX(Data_Prices!O:O,MATCH($G332,Data_Prices!$A:$A,0))*O$340</f>
        <v>0.470436426795617</v>
      </c>
      <c r="P332" s="23" t="n">
        <f aca="false">P322+INDEX(Data_Prices!P:P,MATCH($G332,Data_Prices!$A:$A,0))*P$340</f>
        <v>0.470436426795617</v>
      </c>
      <c r="Q332" s="23" t="n">
        <f aca="false">Q322+INDEX(Data_Prices!Q:Q,MATCH($G332,Data_Prices!$A:$A,0))*Q$340</f>
        <v>0.503446865654492</v>
      </c>
      <c r="R332" s="23" t="n">
        <f aca="false">R322+INDEX(Data_Prices!R:R,MATCH($G332,Data_Prices!$A:$A,0))*R$340</f>
        <v>0.536457304513367</v>
      </c>
      <c r="S332" s="23" t="n">
        <f aca="false">S322+INDEX(Data_Prices!S:S,MATCH($G332,Data_Prices!$A:$A,0))*S$340</f>
        <v>0.569467743372243</v>
      </c>
      <c r="T332" s="23" t="n">
        <f aca="false">T322+INDEX(Data_Prices!T:T,MATCH($G332,Data_Prices!$A:$A,0))*T$340</f>
        <v>0.602478182231117</v>
      </c>
      <c r="U332" s="23" t="n">
        <f aca="false">U322+INDEX(Data_Prices!U:U,MATCH($G332,Data_Prices!$A:$A,0))*U$340</f>
        <v>0.635488621089992</v>
      </c>
      <c r="V332" s="23" t="n">
        <f aca="false">V322+INDEX(Data_Prices!V:V,MATCH($G332,Data_Prices!$A:$A,0))*V$340</f>
        <v>0.668499059948867</v>
      </c>
      <c r="W332" s="23" t="n">
        <f aca="false">W322+INDEX(Data_Prices!W:W,MATCH($G332,Data_Prices!$A:$A,0))*W$340</f>
        <v>0.701509498807742</v>
      </c>
      <c r="X332" s="23" t="n">
        <f aca="false">X322+INDEX(Data_Prices!X:X,MATCH($G332,Data_Prices!$A:$A,0))*X$340</f>
        <v>0.734519937666617</v>
      </c>
      <c r="Y332" s="23" t="n">
        <f aca="false">Y322+INDEX(Data_Prices!Y:Y,MATCH($G332,Data_Prices!$A:$A,0))*Y$340</f>
        <v>0.767530376525492</v>
      </c>
      <c r="Z332" s="23" t="n">
        <f aca="false">Z322+INDEX(Data_Prices!Z:Z,MATCH($G332,Data_Prices!$A:$A,0))*Z$340</f>
        <v>0.800540815384367</v>
      </c>
      <c r="AA332" s="23" t="n">
        <f aca="false">AA322+INDEX(Data_Prices!AA:AA,MATCH($G332,Data_Prices!$A:$A,0))*AA$340</f>
        <v>0.833551254243242</v>
      </c>
      <c r="AB332" s="23" t="n">
        <f aca="false">AB322+INDEX(Data_Prices!AB:AB,MATCH($G332,Data_Prices!$A:$A,0))*AB$340</f>
        <v>0.866561693102117</v>
      </c>
      <c r="AC332" s="23" t="n">
        <f aca="false">AC322+INDEX(Data_Prices!AC:AC,MATCH($G332,Data_Prices!$A:$A,0))*AC$340</f>
        <v>0.899572131960992</v>
      </c>
      <c r="AD332" s="23" t="n">
        <f aca="false">AD322+INDEX(Data_Prices!AD:AD,MATCH($G332,Data_Prices!$A:$A,0))*AD$340</f>
        <v>0.932582570819867</v>
      </c>
      <c r="AE332" s="23" t="n">
        <f aca="false">AE322+INDEX(Data_Prices!AE:AE,MATCH($G332,Data_Prices!$A:$A,0))*AE$340</f>
        <v>0.965593009678742</v>
      </c>
    </row>
    <row r="333" customFormat="false" ht="15" hidden="false" customHeight="false" outlineLevel="0" collapsed="false">
      <c r="B333" s="17" t="s">
        <v>64</v>
      </c>
      <c r="C333" s="17" t="str">
        <f aca="false">$C$307</f>
        <v>cem</v>
      </c>
      <c r="D333" s="18" t="s">
        <v>65</v>
      </c>
      <c r="E333" s="19" t="s">
        <v>61</v>
      </c>
      <c r="F333" s="17" t="s">
        <v>79</v>
      </c>
      <c r="G333" s="20" t="str">
        <f aca="false">Settings!$B$3&amp;".mit.shp."&amp;$B333&amp;"."&amp;Settings!$B$4&amp;"."&amp;$J$307</f>
        <v>egy.mit.shp.lpg.ind.2</v>
      </c>
      <c r="H333" s="21" t="str">
        <f aca="false">Settings!$B$3&amp;".mit.shp."&amp;$C$307&amp;"."&amp;$B333&amp;".e."&amp;$J$307</f>
        <v>egy.mit.shp.cem.lpg.e.2</v>
      </c>
      <c r="K333" s="23" t="n">
        <f aca="false">K323+INDEX(Data_Prices!K:K,MATCH($G333,Data_Prices!$A:$A,0))*K$340</f>
        <v>0.200366691126738</v>
      </c>
      <c r="L333" s="23" t="n">
        <f aca="false">L323+INDEX(Data_Prices!L:L,MATCH($G333,Data_Prices!$A:$A,0))*L$340</f>
        <v>0.157344736252274</v>
      </c>
      <c r="M333" s="23" t="n">
        <f aca="false">M323+INDEX(Data_Prices!M:M,MATCH($G333,Data_Prices!$A:$A,0))*M$340</f>
        <v>0.164484037759277</v>
      </c>
      <c r="N333" s="23" t="n">
        <f aca="false">N323+INDEX(Data_Prices!N:N,MATCH($G333,Data_Prices!$A:$A,0))*N$340</f>
        <v>0.150709077807049</v>
      </c>
      <c r="O333" s="23" t="n">
        <f aca="false">O323+INDEX(Data_Prices!O:O,MATCH($G333,Data_Prices!$A:$A,0))*O$340</f>
        <v>0.150709077807049</v>
      </c>
      <c r="P333" s="23" t="n">
        <f aca="false">P323+INDEX(Data_Prices!P:P,MATCH($G333,Data_Prices!$A:$A,0))*P$340</f>
        <v>0.150709077807049</v>
      </c>
      <c r="Q333" s="23" t="n">
        <f aca="false">Q323+INDEX(Data_Prices!Q:Q,MATCH($G333,Data_Prices!$A:$A,0))*Q$340</f>
        <v>0.172815160734345</v>
      </c>
      <c r="R333" s="23" t="n">
        <f aca="false">R323+INDEX(Data_Prices!R:R,MATCH($G333,Data_Prices!$A:$A,0))*R$340</f>
        <v>0.19492124366164</v>
      </c>
      <c r="S333" s="23" t="n">
        <f aca="false">S323+INDEX(Data_Prices!S:S,MATCH($G333,Data_Prices!$A:$A,0))*S$340</f>
        <v>0.217027326588936</v>
      </c>
      <c r="T333" s="23" t="n">
        <f aca="false">T323+INDEX(Data_Prices!T:T,MATCH($G333,Data_Prices!$A:$A,0))*T$340</f>
        <v>0.239133409516232</v>
      </c>
      <c r="U333" s="23" t="n">
        <f aca="false">U323+INDEX(Data_Prices!U:U,MATCH($G333,Data_Prices!$A:$A,0))*U$340</f>
        <v>0.261239492443527</v>
      </c>
      <c r="V333" s="23" t="n">
        <f aca="false">V323+INDEX(Data_Prices!V:V,MATCH($G333,Data_Prices!$A:$A,0))*V$340</f>
        <v>0.283345575370823</v>
      </c>
      <c r="W333" s="23" t="n">
        <f aca="false">W323+INDEX(Data_Prices!W:W,MATCH($G333,Data_Prices!$A:$A,0))*W$340</f>
        <v>0.305451658298119</v>
      </c>
      <c r="X333" s="23" t="n">
        <f aca="false">X323+INDEX(Data_Prices!X:X,MATCH($G333,Data_Prices!$A:$A,0))*X$340</f>
        <v>0.327557741225415</v>
      </c>
      <c r="Y333" s="23" t="n">
        <f aca="false">Y323+INDEX(Data_Prices!Y:Y,MATCH($G333,Data_Prices!$A:$A,0))*Y$340</f>
        <v>0.34966382415271</v>
      </c>
      <c r="Z333" s="23" t="n">
        <f aca="false">Z323+INDEX(Data_Prices!Z:Z,MATCH($G333,Data_Prices!$A:$A,0))*Z$340</f>
        <v>0.371769907080006</v>
      </c>
      <c r="AA333" s="23" t="n">
        <f aca="false">AA323+INDEX(Data_Prices!AA:AA,MATCH($G333,Data_Prices!$A:$A,0))*AA$340</f>
        <v>0.393875990007302</v>
      </c>
      <c r="AB333" s="23" t="n">
        <f aca="false">AB323+INDEX(Data_Prices!AB:AB,MATCH($G333,Data_Prices!$A:$A,0))*AB$340</f>
        <v>0.415982072934597</v>
      </c>
      <c r="AC333" s="23" t="n">
        <f aca="false">AC323+INDEX(Data_Prices!AC:AC,MATCH($G333,Data_Prices!$A:$A,0))*AC$340</f>
        <v>0.438088155861893</v>
      </c>
      <c r="AD333" s="23" t="n">
        <f aca="false">AD323+INDEX(Data_Prices!AD:AD,MATCH($G333,Data_Prices!$A:$A,0))*AD$340</f>
        <v>0.460194238789189</v>
      </c>
      <c r="AE333" s="23" t="n">
        <f aca="false">AE323+INDEX(Data_Prices!AE:AE,MATCH($G333,Data_Prices!$A:$A,0))*AE$340</f>
        <v>0.482300321716484</v>
      </c>
    </row>
    <row r="334" customFormat="false" ht="15" hidden="false" customHeight="false" outlineLevel="0" collapsed="false">
      <c r="B334" s="17" t="s">
        <v>66</v>
      </c>
      <c r="C334" s="17" t="str">
        <f aca="false">$C$307</f>
        <v>cem</v>
      </c>
      <c r="D334" s="18" t="s">
        <v>67</v>
      </c>
      <c r="E334" s="19" t="s">
        <v>61</v>
      </c>
      <c r="F334" s="17" t="s">
        <v>79</v>
      </c>
      <c r="G334" s="20" t="str">
        <f aca="false">Settings!$B$3&amp;".mit.shp."&amp;$B334&amp;"."&amp;Settings!$B$4&amp;"."&amp;$J$307</f>
        <v>egy.mit.shp.ker.ind.2</v>
      </c>
      <c r="H334" s="21" t="str">
        <f aca="false">Settings!$B$3&amp;".mit.shp."&amp;$C$307&amp;"."&amp;$B334&amp;".e."&amp;$J$307</f>
        <v>egy.mit.shp.cem.ker.e.2</v>
      </c>
      <c r="K334" s="23" t="n">
        <f aca="false">K324+INDEX(Data_Prices!K:K,MATCH($G334,Data_Prices!$A:$A,0))*K$340</f>
        <v>0.484294240973435</v>
      </c>
      <c r="L334" s="23" t="n">
        <f aca="false">L324+INDEX(Data_Prices!L:L,MATCH($G334,Data_Prices!$A:$A,0))*L$340</f>
        <v>0.456428170500128</v>
      </c>
      <c r="M334" s="23" t="n">
        <f aca="false">M324+INDEX(Data_Prices!M:M,MATCH($G334,Data_Prices!$A:$A,0))*M$340</f>
        <v>0.431689201955995</v>
      </c>
      <c r="N334" s="23" t="n">
        <f aca="false">N324+INDEX(Data_Prices!N:N,MATCH($G334,Data_Prices!$A:$A,0))*N$340</f>
        <v>0.42507558395597</v>
      </c>
      <c r="O334" s="23" t="n">
        <f aca="false">O324+INDEX(Data_Prices!O:O,MATCH($G334,Data_Prices!$A:$A,0))*O$340</f>
        <v>0.42507558395597</v>
      </c>
      <c r="P334" s="23" t="n">
        <f aca="false">P324+INDEX(Data_Prices!P:P,MATCH($G334,Data_Prices!$A:$A,0))*P$340</f>
        <v>0.42507558395597</v>
      </c>
      <c r="Q334" s="23" t="n">
        <f aca="false">Q324+INDEX(Data_Prices!Q:Q,MATCH($G334,Data_Prices!$A:$A,0))*Q$340</f>
        <v>0.457064414066078</v>
      </c>
      <c r="R334" s="23" t="n">
        <f aca="false">R324+INDEX(Data_Prices!R:R,MATCH($G334,Data_Prices!$A:$A,0))*R$340</f>
        <v>0.489053244176187</v>
      </c>
      <c r="S334" s="23" t="n">
        <f aca="false">S324+INDEX(Data_Prices!S:S,MATCH($G334,Data_Prices!$A:$A,0))*S$340</f>
        <v>0.521042074286296</v>
      </c>
      <c r="T334" s="23" t="n">
        <f aca="false">T324+INDEX(Data_Prices!T:T,MATCH($G334,Data_Prices!$A:$A,0))*T$340</f>
        <v>0.553030904396404</v>
      </c>
      <c r="U334" s="23" t="n">
        <f aca="false">U324+INDEX(Data_Prices!U:U,MATCH($G334,Data_Prices!$A:$A,0))*U$340</f>
        <v>0.585019734506513</v>
      </c>
      <c r="V334" s="23" t="n">
        <f aca="false">V324+INDEX(Data_Prices!V:V,MATCH($G334,Data_Prices!$A:$A,0))*V$340</f>
        <v>0.617008564616621</v>
      </c>
      <c r="W334" s="23" t="n">
        <f aca="false">W324+INDEX(Data_Prices!W:W,MATCH($G334,Data_Prices!$A:$A,0))*W$340</f>
        <v>0.648997394726729</v>
      </c>
      <c r="X334" s="23" t="n">
        <f aca="false">X324+INDEX(Data_Prices!X:X,MATCH($G334,Data_Prices!$A:$A,0))*X$340</f>
        <v>0.680986224836838</v>
      </c>
      <c r="Y334" s="23" t="n">
        <f aca="false">Y324+INDEX(Data_Prices!Y:Y,MATCH($G334,Data_Prices!$A:$A,0))*Y$340</f>
        <v>0.712975054946947</v>
      </c>
      <c r="Z334" s="23" t="n">
        <f aca="false">Z324+INDEX(Data_Prices!Z:Z,MATCH($G334,Data_Prices!$A:$A,0))*Z$340</f>
        <v>0.744963885057055</v>
      </c>
      <c r="AA334" s="23" t="n">
        <f aca="false">AA324+INDEX(Data_Prices!AA:AA,MATCH($G334,Data_Prices!$A:$A,0))*AA$340</f>
        <v>0.776952715167163</v>
      </c>
      <c r="AB334" s="23" t="n">
        <f aca="false">AB324+INDEX(Data_Prices!AB:AB,MATCH($G334,Data_Prices!$A:$A,0))*AB$340</f>
        <v>0.808941545277272</v>
      </c>
      <c r="AC334" s="23" t="n">
        <f aca="false">AC324+INDEX(Data_Prices!AC:AC,MATCH($G334,Data_Prices!$A:$A,0))*AC$340</f>
        <v>0.84093037538738</v>
      </c>
      <c r="AD334" s="23" t="n">
        <f aca="false">AD324+INDEX(Data_Prices!AD:AD,MATCH($G334,Data_Prices!$A:$A,0))*AD$340</f>
        <v>0.872919205497489</v>
      </c>
      <c r="AE334" s="23" t="n">
        <f aca="false">AE324+INDEX(Data_Prices!AE:AE,MATCH($G334,Data_Prices!$A:$A,0))*AE$340</f>
        <v>0.904908035607597</v>
      </c>
    </row>
    <row r="335" customFormat="false" ht="15" hidden="false" customHeight="false" outlineLevel="0" collapsed="false">
      <c r="B335" s="17" t="s">
        <v>68</v>
      </c>
      <c r="C335" s="17" t="str">
        <f aca="false">$C$307</f>
        <v>cem</v>
      </c>
      <c r="D335" s="18" t="s">
        <v>69</v>
      </c>
      <c r="E335" s="19" t="s">
        <v>70</v>
      </c>
      <c r="F335" s="17" t="s">
        <v>79</v>
      </c>
      <c r="G335" s="20" t="str">
        <f aca="false">Settings!$B$3&amp;".mit.shp."&amp;$B335&amp;"."&amp;Settings!$B$4&amp;"."&amp;$J$307</f>
        <v>egy.mit.shp.oop.ind.2</v>
      </c>
      <c r="H335" s="21" t="str">
        <f aca="false">Settings!$B$3&amp;".mit.shp."&amp;$C$307&amp;"."&amp;$B335&amp;".e."&amp;$J$307</f>
        <v>egy.mit.shp.cem.oop.e.2</v>
      </c>
      <c r="K335" s="23" t="n">
        <f aca="false">K325+INDEX(Data_Prices!K:K,MATCH($G335,Data_Prices!$A:$A,0))*K$340</f>
        <v>41.5003384988684</v>
      </c>
      <c r="L335" s="23" t="n">
        <f aca="false">L325+INDEX(Data_Prices!L:L,MATCH($G335,Data_Prices!$A:$A,0))*L$340</f>
        <v>34.4153703043132</v>
      </c>
      <c r="M335" s="23" t="n">
        <f aca="false">M325+INDEX(Data_Prices!M:M,MATCH($G335,Data_Prices!$A:$A,0))*M$340</f>
        <v>37.368960690432</v>
      </c>
      <c r="N335" s="23" t="n">
        <f aca="false">N325+INDEX(Data_Prices!N:N,MATCH($G335,Data_Prices!$A:$A,0))*N$340</f>
        <v>28.9827611014773</v>
      </c>
      <c r="O335" s="23" t="n">
        <f aca="false">O325+INDEX(Data_Prices!O:O,MATCH($G335,Data_Prices!$A:$A,0))*O$340</f>
        <v>15</v>
      </c>
      <c r="P335" s="23" t="n">
        <f aca="false">P325+INDEX(Data_Prices!P:P,MATCH($G335,Data_Prices!$A:$A,0))*P$340</f>
        <v>24.2586300842555</v>
      </c>
      <c r="Q335" s="23" t="n">
        <f aca="false">Q325+INDEX(Data_Prices!Q:Q,MATCH($G335,Data_Prices!$A:$A,0))*Q$340</f>
        <v>18.9637581961325</v>
      </c>
      <c r="R335" s="23" t="n">
        <f aca="false">R325+INDEX(Data_Prices!R:R,MATCH($G335,Data_Prices!$A:$A,0))*R$340</f>
        <v>21.7603451140106</v>
      </c>
      <c r="S335" s="23" t="n">
        <f aca="false">S325+INDEX(Data_Prices!S:S,MATCH($G335,Data_Prices!$A:$A,0))*S$340</f>
        <v>26.0798806913736</v>
      </c>
      <c r="T335" s="23" t="n">
        <f aca="false">T325+INDEX(Data_Prices!T:T,MATCH($G335,Data_Prices!$A:$A,0))*T$340</f>
        <v>30.5936824452092</v>
      </c>
      <c r="U335" s="23" t="n">
        <f aca="false">U325+INDEX(Data_Prices!U:U,MATCH($G335,Data_Prices!$A:$A,0))*U$340</f>
        <v>34.9905097394101</v>
      </c>
      <c r="V335" s="23" t="n">
        <f aca="false">V325+INDEX(Data_Prices!V:V,MATCH($G335,Data_Prices!$A:$A,0))*V$340</f>
        <v>40.8580597394101</v>
      </c>
      <c r="W335" s="23" t="n">
        <f aca="false">W325+INDEX(Data_Prices!W:W,MATCH($G335,Data_Prices!$A:$A,0))*W$340</f>
        <v>46.7256097394101</v>
      </c>
      <c r="X335" s="23" t="n">
        <f aca="false">X325+INDEX(Data_Prices!X:X,MATCH($G335,Data_Prices!$A:$A,0))*X$340</f>
        <v>52.5931597394101</v>
      </c>
      <c r="Y335" s="23" t="n">
        <f aca="false">Y325+INDEX(Data_Prices!Y:Y,MATCH($G335,Data_Prices!$A:$A,0))*Y$340</f>
        <v>58.4607097394101</v>
      </c>
      <c r="Z335" s="23" t="n">
        <f aca="false">Z325+INDEX(Data_Prices!Z:Z,MATCH($G335,Data_Prices!$A:$A,0))*Z$340</f>
        <v>64.3282597394101</v>
      </c>
      <c r="AA335" s="23" t="n">
        <f aca="false">AA325+INDEX(Data_Prices!AA:AA,MATCH($G335,Data_Prices!$A:$A,0))*AA$340</f>
        <v>70.1958097394101</v>
      </c>
      <c r="AB335" s="23" t="n">
        <f aca="false">AB325+INDEX(Data_Prices!AB:AB,MATCH($G335,Data_Prices!$A:$A,0))*AB$340</f>
        <v>76.0633597394101</v>
      </c>
      <c r="AC335" s="23" t="n">
        <f aca="false">AC325+INDEX(Data_Prices!AC:AC,MATCH($G335,Data_Prices!$A:$A,0))*AC$340</f>
        <v>81.9309097394101</v>
      </c>
      <c r="AD335" s="23" t="n">
        <f aca="false">AD325+INDEX(Data_Prices!AD:AD,MATCH($G335,Data_Prices!$A:$A,0))*AD$340</f>
        <v>87.7984597394101</v>
      </c>
      <c r="AE335" s="23" t="n">
        <f aca="false">AE325+INDEX(Data_Prices!AE:AE,MATCH($G335,Data_Prices!$A:$A,0))*AE$340</f>
        <v>93.6660097394101</v>
      </c>
    </row>
    <row r="336" customFormat="false" ht="15" hidden="false" customHeight="false" outlineLevel="0" collapsed="false">
      <c r="B336" s="17" t="s">
        <v>71</v>
      </c>
      <c r="C336" s="17" t="str">
        <f aca="false">$C$307</f>
        <v>cem</v>
      </c>
      <c r="D336" s="18" t="s">
        <v>72</v>
      </c>
      <c r="E336" s="19" t="s">
        <v>55</v>
      </c>
      <c r="F336" s="17" t="s">
        <v>79</v>
      </c>
      <c r="G336" s="20" t="str">
        <f aca="false">Settings!$B$3&amp;".mit.shp."&amp;$B336&amp;"."&amp;Settings!$B$4&amp;"."&amp;$J$307</f>
        <v>egy.mit.shp.bio.ind.2</v>
      </c>
      <c r="H336" s="21" t="str">
        <f aca="false">Settings!$B$3&amp;".mit.shp."&amp;$C$307&amp;"."&amp;$B336&amp;".e."&amp;$J$307</f>
        <v>egy.mit.shp.cem.bio.e.2</v>
      </c>
      <c r="K336" s="23" t="n">
        <f aca="false">K326+INDEX(Data_Prices!K:K,MATCH($G336,Data_Prices!$A:$A,0))*K$340</f>
        <v>15.3345505293169</v>
      </c>
      <c r="L336" s="23" t="n">
        <f aca="false">L326+INDEX(Data_Prices!L:L,MATCH($G336,Data_Prices!$A:$A,0))*L$340</f>
        <v>14.1995283906349</v>
      </c>
      <c r="M336" s="23" t="n">
        <f aca="false">M326+INDEX(Data_Prices!M:M,MATCH($G336,Data_Prices!$A:$A,0))*M$340</f>
        <v>13.8404416133152</v>
      </c>
      <c r="N336" s="23" t="n">
        <f aca="false">N326+INDEX(Data_Prices!N:N,MATCH($G336,Data_Prices!$A:$A,0))*N$340</f>
        <v>13.5677269404465</v>
      </c>
      <c r="O336" s="23" t="n">
        <f aca="false">O326+INDEX(Data_Prices!O:O,MATCH($G336,Data_Prices!$A:$A,0))*O$340</f>
        <v>13.5677269404465</v>
      </c>
      <c r="P336" s="23" t="n">
        <f aca="false">P326+INDEX(Data_Prices!P:P,MATCH($G336,Data_Prices!$A:$A,0))*P$340</f>
        <v>13.5677269404465</v>
      </c>
      <c r="Q336" s="23" t="n">
        <f aca="false">Q326+INDEX(Data_Prices!Q:Q,MATCH($G336,Data_Prices!$A:$A,0))*Q$340</f>
        <v>13.5677269404465</v>
      </c>
      <c r="R336" s="23" t="n">
        <f aca="false">R326+INDEX(Data_Prices!R:R,MATCH($G336,Data_Prices!$A:$A,0))*R$340</f>
        <v>13.5677269404465</v>
      </c>
      <c r="S336" s="23" t="n">
        <f aca="false">S326+INDEX(Data_Prices!S:S,MATCH($G336,Data_Prices!$A:$A,0))*S$340</f>
        <v>13.5677269404465</v>
      </c>
      <c r="T336" s="23" t="n">
        <f aca="false">T326+INDEX(Data_Prices!T:T,MATCH($G336,Data_Prices!$A:$A,0))*T$340</f>
        <v>13.5677269404465</v>
      </c>
      <c r="U336" s="23" t="n">
        <f aca="false">U326+INDEX(Data_Prices!U:U,MATCH($G336,Data_Prices!$A:$A,0))*U$340</f>
        <v>13.5677269404465</v>
      </c>
      <c r="V336" s="23" t="n">
        <f aca="false">V326+INDEX(Data_Prices!V:V,MATCH($G336,Data_Prices!$A:$A,0))*V$340</f>
        <v>13.5677269404465</v>
      </c>
      <c r="W336" s="23" t="n">
        <f aca="false">W326+INDEX(Data_Prices!W:W,MATCH($G336,Data_Prices!$A:$A,0))*W$340</f>
        <v>13.5677269404465</v>
      </c>
      <c r="X336" s="23" t="n">
        <f aca="false">X326+INDEX(Data_Prices!X:X,MATCH($G336,Data_Prices!$A:$A,0))*X$340</f>
        <v>13.5677269404465</v>
      </c>
      <c r="Y336" s="23" t="n">
        <f aca="false">Y326+INDEX(Data_Prices!Y:Y,MATCH($G336,Data_Prices!$A:$A,0))*Y$340</f>
        <v>13.5677269404465</v>
      </c>
      <c r="Z336" s="23" t="n">
        <f aca="false">Z326+INDEX(Data_Prices!Z:Z,MATCH($G336,Data_Prices!$A:$A,0))*Z$340</f>
        <v>13.5677269404465</v>
      </c>
      <c r="AA336" s="23" t="n">
        <f aca="false">AA326+INDEX(Data_Prices!AA:AA,MATCH($G336,Data_Prices!$A:$A,0))*AA$340</f>
        <v>13.5677269404465</v>
      </c>
      <c r="AB336" s="23" t="n">
        <f aca="false">AB326+INDEX(Data_Prices!AB:AB,MATCH($G336,Data_Prices!$A:$A,0))*AB$340</f>
        <v>13.5677269404465</v>
      </c>
      <c r="AC336" s="23" t="n">
        <f aca="false">AC326+INDEX(Data_Prices!AC:AC,MATCH($G336,Data_Prices!$A:$A,0))*AC$340</f>
        <v>13.5677269404465</v>
      </c>
      <c r="AD336" s="23" t="n">
        <f aca="false">AD326+INDEX(Data_Prices!AD:AD,MATCH($G336,Data_Prices!$A:$A,0))*AD$340</f>
        <v>13.5677269404465</v>
      </c>
      <c r="AE336" s="23" t="n">
        <f aca="false">AE326+INDEX(Data_Prices!AE:AE,MATCH($G336,Data_Prices!$A:$A,0))*AE$340</f>
        <v>13.5677269404465</v>
      </c>
    </row>
    <row r="337" customFormat="false" ht="15" hidden="false" customHeight="false" outlineLevel="0" collapsed="false">
      <c r="B337" s="17" t="s">
        <v>73</v>
      </c>
      <c r="C337" s="17" t="str">
        <f aca="false">$C$307</f>
        <v>cem</v>
      </c>
      <c r="D337" s="18" t="s">
        <v>74</v>
      </c>
      <c r="E337" s="19" t="s">
        <v>75</v>
      </c>
      <c r="F337" s="17" t="s">
        <v>79</v>
      </c>
      <c r="G337" s="20" t="str">
        <f aca="false">Settings!$B$3&amp;".mit.shp."&amp;$B337&amp;"."&amp;Settings!$B$4&amp;"."&amp;$J$307</f>
        <v>egy.mit.shp.ren.ind.2</v>
      </c>
      <c r="H337" s="21" t="str">
        <f aca="false">Settings!$B$3&amp;".mit.shp."&amp;$C$307&amp;"."&amp;$B337&amp;".e."&amp;$J$307</f>
        <v>egy.mit.shp.cem.ren.e.2</v>
      </c>
      <c r="K337" s="23" t="n">
        <f aca="false">K327+INDEX(Data_Prices!K:K,MATCH($G337,Data_Prices!$A:$A,0))*K$340</f>
        <v>0</v>
      </c>
      <c r="L337" s="23" t="n">
        <f aca="false">L327+INDEX(Data_Prices!L:L,MATCH($G337,Data_Prices!$A:$A,0))*L$340</f>
        <v>0.144044986793198</v>
      </c>
      <c r="M337" s="23" t="n">
        <f aca="false">M327+INDEX(Data_Prices!M:M,MATCH($G337,Data_Prices!$A:$A,0))*M$340</f>
        <v>0.141386241751359</v>
      </c>
      <c r="N337" s="23" t="n">
        <f aca="false">N327+INDEX(Data_Prices!N:N,MATCH($G337,Data_Prices!$A:$A,0))*N$340</f>
        <v>0.135397565443731</v>
      </c>
      <c r="O337" s="23" t="n">
        <f aca="false">O327+INDEX(Data_Prices!O:O,MATCH($G337,Data_Prices!$A:$A,0))*O$340</f>
        <v>0.131522885420651</v>
      </c>
      <c r="P337" s="23" t="n">
        <f aca="false">P327+INDEX(Data_Prices!P:P,MATCH($G337,Data_Prices!$A:$A,0))*P$340</f>
        <v>0.128826108485231</v>
      </c>
      <c r="Q337" s="23" t="n">
        <f aca="false">Q327+INDEX(Data_Prices!Q:Q,MATCH($G337,Data_Prices!$A:$A,0))*Q$340</f>
        <v>0.12594200976474</v>
      </c>
      <c r="R337" s="23" t="n">
        <f aca="false">R327+INDEX(Data_Prices!R:R,MATCH($G337,Data_Prices!$A:$A,0))*R$340</f>
        <v>0.123113265701861</v>
      </c>
      <c r="S337" s="23" t="n">
        <f aca="false">S327+INDEX(Data_Prices!S:S,MATCH($G337,Data_Prices!$A:$A,0))*S$340</f>
        <v>0.119391738089068</v>
      </c>
      <c r="T337" s="23" t="n">
        <f aca="false">T327+INDEX(Data_Prices!T:T,MATCH($G337,Data_Prices!$A:$A,0))*T$340</f>
        <v>0.11554419046792</v>
      </c>
      <c r="U337" s="23" t="n">
        <f aca="false">U327+INDEX(Data_Prices!U:U,MATCH($G337,Data_Prices!$A:$A,0))*U$340</f>
        <v>0.114924230654159</v>
      </c>
      <c r="V337" s="23" t="n">
        <f aca="false">V327+INDEX(Data_Prices!V:V,MATCH($G337,Data_Prices!$A:$A,0))*V$340</f>
        <v>0.114346912116736</v>
      </c>
      <c r="W337" s="23" t="n">
        <f aca="false">W327+INDEX(Data_Prices!W:W,MATCH($G337,Data_Prices!$A:$A,0))*W$340</f>
        <v>0.113738711172664</v>
      </c>
      <c r="X337" s="23" t="n">
        <f aca="false">X327+INDEX(Data_Prices!X:X,MATCH($G337,Data_Prices!$A:$A,0))*X$340</f>
        <v>0.112999900487521</v>
      </c>
      <c r="Y337" s="23" t="n">
        <f aca="false">Y327+INDEX(Data_Prices!Y:Y,MATCH($G337,Data_Prices!$A:$A,0))*Y$340</f>
        <v>0.112177685835534</v>
      </c>
      <c r="Z337" s="23" t="n">
        <f aca="false">Z327+INDEX(Data_Prices!Z:Z,MATCH($G337,Data_Prices!$A:$A,0))*Z$340</f>
        <v>0.111417903250404</v>
      </c>
      <c r="AA337" s="23" t="n">
        <f aca="false">AA327+INDEX(Data_Prices!AA:AA,MATCH($G337,Data_Prices!$A:$A,0))*AA$340</f>
        <v>0.110525819985454</v>
      </c>
      <c r="AB337" s="23" t="n">
        <f aca="false">AB327+INDEX(Data_Prices!AB:AB,MATCH($G337,Data_Prices!$A:$A,0))*AB$340</f>
        <v>0.109699565234896</v>
      </c>
      <c r="AC337" s="23" t="n">
        <f aca="false">AC327+INDEX(Data_Prices!AC:AC,MATCH($G337,Data_Prices!$A:$A,0))*AC$340</f>
        <v>0.107726788963949</v>
      </c>
      <c r="AD337" s="23" t="n">
        <f aca="false">AD327+INDEX(Data_Prices!AD:AD,MATCH($G337,Data_Prices!$A:$A,0))*AD$340</f>
        <v>0.105820924450935</v>
      </c>
      <c r="AE337" s="23" t="n">
        <f aca="false">AE327+INDEX(Data_Prices!AE:AE,MATCH($G337,Data_Prices!$A:$A,0))*AE$340</f>
        <v>0.103855595705721</v>
      </c>
    </row>
    <row r="338" customFormat="false" ht="15" hidden="false" customHeight="false" outlineLevel="0" collapsed="false">
      <c r="B338" s="16" t="s">
        <v>80</v>
      </c>
    </row>
    <row r="339" customFormat="false" ht="15" hidden="false" customHeight="false" outlineLevel="0" collapsed="false">
      <c r="B339" s="17" t="s">
        <v>81</v>
      </c>
      <c r="C339" s="17" t="str">
        <f aca="false">$C$307</f>
        <v>cem</v>
      </c>
      <c r="D339" s="18" t="s">
        <v>82</v>
      </c>
      <c r="E339" s="19" t="s">
        <v>83</v>
      </c>
      <c r="F339" s="17" t="s">
        <v>84</v>
      </c>
      <c r="G339" s="20" t="str">
        <f aca="false">Settings!$B$3&amp;".mit.tcf."&amp;$C$307&amp;"."&amp;$J$307</f>
        <v>egy.mit.tcf.cem.2</v>
      </c>
      <c r="K339" s="23" t="n">
        <f aca="false">INDEX(Data_Prices!K:K,MATCH($G339,Data_Prices!$A:$A,0))</f>
        <v>0</v>
      </c>
      <c r="L339" s="23" t="n">
        <f aca="false">INDEX(Data_Prices!L:L,MATCH($G339,Data_Prices!$A:$A,0))</f>
        <v>0</v>
      </c>
      <c r="M339" s="23" t="n">
        <f aca="false">INDEX(Data_Prices!M:M,MATCH($G339,Data_Prices!$A:$A,0))</f>
        <v>0</v>
      </c>
      <c r="N339" s="23" t="n">
        <f aca="false">INDEX(Data_Prices!N:N,MATCH($G339,Data_Prices!$A:$A,0))</f>
        <v>0</v>
      </c>
      <c r="O339" s="23" t="n">
        <f aca="false">INDEX(Data_Prices!O:O,MATCH($G339,Data_Prices!$A:$A,0))</f>
        <v>0</v>
      </c>
      <c r="P339" s="23" t="n">
        <f aca="false">INDEX(Data_Prices!P:P,MATCH($G339,Data_Prices!$A:$A,0))</f>
        <v>1</v>
      </c>
      <c r="Q339" s="23" t="n">
        <f aca="false">INDEX(Data_Prices!Q:Q,MATCH($G339,Data_Prices!$A:$A,0))</f>
        <v>1</v>
      </c>
      <c r="R339" s="23" t="n">
        <f aca="false">INDEX(Data_Prices!R:R,MATCH($G339,Data_Prices!$A:$A,0))</f>
        <v>1</v>
      </c>
      <c r="S339" s="23" t="n">
        <f aca="false">INDEX(Data_Prices!S:S,MATCH($G339,Data_Prices!$A:$A,0))</f>
        <v>1</v>
      </c>
      <c r="T339" s="23" t="n">
        <f aca="false">INDEX(Data_Prices!T:T,MATCH($G339,Data_Prices!$A:$A,0))</f>
        <v>1</v>
      </c>
      <c r="U339" s="23" t="n">
        <f aca="false">INDEX(Data_Prices!U:U,MATCH($G339,Data_Prices!$A:$A,0))</f>
        <v>1</v>
      </c>
      <c r="V339" s="23" t="n">
        <f aca="false">INDEX(Data_Prices!V:V,MATCH($G339,Data_Prices!$A:$A,0))</f>
        <v>1</v>
      </c>
      <c r="W339" s="23" t="n">
        <f aca="false">INDEX(Data_Prices!W:W,MATCH($G339,Data_Prices!$A:$A,0))</f>
        <v>1</v>
      </c>
      <c r="X339" s="23" t="n">
        <f aca="false">INDEX(Data_Prices!X:X,MATCH($G339,Data_Prices!$A:$A,0))</f>
        <v>1</v>
      </c>
      <c r="Y339" s="23" t="n">
        <f aca="false">INDEX(Data_Prices!Y:Y,MATCH($G339,Data_Prices!$A:$A,0))</f>
        <v>1</v>
      </c>
      <c r="Z339" s="23" t="n">
        <f aca="false">INDEX(Data_Prices!Z:Z,MATCH($G339,Data_Prices!$A:$A,0))</f>
        <v>1</v>
      </c>
      <c r="AA339" s="23" t="n">
        <f aca="false">INDEX(Data_Prices!AA:AA,MATCH($G339,Data_Prices!$A:$A,0))</f>
        <v>1</v>
      </c>
      <c r="AB339" s="23" t="n">
        <f aca="false">INDEX(Data_Prices!AB:AB,MATCH($G339,Data_Prices!$A:$A,0))</f>
        <v>1</v>
      </c>
      <c r="AC339" s="23" t="n">
        <f aca="false">INDEX(Data_Prices!AC:AC,MATCH($G339,Data_Prices!$A:$A,0))</f>
        <v>1</v>
      </c>
      <c r="AD339" s="23" t="n">
        <f aca="false">INDEX(Data_Prices!AD:AD,MATCH($G339,Data_Prices!$A:$A,0))</f>
        <v>1</v>
      </c>
      <c r="AE339" s="23" t="n">
        <f aca="false">INDEX(Data_Prices!AE:AE,MATCH($G339,Data_Prices!$A:$A,0))</f>
        <v>1</v>
      </c>
    </row>
    <row r="340" customFormat="false" ht="15" hidden="false" customHeight="false" outlineLevel="0" collapsed="false">
      <c r="B340" s="17" t="s">
        <v>81</v>
      </c>
      <c r="C340" s="17" t="str">
        <f aca="false">$C$307</f>
        <v>cem</v>
      </c>
      <c r="D340" s="18" t="s">
        <v>85</v>
      </c>
      <c r="E340" s="19" t="s">
        <v>83</v>
      </c>
      <c r="F340" s="17" t="s">
        <v>86</v>
      </c>
      <c r="G340" s="20" t="str">
        <f aca="false">Settings!$B$3&amp;".mit.ssc."&amp;$C$307&amp;"."&amp;$J$307</f>
        <v>egy.mit.ssc.cem.2</v>
      </c>
      <c r="K340" s="23" t="n">
        <f aca="false">INDEX(Data_Prices!K:K,MATCH($G340,Data_Prices!$A:$A,0))</f>
        <v>0</v>
      </c>
      <c r="L340" s="23" t="n">
        <f aca="false">INDEX(Data_Prices!L:L,MATCH($G340,Data_Prices!$A:$A,0))</f>
        <v>0</v>
      </c>
      <c r="M340" s="23" t="n">
        <f aca="false">INDEX(Data_Prices!M:M,MATCH($G340,Data_Prices!$A:$A,0))</f>
        <v>0</v>
      </c>
      <c r="N340" s="23" t="n">
        <f aca="false">INDEX(Data_Prices!N:N,MATCH($G340,Data_Prices!$A:$A,0))</f>
        <v>0</v>
      </c>
      <c r="O340" s="23" t="n">
        <f aca="false">INDEX(Data_Prices!O:O,MATCH($G340,Data_Prices!$A:$A,0))</f>
        <v>0</v>
      </c>
      <c r="P340" s="23" t="n">
        <f aca="false">INDEX(Data_Prices!P:P,MATCH($G340,Data_Prices!$A:$A,0))</f>
        <v>0</v>
      </c>
      <c r="Q340" s="23" t="n">
        <f aca="false">INDEX(Data_Prices!Q:Q,MATCH($G340,Data_Prices!$A:$A,0))</f>
        <v>0</v>
      </c>
      <c r="R340" s="23" t="n">
        <f aca="false">INDEX(Data_Prices!R:R,MATCH($G340,Data_Prices!$A:$A,0))</f>
        <v>0</v>
      </c>
      <c r="S340" s="23" t="n">
        <f aca="false">INDEX(Data_Prices!S:S,MATCH($G340,Data_Prices!$A:$A,0))</f>
        <v>0</v>
      </c>
      <c r="T340" s="23" t="n">
        <f aca="false">INDEX(Data_Prices!T:T,MATCH($G340,Data_Prices!$A:$A,0))</f>
        <v>0</v>
      </c>
      <c r="U340" s="23" t="n">
        <f aca="false">INDEX(Data_Prices!U:U,MATCH($G340,Data_Prices!$A:$A,0))</f>
        <v>0</v>
      </c>
      <c r="V340" s="23" t="n">
        <f aca="false">INDEX(Data_Prices!V:V,MATCH($G340,Data_Prices!$A:$A,0))</f>
        <v>0</v>
      </c>
      <c r="W340" s="23" t="n">
        <f aca="false">INDEX(Data_Prices!W:W,MATCH($G340,Data_Prices!$A:$A,0))</f>
        <v>0</v>
      </c>
      <c r="X340" s="23" t="n">
        <f aca="false">INDEX(Data_Prices!X:X,MATCH($G340,Data_Prices!$A:$A,0))</f>
        <v>0</v>
      </c>
      <c r="Y340" s="23" t="n">
        <f aca="false">INDEX(Data_Prices!Y:Y,MATCH($G340,Data_Prices!$A:$A,0))</f>
        <v>0</v>
      </c>
      <c r="Z340" s="23" t="n">
        <f aca="false">INDEX(Data_Prices!Z:Z,MATCH($G340,Data_Prices!$A:$A,0))</f>
        <v>0</v>
      </c>
      <c r="AA340" s="23" t="n">
        <f aca="false">INDEX(Data_Prices!AA:AA,MATCH($G340,Data_Prices!$A:$A,0))</f>
        <v>0</v>
      </c>
      <c r="AB340" s="23" t="n">
        <f aca="false">INDEX(Data_Prices!AB:AB,MATCH($G340,Data_Prices!$A:$A,0))</f>
        <v>0</v>
      </c>
      <c r="AC340" s="23" t="n">
        <f aca="false">INDEX(Data_Prices!AC:AC,MATCH($G340,Data_Prices!$A:$A,0))</f>
        <v>0</v>
      </c>
      <c r="AD340" s="23" t="n">
        <f aca="false">INDEX(Data_Prices!AD:AD,MATCH($G340,Data_Prices!$A:$A,0))</f>
        <v>0</v>
      </c>
      <c r="AE340" s="23" t="n">
        <f aca="false">INDEX(Data_Prices!AE:AE,MATCH($G340,Data_Prices!$A:$A,0))</f>
        <v>0</v>
      </c>
    </row>
    <row r="341" customFormat="false" ht="15" hidden="false" customHeight="false" outlineLevel="0" collapsed="false">
      <c r="B341" s="17" t="s">
        <v>81</v>
      </c>
      <c r="C341" s="17" t="str">
        <f aca="false">$C$307</f>
        <v>cem</v>
      </c>
      <c r="D341" s="18" t="s">
        <v>87</v>
      </c>
      <c r="E341" s="19" t="s">
        <v>88</v>
      </c>
      <c r="F341" s="17" t="s">
        <v>89</v>
      </c>
      <c r="G341" s="20" t="str">
        <f aca="false">Settings!$B$3&amp;".mit.gdp.pos.pct."&amp;$J$307</f>
        <v>egy.mit.gdp.pos.pct.2</v>
      </c>
      <c r="K341" s="24" t="n">
        <f aca="false">INDEX(Data_Macro!K:K,MATCH($G341,Data_Macro!$A:$A,0))</f>
        <v>0</v>
      </c>
      <c r="L341" s="24" t="n">
        <f aca="false">INDEX(Data_Macro!L:L,MATCH($G341,Data_Macro!$A:$A,0))</f>
        <v>0.06651345</v>
      </c>
      <c r="M341" s="24" t="n">
        <f aca="false">INDEX(Data_Macro!M:M,MATCH($G341,Data_Macro!$A:$A,0))</f>
        <v>0.03760281</v>
      </c>
      <c r="N341" s="24" t="n">
        <f aca="false">INDEX(Data_Macro!N:N,MATCH($G341,Data_Macro!$A:$A,0))</f>
        <v>0.02398801</v>
      </c>
      <c r="O341" s="24" t="n">
        <f aca="false">INDEX(Data_Macro!O:O,MATCH($G341,Data_Macro!$A:$A,0))</f>
        <v>0.04392387</v>
      </c>
      <c r="P341" s="24" t="n">
        <f aca="false">INDEX(Data_Macro!P:P,MATCH($G341,Data_Macro!$A:$A,0))</f>
        <v>0.04239706</v>
      </c>
      <c r="Q341" s="24" t="n">
        <f aca="false">INDEX(Data_Macro!Q:Q,MATCH($G341,Data_Macro!$A:$A,0))</f>
        <v>0.0482983837830076</v>
      </c>
      <c r="R341" s="24" t="n">
        <f aca="false">INDEX(Data_Macro!R:R,MATCH($G341,Data_Macro!$A:$A,0))</f>
        <v>0.0555905477124225</v>
      </c>
      <c r="S341" s="24" t="n">
        <f aca="false">INDEX(Data_Macro!S:S,MATCH($G341,Data_Macro!$A:$A,0))</f>
        <v>0.0521372353896314</v>
      </c>
      <c r="T341" s="24" t="n">
        <f aca="false">INDEX(Data_Macro!T:T,MATCH($G341,Data_Macro!$A:$A,0))</f>
        <v>0.0481249074919299</v>
      </c>
      <c r="U341" s="24" t="n">
        <f aca="false">INDEX(Data_Macro!U:U,MATCH($G341,Data_Macro!$A:$A,0))</f>
        <v>0.0472087965265213</v>
      </c>
      <c r="V341" s="24" t="n">
        <f aca="false">INDEX(Data_Macro!V:V,MATCH($G341,Data_Macro!$A:$A,0))</f>
        <v>0.0466890433006764</v>
      </c>
      <c r="W341" s="24" t="n">
        <f aca="false">INDEX(Data_Macro!W:W,MATCH($G341,Data_Macro!$A:$A,0))</f>
        <v>0.0466327501470292</v>
      </c>
      <c r="X341" s="24" t="n">
        <f aca="false">INDEX(Data_Macro!X:X,MATCH($G341,Data_Macro!$A:$A,0))</f>
        <v>0.0468727232644215</v>
      </c>
      <c r="Y341" s="24" t="n">
        <f aca="false">INDEX(Data_Macro!Y:Y,MATCH($G341,Data_Macro!$A:$A,0))</f>
        <v>0.0474699217530487</v>
      </c>
      <c r="Z341" s="24" t="n">
        <f aca="false">INDEX(Data_Macro!Z:Z,MATCH($G341,Data_Macro!$A:$A,0))</f>
        <v>0.048590713024029</v>
      </c>
      <c r="AA341" s="24" t="n">
        <f aca="false">INDEX(Data_Macro!AA:AA,MATCH($G341,Data_Macro!$A:$A,0))</f>
        <v>0.0499411820780664</v>
      </c>
      <c r="AB341" s="24" t="n">
        <f aca="false">INDEX(Data_Macro!AB:AB,MATCH($G341,Data_Macro!$A:$A,0))</f>
        <v>0.0513941835424786</v>
      </c>
      <c r="AC341" s="24" t="n">
        <f aca="false">INDEX(Data_Macro!AC:AC,MATCH($G341,Data_Macro!$A:$A,0))</f>
        <v>0.0526817630197767</v>
      </c>
      <c r="AD341" s="24" t="n">
        <f aca="false">INDEX(Data_Macro!AD:AD,MATCH($G341,Data_Macro!$A:$A,0))</f>
        <v>0.0538007113363503</v>
      </c>
      <c r="AE341" s="24" t="n">
        <f aca="false">INDEX(Data_Macro!AE:AE,MATCH($G341,Data_Macro!$A:$A,0))</f>
        <v>0.0547893980443376</v>
      </c>
    </row>
    <row r="342" customFormat="false" ht="15" hidden="false" customHeight="false" outlineLevel="0" collapsed="false">
      <c r="B342" s="17" t="s">
        <v>81</v>
      </c>
      <c r="C342" s="17" t="str">
        <f aca="false">$C$307</f>
        <v>cem</v>
      </c>
      <c r="D342" s="18" t="s">
        <v>90</v>
      </c>
      <c r="E342" s="19" t="s">
        <v>91</v>
      </c>
      <c r="F342" s="17" t="s">
        <v>92</v>
      </c>
      <c r="G342" s="20" t="str">
        <f aca="false">Settings!$B$3&amp;".mit.inc.ela.adj."&amp;$J$307</f>
        <v>egy.mit.inc.ela.adj.2</v>
      </c>
      <c r="K342" s="23" t="n">
        <f aca="false">INDEX(Data_Macro!K:K,MATCH($G342,Data_Macro!$A:$A,0))</f>
        <v>0</v>
      </c>
      <c r="L342" s="23" t="n">
        <f aca="false">INDEX(Data_Macro!L:L,MATCH($G342,Data_Macro!$A:$A,0))</f>
        <v>1.02715172471961</v>
      </c>
      <c r="M342" s="23" t="n">
        <f aca="false">INDEX(Data_Macro!M:M,MATCH($G342,Data_Macro!$A:$A,0))</f>
        <v>1.02715172471961</v>
      </c>
      <c r="N342" s="23" t="n">
        <f aca="false">INDEX(Data_Macro!N:N,MATCH($G342,Data_Macro!$A:$A,0))</f>
        <v>1.02056983588512</v>
      </c>
      <c r="O342" s="23" t="n">
        <f aca="false">INDEX(Data_Macro!O:O,MATCH($G342,Data_Macro!$A:$A,0))</f>
        <v>1.01733442885234</v>
      </c>
      <c r="P342" s="23" t="n">
        <f aca="false">INDEX(Data_Macro!P:P,MATCH($G342,Data_Macro!$A:$A,0))</f>
        <v>1.00766833225382</v>
      </c>
      <c r="Q342" s="23" t="n">
        <f aca="false">INDEX(Data_Macro!Q:Q,MATCH($G342,Data_Macro!$A:$A,0))</f>
        <v>1.00074428717553</v>
      </c>
      <c r="R342" s="23" t="n">
        <f aca="false">INDEX(Data_Macro!R:R,MATCH($G342,Data_Macro!$A:$A,0))</f>
        <v>0.991884557194643</v>
      </c>
      <c r="S342" s="23" t="n">
        <f aca="false">INDEX(Data_Macro!S:S,MATCH($G342,Data_Macro!$A:$A,0))</f>
        <v>0.980580565078603</v>
      </c>
      <c r="T342" s="23" t="n">
        <f aca="false">INDEX(Data_Macro!T:T,MATCH($G342,Data_Macro!$A:$A,0))</f>
        <v>0.970250789717781</v>
      </c>
      <c r="U342" s="23" t="n">
        <f aca="false">INDEX(Data_Macro!U:U,MATCH($G342,Data_Macro!$A:$A,0))</f>
        <v>0.964288208159648</v>
      </c>
      <c r="V342" s="23" t="n">
        <f aca="false">INDEX(Data_Macro!V:V,MATCH($G342,Data_Macro!$A:$A,0))</f>
        <v>0.961834393419511</v>
      </c>
      <c r="W342" s="23" t="n">
        <f aca="false">INDEX(Data_Macro!W:W,MATCH($G342,Data_Macro!$A:$A,0))</f>
        <v>0.959416951161644</v>
      </c>
      <c r="X342" s="23" t="n">
        <f aca="false">INDEX(Data_Macro!X:X,MATCH($G342,Data_Macro!$A:$A,0))</f>
        <v>0.957014292521884</v>
      </c>
      <c r="Y342" s="23" t="n">
        <f aca="false">INDEX(Data_Macro!Y:Y,MATCH($G342,Data_Macro!$A:$A,0))</f>
        <v>0.954681937225522</v>
      </c>
      <c r="Z342" s="23" t="n">
        <f aca="false">INDEX(Data_Macro!Z:Z,MATCH($G342,Data_Macro!$A:$A,0))</f>
        <v>0.952400711587746</v>
      </c>
      <c r="AA342" s="23" t="n">
        <f aca="false">INDEX(Data_Macro!AA:AA,MATCH($G342,Data_Macro!$A:$A,0))</f>
        <v>0.950116474994055</v>
      </c>
      <c r="AB342" s="23" t="n">
        <f aca="false">INDEX(Data_Macro!AB:AB,MATCH($G342,Data_Macro!$A:$A,0))</f>
        <v>0.947927358499145</v>
      </c>
      <c r="AC342" s="23" t="n">
        <f aca="false">INDEX(Data_Macro!AC:AC,MATCH($G342,Data_Macro!$A:$A,0))</f>
        <v>0.945876747762997</v>
      </c>
      <c r="AD342" s="23" t="n">
        <f aca="false">INDEX(Data_Macro!AD:AD,MATCH($G342,Data_Macro!$A:$A,0))</f>
        <v>0.944054805828393</v>
      </c>
      <c r="AE342" s="23" t="n">
        <f aca="false">INDEX(Data_Macro!AE:AE,MATCH($G342,Data_Macro!$A:$A,0))</f>
        <v>0.942463912252065</v>
      </c>
    </row>
    <row r="343" customFormat="false" ht="15" hidden="false" customHeight="false" outlineLevel="0" collapsed="false">
      <c r="B343" s="17" t="s">
        <v>81</v>
      </c>
      <c r="C343" s="17" t="str">
        <f aca="false">$C$307</f>
        <v>cem</v>
      </c>
      <c r="D343" s="18" t="s">
        <v>93</v>
      </c>
      <c r="E343" s="19" t="s">
        <v>91</v>
      </c>
      <c r="F343" s="17" t="s">
        <v>94</v>
      </c>
      <c r="G343" s="20" t="str">
        <f aca="false">Settings!$B$3&amp;".mit.shock."&amp;$J$307</f>
        <v>egy.mit.shock.2</v>
      </c>
      <c r="K343" s="23" t="n">
        <f aca="false">INDEX(Data_Macro!K:K,MATCH($G343,Data_Macro!$A:$A,0))</f>
        <v>0</v>
      </c>
      <c r="L343" s="23" t="n">
        <f aca="false">INDEX(Data_Macro!L:L,MATCH($G343,Data_Macro!$A:$A,0))</f>
        <v>0</v>
      </c>
      <c r="M343" s="23" t="n">
        <f aca="false">INDEX(Data_Macro!M:M,MATCH($G343,Data_Macro!$A:$A,0))</f>
        <v>-0.208133083020442</v>
      </c>
      <c r="N343" s="23" t="n">
        <f aca="false">INDEX(Data_Macro!N:N,MATCH($G343,Data_Macro!$A:$A,0))</f>
        <v>0.0923714285714286</v>
      </c>
      <c r="O343" s="23" t="n">
        <f aca="false">INDEX(Data_Macro!O:O,MATCH($G343,Data_Macro!$A:$A,0))</f>
        <v>0</v>
      </c>
      <c r="P343" s="23" t="n">
        <f aca="false">INDEX(Data_Macro!P:P,MATCH($G343,Data_Macro!$A:$A,0))</f>
        <v>0</v>
      </c>
      <c r="Q343" s="23" t="n">
        <f aca="false">INDEX(Data_Macro!Q:Q,MATCH($G343,Data_Macro!$A:$A,0))</f>
        <v>0</v>
      </c>
      <c r="R343" s="23" t="n">
        <f aca="false">INDEX(Data_Macro!R:R,MATCH($G343,Data_Macro!$A:$A,0))</f>
        <v>0</v>
      </c>
      <c r="S343" s="23" t="n">
        <f aca="false">INDEX(Data_Macro!S:S,MATCH($G343,Data_Macro!$A:$A,0))</f>
        <v>0</v>
      </c>
      <c r="T343" s="23" t="n">
        <f aca="false">INDEX(Data_Macro!T:T,MATCH($G343,Data_Macro!$A:$A,0))</f>
        <v>0</v>
      </c>
      <c r="U343" s="23" t="n">
        <f aca="false">INDEX(Data_Macro!U:U,MATCH($G343,Data_Macro!$A:$A,0))</f>
        <v>0</v>
      </c>
      <c r="V343" s="23" t="n">
        <f aca="false">INDEX(Data_Macro!V:V,MATCH($G343,Data_Macro!$A:$A,0))</f>
        <v>0</v>
      </c>
      <c r="W343" s="23" t="n">
        <f aca="false">INDEX(Data_Macro!W:W,MATCH($G343,Data_Macro!$A:$A,0))</f>
        <v>0</v>
      </c>
      <c r="X343" s="23" t="n">
        <f aca="false">INDEX(Data_Macro!X:X,MATCH($G343,Data_Macro!$A:$A,0))</f>
        <v>0</v>
      </c>
      <c r="Y343" s="23" t="n">
        <f aca="false">INDEX(Data_Macro!Y:Y,MATCH($G343,Data_Macro!$A:$A,0))</f>
        <v>0</v>
      </c>
      <c r="Z343" s="23" t="n">
        <f aca="false">INDEX(Data_Macro!Z:Z,MATCH($G343,Data_Macro!$A:$A,0))</f>
        <v>0</v>
      </c>
      <c r="AA343" s="23" t="n">
        <f aca="false">INDEX(Data_Macro!AA:AA,MATCH($G343,Data_Macro!$A:$A,0))</f>
        <v>0</v>
      </c>
      <c r="AB343" s="23" t="n">
        <f aca="false">INDEX(Data_Macro!AB:AB,MATCH($G343,Data_Macro!$A:$A,0))</f>
        <v>0</v>
      </c>
      <c r="AC343" s="23" t="n">
        <f aca="false">INDEX(Data_Macro!AC:AC,MATCH($G343,Data_Macro!$A:$A,0))</f>
        <v>0</v>
      </c>
      <c r="AD343" s="23" t="n">
        <f aca="false">INDEX(Data_Macro!AD:AD,MATCH($G343,Data_Macro!$A:$A,0))</f>
        <v>0</v>
      </c>
      <c r="AE343" s="23" t="n">
        <f aca="false">INDEX(Data_Macro!AE:AE,MATCH($G343,Data_Macro!$A:$A,0))</f>
        <v>0</v>
      </c>
    </row>
    <row r="344" customFormat="false" ht="15" hidden="false" customHeight="false" outlineLevel="0" collapsed="false">
      <c r="B344" s="16" t="s">
        <v>95</v>
      </c>
    </row>
    <row r="345" customFormat="false" ht="15" hidden="false" customHeight="false" outlineLevel="0" collapsed="false">
      <c r="B345" s="8" t="s">
        <v>36</v>
      </c>
      <c r="C345" s="8" t="s">
        <v>37</v>
      </c>
      <c r="D345" s="25" t="s">
        <v>38</v>
      </c>
      <c r="E345" s="8" t="s">
        <v>96</v>
      </c>
      <c r="F345" s="8" t="s">
        <v>97</v>
      </c>
      <c r="G345" s="8" t="s">
        <v>98</v>
      </c>
      <c r="H345" s="8" t="s">
        <v>99</v>
      </c>
      <c r="I345" s="8" t="s">
        <v>100</v>
      </c>
      <c r="J345" s="8" t="s">
        <v>101</v>
      </c>
    </row>
    <row r="346" customFormat="false" ht="15" hidden="false" customHeight="false" outlineLevel="0" collapsed="false">
      <c r="B346" s="17" t="s">
        <v>53</v>
      </c>
      <c r="C346" s="17" t="str">
        <f aca="false">$C$307</f>
        <v>cem</v>
      </c>
      <c r="D346" s="26" t="s">
        <v>102</v>
      </c>
      <c r="E346" s="27" t="n">
        <f aca="false">INDEX(Data_Elast!$D:$G,MATCH("el_inc_"&amp;INDEX(Data_Elast!$J:$J,MATCH($B346,Data_Elast!$I:$I,0)),Data_Elast!$A:$A,0),MATCH(Settings!$B$5,Data_Elast!$D$1:$G$1,0))</f>
        <v>0.5</v>
      </c>
      <c r="F346" s="27" t="n">
        <f aca="false">INDEX(Data_Elast!$D:$G,MATCH("el_dem_"&amp;INDEX(Data_Elast!$J:$J,MATCH($B346,Data_Elast!$I:$I,0)),Data_Elast!$A:$A,0),MATCH(Settings!$B$5,Data_Elast!$D$1:$G$1,0))</f>
        <v>-0.3</v>
      </c>
      <c r="G346" s="27" t="n">
        <f aca="false">INDEX(Data_Elast!$D:$G,MATCH("el_eff_"&amp;INDEX(Data_Elast!$J:$J,MATCH($B346,Data_Elast!$I:$I,0)),Data_Elast!$A:$A,0),MATCH(Settings!$B$5,Data_Elast!$D$1:$G$1,0))</f>
        <v>-0.4</v>
      </c>
      <c r="H346" s="27" t="n">
        <f aca="false">INDEX(Data_Elast!$D:$G,MATCH("eff_imp_"&amp;INDEX(Data_Elast!$K:$K,MATCH($B346,Data_Elast!$I:$I,0)),Data_Elast!$A:$A,0),MATCH(Settings!$B$5,Data_Elast!$D$1:$G$1,0))</f>
        <v>0.005</v>
      </c>
      <c r="I346" s="27" t="n">
        <f aca="false">Settings!$B$7</f>
        <v>0</v>
      </c>
      <c r="J346" s="19" t="str">
        <f aca="false">INDEX(Data_Elast!$J:$J,MATCH($B346,Data_Elast!$I:$I,0))</f>
        <v>coa</v>
      </c>
    </row>
    <row r="347" customFormat="false" ht="15" hidden="false" customHeight="false" outlineLevel="0" collapsed="false">
      <c r="B347" s="17" t="s">
        <v>57</v>
      </c>
      <c r="C347" s="17" t="str">
        <f aca="false">$C$307</f>
        <v>cem</v>
      </c>
      <c r="D347" s="26" t="s">
        <v>103</v>
      </c>
      <c r="E347" s="27" t="n">
        <f aca="false">INDEX(Data_Elast!$D:$G,MATCH("el_inc_"&amp;INDEX(Data_Elast!$J:$J,MATCH($B347,Data_Elast!$I:$I,0)),Data_Elast!$A:$A,0),MATCH(Settings!$B$5,Data_Elast!$D$1:$G$1,0))</f>
        <v>1</v>
      </c>
      <c r="F347" s="27" t="n">
        <f aca="false">INDEX(Data_Elast!$D:$G,MATCH("el_dem_"&amp;INDEX(Data_Elast!$J:$J,MATCH($B347,Data_Elast!$I:$I,0)),Data_Elast!$A:$A,0),MATCH(Settings!$B$5,Data_Elast!$D$1:$G$1,0))</f>
        <v>-0.5</v>
      </c>
      <c r="G347" s="27" t="n">
        <f aca="false">INDEX(Data_Elast!$D:$G,MATCH("el_eff_"&amp;INDEX(Data_Elast!$J:$J,MATCH($B347,Data_Elast!$I:$I,0)),Data_Elast!$A:$A,0),MATCH(Settings!$B$5,Data_Elast!$D$1:$G$1,0))</f>
        <v>-0.5</v>
      </c>
      <c r="H347" s="27" t="n">
        <f aca="false">INDEX(Data_Elast!$D:$G,MATCH("eff_imp_"&amp;INDEX(Data_Elast!$K:$K,MATCH($B347,Data_Elast!$I:$I,0)),Data_Elast!$A:$A,0),MATCH(Settings!$B$5,Data_Elast!$D$1:$G$1,0))</f>
        <v>0.01</v>
      </c>
      <c r="I347" s="27" t="n">
        <f aca="false">Settings!$B$7</f>
        <v>0</v>
      </c>
      <c r="J347" s="19" t="str">
        <f aca="false">INDEX(Data_Elast!$J:$J,MATCH($B347,Data_Elast!$I:$I,0))</f>
        <v>nga</v>
      </c>
    </row>
    <row r="348" customFormat="false" ht="15" hidden="false" customHeight="false" outlineLevel="0" collapsed="false">
      <c r="B348" s="17" t="s">
        <v>59</v>
      </c>
      <c r="C348" s="17" t="str">
        <f aca="false">$C$307</f>
        <v>cem</v>
      </c>
      <c r="D348" s="26" t="s">
        <v>104</v>
      </c>
      <c r="E348" s="27" t="n">
        <f aca="false">INDEX(Data_Elast!$D:$G,MATCH("el_inc_"&amp;INDEX(Data_Elast!$J:$J,MATCH($B348,Data_Elast!$I:$I,0)),Data_Elast!$A:$A,0),MATCH(Settings!$B$5,Data_Elast!$D$1:$G$1,0))</f>
        <v>0.5</v>
      </c>
      <c r="F348" s="27" t="n">
        <f aca="false">INDEX(Data_Elast!$D:$G,MATCH("el_dem_"&amp;INDEX(Data_Elast!$J:$J,MATCH($B348,Data_Elast!$I:$I,0)),Data_Elast!$A:$A,0),MATCH(Settings!$B$5,Data_Elast!$D$1:$G$1,0))</f>
        <v>-0.4</v>
      </c>
      <c r="G348" s="27" t="n">
        <f aca="false">INDEX(Data_Elast!$D:$G,MATCH("el_eff_"&amp;INDEX(Data_Elast!$J:$J,MATCH($B348,Data_Elast!$I:$I,0)),Data_Elast!$A:$A,0),MATCH(Settings!$B$5,Data_Elast!$D$1:$G$1,0))</f>
        <v>-0.7</v>
      </c>
      <c r="H348" s="27" t="n">
        <f aca="false">INDEX(Data_Elast!$D:$G,MATCH("eff_imp_"&amp;INDEX(Data_Elast!$K:$K,MATCH($B348,Data_Elast!$I:$I,0)),Data_Elast!$A:$A,0),MATCH(Settings!$B$5,Data_Elast!$D$1:$G$1,0))</f>
        <v>0.005</v>
      </c>
      <c r="I348" s="27" t="n">
        <f aca="false">Settings!$B$7</f>
        <v>0</v>
      </c>
      <c r="J348" s="19" t="str">
        <f aca="false">INDEX(Data_Elast!$J:$J,MATCH($B348,Data_Elast!$I:$I,0))</f>
        <v>gso</v>
      </c>
    </row>
    <row r="349" customFormat="false" ht="15" hidden="false" customHeight="false" outlineLevel="0" collapsed="false">
      <c r="B349" s="17" t="s">
        <v>62</v>
      </c>
      <c r="C349" s="17" t="str">
        <f aca="false">$C$307</f>
        <v>cem</v>
      </c>
      <c r="D349" s="26" t="s">
        <v>105</v>
      </c>
      <c r="E349" s="27" t="n">
        <f aca="false">INDEX(Data_Elast!$D:$G,MATCH("el_inc_"&amp;INDEX(Data_Elast!$J:$J,MATCH($B349,Data_Elast!$I:$I,0)),Data_Elast!$A:$A,0),MATCH(Settings!$B$5,Data_Elast!$D$1:$G$1,0))</f>
        <v>0.5</v>
      </c>
      <c r="F349" s="27" t="n">
        <f aca="false">INDEX(Data_Elast!$D:$G,MATCH("el_dem_"&amp;INDEX(Data_Elast!$J:$J,MATCH($B349,Data_Elast!$I:$I,0)),Data_Elast!$A:$A,0),MATCH(Settings!$B$5,Data_Elast!$D$1:$G$1,0))</f>
        <v>-0.7</v>
      </c>
      <c r="G349" s="27" t="n">
        <f aca="false">INDEX(Data_Elast!$D:$G,MATCH("el_eff_"&amp;INDEX(Data_Elast!$J:$J,MATCH($B349,Data_Elast!$I:$I,0)),Data_Elast!$A:$A,0),MATCH(Settings!$B$5,Data_Elast!$D$1:$G$1,0))</f>
        <v>-1.2</v>
      </c>
      <c r="H349" s="27" t="n">
        <f aca="false">INDEX(Data_Elast!$D:$G,MATCH("eff_imp_"&amp;INDEX(Data_Elast!$K:$K,MATCH($B349,Data_Elast!$I:$I,0)),Data_Elast!$A:$A,0),MATCH(Settings!$B$5,Data_Elast!$D$1:$G$1,0))</f>
        <v>0.005</v>
      </c>
      <c r="I349" s="27" t="n">
        <f aca="false">Settings!$B$7</f>
        <v>0</v>
      </c>
      <c r="J349" s="19" t="str">
        <f aca="false">INDEX(Data_Elast!$J:$J,MATCH($B349,Data_Elast!$I:$I,0))</f>
        <v>die</v>
      </c>
    </row>
    <row r="350" customFormat="false" ht="15" hidden="false" customHeight="false" outlineLevel="0" collapsed="false">
      <c r="B350" s="17" t="s">
        <v>64</v>
      </c>
      <c r="C350" s="17" t="str">
        <f aca="false">$C$307</f>
        <v>cem</v>
      </c>
      <c r="D350" s="26" t="s">
        <v>106</v>
      </c>
      <c r="E350" s="27" t="n">
        <f aca="false">INDEX(Data_Elast!$D:$G,MATCH("el_inc_"&amp;INDEX(Data_Elast!$J:$J,MATCH($B350,Data_Elast!$I:$I,0)),Data_Elast!$A:$A,0),MATCH(Settings!$B$5,Data_Elast!$D$1:$G$1,0))</f>
        <v>0.8</v>
      </c>
      <c r="F350" s="27" t="n">
        <f aca="false">INDEX(Data_Elast!$D:$G,MATCH("el_dem_"&amp;INDEX(Data_Elast!$J:$J,MATCH($B350,Data_Elast!$I:$I,0)),Data_Elast!$A:$A,0),MATCH(Settings!$B$5,Data_Elast!$D$1:$G$1,0))</f>
        <v>-0.4</v>
      </c>
      <c r="G350" s="27" t="n">
        <f aca="false">INDEX(Data_Elast!$D:$G,MATCH("el_eff_"&amp;INDEX(Data_Elast!$J:$J,MATCH($B350,Data_Elast!$I:$I,0)),Data_Elast!$A:$A,0),MATCH(Settings!$B$5,Data_Elast!$D$1:$G$1,0))</f>
        <v>-0.4</v>
      </c>
      <c r="H350" s="27" t="n">
        <f aca="false">INDEX(Data_Elast!$D:$G,MATCH("eff_imp_"&amp;INDEX(Data_Elast!$K:$K,MATCH($B350,Data_Elast!$I:$I,0)),Data_Elast!$A:$A,0),MATCH(Settings!$B$5,Data_Elast!$D$1:$G$1,0))</f>
        <v>0.005</v>
      </c>
      <c r="I350" s="27" t="n">
        <f aca="false">Settings!$B$7</f>
        <v>0</v>
      </c>
      <c r="J350" s="19" t="str">
        <f aca="false">INDEX(Data_Elast!$J:$J,MATCH($B350,Data_Elast!$I:$I,0))</f>
        <v>oil</v>
      </c>
    </row>
    <row r="351" customFormat="false" ht="15" hidden="false" customHeight="false" outlineLevel="0" collapsed="false">
      <c r="B351" s="17" t="s">
        <v>66</v>
      </c>
      <c r="C351" s="17" t="str">
        <f aca="false">$C$307</f>
        <v>cem</v>
      </c>
      <c r="D351" s="26" t="s">
        <v>107</v>
      </c>
      <c r="E351" s="27" t="n">
        <f aca="false">INDEX(Data_Elast!$D:$G,MATCH("el_inc_"&amp;INDEX(Data_Elast!$J:$J,MATCH($B351,Data_Elast!$I:$I,0)),Data_Elast!$A:$A,0),MATCH(Settings!$B$5,Data_Elast!$D$1:$G$1,0))</f>
        <v>0.8</v>
      </c>
      <c r="F351" s="27" t="n">
        <f aca="false">INDEX(Data_Elast!$D:$G,MATCH("el_dem_"&amp;INDEX(Data_Elast!$J:$J,MATCH($B351,Data_Elast!$I:$I,0)),Data_Elast!$A:$A,0),MATCH(Settings!$B$5,Data_Elast!$D$1:$G$1,0))</f>
        <v>-0.4</v>
      </c>
      <c r="G351" s="27" t="n">
        <f aca="false">INDEX(Data_Elast!$D:$G,MATCH("el_eff_"&amp;INDEX(Data_Elast!$J:$J,MATCH($B351,Data_Elast!$I:$I,0)),Data_Elast!$A:$A,0),MATCH(Settings!$B$5,Data_Elast!$D$1:$G$1,0))</f>
        <v>-0.4</v>
      </c>
      <c r="H351" s="27" t="n">
        <f aca="false">INDEX(Data_Elast!$D:$G,MATCH("eff_imp_"&amp;INDEX(Data_Elast!$K:$K,MATCH($B351,Data_Elast!$I:$I,0)),Data_Elast!$A:$A,0),MATCH(Settings!$B$5,Data_Elast!$D$1:$G$1,0))</f>
        <v>0.005</v>
      </c>
      <c r="I351" s="27" t="n">
        <f aca="false">Settings!$B$7</f>
        <v>0</v>
      </c>
      <c r="J351" s="19" t="str">
        <f aca="false">INDEX(Data_Elast!$J:$J,MATCH($B351,Data_Elast!$I:$I,0))</f>
        <v>oil</v>
      </c>
    </row>
    <row r="352" customFormat="false" ht="15" hidden="false" customHeight="false" outlineLevel="0" collapsed="false">
      <c r="B352" s="17" t="s">
        <v>68</v>
      </c>
      <c r="C352" s="17" t="str">
        <f aca="false">$C$307</f>
        <v>cem</v>
      </c>
      <c r="D352" s="26" t="s">
        <v>108</v>
      </c>
      <c r="E352" s="27" t="n">
        <f aca="false">INDEX(Data_Elast!$D:$G,MATCH("el_inc_"&amp;INDEX(Data_Elast!$J:$J,MATCH($B352,Data_Elast!$I:$I,0)),Data_Elast!$A:$A,0),MATCH(Settings!$B$5,Data_Elast!$D$1:$G$1,0))</f>
        <v>0.8</v>
      </c>
      <c r="F352" s="27" t="n">
        <f aca="false">INDEX(Data_Elast!$D:$G,MATCH("el_dem_"&amp;INDEX(Data_Elast!$J:$J,MATCH($B352,Data_Elast!$I:$I,0)),Data_Elast!$A:$A,0),MATCH(Settings!$B$5,Data_Elast!$D$1:$G$1,0))</f>
        <v>-0.4</v>
      </c>
      <c r="G352" s="27" t="n">
        <f aca="false">INDEX(Data_Elast!$D:$G,MATCH("el_eff_"&amp;INDEX(Data_Elast!$J:$J,MATCH($B352,Data_Elast!$I:$I,0)),Data_Elast!$A:$A,0),MATCH(Settings!$B$5,Data_Elast!$D$1:$G$1,0))</f>
        <v>-0.4</v>
      </c>
      <c r="H352" s="27" t="n">
        <f aca="false">INDEX(Data_Elast!$D:$G,MATCH("eff_imp_"&amp;INDEX(Data_Elast!$K:$K,MATCH($B352,Data_Elast!$I:$I,0)),Data_Elast!$A:$A,0),MATCH(Settings!$B$5,Data_Elast!$D$1:$G$1,0))</f>
        <v>0.005</v>
      </c>
      <c r="I352" s="27" t="n">
        <f aca="false">Settings!$B$7</f>
        <v>0</v>
      </c>
      <c r="J352" s="19" t="str">
        <f aca="false">INDEX(Data_Elast!$J:$J,MATCH($B352,Data_Elast!$I:$I,0))</f>
        <v>oil</v>
      </c>
    </row>
    <row r="353" customFormat="false" ht="15" hidden="false" customHeight="false" outlineLevel="0" collapsed="false">
      <c r="B353" s="17" t="s">
        <v>71</v>
      </c>
      <c r="C353" s="17" t="str">
        <f aca="false">$C$307</f>
        <v>cem</v>
      </c>
      <c r="D353" s="26" t="s">
        <v>109</v>
      </c>
      <c r="E353" s="27" t="n">
        <f aca="false">INDEX(Data_Elast!$D:$G,MATCH("el_inc_"&amp;INDEX(Data_Elast!$J:$J,MATCH($B353,Data_Elast!$I:$I,0)),Data_Elast!$A:$A,0),MATCH(Settings!$B$5,Data_Elast!$D$1:$G$1,0))</f>
        <v>0.1</v>
      </c>
      <c r="F353" s="27" t="n">
        <f aca="false">INDEX(Data_Elast!$D:$G,MATCH("el_dem_"&amp;INDEX(Data_Elast!$J:$J,MATCH($B353,Data_Elast!$I:$I,0)),Data_Elast!$A:$A,0),MATCH(Settings!$B$5,Data_Elast!$D$1:$G$1,0))</f>
        <v>-0.3</v>
      </c>
      <c r="G353" s="27" t="n">
        <f aca="false">INDEX(Data_Elast!$D:$G,MATCH("el_eff_"&amp;INDEX(Data_Elast!$J:$J,MATCH($B353,Data_Elast!$I:$I,0)),Data_Elast!$A:$A,0),MATCH(Settings!$B$5,Data_Elast!$D$1:$G$1,0))</f>
        <v>-0.2</v>
      </c>
      <c r="H353" s="27" t="n">
        <f aca="false">INDEX(Data_Elast!$D:$G,MATCH("eff_imp_"&amp;INDEX(Data_Elast!$K:$K,MATCH($B353,Data_Elast!$I:$I,0)),Data_Elast!$A:$A,0),MATCH(Settings!$B$5,Data_Elast!$D$1:$G$1,0))</f>
        <v>0.005</v>
      </c>
      <c r="I353" s="27" t="n">
        <f aca="false">Settings!$B$7</f>
        <v>0</v>
      </c>
      <c r="J353" s="19" t="str">
        <f aca="false">INDEX(Data_Elast!$J:$J,MATCH($B353,Data_Elast!$I:$I,0))</f>
        <v>bio</v>
      </c>
    </row>
    <row r="354" customFormat="false" ht="15" hidden="false" customHeight="false" outlineLevel="0" collapsed="false">
      <c r="B354" s="17" t="s">
        <v>73</v>
      </c>
      <c r="C354" s="17" t="str">
        <f aca="false">$C$307</f>
        <v>cem</v>
      </c>
      <c r="D354" s="26" t="s">
        <v>110</v>
      </c>
      <c r="E354" s="27" t="n">
        <f aca="false">INDEX(Data_Elast!$D:$G,MATCH("el_inc_"&amp;INDEX(Data_Elast!$J:$J,MATCH($B354,Data_Elast!$I:$I,0)),Data_Elast!$A:$A,0),MATCH(Settings!$B$5,Data_Elast!$D$1:$G$1,0))</f>
        <v>0.8</v>
      </c>
      <c r="F354" s="27" t="n">
        <f aca="false">INDEX(Data_Elast!$D:$G,MATCH("el_dem_"&amp;INDEX(Data_Elast!$J:$J,MATCH($B354,Data_Elast!$I:$I,0)),Data_Elast!$A:$A,0),MATCH(Settings!$B$5,Data_Elast!$D$1:$G$1,0))</f>
        <v>-0.5</v>
      </c>
      <c r="G354" s="27" t="n">
        <f aca="false">INDEX(Data_Elast!$D:$G,MATCH("el_eff_"&amp;INDEX(Data_Elast!$J:$J,MATCH($B354,Data_Elast!$I:$I,0)),Data_Elast!$A:$A,0),MATCH(Settings!$B$5,Data_Elast!$D$1:$G$1,0))</f>
        <v>-0.4</v>
      </c>
      <c r="H354" s="27" t="n">
        <f aca="false">INDEX(Data_Elast!$D:$G,MATCH("eff_imp_"&amp;INDEX(Data_Elast!$K:$K,MATCH($B354,Data_Elast!$I:$I,0)),Data_Elast!$A:$A,0),MATCH(Settings!$B$5,Data_Elast!$D$1:$G$1,0))</f>
        <v>0.005</v>
      </c>
      <c r="I354" s="27" t="n">
        <f aca="false">Settings!$B$7</f>
        <v>0</v>
      </c>
      <c r="J354" s="19" t="str">
        <f aca="false">INDEX(Data_Elast!$J:$J,MATCH($B354,Data_Elast!$I:$I,0))</f>
        <v>ren</v>
      </c>
    </row>
    <row r="355" customFormat="false" ht="15" hidden="false" customHeight="false" outlineLevel="0" collapsed="false">
      <c r="B355" s="16" t="s">
        <v>111</v>
      </c>
    </row>
    <row r="356" customFormat="false" ht="15" hidden="false" customHeight="false" outlineLevel="0" collapsed="false">
      <c r="B356" s="17" t="s">
        <v>53</v>
      </c>
      <c r="C356" s="17" t="str">
        <f aca="false">$C$307</f>
        <v>cem</v>
      </c>
      <c r="D356" s="18" t="s">
        <v>54</v>
      </c>
      <c r="E356" s="19" t="s">
        <v>112</v>
      </c>
      <c r="F356" s="17" t="s">
        <v>113</v>
      </c>
      <c r="G356" s="20" t="str">
        <f aca="false">Settings!$B$3&amp;".mit.enc."&amp;$B356</f>
        <v>egy.mit.enc.coa</v>
      </c>
      <c r="H356" s="21" t="str">
        <f aca="false">Settings!$B$3&amp;".mit.ener."&amp;$C$307&amp;"."&amp;$B356&amp;".e."&amp;$J$307</f>
        <v>egy.mit.ener.cem.coa.e.2</v>
      </c>
      <c r="L356" s="28" t="n">
        <f aca="false">INDEX(Data_Energy!$D$3:$U$22,MATCH($B356,Data_Energy!$C$3:$C$22,0),MATCH($C356,Data_Energy!$D$2:$U$2,0))</f>
        <v>1463.05522446279</v>
      </c>
      <c r="M356" s="29" t="n">
        <f aca="false">L356*(1+M$341)^($E346*M$342)*(1+M$343)*IF(L319&lt;=0,1,M319/L319)^$F346*(IF(L329&lt;=0,1,M329/L329)^$G346/(1+$H346+$I346))^(1+$F346)</f>
        <v>1191.36443625172</v>
      </c>
      <c r="N356" s="29" t="n">
        <f aca="false">M356*(1+N$341)^($E346*N$342)*(1+N$343)*IF(M319&lt;=0,1,N319/M319)^$F346*(IF(M329&lt;=0,1,N329/M329)^$G346/(1+$H346+$I346))^(1+$F346)</f>
        <v>1369.17792822134</v>
      </c>
      <c r="O356" s="29" t="n">
        <f aca="false">N356*(1+O$341)^($E346*O$342)*(1+O$343)*IF(N319&lt;=0,1,O319/N319)^$F346*(IF(N329&lt;=0,1,O329/N329)^$G346/(1+$H346+$I346))^(1+$F346)</f>
        <v>1496.01034508212</v>
      </c>
      <c r="P356" s="29" t="n">
        <f aca="false">O356*(1+P$341)^($E346*P$342)*(1+P$343)*IF(O319&lt;=0,1,P319/O319)^$F346*(IF(O329&lt;=0,1,P329/O329)^$G346/(1+$H346+$I346))^(1+$F346)</f>
        <v>1463.00940842421</v>
      </c>
      <c r="Q356" s="29" t="n">
        <f aca="false">P356*(1+Q$341)^($E346*Q$342)*(1+Q$343)*IF(P319&lt;=0,1,Q319/P319)^$F346*(IF(P329&lt;=0,1,Q329/P329)^$G346/(1+$H346+$I346))^(1+$F346)</f>
        <v>1374.77234285246</v>
      </c>
      <c r="R356" s="29" t="n">
        <f aca="false">Q356*(1+R$341)^($E346*R$342)*(1+R$343)*IF(Q319&lt;=0,1,R319/Q319)^$F346*(IF(Q329&lt;=0,1,R329/Q329)^$G346/(1+$H346+$I346))^(1+$F346)</f>
        <v>1322.36760372015</v>
      </c>
      <c r="S356" s="29" t="n">
        <f aca="false">R356*(1+S$341)^($E346*S$342)*(1+S$343)*IF(R319&lt;=0,1,S319/R319)^$F346*(IF(R329&lt;=0,1,S329/R329)^$G346/(1+$H346+$I346))^(1+$F346)</f>
        <v>1277.47717298028</v>
      </c>
      <c r="T356" s="29" t="n">
        <f aca="false">S356*(1+T$341)^($E346*T$342)*(1+T$343)*IF(S319&lt;=0,1,T319/S319)^$F346*(IF(S329&lt;=0,1,T329/S329)^$G346/(1+$H346+$I346))^(1+$F346)</f>
        <v>1237.83393248921</v>
      </c>
      <c r="U356" s="29" t="n">
        <f aca="false">T356*(1+U$341)^($E346*U$342)*(1+U$343)*IF(T319&lt;=0,1,U319/T319)^$F346*(IF(T329&lt;=0,1,U329/T329)^$G346/(1+$H346+$I346))^(1+$F346)</f>
        <v>1203.55209894037</v>
      </c>
      <c r="V356" s="29" t="n">
        <f aca="false">U356*(1+V$341)^($E346*V$342)*(1+V$343)*IF(U319&lt;=0,1,V319/U319)^$F346*(IF(U329&lt;=0,1,V329/U329)^$G346/(1+$H346+$I346))^(1+$F346)</f>
        <v>1171.02270062767</v>
      </c>
      <c r="W356" s="29" t="n">
        <f aca="false">V356*(1+W$341)^($E346*W$342)*(1+W$343)*IF(V319&lt;=0,1,W319/V319)^$F346*(IF(V329&lt;=0,1,W329/V329)^$G346/(1+$H346+$I346))^(1+$F346)</f>
        <v>1143.11583963154</v>
      </c>
      <c r="X356" s="29" t="n">
        <f aca="false">W356*(1+X$341)^($E346*X$342)*(1+X$343)*IF(W319&lt;=0,1,X319/W319)^$F346*(IF(W329&lt;=0,1,X329/W329)^$G346/(1+$H346+$I346))^(1+$F346)</f>
        <v>1119.17823254117</v>
      </c>
      <c r="Y356" s="29" t="n">
        <f aca="false">X356*(1+Y$341)^($E346*Y$342)*(1+Y$343)*IF(X319&lt;=0,1,Y319/X319)^$F346*(IF(X329&lt;=0,1,Y329/X329)^$G346/(1+$H346+$I346))^(1+$F346)</f>
        <v>1098.75874425426</v>
      </c>
      <c r="Z356" s="29" t="n">
        <f aca="false">Y356*(1+Z$341)^($E346*Z$342)*(1+Z$343)*IF(Y319&lt;=0,1,Z319/Y319)^$F346*(IF(Y329&lt;=0,1,Z329/Y329)^$G346/(1+$H346+$I346))^(1+$F346)</f>
        <v>1081.60971426986</v>
      </c>
      <c r="AA356" s="29" t="n">
        <f aca="false">Z356*(1+AA$341)^($E346*AA$342)*(1+AA$343)*IF(Z319&lt;=0,1,AA319/Z319)^$F346*(IF(Z329&lt;=0,1,AA329/Z329)^$G346/(1+$H346+$I346))^(1+$F346)</f>
        <v>1067.4268939288</v>
      </c>
      <c r="AB356" s="29" t="n">
        <f aca="false">AA356*(1+AB$341)^($E346*AB$342)*(1+AB$343)*IF(AA319&lt;=0,1,AB319/AA319)^$F346*(IF(AA329&lt;=0,1,AB329/AA329)^$G346/(1+$H346+$I346))^(1+$F346)</f>
        <v>1055.92370262924</v>
      </c>
      <c r="AC356" s="29" t="n">
        <f aca="false">AB356*(1+AC$341)^($E346*AC$342)*(1+AC$343)*IF(AB319&lt;=0,1,AC319/AB319)^$F346*(IF(AB329&lt;=0,1,AC329/AB329)^$G346/(1+$H346+$I346))^(1+$F346)</f>
        <v>1046.75106789165</v>
      </c>
      <c r="AD356" s="29" t="n">
        <f aca="false">AC356*(1+AD$341)^($E346*AD$342)*(1+AD$343)*IF(AC319&lt;=0,1,AD319/AC319)^$F346*(IF(AC329&lt;=0,1,AD329/AC329)^$G346/(1+$H346+$I346))^(1+$F346)</f>
        <v>1039.61508716763</v>
      </c>
      <c r="AE356" s="29" t="n">
        <f aca="false">AD356*(1+AE$341)^($E346*AE$342)*(1+AE$343)*IF(AD319&lt;=0,1,AE319/AD319)^$F346*(IF(AD329&lt;=0,1,AE329/AD329)^$G346/(1+$H346+$I346))^(1+$F346)</f>
        <v>1034.28206273411</v>
      </c>
    </row>
    <row r="357" customFormat="false" ht="15" hidden="false" customHeight="false" outlineLevel="0" collapsed="false">
      <c r="B357" s="17" t="s">
        <v>57</v>
      </c>
      <c r="C357" s="17" t="str">
        <f aca="false">$C$307</f>
        <v>cem</v>
      </c>
      <c r="D357" s="18" t="s">
        <v>58</v>
      </c>
      <c r="E357" s="19" t="s">
        <v>112</v>
      </c>
      <c r="F357" s="17" t="s">
        <v>113</v>
      </c>
      <c r="G357" s="20" t="str">
        <f aca="false">Settings!$B$3&amp;".mit.enc."&amp;$B357</f>
        <v>egy.mit.enc.nga</v>
      </c>
      <c r="H357" s="21" t="str">
        <f aca="false">Settings!$B$3&amp;".mit.ener."&amp;$C$307&amp;"."&amp;$B357&amp;".e."&amp;$J$307</f>
        <v>egy.mit.ener.cem.nga.e.2</v>
      </c>
      <c r="L357" s="28" t="n">
        <f aca="false">INDEX(Data_Energy!$D$3:$U$22,MATCH($B357,Data_Energy!$C$3:$C$22,0),MATCH($C357,Data_Energy!$D$2:$U$2,0))</f>
        <v>1747.39153476208</v>
      </c>
      <c r="M357" s="29" t="n">
        <f aca="false">L357*(1+M$341)^($E347*M$342)*(1+M$343)*IF(L320&lt;=0,1,M320/L320)^$F347*(IF(L330&lt;=0,1,M330/L330)^$G347/(1+$H347+$I347))^(1+$F347)</f>
        <v>1498.9759731404</v>
      </c>
      <c r="N357" s="29" t="n">
        <f aca="false">M357*(1+N$341)^($E347*N$342)*(1+N$343)*IF(M320&lt;=0,1,N320/M320)^$F347*(IF(M330&lt;=0,1,N330/M330)^$G347/(1+$H347+$I347))^(1+$F347)</f>
        <v>1678.35816057939</v>
      </c>
      <c r="O357" s="29" t="n">
        <f aca="false">N357*(1+O$341)^($E347*O$342)*(1+O$343)*IF(N320&lt;=0,1,O320/N320)^$F347*(IF(N330&lt;=0,1,O330/N330)^$G347/(1+$H347+$I347))^(1+$F347)</f>
        <v>1744.68247730686</v>
      </c>
      <c r="P357" s="29" t="n">
        <f aca="false">O357*(1+P$341)^($E347*P$342)*(1+P$343)*IF(O320&lt;=0,1,P320/O320)^$F347*(IF(O330&lt;=0,1,P330/O330)^$G347/(1+$H347+$I347))^(1+$F347)</f>
        <v>1810.20255932974</v>
      </c>
      <c r="Q357" s="29" t="n">
        <f aca="false">P357*(1+Q$341)^($E347*Q$342)*(1+Q$343)*IF(P320&lt;=0,1,Q320/P320)^$F347*(IF(P330&lt;=0,1,Q330/P330)^$G347/(1+$H347+$I347))^(1+$F347)</f>
        <v>1714.65350985502</v>
      </c>
      <c r="R357" s="29" t="n">
        <f aca="false">Q357*(1+R$341)^($E347*R$342)*(1+R$343)*IF(Q320&lt;=0,1,R320/Q320)^$F347*(IF(Q330&lt;=0,1,R330/Q330)^$G347/(1+$H347+$I347))^(1+$F347)</f>
        <v>1652.75660244085</v>
      </c>
      <c r="S357" s="29" t="n">
        <f aca="false">R357*(1+S$341)^($E347*S$342)*(1+S$343)*IF(R320&lt;=0,1,S320/R320)^$F347*(IF(R330&lt;=0,1,S330/R330)^$G347/(1+$H347+$I347))^(1+$F347)</f>
        <v>1600.95662788443</v>
      </c>
      <c r="T357" s="29" t="n">
        <f aca="false">S357*(1+T$341)^($E347*T$342)*(1+T$343)*IF(S320&lt;=0,1,T320/S320)^$F347*(IF(S330&lt;=0,1,T330/S330)^$G347/(1+$H347+$I347))^(1+$F347)</f>
        <v>1555.26825537714</v>
      </c>
      <c r="U357" s="29" t="n">
        <f aca="false">T357*(1+U$341)^($E347*U$342)*(1+U$343)*IF(T320&lt;=0,1,U320/T320)^$F347*(IF(T330&lt;=0,1,U330/T330)^$G347/(1+$H347+$I347))^(1+$F347)</f>
        <v>1518.13468028774</v>
      </c>
      <c r="V357" s="29" t="n">
        <f aca="false">U357*(1+V$341)^($E347*V$342)*(1+V$343)*IF(U320&lt;=0,1,V320/U320)^$F347*(IF(U330&lt;=0,1,V330/U330)^$G347/(1+$H347+$I347))^(1+$F347)</f>
        <v>1488.41386506255</v>
      </c>
      <c r="W357" s="29" t="n">
        <f aca="false">V357*(1+W$341)^($E347*W$342)*(1+W$343)*IF(V320&lt;=0,1,W320/V320)^$F347*(IF(V330&lt;=0,1,W330/V330)^$G347/(1+$H347+$I347))^(1+$F347)</f>
        <v>1465.26851941002</v>
      </c>
      <c r="X357" s="29" t="n">
        <f aca="false">W357*(1+X$341)^($E347*X$342)*(1+X$343)*IF(W320&lt;=0,1,X320/W320)^$F347*(IF(W330&lt;=0,1,X330/W330)^$G347/(1+$H347+$I347))^(1+$F347)</f>
        <v>1447.96573066975</v>
      </c>
      <c r="Y357" s="29" t="n">
        <f aca="false">X357*(1+Y$341)^($E347*Y$342)*(1+Y$343)*IF(X320&lt;=0,1,Y320/X320)^$F347*(IF(X330&lt;=0,1,Y330/X330)^$G347/(1+$H347+$I347))^(1+$F347)</f>
        <v>1436.1054289753</v>
      </c>
      <c r="Z357" s="29" t="n">
        <f aca="false">Y357*(1+Z$341)^($E347*Z$342)*(1+Z$343)*IF(Y320&lt;=0,1,Z320/Y320)^$F347*(IF(Y330&lt;=0,1,Z330/Y330)^$G347/(1+$H347+$I347))^(1+$F347)</f>
        <v>1429.68738532712</v>
      </c>
      <c r="AA357" s="29" t="n">
        <f aca="false">Z357*(1+AA$341)^($E347*AA$342)*(1+AA$343)*IF(Z320&lt;=0,1,AA320/Z320)^$F347*(IF(Z330&lt;=0,1,AA330/Z330)^$G347/(1+$H347+$I347))^(1+$F347)</f>
        <v>1428.47197780221</v>
      </c>
      <c r="AB357" s="29" t="n">
        <f aca="false">AA357*(1+AB$341)^($E347*AB$342)*(1+AB$343)*IF(AA320&lt;=0,1,AB320/AA320)^$F347*(IF(AA330&lt;=0,1,AB330/AA330)^$G347/(1+$H347+$I347))^(1+$F347)</f>
        <v>1432.19085673629</v>
      </c>
      <c r="AC357" s="29" t="n">
        <f aca="false">AB357*(1+AC$341)^($E347*AC$342)*(1+AC$343)*IF(AB320&lt;=0,1,AC320/AB320)^$F347*(IF(AB330&lt;=0,1,AC330/AB330)^$G347/(1+$H347+$I347))^(1+$F347)</f>
        <v>1440.34013262946</v>
      </c>
      <c r="AD357" s="29" t="n">
        <f aca="false">AC357*(1+AD$341)^($E347*AD$342)*(1+AD$343)*IF(AC320&lt;=0,1,AD320/AC320)^$F347*(IF(AC330&lt;=0,1,AD330/AC330)^$G347/(1+$H347+$I347))^(1+$F347)</f>
        <v>1452.50161045322</v>
      </c>
      <c r="AE357" s="29" t="n">
        <f aca="false">AD357*(1+AE$341)^($E347*AE$342)*(1+AE$343)*IF(AD320&lt;=0,1,AE320/AD320)^$F347*(IF(AD330&lt;=0,1,AE330/AD330)^$G347/(1+$H347+$I347))^(1+$F347)</f>
        <v>1468.36988819222</v>
      </c>
    </row>
    <row r="358" customFormat="false" ht="15" hidden="false" customHeight="false" outlineLevel="0" collapsed="false">
      <c r="B358" s="17" t="s">
        <v>59</v>
      </c>
      <c r="C358" s="17" t="str">
        <f aca="false">$C$307</f>
        <v>cem</v>
      </c>
      <c r="D358" s="18" t="s">
        <v>60</v>
      </c>
      <c r="E358" s="19" t="s">
        <v>112</v>
      </c>
      <c r="F358" s="17" t="s">
        <v>113</v>
      </c>
      <c r="G358" s="20" t="str">
        <f aca="false">Settings!$B$3&amp;".mit.enc."&amp;$B358</f>
        <v>egy.mit.enc.gso</v>
      </c>
      <c r="H358" s="21" t="str">
        <f aca="false">Settings!$B$3&amp;".mit.ener."&amp;$C$307&amp;"."&amp;$B358&amp;".e."&amp;$J$307</f>
        <v>egy.mit.ener.cem.gso.e.2</v>
      </c>
      <c r="L358" s="28" t="n">
        <f aca="false">INDEX(Data_Energy!$D$3:$U$22,MATCH($B358,Data_Energy!$C$3:$C$22,0),MATCH($C358,Data_Energy!$D$2:$U$2,0))</f>
        <v>0</v>
      </c>
      <c r="M358" s="29" t="n">
        <f aca="false">L358*(1+M$341)^($E348*M$342)*(1+M$343)*IF(L321&lt;=0,1,M321/L321)^$F348*(IF(L331&lt;=0,1,M331/L331)^$G348/(1+$H348+$I348))^(1+$F348)</f>
        <v>0</v>
      </c>
      <c r="N358" s="29" t="n">
        <f aca="false">M358*(1+N$341)^($E348*N$342)*(1+N$343)*IF(M321&lt;=0,1,N321/M321)^$F348*(IF(M331&lt;=0,1,N331/M331)^$G348/(1+$H348+$I348))^(1+$F348)</f>
        <v>0</v>
      </c>
      <c r="O358" s="29" t="n">
        <f aca="false">N358*(1+O$341)^($E348*O$342)*(1+O$343)*IF(N321&lt;=0,1,O321/N321)^$F348*(IF(N331&lt;=0,1,O331/N331)^$G348/(1+$H348+$I348))^(1+$F348)</f>
        <v>0</v>
      </c>
      <c r="P358" s="29" t="n">
        <f aca="false">O358*(1+P$341)^($E348*P$342)*(1+P$343)*IF(O321&lt;=0,1,P321/O321)^$F348*(IF(O331&lt;=0,1,P331/O331)^$G348/(1+$H348+$I348))^(1+$F348)</f>
        <v>0</v>
      </c>
      <c r="Q358" s="29" t="n">
        <f aca="false">P358*(1+Q$341)^($E348*Q$342)*(1+Q$343)*IF(P321&lt;=0,1,Q321/P321)^$F348*(IF(P331&lt;=0,1,Q331/P331)^$G348/(1+$H348+$I348))^(1+$F348)</f>
        <v>0</v>
      </c>
      <c r="R358" s="29" t="n">
        <f aca="false">Q358*(1+R$341)^($E348*R$342)*(1+R$343)*IF(Q321&lt;=0,1,R321/Q321)^$F348*(IF(Q331&lt;=0,1,R331/Q331)^$G348/(1+$H348+$I348))^(1+$F348)</f>
        <v>0</v>
      </c>
      <c r="S358" s="29" t="n">
        <f aca="false">R358*(1+S$341)^($E348*S$342)*(1+S$343)*IF(R321&lt;=0,1,S321/R321)^$F348*(IF(R331&lt;=0,1,S331/R331)^$G348/(1+$H348+$I348))^(1+$F348)</f>
        <v>0</v>
      </c>
      <c r="T358" s="29" t="n">
        <f aca="false">S358*(1+T$341)^($E348*T$342)*(1+T$343)*IF(S321&lt;=0,1,T321/S321)^$F348*(IF(S331&lt;=0,1,T331/S331)^$G348/(1+$H348+$I348))^(1+$F348)</f>
        <v>0</v>
      </c>
      <c r="U358" s="29" t="n">
        <f aca="false">T358*(1+U$341)^($E348*U$342)*(1+U$343)*IF(T321&lt;=0,1,U321/T321)^$F348*(IF(T331&lt;=0,1,U331/T331)^$G348/(1+$H348+$I348))^(1+$F348)</f>
        <v>0</v>
      </c>
      <c r="V358" s="29" t="n">
        <f aca="false">U358*(1+V$341)^($E348*V$342)*(1+V$343)*IF(U321&lt;=0,1,V321/U321)^$F348*(IF(U331&lt;=0,1,V331/U331)^$G348/(1+$H348+$I348))^(1+$F348)</f>
        <v>0</v>
      </c>
      <c r="W358" s="29" t="n">
        <f aca="false">V358*(1+W$341)^($E348*W$342)*(1+W$343)*IF(V321&lt;=0,1,W321/V321)^$F348*(IF(V331&lt;=0,1,W331/V331)^$G348/(1+$H348+$I348))^(1+$F348)</f>
        <v>0</v>
      </c>
      <c r="X358" s="29" t="n">
        <f aca="false">W358*(1+X$341)^($E348*X$342)*(1+X$343)*IF(W321&lt;=0,1,X321/W321)^$F348*(IF(W331&lt;=0,1,X331/W331)^$G348/(1+$H348+$I348))^(1+$F348)</f>
        <v>0</v>
      </c>
      <c r="Y358" s="29" t="n">
        <f aca="false">X358*(1+Y$341)^($E348*Y$342)*(1+Y$343)*IF(X321&lt;=0,1,Y321/X321)^$F348*(IF(X331&lt;=0,1,Y331/X331)^$G348/(1+$H348+$I348))^(1+$F348)</f>
        <v>0</v>
      </c>
      <c r="Z358" s="29" t="n">
        <f aca="false">Y358*(1+Z$341)^($E348*Z$342)*(1+Z$343)*IF(Y321&lt;=0,1,Z321/Y321)^$F348*(IF(Y331&lt;=0,1,Z331/Y331)^$G348/(1+$H348+$I348))^(1+$F348)</f>
        <v>0</v>
      </c>
      <c r="AA358" s="29" t="n">
        <f aca="false">Z358*(1+AA$341)^($E348*AA$342)*(1+AA$343)*IF(Z321&lt;=0,1,AA321/Z321)^$F348*(IF(Z331&lt;=0,1,AA331/Z331)^$G348/(1+$H348+$I348))^(1+$F348)</f>
        <v>0</v>
      </c>
      <c r="AB358" s="29" t="n">
        <f aca="false">AA358*(1+AB$341)^($E348*AB$342)*(1+AB$343)*IF(AA321&lt;=0,1,AB321/AA321)^$F348*(IF(AA331&lt;=0,1,AB331/AA331)^$G348/(1+$H348+$I348))^(1+$F348)</f>
        <v>0</v>
      </c>
      <c r="AC358" s="29" t="n">
        <f aca="false">AB358*(1+AC$341)^($E348*AC$342)*(1+AC$343)*IF(AB321&lt;=0,1,AC321/AB321)^$F348*(IF(AB331&lt;=0,1,AC331/AB331)^$G348/(1+$H348+$I348))^(1+$F348)</f>
        <v>0</v>
      </c>
      <c r="AD358" s="29" t="n">
        <f aca="false">AC358*(1+AD$341)^($E348*AD$342)*(1+AD$343)*IF(AC321&lt;=0,1,AD321/AC321)^$F348*(IF(AC331&lt;=0,1,AD331/AC331)^$G348/(1+$H348+$I348))^(1+$F348)</f>
        <v>0</v>
      </c>
      <c r="AE358" s="29" t="n">
        <f aca="false">AD358*(1+AE$341)^($E348*AE$342)*(1+AE$343)*IF(AD321&lt;=0,1,AE321/AD321)^$F348*(IF(AD331&lt;=0,1,AE331/AD331)^$G348/(1+$H348+$I348))^(1+$F348)</f>
        <v>0</v>
      </c>
    </row>
    <row r="359" customFormat="false" ht="15" hidden="false" customHeight="false" outlineLevel="0" collapsed="false">
      <c r="B359" s="17" t="s">
        <v>62</v>
      </c>
      <c r="C359" s="17" t="str">
        <f aca="false">$C$307</f>
        <v>cem</v>
      </c>
      <c r="D359" s="18" t="s">
        <v>63</v>
      </c>
      <c r="E359" s="19" t="s">
        <v>112</v>
      </c>
      <c r="F359" s="17" t="s">
        <v>113</v>
      </c>
      <c r="G359" s="20" t="str">
        <f aca="false">Settings!$B$3&amp;".mit.enc."&amp;$B359</f>
        <v>egy.mit.enc.die</v>
      </c>
      <c r="H359" s="21" t="str">
        <f aca="false">Settings!$B$3&amp;".mit.ener."&amp;$C$307&amp;"."&amp;$B359&amp;".e."&amp;$J$307</f>
        <v>egy.mit.ener.cem.die.e.2</v>
      </c>
      <c r="L359" s="28" t="n">
        <f aca="false">INDEX(Data_Energy!$D$3:$U$22,MATCH($B359,Data_Energy!$C$3:$C$22,0),MATCH($C359,Data_Energy!$D$2:$U$2,0))</f>
        <v>0</v>
      </c>
      <c r="M359" s="29" t="n">
        <f aca="false">L359*(1+M$341)^($E349*M$342)*(1+M$343)*IF(L322&lt;=0,1,M322/L322)^$F349*(IF(L332&lt;=0,1,M332/L332)^$G349/(1+$H349+$I349))^(1+$F349)</f>
        <v>0</v>
      </c>
      <c r="N359" s="29" t="n">
        <f aca="false">M359*(1+N$341)^($E349*N$342)*(1+N$343)*IF(M322&lt;=0,1,N322/M322)^$F349*(IF(M332&lt;=0,1,N332/M332)^$G349/(1+$H349+$I349))^(1+$F349)</f>
        <v>0</v>
      </c>
      <c r="O359" s="29" t="n">
        <f aca="false">N359*(1+O$341)^($E349*O$342)*(1+O$343)*IF(N322&lt;=0,1,O322/N322)^$F349*(IF(N332&lt;=0,1,O332/N332)^$G349/(1+$H349+$I349))^(1+$F349)</f>
        <v>0</v>
      </c>
      <c r="P359" s="29" t="n">
        <f aca="false">O359*(1+P$341)^($E349*P$342)*(1+P$343)*IF(O322&lt;=0,1,P322/O322)^$F349*(IF(O332&lt;=0,1,P332/O332)^$G349/(1+$H349+$I349))^(1+$F349)</f>
        <v>0</v>
      </c>
      <c r="Q359" s="29" t="n">
        <f aca="false">P359*(1+Q$341)^($E349*Q$342)*(1+Q$343)*IF(P322&lt;=0,1,Q322/P322)^$F349*(IF(P332&lt;=0,1,Q332/P332)^$G349/(1+$H349+$I349))^(1+$F349)</f>
        <v>0</v>
      </c>
      <c r="R359" s="29" t="n">
        <f aca="false">Q359*(1+R$341)^($E349*R$342)*(1+R$343)*IF(Q322&lt;=0,1,R322/Q322)^$F349*(IF(Q332&lt;=0,1,R332/Q332)^$G349/(1+$H349+$I349))^(1+$F349)</f>
        <v>0</v>
      </c>
      <c r="S359" s="29" t="n">
        <f aca="false">R359*(1+S$341)^($E349*S$342)*(1+S$343)*IF(R322&lt;=0,1,S322/R322)^$F349*(IF(R332&lt;=0,1,S332/R332)^$G349/(1+$H349+$I349))^(1+$F349)</f>
        <v>0</v>
      </c>
      <c r="T359" s="29" t="n">
        <f aca="false">S359*(1+T$341)^($E349*T$342)*(1+T$343)*IF(S322&lt;=0,1,T322/S322)^$F349*(IF(S332&lt;=0,1,T332/S332)^$G349/(1+$H349+$I349))^(1+$F349)</f>
        <v>0</v>
      </c>
      <c r="U359" s="29" t="n">
        <f aca="false">T359*(1+U$341)^($E349*U$342)*(1+U$343)*IF(T322&lt;=0,1,U322/T322)^$F349*(IF(T332&lt;=0,1,U332/T332)^$G349/(1+$H349+$I349))^(1+$F349)</f>
        <v>0</v>
      </c>
      <c r="V359" s="29" t="n">
        <f aca="false">U359*(1+V$341)^($E349*V$342)*(1+V$343)*IF(U322&lt;=0,1,V322/U322)^$F349*(IF(U332&lt;=0,1,V332/U332)^$G349/(1+$H349+$I349))^(1+$F349)</f>
        <v>0</v>
      </c>
      <c r="W359" s="29" t="n">
        <f aca="false">V359*(1+W$341)^($E349*W$342)*(1+W$343)*IF(V322&lt;=0,1,W322/V322)^$F349*(IF(V332&lt;=0,1,W332/V332)^$G349/(1+$H349+$I349))^(1+$F349)</f>
        <v>0</v>
      </c>
      <c r="X359" s="29" t="n">
        <f aca="false">W359*(1+X$341)^($E349*X$342)*(1+X$343)*IF(W322&lt;=0,1,X322/W322)^$F349*(IF(W332&lt;=0,1,X332/W332)^$G349/(1+$H349+$I349))^(1+$F349)</f>
        <v>0</v>
      </c>
      <c r="Y359" s="29" t="n">
        <f aca="false">X359*(1+Y$341)^($E349*Y$342)*(1+Y$343)*IF(X322&lt;=0,1,Y322/X322)^$F349*(IF(X332&lt;=0,1,Y332/X332)^$G349/(1+$H349+$I349))^(1+$F349)</f>
        <v>0</v>
      </c>
      <c r="Z359" s="29" t="n">
        <f aca="false">Y359*(1+Z$341)^($E349*Z$342)*(1+Z$343)*IF(Y322&lt;=0,1,Z322/Y322)^$F349*(IF(Y332&lt;=0,1,Z332/Y332)^$G349/(1+$H349+$I349))^(1+$F349)</f>
        <v>0</v>
      </c>
      <c r="AA359" s="29" t="n">
        <f aca="false">Z359*(1+AA$341)^($E349*AA$342)*(1+AA$343)*IF(Z322&lt;=0,1,AA322/Z322)^$F349*(IF(Z332&lt;=0,1,AA332/Z332)^$G349/(1+$H349+$I349))^(1+$F349)</f>
        <v>0</v>
      </c>
      <c r="AB359" s="29" t="n">
        <f aca="false">AA359*(1+AB$341)^($E349*AB$342)*(1+AB$343)*IF(AA322&lt;=0,1,AB322/AA322)^$F349*(IF(AA332&lt;=0,1,AB332/AA332)^$G349/(1+$H349+$I349))^(1+$F349)</f>
        <v>0</v>
      </c>
      <c r="AC359" s="29" t="n">
        <f aca="false">AB359*(1+AC$341)^($E349*AC$342)*(1+AC$343)*IF(AB322&lt;=0,1,AC322/AB322)^$F349*(IF(AB332&lt;=0,1,AC332/AB332)^$G349/(1+$H349+$I349))^(1+$F349)</f>
        <v>0</v>
      </c>
      <c r="AD359" s="29" t="n">
        <f aca="false">AC359*(1+AD$341)^($E349*AD$342)*(1+AD$343)*IF(AC322&lt;=0,1,AD322/AC322)^$F349*(IF(AC332&lt;=0,1,AD332/AC332)^$G349/(1+$H349+$I349))^(1+$F349)</f>
        <v>0</v>
      </c>
      <c r="AE359" s="29" t="n">
        <f aca="false">AD359*(1+AE$341)^($E349*AE$342)*(1+AE$343)*IF(AD322&lt;=0,1,AE322/AD322)^$F349*(IF(AD332&lt;=0,1,AE332/AD332)^$G349/(1+$H349+$I349))^(1+$F349)</f>
        <v>0</v>
      </c>
    </row>
    <row r="360" customFormat="false" ht="15" hidden="false" customHeight="false" outlineLevel="0" collapsed="false">
      <c r="B360" s="17" t="s">
        <v>64</v>
      </c>
      <c r="C360" s="17" t="str">
        <f aca="false">$C$307</f>
        <v>cem</v>
      </c>
      <c r="D360" s="18" t="s">
        <v>65</v>
      </c>
      <c r="E360" s="19" t="s">
        <v>112</v>
      </c>
      <c r="F360" s="17" t="s">
        <v>113</v>
      </c>
      <c r="G360" s="20" t="str">
        <f aca="false">Settings!$B$3&amp;".mit.enc."&amp;$B360</f>
        <v>egy.mit.enc.lpg</v>
      </c>
      <c r="H360" s="21" t="str">
        <f aca="false">Settings!$B$3&amp;".mit.ener."&amp;$C$307&amp;"."&amp;$B360&amp;".e."&amp;$J$307</f>
        <v>egy.mit.ener.cem.lpg.e.2</v>
      </c>
      <c r="L360" s="28" t="n">
        <f aca="false">INDEX(Data_Energy!$D$3:$U$22,MATCH($B360,Data_Energy!$C$3:$C$22,0),MATCH($C360,Data_Energy!$D$2:$U$2,0))</f>
        <v>0</v>
      </c>
      <c r="M360" s="29" t="n">
        <f aca="false">L360*(1+M$341)^($E350*M$342)*(1+M$343)*IF(L323&lt;=0,1,M323/L323)^$F350*(IF(L333&lt;=0,1,M333/L333)^$G350/(1+$H350+$I350))^(1+$F350)</f>
        <v>0</v>
      </c>
      <c r="N360" s="29" t="n">
        <f aca="false">M360*(1+N$341)^($E350*N$342)*(1+N$343)*IF(M323&lt;=0,1,N323/M323)^$F350*(IF(M333&lt;=0,1,N333/M333)^$G350/(1+$H350+$I350))^(1+$F350)</f>
        <v>0</v>
      </c>
      <c r="O360" s="29" t="n">
        <f aca="false">N360*(1+O$341)^($E350*O$342)*(1+O$343)*IF(N323&lt;=0,1,O323/N323)^$F350*(IF(N333&lt;=0,1,O333/N333)^$G350/(1+$H350+$I350))^(1+$F350)</f>
        <v>0</v>
      </c>
      <c r="P360" s="29" t="n">
        <f aca="false">O360*(1+P$341)^($E350*P$342)*(1+P$343)*IF(O323&lt;=0,1,P323/O323)^$F350*(IF(O333&lt;=0,1,P333/O333)^$G350/(1+$H350+$I350))^(1+$F350)</f>
        <v>0</v>
      </c>
      <c r="Q360" s="29" t="n">
        <f aca="false">P360*(1+Q$341)^($E350*Q$342)*(1+Q$343)*IF(P323&lt;=0,1,Q323/P323)^$F350*(IF(P333&lt;=0,1,Q333/P333)^$G350/(1+$H350+$I350))^(1+$F350)</f>
        <v>0</v>
      </c>
      <c r="R360" s="29" t="n">
        <f aca="false">Q360*(1+R$341)^($E350*R$342)*(1+R$343)*IF(Q323&lt;=0,1,R323/Q323)^$F350*(IF(Q333&lt;=0,1,R333/Q333)^$G350/(1+$H350+$I350))^(1+$F350)</f>
        <v>0</v>
      </c>
      <c r="S360" s="29" t="n">
        <f aca="false">R360*(1+S$341)^($E350*S$342)*(1+S$343)*IF(R323&lt;=0,1,S323/R323)^$F350*(IF(R333&lt;=0,1,S333/R333)^$G350/(1+$H350+$I350))^(1+$F350)</f>
        <v>0</v>
      </c>
      <c r="T360" s="29" t="n">
        <f aca="false">S360*(1+T$341)^($E350*T$342)*(1+T$343)*IF(S323&lt;=0,1,T323/S323)^$F350*(IF(S333&lt;=0,1,T333/S333)^$G350/(1+$H350+$I350))^(1+$F350)</f>
        <v>0</v>
      </c>
      <c r="U360" s="29" t="n">
        <f aca="false">T360*(1+U$341)^($E350*U$342)*(1+U$343)*IF(T323&lt;=0,1,U323/T323)^$F350*(IF(T333&lt;=0,1,U333/T333)^$G350/(1+$H350+$I350))^(1+$F350)</f>
        <v>0</v>
      </c>
      <c r="V360" s="29" t="n">
        <f aca="false">U360*(1+V$341)^($E350*V$342)*(1+V$343)*IF(U323&lt;=0,1,V323/U323)^$F350*(IF(U333&lt;=0,1,V333/U333)^$G350/(1+$H350+$I350))^(1+$F350)</f>
        <v>0</v>
      </c>
      <c r="W360" s="29" t="n">
        <f aca="false">V360*(1+W$341)^($E350*W$342)*(1+W$343)*IF(V323&lt;=0,1,W323/V323)^$F350*(IF(V333&lt;=0,1,W333/V333)^$G350/(1+$H350+$I350))^(1+$F350)</f>
        <v>0</v>
      </c>
      <c r="X360" s="29" t="n">
        <f aca="false">W360*(1+X$341)^($E350*X$342)*(1+X$343)*IF(W323&lt;=0,1,X323/W323)^$F350*(IF(W333&lt;=0,1,X333/W333)^$G350/(1+$H350+$I350))^(1+$F350)</f>
        <v>0</v>
      </c>
      <c r="Y360" s="29" t="n">
        <f aca="false">X360*(1+Y$341)^($E350*Y$342)*(1+Y$343)*IF(X323&lt;=0,1,Y323/X323)^$F350*(IF(X333&lt;=0,1,Y333/X333)^$G350/(1+$H350+$I350))^(1+$F350)</f>
        <v>0</v>
      </c>
      <c r="Z360" s="29" t="n">
        <f aca="false">Y360*(1+Z$341)^($E350*Z$342)*(1+Z$343)*IF(Y323&lt;=0,1,Z323/Y323)^$F350*(IF(Y333&lt;=0,1,Z333/Y333)^$G350/(1+$H350+$I350))^(1+$F350)</f>
        <v>0</v>
      </c>
      <c r="AA360" s="29" t="n">
        <f aca="false">Z360*(1+AA$341)^($E350*AA$342)*(1+AA$343)*IF(Z323&lt;=0,1,AA323/Z323)^$F350*(IF(Z333&lt;=0,1,AA333/Z333)^$G350/(1+$H350+$I350))^(1+$F350)</f>
        <v>0</v>
      </c>
      <c r="AB360" s="29" t="n">
        <f aca="false">AA360*(1+AB$341)^($E350*AB$342)*(1+AB$343)*IF(AA323&lt;=0,1,AB323/AA323)^$F350*(IF(AA333&lt;=0,1,AB333/AA333)^$G350/(1+$H350+$I350))^(1+$F350)</f>
        <v>0</v>
      </c>
      <c r="AC360" s="29" t="n">
        <f aca="false">AB360*(1+AC$341)^($E350*AC$342)*(1+AC$343)*IF(AB323&lt;=0,1,AC323/AB323)^$F350*(IF(AB333&lt;=0,1,AC333/AB333)^$G350/(1+$H350+$I350))^(1+$F350)</f>
        <v>0</v>
      </c>
      <c r="AD360" s="29" t="n">
        <f aca="false">AC360*(1+AD$341)^($E350*AD$342)*(1+AD$343)*IF(AC323&lt;=0,1,AD323/AC323)^$F350*(IF(AC333&lt;=0,1,AD333/AC333)^$G350/(1+$H350+$I350))^(1+$F350)</f>
        <v>0</v>
      </c>
      <c r="AE360" s="29" t="n">
        <f aca="false">AD360*(1+AE$341)^($E350*AE$342)*(1+AE$343)*IF(AD323&lt;=0,1,AE323/AD323)^$F350*(IF(AD333&lt;=0,1,AE333/AD333)^$G350/(1+$H350+$I350))^(1+$F350)</f>
        <v>0</v>
      </c>
    </row>
    <row r="361" customFormat="false" ht="15" hidden="false" customHeight="false" outlineLevel="0" collapsed="false">
      <c r="B361" s="17" t="s">
        <v>66</v>
      </c>
      <c r="C361" s="17" t="str">
        <f aca="false">$C$307</f>
        <v>cem</v>
      </c>
      <c r="D361" s="18" t="s">
        <v>67</v>
      </c>
      <c r="E361" s="19" t="s">
        <v>112</v>
      </c>
      <c r="F361" s="17" t="s">
        <v>113</v>
      </c>
      <c r="G361" s="20" t="str">
        <f aca="false">Settings!$B$3&amp;".mit.enc."&amp;$B361</f>
        <v>egy.mit.enc.ker</v>
      </c>
      <c r="H361" s="21" t="str">
        <f aca="false">Settings!$B$3&amp;".mit.ener."&amp;$C$307&amp;"."&amp;$B361&amp;".e."&amp;$J$307</f>
        <v>egy.mit.ener.cem.ker.e.2</v>
      </c>
      <c r="L361" s="28" t="n">
        <f aca="false">INDEX(Data_Energy!$D$3:$U$22,MATCH($B361,Data_Energy!$C$3:$C$22,0),MATCH($C361,Data_Energy!$D$2:$U$2,0))</f>
        <v>0</v>
      </c>
      <c r="M361" s="29" t="n">
        <f aca="false">L361*(1+M$341)^($E351*M$342)*(1+M$343)*IF(L324&lt;=0,1,M324/L324)^$F351*(IF(L334&lt;=0,1,M334/L334)^$G351/(1+$H351+$I351))^(1+$F351)</f>
        <v>0</v>
      </c>
      <c r="N361" s="29" t="n">
        <f aca="false">M361*(1+N$341)^($E351*N$342)*(1+N$343)*IF(M324&lt;=0,1,N324/M324)^$F351*(IF(M334&lt;=0,1,N334/M334)^$G351/(1+$H351+$I351))^(1+$F351)</f>
        <v>0</v>
      </c>
      <c r="O361" s="29" t="n">
        <f aca="false">N361*(1+O$341)^($E351*O$342)*(1+O$343)*IF(N324&lt;=0,1,O324/N324)^$F351*(IF(N334&lt;=0,1,O334/N334)^$G351/(1+$H351+$I351))^(1+$F351)</f>
        <v>0</v>
      </c>
      <c r="P361" s="29" t="n">
        <f aca="false">O361*(1+P$341)^($E351*P$342)*(1+P$343)*IF(O324&lt;=0,1,P324/O324)^$F351*(IF(O334&lt;=0,1,P334/O334)^$G351/(1+$H351+$I351))^(1+$F351)</f>
        <v>0</v>
      </c>
      <c r="Q361" s="29" t="n">
        <f aca="false">P361*(1+Q$341)^($E351*Q$342)*(1+Q$343)*IF(P324&lt;=0,1,Q324/P324)^$F351*(IF(P334&lt;=0,1,Q334/P334)^$G351/(1+$H351+$I351))^(1+$F351)</f>
        <v>0</v>
      </c>
      <c r="R361" s="29" t="n">
        <f aca="false">Q361*(1+R$341)^($E351*R$342)*(1+R$343)*IF(Q324&lt;=0,1,R324/Q324)^$F351*(IF(Q334&lt;=0,1,R334/Q334)^$G351/(1+$H351+$I351))^(1+$F351)</f>
        <v>0</v>
      </c>
      <c r="S361" s="29" t="n">
        <f aca="false">R361*(1+S$341)^($E351*S$342)*(1+S$343)*IF(R324&lt;=0,1,S324/R324)^$F351*(IF(R334&lt;=0,1,S334/R334)^$G351/(1+$H351+$I351))^(1+$F351)</f>
        <v>0</v>
      </c>
      <c r="T361" s="29" t="n">
        <f aca="false">S361*(1+T$341)^($E351*T$342)*(1+T$343)*IF(S324&lt;=0,1,T324/S324)^$F351*(IF(S334&lt;=0,1,T334/S334)^$G351/(1+$H351+$I351))^(1+$F351)</f>
        <v>0</v>
      </c>
      <c r="U361" s="29" t="n">
        <f aca="false">T361*(1+U$341)^($E351*U$342)*(1+U$343)*IF(T324&lt;=0,1,U324/T324)^$F351*(IF(T334&lt;=0,1,U334/T334)^$G351/(1+$H351+$I351))^(1+$F351)</f>
        <v>0</v>
      </c>
      <c r="V361" s="29" t="n">
        <f aca="false">U361*(1+V$341)^($E351*V$342)*(1+V$343)*IF(U324&lt;=0,1,V324/U324)^$F351*(IF(U334&lt;=0,1,V334/U334)^$G351/(1+$H351+$I351))^(1+$F351)</f>
        <v>0</v>
      </c>
      <c r="W361" s="29" t="n">
        <f aca="false">V361*(1+W$341)^($E351*W$342)*(1+W$343)*IF(V324&lt;=0,1,W324/V324)^$F351*(IF(V334&lt;=0,1,W334/V334)^$G351/(1+$H351+$I351))^(1+$F351)</f>
        <v>0</v>
      </c>
      <c r="X361" s="29" t="n">
        <f aca="false">W361*(1+X$341)^($E351*X$342)*(1+X$343)*IF(W324&lt;=0,1,X324/W324)^$F351*(IF(W334&lt;=0,1,X334/W334)^$G351/(1+$H351+$I351))^(1+$F351)</f>
        <v>0</v>
      </c>
      <c r="Y361" s="29" t="n">
        <f aca="false">X361*(1+Y$341)^($E351*Y$342)*(1+Y$343)*IF(X324&lt;=0,1,Y324/X324)^$F351*(IF(X334&lt;=0,1,Y334/X334)^$G351/(1+$H351+$I351))^(1+$F351)</f>
        <v>0</v>
      </c>
      <c r="Z361" s="29" t="n">
        <f aca="false">Y361*(1+Z$341)^($E351*Z$342)*(1+Z$343)*IF(Y324&lt;=0,1,Z324/Y324)^$F351*(IF(Y334&lt;=0,1,Z334/Y334)^$G351/(1+$H351+$I351))^(1+$F351)</f>
        <v>0</v>
      </c>
      <c r="AA361" s="29" t="n">
        <f aca="false">Z361*(1+AA$341)^($E351*AA$342)*(1+AA$343)*IF(Z324&lt;=0,1,AA324/Z324)^$F351*(IF(Z334&lt;=0,1,AA334/Z334)^$G351/(1+$H351+$I351))^(1+$F351)</f>
        <v>0</v>
      </c>
      <c r="AB361" s="29" t="n">
        <f aca="false">AA361*(1+AB$341)^($E351*AB$342)*(1+AB$343)*IF(AA324&lt;=0,1,AB324/AA324)^$F351*(IF(AA334&lt;=0,1,AB334/AA334)^$G351/(1+$H351+$I351))^(1+$F351)</f>
        <v>0</v>
      </c>
      <c r="AC361" s="29" t="n">
        <f aca="false">AB361*(1+AC$341)^($E351*AC$342)*(1+AC$343)*IF(AB324&lt;=0,1,AC324/AB324)^$F351*(IF(AB334&lt;=0,1,AC334/AB334)^$G351/(1+$H351+$I351))^(1+$F351)</f>
        <v>0</v>
      </c>
      <c r="AD361" s="29" t="n">
        <f aca="false">AC361*(1+AD$341)^($E351*AD$342)*(1+AD$343)*IF(AC324&lt;=0,1,AD324/AC324)^$F351*(IF(AC334&lt;=0,1,AD334/AC334)^$G351/(1+$H351+$I351))^(1+$F351)</f>
        <v>0</v>
      </c>
      <c r="AE361" s="29" t="n">
        <f aca="false">AD361*(1+AE$341)^($E351*AE$342)*(1+AE$343)*IF(AD324&lt;=0,1,AE324/AD324)^$F351*(IF(AD334&lt;=0,1,AE334/AD334)^$G351/(1+$H351+$I351))^(1+$F351)</f>
        <v>0</v>
      </c>
    </row>
    <row r="362" customFormat="false" ht="15" hidden="false" customHeight="false" outlineLevel="0" collapsed="false">
      <c r="B362" s="17" t="s">
        <v>68</v>
      </c>
      <c r="C362" s="17" t="str">
        <f aca="false">$C$307</f>
        <v>cem</v>
      </c>
      <c r="D362" s="18" t="s">
        <v>69</v>
      </c>
      <c r="E362" s="19" t="s">
        <v>112</v>
      </c>
      <c r="F362" s="17" t="s">
        <v>113</v>
      </c>
      <c r="G362" s="20" t="str">
        <f aca="false">Settings!$B$3&amp;".mit.enc."&amp;$B362</f>
        <v>egy.mit.enc.oop</v>
      </c>
      <c r="H362" s="21" t="str">
        <f aca="false">Settings!$B$3&amp;".mit.ener."&amp;$C$307&amp;"."&amp;$B362&amp;".e."&amp;$J$307</f>
        <v>egy.mit.ener.cem.oop.e.2</v>
      </c>
      <c r="L362" s="28" t="n">
        <f aca="false">INDEX(Data_Energy!$D$3:$U$22,MATCH($B362,Data_Energy!$C$3:$C$22,0),MATCH($C362,Data_Energy!$D$2:$U$2,0))</f>
        <v>0</v>
      </c>
      <c r="M362" s="29" t="n">
        <f aca="false">L362*(1+M$341)^($E352*M$342)*(1+M$343)*IF(L325&lt;=0,1,M325/L325)^$F352*(IF(L335&lt;=0,1,M335/L335)^$G352/(1+$H352+$I352))^(1+$F352)</f>
        <v>0</v>
      </c>
      <c r="N362" s="29" t="n">
        <f aca="false">M362*(1+N$341)^($E352*N$342)*(1+N$343)*IF(M325&lt;=0,1,N325/M325)^$F352*(IF(M335&lt;=0,1,N335/M335)^$G352/(1+$H352+$I352))^(1+$F352)</f>
        <v>0</v>
      </c>
      <c r="O362" s="29" t="n">
        <f aca="false">N362*(1+O$341)^($E352*O$342)*(1+O$343)*IF(N325&lt;=0,1,O325/N325)^$F352*(IF(N335&lt;=0,1,O335/N335)^$G352/(1+$H352+$I352))^(1+$F352)</f>
        <v>0</v>
      </c>
      <c r="P362" s="29" t="n">
        <f aca="false">O362*(1+P$341)^($E352*P$342)*(1+P$343)*IF(O325&lt;=0,1,P325/O325)^$F352*(IF(O335&lt;=0,1,P335/O335)^$G352/(1+$H352+$I352))^(1+$F352)</f>
        <v>0</v>
      </c>
      <c r="Q362" s="29" t="n">
        <f aca="false">P362*(1+Q$341)^($E352*Q$342)*(1+Q$343)*IF(P325&lt;=0,1,Q325/P325)^$F352*(IF(P335&lt;=0,1,Q335/P335)^$G352/(1+$H352+$I352))^(1+$F352)</f>
        <v>0</v>
      </c>
      <c r="R362" s="29" t="n">
        <f aca="false">Q362*(1+R$341)^($E352*R$342)*(1+R$343)*IF(Q325&lt;=0,1,R325/Q325)^$F352*(IF(Q335&lt;=0,1,R335/Q335)^$G352/(1+$H352+$I352))^(1+$F352)</f>
        <v>0</v>
      </c>
      <c r="S362" s="29" t="n">
        <f aca="false">R362*(1+S$341)^($E352*S$342)*(1+S$343)*IF(R325&lt;=0,1,S325/R325)^$F352*(IF(R335&lt;=0,1,S335/R335)^$G352/(1+$H352+$I352))^(1+$F352)</f>
        <v>0</v>
      </c>
      <c r="T362" s="29" t="n">
        <f aca="false">S362*(1+T$341)^($E352*T$342)*(1+T$343)*IF(S325&lt;=0,1,T325/S325)^$F352*(IF(S335&lt;=0,1,T335/S335)^$G352/(1+$H352+$I352))^(1+$F352)</f>
        <v>0</v>
      </c>
      <c r="U362" s="29" t="n">
        <f aca="false">T362*(1+U$341)^($E352*U$342)*(1+U$343)*IF(T325&lt;=0,1,U325/T325)^$F352*(IF(T335&lt;=0,1,U335/T335)^$G352/(1+$H352+$I352))^(1+$F352)</f>
        <v>0</v>
      </c>
      <c r="V362" s="29" t="n">
        <f aca="false">U362*(1+V$341)^($E352*V$342)*(1+V$343)*IF(U325&lt;=0,1,V325/U325)^$F352*(IF(U335&lt;=0,1,V335/U335)^$G352/(1+$H352+$I352))^(1+$F352)</f>
        <v>0</v>
      </c>
      <c r="W362" s="29" t="n">
        <f aca="false">V362*(1+W$341)^($E352*W$342)*(1+W$343)*IF(V325&lt;=0,1,W325/V325)^$F352*(IF(V335&lt;=0,1,W335/V335)^$G352/(1+$H352+$I352))^(1+$F352)</f>
        <v>0</v>
      </c>
      <c r="X362" s="29" t="n">
        <f aca="false">W362*(1+X$341)^($E352*X$342)*(1+X$343)*IF(W325&lt;=0,1,X325/W325)^$F352*(IF(W335&lt;=0,1,X335/W335)^$G352/(1+$H352+$I352))^(1+$F352)</f>
        <v>0</v>
      </c>
      <c r="Y362" s="29" t="n">
        <f aca="false">X362*(1+Y$341)^($E352*Y$342)*(1+Y$343)*IF(X325&lt;=0,1,Y325/X325)^$F352*(IF(X335&lt;=0,1,Y335/X335)^$G352/(1+$H352+$I352))^(1+$F352)</f>
        <v>0</v>
      </c>
      <c r="Z362" s="29" t="n">
        <f aca="false">Y362*(1+Z$341)^($E352*Z$342)*(1+Z$343)*IF(Y325&lt;=0,1,Z325/Y325)^$F352*(IF(Y335&lt;=0,1,Z335/Y335)^$G352/(1+$H352+$I352))^(1+$F352)</f>
        <v>0</v>
      </c>
      <c r="AA362" s="29" t="n">
        <f aca="false">Z362*(1+AA$341)^($E352*AA$342)*(1+AA$343)*IF(Z325&lt;=0,1,AA325/Z325)^$F352*(IF(Z335&lt;=0,1,AA335/Z335)^$G352/(1+$H352+$I352))^(1+$F352)</f>
        <v>0</v>
      </c>
      <c r="AB362" s="29" t="n">
        <f aca="false">AA362*(1+AB$341)^($E352*AB$342)*(1+AB$343)*IF(AA325&lt;=0,1,AB325/AA325)^$F352*(IF(AA335&lt;=0,1,AB335/AA335)^$G352/(1+$H352+$I352))^(1+$F352)</f>
        <v>0</v>
      </c>
      <c r="AC362" s="29" t="n">
        <f aca="false">AB362*(1+AC$341)^($E352*AC$342)*(1+AC$343)*IF(AB325&lt;=0,1,AC325/AB325)^$F352*(IF(AB335&lt;=0,1,AC335/AB335)^$G352/(1+$H352+$I352))^(1+$F352)</f>
        <v>0</v>
      </c>
      <c r="AD362" s="29" t="n">
        <f aca="false">AC362*(1+AD$341)^($E352*AD$342)*(1+AD$343)*IF(AC325&lt;=0,1,AD325/AC325)^$F352*(IF(AC335&lt;=0,1,AD335/AC335)^$G352/(1+$H352+$I352))^(1+$F352)</f>
        <v>0</v>
      </c>
      <c r="AE362" s="29" t="n">
        <f aca="false">AD362*(1+AE$341)^($E352*AE$342)*(1+AE$343)*IF(AD325&lt;=0,1,AE325/AD325)^$F352*(IF(AD335&lt;=0,1,AE335/AD335)^$G352/(1+$H352+$I352))^(1+$F352)</f>
        <v>0</v>
      </c>
    </row>
    <row r="363" customFormat="false" ht="15" hidden="false" customHeight="false" outlineLevel="0" collapsed="false">
      <c r="B363" s="17" t="s">
        <v>71</v>
      </c>
      <c r="C363" s="17" t="str">
        <f aca="false">$C$307</f>
        <v>cem</v>
      </c>
      <c r="D363" s="18" t="s">
        <v>72</v>
      </c>
      <c r="E363" s="19" t="s">
        <v>112</v>
      </c>
      <c r="F363" s="17" t="s">
        <v>113</v>
      </c>
      <c r="G363" s="20" t="str">
        <f aca="false">Settings!$B$3&amp;".mit.enc."&amp;$B363</f>
        <v>egy.mit.enc.bio</v>
      </c>
      <c r="H363" s="21" t="str">
        <f aca="false">Settings!$B$3&amp;".mit.ener."&amp;$C$307&amp;"."&amp;$B363&amp;".e."&amp;$J$307</f>
        <v>egy.mit.ener.cem.bio.e.2</v>
      </c>
      <c r="L363" s="28" t="n">
        <f aca="false">INDEX(Data_Energy!$D$3:$U$22,MATCH($B363,Data_Energy!$C$3:$C$22,0),MATCH($C363,Data_Energy!$D$2:$U$2,0))</f>
        <v>0</v>
      </c>
      <c r="M363" s="29" t="n">
        <f aca="false">L363*(1+M$341)^($E353*M$342)*(1+M$343)*IF(L326&lt;=0,1,M326/L326)^$F353*(IF(L336&lt;=0,1,M336/L336)^$G353/(1+$H353+$I353))^(1+$F353)</f>
        <v>0</v>
      </c>
      <c r="N363" s="29" t="n">
        <f aca="false">M363*(1+N$341)^($E353*N$342)*(1+N$343)*IF(M326&lt;=0,1,N326/M326)^$F353*(IF(M336&lt;=0,1,N336/M336)^$G353/(1+$H353+$I353))^(1+$F353)</f>
        <v>0</v>
      </c>
      <c r="O363" s="29" t="n">
        <f aca="false">N363*(1+O$341)^($E353*O$342)*(1+O$343)*IF(N326&lt;=0,1,O326/N326)^$F353*(IF(N336&lt;=0,1,O336/N336)^$G353/(1+$H353+$I353))^(1+$F353)</f>
        <v>0</v>
      </c>
      <c r="P363" s="29" t="n">
        <f aca="false">O363*(1+P$341)^($E353*P$342)*(1+P$343)*IF(O326&lt;=0,1,P326/O326)^$F353*(IF(O336&lt;=0,1,P336/O336)^$G353/(1+$H353+$I353))^(1+$F353)</f>
        <v>0</v>
      </c>
      <c r="Q363" s="29" t="n">
        <f aca="false">P363*(1+Q$341)^($E353*Q$342)*(1+Q$343)*IF(P326&lt;=0,1,Q326/P326)^$F353*(IF(P336&lt;=0,1,Q336/P336)^$G353/(1+$H353+$I353))^(1+$F353)</f>
        <v>0</v>
      </c>
      <c r="R363" s="29" t="n">
        <f aca="false">Q363*(1+R$341)^($E353*R$342)*(1+R$343)*IF(Q326&lt;=0,1,R326/Q326)^$F353*(IF(Q336&lt;=0,1,R336/Q336)^$G353/(1+$H353+$I353))^(1+$F353)</f>
        <v>0</v>
      </c>
      <c r="S363" s="29" t="n">
        <f aca="false">R363*(1+S$341)^($E353*S$342)*(1+S$343)*IF(R326&lt;=0,1,S326/R326)^$F353*(IF(R336&lt;=0,1,S336/R336)^$G353/(1+$H353+$I353))^(1+$F353)</f>
        <v>0</v>
      </c>
      <c r="T363" s="29" t="n">
        <f aca="false">S363*(1+T$341)^($E353*T$342)*(1+T$343)*IF(S326&lt;=0,1,T326/S326)^$F353*(IF(S336&lt;=0,1,T336/S336)^$G353/(1+$H353+$I353))^(1+$F353)</f>
        <v>0</v>
      </c>
      <c r="U363" s="29" t="n">
        <f aca="false">T363*(1+U$341)^($E353*U$342)*(1+U$343)*IF(T326&lt;=0,1,U326/T326)^$F353*(IF(T336&lt;=0,1,U336/T336)^$G353/(1+$H353+$I353))^(1+$F353)</f>
        <v>0</v>
      </c>
      <c r="V363" s="29" t="n">
        <f aca="false">U363*(1+V$341)^($E353*V$342)*(1+V$343)*IF(U326&lt;=0,1,V326/U326)^$F353*(IF(U336&lt;=0,1,V336/U336)^$G353/(1+$H353+$I353))^(1+$F353)</f>
        <v>0</v>
      </c>
      <c r="W363" s="29" t="n">
        <f aca="false">V363*(1+W$341)^($E353*W$342)*(1+W$343)*IF(V326&lt;=0,1,W326/V326)^$F353*(IF(V336&lt;=0,1,W336/V336)^$G353/(1+$H353+$I353))^(1+$F353)</f>
        <v>0</v>
      </c>
      <c r="X363" s="29" t="n">
        <f aca="false">W363*(1+X$341)^($E353*X$342)*(1+X$343)*IF(W326&lt;=0,1,X326/W326)^$F353*(IF(W336&lt;=0,1,X336/W336)^$G353/(1+$H353+$I353))^(1+$F353)</f>
        <v>0</v>
      </c>
      <c r="Y363" s="29" t="n">
        <f aca="false">X363*(1+Y$341)^($E353*Y$342)*(1+Y$343)*IF(X326&lt;=0,1,Y326/X326)^$F353*(IF(X336&lt;=0,1,Y336/X336)^$G353/(1+$H353+$I353))^(1+$F353)</f>
        <v>0</v>
      </c>
      <c r="Z363" s="29" t="n">
        <f aca="false">Y363*(1+Z$341)^($E353*Z$342)*(1+Z$343)*IF(Y326&lt;=0,1,Z326/Y326)^$F353*(IF(Y336&lt;=0,1,Z336/Y336)^$G353/(1+$H353+$I353))^(1+$F353)</f>
        <v>0</v>
      </c>
      <c r="AA363" s="29" t="n">
        <f aca="false">Z363*(1+AA$341)^($E353*AA$342)*(1+AA$343)*IF(Z326&lt;=0,1,AA326/Z326)^$F353*(IF(Z336&lt;=0,1,AA336/Z336)^$G353/(1+$H353+$I353))^(1+$F353)</f>
        <v>0</v>
      </c>
      <c r="AB363" s="29" t="n">
        <f aca="false">AA363*(1+AB$341)^($E353*AB$342)*(1+AB$343)*IF(AA326&lt;=0,1,AB326/AA326)^$F353*(IF(AA336&lt;=0,1,AB336/AA336)^$G353/(1+$H353+$I353))^(1+$F353)</f>
        <v>0</v>
      </c>
      <c r="AC363" s="29" t="n">
        <f aca="false">AB363*(1+AC$341)^($E353*AC$342)*(1+AC$343)*IF(AB326&lt;=0,1,AC326/AB326)^$F353*(IF(AB336&lt;=0,1,AC336/AB336)^$G353/(1+$H353+$I353))^(1+$F353)</f>
        <v>0</v>
      </c>
      <c r="AD363" s="29" t="n">
        <f aca="false">AC363*(1+AD$341)^($E353*AD$342)*(1+AD$343)*IF(AC326&lt;=0,1,AD326/AC326)^$F353*(IF(AC336&lt;=0,1,AD336/AC336)^$G353/(1+$H353+$I353))^(1+$F353)</f>
        <v>0</v>
      </c>
      <c r="AE363" s="29" t="n">
        <f aca="false">AD363*(1+AE$341)^($E353*AE$342)*(1+AE$343)*IF(AD326&lt;=0,1,AE326/AD326)^$F353*(IF(AD336&lt;=0,1,AE336/AD336)^$G353/(1+$H353+$I353))^(1+$F353)</f>
        <v>0</v>
      </c>
    </row>
    <row r="364" customFormat="false" ht="15" hidden="false" customHeight="false" outlineLevel="0" collapsed="false">
      <c r="B364" s="17" t="s">
        <v>73</v>
      </c>
      <c r="C364" s="17" t="str">
        <f aca="false">$C$307</f>
        <v>cem</v>
      </c>
      <c r="D364" s="18" t="s">
        <v>74</v>
      </c>
      <c r="E364" s="19" t="s">
        <v>112</v>
      </c>
      <c r="F364" s="17" t="s">
        <v>113</v>
      </c>
      <c r="G364" s="20" t="str">
        <f aca="false">Settings!$B$3&amp;".mit.enc."&amp;$B364</f>
        <v>egy.mit.enc.ren</v>
      </c>
      <c r="H364" s="21" t="str">
        <f aca="false">Settings!$B$3&amp;".mit.ener."&amp;$C$307&amp;"."&amp;$B364&amp;".e."&amp;$J$307</f>
        <v>egy.mit.ener.cem.ren.e.2</v>
      </c>
      <c r="L364" s="28" t="n">
        <f aca="false">INDEX(Data_Energy!$D$3:$U$22,MATCH($B364,Data_Energy!$C$3:$C$22,0),MATCH($C364,Data_Energy!$D$2:$U$2,0))</f>
        <v>0</v>
      </c>
      <c r="M364" s="29" t="n">
        <f aca="false">L364*(1+M$341)^($E354*M$342)*(1+M$343)*IF(L327&lt;=0,1,M327/L327)^$F354*(IF(L337&lt;=0,1,M337/L337)^$G354/(1+$H354+$I354))^(1+$F354)</f>
        <v>0</v>
      </c>
      <c r="N364" s="29" t="n">
        <f aca="false">M364*(1+N$341)^($E354*N$342)*(1+N$343)*IF(M327&lt;=0,1,N327/M327)^$F354*(IF(M337&lt;=0,1,N337/M337)^$G354/(1+$H354+$I354))^(1+$F354)</f>
        <v>0</v>
      </c>
      <c r="O364" s="29" t="n">
        <f aca="false">N364*(1+O$341)^($E354*O$342)*(1+O$343)*IF(N327&lt;=0,1,O327/N327)^$F354*(IF(N337&lt;=0,1,O337/N337)^$G354/(1+$H354+$I354))^(1+$F354)</f>
        <v>0</v>
      </c>
      <c r="P364" s="29" t="n">
        <f aca="false">O364*(1+P$341)^($E354*P$342)*(1+P$343)*IF(O327&lt;=0,1,P327/O327)^$F354*(IF(O337&lt;=0,1,P337/O337)^$G354/(1+$H354+$I354))^(1+$F354)</f>
        <v>0</v>
      </c>
      <c r="Q364" s="29" t="n">
        <f aca="false">P364*(1+Q$341)^($E354*Q$342)*(1+Q$343)*IF(P327&lt;=0,1,Q327/P327)^$F354*(IF(P337&lt;=0,1,Q337/P337)^$G354/(1+$H354+$I354))^(1+$F354)</f>
        <v>0</v>
      </c>
      <c r="R364" s="29" t="n">
        <f aca="false">Q364*(1+R$341)^($E354*R$342)*(1+R$343)*IF(Q327&lt;=0,1,R327/Q327)^$F354*(IF(Q337&lt;=0,1,R337/Q337)^$G354/(1+$H354+$I354))^(1+$F354)</f>
        <v>0</v>
      </c>
      <c r="S364" s="29" t="n">
        <f aca="false">R364*(1+S$341)^($E354*S$342)*(1+S$343)*IF(R327&lt;=0,1,S327/R327)^$F354*(IF(R337&lt;=0,1,S337/R337)^$G354/(1+$H354+$I354))^(1+$F354)</f>
        <v>0</v>
      </c>
      <c r="T364" s="29" t="n">
        <f aca="false">S364*(1+T$341)^($E354*T$342)*(1+T$343)*IF(S327&lt;=0,1,T327/S327)^$F354*(IF(S337&lt;=0,1,T337/S337)^$G354/(1+$H354+$I354))^(1+$F354)</f>
        <v>0</v>
      </c>
      <c r="U364" s="29" t="n">
        <f aca="false">T364*(1+U$341)^($E354*U$342)*(1+U$343)*IF(T327&lt;=0,1,U327/T327)^$F354*(IF(T337&lt;=0,1,U337/T337)^$G354/(1+$H354+$I354))^(1+$F354)</f>
        <v>0</v>
      </c>
      <c r="V364" s="29" t="n">
        <f aca="false">U364*(1+V$341)^($E354*V$342)*(1+V$343)*IF(U327&lt;=0,1,V327/U327)^$F354*(IF(U337&lt;=0,1,V337/U337)^$G354/(1+$H354+$I354))^(1+$F354)</f>
        <v>0</v>
      </c>
      <c r="W364" s="29" t="n">
        <f aca="false">V364*(1+W$341)^($E354*W$342)*(1+W$343)*IF(V327&lt;=0,1,W327/V327)^$F354*(IF(V337&lt;=0,1,W337/V337)^$G354/(1+$H354+$I354))^(1+$F354)</f>
        <v>0</v>
      </c>
      <c r="X364" s="29" t="n">
        <f aca="false">W364*(1+X$341)^($E354*X$342)*(1+X$343)*IF(W327&lt;=0,1,X327/W327)^$F354*(IF(W337&lt;=0,1,X337/W337)^$G354/(1+$H354+$I354))^(1+$F354)</f>
        <v>0</v>
      </c>
      <c r="Y364" s="29" t="n">
        <f aca="false">X364*(1+Y$341)^($E354*Y$342)*(1+Y$343)*IF(X327&lt;=0,1,Y327/X327)^$F354*(IF(X337&lt;=0,1,Y337/X337)^$G354/(1+$H354+$I354))^(1+$F354)</f>
        <v>0</v>
      </c>
      <c r="Z364" s="29" t="n">
        <f aca="false">Y364*(1+Z$341)^($E354*Z$342)*(1+Z$343)*IF(Y327&lt;=0,1,Z327/Y327)^$F354*(IF(Y337&lt;=0,1,Z337/Y337)^$G354/(1+$H354+$I354))^(1+$F354)</f>
        <v>0</v>
      </c>
      <c r="AA364" s="29" t="n">
        <f aca="false">Z364*(1+AA$341)^($E354*AA$342)*(1+AA$343)*IF(Z327&lt;=0,1,AA327/Z327)^$F354*(IF(Z337&lt;=0,1,AA337/Z337)^$G354/(1+$H354+$I354))^(1+$F354)</f>
        <v>0</v>
      </c>
      <c r="AB364" s="29" t="n">
        <f aca="false">AA364*(1+AB$341)^($E354*AB$342)*(1+AB$343)*IF(AA327&lt;=0,1,AB327/AA327)^$F354*(IF(AA337&lt;=0,1,AB337/AA337)^$G354/(1+$H354+$I354))^(1+$F354)</f>
        <v>0</v>
      </c>
      <c r="AC364" s="29" t="n">
        <f aca="false">AB364*(1+AC$341)^($E354*AC$342)*(1+AC$343)*IF(AB327&lt;=0,1,AC327/AB327)^$F354*(IF(AB337&lt;=0,1,AC337/AB337)^$G354/(1+$H354+$I354))^(1+$F354)</f>
        <v>0</v>
      </c>
      <c r="AD364" s="29" t="n">
        <f aca="false">AC364*(1+AD$341)^($E354*AD$342)*(1+AD$343)*IF(AC327&lt;=0,1,AD327/AC327)^$F354*(IF(AC337&lt;=0,1,AD337/AC337)^$G354/(1+$H354+$I354))^(1+$F354)</f>
        <v>0</v>
      </c>
      <c r="AE364" s="29" t="n">
        <f aca="false">AD364*(1+AE$341)^($E354*AE$342)*(1+AE$343)*IF(AD327&lt;=0,1,AE327/AD327)^$F354*(IF(AD337&lt;=0,1,AE337/AD337)^$G354/(1+$H354+$I354))^(1+$F354)</f>
        <v>0</v>
      </c>
    </row>
    <row r="365" customFormat="false" ht="15" hidden="false" customHeight="false" outlineLevel="0" collapsed="false">
      <c r="B365" s="17" t="s">
        <v>114</v>
      </c>
      <c r="C365" s="17" t="str">
        <f aca="false">$C$307</f>
        <v>cem</v>
      </c>
      <c r="D365" s="30" t="s">
        <v>115</v>
      </c>
      <c r="E365" s="19" t="s">
        <v>112</v>
      </c>
      <c r="F365" s="17" t="s">
        <v>113</v>
      </c>
      <c r="H365" s="21" t="str">
        <f aca="false">Settings!$B$3&amp;".mit.ener."&amp;$C$307&amp;".tot.e."&amp;$J$307</f>
        <v>egy.mit.ener.cem.tot.e.2</v>
      </c>
      <c r="L365" s="31" t="n">
        <f aca="false">SUM(L356:L364)</f>
        <v>3210.44675922487</v>
      </c>
      <c r="M365" s="31" t="n">
        <f aca="false">SUM(M356:M364)</f>
        <v>2690.34040939212</v>
      </c>
      <c r="N365" s="31" t="n">
        <f aca="false">SUM(N356:N364)</f>
        <v>3047.53608880073</v>
      </c>
      <c r="O365" s="31" t="n">
        <f aca="false">SUM(O356:O364)</f>
        <v>3240.69282238898</v>
      </c>
      <c r="P365" s="31" t="n">
        <f aca="false">SUM(P356:P364)</f>
        <v>3273.21196775395</v>
      </c>
      <c r="Q365" s="31" t="n">
        <f aca="false">SUM(Q356:Q364)</f>
        <v>3089.42585270748</v>
      </c>
      <c r="R365" s="31" t="n">
        <f aca="false">SUM(R356:R364)</f>
        <v>2975.124206161</v>
      </c>
      <c r="S365" s="31" t="n">
        <f aca="false">SUM(S356:S364)</f>
        <v>2878.43380086471</v>
      </c>
      <c r="T365" s="31" t="n">
        <f aca="false">SUM(T356:T364)</f>
        <v>2793.10218786635</v>
      </c>
      <c r="U365" s="31" t="n">
        <f aca="false">SUM(U356:U364)</f>
        <v>2721.68677922811</v>
      </c>
      <c r="V365" s="31" t="n">
        <f aca="false">SUM(V356:V364)</f>
        <v>2659.43656569023</v>
      </c>
      <c r="W365" s="31" t="n">
        <f aca="false">SUM(W356:W364)</f>
        <v>2608.38435904156</v>
      </c>
      <c r="X365" s="31" t="n">
        <f aca="false">SUM(X356:X364)</f>
        <v>2567.14396321092</v>
      </c>
      <c r="Y365" s="31" t="n">
        <f aca="false">SUM(Y356:Y364)</f>
        <v>2534.86417322955</v>
      </c>
      <c r="Z365" s="31" t="n">
        <f aca="false">SUM(Z356:Z364)</f>
        <v>2511.29709959698</v>
      </c>
      <c r="AA365" s="31" t="n">
        <f aca="false">SUM(AA356:AA364)</f>
        <v>2495.89887173101</v>
      </c>
      <c r="AB365" s="31" t="n">
        <f aca="false">SUM(AB356:AB364)</f>
        <v>2488.11455936553</v>
      </c>
      <c r="AC365" s="31" t="n">
        <f aca="false">SUM(AC356:AC364)</f>
        <v>2487.09120052111</v>
      </c>
      <c r="AD365" s="31" t="n">
        <f aca="false">SUM(AD356:AD364)</f>
        <v>2492.11669762085</v>
      </c>
      <c r="AE365" s="31" t="n">
        <f aca="false">SUM(AE356:AE364)</f>
        <v>2502.65195092633</v>
      </c>
    </row>
    <row r="367" customFormat="false" ht="15" hidden="false" customHeight="false" outlineLevel="0" collapsed="false">
      <c r="A367" s="12"/>
      <c r="B367" s="7" t="s">
        <v>118</v>
      </c>
      <c r="C367" s="8" t="s">
        <v>119</v>
      </c>
      <c r="D367" s="7" t="s">
        <v>48</v>
      </c>
      <c r="E367" s="8" t="s">
        <v>39</v>
      </c>
      <c r="F367" s="8" t="s">
        <v>49</v>
      </c>
      <c r="G367" s="8" t="s">
        <v>50</v>
      </c>
      <c r="H367" s="13" t="s">
        <v>42</v>
      </c>
      <c r="I367" s="7" t="s">
        <v>51</v>
      </c>
      <c r="J367" s="14" t="n">
        <v>2</v>
      </c>
      <c r="K367" s="7" t="n">
        <v>2021</v>
      </c>
      <c r="L367" s="15" t="n">
        <v>2022</v>
      </c>
      <c r="M367" s="7" t="n">
        <v>2023</v>
      </c>
      <c r="N367" s="7" t="n">
        <v>2024</v>
      </c>
      <c r="O367" s="7" t="n">
        <v>2025</v>
      </c>
      <c r="P367" s="7" t="n">
        <v>2026</v>
      </c>
      <c r="Q367" s="7" t="n">
        <v>2027</v>
      </c>
      <c r="R367" s="7" t="n">
        <v>2028</v>
      </c>
      <c r="S367" s="7" t="n">
        <v>2029</v>
      </c>
      <c r="T367" s="7" t="n">
        <v>2030</v>
      </c>
      <c r="U367" s="7" t="n">
        <v>2031</v>
      </c>
      <c r="V367" s="7" t="n">
        <v>2032</v>
      </c>
      <c r="W367" s="7" t="n">
        <v>2033</v>
      </c>
      <c r="X367" s="7" t="n">
        <v>2034</v>
      </c>
      <c r="Y367" s="7" t="n">
        <v>2035</v>
      </c>
      <c r="Z367" s="7" t="n">
        <v>2036</v>
      </c>
      <c r="AA367" s="7" t="n">
        <v>2037</v>
      </c>
      <c r="AB367" s="7" t="n">
        <v>2038</v>
      </c>
      <c r="AC367" s="7" t="n">
        <v>2039</v>
      </c>
      <c r="AD367" s="7" t="n">
        <v>2040</v>
      </c>
      <c r="AE367" s="7" t="n">
        <v>2041</v>
      </c>
      <c r="AF367" s="7" t="n">
        <v>2042</v>
      </c>
      <c r="AG367" s="7" t="n">
        <v>2043</v>
      </c>
      <c r="AH367" s="7" t="n">
        <v>2044</v>
      </c>
      <c r="AI367" s="7" t="n">
        <v>2045</v>
      </c>
    </row>
    <row r="368" customFormat="false" ht="15" hidden="false" customHeight="false" outlineLevel="0" collapsed="false">
      <c r="B368" s="16" t="s">
        <v>52</v>
      </c>
    </row>
    <row r="369" customFormat="false" ht="15" hidden="false" customHeight="false" outlineLevel="0" collapsed="false">
      <c r="B369" s="17" t="s">
        <v>53</v>
      </c>
      <c r="C369" s="17" t="str">
        <f aca="false">$C$367</f>
        <v>nfm</v>
      </c>
      <c r="D369" s="18" t="s">
        <v>54</v>
      </c>
      <c r="E369" s="19" t="s">
        <v>55</v>
      </c>
      <c r="F369" s="17" t="s">
        <v>56</v>
      </c>
      <c r="G369" s="20" t="str">
        <f aca="false">Settings!$B$3&amp;".mit.pbc."&amp;Settings!$B$4&amp;"."&amp;$B369&amp;".a."&amp;$J$367</f>
        <v>egy.mit.pbc.ind.coa.a.2</v>
      </c>
      <c r="H369" s="21" t="str">
        <f aca="false">Settings!$B$3&amp;".mit.ptp."&amp;$C$367&amp;"."&amp;$B369&amp;".e."&amp;$J$367</f>
        <v>egy.mit.ptp.nfm.coa.e.2</v>
      </c>
      <c r="K369" s="22" t="n">
        <f aca="false">INDEX(Data_Prices!K:K,MATCH($G369,Data_Prices!$A:$A,0))</f>
        <v>11.1829015892439</v>
      </c>
      <c r="L369" s="22" t="n">
        <f aca="false">INDEX(Data_Prices!L:L,MATCH($G369,Data_Prices!$A:$A,0))</f>
        <v>10.5233613454312</v>
      </c>
      <c r="M369" s="22" t="n">
        <f aca="false">INDEX(Data_Prices!M:M,MATCH($G369,Data_Prices!$A:$A,0))</f>
        <v>10.2995608274442</v>
      </c>
      <c r="N369" s="22" t="n">
        <f aca="false">INDEX(Data_Prices!N:N,MATCH($G369,Data_Prices!$A:$A,0))</f>
        <v>9.57752835953826</v>
      </c>
      <c r="O369" s="22" t="n">
        <f aca="false">INDEX(Data_Prices!O:O,MATCH($G369,Data_Prices!$A:$A,0))</f>
        <v>8.48547828695805</v>
      </c>
      <c r="P369" s="22" t="n">
        <f aca="false">INDEX(Data_Prices!P:P,MATCH($G369,Data_Prices!$A:$A,0))</f>
        <v>9.08719223524986</v>
      </c>
      <c r="Q369" s="22" t="n">
        <f aca="false">INDEX(Data_Prices!Q:Q,MATCH($G369,Data_Prices!$A:$A,0))</f>
        <v>9.22292372893268</v>
      </c>
      <c r="R369" s="22" t="n">
        <f aca="false">INDEX(Data_Prices!R:R,MATCH($G369,Data_Prices!$A:$A,0))</f>
        <v>9.15856495550969</v>
      </c>
      <c r="S369" s="22" t="n">
        <f aca="false">INDEX(Data_Prices!S:S,MATCH($G369,Data_Prices!$A:$A,0))</f>
        <v>9.08954787739738</v>
      </c>
      <c r="T369" s="22" t="n">
        <f aca="false">INDEX(Data_Prices!T:T,MATCH($G369,Data_Prices!$A:$A,0))</f>
        <v>9.01568166602283</v>
      </c>
      <c r="U369" s="22" t="n">
        <f aca="false">INDEX(Data_Prices!U:U,MATCH($G369,Data_Prices!$A:$A,0))</f>
        <v>8.94439776555711</v>
      </c>
      <c r="V369" s="22" t="n">
        <f aca="false">INDEX(Data_Prices!V:V,MATCH($G369,Data_Prices!$A:$A,0))</f>
        <v>8.94439776555711</v>
      </c>
      <c r="W369" s="22" t="n">
        <f aca="false">INDEX(Data_Prices!W:W,MATCH($G369,Data_Prices!$A:$A,0))</f>
        <v>8.94439776555711</v>
      </c>
      <c r="X369" s="22" t="n">
        <f aca="false">INDEX(Data_Prices!X:X,MATCH($G369,Data_Prices!$A:$A,0))</f>
        <v>8.94439776555711</v>
      </c>
      <c r="Y369" s="22" t="n">
        <f aca="false">INDEX(Data_Prices!Y:Y,MATCH($G369,Data_Prices!$A:$A,0))</f>
        <v>8.94439776555711</v>
      </c>
      <c r="Z369" s="22" t="n">
        <f aca="false">INDEX(Data_Prices!Z:Z,MATCH($G369,Data_Prices!$A:$A,0))</f>
        <v>8.94439776555711</v>
      </c>
      <c r="AA369" s="22" t="n">
        <f aca="false">INDEX(Data_Prices!AA:AA,MATCH($G369,Data_Prices!$A:$A,0))</f>
        <v>8.94439776555711</v>
      </c>
      <c r="AB369" s="22" t="n">
        <f aca="false">INDEX(Data_Prices!AB:AB,MATCH($G369,Data_Prices!$A:$A,0))</f>
        <v>8.94439776555711</v>
      </c>
      <c r="AC369" s="22" t="n">
        <f aca="false">INDEX(Data_Prices!AC:AC,MATCH($G369,Data_Prices!$A:$A,0))</f>
        <v>8.94439776555711</v>
      </c>
      <c r="AD369" s="22" t="n">
        <f aca="false">INDEX(Data_Prices!AD:AD,MATCH($G369,Data_Prices!$A:$A,0))</f>
        <v>8.94439776555711</v>
      </c>
      <c r="AE369" s="22" t="n">
        <f aca="false">INDEX(Data_Prices!AE:AE,MATCH($G369,Data_Prices!$A:$A,0))</f>
        <v>8.94439776555711</v>
      </c>
    </row>
    <row r="370" customFormat="false" ht="15" hidden="false" customHeight="false" outlineLevel="0" collapsed="false">
      <c r="B370" s="17" t="s">
        <v>57</v>
      </c>
      <c r="C370" s="17" t="str">
        <f aca="false">$C$367</f>
        <v>nfm</v>
      </c>
      <c r="D370" s="18" t="s">
        <v>58</v>
      </c>
      <c r="E370" s="19" t="s">
        <v>55</v>
      </c>
      <c r="F370" s="17" t="s">
        <v>56</v>
      </c>
      <c r="G370" s="20" t="str">
        <f aca="false">Settings!$B$3&amp;".mit.pbc."&amp;Settings!$B$4&amp;"."&amp;$B370&amp;".a."&amp;$J$367</f>
        <v>egy.mit.pbc.ind.nga.a.2</v>
      </c>
      <c r="H370" s="21" t="str">
        <f aca="false">Settings!$B$3&amp;".mit.ptp."&amp;$C$367&amp;"."&amp;$B370&amp;".e."&amp;$J$367</f>
        <v>egy.mit.ptp.nfm.nga.e.2</v>
      </c>
      <c r="K370" s="22" t="n">
        <f aca="false">INDEX(Data_Prices!K:K,MATCH($G370,Data_Prices!$A:$A,0))</f>
        <v>6.06346361567291</v>
      </c>
      <c r="L370" s="22" t="n">
        <f aca="false">INDEX(Data_Prices!L:L,MATCH($G370,Data_Prices!$A:$A,0))</f>
        <v>5.45101508161919</v>
      </c>
      <c r="M370" s="22" t="n">
        <f aca="false">INDEX(Data_Prices!M:M,MATCH($G370,Data_Prices!$A:$A,0))</f>
        <v>5.11935630626248</v>
      </c>
      <c r="N370" s="22" t="n">
        <f aca="false">INDEX(Data_Prices!N:N,MATCH($G370,Data_Prices!$A:$A,0))</f>
        <v>5.08218458640407</v>
      </c>
      <c r="O370" s="22" t="n">
        <f aca="false">INDEX(Data_Prices!O:O,MATCH($G370,Data_Prices!$A:$A,0))</f>
        <v>5.08218458640407</v>
      </c>
      <c r="P370" s="22" t="n">
        <f aca="false">INDEX(Data_Prices!P:P,MATCH($G370,Data_Prices!$A:$A,0))</f>
        <v>5.08218458640407</v>
      </c>
      <c r="Q370" s="22" t="n">
        <f aca="false">INDEX(Data_Prices!Q:Q,MATCH($G370,Data_Prices!$A:$A,0))</f>
        <v>5.08218458640407</v>
      </c>
      <c r="R370" s="22" t="n">
        <f aca="false">INDEX(Data_Prices!R:R,MATCH($G370,Data_Prices!$A:$A,0))</f>
        <v>5.08218458640407</v>
      </c>
      <c r="S370" s="22" t="n">
        <f aca="false">INDEX(Data_Prices!S:S,MATCH($G370,Data_Prices!$A:$A,0))</f>
        <v>5.08218458640407</v>
      </c>
      <c r="T370" s="22" t="n">
        <f aca="false">INDEX(Data_Prices!T:T,MATCH($G370,Data_Prices!$A:$A,0))</f>
        <v>5.08218458640407</v>
      </c>
      <c r="U370" s="22" t="n">
        <f aca="false">INDEX(Data_Prices!U:U,MATCH($G370,Data_Prices!$A:$A,0))</f>
        <v>5.08218458640407</v>
      </c>
      <c r="V370" s="22" t="n">
        <f aca="false">INDEX(Data_Prices!V:V,MATCH($G370,Data_Prices!$A:$A,0))</f>
        <v>5.08218458640407</v>
      </c>
      <c r="W370" s="22" t="n">
        <f aca="false">INDEX(Data_Prices!W:W,MATCH($G370,Data_Prices!$A:$A,0))</f>
        <v>5.08218458640407</v>
      </c>
      <c r="X370" s="22" t="n">
        <f aca="false">INDEX(Data_Prices!X:X,MATCH($G370,Data_Prices!$A:$A,0))</f>
        <v>5.08218458640407</v>
      </c>
      <c r="Y370" s="22" t="n">
        <f aca="false">INDEX(Data_Prices!Y:Y,MATCH($G370,Data_Prices!$A:$A,0))</f>
        <v>5.08218458640407</v>
      </c>
      <c r="Z370" s="22" t="n">
        <f aca="false">INDEX(Data_Prices!Z:Z,MATCH($G370,Data_Prices!$A:$A,0))</f>
        <v>5.08218458640407</v>
      </c>
      <c r="AA370" s="22" t="n">
        <f aca="false">INDEX(Data_Prices!AA:AA,MATCH($G370,Data_Prices!$A:$A,0))</f>
        <v>5.08218458640407</v>
      </c>
      <c r="AB370" s="22" t="n">
        <f aca="false">INDEX(Data_Prices!AB:AB,MATCH($G370,Data_Prices!$A:$A,0))</f>
        <v>5.08218458640407</v>
      </c>
      <c r="AC370" s="22" t="n">
        <f aca="false">INDEX(Data_Prices!AC:AC,MATCH($G370,Data_Prices!$A:$A,0))</f>
        <v>5.08218458640407</v>
      </c>
      <c r="AD370" s="22" t="n">
        <f aca="false">INDEX(Data_Prices!AD:AD,MATCH($G370,Data_Prices!$A:$A,0))</f>
        <v>5.08218458640407</v>
      </c>
      <c r="AE370" s="22" t="n">
        <f aca="false">INDEX(Data_Prices!AE:AE,MATCH($G370,Data_Prices!$A:$A,0))</f>
        <v>5.08218458640407</v>
      </c>
    </row>
    <row r="371" customFormat="false" ht="15" hidden="false" customHeight="false" outlineLevel="0" collapsed="false">
      <c r="B371" s="17" t="s">
        <v>59</v>
      </c>
      <c r="C371" s="17" t="str">
        <f aca="false">$C$367</f>
        <v>nfm</v>
      </c>
      <c r="D371" s="18" t="s">
        <v>60</v>
      </c>
      <c r="E371" s="19" t="s">
        <v>61</v>
      </c>
      <c r="F371" s="17" t="s">
        <v>56</v>
      </c>
      <c r="G371" s="20" t="str">
        <f aca="false">Settings!$B$3&amp;".mit.pbc."&amp;Settings!$B$4&amp;"."&amp;$B371&amp;".a."&amp;$J$367</f>
        <v>egy.mit.pbc.ind.gso.a.2</v>
      </c>
      <c r="H371" s="21" t="str">
        <f aca="false">Settings!$B$3&amp;".mit.ptp."&amp;$C$367&amp;"."&amp;$B371&amp;".e."&amp;$J$367</f>
        <v>egy.mit.ptp.nfm.gso.e.2</v>
      </c>
      <c r="K371" s="22" t="n">
        <f aca="false">INDEX(Data_Prices!K:K,MATCH($G371,Data_Prices!$A:$A,0))</f>
        <v>0.671146533321816</v>
      </c>
      <c r="L371" s="22" t="n">
        <f aca="false">INDEX(Data_Prices!L:L,MATCH($G371,Data_Prices!$A:$A,0))</f>
        <v>0.611977976791406</v>
      </c>
      <c r="M371" s="22" t="n">
        <f aca="false">INDEX(Data_Prices!M:M,MATCH($G371,Data_Prices!$A:$A,0))</f>
        <v>0.611809749641876</v>
      </c>
      <c r="N371" s="22" t="n">
        <f aca="false">INDEX(Data_Prices!N:N,MATCH($G371,Data_Prices!$A:$A,0))</f>
        <v>0.603583100177906</v>
      </c>
      <c r="O371" s="22" t="n">
        <f aca="false">INDEX(Data_Prices!O:O,MATCH($G371,Data_Prices!$A:$A,0))</f>
        <v>0.603583100177906</v>
      </c>
      <c r="P371" s="22" t="n">
        <f aca="false">INDEX(Data_Prices!P:P,MATCH($G371,Data_Prices!$A:$A,0))</f>
        <v>0.603583100177906</v>
      </c>
      <c r="Q371" s="22" t="n">
        <f aca="false">INDEX(Data_Prices!Q:Q,MATCH($G371,Data_Prices!$A:$A,0))</f>
        <v>0.603583100177906</v>
      </c>
      <c r="R371" s="22" t="n">
        <f aca="false">INDEX(Data_Prices!R:R,MATCH($G371,Data_Prices!$A:$A,0))</f>
        <v>0.603583100177906</v>
      </c>
      <c r="S371" s="22" t="n">
        <f aca="false">INDEX(Data_Prices!S:S,MATCH($G371,Data_Prices!$A:$A,0))</f>
        <v>0.603583100177906</v>
      </c>
      <c r="T371" s="22" t="n">
        <f aca="false">INDEX(Data_Prices!T:T,MATCH($G371,Data_Prices!$A:$A,0))</f>
        <v>0.603583100177906</v>
      </c>
      <c r="U371" s="22" t="n">
        <f aca="false">INDEX(Data_Prices!U:U,MATCH($G371,Data_Prices!$A:$A,0))</f>
        <v>0.603583100177906</v>
      </c>
      <c r="V371" s="22" t="n">
        <f aca="false">INDEX(Data_Prices!V:V,MATCH($G371,Data_Prices!$A:$A,0))</f>
        <v>0.603583100177906</v>
      </c>
      <c r="W371" s="22" t="n">
        <f aca="false">INDEX(Data_Prices!W:W,MATCH($G371,Data_Prices!$A:$A,0))</f>
        <v>0.603583100177906</v>
      </c>
      <c r="X371" s="22" t="n">
        <f aca="false">INDEX(Data_Prices!X:X,MATCH($G371,Data_Prices!$A:$A,0))</f>
        <v>0.603583100177906</v>
      </c>
      <c r="Y371" s="22" t="n">
        <f aca="false">INDEX(Data_Prices!Y:Y,MATCH($G371,Data_Prices!$A:$A,0))</f>
        <v>0.603583100177906</v>
      </c>
      <c r="Z371" s="22" t="n">
        <f aca="false">INDEX(Data_Prices!Z:Z,MATCH($G371,Data_Prices!$A:$A,0))</f>
        <v>0.603583100177906</v>
      </c>
      <c r="AA371" s="22" t="n">
        <f aca="false">INDEX(Data_Prices!AA:AA,MATCH($G371,Data_Prices!$A:$A,0))</f>
        <v>0.603583100177906</v>
      </c>
      <c r="AB371" s="22" t="n">
        <f aca="false">INDEX(Data_Prices!AB:AB,MATCH($G371,Data_Prices!$A:$A,0))</f>
        <v>0.603583100177906</v>
      </c>
      <c r="AC371" s="22" t="n">
        <f aca="false">INDEX(Data_Prices!AC:AC,MATCH($G371,Data_Prices!$A:$A,0))</f>
        <v>0.603583100177906</v>
      </c>
      <c r="AD371" s="22" t="n">
        <f aca="false">INDEX(Data_Prices!AD:AD,MATCH($G371,Data_Prices!$A:$A,0))</f>
        <v>0.603583100177906</v>
      </c>
      <c r="AE371" s="22" t="n">
        <f aca="false">INDEX(Data_Prices!AE:AE,MATCH($G371,Data_Prices!$A:$A,0))</f>
        <v>0.603583100177906</v>
      </c>
    </row>
    <row r="372" customFormat="false" ht="15" hidden="false" customHeight="false" outlineLevel="0" collapsed="false">
      <c r="B372" s="17" t="s">
        <v>62</v>
      </c>
      <c r="C372" s="17" t="str">
        <f aca="false">$C$367</f>
        <v>nfm</v>
      </c>
      <c r="D372" s="18" t="s">
        <v>63</v>
      </c>
      <c r="E372" s="19" t="s">
        <v>61</v>
      </c>
      <c r="F372" s="17" t="s">
        <v>56</v>
      </c>
      <c r="G372" s="20" t="str">
        <f aca="false">Settings!$B$3&amp;".mit.pbc."&amp;Settings!$B$4&amp;"."&amp;$B372&amp;".a."&amp;$J$367</f>
        <v>egy.mit.pbc.ind.die.a.2</v>
      </c>
      <c r="H372" s="21" t="str">
        <f aca="false">Settings!$B$3&amp;".mit.ptp."&amp;$C$367&amp;"."&amp;$B372&amp;".e."&amp;$J$367</f>
        <v>egy.mit.ptp.nfm.die.e.2</v>
      </c>
      <c r="K372" s="22" t="n">
        <f aca="false">INDEX(Data_Prices!K:K,MATCH($G372,Data_Prices!$A:$A,0))</f>
        <v>0.559711213155688</v>
      </c>
      <c r="L372" s="22" t="n">
        <f aca="false">INDEX(Data_Prices!L:L,MATCH($G372,Data_Prices!$A:$A,0))</f>
        <v>0.494588730841068</v>
      </c>
      <c r="M372" s="22" t="n">
        <f aca="false">INDEX(Data_Prices!M:M,MATCH($G372,Data_Prices!$A:$A,0))</f>
        <v>0.507786547202501</v>
      </c>
      <c r="N372" s="22" t="n">
        <f aca="false">INDEX(Data_Prices!N:N,MATCH($G372,Data_Prices!$A:$A,0))</f>
        <v>0.470436426795617</v>
      </c>
      <c r="O372" s="22" t="n">
        <f aca="false">INDEX(Data_Prices!O:O,MATCH($G372,Data_Prices!$A:$A,0))</f>
        <v>0.470436426795617</v>
      </c>
      <c r="P372" s="22" t="n">
        <f aca="false">INDEX(Data_Prices!P:P,MATCH($G372,Data_Prices!$A:$A,0))</f>
        <v>0.470436426795617</v>
      </c>
      <c r="Q372" s="22" t="n">
        <f aca="false">INDEX(Data_Prices!Q:Q,MATCH($G372,Data_Prices!$A:$A,0))</f>
        <v>0.470436426795617</v>
      </c>
      <c r="R372" s="22" t="n">
        <f aca="false">INDEX(Data_Prices!R:R,MATCH($G372,Data_Prices!$A:$A,0))</f>
        <v>0.470436426795617</v>
      </c>
      <c r="S372" s="22" t="n">
        <f aca="false">INDEX(Data_Prices!S:S,MATCH($G372,Data_Prices!$A:$A,0))</f>
        <v>0.470436426795617</v>
      </c>
      <c r="T372" s="22" t="n">
        <f aca="false">INDEX(Data_Prices!T:T,MATCH($G372,Data_Prices!$A:$A,0))</f>
        <v>0.470436426795617</v>
      </c>
      <c r="U372" s="22" t="n">
        <f aca="false">INDEX(Data_Prices!U:U,MATCH($G372,Data_Prices!$A:$A,0))</f>
        <v>0.470436426795617</v>
      </c>
      <c r="V372" s="22" t="n">
        <f aca="false">INDEX(Data_Prices!V:V,MATCH($G372,Data_Prices!$A:$A,0))</f>
        <v>0.470436426795617</v>
      </c>
      <c r="W372" s="22" t="n">
        <f aca="false">INDEX(Data_Prices!W:W,MATCH($G372,Data_Prices!$A:$A,0))</f>
        <v>0.470436426795617</v>
      </c>
      <c r="X372" s="22" t="n">
        <f aca="false">INDEX(Data_Prices!X:X,MATCH($G372,Data_Prices!$A:$A,0))</f>
        <v>0.470436426795617</v>
      </c>
      <c r="Y372" s="22" t="n">
        <f aca="false">INDEX(Data_Prices!Y:Y,MATCH($G372,Data_Prices!$A:$A,0))</f>
        <v>0.470436426795617</v>
      </c>
      <c r="Z372" s="22" t="n">
        <f aca="false">INDEX(Data_Prices!Z:Z,MATCH($G372,Data_Prices!$A:$A,0))</f>
        <v>0.470436426795617</v>
      </c>
      <c r="AA372" s="22" t="n">
        <f aca="false">INDEX(Data_Prices!AA:AA,MATCH($G372,Data_Prices!$A:$A,0))</f>
        <v>0.470436426795617</v>
      </c>
      <c r="AB372" s="22" t="n">
        <f aca="false">INDEX(Data_Prices!AB:AB,MATCH($G372,Data_Prices!$A:$A,0))</f>
        <v>0.470436426795617</v>
      </c>
      <c r="AC372" s="22" t="n">
        <f aca="false">INDEX(Data_Prices!AC:AC,MATCH($G372,Data_Prices!$A:$A,0))</f>
        <v>0.470436426795617</v>
      </c>
      <c r="AD372" s="22" t="n">
        <f aca="false">INDEX(Data_Prices!AD:AD,MATCH($G372,Data_Prices!$A:$A,0))</f>
        <v>0.470436426795617</v>
      </c>
      <c r="AE372" s="22" t="n">
        <f aca="false">INDEX(Data_Prices!AE:AE,MATCH($G372,Data_Prices!$A:$A,0))</f>
        <v>0.470436426795617</v>
      </c>
    </row>
    <row r="373" customFormat="false" ht="15" hidden="false" customHeight="false" outlineLevel="0" collapsed="false">
      <c r="B373" s="17" t="s">
        <v>64</v>
      </c>
      <c r="C373" s="17" t="str">
        <f aca="false">$C$367</f>
        <v>nfm</v>
      </c>
      <c r="D373" s="18" t="s">
        <v>65</v>
      </c>
      <c r="E373" s="19" t="s">
        <v>61</v>
      </c>
      <c r="F373" s="17" t="s">
        <v>56</v>
      </c>
      <c r="G373" s="20" t="str">
        <f aca="false">Settings!$B$3&amp;".mit.pbc."&amp;Settings!$B$4&amp;"."&amp;$B373&amp;".a."&amp;$J$367</f>
        <v>egy.mit.pbc.ind.lpg.a.2</v>
      </c>
      <c r="H373" s="21" t="str">
        <f aca="false">Settings!$B$3&amp;".mit.ptp."&amp;$C$367&amp;"."&amp;$B373&amp;".e."&amp;$J$367</f>
        <v>egy.mit.ptp.nfm.lpg.e.2</v>
      </c>
      <c r="K373" s="22" t="n">
        <f aca="false">INDEX(Data_Prices!K:K,MATCH($G373,Data_Prices!$A:$A,0))</f>
        <v>0.200366691126738</v>
      </c>
      <c r="L373" s="22" t="n">
        <f aca="false">INDEX(Data_Prices!L:L,MATCH($G373,Data_Prices!$A:$A,0))</f>
        <v>0.157344736252274</v>
      </c>
      <c r="M373" s="22" t="n">
        <f aca="false">INDEX(Data_Prices!M:M,MATCH($G373,Data_Prices!$A:$A,0))</f>
        <v>0.164484037759277</v>
      </c>
      <c r="N373" s="22" t="n">
        <f aca="false">INDEX(Data_Prices!N:N,MATCH($G373,Data_Prices!$A:$A,0))</f>
        <v>0.150709077807049</v>
      </c>
      <c r="O373" s="22" t="n">
        <f aca="false">INDEX(Data_Prices!O:O,MATCH($G373,Data_Prices!$A:$A,0))</f>
        <v>0.150709077807049</v>
      </c>
      <c r="P373" s="22" t="n">
        <f aca="false">INDEX(Data_Prices!P:P,MATCH($G373,Data_Prices!$A:$A,0))</f>
        <v>0.150709077807049</v>
      </c>
      <c r="Q373" s="22" t="n">
        <f aca="false">INDEX(Data_Prices!Q:Q,MATCH($G373,Data_Prices!$A:$A,0))</f>
        <v>0.150709077807049</v>
      </c>
      <c r="R373" s="22" t="n">
        <f aca="false">INDEX(Data_Prices!R:R,MATCH($G373,Data_Prices!$A:$A,0))</f>
        <v>0.150709077807049</v>
      </c>
      <c r="S373" s="22" t="n">
        <f aca="false">INDEX(Data_Prices!S:S,MATCH($G373,Data_Prices!$A:$A,0))</f>
        <v>0.150709077807049</v>
      </c>
      <c r="T373" s="22" t="n">
        <f aca="false">INDEX(Data_Prices!T:T,MATCH($G373,Data_Prices!$A:$A,0))</f>
        <v>0.150709077807049</v>
      </c>
      <c r="U373" s="22" t="n">
        <f aca="false">INDEX(Data_Prices!U:U,MATCH($G373,Data_Prices!$A:$A,0))</f>
        <v>0.150709077807049</v>
      </c>
      <c r="V373" s="22" t="n">
        <f aca="false">INDEX(Data_Prices!V:V,MATCH($G373,Data_Prices!$A:$A,0))</f>
        <v>0.150709077807049</v>
      </c>
      <c r="W373" s="22" t="n">
        <f aca="false">INDEX(Data_Prices!W:W,MATCH($G373,Data_Prices!$A:$A,0))</f>
        <v>0.150709077807049</v>
      </c>
      <c r="X373" s="22" t="n">
        <f aca="false">INDEX(Data_Prices!X:X,MATCH($G373,Data_Prices!$A:$A,0))</f>
        <v>0.150709077807049</v>
      </c>
      <c r="Y373" s="22" t="n">
        <f aca="false">INDEX(Data_Prices!Y:Y,MATCH($G373,Data_Prices!$A:$A,0))</f>
        <v>0.150709077807049</v>
      </c>
      <c r="Z373" s="22" t="n">
        <f aca="false">INDEX(Data_Prices!Z:Z,MATCH($G373,Data_Prices!$A:$A,0))</f>
        <v>0.150709077807049</v>
      </c>
      <c r="AA373" s="22" t="n">
        <f aca="false">INDEX(Data_Prices!AA:AA,MATCH($G373,Data_Prices!$A:$A,0))</f>
        <v>0.150709077807049</v>
      </c>
      <c r="AB373" s="22" t="n">
        <f aca="false">INDEX(Data_Prices!AB:AB,MATCH($G373,Data_Prices!$A:$A,0))</f>
        <v>0.150709077807049</v>
      </c>
      <c r="AC373" s="22" t="n">
        <f aca="false">INDEX(Data_Prices!AC:AC,MATCH($G373,Data_Prices!$A:$A,0))</f>
        <v>0.150709077807049</v>
      </c>
      <c r="AD373" s="22" t="n">
        <f aca="false">INDEX(Data_Prices!AD:AD,MATCH($G373,Data_Prices!$A:$A,0))</f>
        <v>0.150709077807049</v>
      </c>
      <c r="AE373" s="22" t="n">
        <f aca="false">INDEX(Data_Prices!AE:AE,MATCH($G373,Data_Prices!$A:$A,0))</f>
        <v>0.150709077807049</v>
      </c>
    </row>
    <row r="374" customFormat="false" ht="15" hidden="false" customHeight="false" outlineLevel="0" collapsed="false">
      <c r="B374" s="17" t="s">
        <v>66</v>
      </c>
      <c r="C374" s="17" t="str">
        <f aca="false">$C$367</f>
        <v>nfm</v>
      </c>
      <c r="D374" s="18" t="s">
        <v>67</v>
      </c>
      <c r="E374" s="19" t="s">
        <v>61</v>
      </c>
      <c r="F374" s="17" t="s">
        <v>56</v>
      </c>
      <c r="G374" s="20" t="str">
        <f aca="false">Settings!$B$3&amp;".mit.pbc."&amp;Settings!$B$4&amp;"."&amp;$B374&amp;".a."&amp;$J$367</f>
        <v>egy.mit.pbc.ind.ker.a.2</v>
      </c>
      <c r="H374" s="21" t="str">
        <f aca="false">Settings!$B$3&amp;".mit.ptp."&amp;$C$367&amp;"."&amp;$B374&amp;".e."&amp;$J$367</f>
        <v>egy.mit.ptp.nfm.ker.e.2</v>
      </c>
      <c r="K374" s="22" t="n">
        <f aca="false">INDEX(Data_Prices!K:K,MATCH($G374,Data_Prices!$A:$A,0))</f>
        <v>0.484294240973435</v>
      </c>
      <c r="L374" s="22" t="n">
        <f aca="false">INDEX(Data_Prices!L:L,MATCH($G374,Data_Prices!$A:$A,0))</f>
        <v>0.456428170500128</v>
      </c>
      <c r="M374" s="22" t="n">
        <f aca="false">INDEX(Data_Prices!M:M,MATCH($G374,Data_Prices!$A:$A,0))</f>
        <v>0.431689201955995</v>
      </c>
      <c r="N374" s="22" t="n">
        <f aca="false">INDEX(Data_Prices!N:N,MATCH($G374,Data_Prices!$A:$A,0))</f>
        <v>0.42507558395597</v>
      </c>
      <c r="O374" s="22" t="n">
        <f aca="false">INDEX(Data_Prices!O:O,MATCH($G374,Data_Prices!$A:$A,0))</f>
        <v>0.42507558395597</v>
      </c>
      <c r="P374" s="22" t="n">
        <f aca="false">INDEX(Data_Prices!P:P,MATCH($G374,Data_Prices!$A:$A,0))</f>
        <v>0.42507558395597</v>
      </c>
      <c r="Q374" s="22" t="n">
        <f aca="false">INDEX(Data_Prices!Q:Q,MATCH($G374,Data_Prices!$A:$A,0))</f>
        <v>0.42507558395597</v>
      </c>
      <c r="R374" s="22" t="n">
        <f aca="false">INDEX(Data_Prices!R:R,MATCH($G374,Data_Prices!$A:$A,0))</f>
        <v>0.42507558395597</v>
      </c>
      <c r="S374" s="22" t="n">
        <f aca="false">INDEX(Data_Prices!S:S,MATCH($G374,Data_Prices!$A:$A,0))</f>
        <v>0.42507558395597</v>
      </c>
      <c r="T374" s="22" t="n">
        <f aca="false">INDEX(Data_Prices!T:T,MATCH($G374,Data_Prices!$A:$A,0))</f>
        <v>0.42507558395597</v>
      </c>
      <c r="U374" s="22" t="n">
        <f aca="false">INDEX(Data_Prices!U:U,MATCH($G374,Data_Prices!$A:$A,0))</f>
        <v>0.42507558395597</v>
      </c>
      <c r="V374" s="22" t="n">
        <f aca="false">INDEX(Data_Prices!V:V,MATCH($G374,Data_Prices!$A:$A,0))</f>
        <v>0.42507558395597</v>
      </c>
      <c r="W374" s="22" t="n">
        <f aca="false">INDEX(Data_Prices!W:W,MATCH($G374,Data_Prices!$A:$A,0))</f>
        <v>0.42507558395597</v>
      </c>
      <c r="X374" s="22" t="n">
        <f aca="false">INDEX(Data_Prices!X:X,MATCH($G374,Data_Prices!$A:$A,0))</f>
        <v>0.42507558395597</v>
      </c>
      <c r="Y374" s="22" t="n">
        <f aca="false">INDEX(Data_Prices!Y:Y,MATCH($G374,Data_Prices!$A:$A,0))</f>
        <v>0.42507558395597</v>
      </c>
      <c r="Z374" s="22" t="n">
        <f aca="false">INDEX(Data_Prices!Z:Z,MATCH($G374,Data_Prices!$A:$A,0))</f>
        <v>0.42507558395597</v>
      </c>
      <c r="AA374" s="22" t="n">
        <f aca="false">INDEX(Data_Prices!AA:AA,MATCH($G374,Data_Prices!$A:$A,0))</f>
        <v>0.42507558395597</v>
      </c>
      <c r="AB374" s="22" t="n">
        <f aca="false">INDEX(Data_Prices!AB:AB,MATCH($G374,Data_Prices!$A:$A,0))</f>
        <v>0.42507558395597</v>
      </c>
      <c r="AC374" s="22" t="n">
        <f aca="false">INDEX(Data_Prices!AC:AC,MATCH($G374,Data_Prices!$A:$A,0))</f>
        <v>0.42507558395597</v>
      </c>
      <c r="AD374" s="22" t="n">
        <f aca="false">INDEX(Data_Prices!AD:AD,MATCH($G374,Data_Prices!$A:$A,0))</f>
        <v>0.42507558395597</v>
      </c>
      <c r="AE374" s="22" t="n">
        <f aca="false">INDEX(Data_Prices!AE:AE,MATCH($G374,Data_Prices!$A:$A,0))</f>
        <v>0.42507558395597</v>
      </c>
    </row>
    <row r="375" customFormat="false" ht="15" hidden="false" customHeight="false" outlineLevel="0" collapsed="false">
      <c r="B375" s="17" t="s">
        <v>68</v>
      </c>
      <c r="C375" s="17" t="str">
        <f aca="false">$C$367</f>
        <v>nfm</v>
      </c>
      <c r="D375" s="18" t="s">
        <v>69</v>
      </c>
      <c r="E375" s="19" t="s">
        <v>70</v>
      </c>
      <c r="F375" s="17" t="s">
        <v>56</v>
      </c>
      <c r="G375" s="20" t="str">
        <f aca="false">Settings!$B$3&amp;".mit.pbc."&amp;Settings!$B$4&amp;"."&amp;$B375&amp;".a."&amp;$J$367</f>
        <v>egy.mit.pbc.ind.oop.a.2</v>
      </c>
      <c r="H375" s="21" t="str">
        <f aca="false">Settings!$B$3&amp;".mit.ptp."&amp;$C$367&amp;"."&amp;$B375&amp;".e."&amp;$J$367</f>
        <v>egy.mit.ptp.nfm.oop.e.2</v>
      </c>
      <c r="K375" s="22" t="n">
        <f aca="false">INDEX(Data_Prices!K:K,MATCH($G375,Data_Prices!$A:$A,0))</f>
        <v>41.5003384988684</v>
      </c>
      <c r="L375" s="22" t="n">
        <f aca="false">INDEX(Data_Prices!L:L,MATCH($G375,Data_Prices!$A:$A,0))</f>
        <v>34.4153703043132</v>
      </c>
      <c r="M375" s="22" t="n">
        <f aca="false">INDEX(Data_Prices!M:M,MATCH($G375,Data_Prices!$A:$A,0))</f>
        <v>37.368960690432</v>
      </c>
      <c r="N375" s="22" t="n">
        <f aca="false">INDEX(Data_Prices!N:N,MATCH($G375,Data_Prices!$A:$A,0))</f>
        <v>28.9827611014773</v>
      </c>
      <c r="O375" s="22" t="n">
        <f aca="false">INDEX(Data_Prices!O:O,MATCH($G375,Data_Prices!$A:$A,0))</f>
        <v>15</v>
      </c>
      <c r="P375" s="22" t="n">
        <f aca="false">INDEX(Data_Prices!P:P,MATCH($G375,Data_Prices!$A:$A,0))</f>
        <v>24.2586300842555</v>
      </c>
      <c r="Q375" s="22" t="n">
        <f aca="false">INDEX(Data_Prices!Q:Q,MATCH($G375,Data_Prices!$A:$A,0))</f>
        <v>13.0962081961325</v>
      </c>
      <c r="R375" s="22" t="n">
        <f aca="false">INDEX(Data_Prices!R:R,MATCH($G375,Data_Prices!$A:$A,0))</f>
        <v>10.0252451140106</v>
      </c>
      <c r="S375" s="22" t="n">
        <f aca="false">INDEX(Data_Prices!S:S,MATCH($G375,Data_Prices!$A:$A,0))</f>
        <v>8.47723069137362</v>
      </c>
      <c r="T375" s="22" t="n">
        <f aca="false">INDEX(Data_Prices!T:T,MATCH($G375,Data_Prices!$A:$A,0))</f>
        <v>7.12348244520922</v>
      </c>
      <c r="U375" s="22" t="n">
        <f aca="false">INDEX(Data_Prices!U:U,MATCH($G375,Data_Prices!$A:$A,0))</f>
        <v>5.65275973941006</v>
      </c>
      <c r="V375" s="22" t="n">
        <f aca="false">INDEX(Data_Prices!V:V,MATCH($G375,Data_Prices!$A:$A,0))</f>
        <v>5.65275973941006</v>
      </c>
      <c r="W375" s="22" t="n">
        <f aca="false">INDEX(Data_Prices!W:W,MATCH($G375,Data_Prices!$A:$A,0))</f>
        <v>5.65275973941006</v>
      </c>
      <c r="X375" s="22" t="n">
        <f aca="false">INDEX(Data_Prices!X:X,MATCH($G375,Data_Prices!$A:$A,0))</f>
        <v>5.65275973941006</v>
      </c>
      <c r="Y375" s="22" t="n">
        <f aca="false">INDEX(Data_Prices!Y:Y,MATCH($G375,Data_Prices!$A:$A,0))</f>
        <v>5.65275973941006</v>
      </c>
      <c r="Z375" s="22" t="n">
        <f aca="false">INDEX(Data_Prices!Z:Z,MATCH($G375,Data_Prices!$A:$A,0))</f>
        <v>5.65275973941007</v>
      </c>
      <c r="AA375" s="22" t="n">
        <f aca="false">INDEX(Data_Prices!AA:AA,MATCH($G375,Data_Prices!$A:$A,0))</f>
        <v>5.65275973941006</v>
      </c>
      <c r="AB375" s="22" t="n">
        <f aca="false">INDEX(Data_Prices!AB:AB,MATCH($G375,Data_Prices!$A:$A,0))</f>
        <v>5.65275973941006</v>
      </c>
      <c r="AC375" s="22" t="n">
        <f aca="false">INDEX(Data_Prices!AC:AC,MATCH($G375,Data_Prices!$A:$A,0))</f>
        <v>5.65275973941004</v>
      </c>
      <c r="AD375" s="22" t="n">
        <f aca="false">INDEX(Data_Prices!AD:AD,MATCH($G375,Data_Prices!$A:$A,0))</f>
        <v>5.65275973941006</v>
      </c>
      <c r="AE375" s="22" t="n">
        <f aca="false">INDEX(Data_Prices!AE:AE,MATCH($G375,Data_Prices!$A:$A,0))</f>
        <v>5.65275973941004</v>
      </c>
    </row>
    <row r="376" customFormat="false" ht="15" hidden="false" customHeight="false" outlineLevel="0" collapsed="false">
      <c r="B376" s="17" t="s">
        <v>71</v>
      </c>
      <c r="C376" s="17" t="str">
        <f aca="false">$C$367</f>
        <v>nfm</v>
      </c>
      <c r="D376" s="18" t="s">
        <v>72</v>
      </c>
      <c r="E376" s="19" t="s">
        <v>55</v>
      </c>
      <c r="F376" s="17" t="s">
        <v>56</v>
      </c>
      <c r="G376" s="20" t="str">
        <f aca="false">Settings!$B$3&amp;".mit.pbc."&amp;Settings!$B$4&amp;"."&amp;$B376&amp;".a."&amp;$J$367</f>
        <v>egy.mit.pbc.ind.bio.a.2</v>
      </c>
      <c r="H376" s="21" t="str">
        <f aca="false">Settings!$B$3&amp;".mit.ptp."&amp;$C$367&amp;"."&amp;$B376&amp;".e."&amp;$J$367</f>
        <v>egy.mit.ptp.nfm.bio.e.2</v>
      </c>
      <c r="K376" s="22" t="n">
        <f aca="false">INDEX(Data_Prices!K:K,MATCH($G376,Data_Prices!$A:$A,0))</f>
        <v>15.3345505293169</v>
      </c>
      <c r="L376" s="22" t="n">
        <f aca="false">INDEX(Data_Prices!L:L,MATCH($G376,Data_Prices!$A:$A,0))</f>
        <v>14.1995283906349</v>
      </c>
      <c r="M376" s="22" t="n">
        <f aca="false">INDEX(Data_Prices!M:M,MATCH($G376,Data_Prices!$A:$A,0))</f>
        <v>13.8404416133152</v>
      </c>
      <c r="N376" s="22" t="n">
        <f aca="false">INDEX(Data_Prices!N:N,MATCH($G376,Data_Prices!$A:$A,0))</f>
        <v>13.5677269404465</v>
      </c>
      <c r="O376" s="22" t="n">
        <f aca="false">INDEX(Data_Prices!O:O,MATCH($G376,Data_Prices!$A:$A,0))</f>
        <v>13.5677269404465</v>
      </c>
      <c r="P376" s="22" t="n">
        <f aca="false">INDEX(Data_Prices!P:P,MATCH($G376,Data_Prices!$A:$A,0))</f>
        <v>13.5677269404465</v>
      </c>
      <c r="Q376" s="22" t="n">
        <f aca="false">INDEX(Data_Prices!Q:Q,MATCH($G376,Data_Prices!$A:$A,0))</f>
        <v>13.5677269404465</v>
      </c>
      <c r="R376" s="22" t="n">
        <f aca="false">INDEX(Data_Prices!R:R,MATCH($G376,Data_Prices!$A:$A,0))</f>
        <v>13.5677269404465</v>
      </c>
      <c r="S376" s="22" t="n">
        <f aca="false">INDEX(Data_Prices!S:S,MATCH($G376,Data_Prices!$A:$A,0))</f>
        <v>13.5677269404465</v>
      </c>
      <c r="T376" s="22" t="n">
        <f aca="false">INDEX(Data_Prices!T:T,MATCH($G376,Data_Prices!$A:$A,0))</f>
        <v>13.5677269404465</v>
      </c>
      <c r="U376" s="22" t="n">
        <f aca="false">INDEX(Data_Prices!U:U,MATCH($G376,Data_Prices!$A:$A,0))</f>
        <v>13.5677269404465</v>
      </c>
      <c r="V376" s="22" t="n">
        <f aca="false">INDEX(Data_Prices!V:V,MATCH($G376,Data_Prices!$A:$A,0))</f>
        <v>13.5677269404465</v>
      </c>
      <c r="W376" s="22" t="n">
        <f aca="false">INDEX(Data_Prices!W:W,MATCH($G376,Data_Prices!$A:$A,0))</f>
        <v>13.5677269404465</v>
      </c>
      <c r="X376" s="22" t="n">
        <f aca="false">INDEX(Data_Prices!X:X,MATCH($G376,Data_Prices!$A:$A,0))</f>
        <v>13.5677269404465</v>
      </c>
      <c r="Y376" s="22" t="n">
        <f aca="false">INDEX(Data_Prices!Y:Y,MATCH($G376,Data_Prices!$A:$A,0))</f>
        <v>13.5677269404465</v>
      </c>
      <c r="Z376" s="22" t="n">
        <f aca="false">INDEX(Data_Prices!Z:Z,MATCH($G376,Data_Prices!$A:$A,0))</f>
        <v>13.5677269404465</v>
      </c>
      <c r="AA376" s="22" t="n">
        <f aca="false">INDEX(Data_Prices!AA:AA,MATCH($G376,Data_Prices!$A:$A,0))</f>
        <v>13.5677269404465</v>
      </c>
      <c r="AB376" s="22" t="n">
        <f aca="false">INDEX(Data_Prices!AB:AB,MATCH($G376,Data_Prices!$A:$A,0))</f>
        <v>13.5677269404465</v>
      </c>
      <c r="AC376" s="22" t="n">
        <f aca="false">INDEX(Data_Prices!AC:AC,MATCH($G376,Data_Prices!$A:$A,0))</f>
        <v>13.5677269404465</v>
      </c>
      <c r="AD376" s="22" t="n">
        <f aca="false">INDEX(Data_Prices!AD:AD,MATCH($G376,Data_Prices!$A:$A,0))</f>
        <v>13.5677269404465</v>
      </c>
      <c r="AE376" s="22" t="n">
        <f aca="false">INDEX(Data_Prices!AE:AE,MATCH($G376,Data_Prices!$A:$A,0))</f>
        <v>13.5677269404465</v>
      </c>
    </row>
    <row r="377" customFormat="false" ht="15" hidden="false" customHeight="false" outlineLevel="0" collapsed="false">
      <c r="B377" s="17" t="s">
        <v>73</v>
      </c>
      <c r="C377" s="17" t="str">
        <f aca="false">$C$367</f>
        <v>nfm</v>
      </c>
      <c r="D377" s="18" t="s">
        <v>74</v>
      </c>
      <c r="E377" s="19" t="s">
        <v>75</v>
      </c>
      <c r="F377" s="17" t="s">
        <v>56</v>
      </c>
      <c r="G377" s="20" t="str">
        <f aca="false">Settings!$B$3&amp;".mit.pbc."&amp;Settings!$B$4&amp;"."&amp;$B377&amp;".a."&amp;$J$367</f>
        <v>egy.mit.pbc.ind.ren.a.2</v>
      </c>
      <c r="H377" s="21" t="str">
        <f aca="false">Settings!$B$3&amp;".mit.ptp."&amp;$C$367&amp;"."&amp;$B377&amp;".e."&amp;$J$367</f>
        <v>egy.mit.ptp.nfm.ren.e.2</v>
      </c>
      <c r="K377" s="22" t="n">
        <f aca="false">INDEX(Data_Prices!K:K,MATCH($G377,Data_Prices!$A:$A,0))</f>
        <v>0</v>
      </c>
      <c r="L377" s="22" t="n">
        <f aca="false">INDEX(Data_Prices!L:L,MATCH($G377,Data_Prices!$A:$A,0))</f>
        <v>0.144044986793198</v>
      </c>
      <c r="M377" s="22" t="n">
        <f aca="false">INDEX(Data_Prices!M:M,MATCH($G377,Data_Prices!$A:$A,0))</f>
        <v>0.141386241751359</v>
      </c>
      <c r="N377" s="22" t="n">
        <f aca="false">INDEX(Data_Prices!N:N,MATCH($G377,Data_Prices!$A:$A,0))</f>
        <v>0.135397565443731</v>
      </c>
      <c r="O377" s="22" t="n">
        <f aca="false">INDEX(Data_Prices!O:O,MATCH($G377,Data_Prices!$A:$A,0))</f>
        <v>0.131522885420651</v>
      </c>
      <c r="P377" s="22" t="n">
        <f aca="false">INDEX(Data_Prices!P:P,MATCH($G377,Data_Prices!$A:$A,0))</f>
        <v>0.128826108485231</v>
      </c>
      <c r="Q377" s="22" t="n">
        <f aca="false">INDEX(Data_Prices!Q:Q,MATCH($G377,Data_Prices!$A:$A,0))</f>
        <v>0.12594200976474</v>
      </c>
      <c r="R377" s="22" t="n">
        <f aca="false">INDEX(Data_Prices!R:R,MATCH($G377,Data_Prices!$A:$A,0))</f>
        <v>0.123113265701861</v>
      </c>
      <c r="S377" s="22" t="n">
        <f aca="false">INDEX(Data_Prices!S:S,MATCH($G377,Data_Prices!$A:$A,0))</f>
        <v>0.119391738089068</v>
      </c>
      <c r="T377" s="22" t="n">
        <f aca="false">INDEX(Data_Prices!T:T,MATCH($G377,Data_Prices!$A:$A,0))</f>
        <v>0.11554419046792</v>
      </c>
      <c r="U377" s="22" t="n">
        <f aca="false">INDEX(Data_Prices!U:U,MATCH($G377,Data_Prices!$A:$A,0))</f>
        <v>0.114924230654159</v>
      </c>
      <c r="V377" s="22" t="n">
        <f aca="false">INDEX(Data_Prices!V:V,MATCH($G377,Data_Prices!$A:$A,0))</f>
        <v>0.114346912116736</v>
      </c>
      <c r="W377" s="22" t="n">
        <f aca="false">INDEX(Data_Prices!W:W,MATCH($G377,Data_Prices!$A:$A,0))</f>
        <v>0.113738711172664</v>
      </c>
      <c r="X377" s="22" t="n">
        <f aca="false">INDEX(Data_Prices!X:X,MATCH($G377,Data_Prices!$A:$A,0))</f>
        <v>0.112999900487521</v>
      </c>
      <c r="Y377" s="22" t="n">
        <f aca="false">INDEX(Data_Prices!Y:Y,MATCH($G377,Data_Prices!$A:$A,0))</f>
        <v>0.112177685835534</v>
      </c>
      <c r="Z377" s="22" t="n">
        <f aca="false">INDEX(Data_Prices!Z:Z,MATCH($G377,Data_Prices!$A:$A,0))</f>
        <v>0.111417903250404</v>
      </c>
      <c r="AA377" s="22" t="n">
        <f aca="false">INDEX(Data_Prices!AA:AA,MATCH($G377,Data_Prices!$A:$A,0))</f>
        <v>0.110525819985454</v>
      </c>
      <c r="AB377" s="22" t="n">
        <f aca="false">INDEX(Data_Prices!AB:AB,MATCH($G377,Data_Prices!$A:$A,0))</f>
        <v>0.109699565234896</v>
      </c>
      <c r="AC377" s="22" t="n">
        <f aca="false">INDEX(Data_Prices!AC:AC,MATCH($G377,Data_Prices!$A:$A,0))</f>
        <v>0.107726788963949</v>
      </c>
      <c r="AD377" s="22" t="n">
        <f aca="false">INDEX(Data_Prices!AD:AD,MATCH($G377,Data_Prices!$A:$A,0))</f>
        <v>0.105820924450935</v>
      </c>
      <c r="AE377" s="22" t="n">
        <f aca="false">INDEX(Data_Prices!AE:AE,MATCH($G377,Data_Prices!$A:$A,0))</f>
        <v>0.103855595705721</v>
      </c>
    </row>
    <row r="378" customFormat="false" ht="15" hidden="false" customHeight="false" outlineLevel="0" collapsed="false">
      <c r="B378" s="16" t="s">
        <v>76</v>
      </c>
    </row>
    <row r="379" customFormat="false" ht="15" hidden="false" customHeight="false" outlineLevel="0" collapsed="false">
      <c r="B379" s="17" t="s">
        <v>53</v>
      </c>
      <c r="C379" s="17" t="str">
        <f aca="false">$C$367</f>
        <v>nfm</v>
      </c>
      <c r="D379" s="18" t="s">
        <v>54</v>
      </c>
      <c r="E379" s="19" t="s">
        <v>55</v>
      </c>
      <c r="F379" s="17" t="s">
        <v>77</v>
      </c>
      <c r="G379" s="20" t="str">
        <f aca="false">Settings!$B$3&amp;".mit.nce."&amp;Settings!$B$4&amp;"."&amp;$B379&amp;".a."&amp;$J$367</f>
        <v>egy.mit.nce.ind.coa.a.2</v>
      </c>
      <c r="H379" s="21" t="str">
        <f aca="false">Settings!$B$3&amp;".mit.atp."&amp;$C$367&amp;"."&amp;$B379&amp;".e."&amp;$J$367</f>
        <v>egy.mit.atp.nfm.coa.e.2</v>
      </c>
      <c r="K379" s="22" t="n">
        <f aca="false">K369+INDEX(Data_Prices!K:K,MATCH($G379,Data_Prices!$A:$A,0))*K$399</f>
        <v>11.1829015892439</v>
      </c>
      <c r="L379" s="22" t="n">
        <f aca="false">L369+INDEX(Data_Prices!L:L,MATCH($G379,Data_Prices!$A:$A,0))*L$399</f>
        <v>10.5233613454312</v>
      </c>
      <c r="M379" s="22" t="n">
        <f aca="false">M369+INDEX(Data_Prices!M:M,MATCH($G379,Data_Prices!$A:$A,0))*M$399</f>
        <v>10.2995608274442</v>
      </c>
      <c r="N379" s="22" t="n">
        <f aca="false">N369+INDEX(Data_Prices!N:N,MATCH($G379,Data_Prices!$A:$A,0))*N$399</f>
        <v>9.57752835953826</v>
      </c>
      <c r="O379" s="22" t="n">
        <f aca="false">O369+INDEX(Data_Prices!O:O,MATCH($G379,Data_Prices!$A:$A,0))*O$399</f>
        <v>8.48547828695805</v>
      </c>
      <c r="P379" s="22" t="n">
        <f aca="false">P369+INDEX(Data_Prices!P:P,MATCH($G379,Data_Prices!$A:$A,0))*P$399</f>
        <v>9.08719223524986</v>
      </c>
      <c r="Q379" s="22" t="n">
        <f aca="false">Q369+INDEX(Data_Prices!Q:Q,MATCH($G379,Data_Prices!$A:$A,0))*Q$399</f>
        <v>10.4729237289327</v>
      </c>
      <c r="R379" s="22" t="n">
        <f aca="false">R369+INDEX(Data_Prices!R:R,MATCH($G379,Data_Prices!$A:$A,0))*R$399</f>
        <v>11.6585649555097</v>
      </c>
      <c r="S379" s="22" t="n">
        <f aca="false">S369+INDEX(Data_Prices!S:S,MATCH($G379,Data_Prices!$A:$A,0))*S$399</f>
        <v>12.8395478773974</v>
      </c>
      <c r="T379" s="22" t="n">
        <f aca="false">T369+INDEX(Data_Prices!T:T,MATCH($G379,Data_Prices!$A:$A,0))*T$399</f>
        <v>14.0156816660228</v>
      </c>
      <c r="U379" s="22" t="n">
        <f aca="false">U369+INDEX(Data_Prices!U:U,MATCH($G379,Data_Prices!$A:$A,0))*U$399</f>
        <v>15.1943977655571</v>
      </c>
      <c r="V379" s="22" t="n">
        <f aca="false">V369+INDEX(Data_Prices!V:V,MATCH($G379,Data_Prices!$A:$A,0))*V$399</f>
        <v>16.4443977655571</v>
      </c>
      <c r="W379" s="22" t="n">
        <f aca="false">W369+INDEX(Data_Prices!W:W,MATCH($G379,Data_Prices!$A:$A,0))*W$399</f>
        <v>17.6943977655571</v>
      </c>
      <c r="X379" s="22" t="n">
        <f aca="false">X369+INDEX(Data_Prices!X:X,MATCH($G379,Data_Prices!$A:$A,0))*X$399</f>
        <v>18.9443977655571</v>
      </c>
      <c r="Y379" s="22" t="n">
        <f aca="false">Y369+INDEX(Data_Prices!Y:Y,MATCH($G379,Data_Prices!$A:$A,0))*Y$399</f>
        <v>20.1943977655571</v>
      </c>
      <c r="Z379" s="22" t="n">
        <f aca="false">Z369+INDEX(Data_Prices!Z:Z,MATCH($G379,Data_Prices!$A:$A,0))*Z$399</f>
        <v>21.4443977655571</v>
      </c>
      <c r="AA379" s="22" t="n">
        <f aca="false">AA369+INDEX(Data_Prices!AA:AA,MATCH($G379,Data_Prices!$A:$A,0))*AA$399</f>
        <v>22.6943977655571</v>
      </c>
      <c r="AB379" s="22" t="n">
        <f aca="false">AB369+INDEX(Data_Prices!AB:AB,MATCH($G379,Data_Prices!$A:$A,0))*AB$399</f>
        <v>23.9443977655571</v>
      </c>
      <c r="AC379" s="22" t="n">
        <f aca="false">AC369+INDEX(Data_Prices!AC:AC,MATCH($G379,Data_Prices!$A:$A,0))*AC$399</f>
        <v>25.1943977655571</v>
      </c>
      <c r="AD379" s="22" t="n">
        <f aca="false">AD369+INDEX(Data_Prices!AD:AD,MATCH($G379,Data_Prices!$A:$A,0))*AD$399</f>
        <v>26.4443977655571</v>
      </c>
      <c r="AE379" s="22" t="n">
        <f aca="false">AE369+INDEX(Data_Prices!AE:AE,MATCH($G379,Data_Prices!$A:$A,0))*AE$399</f>
        <v>27.6943977655571</v>
      </c>
    </row>
    <row r="380" customFormat="false" ht="15" hidden="false" customHeight="false" outlineLevel="0" collapsed="false">
      <c r="B380" s="17" t="s">
        <v>57</v>
      </c>
      <c r="C380" s="17" t="str">
        <f aca="false">$C$367</f>
        <v>nfm</v>
      </c>
      <c r="D380" s="18" t="s">
        <v>58</v>
      </c>
      <c r="E380" s="19" t="s">
        <v>55</v>
      </c>
      <c r="F380" s="17" t="s">
        <v>77</v>
      </c>
      <c r="G380" s="20" t="str">
        <f aca="false">Settings!$B$3&amp;".mit.nce."&amp;Settings!$B$4&amp;"."&amp;$B380&amp;".a."&amp;$J$367</f>
        <v>egy.mit.nce.ind.nga.a.2</v>
      </c>
      <c r="H380" s="21" t="str">
        <f aca="false">Settings!$B$3&amp;".mit.atp."&amp;$C$367&amp;"."&amp;$B380&amp;".e."&amp;$J$367</f>
        <v>egy.mit.atp.nfm.nga.e.2</v>
      </c>
      <c r="K380" s="22" t="n">
        <f aca="false">K370+INDEX(Data_Prices!K:K,MATCH($G380,Data_Prices!$A:$A,0))*K$399</f>
        <v>6.06346361567291</v>
      </c>
      <c r="L380" s="22" t="n">
        <f aca="false">L370+INDEX(Data_Prices!L:L,MATCH($G380,Data_Prices!$A:$A,0))*L$399</f>
        <v>5.45101508161919</v>
      </c>
      <c r="M380" s="22" t="n">
        <f aca="false">M370+INDEX(Data_Prices!M:M,MATCH($G380,Data_Prices!$A:$A,0))*M$399</f>
        <v>5.11935630626248</v>
      </c>
      <c r="N380" s="22" t="n">
        <f aca="false">N370+INDEX(Data_Prices!N:N,MATCH($G380,Data_Prices!$A:$A,0))*N$399</f>
        <v>5.08218458640407</v>
      </c>
      <c r="O380" s="22" t="n">
        <f aca="false">O370+INDEX(Data_Prices!O:O,MATCH($G380,Data_Prices!$A:$A,0))*O$399</f>
        <v>5.08218458640407</v>
      </c>
      <c r="P380" s="22" t="n">
        <f aca="false">P370+INDEX(Data_Prices!P:P,MATCH($G380,Data_Prices!$A:$A,0))*P$399</f>
        <v>5.08218458640407</v>
      </c>
      <c r="Q380" s="22" t="n">
        <f aca="false">Q370+INDEX(Data_Prices!Q:Q,MATCH($G380,Data_Prices!$A:$A,0))*Q$399</f>
        <v>5.77968458640407</v>
      </c>
      <c r="R380" s="22" t="n">
        <f aca="false">R370+INDEX(Data_Prices!R:R,MATCH($G380,Data_Prices!$A:$A,0))*R$399</f>
        <v>6.47718458640407</v>
      </c>
      <c r="S380" s="22" t="n">
        <f aca="false">S370+INDEX(Data_Prices!S:S,MATCH($G380,Data_Prices!$A:$A,0))*S$399</f>
        <v>7.17468458640407</v>
      </c>
      <c r="T380" s="22" t="n">
        <f aca="false">T370+INDEX(Data_Prices!T:T,MATCH($G380,Data_Prices!$A:$A,0))*T$399</f>
        <v>7.87218458640407</v>
      </c>
      <c r="U380" s="22" t="n">
        <f aca="false">U370+INDEX(Data_Prices!U:U,MATCH($G380,Data_Prices!$A:$A,0))*U$399</f>
        <v>8.56968458640407</v>
      </c>
      <c r="V380" s="22" t="n">
        <f aca="false">V370+INDEX(Data_Prices!V:V,MATCH($G380,Data_Prices!$A:$A,0))*V$399</f>
        <v>9.26718458640407</v>
      </c>
      <c r="W380" s="22" t="n">
        <f aca="false">W370+INDEX(Data_Prices!W:W,MATCH($G380,Data_Prices!$A:$A,0))*W$399</f>
        <v>9.96468458640407</v>
      </c>
      <c r="X380" s="22" t="n">
        <f aca="false">X370+INDEX(Data_Prices!X:X,MATCH($G380,Data_Prices!$A:$A,0))*X$399</f>
        <v>10.6621845864041</v>
      </c>
      <c r="Y380" s="22" t="n">
        <f aca="false">Y370+INDEX(Data_Prices!Y:Y,MATCH($G380,Data_Prices!$A:$A,0))*Y$399</f>
        <v>11.3596845864041</v>
      </c>
      <c r="Z380" s="22" t="n">
        <f aca="false">Z370+INDEX(Data_Prices!Z:Z,MATCH($G380,Data_Prices!$A:$A,0))*Z$399</f>
        <v>12.0571845864041</v>
      </c>
      <c r="AA380" s="22" t="n">
        <f aca="false">AA370+INDEX(Data_Prices!AA:AA,MATCH($G380,Data_Prices!$A:$A,0))*AA$399</f>
        <v>12.7546845864041</v>
      </c>
      <c r="AB380" s="22" t="n">
        <f aca="false">AB370+INDEX(Data_Prices!AB:AB,MATCH($G380,Data_Prices!$A:$A,0))*AB$399</f>
        <v>13.4521845864041</v>
      </c>
      <c r="AC380" s="22" t="n">
        <f aca="false">AC370+INDEX(Data_Prices!AC:AC,MATCH($G380,Data_Prices!$A:$A,0))*AC$399</f>
        <v>14.1496845864041</v>
      </c>
      <c r="AD380" s="22" t="n">
        <f aca="false">AD370+INDEX(Data_Prices!AD:AD,MATCH($G380,Data_Prices!$A:$A,0))*AD$399</f>
        <v>14.8471845864041</v>
      </c>
      <c r="AE380" s="22" t="n">
        <f aca="false">AE370+INDEX(Data_Prices!AE:AE,MATCH($G380,Data_Prices!$A:$A,0))*AE$399</f>
        <v>15.5446845864041</v>
      </c>
    </row>
    <row r="381" customFormat="false" ht="15" hidden="false" customHeight="false" outlineLevel="0" collapsed="false">
      <c r="B381" s="17" t="s">
        <v>59</v>
      </c>
      <c r="C381" s="17" t="str">
        <f aca="false">$C$367</f>
        <v>nfm</v>
      </c>
      <c r="D381" s="18" t="s">
        <v>60</v>
      </c>
      <c r="E381" s="19" t="s">
        <v>61</v>
      </c>
      <c r="F381" s="17" t="s">
        <v>77</v>
      </c>
      <c r="G381" s="20" t="str">
        <f aca="false">Settings!$B$3&amp;".mit.nce."&amp;Settings!$B$4&amp;"."&amp;$B381&amp;".a."&amp;$J$367</f>
        <v>egy.mit.nce.ind.gso.a.2</v>
      </c>
      <c r="H381" s="21" t="str">
        <f aca="false">Settings!$B$3&amp;".mit.atp."&amp;$C$367&amp;"."&amp;$B381&amp;".e."&amp;$J$367</f>
        <v>egy.mit.atp.nfm.gso.e.2</v>
      </c>
      <c r="K381" s="22" t="n">
        <f aca="false">K371+INDEX(Data_Prices!K:K,MATCH($G381,Data_Prices!$A:$A,0))*K$399</f>
        <v>0.671146533321816</v>
      </c>
      <c r="L381" s="22" t="n">
        <f aca="false">L371+INDEX(Data_Prices!L:L,MATCH($G381,Data_Prices!$A:$A,0))*L$399</f>
        <v>0.611977976791406</v>
      </c>
      <c r="M381" s="22" t="n">
        <f aca="false">M371+INDEX(Data_Prices!M:M,MATCH($G381,Data_Prices!$A:$A,0))*M$399</f>
        <v>0.611809749641876</v>
      </c>
      <c r="N381" s="22" t="n">
        <f aca="false">N371+INDEX(Data_Prices!N:N,MATCH($G381,Data_Prices!$A:$A,0))*N$399</f>
        <v>0.603583100177906</v>
      </c>
      <c r="O381" s="22" t="n">
        <f aca="false">O371+INDEX(Data_Prices!O:O,MATCH($G381,Data_Prices!$A:$A,0))*O$399</f>
        <v>0.603583100177906</v>
      </c>
      <c r="P381" s="22" t="n">
        <f aca="false">P371+INDEX(Data_Prices!P:P,MATCH($G381,Data_Prices!$A:$A,0))*P$399</f>
        <v>0.603583100177906</v>
      </c>
      <c r="Q381" s="22" t="n">
        <f aca="false">Q371+INDEX(Data_Prices!Q:Q,MATCH($G381,Data_Prices!$A:$A,0))*Q$399</f>
        <v>0.632510943349406</v>
      </c>
      <c r="R381" s="22" t="n">
        <f aca="false">R371+INDEX(Data_Prices!R:R,MATCH($G381,Data_Prices!$A:$A,0))*R$399</f>
        <v>0.661438786520906</v>
      </c>
      <c r="S381" s="22" t="n">
        <f aca="false">S371+INDEX(Data_Prices!S:S,MATCH($G381,Data_Prices!$A:$A,0))*S$399</f>
        <v>0.690366629692406</v>
      </c>
      <c r="T381" s="22" t="n">
        <f aca="false">T371+INDEX(Data_Prices!T:T,MATCH($G381,Data_Prices!$A:$A,0))*T$399</f>
        <v>0.719294472863906</v>
      </c>
      <c r="U381" s="22" t="n">
        <f aca="false">U371+INDEX(Data_Prices!U:U,MATCH($G381,Data_Prices!$A:$A,0))*U$399</f>
        <v>0.748222316035406</v>
      </c>
      <c r="V381" s="22" t="n">
        <f aca="false">V371+INDEX(Data_Prices!V:V,MATCH($G381,Data_Prices!$A:$A,0))*V$399</f>
        <v>0.777150159206905</v>
      </c>
      <c r="W381" s="22" t="n">
        <f aca="false">W371+INDEX(Data_Prices!W:W,MATCH($G381,Data_Prices!$A:$A,0))*W$399</f>
        <v>0.806078002378406</v>
      </c>
      <c r="X381" s="22" t="n">
        <f aca="false">X371+INDEX(Data_Prices!X:X,MATCH($G381,Data_Prices!$A:$A,0))*X$399</f>
        <v>0.835005845549906</v>
      </c>
      <c r="Y381" s="22" t="n">
        <f aca="false">Y371+INDEX(Data_Prices!Y:Y,MATCH($G381,Data_Prices!$A:$A,0))*Y$399</f>
        <v>0.863933688721406</v>
      </c>
      <c r="Z381" s="22" t="n">
        <f aca="false">Z371+INDEX(Data_Prices!Z:Z,MATCH($G381,Data_Prices!$A:$A,0))*Z$399</f>
        <v>0.892861531892906</v>
      </c>
      <c r="AA381" s="22" t="n">
        <f aca="false">AA371+INDEX(Data_Prices!AA:AA,MATCH($G381,Data_Prices!$A:$A,0))*AA$399</f>
        <v>0.921789375064406</v>
      </c>
      <c r="AB381" s="22" t="n">
        <f aca="false">AB371+INDEX(Data_Prices!AB:AB,MATCH($G381,Data_Prices!$A:$A,0))*AB$399</f>
        <v>0.950717218235906</v>
      </c>
      <c r="AC381" s="22" t="n">
        <f aca="false">AC371+INDEX(Data_Prices!AC:AC,MATCH($G381,Data_Prices!$A:$A,0))*AC$399</f>
        <v>0.979645061407406</v>
      </c>
      <c r="AD381" s="22" t="n">
        <f aca="false">AD371+INDEX(Data_Prices!AD:AD,MATCH($G381,Data_Prices!$A:$A,0))*AD$399</f>
        <v>1.00857290457891</v>
      </c>
      <c r="AE381" s="22" t="n">
        <f aca="false">AE371+INDEX(Data_Prices!AE:AE,MATCH($G381,Data_Prices!$A:$A,0))*AE$399</f>
        <v>1.03750074775041</v>
      </c>
    </row>
    <row r="382" customFormat="false" ht="15" hidden="false" customHeight="false" outlineLevel="0" collapsed="false">
      <c r="B382" s="17" t="s">
        <v>62</v>
      </c>
      <c r="C382" s="17" t="str">
        <f aca="false">$C$367</f>
        <v>nfm</v>
      </c>
      <c r="D382" s="18" t="s">
        <v>63</v>
      </c>
      <c r="E382" s="19" t="s">
        <v>61</v>
      </c>
      <c r="F382" s="17" t="s">
        <v>77</v>
      </c>
      <c r="G382" s="20" t="str">
        <f aca="false">Settings!$B$3&amp;".mit.nce."&amp;Settings!$B$4&amp;"."&amp;$B382&amp;".a."&amp;$J$367</f>
        <v>egy.mit.nce.ind.die.a.2</v>
      </c>
      <c r="H382" s="21" t="str">
        <f aca="false">Settings!$B$3&amp;".mit.atp."&amp;$C$367&amp;"."&amp;$B382&amp;".e."&amp;$J$367</f>
        <v>egy.mit.atp.nfm.die.e.2</v>
      </c>
      <c r="K382" s="22" t="n">
        <f aca="false">K372+INDEX(Data_Prices!K:K,MATCH($G382,Data_Prices!$A:$A,0))*K$399</f>
        <v>0.559711213155688</v>
      </c>
      <c r="L382" s="22" t="n">
        <f aca="false">L372+INDEX(Data_Prices!L:L,MATCH($G382,Data_Prices!$A:$A,0))*L$399</f>
        <v>0.494588730841068</v>
      </c>
      <c r="M382" s="22" t="n">
        <f aca="false">M372+INDEX(Data_Prices!M:M,MATCH($G382,Data_Prices!$A:$A,0))*M$399</f>
        <v>0.507786547202501</v>
      </c>
      <c r="N382" s="22" t="n">
        <f aca="false">N372+INDEX(Data_Prices!N:N,MATCH($G382,Data_Prices!$A:$A,0))*N$399</f>
        <v>0.470436426795617</v>
      </c>
      <c r="O382" s="22" t="n">
        <f aca="false">O372+INDEX(Data_Prices!O:O,MATCH($G382,Data_Prices!$A:$A,0))*O$399</f>
        <v>0.470436426795617</v>
      </c>
      <c r="P382" s="22" t="n">
        <f aca="false">P372+INDEX(Data_Prices!P:P,MATCH($G382,Data_Prices!$A:$A,0))*P$399</f>
        <v>0.470436426795617</v>
      </c>
      <c r="Q382" s="22" t="n">
        <f aca="false">Q372+INDEX(Data_Prices!Q:Q,MATCH($G382,Data_Prices!$A:$A,0))*Q$399</f>
        <v>0.503446865654492</v>
      </c>
      <c r="R382" s="22" t="n">
        <f aca="false">R372+INDEX(Data_Prices!R:R,MATCH($G382,Data_Prices!$A:$A,0))*R$399</f>
        <v>0.536457304513367</v>
      </c>
      <c r="S382" s="22" t="n">
        <f aca="false">S372+INDEX(Data_Prices!S:S,MATCH($G382,Data_Prices!$A:$A,0))*S$399</f>
        <v>0.569467743372243</v>
      </c>
      <c r="T382" s="22" t="n">
        <f aca="false">T372+INDEX(Data_Prices!T:T,MATCH($G382,Data_Prices!$A:$A,0))*T$399</f>
        <v>0.602478182231117</v>
      </c>
      <c r="U382" s="22" t="n">
        <f aca="false">U372+INDEX(Data_Prices!U:U,MATCH($G382,Data_Prices!$A:$A,0))*U$399</f>
        <v>0.635488621089992</v>
      </c>
      <c r="V382" s="22" t="n">
        <f aca="false">V372+INDEX(Data_Prices!V:V,MATCH($G382,Data_Prices!$A:$A,0))*V$399</f>
        <v>0.668499059948867</v>
      </c>
      <c r="W382" s="22" t="n">
        <f aca="false">W372+INDEX(Data_Prices!W:W,MATCH($G382,Data_Prices!$A:$A,0))*W$399</f>
        <v>0.701509498807742</v>
      </c>
      <c r="X382" s="22" t="n">
        <f aca="false">X372+INDEX(Data_Prices!X:X,MATCH($G382,Data_Prices!$A:$A,0))*X$399</f>
        <v>0.734519937666617</v>
      </c>
      <c r="Y382" s="22" t="n">
        <f aca="false">Y372+INDEX(Data_Prices!Y:Y,MATCH($G382,Data_Prices!$A:$A,0))*Y$399</f>
        <v>0.767530376525492</v>
      </c>
      <c r="Z382" s="22" t="n">
        <f aca="false">Z372+INDEX(Data_Prices!Z:Z,MATCH($G382,Data_Prices!$A:$A,0))*Z$399</f>
        <v>0.800540815384367</v>
      </c>
      <c r="AA382" s="22" t="n">
        <f aca="false">AA372+INDEX(Data_Prices!AA:AA,MATCH($G382,Data_Prices!$A:$A,0))*AA$399</f>
        <v>0.833551254243242</v>
      </c>
      <c r="AB382" s="22" t="n">
        <f aca="false">AB372+INDEX(Data_Prices!AB:AB,MATCH($G382,Data_Prices!$A:$A,0))*AB$399</f>
        <v>0.866561693102117</v>
      </c>
      <c r="AC382" s="22" t="n">
        <f aca="false">AC372+INDEX(Data_Prices!AC:AC,MATCH($G382,Data_Prices!$A:$A,0))*AC$399</f>
        <v>0.899572131960992</v>
      </c>
      <c r="AD382" s="22" t="n">
        <f aca="false">AD372+INDEX(Data_Prices!AD:AD,MATCH($G382,Data_Prices!$A:$A,0))*AD$399</f>
        <v>0.932582570819867</v>
      </c>
      <c r="AE382" s="22" t="n">
        <f aca="false">AE372+INDEX(Data_Prices!AE:AE,MATCH($G382,Data_Prices!$A:$A,0))*AE$399</f>
        <v>0.965593009678742</v>
      </c>
    </row>
    <row r="383" customFormat="false" ht="15" hidden="false" customHeight="false" outlineLevel="0" collapsed="false">
      <c r="B383" s="17" t="s">
        <v>64</v>
      </c>
      <c r="C383" s="17" t="str">
        <f aca="false">$C$367</f>
        <v>nfm</v>
      </c>
      <c r="D383" s="18" t="s">
        <v>65</v>
      </c>
      <c r="E383" s="19" t="s">
        <v>61</v>
      </c>
      <c r="F383" s="17" t="s">
        <v>77</v>
      </c>
      <c r="G383" s="20" t="str">
        <f aca="false">Settings!$B$3&amp;".mit.nce."&amp;Settings!$B$4&amp;"."&amp;$B383&amp;".a."&amp;$J$367</f>
        <v>egy.mit.nce.ind.lpg.a.2</v>
      </c>
      <c r="H383" s="21" t="str">
        <f aca="false">Settings!$B$3&amp;".mit.atp."&amp;$C$367&amp;"."&amp;$B383&amp;".e."&amp;$J$367</f>
        <v>egy.mit.atp.nfm.lpg.e.2</v>
      </c>
      <c r="K383" s="22" t="n">
        <f aca="false">K373+INDEX(Data_Prices!K:K,MATCH($G383,Data_Prices!$A:$A,0))*K$399</f>
        <v>0.200366691126738</v>
      </c>
      <c r="L383" s="22" t="n">
        <f aca="false">L373+INDEX(Data_Prices!L:L,MATCH($G383,Data_Prices!$A:$A,0))*L$399</f>
        <v>0.157344736252274</v>
      </c>
      <c r="M383" s="22" t="n">
        <f aca="false">M373+INDEX(Data_Prices!M:M,MATCH($G383,Data_Prices!$A:$A,0))*M$399</f>
        <v>0.164484037759277</v>
      </c>
      <c r="N383" s="22" t="n">
        <f aca="false">N373+INDEX(Data_Prices!N:N,MATCH($G383,Data_Prices!$A:$A,0))*N$399</f>
        <v>0.150709077807049</v>
      </c>
      <c r="O383" s="22" t="n">
        <f aca="false">O373+INDEX(Data_Prices!O:O,MATCH($G383,Data_Prices!$A:$A,0))*O$399</f>
        <v>0.150709077807049</v>
      </c>
      <c r="P383" s="22" t="n">
        <f aca="false">P373+INDEX(Data_Prices!P:P,MATCH($G383,Data_Prices!$A:$A,0))*P$399</f>
        <v>0.150709077807049</v>
      </c>
      <c r="Q383" s="22" t="n">
        <f aca="false">Q373+INDEX(Data_Prices!Q:Q,MATCH($G383,Data_Prices!$A:$A,0))*Q$399</f>
        <v>0.172815160734345</v>
      </c>
      <c r="R383" s="22" t="n">
        <f aca="false">R373+INDEX(Data_Prices!R:R,MATCH($G383,Data_Prices!$A:$A,0))*R$399</f>
        <v>0.19492124366164</v>
      </c>
      <c r="S383" s="22" t="n">
        <f aca="false">S373+INDEX(Data_Prices!S:S,MATCH($G383,Data_Prices!$A:$A,0))*S$399</f>
        <v>0.217027326588936</v>
      </c>
      <c r="T383" s="22" t="n">
        <f aca="false">T373+INDEX(Data_Prices!T:T,MATCH($G383,Data_Prices!$A:$A,0))*T$399</f>
        <v>0.239133409516232</v>
      </c>
      <c r="U383" s="22" t="n">
        <f aca="false">U373+INDEX(Data_Prices!U:U,MATCH($G383,Data_Prices!$A:$A,0))*U$399</f>
        <v>0.261239492443527</v>
      </c>
      <c r="V383" s="22" t="n">
        <f aca="false">V373+INDEX(Data_Prices!V:V,MATCH($G383,Data_Prices!$A:$A,0))*V$399</f>
        <v>0.283345575370823</v>
      </c>
      <c r="W383" s="22" t="n">
        <f aca="false">W373+INDEX(Data_Prices!W:W,MATCH($G383,Data_Prices!$A:$A,0))*W$399</f>
        <v>0.305451658298119</v>
      </c>
      <c r="X383" s="22" t="n">
        <f aca="false">X373+INDEX(Data_Prices!X:X,MATCH($G383,Data_Prices!$A:$A,0))*X$399</f>
        <v>0.327557741225415</v>
      </c>
      <c r="Y383" s="22" t="n">
        <f aca="false">Y373+INDEX(Data_Prices!Y:Y,MATCH($G383,Data_Prices!$A:$A,0))*Y$399</f>
        <v>0.34966382415271</v>
      </c>
      <c r="Z383" s="22" t="n">
        <f aca="false">Z373+INDEX(Data_Prices!Z:Z,MATCH($G383,Data_Prices!$A:$A,0))*Z$399</f>
        <v>0.371769907080006</v>
      </c>
      <c r="AA383" s="22" t="n">
        <f aca="false">AA373+INDEX(Data_Prices!AA:AA,MATCH($G383,Data_Prices!$A:$A,0))*AA$399</f>
        <v>0.393875990007302</v>
      </c>
      <c r="AB383" s="22" t="n">
        <f aca="false">AB373+INDEX(Data_Prices!AB:AB,MATCH($G383,Data_Prices!$A:$A,0))*AB$399</f>
        <v>0.415982072934597</v>
      </c>
      <c r="AC383" s="22" t="n">
        <f aca="false">AC373+INDEX(Data_Prices!AC:AC,MATCH($G383,Data_Prices!$A:$A,0))*AC$399</f>
        <v>0.438088155861893</v>
      </c>
      <c r="AD383" s="22" t="n">
        <f aca="false">AD373+INDEX(Data_Prices!AD:AD,MATCH($G383,Data_Prices!$A:$A,0))*AD$399</f>
        <v>0.460194238789189</v>
      </c>
      <c r="AE383" s="22" t="n">
        <f aca="false">AE373+INDEX(Data_Prices!AE:AE,MATCH($G383,Data_Prices!$A:$A,0))*AE$399</f>
        <v>0.482300321716484</v>
      </c>
    </row>
    <row r="384" customFormat="false" ht="15" hidden="false" customHeight="false" outlineLevel="0" collapsed="false">
      <c r="B384" s="17" t="s">
        <v>66</v>
      </c>
      <c r="C384" s="17" t="str">
        <f aca="false">$C$367</f>
        <v>nfm</v>
      </c>
      <c r="D384" s="18" t="s">
        <v>67</v>
      </c>
      <c r="E384" s="19" t="s">
        <v>61</v>
      </c>
      <c r="F384" s="17" t="s">
        <v>77</v>
      </c>
      <c r="G384" s="20" t="str">
        <f aca="false">Settings!$B$3&amp;".mit.nce."&amp;Settings!$B$4&amp;"."&amp;$B384&amp;".a."&amp;$J$367</f>
        <v>egy.mit.nce.ind.ker.a.2</v>
      </c>
      <c r="H384" s="21" t="str">
        <f aca="false">Settings!$B$3&amp;".mit.atp."&amp;$C$367&amp;"."&amp;$B384&amp;".e."&amp;$J$367</f>
        <v>egy.mit.atp.nfm.ker.e.2</v>
      </c>
      <c r="K384" s="22" t="n">
        <f aca="false">K374+INDEX(Data_Prices!K:K,MATCH($G384,Data_Prices!$A:$A,0))*K$399</f>
        <v>0.484294240973435</v>
      </c>
      <c r="L384" s="22" t="n">
        <f aca="false">L374+INDEX(Data_Prices!L:L,MATCH($G384,Data_Prices!$A:$A,0))*L$399</f>
        <v>0.456428170500128</v>
      </c>
      <c r="M384" s="22" t="n">
        <f aca="false">M374+INDEX(Data_Prices!M:M,MATCH($G384,Data_Prices!$A:$A,0))*M$399</f>
        <v>0.431689201955995</v>
      </c>
      <c r="N384" s="22" t="n">
        <f aca="false">N374+INDEX(Data_Prices!N:N,MATCH($G384,Data_Prices!$A:$A,0))*N$399</f>
        <v>0.42507558395597</v>
      </c>
      <c r="O384" s="22" t="n">
        <f aca="false">O374+INDEX(Data_Prices!O:O,MATCH($G384,Data_Prices!$A:$A,0))*O$399</f>
        <v>0.42507558395597</v>
      </c>
      <c r="P384" s="22" t="n">
        <f aca="false">P374+INDEX(Data_Prices!P:P,MATCH($G384,Data_Prices!$A:$A,0))*P$399</f>
        <v>0.42507558395597</v>
      </c>
      <c r="Q384" s="22" t="n">
        <f aca="false">Q374+INDEX(Data_Prices!Q:Q,MATCH($G384,Data_Prices!$A:$A,0))*Q$399</f>
        <v>0.457064414066078</v>
      </c>
      <c r="R384" s="22" t="n">
        <f aca="false">R374+INDEX(Data_Prices!R:R,MATCH($G384,Data_Prices!$A:$A,0))*R$399</f>
        <v>0.489053244176187</v>
      </c>
      <c r="S384" s="22" t="n">
        <f aca="false">S374+INDEX(Data_Prices!S:S,MATCH($G384,Data_Prices!$A:$A,0))*S$399</f>
        <v>0.521042074286296</v>
      </c>
      <c r="T384" s="22" t="n">
        <f aca="false">T374+INDEX(Data_Prices!T:T,MATCH($G384,Data_Prices!$A:$A,0))*T$399</f>
        <v>0.553030904396404</v>
      </c>
      <c r="U384" s="22" t="n">
        <f aca="false">U374+INDEX(Data_Prices!U:U,MATCH($G384,Data_Prices!$A:$A,0))*U$399</f>
        <v>0.585019734506513</v>
      </c>
      <c r="V384" s="22" t="n">
        <f aca="false">V374+INDEX(Data_Prices!V:V,MATCH($G384,Data_Prices!$A:$A,0))*V$399</f>
        <v>0.617008564616621</v>
      </c>
      <c r="W384" s="22" t="n">
        <f aca="false">W374+INDEX(Data_Prices!W:W,MATCH($G384,Data_Prices!$A:$A,0))*W$399</f>
        <v>0.648997394726729</v>
      </c>
      <c r="X384" s="22" t="n">
        <f aca="false">X374+INDEX(Data_Prices!X:X,MATCH($G384,Data_Prices!$A:$A,0))*X$399</f>
        <v>0.680986224836838</v>
      </c>
      <c r="Y384" s="22" t="n">
        <f aca="false">Y374+INDEX(Data_Prices!Y:Y,MATCH($G384,Data_Prices!$A:$A,0))*Y$399</f>
        <v>0.712975054946947</v>
      </c>
      <c r="Z384" s="22" t="n">
        <f aca="false">Z374+INDEX(Data_Prices!Z:Z,MATCH($G384,Data_Prices!$A:$A,0))*Z$399</f>
        <v>0.744963885057055</v>
      </c>
      <c r="AA384" s="22" t="n">
        <f aca="false">AA374+INDEX(Data_Prices!AA:AA,MATCH($G384,Data_Prices!$A:$A,0))*AA$399</f>
        <v>0.776952715167163</v>
      </c>
      <c r="AB384" s="22" t="n">
        <f aca="false">AB374+INDEX(Data_Prices!AB:AB,MATCH($G384,Data_Prices!$A:$A,0))*AB$399</f>
        <v>0.808941545277272</v>
      </c>
      <c r="AC384" s="22" t="n">
        <f aca="false">AC374+INDEX(Data_Prices!AC:AC,MATCH($G384,Data_Prices!$A:$A,0))*AC$399</f>
        <v>0.84093037538738</v>
      </c>
      <c r="AD384" s="22" t="n">
        <f aca="false">AD374+INDEX(Data_Prices!AD:AD,MATCH($G384,Data_Prices!$A:$A,0))*AD$399</f>
        <v>0.872919205497489</v>
      </c>
      <c r="AE384" s="22" t="n">
        <f aca="false">AE374+INDEX(Data_Prices!AE:AE,MATCH($G384,Data_Prices!$A:$A,0))*AE$399</f>
        <v>0.904908035607597</v>
      </c>
    </row>
    <row r="385" customFormat="false" ht="15" hidden="false" customHeight="false" outlineLevel="0" collapsed="false">
      <c r="B385" s="17" t="s">
        <v>68</v>
      </c>
      <c r="C385" s="17" t="str">
        <f aca="false">$C$367</f>
        <v>nfm</v>
      </c>
      <c r="D385" s="18" t="s">
        <v>69</v>
      </c>
      <c r="E385" s="19" t="s">
        <v>70</v>
      </c>
      <c r="F385" s="17" t="s">
        <v>77</v>
      </c>
      <c r="G385" s="20" t="str">
        <f aca="false">Settings!$B$3&amp;".mit.nce."&amp;Settings!$B$4&amp;"."&amp;$B385&amp;".a."&amp;$J$367</f>
        <v>egy.mit.nce.ind.oop.a.2</v>
      </c>
      <c r="H385" s="21" t="str">
        <f aca="false">Settings!$B$3&amp;".mit.atp."&amp;$C$367&amp;"."&amp;$B385&amp;".e."&amp;$J$367</f>
        <v>egy.mit.atp.nfm.oop.e.2</v>
      </c>
      <c r="K385" s="22" t="n">
        <f aca="false">K375+INDEX(Data_Prices!K:K,MATCH($G385,Data_Prices!$A:$A,0))*K$399</f>
        <v>41.5003384988684</v>
      </c>
      <c r="L385" s="22" t="n">
        <f aca="false">L375+INDEX(Data_Prices!L:L,MATCH($G385,Data_Prices!$A:$A,0))*L$399</f>
        <v>34.4153703043132</v>
      </c>
      <c r="M385" s="22" t="n">
        <f aca="false">M375+INDEX(Data_Prices!M:M,MATCH($G385,Data_Prices!$A:$A,0))*M$399</f>
        <v>37.368960690432</v>
      </c>
      <c r="N385" s="22" t="n">
        <f aca="false">N375+INDEX(Data_Prices!N:N,MATCH($G385,Data_Prices!$A:$A,0))*N$399</f>
        <v>28.9827611014773</v>
      </c>
      <c r="O385" s="22" t="n">
        <f aca="false">O375+INDEX(Data_Prices!O:O,MATCH($G385,Data_Prices!$A:$A,0))*O$399</f>
        <v>15</v>
      </c>
      <c r="P385" s="22" t="n">
        <f aca="false">P375+INDEX(Data_Prices!P:P,MATCH($G385,Data_Prices!$A:$A,0))*P$399</f>
        <v>24.2586300842555</v>
      </c>
      <c r="Q385" s="22" t="n">
        <f aca="false">Q375+INDEX(Data_Prices!Q:Q,MATCH($G385,Data_Prices!$A:$A,0))*Q$399</f>
        <v>18.9637581961325</v>
      </c>
      <c r="R385" s="22" t="n">
        <f aca="false">R375+INDEX(Data_Prices!R:R,MATCH($G385,Data_Prices!$A:$A,0))*R$399</f>
        <v>21.7603451140106</v>
      </c>
      <c r="S385" s="22" t="n">
        <f aca="false">S375+INDEX(Data_Prices!S:S,MATCH($G385,Data_Prices!$A:$A,0))*S$399</f>
        <v>26.0798806913736</v>
      </c>
      <c r="T385" s="22" t="n">
        <f aca="false">T375+INDEX(Data_Prices!T:T,MATCH($G385,Data_Prices!$A:$A,0))*T$399</f>
        <v>30.5936824452092</v>
      </c>
      <c r="U385" s="22" t="n">
        <f aca="false">U375+INDEX(Data_Prices!U:U,MATCH($G385,Data_Prices!$A:$A,0))*U$399</f>
        <v>34.9905097394101</v>
      </c>
      <c r="V385" s="22" t="n">
        <f aca="false">V375+INDEX(Data_Prices!V:V,MATCH($G385,Data_Prices!$A:$A,0))*V$399</f>
        <v>40.8580597394101</v>
      </c>
      <c r="W385" s="22" t="n">
        <f aca="false">W375+INDEX(Data_Prices!W:W,MATCH($G385,Data_Prices!$A:$A,0))*W$399</f>
        <v>46.7256097394101</v>
      </c>
      <c r="X385" s="22" t="n">
        <f aca="false">X375+INDEX(Data_Prices!X:X,MATCH($G385,Data_Prices!$A:$A,0))*X$399</f>
        <v>52.5931597394101</v>
      </c>
      <c r="Y385" s="22" t="n">
        <f aca="false">Y375+INDEX(Data_Prices!Y:Y,MATCH($G385,Data_Prices!$A:$A,0))*Y$399</f>
        <v>58.4607097394101</v>
      </c>
      <c r="Z385" s="22" t="n">
        <f aca="false">Z375+INDEX(Data_Prices!Z:Z,MATCH($G385,Data_Prices!$A:$A,0))*Z$399</f>
        <v>64.3282597394101</v>
      </c>
      <c r="AA385" s="22" t="n">
        <f aca="false">AA375+INDEX(Data_Prices!AA:AA,MATCH($G385,Data_Prices!$A:$A,0))*AA$399</f>
        <v>70.1958097394101</v>
      </c>
      <c r="AB385" s="22" t="n">
        <f aca="false">AB375+INDEX(Data_Prices!AB:AB,MATCH($G385,Data_Prices!$A:$A,0))*AB$399</f>
        <v>76.0633597394101</v>
      </c>
      <c r="AC385" s="22" t="n">
        <f aca="false">AC375+INDEX(Data_Prices!AC:AC,MATCH($G385,Data_Prices!$A:$A,0))*AC$399</f>
        <v>81.9309097394101</v>
      </c>
      <c r="AD385" s="22" t="n">
        <f aca="false">AD375+INDEX(Data_Prices!AD:AD,MATCH($G385,Data_Prices!$A:$A,0))*AD$399</f>
        <v>87.7984597394101</v>
      </c>
      <c r="AE385" s="22" t="n">
        <f aca="false">AE375+INDEX(Data_Prices!AE:AE,MATCH($G385,Data_Prices!$A:$A,0))*AE$399</f>
        <v>93.6660097394101</v>
      </c>
    </row>
    <row r="386" customFormat="false" ht="15" hidden="false" customHeight="false" outlineLevel="0" collapsed="false">
      <c r="B386" s="17" t="s">
        <v>71</v>
      </c>
      <c r="C386" s="17" t="str">
        <f aca="false">$C$367</f>
        <v>nfm</v>
      </c>
      <c r="D386" s="18" t="s">
        <v>72</v>
      </c>
      <c r="E386" s="19" t="s">
        <v>55</v>
      </c>
      <c r="F386" s="17" t="s">
        <v>77</v>
      </c>
      <c r="G386" s="20" t="str">
        <f aca="false">Settings!$B$3&amp;".mit.nce."&amp;Settings!$B$4&amp;"."&amp;$B386&amp;".a."&amp;$J$367</f>
        <v>egy.mit.nce.ind.bio.a.2</v>
      </c>
      <c r="H386" s="21" t="str">
        <f aca="false">Settings!$B$3&amp;".mit.atp."&amp;$C$367&amp;"."&amp;$B386&amp;".e."&amp;$J$367</f>
        <v>egy.mit.atp.nfm.bio.e.2</v>
      </c>
      <c r="K386" s="22" t="n">
        <f aca="false">K376+INDEX(Data_Prices!K:K,MATCH($G386,Data_Prices!$A:$A,0))*K$399</f>
        <v>15.3345505293169</v>
      </c>
      <c r="L386" s="22" t="n">
        <f aca="false">L376+INDEX(Data_Prices!L:L,MATCH($G386,Data_Prices!$A:$A,0))*L$399</f>
        <v>14.1995283906349</v>
      </c>
      <c r="M386" s="22" t="n">
        <f aca="false">M376+INDEX(Data_Prices!M:M,MATCH($G386,Data_Prices!$A:$A,0))*M$399</f>
        <v>13.8404416133152</v>
      </c>
      <c r="N386" s="22" t="n">
        <f aca="false">N376+INDEX(Data_Prices!N:N,MATCH($G386,Data_Prices!$A:$A,0))*N$399</f>
        <v>13.5677269404465</v>
      </c>
      <c r="O386" s="22" t="n">
        <f aca="false">O376+INDEX(Data_Prices!O:O,MATCH($G386,Data_Prices!$A:$A,0))*O$399</f>
        <v>13.5677269404465</v>
      </c>
      <c r="P386" s="22" t="n">
        <f aca="false">P376+INDEX(Data_Prices!P:P,MATCH($G386,Data_Prices!$A:$A,0))*P$399</f>
        <v>13.5677269404465</v>
      </c>
      <c r="Q386" s="22" t="n">
        <f aca="false">Q376+INDEX(Data_Prices!Q:Q,MATCH($G386,Data_Prices!$A:$A,0))*Q$399</f>
        <v>13.5677269404465</v>
      </c>
      <c r="R386" s="22" t="n">
        <f aca="false">R376+INDEX(Data_Prices!R:R,MATCH($G386,Data_Prices!$A:$A,0))*R$399</f>
        <v>13.5677269404465</v>
      </c>
      <c r="S386" s="22" t="n">
        <f aca="false">S376+INDEX(Data_Prices!S:S,MATCH($G386,Data_Prices!$A:$A,0))*S$399</f>
        <v>13.5677269404465</v>
      </c>
      <c r="T386" s="22" t="n">
        <f aca="false">T376+INDEX(Data_Prices!T:T,MATCH($G386,Data_Prices!$A:$A,0))*T$399</f>
        <v>13.5677269404465</v>
      </c>
      <c r="U386" s="22" t="n">
        <f aca="false">U376+INDEX(Data_Prices!U:U,MATCH($G386,Data_Prices!$A:$A,0))*U$399</f>
        <v>13.5677269404465</v>
      </c>
      <c r="V386" s="22" t="n">
        <f aca="false">V376+INDEX(Data_Prices!V:V,MATCH($G386,Data_Prices!$A:$A,0))*V$399</f>
        <v>13.5677269404465</v>
      </c>
      <c r="W386" s="22" t="n">
        <f aca="false">W376+INDEX(Data_Prices!W:W,MATCH($G386,Data_Prices!$A:$A,0))*W$399</f>
        <v>13.5677269404465</v>
      </c>
      <c r="X386" s="22" t="n">
        <f aca="false">X376+INDEX(Data_Prices!X:X,MATCH($G386,Data_Prices!$A:$A,0))*X$399</f>
        <v>13.5677269404465</v>
      </c>
      <c r="Y386" s="22" t="n">
        <f aca="false">Y376+INDEX(Data_Prices!Y:Y,MATCH($G386,Data_Prices!$A:$A,0))*Y$399</f>
        <v>13.5677269404465</v>
      </c>
      <c r="Z386" s="22" t="n">
        <f aca="false">Z376+INDEX(Data_Prices!Z:Z,MATCH($G386,Data_Prices!$A:$A,0))*Z$399</f>
        <v>13.5677269404465</v>
      </c>
      <c r="AA386" s="22" t="n">
        <f aca="false">AA376+INDEX(Data_Prices!AA:AA,MATCH($G386,Data_Prices!$A:$A,0))*AA$399</f>
        <v>13.5677269404465</v>
      </c>
      <c r="AB386" s="22" t="n">
        <f aca="false">AB376+INDEX(Data_Prices!AB:AB,MATCH($G386,Data_Prices!$A:$A,0))*AB$399</f>
        <v>13.5677269404465</v>
      </c>
      <c r="AC386" s="22" t="n">
        <f aca="false">AC376+INDEX(Data_Prices!AC:AC,MATCH($G386,Data_Prices!$A:$A,0))*AC$399</f>
        <v>13.5677269404465</v>
      </c>
      <c r="AD386" s="22" t="n">
        <f aca="false">AD376+INDEX(Data_Prices!AD:AD,MATCH($G386,Data_Prices!$A:$A,0))*AD$399</f>
        <v>13.5677269404465</v>
      </c>
      <c r="AE386" s="22" t="n">
        <f aca="false">AE376+INDEX(Data_Prices!AE:AE,MATCH($G386,Data_Prices!$A:$A,0))*AE$399</f>
        <v>13.5677269404465</v>
      </c>
    </row>
    <row r="387" customFormat="false" ht="15" hidden="false" customHeight="false" outlineLevel="0" collapsed="false">
      <c r="B387" s="17" t="s">
        <v>73</v>
      </c>
      <c r="C387" s="17" t="str">
        <f aca="false">$C$367</f>
        <v>nfm</v>
      </c>
      <c r="D387" s="18" t="s">
        <v>74</v>
      </c>
      <c r="E387" s="19" t="s">
        <v>75</v>
      </c>
      <c r="F387" s="17" t="s">
        <v>77</v>
      </c>
      <c r="G387" s="20" t="str">
        <f aca="false">Settings!$B$3&amp;".mit.nce."&amp;Settings!$B$4&amp;"."&amp;$B387&amp;".a."&amp;$J$367</f>
        <v>egy.mit.nce.ind.ren.a.2</v>
      </c>
      <c r="H387" s="21" t="str">
        <f aca="false">Settings!$B$3&amp;".mit.atp."&amp;$C$367&amp;"."&amp;$B387&amp;".e."&amp;$J$367</f>
        <v>egy.mit.atp.nfm.ren.e.2</v>
      </c>
      <c r="K387" s="22" t="n">
        <f aca="false">K377+INDEX(Data_Prices!K:K,MATCH($G387,Data_Prices!$A:$A,0))*K$399</f>
        <v>0</v>
      </c>
      <c r="L387" s="22" t="n">
        <f aca="false">L377+INDEX(Data_Prices!L:L,MATCH($G387,Data_Prices!$A:$A,0))*L$399</f>
        <v>0.144044986793198</v>
      </c>
      <c r="M387" s="22" t="n">
        <f aca="false">M377+INDEX(Data_Prices!M:M,MATCH($G387,Data_Prices!$A:$A,0))*M$399</f>
        <v>0.141386241751359</v>
      </c>
      <c r="N387" s="22" t="n">
        <f aca="false">N377+INDEX(Data_Prices!N:N,MATCH($G387,Data_Prices!$A:$A,0))*N$399</f>
        <v>0.135397565443731</v>
      </c>
      <c r="O387" s="22" t="n">
        <f aca="false">O377+INDEX(Data_Prices!O:O,MATCH($G387,Data_Prices!$A:$A,0))*O$399</f>
        <v>0.131522885420651</v>
      </c>
      <c r="P387" s="22" t="n">
        <f aca="false">P377+INDEX(Data_Prices!P:P,MATCH($G387,Data_Prices!$A:$A,0))*P$399</f>
        <v>0.128826108485231</v>
      </c>
      <c r="Q387" s="22" t="n">
        <f aca="false">Q377+INDEX(Data_Prices!Q:Q,MATCH($G387,Data_Prices!$A:$A,0))*Q$399</f>
        <v>0.12594200976474</v>
      </c>
      <c r="R387" s="22" t="n">
        <f aca="false">R377+INDEX(Data_Prices!R:R,MATCH($G387,Data_Prices!$A:$A,0))*R$399</f>
        <v>0.123113265701861</v>
      </c>
      <c r="S387" s="22" t="n">
        <f aca="false">S377+INDEX(Data_Prices!S:S,MATCH($G387,Data_Prices!$A:$A,0))*S$399</f>
        <v>0.119391738089068</v>
      </c>
      <c r="T387" s="22" t="n">
        <f aca="false">T377+INDEX(Data_Prices!T:T,MATCH($G387,Data_Prices!$A:$A,0))*T$399</f>
        <v>0.11554419046792</v>
      </c>
      <c r="U387" s="22" t="n">
        <f aca="false">U377+INDEX(Data_Prices!U:U,MATCH($G387,Data_Prices!$A:$A,0))*U$399</f>
        <v>0.114924230654159</v>
      </c>
      <c r="V387" s="22" t="n">
        <f aca="false">V377+INDEX(Data_Prices!V:V,MATCH($G387,Data_Prices!$A:$A,0))*V$399</f>
        <v>0.114346912116736</v>
      </c>
      <c r="W387" s="22" t="n">
        <f aca="false">W377+INDEX(Data_Prices!W:W,MATCH($G387,Data_Prices!$A:$A,0))*W$399</f>
        <v>0.113738711172664</v>
      </c>
      <c r="X387" s="22" t="n">
        <f aca="false">X377+INDEX(Data_Prices!X:X,MATCH($G387,Data_Prices!$A:$A,0))*X$399</f>
        <v>0.112999900487521</v>
      </c>
      <c r="Y387" s="22" t="n">
        <f aca="false">Y377+INDEX(Data_Prices!Y:Y,MATCH($G387,Data_Prices!$A:$A,0))*Y$399</f>
        <v>0.112177685835534</v>
      </c>
      <c r="Z387" s="22" t="n">
        <f aca="false">Z377+INDEX(Data_Prices!Z:Z,MATCH($G387,Data_Prices!$A:$A,0))*Z$399</f>
        <v>0.111417903250404</v>
      </c>
      <c r="AA387" s="22" t="n">
        <f aca="false">AA377+INDEX(Data_Prices!AA:AA,MATCH($G387,Data_Prices!$A:$A,0))*AA$399</f>
        <v>0.110525819985454</v>
      </c>
      <c r="AB387" s="22" t="n">
        <f aca="false">AB377+INDEX(Data_Prices!AB:AB,MATCH($G387,Data_Prices!$A:$A,0))*AB$399</f>
        <v>0.109699565234896</v>
      </c>
      <c r="AC387" s="22" t="n">
        <f aca="false">AC377+INDEX(Data_Prices!AC:AC,MATCH($G387,Data_Prices!$A:$A,0))*AC$399</f>
        <v>0.107726788963949</v>
      </c>
      <c r="AD387" s="22" t="n">
        <f aca="false">AD377+INDEX(Data_Prices!AD:AD,MATCH($G387,Data_Prices!$A:$A,0))*AD$399</f>
        <v>0.105820924450935</v>
      </c>
      <c r="AE387" s="22" t="n">
        <f aca="false">AE377+INDEX(Data_Prices!AE:AE,MATCH($G387,Data_Prices!$A:$A,0))*AE$399</f>
        <v>0.103855595705721</v>
      </c>
    </row>
    <row r="388" customFormat="false" ht="15" hidden="false" customHeight="false" outlineLevel="0" collapsed="false">
      <c r="B388" s="16" t="s">
        <v>78</v>
      </c>
    </row>
    <row r="389" customFormat="false" ht="15" hidden="false" customHeight="false" outlineLevel="0" collapsed="false">
      <c r="B389" s="17" t="s">
        <v>53</v>
      </c>
      <c r="C389" s="17" t="str">
        <f aca="false">$C$367</f>
        <v>nfm</v>
      </c>
      <c r="D389" s="18" t="s">
        <v>54</v>
      </c>
      <c r="E389" s="19" t="s">
        <v>55</v>
      </c>
      <c r="F389" s="17" t="s">
        <v>79</v>
      </c>
      <c r="G389" s="20" t="str">
        <f aca="false">Settings!$B$3&amp;".mit.shp."&amp;$B389&amp;"."&amp;Settings!$B$4&amp;"."&amp;$J$367</f>
        <v>egy.mit.shp.coa.ind.2</v>
      </c>
      <c r="H389" s="21" t="str">
        <f aca="false">Settings!$B$3&amp;".mit.shp."&amp;$C$367&amp;"."&amp;$B389&amp;".e."&amp;$J$367</f>
        <v>egy.mit.shp.nfm.coa.e.2</v>
      </c>
      <c r="K389" s="23" t="n">
        <f aca="false">K379+INDEX(Data_Prices!K:K,MATCH($G389,Data_Prices!$A:$A,0))*K$400</f>
        <v>11.1829015892439</v>
      </c>
      <c r="L389" s="23" t="n">
        <f aca="false">L379+INDEX(Data_Prices!L:L,MATCH($G389,Data_Prices!$A:$A,0))*L$400</f>
        <v>10.5233613454312</v>
      </c>
      <c r="M389" s="23" t="n">
        <f aca="false">M379+INDEX(Data_Prices!M:M,MATCH($G389,Data_Prices!$A:$A,0))*M$400</f>
        <v>10.2995608274442</v>
      </c>
      <c r="N389" s="23" t="n">
        <f aca="false">N379+INDEX(Data_Prices!N:N,MATCH($G389,Data_Prices!$A:$A,0))*N$400</f>
        <v>9.57752835953826</v>
      </c>
      <c r="O389" s="23" t="n">
        <f aca="false">O379+INDEX(Data_Prices!O:O,MATCH($G389,Data_Prices!$A:$A,0))*O$400</f>
        <v>8.48547828695805</v>
      </c>
      <c r="P389" s="23" t="n">
        <f aca="false">P379+INDEX(Data_Prices!P:P,MATCH($G389,Data_Prices!$A:$A,0))*P$400</f>
        <v>9.08719223524986</v>
      </c>
      <c r="Q389" s="23" t="n">
        <f aca="false">Q379+INDEX(Data_Prices!Q:Q,MATCH($G389,Data_Prices!$A:$A,0))*Q$400</f>
        <v>10.4729237289327</v>
      </c>
      <c r="R389" s="23" t="n">
        <f aca="false">R379+INDEX(Data_Prices!R:R,MATCH($G389,Data_Prices!$A:$A,0))*R$400</f>
        <v>11.6585649555097</v>
      </c>
      <c r="S389" s="23" t="n">
        <f aca="false">S379+INDEX(Data_Prices!S:S,MATCH($G389,Data_Prices!$A:$A,0))*S$400</f>
        <v>12.8395478773974</v>
      </c>
      <c r="T389" s="23" t="n">
        <f aca="false">T379+INDEX(Data_Prices!T:T,MATCH($G389,Data_Prices!$A:$A,0))*T$400</f>
        <v>14.0156816660228</v>
      </c>
      <c r="U389" s="23" t="n">
        <f aca="false">U379+INDEX(Data_Prices!U:U,MATCH($G389,Data_Prices!$A:$A,0))*U$400</f>
        <v>15.1943977655571</v>
      </c>
      <c r="V389" s="23" t="n">
        <f aca="false">V379+INDEX(Data_Prices!V:V,MATCH($G389,Data_Prices!$A:$A,0))*V$400</f>
        <v>16.4443977655571</v>
      </c>
      <c r="W389" s="23" t="n">
        <f aca="false">W379+INDEX(Data_Prices!W:W,MATCH($G389,Data_Prices!$A:$A,0))*W$400</f>
        <v>17.6943977655571</v>
      </c>
      <c r="X389" s="23" t="n">
        <f aca="false">X379+INDEX(Data_Prices!X:X,MATCH($G389,Data_Prices!$A:$A,0))*X$400</f>
        <v>18.9443977655571</v>
      </c>
      <c r="Y389" s="23" t="n">
        <f aca="false">Y379+INDEX(Data_Prices!Y:Y,MATCH($G389,Data_Prices!$A:$A,0))*Y$400</f>
        <v>20.1943977655571</v>
      </c>
      <c r="Z389" s="23" t="n">
        <f aca="false">Z379+INDEX(Data_Prices!Z:Z,MATCH($G389,Data_Prices!$A:$A,0))*Z$400</f>
        <v>21.4443977655571</v>
      </c>
      <c r="AA389" s="23" t="n">
        <f aca="false">AA379+INDEX(Data_Prices!AA:AA,MATCH($G389,Data_Prices!$A:$A,0))*AA$400</f>
        <v>22.6943977655571</v>
      </c>
      <c r="AB389" s="23" t="n">
        <f aca="false">AB379+INDEX(Data_Prices!AB:AB,MATCH($G389,Data_Prices!$A:$A,0))*AB$400</f>
        <v>23.9443977655571</v>
      </c>
      <c r="AC389" s="23" t="n">
        <f aca="false">AC379+INDEX(Data_Prices!AC:AC,MATCH($G389,Data_Prices!$A:$A,0))*AC$400</f>
        <v>25.1943977655571</v>
      </c>
      <c r="AD389" s="23" t="n">
        <f aca="false">AD379+INDEX(Data_Prices!AD:AD,MATCH($G389,Data_Prices!$A:$A,0))*AD$400</f>
        <v>26.4443977655571</v>
      </c>
      <c r="AE389" s="23" t="n">
        <f aca="false">AE379+INDEX(Data_Prices!AE:AE,MATCH($G389,Data_Prices!$A:$A,0))*AE$400</f>
        <v>27.6943977655571</v>
      </c>
    </row>
    <row r="390" customFormat="false" ht="15" hidden="false" customHeight="false" outlineLevel="0" collapsed="false">
      <c r="B390" s="17" t="s">
        <v>57</v>
      </c>
      <c r="C390" s="17" t="str">
        <f aca="false">$C$367</f>
        <v>nfm</v>
      </c>
      <c r="D390" s="18" t="s">
        <v>58</v>
      </c>
      <c r="E390" s="19" t="s">
        <v>55</v>
      </c>
      <c r="F390" s="17" t="s">
        <v>79</v>
      </c>
      <c r="G390" s="20" t="str">
        <f aca="false">Settings!$B$3&amp;".mit.shp."&amp;$B390&amp;"."&amp;Settings!$B$4&amp;"."&amp;$J$367</f>
        <v>egy.mit.shp.nga.ind.2</v>
      </c>
      <c r="H390" s="21" t="str">
        <f aca="false">Settings!$B$3&amp;".mit.shp."&amp;$C$367&amp;"."&amp;$B390&amp;".e."&amp;$J$367</f>
        <v>egy.mit.shp.nfm.nga.e.2</v>
      </c>
      <c r="K390" s="23" t="n">
        <f aca="false">K380+INDEX(Data_Prices!K:K,MATCH($G390,Data_Prices!$A:$A,0))*K$400</f>
        <v>6.06346361567291</v>
      </c>
      <c r="L390" s="23" t="n">
        <f aca="false">L380+INDEX(Data_Prices!L:L,MATCH($G390,Data_Prices!$A:$A,0))*L$400</f>
        <v>5.45101508161919</v>
      </c>
      <c r="M390" s="23" t="n">
        <f aca="false">M380+INDEX(Data_Prices!M:M,MATCH($G390,Data_Prices!$A:$A,0))*M$400</f>
        <v>5.11935630626248</v>
      </c>
      <c r="N390" s="23" t="n">
        <f aca="false">N380+INDEX(Data_Prices!N:N,MATCH($G390,Data_Prices!$A:$A,0))*N$400</f>
        <v>5.08218458640407</v>
      </c>
      <c r="O390" s="23" t="n">
        <f aca="false">O380+INDEX(Data_Prices!O:O,MATCH($G390,Data_Prices!$A:$A,0))*O$400</f>
        <v>5.08218458640407</v>
      </c>
      <c r="P390" s="23" t="n">
        <f aca="false">P380+INDEX(Data_Prices!P:P,MATCH($G390,Data_Prices!$A:$A,0))*P$400</f>
        <v>5.08218458640407</v>
      </c>
      <c r="Q390" s="23" t="n">
        <f aca="false">Q380+INDEX(Data_Prices!Q:Q,MATCH($G390,Data_Prices!$A:$A,0))*Q$400</f>
        <v>5.77968458640407</v>
      </c>
      <c r="R390" s="23" t="n">
        <f aca="false">R380+INDEX(Data_Prices!R:R,MATCH($G390,Data_Prices!$A:$A,0))*R$400</f>
        <v>6.47718458640407</v>
      </c>
      <c r="S390" s="23" t="n">
        <f aca="false">S380+INDEX(Data_Prices!S:S,MATCH($G390,Data_Prices!$A:$A,0))*S$400</f>
        <v>7.17468458640407</v>
      </c>
      <c r="T390" s="23" t="n">
        <f aca="false">T380+INDEX(Data_Prices!T:T,MATCH($G390,Data_Prices!$A:$A,0))*T$400</f>
        <v>7.87218458640407</v>
      </c>
      <c r="U390" s="23" t="n">
        <f aca="false">U380+INDEX(Data_Prices!U:U,MATCH($G390,Data_Prices!$A:$A,0))*U$400</f>
        <v>8.56968458640407</v>
      </c>
      <c r="V390" s="23" t="n">
        <f aca="false">V380+INDEX(Data_Prices!V:V,MATCH($G390,Data_Prices!$A:$A,0))*V$400</f>
        <v>9.26718458640407</v>
      </c>
      <c r="W390" s="23" t="n">
        <f aca="false">W380+INDEX(Data_Prices!W:W,MATCH($G390,Data_Prices!$A:$A,0))*W$400</f>
        <v>9.96468458640407</v>
      </c>
      <c r="X390" s="23" t="n">
        <f aca="false">X380+INDEX(Data_Prices!X:X,MATCH($G390,Data_Prices!$A:$A,0))*X$400</f>
        <v>10.6621845864041</v>
      </c>
      <c r="Y390" s="23" t="n">
        <f aca="false">Y380+INDEX(Data_Prices!Y:Y,MATCH($G390,Data_Prices!$A:$A,0))*Y$400</f>
        <v>11.3596845864041</v>
      </c>
      <c r="Z390" s="23" t="n">
        <f aca="false">Z380+INDEX(Data_Prices!Z:Z,MATCH($G390,Data_Prices!$A:$A,0))*Z$400</f>
        <v>12.0571845864041</v>
      </c>
      <c r="AA390" s="23" t="n">
        <f aca="false">AA380+INDEX(Data_Prices!AA:AA,MATCH($G390,Data_Prices!$A:$A,0))*AA$400</f>
        <v>12.7546845864041</v>
      </c>
      <c r="AB390" s="23" t="n">
        <f aca="false">AB380+INDEX(Data_Prices!AB:AB,MATCH($G390,Data_Prices!$A:$A,0))*AB$400</f>
        <v>13.4521845864041</v>
      </c>
      <c r="AC390" s="23" t="n">
        <f aca="false">AC380+INDEX(Data_Prices!AC:AC,MATCH($G390,Data_Prices!$A:$A,0))*AC$400</f>
        <v>14.1496845864041</v>
      </c>
      <c r="AD390" s="23" t="n">
        <f aca="false">AD380+INDEX(Data_Prices!AD:AD,MATCH($G390,Data_Prices!$A:$A,0))*AD$400</f>
        <v>14.8471845864041</v>
      </c>
      <c r="AE390" s="23" t="n">
        <f aca="false">AE380+INDEX(Data_Prices!AE:AE,MATCH($G390,Data_Prices!$A:$A,0))*AE$400</f>
        <v>15.5446845864041</v>
      </c>
    </row>
    <row r="391" customFormat="false" ht="15" hidden="false" customHeight="false" outlineLevel="0" collapsed="false">
      <c r="B391" s="17" t="s">
        <v>59</v>
      </c>
      <c r="C391" s="17" t="str">
        <f aca="false">$C$367</f>
        <v>nfm</v>
      </c>
      <c r="D391" s="18" t="s">
        <v>60</v>
      </c>
      <c r="E391" s="19" t="s">
        <v>61</v>
      </c>
      <c r="F391" s="17" t="s">
        <v>79</v>
      </c>
      <c r="G391" s="20" t="str">
        <f aca="false">Settings!$B$3&amp;".mit.shp."&amp;$B391&amp;"."&amp;Settings!$B$4&amp;"."&amp;$J$367</f>
        <v>egy.mit.shp.gso.ind.2</v>
      </c>
      <c r="H391" s="21" t="str">
        <f aca="false">Settings!$B$3&amp;".mit.shp."&amp;$C$367&amp;"."&amp;$B391&amp;".e."&amp;$J$367</f>
        <v>egy.mit.shp.nfm.gso.e.2</v>
      </c>
      <c r="K391" s="23" t="n">
        <f aca="false">K381+INDEX(Data_Prices!K:K,MATCH($G391,Data_Prices!$A:$A,0))*K$400</f>
        <v>0.671146533321816</v>
      </c>
      <c r="L391" s="23" t="n">
        <f aca="false">L381+INDEX(Data_Prices!L:L,MATCH($G391,Data_Prices!$A:$A,0))*L$400</f>
        <v>0.611977976791406</v>
      </c>
      <c r="M391" s="23" t="n">
        <f aca="false">M381+INDEX(Data_Prices!M:M,MATCH($G391,Data_Prices!$A:$A,0))*M$400</f>
        <v>0.611809749641876</v>
      </c>
      <c r="N391" s="23" t="n">
        <f aca="false">N381+INDEX(Data_Prices!N:N,MATCH($G391,Data_Prices!$A:$A,0))*N$400</f>
        <v>0.603583100177906</v>
      </c>
      <c r="O391" s="23" t="n">
        <f aca="false">O381+INDEX(Data_Prices!O:O,MATCH($G391,Data_Prices!$A:$A,0))*O$400</f>
        <v>0.603583100177906</v>
      </c>
      <c r="P391" s="23" t="n">
        <f aca="false">P381+INDEX(Data_Prices!P:P,MATCH($G391,Data_Prices!$A:$A,0))*P$400</f>
        <v>0.603583100177906</v>
      </c>
      <c r="Q391" s="23" t="n">
        <f aca="false">Q381+INDEX(Data_Prices!Q:Q,MATCH($G391,Data_Prices!$A:$A,0))*Q$400</f>
        <v>0.632510943349406</v>
      </c>
      <c r="R391" s="23" t="n">
        <f aca="false">R381+INDEX(Data_Prices!R:R,MATCH($G391,Data_Prices!$A:$A,0))*R$400</f>
        <v>0.661438786520906</v>
      </c>
      <c r="S391" s="23" t="n">
        <f aca="false">S381+INDEX(Data_Prices!S:S,MATCH($G391,Data_Prices!$A:$A,0))*S$400</f>
        <v>0.690366629692406</v>
      </c>
      <c r="T391" s="23" t="n">
        <f aca="false">T381+INDEX(Data_Prices!T:T,MATCH($G391,Data_Prices!$A:$A,0))*T$400</f>
        <v>0.719294472863906</v>
      </c>
      <c r="U391" s="23" t="n">
        <f aca="false">U381+INDEX(Data_Prices!U:U,MATCH($G391,Data_Prices!$A:$A,0))*U$400</f>
        <v>0.748222316035406</v>
      </c>
      <c r="V391" s="23" t="n">
        <f aca="false">V381+INDEX(Data_Prices!V:V,MATCH($G391,Data_Prices!$A:$A,0))*V$400</f>
        <v>0.777150159206905</v>
      </c>
      <c r="W391" s="23" t="n">
        <f aca="false">W381+INDEX(Data_Prices!W:W,MATCH($G391,Data_Prices!$A:$A,0))*W$400</f>
        <v>0.806078002378406</v>
      </c>
      <c r="X391" s="23" t="n">
        <f aca="false">X381+INDEX(Data_Prices!X:X,MATCH($G391,Data_Prices!$A:$A,0))*X$400</f>
        <v>0.835005845549906</v>
      </c>
      <c r="Y391" s="23" t="n">
        <f aca="false">Y381+INDEX(Data_Prices!Y:Y,MATCH($G391,Data_Prices!$A:$A,0))*Y$400</f>
        <v>0.863933688721406</v>
      </c>
      <c r="Z391" s="23" t="n">
        <f aca="false">Z381+INDEX(Data_Prices!Z:Z,MATCH($G391,Data_Prices!$A:$A,0))*Z$400</f>
        <v>0.892861531892906</v>
      </c>
      <c r="AA391" s="23" t="n">
        <f aca="false">AA381+INDEX(Data_Prices!AA:AA,MATCH($G391,Data_Prices!$A:$A,0))*AA$400</f>
        <v>0.921789375064406</v>
      </c>
      <c r="AB391" s="23" t="n">
        <f aca="false">AB381+INDEX(Data_Prices!AB:AB,MATCH($G391,Data_Prices!$A:$A,0))*AB$400</f>
        <v>0.950717218235906</v>
      </c>
      <c r="AC391" s="23" t="n">
        <f aca="false">AC381+INDEX(Data_Prices!AC:AC,MATCH($G391,Data_Prices!$A:$A,0))*AC$400</f>
        <v>0.979645061407406</v>
      </c>
      <c r="AD391" s="23" t="n">
        <f aca="false">AD381+INDEX(Data_Prices!AD:AD,MATCH($G391,Data_Prices!$A:$A,0))*AD$400</f>
        <v>1.00857290457891</v>
      </c>
      <c r="AE391" s="23" t="n">
        <f aca="false">AE381+INDEX(Data_Prices!AE:AE,MATCH($G391,Data_Prices!$A:$A,0))*AE$400</f>
        <v>1.03750074775041</v>
      </c>
    </row>
    <row r="392" customFormat="false" ht="15" hidden="false" customHeight="false" outlineLevel="0" collapsed="false">
      <c r="B392" s="17" t="s">
        <v>62</v>
      </c>
      <c r="C392" s="17" t="str">
        <f aca="false">$C$367</f>
        <v>nfm</v>
      </c>
      <c r="D392" s="18" t="s">
        <v>63</v>
      </c>
      <c r="E392" s="19" t="s">
        <v>61</v>
      </c>
      <c r="F392" s="17" t="s">
        <v>79</v>
      </c>
      <c r="G392" s="20" t="str">
        <f aca="false">Settings!$B$3&amp;".mit.shp."&amp;$B392&amp;"."&amp;Settings!$B$4&amp;"."&amp;$J$367</f>
        <v>egy.mit.shp.die.ind.2</v>
      </c>
      <c r="H392" s="21" t="str">
        <f aca="false">Settings!$B$3&amp;".mit.shp."&amp;$C$367&amp;"."&amp;$B392&amp;".e."&amp;$J$367</f>
        <v>egy.mit.shp.nfm.die.e.2</v>
      </c>
      <c r="K392" s="23" t="n">
        <f aca="false">K382+INDEX(Data_Prices!K:K,MATCH($G392,Data_Prices!$A:$A,0))*K$400</f>
        <v>0.559711213155688</v>
      </c>
      <c r="L392" s="23" t="n">
        <f aca="false">L382+INDEX(Data_Prices!L:L,MATCH($G392,Data_Prices!$A:$A,0))*L$400</f>
        <v>0.494588730841068</v>
      </c>
      <c r="M392" s="23" t="n">
        <f aca="false">M382+INDEX(Data_Prices!M:M,MATCH($G392,Data_Prices!$A:$A,0))*M$400</f>
        <v>0.507786547202501</v>
      </c>
      <c r="N392" s="23" t="n">
        <f aca="false">N382+INDEX(Data_Prices!N:N,MATCH($G392,Data_Prices!$A:$A,0))*N$400</f>
        <v>0.470436426795617</v>
      </c>
      <c r="O392" s="23" t="n">
        <f aca="false">O382+INDEX(Data_Prices!O:O,MATCH($G392,Data_Prices!$A:$A,0))*O$400</f>
        <v>0.470436426795617</v>
      </c>
      <c r="P392" s="23" t="n">
        <f aca="false">P382+INDEX(Data_Prices!P:P,MATCH($G392,Data_Prices!$A:$A,0))*P$400</f>
        <v>0.470436426795617</v>
      </c>
      <c r="Q392" s="23" t="n">
        <f aca="false">Q382+INDEX(Data_Prices!Q:Q,MATCH($G392,Data_Prices!$A:$A,0))*Q$400</f>
        <v>0.503446865654492</v>
      </c>
      <c r="R392" s="23" t="n">
        <f aca="false">R382+INDEX(Data_Prices!R:R,MATCH($G392,Data_Prices!$A:$A,0))*R$400</f>
        <v>0.536457304513367</v>
      </c>
      <c r="S392" s="23" t="n">
        <f aca="false">S382+INDEX(Data_Prices!S:S,MATCH($G392,Data_Prices!$A:$A,0))*S$400</f>
        <v>0.569467743372243</v>
      </c>
      <c r="T392" s="23" t="n">
        <f aca="false">T382+INDEX(Data_Prices!T:T,MATCH($G392,Data_Prices!$A:$A,0))*T$400</f>
        <v>0.602478182231117</v>
      </c>
      <c r="U392" s="23" t="n">
        <f aca="false">U382+INDEX(Data_Prices!U:U,MATCH($G392,Data_Prices!$A:$A,0))*U$400</f>
        <v>0.635488621089992</v>
      </c>
      <c r="V392" s="23" t="n">
        <f aca="false">V382+INDEX(Data_Prices!V:V,MATCH($G392,Data_Prices!$A:$A,0))*V$400</f>
        <v>0.668499059948867</v>
      </c>
      <c r="W392" s="23" t="n">
        <f aca="false">W382+INDEX(Data_Prices!W:W,MATCH($G392,Data_Prices!$A:$A,0))*W$400</f>
        <v>0.701509498807742</v>
      </c>
      <c r="X392" s="23" t="n">
        <f aca="false">X382+INDEX(Data_Prices!X:X,MATCH($G392,Data_Prices!$A:$A,0))*X$400</f>
        <v>0.734519937666617</v>
      </c>
      <c r="Y392" s="23" t="n">
        <f aca="false">Y382+INDEX(Data_Prices!Y:Y,MATCH($G392,Data_Prices!$A:$A,0))*Y$400</f>
        <v>0.767530376525492</v>
      </c>
      <c r="Z392" s="23" t="n">
        <f aca="false">Z382+INDEX(Data_Prices!Z:Z,MATCH($G392,Data_Prices!$A:$A,0))*Z$400</f>
        <v>0.800540815384367</v>
      </c>
      <c r="AA392" s="23" t="n">
        <f aca="false">AA382+INDEX(Data_Prices!AA:AA,MATCH($G392,Data_Prices!$A:$A,0))*AA$400</f>
        <v>0.833551254243242</v>
      </c>
      <c r="AB392" s="23" t="n">
        <f aca="false">AB382+INDEX(Data_Prices!AB:AB,MATCH($G392,Data_Prices!$A:$A,0))*AB$400</f>
        <v>0.866561693102117</v>
      </c>
      <c r="AC392" s="23" t="n">
        <f aca="false">AC382+INDEX(Data_Prices!AC:AC,MATCH($G392,Data_Prices!$A:$A,0))*AC$400</f>
        <v>0.899572131960992</v>
      </c>
      <c r="AD392" s="23" t="n">
        <f aca="false">AD382+INDEX(Data_Prices!AD:AD,MATCH($G392,Data_Prices!$A:$A,0))*AD$400</f>
        <v>0.932582570819867</v>
      </c>
      <c r="AE392" s="23" t="n">
        <f aca="false">AE382+INDEX(Data_Prices!AE:AE,MATCH($G392,Data_Prices!$A:$A,0))*AE$400</f>
        <v>0.965593009678742</v>
      </c>
    </row>
    <row r="393" customFormat="false" ht="15" hidden="false" customHeight="false" outlineLevel="0" collapsed="false">
      <c r="B393" s="17" t="s">
        <v>64</v>
      </c>
      <c r="C393" s="17" t="str">
        <f aca="false">$C$367</f>
        <v>nfm</v>
      </c>
      <c r="D393" s="18" t="s">
        <v>65</v>
      </c>
      <c r="E393" s="19" t="s">
        <v>61</v>
      </c>
      <c r="F393" s="17" t="s">
        <v>79</v>
      </c>
      <c r="G393" s="20" t="str">
        <f aca="false">Settings!$B$3&amp;".mit.shp."&amp;$B393&amp;"."&amp;Settings!$B$4&amp;"."&amp;$J$367</f>
        <v>egy.mit.shp.lpg.ind.2</v>
      </c>
      <c r="H393" s="21" t="str">
        <f aca="false">Settings!$B$3&amp;".mit.shp."&amp;$C$367&amp;"."&amp;$B393&amp;".e."&amp;$J$367</f>
        <v>egy.mit.shp.nfm.lpg.e.2</v>
      </c>
      <c r="K393" s="23" t="n">
        <f aca="false">K383+INDEX(Data_Prices!K:K,MATCH($G393,Data_Prices!$A:$A,0))*K$400</f>
        <v>0.200366691126738</v>
      </c>
      <c r="L393" s="23" t="n">
        <f aca="false">L383+INDEX(Data_Prices!L:L,MATCH($G393,Data_Prices!$A:$A,0))*L$400</f>
        <v>0.157344736252274</v>
      </c>
      <c r="M393" s="23" t="n">
        <f aca="false">M383+INDEX(Data_Prices!M:M,MATCH($G393,Data_Prices!$A:$A,0))*M$400</f>
        <v>0.164484037759277</v>
      </c>
      <c r="N393" s="23" t="n">
        <f aca="false">N383+INDEX(Data_Prices!N:N,MATCH($G393,Data_Prices!$A:$A,0))*N$400</f>
        <v>0.150709077807049</v>
      </c>
      <c r="O393" s="23" t="n">
        <f aca="false">O383+INDEX(Data_Prices!O:O,MATCH($G393,Data_Prices!$A:$A,0))*O$400</f>
        <v>0.150709077807049</v>
      </c>
      <c r="P393" s="23" t="n">
        <f aca="false">P383+INDEX(Data_Prices!P:P,MATCH($G393,Data_Prices!$A:$A,0))*P$400</f>
        <v>0.150709077807049</v>
      </c>
      <c r="Q393" s="23" t="n">
        <f aca="false">Q383+INDEX(Data_Prices!Q:Q,MATCH($G393,Data_Prices!$A:$A,0))*Q$400</f>
        <v>0.172815160734345</v>
      </c>
      <c r="R393" s="23" t="n">
        <f aca="false">R383+INDEX(Data_Prices!R:R,MATCH($G393,Data_Prices!$A:$A,0))*R$400</f>
        <v>0.19492124366164</v>
      </c>
      <c r="S393" s="23" t="n">
        <f aca="false">S383+INDEX(Data_Prices!S:S,MATCH($G393,Data_Prices!$A:$A,0))*S$400</f>
        <v>0.217027326588936</v>
      </c>
      <c r="T393" s="23" t="n">
        <f aca="false">T383+INDEX(Data_Prices!T:T,MATCH($G393,Data_Prices!$A:$A,0))*T$400</f>
        <v>0.239133409516232</v>
      </c>
      <c r="U393" s="23" t="n">
        <f aca="false">U383+INDEX(Data_Prices!U:U,MATCH($G393,Data_Prices!$A:$A,0))*U$400</f>
        <v>0.261239492443527</v>
      </c>
      <c r="V393" s="23" t="n">
        <f aca="false">V383+INDEX(Data_Prices!V:V,MATCH($G393,Data_Prices!$A:$A,0))*V$400</f>
        <v>0.283345575370823</v>
      </c>
      <c r="W393" s="23" t="n">
        <f aca="false">W383+INDEX(Data_Prices!W:W,MATCH($G393,Data_Prices!$A:$A,0))*W$400</f>
        <v>0.305451658298119</v>
      </c>
      <c r="X393" s="23" t="n">
        <f aca="false">X383+INDEX(Data_Prices!X:X,MATCH($G393,Data_Prices!$A:$A,0))*X$400</f>
        <v>0.327557741225415</v>
      </c>
      <c r="Y393" s="23" t="n">
        <f aca="false">Y383+INDEX(Data_Prices!Y:Y,MATCH($G393,Data_Prices!$A:$A,0))*Y$400</f>
        <v>0.34966382415271</v>
      </c>
      <c r="Z393" s="23" t="n">
        <f aca="false">Z383+INDEX(Data_Prices!Z:Z,MATCH($G393,Data_Prices!$A:$A,0))*Z$400</f>
        <v>0.371769907080006</v>
      </c>
      <c r="AA393" s="23" t="n">
        <f aca="false">AA383+INDEX(Data_Prices!AA:AA,MATCH($G393,Data_Prices!$A:$A,0))*AA$400</f>
        <v>0.393875990007302</v>
      </c>
      <c r="AB393" s="23" t="n">
        <f aca="false">AB383+INDEX(Data_Prices!AB:AB,MATCH($G393,Data_Prices!$A:$A,0))*AB$400</f>
        <v>0.415982072934597</v>
      </c>
      <c r="AC393" s="23" t="n">
        <f aca="false">AC383+INDEX(Data_Prices!AC:AC,MATCH($G393,Data_Prices!$A:$A,0))*AC$400</f>
        <v>0.438088155861893</v>
      </c>
      <c r="AD393" s="23" t="n">
        <f aca="false">AD383+INDEX(Data_Prices!AD:AD,MATCH($G393,Data_Prices!$A:$A,0))*AD$400</f>
        <v>0.460194238789189</v>
      </c>
      <c r="AE393" s="23" t="n">
        <f aca="false">AE383+INDEX(Data_Prices!AE:AE,MATCH($G393,Data_Prices!$A:$A,0))*AE$400</f>
        <v>0.482300321716484</v>
      </c>
    </row>
    <row r="394" customFormat="false" ht="15" hidden="false" customHeight="false" outlineLevel="0" collapsed="false">
      <c r="B394" s="17" t="s">
        <v>66</v>
      </c>
      <c r="C394" s="17" t="str">
        <f aca="false">$C$367</f>
        <v>nfm</v>
      </c>
      <c r="D394" s="18" t="s">
        <v>67</v>
      </c>
      <c r="E394" s="19" t="s">
        <v>61</v>
      </c>
      <c r="F394" s="17" t="s">
        <v>79</v>
      </c>
      <c r="G394" s="20" t="str">
        <f aca="false">Settings!$B$3&amp;".mit.shp."&amp;$B394&amp;"."&amp;Settings!$B$4&amp;"."&amp;$J$367</f>
        <v>egy.mit.shp.ker.ind.2</v>
      </c>
      <c r="H394" s="21" t="str">
        <f aca="false">Settings!$B$3&amp;".mit.shp."&amp;$C$367&amp;"."&amp;$B394&amp;".e."&amp;$J$367</f>
        <v>egy.mit.shp.nfm.ker.e.2</v>
      </c>
      <c r="K394" s="23" t="n">
        <f aca="false">K384+INDEX(Data_Prices!K:K,MATCH($G394,Data_Prices!$A:$A,0))*K$400</f>
        <v>0.484294240973435</v>
      </c>
      <c r="L394" s="23" t="n">
        <f aca="false">L384+INDEX(Data_Prices!L:L,MATCH($G394,Data_Prices!$A:$A,0))*L$400</f>
        <v>0.456428170500128</v>
      </c>
      <c r="M394" s="23" t="n">
        <f aca="false">M384+INDEX(Data_Prices!M:M,MATCH($G394,Data_Prices!$A:$A,0))*M$400</f>
        <v>0.431689201955995</v>
      </c>
      <c r="N394" s="23" t="n">
        <f aca="false">N384+INDEX(Data_Prices!N:N,MATCH($G394,Data_Prices!$A:$A,0))*N$400</f>
        <v>0.42507558395597</v>
      </c>
      <c r="O394" s="23" t="n">
        <f aca="false">O384+INDEX(Data_Prices!O:O,MATCH($G394,Data_Prices!$A:$A,0))*O$400</f>
        <v>0.42507558395597</v>
      </c>
      <c r="P394" s="23" t="n">
        <f aca="false">P384+INDEX(Data_Prices!P:P,MATCH($G394,Data_Prices!$A:$A,0))*P$400</f>
        <v>0.42507558395597</v>
      </c>
      <c r="Q394" s="23" t="n">
        <f aca="false">Q384+INDEX(Data_Prices!Q:Q,MATCH($G394,Data_Prices!$A:$A,0))*Q$400</f>
        <v>0.457064414066078</v>
      </c>
      <c r="R394" s="23" t="n">
        <f aca="false">R384+INDEX(Data_Prices!R:R,MATCH($G394,Data_Prices!$A:$A,0))*R$400</f>
        <v>0.489053244176187</v>
      </c>
      <c r="S394" s="23" t="n">
        <f aca="false">S384+INDEX(Data_Prices!S:S,MATCH($G394,Data_Prices!$A:$A,0))*S$400</f>
        <v>0.521042074286296</v>
      </c>
      <c r="T394" s="23" t="n">
        <f aca="false">T384+INDEX(Data_Prices!T:T,MATCH($G394,Data_Prices!$A:$A,0))*T$400</f>
        <v>0.553030904396404</v>
      </c>
      <c r="U394" s="23" t="n">
        <f aca="false">U384+INDEX(Data_Prices!U:U,MATCH($G394,Data_Prices!$A:$A,0))*U$400</f>
        <v>0.585019734506513</v>
      </c>
      <c r="V394" s="23" t="n">
        <f aca="false">V384+INDEX(Data_Prices!V:V,MATCH($G394,Data_Prices!$A:$A,0))*V$400</f>
        <v>0.617008564616621</v>
      </c>
      <c r="W394" s="23" t="n">
        <f aca="false">W384+INDEX(Data_Prices!W:W,MATCH($G394,Data_Prices!$A:$A,0))*W$400</f>
        <v>0.648997394726729</v>
      </c>
      <c r="X394" s="23" t="n">
        <f aca="false">X384+INDEX(Data_Prices!X:X,MATCH($G394,Data_Prices!$A:$A,0))*X$400</f>
        <v>0.680986224836838</v>
      </c>
      <c r="Y394" s="23" t="n">
        <f aca="false">Y384+INDEX(Data_Prices!Y:Y,MATCH($G394,Data_Prices!$A:$A,0))*Y$400</f>
        <v>0.712975054946947</v>
      </c>
      <c r="Z394" s="23" t="n">
        <f aca="false">Z384+INDEX(Data_Prices!Z:Z,MATCH($G394,Data_Prices!$A:$A,0))*Z$400</f>
        <v>0.744963885057055</v>
      </c>
      <c r="AA394" s="23" t="n">
        <f aca="false">AA384+INDEX(Data_Prices!AA:AA,MATCH($G394,Data_Prices!$A:$A,0))*AA$400</f>
        <v>0.776952715167163</v>
      </c>
      <c r="AB394" s="23" t="n">
        <f aca="false">AB384+INDEX(Data_Prices!AB:AB,MATCH($G394,Data_Prices!$A:$A,0))*AB$400</f>
        <v>0.808941545277272</v>
      </c>
      <c r="AC394" s="23" t="n">
        <f aca="false">AC384+INDEX(Data_Prices!AC:AC,MATCH($G394,Data_Prices!$A:$A,0))*AC$400</f>
        <v>0.84093037538738</v>
      </c>
      <c r="AD394" s="23" t="n">
        <f aca="false">AD384+INDEX(Data_Prices!AD:AD,MATCH($G394,Data_Prices!$A:$A,0))*AD$400</f>
        <v>0.872919205497489</v>
      </c>
      <c r="AE394" s="23" t="n">
        <f aca="false">AE384+INDEX(Data_Prices!AE:AE,MATCH($G394,Data_Prices!$A:$A,0))*AE$400</f>
        <v>0.904908035607597</v>
      </c>
    </row>
    <row r="395" customFormat="false" ht="15" hidden="false" customHeight="false" outlineLevel="0" collapsed="false">
      <c r="B395" s="17" t="s">
        <v>68</v>
      </c>
      <c r="C395" s="17" t="str">
        <f aca="false">$C$367</f>
        <v>nfm</v>
      </c>
      <c r="D395" s="18" t="s">
        <v>69</v>
      </c>
      <c r="E395" s="19" t="s">
        <v>70</v>
      </c>
      <c r="F395" s="17" t="s">
        <v>79</v>
      </c>
      <c r="G395" s="20" t="str">
        <f aca="false">Settings!$B$3&amp;".mit.shp."&amp;$B395&amp;"."&amp;Settings!$B$4&amp;"."&amp;$J$367</f>
        <v>egy.mit.shp.oop.ind.2</v>
      </c>
      <c r="H395" s="21" t="str">
        <f aca="false">Settings!$B$3&amp;".mit.shp."&amp;$C$367&amp;"."&amp;$B395&amp;".e."&amp;$J$367</f>
        <v>egy.mit.shp.nfm.oop.e.2</v>
      </c>
      <c r="K395" s="23" t="n">
        <f aca="false">K385+INDEX(Data_Prices!K:K,MATCH($G395,Data_Prices!$A:$A,0))*K$400</f>
        <v>41.5003384988684</v>
      </c>
      <c r="L395" s="23" t="n">
        <f aca="false">L385+INDEX(Data_Prices!L:L,MATCH($G395,Data_Prices!$A:$A,0))*L$400</f>
        <v>34.4153703043132</v>
      </c>
      <c r="M395" s="23" t="n">
        <f aca="false">M385+INDEX(Data_Prices!M:M,MATCH($G395,Data_Prices!$A:$A,0))*M$400</f>
        <v>37.368960690432</v>
      </c>
      <c r="N395" s="23" t="n">
        <f aca="false">N385+INDEX(Data_Prices!N:N,MATCH($G395,Data_Prices!$A:$A,0))*N$400</f>
        <v>28.9827611014773</v>
      </c>
      <c r="O395" s="23" t="n">
        <f aca="false">O385+INDEX(Data_Prices!O:O,MATCH($G395,Data_Prices!$A:$A,0))*O$400</f>
        <v>15</v>
      </c>
      <c r="P395" s="23" t="n">
        <f aca="false">P385+INDEX(Data_Prices!P:P,MATCH($G395,Data_Prices!$A:$A,0))*P$400</f>
        <v>24.2586300842555</v>
      </c>
      <c r="Q395" s="23" t="n">
        <f aca="false">Q385+INDEX(Data_Prices!Q:Q,MATCH($G395,Data_Prices!$A:$A,0))*Q$400</f>
        <v>18.9637581961325</v>
      </c>
      <c r="R395" s="23" t="n">
        <f aca="false">R385+INDEX(Data_Prices!R:R,MATCH($G395,Data_Prices!$A:$A,0))*R$400</f>
        <v>21.7603451140106</v>
      </c>
      <c r="S395" s="23" t="n">
        <f aca="false">S385+INDEX(Data_Prices!S:S,MATCH($G395,Data_Prices!$A:$A,0))*S$400</f>
        <v>26.0798806913736</v>
      </c>
      <c r="T395" s="23" t="n">
        <f aca="false">T385+INDEX(Data_Prices!T:T,MATCH($G395,Data_Prices!$A:$A,0))*T$400</f>
        <v>30.5936824452092</v>
      </c>
      <c r="U395" s="23" t="n">
        <f aca="false">U385+INDEX(Data_Prices!U:U,MATCH($G395,Data_Prices!$A:$A,0))*U$400</f>
        <v>34.9905097394101</v>
      </c>
      <c r="V395" s="23" t="n">
        <f aca="false">V385+INDEX(Data_Prices!V:V,MATCH($G395,Data_Prices!$A:$A,0))*V$400</f>
        <v>40.8580597394101</v>
      </c>
      <c r="W395" s="23" t="n">
        <f aca="false">W385+INDEX(Data_Prices!W:W,MATCH($G395,Data_Prices!$A:$A,0))*W$400</f>
        <v>46.7256097394101</v>
      </c>
      <c r="X395" s="23" t="n">
        <f aca="false">X385+INDEX(Data_Prices!X:X,MATCH($G395,Data_Prices!$A:$A,0))*X$400</f>
        <v>52.5931597394101</v>
      </c>
      <c r="Y395" s="23" t="n">
        <f aca="false">Y385+INDEX(Data_Prices!Y:Y,MATCH($G395,Data_Prices!$A:$A,0))*Y$400</f>
        <v>58.4607097394101</v>
      </c>
      <c r="Z395" s="23" t="n">
        <f aca="false">Z385+INDEX(Data_Prices!Z:Z,MATCH($G395,Data_Prices!$A:$A,0))*Z$400</f>
        <v>64.3282597394101</v>
      </c>
      <c r="AA395" s="23" t="n">
        <f aca="false">AA385+INDEX(Data_Prices!AA:AA,MATCH($G395,Data_Prices!$A:$A,0))*AA$400</f>
        <v>70.1958097394101</v>
      </c>
      <c r="AB395" s="23" t="n">
        <f aca="false">AB385+INDEX(Data_Prices!AB:AB,MATCH($G395,Data_Prices!$A:$A,0))*AB$400</f>
        <v>76.0633597394101</v>
      </c>
      <c r="AC395" s="23" t="n">
        <f aca="false">AC385+INDEX(Data_Prices!AC:AC,MATCH($G395,Data_Prices!$A:$A,0))*AC$400</f>
        <v>81.9309097394101</v>
      </c>
      <c r="AD395" s="23" t="n">
        <f aca="false">AD385+INDEX(Data_Prices!AD:AD,MATCH($G395,Data_Prices!$A:$A,0))*AD$400</f>
        <v>87.7984597394101</v>
      </c>
      <c r="AE395" s="23" t="n">
        <f aca="false">AE385+INDEX(Data_Prices!AE:AE,MATCH($G395,Data_Prices!$A:$A,0))*AE$400</f>
        <v>93.6660097394101</v>
      </c>
    </row>
    <row r="396" customFormat="false" ht="15" hidden="false" customHeight="false" outlineLevel="0" collapsed="false">
      <c r="B396" s="17" t="s">
        <v>71</v>
      </c>
      <c r="C396" s="17" t="str">
        <f aca="false">$C$367</f>
        <v>nfm</v>
      </c>
      <c r="D396" s="18" t="s">
        <v>72</v>
      </c>
      <c r="E396" s="19" t="s">
        <v>55</v>
      </c>
      <c r="F396" s="17" t="s">
        <v>79</v>
      </c>
      <c r="G396" s="20" t="str">
        <f aca="false">Settings!$B$3&amp;".mit.shp."&amp;$B396&amp;"."&amp;Settings!$B$4&amp;"."&amp;$J$367</f>
        <v>egy.mit.shp.bio.ind.2</v>
      </c>
      <c r="H396" s="21" t="str">
        <f aca="false">Settings!$B$3&amp;".mit.shp."&amp;$C$367&amp;"."&amp;$B396&amp;".e."&amp;$J$367</f>
        <v>egy.mit.shp.nfm.bio.e.2</v>
      </c>
      <c r="K396" s="23" t="n">
        <f aca="false">K386+INDEX(Data_Prices!K:K,MATCH($G396,Data_Prices!$A:$A,0))*K$400</f>
        <v>15.3345505293169</v>
      </c>
      <c r="L396" s="23" t="n">
        <f aca="false">L386+INDEX(Data_Prices!L:L,MATCH($G396,Data_Prices!$A:$A,0))*L$400</f>
        <v>14.1995283906349</v>
      </c>
      <c r="M396" s="23" t="n">
        <f aca="false">M386+INDEX(Data_Prices!M:M,MATCH($G396,Data_Prices!$A:$A,0))*M$400</f>
        <v>13.8404416133152</v>
      </c>
      <c r="N396" s="23" t="n">
        <f aca="false">N386+INDEX(Data_Prices!N:N,MATCH($G396,Data_Prices!$A:$A,0))*N$400</f>
        <v>13.5677269404465</v>
      </c>
      <c r="O396" s="23" t="n">
        <f aca="false">O386+INDEX(Data_Prices!O:O,MATCH($G396,Data_Prices!$A:$A,0))*O$400</f>
        <v>13.5677269404465</v>
      </c>
      <c r="P396" s="23" t="n">
        <f aca="false">P386+INDEX(Data_Prices!P:P,MATCH($G396,Data_Prices!$A:$A,0))*P$400</f>
        <v>13.5677269404465</v>
      </c>
      <c r="Q396" s="23" t="n">
        <f aca="false">Q386+INDEX(Data_Prices!Q:Q,MATCH($G396,Data_Prices!$A:$A,0))*Q$400</f>
        <v>13.5677269404465</v>
      </c>
      <c r="R396" s="23" t="n">
        <f aca="false">R386+INDEX(Data_Prices!R:R,MATCH($G396,Data_Prices!$A:$A,0))*R$400</f>
        <v>13.5677269404465</v>
      </c>
      <c r="S396" s="23" t="n">
        <f aca="false">S386+INDEX(Data_Prices!S:S,MATCH($G396,Data_Prices!$A:$A,0))*S$400</f>
        <v>13.5677269404465</v>
      </c>
      <c r="T396" s="23" t="n">
        <f aca="false">T386+INDEX(Data_Prices!T:T,MATCH($G396,Data_Prices!$A:$A,0))*T$400</f>
        <v>13.5677269404465</v>
      </c>
      <c r="U396" s="23" t="n">
        <f aca="false">U386+INDEX(Data_Prices!U:U,MATCH($G396,Data_Prices!$A:$A,0))*U$400</f>
        <v>13.5677269404465</v>
      </c>
      <c r="V396" s="23" t="n">
        <f aca="false">V386+INDEX(Data_Prices!V:V,MATCH($G396,Data_Prices!$A:$A,0))*V$400</f>
        <v>13.5677269404465</v>
      </c>
      <c r="W396" s="23" t="n">
        <f aca="false">W386+INDEX(Data_Prices!W:W,MATCH($G396,Data_Prices!$A:$A,0))*W$400</f>
        <v>13.5677269404465</v>
      </c>
      <c r="X396" s="23" t="n">
        <f aca="false">X386+INDEX(Data_Prices!X:X,MATCH($G396,Data_Prices!$A:$A,0))*X$400</f>
        <v>13.5677269404465</v>
      </c>
      <c r="Y396" s="23" t="n">
        <f aca="false">Y386+INDEX(Data_Prices!Y:Y,MATCH($G396,Data_Prices!$A:$A,0))*Y$400</f>
        <v>13.5677269404465</v>
      </c>
      <c r="Z396" s="23" t="n">
        <f aca="false">Z386+INDEX(Data_Prices!Z:Z,MATCH($G396,Data_Prices!$A:$A,0))*Z$400</f>
        <v>13.5677269404465</v>
      </c>
      <c r="AA396" s="23" t="n">
        <f aca="false">AA386+INDEX(Data_Prices!AA:AA,MATCH($G396,Data_Prices!$A:$A,0))*AA$400</f>
        <v>13.5677269404465</v>
      </c>
      <c r="AB396" s="23" t="n">
        <f aca="false">AB386+INDEX(Data_Prices!AB:AB,MATCH($G396,Data_Prices!$A:$A,0))*AB$400</f>
        <v>13.5677269404465</v>
      </c>
      <c r="AC396" s="23" t="n">
        <f aca="false">AC386+INDEX(Data_Prices!AC:AC,MATCH($G396,Data_Prices!$A:$A,0))*AC$400</f>
        <v>13.5677269404465</v>
      </c>
      <c r="AD396" s="23" t="n">
        <f aca="false">AD386+INDEX(Data_Prices!AD:AD,MATCH($G396,Data_Prices!$A:$A,0))*AD$400</f>
        <v>13.5677269404465</v>
      </c>
      <c r="AE396" s="23" t="n">
        <f aca="false">AE386+INDEX(Data_Prices!AE:AE,MATCH($G396,Data_Prices!$A:$A,0))*AE$400</f>
        <v>13.5677269404465</v>
      </c>
    </row>
    <row r="397" customFormat="false" ht="15" hidden="false" customHeight="false" outlineLevel="0" collapsed="false">
      <c r="B397" s="17" t="s">
        <v>73</v>
      </c>
      <c r="C397" s="17" t="str">
        <f aca="false">$C$367</f>
        <v>nfm</v>
      </c>
      <c r="D397" s="18" t="s">
        <v>74</v>
      </c>
      <c r="E397" s="19" t="s">
        <v>75</v>
      </c>
      <c r="F397" s="17" t="s">
        <v>79</v>
      </c>
      <c r="G397" s="20" t="str">
        <f aca="false">Settings!$B$3&amp;".mit.shp."&amp;$B397&amp;"."&amp;Settings!$B$4&amp;"."&amp;$J$367</f>
        <v>egy.mit.shp.ren.ind.2</v>
      </c>
      <c r="H397" s="21" t="str">
        <f aca="false">Settings!$B$3&amp;".mit.shp."&amp;$C$367&amp;"."&amp;$B397&amp;".e."&amp;$J$367</f>
        <v>egy.mit.shp.nfm.ren.e.2</v>
      </c>
      <c r="K397" s="23" t="n">
        <f aca="false">K387+INDEX(Data_Prices!K:K,MATCH($G397,Data_Prices!$A:$A,0))*K$400</f>
        <v>0</v>
      </c>
      <c r="L397" s="23" t="n">
        <f aca="false">L387+INDEX(Data_Prices!L:L,MATCH($G397,Data_Prices!$A:$A,0))*L$400</f>
        <v>0.144044986793198</v>
      </c>
      <c r="M397" s="23" t="n">
        <f aca="false">M387+INDEX(Data_Prices!M:M,MATCH($G397,Data_Prices!$A:$A,0))*M$400</f>
        <v>0.141386241751359</v>
      </c>
      <c r="N397" s="23" t="n">
        <f aca="false">N387+INDEX(Data_Prices!N:N,MATCH($G397,Data_Prices!$A:$A,0))*N$400</f>
        <v>0.135397565443731</v>
      </c>
      <c r="O397" s="23" t="n">
        <f aca="false">O387+INDEX(Data_Prices!O:O,MATCH($G397,Data_Prices!$A:$A,0))*O$400</f>
        <v>0.131522885420651</v>
      </c>
      <c r="P397" s="23" t="n">
        <f aca="false">P387+INDEX(Data_Prices!P:P,MATCH($G397,Data_Prices!$A:$A,0))*P$400</f>
        <v>0.128826108485231</v>
      </c>
      <c r="Q397" s="23" t="n">
        <f aca="false">Q387+INDEX(Data_Prices!Q:Q,MATCH($G397,Data_Prices!$A:$A,0))*Q$400</f>
        <v>0.12594200976474</v>
      </c>
      <c r="R397" s="23" t="n">
        <f aca="false">R387+INDEX(Data_Prices!R:R,MATCH($G397,Data_Prices!$A:$A,0))*R$400</f>
        <v>0.123113265701861</v>
      </c>
      <c r="S397" s="23" t="n">
        <f aca="false">S387+INDEX(Data_Prices!S:S,MATCH($G397,Data_Prices!$A:$A,0))*S$400</f>
        <v>0.119391738089068</v>
      </c>
      <c r="T397" s="23" t="n">
        <f aca="false">T387+INDEX(Data_Prices!T:T,MATCH($G397,Data_Prices!$A:$A,0))*T$400</f>
        <v>0.11554419046792</v>
      </c>
      <c r="U397" s="23" t="n">
        <f aca="false">U387+INDEX(Data_Prices!U:U,MATCH($G397,Data_Prices!$A:$A,0))*U$400</f>
        <v>0.114924230654159</v>
      </c>
      <c r="V397" s="23" t="n">
        <f aca="false">V387+INDEX(Data_Prices!V:V,MATCH($G397,Data_Prices!$A:$A,0))*V$400</f>
        <v>0.114346912116736</v>
      </c>
      <c r="W397" s="23" t="n">
        <f aca="false">W387+INDEX(Data_Prices!W:W,MATCH($G397,Data_Prices!$A:$A,0))*W$400</f>
        <v>0.113738711172664</v>
      </c>
      <c r="X397" s="23" t="n">
        <f aca="false">X387+INDEX(Data_Prices!X:X,MATCH($G397,Data_Prices!$A:$A,0))*X$400</f>
        <v>0.112999900487521</v>
      </c>
      <c r="Y397" s="23" t="n">
        <f aca="false">Y387+INDEX(Data_Prices!Y:Y,MATCH($G397,Data_Prices!$A:$A,0))*Y$400</f>
        <v>0.112177685835534</v>
      </c>
      <c r="Z397" s="23" t="n">
        <f aca="false">Z387+INDEX(Data_Prices!Z:Z,MATCH($G397,Data_Prices!$A:$A,0))*Z$400</f>
        <v>0.111417903250404</v>
      </c>
      <c r="AA397" s="23" t="n">
        <f aca="false">AA387+INDEX(Data_Prices!AA:AA,MATCH($G397,Data_Prices!$A:$A,0))*AA$400</f>
        <v>0.110525819985454</v>
      </c>
      <c r="AB397" s="23" t="n">
        <f aca="false">AB387+INDEX(Data_Prices!AB:AB,MATCH($G397,Data_Prices!$A:$A,0))*AB$400</f>
        <v>0.109699565234896</v>
      </c>
      <c r="AC397" s="23" t="n">
        <f aca="false">AC387+INDEX(Data_Prices!AC:AC,MATCH($G397,Data_Prices!$A:$A,0))*AC$400</f>
        <v>0.107726788963949</v>
      </c>
      <c r="AD397" s="23" t="n">
        <f aca="false">AD387+INDEX(Data_Prices!AD:AD,MATCH($G397,Data_Prices!$A:$A,0))*AD$400</f>
        <v>0.105820924450935</v>
      </c>
      <c r="AE397" s="23" t="n">
        <f aca="false">AE387+INDEX(Data_Prices!AE:AE,MATCH($G397,Data_Prices!$A:$A,0))*AE$400</f>
        <v>0.103855595705721</v>
      </c>
    </row>
    <row r="398" customFormat="false" ht="15" hidden="false" customHeight="false" outlineLevel="0" collapsed="false">
      <c r="B398" s="16" t="s">
        <v>80</v>
      </c>
    </row>
    <row r="399" customFormat="false" ht="15" hidden="false" customHeight="false" outlineLevel="0" collapsed="false">
      <c r="B399" s="17" t="s">
        <v>81</v>
      </c>
      <c r="C399" s="17" t="str">
        <f aca="false">$C$367</f>
        <v>nfm</v>
      </c>
      <c r="D399" s="18" t="s">
        <v>82</v>
      </c>
      <c r="E399" s="19" t="s">
        <v>83</v>
      </c>
      <c r="F399" s="17" t="s">
        <v>84</v>
      </c>
      <c r="G399" s="20" t="str">
        <f aca="false">Settings!$B$3&amp;".mit.tcf."&amp;$C$367&amp;"."&amp;$J$367</f>
        <v>egy.mit.tcf.nfm.2</v>
      </c>
      <c r="K399" s="23" t="n">
        <f aca="false">INDEX(Data_Prices!K:K,MATCH($G399,Data_Prices!$A:$A,0))</f>
        <v>0</v>
      </c>
      <c r="L399" s="23" t="n">
        <f aca="false">INDEX(Data_Prices!L:L,MATCH($G399,Data_Prices!$A:$A,0))</f>
        <v>0</v>
      </c>
      <c r="M399" s="23" t="n">
        <f aca="false">INDEX(Data_Prices!M:M,MATCH($G399,Data_Prices!$A:$A,0))</f>
        <v>0</v>
      </c>
      <c r="N399" s="23" t="n">
        <f aca="false">INDEX(Data_Prices!N:N,MATCH($G399,Data_Prices!$A:$A,0))</f>
        <v>0</v>
      </c>
      <c r="O399" s="23" t="n">
        <f aca="false">INDEX(Data_Prices!O:O,MATCH($G399,Data_Prices!$A:$A,0))</f>
        <v>0</v>
      </c>
      <c r="P399" s="23" t="n">
        <f aca="false">INDEX(Data_Prices!P:P,MATCH($G399,Data_Prices!$A:$A,0))</f>
        <v>1</v>
      </c>
      <c r="Q399" s="23" t="n">
        <f aca="false">INDEX(Data_Prices!Q:Q,MATCH($G399,Data_Prices!$A:$A,0))</f>
        <v>1</v>
      </c>
      <c r="R399" s="23" t="n">
        <f aca="false">INDEX(Data_Prices!R:R,MATCH($G399,Data_Prices!$A:$A,0))</f>
        <v>1</v>
      </c>
      <c r="S399" s="23" t="n">
        <f aca="false">INDEX(Data_Prices!S:S,MATCH($G399,Data_Prices!$A:$A,0))</f>
        <v>1</v>
      </c>
      <c r="T399" s="23" t="n">
        <f aca="false">INDEX(Data_Prices!T:T,MATCH($G399,Data_Prices!$A:$A,0))</f>
        <v>1</v>
      </c>
      <c r="U399" s="23" t="n">
        <f aca="false">INDEX(Data_Prices!U:U,MATCH($G399,Data_Prices!$A:$A,0))</f>
        <v>1</v>
      </c>
      <c r="V399" s="23" t="n">
        <f aca="false">INDEX(Data_Prices!V:V,MATCH($G399,Data_Prices!$A:$A,0))</f>
        <v>1</v>
      </c>
      <c r="W399" s="23" t="n">
        <f aca="false">INDEX(Data_Prices!W:W,MATCH($G399,Data_Prices!$A:$A,0))</f>
        <v>1</v>
      </c>
      <c r="X399" s="23" t="n">
        <f aca="false">INDEX(Data_Prices!X:X,MATCH($G399,Data_Prices!$A:$A,0))</f>
        <v>1</v>
      </c>
      <c r="Y399" s="23" t="n">
        <f aca="false">INDEX(Data_Prices!Y:Y,MATCH($G399,Data_Prices!$A:$A,0))</f>
        <v>1</v>
      </c>
      <c r="Z399" s="23" t="n">
        <f aca="false">INDEX(Data_Prices!Z:Z,MATCH($G399,Data_Prices!$A:$A,0))</f>
        <v>1</v>
      </c>
      <c r="AA399" s="23" t="n">
        <f aca="false">INDEX(Data_Prices!AA:AA,MATCH($G399,Data_Prices!$A:$A,0))</f>
        <v>1</v>
      </c>
      <c r="AB399" s="23" t="n">
        <f aca="false">INDEX(Data_Prices!AB:AB,MATCH($G399,Data_Prices!$A:$A,0))</f>
        <v>1</v>
      </c>
      <c r="AC399" s="23" t="n">
        <f aca="false">INDEX(Data_Prices!AC:AC,MATCH($G399,Data_Prices!$A:$A,0))</f>
        <v>1</v>
      </c>
      <c r="AD399" s="23" t="n">
        <f aca="false">INDEX(Data_Prices!AD:AD,MATCH($G399,Data_Prices!$A:$A,0))</f>
        <v>1</v>
      </c>
      <c r="AE399" s="23" t="n">
        <f aca="false">INDEX(Data_Prices!AE:AE,MATCH($G399,Data_Prices!$A:$A,0))</f>
        <v>1</v>
      </c>
    </row>
    <row r="400" customFormat="false" ht="15" hidden="false" customHeight="false" outlineLevel="0" collapsed="false">
      <c r="B400" s="17" t="s">
        <v>81</v>
      </c>
      <c r="C400" s="17" t="str">
        <f aca="false">$C$367</f>
        <v>nfm</v>
      </c>
      <c r="D400" s="18" t="s">
        <v>85</v>
      </c>
      <c r="E400" s="19" t="s">
        <v>83</v>
      </c>
      <c r="F400" s="17" t="s">
        <v>86</v>
      </c>
      <c r="G400" s="20" t="str">
        <f aca="false">Settings!$B$3&amp;".mit.ssc."&amp;$C$367&amp;"."&amp;$J$367</f>
        <v>egy.mit.ssc.nfm.2</v>
      </c>
      <c r="K400" s="23" t="n">
        <f aca="false">INDEX(Data_Prices!K:K,MATCH($G400,Data_Prices!$A:$A,0))</f>
        <v>0</v>
      </c>
      <c r="L400" s="23" t="n">
        <f aca="false">INDEX(Data_Prices!L:L,MATCH($G400,Data_Prices!$A:$A,0))</f>
        <v>0</v>
      </c>
      <c r="M400" s="23" t="n">
        <f aca="false">INDEX(Data_Prices!M:M,MATCH($G400,Data_Prices!$A:$A,0))</f>
        <v>0</v>
      </c>
      <c r="N400" s="23" t="n">
        <f aca="false">INDEX(Data_Prices!N:N,MATCH($G400,Data_Prices!$A:$A,0))</f>
        <v>0</v>
      </c>
      <c r="O400" s="23" t="n">
        <f aca="false">INDEX(Data_Prices!O:O,MATCH($G400,Data_Prices!$A:$A,0))</f>
        <v>0</v>
      </c>
      <c r="P400" s="23" t="n">
        <f aca="false">INDEX(Data_Prices!P:P,MATCH($G400,Data_Prices!$A:$A,0))</f>
        <v>0</v>
      </c>
      <c r="Q400" s="23" t="n">
        <f aca="false">INDEX(Data_Prices!Q:Q,MATCH($G400,Data_Prices!$A:$A,0))</f>
        <v>0</v>
      </c>
      <c r="R400" s="23" t="n">
        <f aca="false">INDEX(Data_Prices!R:R,MATCH($G400,Data_Prices!$A:$A,0))</f>
        <v>0</v>
      </c>
      <c r="S400" s="23" t="n">
        <f aca="false">INDEX(Data_Prices!S:S,MATCH($G400,Data_Prices!$A:$A,0))</f>
        <v>0</v>
      </c>
      <c r="T400" s="23" t="n">
        <f aca="false">INDEX(Data_Prices!T:T,MATCH($G400,Data_Prices!$A:$A,0))</f>
        <v>0</v>
      </c>
      <c r="U400" s="23" t="n">
        <f aca="false">INDEX(Data_Prices!U:U,MATCH($G400,Data_Prices!$A:$A,0))</f>
        <v>0</v>
      </c>
      <c r="V400" s="23" t="n">
        <f aca="false">INDEX(Data_Prices!V:V,MATCH($G400,Data_Prices!$A:$A,0))</f>
        <v>0</v>
      </c>
      <c r="W400" s="23" t="n">
        <f aca="false">INDEX(Data_Prices!W:W,MATCH($G400,Data_Prices!$A:$A,0))</f>
        <v>0</v>
      </c>
      <c r="X400" s="23" t="n">
        <f aca="false">INDEX(Data_Prices!X:X,MATCH($G400,Data_Prices!$A:$A,0))</f>
        <v>0</v>
      </c>
      <c r="Y400" s="23" t="n">
        <f aca="false">INDEX(Data_Prices!Y:Y,MATCH($G400,Data_Prices!$A:$A,0))</f>
        <v>0</v>
      </c>
      <c r="Z400" s="23" t="n">
        <f aca="false">INDEX(Data_Prices!Z:Z,MATCH($G400,Data_Prices!$A:$A,0))</f>
        <v>0</v>
      </c>
      <c r="AA400" s="23" t="n">
        <f aca="false">INDEX(Data_Prices!AA:AA,MATCH($G400,Data_Prices!$A:$A,0))</f>
        <v>0</v>
      </c>
      <c r="AB400" s="23" t="n">
        <f aca="false">INDEX(Data_Prices!AB:AB,MATCH($G400,Data_Prices!$A:$A,0))</f>
        <v>0</v>
      </c>
      <c r="AC400" s="23" t="n">
        <f aca="false">INDEX(Data_Prices!AC:AC,MATCH($G400,Data_Prices!$A:$A,0))</f>
        <v>0</v>
      </c>
      <c r="AD400" s="23" t="n">
        <f aca="false">INDEX(Data_Prices!AD:AD,MATCH($G400,Data_Prices!$A:$A,0))</f>
        <v>0</v>
      </c>
      <c r="AE400" s="23" t="n">
        <f aca="false">INDEX(Data_Prices!AE:AE,MATCH($G400,Data_Prices!$A:$A,0))</f>
        <v>0</v>
      </c>
    </row>
    <row r="401" customFormat="false" ht="15" hidden="false" customHeight="false" outlineLevel="0" collapsed="false">
      <c r="B401" s="17" t="s">
        <v>81</v>
      </c>
      <c r="C401" s="17" t="str">
        <f aca="false">$C$367</f>
        <v>nfm</v>
      </c>
      <c r="D401" s="18" t="s">
        <v>87</v>
      </c>
      <c r="E401" s="19" t="s">
        <v>88</v>
      </c>
      <c r="F401" s="17" t="s">
        <v>89</v>
      </c>
      <c r="G401" s="20" t="str">
        <f aca="false">Settings!$B$3&amp;".mit.gdp.pos.pct."&amp;$J$367</f>
        <v>egy.mit.gdp.pos.pct.2</v>
      </c>
      <c r="K401" s="24" t="n">
        <f aca="false">INDEX(Data_Macro!K:K,MATCH($G401,Data_Macro!$A:$A,0))</f>
        <v>0</v>
      </c>
      <c r="L401" s="24" t="n">
        <f aca="false">INDEX(Data_Macro!L:L,MATCH($G401,Data_Macro!$A:$A,0))</f>
        <v>0.06651345</v>
      </c>
      <c r="M401" s="24" t="n">
        <f aca="false">INDEX(Data_Macro!M:M,MATCH($G401,Data_Macro!$A:$A,0))</f>
        <v>0.03760281</v>
      </c>
      <c r="N401" s="24" t="n">
        <f aca="false">INDEX(Data_Macro!N:N,MATCH($G401,Data_Macro!$A:$A,0))</f>
        <v>0.02398801</v>
      </c>
      <c r="O401" s="24" t="n">
        <f aca="false">INDEX(Data_Macro!O:O,MATCH($G401,Data_Macro!$A:$A,0))</f>
        <v>0.04392387</v>
      </c>
      <c r="P401" s="24" t="n">
        <f aca="false">INDEX(Data_Macro!P:P,MATCH($G401,Data_Macro!$A:$A,0))</f>
        <v>0.04239706</v>
      </c>
      <c r="Q401" s="24" t="n">
        <f aca="false">INDEX(Data_Macro!Q:Q,MATCH($G401,Data_Macro!$A:$A,0))</f>
        <v>0.0482983837830076</v>
      </c>
      <c r="R401" s="24" t="n">
        <f aca="false">INDEX(Data_Macro!R:R,MATCH($G401,Data_Macro!$A:$A,0))</f>
        <v>0.0555905477124225</v>
      </c>
      <c r="S401" s="24" t="n">
        <f aca="false">INDEX(Data_Macro!S:S,MATCH($G401,Data_Macro!$A:$A,0))</f>
        <v>0.0521372353896314</v>
      </c>
      <c r="T401" s="24" t="n">
        <f aca="false">INDEX(Data_Macro!T:T,MATCH($G401,Data_Macro!$A:$A,0))</f>
        <v>0.0481249074919299</v>
      </c>
      <c r="U401" s="24" t="n">
        <f aca="false">INDEX(Data_Macro!U:U,MATCH($G401,Data_Macro!$A:$A,0))</f>
        <v>0.0472087965265213</v>
      </c>
      <c r="V401" s="24" t="n">
        <f aca="false">INDEX(Data_Macro!V:V,MATCH($G401,Data_Macro!$A:$A,0))</f>
        <v>0.0466890433006764</v>
      </c>
      <c r="W401" s="24" t="n">
        <f aca="false">INDEX(Data_Macro!W:W,MATCH($G401,Data_Macro!$A:$A,0))</f>
        <v>0.0466327501470292</v>
      </c>
      <c r="X401" s="24" t="n">
        <f aca="false">INDEX(Data_Macro!X:X,MATCH($G401,Data_Macro!$A:$A,0))</f>
        <v>0.0468727232644215</v>
      </c>
      <c r="Y401" s="24" t="n">
        <f aca="false">INDEX(Data_Macro!Y:Y,MATCH($G401,Data_Macro!$A:$A,0))</f>
        <v>0.0474699217530487</v>
      </c>
      <c r="Z401" s="24" t="n">
        <f aca="false">INDEX(Data_Macro!Z:Z,MATCH($G401,Data_Macro!$A:$A,0))</f>
        <v>0.048590713024029</v>
      </c>
      <c r="AA401" s="24" t="n">
        <f aca="false">INDEX(Data_Macro!AA:AA,MATCH($G401,Data_Macro!$A:$A,0))</f>
        <v>0.0499411820780664</v>
      </c>
      <c r="AB401" s="24" t="n">
        <f aca="false">INDEX(Data_Macro!AB:AB,MATCH($G401,Data_Macro!$A:$A,0))</f>
        <v>0.0513941835424786</v>
      </c>
      <c r="AC401" s="24" t="n">
        <f aca="false">INDEX(Data_Macro!AC:AC,MATCH($G401,Data_Macro!$A:$A,0))</f>
        <v>0.0526817630197767</v>
      </c>
      <c r="AD401" s="24" t="n">
        <f aca="false">INDEX(Data_Macro!AD:AD,MATCH($G401,Data_Macro!$A:$A,0))</f>
        <v>0.0538007113363503</v>
      </c>
      <c r="AE401" s="24" t="n">
        <f aca="false">INDEX(Data_Macro!AE:AE,MATCH($G401,Data_Macro!$A:$A,0))</f>
        <v>0.0547893980443376</v>
      </c>
    </row>
    <row r="402" customFormat="false" ht="15" hidden="false" customHeight="false" outlineLevel="0" collapsed="false">
      <c r="B402" s="17" t="s">
        <v>81</v>
      </c>
      <c r="C402" s="17" t="str">
        <f aca="false">$C$367</f>
        <v>nfm</v>
      </c>
      <c r="D402" s="18" t="s">
        <v>90</v>
      </c>
      <c r="E402" s="19" t="s">
        <v>91</v>
      </c>
      <c r="F402" s="17" t="s">
        <v>92</v>
      </c>
      <c r="G402" s="20" t="str">
        <f aca="false">Settings!$B$3&amp;".mit.inc.ela.adj."&amp;$J$367</f>
        <v>egy.mit.inc.ela.adj.2</v>
      </c>
      <c r="K402" s="23" t="n">
        <f aca="false">INDEX(Data_Macro!K:K,MATCH($G402,Data_Macro!$A:$A,0))</f>
        <v>0</v>
      </c>
      <c r="L402" s="23" t="n">
        <f aca="false">INDEX(Data_Macro!L:L,MATCH($G402,Data_Macro!$A:$A,0))</f>
        <v>1.02715172471961</v>
      </c>
      <c r="M402" s="23" t="n">
        <f aca="false">INDEX(Data_Macro!M:M,MATCH($G402,Data_Macro!$A:$A,0))</f>
        <v>1.02715172471961</v>
      </c>
      <c r="N402" s="23" t="n">
        <f aca="false">INDEX(Data_Macro!N:N,MATCH($G402,Data_Macro!$A:$A,0))</f>
        <v>1.02056983588512</v>
      </c>
      <c r="O402" s="23" t="n">
        <f aca="false">INDEX(Data_Macro!O:O,MATCH($G402,Data_Macro!$A:$A,0))</f>
        <v>1.01733442885234</v>
      </c>
      <c r="P402" s="23" t="n">
        <f aca="false">INDEX(Data_Macro!P:P,MATCH($G402,Data_Macro!$A:$A,0))</f>
        <v>1.00766833225382</v>
      </c>
      <c r="Q402" s="23" t="n">
        <f aca="false">INDEX(Data_Macro!Q:Q,MATCH($G402,Data_Macro!$A:$A,0))</f>
        <v>1.00074428717553</v>
      </c>
      <c r="R402" s="23" t="n">
        <f aca="false">INDEX(Data_Macro!R:R,MATCH($G402,Data_Macro!$A:$A,0))</f>
        <v>0.991884557194643</v>
      </c>
      <c r="S402" s="23" t="n">
        <f aca="false">INDEX(Data_Macro!S:S,MATCH($G402,Data_Macro!$A:$A,0))</f>
        <v>0.980580565078603</v>
      </c>
      <c r="T402" s="23" t="n">
        <f aca="false">INDEX(Data_Macro!T:T,MATCH($G402,Data_Macro!$A:$A,0))</f>
        <v>0.970250789717781</v>
      </c>
      <c r="U402" s="23" t="n">
        <f aca="false">INDEX(Data_Macro!U:U,MATCH($G402,Data_Macro!$A:$A,0))</f>
        <v>0.964288208159648</v>
      </c>
      <c r="V402" s="23" t="n">
        <f aca="false">INDEX(Data_Macro!V:V,MATCH($G402,Data_Macro!$A:$A,0))</f>
        <v>0.961834393419511</v>
      </c>
      <c r="W402" s="23" t="n">
        <f aca="false">INDEX(Data_Macro!W:W,MATCH($G402,Data_Macro!$A:$A,0))</f>
        <v>0.959416951161644</v>
      </c>
      <c r="X402" s="23" t="n">
        <f aca="false">INDEX(Data_Macro!X:X,MATCH($G402,Data_Macro!$A:$A,0))</f>
        <v>0.957014292521884</v>
      </c>
      <c r="Y402" s="23" t="n">
        <f aca="false">INDEX(Data_Macro!Y:Y,MATCH($G402,Data_Macro!$A:$A,0))</f>
        <v>0.954681937225522</v>
      </c>
      <c r="Z402" s="23" t="n">
        <f aca="false">INDEX(Data_Macro!Z:Z,MATCH($G402,Data_Macro!$A:$A,0))</f>
        <v>0.952400711587746</v>
      </c>
      <c r="AA402" s="23" t="n">
        <f aca="false">INDEX(Data_Macro!AA:AA,MATCH($G402,Data_Macro!$A:$A,0))</f>
        <v>0.950116474994055</v>
      </c>
      <c r="AB402" s="23" t="n">
        <f aca="false">INDEX(Data_Macro!AB:AB,MATCH($G402,Data_Macro!$A:$A,0))</f>
        <v>0.947927358499145</v>
      </c>
      <c r="AC402" s="23" t="n">
        <f aca="false">INDEX(Data_Macro!AC:AC,MATCH($G402,Data_Macro!$A:$A,0))</f>
        <v>0.945876747762997</v>
      </c>
      <c r="AD402" s="23" t="n">
        <f aca="false">INDEX(Data_Macro!AD:AD,MATCH($G402,Data_Macro!$A:$A,0))</f>
        <v>0.944054805828393</v>
      </c>
      <c r="AE402" s="23" t="n">
        <f aca="false">INDEX(Data_Macro!AE:AE,MATCH($G402,Data_Macro!$A:$A,0))</f>
        <v>0.942463912252065</v>
      </c>
    </row>
    <row r="403" customFormat="false" ht="15" hidden="false" customHeight="false" outlineLevel="0" collapsed="false">
      <c r="B403" s="17" t="s">
        <v>81</v>
      </c>
      <c r="C403" s="17" t="str">
        <f aca="false">$C$367</f>
        <v>nfm</v>
      </c>
      <c r="D403" s="18" t="s">
        <v>93</v>
      </c>
      <c r="E403" s="19" t="s">
        <v>91</v>
      </c>
      <c r="F403" s="17" t="s">
        <v>94</v>
      </c>
      <c r="G403" s="20" t="str">
        <f aca="false">Settings!$B$3&amp;".mit.shock."&amp;$J$367</f>
        <v>egy.mit.shock.2</v>
      </c>
      <c r="K403" s="23" t="n">
        <f aca="false">INDEX(Data_Macro!K:K,MATCH($G403,Data_Macro!$A:$A,0))</f>
        <v>0</v>
      </c>
      <c r="L403" s="23" t="n">
        <f aca="false">INDEX(Data_Macro!L:L,MATCH($G403,Data_Macro!$A:$A,0))</f>
        <v>0</v>
      </c>
      <c r="M403" s="23" t="n">
        <f aca="false">INDEX(Data_Macro!M:M,MATCH($G403,Data_Macro!$A:$A,0))</f>
        <v>-0.208133083020442</v>
      </c>
      <c r="N403" s="23" t="n">
        <f aca="false">INDEX(Data_Macro!N:N,MATCH($G403,Data_Macro!$A:$A,0))</f>
        <v>0.0923714285714286</v>
      </c>
      <c r="O403" s="23" t="n">
        <f aca="false">INDEX(Data_Macro!O:O,MATCH($G403,Data_Macro!$A:$A,0))</f>
        <v>0</v>
      </c>
      <c r="P403" s="23" t="n">
        <f aca="false">INDEX(Data_Macro!P:P,MATCH($G403,Data_Macro!$A:$A,0))</f>
        <v>0</v>
      </c>
      <c r="Q403" s="23" t="n">
        <f aca="false">INDEX(Data_Macro!Q:Q,MATCH($G403,Data_Macro!$A:$A,0))</f>
        <v>0</v>
      </c>
      <c r="R403" s="23" t="n">
        <f aca="false">INDEX(Data_Macro!R:R,MATCH($G403,Data_Macro!$A:$A,0))</f>
        <v>0</v>
      </c>
      <c r="S403" s="23" t="n">
        <f aca="false">INDEX(Data_Macro!S:S,MATCH($G403,Data_Macro!$A:$A,0))</f>
        <v>0</v>
      </c>
      <c r="T403" s="23" t="n">
        <f aca="false">INDEX(Data_Macro!T:T,MATCH($G403,Data_Macro!$A:$A,0))</f>
        <v>0</v>
      </c>
      <c r="U403" s="23" t="n">
        <f aca="false">INDEX(Data_Macro!U:U,MATCH($G403,Data_Macro!$A:$A,0))</f>
        <v>0</v>
      </c>
      <c r="V403" s="23" t="n">
        <f aca="false">INDEX(Data_Macro!V:V,MATCH($G403,Data_Macro!$A:$A,0))</f>
        <v>0</v>
      </c>
      <c r="W403" s="23" t="n">
        <f aca="false">INDEX(Data_Macro!W:W,MATCH($G403,Data_Macro!$A:$A,0))</f>
        <v>0</v>
      </c>
      <c r="X403" s="23" t="n">
        <f aca="false">INDEX(Data_Macro!X:X,MATCH($G403,Data_Macro!$A:$A,0))</f>
        <v>0</v>
      </c>
      <c r="Y403" s="23" t="n">
        <f aca="false">INDEX(Data_Macro!Y:Y,MATCH($G403,Data_Macro!$A:$A,0))</f>
        <v>0</v>
      </c>
      <c r="Z403" s="23" t="n">
        <f aca="false">INDEX(Data_Macro!Z:Z,MATCH($G403,Data_Macro!$A:$A,0))</f>
        <v>0</v>
      </c>
      <c r="AA403" s="23" t="n">
        <f aca="false">INDEX(Data_Macro!AA:AA,MATCH($G403,Data_Macro!$A:$A,0))</f>
        <v>0</v>
      </c>
      <c r="AB403" s="23" t="n">
        <f aca="false">INDEX(Data_Macro!AB:AB,MATCH($G403,Data_Macro!$A:$A,0))</f>
        <v>0</v>
      </c>
      <c r="AC403" s="23" t="n">
        <f aca="false">INDEX(Data_Macro!AC:AC,MATCH($G403,Data_Macro!$A:$A,0))</f>
        <v>0</v>
      </c>
      <c r="AD403" s="23" t="n">
        <f aca="false">INDEX(Data_Macro!AD:AD,MATCH($G403,Data_Macro!$A:$A,0))</f>
        <v>0</v>
      </c>
      <c r="AE403" s="23" t="n">
        <f aca="false">INDEX(Data_Macro!AE:AE,MATCH($G403,Data_Macro!$A:$A,0))</f>
        <v>0</v>
      </c>
    </row>
    <row r="404" customFormat="false" ht="15" hidden="false" customHeight="false" outlineLevel="0" collapsed="false">
      <c r="B404" s="16" t="s">
        <v>95</v>
      </c>
    </row>
    <row r="405" customFormat="false" ht="15" hidden="false" customHeight="false" outlineLevel="0" collapsed="false">
      <c r="B405" s="8" t="s">
        <v>36</v>
      </c>
      <c r="C405" s="8" t="s">
        <v>37</v>
      </c>
      <c r="D405" s="25" t="s">
        <v>38</v>
      </c>
      <c r="E405" s="8" t="s">
        <v>96</v>
      </c>
      <c r="F405" s="8" t="s">
        <v>97</v>
      </c>
      <c r="G405" s="8" t="s">
        <v>98</v>
      </c>
      <c r="H405" s="8" t="s">
        <v>99</v>
      </c>
      <c r="I405" s="8" t="s">
        <v>100</v>
      </c>
      <c r="J405" s="8" t="s">
        <v>101</v>
      </c>
    </row>
    <row r="406" customFormat="false" ht="15" hidden="false" customHeight="false" outlineLevel="0" collapsed="false">
      <c r="B406" s="17" t="s">
        <v>53</v>
      </c>
      <c r="C406" s="17" t="str">
        <f aca="false">$C$367</f>
        <v>nfm</v>
      </c>
      <c r="D406" s="26" t="s">
        <v>102</v>
      </c>
      <c r="E406" s="27" t="n">
        <f aca="false">INDEX(Data_Elast!$D:$G,MATCH("el_inc_"&amp;INDEX(Data_Elast!$J:$J,MATCH($B406,Data_Elast!$I:$I,0)),Data_Elast!$A:$A,0),MATCH(Settings!$B$5,Data_Elast!$D$1:$G$1,0))</f>
        <v>0.5</v>
      </c>
      <c r="F406" s="27" t="n">
        <f aca="false">INDEX(Data_Elast!$D:$G,MATCH("el_dem_"&amp;INDEX(Data_Elast!$J:$J,MATCH($B406,Data_Elast!$I:$I,0)),Data_Elast!$A:$A,0),MATCH(Settings!$B$5,Data_Elast!$D$1:$G$1,0))</f>
        <v>-0.3</v>
      </c>
      <c r="G406" s="27" t="n">
        <f aca="false">INDEX(Data_Elast!$D:$G,MATCH("el_eff_"&amp;INDEX(Data_Elast!$J:$J,MATCH($B406,Data_Elast!$I:$I,0)),Data_Elast!$A:$A,0),MATCH(Settings!$B$5,Data_Elast!$D$1:$G$1,0))</f>
        <v>-0.4</v>
      </c>
      <c r="H406" s="27" t="n">
        <f aca="false">INDEX(Data_Elast!$D:$G,MATCH("eff_imp_"&amp;INDEX(Data_Elast!$K:$K,MATCH($B406,Data_Elast!$I:$I,0)),Data_Elast!$A:$A,0),MATCH(Settings!$B$5,Data_Elast!$D$1:$G$1,0))</f>
        <v>0.005</v>
      </c>
      <c r="I406" s="27" t="n">
        <f aca="false">Settings!$B$7</f>
        <v>0</v>
      </c>
      <c r="J406" s="19" t="str">
        <f aca="false">INDEX(Data_Elast!$J:$J,MATCH($B406,Data_Elast!$I:$I,0))</f>
        <v>coa</v>
      </c>
    </row>
    <row r="407" customFormat="false" ht="15" hidden="false" customHeight="false" outlineLevel="0" collapsed="false">
      <c r="B407" s="17" t="s">
        <v>57</v>
      </c>
      <c r="C407" s="17" t="str">
        <f aca="false">$C$367</f>
        <v>nfm</v>
      </c>
      <c r="D407" s="26" t="s">
        <v>103</v>
      </c>
      <c r="E407" s="27" t="n">
        <f aca="false">INDEX(Data_Elast!$D:$G,MATCH("el_inc_"&amp;INDEX(Data_Elast!$J:$J,MATCH($B407,Data_Elast!$I:$I,0)),Data_Elast!$A:$A,0),MATCH(Settings!$B$5,Data_Elast!$D$1:$G$1,0))</f>
        <v>1</v>
      </c>
      <c r="F407" s="27" t="n">
        <f aca="false">INDEX(Data_Elast!$D:$G,MATCH("el_dem_"&amp;INDEX(Data_Elast!$J:$J,MATCH($B407,Data_Elast!$I:$I,0)),Data_Elast!$A:$A,0),MATCH(Settings!$B$5,Data_Elast!$D$1:$G$1,0))</f>
        <v>-0.5</v>
      </c>
      <c r="G407" s="27" t="n">
        <f aca="false">INDEX(Data_Elast!$D:$G,MATCH("el_eff_"&amp;INDEX(Data_Elast!$J:$J,MATCH($B407,Data_Elast!$I:$I,0)),Data_Elast!$A:$A,0),MATCH(Settings!$B$5,Data_Elast!$D$1:$G$1,0))</f>
        <v>-0.5</v>
      </c>
      <c r="H407" s="27" t="n">
        <f aca="false">INDEX(Data_Elast!$D:$G,MATCH("eff_imp_"&amp;INDEX(Data_Elast!$K:$K,MATCH($B407,Data_Elast!$I:$I,0)),Data_Elast!$A:$A,0),MATCH(Settings!$B$5,Data_Elast!$D$1:$G$1,0))</f>
        <v>0.01</v>
      </c>
      <c r="I407" s="27" t="n">
        <f aca="false">Settings!$B$7</f>
        <v>0</v>
      </c>
      <c r="J407" s="19" t="str">
        <f aca="false">INDEX(Data_Elast!$J:$J,MATCH($B407,Data_Elast!$I:$I,0))</f>
        <v>nga</v>
      </c>
    </row>
    <row r="408" customFormat="false" ht="15" hidden="false" customHeight="false" outlineLevel="0" collapsed="false">
      <c r="B408" s="17" t="s">
        <v>59</v>
      </c>
      <c r="C408" s="17" t="str">
        <f aca="false">$C$367</f>
        <v>nfm</v>
      </c>
      <c r="D408" s="26" t="s">
        <v>104</v>
      </c>
      <c r="E408" s="27" t="n">
        <f aca="false">INDEX(Data_Elast!$D:$G,MATCH("el_inc_"&amp;INDEX(Data_Elast!$J:$J,MATCH($B408,Data_Elast!$I:$I,0)),Data_Elast!$A:$A,0),MATCH(Settings!$B$5,Data_Elast!$D$1:$G$1,0))</f>
        <v>0.5</v>
      </c>
      <c r="F408" s="27" t="n">
        <f aca="false">INDEX(Data_Elast!$D:$G,MATCH("el_dem_"&amp;INDEX(Data_Elast!$J:$J,MATCH($B408,Data_Elast!$I:$I,0)),Data_Elast!$A:$A,0),MATCH(Settings!$B$5,Data_Elast!$D$1:$G$1,0))</f>
        <v>-0.4</v>
      </c>
      <c r="G408" s="27" t="n">
        <f aca="false">INDEX(Data_Elast!$D:$G,MATCH("el_eff_"&amp;INDEX(Data_Elast!$J:$J,MATCH($B408,Data_Elast!$I:$I,0)),Data_Elast!$A:$A,0),MATCH(Settings!$B$5,Data_Elast!$D$1:$G$1,0))</f>
        <v>-0.7</v>
      </c>
      <c r="H408" s="27" t="n">
        <f aca="false">INDEX(Data_Elast!$D:$G,MATCH("eff_imp_"&amp;INDEX(Data_Elast!$K:$K,MATCH($B408,Data_Elast!$I:$I,0)),Data_Elast!$A:$A,0),MATCH(Settings!$B$5,Data_Elast!$D$1:$G$1,0))</f>
        <v>0.005</v>
      </c>
      <c r="I408" s="27" t="n">
        <f aca="false">Settings!$B$7</f>
        <v>0</v>
      </c>
      <c r="J408" s="19" t="str">
        <f aca="false">INDEX(Data_Elast!$J:$J,MATCH($B408,Data_Elast!$I:$I,0))</f>
        <v>gso</v>
      </c>
    </row>
    <row r="409" customFormat="false" ht="15" hidden="false" customHeight="false" outlineLevel="0" collapsed="false">
      <c r="B409" s="17" t="s">
        <v>62</v>
      </c>
      <c r="C409" s="17" t="str">
        <f aca="false">$C$367</f>
        <v>nfm</v>
      </c>
      <c r="D409" s="26" t="s">
        <v>105</v>
      </c>
      <c r="E409" s="27" t="n">
        <f aca="false">INDEX(Data_Elast!$D:$G,MATCH("el_inc_"&amp;INDEX(Data_Elast!$J:$J,MATCH($B409,Data_Elast!$I:$I,0)),Data_Elast!$A:$A,0),MATCH(Settings!$B$5,Data_Elast!$D$1:$G$1,0))</f>
        <v>0.5</v>
      </c>
      <c r="F409" s="27" t="n">
        <f aca="false">INDEX(Data_Elast!$D:$G,MATCH("el_dem_"&amp;INDEX(Data_Elast!$J:$J,MATCH($B409,Data_Elast!$I:$I,0)),Data_Elast!$A:$A,0),MATCH(Settings!$B$5,Data_Elast!$D$1:$G$1,0))</f>
        <v>-0.7</v>
      </c>
      <c r="G409" s="27" t="n">
        <f aca="false">INDEX(Data_Elast!$D:$G,MATCH("el_eff_"&amp;INDEX(Data_Elast!$J:$J,MATCH($B409,Data_Elast!$I:$I,0)),Data_Elast!$A:$A,0),MATCH(Settings!$B$5,Data_Elast!$D$1:$G$1,0))</f>
        <v>-1.2</v>
      </c>
      <c r="H409" s="27" t="n">
        <f aca="false">INDEX(Data_Elast!$D:$G,MATCH("eff_imp_"&amp;INDEX(Data_Elast!$K:$K,MATCH($B409,Data_Elast!$I:$I,0)),Data_Elast!$A:$A,0),MATCH(Settings!$B$5,Data_Elast!$D$1:$G$1,0))</f>
        <v>0.005</v>
      </c>
      <c r="I409" s="27" t="n">
        <f aca="false">Settings!$B$7</f>
        <v>0</v>
      </c>
      <c r="J409" s="19" t="str">
        <f aca="false">INDEX(Data_Elast!$J:$J,MATCH($B409,Data_Elast!$I:$I,0))</f>
        <v>die</v>
      </c>
    </row>
    <row r="410" customFormat="false" ht="15" hidden="false" customHeight="false" outlineLevel="0" collapsed="false">
      <c r="B410" s="17" t="s">
        <v>64</v>
      </c>
      <c r="C410" s="17" t="str">
        <f aca="false">$C$367</f>
        <v>nfm</v>
      </c>
      <c r="D410" s="26" t="s">
        <v>106</v>
      </c>
      <c r="E410" s="27" t="n">
        <f aca="false">INDEX(Data_Elast!$D:$G,MATCH("el_inc_"&amp;INDEX(Data_Elast!$J:$J,MATCH($B410,Data_Elast!$I:$I,0)),Data_Elast!$A:$A,0),MATCH(Settings!$B$5,Data_Elast!$D$1:$G$1,0))</f>
        <v>0.8</v>
      </c>
      <c r="F410" s="27" t="n">
        <f aca="false">INDEX(Data_Elast!$D:$G,MATCH("el_dem_"&amp;INDEX(Data_Elast!$J:$J,MATCH($B410,Data_Elast!$I:$I,0)),Data_Elast!$A:$A,0),MATCH(Settings!$B$5,Data_Elast!$D$1:$G$1,0))</f>
        <v>-0.4</v>
      </c>
      <c r="G410" s="27" t="n">
        <f aca="false">INDEX(Data_Elast!$D:$G,MATCH("el_eff_"&amp;INDEX(Data_Elast!$J:$J,MATCH($B410,Data_Elast!$I:$I,0)),Data_Elast!$A:$A,0),MATCH(Settings!$B$5,Data_Elast!$D$1:$G$1,0))</f>
        <v>-0.4</v>
      </c>
      <c r="H410" s="27" t="n">
        <f aca="false">INDEX(Data_Elast!$D:$G,MATCH("eff_imp_"&amp;INDEX(Data_Elast!$K:$K,MATCH($B410,Data_Elast!$I:$I,0)),Data_Elast!$A:$A,0),MATCH(Settings!$B$5,Data_Elast!$D$1:$G$1,0))</f>
        <v>0.005</v>
      </c>
      <c r="I410" s="27" t="n">
        <f aca="false">Settings!$B$7</f>
        <v>0</v>
      </c>
      <c r="J410" s="19" t="str">
        <f aca="false">INDEX(Data_Elast!$J:$J,MATCH($B410,Data_Elast!$I:$I,0))</f>
        <v>oil</v>
      </c>
    </row>
    <row r="411" customFormat="false" ht="15" hidden="false" customHeight="false" outlineLevel="0" collapsed="false">
      <c r="B411" s="17" t="s">
        <v>66</v>
      </c>
      <c r="C411" s="17" t="str">
        <f aca="false">$C$367</f>
        <v>nfm</v>
      </c>
      <c r="D411" s="26" t="s">
        <v>107</v>
      </c>
      <c r="E411" s="27" t="n">
        <f aca="false">INDEX(Data_Elast!$D:$G,MATCH("el_inc_"&amp;INDEX(Data_Elast!$J:$J,MATCH($B411,Data_Elast!$I:$I,0)),Data_Elast!$A:$A,0),MATCH(Settings!$B$5,Data_Elast!$D$1:$G$1,0))</f>
        <v>0.8</v>
      </c>
      <c r="F411" s="27" t="n">
        <f aca="false">INDEX(Data_Elast!$D:$G,MATCH("el_dem_"&amp;INDEX(Data_Elast!$J:$J,MATCH($B411,Data_Elast!$I:$I,0)),Data_Elast!$A:$A,0),MATCH(Settings!$B$5,Data_Elast!$D$1:$G$1,0))</f>
        <v>-0.4</v>
      </c>
      <c r="G411" s="27" t="n">
        <f aca="false">INDEX(Data_Elast!$D:$G,MATCH("el_eff_"&amp;INDEX(Data_Elast!$J:$J,MATCH($B411,Data_Elast!$I:$I,0)),Data_Elast!$A:$A,0),MATCH(Settings!$B$5,Data_Elast!$D$1:$G$1,0))</f>
        <v>-0.4</v>
      </c>
      <c r="H411" s="27" t="n">
        <f aca="false">INDEX(Data_Elast!$D:$G,MATCH("eff_imp_"&amp;INDEX(Data_Elast!$K:$K,MATCH($B411,Data_Elast!$I:$I,0)),Data_Elast!$A:$A,0),MATCH(Settings!$B$5,Data_Elast!$D$1:$G$1,0))</f>
        <v>0.005</v>
      </c>
      <c r="I411" s="27" t="n">
        <f aca="false">Settings!$B$7</f>
        <v>0</v>
      </c>
      <c r="J411" s="19" t="str">
        <f aca="false">INDEX(Data_Elast!$J:$J,MATCH($B411,Data_Elast!$I:$I,0))</f>
        <v>oil</v>
      </c>
    </row>
    <row r="412" customFormat="false" ht="15" hidden="false" customHeight="false" outlineLevel="0" collapsed="false">
      <c r="B412" s="17" t="s">
        <v>68</v>
      </c>
      <c r="C412" s="17" t="str">
        <f aca="false">$C$367</f>
        <v>nfm</v>
      </c>
      <c r="D412" s="26" t="s">
        <v>108</v>
      </c>
      <c r="E412" s="27" t="n">
        <f aca="false">INDEX(Data_Elast!$D:$G,MATCH("el_inc_"&amp;INDEX(Data_Elast!$J:$J,MATCH($B412,Data_Elast!$I:$I,0)),Data_Elast!$A:$A,0),MATCH(Settings!$B$5,Data_Elast!$D$1:$G$1,0))</f>
        <v>0.8</v>
      </c>
      <c r="F412" s="27" t="n">
        <f aca="false">INDEX(Data_Elast!$D:$G,MATCH("el_dem_"&amp;INDEX(Data_Elast!$J:$J,MATCH($B412,Data_Elast!$I:$I,0)),Data_Elast!$A:$A,0),MATCH(Settings!$B$5,Data_Elast!$D$1:$G$1,0))</f>
        <v>-0.4</v>
      </c>
      <c r="G412" s="27" t="n">
        <f aca="false">INDEX(Data_Elast!$D:$G,MATCH("el_eff_"&amp;INDEX(Data_Elast!$J:$J,MATCH($B412,Data_Elast!$I:$I,0)),Data_Elast!$A:$A,0),MATCH(Settings!$B$5,Data_Elast!$D$1:$G$1,0))</f>
        <v>-0.4</v>
      </c>
      <c r="H412" s="27" t="n">
        <f aca="false">INDEX(Data_Elast!$D:$G,MATCH("eff_imp_"&amp;INDEX(Data_Elast!$K:$K,MATCH($B412,Data_Elast!$I:$I,0)),Data_Elast!$A:$A,0),MATCH(Settings!$B$5,Data_Elast!$D$1:$G$1,0))</f>
        <v>0.005</v>
      </c>
      <c r="I412" s="27" t="n">
        <f aca="false">Settings!$B$7</f>
        <v>0</v>
      </c>
      <c r="J412" s="19" t="str">
        <f aca="false">INDEX(Data_Elast!$J:$J,MATCH($B412,Data_Elast!$I:$I,0))</f>
        <v>oil</v>
      </c>
    </row>
    <row r="413" customFormat="false" ht="15" hidden="false" customHeight="false" outlineLevel="0" collapsed="false">
      <c r="B413" s="17" t="s">
        <v>71</v>
      </c>
      <c r="C413" s="17" t="str">
        <f aca="false">$C$367</f>
        <v>nfm</v>
      </c>
      <c r="D413" s="26" t="s">
        <v>109</v>
      </c>
      <c r="E413" s="27" t="n">
        <f aca="false">INDEX(Data_Elast!$D:$G,MATCH("el_inc_"&amp;INDEX(Data_Elast!$J:$J,MATCH($B413,Data_Elast!$I:$I,0)),Data_Elast!$A:$A,0),MATCH(Settings!$B$5,Data_Elast!$D$1:$G$1,0))</f>
        <v>0.1</v>
      </c>
      <c r="F413" s="27" t="n">
        <f aca="false">INDEX(Data_Elast!$D:$G,MATCH("el_dem_"&amp;INDEX(Data_Elast!$J:$J,MATCH($B413,Data_Elast!$I:$I,0)),Data_Elast!$A:$A,0),MATCH(Settings!$B$5,Data_Elast!$D$1:$G$1,0))</f>
        <v>-0.3</v>
      </c>
      <c r="G413" s="27" t="n">
        <f aca="false">INDEX(Data_Elast!$D:$G,MATCH("el_eff_"&amp;INDEX(Data_Elast!$J:$J,MATCH($B413,Data_Elast!$I:$I,0)),Data_Elast!$A:$A,0),MATCH(Settings!$B$5,Data_Elast!$D$1:$G$1,0))</f>
        <v>-0.2</v>
      </c>
      <c r="H413" s="27" t="n">
        <f aca="false">INDEX(Data_Elast!$D:$G,MATCH("eff_imp_"&amp;INDEX(Data_Elast!$K:$K,MATCH($B413,Data_Elast!$I:$I,0)),Data_Elast!$A:$A,0),MATCH(Settings!$B$5,Data_Elast!$D$1:$G$1,0))</f>
        <v>0.005</v>
      </c>
      <c r="I413" s="27" t="n">
        <f aca="false">Settings!$B$7</f>
        <v>0</v>
      </c>
      <c r="J413" s="19" t="str">
        <f aca="false">INDEX(Data_Elast!$J:$J,MATCH($B413,Data_Elast!$I:$I,0))</f>
        <v>bio</v>
      </c>
    </row>
    <row r="414" customFormat="false" ht="15" hidden="false" customHeight="false" outlineLevel="0" collapsed="false">
      <c r="B414" s="17" t="s">
        <v>73</v>
      </c>
      <c r="C414" s="17" t="str">
        <f aca="false">$C$367</f>
        <v>nfm</v>
      </c>
      <c r="D414" s="26" t="s">
        <v>110</v>
      </c>
      <c r="E414" s="27" t="n">
        <f aca="false">INDEX(Data_Elast!$D:$G,MATCH("el_inc_"&amp;INDEX(Data_Elast!$J:$J,MATCH($B414,Data_Elast!$I:$I,0)),Data_Elast!$A:$A,0),MATCH(Settings!$B$5,Data_Elast!$D$1:$G$1,0))</f>
        <v>0.8</v>
      </c>
      <c r="F414" s="27" t="n">
        <f aca="false">INDEX(Data_Elast!$D:$G,MATCH("el_dem_"&amp;INDEX(Data_Elast!$J:$J,MATCH($B414,Data_Elast!$I:$I,0)),Data_Elast!$A:$A,0),MATCH(Settings!$B$5,Data_Elast!$D$1:$G$1,0))</f>
        <v>-0.5</v>
      </c>
      <c r="G414" s="27" t="n">
        <f aca="false">INDEX(Data_Elast!$D:$G,MATCH("el_eff_"&amp;INDEX(Data_Elast!$J:$J,MATCH($B414,Data_Elast!$I:$I,0)),Data_Elast!$A:$A,0),MATCH(Settings!$B$5,Data_Elast!$D$1:$G$1,0))</f>
        <v>-0.4</v>
      </c>
      <c r="H414" s="27" t="n">
        <f aca="false">INDEX(Data_Elast!$D:$G,MATCH("eff_imp_"&amp;INDEX(Data_Elast!$K:$K,MATCH($B414,Data_Elast!$I:$I,0)),Data_Elast!$A:$A,0),MATCH(Settings!$B$5,Data_Elast!$D$1:$G$1,0))</f>
        <v>0.005</v>
      </c>
      <c r="I414" s="27" t="n">
        <f aca="false">Settings!$B$7</f>
        <v>0</v>
      </c>
      <c r="J414" s="19" t="str">
        <f aca="false">INDEX(Data_Elast!$J:$J,MATCH($B414,Data_Elast!$I:$I,0))</f>
        <v>ren</v>
      </c>
    </row>
    <row r="415" customFormat="false" ht="15" hidden="false" customHeight="false" outlineLevel="0" collapsed="false">
      <c r="B415" s="16" t="s">
        <v>111</v>
      </c>
    </row>
    <row r="416" customFormat="false" ht="15" hidden="false" customHeight="false" outlineLevel="0" collapsed="false">
      <c r="B416" s="17" t="s">
        <v>53</v>
      </c>
      <c r="C416" s="17" t="str">
        <f aca="false">$C$367</f>
        <v>nfm</v>
      </c>
      <c r="D416" s="18" t="s">
        <v>54</v>
      </c>
      <c r="E416" s="19" t="s">
        <v>112</v>
      </c>
      <c r="F416" s="17" t="s">
        <v>113</v>
      </c>
      <c r="G416" s="20" t="str">
        <f aca="false">Settings!$B$3&amp;".mit.enc."&amp;$B416</f>
        <v>egy.mit.enc.coa</v>
      </c>
      <c r="H416" s="21" t="str">
        <f aca="false">Settings!$B$3&amp;".mit.ener."&amp;$C$367&amp;"."&amp;$B416&amp;".e."&amp;$J$367</f>
        <v>egy.mit.ener.nfm.coa.e.2</v>
      </c>
      <c r="L416" s="28" t="n">
        <f aca="false">INDEX(Data_Energy!$D$3:$U$22,MATCH($B416,Data_Energy!$C$3:$C$22,0),MATCH($C416,Data_Energy!$D$2:$U$2,0))</f>
        <v>0</v>
      </c>
      <c r="M416" s="29" t="n">
        <f aca="false">L416*(1+M$401)^($E406*M$402)*(1+M$403)*IF(L379&lt;=0,1,M379/L379)^$F406*(IF(L389&lt;=0,1,M389/L389)^$G406/(1+$H406+$I406))^(1+$F406)</f>
        <v>0</v>
      </c>
      <c r="N416" s="29" t="n">
        <f aca="false">M416*(1+N$401)^($E406*N$402)*(1+N$403)*IF(M379&lt;=0,1,N379/M379)^$F406*(IF(M389&lt;=0,1,N389/M389)^$G406/(1+$H406+$I406))^(1+$F406)</f>
        <v>0</v>
      </c>
      <c r="O416" s="29" t="n">
        <f aca="false">N416*(1+O$401)^($E406*O$402)*(1+O$403)*IF(N379&lt;=0,1,O379/N379)^$F406*(IF(N389&lt;=0,1,O389/N389)^$G406/(1+$H406+$I406))^(1+$F406)</f>
        <v>0</v>
      </c>
      <c r="P416" s="29" t="n">
        <f aca="false">O416*(1+P$401)^($E406*P$402)*(1+P$403)*IF(O379&lt;=0,1,P379/O379)^$F406*(IF(O389&lt;=0,1,P389/O389)^$G406/(1+$H406+$I406))^(1+$F406)</f>
        <v>0</v>
      </c>
      <c r="Q416" s="29" t="n">
        <f aca="false">P416*(1+Q$401)^($E406*Q$402)*(1+Q$403)*IF(P379&lt;=0,1,Q379/P379)^$F406*(IF(P389&lt;=0,1,Q389/P389)^$G406/(1+$H406+$I406))^(1+$F406)</f>
        <v>0</v>
      </c>
      <c r="R416" s="29" t="n">
        <f aca="false">Q416*(1+R$401)^($E406*R$402)*(1+R$403)*IF(Q379&lt;=0,1,R379/Q379)^$F406*(IF(Q389&lt;=0,1,R389/Q389)^$G406/(1+$H406+$I406))^(1+$F406)</f>
        <v>0</v>
      </c>
      <c r="S416" s="29" t="n">
        <f aca="false">R416*(1+S$401)^($E406*S$402)*(1+S$403)*IF(R379&lt;=0,1,S379/R379)^$F406*(IF(R389&lt;=0,1,S389/R389)^$G406/(1+$H406+$I406))^(1+$F406)</f>
        <v>0</v>
      </c>
      <c r="T416" s="29" t="n">
        <f aca="false">S416*(1+T$401)^($E406*T$402)*(1+T$403)*IF(S379&lt;=0,1,T379/S379)^$F406*(IF(S389&lt;=0,1,T389/S389)^$G406/(1+$H406+$I406))^(1+$F406)</f>
        <v>0</v>
      </c>
      <c r="U416" s="29" t="n">
        <f aca="false">T416*(1+U$401)^($E406*U$402)*(1+U$403)*IF(T379&lt;=0,1,U379/T379)^$F406*(IF(T389&lt;=0,1,U389/T389)^$G406/(1+$H406+$I406))^(1+$F406)</f>
        <v>0</v>
      </c>
      <c r="V416" s="29" t="n">
        <f aca="false">U416*(1+V$401)^($E406*V$402)*(1+V$403)*IF(U379&lt;=0,1,V379/U379)^$F406*(IF(U389&lt;=0,1,V389/U389)^$G406/(1+$H406+$I406))^(1+$F406)</f>
        <v>0</v>
      </c>
      <c r="W416" s="29" t="n">
        <f aca="false">V416*(1+W$401)^($E406*W$402)*(1+W$403)*IF(V379&lt;=0,1,W379/V379)^$F406*(IF(V389&lt;=0,1,W389/V389)^$G406/(1+$H406+$I406))^(1+$F406)</f>
        <v>0</v>
      </c>
      <c r="X416" s="29" t="n">
        <f aca="false">W416*(1+X$401)^($E406*X$402)*(1+X$403)*IF(W379&lt;=0,1,X379/W379)^$F406*(IF(W389&lt;=0,1,X389/W389)^$G406/(1+$H406+$I406))^(1+$F406)</f>
        <v>0</v>
      </c>
      <c r="Y416" s="29" t="n">
        <f aca="false">X416*(1+Y$401)^($E406*Y$402)*(1+Y$403)*IF(X379&lt;=0,1,Y379/X379)^$F406*(IF(X389&lt;=0,1,Y389/X389)^$G406/(1+$H406+$I406))^(1+$F406)</f>
        <v>0</v>
      </c>
      <c r="Z416" s="29" t="n">
        <f aca="false">Y416*(1+Z$401)^($E406*Z$402)*(1+Z$403)*IF(Y379&lt;=0,1,Z379/Y379)^$F406*(IF(Y389&lt;=0,1,Z389/Y389)^$G406/(1+$H406+$I406))^(1+$F406)</f>
        <v>0</v>
      </c>
      <c r="AA416" s="29" t="n">
        <f aca="false">Z416*(1+AA$401)^($E406*AA$402)*(1+AA$403)*IF(Z379&lt;=0,1,AA379/Z379)^$F406*(IF(Z389&lt;=0,1,AA389/Z389)^$G406/(1+$H406+$I406))^(1+$F406)</f>
        <v>0</v>
      </c>
      <c r="AB416" s="29" t="n">
        <f aca="false">AA416*(1+AB$401)^($E406*AB$402)*(1+AB$403)*IF(AA379&lt;=0,1,AB379/AA379)^$F406*(IF(AA389&lt;=0,1,AB389/AA389)^$G406/(1+$H406+$I406))^(1+$F406)</f>
        <v>0</v>
      </c>
      <c r="AC416" s="29" t="n">
        <f aca="false">AB416*(1+AC$401)^($E406*AC$402)*(1+AC$403)*IF(AB379&lt;=0,1,AC379/AB379)^$F406*(IF(AB389&lt;=0,1,AC389/AB389)^$G406/(1+$H406+$I406))^(1+$F406)</f>
        <v>0</v>
      </c>
      <c r="AD416" s="29" t="n">
        <f aca="false">AC416*(1+AD$401)^($E406*AD$402)*(1+AD$403)*IF(AC379&lt;=0,1,AD379/AC379)^$F406*(IF(AC389&lt;=0,1,AD389/AC389)^$G406/(1+$H406+$I406))^(1+$F406)</f>
        <v>0</v>
      </c>
      <c r="AE416" s="29" t="n">
        <f aca="false">AD416*(1+AE$401)^($E406*AE$402)*(1+AE$403)*IF(AD379&lt;=0,1,AE379/AD379)^$F406*(IF(AD389&lt;=0,1,AE389/AD389)^$G406/(1+$H406+$I406))^(1+$F406)</f>
        <v>0</v>
      </c>
    </row>
    <row r="417" customFormat="false" ht="15" hidden="false" customHeight="false" outlineLevel="0" collapsed="false">
      <c r="B417" s="17" t="s">
        <v>57</v>
      </c>
      <c r="C417" s="17" t="str">
        <f aca="false">$C$367</f>
        <v>nfm</v>
      </c>
      <c r="D417" s="18" t="s">
        <v>58</v>
      </c>
      <c r="E417" s="19" t="s">
        <v>112</v>
      </c>
      <c r="F417" s="17" t="s">
        <v>113</v>
      </c>
      <c r="G417" s="20" t="str">
        <f aca="false">Settings!$B$3&amp;".mit.enc."&amp;$B417</f>
        <v>egy.mit.enc.nga</v>
      </c>
      <c r="H417" s="21" t="str">
        <f aca="false">Settings!$B$3&amp;".mit.ener."&amp;$C$367&amp;"."&amp;$B417&amp;".e."&amp;$J$367</f>
        <v>egy.mit.ener.nfm.nga.e.2</v>
      </c>
      <c r="L417" s="28" t="n">
        <f aca="false">INDEX(Data_Energy!$D$3:$U$22,MATCH($B417,Data_Energy!$C$3:$C$22,0),MATCH($C417,Data_Energy!$D$2:$U$2,0))</f>
        <v>0</v>
      </c>
      <c r="M417" s="29" t="n">
        <f aca="false">L417*(1+M$401)^($E407*M$402)*(1+M$403)*IF(L380&lt;=0,1,M380/L380)^$F407*(IF(L390&lt;=0,1,M390/L390)^$G407/(1+$H407+$I407))^(1+$F407)</f>
        <v>0</v>
      </c>
      <c r="N417" s="29" t="n">
        <f aca="false">M417*(1+N$401)^($E407*N$402)*(1+N$403)*IF(M380&lt;=0,1,N380/M380)^$F407*(IF(M390&lt;=0,1,N390/M390)^$G407/(1+$H407+$I407))^(1+$F407)</f>
        <v>0</v>
      </c>
      <c r="O417" s="29" t="n">
        <f aca="false">N417*(1+O$401)^($E407*O$402)*(1+O$403)*IF(N380&lt;=0,1,O380/N380)^$F407*(IF(N390&lt;=0,1,O390/N390)^$G407/(1+$H407+$I407))^(1+$F407)</f>
        <v>0</v>
      </c>
      <c r="P417" s="29" t="n">
        <f aca="false">O417*(1+P$401)^($E407*P$402)*(1+P$403)*IF(O380&lt;=0,1,P380/O380)^$F407*(IF(O390&lt;=0,1,P390/O390)^$G407/(1+$H407+$I407))^(1+$F407)</f>
        <v>0</v>
      </c>
      <c r="Q417" s="29" t="n">
        <f aca="false">P417*(1+Q$401)^($E407*Q$402)*(1+Q$403)*IF(P380&lt;=0,1,Q380/P380)^$F407*(IF(P390&lt;=0,1,Q390/P390)^$G407/(1+$H407+$I407))^(1+$F407)</f>
        <v>0</v>
      </c>
      <c r="R417" s="29" t="n">
        <f aca="false">Q417*(1+R$401)^($E407*R$402)*(1+R$403)*IF(Q380&lt;=0,1,R380/Q380)^$F407*(IF(Q390&lt;=0,1,R390/Q390)^$G407/(1+$H407+$I407))^(1+$F407)</f>
        <v>0</v>
      </c>
      <c r="S417" s="29" t="n">
        <f aca="false">R417*(1+S$401)^($E407*S$402)*(1+S$403)*IF(R380&lt;=0,1,S380/R380)^$F407*(IF(R390&lt;=0,1,S390/R390)^$G407/(1+$H407+$I407))^(1+$F407)</f>
        <v>0</v>
      </c>
      <c r="T417" s="29" t="n">
        <f aca="false">S417*(1+T$401)^($E407*T$402)*(1+T$403)*IF(S380&lt;=0,1,T380/S380)^$F407*(IF(S390&lt;=0,1,T390/S390)^$G407/(1+$H407+$I407))^(1+$F407)</f>
        <v>0</v>
      </c>
      <c r="U417" s="29" t="n">
        <f aca="false">T417*(1+U$401)^($E407*U$402)*(1+U$403)*IF(T380&lt;=0,1,U380/T380)^$F407*(IF(T390&lt;=0,1,U390/T390)^$G407/(1+$H407+$I407))^(1+$F407)</f>
        <v>0</v>
      </c>
      <c r="V417" s="29" t="n">
        <f aca="false">U417*(1+V$401)^($E407*V$402)*(1+V$403)*IF(U380&lt;=0,1,V380/U380)^$F407*(IF(U390&lt;=0,1,V390/U390)^$G407/(1+$H407+$I407))^(1+$F407)</f>
        <v>0</v>
      </c>
      <c r="W417" s="29" t="n">
        <f aca="false">V417*(1+W$401)^($E407*W$402)*(1+W$403)*IF(V380&lt;=0,1,W380/V380)^$F407*(IF(V390&lt;=0,1,W390/V390)^$G407/(1+$H407+$I407))^(1+$F407)</f>
        <v>0</v>
      </c>
      <c r="X417" s="29" t="n">
        <f aca="false">W417*(1+X$401)^($E407*X$402)*(1+X$403)*IF(W380&lt;=0,1,X380/W380)^$F407*(IF(W390&lt;=0,1,X390/W390)^$G407/(1+$H407+$I407))^(1+$F407)</f>
        <v>0</v>
      </c>
      <c r="Y417" s="29" t="n">
        <f aca="false">X417*(1+Y$401)^($E407*Y$402)*(1+Y$403)*IF(X380&lt;=0,1,Y380/X380)^$F407*(IF(X390&lt;=0,1,Y390/X390)^$G407/(1+$H407+$I407))^(1+$F407)</f>
        <v>0</v>
      </c>
      <c r="Z417" s="29" t="n">
        <f aca="false">Y417*(1+Z$401)^($E407*Z$402)*(1+Z$403)*IF(Y380&lt;=0,1,Z380/Y380)^$F407*(IF(Y390&lt;=0,1,Z390/Y390)^$G407/(1+$H407+$I407))^(1+$F407)</f>
        <v>0</v>
      </c>
      <c r="AA417" s="29" t="n">
        <f aca="false">Z417*(1+AA$401)^($E407*AA$402)*(1+AA$403)*IF(Z380&lt;=0,1,AA380/Z380)^$F407*(IF(Z390&lt;=0,1,AA390/Z390)^$G407/(1+$H407+$I407))^(1+$F407)</f>
        <v>0</v>
      </c>
      <c r="AB417" s="29" t="n">
        <f aca="false">AA417*(1+AB$401)^($E407*AB$402)*(1+AB$403)*IF(AA380&lt;=0,1,AB380/AA380)^$F407*(IF(AA390&lt;=0,1,AB390/AA390)^$G407/(1+$H407+$I407))^(1+$F407)</f>
        <v>0</v>
      </c>
      <c r="AC417" s="29" t="n">
        <f aca="false">AB417*(1+AC$401)^($E407*AC$402)*(1+AC$403)*IF(AB380&lt;=0,1,AC380/AB380)^$F407*(IF(AB390&lt;=0,1,AC390/AB390)^$G407/(1+$H407+$I407))^(1+$F407)</f>
        <v>0</v>
      </c>
      <c r="AD417" s="29" t="n">
        <f aca="false">AC417*(1+AD$401)^($E407*AD$402)*(1+AD$403)*IF(AC380&lt;=0,1,AD380/AC380)^$F407*(IF(AC390&lt;=0,1,AD390/AC390)^$G407/(1+$H407+$I407))^(1+$F407)</f>
        <v>0</v>
      </c>
      <c r="AE417" s="29" t="n">
        <f aca="false">AD417*(1+AE$401)^($E407*AE$402)*(1+AE$403)*IF(AD380&lt;=0,1,AE380/AD380)^$F407*(IF(AD390&lt;=0,1,AE390/AD390)^$G407/(1+$H407+$I407))^(1+$F407)</f>
        <v>0</v>
      </c>
    </row>
    <row r="418" customFormat="false" ht="15" hidden="false" customHeight="false" outlineLevel="0" collapsed="false">
      <c r="B418" s="17" t="s">
        <v>59</v>
      </c>
      <c r="C418" s="17" t="str">
        <f aca="false">$C$367</f>
        <v>nfm</v>
      </c>
      <c r="D418" s="18" t="s">
        <v>60</v>
      </c>
      <c r="E418" s="19" t="s">
        <v>112</v>
      </c>
      <c r="F418" s="17" t="s">
        <v>113</v>
      </c>
      <c r="G418" s="20" t="str">
        <f aca="false">Settings!$B$3&amp;".mit.enc."&amp;$B418</f>
        <v>egy.mit.enc.gso</v>
      </c>
      <c r="H418" s="21" t="str">
        <f aca="false">Settings!$B$3&amp;".mit.ener."&amp;$C$367&amp;"."&amp;$B418&amp;".e."&amp;$J$367</f>
        <v>egy.mit.ener.nfm.gso.e.2</v>
      </c>
      <c r="L418" s="28" t="n">
        <f aca="false">INDEX(Data_Energy!$D$3:$U$22,MATCH($B418,Data_Energy!$C$3:$C$22,0),MATCH($C418,Data_Energy!$D$2:$U$2,0))</f>
        <v>0</v>
      </c>
      <c r="M418" s="29" t="n">
        <f aca="false">L418*(1+M$401)^($E408*M$402)*(1+M$403)*IF(L381&lt;=0,1,M381/L381)^$F408*(IF(L391&lt;=0,1,M391/L391)^$G408/(1+$H408+$I408))^(1+$F408)</f>
        <v>0</v>
      </c>
      <c r="N418" s="29" t="n">
        <f aca="false">M418*(1+N$401)^($E408*N$402)*(1+N$403)*IF(M381&lt;=0,1,N381/M381)^$F408*(IF(M391&lt;=0,1,N391/M391)^$G408/(1+$H408+$I408))^(1+$F408)</f>
        <v>0</v>
      </c>
      <c r="O418" s="29" t="n">
        <f aca="false">N418*(1+O$401)^($E408*O$402)*(1+O$403)*IF(N381&lt;=0,1,O381/N381)^$F408*(IF(N391&lt;=0,1,O391/N391)^$G408/(1+$H408+$I408))^(1+$F408)</f>
        <v>0</v>
      </c>
      <c r="P418" s="29" t="n">
        <f aca="false">O418*(1+P$401)^($E408*P$402)*(1+P$403)*IF(O381&lt;=0,1,P381/O381)^$F408*(IF(O391&lt;=0,1,P391/O391)^$G408/(1+$H408+$I408))^(1+$F408)</f>
        <v>0</v>
      </c>
      <c r="Q418" s="29" t="n">
        <f aca="false">P418*(1+Q$401)^($E408*Q$402)*(1+Q$403)*IF(P381&lt;=0,1,Q381/P381)^$F408*(IF(P391&lt;=0,1,Q391/P391)^$G408/(1+$H408+$I408))^(1+$F408)</f>
        <v>0</v>
      </c>
      <c r="R418" s="29" t="n">
        <f aca="false">Q418*(1+R$401)^($E408*R$402)*(1+R$403)*IF(Q381&lt;=0,1,R381/Q381)^$F408*(IF(Q391&lt;=0,1,R391/Q391)^$G408/(1+$H408+$I408))^(1+$F408)</f>
        <v>0</v>
      </c>
      <c r="S418" s="29" t="n">
        <f aca="false">R418*(1+S$401)^($E408*S$402)*(1+S$403)*IF(R381&lt;=0,1,S381/R381)^$F408*(IF(R391&lt;=0,1,S391/R391)^$G408/(1+$H408+$I408))^(1+$F408)</f>
        <v>0</v>
      </c>
      <c r="T418" s="29" t="n">
        <f aca="false">S418*(1+T$401)^($E408*T$402)*(1+T$403)*IF(S381&lt;=0,1,T381/S381)^$F408*(IF(S391&lt;=0,1,T391/S391)^$G408/(1+$H408+$I408))^(1+$F408)</f>
        <v>0</v>
      </c>
      <c r="U418" s="29" t="n">
        <f aca="false">T418*(1+U$401)^($E408*U$402)*(1+U$403)*IF(T381&lt;=0,1,U381/T381)^$F408*(IF(T391&lt;=0,1,U391/T391)^$G408/(1+$H408+$I408))^(1+$F408)</f>
        <v>0</v>
      </c>
      <c r="V418" s="29" t="n">
        <f aca="false">U418*(1+V$401)^($E408*V$402)*(1+V$403)*IF(U381&lt;=0,1,V381/U381)^$F408*(IF(U391&lt;=0,1,V391/U391)^$G408/(1+$H408+$I408))^(1+$F408)</f>
        <v>0</v>
      </c>
      <c r="W418" s="29" t="n">
        <f aca="false">V418*(1+W$401)^($E408*W$402)*(1+W$403)*IF(V381&lt;=0,1,W381/V381)^$F408*(IF(V391&lt;=0,1,W391/V391)^$G408/(1+$H408+$I408))^(1+$F408)</f>
        <v>0</v>
      </c>
      <c r="X418" s="29" t="n">
        <f aca="false">W418*(1+X$401)^($E408*X$402)*(1+X$403)*IF(W381&lt;=0,1,X381/W381)^$F408*(IF(W391&lt;=0,1,X391/W391)^$G408/(1+$H408+$I408))^(1+$F408)</f>
        <v>0</v>
      </c>
      <c r="Y418" s="29" t="n">
        <f aca="false">X418*(1+Y$401)^($E408*Y$402)*(1+Y$403)*IF(X381&lt;=0,1,Y381/X381)^$F408*(IF(X391&lt;=0,1,Y391/X391)^$G408/(1+$H408+$I408))^(1+$F408)</f>
        <v>0</v>
      </c>
      <c r="Z418" s="29" t="n">
        <f aca="false">Y418*(1+Z$401)^($E408*Z$402)*(1+Z$403)*IF(Y381&lt;=0,1,Z381/Y381)^$F408*(IF(Y391&lt;=0,1,Z391/Y391)^$G408/(1+$H408+$I408))^(1+$F408)</f>
        <v>0</v>
      </c>
      <c r="AA418" s="29" t="n">
        <f aca="false">Z418*(1+AA$401)^($E408*AA$402)*(1+AA$403)*IF(Z381&lt;=0,1,AA381/Z381)^$F408*(IF(Z391&lt;=0,1,AA391/Z391)^$G408/(1+$H408+$I408))^(1+$F408)</f>
        <v>0</v>
      </c>
      <c r="AB418" s="29" t="n">
        <f aca="false">AA418*(1+AB$401)^($E408*AB$402)*(1+AB$403)*IF(AA381&lt;=0,1,AB381/AA381)^$F408*(IF(AA391&lt;=0,1,AB391/AA391)^$G408/(1+$H408+$I408))^(1+$F408)</f>
        <v>0</v>
      </c>
      <c r="AC418" s="29" t="n">
        <f aca="false">AB418*(1+AC$401)^($E408*AC$402)*(1+AC$403)*IF(AB381&lt;=0,1,AC381/AB381)^$F408*(IF(AB391&lt;=0,1,AC391/AB391)^$G408/(1+$H408+$I408))^(1+$F408)</f>
        <v>0</v>
      </c>
      <c r="AD418" s="29" t="n">
        <f aca="false">AC418*(1+AD$401)^($E408*AD$402)*(1+AD$403)*IF(AC381&lt;=0,1,AD381/AC381)^$F408*(IF(AC391&lt;=0,1,AD391/AC391)^$G408/(1+$H408+$I408))^(1+$F408)</f>
        <v>0</v>
      </c>
      <c r="AE418" s="29" t="n">
        <f aca="false">AD418*(1+AE$401)^($E408*AE$402)*(1+AE$403)*IF(AD381&lt;=0,1,AE381/AD381)^$F408*(IF(AD391&lt;=0,1,AE391/AD391)^$G408/(1+$H408+$I408))^(1+$F408)</f>
        <v>0</v>
      </c>
    </row>
    <row r="419" customFormat="false" ht="15" hidden="false" customHeight="false" outlineLevel="0" collapsed="false">
      <c r="B419" s="17" t="s">
        <v>62</v>
      </c>
      <c r="C419" s="17" t="str">
        <f aca="false">$C$367</f>
        <v>nfm</v>
      </c>
      <c r="D419" s="18" t="s">
        <v>63</v>
      </c>
      <c r="E419" s="19" t="s">
        <v>112</v>
      </c>
      <c r="F419" s="17" t="s">
        <v>113</v>
      </c>
      <c r="G419" s="20" t="str">
        <f aca="false">Settings!$B$3&amp;".mit.enc."&amp;$B419</f>
        <v>egy.mit.enc.die</v>
      </c>
      <c r="H419" s="21" t="str">
        <f aca="false">Settings!$B$3&amp;".mit.ener."&amp;$C$367&amp;"."&amp;$B419&amp;".e."&amp;$J$367</f>
        <v>egy.mit.ener.nfm.die.e.2</v>
      </c>
      <c r="L419" s="28" t="n">
        <f aca="false">INDEX(Data_Energy!$D$3:$U$22,MATCH($B419,Data_Energy!$C$3:$C$22,0),MATCH($C419,Data_Energy!$D$2:$U$2,0))</f>
        <v>0</v>
      </c>
      <c r="M419" s="29" t="n">
        <f aca="false">L419*(1+M$401)^($E409*M$402)*(1+M$403)*IF(L382&lt;=0,1,M382/L382)^$F409*(IF(L392&lt;=0,1,M392/L392)^$G409/(1+$H409+$I409))^(1+$F409)</f>
        <v>0</v>
      </c>
      <c r="N419" s="29" t="n">
        <f aca="false">M419*(1+N$401)^($E409*N$402)*(1+N$403)*IF(M382&lt;=0,1,N382/M382)^$F409*(IF(M392&lt;=0,1,N392/M392)^$G409/(1+$H409+$I409))^(1+$F409)</f>
        <v>0</v>
      </c>
      <c r="O419" s="29" t="n">
        <f aca="false">N419*(1+O$401)^($E409*O$402)*(1+O$403)*IF(N382&lt;=0,1,O382/N382)^$F409*(IF(N392&lt;=0,1,O392/N392)^$G409/(1+$H409+$I409))^(1+$F409)</f>
        <v>0</v>
      </c>
      <c r="P419" s="29" t="n">
        <f aca="false">O419*(1+P$401)^($E409*P$402)*(1+P$403)*IF(O382&lt;=0,1,P382/O382)^$F409*(IF(O392&lt;=0,1,P392/O392)^$G409/(1+$H409+$I409))^(1+$F409)</f>
        <v>0</v>
      </c>
      <c r="Q419" s="29" t="n">
        <f aca="false">P419*(1+Q$401)^($E409*Q$402)*(1+Q$403)*IF(P382&lt;=0,1,Q382/P382)^$F409*(IF(P392&lt;=0,1,Q392/P392)^$G409/(1+$H409+$I409))^(1+$F409)</f>
        <v>0</v>
      </c>
      <c r="R419" s="29" t="n">
        <f aca="false">Q419*(1+R$401)^($E409*R$402)*(1+R$403)*IF(Q382&lt;=0,1,R382/Q382)^$F409*(IF(Q392&lt;=0,1,R392/Q392)^$G409/(1+$H409+$I409))^(1+$F409)</f>
        <v>0</v>
      </c>
      <c r="S419" s="29" t="n">
        <f aca="false">R419*(1+S$401)^($E409*S$402)*(1+S$403)*IF(R382&lt;=0,1,S382/R382)^$F409*(IF(R392&lt;=0,1,S392/R392)^$G409/(1+$H409+$I409))^(1+$F409)</f>
        <v>0</v>
      </c>
      <c r="T419" s="29" t="n">
        <f aca="false">S419*(1+T$401)^($E409*T$402)*(1+T$403)*IF(S382&lt;=0,1,T382/S382)^$F409*(IF(S392&lt;=0,1,T392/S392)^$G409/(1+$H409+$I409))^(1+$F409)</f>
        <v>0</v>
      </c>
      <c r="U419" s="29" t="n">
        <f aca="false">T419*(1+U$401)^($E409*U$402)*(1+U$403)*IF(T382&lt;=0,1,U382/T382)^$F409*(IF(T392&lt;=0,1,U392/T392)^$G409/(1+$H409+$I409))^(1+$F409)</f>
        <v>0</v>
      </c>
      <c r="V419" s="29" t="n">
        <f aca="false">U419*(1+V$401)^($E409*V$402)*(1+V$403)*IF(U382&lt;=0,1,V382/U382)^$F409*(IF(U392&lt;=0,1,V392/U392)^$G409/(1+$H409+$I409))^(1+$F409)</f>
        <v>0</v>
      </c>
      <c r="W419" s="29" t="n">
        <f aca="false">V419*(1+W$401)^($E409*W$402)*(1+W$403)*IF(V382&lt;=0,1,W382/V382)^$F409*(IF(V392&lt;=0,1,W392/V392)^$G409/(1+$H409+$I409))^(1+$F409)</f>
        <v>0</v>
      </c>
      <c r="X419" s="29" t="n">
        <f aca="false">W419*(1+X$401)^($E409*X$402)*(1+X$403)*IF(W382&lt;=0,1,X382/W382)^$F409*(IF(W392&lt;=0,1,X392/W392)^$G409/(1+$H409+$I409))^(1+$F409)</f>
        <v>0</v>
      </c>
      <c r="Y419" s="29" t="n">
        <f aca="false">X419*(1+Y$401)^($E409*Y$402)*(1+Y$403)*IF(X382&lt;=0,1,Y382/X382)^$F409*(IF(X392&lt;=0,1,Y392/X392)^$G409/(1+$H409+$I409))^(1+$F409)</f>
        <v>0</v>
      </c>
      <c r="Z419" s="29" t="n">
        <f aca="false">Y419*(1+Z$401)^($E409*Z$402)*(1+Z$403)*IF(Y382&lt;=0,1,Z382/Y382)^$F409*(IF(Y392&lt;=0,1,Z392/Y392)^$G409/(1+$H409+$I409))^(1+$F409)</f>
        <v>0</v>
      </c>
      <c r="AA419" s="29" t="n">
        <f aca="false">Z419*(1+AA$401)^($E409*AA$402)*(1+AA$403)*IF(Z382&lt;=0,1,AA382/Z382)^$F409*(IF(Z392&lt;=0,1,AA392/Z392)^$G409/(1+$H409+$I409))^(1+$F409)</f>
        <v>0</v>
      </c>
      <c r="AB419" s="29" t="n">
        <f aca="false">AA419*(1+AB$401)^($E409*AB$402)*(1+AB$403)*IF(AA382&lt;=0,1,AB382/AA382)^$F409*(IF(AA392&lt;=0,1,AB392/AA392)^$G409/(1+$H409+$I409))^(1+$F409)</f>
        <v>0</v>
      </c>
      <c r="AC419" s="29" t="n">
        <f aca="false">AB419*(1+AC$401)^($E409*AC$402)*(1+AC$403)*IF(AB382&lt;=0,1,AC382/AB382)^$F409*(IF(AB392&lt;=0,1,AC392/AB392)^$G409/(1+$H409+$I409))^(1+$F409)</f>
        <v>0</v>
      </c>
      <c r="AD419" s="29" t="n">
        <f aca="false">AC419*(1+AD$401)^($E409*AD$402)*(1+AD$403)*IF(AC382&lt;=0,1,AD382/AC382)^$F409*(IF(AC392&lt;=0,1,AD392/AC392)^$G409/(1+$H409+$I409))^(1+$F409)</f>
        <v>0</v>
      </c>
      <c r="AE419" s="29" t="n">
        <f aca="false">AD419*(1+AE$401)^($E409*AE$402)*(1+AE$403)*IF(AD382&lt;=0,1,AE382/AD382)^$F409*(IF(AD392&lt;=0,1,AE392/AD392)^$G409/(1+$H409+$I409))^(1+$F409)</f>
        <v>0</v>
      </c>
    </row>
    <row r="420" customFormat="false" ht="15" hidden="false" customHeight="false" outlineLevel="0" collapsed="false">
      <c r="B420" s="17" t="s">
        <v>64</v>
      </c>
      <c r="C420" s="17" t="str">
        <f aca="false">$C$367</f>
        <v>nfm</v>
      </c>
      <c r="D420" s="18" t="s">
        <v>65</v>
      </c>
      <c r="E420" s="19" t="s">
        <v>112</v>
      </c>
      <c r="F420" s="17" t="s">
        <v>113</v>
      </c>
      <c r="G420" s="20" t="str">
        <f aca="false">Settings!$B$3&amp;".mit.enc."&amp;$B420</f>
        <v>egy.mit.enc.lpg</v>
      </c>
      <c r="H420" s="21" t="str">
        <f aca="false">Settings!$B$3&amp;".mit.ener."&amp;$C$367&amp;"."&amp;$B420&amp;".e."&amp;$J$367</f>
        <v>egy.mit.ener.nfm.lpg.e.2</v>
      </c>
      <c r="L420" s="28" t="n">
        <f aca="false">INDEX(Data_Energy!$D$3:$U$22,MATCH($B420,Data_Energy!$C$3:$C$22,0),MATCH($C420,Data_Energy!$D$2:$U$2,0))</f>
        <v>0</v>
      </c>
      <c r="M420" s="29" t="n">
        <f aca="false">L420*(1+M$401)^($E410*M$402)*(1+M$403)*IF(L383&lt;=0,1,M383/L383)^$F410*(IF(L393&lt;=0,1,M393/L393)^$G410/(1+$H410+$I410))^(1+$F410)</f>
        <v>0</v>
      </c>
      <c r="N420" s="29" t="n">
        <f aca="false">M420*(1+N$401)^($E410*N$402)*(1+N$403)*IF(M383&lt;=0,1,N383/M383)^$F410*(IF(M393&lt;=0,1,N393/M393)^$G410/(1+$H410+$I410))^(1+$F410)</f>
        <v>0</v>
      </c>
      <c r="O420" s="29" t="n">
        <f aca="false">N420*(1+O$401)^($E410*O$402)*(1+O$403)*IF(N383&lt;=0,1,O383/N383)^$F410*(IF(N393&lt;=0,1,O393/N393)^$G410/(1+$H410+$I410))^(1+$F410)</f>
        <v>0</v>
      </c>
      <c r="P420" s="29" t="n">
        <f aca="false">O420*(1+P$401)^($E410*P$402)*(1+P$403)*IF(O383&lt;=0,1,P383/O383)^$F410*(IF(O393&lt;=0,1,P393/O393)^$G410/(1+$H410+$I410))^(1+$F410)</f>
        <v>0</v>
      </c>
      <c r="Q420" s="29" t="n">
        <f aca="false">P420*(1+Q$401)^($E410*Q$402)*(1+Q$403)*IF(P383&lt;=0,1,Q383/P383)^$F410*(IF(P393&lt;=0,1,Q393/P393)^$G410/(1+$H410+$I410))^(1+$F410)</f>
        <v>0</v>
      </c>
      <c r="R420" s="29" t="n">
        <f aca="false">Q420*(1+R$401)^($E410*R$402)*(1+R$403)*IF(Q383&lt;=0,1,R383/Q383)^$F410*(IF(Q393&lt;=0,1,R393/Q393)^$G410/(1+$H410+$I410))^(1+$F410)</f>
        <v>0</v>
      </c>
      <c r="S420" s="29" t="n">
        <f aca="false">R420*(1+S$401)^($E410*S$402)*(1+S$403)*IF(R383&lt;=0,1,S383/R383)^$F410*(IF(R393&lt;=0,1,S393/R393)^$G410/(1+$H410+$I410))^(1+$F410)</f>
        <v>0</v>
      </c>
      <c r="T420" s="29" t="n">
        <f aca="false">S420*(1+T$401)^($E410*T$402)*(1+T$403)*IF(S383&lt;=0,1,T383/S383)^$F410*(IF(S393&lt;=0,1,T393/S393)^$G410/(1+$H410+$I410))^(1+$F410)</f>
        <v>0</v>
      </c>
      <c r="U420" s="29" t="n">
        <f aca="false">T420*(1+U$401)^($E410*U$402)*(1+U$403)*IF(T383&lt;=0,1,U383/T383)^$F410*(IF(T393&lt;=0,1,U393/T393)^$G410/(1+$H410+$I410))^(1+$F410)</f>
        <v>0</v>
      </c>
      <c r="V420" s="29" t="n">
        <f aca="false">U420*(1+V$401)^($E410*V$402)*(1+V$403)*IF(U383&lt;=0,1,V383/U383)^$F410*(IF(U393&lt;=0,1,V393/U393)^$G410/(1+$H410+$I410))^(1+$F410)</f>
        <v>0</v>
      </c>
      <c r="W420" s="29" t="n">
        <f aca="false">V420*(1+W$401)^($E410*W$402)*(1+W$403)*IF(V383&lt;=0,1,W383/V383)^$F410*(IF(V393&lt;=0,1,W393/V393)^$G410/(1+$H410+$I410))^(1+$F410)</f>
        <v>0</v>
      </c>
      <c r="X420" s="29" t="n">
        <f aca="false">W420*(1+X$401)^($E410*X$402)*(1+X$403)*IF(W383&lt;=0,1,X383/W383)^$F410*(IF(W393&lt;=0,1,X393/W393)^$G410/(1+$H410+$I410))^(1+$F410)</f>
        <v>0</v>
      </c>
      <c r="Y420" s="29" t="n">
        <f aca="false">X420*(1+Y$401)^($E410*Y$402)*(1+Y$403)*IF(X383&lt;=0,1,Y383/X383)^$F410*(IF(X393&lt;=0,1,Y393/X393)^$G410/(1+$H410+$I410))^(1+$F410)</f>
        <v>0</v>
      </c>
      <c r="Z420" s="29" t="n">
        <f aca="false">Y420*(1+Z$401)^($E410*Z$402)*(1+Z$403)*IF(Y383&lt;=0,1,Z383/Y383)^$F410*(IF(Y393&lt;=0,1,Z393/Y393)^$G410/(1+$H410+$I410))^(1+$F410)</f>
        <v>0</v>
      </c>
      <c r="AA420" s="29" t="n">
        <f aca="false">Z420*(1+AA$401)^($E410*AA$402)*(1+AA$403)*IF(Z383&lt;=0,1,AA383/Z383)^$F410*(IF(Z393&lt;=0,1,AA393/Z393)^$G410/(1+$H410+$I410))^(1+$F410)</f>
        <v>0</v>
      </c>
      <c r="AB420" s="29" t="n">
        <f aca="false">AA420*(1+AB$401)^($E410*AB$402)*(1+AB$403)*IF(AA383&lt;=0,1,AB383/AA383)^$F410*(IF(AA393&lt;=0,1,AB393/AA393)^$G410/(1+$H410+$I410))^(1+$F410)</f>
        <v>0</v>
      </c>
      <c r="AC420" s="29" t="n">
        <f aca="false">AB420*(1+AC$401)^($E410*AC$402)*(1+AC$403)*IF(AB383&lt;=0,1,AC383/AB383)^$F410*(IF(AB393&lt;=0,1,AC393/AB393)^$G410/(1+$H410+$I410))^(1+$F410)</f>
        <v>0</v>
      </c>
      <c r="AD420" s="29" t="n">
        <f aca="false">AC420*(1+AD$401)^($E410*AD$402)*(1+AD$403)*IF(AC383&lt;=0,1,AD383/AC383)^$F410*(IF(AC393&lt;=0,1,AD393/AC393)^$G410/(1+$H410+$I410))^(1+$F410)</f>
        <v>0</v>
      </c>
      <c r="AE420" s="29" t="n">
        <f aca="false">AD420*(1+AE$401)^($E410*AE$402)*(1+AE$403)*IF(AD383&lt;=0,1,AE383/AD383)^$F410*(IF(AD393&lt;=0,1,AE393/AD393)^$G410/(1+$H410+$I410))^(1+$F410)</f>
        <v>0</v>
      </c>
    </row>
    <row r="421" customFormat="false" ht="15" hidden="false" customHeight="false" outlineLevel="0" collapsed="false">
      <c r="B421" s="17" t="s">
        <v>66</v>
      </c>
      <c r="C421" s="17" t="str">
        <f aca="false">$C$367</f>
        <v>nfm</v>
      </c>
      <c r="D421" s="18" t="s">
        <v>67</v>
      </c>
      <c r="E421" s="19" t="s">
        <v>112</v>
      </c>
      <c r="F421" s="17" t="s">
        <v>113</v>
      </c>
      <c r="G421" s="20" t="str">
        <f aca="false">Settings!$B$3&amp;".mit.enc."&amp;$B421</f>
        <v>egy.mit.enc.ker</v>
      </c>
      <c r="H421" s="21" t="str">
        <f aca="false">Settings!$B$3&amp;".mit.ener."&amp;$C$367&amp;"."&amp;$B421&amp;".e."&amp;$J$367</f>
        <v>egy.mit.ener.nfm.ker.e.2</v>
      </c>
      <c r="L421" s="28" t="n">
        <f aca="false">INDEX(Data_Energy!$D$3:$U$22,MATCH($B421,Data_Energy!$C$3:$C$22,0),MATCH($C421,Data_Energy!$D$2:$U$2,0))</f>
        <v>0</v>
      </c>
      <c r="M421" s="29" t="n">
        <f aca="false">L421*(1+M$401)^($E411*M$402)*(1+M$403)*IF(L384&lt;=0,1,M384/L384)^$F411*(IF(L394&lt;=0,1,M394/L394)^$G411/(1+$H411+$I411))^(1+$F411)</f>
        <v>0</v>
      </c>
      <c r="N421" s="29" t="n">
        <f aca="false">M421*(1+N$401)^($E411*N$402)*(1+N$403)*IF(M384&lt;=0,1,N384/M384)^$F411*(IF(M394&lt;=0,1,N394/M394)^$G411/(1+$H411+$I411))^(1+$F411)</f>
        <v>0</v>
      </c>
      <c r="O421" s="29" t="n">
        <f aca="false">N421*(1+O$401)^($E411*O$402)*(1+O$403)*IF(N384&lt;=0,1,O384/N384)^$F411*(IF(N394&lt;=0,1,O394/N394)^$G411/(1+$H411+$I411))^(1+$F411)</f>
        <v>0</v>
      </c>
      <c r="P421" s="29" t="n">
        <f aca="false">O421*(1+P$401)^($E411*P$402)*(1+P$403)*IF(O384&lt;=0,1,P384/O384)^$F411*(IF(O394&lt;=0,1,P394/O394)^$G411/(1+$H411+$I411))^(1+$F411)</f>
        <v>0</v>
      </c>
      <c r="Q421" s="29" t="n">
        <f aca="false">P421*(1+Q$401)^($E411*Q$402)*(1+Q$403)*IF(P384&lt;=0,1,Q384/P384)^$F411*(IF(P394&lt;=0,1,Q394/P394)^$G411/(1+$H411+$I411))^(1+$F411)</f>
        <v>0</v>
      </c>
      <c r="R421" s="29" t="n">
        <f aca="false">Q421*(1+R$401)^($E411*R$402)*(1+R$403)*IF(Q384&lt;=0,1,R384/Q384)^$F411*(IF(Q394&lt;=0,1,R394/Q394)^$G411/(1+$H411+$I411))^(1+$F411)</f>
        <v>0</v>
      </c>
      <c r="S421" s="29" t="n">
        <f aca="false">R421*(1+S$401)^($E411*S$402)*(1+S$403)*IF(R384&lt;=0,1,S384/R384)^$F411*(IF(R394&lt;=0,1,S394/R394)^$G411/(1+$H411+$I411))^(1+$F411)</f>
        <v>0</v>
      </c>
      <c r="T421" s="29" t="n">
        <f aca="false">S421*(1+T$401)^($E411*T$402)*(1+T$403)*IF(S384&lt;=0,1,T384/S384)^$F411*(IF(S394&lt;=0,1,T394/S394)^$G411/(1+$H411+$I411))^(1+$F411)</f>
        <v>0</v>
      </c>
      <c r="U421" s="29" t="n">
        <f aca="false">T421*(1+U$401)^($E411*U$402)*(1+U$403)*IF(T384&lt;=0,1,U384/T384)^$F411*(IF(T394&lt;=0,1,U394/T394)^$G411/(1+$H411+$I411))^(1+$F411)</f>
        <v>0</v>
      </c>
      <c r="V421" s="29" t="n">
        <f aca="false">U421*(1+V$401)^($E411*V$402)*(1+V$403)*IF(U384&lt;=0,1,V384/U384)^$F411*(IF(U394&lt;=0,1,V394/U394)^$G411/(1+$H411+$I411))^(1+$F411)</f>
        <v>0</v>
      </c>
      <c r="W421" s="29" t="n">
        <f aca="false">V421*(1+W$401)^($E411*W$402)*(1+W$403)*IF(V384&lt;=0,1,W384/V384)^$F411*(IF(V394&lt;=0,1,W394/V394)^$G411/(1+$H411+$I411))^(1+$F411)</f>
        <v>0</v>
      </c>
      <c r="X421" s="29" t="n">
        <f aca="false">W421*(1+X$401)^($E411*X$402)*(1+X$403)*IF(W384&lt;=0,1,X384/W384)^$F411*(IF(W394&lt;=0,1,X394/W394)^$G411/(1+$H411+$I411))^(1+$F411)</f>
        <v>0</v>
      </c>
      <c r="Y421" s="29" t="n">
        <f aca="false">X421*(1+Y$401)^($E411*Y$402)*(1+Y$403)*IF(X384&lt;=0,1,Y384/X384)^$F411*(IF(X394&lt;=0,1,Y394/X394)^$G411/(1+$H411+$I411))^(1+$F411)</f>
        <v>0</v>
      </c>
      <c r="Z421" s="29" t="n">
        <f aca="false">Y421*(1+Z$401)^($E411*Z$402)*(1+Z$403)*IF(Y384&lt;=0,1,Z384/Y384)^$F411*(IF(Y394&lt;=0,1,Z394/Y394)^$G411/(1+$H411+$I411))^(1+$F411)</f>
        <v>0</v>
      </c>
      <c r="AA421" s="29" t="n">
        <f aca="false">Z421*(1+AA$401)^($E411*AA$402)*(1+AA$403)*IF(Z384&lt;=0,1,AA384/Z384)^$F411*(IF(Z394&lt;=0,1,AA394/Z394)^$G411/(1+$H411+$I411))^(1+$F411)</f>
        <v>0</v>
      </c>
      <c r="AB421" s="29" t="n">
        <f aca="false">AA421*(1+AB$401)^($E411*AB$402)*(1+AB$403)*IF(AA384&lt;=0,1,AB384/AA384)^$F411*(IF(AA394&lt;=0,1,AB394/AA394)^$G411/(1+$H411+$I411))^(1+$F411)</f>
        <v>0</v>
      </c>
      <c r="AC421" s="29" t="n">
        <f aca="false">AB421*(1+AC$401)^($E411*AC$402)*(1+AC$403)*IF(AB384&lt;=0,1,AC384/AB384)^$F411*(IF(AB394&lt;=0,1,AC394/AB394)^$G411/(1+$H411+$I411))^(1+$F411)</f>
        <v>0</v>
      </c>
      <c r="AD421" s="29" t="n">
        <f aca="false">AC421*(1+AD$401)^($E411*AD$402)*(1+AD$403)*IF(AC384&lt;=0,1,AD384/AC384)^$F411*(IF(AC394&lt;=0,1,AD394/AC394)^$G411/(1+$H411+$I411))^(1+$F411)</f>
        <v>0</v>
      </c>
      <c r="AE421" s="29" t="n">
        <f aca="false">AD421*(1+AE$401)^($E411*AE$402)*(1+AE$403)*IF(AD384&lt;=0,1,AE384/AD384)^$F411*(IF(AD394&lt;=0,1,AE394/AD394)^$G411/(1+$H411+$I411))^(1+$F411)</f>
        <v>0</v>
      </c>
    </row>
    <row r="422" customFormat="false" ht="15" hidden="false" customHeight="false" outlineLevel="0" collapsed="false">
      <c r="B422" s="17" t="s">
        <v>68</v>
      </c>
      <c r="C422" s="17" t="str">
        <f aca="false">$C$367</f>
        <v>nfm</v>
      </c>
      <c r="D422" s="18" t="s">
        <v>69</v>
      </c>
      <c r="E422" s="19" t="s">
        <v>112</v>
      </c>
      <c r="F422" s="17" t="s">
        <v>113</v>
      </c>
      <c r="G422" s="20" t="str">
        <f aca="false">Settings!$B$3&amp;".mit.enc."&amp;$B422</f>
        <v>egy.mit.enc.oop</v>
      </c>
      <c r="H422" s="21" t="str">
        <f aca="false">Settings!$B$3&amp;".mit.ener."&amp;$C$367&amp;"."&amp;$B422&amp;".e."&amp;$J$367</f>
        <v>egy.mit.ener.nfm.oop.e.2</v>
      </c>
      <c r="L422" s="28" t="n">
        <f aca="false">INDEX(Data_Energy!$D$3:$U$22,MATCH($B422,Data_Energy!$C$3:$C$22,0),MATCH($C422,Data_Energy!$D$2:$U$2,0))</f>
        <v>0</v>
      </c>
      <c r="M422" s="29" t="n">
        <f aca="false">L422*(1+M$401)^($E412*M$402)*(1+M$403)*IF(L385&lt;=0,1,M385/L385)^$F412*(IF(L395&lt;=0,1,M395/L395)^$G412/(1+$H412+$I412))^(1+$F412)</f>
        <v>0</v>
      </c>
      <c r="N422" s="29" t="n">
        <f aca="false">M422*(1+N$401)^($E412*N$402)*(1+N$403)*IF(M385&lt;=0,1,N385/M385)^$F412*(IF(M395&lt;=0,1,N395/M395)^$G412/(1+$H412+$I412))^(1+$F412)</f>
        <v>0</v>
      </c>
      <c r="O422" s="29" t="n">
        <f aca="false">N422*(1+O$401)^($E412*O$402)*(1+O$403)*IF(N385&lt;=0,1,O385/N385)^$F412*(IF(N395&lt;=0,1,O395/N395)^$G412/(1+$H412+$I412))^(1+$F412)</f>
        <v>0</v>
      </c>
      <c r="P422" s="29" t="n">
        <f aca="false">O422*(1+P$401)^($E412*P$402)*(1+P$403)*IF(O385&lt;=0,1,P385/O385)^$F412*(IF(O395&lt;=0,1,P395/O395)^$G412/(1+$H412+$I412))^(1+$F412)</f>
        <v>0</v>
      </c>
      <c r="Q422" s="29" t="n">
        <f aca="false">P422*(1+Q$401)^($E412*Q$402)*(1+Q$403)*IF(P385&lt;=0,1,Q385/P385)^$F412*(IF(P395&lt;=0,1,Q395/P395)^$G412/(1+$H412+$I412))^(1+$F412)</f>
        <v>0</v>
      </c>
      <c r="R422" s="29" t="n">
        <f aca="false">Q422*(1+R$401)^($E412*R$402)*(1+R$403)*IF(Q385&lt;=0,1,R385/Q385)^$F412*(IF(Q395&lt;=0,1,R395/Q395)^$G412/(1+$H412+$I412))^(1+$F412)</f>
        <v>0</v>
      </c>
      <c r="S422" s="29" t="n">
        <f aca="false">R422*(1+S$401)^($E412*S$402)*(1+S$403)*IF(R385&lt;=0,1,S385/R385)^$F412*(IF(R395&lt;=0,1,S395/R395)^$G412/(1+$H412+$I412))^(1+$F412)</f>
        <v>0</v>
      </c>
      <c r="T422" s="29" t="n">
        <f aca="false">S422*(1+T$401)^($E412*T$402)*(1+T$403)*IF(S385&lt;=0,1,T385/S385)^$F412*(IF(S395&lt;=0,1,T395/S395)^$G412/(1+$H412+$I412))^(1+$F412)</f>
        <v>0</v>
      </c>
      <c r="U422" s="29" t="n">
        <f aca="false">T422*(1+U$401)^($E412*U$402)*(1+U$403)*IF(T385&lt;=0,1,U385/T385)^$F412*(IF(T395&lt;=0,1,U395/T395)^$G412/(1+$H412+$I412))^(1+$F412)</f>
        <v>0</v>
      </c>
      <c r="V422" s="29" t="n">
        <f aca="false">U422*(1+V$401)^($E412*V$402)*(1+V$403)*IF(U385&lt;=0,1,V385/U385)^$F412*(IF(U395&lt;=0,1,V395/U395)^$G412/(1+$H412+$I412))^(1+$F412)</f>
        <v>0</v>
      </c>
      <c r="W422" s="29" t="n">
        <f aca="false">V422*(1+W$401)^($E412*W$402)*(1+W$403)*IF(V385&lt;=0,1,W385/V385)^$F412*(IF(V395&lt;=0,1,W395/V395)^$G412/(1+$H412+$I412))^(1+$F412)</f>
        <v>0</v>
      </c>
      <c r="X422" s="29" t="n">
        <f aca="false">W422*(1+X$401)^($E412*X$402)*(1+X$403)*IF(W385&lt;=0,1,X385/W385)^$F412*(IF(W395&lt;=0,1,X395/W395)^$G412/(1+$H412+$I412))^(1+$F412)</f>
        <v>0</v>
      </c>
      <c r="Y422" s="29" t="n">
        <f aca="false">X422*(1+Y$401)^($E412*Y$402)*(1+Y$403)*IF(X385&lt;=0,1,Y385/X385)^$F412*(IF(X395&lt;=0,1,Y395/X395)^$G412/(1+$H412+$I412))^(1+$F412)</f>
        <v>0</v>
      </c>
      <c r="Z422" s="29" t="n">
        <f aca="false">Y422*(1+Z$401)^($E412*Z$402)*(1+Z$403)*IF(Y385&lt;=0,1,Z385/Y385)^$F412*(IF(Y395&lt;=0,1,Z395/Y395)^$G412/(1+$H412+$I412))^(1+$F412)</f>
        <v>0</v>
      </c>
      <c r="AA422" s="29" t="n">
        <f aca="false">Z422*(1+AA$401)^($E412*AA$402)*(1+AA$403)*IF(Z385&lt;=0,1,AA385/Z385)^$F412*(IF(Z395&lt;=0,1,AA395/Z395)^$G412/(1+$H412+$I412))^(1+$F412)</f>
        <v>0</v>
      </c>
      <c r="AB422" s="29" t="n">
        <f aca="false">AA422*(1+AB$401)^($E412*AB$402)*(1+AB$403)*IF(AA385&lt;=0,1,AB385/AA385)^$F412*(IF(AA395&lt;=0,1,AB395/AA395)^$G412/(1+$H412+$I412))^(1+$F412)</f>
        <v>0</v>
      </c>
      <c r="AC422" s="29" t="n">
        <f aca="false">AB422*(1+AC$401)^($E412*AC$402)*(1+AC$403)*IF(AB385&lt;=0,1,AC385/AB385)^$F412*(IF(AB395&lt;=0,1,AC395/AB395)^$G412/(1+$H412+$I412))^(1+$F412)</f>
        <v>0</v>
      </c>
      <c r="AD422" s="29" t="n">
        <f aca="false">AC422*(1+AD$401)^($E412*AD$402)*(1+AD$403)*IF(AC385&lt;=0,1,AD385/AC385)^$F412*(IF(AC395&lt;=0,1,AD395/AC395)^$G412/(1+$H412+$I412))^(1+$F412)</f>
        <v>0</v>
      </c>
      <c r="AE422" s="29" t="n">
        <f aca="false">AD422*(1+AE$401)^($E412*AE$402)*(1+AE$403)*IF(AD385&lt;=0,1,AE385/AD385)^$F412*(IF(AD395&lt;=0,1,AE395/AD395)^$G412/(1+$H412+$I412))^(1+$F412)</f>
        <v>0</v>
      </c>
    </row>
    <row r="423" customFormat="false" ht="15" hidden="false" customHeight="false" outlineLevel="0" collapsed="false">
      <c r="B423" s="17" t="s">
        <v>71</v>
      </c>
      <c r="C423" s="17" t="str">
        <f aca="false">$C$367</f>
        <v>nfm</v>
      </c>
      <c r="D423" s="18" t="s">
        <v>72</v>
      </c>
      <c r="E423" s="19" t="s">
        <v>112</v>
      </c>
      <c r="F423" s="17" t="s">
        <v>113</v>
      </c>
      <c r="G423" s="20" t="str">
        <f aca="false">Settings!$B$3&amp;".mit.enc."&amp;$B423</f>
        <v>egy.mit.enc.bio</v>
      </c>
      <c r="H423" s="21" t="str">
        <f aca="false">Settings!$B$3&amp;".mit.ener."&amp;$C$367&amp;"."&amp;$B423&amp;".e."&amp;$J$367</f>
        <v>egy.mit.ener.nfm.bio.e.2</v>
      </c>
      <c r="L423" s="28" t="n">
        <f aca="false">INDEX(Data_Energy!$D$3:$U$22,MATCH($B423,Data_Energy!$C$3:$C$22,0),MATCH($C423,Data_Energy!$D$2:$U$2,0))</f>
        <v>0</v>
      </c>
      <c r="M423" s="29" t="n">
        <f aca="false">L423*(1+M$401)^($E413*M$402)*(1+M$403)*IF(L386&lt;=0,1,M386/L386)^$F413*(IF(L396&lt;=0,1,M396/L396)^$G413/(1+$H413+$I413))^(1+$F413)</f>
        <v>0</v>
      </c>
      <c r="N423" s="29" t="n">
        <f aca="false">M423*(1+N$401)^($E413*N$402)*(1+N$403)*IF(M386&lt;=0,1,N386/M386)^$F413*(IF(M396&lt;=0,1,N396/M396)^$G413/(1+$H413+$I413))^(1+$F413)</f>
        <v>0</v>
      </c>
      <c r="O423" s="29" t="n">
        <f aca="false">N423*(1+O$401)^($E413*O$402)*(1+O$403)*IF(N386&lt;=0,1,O386/N386)^$F413*(IF(N396&lt;=0,1,O396/N396)^$G413/(1+$H413+$I413))^(1+$F413)</f>
        <v>0</v>
      </c>
      <c r="P423" s="29" t="n">
        <f aca="false">O423*(1+P$401)^($E413*P$402)*(1+P$403)*IF(O386&lt;=0,1,P386/O386)^$F413*(IF(O396&lt;=0,1,P396/O396)^$G413/(1+$H413+$I413))^(1+$F413)</f>
        <v>0</v>
      </c>
      <c r="Q423" s="29" t="n">
        <f aca="false">P423*(1+Q$401)^($E413*Q$402)*(1+Q$403)*IF(P386&lt;=0,1,Q386/P386)^$F413*(IF(P396&lt;=0,1,Q396/P396)^$G413/(1+$H413+$I413))^(1+$F413)</f>
        <v>0</v>
      </c>
      <c r="R423" s="29" t="n">
        <f aca="false">Q423*(1+R$401)^($E413*R$402)*(1+R$403)*IF(Q386&lt;=0,1,R386/Q386)^$F413*(IF(Q396&lt;=0,1,R396/Q396)^$G413/(1+$H413+$I413))^(1+$F413)</f>
        <v>0</v>
      </c>
      <c r="S423" s="29" t="n">
        <f aca="false">R423*(1+S$401)^($E413*S$402)*(1+S$403)*IF(R386&lt;=0,1,S386/R386)^$F413*(IF(R396&lt;=0,1,S396/R396)^$G413/(1+$H413+$I413))^(1+$F413)</f>
        <v>0</v>
      </c>
      <c r="T423" s="29" t="n">
        <f aca="false">S423*(1+T$401)^($E413*T$402)*(1+T$403)*IF(S386&lt;=0,1,T386/S386)^$F413*(IF(S396&lt;=0,1,T396/S396)^$G413/(1+$H413+$I413))^(1+$F413)</f>
        <v>0</v>
      </c>
      <c r="U423" s="29" t="n">
        <f aca="false">T423*(1+U$401)^($E413*U$402)*(1+U$403)*IF(T386&lt;=0,1,U386/T386)^$F413*(IF(T396&lt;=0,1,U396/T396)^$G413/(1+$H413+$I413))^(1+$F413)</f>
        <v>0</v>
      </c>
      <c r="V423" s="29" t="n">
        <f aca="false">U423*(1+V$401)^($E413*V$402)*(1+V$403)*IF(U386&lt;=0,1,V386/U386)^$F413*(IF(U396&lt;=0,1,V396/U396)^$G413/(1+$H413+$I413))^(1+$F413)</f>
        <v>0</v>
      </c>
      <c r="W423" s="29" t="n">
        <f aca="false">V423*(1+W$401)^($E413*W$402)*(1+W$403)*IF(V386&lt;=0,1,W386/V386)^$F413*(IF(V396&lt;=0,1,W396/V396)^$G413/(1+$H413+$I413))^(1+$F413)</f>
        <v>0</v>
      </c>
      <c r="X423" s="29" t="n">
        <f aca="false">W423*(1+X$401)^($E413*X$402)*(1+X$403)*IF(W386&lt;=0,1,X386/W386)^$F413*(IF(W396&lt;=0,1,X396/W396)^$G413/(1+$H413+$I413))^(1+$F413)</f>
        <v>0</v>
      </c>
      <c r="Y423" s="29" t="n">
        <f aca="false">X423*(1+Y$401)^($E413*Y$402)*(1+Y$403)*IF(X386&lt;=0,1,Y386/X386)^$F413*(IF(X396&lt;=0,1,Y396/X396)^$G413/(1+$H413+$I413))^(1+$F413)</f>
        <v>0</v>
      </c>
      <c r="Z423" s="29" t="n">
        <f aca="false">Y423*(1+Z$401)^($E413*Z$402)*(1+Z$403)*IF(Y386&lt;=0,1,Z386/Y386)^$F413*(IF(Y396&lt;=0,1,Z396/Y396)^$G413/(1+$H413+$I413))^(1+$F413)</f>
        <v>0</v>
      </c>
      <c r="AA423" s="29" t="n">
        <f aca="false">Z423*(1+AA$401)^($E413*AA$402)*(1+AA$403)*IF(Z386&lt;=0,1,AA386/Z386)^$F413*(IF(Z396&lt;=0,1,AA396/Z396)^$G413/(1+$H413+$I413))^(1+$F413)</f>
        <v>0</v>
      </c>
      <c r="AB423" s="29" t="n">
        <f aca="false">AA423*(1+AB$401)^($E413*AB$402)*(1+AB$403)*IF(AA386&lt;=0,1,AB386/AA386)^$F413*(IF(AA396&lt;=0,1,AB396/AA396)^$G413/(1+$H413+$I413))^(1+$F413)</f>
        <v>0</v>
      </c>
      <c r="AC423" s="29" t="n">
        <f aca="false">AB423*(1+AC$401)^($E413*AC$402)*(1+AC$403)*IF(AB386&lt;=0,1,AC386/AB386)^$F413*(IF(AB396&lt;=0,1,AC396/AB396)^$G413/(1+$H413+$I413))^(1+$F413)</f>
        <v>0</v>
      </c>
      <c r="AD423" s="29" t="n">
        <f aca="false">AC423*(1+AD$401)^($E413*AD$402)*(1+AD$403)*IF(AC386&lt;=0,1,AD386/AC386)^$F413*(IF(AC396&lt;=0,1,AD396/AC396)^$G413/(1+$H413+$I413))^(1+$F413)</f>
        <v>0</v>
      </c>
      <c r="AE423" s="29" t="n">
        <f aca="false">AD423*(1+AE$401)^($E413*AE$402)*(1+AE$403)*IF(AD386&lt;=0,1,AE386/AD386)^$F413*(IF(AD396&lt;=0,1,AE396/AD396)^$G413/(1+$H413+$I413))^(1+$F413)</f>
        <v>0</v>
      </c>
    </row>
    <row r="424" customFormat="false" ht="15" hidden="false" customHeight="false" outlineLevel="0" collapsed="false">
      <c r="B424" s="17" t="s">
        <v>73</v>
      </c>
      <c r="C424" s="17" t="str">
        <f aca="false">$C$367</f>
        <v>nfm</v>
      </c>
      <c r="D424" s="18" t="s">
        <v>74</v>
      </c>
      <c r="E424" s="19" t="s">
        <v>112</v>
      </c>
      <c r="F424" s="17" t="s">
        <v>113</v>
      </c>
      <c r="G424" s="20" t="str">
        <f aca="false">Settings!$B$3&amp;".mit.enc."&amp;$B424</f>
        <v>egy.mit.enc.ren</v>
      </c>
      <c r="H424" s="21" t="str">
        <f aca="false">Settings!$B$3&amp;".mit.ener."&amp;$C$367&amp;"."&amp;$B424&amp;".e."&amp;$J$367</f>
        <v>egy.mit.ener.nfm.ren.e.2</v>
      </c>
      <c r="L424" s="28" t="n">
        <f aca="false">INDEX(Data_Energy!$D$3:$U$22,MATCH($B424,Data_Energy!$C$3:$C$22,0),MATCH($C424,Data_Energy!$D$2:$U$2,0))</f>
        <v>0</v>
      </c>
      <c r="M424" s="29" t="n">
        <f aca="false">L424*(1+M$401)^($E414*M$402)*(1+M$403)*IF(L387&lt;=0,1,M387/L387)^$F414*(IF(L397&lt;=0,1,M397/L397)^$G414/(1+$H414+$I414))^(1+$F414)</f>
        <v>0</v>
      </c>
      <c r="N424" s="29" t="n">
        <f aca="false">M424*(1+N$401)^($E414*N$402)*(1+N$403)*IF(M387&lt;=0,1,N387/M387)^$F414*(IF(M397&lt;=0,1,N397/M397)^$G414/(1+$H414+$I414))^(1+$F414)</f>
        <v>0</v>
      </c>
      <c r="O424" s="29" t="n">
        <f aca="false">N424*(1+O$401)^($E414*O$402)*(1+O$403)*IF(N387&lt;=0,1,O387/N387)^$F414*(IF(N397&lt;=0,1,O397/N397)^$G414/(1+$H414+$I414))^(1+$F414)</f>
        <v>0</v>
      </c>
      <c r="P424" s="29" t="n">
        <f aca="false">O424*(1+P$401)^($E414*P$402)*(1+P$403)*IF(O387&lt;=0,1,P387/O387)^$F414*(IF(O397&lt;=0,1,P397/O397)^$G414/(1+$H414+$I414))^(1+$F414)</f>
        <v>0</v>
      </c>
      <c r="Q424" s="29" t="n">
        <f aca="false">P424*(1+Q$401)^($E414*Q$402)*(1+Q$403)*IF(P387&lt;=0,1,Q387/P387)^$F414*(IF(P397&lt;=0,1,Q397/P397)^$G414/(1+$H414+$I414))^(1+$F414)</f>
        <v>0</v>
      </c>
      <c r="R424" s="29" t="n">
        <f aca="false">Q424*(1+R$401)^($E414*R$402)*(1+R$403)*IF(Q387&lt;=0,1,R387/Q387)^$F414*(IF(Q397&lt;=0,1,R397/Q397)^$G414/(1+$H414+$I414))^(1+$F414)</f>
        <v>0</v>
      </c>
      <c r="S424" s="29" t="n">
        <f aca="false">R424*(1+S$401)^($E414*S$402)*(1+S$403)*IF(R387&lt;=0,1,S387/R387)^$F414*(IF(R397&lt;=0,1,S397/R397)^$G414/(1+$H414+$I414))^(1+$F414)</f>
        <v>0</v>
      </c>
      <c r="T424" s="29" t="n">
        <f aca="false">S424*(1+T$401)^($E414*T$402)*(1+T$403)*IF(S387&lt;=0,1,T387/S387)^$F414*(IF(S397&lt;=0,1,T397/S397)^$G414/(1+$H414+$I414))^(1+$F414)</f>
        <v>0</v>
      </c>
      <c r="U424" s="29" t="n">
        <f aca="false">T424*(1+U$401)^($E414*U$402)*(1+U$403)*IF(T387&lt;=0,1,U387/T387)^$F414*(IF(T397&lt;=0,1,U397/T397)^$G414/(1+$H414+$I414))^(1+$F414)</f>
        <v>0</v>
      </c>
      <c r="V424" s="29" t="n">
        <f aca="false">U424*(1+V$401)^($E414*V$402)*(1+V$403)*IF(U387&lt;=0,1,V387/U387)^$F414*(IF(U397&lt;=0,1,V397/U397)^$G414/(1+$H414+$I414))^(1+$F414)</f>
        <v>0</v>
      </c>
      <c r="W424" s="29" t="n">
        <f aca="false">V424*(1+W$401)^($E414*W$402)*(1+W$403)*IF(V387&lt;=0,1,W387/V387)^$F414*(IF(V397&lt;=0,1,W397/V397)^$G414/(1+$H414+$I414))^(1+$F414)</f>
        <v>0</v>
      </c>
      <c r="X424" s="29" t="n">
        <f aca="false">W424*(1+X$401)^($E414*X$402)*(1+X$403)*IF(W387&lt;=0,1,X387/W387)^$F414*(IF(W397&lt;=0,1,X397/W397)^$G414/(1+$H414+$I414))^(1+$F414)</f>
        <v>0</v>
      </c>
      <c r="Y424" s="29" t="n">
        <f aca="false">X424*(1+Y$401)^($E414*Y$402)*(1+Y$403)*IF(X387&lt;=0,1,Y387/X387)^$F414*(IF(X397&lt;=0,1,Y397/X397)^$G414/(1+$H414+$I414))^(1+$F414)</f>
        <v>0</v>
      </c>
      <c r="Z424" s="29" t="n">
        <f aca="false">Y424*(1+Z$401)^($E414*Z$402)*(1+Z$403)*IF(Y387&lt;=0,1,Z387/Y387)^$F414*(IF(Y397&lt;=0,1,Z397/Y397)^$G414/(1+$H414+$I414))^(1+$F414)</f>
        <v>0</v>
      </c>
      <c r="AA424" s="29" t="n">
        <f aca="false">Z424*(1+AA$401)^($E414*AA$402)*(1+AA$403)*IF(Z387&lt;=0,1,AA387/Z387)^$F414*(IF(Z397&lt;=0,1,AA397/Z397)^$G414/(1+$H414+$I414))^(1+$F414)</f>
        <v>0</v>
      </c>
      <c r="AB424" s="29" t="n">
        <f aca="false">AA424*(1+AB$401)^($E414*AB$402)*(1+AB$403)*IF(AA387&lt;=0,1,AB387/AA387)^$F414*(IF(AA397&lt;=0,1,AB397/AA397)^$G414/(1+$H414+$I414))^(1+$F414)</f>
        <v>0</v>
      </c>
      <c r="AC424" s="29" t="n">
        <f aca="false">AB424*(1+AC$401)^($E414*AC$402)*(1+AC$403)*IF(AB387&lt;=0,1,AC387/AB387)^$F414*(IF(AB397&lt;=0,1,AC397/AB397)^$G414/(1+$H414+$I414))^(1+$F414)</f>
        <v>0</v>
      </c>
      <c r="AD424" s="29" t="n">
        <f aca="false">AC424*(1+AD$401)^($E414*AD$402)*(1+AD$403)*IF(AC387&lt;=0,1,AD387/AC387)^$F414*(IF(AC397&lt;=0,1,AD397/AC397)^$G414/(1+$H414+$I414))^(1+$F414)</f>
        <v>0</v>
      </c>
      <c r="AE424" s="29" t="n">
        <f aca="false">AD424*(1+AE$401)^($E414*AE$402)*(1+AE$403)*IF(AD387&lt;=0,1,AE387/AD387)^$F414*(IF(AD397&lt;=0,1,AE397/AD397)^$G414/(1+$H414+$I414))^(1+$F414)</f>
        <v>0</v>
      </c>
    </row>
    <row r="425" customFormat="false" ht="15" hidden="false" customHeight="false" outlineLevel="0" collapsed="false">
      <c r="B425" s="17" t="s">
        <v>114</v>
      </c>
      <c r="C425" s="17" t="str">
        <f aca="false">$C$367</f>
        <v>nfm</v>
      </c>
      <c r="D425" s="30" t="s">
        <v>115</v>
      </c>
      <c r="E425" s="19" t="s">
        <v>112</v>
      </c>
      <c r="F425" s="17" t="s">
        <v>113</v>
      </c>
      <c r="H425" s="21" t="str">
        <f aca="false">Settings!$B$3&amp;".mit.ener."&amp;$C$367&amp;".tot.e."&amp;$J$367</f>
        <v>egy.mit.ener.nfm.tot.e.2</v>
      </c>
      <c r="L425" s="31" t="n">
        <f aca="false">SUM(L416:L424)</f>
        <v>0</v>
      </c>
      <c r="M425" s="31" t="n">
        <f aca="false">SUM(M416:M424)</f>
        <v>0</v>
      </c>
      <c r="N425" s="31" t="n">
        <f aca="false">SUM(N416:N424)</f>
        <v>0</v>
      </c>
      <c r="O425" s="31" t="n">
        <f aca="false">SUM(O416:O424)</f>
        <v>0</v>
      </c>
      <c r="P425" s="31" t="n">
        <f aca="false">SUM(P416:P424)</f>
        <v>0</v>
      </c>
      <c r="Q425" s="31" t="n">
        <f aca="false">SUM(Q416:Q424)</f>
        <v>0</v>
      </c>
      <c r="R425" s="31" t="n">
        <f aca="false">SUM(R416:R424)</f>
        <v>0</v>
      </c>
      <c r="S425" s="31" t="n">
        <f aca="false">SUM(S416:S424)</f>
        <v>0</v>
      </c>
      <c r="T425" s="31" t="n">
        <f aca="false">SUM(T416:T424)</f>
        <v>0</v>
      </c>
      <c r="U425" s="31" t="n">
        <f aca="false">SUM(U416:U424)</f>
        <v>0</v>
      </c>
      <c r="V425" s="31" t="n">
        <f aca="false">SUM(V416:V424)</f>
        <v>0</v>
      </c>
      <c r="W425" s="31" t="n">
        <f aca="false">SUM(W416:W424)</f>
        <v>0</v>
      </c>
      <c r="X425" s="31" t="n">
        <f aca="false">SUM(X416:X424)</f>
        <v>0</v>
      </c>
      <c r="Y425" s="31" t="n">
        <f aca="false">SUM(Y416:Y424)</f>
        <v>0</v>
      </c>
      <c r="Z425" s="31" t="n">
        <f aca="false">SUM(Z416:Z424)</f>
        <v>0</v>
      </c>
      <c r="AA425" s="31" t="n">
        <f aca="false">SUM(AA416:AA424)</f>
        <v>0</v>
      </c>
      <c r="AB425" s="31" t="n">
        <f aca="false">SUM(AB416:AB424)</f>
        <v>0</v>
      </c>
      <c r="AC425" s="31" t="n">
        <f aca="false">SUM(AC416:AC424)</f>
        <v>0</v>
      </c>
      <c r="AD425" s="31" t="n">
        <f aca="false">SUM(AD416:AD424)</f>
        <v>0</v>
      </c>
      <c r="AE425" s="31" t="n">
        <f aca="false">SUM(AE416:AE424)</f>
        <v>0</v>
      </c>
    </row>
    <row r="427" customFormat="false" ht="15" hidden="false" customHeight="false" outlineLevel="0" collapsed="false">
      <c r="A427" s="12"/>
      <c r="B427" s="7" t="s">
        <v>120</v>
      </c>
      <c r="C427" s="8" t="s">
        <v>121</v>
      </c>
      <c r="D427" s="7" t="s">
        <v>48</v>
      </c>
      <c r="E427" s="8" t="s">
        <v>39</v>
      </c>
      <c r="F427" s="8" t="s">
        <v>49</v>
      </c>
      <c r="G427" s="8" t="s">
        <v>50</v>
      </c>
      <c r="H427" s="13" t="s">
        <v>42</v>
      </c>
      <c r="I427" s="7" t="s">
        <v>51</v>
      </c>
      <c r="J427" s="14" t="n">
        <v>2</v>
      </c>
      <c r="K427" s="7" t="n">
        <v>2021</v>
      </c>
      <c r="L427" s="15" t="n">
        <v>2022</v>
      </c>
      <c r="M427" s="7" t="n">
        <v>2023</v>
      </c>
      <c r="N427" s="7" t="n">
        <v>2024</v>
      </c>
      <c r="O427" s="7" t="n">
        <v>2025</v>
      </c>
      <c r="P427" s="7" t="n">
        <v>2026</v>
      </c>
      <c r="Q427" s="7" t="n">
        <v>2027</v>
      </c>
      <c r="R427" s="7" t="n">
        <v>2028</v>
      </c>
      <c r="S427" s="7" t="n">
        <v>2029</v>
      </c>
      <c r="T427" s="7" t="n">
        <v>2030</v>
      </c>
      <c r="U427" s="7" t="n">
        <v>2031</v>
      </c>
      <c r="V427" s="7" t="n">
        <v>2032</v>
      </c>
      <c r="W427" s="7" t="n">
        <v>2033</v>
      </c>
      <c r="X427" s="7" t="n">
        <v>2034</v>
      </c>
      <c r="Y427" s="7" t="n">
        <v>2035</v>
      </c>
      <c r="Z427" s="7" t="n">
        <v>2036</v>
      </c>
      <c r="AA427" s="7" t="n">
        <v>2037</v>
      </c>
      <c r="AB427" s="7" t="n">
        <v>2038</v>
      </c>
      <c r="AC427" s="7" t="n">
        <v>2039</v>
      </c>
      <c r="AD427" s="7" t="n">
        <v>2040</v>
      </c>
      <c r="AE427" s="7" t="n">
        <v>2041</v>
      </c>
      <c r="AF427" s="7" t="n">
        <v>2042</v>
      </c>
      <c r="AG427" s="7" t="n">
        <v>2043</v>
      </c>
      <c r="AH427" s="7" t="n">
        <v>2044</v>
      </c>
      <c r="AI427" s="7" t="n">
        <v>2045</v>
      </c>
    </row>
    <row r="428" customFormat="false" ht="15" hidden="false" customHeight="false" outlineLevel="0" collapsed="false">
      <c r="B428" s="16" t="s">
        <v>52</v>
      </c>
    </row>
    <row r="429" customFormat="false" ht="15" hidden="false" customHeight="false" outlineLevel="0" collapsed="false">
      <c r="B429" s="17" t="s">
        <v>53</v>
      </c>
      <c r="C429" s="17" t="str">
        <f aca="false">$C$427</f>
        <v>mch</v>
      </c>
      <c r="D429" s="18" t="s">
        <v>54</v>
      </c>
      <c r="E429" s="19" t="s">
        <v>55</v>
      </c>
      <c r="F429" s="17" t="s">
        <v>56</v>
      </c>
      <c r="G429" s="20" t="str">
        <f aca="false">Settings!$B$3&amp;".mit.pbc."&amp;Settings!$B$4&amp;"."&amp;$B429&amp;".a."&amp;$J$427</f>
        <v>egy.mit.pbc.ind.coa.a.2</v>
      </c>
      <c r="H429" s="21" t="str">
        <f aca="false">Settings!$B$3&amp;".mit.ptp."&amp;$C$427&amp;"."&amp;$B429&amp;".e."&amp;$J$427</f>
        <v>egy.mit.ptp.mch.coa.e.2</v>
      </c>
      <c r="K429" s="22" t="n">
        <f aca="false">INDEX(Data_Prices!K:K,MATCH($G429,Data_Prices!$A:$A,0))</f>
        <v>11.1829015892439</v>
      </c>
      <c r="L429" s="22" t="n">
        <f aca="false">INDEX(Data_Prices!L:L,MATCH($G429,Data_Prices!$A:$A,0))</f>
        <v>10.5233613454312</v>
      </c>
      <c r="M429" s="22" t="n">
        <f aca="false">INDEX(Data_Prices!M:M,MATCH($G429,Data_Prices!$A:$A,0))</f>
        <v>10.2995608274442</v>
      </c>
      <c r="N429" s="22" t="n">
        <f aca="false">INDEX(Data_Prices!N:N,MATCH($G429,Data_Prices!$A:$A,0))</f>
        <v>9.57752835953826</v>
      </c>
      <c r="O429" s="22" t="n">
        <f aca="false">INDEX(Data_Prices!O:O,MATCH($G429,Data_Prices!$A:$A,0))</f>
        <v>8.48547828695805</v>
      </c>
      <c r="P429" s="22" t="n">
        <f aca="false">INDEX(Data_Prices!P:P,MATCH($G429,Data_Prices!$A:$A,0))</f>
        <v>9.08719223524986</v>
      </c>
      <c r="Q429" s="22" t="n">
        <f aca="false">INDEX(Data_Prices!Q:Q,MATCH($G429,Data_Prices!$A:$A,0))</f>
        <v>9.22292372893268</v>
      </c>
      <c r="R429" s="22" t="n">
        <f aca="false">INDEX(Data_Prices!R:R,MATCH($G429,Data_Prices!$A:$A,0))</f>
        <v>9.15856495550969</v>
      </c>
      <c r="S429" s="22" t="n">
        <f aca="false">INDEX(Data_Prices!S:S,MATCH($G429,Data_Prices!$A:$A,0))</f>
        <v>9.08954787739738</v>
      </c>
      <c r="T429" s="22" t="n">
        <f aca="false">INDEX(Data_Prices!T:T,MATCH($G429,Data_Prices!$A:$A,0))</f>
        <v>9.01568166602283</v>
      </c>
      <c r="U429" s="22" t="n">
        <f aca="false">INDEX(Data_Prices!U:U,MATCH($G429,Data_Prices!$A:$A,0))</f>
        <v>8.94439776555711</v>
      </c>
      <c r="V429" s="22" t="n">
        <f aca="false">INDEX(Data_Prices!V:V,MATCH($G429,Data_Prices!$A:$A,0))</f>
        <v>8.94439776555711</v>
      </c>
      <c r="W429" s="22" t="n">
        <f aca="false">INDEX(Data_Prices!W:W,MATCH($G429,Data_Prices!$A:$A,0))</f>
        <v>8.94439776555711</v>
      </c>
      <c r="X429" s="22" t="n">
        <f aca="false">INDEX(Data_Prices!X:X,MATCH($G429,Data_Prices!$A:$A,0))</f>
        <v>8.94439776555711</v>
      </c>
      <c r="Y429" s="22" t="n">
        <f aca="false">INDEX(Data_Prices!Y:Y,MATCH($G429,Data_Prices!$A:$A,0))</f>
        <v>8.94439776555711</v>
      </c>
      <c r="Z429" s="22" t="n">
        <f aca="false">INDEX(Data_Prices!Z:Z,MATCH($G429,Data_Prices!$A:$A,0))</f>
        <v>8.94439776555711</v>
      </c>
      <c r="AA429" s="22" t="n">
        <f aca="false">INDEX(Data_Prices!AA:AA,MATCH($G429,Data_Prices!$A:$A,0))</f>
        <v>8.94439776555711</v>
      </c>
      <c r="AB429" s="22" t="n">
        <f aca="false">INDEX(Data_Prices!AB:AB,MATCH($G429,Data_Prices!$A:$A,0))</f>
        <v>8.94439776555711</v>
      </c>
      <c r="AC429" s="22" t="n">
        <f aca="false">INDEX(Data_Prices!AC:AC,MATCH($G429,Data_Prices!$A:$A,0))</f>
        <v>8.94439776555711</v>
      </c>
      <c r="AD429" s="22" t="n">
        <f aca="false">INDEX(Data_Prices!AD:AD,MATCH($G429,Data_Prices!$A:$A,0))</f>
        <v>8.94439776555711</v>
      </c>
      <c r="AE429" s="22" t="n">
        <f aca="false">INDEX(Data_Prices!AE:AE,MATCH($G429,Data_Prices!$A:$A,0))</f>
        <v>8.94439776555711</v>
      </c>
    </row>
    <row r="430" customFormat="false" ht="15" hidden="false" customHeight="false" outlineLevel="0" collapsed="false">
      <c r="B430" s="17" t="s">
        <v>57</v>
      </c>
      <c r="C430" s="17" t="str">
        <f aca="false">$C$427</f>
        <v>mch</v>
      </c>
      <c r="D430" s="18" t="s">
        <v>58</v>
      </c>
      <c r="E430" s="19" t="s">
        <v>55</v>
      </c>
      <c r="F430" s="17" t="s">
        <v>56</v>
      </c>
      <c r="G430" s="20" t="str">
        <f aca="false">Settings!$B$3&amp;".mit.pbc."&amp;Settings!$B$4&amp;"."&amp;$B430&amp;".a."&amp;$J$427</f>
        <v>egy.mit.pbc.ind.nga.a.2</v>
      </c>
      <c r="H430" s="21" t="str">
        <f aca="false">Settings!$B$3&amp;".mit.ptp."&amp;$C$427&amp;"."&amp;$B430&amp;".e."&amp;$J$427</f>
        <v>egy.mit.ptp.mch.nga.e.2</v>
      </c>
      <c r="K430" s="22" t="n">
        <f aca="false">INDEX(Data_Prices!K:K,MATCH($G430,Data_Prices!$A:$A,0))</f>
        <v>6.06346361567291</v>
      </c>
      <c r="L430" s="22" t="n">
        <f aca="false">INDEX(Data_Prices!L:L,MATCH($G430,Data_Prices!$A:$A,0))</f>
        <v>5.45101508161919</v>
      </c>
      <c r="M430" s="22" t="n">
        <f aca="false">INDEX(Data_Prices!M:M,MATCH($G430,Data_Prices!$A:$A,0))</f>
        <v>5.11935630626248</v>
      </c>
      <c r="N430" s="22" t="n">
        <f aca="false">INDEX(Data_Prices!N:N,MATCH($G430,Data_Prices!$A:$A,0))</f>
        <v>5.08218458640407</v>
      </c>
      <c r="O430" s="22" t="n">
        <f aca="false">INDEX(Data_Prices!O:O,MATCH($G430,Data_Prices!$A:$A,0))</f>
        <v>5.08218458640407</v>
      </c>
      <c r="P430" s="22" t="n">
        <f aca="false">INDEX(Data_Prices!P:P,MATCH($G430,Data_Prices!$A:$A,0))</f>
        <v>5.08218458640407</v>
      </c>
      <c r="Q430" s="22" t="n">
        <f aca="false">INDEX(Data_Prices!Q:Q,MATCH($G430,Data_Prices!$A:$A,0))</f>
        <v>5.08218458640407</v>
      </c>
      <c r="R430" s="22" t="n">
        <f aca="false">INDEX(Data_Prices!R:R,MATCH($G430,Data_Prices!$A:$A,0))</f>
        <v>5.08218458640407</v>
      </c>
      <c r="S430" s="22" t="n">
        <f aca="false">INDEX(Data_Prices!S:S,MATCH($G430,Data_Prices!$A:$A,0))</f>
        <v>5.08218458640407</v>
      </c>
      <c r="T430" s="22" t="n">
        <f aca="false">INDEX(Data_Prices!T:T,MATCH($G430,Data_Prices!$A:$A,0))</f>
        <v>5.08218458640407</v>
      </c>
      <c r="U430" s="22" t="n">
        <f aca="false">INDEX(Data_Prices!U:U,MATCH($G430,Data_Prices!$A:$A,0))</f>
        <v>5.08218458640407</v>
      </c>
      <c r="V430" s="22" t="n">
        <f aca="false">INDEX(Data_Prices!V:V,MATCH($G430,Data_Prices!$A:$A,0))</f>
        <v>5.08218458640407</v>
      </c>
      <c r="W430" s="22" t="n">
        <f aca="false">INDEX(Data_Prices!W:W,MATCH($G430,Data_Prices!$A:$A,0))</f>
        <v>5.08218458640407</v>
      </c>
      <c r="X430" s="22" t="n">
        <f aca="false">INDEX(Data_Prices!X:X,MATCH($G430,Data_Prices!$A:$A,0))</f>
        <v>5.08218458640407</v>
      </c>
      <c r="Y430" s="22" t="n">
        <f aca="false">INDEX(Data_Prices!Y:Y,MATCH($G430,Data_Prices!$A:$A,0))</f>
        <v>5.08218458640407</v>
      </c>
      <c r="Z430" s="22" t="n">
        <f aca="false">INDEX(Data_Prices!Z:Z,MATCH($G430,Data_Prices!$A:$A,0))</f>
        <v>5.08218458640407</v>
      </c>
      <c r="AA430" s="22" t="n">
        <f aca="false">INDEX(Data_Prices!AA:AA,MATCH($G430,Data_Prices!$A:$A,0))</f>
        <v>5.08218458640407</v>
      </c>
      <c r="AB430" s="22" t="n">
        <f aca="false">INDEX(Data_Prices!AB:AB,MATCH($G430,Data_Prices!$A:$A,0))</f>
        <v>5.08218458640407</v>
      </c>
      <c r="AC430" s="22" t="n">
        <f aca="false">INDEX(Data_Prices!AC:AC,MATCH($G430,Data_Prices!$A:$A,0))</f>
        <v>5.08218458640407</v>
      </c>
      <c r="AD430" s="22" t="n">
        <f aca="false">INDEX(Data_Prices!AD:AD,MATCH($G430,Data_Prices!$A:$A,0))</f>
        <v>5.08218458640407</v>
      </c>
      <c r="AE430" s="22" t="n">
        <f aca="false">INDEX(Data_Prices!AE:AE,MATCH($G430,Data_Prices!$A:$A,0))</f>
        <v>5.08218458640407</v>
      </c>
    </row>
    <row r="431" customFormat="false" ht="15" hidden="false" customHeight="false" outlineLevel="0" collapsed="false">
      <c r="B431" s="17" t="s">
        <v>59</v>
      </c>
      <c r="C431" s="17" t="str">
        <f aca="false">$C$427</f>
        <v>mch</v>
      </c>
      <c r="D431" s="18" t="s">
        <v>60</v>
      </c>
      <c r="E431" s="19" t="s">
        <v>61</v>
      </c>
      <c r="F431" s="17" t="s">
        <v>56</v>
      </c>
      <c r="G431" s="20" t="str">
        <f aca="false">Settings!$B$3&amp;".mit.pbc."&amp;Settings!$B$4&amp;"."&amp;$B431&amp;".a."&amp;$J$427</f>
        <v>egy.mit.pbc.ind.gso.a.2</v>
      </c>
      <c r="H431" s="21" t="str">
        <f aca="false">Settings!$B$3&amp;".mit.ptp."&amp;$C$427&amp;"."&amp;$B431&amp;".e."&amp;$J$427</f>
        <v>egy.mit.ptp.mch.gso.e.2</v>
      </c>
      <c r="K431" s="22" t="n">
        <f aca="false">INDEX(Data_Prices!K:K,MATCH($G431,Data_Prices!$A:$A,0))</f>
        <v>0.671146533321816</v>
      </c>
      <c r="L431" s="22" t="n">
        <f aca="false">INDEX(Data_Prices!L:L,MATCH($G431,Data_Prices!$A:$A,0))</f>
        <v>0.611977976791406</v>
      </c>
      <c r="M431" s="22" t="n">
        <f aca="false">INDEX(Data_Prices!M:M,MATCH($G431,Data_Prices!$A:$A,0))</f>
        <v>0.611809749641876</v>
      </c>
      <c r="N431" s="22" t="n">
        <f aca="false">INDEX(Data_Prices!N:N,MATCH($G431,Data_Prices!$A:$A,0))</f>
        <v>0.603583100177906</v>
      </c>
      <c r="O431" s="22" t="n">
        <f aca="false">INDEX(Data_Prices!O:O,MATCH($G431,Data_Prices!$A:$A,0))</f>
        <v>0.603583100177906</v>
      </c>
      <c r="P431" s="22" t="n">
        <f aca="false">INDEX(Data_Prices!P:P,MATCH($G431,Data_Prices!$A:$A,0))</f>
        <v>0.603583100177906</v>
      </c>
      <c r="Q431" s="22" t="n">
        <f aca="false">INDEX(Data_Prices!Q:Q,MATCH($G431,Data_Prices!$A:$A,0))</f>
        <v>0.603583100177906</v>
      </c>
      <c r="R431" s="22" t="n">
        <f aca="false">INDEX(Data_Prices!R:R,MATCH($G431,Data_Prices!$A:$A,0))</f>
        <v>0.603583100177906</v>
      </c>
      <c r="S431" s="22" t="n">
        <f aca="false">INDEX(Data_Prices!S:S,MATCH($G431,Data_Prices!$A:$A,0))</f>
        <v>0.603583100177906</v>
      </c>
      <c r="T431" s="22" t="n">
        <f aca="false">INDEX(Data_Prices!T:T,MATCH($G431,Data_Prices!$A:$A,0))</f>
        <v>0.603583100177906</v>
      </c>
      <c r="U431" s="22" t="n">
        <f aca="false">INDEX(Data_Prices!U:U,MATCH($G431,Data_Prices!$A:$A,0))</f>
        <v>0.603583100177906</v>
      </c>
      <c r="V431" s="22" t="n">
        <f aca="false">INDEX(Data_Prices!V:V,MATCH($G431,Data_Prices!$A:$A,0))</f>
        <v>0.603583100177906</v>
      </c>
      <c r="W431" s="22" t="n">
        <f aca="false">INDEX(Data_Prices!W:W,MATCH($G431,Data_Prices!$A:$A,0))</f>
        <v>0.603583100177906</v>
      </c>
      <c r="X431" s="22" t="n">
        <f aca="false">INDEX(Data_Prices!X:X,MATCH($G431,Data_Prices!$A:$A,0))</f>
        <v>0.603583100177906</v>
      </c>
      <c r="Y431" s="22" t="n">
        <f aca="false">INDEX(Data_Prices!Y:Y,MATCH($G431,Data_Prices!$A:$A,0))</f>
        <v>0.603583100177906</v>
      </c>
      <c r="Z431" s="22" t="n">
        <f aca="false">INDEX(Data_Prices!Z:Z,MATCH($G431,Data_Prices!$A:$A,0))</f>
        <v>0.603583100177906</v>
      </c>
      <c r="AA431" s="22" t="n">
        <f aca="false">INDEX(Data_Prices!AA:AA,MATCH($G431,Data_Prices!$A:$A,0))</f>
        <v>0.603583100177906</v>
      </c>
      <c r="AB431" s="22" t="n">
        <f aca="false">INDEX(Data_Prices!AB:AB,MATCH($G431,Data_Prices!$A:$A,0))</f>
        <v>0.603583100177906</v>
      </c>
      <c r="AC431" s="22" t="n">
        <f aca="false">INDEX(Data_Prices!AC:AC,MATCH($G431,Data_Prices!$A:$A,0))</f>
        <v>0.603583100177906</v>
      </c>
      <c r="AD431" s="22" t="n">
        <f aca="false">INDEX(Data_Prices!AD:AD,MATCH($G431,Data_Prices!$A:$A,0))</f>
        <v>0.603583100177906</v>
      </c>
      <c r="AE431" s="22" t="n">
        <f aca="false">INDEX(Data_Prices!AE:AE,MATCH($G431,Data_Prices!$A:$A,0))</f>
        <v>0.603583100177906</v>
      </c>
    </row>
    <row r="432" customFormat="false" ht="15" hidden="false" customHeight="false" outlineLevel="0" collapsed="false">
      <c r="B432" s="17" t="s">
        <v>62</v>
      </c>
      <c r="C432" s="17" t="str">
        <f aca="false">$C$427</f>
        <v>mch</v>
      </c>
      <c r="D432" s="18" t="s">
        <v>63</v>
      </c>
      <c r="E432" s="19" t="s">
        <v>61</v>
      </c>
      <c r="F432" s="17" t="s">
        <v>56</v>
      </c>
      <c r="G432" s="20" t="str">
        <f aca="false">Settings!$B$3&amp;".mit.pbc."&amp;Settings!$B$4&amp;"."&amp;$B432&amp;".a."&amp;$J$427</f>
        <v>egy.mit.pbc.ind.die.a.2</v>
      </c>
      <c r="H432" s="21" t="str">
        <f aca="false">Settings!$B$3&amp;".mit.ptp."&amp;$C$427&amp;"."&amp;$B432&amp;".e."&amp;$J$427</f>
        <v>egy.mit.ptp.mch.die.e.2</v>
      </c>
      <c r="K432" s="22" t="n">
        <f aca="false">INDEX(Data_Prices!K:K,MATCH($G432,Data_Prices!$A:$A,0))</f>
        <v>0.559711213155688</v>
      </c>
      <c r="L432" s="22" t="n">
        <f aca="false">INDEX(Data_Prices!L:L,MATCH($G432,Data_Prices!$A:$A,0))</f>
        <v>0.494588730841068</v>
      </c>
      <c r="M432" s="22" t="n">
        <f aca="false">INDEX(Data_Prices!M:M,MATCH($G432,Data_Prices!$A:$A,0))</f>
        <v>0.507786547202501</v>
      </c>
      <c r="N432" s="22" t="n">
        <f aca="false">INDEX(Data_Prices!N:N,MATCH($G432,Data_Prices!$A:$A,0))</f>
        <v>0.470436426795617</v>
      </c>
      <c r="O432" s="22" t="n">
        <f aca="false">INDEX(Data_Prices!O:O,MATCH($G432,Data_Prices!$A:$A,0))</f>
        <v>0.470436426795617</v>
      </c>
      <c r="P432" s="22" t="n">
        <f aca="false">INDEX(Data_Prices!P:P,MATCH($G432,Data_Prices!$A:$A,0))</f>
        <v>0.470436426795617</v>
      </c>
      <c r="Q432" s="22" t="n">
        <f aca="false">INDEX(Data_Prices!Q:Q,MATCH($G432,Data_Prices!$A:$A,0))</f>
        <v>0.470436426795617</v>
      </c>
      <c r="R432" s="22" t="n">
        <f aca="false">INDEX(Data_Prices!R:R,MATCH($G432,Data_Prices!$A:$A,0))</f>
        <v>0.470436426795617</v>
      </c>
      <c r="S432" s="22" t="n">
        <f aca="false">INDEX(Data_Prices!S:S,MATCH($G432,Data_Prices!$A:$A,0))</f>
        <v>0.470436426795617</v>
      </c>
      <c r="T432" s="22" t="n">
        <f aca="false">INDEX(Data_Prices!T:T,MATCH($G432,Data_Prices!$A:$A,0))</f>
        <v>0.470436426795617</v>
      </c>
      <c r="U432" s="22" t="n">
        <f aca="false">INDEX(Data_Prices!U:U,MATCH($G432,Data_Prices!$A:$A,0))</f>
        <v>0.470436426795617</v>
      </c>
      <c r="V432" s="22" t="n">
        <f aca="false">INDEX(Data_Prices!V:V,MATCH($G432,Data_Prices!$A:$A,0))</f>
        <v>0.470436426795617</v>
      </c>
      <c r="W432" s="22" t="n">
        <f aca="false">INDEX(Data_Prices!W:W,MATCH($G432,Data_Prices!$A:$A,0))</f>
        <v>0.470436426795617</v>
      </c>
      <c r="X432" s="22" t="n">
        <f aca="false">INDEX(Data_Prices!X:X,MATCH($G432,Data_Prices!$A:$A,0))</f>
        <v>0.470436426795617</v>
      </c>
      <c r="Y432" s="22" t="n">
        <f aca="false">INDEX(Data_Prices!Y:Y,MATCH($G432,Data_Prices!$A:$A,0))</f>
        <v>0.470436426795617</v>
      </c>
      <c r="Z432" s="22" t="n">
        <f aca="false">INDEX(Data_Prices!Z:Z,MATCH($G432,Data_Prices!$A:$A,0))</f>
        <v>0.470436426795617</v>
      </c>
      <c r="AA432" s="22" t="n">
        <f aca="false">INDEX(Data_Prices!AA:AA,MATCH($G432,Data_Prices!$A:$A,0))</f>
        <v>0.470436426795617</v>
      </c>
      <c r="AB432" s="22" t="n">
        <f aca="false">INDEX(Data_Prices!AB:AB,MATCH($G432,Data_Prices!$A:$A,0))</f>
        <v>0.470436426795617</v>
      </c>
      <c r="AC432" s="22" t="n">
        <f aca="false">INDEX(Data_Prices!AC:AC,MATCH($G432,Data_Prices!$A:$A,0))</f>
        <v>0.470436426795617</v>
      </c>
      <c r="AD432" s="22" t="n">
        <f aca="false">INDEX(Data_Prices!AD:AD,MATCH($G432,Data_Prices!$A:$A,0))</f>
        <v>0.470436426795617</v>
      </c>
      <c r="AE432" s="22" t="n">
        <f aca="false">INDEX(Data_Prices!AE:AE,MATCH($G432,Data_Prices!$A:$A,0))</f>
        <v>0.470436426795617</v>
      </c>
    </row>
    <row r="433" customFormat="false" ht="15" hidden="false" customHeight="false" outlineLevel="0" collapsed="false">
      <c r="B433" s="17" t="s">
        <v>64</v>
      </c>
      <c r="C433" s="17" t="str">
        <f aca="false">$C$427</f>
        <v>mch</v>
      </c>
      <c r="D433" s="18" t="s">
        <v>65</v>
      </c>
      <c r="E433" s="19" t="s">
        <v>61</v>
      </c>
      <c r="F433" s="17" t="s">
        <v>56</v>
      </c>
      <c r="G433" s="20" t="str">
        <f aca="false">Settings!$B$3&amp;".mit.pbc."&amp;Settings!$B$4&amp;"."&amp;$B433&amp;".a."&amp;$J$427</f>
        <v>egy.mit.pbc.ind.lpg.a.2</v>
      </c>
      <c r="H433" s="21" t="str">
        <f aca="false">Settings!$B$3&amp;".mit.ptp."&amp;$C$427&amp;"."&amp;$B433&amp;".e."&amp;$J$427</f>
        <v>egy.mit.ptp.mch.lpg.e.2</v>
      </c>
      <c r="K433" s="22" t="n">
        <f aca="false">INDEX(Data_Prices!K:K,MATCH($G433,Data_Prices!$A:$A,0))</f>
        <v>0.200366691126738</v>
      </c>
      <c r="L433" s="22" t="n">
        <f aca="false">INDEX(Data_Prices!L:L,MATCH($G433,Data_Prices!$A:$A,0))</f>
        <v>0.157344736252274</v>
      </c>
      <c r="M433" s="22" t="n">
        <f aca="false">INDEX(Data_Prices!M:M,MATCH($G433,Data_Prices!$A:$A,0))</f>
        <v>0.164484037759277</v>
      </c>
      <c r="N433" s="22" t="n">
        <f aca="false">INDEX(Data_Prices!N:N,MATCH($G433,Data_Prices!$A:$A,0))</f>
        <v>0.150709077807049</v>
      </c>
      <c r="O433" s="22" t="n">
        <f aca="false">INDEX(Data_Prices!O:O,MATCH($G433,Data_Prices!$A:$A,0))</f>
        <v>0.150709077807049</v>
      </c>
      <c r="P433" s="22" t="n">
        <f aca="false">INDEX(Data_Prices!P:P,MATCH($G433,Data_Prices!$A:$A,0))</f>
        <v>0.150709077807049</v>
      </c>
      <c r="Q433" s="22" t="n">
        <f aca="false">INDEX(Data_Prices!Q:Q,MATCH($G433,Data_Prices!$A:$A,0))</f>
        <v>0.150709077807049</v>
      </c>
      <c r="R433" s="22" t="n">
        <f aca="false">INDEX(Data_Prices!R:R,MATCH($G433,Data_Prices!$A:$A,0))</f>
        <v>0.150709077807049</v>
      </c>
      <c r="S433" s="22" t="n">
        <f aca="false">INDEX(Data_Prices!S:S,MATCH($G433,Data_Prices!$A:$A,0))</f>
        <v>0.150709077807049</v>
      </c>
      <c r="T433" s="22" t="n">
        <f aca="false">INDEX(Data_Prices!T:T,MATCH($G433,Data_Prices!$A:$A,0))</f>
        <v>0.150709077807049</v>
      </c>
      <c r="U433" s="22" t="n">
        <f aca="false">INDEX(Data_Prices!U:U,MATCH($G433,Data_Prices!$A:$A,0))</f>
        <v>0.150709077807049</v>
      </c>
      <c r="V433" s="22" t="n">
        <f aca="false">INDEX(Data_Prices!V:V,MATCH($G433,Data_Prices!$A:$A,0))</f>
        <v>0.150709077807049</v>
      </c>
      <c r="W433" s="22" t="n">
        <f aca="false">INDEX(Data_Prices!W:W,MATCH($G433,Data_Prices!$A:$A,0))</f>
        <v>0.150709077807049</v>
      </c>
      <c r="X433" s="22" t="n">
        <f aca="false">INDEX(Data_Prices!X:X,MATCH($G433,Data_Prices!$A:$A,0))</f>
        <v>0.150709077807049</v>
      </c>
      <c r="Y433" s="22" t="n">
        <f aca="false">INDEX(Data_Prices!Y:Y,MATCH($G433,Data_Prices!$A:$A,0))</f>
        <v>0.150709077807049</v>
      </c>
      <c r="Z433" s="22" t="n">
        <f aca="false">INDEX(Data_Prices!Z:Z,MATCH($G433,Data_Prices!$A:$A,0))</f>
        <v>0.150709077807049</v>
      </c>
      <c r="AA433" s="22" t="n">
        <f aca="false">INDEX(Data_Prices!AA:AA,MATCH($G433,Data_Prices!$A:$A,0))</f>
        <v>0.150709077807049</v>
      </c>
      <c r="AB433" s="22" t="n">
        <f aca="false">INDEX(Data_Prices!AB:AB,MATCH($G433,Data_Prices!$A:$A,0))</f>
        <v>0.150709077807049</v>
      </c>
      <c r="AC433" s="22" t="n">
        <f aca="false">INDEX(Data_Prices!AC:AC,MATCH($G433,Data_Prices!$A:$A,0))</f>
        <v>0.150709077807049</v>
      </c>
      <c r="AD433" s="22" t="n">
        <f aca="false">INDEX(Data_Prices!AD:AD,MATCH($G433,Data_Prices!$A:$A,0))</f>
        <v>0.150709077807049</v>
      </c>
      <c r="AE433" s="22" t="n">
        <f aca="false">INDEX(Data_Prices!AE:AE,MATCH($G433,Data_Prices!$A:$A,0))</f>
        <v>0.150709077807049</v>
      </c>
    </row>
    <row r="434" customFormat="false" ht="15" hidden="false" customHeight="false" outlineLevel="0" collapsed="false">
      <c r="B434" s="17" t="s">
        <v>66</v>
      </c>
      <c r="C434" s="17" t="str">
        <f aca="false">$C$427</f>
        <v>mch</v>
      </c>
      <c r="D434" s="18" t="s">
        <v>67</v>
      </c>
      <c r="E434" s="19" t="s">
        <v>61</v>
      </c>
      <c r="F434" s="17" t="s">
        <v>56</v>
      </c>
      <c r="G434" s="20" t="str">
        <f aca="false">Settings!$B$3&amp;".mit.pbc."&amp;Settings!$B$4&amp;"."&amp;$B434&amp;".a."&amp;$J$427</f>
        <v>egy.mit.pbc.ind.ker.a.2</v>
      </c>
      <c r="H434" s="21" t="str">
        <f aca="false">Settings!$B$3&amp;".mit.ptp."&amp;$C$427&amp;"."&amp;$B434&amp;".e."&amp;$J$427</f>
        <v>egy.mit.ptp.mch.ker.e.2</v>
      </c>
      <c r="K434" s="22" t="n">
        <f aca="false">INDEX(Data_Prices!K:K,MATCH($G434,Data_Prices!$A:$A,0))</f>
        <v>0.484294240973435</v>
      </c>
      <c r="L434" s="22" t="n">
        <f aca="false">INDEX(Data_Prices!L:L,MATCH($G434,Data_Prices!$A:$A,0))</f>
        <v>0.456428170500128</v>
      </c>
      <c r="M434" s="22" t="n">
        <f aca="false">INDEX(Data_Prices!M:M,MATCH($G434,Data_Prices!$A:$A,0))</f>
        <v>0.431689201955995</v>
      </c>
      <c r="N434" s="22" t="n">
        <f aca="false">INDEX(Data_Prices!N:N,MATCH($G434,Data_Prices!$A:$A,0))</f>
        <v>0.42507558395597</v>
      </c>
      <c r="O434" s="22" t="n">
        <f aca="false">INDEX(Data_Prices!O:O,MATCH($G434,Data_Prices!$A:$A,0))</f>
        <v>0.42507558395597</v>
      </c>
      <c r="P434" s="22" t="n">
        <f aca="false">INDEX(Data_Prices!P:P,MATCH($G434,Data_Prices!$A:$A,0))</f>
        <v>0.42507558395597</v>
      </c>
      <c r="Q434" s="22" t="n">
        <f aca="false">INDEX(Data_Prices!Q:Q,MATCH($G434,Data_Prices!$A:$A,0))</f>
        <v>0.42507558395597</v>
      </c>
      <c r="R434" s="22" t="n">
        <f aca="false">INDEX(Data_Prices!R:R,MATCH($G434,Data_Prices!$A:$A,0))</f>
        <v>0.42507558395597</v>
      </c>
      <c r="S434" s="22" t="n">
        <f aca="false">INDEX(Data_Prices!S:S,MATCH($G434,Data_Prices!$A:$A,0))</f>
        <v>0.42507558395597</v>
      </c>
      <c r="T434" s="22" t="n">
        <f aca="false">INDEX(Data_Prices!T:T,MATCH($G434,Data_Prices!$A:$A,0))</f>
        <v>0.42507558395597</v>
      </c>
      <c r="U434" s="22" t="n">
        <f aca="false">INDEX(Data_Prices!U:U,MATCH($G434,Data_Prices!$A:$A,0))</f>
        <v>0.42507558395597</v>
      </c>
      <c r="V434" s="22" t="n">
        <f aca="false">INDEX(Data_Prices!V:V,MATCH($G434,Data_Prices!$A:$A,0))</f>
        <v>0.42507558395597</v>
      </c>
      <c r="W434" s="22" t="n">
        <f aca="false">INDEX(Data_Prices!W:W,MATCH($G434,Data_Prices!$A:$A,0))</f>
        <v>0.42507558395597</v>
      </c>
      <c r="X434" s="22" t="n">
        <f aca="false">INDEX(Data_Prices!X:X,MATCH($G434,Data_Prices!$A:$A,0))</f>
        <v>0.42507558395597</v>
      </c>
      <c r="Y434" s="22" t="n">
        <f aca="false">INDEX(Data_Prices!Y:Y,MATCH($G434,Data_Prices!$A:$A,0))</f>
        <v>0.42507558395597</v>
      </c>
      <c r="Z434" s="22" t="n">
        <f aca="false">INDEX(Data_Prices!Z:Z,MATCH($G434,Data_Prices!$A:$A,0))</f>
        <v>0.42507558395597</v>
      </c>
      <c r="AA434" s="22" t="n">
        <f aca="false">INDEX(Data_Prices!AA:AA,MATCH($G434,Data_Prices!$A:$A,0))</f>
        <v>0.42507558395597</v>
      </c>
      <c r="AB434" s="22" t="n">
        <f aca="false">INDEX(Data_Prices!AB:AB,MATCH($G434,Data_Prices!$A:$A,0))</f>
        <v>0.42507558395597</v>
      </c>
      <c r="AC434" s="22" t="n">
        <f aca="false">INDEX(Data_Prices!AC:AC,MATCH($G434,Data_Prices!$A:$A,0))</f>
        <v>0.42507558395597</v>
      </c>
      <c r="AD434" s="22" t="n">
        <f aca="false">INDEX(Data_Prices!AD:AD,MATCH($G434,Data_Prices!$A:$A,0))</f>
        <v>0.42507558395597</v>
      </c>
      <c r="AE434" s="22" t="n">
        <f aca="false">INDEX(Data_Prices!AE:AE,MATCH($G434,Data_Prices!$A:$A,0))</f>
        <v>0.42507558395597</v>
      </c>
    </row>
    <row r="435" customFormat="false" ht="15" hidden="false" customHeight="false" outlineLevel="0" collapsed="false">
      <c r="B435" s="17" t="s">
        <v>68</v>
      </c>
      <c r="C435" s="17" t="str">
        <f aca="false">$C$427</f>
        <v>mch</v>
      </c>
      <c r="D435" s="18" t="s">
        <v>69</v>
      </c>
      <c r="E435" s="19" t="s">
        <v>70</v>
      </c>
      <c r="F435" s="17" t="s">
        <v>56</v>
      </c>
      <c r="G435" s="20" t="str">
        <f aca="false">Settings!$B$3&amp;".mit.pbc."&amp;Settings!$B$4&amp;"."&amp;$B435&amp;".a."&amp;$J$427</f>
        <v>egy.mit.pbc.ind.oop.a.2</v>
      </c>
      <c r="H435" s="21" t="str">
        <f aca="false">Settings!$B$3&amp;".mit.ptp."&amp;$C$427&amp;"."&amp;$B435&amp;".e."&amp;$J$427</f>
        <v>egy.mit.ptp.mch.oop.e.2</v>
      </c>
      <c r="K435" s="22" t="n">
        <f aca="false">INDEX(Data_Prices!K:K,MATCH($G435,Data_Prices!$A:$A,0))</f>
        <v>41.5003384988684</v>
      </c>
      <c r="L435" s="22" t="n">
        <f aca="false">INDEX(Data_Prices!L:L,MATCH($G435,Data_Prices!$A:$A,0))</f>
        <v>34.4153703043132</v>
      </c>
      <c r="M435" s="22" t="n">
        <f aca="false">INDEX(Data_Prices!M:M,MATCH($G435,Data_Prices!$A:$A,0))</f>
        <v>37.368960690432</v>
      </c>
      <c r="N435" s="22" t="n">
        <f aca="false">INDEX(Data_Prices!N:N,MATCH($G435,Data_Prices!$A:$A,0))</f>
        <v>28.9827611014773</v>
      </c>
      <c r="O435" s="22" t="n">
        <f aca="false">INDEX(Data_Prices!O:O,MATCH($G435,Data_Prices!$A:$A,0))</f>
        <v>15</v>
      </c>
      <c r="P435" s="22" t="n">
        <f aca="false">INDEX(Data_Prices!P:P,MATCH($G435,Data_Prices!$A:$A,0))</f>
        <v>24.2586300842555</v>
      </c>
      <c r="Q435" s="22" t="n">
        <f aca="false">INDEX(Data_Prices!Q:Q,MATCH($G435,Data_Prices!$A:$A,0))</f>
        <v>13.0962081961325</v>
      </c>
      <c r="R435" s="22" t="n">
        <f aca="false">INDEX(Data_Prices!R:R,MATCH($G435,Data_Prices!$A:$A,0))</f>
        <v>10.0252451140106</v>
      </c>
      <c r="S435" s="22" t="n">
        <f aca="false">INDEX(Data_Prices!S:S,MATCH($G435,Data_Prices!$A:$A,0))</f>
        <v>8.47723069137362</v>
      </c>
      <c r="T435" s="22" t="n">
        <f aca="false">INDEX(Data_Prices!T:T,MATCH($G435,Data_Prices!$A:$A,0))</f>
        <v>7.12348244520922</v>
      </c>
      <c r="U435" s="22" t="n">
        <f aca="false">INDEX(Data_Prices!U:U,MATCH($G435,Data_Prices!$A:$A,0))</f>
        <v>5.65275973941006</v>
      </c>
      <c r="V435" s="22" t="n">
        <f aca="false">INDEX(Data_Prices!V:V,MATCH($G435,Data_Prices!$A:$A,0))</f>
        <v>5.65275973941006</v>
      </c>
      <c r="W435" s="22" t="n">
        <f aca="false">INDEX(Data_Prices!W:W,MATCH($G435,Data_Prices!$A:$A,0))</f>
        <v>5.65275973941006</v>
      </c>
      <c r="X435" s="22" t="n">
        <f aca="false">INDEX(Data_Prices!X:X,MATCH($G435,Data_Prices!$A:$A,0))</f>
        <v>5.65275973941006</v>
      </c>
      <c r="Y435" s="22" t="n">
        <f aca="false">INDEX(Data_Prices!Y:Y,MATCH($G435,Data_Prices!$A:$A,0))</f>
        <v>5.65275973941006</v>
      </c>
      <c r="Z435" s="22" t="n">
        <f aca="false">INDEX(Data_Prices!Z:Z,MATCH($G435,Data_Prices!$A:$A,0))</f>
        <v>5.65275973941007</v>
      </c>
      <c r="AA435" s="22" t="n">
        <f aca="false">INDEX(Data_Prices!AA:AA,MATCH($G435,Data_Prices!$A:$A,0))</f>
        <v>5.65275973941006</v>
      </c>
      <c r="AB435" s="22" t="n">
        <f aca="false">INDEX(Data_Prices!AB:AB,MATCH($G435,Data_Prices!$A:$A,0))</f>
        <v>5.65275973941006</v>
      </c>
      <c r="AC435" s="22" t="n">
        <f aca="false">INDEX(Data_Prices!AC:AC,MATCH($G435,Data_Prices!$A:$A,0))</f>
        <v>5.65275973941004</v>
      </c>
      <c r="AD435" s="22" t="n">
        <f aca="false">INDEX(Data_Prices!AD:AD,MATCH($G435,Data_Prices!$A:$A,0))</f>
        <v>5.65275973941006</v>
      </c>
      <c r="AE435" s="22" t="n">
        <f aca="false">INDEX(Data_Prices!AE:AE,MATCH($G435,Data_Prices!$A:$A,0))</f>
        <v>5.65275973941004</v>
      </c>
    </row>
    <row r="436" customFormat="false" ht="15" hidden="false" customHeight="false" outlineLevel="0" collapsed="false">
      <c r="B436" s="17" t="s">
        <v>71</v>
      </c>
      <c r="C436" s="17" t="str">
        <f aca="false">$C$427</f>
        <v>mch</v>
      </c>
      <c r="D436" s="18" t="s">
        <v>72</v>
      </c>
      <c r="E436" s="19" t="s">
        <v>55</v>
      </c>
      <c r="F436" s="17" t="s">
        <v>56</v>
      </c>
      <c r="G436" s="20" t="str">
        <f aca="false">Settings!$B$3&amp;".mit.pbc."&amp;Settings!$B$4&amp;"."&amp;$B436&amp;".a."&amp;$J$427</f>
        <v>egy.mit.pbc.ind.bio.a.2</v>
      </c>
      <c r="H436" s="21" t="str">
        <f aca="false">Settings!$B$3&amp;".mit.ptp."&amp;$C$427&amp;"."&amp;$B436&amp;".e."&amp;$J$427</f>
        <v>egy.mit.ptp.mch.bio.e.2</v>
      </c>
      <c r="K436" s="22" t="n">
        <f aca="false">INDEX(Data_Prices!K:K,MATCH($G436,Data_Prices!$A:$A,0))</f>
        <v>15.3345505293169</v>
      </c>
      <c r="L436" s="22" t="n">
        <f aca="false">INDEX(Data_Prices!L:L,MATCH($G436,Data_Prices!$A:$A,0))</f>
        <v>14.1995283906349</v>
      </c>
      <c r="M436" s="22" t="n">
        <f aca="false">INDEX(Data_Prices!M:M,MATCH($G436,Data_Prices!$A:$A,0))</f>
        <v>13.8404416133152</v>
      </c>
      <c r="N436" s="22" t="n">
        <f aca="false">INDEX(Data_Prices!N:N,MATCH($G436,Data_Prices!$A:$A,0))</f>
        <v>13.5677269404465</v>
      </c>
      <c r="O436" s="22" t="n">
        <f aca="false">INDEX(Data_Prices!O:O,MATCH($G436,Data_Prices!$A:$A,0))</f>
        <v>13.5677269404465</v>
      </c>
      <c r="P436" s="22" t="n">
        <f aca="false">INDEX(Data_Prices!P:P,MATCH($G436,Data_Prices!$A:$A,0))</f>
        <v>13.5677269404465</v>
      </c>
      <c r="Q436" s="22" t="n">
        <f aca="false">INDEX(Data_Prices!Q:Q,MATCH($G436,Data_Prices!$A:$A,0))</f>
        <v>13.5677269404465</v>
      </c>
      <c r="R436" s="22" t="n">
        <f aca="false">INDEX(Data_Prices!R:R,MATCH($G436,Data_Prices!$A:$A,0))</f>
        <v>13.5677269404465</v>
      </c>
      <c r="S436" s="22" t="n">
        <f aca="false">INDEX(Data_Prices!S:S,MATCH($G436,Data_Prices!$A:$A,0))</f>
        <v>13.5677269404465</v>
      </c>
      <c r="T436" s="22" t="n">
        <f aca="false">INDEX(Data_Prices!T:T,MATCH($G436,Data_Prices!$A:$A,0))</f>
        <v>13.5677269404465</v>
      </c>
      <c r="U436" s="22" t="n">
        <f aca="false">INDEX(Data_Prices!U:U,MATCH($G436,Data_Prices!$A:$A,0))</f>
        <v>13.5677269404465</v>
      </c>
      <c r="V436" s="22" t="n">
        <f aca="false">INDEX(Data_Prices!V:V,MATCH($G436,Data_Prices!$A:$A,0))</f>
        <v>13.5677269404465</v>
      </c>
      <c r="W436" s="22" t="n">
        <f aca="false">INDEX(Data_Prices!W:W,MATCH($G436,Data_Prices!$A:$A,0))</f>
        <v>13.5677269404465</v>
      </c>
      <c r="X436" s="22" t="n">
        <f aca="false">INDEX(Data_Prices!X:X,MATCH($G436,Data_Prices!$A:$A,0))</f>
        <v>13.5677269404465</v>
      </c>
      <c r="Y436" s="22" t="n">
        <f aca="false">INDEX(Data_Prices!Y:Y,MATCH($G436,Data_Prices!$A:$A,0))</f>
        <v>13.5677269404465</v>
      </c>
      <c r="Z436" s="22" t="n">
        <f aca="false">INDEX(Data_Prices!Z:Z,MATCH($G436,Data_Prices!$A:$A,0))</f>
        <v>13.5677269404465</v>
      </c>
      <c r="AA436" s="22" t="n">
        <f aca="false">INDEX(Data_Prices!AA:AA,MATCH($G436,Data_Prices!$A:$A,0))</f>
        <v>13.5677269404465</v>
      </c>
      <c r="AB436" s="22" t="n">
        <f aca="false">INDEX(Data_Prices!AB:AB,MATCH($G436,Data_Prices!$A:$A,0))</f>
        <v>13.5677269404465</v>
      </c>
      <c r="AC436" s="22" t="n">
        <f aca="false">INDEX(Data_Prices!AC:AC,MATCH($G436,Data_Prices!$A:$A,0))</f>
        <v>13.5677269404465</v>
      </c>
      <c r="AD436" s="22" t="n">
        <f aca="false">INDEX(Data_Prices!AD:AD,MATCH($G436,Data_Prices!$A:$A,0))</f>
        <v>13.5677269404465</v>
      </c>
      <c r="AE436" s="22" t="n">
        <f aca="false">INDEX(Data_Prices!AE:AE,MATCH($G436,Data_Prices!$A:$A,0))</f>
        <v>13.5677269404465</v>
      </c>
    </row>
    <row r="437" customFormat="false" ht="15" hidden="false" customHeight="false" outlineLevel="0" collapsed="false">
      <c r="B437" s="17" t="s">
        <v>73</v>
      </c>
      <c r="C437" s="17" t="str">
        <f aca="false">$C$427</f>
        <v>mch</v>
      </c>
      <c r="D437" s="18" t="s">
        <v>74</v>
      </c>
      <c r="E437" s="19" t="s">
        <v>75</v>
      </c>
      <c r="F437" s="17" t="s">
        <v>56</v>
      </c>
      <c r="G437" s="20" t="str">
        <f aca="false">Settings!$B$3&amp;".mit.pbc."&amp;Settings!$B$4&amp;"."&amp;$B437&amp;".a."&amp;$J$427</f>
        <v>egy.mit.pbc.ind.ren.a.2</v>
      </c>
      <c r="H437" s="21" t="str">
        <f aca="false">Settings!$B$3&amp;".mit.ptp."&amp;$C$427&amp;"."&amp;$B437&amp;".e."&amp;$J$427</f>
        <v>egy.mit.ptp.mch.ren.e.2</v>
      </c>
      <c r="K437" s="22" t="n">
        <f aca="false">INDEX(Data_Prices!K:K,MATCH($G437,Data_Prices!$A:$A,0))</f>
        <v>0</v>
      </c>
      <c r="L437" s="22" t="n">
        <f aca="false">INDEX(Data_Prices!L:L,MATCH($G437,Data_Prices!$A:$A,0))</f>
        <v>0.144044986793198</v>
      </c>
      <c r="M437" s="22" t="n">
        <f aca="false">INDEX(Data_Prices!M:M,MATCH($G437,Data_Prices!$A:$A,0))</f>
        <v>0.141386241751359</v>
      </c>
      <c r="N437" s="22" t="n">
        <f aca="false">INDEX(Data_Prices!N:N,MATCH($G437,Data_Prices!$A:$A,0))</f>
        <v>0.135397565443731</v>
      </c>
      <c r="O437" s="22" t="n">
        <f aca="false">INDEX(Data_Prices!O:O,MATCH($G437,Data_Prices!$A:$A,0))</f>
        <v>0.131522885420651</v>
      </c>
      <c r="P437" s="22" t="n">
        <f aca="false">INDEX(Data_Prices!P:P,MATCH($G437,Data_Prices!$A:$A,0))</f>
        <v>0.128826108485231</v>
      </c>
      <c r="Q437" s="22" t="n">
        <f aca="false">INDEX(Data_Prices!Q:Q,MATCH($G437,Data_Prices!$A:$A,0))</f>
        <v>0.12594200976474</v>
      </c>
      <c r="R437" s="22" t="n">
        <f aca="false">INDEX(Data_Prices!R:R,MATCH($G437,Data_Prices!$A:$A,0))</f>
        <v>0.123113265701861</v>
      </c>
      <c r="S437" s="22" t="n">
        <f aca="false">INDEX(Data_Prices!S:S,MATCH($G437,Data_Prices!$A:$A,0))</f>
        <v>0.119391738089068</v>
      </c>
      <c r="T437" s="22" t="n">
        <f aca="false">INDEX(Data_Prices!T:T,MATCH($G437,Data_Prices!$A:$A,0))</f>
        <v>0.11554419046792</v>
      </c>
      <c r="U437" s="22" t="n">
        <f aca="false">INDEX(Data_Prices!U:U,MATCH($G437,Data_Prices!$A:$A,0))</f>
        <v>0.114924230654159</v>
      </c>
      <c r="V437" s="22" t="n">
        <f aca="false">INDEX(Data_Prices!V:V,MATCH($G437,Data_Prices!$A:$A,0))</f>
        <v>0.114346912116736</v>
      </c>
      <c r="W437" s="22" t="n">
        <f aca="false">INDEX(Data_Prices!W:W,MATCH($G437,Data_Prices!$A:$A,0))</f>
        <v>0.113738711172664</v>
      </c>
      <c r="X437" s="22" t="n">
        <f aca="false">INDEX(Data_Prices!X:X,MATCH($G437,Data_Prices!$A:$A,0))</f>
        <v>0.112999900487521</v>
      </c>
      <c r="Y437" s="22" t="n">
        <f aca="false">INDEX(Data_Prices!Y:Y,MATCH($G437,Data_Prices!$A:$A,0))</f>
        <v>0.112177685835534</v>
      </c>
      <c r="Z437" s="22" t="n">
        <f aca="false">INDEX(Data_Prices!Z:Z,MATCH($G437,Data_Prices!$A:$A,0))</f>
        <v>0.111417903250404</v>
      </c>
      <c r="AA437" s="22" t="n">
        <f aca="false">INDEX(Data_Prices!AA:AA,MATCH($G437,Data_Prices!$A:$A,0))</f>
        <v>0.110525819985454</v>
      </c>
      <c r="AB437" s="22" t="n">
        <f aca="false">INDEX(Data_Prices!AB:AB,MATCH($G437,Data_Prices!$A:$A,0))</f>
        <v>0.109699565234896</v>
      </c>
      <c r="AC437" s="22" t="n">
        <f aca="false">INDEX(Data_Prices!AC:AC,MATCH($G437,Data_Prices!$A:$A,0))</f>
        <v>0.107726788963949</v>
      </c>
      <c r="AD437" s="22" t="n">
        <f aca="false">INDEX(Data_Prices!AD:AD,MATCH($G437,Data_Prices!$A:$A,0))</f>
        <v>0.105820924450935</v>
      </c>
      <c r="AE437" s="22" t="n">
        <f aca="false">INDEX(Data_Prices!AE:AE,MATCH($G437,Data_Prices!$A:$A,0))</f>
        <v>0.103855595705721</v>
      </c>
    </row>
    <row r="438" customFormat="false" ht="15" hidden="false" customHeight="false" outlineLevel="0" collapsed="false">
      <c r="B438" s="16" t="s">
        <v>76</v>
      </c>
    </row>
    <row r="439" customFormat="false" ht="15" hidden="false" customHeight="false" outlineLevel="0" collapsed="false">
      <c r="B439" s="17" t="s">
        <v>53</v>
      </c>
      <c r="C439" s="17" t="str">
        <f aca="false">$C$427</f>
        <v>mch</v>
      </c>
      <c r="D439" s="18" t="s">
        <v>54</v>
      </c>
      <c r="E439" s="19" t="s">
        <v>55</v>
      </c>
      <c r="F439" s="17" t="s">
        <v>77</v>
      </c>
      <c r="G439" s="20" t="str">
        <f aca="false">Settings!$B$3&amp;".mit.nce."&amp;Settings!$B$4&amp;"."&amp;$B439&amp;".a."&amp;$J$427</f>
        <v>egy.mit.nce.ind.coa.a.2</v>
      </c>
      <c r="H439" s="21" t="str">
        <f aca="false">Settings!$B$3&amp;".mit.atp."&amp;$C$427&amp;"."&amp;$B439&amp;".e."&amp;$J$427</f>
        <v>egy.mit.atp.mch.coa.e.2</v>
      </c>
      <c r="K439" s="22" t="n">
        <f aca="false">K429+INDEX(Data_Prices!K:K,MATCH($G439,Data_Prices!$A:$A,0))*K$459</f>
        <v>11.1829015892439</v>
      </c>
      <c r="L439" s="22" t="n">
        <f aca="false">L429+INDEX(Data_Prices!L:L,MATCH($G439,Data_Prices!$A:$A,0))*L$459</f>
        <v>10.5233613454312</v>
      </c>
      <c r="M439" s="22" t="n">
        <f aca="false">M429+INDEX(Data_Prices!M:M,MATCH($G439,Data_Prices!$A:$A,0))*M$459</f>
        <v>10.2995608274442</v>
      </c>
      <c r="N439" s="22" t="n">
        <f aca="false">N429+INDEX(Data_Prices!N:N,MATCH($G439,Data_Prices!$A:$A,0))*N$459</f>
        <v>9.57752835953826</v>
      </c>
      <c r="O439" s="22" t="n">
        <f aca="false">O429+INDEX(Data_Prices!O:O,MATCH($G439,Data_Prices!$A:$A,0))*O$459</f>
        <v>8.48547828695805</v>
      </c>
      <c r="P439" s="22" t="n">
        <f aca="false">P429+INDEX(Data_Prices!P:P,MATCH($G439,Data_Prices!$A:$A,0))*P$459</f>
        <v>9.08719223524986</v>
      </c>
      <c r="Q439" s="22" t="n">
        <f aca="false">Q429+INDEX(Data_Prices!Q:Q,MATCH($G439,Data_Prices!$A:$A,0))*Q$459</f>
        <v>10.4729237289327</v>
      </c>
      <c r="R439" s="22" t="n">
        <f aca="false">R429+INDEX(Data_Prices!R:R,MATCH($G439,Data_Prices!$A:$A,0))*R$459</f>
        <v>11.6585649555097</v>
      </c>
      <c r="S439" s="22" t="n">
        <f aca="false">S429+INDEX(Data_Prices!S:S,MATCH($G439,Data_Prices!$A:$A,0))*S$459</f>
        <v>12.8395478773974</v>
      </c>
      <c r="T439" s="22" t="n">
        <f aca="false">T429+INDEX(Data_Prices!T:T,MATCH($G439,Data_Prices!$A:$A,0))*T$459</f>
        <v>14.0156816660228</v>
      </c>
      <c r="U439" s="22" t="n">
        <f aca="false">U429+INDEX(Data_Prices!U:U,MATCH($G439,Data_Prices!$A:$A,0))*U$459</f>
        <v>15.1943977655571</v>
      </c>
      <c r="V439" s="22" t="n">
        <f aca="false">V429+INDEX(Data_Prices!V:V,MATCH($G439,Data_Prices!$A:$A,0))*V$459</f>
        <v>16.4443977655571</v>
      </c>
      <c r="W439" s="22" t="n">
        <f aca="false">W429+INDEX(Data_Prices!W:W,MATCH($G439,Data_Prices!$A:$A,0))*W$459</f>
        <v>17.6943977655571</v>
      </c>
      <c r="X439" s="22" t="n">
        <f aca="false">X429+INDEX(Data_Prices!X:X,MATCH($G439,Data_Prices!$A:$A,0))*X$459</f>
        <v>18.9443977655571</v>
      </c>
      <c r="Y439" s="22" t="n">
        <f aca="false">Y429+INDEX(Data_Prices!Y:Y,MATCH($G439,Data_Prices!$A:$A,0))*Y$459</f>
        <v>20.1943977655571</v>
      </c>
      <c r="Z439" s="22" t="n">
        <f aca="false">Z429+INDEX(Data_Prices!Z:Z,MATCH($G439,Data_Prices!$A:$A,0))*Z$459</f>
        <v>21.4443977655571</v>
      </c>
      <c r="AA439" s="22" t="n">
        <f aca="false">AA429+INDEX(Data_Prices!AA:AA,MATCH($G439,Data_Prices!$A:$A,0))*AA$459</f>
        <v>22.6943977655571</v>
      </c>
      <c r="AB439" s="22" t="n">
        <f aca="false">AB429+INDEX(Data_Prices!AB:AB,MATCH($G439,Data_Prices!$A:$A,0))*AB$459</f>
        <v>23.9443977655571</v>
      </c>
      <c r="AC439" s="22" t="n">
        <f aca="false">AC429+INDEX(Data_Prices!AC:AC,MATCH($G439,Data_Prices!$A:$A,0))*AC$459</f>
        <v>25.1943977655571</v>
      </c>
      <c r="AD439" s="22" t="n">
        <f aca="false">AD429+INDEX(Data_Prices!AD:AD,MATCH($G439,Data_Prices!$A:$A,0))*AD$459</f>
        <v>26.4443977655571</v>
      </c>
      <c r="AE439" s="22" t="n">
        <f aca="false">AE429+INDEX(Data_Prices!AE:AE,MATCH($G439,Data_Prices!$A:$A,0))*AE$459</f>
        <v>27.6943977655571</v>
      </c>
    </row>
    <row r="440" customFormat="false" ht="15" hidden="false" customHeight="false" outlineLevel="0" collapsed="false">
      <c r="B440" s="17" t="s">
        <v>57</v>
      </c>
      <c r="C440" s="17" t="str">
        <f aca="false">$C$427</f>
        <v>mch</v>
      </c>
      <c r="D440" s="18" t="s">
        <v>58</v>
      </c>
      <c r="E440" s="19" t="s">
        <v>55</v>
      </c>
      <c r="F440" s="17" t="s">
        <v>77</v>
      </c>
      <c r="G440" s="20" t="str">
        <f aca="false">Settings!$B$3&amp;".mit.nce."&amp;Settings!$B$4&amp;"."&amp;$B440&amp;".a."&amp;$J$427</f>
        <v>egy.mit.nce.ind.nga.a.2</v>
      </c>
      <c r="H440" s="21" t="str">
        <f aca="false">Settings!$B$3&amp;".mit.atp."&amp;$C$427&amp;"."&amp;$B440&amp;".e."&amp;$J$427</f>
        <v>egy.mit.atp.mch.nga.e.2</v>
      </c>
      <c r="K440" s="22" t="n">
        <f aca="false">K430+INDEX(Data_Prices!K:K,MATCH($G440,Data_Prices!$A:$A,0))*K$459</f>
        <v>6.06346361567291</v>
      </c>
      <c r="L440" s="22" t="n">
        <f aca="false">L430+INDEX(Data_Prices!L:L,MATCH($G440,Data_Prices!$A:$A,0))*L$459</f>
        <v>5.45101508161919</v>
      </c>
      <c r="M440" s="22" t="n">
        <f aca="false">M430+INDEX(Data_Prices!M:M,MATCH($G440,Data_Prices!$A:$A,0))*M$459</f>
        <v>5.11935630626248</v>
      </c>
      <c r="N440" s="22" t="n">
        <f aca="false">N430+INDEX(Data_Prices!N:N,MATCH($G440,Data_Prices!$A:$A,0))*N$459</f>
        <v>5.08218458640407</v>
      </c>
      <c r="O440" s="22" t="n">
        <f aca="false">O430+INDEX(Data_Prices!O:O,MATCH($G440,Data_Prices!$A:$A,0))*O$459</f>
        <v>5.08218458640407</v>
      </c>
      <c r="P440" s="22" t="n">
        <f aca="false">P430+INDEX(Data_Prices!P:P,MATCH($G440,Data_Prices!$A:$A,0))*P$459</f>
        <v>5.08218458640407</v>
      </c>
      <c r="Q440" s="22" t="n">
        <f aca="false">Q430+INDEX(Data_Prices!Q:Q,MATCH($G440,Data_Prices!$A:$A,0))*Q$459</f>
        <v>5.77968458640407</v>
      </c>
      <c r="R440" s="22" t="n">
        <f aca="false">R430+INDEX(Data_Prices!R:R,MATCH($G440,Data_Prices!$A:$A,0))*R$459</f>
        <v>6.47718458640407</v>
      </c>
      <c r="S440" s="22" t="n">
        <f aca="false">S430+INDEX(Data_Prices!S:S,MATCH($G440,Data_Prices!$A:$A,0))*S$459</f>
        <v>7.17468458640407</v>
      </c>
      <c r="T440" s="22" t="n">
        <f aca="false">T430+INDEX(Data_Prices!T:T,MATCH($G440,Data_Prices!$A:$A,0))*T$459</f>
        <v>7.87218458640407</v>
      </c>
      <c r="U440" s="22" t="n">
        <f aca="false">U430+INDEX(Data_Prices!U:U,MATCH($G440,Data_Prices!$A:$A,0))*U$459</f>
        <v>8.56968458640407</v>
      </c>
      <c r="V440" s="22" t="n">
        <f aca="false">V430+INDEX(Data_Prices!V:V,MATCH($G440,Data_Prices!$A:$A,0))*V$459</f>
        <v>9.26718458640407</v>
      </c>
      <c r="W440" s="22" t="n">
        <f aca="false">W430+INDEX(Data_Prices!W:W,MATCH($G440,Data_Prices!$A:$A,0))*W$459</f>
        <v>9.96468458640407</v>
      </c>
      <c r="X440" s="22" t="n">
        <f aca="false">X430+INDEX(Data_Prices!X:X,MATCH($G440,Data_Prices!$A:$A,0))*X$459</f>
        <v>10.6621845864041</v>
      </c>
      <c r="Y440" s="22" t="n">
        <f aca="false">Y430+INDEX(Data_Prices!Y:Y,MATCH($G440,Data_Prices!$A:$A,0))*Y$459</f>
        <v>11.3596845864041</v>
      </c>
      <c r="Z440" s="22" t="n">
        <f aca="false">Z430+INDEX(Data_Prices!Z:Z,MATCH($G440,Data_Prices!$A:$A,0))*Z$459</f>
        <v>12.0571845864041</v>
      </c>
      <c r="AA440" s="22" t="n">
        <f aca="false">AA430+INDEX(Data_Prices!AA:AA,MATCH($G440,Data_Prices!$A:$A,0))*AA$459</f>
        <v>12.7546845864041</v>
      </c>
      <c r="AB440" s="22" t="n">
        <f aca="false">AB430+INDEX(Data_Prices!AB:AB,MATCH($G440,Data_Prices!$A:$A,0))*AB$459</f>
        <v>13.4521845864041</v>
      </c>
      <c r="AC440" s="22" t="n">
        <f aca="false">AC430+INDEX(Data_Prices!AC:AC,MATCH($G440,Data_Prices!$A:$A,0))*AC$459</f>
        <v>14.1496845864041</v>
      </c>
      <c r="AD440" s="22" t="n">
        <f aca="false">AD430+INDEX(Data_Prices!AD:AD,MATCH($G440,Data_Prices!$A:$A,0))*AD$459</f>
        <v>14.8471845864041</v>
      </c>
      <c r="AE440" s="22" t="n">
        <f aca="false">AE430+INDEX(Data_Prices!AE:AE,MATCH($G440,Data_Prices!$A:$A,0))*AE$459</f>
        <v>15.5446845864041</v>
      </c>
    </row>
    <row r="441" customFormat="false" ht="15" hidden="false" customHeight="false" outlineLevel="0" collapsed="false">
      <c r="B441" s="17" t="s">
        <v>59</v>
      </c>
      <c r="C441" s="17" t="str">
        <f aca="false">$C$427</f>
        <v>mch</v>
      </c>
      <c r="D441" s="18" t="s">
        <v>60</v>
      </c>
      <c r="E441" s="19" t="s">
        <v>61</v>
      </c>
      <c r="F441" s="17" t="s">
        <v>77</v>
      </c>
      <c r="G441" s="20" t="str">
        <f aca="false">Settings!$B$3&amp;".mit.nce."&amp;Settings!$B$4&amp;"."&amp;$B441&amp;".a."&amp;$J$427</f>
        <v>egy.mit.nce.ind.gso.a.2</v>
      </c>
      <c r="H441" s="21" t="str">
        <f aca="false">Settings!$B$3&amp;".mit.atp."&amp;$C$427&amp;"."&amp;$B441&amp;".e."&amp;$J$427</f>
        <v>egy.mit.atp.mch.gso.e.2</v>
      </c>
      <c r="K441" s="22" t="n">
        <f aca="false">K431+INDEX(Data_Prices!K:K,MATCH($G441,Data_Prices!$A:$A,0))*K$459</f>
        <v>0.671146533321816</v>
      </c>
      <c r="L441" s="22" t="n">
        <f aca="false">L431+INDEX(Data_Prices!L:L,MATCH($G441,Data_Prices!$A:$A,0))*L$459</f>
        <v>0.611977976791406</v>
      </c>
      <c r="M441" s="22" t="n">
        <f aca="false">M431+INDEX(Data_Prices!M:M,MATCH($G441,Data_Prices!$A:$A,0))*M$459</f>
        <v>0.611809749641876</v>
      </c>
      <c r="N441" s="22" t="n">
        <f aca="false">N431+INDEX(Data_Prices!N:N,MATCH($G441,Data_Prices!$A:$A,0))*N$459</f>
        <v>0.603583100177906</v>
      </c>
      <c r="O441" s="22" t="n">
        <f aca="false">O431+INDEX(Data_Prices!O:O,MATCH($G441,Data_Prices!$A:$A,0))*O$459</f>
        <v>0.603583100177906</v>
      </c>
      <c r="P441" s="22" t="n">
        <f aca="false">P431+INDEX(Data_Prices!P:P,MATCH($G441,Data_Prices!$A:$A,0))*P$459</f>
        <v>0.603583100177906</v>
      </c>
      <c r="Q441" s="22" t="n">
        <f aca="false">Q431+INDEX(Data_Prices!Q:Q,MATCH($G441,Data_Prices!$A:$A,0))*Q$459</f>
        <v>0.632510943349406</v>
      </c>
      <c r="R441" s="22" t="n">
        <f aca="false">R431+INDEX(Data_Prices!R:R,MATCH($G441,Data_Prices!$A:$A,0))*R$459</f>
        <v>0.661438786520906</v>
      </c>
      <c r="S441" s="22" t="n">
        <f aca="false">S431+INDEX(Data_Prices!S:S,MATCH($G441,Data_Prices!$A:$A,0))*S$459</f>
        <v>0.690366629692406</v>
      </c>
      <c r="T441" s="22" t="n">
        <f aca="false">T431+INDEX(Data_Prices!T:T,MATCH($G441,Data_Prices!$A:$A,0))*T$459</f>
        <v>0.719294472863906</v>
      </c>
      <c r="U441" s="22" t="n">
        <f aca="false">U431+INDEX(Data_Prices!U:U,MATCH($G441,Data_Prices!$A:$A,0))*U$459</f>
        <v>0.748222316035406</v>
      </c>
      <c r="V441" s="22" t="n">
        <f aca="false">V431+INDEX(Data_Prices!V:V,MATCH($G441,Data_Prices!$A:$A,0))*V$459</f>
        <v>0.777150159206905</v>
      </c>
      <c r="W441" s="22" t="n">
        <f aca="false">W431+INDEX(Data_Prices!W:W,MATCH($G441,Data_Prices!$A:$A,0))*W$459</f>
        <v>0.806078002378406</v>
      </c>
      <c r="X441" s="22" t="n">
        <f aca="false">X431+INDEX(Data_Prices!X:X,MATCH($G441,Data_Prices!$A:$A,0))*X$459</f>
        <v>0.835005845549906</v>
      </c>
      <c r="Y441" s="22" t="n">
        <f aca="false">Y431+INDEX(Data_Prices!Y:Y,MATCH($G441,Data_Prices!$A:$A,0))*Y$459</f>
        <v>0.863933688721406</v>
      </c>
      <c r="Z441" s="22" t="n">
        <f aca="false">Z431+INDEX(Data_Prices!Z:Z,MATCH($G441,Data_Prices!$A:$A,0))*Z$459</f>
        <v>0.892861531892906</v>
      </c>
      <c r="AA441" s="22" t="n">
        <f aca="false">AA431+INDEX(Data_Prices!AA:AA,MATCH($G441,Data_Prices!$A:$A,0))*AA$459</f>
        <v>0.921789375064406</v>
      </c>
      <c r="AB441" s="22" t="n">
        <f aca="false">AB431+INDEX(Data_Prices!AB:AB,MATCH($G441,Data_Prices!$A:$A,0))*AB$459</f>
        <v>0.950717218235906</v>
      </c>
      <c r="AC441" s="22" t="n">
        <f aca="false">AC431+INDEX(Data_Prices!AC:AC,MATCH($G441,Data_Prices!$A:$A,0))*AC$459</f>
        <v>0.979645061407406</v>
      </c>
      <c r="AD441" s="22" t="n">
        <f aca="false">AD431+INDEX(Data_Prices!AD:AD,MATCH($G441,Data_Prices!$A:$A,0))*AD$459</f>
        <v>1.00857290457891</v>
      </c>
      <c r="AE441" s="22" t="n">
        <f aca="false">AE431+INDEX(Data_Prices!AE:AE,MATCH($G441,Data_Prices!$A:$A,0))*AE$459</f>
        <v>1.03750074775041</v>
      </c>
    </row>
    <row r="442" customFormat="false" ht="15" hidden="false" customHeight="false" outlineLevel="0" collapsed="false">
      <c r="B442" s="17" t="s">
        <v>62</v>
      </c>
      <c r="C442" s="17" t="str">
        <f aca="false">$C$427</f>
        <v>mch</v>
      </c>
      <c r="D442" s="18" t="s">
        <v>63</v>
      </c>
      <c r="E442" s="19" t="s">
        <v>61</v>
      </c>
      <c r="F442" s="17" t="s">
        <v>77</v>
      </c>
      <c r="G442" s="20" t="str">
        <f aca="false">Settings!$B$3&amp;".mit.nce."&amp;Settings!$B$4&amp;"."&amp;$B442&amp;".a."&amp;$J$427</f>
        <v>egy.mit.nce.ind.die.a.2</v>
      </c>
      <c r="H442" s="21" t="str">
        <f aca="false">Settings!$B$3&amp;".mit.atp."&amp;$C$427&amp;"."&amp;$B442&amp;".e."&amp;$J$427</f>
        <v>egy.mit.atp.mch.die.e.2</v>
      </c>
      <c r="K442" s="22" t="n">
        <f aca="false">K432+INDEX(Data_Prices!K:K,MATCH($G442,Data_Prices!$A:$A,0))*K$459</f>
        <v>0.559711213155688</v>
      </c>
      <c r="L442" s="22" t="n">
        <f aca="false">L432+INDEX(Data_Prices!L:L,MATCH($G442,Data_Prices!$A:$A,0))*L$459</f>
        <v>0.494588730841068</v>
      </c>
      <c r="M442" s="22" t="n">
        <f aca="false">M432+INDEX(Data_Prices!M:M,MATCH($G442,Data_Prices!$A:$A,0))*M$459</f>
        <v>0.507786547202501</v>
      </c>
      <c r="N442" s="22" t="n">
        <f aca="false">N432+INDEX(Data_Prices!N:N,MATCH($G442,Data_Prices!$A:$A,0))*N$459</f>
        <v>0.470436426795617</v>
      </c>
      <c r="O442" s="22" t="n">
        <f aca="false">O432+INDEX(Data_Prices!O:O,MATCH($G442,Data_Prices!$A:$A,0))*O$459</f>
        <v>0.470436426795617</v>
      </c>
      <c r="P442" s="22" t="n">
        <f aca="false">P432+INDEX(Data_Prices!P:P,MATCH($G442,Data_Prices!$A:$A,0))*P$459</f>
        <v>0.470436426795617</v>
      </c>
      <c r="Q442" s="22" t="n">
        <f aca="false">Q432+INDEX(Data_Prices!Q:Q,MATCH($G442,Data_Prices!$A:$A,0))*Q$459</f>
        <v>0.503446865654492</v>
      </c>
      <c r="R442" s="22" t="n">
        <f aca="false">R432+INDEX(Data_Prices!R:R,MATCH($G442,Data_Prices!$A:$A,0))*R$459</f>
        <v>0.536457304513367</v>
      </c>
      <c r="S442" s="22" t="n">
        <f aca="false">S432+INDEX(Data_Prices!S:S,MATCH($G442,Data_Prices!$A:$A,0))*S$459</f>
        <v>0.569467743372243</v>
      </c>
      <c r="T442" s="22" t="n">
        <f aca="false">T432+INDEX(Data_Prices!T:T,MATCH($G442,Data_Prices!$A:$A,0))*T$459</f>
        <v>0.602478182231117</v>
      </c>
      <c r="U442" s="22" t="n">
        <f aca="false">U432+INDEX(Data_Prices!U:U,MATCH($G442,Data_Prices!$A:$A,0))*U$459</f>
        <v>0.635488621089992</v>
      </c>
      <c r="V442" s="22" t="n">
        <f aca="false">V432+INDEX(Data_Prices!V:V,MATCH($G442,Data_Prices!$A:$A,0))*V$459</f>
        <v>0.668499059948867</v>
      </c>
      <c r="W442" s="22" t="n">
        <f aca="false">W432+INDEX(Data_Prices!W:W,MATCH($G442,Data_Prices!$A:$A,0))*W$459</f>
        <v>0.701509498807742</v>
      </c>
      <c r="X442" s="22" t="n">
        <f aca="false">X432+INDEX(Data_Prices!X:X,MATCH($G442,Data_Prices!$A:$A,0))*X$459</f>
        <v>0.734519937666617</v>
      </c>
      <c r="Y442" s="22" t="n">
        <f aca="false">Y432+INDEX(Data_Prices!Y:Y,MATCH($G442,Data_Prices!$A:$A,0))*Y$459</f>
        <v>0.767530376525492</v>
      </c>
      <c r="Z442" s="22" t="n">
        <f aca="false">Z432+INDEX(Data_Prices!Z:Z,MATCH($G442,Data_Prices!$A:$A,0))*Z$459</f>
        <v>0.800540815384367</v>
      </c>
      <c r="AA442" s="22" t="n">
        <f aca="false">AA432+INDEX(Data_Prices!AA:AA,MATCH($G442,Data_Prices!$A:$A,0))*AA$459</f>
        <v>0.833551254243242</v>
      </c>
      <c r="AB442" s="22" t="n">
        <f aca="false">AB432+INDEX(Data_Prices!AB:AB,MATCH($G442,Data_Prices!$A:$A,0))*AB$459</f>
        <v>0.866561693102117</v>
      </c>
      <c r="AC442" s="22" t="n">
        <f aca="false">AC432+INDEX(Data_Prices!AC:AC,MATCH($G442,Data_Prices!$A:$A,0))*AC$459</f>
        <v>0.899572131960992</v>
      </c>
      <c r="AD442" s="22" t="n">
        <f aca="false">AD432+INDEX(Data_Prices!AD:AD,MATCH($G442,Data_Prices!$A:$A,0))*AD$459</f>
        <v>0.932582570819867</v>
      </c>
      <c r="AE442" s="22" t="n">
        <f aca="false">AE432+INDEX(Data_Prices!AE:AE,MATCH($G442,Data_Prices!$A:$A,0))*AE$459</f>
        <v>0.965593009678742</v>
      </c>
    </row>
    <row r="443" customFormat="false" ht="15" hidden="false" customHeight="false" outlineLevel="0" collapsed="false">
      <c r="B443" s="17" t="s">
        <v>64</v>
      </c>
      <c r="C443" s="17" t="str">
        <f aca="false">$C$427</f>
        <v>mch</v>
      </c>
      <c r="D443" s="18" t="s">
        <v>65</v>
      </c>
      <c r="E443" s="19" t="s">
        <v>61</v>
      </c>
      <c r="F443" s="17" t="s">
        <v>77</v>
      </c>
      <c r="G443" s="20" t="str">
        <f aca="false">Settings!$B$3&amp;".mit.nce."&amp;Settings!$B$4&amp;"."&amp;$B443&amp;".a."&amp;$J$427</f>
        <v>egy.mit.nce.ind.lpg.a.2</v>
      </c>
      <c r="H443" s="21" t="str">
        <f aca="false">Settings!$B$3&amp;".mit.atp."&amp;$C$427&amp;"."&amp;$B443&amp;".e."&amp;$J$427</f>
        <v>egy.mit.atp.mch.lpg.e.2</v>
      </c>
      <c r="K443" s="22" t="n">
        <f aca="false">K433+INDEX(Data_Prices!K:K,MATCH($G443,Data_Prices!$A:$A,0))*K$459</f>
        <v>0.200366691126738</v>
      </c>
      <c r="L443" s="22" t="n">
        <f aca="false">L433+INDEX(Data_Prices!L:L,MATCH($G443,Data_Prices!$A:$A,0))*L$459</f>
        <v>0.157344736252274</v>
      </c>
      <c r="M443" s="22" t="n">
        <f aca="false">M433+INDEX(Data_Prices!M:M,MATCH($G443,Data_Prices!$A:$A,0))*M$459</f>
        <v>0.164484037759277</v>
      </c>
      <c r="N443" s="22" t="n">
        <f aca="false">N433+INDEX(Data_Prices!N:N,MATCH($G443,Data_Prices!$A:$A,0))*N$459</f>
        <v>0.150709077807049</v>
      </c>
      <c r="O443" s="22" t="n">
        <f aca="false">O433+INDEX(Data_Prices!O:O,MATCH($G443,Data_Prices!$A:$A,0))*O$459</f>
        <v>0.150709077807049</v>
      </c>
      <c r="P443" s="22" t="n">
        <f aca="false">P433+INDEX(Data_Prices!P:P,MATCH($G443,Data_Prices!$A:$A,0))*P$459</f>
        <v>0.150709077807049</v>
      </c>
      <c r="Q443" s="22" t="n">
        <f aca="false">Q433+INDEX(Data_Prices!Q:Q,MATCH($G443,Data_Prices!$A:$A,0))*Q$459</f>
        <v>0.172815160734345</v>
      </c>
      <c r="R443" s="22" t="n">
        <f aca="false">R433+INDEX(Data_Prices!R:R,MATCH($G443,Data_Prices!$A:$A,0))*R$459</f>
        <v>0.19492124366164</v>
      </c>
      <c r="S443" s="22" t="n">
        <f aca="false">S433+INDEX(Data_Prices!S:S,MATCH($G443,Data_Prices!$A:$A,0))*S$459</f>
        <v>0.217027326588936</v>
      </c>
      <c r="T443" s="22" t="n">
        <f aca="false">T433+INDEX(Data_Prices!T:T,MATCH($G443,Data_Prices!$A:$A,0))*T$459</f>
        <v>0.239133409516232</v>
      </c>
      <c r="U443" s="22" t="n">
        <f aca="false">U433+INDEX(Data_Prices!U:U,MATCH($G443,Data_Prices!$A:$A,0))*U$459</f>
        <v>0.261239492443527</v>
      </c>
      <c r="V443" s="22" t="n">
        <f aca="false">V433+INDEX(Data_Prices!V:V,MATCH($G443,Data_Prices!$A:$A,0))*V$459</f>
        <v>0.283345575370823</v>
      </c>
      <c r="W443" s="22" t="n">
        <f aca="false">W433+INDEX(Data_Prices!W:W,MATCH($G443,Data_Prices!$A:$A,0))*W$459</f>
        <v>0.305451658298119</v>
      </c>
      <c r="X443" s="22" t="n">
        <f aca="false">X433+INDEX(Data_Prices!X:X,MATCH($G443,Data_Prices!$A:$A,0))*X$459</f>
        <v>0.327557741225415</v>
      </c>
      <c r="Y443" s="22" t="n">
        <f aca="false">Y433+INDEX(Data_Prices!Y:Y,MATCH($G443,Data_Prices!$A:$A,0))*Y$459</f>
        <v>0.34966382415271</v>
      </c>
      <c r="Z443" s="22" t="n">
        <f aca="false">Z433+INDEX(Data_Prices!Z:Z,MATCH($G443,Data_Prices!$A:$A,0))*Z$459</f>
        <v>0.371769907080006</v>
      </c>
      <c r="AA443" s="22" t="n">
        <f aca="false">AA433+INDEX(Data_Prices!AA:AA,MATCH($G443,Data_Prices!$A:$A,0))*AA$459</f>
        <v>0.393875990007302</v>
      </c>
      <c r="AB443" s="22" t="n">
        <f aca="false">AB433+INDEX(Data_Prices!AB:AB,MATCH($G443,Data_Prices!$A:$A,0))*AB$459</f>
        <v>0.415982072934597</v>
      </c>
      <c r="AC443" s="22" t="n">
        <f aca="false">AC433+INDEX(Data_Prices!AC:AC,MATCH($G443,Data_Prices!$A:$A,0))*AC$459</f>
        <v>0.438088155861893</v>
      </c>
      <c r="AD443" s="22" t="n">
        <f aca="false">AD433+INDEX(Data_Prices!AD:AD,MATCH($G443,Data_Prices!$A:$A,0))*AD$459</f>
        <v>0.460194238789189</v>
      </c>
      <c r="AE443" s="22" t="n">
        <f aca="false">AE433+INDEX(Data_Prices!AE:AE,MATCH($G443,Data_Prices!$A:$A,0))*AE$459</f>
        <v>0.482300321716484</v>
      </c>
    </row>
    <row r="444" customFormat="false" ht="15" hidden="false" customHeight="false" outlineLevel="0" collapsed="false">
      <c r="B444" s="17" t="s">
        <v>66</v>
      </c>
      <c r="C444" s="17" t="str">
        <f aca="false">$C$427</f>
        <v>mch</v>
      </c>
      <c r="D444" s="18" t="s">
        <v>67</v>
      </c>
      <c r="E444" s="19" t="s">
        <v>61</v>
      </c>
      <c r="F444" s="17" t="s">
        <v>77</v>
      </c>
      <c r="G444" s="20" t="str">
        <f aca="false">Settings!$B$3&amp;".mit.nce."&amp;Settings!$B$4&amp;"."&amp;$B444&amp;".a."&amp;$J$427</f>
        <v>egy.mit.nce.ind.ker.a.2</v>
      </c>
      <c r="H444" s="21" t="str">
        <f aca="false">Settings!$B$3&amp;".mit.atp."&amp;$C$427&amp;"."&amp;$B444&amp;".e."&amp;$J$427</f>
        <v>egy.mit.atp.mch.ker.e.2</v>
      </c>
      <c r="K444" s="22" t="n">
        <f aca="false">K434+INDEX(Data_Prices!K:K,MATCH($G444,Data_Prices!$A:$A,0))*K$459</f>
        <v>0.484294240973435</v>
      </c>
      <c r="L444" s="22" t="n">
        <f aca="false">L434+INDEX(Data_Prices!L:L,MATCH($G444,Data_Prices!$A:$A,0))*L$459</f>
        <v>0.456428170500128</v>
      </c>
      <c r="M444" s="22" t="n">
        <f aca="false">M434+INDEX(Data_Prices!M:M,MATCH($G444,Data_Prices!$A:$A,0))*M$459</f>
        <v>0.431689201955995</v>
      </c>
      <c r="N444" s="22" t="n">
        <f aca="false">N434+INDEX(Data_Prices!N:N,MATCH($G444,Data_Prices!$A:$A,0))*N$459</f>
        <v>0.42507558395597</v>
      </c>
      <c r="O444" s="22" t="n">
        <f aca="false">O434+INDEX(Data_Prices!O:O,MATCH($G444,Data_Prices!$A:$A,0))*O$459</f>
        <v>0.42507558395597</v>
      </c>
      <c r="P444" s="22" t="n">
        <f aca="false">P434+INDEX(Data_Prices!P:P,MATCH($G444,Data_Prices!$A:$A,0))*P$459</f>
        <v>0.42507558395597</v>
      </c>
      <c r="Q444" s="22" t="n">
        <f aca="false">Q434+INDEX(Data_Prices!Q:Q,MATCH($G444,Data_Prices!$A:$A,0))*Q$459</f>
        <v>0.457064414066078</v>
      </c>
      <c r="R444" s="22" t="n">
        <f aca="false">R434+INDEX(Data_Prices!R:R,MATCH($G444,Data_Prices!$A:$A,0))*R$459</f>
        <v>0.489053244176187</v>
      </c>
      <c r="S444" s="22" t="n">
        <f aca="false">S434+INDEX(Data_Prices!S:S,MATCH($G444,Data_Prices!$A:$A,0))*S$459</f>
        <v>0.521042074286296</v>
      </c>
      <c r="T444" s="22" t="n">
        <f aca="false">T434+INDEX(Data_Prices!T:T,MATCH($G444,Data_Prices!$A:$A,0))*T$459</f>
        <v>0.553030904396404</v>
      </c>
      <c r="U444" s="22" t="n">
        <f aca="false">U434+INDEX(Data_Prices!U:U,MATCH($G444,Data_Prices!$A:$A,0))*U$459</f>
        <v>0.585019734506513</v>
      </c>
      <c r="V444" s="22" t="n">
        <f aca="false">V434+INDEX(Data_Prices!V:V,MATCH($G444,Data_Prices!$A:$A,0))*V$459</f>
        <v>0.617008564616621</v>
      </c>
      <c r="W444" s="22" t="n">
        <f aca="false">W434+INDEX(Data_Prices!W:W,MATCH($G444,Data_Prices!$A:$A,0))*W$459</f>
        <v>0.648997394726729</v>
      </c>
      <c r="X444" s="22" t="n">
        <f aca="false">X434+INDEX(Data_Prices!X:X,MATCH($G444,Data_Prices!$A:$A,0))*X$459</f>
        <v>0.680986224836838</v>
      </c>
      <c r="Y444" s="22" t="n">
        <f aca="false">Y434+INDEX(Data_Prices!Y:Y,MATCH($G444,Data_Prices!$A:$A,0))*Y$459</f>
        <v>0.712975054946947</v>
      </c>
      <c r="Z444" s="22" t="n">
        <f aca="false">Z434+INDEX(Data_Prices!Z:Z,MATCH($G444,Data_Prices!$A:$A,0))*Z$459</f>
        <v>0.744963885057055</v>
      </c>
      <c r="AA444" s="22" t="n">
        <f aca="false">AA434+INDEX(Data_Prices!AA:AA,MATCH($G444,Data_Prices!$A:$A,0))*AA$459</f>
        <v>0.776952715167163</v>
      </c>
      <c r="AB444" s="22" t="n">
        <f aca="false">AB434+INDEX(Data_Prices!AB:AB,MATCH($G444,Data_Prices!$A:$A,0))*AB$459</f>
        <v>0.808941545277272</v>
      </c>
      <c r="AC444" s="22" t="n">
        <f aca="false">AC434+INDEX(Data_Prices!AC:AC,MATCH($G444,Data_Prices!$A:$A,0))*AC$459</f>
        <v>0.84093037538738</v>
      </c>
      <c r="AD444" s="22" t="n">
        <f aca="false">AD434+INDEX(Data_Prices!AD:AD,MATCH($G444,Data_Prices!$A:$A,0))*AD$459</f>
        <v>0.872919205497489</v>
      </c>
      <c r="AE444" s="22" t="n">
        <f aca="false">AE434+INDEX(Data_Prices!AE:AE,MATCH($G444,Data_Prices!$A:$A,0))*AE$459</f>
        <v>0.904908035607597</v>
      </c>
    </row>
    <row r="445" customFormat="false" ht="15" hidden="false" customHeight="false" outlineLevel="0" collapsed="false">
      <c r="B445" s="17" t="s">
        <v>68</v>
      </c>
      <c r="C445" s="17" t="str">
        <f aca="false">$C$427</f>
        <v>mch</v>
      </c>
      <c r="D445" s="18" t="s">
        <v>69</v>
      </c>
      <c r="E445" s="19" t="s">
        <v>70</v>
      </c>
      <c r="F445" s="17" t="s">
        <v>77</v>
      </c>
      <c r="G445" s="20" t="str">
        <f aca="false">Settings!$B$3&amp;".mit.nce."&amp;Settings!$B$4&amp;"."&amp;$B445&amp;".a."&amp;$J$427</f>
        <v>egy.mit.nce.ind.oop.a.2</v>
      </c>
      <c r="H445" s="21" t="str">
        <f aca="false">Settings!$B$3&amp;".mit.atp."&amp;$C$427&amp;"."&amp;$B445&amp;".e."&amp;$J$427</f>
        <v>egy.mit.atp.mch.oop.e.2</v>
      </c>
      <c r="K445" s="22" t="n">
        <f aca="false">K435+INDEX(Data_Prices!K:K,MATCH($G445,Data_Prices!$A:$A,0))*K$459</f>
        <v>41.5003384988684</v>
      </c>
      <c r="L445" s="22" t="n">
        <f aca="false">L435+INDEX(Data_Prices!L:L,MATCH($G445,Data_Prices!$A:$A,0))*L$459</f>
        <v>34.4153703043132</v>
      </c>
      <c r="M445" s="22" t="n">
        <f aca="false">M435+INDEX(Data_Prices!M:M,MATCH($G445,Data_Prices!$A:$A,0))*M$459</f>
        <v>37.368960690432</v>
      </c>
      <c r="N445" s="22" t="n">
        <f aca="false">N435+INDEX(Data_Prices!N:N,MATCH($G445,Data_Prices!$A:$A,0))*N$459</f>
        <v>28.9827611014773</v>
      </c>
      <c r="O445" s="22" t="n">
        <f aca="false">O435+INDEX(Data_Prices!O:O,MATCH($G445,Data_Prices!$A:$A,0))*O$459</f>
        <v>15</v>
      </c>
      <c r="P445" s="22" t="n">
        <f aca="false">P435+INDEX(Data_Prices!P:P,MATCH($G445,Data_Prices!$A:$A,0))*P$459</f>
        <v>24.2586300842555</v>
      </c>
      <c r="Q445" s="22" t="n">
        <f aca="false">Q435+INDEX(Data_Prices!Q:Q,MATCH($G445,Data_Prices!$A:$A,0))*Q$459</f>
        <v>18.9637581961325</v>
      </c>
      <c r="R445" s="22" t="n">
        <f aca="false">R435+INDEX(Data_Prices!R:R,MATCH($G445,Data_Prices!$A:$A,0))*R$459</f>
        <v>21.7603451140106</v>
      </c>
      <c r="S445" s="22" t="n">
        <f aca="false">S435+INDEX(Data_Prices!S:S,MATCH($G445,Data_Prices!$A:$A,0))*S$459</f>
        <v>26.0798806913736</v>
      </c>
      <c r="T445" s="22" t="n">
        <f aca="false">T435+INDEX(Data_Prices!T:T,MATCH($G445,Data_Prices!$A:$A,0))*T$459</f>
        <v>30.5936824452092</v>
      </c>
      <c r="U445" s="22" t="n">
        <f aca="false">U435+INDEX(Data_Prices!U:U,MATCH($G445,Data_Prices!$A:$A,0))*U$459</f>
        <v>34.9905097394101</v>
      </c>
      <c r="V445" s="22" t="n">
        <f aca="false">V435+INDEX(Data_Prices!V:V,MATCH($G445,Data_Prices!$A:$A,0))*V$459</f>
        <v>40.8580597394101</v>
      </c>
      <c r="W445" s="22" t="n">
        <f aca="false">W435+INDEX(Data_Prices!W:W,MATCH($G445,Data_Prices!$A:$A,0))*W$459</f>
        <v>46.7256097394101</v>
      </c>
      <c r="X445" s="22" t="n">
        <f aca="false">X435+INDEX(Data_Prices!X:X,MATCH($G445,Data_Prices!$A:$A,0))*X$459</f>
        <v>52.5931597394101</v>
      </c>
      <c r="Y445" s="22" t="n">
        <f aca="false">Y435+INDEX(Data_Prices!Y:Y,MATCH($G445,Data_Prices!$A:$A,0))*Y$459</f>
        <v>58.4607097394101</v>
      </c>
      <c r="Z445" s="22" t="n">
        <f aca="false">Z435+INDEX(Data_Prices!Z:Z,MATCH($G445,Data_Prices!$A:$A,0))*Z$459</f>
        <v>64.3282597394101</v>
      </c>
      <c r="AA445" s="22" t="n">
        <f aca="false">AA435+INDEX(Data_Prices!AA:AA,MATCH($G445,Data_Prices!$A:$A,0))*AA$459</f>
        <v>70.1958097394101</v>
      </c>
      <c r="AB445" s="22" t="n">
        <f aca="false">AB435+INDEX(Data_Prices!AB:AB,MATCH($G445,Data_Prices!$A:$A,0))*AB$459</f>
        <v>76.0633597394101</v>
      </c>
      <c r="AC445" s="22" t="n">
        <f aca="false">AC435+INDEX(Data_Prices!AC:AC,MATCH($G445,Data_Prices!$A:$A,0))*AC$459</f>
        <v>81.9309097394101</v>
      </c>
      <c r="AD445" s="22" t="n">
        <f aca="false">AD435+INDEX(Data_Prices!AD:AD,MATCH($G445,Data_Prices!$A:$A,0))*AD$459</f>
        <v>87.7984597394101</v>
      </c>
      <c r="AE445" s="22" t="n">
        <f aca="false">AE435+INDEX(Data_Prices!AE:AE,MATCH($G445,Data_Prices!$A:$A,0))*AE$459</f>
        <v>93.6660097394101</v>
      </c>
    </row>
    <row r="446" customFormat="false" ht="15" hidden="false" customHeight="false" outlineLevel="0" collapsed="false">
      <c r="B446" s="17" t="s">
        <v>71</v>
      </c>
      <c r="C446" s="17" t="str">
        <f aca="false">$C$427</f>
        <v>mch</v>
      </c>
      <c r="D446" s="18" t="s">
        <v>72</v>
      </c>
      <c r="E446" s="19" t="s">
        <v>55</v>
      </c>
      <c r="F446" s="17" t="s">
        <v>77</v>
      </c>
      <c r="G446" s="20" t="str">
        <f aca="false">Settings!$B$3&amp;".mit.nce."&amp;Settings!$B$4&amp;"."&amp;$B446&amp;".a."&amp;$J$427</f>
        <v>egy.mit.nce.ind.bio.a.2</v>
      </c>
      <c r="H446" s="21" t="str">
        <f aca="false">Settings!$B$3&amp;".mit.atp."&amp;$C$427&amp;"."&amp;$B446&amp;".e."&amp;$J$427</f>
        <v>egy.mit.atp.mch.bio.e.2</v>
      </c>
      <c r="K446" s="22" t="n">
        <f aca="false">K436+INDEX(Data_Prices!K:K,MATCH($G446,Data_Prices!$A:$A,0))*K$459</f>
        <v>15.3345505293169</v>
      </c>
      <c r="L446" s="22" t="n">
        <f aca="false">L436+INDEX(Data_Prices!L:L,MATCH($G446,Data_Prices!$A:$A,0))*L$459</f>
        <v>14.1995283906349</v>
      </c>
      <c r="M446" s="22" t="n">
        <f aca="false">M436+INDEX(Data_Prices!M:M,MATCH($G446,Data_Prices!$A:$A,0))*M$459</f>
        <v>13.8404416133152</v>
      </c>
      <c r="N446" s="22" t="n">
        <f aca="false">N436+INDEX(Data_Prices!N:N,MATCH($G446,Data_Prices!$A:$A,0))*N$459</f>
        <v>13.5677269404465</v>
      </c>
      <c r="O446" s="22" t="n">
        <f aca="false">O436+INDEX(Data_Prices!O:O,MATCH($G446,Data_Prices!$A:$A,0))*O$459</f>
        <v>13.5677269404465</v>
      </c>
      <c r="P446" s="22" t="n">
        <f aca="false">P436+INDEX(Data_Prices!P:P,MATCH($G446,Data_Prices!$A:$A,0))*P$459</f>
        <v>13.5677269404465</v>
      </c>
      <c r="Q446" s="22" t="n">
        <f aca="false">Q436+INDEX(Data_Prices!Q:Q,MATCH($G446,Data_Prices!$A:$A,0))*Q$459</f>
        <v>13.5677269404465</v>
      </c>
      <c r="R446" s="22" t="n">
        <f aca="false">R436+INDEX(Data_Prices!R:R,MATCH($G446,Data_Prices!$A:$A,0))*R$459</f>
        <v>13.5677269404465</v>
      </c>
      <c r="S446" s="22" t="n">
        <f aca="false">S436+INDEX(Data_Prices!S:S,MATCH($G446,Data_Prices!$A:$A,0))*S$459</f>
        <v>13.5677269404465</v>
      </c>
      <c r="T446" s="22" t="n">
        <f aca="false">T436+INDEX(Data_Prices!T:T,MATCH($G446,Data_Prices!$A:$A,0))*T$459</f>
        <v>13.5677269404465</v>
      </c>
      <c r="U446" s="22" t="n">
        <f aca="false">U436+INDEX(Data_Prices!U:U,MATCH($G446,Data_Prices!$A:$A,0))*U$459</f>
        <v>13.5677269404465</v>
      </c>
      <c r="V446" s="22" t="n">
        <f aca="false">V436+INDEX(Data_Prices!V:V,MATCH($G446,Data_Prices!$A:$A,0))*V$459</f>
        <v>13.5677269404465</v>
      </c>
      <c r="W446" s="22" t="n">
        <f aca="false">W436+INDEX(Data_Prices!W:W,MATCH($G446,Data_Prices!$A:$A,0))*W$459</f>
        <v>13.5677269404465</v>
      </c>
      <c r="X446" s="22" t="n">
        <f aca="false">X436+INDEX(Data_Prices!X:X,MATCH($G446,Data_Prices!$A:$A,0))*X$459</f>
        <v>13.5677269404465</v>
      </c>
      <c r="Y446" s="22" t="n">
        <f aca="false">Y436+INDEX(Data_Prices!Y:Y,MATCH($G446,Data_Prices!$A:$A,0))*Y$459</f>
        <v>13.5677269404465</v>
      </c>
      <c r="Z446" s="22" t="n">
        <f aca="false">Z436+INDEX(Data_Prices!Z:Z,MATCH($G446,Data_Prices!$A:$A,0))*Z$459</f>
        <v>13.5677269404465</v>
      </c>
      <c r="AA446" s="22" t="n">
        <f aca="false">AA436+INDEX(Data_Prices!AA:AA,MATCH($G446,Data_Prices!$A:$A,0))*AA$459</f>
        <v>13.5677269404465</v>
      </c>
      <c r="AB446" s="22" t="n">
        <f aca="false">AB436+INDEX(Data_Prices!AB:AB,MATCH($G446,Data_Prices!$A:$A,0))*AB$459</f>
        <v>13.5677269404465</v>
      </c>
      <c r="AC446" s="22" t="n">
        <f aca="false">AC436+INDEX(Data_Prices!AC:AC,MATCH($G446,Data_Prices!$A:$A,0))*AC$459</f>
        <v>13.5677269404465</v>
      </c>
      <c r="AD446" s="22" t="n">
        <f aca="false">AD436+INDEX(Data_Prices!AD:AD,MATCH($G446,Data_Prices!$A:$A,0))*AD$459</f>
        <v>13.5677269404465</v>
      </c>
      <c r="AE446" s="22" t="n">
        <f aca="false">AE436+INDEX(Data_Prices!AE:AE,MATCH($G446,Data_Prices!$A:$A,0))*AE$459</f>
        <v>13.5677269404465</v>
      </c>
    </row>
    <row r="447" customFormat="false" ht="15" hidden="false" customHeight="false" outlineLevel="0" collapsed="false">
      <c r="B447" s="17" t="s">
        <v>73</v>
      </c>
      <c r="C447" s="17" t="str">
        <f aca="false">$C$427</f>
        <v>mch</v>
      </c>
      <c r="D447" s="18" t="s">
        <v>74</v>
      </c>
      <c r="E447" s="19" t="s">
        <v>75</v>
      </c>
      <c r="F447" s="17" t="s">
        <v>77</v>
      </c>
      <c r="G447" s="20" t="str">
        <f aca="false">Settings!$B$3&amp;".mit.nce."&amp;Settings!$B$4&amp;"."&amp;$B447&amp;".a."&amp;$J$427</f>
        <v>egy.mit.nce.ind.ren.a.2</v>
      </c>
      <c r="H447" s="21" t="str">
        <f aca="false">Settings!$B$3&amp;".mit.atp."&amp;$C$427&amp;"."&amp;$B447&amp;".e."&amp;$J$427</f>
        <v>egy.mit.atp.mch.ren.e.2</v>
      </c>
      <c r="K447" s="22" t="n">
        <f aca="false">K437+INDEX(Data_Prices!K:K,MATCH($G447,Data_Prices!$A:$A,0))*K$459</f>
        <v>0</v>
      </c>
      <c r="L447" s="22" t="n">
        <f aca="false">L437+INDEX(Data_Prices!L:L,MATCH($G447,Data_Prices!$A:$A,0))*L$459</f>
        <v>0.144044986793198</v>
      </c>
      <c r="M447" s="22" t="n">
        <f aca="false">M437+INDEX(Data_Prices!M:M,MATCH($G447,Data_Prices!$A:$A,0))*M$459</f>
        <v>0.141386241751359</v>
      </c>
      <c r="N447" s="22" t="n">
        <f aca="false">N437+INDEX(Data_Prices!N:N,MATCH($G447,Data_Prices!$A:$A,0))*N$459</f>
        <v>0.135397565443731</v>
      </c>
      <c r="O447" s="22" t="n">
        <f aca="false">O437+INDEX(Data_Prices!O:O,MATCH($G447,Data_Prices!$A:$A,0))*O$459</f>
        <v>0.131522885420651</v>
      </c>
      <c r="P447" s="22" t="n">
        <f aca="false">P437+INDEX(Data_Prices!P:P,MATCH($G447,Data_Prices!$A:$A,0))*P$459</f>
        <v>0.128826108485231</v>
      </c>
      <c r="Q447" s="22" t="n">
        <f aca="false">Q437+INDEX(Data_Prices!Q:Q,MATCH($G447,Data_Prices!$A:$A,0))*Q$459</f>
        <v>0.12594200976474</v>
      </c>
      <c r="R447" s="22" t="n">
        <f aca="false">R437+INDEX(Data_Prices!R:R,MATCH($G447,Data_Prices!$A:$A,0))*R$459</f>
        <v>0.123113265701861</v>
      </c>
      <c r="S447" s="22" t="n">
        <f aca="false">S437+INDEX(Data_Prices!S:S,MATCH($G447,Data_Prices!$A:$A,0))*S$459</f>
        <v>0.119391738089068</v>
      </c>
      <c r="T447" s="22" t="n">
        <f aca="false">T437+INDEX(Data_Prices!T:T,MATCH($G447,Data_Prices!$A:$A,0))*T$459</f>
        <v>0.11554419046792</v>
      </c>
      <c r="U447" s="22" t="n">
        <f aca="false">U437+INDEX(Data_Prices!U:U,MATCH($G447,Data_Prices!$A:$A,0))*U$459</f>
        <v>0.114924230654159</v>
      </c>
      <c r="V447" s="22" t="n">
        <f aca="false">V437+INDEX(Data_Prices!V:V,MATCH($G447,Data_Prices!$A:$A,0))*V$459</f>
        <v>0.114346912116736</v>
      </c>
      <c r="W447" s="22" t="n">
        <f aca="false">W437+INDEX(Data_Prices!W:W,MATCH($G447,Data_Prices!$A:$A,0))*W$459</f>
        <v>0.113738711172664</v>
      </c>
      <c r="X447" s="22" t="n">
        <f aca="false">X437+INDEX(Data_Prices!X:X,MATCH($G447,Data_Prices!$A:$A,0))*X$459</f>
        <v>0.112999900487521</v>
      </c>
      <c r="Y447" s="22" t="n">
        <f aca="false">Y437+INDEX(Data_Prices!Y:Y,MATCH($G447,Data_Prices!$A:$A,0))*Y$459</f>
        <v>0.112177685835534</v>
      </c>
      <c r="Z447" s="22" t="n">
        <f aca="false">Z437+INDEX(Data_Prices!Z:Z,MATCH($G447,Data_Prices!$A:$A,0))*Z$459</f>
        <v>0.111417903250404</v>
      </c>
      <c r="AA447" s="22" t="n">
        <f aca="false">AA437+INDEX(Data_Prices!AA:AA,MATCH($G447,Data_Prices!$A:$A,0))*AA$459</f>
        <v>0.110525819985454</v>
      </c>
      <c r="AB447" s="22" t="n">
        <f aca="false">AB437+INDEX(Data_Prices!AB:AB,MATCH($G447,Data_Prices!$A:$A,0))*AB$459</f>
        <v>0.109699565234896</v>
      </c>
      <c r="AC447" s="22" t="n">
        <f aca="false">AC437+INDEX(Data_Prices!AC:AC,MATCH($G447,Data_Prices!$A:$A,0))*AC$459</f>
        <v>0.107726788963949</v>
      </c>
      <c r="AD447" s="22" t="n">
        <f aca="false">AD437+INDEX(Data_Prices!AD:AD,MATCH($G447,Data_Prices!$A:$A,0))*AD$459</f>
        <v>0.105820924450935</v>
      </c>
      <c r="AE447" s="22" t="n">
        <f aca="false">AE437+INDEX(Data_Prices!AE:AE,MATCH($G447,Data_Prices!$A:$A,0))*AE$459</f>
        <v>0.103855595705721</v>
      </c>
    </row>
    <row r="448" customFormat="false" ht="15" hidden="false" customHeight="false" outlineLevel="0" collapsed="false">
      <c r="B448" s="16" t="s">
        <v>78</v>
      </c>
    </row>
    <row r="449" customFormat="false" ht="15" hidden="false" customHeight="false" outlineLevel="0" collapsed="false">
      <c r="B449" s="17" t="s">
        <v>53</v>
      </c>
      <c r="C449" s="17" t="str">
        <f aca="false">$C$427</f>
        <v>mch</v>
      </c>
      <c r="D449" s="18" t="s">
        <v>54</v>
      </c>
      <c r="E449" s="19" t="s">
        <v>55</v>
      </c>
      <c r="F449" s="17" t="s">
        <v>79</v>
      </c>
      <c r="G449" s="20" t="str">
        <f aca="false">Settings!$B$3&amp;".mit.shp."&amp;$B449&amp;"."&amp;Settings!$B$4&amp;"."&amp;$J$427</f>
        <v>egy.mit.shp.coa.ind.2</v>
      </c>
      <c r="H449" s="21" t="str">
        <f aca="false">Settings!$B$3&amp;".mit.shp."&amp;$C$427&amp;"."&amp;$B449&amp;".e."&amp;$J$427</f>
        <v>egy.mit.shp.mch.coa.e.2</v>
      </c>
      <c r="K449" s="23" t="n">
        <f aca="false">K439+INDEX(Data_Prices!K:K,MATCH($G449,Data_Prices!$A:$A,0))*K$460</f>
        <v>11.1829015892439</v>
      </c>
      <c r="L449" s="23" t="n">
        <f aca="false">L439+INDEX(Data_Prices!L:L,MATCH($G449,Data_Prices!$A:$A,0))*L$460</f>
        <v>10.5233613454312</v>
      </c>
      <c r="M449" s="23" t="n">
        <f aca="false">M439+INDEX(Data_Prices!M:M,MATCH($G449,Data_Prices!$A:$A,0))*M$460</f>
        <v>10.2995608274442</v>
      </c>
      <c r="N449" s="23" t="n">
        <f aca="false">N439+INDEX(Data_Prices!N:N,MATCH($G449,Data_Prices!$A:$A,0))*N$460</f>
        <v>9.57752835953826</v>
      </c>
      <c r="O449" s="23" t="n">
        <f aca="false">O439+INDEX(Data_Prices!O:O,MATCH($G449,Data_Prices!$A:$A,0))*O$460</f>
        <v>8.48547828695805</v>
      </c>
      <c r="P449" s="23" t="n">
        <f aca="false">P439+INDEX(Data_Prices!P:P,MATCH($G449,Data_Prices!$A:$A,0))*P$460</f>
        <v>9.08719223524986</v>
      </c>
      <c r="Q449" s="23" t="n">
        <f aca="false">Q439+INDEX(Data_Prices!Q:Q,MATCH($G449,Data_Prices!$A:$A,0))*Q$460</f>
        <v>10.4729237289327</v>
      </c>
      <c r="R449" s="23" t="n">
        <f aca="false">R439+INDEX(Data_Prices!R:R,MATCH($G449,Data_Prices!$A:$A,0))*R$460</f>
        <v>11.6585649555097</v>
      </c>
      <c r="S449" s="23" t="n">
        <f aca="false">S439+INDEX(Data_Prices!S:S,MATCH($G449,Data_Prices!$A:$A,0))*S$460</f>
        <v>12.8395478773974</v>
      </c>
      <c r="T449" s="23" t="n">
        <f aca="false">T439+INDEX(Data_Prices!T:T,MATCH($G449,Data_Prices!$A:$A,0))*T$460</f>
        <v>14.0156816660228</v>
      </c>
      <c r="U449" s="23" t="n">
        <f aca="false">U439+INDEX(Data_Prices!U:U,MATCH($G449,Data_Prices!$A:$A,0))*U$460</f>
        <v>15.1943977655571</v>
      </c>
      <c r="V449" s="23" t="n">
        <f aca="false">V439+INDEX(Data_Prices!V:V,MATCH($G449,Data_Prices!$A:$A,0))*V$460</f>
        <v>16.4443977655571</v>
      </c>
      <c r="W449" s="23" t="n">
        <f aca="false">W439+INDEX(Data_Prices!W:W,MATCH($G449,Data_Prices!$A:$A,0))*W$460</f>
        <v>17.6943977655571</v>
      </c>
      <c r="X449" s="23" t="n">
        <f aca="false">X439+INDEX(Data_Prices!X:X,MATCH($G449,Data_Prices!$A:$A,0))*X$460</f>
        <v>18.9443977655571</v>
      </c>
      <c r="Y449" s="23" t="n">
        <f aca="false">Y439+INDEX(Data_Prices!Y:Y,MATCH($G449,Data_Prices!$A:$A,0))*Y$460</f>
        <v>20.1943977655571</v>
      </c>
      <c r="Z449" s="23" t="n">
        <f aca="false">Z439+INDEX(Data_Prices!Z:Z,MATCH($G449,Data_Prices!$A:$A,0))*Z$460</f>
        <v>21.4443977655571</v>
      </c>
      <c r="AA449" s="23" t="n">
        <f aca="false">AA439+INDEX(Data_Prices!AA:AA,MATCH($G449,Data_Prices!$A:$A,0))*AA$460</f>
        <v>22.6943977655571</v>
      </c>
      <c r="AB449" s="23" t="n">
        <f aca="false">AB439+INDEX(Data_Prices!AB:AB,MATCH($G449,Data_Prices!$A:$A,0))*AB$460</f>
        <v>23.9443977655571</v>
      </c>
      <c r="AC449" s="23" t="n">
        <f aca="false">AC439+INDEX(Data_Prices!AC:AC,MATCH($G449,Data_Prices!$A:$A,0))*AC$460</f>
        <v>25.1943977655571</v>
      </c>
      <c r="AD449" s="23" t="n">
        <f aca="false">AD439+INDEX(Data_Prices!AD:AD,MATCH($G449,Data_Prices!$A:$A,0))*AD$460</f>
        <v>26.4443977655571</v>
      </c>
      <c r="AE449" s="23" t="n">
        <f aca="false">AE439+INDEX(Data_Prices!AE:AE,MATCH($G449,Data_Prices!$A:$A,0))*AE$460</f>
        <v>27.6943977655571</v>
      </c>
    </row>
    <row r="450" customFormat="false" ht="15" hidden="false" customHeight="false" outlineLevel="0" collapsed="false">
      <c r="B450" s="17" t="s">
        <v>57</v>
      </c>
      <c r="C450" s="17" t="str">
        <f aca="false">$C$427</f>
        <v>mch</v>
      </c>
      <c r="D450" s="18" t="s">
        <v>58</v>
      </c>
      <c r="E450" s="19" t="s">
        <v>55</v>
      </c>
      <c r="F450" s="17" t="s">
        <v>79</v>
      </c>
      <c r="G450" s="20" t="str">
        <f aca="false">Settings!$B$3&amp;".mit.shp."&amp;$B450&amp;"."&amp;Settings!$B$4&amp;"."&amp;$J$427</f>
        <v>egy.mit.shp.nga.ind.2</v>
      </c>
      <c r="H450" s="21" t="str">
        <f aca="false">Settings!$B$3&amp;".mit.shp."&amp;$C$427&amp;"."&amp;$B450&amp;".e."&amp;$J$427</f>
        <v>egy.mit.shp.mch.nga.e.2</v>
      </c>
      <c r="K450" s="23" t="n">
        <f aca="false">K440+INDEX(Data_Prices!K:K,MATCH($G450,Data_Prices!$A:$A,0))*K$460</f>
        <v>6.06346361567291</v>
      </c>
      <c r="L450" s="23" t="n">
        <f aca="false">L440+INDEX(Data_Prices!L:L,MATCH($G450,Data_Prices!$A:$A,0))*L$460</f>
        <v>5.45101508161919</v>
      </c>
      <c r="M450" s="23" t="n">
        <f aca="false">M440+INDEX(Data_Prices!M:M,MATCH($G450,Data_Prices!$A:$A,0))*M$460</f>
        <v>5.11935630626248</v>
      </c>
      <c r="N450" s="23" t="n">
        <f aca="false">N440+INDEX(Data_Prices!N:N,MATCH($G450,Data_Prices!$A:$A,0))*N$460</f>
        <v>5.08218458640407</v>
      </c>
      <c r="O450" s="23" t="n">
        <f aca="false">O440+INDEX(Data_Prices!O:O,MATCH($G450,Data_Prices!$A:$A,0))*O$460</f>
        <v>5.08218458640407</v>
      </c>
      <c r="P450" s="23" t="n">
        <f aca="false">P440+INDEX(Data_Prices!P:P,MATCH($G450,Data_Prices!$A:$A,0))*P$460</f>
        <v>5.08218458640407</v>
      </c>
      <c r="Q450" s="23" t="n">
        <f aca="false">Q440+INDEX(Data_Prices!Q:Q,MATCH($G450,Data_Prices!$A:$A,0))*Q$460</f>
        <v>5.77968458640407</v>
      </c>
      <c r="R450" s="23" t="n">
        <f aca="false">R440+INDEX(Data_Prices!R:R,MATCH($G450,Data_Prices!$A:$A,0))*R$460</f>
        <v>6.47718458640407</v>
      </c>
      <c r="S450" s="23" t="n">
        <f aca="false">S440+INDEX(Data_Prices!S:S,MATCH($G450,Data_Prices!$A:$A,0))*S$460</f>
        <v>7.17468458640407</v>
      </c>
      <c r="T450" s="23" t="n">
        <f aca="false">T440+INDEX(Data_Prices!T:T,MATCH($G450,Data_Prices!$A:$A,0))*T$460</f>
        <v>7.87218458640407</v>
      </c>
      <c r="U450" s="23" t="n">
        <f aca="false">U440+INDEX(Data_Prices!U:U,MATCH($G450,Data_Prices!$A:$A,0))*U$460</f>
        <v>8.56968458640407</v>
      </c>
      <c r="V450" s="23" t="n">
        <f aca="false">V440+INDEX(Data_Prices!V:V,MATCH($G450,Data_Prices!$A:$A,0))*V$460</f>
        <v>9.26718458640407</v>
      </c>
      <c r="W450" s="23" t="n">
        <f aca="false">W440+INDEX(Data_Prices!W:W,MATCH($G450,Data_Prices!$A:$A,0))*W$460</f>
        <v>9.96468458640407</v>
      </c>
      <c r="X450" s="23" t="n">
        <f aca="false">X440+INDEX(Data_Prices!X:X,MATCH($G450,Data_Prices!$A:$A,0))*X$460</f>
        <v>10.6621845864041</v>
      </c>
      <c r="Y450" s="23" t="n">
        <f aca="false">Y440+INDEX(Data_Prices!Y:Y,MATCH($G450,Data_Prices!$A:$A,0))*Y$460</f>
        <v>11.3596845864041</v>
      </c>
      <c r="Z450" s="23" t="n">
        <f aca="false">Z440+INDEX(Data_Prices!Z:Z,MATCH($G450,Data_Prices!$A:$A,0))*Z$460</f>
        <v>12.0571845864041</v>
      </c>
      <c r="AA450" s="23" t="n">
        <f aca="false">AA440+INDEX(Data_Prices!AA:AA,MATCH($G450,Data_Prices!$A:$A,0))*AA$460</f>
        <v>12.7546845864041</v>
      </c>
      <c r="AB450" s="23" t="n">
        <f aca="false">AB440+INDEX(Data_Prices!AB:AB,MATCH($G450,Data_Prices!$A:$A,0))*AB$460</f>
        <v>13.4521845864041</v>
      </c>
      <c r="AC450" s="23" t="n">
        <f aca="false">AC440+INDEX(Data_Prices!AC:AC,MATCH($G450,Data_Prices!$A:$A,0))*AC$460</f>
        <v>14.1496845864041</v>
      </c>
      <c r="AD450" s="23" t="n">
        <f aca="false">AD440+INDEX(Data_Prices!AD:AD,MATCH($G450,Data_Prices!$A:$A,0))*AD$460</f>
        <v>14.8471845864041</v>
      </c>
      <c r="AE450" s="23" t="n">
        <f aca="false">AE440+INDEX(Data_Prices!AE:AE,MATCH($G450,Data_Prices!$A:$A,0))*AE$460</f>
        <v>15.5446845864041</v>
      </c>
    </row>
    <row r="451" customFormat="false" ht="15" hidden="false" customHeight="false" outlineLevel="0" collapsed="false">
      <c r="B451" s="17" t="s">
        <v>59</v>
      </c>
      <c r="C451" s="17" t="str">
        <f aca="false">$C$427</f>
        <v>mch</v>
      </c>
      <c r="D451" s="18" t="s">
        <v>60</v>
      </c>
      <c r="E451" s="19" t="s">
        <v>61</v>
      </c>
      <c r="F451" s="17" t="s">
        <v>79</v>
      </c>
      <c r="G451" s="20" t="str">
        <f aca="false">Settings!$B$3&amp;".mit.shp."&amp;$B451&amp;"."&amp;Settings!$B$4&amp;"."&amp;$J$427</f>
        <v>egy.mit.shp.gso.ind.2</v>
      </c>
      <c r="H451" s="21" t="str">
        <f aca="false">Settings!$B$3&amp;".mit.shp."&amp;$C$427&amp;"."&amp;$B451&amp;".e."&amp;$J$427</f>
        <v>egy.mit.shp.mch.gso.e.2</v>
      </c>
      <c r="K451" s="23" t="n">
        <f aca="false">K441+INDEX(Data_Prices!K:K,MATCH($G451,Data_Prices!$A:$A,0))*K$460</f>
        <v>0.671146533321816</v>
      </c>
      <c r="L451" s="23" t="n">
        <f aca="false">L441+INDEX(Data_Prices!L:L,MATCH($G451,Data_Prices!$A:$A,0))*L$460</f>
        <v>0.611977976791406</v>
      </c>
      <c r="M451" s="23" t="n">
        <f aca="false">M441+INDEX(Data_Prices!M:M,MATCH($G451,Data_Prices!$A:$A,0))*M$460</f>
        <v>0.611809749641876</v>
      </c>
      <c r="N451" s="23" t="n">
        <f aca="false">N441+INDEX(Data_Prices!N:N,MATCH($G451,Data_Prices!$A:$A,0))*N$460</f>
        <v>0.603583100177906</v>
      </c>
      <c r="O451" s="23" t="n">
        <f aca="false">O441+INDEX(Data_Prices!O:O,MATCH($G451,Data_Prices!$A:$A,0))*O$460</f>
        <v>0.603583100177906</v>
      </c>
      <c r="P451" s="23" t="n">
        <f aca="false">P441+INDEX(Data_Prices!P:P,MATCH($G451,Data_Prices!$A:$A,0))*P$460</f>
        <v>0.603583100177906</v>
      </c>
      <c r="Q451" s="23" t="n">
        <f aca="false">Q441+INDEX(Data_Prices!Q:Q,MATCH($G451,Data_Prices!$A:$A,0))*Q$460</f>
        <v>0.632510943349406</v>
      </c>
      <c r="R451" s="23" t="n">
        <f aca="false">R441+INDEX(Data_Prices!R:R,MATCH($G451,Data_Prices!$A:$A,0))*R$460</f>
        <v>0.661438786520906</v>
      </c>
      <c r="S451" s="23" t="n">
        <f aca="false">S441+INDEX(Data_Prices!S:S,MATCH($G451,Data_Prices!$A:$A,0))*S$460</f>
        <v>0.690366629692406</v>
      </c>
      <c r="T451" s="23" t="n">
        <f aca="false">T441+INDEX(Data_Prices!T:T,MATCH($G451,Data_Prices!$A:$A,0))*T$460</f>
        <v>0.719294472863906</v>
      </c>
      <c r="U451" s="23" t="n">
        <f aca="false">U441+INDEX(Data_Prices!U:U,MATCH($G451,Data_Prices!$A:$A,0))*U$460</f>
        <v>0.748222316035406</v>
      </c>
      <c r="V451" s="23" t="n">
        <f aca="false">V441+INDEX(Data_Prices!V:V,MATCH($G451,Data_Prices!$A:$A,0))*V$460</f>
        <v>0.777150159206905</v>
      </c>
      <c r="W451" s="23" t="n">
        <f aca="false">W441+INDEX(Data_Prices!W:W,MATCH($G451,Data_Prices!$A:$A,0))*W$460</f>
        <v>0.806078002378406</v>
      </c>
      <c r="X451" s="23" t="n">
        <f aca="false">X441+INDEX(Data_Prices!X:X,MATCH($G451,Data_Prices!$A:$A,0))*X$460</f>
        <v>0.835005845549906</v>
      </c>
      <c r="Y451" s="23" t="n">
        <f aca="false">Y441+INDEX(Data_Prices!Y:Y,MATCH($G451,Data_Prices!$A:$A,0))*Y$460</f>
        <v>0.863933688721406</v>
      </c>
      <c r="Z451" s="23" t="n">
        <f aca="false">Z441+INDEX(Data_Prices!Z:Z,MATCH($G451,Data_Prices!$A:$A,0))*Z$460</f>
        <v>0.892861531892906</v>
      </c>
      <c r="AA451" s="23" t="n">
        <f aca="false">AA441+INDEX(Data_Prices!AA:AA,MATCH($G451,Data_Prices!$A:$A,0))*AA$460</f>
        <v>0.921789375064406</v>
      </c>
      <c r="AB451" s="23" t="n">
        <f aca="false">AB441+INDEX(Data_Prices!AB:AB,MATCH($G451,Data_Prices!$A:$A,0))*AB$460</f>
        <v>0.950717218235906</v>
      </c>
      <c r="AC451" s="23" t="n">
        <f aca="false">AC441+INDEX(Data_Prices!AC:AC,MATCH($G451,Data_Prices!$A:$A,0))*AC$460</f>
        <v>0.979645061407406</v>
      </c>
      <c r="AD451" s="23" t="n">
        <f aca="false">AD441+INDEX(Data_Prices!AD:AD,MATCH($G451,Data_Prices!$A:$A,0))*AD$460</f>
        <v>1.00857290457891</v>
      </c>
      <c r="AE451" s="23" t="n">
        <f aca="false">AE441+INDEX(Data_Prices!AE:AE,MATCH($G451,Data_Prices!$A:$A,0))*AE$460</f>
        <v>1.03750074775041</v>
      </c>
    </row>
    <row r="452" customFormat="false" ht="15" hidden="false" customHeight="false" outlineLevel="0" collapsed="false">
      <c r="B452" s="17" t="s">
        <v>62</v>
      </c>
      <c r="C452" s="17" t="str">
        <f aca="false">$C$427</f>
        <v>mch</v>
      </c>
      <c r="D452" s="18" t="s">
        <v>63</v>
      </c>
      <c r="E452" s="19" t="s">
        <v>61</v>
      </c>
      <c r="F452" s="17" t="s">
        <v>79</v>
      </c>
      <c r="G452" s="20" t="str">
        <f aca="false">Settings!$B$3&amp;".mit.shp."&amp;$B452&amp;"."&amp;Settings!$B$4&amp;"."&amp;$J$427</f>
        <v>egy.mit.shp.die.ind.2</v>
      </c>
      <c r="H452" s="21" t="str">
        <f aca="false">Settings!$B$3&amp;".mit.shp."&amp;$C$427&amp;"."&amp;$B452&amp;".e."&amp;$J$427</f>
        <v>egy.mit.shp.mch.die.e.2</v>
      </c>
      <c r="K452" s="23" t="n">
        <f aca="false">K442+INDEX(Data_Prices!K:K,MATCH($G452,Data_Prices!$A:$A,0))*K$460</f>
        <v>0.559711213155688</v>
      </c>
      <c r="L452" s="23" t="n">
        <f aca="false">L442+INDEX(Data_Prices!L:L,MATCH($G452,Data_Prices!$A:$A,0))*L$460</f>
        <v>0.494588730841068</v>
      </c>
      <c r="M452" s="23" t="n">
        <f aca="false">M442+INDEX(Data_Prices!M:M,MATCH($G452,Data_Prices!$A:$A,0))*M$460</f>
        <v>0.507786547202501</v>
      </c>
      <c r="N452" s="23" t="n">
        <f aca="false">N442+INDEX(Data_Prices!N:N,MATCH($G452,Data_Prices!$A:$A,0))*N$460</f>
        <v>0.470436426795617</v>
      </c>
      <c r="O452" s="23" t="n">
        <f aca="false">O442+INDEX(Data_Prices!O:O,MATCH($G452,Data_Prices!$A:$A,0))*O$460</f>
        <v>0.470436426795617</v>
      </c>
      <c r="P452" s="23" t="n">
        <f aca="false">P442+INDEX(Data_Prices!P:P,MATCH($G452,Data_Prices!$A:$A,0))*P$460</f>
        <v>0.470436426795617</v>
      </c>
      <c r="Q452" s="23" t="n">
        <f aca="false">Q442+INDEX(Data_Prices!Q:Q,MATCH($G452,Data_Prices!$A:$A,0))*Q$460</f>
        <v>0.503446865654492</v>
      </c>
      <c r="R452" s="23" t="n">
        <f aca="false">R442+INDEX(Data_Prices!R:R,MATCH($G452,Data_Prices!$A:$A,0))*R$460</f>
        <v>0.536457304513367</v>
      </c>
      <c r="S452" s="23" t="n">
        <f aca="false">S442+INDEX(Data_Prices!S:S,MATCH($G452,Data_Prices!$A:$A,0))*S$460</f>
        <v>0.569467743372243</v>
      </c>
      <c r="T452" s="23" t="n">
        <f aca="false">T442+INDEX(Data_Prices!T:T,MATCH($G452,Data_Prices!$A:$A,0))*T$460</f>
        <v>0.602478182231117</v>
      </c>
      <c r="U452" s="23" t="n">
        <f aca="false">U442+INDEX(Data_Prices!U:U,MATCH($G452,Data_Prices!$A:$A,0))*U$460</f>
        <v>0.635488621089992</v>
      </c>
      <c r="V452" s="23" t="n">
        <f aca="false">V442+INDEX(Data_Prices!V:V,MATCH($G452,Data_Prices!$A:$A,0))*V$460</f>
        <v>0.668499059948867</v>
      </c>
      <c r="W452" s="23" t="n">
        <f aca="false">W442+INDEX(Data_Prices!W:W,MATCH($G452,Data_Prices!$A:$A,0))*W$460</f>
        <v>0.701509498807742</v>
      </c>
      <c r="X452" s="23" t="n">
        <f aca="false">X442+INDEX(Data_Prices!X:X,MATCH($G452,Data_Prices!$A:$A,0))*X$460</f>
        <v>0.734519937666617</v>
      </c>
      <c r="Y452" s="23" t="n">
        <f aca="false">Y442+INDEX(Data_Prices!Y:Y,MATCH($G452,Data_Prices!$A:$A,0))*Y$460</f>
        <v>0.767530376525492</v>
      </c>
      <c r="Z452" s="23" t="n">
        <f aca="false">Z442+INDEX(Data_Prices!Z:Z,MATCH($G452,Data_Prices!$A:$A,0))*Z$460</f>
        <v>0.800540815384367</v>
      </c>
      <c r="AA452" s="23" t="n">
        <f aca="false">AA442+INDEX(Data_Prices!AA:AA,MATCH($G452,Data_Prices!$A:$A,0))*AA$460</f>
        <v>0.833551254243242</v>
      </c>
      <c r="AB452" s="23" t="n">
        <f aca="false">AB442+INDEX(Data_Prices!AB:AB,MATCH($G452,Data_Prices!$A:$A,0))*AB$460</f>
        <v>0.866561693102117</v>
      </c>
      <c r="AC452" s="23" t="n">
        <f aca="false">AC442+INDEX(Data_Prices!AC:AC,MATCH($G452,Data_Prices!$A:$A,0))*AC$460</f>
        <v>0.899572131960992</v>
      </c>
      <c r="AD452" s="23" t="n">
        <f aca="false">AD442+INDEX(Data_Prices!AD:AD,MATCH($G452,Data_Prices!$A:$A,0))*AD$460</f>
        <v>0.932582570819867</v>
      </c>
      <c r="AE452" s="23" t="n">
        <f aca="false">AE442+INDEX(Data_Prices!AE:AE,MATCH($G452,Data_Prices!$A:$A,0))*AE$460</f>
        <v>0.965593009678742</v>
      </c>
    </row>
    <row r="453" customFormat="false" ht="15" hidden="false" customHeight="false" outlineLevel="0" collapsed="false">
      <c r="B453" s="17" t="s">
        <v>64</v>
      </c>
      <c r="C453" s="17" t="str">
        <f aca="false">$C$427</f>
        <v>mch</v>
      </c>
      <c r="D453" s="18" t="s">
        <v>65</v>
      </c>
      <c r="E453" s="19" t="s">
        <v>61</v>
      </c>
      <c r="F453" s="17" t="s">
        <v>79</v>
      </c>
      <c r="G453" s="20" t="str">
        <f aca="false">Settings!$B$3&amp;".mit.shp."&amp;$B453&amp;"."&amp;Settings!$B$4&amp;"."&amp;$J$427</f>
        <v>egy.mit.shp.lpg.ind.2</v>
      </c>
      <c r="H453" s="21" t="str">
        <f aca="false">Settings!$B$3&amp;".mit.shp."&amp;$C$427&amp;"."&amp;$B453&amp;".e."&amp;$J$427</f>
        <v>egy.mit.shp.mch.lpg.e.2</v>
      </c>
      <c r="K453" s="23" t="n">
        <f aca="false">K443+INDEX(Data_Prices!K:K,MATCH($G453,Data_Prices!$A:$A,0))*K$460</f>
        <v>0.200366691126738</v>
      </c>
      <c r="L453" s="23" t="n">
        <f aca="false">L443+INDEX(Data_Prices!L:L,MATCH($G453,Data_Prices!$A:$A,0))*L$460</f>
        <v>0.157344736252274</v>
      </c>
      <c r="M453" s="23" t="n">
        <f aca="false">M443+INDEX(Data_Prices!M:M,MATCH($G453,Data_Prices!$A:$A,0))*M$460</f>
        <v>0.164484037759277</v>
      </c>
      <c r="N453" s="23" t="n">
        <f aca="false">N443+INDEX(Data_Prices!N:N,MATCH($G453,Data_Prices!$A:$A,0))*N$460</f>
        <v>0.150709077807049</v>
      </c>
      <c r="O453" s="23" t="n">
        <f aca="false">O443+INDEX(Data_Prices!O:O,MATCH($G453,Data_Prices!$A:$A,0))*O$460</f>
        <v>0.150709077807049</v>
      </c>
      <c r="P453" s="23" t="n">
        <f aca="false">P443+INDEX(Data_Prices!P:P,MATCH($G453,Data_Prices!$A:$A,0))*P$460</f>
        <v>0.150709077807049</v>
      </c>
      <c r="Q453" s="23" t="n">
        <f aca="false">Q443+INDEX(Data_Prices!Q:Q,MATCH($G453,Data_Prices!$A:$A,0))*Q$460</f>
        <v>0.172815160734345</v>
      </c>
      <c r="R453" s="23" t="n">
        <f aca="false">R443+INDEX(Data_Prices!R:R,MATCH($G453,Data_Prices!$A:$A,0))*R$460</f>
        <v>0.19492124366164</v>
      </c>
      <c r="S453" s="23" t="n">
        <f aca="false">S443+INDEX(Data_Prices!S:S,MATCH($G453,Data_Prices!$A:$A,0))*S$460</f>
        <v>0.217027326588936</v>
      </c>
      <c r="T453" s="23" t="n">
        <f aca="false">T443+INDEX(Data_Prices!T:T,MATCH($G453,Data_Prices!$A:$A,0))*T$460</f>
        <v>0.239133409516232</v>
      </c>
      <c r="U453" s="23" t="n">
        <f aca="false">U443+INDEX(Data_Prices!U:U,MATCH($G453,Data_Prices!$A:$A,0))*U$460</f>
        <v>0.261239492443527</v>
      </c>
      <c r="V453" s="23" t="n">
        <f aca="false">V443+INDEX(Data_Prices!V:V,MATCH($G453,Data_Prices!$A:$A,0))*V$460</f>
        <v>0.283345575370823</v>
      </c>
      <c r="W453" s="23" t="n">
        <f aca="false">W443+INDEX(Data_Prices!W:W,MATCH($G453,Data_Prices!$A:$A,0))*W$460</f>
        <v>0.305451658298119</v>
      </c>
      <c r="X453" s="23" t="n">
        <f aca="false">X443+INDEX(Data_Prices!X:X,MATCH($G453,Data_Prices!$A:$A,0))*X$460</f>
        <v>0.327557741225415</v>
      </c>
      <c r="Y453" s="23" t="n">
        <f aca="false">Y443+INDEX(Data_Prices!Y:Y,MATCH($G453,Data_Prices!$A:$A,0))*Y$460</f>
        <v>0.34966382415271</v>
      </c>
      <c r="Z453" s="23" t="n">
        <f aca="false">Z443+INDEX(Data_Prices!Z:Z,MATCH($G453,Data_Prices!$A:$A,0))*Z$460</f>
        <v>0.371769907080006</v>
      </c>
      <c r="AA453" s="23" t="n">
        <f aca="false">AA443+INDEX(Data_Prices!AA:AA,MATCH($G453,Data_Prices!$A:$A,0))*AA$460</f>
        <v>0.393875990007302</v>
      </c>
      <c r="AB453" s="23" t="n">
        <f aca="false">AB443+INDEX(Data_Prices!AB:AB,MATCH($G453,Data_Prices!$A:$A,0))*AB$460</f>
        <v>0.415982072934597</v>
      </c>
      <c r="AC453" s="23" t="n">
        <f aca="false">AC443+INDEX(Data_Prices!AC:AC,MATCH($G453,Data_Prices!$A:$A,0))*AC$460</f>
        <v>0.438088155861893</v>
      </c>
      <c r="AD453" s="23" t="n">
        <f aca="false">AD443+INDEX(Data_Prices!AD:AD,MATCH($G453,Data_Prices!$A:$A,0))*AD$460</f>
        <v>0.460194238789189</v>
      </c>
      <c r="AE453" s="23" t="n">
        <f aca="false">AE443+INDEX(Data_Prices!AE:AE,MATCH($G453,Data_Prices!$A:$A,0))*AE$460</f>
        <v>0.482300321716484</v>
      </c>
    </row>
    <row r="454" customFormat="false" ht="15" hidden="false" customHeight="false" outlineLevel="0" collapsed="false">
      <c r="B454" s="17" t="s">
        <v>66</v>
      </c>
      <c r="C454" s="17" t="str">
        <f aca="false">$C$427</f>
        <v>mch</v>
      </c>
      <c r="D454" s="18" t="s">
        <v>67</v>
      </c>
      <c r="E454" s="19" t="s">
        <v>61</v>
      </c>
      <c r="F454" s="17" t="s">
        <v>79</v>
      </c>
      <c r="G454" s="20" t="str">
        <f aca="false">Settings!$B$3&amp;".mit.shp."&amp;$B454&amp;"."&amp;Settings!$B$4&amp;"."&amp;$J$427</f>
        <v>egy.mit.shp.ker.ind.2</v>
      </c>
      <c r="H454" s="21" t="str">
        <f aca="false">Settings!$B$3&amp;".mit.shp."&amp;$C$427&amp;"."&amp;$B454&amp;".e."&amp;$J$427</f>
        <v>egy.mit.shp.mch.ker.e.2</v>
      </c>
      <c r="K454" s="23" t="n">
        <f aca="false">K444+INDEX(Data_Prices!K:K,MATCH($G454,Data_Prices!$A:$A,0))*K$460</f>
        <v>0.484294240973435</v>
      </c>
      <c r="L454" s="23" t="n">
        <f aca="false">L444+INDEX(Data_Prices!L:L,MATCH($G454,Data_Prices!$A:$A,0))*L$460</f>
        <v>0.456428170500128</v>
      </c>
      <c r="M454" s="23" t="n">
        <f aca="false">M444+INDEX(Data_Prices!M:M,MATCH($G454,Data_Prices!$A:$A,0))*M$460</f>
        <v>0.431689201955995</v>
      </c>
      <c r="N454" s="23" t="n">
        <f aca="false">N444+INDEX(Data_Prices!N:N,MATCH($G454,Data_Prices!$A:$A,0))*N$460</f>
        <v>0.42507558395597</v>
      </c>
      <c r="O454" s="23" t="n">
        <f aca="false">O444+INDEX(Data_Prices!O:O,MATCH($G454,Data_Prices!$A:$A,0))*O$460</f>
        <v>0.42507558395597</v>
      </c>
      <c r="P454" s="23" t="n">
        <f aca="false">P444+INDEX(Data_Prices!P:P,MATCH($G454,Data_Prices!$A:$A,0))*P$460</f>
        <v>0.42507558395597</v>
      </c>
      <c r="Q454" s="23" t="n">
        <f aca="false">Q444+INDEX(Data_Prices!Q:Q,MATCH($G454,Data_Prices!$A:$A,0))*Q$460</f>
        <v>0.457064414066078</v>
      </c>
      <c r="R454" s="23" t="n">
        <f aca="false">R444+INDEX(Data_Prices!R:R,MATCH($G454,Data_Prices!$A:$A,0))*R$460</f>
        <v>0.489053244176187</v>
      </c>
      <c r="S454" s="23" t="n">
        <f aca="false">S444+INDEX(Data_Prices!S:S,MATCH($G454,Data_Prices!$A:$A,0))*S$460</f>
        <v>0.521042074286296</v>
      </c>
      <c r="T454" s="23" t="n">
        <f aca="false">T444+INDEX(Data_Prices!T:T,MATCH($G454,Data_Prices!$A:$A,0))*T$460</f>
        <v>0.553030904396404</v>
      </c>
      <c r="U454" s="23" t="n">
        <f aca="false">U444+INDEX(Data_Prices!U:U,MATCH($G454,Data_Prices!$A:$A,0))*U$460</f>
        <v>0.585019734506513</v>
      </c>
      <c r="V454" s="23" t="n">
        <f aca="false">V444+INDEX(Data_Prices!V:V,MATCH($G454,Data_Prices!$A:$A,0))*V$460</f>
        <v>0.617008564616621</v>
      </c>
      <c r="W454" s="23" t="n">
        <f aca="false">W444+INDEX(Data_Prices!W:W,MATCH($G454,Data_Prices!$A:$A,0))*W$460</f>
        <v>0.648997394726729</v>
      </c>
      <c r="X454" s="23" t="n">
        <f aca="false">X444+INDEX(Data_Prices!X:X,MATCH($G454,Data_Prices!$A:$A,0))*X$460</f>
        <v>0.680986224836838</v>
      </c>
      <c r="Y454" s="23" t="n">
        <f aca="false">Y444+INDEX(Data_Prices!Y:Y,MATCH($G454,Data_Prices!$A:$A,0))*Y$460</f>
        <v>0.712975054946947</v>
      </c>
      <c r="Z454" s="23" t="n">
        <f aca="false">Z444+INDEX(Data_Prices!Z:Z,MATCH($G454,Data_Prices!$A:$A,0))*Z$460</f>
        <v>0.744963885057055</v>
      </c>
      <c r="AA454" s="23" t="n">
        <f aca="false">AA444+INDEX(Data_Prices!AA:AA,MATCH($G454,Data_Prices!$A:$A,0))*AA$460</f>
        <v>0.776952715167163</v>
      </c>
      <c r="AB454" s="23" t="n">
        <f aca="false">AB444+INDEX(Data_Prices!AB:AB,MATCH($G454,Data_Prices!$A:$A,0))*AB$460</f>
        <v>0.808941545277272</v>
      </c>
      <c r="AC454" s="23" t="n">
        <f aca="false">AC444+INDEX(Data_Prices!AC:AC,MATCH($G454,Data_Prices!$A:$A,0))*AC$460</f>
        <v>0.84093037538738</v>
      </c>
      <c r="AD454" s="23" t="n">
        <f aca="false">AD444+INDEX(Data_Prices!AD:AD,MATCH($G454,Data_Prices!$A:$A,0))*AD$460</f>
        <v>0.872919205497489</v>
      </c>
      <c r="AE454" s="23" t="n">
        <f aca="false">AE444+INDEX(Data_Prices!AE:AE,MATCH($G454,Data_Prices!$A:$A,0))*AE$460</f>
        <v>0.904908035607597</v>
      </c>
    </row>
    <row r="455" customFormat="false" ht="15" hidden="false" customHeight="false" outlineLevel="0" collapsed="false">
      <c r="B455" s="17" t="s">
        <v>68</v>
      </c>
      <c r="C455" s="17" t="str">
        <f aca="false">$C$427</f>
        <v>mch</v>
      </c>
      <c r="D455" s="18" t="s">
        <v>69</v>
      </c>
      <c r="E455" s="19" t="s">
        <v>70</v>
      </c>
      <c r="F455" s="17" t="s">
        <v>79</v>
      </c>
      <c r="G455" s="20" t="str">
        <f aca="false">Settings!$B$3&amp;".mit.shp."&amp;$B455&amp;"."&amp;Settings!$B$4&amp;"."&amp;$J$427</f>
        <v>egy.mit.shp.oop.ind.2</v>
      </c>
      <c r="H455" s="21" t="str">
        <f aca="false">Settings!$B$3&amp;".mit.shp."&amp;$C$427&amp;"."&amp;$B455&amp;".e."&amp;$J$427</f>
        <v>egy.mit.shp.mch.oop.e.2</v>
      </c>
      <c r="K455" s="23" t="n">
        <f aca="false">K445+INDEX(Data_Prices!K:K,MATCH($G455,Data_Prices!$A:$A,0))*K$460</f>
        <v>41.5003384988684</v>
      </c>
      <c r="L455" s="23" t="n">
        <f aca="false">L445+INDEX(Data_Prices!L:L,MATCH($G455,Data_Prices!$A:$A,0))*L$460</f>
        <v>34.4153703043132</v>
      </c>
      <c r="M455" s="23" t="n">
        <f aca="false">M445+INDEX(Data_Prices!M:M,MATCH($G455,Data_Prices!$A:$A,0))*M$460</f>
        <v>37.368960690432</v>
      </c>
      <c r="N455" s="23" t="n">
        <f aca="false">N445+INDEX(Data_Prices!N:N,MATCH($G455,Data_Prices!$A:$A,0))*N$460</f>
        <v>28.9827611014773</v>
      </c>
      <c r="O455" s="23" t="n">
        <f aca="false">O445+INDEX(Data_Prices!O:O,MATCH($G455,Data_Prices!$A:$A,0))*O$460</f>
        <v>15</v>
      </c>
      <c r="P455" s="23" t="n">
        <f aca="false">P445+INDEX(Data_Prices!P:P,MATCH($G455,Data_Prices!$A:$A,0))*P$460</f>
        <v>24.2586300842555</v>
      </c>
      <c r="Q455" s="23" t="n">
        <f aca="false">Q445+INDEX(Data_Prices!Q:Q,MATCH($G455,Data_Prices!$A:$A,0))*Q$460</f>
        <v>18.9637581961325</v>
      </c>
      <c r="R455" s="23" t="n">
        <f aca="false">R445+INDEX(Data_Prices!R:R,MATCH($G455,Data_Prices!$A:$A,0))*R$460</f>
        <v>21.7603451140106</v>
      </c>
      <c r="S455" s="23" t="n">
        <f aca="false">S445+INDEX(Data_Prices!S:S,MATCH($G455,Data_Prices!$A:$A,0))*S$460</f>
        <v>26.0798806913736</v>
      </c>
      <c r="T455" s="23" t="n">
        <f aca="false">T445+INDEX(Data_Prices!T:T,MATCH($G455,Data_Prices!$A:$A,0))*T$460</f>
        <v>30.5936824452092</v>
      </c>
      <c r="U455" s="23" t="n">
        <f aca="false">U445+INDEX(Data_Prices!U:U,MATCH($G455,Data_Prices!$A:$A,0))*U$460</f>
        <v>34.9905097394101</v>
      </c>
      <c r="V455" s="23" t="n">
        <f aca="false">V445+INDEX(Data_Prices!V:V,MATCH($G455,Data_Prices!$A:$A,0))*V$460</f>
        <v>40.8580597394101</v>
      </c>
      <c r="W455" s="23" t="n">
        <f aca="false">W445+INDEX(Data_Prices!W:W,MATCH($G455,Data_Prices!$A:$A,0))*W$460</f>
        <v>46.7256097394101</v>
      </c>
      <c r="X455" s="23" t="n">
        <f aca="false">X445+INDEX(Data_Prices!X:X,MATCH($G455,Data_Prices!$A:$A,0))*X$460</f>
        <v>52.5931597394101</v>
      </c>
      <c r="Y455" s="23" t="n">
        <f aca="false">Y445+INDEX(Data_Prices!Y:Y,MATCH($G455,Data_Prices!$A:$A,0))*Y$460</f>
        <v>58.4607097394101</v>
      </c>
      <c r="Z455" s="23" t="n">
        <f aca="false">Z445+INDEX(Data_Prices!Z:Z,MATCH($G455,Data_Prices!$A:$A,0))*Z$460</f>
        <v>64.3282597394101</v>
      </c>
      <c r="AA455" s="23" t="n">
        <f aca="false">AA445+INDEX(Data_Prices!AA:AA,MATCH($G455,Data_Prices!$A:$A,0))*AA$460</f>
        <v>70.1958097394101</v>
      </c>
      <c r="AB455" s="23" t="n">
        <f aca="false">AB445+INDEX(Data_Prices!AB:AB,MATCH($G455,Data_Prices!$A:$A,0))*AB$460</f>
        <v>76.0633597394101</v>
      </c>
      <c r="AC455" s="23" t="n">
        <f aca="false">AC445+INDEX(Data_Prices!AC:AC,MATCH($G455,Data_Prices!$A:$A,0))*AC$460</f>
        <v>81.9309097394101</v>
      </c>
      <c r="AD455" s="23" t="n">
        <f aca="false">AD445+INDEX(Data_Prices!AD:AD,MATCH($G455,Data_Prices!$A:$A,0))*AD$460</f>
        <v>87.7984597394101</v>
      </c>
      <c r="AE455" s="23" t="n">
        <f aca="false">AE445+INDEX(Data_Prices!AE:AE,MATCH($G455,Data_Prices!$A:$A,0))*AE$460</f>
        <v>93.6660097394101</v>
      </c>
    </row>
    <row r="456" customFormat="false" ht="15" hidden="false" customHeight="false" outlineLevel="0" collapsed="false">
      <c r="B456" s="17" t="s">
        <v>71</v>
      </c>
      <c r="C456" s="17" t="str">
        <f aca="false">$C$427</f>
        <v>mch</v>
      </c>
      <c r="D456" s="18" t="s">
        <v>72</v>
      </c>
      <c r="E456" s="19" t="s">
        <v>55</v>
      </c>
      <c r="F456" s="17" t="s">
        <v>79</v>
      </c>
      <c r="G456" s="20" t="str">
        <f aca="false">Settings!$B$3&amp;".mit.shp."&amp;$B456&amp;"."&amp;Settings!$B$4&amp;"."&amp;$J$427</f>
        <v>egy.mit.shp.bio.ind.2</v>
      </c>
      <c r="H456" s="21" t="str">
        <f aca="false">Settings!$B$3&amp;".mit.shp."&amp;$C$427&amp;"."&amp;$B456&amp;".e."&amp;$J$427</f>
        <v>egy.mit.shp.mch.bio.e.2</v>
      </c>
      <c r="K456" s="23" t="n">
        <f aca="false">K446+INDEX(Data_Prices!K:K,MATCH($G456,Data_Prices!$A:$A,0))*K$460</f>
        <v>15.3345505293169</v>
      </c>
      <c r="L456" s="23" t="n">
        <f aca="false">L446+INDEX(Data_Prices!L:L,MATCH($G456,Data_Prices!$A:$A,0))*L$460</f>
        <v>14.1995283906349</v>
      </c>
      <c r="M456" s="23" t="n">
        <f aca="false">M446+INDEX(Data_Prices!M:M,MATCH($G456,Data_Prices!$A:$A,0))*M$460</f>
        <v>13.8404416133152</v>
      </c>
      <c r="N456" s="23" t="n">
        <f aca="false">N446+INDEX(Data_Prices!N:N,MATCH($G456,Data_Prices!$A:$A,0))*N$460</f>
        <v>13.5677269404465</v>
      </c>
      <c r="O456" s="23" t="n">
        <f aca="false">O446+INDEX(Data_Prices!O:O,MATCH($G456,Data_Prices!$A:$A,0))*O$460</f>
        <v>13.5677269404465</v>
      </c>
      <c r="P456" s="23" t="n">
        <f aca="false">P446+INDEX(Data_Prices!P:P,MATCH($G456,Data_Prices!$A:$A,0))*P$460</f>
        <v>13.5677269404465</v>
      </c>
      <c r="Q456" s="23" t="n">
        <f aca="false">Q446+INDEX(Data_Prices!Q:Q,MATCH($G456,Data_Prices!$A:$A,0))*Q$460</f>
        <v>13.5677269404465</v>
      </c>
      <c r="R456" s="23" t="n">
        <f aca="false">R446+INDEX(Data_Prices!R:R,MATCH($G456,Data_Prices!$A:$A,0))*R$460</f>
        <v>13.5677269404465</v>
      </c>
      <c r="S456" s="23" t="n">
        <f aca="false">S446+INDEX(Data_Prices!S:S,MATCH($G456,Data_Prices!$A:$A,0))*S$460</f>
        <v>13.5677269404465</v>
      </c>
      <c r="T456" s="23" t="n">
        <f aca="false">T446+INDEX(Data_Prices!T:T,MATCH($G456,Data_Prices!$A:$A,0))*T$460</f>
        <v>13.5677269404465</v>
      </c>
      <c r="U456" s="23" t="n">
        <f aca="false">U446+INDEX(Data_Prices!U:U,MATCH($G456,Data_Prices!$A:$A,0))*U$460</f>
        <v>13.5677269404465</v>
      </c>
      <c r="V456" s="23" t="n">
        <f aca="false">V446+INDEX(Data_Prices!V:V,MATCH($G456,Data_Prices!$A:$A,0))*V$460</f>
        <v>13.5677269404465</v>
      </c>
      <c r="W456" s="23" t="n">
        <f aca="false">W446+INDEX(Data_Prices!W:W,MATCH($G456,Data_Prices!$A:$A,0))*W$460</f>
        <v>13.5677269404465</v>
      </c>
      <c r="X456" s="23" t="n">
        <f aca="false">X446+INDEX(Data_Prices!X:X,MATCH($G456,Data_Prices!$A:$A,0))*X$460</f>
        <v>13.5677269404465</v>
      </c>
      <c r="Y456" s="23" t="n">
        <f aca="false">Y446+INDEX(Data_Prices!Y:Y,MATCH($G456,Data_Prices!$A:$A,0))*Y$460</f>
        <v>13.5677269404465</v>
      </c>
      <c r="Z456" s="23" t="n">
        <f aca="false">Z446+INDEX(Data_Prices!Z:Z,MATCH($G456,Data_Prices!$A:$A,0))*Z$460</f>
        <v>13.5677269404465</v>
      </c>
      <c r="AA456" s="23" t="n">
        <f aca="false">AA446+INDEX(Data_Prices!AA:AA,MATCH($G456,Data_Prices!$A:$A,0))*AA$460</f>
        <v>13.5677269404465</v>
      </c>
      <c r="AB456" s="23" t="n">
        <f aca="false">AB446+INDEX(Data_Prices!AB:AB,MATCH($G456,Data_Prices!$A:$A,0))*AB$460</f>
        <v>13.5677269404465</v>
      </c>
      <c r="AC456" s="23" t="n">
        <f aca="false">AC446+INDEX(Data_Prices!AC:AC,MATCH($G456,Data_Prices!$A:$A,0))*AC$460</f>
        <v>13.5677269404465</v>
      </c>
      <c r="AD456" s="23" t="n">
        <f aca="false">AD446+INDEX(Data_Prices!AD:AD,MATCH($G456,Data_Prices!$A:$A,0))*AD$460</f>
        <v>13.5677269404465</v>
      </c>
      <c r="AE456" s="23" t="n">
        <f aca="false">AE446+INDEX(Data_Prices!AE:AE,MATCH($G456,Data_Prices!$A:$A,0))*AE$460</f>
        <v>13.5677269404465</v>
      </c>
    </row>
    <row r="457" customFormat="false" ht="15" hidden="false" customHeight="false" outlineLevel="0" collapsed="false">
      <c r="B457" s="17" t="s">
        <v>73</v>
      </c>
      <c r="C457" s="17" t="str">
        <f aca="false">$C$427</f>
        <v>mch</v>
      </c>
      <c r="D457" s="18" t="s">
        <v>74</v>
      </c>
      <c r="E457" s="19" t="s">
        <v>75</v>
      </c>
      <c r="F457" s="17" t="s">
        <v>79</v>
      </c>
      <c r="G457" s="20" t="str">
        <f aca="false">Settings!$B$3&amp;".mit.shp."&amp;$B457&amp;"."&amp;Settings!$B$4&amp;"."&amp;$J$427</f>
        <v>egy.mit.shp.ren.ind.2</v>
      </c>
      <c r="H457" s="21" t="str">
        <f aca="false">Settings!$B$3&amp;".mit.shp."&amp;$C$427&amp;"."&amp;$B457&amp;".e."&amp;$J$427</f>
        <v>egy.mit.shp.mch.ren.e.2</v>
      </c>
      <c r="K457" s="23" t="n">
        <f aca="false">K447+INDEX(Data_Prices!K:K,MATCH($G457,Data_Prices!$A:$A,0))*K$460</f>
        <v>0</v>
      </c>
      <c r="L457" s="23" t="n">
        <f aca="false">L447+INDEX(Data_Prices!L:L,MATCH($G457,Data_Prices!$A:$A,0))*L$460</f>
        <v>0.144044986793198</v>
      </c>
      <c r="M457" s="23" t="n">
        <f aca="false">M447+INDEX(Data_Prices!M:M,MATCH($G457,Data_Prices!$A:$A,0))*M$460</f>
        <v>0.141386241751359</v>
      </c>
      <c r="N457" s="23" t="n">
        <f aca="false">N447+INDEX(Data_Prices!N:N,MATCH($G457,Data_Prices!$A:$A,0))*N$460</f>
        <v>0.135397565443731</v>
      </c>
      <c r="O457" s="23" t="n">
        <f aca="false">O447+INDEX(Data_Prices!O:O,MATCH($G457,Data_Prices!$A:$A,0))*O$460</f>
        <v>0.131522885420651</v>
      </c>
      <c r="P457" s="23" t="n">
        <f aca="false">P447+INDEX(Data_Prices!P:P,MATCH($G457,Data_Prices!$A:$A,0))*P$460</f>
        <v>0.128826108485231</v>
      </c>
      <c r="Q457" s="23" t="n">
        <f aca="false">Q447+INDEX(Data_Prices!Q:Q,MATCH($G457,Data_Prices!$A:$A,0))*Q$460</f>
        <v>0.12594200976474</v>
      </c>
      <c r="R457" s="23" t="n">
        <f aca="false">R447+INDEX(Data_Prices!R:R,MATCH($G457,Data_Prices!$A:$A,0))*R$460</f>
        <v>0.123113265701861</v>
      </c>
      <c r="S457" s="23" t="n">
        <f aca="false">S447+INDEX(Data_Prices!S:S,MATCH($G457,Data_Prices!$A:$A,0))*S$460</f>
        <v>0.119391738089068</v>
      </c>
      <c r="T457" s="23" t="n">
        <f aca="false">T447+INDEX(Data_Prices!T:T,MATCH($G457,Data_Prices!$A:$A,0))*T$460</f>
        <v>0.11554419046792</v>
      </c>
      <c r="U457" s="23" t="n">
        <f aca="false">U447+INDEX(Data_Prices!U:U,MATCH($G457,Data_Prices!$A:$A,0))*U$460</f>
        <v>0.114924230654159</v>
      </c>
      <c r="V457" s="23" t="n">
        <f aca="false">V447+INDEX(Data_Prices!V:V,MATCH($G457,Data_Prices!$A:$A,0))*V$460</f>
        <v>0.114346912116736</v>
      </c>
      <c r="W457" s="23" t="n">
        <f aca="false">W447+INDEX(Data_Prices!W:W,MATCH($G457,Data_Prices!$A:$A,0))*W$460</f>
        <v>0.113738711172664</v>
      </c>
      <c r="X457" s="23" t="n">
        <f aca="false">X447+INDEX(Data_Prices!X:X,MATCH($G457,Data_Prices!$A:$A,0))*X$460</f>
        <v>0.112999900487521</v>
      </c>
      <c r="Y457" s="23" t="n">
        <f aca="false">Y447+INDEX(Data_Prices!Y:Y,MATCH($G457,Data_Prices!$A:$A,0))*Y$460</f>
        <v>0.112177685835534</v>
      </c>
      <c r="Z457" s="23" t="n">
        <f aca="false">Z447+INDEX(Data_Prices!Z:Z,MATCH($G457,Data_Prices!$A:$A,0))*Z$460</f>
        <v>0.111417903250404</v>
      </c>
      <c r="AA457" s="23" t="n">
        <f aca="false">AA447+INDEX(Data_Prices!AA:AA,MATCH($G457,Data_Prices!$A:$A,0))*AA$460</f>
        <v>0.110525819985454</v>
      </c>
      <c r="AB457" s="23" t="n">
        <f aca="false">AB447+INDEX(Data_Prices!AB:AB,MATCH($G457,Data_Prices!$A:$A,0))*AB$460</f>
        <v>0.109699565234896</v>
      </c>
      <c r="AC457" s="23" t="n">
        <f aca="false">AC447+INDEX(Data_Prices!AC:AC,MATCH($G457,Data_Prices!$A:$A,0))*AC$460</f>
        <v>0.107726788963949</v>
      </c>
      <c r="AD457" s="23" t="n">
        <f aca="false">AD447+INDEX(Data_Prices!AD:AD,MATCH($G457,Data_Prices!$A:$A,0))*AD$460</f>
        <v>0.105820924450935</v>
      </c>
      <c r="AE457" s="23" t="n">
        <f aca="false">AE447+INDEX(Data_Prices!AE:AE,MATCH($G457,Data_Prices!$A:$A,0))*AE$460</f>
        <v>0.103855595705721</v>
      </c>
    </row>
    <row r="458" customFormat="false" ht="15" hidden="false" customHeight="false" outlineLevel="0" collapsed="false">
      <c r="B458" s="16" t="s">
        <v>80</v>
      </c>
    </row>
    <row r="459" customFormat="false" ht="15" hidden="false" customHeight="false" outlineLevel="0" collapsed="false">
      <c r="B459" s="17" t="s">
        <v>81</v>
      </c>
      <c r="C459" s="17" t="str">
        <f aca="false">$C$427</f>
        <v>mch</v>
      </c>
      <c r="D459" s="18" t="s">
        <v>82</v>
      </c>
      <c r="E459" s="19" t="s">
        <v>83</v>
      </c>
      <c r="F459" s="17" t="s">
        <v>84</v>
      </c>
      <c r="G459" s="20" t="str">
        <f aca="false">Settings!$B$3&amp;".mit.tcf."&amp;$C$427&amp;"."&amp;$J$427</f>
        <v>egy.mit.tcf.mch.2</v>
      </c>
      <c r="K459" s="23" t="n">
        <f aca="false">INDEX(Data_Prices!K:K,MATCH($G459,Data_Prices!$A:$A,0))</f>
        <v>0</v>
      </c>
      <c r="L459" s="23" t="n">
        <f aca="false">INDEX(Data_Prices!L:L,MATCH($G459,Data_Prices!$A:$A,0))</f>
        <v>0</v>
      </c>
      <c r="M459" s="23" t="n">
        <f aca="false">INDEX(Data_Prices!M:M,MATCH($G459,Data_Prices!$A:$A,0))</f>
        <v>0</v>
      </c>
      <c r="N459" s="23" t="n">
        <f aca="false">INDEX(Data_Prices!N:N,MATCH($G459,Data_Prices!$A:$A,0))</f>
        <v>0</v>
      </c>
      <c r="O459" s="23" t="n">
        <f aca="false">INDEX(Data_Prices!O:O,MATCH($G459,Data_Prices!$A:$A,0))</f>
        <v>0</v>
      </c>
      <c r="P459" s="23" t="n">
        <f aca="false">INDEX(Data_Prices!P:P,MATCH($G459,Data_Prices!$A:$A,0))</f>
        <v>1</v>
      </c>
      <c r="Q459" s="23" t="n">
        <f aca="false">INDEX(Data_Prices!Q:Q,MATCH($G459,Data_Prices!$A:$A,0))</f>
        <v>1</v>
      </c>
      <c r="R459" s="23" t="n">
        <f aca="false">INDEX(Data_Prices!R:R,MATCH($G459,Data_Prices!$A:$A,0))</f>
        <v>1</v>
      </c>
      <c r="S459" s="23" t="n">
        <f aca="false">INDEX(Data_Prices!S:S,MATCH($G459,Data_Prices!$A:$A,0))</f>
        <v>1</v>
      </c>
      <c r="T459" s="23" t="n">
        <f aca="false">INDEX(Data_Prices!T:T,MATCH($G459,Data_Prices!$A:$A,0))</f>
        <v>1</v>
      </c>
      <c r="U459" s="23" t="n">
        <f aca="false">INDEX(Data_Prices!U:U,MATCH($G459,Data_Prices!$A:$A,0))</f>
        <v>1</v>
      </c>
      <c r="V459" s="23" t="n">
        <f aca="false">INDEX(Data_Prices!V:V,MATCH($G459,Data_Prices!$A:$A,0))</f>
        <v>1</v>
      </c>
      <c r="W459" s="23" t="n">
        <f aca="false">INDEX(Data_Prices!W:W,MATCH($G459,Data_Prices!$A:$A,0))</f>
        <v>1</v>
      </c>
      <c r="X459" s="23" t="n">
        <f aca="false">INDEX(Data_Prices!X:X,MATCH($G459,Data_Prices!$A:$A,0))</f>
        <v>1</v>
      </c>
      <c r="Y459" s="23" t="n">
        <f aca="false">INDEX(Data_Prices!Y:Y,MATCH($G459,Data_Prices!$A:$A,0))</f>
        <v>1</v>
      </c>
      <c r="Z459" s="23" t="n">
        <f aca="false">INDEX(Data_Prices!Z:Z,MATCH($G459,Data_Prices!$A:$A,0))</f>
        <v>1</v>
      </c>
      <c r="AA459" s="23" t="n">
        <f aca="false">INDEX(Data_Prices!AA:AA,MATCH($G459,Data_Prices!$A:$A,0))</f>
        <v>1</v>
      </c>
      <c r="AB459" s="23" t="n">
        <f aca="false">INDEX(Data_Prices!AB:AB,MATCH($G459,Data_Prices!$A:$A,0))</f>
        <v>1</v>
      </c>
      <c r="AC459" s="23" t="n">
        <f aca="false">INDEX(Data_Prices!AC:AC,MATCH($G459,Data_Prices!$A:$A,0))</f>
        <v>1</v>
      </c>
      <c r="AD459" s="23" t="n">
        <f aca="false">INDEX(Data_Prices!AD:AD,MATCH($G459,Data_Prices!$A:$A,0))</f>
        <v>1</v>
      </c>
      <c r="AE459" s="23" t="n">
        <f aca="false">INDEX(Data_Prices!AE:AE,MATCH($G459,Data_Prices!$A:$A,0))</f>
        <v>1</v>
      </c>
    </row>
    <row r="460" customFormat="false" ht="15" hidden="false" customHeight="false" outlineLevel="0" collapsed="false">
      <c r="B460" s="17" t="s">
        <v>81</v>
      </c>
      <c r="C460" s="17" t="str">
        <f aca="false">$C$427</f>
        <v>mch</v>
      </c>
      <c r="D460" s="18" t="s">
        <v>85</v>
      </c>
      <c r="E460" s="19" t="s">
        <v>83</v>
      </c>
      <c r="F460" s="17" t="s">
        <v>86</v>
      </c>
      <c r="G460" s="20" t="str">
        <f aca="false">Settings!$B$3&amp;".mit.ssc."&amp;$C$427&amp;"."&amp;$J$427</f>
        <v>egy.mit.ssc.mch.2</v>
      </c>
      <c r="K460" s="23" t="n">
        <f aca="false">INDEX(Data_Prices!K:K,MATCH($G460,Data_Prices!$A:$A,0))</f>
        <v>0</v>
      </c>
      <c r="L460" s="23" t="n">
        <f aca="false">INDEX(Data_Prices!L:L,MATCH($G460,Data_Prices!$A:$A,0))</f>
        <v>0</v>
      </c>
      <c r="M460" s="23" t="n">
        <f aca="false">INDEX(Data_Prices!M:M,MATCH($G460,Data_Prices!$A:$A,0))</f>
        <v>0</v>
      </c>
      <c r="N460" s="23" t="n">
        <f aca="false">INDEX(Data_Prices!N:N,MATCH($G460,Data_Prices!$A:$A,0))</f>
        <v>0</v>
      </c>
      <c r="O460" s="23" t="n">
        <f aca="false">INDEX(Data_Prices!O:O,MATCH($G460,Data_Prices!$A:$A,0))</f>
        <v>0</v>
      </c>
      <c r="P460" s="23" t="n">
        <f aca="false">INDEX(Data_Prices!P:P,MATCH($G460,Data_Prices!$A:$A,0))</f>
        <v>0</v>
      </c>
      <c r="Q460" s="23" t="n">
        <f aca="false">INDEX(Data_Prices!Q:Q,MATCH($G460,Data_Prices!$A:$A,0))</f>
        <v>0</v>
      </c>
      <c r="R460" s="23" t="n">
        <f aca="false">INDEX(Data_Prices!R:R,MATCH($G460,Data_Prices!$A:$A,0))</f>
        <v>0</v>
      </c>
      <c r="S460" s="23" t="n">
        <f aca="false">INDEX(Data_Prices!S:S,MATCH($G460,Data_Prices!$A:$A,0))</f>
        <v>0</v>
      </c>
      <c r="T460" s="23" t="n">
        <f aca="false">INDEX(Data_Prices!T:T,MATCH($G460,Data_Prices!$A:$A,0))</f>
        <v>0</v>
      </c>
      <c r="U460" s="23" t="n">
        <f aca="false">INDEX(Data_Prices!U:U,MATCH($G460,Data_Prices!$A:$A,0))</f>
        <v>0</v>
      </c>
      <c r="V460" s="23" t="n">
        <f aca="false">INDEX(Data_Prices!V:V,MATCH($G460,Data_Prices!$A:$A,0))</f>
        <v>0</v>
      </c>
      <c r="W460" s="23" t="n">
        <f aca="false">INDEX(Data_Prices!W:W,MATCH($G460,Data_Prices!$A:$A,0))</f>
        <v>0</v>
      </c>
      <c r="X460" s="23" t="n">
        <f aca="false">INDEX(Data_Prices!X:X,MATCH($G460,Data_Prices!$A:$A,0))</f>
        <v>0</v>
      </c>
      <c r="Y460" s="23" t="n">
        <f aca="false">INDEX(Data_Prices!Y:Y,MATCH($G460,Data_Prices!$A:$A,0))</f>
        <v>0</v>
      </c>
      <c r="Z460" s="23" t="n">
        <f aca="false">INDEX(Data_Prices!Z:Z,MATCH($G460,Data_Prices!$A:$A,0))</f>
        <v>0</v>
      </c>
      <c r="AA460" s="23" t="n">
        <f aca="false">INDEX(Data_Prices!AA:AA,MATCH($G460,Data_Prices!$A:$A,0))</f>
        <v>0</v>
      </c>
      <c r="AB460" s="23" t="n">
        <f aca="false">INDEX(Data_Prices!AB:AB,MATCH($G460,Data_Prices!$A:$A,0))</f>
        <v>0</v>
      </c>
      <c r="AC460" s="23" t="n">
        <f aca="false">INDEX(Data_Prices!AC:AC,MATCH($G460,Data_Prices!$A:$A,0))</f>
        <v>0</v>
      </c>
      <c r="AD460" s="23" t="n">
        <f aca="false">INDEX(Data_Prices!AD:AD,MATCH($G460,Data_Prices!$A:$A,0))</f>
        <v>0</v>
      </c>
      <c r="AE460" s="23" t="n">
        <f aca="false">INDEX(Data_Prices!AE:AE,MATCH($G460,Data_Prices!$A:$A,0))</f>
        <v>0</v>
      </c>
    </row>
    <row r="461" customFormat="false" ht="15" hidden="false" customHeight="false" outlineLevel="0" collapsed="false">
      <c r="B461" s="17" t="s">
        <v>81</v>
      </c>
      <c r="C461" s="17" t="str">
        <f aca="false">$C$427</f>
        <v>mch</v>
      </c>
      <c r="D461" s="18" t="s">
        <v>87</v>
      </c>
      <c r="E461" s="19" t="s">
        <v>88</v>
      </c>
      <c r="F461" s="17" t="s">
        <v>89</v>
      </c>
      <c r="G461" s="20" t="str">
        <f aca="false">Settings!$B$3&amp;".mit.gdp.pos.pct."&amp;$J$427</f>
        <v>egy.mit.gdp.pos.pct.2</v>
      </c>
      <c r="K461" s="24" t="n">
        <f aca="false">INDEX(Data_Macro!K:K,MATCH($G461,Data_Macro!$A:$A,0))</f>
        <v>0</v>
      </c>
      <c r="L461" s="24" t="n">
        <f aca="false">INDEX(Data_Macro!L:L,MATCH($G461,Data_Macro!$A:$A,0))</f>
        <v>0.06651345</v>
      </c>
      <c r="M461" s="24" t="n">
        <f aca="false">INDEX(Data_Macro!M:M,MATCH($G461,Data_Macro!$A:$A,0))</f>
        <v>0.03760281</v>
      </c>
      <c r="N461" s="24" t="n">
        <f aca="false">INDEX(Data_Macro!N:N,MATCH($G461,Data_Macro!$A:$A,0))</f>
        <v>0.02398801</v>
      </c>
      <c r="O461" s="24" t="n">
        <f aca="false">INDEX(Data_Macro!O:O,MATCH($G461,Data_Macro!$A:$A,0))</f>
        <v>0.04392387</v>
      </c>
      <c r="P461" s="24" t="n">
        <f aca="false">INDEX(Data_Macro!P:P,MATCH($G461,Data_Macro!$A:$A,0))</f>
        <v>0.04239706</v>
      </c>
      <c r="Q461" s="24" t="n">
        <f aca="false">INDEX(Data_Macro!Q:Q,MATCH($G461,Data_Macro!$A:$A,0))</f>
        <v>0.0482983837830076</v>
      </c>
      <c r="R461" s="24" t="n">
        <f aca="false">INDEX(Data_Macro!R:R,MATCH($G461,Data_Macro!$A:$A,0))</f>
        <v>0.0555905477124225</v>
      </c>
      <c r="S461" s="24" t="n">
        <f aca="false">INDEX(Data_Macro!S:S,MATCH($G461,Data_Macro!$A:$A,0))</f>
        <v>0.0521372353896314</v>
      </c>
      <c r="T461" s="24" t="n">
        <f aca="false">INDEX(Data_Macro!T:T,MATCH($G461,Data_Macro!$A:$A,0))</f>
        <v>0.0481249074919299</v>
      </c>
      <c r="U461" s="24" t="n">
        <f aca="false">INDEX(Data_Macro!U:U,MATCH($G461,Data_Macro!$A:$A,0))</f>
        <v>0.0472087965265213</v>
      </c>
      <c r="V461" s="24" t="n">
        <f aca="false">INDEX(Data_Macro!V:V,MATCH($G461,Data_Macro!$A:$A,0))</f>
        <v>0.0466890433006764</v>
      </c>
      <c r="W461" s="24" t="n">
        <f aca="false">INDEX(Data_Macro!W:W,MATCH($G461,Data_Macro!$A:$A,0))</f>
        <v>0.0466327501470292</v>
      </c>
      <c r="X461" s="24" t="n">
        <f aca="false">INDEX(Data_Macro!X:X,MATCH($G461,Data_Macro!$A:$A,0))</f>
        <v>0.0468727232644215</v>
      </c>
      <c r="Y461" s="24" t="n">
        <f aca="false">INDEX(Data_Macro!Y:Y,MATCH($G461,Data_Macro!$A:$A,0))</f>
        <v>0.0474699217530487</v>
      </c>
      <c r="Z461" s="24" t="n">
        <f aca="false">INDEX(Data_Macro!Z:Z,MATCH($G461,Data_Macro!$A:$A,0))</f>
        <v>0.048590713024029</v>
      </c>
      <c r="AA461" s="24" t="n">
        <f aca="false">INDEX(Data_Macro!AA:AA,MATCH($G461,Data_Macro!$A:$A,0))</f>
        <v>0.0499411820780664</v>
      </c>
      <c r="AB461" s="24" t="n">
        <f aca="false">INDEX(Data_Macro!AB:AB,MATCH($G461,Data_Macro!$A:$A,0))</f>
        <v>0.0513941835424786</v>
      </c>
      <c r="AC461" s="24" t="n">
        <f aca="false">INDEX(Data_Macro!AC:AC,MATCH($G461,Data_Macro!$A:$A,0))</f>
        <v>0.0526817630197767</v>
      </c>
      <c r="AD461" s="24" t="n">
        <f aca="false">INDEX(Data_Macro!AD:AD,MATCH($G461,Data_Macro!$A:$A,0))</f>
        <v>0.0538007113363503</v>
      </c>
      <c r="AE461" s="24" t="n">
        <f aca="false">INDEX(Data_Macro!AE:AE,MATCH($G461,Data_Macro!$A:$A,0))</f>
        <v>0.0547893980443376</v>
      </c>
    </row>
    <row r="462" customFormat="false" ht="15" hidden="false" customHeight="false" outlineLevel="0" collapsed="false">
      <c r="B462" s="17" t="s">
        <v>81</v>
      </c>
      <c r="C462" s="17" t="str">
        <f aca="false">$C$427</f>
        <v>mch</v>
      </c>
      <c r="D462" s="18" t="s">
        <v>90</v>
      </c>
      <c r="E462" s="19" t="s">
        <v>91</v>
      </c>
      <c r="F462" s="17" t="s">
        <v>92</v>
      </c>
      <c r="G462" s="20" t="str">
        <f aca="false">Settings!$B$3&amp;".mit.inc.ela.adj."&amp;$J$427</f>
        <v>egy.mit.inc.ela.adj.2</v>
      </c>
      <c r="K462" s="23" t="n">
        <f aca="false">INDEX(Data_Macro!K:K,MATCH($G462,Data_Macro!$A:$A,0))</f>
        <v>0</v>
      </c>
      <c r="L462" s="23" t="n">
        <f aca="false">INDEX(Data_Macro!L:L,MATCH($G462,Data_Macro!$A:$A,0))</f>
        <v>1.02715172471961</v>
      </c>
      <c r="M462" s="23" t="n">
        <f aca="false">INDEX(Data_Macro!M:M,MATCH($G462,Data_Macro!$A:$A,0))</f>
        <v>1.02715172471961</v>
      </c>
      <c r="N462" s="23" t="n">
        <f aca="false">INDEX(Data_Macro!N:N,MATCH($G462,Data_Macro!$A:$A,0))</f>
        <v>1.02056983588512</v>
      </c>
      <c r="O462" s="23" t="n">
        <f aca="false">INDEX(Data_Macro!O:O,MATCH($G462,Data_Macro!$A:$A,0))</f>
        <v>1.01733442885234</v>
      </c>
      <c r="P462" s="23" t="n">
        <f aca="false">INDEX(Data_Macro!P:P,MATCH($G462,Data_Macro!$A:$A,0))</f>
        <v>1.00766833225382</v>
      </c>
      <c r="Q462" s="23" t="n">
        <f aca="false">INDEX(Data_Macro!Q:Q,MATCH($G462,Data_Macro!$A:$A,0))</f>
        <v>1.00074428717553</v>
      </c>
      <c r="R462" s="23" t="n">
        <f aca="false">INDEX(Data_Macro!R:R,MATCH($G462,Data_Macro!$A:$A,0))</f>
        <v>0.991884557194643</v>
      </c>
      <c r="S462" s="23" t="n">
        <f aca="false">INDEX(Data_Macro!S:S,MATCH($G462,Data_Macro!$A:$A,0))</f>
        <v>0.980580565078603</v>
      </c>
      <c r="T462" s="23" t="n">
        <f aca="false">INDEX(Data_Macro!T:T,MATCH($G462,Data_Macro!$A:$A,0))</f>
        <v>0.970250789717781</v>
      </c>
      <c r="U462" s="23" t="n">
        <f aca="false">INDEX(Data_Macro!U:U,MATCH($G462,Data_Macro!$A:$A,0))</f>
        <v>0.964288208159648</v>
      </c>
      <c r="V462" s="23" t="n">
        <f aca="false">INDEX(Data_Macro!V:V,MATCH($G462,Data_Macro!$A:$A,0))</f>
        <v>0.961834393419511</v>
      </c>
      <c r="W462" s="23" t="n">
        <f aca="false">INDEX(Data_Macro!W:W,MATCH($G462,Data_Macro!$A:$A,0))</f>
        <v>0.959416951161644</v>
      </c>
      <c r="X462" s="23" t="n">
        <f aca="false">INDEX(Data_Macro!X:X,MATCH($G462,Data_Macro!$A:$A,0))</f>
        <v>0.957014292521884</v>
      </c>
      <c r="Y462" s="23" t="n">
        <f aca="false">INDEX(Data_Macro!Y:Y,MATCH($G462,Data_Macro!$A:$A,0))</f>
        <v>0.954681937225522</v>
      </c>
      <c r="Z462" s="23" t="n">
        <f aca="false">INDEX(Data_Macro!Z:Z,MATCH($G462,Data_Macro!$A:$A,0))</f>
        <v>0.952400711587746</v>
      </c>
      <c r="AA462" s="23" t="n">
        <f aca="false">INDEX(Data_Macro!AA:AA,MATCH($G462,Data_Macro!$A:$A,0))</f>
        <v>0.950116474994055</v>
      </c>
      <c r="AB462" s="23" t="n">
        <f aca="false">INDEX(Data_Macro!AB:AB,MATCH($G462,Data_Macro!$A:$A,0))</f>
        <v>0.947927358499145</v>
      </c>
      <c r="AC462" s="23" t="n">
        <f aca="false">INDEX(Data_Macro!AC:AC,MATCH($G462,Data_Macro!$A:$A,0))</f>
        <v>0.945876747762997</v>
      </c>
      <c r="AD462" s="23" t="n">
        <f aca="false">INDEX(Data_Macro!AD:AD,MATCH($G462,Data_Macro!$A:$A,0))</f>
        <v>0.944054805828393</v>
      </c>
      <c r="AE462" s="23" t="n">
        <f aca="false">INDEX(Data_Macro!AE:AE,MATCH($G462,Data_Macro!$A:$A,0))</f>
        <v>0.942463912252065</v>
      </c>
    </row>
    <row r="463" customFormat="false" ht="15" hidden="false" customHeight="false" outlineLevel="0" collapsed="false">
      <c r="B463" s="17" t="s">
        <v>81</v>
      </c>
      <c r="C463" s="17" t="str">
        <f aca="false">$C$427</f>
        <v>mch</v>
      </c>
      <c r="D463" s="18" t="s">
        <v>93</v>
      </c>
      <c r="E463" s="19" t="s">
        <v>91</v>
      </c>
      <c r="F463" s="17" t="s">
        <v>94</v>
      </c>
      <c r="G463" s="20" t="str">
        <f aca="false">Settings!$B$3&amp;".mit.shock."&amp;$J$427</f>
        <v>egy.mit.shock.2</v>
      </c>
      <c r="K463" s="23" t="n">
        <f aca="false">INDEX(Data_Macro!K:K,MATCH($G463,Data_Macro!$A:$A,0))</f>
        <v>0</v>
      </c>
      <c r="L463" s="23" t="n">
        <f aca="false">INDEX(Data_Macro!L:L,MATCH($G463,Data_Macro!$A:$A,0))</f>
        <v>0</v>
      </c>
      <c r="M463" s="23" t="n">
        <f aca="false">INDEX(Data_Macro!M:M,MATCH($G463,Data_Macro!$A:$A,0))</f>
        <v>-0.208133083020442</v>
      </c>
      <c r="N463" s="23" t="n">
        <f aca="false">INDEX(Data_Macro!N:N,MATCH($G463,Data_Macro!$A:$A,0))</f>
        <v>0.0923714285714286</v>
      </c>
      <c r="O463" s="23" t="n">
        <f aca="false">INDEX(Data_Macro!O:O,MATCH($G463,Data_Macro!$A:$A,0))</f>
        <v>0</v>
      </c>
      <c r="P463" s="23" t="n">
        <f aca="false">INDEX(Data_Macro!P:P,MATCH($G463,Data_Macro!$A:$A,0))</f>
        <v>0</v>
      </c>
      <c r="Q463" s="23" t="n">
        <f aca="false">INDEX(Data_Macro!Q:Q,MATCH($G463,Data_Macro!$A:$A,0))</f>
        <v>0</v>
      </c>
      <c r="R463" s="23" t="n">
        <f aca="false">INDEX(Data_Macro!R:R,MATCH($G463,Data_Macro!$A:$A,0))</f>
        <v>0</v>
      </c>
      <c r="S463" s="23" t="n">
        <f aca="false">INDEX(Data_Macro!S:S,MATCH($G463,Data_Macro!$A:$A,0))</f>
        <v>0</v>
      </c>
      <c r="T463" s="23" t="n">
        <f aca="false">INDEX(Data_Macro!T:T,MATCH($G463,Data_Macro!$A:$A,0))</f>
        <v>0</v>
      </c>
      <c r="U463" s="23" t="n">
        <f aca="false">INDEX(Data_Macro!U:U,MATCH($G463,Data_Macro!$A:$A,0))</f>
        <v>0</v>
      </c>
      <c r="V463" s="23" t="n">
        <f aca="false">INDEX(Data_Macro!V:V,MATCH($G463,Data_Macro!$A:$A,0))</f>
        <v>0</v>
      </c>
      <c r="W463" s="23" t="n">
        <f aca="false">INDEX(Data_Macro!W:W,MATCH($G463,Data_Macro!$A:$A,0))</f>
        <v>0</v>
      </c>
      <c r="X463" s="23" t="n">
        <f aca="false">INDEX(Data_Macro!X:X,MATCH($G463,Data_Macro!$A:$A,0))</f>
        <v>0</v>
      </c>
      <c r="Y463" s="23" t="n">
        <f aca="false">INDEX(Data_Macro!Y:Y,MATCH($G463,Data_Macro!$A:$A,0))</f>
        <v>0</v>
      </c>
      <c r="Z463" s="23" t="n">
        <f aca="false">INDEX(Data_Macro!Z:Z,MATCH($G463,Data_Macro!$A:$A,0))</f>
        <v>0</v>
      </c>
      <c r="AA463" s="23" t="n">
        <f aca="false">INDEX(Data_Macro!AA:AA,MATCH($G463,Data_Macro!$A:$A,0))</f>
        <v>0</v>
      </c>
      <c r="AB463" s="23" t="n">
        <f aca="false">INDEX(Data_Macro!AB:AB,MATCH($G463,Data_Macro!$A:$A,0))</f>
        <v>0</v>
      </c>
      <c r="AC463" s="23" t="n">
        <f aca="false">INDEX(Data_Macro!AC:AC,MATCH($G463,Data_Macro!$A:$A,0))</f>
        <v>0</v>
      </c>
      <c r="AD463" s="23" t="n">
        <f aca="false">INDEX(Data_Macro!AD:AD,MATCH($G463,Data_Macro!$A:$A,0))</f>
        <v>0</v>
      </c>
      <c r="AE463" s="23" t="n">
        <f aca="false">INDEX(Data_Macro!AE:AE,MATCH($G463,Data_Macro!$A:$A,0))</f>
        <v>0</v>
      </c>
    </row>
    <row r="464" customFormat="false" ht="15" hidden="false" customHeight="false" outlineLevel="0" collapsed="false">
      <c r="B464" s="16" t="s">
        <v>95</v>
      </c>
    </row>
    <row r="465" customFormat="false" ht="15" hidden="false" customHeight="false" outlineLevel="0" collapsed="false">
      <c r="B465" s="8" t="s">
        <v>36</v>
      </c>
      <c r="C465" s="8" t="s">
        <v>37</v>
      </c>
      <c r="D465" s="25" t="s">
        <v>38</v>
      </c>
      <c r="E465" s="8" t="s">
        <v>96</v>
      </c>
      <c r="F465" s="8" t="s">
        <v>97</v>
      </c>
      <c r="G465" s="8" t="s">
        <v>98</v>
      </c>
      <c r="H465" s="8" t="s">
        <v>99</v>
      </c>
      <c r="I465" s="8" t="s">
        <v>100</v>
      </c>
      <c r="J465" s="8" t="s">
        <v>101</v>
      </c>
    </row>
    <row r="466" customFormat="false" ht="15" hidden="false" customHeight="false" outlineLevel="0" collapsed="false">
      <c r="B466" s="17" t="s">
        <v>53</v>
      </c>
      <c r="C466" s="17" t="str">
        <f aca="false">$C$427</f>
        <v>mch</v>
      </c>
      <c r="D466" s="26" t="s">
        <v>102</v>
      </c>
      <c r="E466" s="27" t="n">
        <f aca="false">INDEX(Data_Elast!$D:$G,MATCH("el_inc_"&amp;INDEX(Data_Elast!$J:$J,MATCH($B466,Data_Elast!$I:$I,0)),Data_Elast!$A:$A,0),MATCH(Settings!$B$5,Data_Elast!$D$1:$G$1,0))</f>
        <v>0.5</v>
      </c>
      <c r="F466" s="27" t="n">
        <f aca="false">INDEX(Data_Elast!$D:$G,MATCH("el_dem_"&amp;INDEX(Data_Elast!$J:$J,MATCH($B466,Data_Elast!$I:$I,0)),Data_Elast!$A:$A,0),MATCH(Settings!$B$5,Data_Elast!$D$1:$G$1,0))</f>
        <v>-0.3</v>
      </c>
      <c r="G466" s="27" t="n">
        <f aca="false">INDEX(Data_Elast!$D:$G,MATCH("el_eff_"&amp;INDEX(Data_Elast!$J:$J,MATCH($B466,Data_Elast!$I:$I,0)),Data_Elast!$A:$A,0),MATCH(Settings!$B$5,Data_Elast!$D$1:$G$1,0))</f>
        <v>-0.4</v>
      </c>
      <c r="H466" s="27" t="n">
        <f aca="false">INDEX(Data_Elast!$D:$G,MATCH("eff_imp_"&amp;INDEX(Data_Elast!$K:$K,MATCH($B466,Data_Elast!$I:$I,0)),Data_Elast!$A:$A,0),MATCH(Settings!$B$5,Data_Elast!$D$1:$G$1,0))</f>
        <v>0.005</v>
      </c>
      <c r="I466" s="27" t="n">
        <f aca="false">Settings!$B$7</f>
        <v>0</v>
      </c>
      <c r="J466" s="19" t="str">
        <f aca="false">INDEX(Data_Elast!$J:$J,MATCH($B466,Data_Elast!$I:$I,0))</f>
        <v>coa</v>
      </c>
    </row>
    <row r="467" customFormat="false" ht="15" hidden="false" customHeight="false" outlineLevel="0" collapsed="false">
      <c r="B467" s="17" t="s">
        <v>57</v>
      </c>
      <c r="C467" s="17" t="str">
        <f aca="false">$C$427</f>
        <v>mch</v>
      </c>
      <c r="D467" s="26" t="s">
        <v>103</v>
      </c>
      <c r="E467" s="27" t="n">
        <f aca="false">INDEX(Data_Elast!$D:$G,MATCH("el_inc_"&amp;INDEX(Data_Elast!$J:$J,MATCH($B467,Data_Elast!$I:$I,0)),Data_Elast!$A:$A,0),MATCH(Settings!$B$5,Data_Elast!$D$1:$G$1,0))</f>
        <v>1</v>
      </c>
      <c r="F467" s="27" t="n">
        <f aca="false">INDEX(Data_Elast!$D:$G,MATCH("el_dem_"&amp;INDEX(Data_Elast!$J:$J,MATCH($B467,Data_Elast!$I:$I,0)),Data_Elast!$A:$A,0),MATCH(Settings!$B$5,Data_Elast!$D$1:$G$1,0))</f>
        <v>-0.5</v>
      </c>
      <c r="G467" s="27" t="n">
        <f aca="false">INDEX(Data_Elast!$D:$G,MATCH("el_eff_"&amp;INDEX(Data_Elast!$J:$J,MATCH($B467,Data_Elast!$I:$I,0)),Data_Elast!$A:$A,0),MATCH(Settings!$B$5,Data_Elast!$D$1:$G$1,0))</f>
        <v>-0.5</v>
      </c>
      <c r="H467" s="27" t="n">
        <f aca="false">INDEX(Data_Elast!$D:$G,MATCH("eff_imp_"&amp;INDEX(Data_Elast!$K:$K,MATCH($B467,Data_Elast!$I:$I,0)),Data_Elast!$A:$A,0),MATCH(Settings!$B$5,Data_Elast!$D$1:$G$1,0))</f>
        <v>0.01</v>
      </c>
      <c r="I467" s="27" t="n">
        <f aca="false">Settings!$B$7</f>
        <v>0</v>
      </c>
      <c r="J467" s="19" t="str">
        <f aca="false">INDEX(Data_Elast!$J:$J,MATCH($B467,Data_Elast!$I:$I,0))</f>
        <v>nga</v>
      </c>
    </row>
    <row r="468" customFormat="false" ht="15" hidden="false" customHeight="false" outlineLevel="0" collapsed="false">
      <c r="B468" s="17" t="s">
        <v>59</v>
      </c>
      <c r="C468" s="17" t="str">
        <f aca="false">$C$427</f>
        <v>mch</v>
      </c>
      <c r="D468" s="26" t="s">
        <v>104</v>
      </c>
      <c r="E468" s="27" t="n">
        <f aca="false">INDEX(Data_Elast!$D:$G,MATCH("el_inc_"&amp;INDEX(Data_Elast!$J:$J,MATCH($B468,Data_Elast!$I:$I,0)),Data_Elast!$A:$A,0),MATCH(Settings!$B$5,Data_Elast!$D$1:$G$1,0))</f>
        <v>0.5</v>
      </c>
      <c r="F468" s="27" t="n">
        <f aca="false">INDEX(Data_Elast!$D:$G,MATCH("el_dem_"&amp;INDEX(Data_Elast!$J:$J,MATCH($B468,Data_Elast!$I:$I,0)),Data_Elast!$A:$A,0),MATCH(Settings!$B$5,Data_Elast!$D$1:$G$1,0))</f>
        <v>-0.4</v>
      </c>
      <c r="G468" s="27" t="n">
        <f aca="false">INDEX(Data_Elast!$D:$G,MATCH("el_eff_"&amp;INDEX(Data_Elast!$J:$J,MATCH($B468,Data_Elast!$I:$I,0)),Data_Elast!$A:$A,0),MATCH(Settings!$B$5,Data_Elast!$D$1:$G$1,0))</f>
        <v>-0.7</v>
      </c>
      <c r="H468" s="27" t="n">
        <f aca="false">INDEX(Data_Elast!$D:$G,MATCH("eff_imp_"&amp;INDEX(Data_Elast!$K:$K,MATCH($B468,Data_Elast!$I:$I,0)),Data_Elast!$A:$A,0),MATCH(Settings!$B$5,Data_Elast!$D$1:$G$1,0))</f>
        <v>0.005</v>
      </c>
      <c r="I468" s="27" t="n">
        <f aca="false">Settings!$B$7</f>
        <v>0</v>
      </c>
      <c r="J468" s="19" t="str">
        <f aca="false">INDEX(Data_Elast!$J:$J,MATCH($B468,Data_Elast!$I:$I,0))</f>
        <v>gso</v>
      </c>
    </row>
    <row r="469" customFormat="false" ht="15" hidden="false" customHeight="false" outlineLevel="0" collapsed="false">
      <c r="B469" s="17" t="s">
        <v>62</v>
      </c>
      <c r="C469" s="17" t="str">
        <f aca="false">$C$427</f>
        <v>mch</v>
      </c>
      <c r="D469" s="26" t="s">
        <v>105</v>
      </c>
      <c r="E469" s="27" t="n">
        <f aca="false">INDEX(Data_Elast!$D:$G,MATCH("el_inc_"&amp;INDEX(Data_Elast!$J:$J,MATCH($B469,Data_Elast!$I:$I,0)),Data_Elast!$A:$A,0),MATCH(Settings!$B$5,Data_Elast!$D$1:$G$1,0))</f>
        <v>0.5</v>
      </c>
      <c r="F469" s="27" t="n">
        <f aca="false">INDEX(Data_Elast!$D:$G,MATCH("el_dem_"&amp;INDEX(Data_Elast!$J:$J,MATCH($B469,Data_Elast!$I:$I,0)),Data_Elast!$A:$A,0),MATCH(Settings!$B$5,Data_Elast!$D$1:$G$1,0))</f>
        <v>-0.7</v>
      </c>
      <c r="G469" s="27" t="n">
        <f aca="false">INDEX(Data_Elast!$D:$G,MATCH("el_eff_"&amp;INDEX(Data_Elast!$J:$J,MATCH($B469,Data_Elast!$I:$I,0)),Data_Elast!$A:$A,0),MATCH(Settings!$B$5,Data_Elast!$D$1:$G$1,0))</f>
        <v>-1.2</v>
      </c>
      <c r="H469" s="27" t="n">
        <f aca="false">INDEX(Data_Elast!$D:$G,MATCH("eff_imp_"&amp;INDEX(Data_Elast!$K:$K,MATCH($B469,Data_Elast!$I:$I,0)),Data_Elast!$A:$A,0),MATCH(Settings!$B$5,Data_Elast!$D$1:$G$1,0))</f>
        <v>0.005</v>
      </c>
      <c r="I469" s="27" t="n">
        <f aca="false">Settings!$B$7</f>
        <v>0</v>
      </c>
      <c r="J469" s="19" t="str">
        <f aca="false">INDEX(Data_Elast!$J:$J,MATCH($B469,Data_Elast!$I:$I,0))</f>
        <v>die</v>
      </c>
    </row>
    <row r="470" customFormat="false" ht="15" hidden="false" customHeight="false" outlineLevel="0" collapsed="false">
      <c r="B470" s="17" t="s">
        <v>64</v>
      </c>
      <c r="C470" s="17" t="str">
        <f aca="false">$C$427</f>
        <v>mch</v>
      </c>
      <c r="D470" s="26" t="s">
        <v>106</v>
      </c>
      <c r="E470" s="27" t="n">
        <f aca="false">INDEX(Data_Elast!$D:$G,MATCH("el_inc_"&amp;INDEX(Data_Elast!$J:$J,MATCH($B470,Data_Elast!$I:$I,0)),Data_Elast!$A:$A,0),MATCH(Settings!$B$5,Data_Elast!$D$1:$G$1,0))</f>
        <v>0.8</v>
      </c>
      <c r="F470" s="27" t="n">
        <f aca="false">INDEX(Data_Elast!$D:$G,MATCH("el_dem_"&amp;INDEX(Data_Elast!$J:$J,MATCH($B470,Data_Elast!$I:$I,0)),Data_Elast!$A:$A,0),MATCH(Settings!$B$5,Data_Elast!$D$1:$G$1,0))</f>
        <v>-0.4</v>
      </c>
      <c r="G470" s="27" t="n">
        <f aca="false">INDEX(Data_Elast!$D:$G,MATCH("el_eff_"&amp;INDEX(Data_Elast!$J:$J,MATCH($B470,Data_Elast!$I:$I,0)),Data_Elast!$A:$A,0),MATCH(Settings!$B$5,Data_Elast!$D$1:$G$1,0))</f>
        <v>-0.4</v>
      </c>
      <c r="H470" s="27" t="n">
        <f aca="false">INDEX(Data_Elast!$D:$G,MATCH("eff_imp_"&amp;INDEX(Data_Elast!$K:$K,MATCH($B470,Data_Elast!$I:$I,0)),Data_Elast!$A:$A,0),MATCH(Settings!$B$5,Data_Elast!$D$1:$G$1,0))</f>
        <v>0.005</v>
      </c>
      <c r="I470" s="27" t="n">
        <f aca="false">Settings!$B$7</f>
        <v>0</v>
      </c>
      <c r="J470" s="19" t="str">
        <f aca="false">INDEX(Data_Elast!$J:$J,MATCH($B470,Data_Elast!$I:$I,0))</f>
        <v>oil</v>
      </c>
    </row>
    <row r="471" customFormat="false" ht="15" hidden="false" customHeight="false" outlineLevel="0" collapsed="false">
      <c r="B471" s="17" t="s">
        <v>66</v>
      </c>
      <c r="C471" s="17" t="str">
        <f aca="false">$C$427</f>
        <v>mch</v>
      </c>
      <c r="D471" s="26" t="s">
        <v>107</v>
      </c>
      <c r="E471" s="27" t="n">
        <f aca="false">INDEX(Data_Elast!$D:$G,MATCH("el_inc_"&amp;INDEX(Data_Elast!$J:$J,MATCH($B471,Data_Elast!$I:$I,0)),Data_Elast!$A:$A,0),MATCH(Settings!$B$5,Data_Elast!$D$1:$G$1,0))</f>
        <v>0.8</v>
      </c>
      <c r="F471" s="27" t="n">
        <f aca="false">INDEX(Data_Elast!$D:$G,MATCH("el_dem_"&amp;INDEX(Data_Elast!$J:$J,MATCH($B471,Data_Elast!$I:$I,0)),Data_Elast!$A:$A,0),MATCH(Settings!$B$5,Data_Elast!$D$1:$G$1,0))</f>
        <v>-0.4</v>
      </c>
      <c r="G471" s="27" t="n">
        <f aca="false">INDEX(Data_Elast!$D:$G,MATCH("el_eff_"&amp;INDEX(Data_Elast!$J:$J,MATCH($B471,Data_Elast!$I:$I,0)),Data_Elast!$A:$A,0),MATCH(Settings!$B$5,Data_Elast!$D$1:$G$1,0))</f>
        <v>-0.4</v>
      </c>
      <c r="H471" s="27" t="n">
        <f aca="false">INDEX(Data_Elast!$D:$G,MATCH("eff_imp_"&amp;INDEX(Data_Elast!$K:$K,MATCH($B471,Data_Elast!$I:$I,0)),Data_Elast!$A:$A,0),MATCH(Settings!$B$5,Data_Elast!$D$1:$G$1,0))</f>
        <v>0.005</v>
      </c>
      <c r="I471" s="27" t="n">
        <f aca="false">Settings!$B$7</f>
        <v>0</v>
      </c>
      <c r="J471" s="19" t="str">
        <f aca="false">INDEX(Data_Elast!$J:$J,MATCH($B471,Data_Elast!$I:$I,0))</f>
        <v>oil</v>
      </c>
    </row>
    <row r="472" customFormat="false" ht="15" hidden="false" customHeight="false" outlineLevel="0" collapsed="false">
      <c r="B472" s="17" t="s">
        <v>68</v>
      </c>
      <c r="C472" s="17" t="str">
        <f aca="false">$C$427</f>
        <v>mch</v>
      </c>
      <c r="D472" s="26" t="s">
        <v>108</v>
      </c>
      <c r="E472" s="27" t="n">
        <f aca="false">INDEX(Data_Elast!$D:$G,MATCH("el_inc_"&amp;INDEX(Data_Elast!$J:$J,MATCH($B472,Data_Elast!$I:$I,0)),Data_Elast!$A:$A,0),MATCH(Settings!$B$5,Data_Elast!$D$1:$G$1,0))</f>
        <v>0.8</v>
      </c>
      <c r="F472" s="27" t="n">
        <f aca="false">INDEX(Data_Elast!$D:$G,MATCH("el_dem_"&amp;INDEX(Data_Elast!$J:$J,MATCH($B472,Data_Elast!$I:$I,0)),Data_Elast!$A:$A,0),MATCH(Settings!$B$5,Data_Elast!$D$1:$G$1,0))</f>
        <v>-0.4</v>
      </c>
      <c r="G472" s="27" t="n">
        <f aca="false">INDEX(Data_Elast!$D:$G,MATCH("el_eff_"&amp;INDEX(Data_Elast!$J:$J,MATCH($B472,Data_Elast!$I:$I,0)),Data_Elast!$A:$A,0),MATCH(Settings!$B$5,Data_Elast!$D$1:$G$1,0))</f>
        <v>-0.4</v>
      </c>
      <c r="H472" s="27" t="n">
        <f aca="false">INDEX(Data_Elast!$D:$G,MATCH("eff_imp_"&amp;INDEX(Data_Elast!$K:$K,MATCH($B472,Data_Elast!$I:$I,0)),Data_Elast!$A:$A,0),MATCH(Settings!$B$5,Data_Elast!$D$1:$G$1,0))</f>
        <v>0.005</v>
      </c>
      <c r="I472" s="27" t="n">
        <f aca="false">Settings!$B$7</f>
        <v>0</v>
      </c>
      <c r="J472" s="19" t="str">
        <f aca="false">INDEX(Data_Elast!$J:$J,MATCH($B472,Data_Elast!$I:$I,0))</f>
        <v>oil</v>
      </c>
    </row>
    <row r="473" customFormat="false" ht="15" hidden="false" customHeight="false" outlineLevel="0" collapsed="false">
      <c r="B473" s="17" t="s">
        <v>71</v>
      </c>
      <c r="C473" s="17" t="str">
        <f aca="false">$C$427</f>
        <v>mch</v>
      </c>
      <c r="D473" s="26" t="s">
        <v>109</v>
      </c>
      <c r="E473" s="27" t="n">
        <f aca="false">INDEX(Data_Elast!$D:$G,MATCH("el_inc_"&amp;INDEX(Data_Elast!$J:$J,MATCH($B473,Data_Elast!$I:$I,0)),Data_Elast!$A:$A,0),MATCH(Settings!$B$5,Data_Elast!$D$1:$G$1,0))</f>
        <v>0.1</v>
      </c>
      <c r="F473" s="27" t="n">
        <f aca="false">INDEX(Data_Elast!$D:$G,MATCH("el_dem_"&amp;INDEX(Data_Elast!$J:$J,MATCH($B473,Data_Elast!$I:$I,0)),Data_Elast!$A:$A,0),MATCH(Settings!$B$5,Data_Elast!$D$1:$G$1,0))</f>
        <v>-0.3</v>
      </c>
      <c r="G473" s="27" t="n">
        <f aca="false">INDEX(Data_Elast!$D:$G,MATCH("el_eff_"&amp;INDEX(Data_Elast!$J:$J,MATCH($B473,Data_Elast!$I:$I,0)),Data_Elast!$A:$A,0),MATCH(Settings!$B$5,Data_Elast!$D$1:$G$1,0))</f>
        <v>-0.2</v>
      </c>
      <c r="H473" s="27" t="n">
        <f aca="false">INDEX(Data_Elast!$D:$G,MATCH("eff_imp_"&amp;INDEX(Data_Elast!$K:$K,MATCH($B473,Data_Elast!$I:$I,0)),Data_Elast!$A:$A,0),MATCH(Settings!$B$5,Data_Elast!$D$1:$G$1,0))</f>
        <v>0.005</v>
      </c>
      <c r="I473" s="27" t="n">
        <f aca="false">Settings!$B$7</f>
        <v>0</v>
      </c>
      <c r="J473" s="19" t="str">
        <f aca="false">INDEX(Data_Elast!$J:$J,MATCH($B473,Data_Elast!$I:$I,0))</f>
        <v>bio</v>
      </c>
    </row>
    <row r="474" customFormat="false" ht="15" hidden="false" customHeight="false" outlineLevel="0" collapsed="false">
      <c r="B474" s="17" t="s">
        <v>73</v>
      </c>
      <c r="C474" s="17" t="str">
        <f aca="false">$C$427</f>
        <v>mch</v>
      </c>
      <c r="D474" s="26" t="s">
        <v>110</v>
      </c>
      <c r="E474" s="27" t="n">
        <f aca="false">INDEX(Data_Elast!$D:$G,MATCH("el_inc_"&amp;INDEX(Data_Elast!$J:$J,MATCH($B474,Data_Elast!$I:$I,0)),Data_Elast!$A:$A,0),MATCH(Settings!$B$5,Data_Elast!$D$1:$G$1,0))</f>
        <v>0.8</v>
      </c>
      <c r="F474" s="27" t="n">
        <f aca="false">INDEX(Data_Elast!$D:$G,MATCH("el_dem_"&amp;INDEX(Data_Elast!$J:$J,MATCH($B474,Data_Elast!$I:$I,0)),Data_Elast!$A:$A,0),MATCH(Settings!$B$5,Data_Elast!$D$1:$G$1,0))</f>
        <v>-0.5</v>
      </c>
      <c r="G474" s="27" t="n">
        <f aca="false">INDEX(Data_Elast!$D:$G,MATCH("el_eff_"&amp;INDEX(Data_Elast!$J:$J,MATCH($B474,Data_Elast!$I:$I,0)),Data_Elast!$A:$A,0),MATCH(Settings!$B$5,Data_Elast!$D$1:$G$1,0))</f>
        <v>-0.4</v>
      </c>
      <c r="H474" s="27" t="n">
        <f aca="false">INDEX(Data_Elast!$D:$G,MATCH("eff_imp_"&amp;INDEX(Data_Elast!$K:$K,MATCH($B474,Data_Elast!$I:$I,0)),Data_Elast!$A:$A,0),MATCH(Settings!$B$5,Data_Elast!$D$1:$G$1,0))</f>
        <v>0.005</v>
      </c>
      <c r="I474" s="27" t="n">
        <f aca="false">Settings!$B$7</f>
        <v>0</v>
      </c>
      <c r="J474" s="19" t="str">
        <f aca="false">INDEX(Data_Elast!$J:$J,MATCH($B474,Data_Elast!$I:$I,0))</f>
        <v>ren</v>
      </c>
    </row>
    <row r="475" customFormat="false" ht="15" hidden="false" customHeight="false" outlineLevel="0" collapsed="false">
      <c r="B475" s="16" t="s">
        <v>111</v>
      </c>
    </row>
    <row r="476" customFormat="false" ht="15" hidden="false" customHeight="false" outlineLevel="0" collapsed="false">
      <c r="B476" s="17" t="s">
        <v>53</v>
      </c>
      <c r="C476" s="17" t="str">
        <f aca="false">$C$427</f>
        <v>mch</v>
      </c>
      <c r="D476" s="18" t="s">
        <v>54</v>
      </c>
      <c r="E476" s="19" t="s">
        <v>112</v>
      </c>
      <c r="F476" s="17" t="s">
        <v>113</v>
      </c>
      <c r="G476" s="20" t="str">
        <f aca="false">Settings!$B$3&amp;".mit.enc."&amp;$B476</f>
        <v>egy.mit.enc.coa</v>
      </c>
      <c r="H476" s="21" t="str">
        <f aca="false">Settings!$B$3&amp;".mit.ener."&amp;$C$427&amp;"."&amp;$B476&amp;".e."&amp;$J$427</f>
        <v>egy.mit.ener.mch.coa.e.2</v>
      </c>
      <c r="L476" s="28" t="n">
        <f aca="false">INDEX(Data_Energy!$D$3:$U$22,MATCH($B476,Data_Energy!$C$3:$C$22,0),MATCH($C476,Data_Energy!$D$2:$U$2,0))</f>
        <v>0</v>
      </c>
      <c r="M476" s="29" t="n">
        <f aca="false">L476*(1+M$461)^($E466*M$462)*(1+M$463)*IF(L439&lt;=0,1,M439/L439)^$F466*(IF(L449&lt;=0,1,M449/L449)^$G466/(1+$H466+$I466))^(1+$F466)</f>
        <v>0</v>
      </c>
      <c r="N476" s="29" t="n">
        <f aca="false">M476*(1+N$461)^($E466*N$462)*(1+N$463)*IF(M439&lt;=0,1,N439/M439)^$F466*(IF(M449&lt;=0,1,N449/M449)^$G466/(1+$H466+$I466))^(1+$F466)</f>
        <v>0</v>
      </c>
      <c r="O476" s="29" t="n">
        <f aca="false">N476*(1+O$461)^($E466*O$462)*(1+O$463)*IF(N439&lt;=0,1,O439/N439)^$F466*(IF(N449&lt;=0,1,O449/N449)^$G466/(1+$H466+$I466))^(1+$F466)</f>
        <v>0</v>
      </c>
      <c r="P476" s="29" t="n">
        <f aca="false">O476*(1+P$461)^($E466*P$462)*(1+P$463)*IF(O439&lt;=0,1,P439/O439)^$F466*(IF(O449&lt;=0,1,P449/O449)^$G466/(1+$H466+$I466))^(1+$F466)</f>
        <v>0</v>
      </c>
      <c r="Q476" s="29" t="n">
        <f aca="false">P476*(1+Q$461)^($E466*Q$462)*(1+Q$463)*IF(P439&lt;=0,1,Q439/P439)^$F466*(IF(P449&lt;=0,1,Q449/P449)^$G466/(1+$H466+$I466))^(1+$F466)</f>
        <v>0</v>
      </c>
      <c r="R476" s="29" t="n">
        <f aca="false">Q476*(1+R$461)^($E466*R$462)*(1+R$463)*IF(Q439&lt;=0,1,R439/Q439)^$F466*(IF(Q449&lt;=0,1,R449/Q449)^$G466/(1+$H466+$I466))^(1+$F466)</f>
        <v>0</v>
      </c>
      <c r="S476" s="29" t="n">
        <f aca="false">R476*(1+S$461)^($E466*S$462)*(1+S$463)*IF(R439&lt;=0,1,S439/R439)^$F466*(IF(R449&lt;=0,1,S449/R449)^$G466/(1+$H466+$I466))^(1+$F466)</f>
        <v>0</v>
      </c>
      <c r="T476" s="29" t="n">
        <f aca="false">S476*(1+T$461)^($E466*T$462)*(1+T$463)*IF(S439&lt;=0,1,T439/S439)^$F466*(IF(S449&lt;=0,1,T449/S449)^$G466/(1+$H466+$I466))^(1+$F466)</f>
        <v>0</v>
      </c>
      <c r="U476" s="29" t="n">
        <f aca="false">T476*(1+U$461)^($E466*U$462)*(1+U$463)*IF(T439&lt;=0,1,U439/T439)^$F466*(IF(T449&lt;=0,1,U449/T449)^$G466/(1+$H466+$I466))^(1+$F466)</f>
        <v>0</v>
      </c>
      <c r="V476" s="29" t="n">
        <f aca="false">U476*(1+V$461)^($E466*V$462)*(1+V$463)*IF(U439&lt;=0,1,V439/U439)^$F466*(IF(U449&lt;=0,1,V449/U449)^$G466/(1+$H466+$I466))^(1+$F466)</f>
        <v>0</v>
      </c>
      <c r="W476" s="29" t="n">
        <f aca="false">V476*(1+W$461)^($E466*W$462)*(1+W$463)*IF(V439&lt;=0,1,W439/V439)^$F466*(IF(V449&lt;=0,1,W449/V449)^$G466/(1+$H466+$I466))^(1+$F466)</f>
        <v>0</v>
      </c>
      <c r="X476" s="29" t="n">
        <f aca="false">W476*(1+X$461)^($E466*X$462)*(1+X$463)*IF(W439&lt;=0,1,X439/W439)^$F466*(IF(W449&lt;=0,1,X449/W449)^$G466/(1+$H466+$I466))^(1+$F466)</f>
        <v>0</v>
      </c>
      <c r="Y476" s="29" t="n">
        <f aca="false">X476*(1+Y$461)^($E466*Y$462)*(1+Y$463)*IF(X439&lt;=0,1,Y439/X439)^$F466*(IF(X449&lt;=0,1,Y449/X449)^$G466/(1+$H466+$I466))^(1+$F466)</f>
        <v>0</v>
      </c>
      <c r="Z476" s="29" t="n">
        <f aca="false">Y476*(1+Z$461)^($E466*Z$462)*(1+Z$463)*IF(Y439&lt;=0,1,Z439/Y439)^$F466*(IF(Y449&lt;=0,1,Z449/Y449)^$G466/(1+$H466+$I466))^(1+$F466)</f>
        <v>0</v>
      </c>
      <c r="AA476" s="29" t="n">
        <f aca="false">Z476*(1+AA$461)^($E466*AA$462)*(1+AA$463)*IF(Z439&lt;=0,1,AA439/Z439)^$F466*(IF(Z449&lt;=0,1,AA449/Z449)^$G466/(1+$H466+$I466))^(1+$F466)</f>
        <v>0</v>
      </c>
      <c r="AB476" s="29" t="n">
        <f aca="false">AA476*(1+AB$461)^($E466*AB$462)*(1+AB$463)*IF(AA439&lt;=0,1,AB439/AA439)^$F466*(IF(AA449&lt;=0,1,AB449/AA449)^$G466/(1+$H466+$I466))^(1+$F466)</f>
        <v>0</v>
      </c>
      <c r="AC476" s="29" t="n">
        <f aca="false">AB476*(1+AC$461)^($E466*AC$462)*(1+AC$463)*IF(AB439&lt;=0,1,AC439/AB439)^$F466*(IF(AB449&lt;=0,1,AC449/AB449)^$G466/(1+$H466+$I466))^(1+$F466)</f>
        <v>0</v>
      </c>
      <c r="AD476" s="29" t="n">
        <f aca="false">AC476*(1+AD$461)^($E466*AD$462)*(1+AD$463)*IF(AC439&lt;=0,1,AD439/AC439)^$F466*(IF(AC449&lt;=0,1,AD449/AC449)^$G466/(1+$H466+$I466))^(1+$F466)</f>
        <v>0</v>
      </c>
      <c r="AE476" s="29" t="n">
        <f aca="false">AD476*(1+AE$461)^($E466*AE$462)*(1+AE$463)*IF(AD439&lt;=0,1,AE439/AD439)^$F466*(IF(AD449&lt;=0,1,AE449/AD449)^$G466/(1+$H466+$I466))^(1+$F466)</f>
        <v>0</v>
      </c>
    </row>
    <row r="477" customFormat="false" ht="15" hidden="false" customHeight="false" outlineLevel="0" collapsed="false">
      <c r="B477" s="17" t="s">
        <v>57</v>
      </c>
      <c r="C477" s="17" t="str">
        <f aca="false">$C$427</f>
        <v>mch</v>
      </c>
      <c r="D477" s="18" t="s">
        <v>58</v>
      </c>
      <c r="E477" s="19" t="s">
        <v>112</v>
      </c>
      <c r="F477" s="17" t="s">
        <v>113</v>
      </c>
      <c r="G477" s="20" t="str">
        <f aca="false">Settings!$B$3&amp;".mit.enc."&amp;$B477</f>
        <v>egy.mit.enc.nga</v>
      </c>
      <c r="H477" s="21" t="str">
        <f aca="false">Settings!$B$3&amp;".mit.ener."&amp;$C$427&amp;"."&amp;$B477&amp;".e."&amp;$J$427</f>
        <v>egy.mit.ener.mch.nga.e.2</v>
      </c>
      <c r="L477" s="28" t="n">
        <f aca="false">INDEX(Data_Energy!$D$3:$U$22,MATCH($B477,Data_Energy!$C$3:$C$22,0),MATCH($C477,Data_Energy!$D$2:$U$2,0))</f>
        <v>0</v>
      </c>
      <c r="M477" s="29" t="n">
        <f aca="false">L477*(1+M$461)^($E467*M$462)*(1+M$463)*IF(L440&lt;=0,1,M440/L440)^$F467*(IF(L450&lt;=0,1,M450/L450)^$G467/(1+$H467+$I467))^(1+$F467)</f>
        <v>0</v>
      </c>
      <c r="N477" s="29" t="n">
        <f aca="false">M477*(1+N$461)^($E467*N$462)*(1+N$463)*IF(M440&lt;=0,1,N440/M440)^$F467*(IF(M450&lt;=0,1,N450/M450)^$G467/(1+$H467+$I467))^(1+$F467)</f>
        <v>0</v>
      </c>
      <c r="O477" s="29" t="n">
        <f aca="false">N477*(1+O$461)^($E467*O$462)*(1+O$463)*IF(N440&lt;=0,1,O440/N440)^$F467*(IF(N450&lt;=0,1,O450/N450)^$G467/(1+$H467+$I467))^(1+$F467)</f>
        <v>0</v>
      </c>
      <c r="P477" s="29" t="n">
        <f aca="false">O477*(1+P$461)^($E467*P$462)*(1+P$463)*IF(O440&lt;=0,1,P440/O440)^$F467*(IF(O450&lt;=0,1,P450/O450)^$G467/(1+$H467+$I467))^(1+$F467)</f>
        <v>0</v>
      </c>
      <c r="Q477" s="29" t="n">
        <f aca="false">P477*(1+Q$461)^($E467*Q$462)*(1+Q$463)*IF(P440&lt;=0,1,Q440/P440)^$F467*(IF(P450&lt;=0,1,Q450/P450)^$G467/(1+$H467+$I467))^(1+$F467)</f>
        <v>0</v>
      </c>
      <c r="R477" s="29" t="n">
        <f aca="false">Q477*(1+R$461)^($E467*R$462)*(1+R$463)*IF(Q440&lt;=0,1,R440/Q440)^$F467*(IF(Q450&lt;=0,1,R450/Q450)^$G467/(1+$H467+$I467))^(1+$F467)</f>
        <v>0</v>
      </c>
      <c r="S477" s="29" t="n">
        <f aca="false">R477*(1+S$461)^($E467*S$462)*(1+S$463)*IF(R440&lt;=0,1,S440/R440)^$F467*(IF(R450&lt;=0,1,S450/R450)^$G467/(1+$H467+$I467))^(1+$F467)</f>
        <v>0</v>
      </c>
      <c r="T477" s="29" t="n">
        <f aca="false">S477*(1+T$461)^($E467*T$462)*(1+T$463)*IF(S440&lt;=0,1,T440/S440)^$F467*(IF(S450&lt;=0,1,T450/S450)^$G467/(1+$H467+$I467))^(1+$F467)</f>
        <v>0</v>
      </c>
      <c r="U477" s="29" t="n">
        <f aca="false">T477*(1+U$461)^($E467*U$462)*(1+U$463)*IF(T440&lt;=0,1,U440/T440)^$F467*(IF(T450&lt;=0,1,U450/T450)^$G467/(1+$H467+$I467))^(1+$F467)</f>
        <v>0</v>
      </c>
      <c r="V477" s="29" t="n">
        <f aca="false">U477*(1+V$461)^($E467*V$462)*(1+V$463)*IF(U440&lt;=0,1,V440/U440)^$F467*(IF(U450&lt;=0,1,V450/U450)^$G467/(1+$H467+$I467))^(1+$F467)</f>
        <v>0</v>
      </c>
      <c r="W477" s="29" t="n">
        <f aca="false">V477*(1+W$461)^($E467*W$462)*(1+W$463)*IF(V440&lt;=0,1,W440/V440)^$F467*(IF(V450&lt;=0,1,W450/V450)^$G467/(1+$H467+$I467))^(1+$F467)</f>
        <v>0</v>
      </c>
      <c r="X477" s="29" t="n">
        <f aca="false">W477*(1+X$461)^($E467*X$462)*(1+X$463)*IF(W440&lt;=0,1,X440/W440)^$F467*(IF(W450&lt;=0,1,X450/W450)^$G467/(1+$H467+$I467))^(1+$F467)</f>
        <v>0</v>
      </c>
      <c r="Y477" s="29" t="n">
        <f aca="false">X477*(1+Y$461)^($E467*Y$462)*(1+Y$463)*IF(X440&lt;=0,1,Y440/X440)^$F467*(IF(X450&lt;=0,1,Y450/X450)^$G467/(1+$H467+$I467))^(1+$F467)</f>
        <v>0</v>
      </c>
      <c r="Z477" s="29" t="n">
        <f aca="false">Y477*(1+Z$461)^($E467*Z$462)*(1+Z$463)*IF(Y440&lt;=0,1,Z440/Y440)^$F467*(IF(Y450&lt;=0,1,Z450/Y450)^$G467/(1+$H467+$I467))^(1+$F467)</f>
        <v>0</v>
      </c>
      <c r="AA477" s="29" t="n">
        <f aca="false">Z477*(1+AA$461)^($E467*AA$462)*(1+AA$463)*IF(Z440&lt;=0,1,AA440/Z440)^$F467*(IF(Z450&lt;=0,1,AA450/Z450)^$G467/(1+$H467+$I467))^(1+$F467)</f>
        <v>0</v>
      </c>
      <c r="AB477" s="29" t="n">
        <f aca="false">AA477*(1+AB$461)^($E467*AB$462)*(1+AB$463)*IF(AA440&lt;=0,1,AB440/AA440)^$F467*(IF(AA450&lt;=0,1,AB450/AA450)^$G467/(1+$H467+$I467))^(1+$F467)</f>
        <v>0</v>
      </c>
      <c r="AC477" s="29" t="n">
        <f aca="false">AB477*(1+AC$461)^($E467*AC$462)*(1+AC$463)*IF(AB440&lt;=0,1,AC440/AB440)^$F467*(IF(AB450&lt;=0,1,AC450/AB450)^$G467/(1+$H467+$I467))^(1+$F467)</f>
        <v>0</v>
      </c>
      <c r="AD477" s="29" t="n">
        <f aca="false">AC477*(1+AD$461)^($E467*AD$462)*(1+AD$463)*IF(AC440&lt;=0,1,AD440/AC440)^$F467*(IF(AC450&lt;=0,1,AD450/AC450)^$G467/(1+$H467+$I467))^(1+$F467)</f>
        <v>0</v>
      </c>
      <c r="AE477" s="29" t="n">
        <f aca="false">AD477*(1+AE$461)^($E467*AE$462)*(1+AE$463)*IF(AD440&lt;=0,1,AE440/AD440)^$F467*(IF(AD450&lt;=0,1,AE450/AD450)^$G467/(1+$H467+$I467))^(1+$F467)</f>
        <v>0</v>
      </c>
    </row>
    <row r="478" customFormat="false" ht="15" hidden="false" customHeight="false" outlineLevel="0" collapsed="false">
      <c r="B478" s="17" t="s">
        <v>59</v>
      </c>
      <c r="C478" s="17" t="str">
        <f aca="false">$C$427</f>
        <v>mch</v>
      </c>
      <c r="D478" s="18" t="s">
        <v>60</v>
      </c>
      <c r="E478" s="19" t="s">
        <v>112</v>
      </c>
      <c r="F478" s="17" t="s">
        <v>113</v>
      </c>
      <c r="G478" s="20" t="str">
        <f aca="false">Settings!$B$3&amp;".mit.enc."&amp;$B478</f>
        <v>egy.mit.enc.gso</v>
      </c>
      <c r="H478" s="21" t="str">
        <f aca="false">Settings!$B$3&amp;".mit.ener."&amp;$C$427&amp;"."&amp;$B478&amp;".e."&amp;$J$427</f>
        <v>egy.mit.ener.mch.gso.e.2</v>
      </c>
      <c r="L478" s="28" t="n">
        <f aca="false">INDEX(Data_Energy!$D$3:$U$22,MATCH($B478,Data_Energy!$C$3:$C$22,0),MATCH($C478,Data_Energy!$D$2:$U$2,0))</f>
        <v>0</v>
      </c>
      <c r="M478" s="29" t="n">
        <f aca="false">L478*(1+M$461)^($E468*M$462)*(1+M$463)*IF(L441&lt;=0,1,M441/L441)^$F468*(IF(L451&lt;=0,1,M451/L451)^$G468/(1+$H468+$I468))^(1+$F468)</f>
        <v>0</v>
      </c>
      <c r="N478" s="29" t="n">
        <f aca="false">M478*(1+N$461)^($E468*N$462)*(1+N$463)*IF(M441&lt;=0,1,N441/M441)^$F468*(IF(M451&lt;=0,1,N451/M451)^$G468/(1+$H468+$I468))^(1+$F468)</f>
        <v>0</v>
      </c>
      <c r="O478" s="29" t="n">
        <f aca="false">N478*(1+O$461)^($E468*O$462)*(1+O$463)*IF(N441&lt;=0,1,O441/N441)^$F468*(IF(N451&lt;=0,1,O451/N451)^$G468/(1+$H468+$I468))^(1+$F468)</f>
        <v>0</v>
      </c>
      <c r="P478" s="29" t="n">
        <f aca="false">O478*(1+P$461)^($E468*P$462)*(1+P$463)*IF(O441&lt;=0,1,P441/O441)^$F468*(IF(O451&lt;=0,1,P451/O451)^$G468/(1+$H468+$I468))^(1+$F468)</f>
        <v>0</v>
      </c>
      <c r="Q478" s="29" t="n">
        <f aca="false">P478*(1+Q$461)^($E468*Q$462)*(1+Q$463)*IF(P441&lt;=0,1,Q441/P441)^$F468*(IF(P451&lt;=0,1,Q451/P451)^$G468/(1+$H468+$I468))^(1+$F468)</f>
        <v>0</v>
      </c>
      <c r="R478" s="29" t="n">
        <f aca="false">Q478*(1+R$461)^($E468*R$462)*(1+R$463)*IF(Q441&lt;=0,1,R441/Q441)^$F468*(IF(Q451&lt;=0,1,R451/Q451)^$G468/(1+$H468+$I468))^(1+$F468)</f>
        <v>0</v>
      </c>
      <c r="S478" s="29" t="n">
        <f aca="false">R478*(1+S$461)^($E468*S$462)*(1+S$463)*IF(R441&lt;=0,1,S441/R441)^$F468*(IF(R451&lt;=0,1,S451/R451)^$G468/(1+$H468+$I468))^(1+$F468)</f>
        <v>0</v>
      </c>
      <c r="T478" s="29" t="n">
        <f aca="false">S478*(1+T$461)^($E468*T$462)*(1+T$463)*IF(S441&lt;=0,1,T441/S441)^$F468*(IF(S451&lt;=0,1,T451/S451)^$G468/(1+$H468+$I468))^(1+$F468)</f>
        <v>0</v>
      </c>
      <c r="U478" s="29" t="n">
        <f aca="false">T478*(1+U$461)^($E468*U$462)*(1+U$463)*IF(T441&lt;=0,1,U441/T441)^$F468*(IF(T451&lt;=0,1,U451/T451)^$G468/(1+$H468+$I468))^(1+$F468)</f>
        <v>0</v>
      </c>
      <c r="V478" s="29" t="n">
        <f aca="false">U478*(1+V$461)^($E468*V$462)*(1+V$463)*IF(U441&lt;=0,1,V441/U441)^$F468*(IF(U451&lt;=0,1,V451/U451)^$G468/(1+$H468+$I468))^(1+$F468)</f>
        <v>0</v>
      </c>
      <c r="W478" s="29" t="n">
        <f aca="false">V478*(1+W$461)^($E468*W$462)*(1+W$463)*IF(V441&lt;=0,1,W441/V441)^$F468*(IF(V451&lt;=0,1,W451/V451)^$G468/(1+$H468+$I468))^(1+$F468)</f>
        <v>0</v>
      </c>
      <c r="X478" s="29" t="n">
        <f aca="false">W478*(1+X$461)^($E468*X$462)*(1+X$463)*IF(W441&lt;=0,1,X441/W441)^$F468*(IF(W451&lt;=0,1,X451/W451)^$G468/(1+$H468+$I468))^(1+$F468)</f>
        <v>0</v>
      </c>
      <c r="Y478" s="29" t="n">
        <f aca="false">X478*(1+Y$461)^($E468*Y$462)*(1+Y$463)*IF(X441&lt;=0,1,Y441/X441)^$F468*(IF(X451&lt;=0,1,Y451/X451)^$G468/(1+$H468+$I468))^(1+$F468)</f>
        <v>0</v>
      </c>
      <c r="Z478" s="29" t="n">
        <f aca="false">Y478*(1+Z$461)^($E468*Z$462)*(1+Z$463)*IF(Y441&lt;=0,1,Z441/Y441)^$F468*(IF(Y451&lt;=0,1,Z451/Y451)^$G468/(1+$H468+$I468))^(1+$F468)</f>
        <v>0</v>
      </c>
      <c r="AA478" s="29" t="n">
        <f aca="false">Z478*(1+AA$461)^($E468*AA$462)*(1+AA$463)*IF(Z441&lt;=0,1,AA441/Z441)^$F468*(IF(Z451&lt;=0,1,AA451/Z451)^$G468/(1+$H468+$I468))^(1+$F468)</f>
        <v>0</v>
      </c>
      <c r="AB478" s="29" t="n">
        <f aca="false">AA478*(1+AB$461)^($E468*AB$462)*(1+AB$463)*IF(AA441&lt;=0,1,AB441/AA441)^$F468*(IF(AA451&lt;=0,1,AB451/AA451)^$G468/(1+$H468+$I468))^(1+$F468)</f>
        <v>0</v>
      </c>
      <c r="AC478" s="29" t="n">
        <f aca="false">AB478*(1+AC$461)^($E468*AC$462)*(1+AC$463)*IF(AB441&lt;=0,1,AC441/AB441)^$F468*(IF(AB451&lt;=0,1,AC451/AB451)^$G468/(1+$H468+$I468))^(1+$F468)</f>
        <v>0</v>
      </c>
      <c r="AD478" s="29" t="n">
        <f aca="false">AC478*(1+AD$461)^($E468*AD$462)*(1+AD$463)*IF(AC441&lt;=0,1,AD441/AC441)^$F468*(IF(AC451&lt;=0,1,AD451/AC451)^$G468/(1+$H468+$I468))^(1+$F468)</f>
        <v>0</v>
      </c>
      <c r="AE478" s="29" t="n">
        <f aca="false">AD478*(1+AE$461)^($E468*AE$462)*(1+AE$463)*IF(AD441&lt;=0,1,AE441/AD441)^$F468*(IF(AD451&lt;=0,1,AE451/AD451)^$G468/(1+$H468+$I468))^(1+$F468)</f>
        <v>0</v>
      </c>
    </row>
    <row r="479" customFormat="false" ht="15" hidden="false" customHeight="false" outlineLevel="0" collapsed="false">
      <c r="B479" s="17" t="s">
        <v>62</v>
      </c>
      <c r="C479" s="17" t="str">
        <f aca="false">$C$427</f>
        <v>mch</v>
      </c>
      <c r="D479" s="18" t="s">
        <v>63</v>
      </c>
      <c r="E479" s="19" t="s">
        <v>112</v>
      </c>
      <c r="F479" s="17" t="s">
        <v>113</v>
      </c>
      <c r="G479" s="20" t="str">
        <f aca="false">Settings!$B$3&amp;".mit.enc."&amp;$B479</f>
        <v>egy.mit.enc.die</v>
      </c>
      <c r="H479" s="21" t="str">
        <f aca="false">Settings!$B$3&amp;".mit.ener."&amp;$C$427&amp;"."&amp;$B479&amp;".e."&amp;$J$427</f>
        <v>egy.mit.ener.mch.die.e.2</v>
      </c>
      <c r="L479" s="28" t="n">
        <f aca="false">INDEX(Data_Energy!$D$3:$U$22,MATCH($B479,Data_Energy!$C$3:$C$22,0),MATCH($C479,Data_Energy!$D$2:$U$2,0))</f>
        <v>0</v>
      </c>
      <c r="M479" s="29" t="n">
        <f aca="false">L479*(1+M$461)^($E469*M$462)*(1+M$463)*IF(L442&lt;=0,1,M442/L442)^$F469*(IF(L452&lt;=0,1,M452/L452)^$G469/(1+$H469+$I469))^(1+$F469)</f>
        <v>0</v>
      </c>
      <c r="N479" s="29" t="n">
        <f aca="false">M479*(1+N$461)^($E469*N$462)*(1+N$463)*IF(M442&lt;=0,1,N442/M442)^$F469*(IF(M452&lt;=0,1,N452/M452)^$G469/(1+$H469+$I469))^(1+$F469)</f>
        <v>0</v>
      </c>
      <c r="O479" s="29" t="n">
        <f aca="false">N479*(1+O$461)^($E469*O$462)*(1+O$463)*IF(N442&lt;=0,1,O442/N442)^$F469*(IF(N452&lt;=0,1,O452/N452)^$G469/(1+$H469+$I469))^(1+$F469)</f>
        <v>0</v>
      </c>
      <c r="P479" s="29" t="n">
        <f aca="false">O479*(1+P$461)^($E469*P$462)*(1+P$463)*IF(O442&lt;=0,1,P442/O442)^$F469*(IF(O452&lt;=0,1,P452/O452)^$G469/(1+$H469+$I469))^(1+$F469)</f>
        <v>0</v>
      </c>
      <c r="Q479" s="29" t="n">
        <f aca="false">P479*(1+Q$461)^($E469*Q$462)*(1+Q$463)*IF(P442&lt;=0,1,Q442/P442)^$F469*(IF(P452&lt;=0,1,Q452/P452)^$G469/(1+$H469+$I469))^(1+$F469)</f>
        <v>0</v>
      </c>
      <c r="R479" s="29" t="n">
        <f aca="false">Q479*(1+R$461)^($E469*R$462)*(1+R$463)*IF(Q442&lt;=0,1,R442/Q442)^$F469*(IF(Q452&lt;=0,1,R452/Q452)^$G469/(1+$H469+$I469))^(1+$F469)</f>
        <v>0</v>
      </c>
      <c r="S479" s="29" t="n">
        <f aca="false">R479*(1+S$461)^($E469*S$462)*(1+S$463)*IF(R442&lt;=0,1,S442/R442)^$F469*(IF(R452&lt;=0,1,S452/R452)^$G469/(1+$H469+$I469))^(1+$F469)</f>
        <v>0</v>
      </c>
      <c r="T479" s="29" t="n">
        <f aca="false">S479*(1+T$461)^($E469*T$462)*(1+T$463)*IF(S442&lt;=0,1,T442/S442)^$F469*(IF(S452&lt;=0,1,T452/S452)^$G469/(1+$H469+$I469))^(1+$F469)</f>
        <v>0</v>
      </c>
      <c r="U479" s="29" t="n">
        <f aca="false">T479*(1+U$461)^($E469*U$462)*(1+U$463)*IF(T442&lt;=0,1,U442/T442)^$F469*(IF(T452&lt;=0,1,U452/T452)^$G469/(1+$H469+$I469))^(1+$F469)</f>
        <v>0</v>
      </c>
      <c r="V479" s="29" t="n">
        <f aca="false">U479*(1+V$461)^($E469*V$462)*(1+V$463)*IF(U442&lt;=0,1,V442/U442)^$F469*(IF(U452&lt;=0,1,V452/U452)^$G469/(1+$H469+$I469))^(1+$F469)</f>
        <v>0</v>
      </c>
      <c r="W479" s="29" t="n">
        <f aca="false">V479*(1+W$461)^($E469*W$462)*(1+W$463)*IF(V442&lt;=0,1,W442/V442)^$F469*(IF(V452&lt;=0,1,W452/V452)^$G469/(1+$H469+$I469))^(1+$F469)</f>
        <v>0</v>
      </c>
      <c r="X479" s="29" t="n">
        <f aca="false">W479*(1+X$461)^($E469*X$462)*(1+X$463)*IF(W442&lt;=0,1,X442/W442)^$F469*(IF(W452&lt;=0,1,X452/W452)^$G469/(1+$H469+$I469))^(1+$F469)</f>
        <v>0</v>
      </c>
      <c r="Y479" s="29" t="n">
        <f aca="false">X479*(1+Y$461)^($E469*Y$462)*(1+Y$463)*IF(X442&lt;=0,1,Y442/X442)^$F469*(IF(X452&lt;=0,1,Y452/X452)^$G469/(1+$H469+$I469))^(1+$F469)</f>
        <v>0</v>
      </c>
      <c r="Z479" s="29" t="n">
        <f aca="false">Y479*(1+Z$461)^($E469*Z$462)*(1+Z$463)*IF(Y442&lt;=0,1,Z442/Y442)^$F469*(IF(Y452&lt;=0,1,Z452/Y452)^$G469/(1+$H469+$I469))^(1+$F469)</f>
        <v>0</v>
      </c>
      <c r="AA479" s="29" t="n">
        <f aca="false">Z479*(1+AA$461)^($E469*AA$462)*(1+AA$463)*IF(Z442&lt;=0,1,AA442/Z442)^$F469*(IF(Z452&lt;=0,1,AA452/Z452)^$G469/(1+$H469+$I469))^(1+$F469)</f>
        <v>0</v>
      </c>
      <c r="AB479" s="29" t="n">
        <f aca="false">AA479*(1+AB$461)^($E469*AB$462)*(1+AB$463)*IF(AA442&lt;=0,1,AB442/AA442)^$F469*(IF(AA452&lt;=0,1,AB452/AA452)^$G469/(1+$H469+$I469))^(1+$F469)</f>
        <v>0</v>
      </c>
      <c r="AC479" s="29" t="n">
        <f aca="false">AB479*(1+AC$461)^($E469*AC$462)*(1+AC$463)*IF(AB442&lt;=0,1,AC442/AB442)^$F469*(IF(AB452&lt;=0,1,AC452/AB452)^$G469/(1+$H469+$I469))^(1+$F469)</f>
        <v>0</v>
      </c>
      <c r="AD479" s="29" t="n">
        <f aca="false">AC479*(1+AD$461)^($E469*AD$462)*(1+AD$463)*IF(AC442&lt;=0,1,AD442/AC442)^$F469*(IF(AC452&lt;=0,1,AD452/AC452)^$G469/(1+$H469+$I469))^(1+$F469)</f>
        <v>0</v>
      </c>
      <c r="AE479" s="29" t="n">
        <f aca="false">AD479*(1+AE$461)^($E469*AE$462)*(1+AE$463)*IF(AD442&lt;=0,1,AE442/AD442)^$F469*(IF(AD452&lt;=0,1,AE452/AD452)^$G469/(1+$H469+$I469))^(1+$F469)</f>
        <v>0</v>
      </c>
    </row>
    <row r="480" customFormat="false" ht="15" hidden="false" customHeight="false" outlineLevel="0" collapsed="false">
      <c r="B480" s="17" t="s">
        <v>64</v>
      </c>
      <c r="C480" s="17" t="str">
        <f aca="false">$C$427</f>
        <v>mch</v>
      </c>
      <c r="D480" s="18" t="s">
        <v>65</v>
      </c>
      <c r="E480" s="19" t="s">
        <v>112</v>
      </c>
      <c r="F480" s="17" t="s">
        <v>113</v>
      </c>
      <c r="G480" s="20" t="str">
        <f aca="false">Settings!$B$3&amp;".mit.enc."&amp;$B480</f>
        <v>egy.mit.enc.lpg</v>
      </c>
      <c r="H480" s="21" t="str">
        <f aca="false">Settings!$B$3&amp;".mit.ener."&amp;$C$427&amp;"."&amp;$B480&amp;".e."&amp;$J$427</f>
        <v>egy.mit.ener.mch.lpg.e.2</v>
      </c>
      <c r="L480" s="28" t="n">
        <f aca="false">INDEX(Data_Energy!$D$3:$U$22,MATCH($B480,Data_Energy!$C$3:$C$22,0),MATCH($C480,Data_Energy!$D$2:$U$2,0))</f>
        <v>0</v>
      </c>
      <c r="M480" s="29" t="n">
        <f aca="false">L480*(1+M$461)^($E470*M$462)*(1+M$463)*IF(L443&lt;=0,1,M443/L443)^$F470*(IF(L453&lt;=0,1,M453/L453)^$G470/(1+$H470+$I470))^(1+$F470)</f>
        <v>0</v>
      </c>
      <c r="N480" s="29" t="n">
        <f aca="false">M480*(1+N$461)^($E470*N$462)*(1+N$463)*IF(M443&lt;=0,1,N443/M443)^$F470*(IF(M453&lt;=0,1,N453/M453)^$G470/(1+$H470+$I470))^(1+$F470)</f>
        <v>0</v>
      </c>
      <c r="O480" s="29" t="n">
        <f aca="false">N480*(1+O$461)^($E470*O$462)*(1+O$463)*IF(N443&lt;=0,1,O443/N443)^$F470*(IF(N453&lt;=0,1,O453/N453)^$G470/(1+$H470+$I470))^(1+$F470)</f>
        <v>0</v>
      </c>
      <c r="P480" s="29" t="n">
        <f aca="false">O480*(1+P$461)^($E470*P$462)*(1+P$463)*IF(O443&lt;=0,1,P443/O443)^$F470*(IF(O453&lt;=0,1,P453/O453)^$G470/(1+$H470+$I470))^(1+$F470)</f>
        <v>0</v>
      </c>
      <c r="Q480" s="29" t="n">
        <f aca="false">P480*(1+Q$461)^($E470*Q$462)*(1+Q$463)*IF(P443&lt;=0,1,Q443/P443)^$F470*(IF(P453&lt;=0,1,Q453/P453)^$G470/(1+$H470+$I470))^(1+$F470)</f>
        <v>0</v>
      </c>
      <c r="R480" s="29" t="n">
        <f aca="false">Q480*(1+R$461)^($E470*R$462)*(1+R$463)*IF(Q443&lt;=0,1,R443/Q443)^$F470*(IF(Q453&lt;=0,1,R453/Q453)^$G470/(1+$H470+$I470))^(1+$F470)</f>
        <v>0</v>
      </c>
      <c r="S480" s="29" t="n">
        <f aca="false">R480*(1+S$461)^($E470*S$462)*(1+S$463)*IF(R443&lt;=0,1,S443/R443)^$F470*(IF(R453&lt;=0,1,S453/R453)^$G470/(1+$H470+$I470))^(1+$F470)</f>
        <v>0</v>
      </c>
      <c r="T480" s="29" t="n">
        <f aca="false">S480*(1+T$461)^($E470*T$462)*(1+T$463)*IF(S443&lt;=0,1,T443/S443)^$F470*(IF(S453&lt;=0,1,T453/S453)^$G470/(1+$H470+$I470))^(1+$F470)</f>
        <v>0</v>
      </c>
      <c r="U480" s="29" t="n">
        <f aca="false">T480*(1+U$461)^($E470*U$462)*(1+U$463)*IF(T443&lt;=0,1,U443/T443)^$F470*(IF(T453&lt;=0,1,U453/T453)^$G470/(1+$H470+$I470))^(1+$F470)</f>
        <v>0</v>
      </c>
      <c r="V480" s="29" t="n">
        <f aca="false">U480*(1+V$461)^($E470*V$462)*(1+V$463)*IF(U443&lt;=0,1,V443/U443)^$F470*(IF(U453&lt;=0,1,V453/U453)^$G470/(1+$H470+$I470))^(1+$F470)</f>
        <v>0</v>
      </c>
      <c r="W480" s="29" t="n">
        <f aca="false">V480*(1+W$461)^($E470*W$462)*(1+W$463)*IF(V443&lt;=0,1,W443/V443)^$F470*(IF(V453&lt;=0,1,W453/V453)^$G470/(1+$H470+$I470))^(1+$F470)</f>
        <v>0</v>
      </c>
      <c r="X480" s="29" t="n">
        <f aca="false">W480*(1+X$461)^($E470*X$462)*(1+X$463)*IF(W443&lt;=0,1,X443/W443)^$F470*(IF(W453&lt;=0,1,X453/W453)^$G470/(1+$H470+$I470))^(1+$F470)</f>
        <v>0</v>
      </c>
      <c r="Y480" s="29" t="n">
        <f aca="false">X480*(1+Y$461)^($E470*Y$462)*(1+Y$463)*IF(X443&lt;=0,1,Y443/X443)^$F470*(IF(X453&lt;=0,1,Y453/X453)^$G470/(1+$H470+$I470))^(1+$F470)</f>
        <v>0</v>
      </c>
      <c r="Z480" s="29" t="n">
        <f aca="false">Y480*(1+Z$461)^($E470*Z$462)*(1+Z$463)*IF(Y443&lt;=0,1,Z443/Y443)^$F470*(IF(Y453&lt;=0,1,Z453/Y453)^$G470/(1+$H470+$I470))^(1+$F470)</f>
        <v>0</v>
      </c>
      <c r="AA480" s="29" t="n">
        <f aca="false">Z480*(1+AA$461)^($E470*AA$462)*(1+AA$463)*IF(Z443&lt;=0,1,AA443/Z443)^$F470*(IF(Z453&lt;=0,1,AA453/Z453)^$G470/(1+$H470+$I470))^(1+$F470)</f>
        <v>0</v>
      </c>
      <c r="AB480" s="29" t="n">
        <f aca="false">AA480*(1+AB$461)^($E470*AB$462)*(1+AB$463)*IF(AA443&lt;=0,1,AB443/AA443)^$F470*(IF(AA453&lt;=0,1,AB453/AA453)^$G470/(1+$H470+$I470))^(1+$F470)</f>
        <v>0</v>
      </c>
      <c r="AC480" s="29" t="n">
        <f aca="false">AB480*(1+AC$461)^($E470*AC$462)*(1+AC$463)*IF(AB443&lt;=0,1,AC443/AB443)^$F470*(IF(AB453&lt;=0,1,AC453/AB453)^$G470/(1+$H470+$I470))^(1+$F470)</f>
        <v>0</v>
      </c>
      <c r="AD480" s="29" t="n">
        <f aca="false">AC480*(1+AD$461)^($E470*AD$462)*(1+AD$463)*IF(AC443&lt;=0,1,AD443/AC443)^$F470*(IF(AC453&lt;=0,1,AD453/AC453)^$G470/(1+$H470+$I470))^(1+$F470)</f>
        <v>0</v>
      </c>
      <c r="AE480" s="29" t="n">
        <f aca="false">AD480*(1+AE$461)^($E470*AE$462)*(1+AE$463)*IF(AD443&lt;=0,1,AE443/AD443)^$F470*(IF(AD453&lt;=0,1,AE453/AD453)^$G470/(1+$H470+$I470))^(1+$F470)</f>
        <v>0</v>
      </c>
    </row>
    <row r="481" customFormat="false" ht="15" hidden="false" customHeight="false" outlineLevel="0" collapsed="false">
      <c r="B481" s="17" t="s">
        <v>66</v>
      </c>
      <c r="C481" s="17" t="str">
        <f aca="false">$C$427</f>
        <v>mch</v>
      </c>
      <c r="D481" s="18" t="s">
        <v>67</v>
      </c>
      <c r="E481" s="19" t="s">
        <v>112</v>
      </c>
      <c r="F481" s="17" t="s">
        <v>113</v>
      </c>
      <c r="G481" s="20" t="str">
        <f aca="false">Settings!$B$3&amp;".mit.enc."&amp;$B481</f>
        <v>egy.mit.enc.ker</v>
      </c>
      <c r="H481" s="21" t="str">
        <f aca="false">Settings!$B$3&amp;".mit.ener."&amp;$C$427&amp;"."&amp;$B481&amp;".e."&amp;$J$427</f>
        <v>egy.mit.ener.mch.ker.e.2</v>
      </c>
      <c r="L481" s="28" t="n">
        <f aca="false">INDEX(Data_Energy!$D$3:$U$22,MATCH($B481,Data_Energy!$C$3:$C$22,0),MATCH($C481,Data_Energy!$D$2:$U$2,0))</f>
        <v>0</v>
      </c>
      <c r="M481" s="29" t="n">
        <f aca="false">L481*(1+M$461)^($E471*M$462)*(1+M$463)*IF(L444&lt;=0,1,M444/L444)^$F471*(IF(L454&lt;=0,1,M454/L454)^$G471/(1+$H471+$I471))^(1+$F471)</f>
        <v>0</v>
      </c>
      <c r="N481" s="29" t="n">
        <f aca="false">M481*(1+N$461)^($E471*N$462)*(1+N$463)*IF(M444&lt;=0,1,N444/M444)^$F471*(IF(M454&lt;=0,1,N454/M454)^$G471/(1+$H471+$I471))^(1+$F471)</f>
        <v>0</v>
      </c>
      <c r="O481" s="29" t="n">
        <f aca="false">N481*(1+O$461)^($E471*O$462)*(1+O$463)*IF(N444&lt;=0,1,O444/N444)^$F471*(IF(N454&lt;=0,1,O454/N454)^$G471/(1+$H471+$I471))^(1+$F471)</f>
        <v>0</v>
      </c>
      <c r="P481" s="29" t="n">
        <f aca="false">O481*(1+P$461)^($E471*P$462)*(1+P$463)*IF(O444&lt;=0,1,P444/O444)^$F471*(IF(O454&lt;=0,1,P454/O454)^$G471/(1+$H471+$I471))^(1+$F471)</f>
        <v>0</v>
      </c>
      <c r="Q481" s="29" t="n">
        <f aca="false">P481*(1+Q$461)^($E471*Q$462)*(1+Q$463)*IF(P444&lt;=0,1,Q444/P444)^$F471*(IF(P454&lt;=0,1,Q454/P454)^$G471/(1+$H471+$I471))^(1+$F471)</f>
        <v>0</v>
      </c>
      <c r="R481" s="29" t="n">
        <f aca="false">Q481*(1+R$461)^($E471*R$462)*(1+R$463)*IF(Q444&lt;=0,1,R444/Q444)^$F471*(IF(Q454&lt;=0,1,R454/Q454)^$G471/(1+$H471+$I471))^(1+$F471)</f>
        <v>0</v>
      </c>
      <c r="S481" s="29" t="n">
        <f aca="false">R481*(1+S$461)^($E471*S$462)*(1+S$463)*IF(R444&lt;=0,1,S444/R444)^$F471*(IF(R454&lt;=0,1,S454/R454)^$G471/(1+$H471+$I471))^(1+$F471)</f>
        <v>0</v>
      </c>
      <c r="T481" s="29" t="n">
        <f aca="false">S481*(1+T$461)^($E471*T$462)*(1+T$463)*IF(S444&lt;=0,1,T444/S444)^$F471*(IF(S454&lt;=0,1,T454/S454)^$G471/(1+$H471+$I471))^(1+$F471)</f>
        <v>0</v>
      </c>
      <c r="U481" s="29" t="n">
        <f aca="false">T481*(1+U$461)^($E471*U$462)*(1+U$463)*IF(T444&lt;=0,1,U444/T444)^$F471*(IF(T454&lt;=0,1,U454/T454)^$G471/(1+$H471+$I471))^(1+$F471)</f>
        <v>0</v>
      </c>
      <c r="V481" s="29" t="n">
        <f aca="false">U481*(1+V$461)^($E471*V$462)*(1+V$463)*IF(U444&lt;=0,1,V444/U444)^$F471*(IF(U454&lt;=0,1,V454/U454)^$G471/(1+$H471+$I471))^(1+$F471)</f>
        <v>0</v>
      </c>
      <c r="W481" s="29" t="n">
        <f aca="false">V481*(1+W$461)^($E471*W$462)*(1+W$463)*IF(V444&lt;=0,1,W444/V444)^$F471*(IF(V454&lt;=0,1,W454/V454)^$G471/(1+$H471+$I471))^(1+$F471)</f>
        <v>0</v>
      </c>
      <c r="X481" s="29" t="n">
        <f aca="false">W481*(1+X$461)^($E471*X$462)*(1+X$463)*IF(W444&lt;=0,1,X444/W444)^$F471*(IF(W454&lt;=0,1,X454/W454)^$G471/(1+$H471+$I471))^(1+$F471)</f>
        <v>0</v>
      </c>
      <c r="Y481" s="29" t="n">
        <f aca="false">X481*(1+Y$461)^($E471*Y$462)*(1+Y$463)*IF(X444&lt;=0,1,Y444/X444)^$F471*(IF(X454&lt;=0,1,Y454/X454)^$G471/(1+$H471+$I471))^(1+$F471)</f>
        <v>0</v>
      </c>
      <c r="Z481" s="29" t="n">
        <f aca="false">Y481*(1+Z$461)^($E471*Z$462)*(1+Z$463)*IF(Y444&lt;=0,1,Z444/Y444)^$F471*(IF(Y454&lt;=0,1,Z454/Y454)^$G471/(1+$H471+$I471))^(1+$F471)</f>
        <v>0</v>
      </c>
      <c r="AA481" s="29" t="n">
        <f aca="false">Z481*(1+AA$461)^($E471*AA$462)*(1+AA$463)*IF(Z444&lt;=0,1,AA444/Z444)^$F471*(IF(Z454&lt;=0,1,AA454/Z454)^$G471/(1+$H471+$I471))^(1+$F471)</f>
        <v>0</v>
      </c>
      <c r="AB481" s="29" t="n">
        <f aca="false">AA481*(1+AB$461)^($E471*AB$462)*(1+AB$463)*IF(AA444&lt;=0,1,AB444/AA444)^$F471*(IF(AA454&lt;=0,1,AB454/AA454)^$G471/(1+$H471+$I471))^(1+$F471)</f>
        <v>0</v>
      </c>
      <c r="AC481" s="29" t="n">
        <f aca="false">AB481*(1+AC$461)^($E471*AC$462)*(1+AC$463)*IF(AB444&lt;=0,1,AC444/AB444)^$F471*(IF(AB454&lt;=0,1,AC454/AB454)^$G471/(1+$H471+$I471))^(1+$F471)</f>
        <v>0</v>
      </c>
      <c r="AD481" s="29" t="n">
        <f aca="false">AC481*(1+AD$461)^($E471*AD$462)*(1+AD$463)*IF(AC444&lt;=0,1,AD444/AC444)^$F471*(IF(AC454&lt;=0,1,AD454/AC454)^$G471/(1+$H471+$I471))^(1+$F471)</f>
        <v>0</v>
      </c>
      <c r="AE481" s="29" t="n">
        <f aca="false">AD481*(1+AE$461)^($E471*AE$462)*(1+AE$463)*IF(AD444&lt;=0,1,AE444/AD444)^$F471*(IF(AD454&lt;=0,1,AE454/AD454)^$G471/(1+$H471+$I471))^(1+$F471)</f>
        <v>0</v>
      </c>
    </row>
    <row r="482" customFormat="false" ht="15" hidden="false" customHeight="false" outlineLevel="0" collapsed="false">
      <c r="B482" s="17" t="s">
        <v>68</v>
      </c>
      <c r="C482" s="17" t="str">
        <f aca="false">$C$427</f>
        <v>mch</v>
      </c>
      <c r="D482" s="18" t="s">
        <v>69</v>
      </c>
      <c r="E482" s="19" t="s">
        <v>112</v>
      </c>
      <c r="F482" s="17" t="s">
        <v>113</v>
      </c>
      <c r="G482" s="20" t="str">
        <f aca="false">Settings!$B$3&amp;".mit.enc."&amp;$B482</f>
        <v>egy.mit.enc.oop</v>
      </c>
      <c r="H482" s="21" t="str">
        <f aca="false">Settings!$B$3&amp;".mit.ener."&amp;$C$427&amp;"."&amp;$B482&amp;".e."&amp;$J$427</f>
        <v>egy.mit.ener.mch.oop.e.2</v>
      </c>
      <c r="L482" s="28" t="n">
        <f aca="false">INDEX(Data_Energy!$D$3:$U$22,MATCH($B482,Data_Energy!$C$3:$C$22,0),MATCH($C482,Data_Energy!$D$2:$U$2,0))</f>
        <v>0</v>
      </c>
      <c r="M482" s="29" t="n">
        <f aca="false">L482*(1+M$461)^($E472*M$462)*(1+M$463)*IF(L445&lt;=0,1,M445/L445)^$F472*(IF(L455&lt;=0,1,M455/L455)^$G472/(1+$H472+$I472))^(1+$F472)</f>
        <v>0</v>
      </c>
      <c r="N482" s="29" t="n">
        <f aca="false">M482*(1+N$461)^($E472*N$462)*(1+N$463)*IF(M445&lt;=0,1,N445/M445)^$F472*(IF(M455&lt;=0,1,N455/M455)^$G472/(1+$H472+$I472))^(1+$F472)</f>
        <v>0</v>
      </c>
      <c r="O482" s="29" t="n">
        <f aca="false">N482*(1+O$461)^($E472*O$462)*(1+O$463)*IF(N445&lt;=0,1,O445/N445)^$F472*(IF(N455&lt;=0,1,O455/N455)^$G472/(1+$H472+$I472))^(1+$F472)</f>
        <v>0</v>
      </c>
      <c r="P482" s="29" t="n">
        <f aca="false">O482*(1+P$461)^($E472*P$462)*(1+P$463)*IF(O445&lt;=0,1,P445/O445)^$F472*(IF(O455&lt;=0,1,P455/O455)^$G472/(1+$H472+$I472))^(1+$F472)</f>
        <v>0</v>
      </c>
      <c r="Q482" s="29" t="n">
        <f aca="false">P482*(1+Q$461)^($E472*Q$462)*(1+Q$463)*IF(P445&lt;=0,1,Q445/P445)^$F472*(IF(P455&lt;=0,1,Q455/P455)^$G472/(1+$H472+$I472))^(1+$F472)</f>
        <v>0</v>
      </c>
      <c r="R482" s="29" t="n">
        <f aca="false">Q482*(1+R$461)^($E472*R$462)*(1+R$463)*IF(Q445&lt;=0,1,R445/Q445)^$F472*(IF(Q455&lt;=0,1,R455/Q455)^$G472/(1+$H472+$I472))^(1+$F472)</f>
        <v>0</v>
      </c>
      <c r="S482" s="29" t="n">
        <f aca="false">R482*(1+S$461)^($E472*S$462)*(1+S$463)*IF(R445&lt;=0,1,S445/R445)^$F472*(IF(R455&lt;=0,1,S455/R455)^$G472/(1+$H472+$I472))^(1+$F472)</f>
        <v>0</v>
      </c>
      <c r="T482" s="29" t="n">
        <f aca="false">S482*(1+T$461)^($E472*T$462)*(1+T$463)*IF(S445&lt;=0,1,T445/S445)^$F472*(IF(S455&lt;=0,1,T455/S455)^$G472/(1+$H472+$I472))^(1+$F472)</f>
        <v>0</v>
      </c>
      <c r="U482" s="29" t="n">
        <f aca="false">T482*(1+U$461)^($E472*U$462)*(1+U$463)*IF(T445&lt;=0,1,U445/T445)^$F472*(IF(T455&lt;=0,1,U455/T455)^$G472/(1+$H472+$I472))^(1+$F472)</f>
        <v>0</v>
      </c>
      <c r="V482" s="29" t="n">
        <f aca="false">U482*(1+V$461)^($E472*V$462)*(1+V$463)*IF(U445&lt;=0,1,V445/U445)^$F472*(IF(U455&lt;=0,1,V455/U455)^$G472/(1+$H472+$I472))^(1+$F472)</f>
        <v>0</v>
      </c>
      <c r="W482" s="29" t="n">
        <f aca="false">V482*(1+W$461)^($E472*W$462)*(1+W$463)*IF(V445&lt;=0,1,W445/V445)^$F472*(IF(V455&lt;=0,1,W455/V455)^$G472/(1+$H472+$I472))^(1+$F472)</f>
        <v>0</v>
      </c>
      <c r="X482" s="29" t="n">
        <f aca="false">W482*(1+X$461)^($E472*X$462)*(1+X$463)*IF(W445&lt;=0,1,X445/W445)^$F472*(IF(W455&lt;=0,1,X455/W455)^$G472/(1+$H472+$I472))^(1+$F472)</f>
        <v>0</v>
      </c>
      <c r="Y482" s="29" t="n">
        <f aca="false">X482*(1+Y$461)^($E472*Y$462)*(1+Y$463)*IF(X445&lt;=0,1,Y445/X445)^$F472*(IF(X455&lt;=0,1,Y455/X455)^$G472/(1+$H472+$I472))^(1+$F472)</f>
        <v>0</v>
      </c>
      <c r="Z482" s="29" t="n">
        <f aca="false">Y482*(1+Z$461)^($E472*Z$462)*(1+Z$463)*IF(Y445&lt;=0,1,Z445/Y445)^$F472*(IF(Y455&lt;=0,1,Z455/Y455)^$G472/(1+$H472+$I472))^(1+$F472)</f>
        <v>0</v>
      </c>
      <c r="AA482" s="29" t="n">
        <f aca="false">Z482*(1+AA$461)^($E472*AA$462)*(1+AA$463)*IF(Z445&lt;=0,1,AA445/Z445)^$F472*(IF(Z455&lt;=0,1,AA455/Z455)^$G472/(1+$H472+$I472))^(1+$F472)</f>
        <v>0</v>
      </c>
      <c r="AB482" s="29" t="n">
        <f aca="false">AA482*(1+AB$461)^($E472*AB$462)*(1+AB$463)*IF(AA445&lt;=0,1,AB445/AA445)^$F472*(IF(AA455&lt;=0,1,AB455/AA455)^$G472/(1+$H472+$I472))^(1+$F472)</f>
        <v>0</v>
      </c>
      <c r="AC482" s="29" t="n">
        <f aca="false">AB482*(1+AC$461)^($E472*AC$462)*(1+AC$463)*IF(AB445&lt;=0,1,AC445/AB445)^$F472*(IF(AB455&lt;=0,1,AC455/AB455)^$G472/(1+$H472+$I472))^(1+$F472)</f>
        <v>0</v>
      </c>
      <c r="AD482" s="29" t="n">
        <f aca="false">AC482*(1+AD$461)^($E472*AD$462)*(1+AD$463)*IF(AC445&lt;=0,1,AD445/AC445)^$F472*(IF(AC455&lt;=0,1,AD455/AC455)^$G472/(1+$H472+$I472))^(1+$F472)</f>
        <v>0</v>
      </c>
      <c r="AE482" s="29" t="n">
        <f aca="false">AD482*(1+AE$461)^($E472*AE$462)*(1+AE$463)*IF(AD445&lt;=0,1,AE445/AD445)^$F472*(IF(AD455&lt;=0,1,AE455/AD455)^$G472/(1+$H472+$I472))^(1+$F472)</f>
        <v>0</v>
      </c>
    </row>
    <row r="483" customFormat="false" ht="15" hidden="false" customHeight="false" outlineLevel="0" collapsed="false">
      <c r="B483" s="17" t="s">
        <v>71</v>
      </c>
      <c r="C483" s="17" t="str">
        <f aca="false">$C$427</f>
        <v>mch</v>
      </c>
      <c r="D483" s="18" t="s">
        <v>72</v>
      </c>
      <c r="E483" s="19" t="s">
        <v>112</v>
      </c>
      <c r="F483" s="17" t="s">
        <v>113</v>
      </c>
      <c r="G483" s="20" t="str">
        <f aca="false">Settings!$B$3&amp;".mit.enc."&amp;$B483</f>
        <v>egy.mit.enc.bio</v>
      </c>
      <c r="H483" s="21" t="str">
        <f aca="false">Settings!$B$3&amp;".mit.ener."&amp;$C$427&amp;"."&amp;$B483&amp;".e."&amp;$J$427</f>
        <v>egy.mit.ener.mch.bio.e.2</v>
      </c>
      <c r="L483" s="28" t="n">
        <f aca="false">INDEX(Data_Energy!$D$3:$U$22,MATCH($B483,Data_Energy!$C$3:$C$22,0),MATCH($C483,Data_Energy!$D$2:$U$2,0))</f>
        <v>0</v>
      </c>
      <c r="M483" s="29" t="n">
        <f aca="false">L483*(1+M$461)^($E473*M$462)*(1+M$463)*IF(L446&lt;=0,1,M446/L446)^$F473*(IF(L456&lt;=0,1,M456/L456)^$G473/(1+$H473+$I473))^(1+$F473)</f>
        <v>0</v>
      </c>
      <c r="N483" s="29" t="n">
        <f aca="false">M483*(1+N$461)^($E473*N$462)*(1+N$463)*IF(M446&lt;=0,1,N446/M446)^$F473*(IF(M456&lt;=0,1,N456/M456)^$G473/(1+$H473+$I473))^(1+$F473)</f>
        <v>0</v>
      </c>
      <c r="O483" s="29" t="n">
        <f aca="false">N483*(1+O$461)^($E473*O$462)*(1+O$463)*IF(N446&lt;=0,1,O446/N446)^$F473*(IF(N456&lt;=0,1,O456/N456)^$G473/(1+$H473+$I473))^(1+$F473)</f>
        <v>0</v>
      </c>
      <c r="P483" s="29" t="n">
        <f aca="false">O483*(1+P$461)^($E473*P$462)*(1+P$463)*IF(O446&lt;=0,1,P446/O446)^$F473*(IF(O456&lt;=0,1,P456/O456)^$G473/(1+$H473+$I473))^(1+$F473)</f>
        <v>0</v>
      </c>
      <c r="Q483" s="29" t="n">
        <f aca="false">P483*(1+Q$461)^($E473*Q$462)*(1+Q$463)*IF(P446&lt;=0,1,Q446/P446)^$F473*(IF(P456&lt;=0,1,Q456/P456)^$G473/(1+$H473+$I473))^(1+$F473)</f>
        <v>0</v>
      </c>
      <c r="R483" s="29" t="n">
        <f aca="false">Q483*(1+R$461)^($E473*R$462)*(1+R$463)*IF(Q446&lt;=0,1,R446/Q446)^$F473*(IF(Q456&lt;=0,1,R456/Q456)^$G473/(1+$H473+$I473))^(1+$F473)</f>
        <v>0</v>
      </c>
      <c r="S483" s="29" t="n">
        <f aca="false">R483*(1+S$461)^($E473*S$462)*(1+S$463)*IF(R446&lt;=0,1,S446/R446)^$F473*(IF(R456&lt;=0,1,S456/R456)^$G473/(1+$H473+$I473))^(1+$F473)</f>
        <v>0</v>
      </c>
      <c r="T483" s="29" t="n">
        <f aca="false">S483*(1+T$461)^($E473*T$462)*(1+T$463)*IF(S446&lt;=0,1,T446/S446)^$F473*(IF(S456&lt;=0,1,T456/S456)^$G473/(1+$H473+$I473))^(1+$F473)</f>
        <v>0</v>
      </c>
      <c r="U483" s="29" t="n">
        <f aca="false">T483*(1+U$461)^($E473*U$462)*(1+U$463)*IF(T446&lt;=0,1,U446/T446)^$F473*(IF(T456&lt;=0,1,U456/T456)^$G473/(1+$H473+$I473))^(1+$F473)</f>
        <v>0</v>
      </c>
      <c r="V483" s="29" t="n">
        <f aca="false">U483*(1+V$461)^($E473*V$462)*(1+V$463)*IF(U446&lt;=0,1,V446/U446)^$F473*(IF(U456&lt;=0,1,V456/U456)^$G473/(1+$H473+$I473))^(1+$F473)</f>
        <v>0</v>
      </c>
      <c r="W483" s="29" t="n">
        <f aca="false">V483*(1+W$461)^($E473*W$462)*(1+W$463)*IF(V446&lt;=0,1,W446/V446)^$F473*(IF(V456&lt;=0,1,W456/V456)^$G473/(1+$H473+$I473))^(1+$F473)</f>
        <v>0</v>
      </c>
      <c r="X483" s="29" t="n">
        <f aca="false">W483*(1+X$461)^($E473*X$462)*(1+X$463)*IF(W446&lt;=0,1,X446/W446)^$F473*(IF(W456&lt;=0,1,X456/W456)^$G473/(1+$H473+$I473))^(1+$F473)</f>
        <v>0</v>
      </c>
      <c r="Y483" s="29" t="n">
        <f aca="false">X483*(1+Y$461)^($E473*Y$462)*(1+Y$463)*IF(X446&lt;=0,1,Y446/X446)^$F473*(IF(X456&lt;=0,1,Y456/X456)^$G473/(1+$H473+$I473))^(1+$F473)</f>
        <v>0</v>
      </c>
      <c r="Z483" s="29" t="n">
        <f aca="false">Y483*(1+Z$461)^($E473*Z$462)*(1+Z$463)*IF(Y446&lt;=0,1,Z446/Y446)^$F473*(IF(Y456&lt;=0,1,Z456/Y456)^$G473/(1+$H473+$I473))^(1+$F473)</f>
        <v>0</v>
      </c>
      <c r="AA483" s="29" t="n">
        <f aca="false">Z483*(1+AA$461)^($E473*AA$462)*(1+AA$463)*IF(Z446&lt;=0,1,AA446/Z446)^$F473*(IF(Z456&lt;=0,1,AA456/Z456)^$G473/(1+$H473+$I473))^(1+$F473)</f>
        <v>0</v>
      </c>
      <c r="AB483" s="29" t="n">
        <f aca="false">AA483*(1+AB$461)^($E473*AB$462)*(1+AB$463)*IF(AA446&lt;=0,1,AB446/AA446)^$F473*(IF(AA456&lt;=0,1,AB456/AA456)^$G473/(1+$H473+$I473))^(1+$F473)</f>
        <v>0</v>
      </c>
      <c r="AC483" s="29" t="n">
        <f aca="false">AB483*(1+AC$461)^($E473*AC$462)*(1+AC$463)*IF(AB446&lt;=0,1,AC446/AB446)^$F473*(IF(AB456&lt;=0,1,AC456/AB456)^$G473/(1+$H473+$I473))^(1+$F473)</f>
        <v>0</v>
      </c>
      <c r="AD483" s="29" t="n">
        <f aca="false">AC483*(1+AD$461)^($E473*AD$462)*(1+AD$463)*IF(AC446&lt;=0,1,AD446/AC446)^$F473*(IF(AC456&lt;=0,1,AD456/AC456)^$G473/(1+$H473+$I473))^(1+$F473)</f>
        <v>0</v>
      </c>
      <c r="AE483" s="29" t="n">
        <f aca="false">AD483*(1+AE$461)^($E473*AE$462)*(1+AE$463)*IF(AD446&lt;=0,1,AE446/AD446)^$F473*(IF(AD456&lt;=0,1,AE456/AD456)^$G473/(1+$H473+$I473))^(1+$F473)</f>
        <v>0</v>
      </c>
    </row>
    <row r="484" customFormat="false" ht="15" hidden="false" customHeight="false" outlineLevel="0" collapsed="false">
      <c r="B484" s="17" t="s">
        <v>73</v>
      </c>
      <c r="C484" s="17" t="str">
        <f aca="false">$C$427</f>
        <v>mch</v>
      </c>
      <c r="D484" s="18" t="s">
        <v>74</v>
      </c>
      <c r="E484" s="19" t="s">
        <v>112</v>
      </c>
      <c r="F484" s="17" t="s">
        <v>113</v>
      </c>
      <c r="G484" s="20" t="str">
        <f aca="false">Settings!$B$3&amp;".mit.enc."&amp;$B484</f>
        <v>egy.mit.enc.ren</v>
      </c>
      <c r="H484" s="21" t="str">
        <f aca="false">Settings!$B$3&amp;".mit.ener."&amp;$C$427&amp;"."&amp;$B484&amp;".e."&amp;$J$427</f>
        <v>egy.mit.ener.mch.ren.e.2</v>
      </c>
      <c r="L484" s="28" t="n">
        <f aca="false">INDEX(Data_Energy!$D$3:$U$22,MATCH($B484,Data_Energy!$C$3:$C$22,0),MATCH($C484,Data_Energy!$D$2:$U$2,0))</f>
        <v>0</v>
      </c>
      <c r="M484" s="29" t="n">
        <f aca="false">L484*(1+M$461)^($E474*M$462)*(1+M$463)*IF(L447&lt;=0,1,M447/L447)^$F474*(IF(L457&lt;=0,1,M457/L457)^$G474/(1+$H474+$I474))^(1+$F474)</f>
        <v>0</v>
      </c>
      <c r="N484" s="29" t="n">
        <f aca="false">M484*(1+N$461)^($E474*N$462)*(1+N$463)*IF(M447&lt;=0,1,N447/M447)^$F474*(IF(M457&lt;=0,1,N457/M457)^$G474/(1+$H474+$I474))^(1+$F474)</f>
        <v>0</v>
      </c>
      <c r="O484" s="29" t="n">
        <f aca="false">N484*(1+O$461)^($E474*O$462)*(1+O$463)*IF(N447&lt;=0,1,O447/N447)^$F474*(IF(N457&lt;=0,1,O457/N457)^$G474/(1+$H474+$I474))^(1+$F474)</f>
        <v>0</v>
      </c>
      <c r="P484" s="29" t="n">
        <f aca="false">O484*(1+P$461)^($E474*P$462)*(1+P$463)*IF(O447&lt;=0,1,P447/O447)^$F474*(IF(O457&lt;=0,1,P457/O457)^$G474/(1+$H474+$I474))^(1+$F474)</f>
        <v>0</v>
      </c>
      <c r="Q484" s="29" t="n">
        <f aca="false">P484*(1+Q$461)^($E474*Q$462)*(1+Q$463)*IF(P447&lt;=0,1,Q447/P447)^$F474*(IF(P457&lt;=0,1,Q457/P457)^$G474/(1+$H474+$I474))^(1+$F474)</f>
        <v>0</v>
      </c>
      <c r="R484" s="29" t="n">
        <f aca="false">Q484*(1+R$461)^($E474*R$462)*(1+R$463)*IF(Q447&lt;=0,1,R447/Q447)^$F474*(IF(Q457&lt;=0,1,R457/Q457)^$G474/(1+$H474+$I474))^(1+$F474)</f>
        <v>0</v>
      </c>
      <c r="S484" s="29" t="n">
        <f aca="false">R484*(1+S$461)^($E474*S$462)*(1+S$463)*IF(R447&lt;=0,1,S447/R447)^$F474*(IF(R457&lt;=0,1,S457/R457)^$G474/(1+$H474+$I474))^(1+$F474)</f>
        <v>0</v>
      </c>
      <c r="T484" s="29" t="n">
        <f aca="false">S484*(1+T$461)^($E474*T$462)*(1+T$463)*IF(S447&lt;=0,1,T447/S447)^$F474*(IF(S457&lt;=0,1,T457/S457)^$G474/(1+$H474+$I474))^(1+$F474)</f>
        <v>0</v>
      </c>
      <c r="U484" s="29" t="n">
        <f aca="false">T484*(1+U$461)^($E474*U$462)*(1+U$463)*IF(T447&lt;=0,1,U447/T447)^$F474*(IF(T457&lt;=0,1,U457/T457)^$G474/(1+$H474+$I474))^(1+$F474)</f>
        <v>0</v>
      </c>
      <c r="V484" s="29" t="n">
        <f aca="false">U484*(1+V$461)^($E474*V$462)*(1+V$463)*IF(U447&lt;=0,1,V447/U447)^$F474*(IF(U457&lt;=0,1,V457/U457)^$G474/(1+$H474+$I474))^(1+$F474)</f>
        <v>0</v>
      </c>
      <c r="W484" s="29" t="n">
        <f aca="false">V484*(1+W$461)^($E474*W$462)*(1+W$463)*IF(V447&lt;=0,1,W447/V447)^$F474*(IF(V457&lt;=0,1,W457/V457)^$G474/(1+$H474+$I474))^(1+$F474)</f>
        <v>0</v>
      </c>
      <c r="X484" s="29" t="n">
        <f aca="false">W484*(1+X$461)^($E474*X$462)*(1+X$463)*IF(W447&lt;=0,1,X447/W447)^$F474*(IF(W457&lt;=0,1,X457/W457)^$G474/(1+$H474+$I474))^(1+$F474)</f>
        <v>0</v>
      </c>
      <c r="Y484" s="29" t="n">
        <f aca="false">X484*(1+Y$461)^($E474*Y$462)*(1+Y$463)*IF(X447&lt;=0,1,Y447/X447)^$F474*(IF(X457&lt;=0,1,Y457/X457)^$G474/(1+$H474+$I474))^(1+$F474)</f>
        <v>0</v>
      </c>
      <c r="Z484" s="29" t="n">
        <f aca="false">Y484*(1+Z$461)^($E474*Z$462)*(1+Z$463)*IF(Y447&lt;=0,1,Z447/Y447)^$F474*(IF(Y457&lt;=0,1,Z457/Y457)^$G474/(1+$H474+$I474))^(1+$F474)</f>
        <v>0</v>
      </c>
      <c r="AA484" s="29" t="n">
        <f aca="false">Z484*(1+AA$461)^($E474*AA$462)*(1+AA$463)*IF(Z447&lt;=0,1,AA447/Z447)^$F474*(IF(Z457&lt;=0,1,AA457/Z457)^$G474/(1+$H474+$I474))^(1+$F474)</f>
        <v>0</v>
      </c>
      <c r="AB484" s="29" t="n">
        <f aca="false">AA484*(1+AB$461)^($E474*AB$462)*(1+AB$463)*IF(AA447&lt;=0,1,AB447/AA447)^$F474*(IF(AA457&lt;=0,1,AB457/AA457)^$G474/(1+$H474+$I474))^(1+$F474)</f>
        <v>0</v>
      </c>
      <c r="AC484" s="29" t="n">
        <f aca="false">AB484*(1+AC$461)^($E474*AC$462)*(1+AC$463)*IF(AB447&lt;=0,1,AC447/AB447)^$F474*(IF(AB457&lt;=0,1,AC457/AB457)^$G474/(1+$H474+$I474))^(1+$F474)</f>
        <v>0</v>
      </c>
      <c r="AD484" s="29" t="n">
        <f aca="false">AC484*(1+AD$461)^($E474*AD$462)*(1+AD$463)*IF(AC447&lt;=0,1,AD447/AC447)^$F474*(IF(AC457&lt;=0,1,AD457/AC457)^$G474/(1+$H474+$I474))^(1+$F474)</f>
        <v>0</v>
      </c>
      <c r="AE484" s="29" t="n">
        <f aca="false">AD484*(1+AE$461)^($E474*AE$462)*(1+AE$463)*IF(AD447&lt;=0,1,AE447/AD447)^$F474*(IF(AD457&lt;=0,1,AE457/AD457)^$G474/(1+$H474+$I474))^(1+$F474)</f>
        <v>0</v>
      </c>
    </row>
    <row r="485" customFormat="false" ht="15" hidden="false" customHeight="false" outlineLevel="0" collapsed="false">
      <c r="B485" s="17" t="s">
        <v>114</v>
      </c>
      <c r="C485" s="17" t="str">
        <f aca="false">$C$427</f>
        <v>mch</v>
      </c>
      <c r="D485" s="30" t="s">
        <v>115</v>
      </c>
      <c r="E485" s="19" t="s">
        <v>112</v>
      </c>
      <c r="F485" s="17" t="s">
        <v>113</v>
      </c>
      <c r="H485" s="21" t="str">
        <f aca="false">Settings!$B$3&amp;".mit.ener."&amp;$C$427&amp;".tot.e."&amp;$J$427</f>
        <v>egy.mit.ener.mch.tot.e.2</v>
      </c>
      <c r="L485" s="31" t="n">
        <f aca="false">SUM(L476:L484)</f>
        <v>0</v>
      </c>
      <c r="M485" s="31" t="n">
        <f aca="false">SUM(M476:M484)</f>
        <v>0</v>
      </c>
      <c r="N485" s="31" t="n">
        <f aca="false">SUM(N476:N484)</f>
        <v>0</v>
      </c>
      <c r="O485" s="31" t="n">
        <f aca="false">SUM(O476:O484)</f>
        <v>0</v>
      </c>
      <c r="P485" s="31" t="n">
        <f aca="false">SUM(P476:P484)</f>
        <v>0</v>
      </c>
      <c r="Q485" s="31" t="n">
        <f aca="false">SUM(Q476:Q484)</f>
        <v>0</v>
      </c>
      <c r="R485" s="31" t="n">
        <f aca="false">SUM(R476:R484)</f>
        <v>0</v>
      </c>
      <c r="S485" s="31" t="n">
        <f aca="false">SUM(S476:S484)</f>
        <v>0</v>
      </c>
      <c r="T485" s="31" t="n">
        <f aca="false">SUM(T476:T484)</f>
        <v>0</v>
      </c>
      <c r="U485" s="31" t="n">
        <f aca="false">SUM(U476:U484)</f>
        <v>0</v>
      </c>
      <c r="V485" s="31" t="n">
        <f aca="false">SUM(V476:V484)</f>
        <v>0</v>
      </c>
      <c r="W485" s="31" t="n">
        <f aca="false">SUM(W476:W484)</f>
        <v>0</v>
      </c>
      <c r="X485" s="31" t="n">
        <f aca="false">SUM(X476:X484)</f>
        <v>0</v>
      </c>
      <c r="Y485" s="31" t="n">
        <f aca="false">SUM(Y476:Y484)</f>
        <v>0</v>
      </c>
      <c r="Z485" s="31" t="n">
        <f aca="false">SUM(Z476:Z484)</f>
        <v>0</v>
      </c>
      <c r="AA485" s="31" t="n">
        <f aca="false">SUM(AA476:AA484)</f>
        <v>0</v>
      </c>
      <c r="AB485" s="31" t="n">
        <f aca="false">SUM(AB476:AB484)</f>
        <v>0</v>
      </c>
      <c r="AC485" s="31" t="n">
        <f aca="false">SUM(AC476:AC484)</f>
        <v>0</v>
      </c>
      <c r="AD485" s="31" t="n">
        <f aca="false">SUM(AD476:AD484)</f>
        <v>0</v>
      </c>
      <c r="AE485" s="31" t="n">
        <f aca="false">SUM(AE476:AE484)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42"/>
    <col collapsed="false" customWidth="true" hidden="false" outlineLevel="0" max="9" min="9" style="0" width="14"/>
  </cols>
  <sheetData>
    <row r="1" customFormat="false" ht="15" hidden="false" customHeight="false" outlineLevel="0" collapsed="false">
      <c r="B1" s="32" t="s">
        <v>123</v>
      </c>
      <c r="E1" s="32" t="s">
        <v>124</v>
      </c>
      <c r="F1" s="32" t="s">
        <v>125</v>
      </c>
    </row>
    <row r="2" customFormat="false" ht="15" hidden="false" customHeight="false" outlineLevel="0" collapsed="false">
      <c r="B2" s="32" t="s">
        <v>126</v>
      </c>
    </row>
    <row r="3" customFormat="false" ht="15" hidden="false" customHeight="false" outlineLevel="0" collapsed="false">
      <c r="B3" s="32" t="s">
        <v>127</v>
      </c>
    </row>
    <row r="5" customFormat="false" ht="15" hidden="false" customHeight="false" outlineLevel="0" collapsed="false">
      <c r="C5" s="33" t="b">
        <f aca="false">FALSE()</f>
        <v>0</v>
      </c>
      <c r="D5" s="32" t="s">
        <v>128</v>
      </c>
    </row>
    <row r="6" customFormat="false" ht="15" hidden="false" customHeight="false" outlineLevel="0" collapsed="false">
      <c r="D6" s="32" t="n">
        <v>6</v>
      </c>
    </row>
    <row r="7" customFormat="false" ht="15" hidden="false" customHeight="false" outlineLevel="0" collapsed="false">
      <c r="B7" s="2" t="s">
        <v>129</v>
      </c>
      <c r="C7" s="2" t="s">
        <v>130</v>
      </c>
      <c r="D7" s="2" t="s">
        <v>131</v>
      </c>
      <c r="E7" s="2" t="s">
        <v>132</v>
      </c>
      <c r="F7" s="2" t="s">
        <v>133</v>
      </c>
      <c r="G7" s="2" t="s">
        <v>134</v>
      </c>
      <c r="H7" s="2" t="s">
        <v>135</v>
      </c>
      <c r="I7" s="2" t="s">
        <v>136</v>
      </c>
    </row>
    <row r="8" customFormat="false" ht="15" hidden="false" customHeight="false" outlineLevel="0" collapsed="false">
      <c r="B8" s="32" t="s">
        <v>137</v>
      </c>
      <c r="D8" s="32" t="n">
        <v>0</v>
      </c>
      <c r="E8" s="32" t="s">
        <v>138</v>
      </c>
      <c r="F8" s="32" t="s">
        <v>138</v>
      </c>
      <c r="G8" s="32" t="s">
        <v>138</v>
      </c>
      <c r="H8" s="32" t="s">
        <v>139</v>
      </c>
      <c r="I8" s="32" t="s">
        <v>140</v>
      </c>
    </row>
    <row r="9" customFormat="false" ht="15" hidden="false" customHeight="false" outlineLevel="0" collapsed="false">
      <c r="B9" s="32" t="s">
        <v>141</v>
      </c>
    </row>
    <row r="10" customFormat="false" ht="15" hidden="false" customHeight="false" outlineLevel="0" collapsed="false">
      <c r="B10" s="32" t="s">
        <v>142</v>
      </c>
      <c r="C10" s="32" t="s">
        <v>143</v>
      </c>
      <c r="D10" s="32" t="n">
        <v>0</v>
      </c>
      <c r="E10" s="32" t="s">
        <v>144</v>
      </c>
      <c r="F10" s="32" t="s">
        <v>144</v>
      </c>
      <c r="G10" s="32" t="s">
        <v>144</v>
      </c>
      <c r="H10" s="32" t="s">
        <v>145</v>
      </c>
    </row>
    <row r="11" customFormat="false" ht="15" hidden="false" customHeight="false" outlineLevel="0" collapsed="false">
      <c r="B11" s="32" t="s">
        <v>146</v>
      </c>
      <c r="C11" s="32" t="s">
        <v>147</v>
      </c>
      <c r="D11" s="32" t="n">
        <v>0</v>
      </c>
      <c r="E11" s="32" t="s">
        <v>144</v>
      </c>
      <c r="F11" s="32" t="s">
        <v>144</v>
      </c>
      <c r="G11" s="32" t="s">
        <v>144</v>
      </c>
    </row>
    <row r="12" customFormat="false" ht="15" hidden="false" customHeight="false" outlineLevel="0" collapsed="false">
      <c r="B12" s="32" t="s">
        <v>148</v>
      </c>
      <c r="C12" s="32" t="s">
        <v>149</v>
      </c>
      <c r="D12" s="32" t="n">
        <v>0</v>
      </c>
      <c r="E12" s="32" t="s">
        <v>144</v>
      </c>
      <c r="F12" s="32" t="s">
        <v>144</v>
      </c>
      <c r="G12" s="32" t="s">
        <v>144</v>
      </c>
    </row>
    <row r="13" customFormat="false" ht="15" hidden="false" customHeight="false" outlineLevel="0" collapsed="false">
      <c r="B13" s="32" t="s">
        <v>150</v>
      </c>
      <c r="C13" s="32" t="s">
        <v>147</v>
      </c>
      <c r="D13" s="32" t="n">
        <v>0</v>
      </c>
      <c r="E13" s="32" t="s">
        <v>151</v>
      </c>
      <c r="F13" s="32" t="s">
        <v>151</v>
      </c>
      <c r="G13" s="32" t="s">
        <v>151</v>
      </c>
      <c r="H13" s="32" t="s">
        <v>152</v>
      </c>
    </row>
    <row r="14" customFormat="false" ht="15" hidden="false" customHeight="false" outlineLevel="0" collapsed="false">
      <c r="B14" s="32" t="s">
        <v>153</v>
      </c>
      <c r="C14" s="32" t="s">
        <v>143</v>
      </c>
      <c r="D14" s="32" t="n">
        <v>0</v>
      </c>
      <c r="E14" s="32" t="s">
        <v>144</v>
      </c>
      <c r="F14" s="32" t="s">
        <v>144</v>
      </c>
      <c r="G14" s="32" t="s">
        <v>144</v>
      </c>
    </row>
    <row r="15" customFormat="false" ht="15" hidden="false" customHeight="false" outlineLevel="0" collapsed="false">
      <c r="B15" s="32" t="s">
        <v>154</v>
      </c>
      <c r="C15" s="32" t="s">
        <v>143</v>
      </c>
      <c r="D15" s="32" t="n">
        <v>0</v>
      </c>
      <c r="E15" s="32" t="s">
        <v>144</v>
      </c>
      <c r="F15" s="32" t="s">
        <v>144</v>
      </c>
      <c r="G15" s="32" t="s">
        <v>144</v>
      </c>
    </row>
    <row r="16" customFormat="false" ht="15" hidden="false" customHeight="false" outlineLevel="0" collapsed="false">
      <c r="B16" s="32" t="s">
        <v>155</v>
      </c>
      <c r="C16" s="32" t="s">
        <v>147</v>
      </c>
      <c r="D16" s="32" t="n">
        <v>0</v>
      </c>
      <c r="E16" s="32" t="s">
        <v>156</v>
      </c>
      <c r="F16" s="32" t="s">
        <v>156</v>
      </c>
      <c r="G16" s="32" t="s">
        <v>156</v>
      </c>
      <c r="H16" s="32" t="s">
        <v>157</v>
      </c>
    </row>
    <row r="17" customFormat="false" ht="15" hidden="false" customHeight="false" outlineLevel="0" collapsed="false">
      <c r="B17" s="32" t="s">
        <v>158</v>
      </c>
    </row>
    <row r="18" customFormat="false" ht="15" hidden="false" customHeight="false" outlineLevel="0" collapsed="false">
      <c r="A18" s="32" t="s">
        <v>159</v>
      </c>
      <c r="B18" s="32" t="s">
        <v>160</v>
      </c>
      <c r="C18" s="32" t="s">
        <v>161</v>
      </c>
      <c r="D18" s="32" t="n">
        <v>0</v>
      </c>
      <c r="E18" s="32" t="n">
        <v>2026</v>
      </c>
      <c r="F18" s="32" t="n">
        <v>2026</v>
      </c>
      <c r="G18" s="32" t="n">
        <v>2027</v>
      </c>
      <c r="H18" s="32" t="s">
        <v>162</v>
      </c>
      <c r="I18" s="32" t="s">
        <v>140</v>
      </c>
    </row>
    <row r="19" customFormat="false" ht="15" hidden="false" customHeight="false" outlineLevel="0" collapsed="false">
      <c r="A19" s="32" t="s">
        <v>159</v>
      </c>
      <c r="B19" s="32" t="s">
        <v>163</v>
      </c>
      <c r="C19" s="32" t="s">
        <v>164</v>
      </c>
      <c r="D19" s="32" t="n">
        <v>0</v>
      </c>
      <c r="E19" s="32" t="n">
        <v>0</v>
      </c>
      <c r="F19" s="32" t="n">
        <v>0</v>
      </c>
      <c r="G19" s="32" t="n">
        <v>20</v>
      </c>
      <c r="H19" s="32" t="s">
        <v>165</v>
      </c>
      <c r="I19" s="32" t="s">
        <v>140</v>
      </c>
    </row>
    <row r="20" customFormat="false" ht="15" hidden="false" customHeight="false" outlineLevel="0" collapsed="false">
      <c r="A20" s="32"/>
      <c r="B20" s="32" t="s">
        <v>166</v>
      </c>
      <c r="C20" s="32" t="s">
        <v>164</v>
      </c>
      <c r="D20" s="32" t="n">
        <v>0</v>
      </c>
      <c r="E20" s="32" t="n">
        <v>50</v>
      </c>
      <c r="F20" s="32" t="n">
        <v>50</v>
      </c>
      <c r="G20" s="32" t="n">
        <v>50</v>
      </c>
      <c r="H20" s="32" t="s">
        <v>167</v>
      </c>
      <c r="I20" s="32" t="s">
        <v>140</v>
      </c>
    </row>
    <row r="21" customFormat="false" ht="15" hidden="false" customHeight="false" outlineLevel="0" collapsed="false">
      <c r="A21" s="32" t="s">
        <v>159</v>
      </c>
      <c r="B21" s="32" t="s">
        <v>168</v>
      </c>
      <c r="C21" s="32" t="s">
        <v>161</v>
      </c>
      <c r="D21" s="32" t="n">
        <v>0</v>
      </c>
      <c r="E21" s="32" t="n">
        <v>2030</v>
      </c>
      <c r="F21" s="32" t="n">
        <v>2030</v>
      </c>
      <c r="G21" s="32" t="n">
        <v>2035</v>
      </c>
      <c r="H21" s="32" t="s">
        <v>169</v>
      </c>
      <c r="I21" s="32" t="s">
        <v>140</v>
      </c>
    </row>
    <row r="22" customFormat="false" ht="15" hidden="false" customHeight="false" outlineLevel="0" collapsed="false">
      <c r="A22" s="32"/>
      <c r="B22" s="32" t="s">
        <v>170</v>
      </c>
    </row>
    <row r="23" customFormat="false" ht="15" hidden="false" customHeight="false" outlineLevel="0" collapsed="false">
      <c r="A23" s="32"/>
      <c r="B23" s="32" t="s">
        <v>171</v>
      </c>
      <c r="C23" s="32" t="s">
        <v>147</v>
      </c>
      <c r="D23" s="32" t="n">
        <v>0</v>
      </c>
      <c r="E23" s="33" t="b">
        <f aca="false">TRUE()</f>
        <v>1</v>
      </c>
      <c r="F23" s="33" t="b">
        <f aca="false">TRUE()</f>
        <v>1</v>
      </c>
      <c r="G23" s="33" t="b">
        <f aca="false">TRUE()</f>
        <v>1</v>
      </c>
      <c r="H23" s="32" t="s">
        <v>172</v>
      </c>
      <c r="I23" s="32" t="s">
        <v>140</v>
      </c>
    </row>
    <row r="24" customFormat="false" ht="15" hidden="false" customHeight="false" outlineLevel="0" collapsed="false">
      <c r="A24" s="32"/>
      <c r="B24" s="32" t="s">
        <v>173</v>
      </c>
      <c r="C24" s="32" t="s">
        <v>147</v>
      </c>
      <c r="D24" s="32" t="n">
        <v>0</v>
      </c>
      <c r="E24" s="33" t="b">
        <f aca="false">TRUE()</f>
        <v>1</v>
      </c>
      <c r="F24" s="33" t="b">
        <f aca="false">TRUE()</f>
        <v>1</v>
      </c>
      <c r="G24" s="33" t="b">
        <f aca="false">TRUE()</f>
        <v>1</v>
      </c>
      <c r="H24" s="32" t="s">
        <v>174</v>
      </c>
      <c r="I24" s="32" t="s">
        <v>140</v>
      </c>
    </row>
    <row r="25" customFormat="false" ht="15" hidden="false" customHeight="false" outlineLevel="0" collapsed="false">
      <c r="A25" s="32"/>
      <c r="B25" s="32" t="s">
        <v>175</v>
      </c>
      <c r="C25" s="32" t="s">
        <v>147</v>
      </c>
      <c r="D25" s="32" t="n">
        <v>0</v>
      </c>
      <c r="E25" s="33" t="b">
        <f aca="false">TRUE()</f>
        <v>1</v>
      </c>
      <c r="F25" s="33" t="b">
        <f aca="false">TRUE()</f>
        <v>1</v>
      </c>
      <c r="G25" s="33" t="b">
        <f aca="false">TRUE()</f>
        <v>1</v>
      </c>
      <c r="H25" s="32" t="s">
        <v>176</v>
      </c>
      <c r="I25" s="32" t="s">
        <v>140</v>
      </c>
    </row>
    <row r="26" customFormat="false" ht="15" hidden="false" customHeight="false" outlineLevel="0" collapsed="false">
      <c r="A26" s="32"/>
      <c r="B26" s="32" t="s">
        <v>177</v>
      </c>
      <c r="C26" s="32" t="s">
        <v>147</v>
      </c>
      <c r="D26" s="32" t="n">
        <v>0</v>
      </c>
      <c r="E26" s="33" t="b">
        <f aca="false">TRUE()</f>
        <v>1</v>
      </c>
      <c r="F26" s="33" t="b">
        <f aca="false">TRUE()</f>
        <v>1</v>
      </c>
      <c r="G26" s="33" t="b">
        <f aca="false">TRUE()</f>
        <v>1</v>
      </c>
      <c r="H26" s="32" t="s">
        <v>178</v>
      </c>
      <c r="I26" s="32" t="s">
        <v>140</v>
      </c>
    </row>
    <row r="27" customFormat="false" ht="15" hidden="false" customHeight="false" outlineLevel="0" collapsed="false">
      <c r="A27" s="32"/>
      <c r="B27" s="32" t="s">
        <v>179</v>
      </c>
      <c r="C27" s="32" t="s">
        <v>147</v>
      </c>
      <c r="D27" s="32" t="n">
        <v>0</v>
      </c>
      <c r="E27" s="33" t="b">
        <f aca="false">TRUE()</f>
        <v>1</v>
      </c>
      <c r="F27" s="33" t="b">
        <f aca="false">TRUE()</f>
        <v>1</v>
      </c>
      <c r="G27" s="33" t="b">
        <f aca="false">TRUE()</f>
        <v>1</v>
      </c>
      <c r="H27" s="32" t="s">
        <v>180</v>
      </c>
      <c r="I27" s="32" t="s">
        <v>140</v>
      </c>
    </row>
    <row r="28" customFormat="false" ht="15" hidden="false" customHeight="false" outlineLevel="0" collapsed="false">
      <c r="A28" s="32"/>
      <c r="B28" s="32" t="s">
        <v>181</v>
      </c>
      <c r="C28" s="32" t="s">
        <v>147</v>
      </c>
      <c r="D28" s="32" t="n">
        <v>0</v>
      </c>
      <c r="E28" s="33" t="b">
        <f aca="false">TRUE()</f>
        <v>1</v>
      </c>
      <c r="F28" s="33" t="b">
        <f aca="false">TRUE()</f>
        <v>1</v>
      </c>
      <c r="G28" s="33" t="b">
        <f aca="false">TRUE()</f>
        <v>1</v>
      </c>
      <c r="H28" s="32" t="s">
        <v>182</v>
      </c>
      <c r="I28" s="32" t="s">
        <v>140</v>
      </c>
    </row>
    <row r="29" customFormat="false" ht="15" hidden="false" customHeight="false" outlineLevel="0" collapsed="false">
      <c r="A29" s="32"/>
      <c r="B29" s="32" t="s">
        <v>183</v>
      </c>
      <c r="C29" s="32" t="s">
        <v>147</v>
      </c>
      <c r="D29" s="32" t="n">
        <v>0</v>
      </c>
      <c r="E29" s="33" t="b">
        <f aca="false">TRUE()</f>
        <v>1</v>
      </c>
      <c r="F29" s="33" t="b">
        <f aca="false">TRUE()</f>
        <v>1</v>
      </c>
      <c r="G29" s="33" t="b">
        <f aca="false">TRUE()</f>
        <v>1</v>
      </c>
      <c r="H29" s="32" t="s">
        <v>184</v>
      </c>
      <c r="I29" s="32" t="s">
        <v>140</v>
      </c>
    </row>
    <row r="30" customFormat="false" ht="15" hidden="false" customHeight="false" outlineLevel="0" collapsed="false">
      <c r="A30" s="32"/>
      <c r="B30" s="32" t="s">
        <v>185</v>
      </c>
    </row>
    <row r="31" customFormat="false" ht="15" hidden="false" customHeight="false" outlineLevel="0" collapsed="false">
      <c r="A31" s="32"/>
      <c r="B31" s="32" t="s">
        <v>186</v>
      </c>
      <c r="C31" s="32" t="s">
        <v>147</v>
      </c>
      <c r="D31" s="32" t="n">
        <v>0</v>
      </c>
      <c r="E31" s="33" t="b">
        <f aca="false">TRUE()</f>
        <v>1</v>
      </c>
      <c r="F31" s="33" t="b">
        <f aca="false">TRUE()</f>
        <v>1</v>
      </c>
      <c r="G31" s="33" t="b">
        <f aca="false">TRUE()</f>
        <v>1</v>
      </c>
      <c r="H31" s="32" t="s">
        <v>187</v>
      </c>
      <c r="I31" s="32" t="s">
        <v>140</v>
      </c>
    </row>
    <row r="32" customFormat="false" ht="15" hidden="false" customHeight="false" outlineLevel="0" collapsed="false">
      <c r="A32" s="32"/>
      <c r="B32" s="32" t="s">
        <v>188</v>
      </c>
      <c r="C32" s="32" t="s">
        <v>147</v>
      </c>
      <c r="D32" s="32" t="n">
        <v>0</v>
      </c>
      <c r="E32" s="33" t="b">
        <f aca="false">TRUE()</f>
        <v>1</v>
      </c>
      <c r="F32" s="33" t="b">
        <f aca="false">TRUE()</f>
        <v>1</v>
      </c>
      <c r="G32" s="33" t="b">
        <f aca="false">TRUE()</f>
        <v>1</v>
      </c>
      <c r="H32" s="32" t="s">
        <v>189</v>
      </c>
      <c r="I32" s="32" t="s">
        <v>140</v>
      </c>
    </row>
    <row r="33" customFormat="false" ht="15" hidden="false" customHeight="false" outlineLevel="0" collapsed="false">
      <c r="A33" s="32"/>
      <c r="B33" s="32" t="s">
        <v>190</v>
      </c>
      <c r="C33" s="32" t="s">
        <v>147</v>
      </c>
      <c r="D33" s="32" t="n">
        <v>0</v>
      </c>
      <c r="E33" s="33" t="b">
        <f aca="false">TRUE()</f>
        <v>1</v>
      </c>
      <c r="F33" s="33" t="b">
        <f aca="false">TRUE()</f>
        <v>1</v>
      </c>
      <c r="G33" s="33" t="b">
        <f aca="false">TRUE()</f>
        <v>1</v>
      </c>
      <c r="H33" s="32" t="s">
        <v>191</v>
      </c>
      <c r="I33" s="32" t="s">
        <v>140</v>
      </c>
    </row>
    <row r="34" customFormat="false" ht="15" hidden="false" customHeight="false" outlineLevel="0" collapsed="false">
      <c r="A34" s="32"/>
      <c r="B34" s="32" t="s">
        <v>192</v>
      </c>
      <c r="C34" s="32" t="s">
        <v>147</v>
      </c>
      <c r="D34" s="32" t="n">
        <v>0</v>
      </c>
      <c r="E34" s="33" t="b">
        <f aca="false">TRUE()</f>
        <v>1</v>
      </c>
      <c r="F34" s="33" t="b">
        <f aca="false">TRUE()</f>
        <v>1</v>
      </c>
      <c r="G34" s="33" t="b">
        <f aca="false">TRUE()</f>
        <v>1</v>
      </c>
      <c r="H34" s="32" t="s">
        <v>193</v>
      </c>
      <c r="I34" s="32" t="s">
        <v>140</v>
      </c>
    </row>
    <row r="35" customFormat="false" ht="15" hidden="false" customHeight="false" outlineLevel="0" collapsed="false">
      <c r="A35" s="32"/>
      <c r="B35" s="32" t="s">
        <v>194</v>
      </c>
      <c r="C35" s="32" t="s">
        <v>147</v>
      </c>
      <c r="D35" s="32" t="n">
        <v>0</v>
      </c>
      <c r="E35" s="33" t="b">
        <f aca="false">TRUE()</f>
        <v>1</v>
      </c>
      <c r="F35" s="33" t="b">
        <f aca="false">TRUE()</f>
        <v>1</v>
      </c>
      <c r="G35" s="33" t="b">
        <f aca="false">TRUE()</f>
        <v>1</v>
      </c>
      <c r="H35" s="32" t="s">
        <v>195</v>
      </c>
      <c r="I35" s="32" t="s">
        <v>140</v>
      </c>
    </row>
    <row r="36" customFormat="false" ht="15" hidden="false" customHeight="false" outlineLevel="0" collapsed="false">
      <c r="A36" s="32"/>
      <c r="B36" s="32" t="s">
        <v>196</v>
      </c>
      <c r="C36" s="32" t="s">
        <v>147</v>
      </c>
      <c r="D36" s="32" t="n">
        <v>0</v>
      </c>
      <c r="E36" s="33" t="b">
        <f aca="false">TRUE()</f>
        <v>1</v>
      </c>
      <c r="F36" s="33" t="b">
        <f aca="false">TRUE()</f>
        <v>1</v>
      </c>
      <c r="G36" s="33" t="b">
        <f aca="false">TRUE()</f>
        <v>1</v>
      </c>
      <c r="H36" s="32" t="s">
        <v>197</v>
      </c>
      <c r="I36" s="32" t="s">
        <v>140</v>
      </c>
    </row>
    <row r="37" customFormat="false" ht="15" hidden="false" customHeight="false" outlineLevel="0" collapsed="false">
      <c r="A37" s="32"/>
      <c r="B37" s="32" t="s">
        <v>198</v>
      </c>
      <c r="C37" s="32" t="s">
        <v>147</v>
      </c>
      <c r="D37" s="32" t="n">
        <v>0</v>
      </c>
      <c r="E37" s="33" t="b">
        <f aca="false">TRUE()</f>
        <v>1</v>
      </c>
      <c r="F37" s="33" t="b">
        <f aca="false">TRUE()</f>
        <v>1</v>
      </c>
      <c r="G37" s="33" t="b">
        <f aca="false">TRUE()</f>
        <v>1</v>
      </c>
      <c r="H37" s="32" t="s">
        <v>199</v>
      </c>
      <c r="I37" s="32" t="s">
        <v>140</v>
      </c>
    </row>
    <row r="38" customFormat="false" ht="15" hidden="false" customHeight="false" outlineLevel="0" collapsed="false">
      <c r="A38" s="32"/>
      <c r="B38" s="32" t="s">
        <v>200</v>
      </c>
      <c r="C38" s="32" t="s">
        <v>147</v>
      </c>
      <c r="D38" s="32" t="n">
        <v>0</v>
      </c>
      <c r="E38" s="33" t="b">
        <f aca="false">TRUE()</f>
        <v>1</v>
      </c>
      <c r="F38" s="33" t="b">
        <f aca="false">TRUE()</f>
        <v>1</v>
      </c>
      <c r="G38" s="33" t="b">
        <f aca="false">TRUE()</f>
        <v>1</v>
      </c>
      <c r="H38" s="32" t="s">
        <v>201</v>
      </c>
      <c r="I38" s="32" t="s">
        <v>140</v>
      </c>
    </row>
    <row r="39" customFormat="false" ht="15" hidden="false" customHeight="false" outlineLevel="0" collapsed="false">
      <c r="A39" s="32"/>
      <c r="B39" s="32" t="s">
        <v>202</v>
      </c>
      <c r="C39" s="32" t="s">
        <v>147</v>
      </c>
      <c r="D39" s="32" t="n">
        <v>0</v>
      </c>
      <c r="E39" s="33" t="b">
        <f aca="false">TRUE()</f>
        <v>1</v>
      </c>
      <c r="F39" s="33" t="b">
        <f aca="false">TRUE()</f>
        <v>1</v>
      </c>
      <c r="G39" s="33" t="b">
        <f aca="false">TRUE()</f>
        <v>1</v>
      </c>
      <c r="H39" s="32" t="s">
        <v>203</v>
      </c>
      <c r="I39" s="32" t="s">
        <v>140</v>
      </c>
    </row>
    <row r="40" customFormat="false" ht="15" hidden="false" customHeight="false" outlineLevel="0" collapsed="false">
      <c r="A40" s="32"/>
      <c r="B40" s="32" t="s">
        <v>204</v>
      </c>
      <c r="C40" s="32" t="s">
        <v>147</v>
      </c>
      <c r="D40" s="32" t="n">
        <v>0</v>
      </c>
      <c r="E40" s="33" t="b">
        <f aca="false">TRUE()</f>
        <v>1</v>
      </c>
      <c r="F40" s="33" t="b">
        <f aca="false">TRUE()</f>
        <v>1</v>
      </c>
      <c r="G40" s="33" t="b">
        <f aca="false">TRUE()</f>
        <v>1</v>
      </c>
      <c r="H40" s="32" t="s">
        <v>205</v>
      </c>
      <c r="I40" s="32" t="s">
        <v>140</v>
      </c>
    </row>
    <row r="41" customFormat="false" ht="15" hidden="false" customHeight="false" outlineLevel="0" collapsed="false">
      <c r="A41" s="32"/>
      <c r="B41" s="32" t="s">
        <v>206</v>
      </c>
      <c r="C41" s="32" t="s">
        <v>147</v>
      </c>
      <c r="D41" s="32" t="n">
        <v>0</v>
      </c>
      <c r="E41" s="33" t="b">
        <f aca="false">TRUE()</f>
        <v>1</v>
      </c>
      <c r="F41" s="33" t="b">
        <f aca="false">TRUE()</f>
        <v>1</v>
      </c>
      <c r="G41" s="33" t="b">
        <f aca="false">TRUE()</f>
        <v>1</v>
      </c>
      <c r="H41" s="32" t="s">
        <v>207</v>
      </c>
      <c r="I41" s="32" t="s">
        <v>140</v>
      </c>
    </row>
    <row r="42" customFormat="false" ht="15" hidden="false" customHeight="false" outlineLevel="0" collapsed="false">
      <c r="A42" s="32"/>
      <c r="B42" s="32" t="s">
        <v>208</v>
      </c>
      <c r="C42" s="32" t="s">
        <v>147</v>
      </c>
      <c r="D42" s="32" t="n">
        <v>0</v>
      </c>
      <c r="E42" s="33" t="b">
        <f aca="false">TRUE()</f>
        <v>1</v>
      </c>
      <c r="F42" s="33" t="b">
        <f aca="false">TRUE()</f>
        <v>1</v>
      </c>
      <c r="G42" s="33" t="b">
        <f aca="false">TRUE()</f>
        <v>1</v>
      </c>
      <c r="H42" s="32" t="s">
        <v>209</v>
      </c>
      <c r="I42" s="32" t="s">
        <v>140</v>
      </c>
    </row>
    <row r="43" customFormat="false" ht="15" hidden="false" customHeight="false" outlineLevel="0" collapsed="false">
      <c r="A43" s="32"/>
      <c r="B43" s="32" t="s">
        <v>210</v>
      </c>
      <c r="C43" s="32" t="s">
        <v>147</v>
      </c>
      <c r="D43" s="32" t="n">
        <v>0</v>
      </c>
      <c r="E43" s="33" t="b">
        <f aca="false">TRUE()</f>
        <v>1</v>
      </c>
      <c r="F43" s="33" t="b">
        <f aca="false">TRUE()</f>
        <v>1</v>
      </c>
      <c r="G43" s="33" t="b">
        <f aca="false">TRUE()</f>
        <v>1</v>
      </c>
      <c r="H43" s="32" t="s">
        <v>211</v>
      </c>
      <c r="I43" s="32" t="s">
        <v>140</v>
      </c>
    </row>
    <row r="44" customFormat="false" ht="15" hidden="false" customHeight="false" outlineLevel="0" collapsed="false">
      <c r="A44" s="32"/>
      <c r="B44" s="32" t="s">
        <v>212</v>
      </c>
      <c r="C44" s="32" t="s">
        <v>147</v>
      </c>
      <c r="D44" s="32" t="n">
        <v>0</v>
      </c>
      <c r="E44" s="33" t="b">
        <f aca="false">TRUE()</f>
        <v>1</v>
      </c>
      <c r="F44" s="33" t="b">
        <f aca="false">TRUE()</f>
        <v>1</v>
      </c>
      <c r="G44" s="33" t="b">
        <f aca="false">TRUE()</f>
        <v>1</v>
      </c>
      <c r="H44" s="32" t="s">
        <v>213</v>
      </c>
      <c r="I44" s="32" t="s">
        <v>140</v>
      </c>
    </row>
    <row r="45" customFormat="false" ht="15" hidden="false" customHeight="false" outlineLevel="0" collapsed="false">
      <c r="A45" s="32"/>
      <c r="B45" s="32" t="s">
        <v>214</v>
      </c>
      <c r="C45" s="32" t="s">
        <v>147</v>
      </c>
      <c r="D45" s="32" t="n">
        <v>0</v>
      </c>
      <c r="E45" s="33" t="b">
        <f aca="false">TRUE()</f>
        <v>1</v>
      </c>
      <c r="F45" s="33" t="b">
        <f aca="false">TRUE()</f>
        <v>1</v>
      </c>
      <c r="G45" s="33" t="b">
        <f aca="false">TRUE()</f>
        <v>1</v>
      </c>
      <c r="H45" s="32" t="s">
        <v>215</v>
      </c>
      <c r="I45" s="32" t="s">
        <v>140</v>
      </c>
    </row>
    <row r="46" customFormat="false" ht="15" hidden="false" customHeight="false" outlineLevel="0" collapsed="false">
      <c r="A46" s="32"/>
      <c r="B46" s="32" t="s">
        <v>216</v>
      </c>
      <c r="C46" s="32" t="s">
        <v>147</v>
      </c>
      <c r="D46" s="32" t="n">
        <v>0</v>
      </c>
      <c r="E46" s="33" t="b">
        <f aca="false">TRUE()</f>
        <v>1</v>
      </c>
      <c r="F46" s="33" t="b">
        <f aca="false">TRUE()</f>
        <v>1</v>
      </c>
      <c r="G46" s="33" t="b">
        <f aca="false">TRUE()</f>
        <v>1</v>
      </c>
      <c r="H46" s="32" t="s">
        <v>217</v>
      </c>
      <c r="I46" s="32" t="s">
        <v>140</v>
      </c>
    </row>
    <row r="47" customFormat="false" ht="15" hidden="false" customHeight="false" outlineLevel="0" collapsed="false">
      <c r="A47" s="32"/>
      <c r="B47" s="32" t="s">
        <v>218</v>
      </c>
      <c r="C47" s="32" t="s">
        <v>147</v>
      </c>
      <c r="D47" s="32" t="n">
        <v>0</v>
      </c>
      <c r="E47" s="33" t="b">
        <f aca="false">TRUE()</f>
        <v>1</v>
      </c>
      <c r="F47" s="33" t="b">
        <f aca="false">TRUE()</f>
        <v>1</v>
      </c>
      <c r="G47" s="33" t="b">
        <f aca="false">TRUE()</f>
        <v>1</v>
      </c>
      <c r="H47" s="32" t="s">
        <v>219</v>
      </c>
      <c r="I47" s="32" t="s">
        <v>140</v>
      </c>
    </row>
    <row r="48" customFormat="false" ht="15" hidden="false" customHeight="false" outlineLevel="0" collapsed="false">
      <c r="A48" s="32"/>
      <c r="B48" s="32" t="s">
        <v>220</v>
      </c>
    </row>
    <row r="49" customFormat="false" ht="15" hidden="false" customHeight="false" outlineLevel="0" collapsed="false">
      <c r="A49" s="32"/>
      <c r="B49" s="32" t="s">
        <v>221</v>
      </c>
      <c r="C49" s="32" t="s">
        <v>147</v>
      </c>
      <c r="D49" s="32" t="n">
        <v>0</v>
      </c>
      <c r="E49" s="33" t="b">
        <f aca="false">FALSE()</f>
        <v>0</v>
      </c>
      <c r="F49" s="33" t="b">
        <f aca="false">FALSE()</f>
        <v>0</v>
      </c>
      <c r="G49" s="33" t="b">
        <f aca="false">FALSE()</f>
        <v>0</v>
      </c>
      <c r="H49" s="32" t="s">
        <v>222</v>
      </c>
      <c r="I49" s="32" t="s">
        <v>140</v>
      </c>
    </row>
    <row r="50" customFormat="false" ht="15" hidden="false" customHeight="false" outlineLevel="0" collapsed="false">
      <c r="A50" s="32"/>
      <c r="B50" s="32" t="s">
        <v>223</v>
      </c>
      <c r="C50" s="32" t="s">
        <v>161</v>
      </c>
      <c r="D50" s="32" t="n">
        <v>0</v>
      </c>
      <c r="E50" s="32" t="n">
        <v>2027</v>
      </c>
      <c r="F50" s="32" t="n">
        <v>2027</v>
      </c>
      <c r="G50" s="32" t="n">
        <v>2027</v>
      </c>
      <c r="H50" s="32" t="s">
        <v>224</v>
      </c>
      <c r="I50" s="32" t="s">
        <v>140</v>
      </c>
    </row>
    <row r="51" customFormat="false" ht="15" hidden="false" customHeight="false" outlineLevel="0" collapsed="false">
      <c r="A51" s="32"/>
      <c r="B51" s="32" t="s">
        <v>225</v>
      </c>
      <c r="C51" s="32" t="s">
        <v>161</v>
      </c>
      <c r="D51" s="32" t="n">
        <v>0</v>
      </c>
      <c r="E51" s="32" t="n">
        <v>5</v>
      </c>
      <c r="F51" s="32" t="n">
        <v>5</v>
      </c>
      <c r="G51" s="32" t="n">
        <v>5</v>
      </c>
      <c r="H51" s="32" t="s">
        <v>226</v>
      </c>
      <c r="I51" s="32" t="s">
        <v>140</v>
      </c>
    </row>
    <row r="52" customFormat="false" ht="15" hidden="false" customHeight="false" outlineLevel="0" collapsed="false">
      <c r="A52" s="32"/>
      <c r="B52" s="32" t="s">
        <v>227</v>
      </c>
    </row>
    <row r="53" customFormat="false" ht="15" hidden="false" customHeight="false" outlineLevel="0" collapsed="false">
      <c r="A53" s="32"/>
      <c r="B53" s="32" t="s">
        <v>228</v>
      </c>
      <c r="D53" s="32" t="n">
        <v>0</v>
      </c>
      <c r="E53" s="32" t="n">
        <v>2027</v>
      </c>
      <c r="F53" s="32" t="n">
        <v>2027</v>
      </c>
      <c r="G53" s="32" t="n">
        <v>2027</v>
      </c>
      <c r="H53" s="32" t="s">
        <v>229</v>
      </c>
    </row>
    <row r="54" customFormat="false" ht="15" hidden="false" customHeight="false" outlineLevel="0" collapsed="false">
      <c r="A54" s="32"/>
      <c r="B54" s="32" t="s">
        <v>230</v>
      </c>
      <c r="D54" s="32" t="n">
        <v>0</v>
      </c>
      <c r="E54" s="32" t="n">
        <v>2035</v>
      </c>
      <c r="F54" s="32" t="n">
        <v>2035</v>
      </c>
      <c r="G54" s="32" t="n">
        <v>2035</v>
      </c>
      <c r="H54" s="32" t="s">
        <v>231</v>
      </c>
    </row>
    <row r="55" customFormat="false" ht="15" hidden="false" customHeight="false" outlineLevel="0" collapsed="false">
      <c r="A55" s="32"/>
      <c r="B55" s="32" t="s">
        <v>232</v>
      </c>
    </row>
    <row r="56" customFormat="false" ht="15" hidden="false" customHeight="false" outlineLevel="0" collapsed="false">
      <c r="A56" s="32"/>
      <c r="B56" s="32" t="s">
        <v>233</v>
      </c>
      <c r="C56" s="32" t="s">
        <v>234</v>
      </c>
      <c r="D56" s="32" t="n">
        <v>0</v>
      </c>
      <c r="E56" s="32" t="n">
        <v>0</v>
      </c>
      <c r="F56" s="32" t="n">
        <v>0</v>
      </c>
      <c r="G56" s="32" t="n">
        <v>0</v>
      </c>
      <c r="H56" s="32" t="s">
        <v>235</v>
      </c>
    </row>
    <row r="57" customFormat="false" ht="15" hidden="false" customHeight="false" outlineLevel="0" collapsed="false">
      <c r="A57" s="32"/>
      <c r="B57" s="32" t="s">
        <v>236</v>
      </c>
      <c r="C57" s="32" t="s">
        <v>234</v>
      </c>
      <c r="D57" s="32" t="n">
        <v>0</v>
      </c>
      <c r="E57" s="32" t="n">
        <v>0</v>
      </c>
      <c r="F57" s="32" t="n">
        <v>0</v>
      </c>
      <c r="G57" s="32" t="n">
        <v>0</v>
      </c>
      <c r="H57" s="32" t="s">
        <v>237</v>
      </c>
    </row>
    <row r="58" customFormat="false" ht="15" hidden="false" customHeight="false" outlineLevel="0" collapsed="false">
      <c r="A58" s="32"/>
      <c r="B58" s="32" t="s">
        <v>238</v>
      </c>
      <c r="C58" s="32" t="s">
        <v>234</v>
      </c>
      <c r="D58" s="32" t="n">
        <v>0</v>
      </c>
      <c r="E58" s="32" t="n">
        <v>0</v>
      </c>
      <c r="F58" s="32" t="n">
        <v>0</v>
      </c>
      <c r="G58" s="32" t="n">
        <v>0</v>
      </c>
      <c r="H58" s="32" t="s">
        <v>239</v>
      </c>
    </row>
    <row r="59" customFormat="false" ht="15" hidden="false" customHeight="false" outlineLevel="0" collapsed="false">
      <c r="A59" s="32"/>
      <c r="B59" s="32" t="s">
        <v>240</v>
      </c>
      <c r="C59" s="32" t="s">
        <v>234</v>
      </c>
      <c r="D59" s="32" t="n">
        <v>0</v>
      </c>
      <c r="F59" s="32" t="n">
        <v>0</v>
      </c>
      <c r="G59" s="32" t="n">
        <v>0</v>
      </c>
      <c r="H59" s="32" t="s">
        <v>241</v>
      </c>
    </row>
    <row r="60" customFormat="false" ht="15" hidden="false" customHeight="false" outlineLevel="0" collapsed="false">
      <c r="A60" s="32"/>
      <c r="B60" s="32" t="s">
        <v>242</v>
      </c>
    </row>
    <row r="61" customFormat="false" ht="15" hidden="false" customHeight="false" outlineLevel="0" collapsed="false">
      <c r="A61" s="32"/>
      <c r="B61" s="32" t="s">
        <v>233</v>
      </c>
      <c r="C61" s="32" t="s">
        <v>234</v>
      </c>
      <c r="D61" s="32" t="n">
        <v>0</v>
      </c>
      <c r="E61" s="32" t="n">
        <v>0</v>
      </c>
      <c r="F61" s="32" t="n">
        <v>0</v>
      </c>
      <c r="G61" s="32" t="n">
        <v>0</v>
      </c>
      <c r="H61" s="32" t="s">
        <v>243</v>
      </c>
    </row>
    <row r="62" customFormat="false" ht="15" hidden="false" customHeight="false" outlineLevel="0" collapsed="false">
      <c r="A62" s="32"/>
      <c r="B62" s="32" t="s">
        <v>236</v>
      </c>
      <c r="C62" s="32" t="s">
        <v>234</v>
      </c>
      <c r="D62" s="32" t="n">
        <v>0</v>
      </c>
      <c r="E62" s="32" t="n">
        <v>0</v>
      </c>
      <c r="F62" s="32" t="n">
        <v>0</v>
      </c>
      <c r="G62" s="32" t="n">
        <v>0</v>
      </c>
      <c r="H62" s="32" t="s">
        <v>244</v>
      </c>
    </row>
    <row r="63" customFormat="false" ht="15" hidden="false" customHeight="false" outlineLevel="0" collapsed="false">
      <c r="A63" s="32"/>
      <c r="B63" s="32" t="s">
        <v>238</v>
      </c>
      <c r="C63" s="32" t="s">
        <v>234</v>
      </c>
      <c r="D63" s="32" t="n">
        <v>0</v>
      </c>
      <c r="E63" s="32" t="n">
        <v>0</v>
      </c>
      <c r="F63" s="32" t="n">
        <v>0</v>
      </c>
      <c r="G63" s="32" t="n">
        <v>0</v>
      </c>
      <c r="H63" s="32" t="s">
        <v>245</v>
      </c>
    </row>
    <row r="64" customFormat="false" ht="15" hidden="false" customHeight="false" outlineLevel="0" collapsed="false">
      <c r="A64" s="32"/>
      <c r="B64" s="32" t="s">
        <v>240</v>
      </c>
      <c r="C64" s="32" t="s">
        <v>234</v>
      </c>
      <c r="D64" s="32" t="n">
        <v>0</v>
      </c>
      <c r="F64" s="32" t="n">
        <v>0</v>
      </c>
      <c r="G64" s="32" t="n">
        <v>0</v>
      </c>
      <c r="H64" s="32" t="s">
        <v>246</v>
      </c>
    </row>
    <row r="65" customFormat="false" ht="15" hidden="false" customHeight="false" outlineLevel="0" collapsed="false">
      <c r="B65" s="32" t="s">
        <v>247</v>
      </c>
    </row>
    <row r="66" customFormat="false" ht="15" hidden="false" customHeight="false" outlineLevel="0" collapsed="false">
      <c r="B66" s="32" t="s">
        <v>186</v>
      </c>
      <c r="C66" s="32" t="s">
        <v>147</v>
      </c>
      <c r="D66" s="32" t="n">
        <v>0</v>
      </c>
      <c r="E66" s="33" t="b">
        <f aca="false">FALSE()</f>
        <v>0</v>
      </c>
      <c r="F66" s="33" t="b">
        <f aca="false">FALSE()</f>
        <v>0</v>
      </c>
      <c r="G66" s="33" t="b">
        <f aca="false">TRUE()</f>
        <v>1</v>
      </c>
      <c r="I66" s="32" t="s">
        <v>140</v>
      </c>
    </row>
    <row r="67" customFormat="false" ht="15" hidden="false" customHeight="false" outlineLevel="0" collapsed="false">
      <c r="B67" s="32" t="s">
        <v>188</v>
      </c>
      <c r="D67" s="32" t="n">
        <v>0</v>
      </c>
      <c r="E67" s="33" t="b">
        <f aca="false">FALSE()</f>
        <v>0</v>
      </c>
      <c r="F67" s="33" t="b">
        <f aca="false">FALSE()</f>
        <v>0</v>
      </c>
      <c r="G67" s="33" t="b">
        <f aca="false">FALSE()</f>
        <v>0</v>
      </c>
      <c r="I67" s="32" t="s">
        <v>140</v>
      </c>
    </row>
    <row r="68" customFormat="false" ht="15" hidden="false" customHeight="false" outlineLevel="0" collapsed="false">
      <c r="B68" s="32" t="s">
        <v>190</v>
      </c>
      <c r="D68" s="32" t="n">
        <v>0</v>
      </c>
      <c r="E68" s="33" t="b">
        <f aca="false">FALSE()</f>
        <v>0</v>
      </c>
      <c r="F68" s="33" t="b">
        <f aca="false">FALSE()</f>
        <v>0</v>
      </c>
      <c r="G68" s="33" t="b">
        <f aca="false">FALSE()</f>
        <v>0</v>
      </c>
      <c r="I68" s="32" t="s">
        <v>140</v>
      </c>
    </row>
    <row r="69" customFormat="false" ht="15" hidden="false" customHeight="false" outlineLevel="0" collapsed="false">
      <c r="B69" s="32" t="s">
        <v>192</v>
      </c>
      <c r="D69" s="32" t="n">
        <v>0</v>
      </c>
      <c r="E69" s="33" t="b">
        <f aca="false">FALSE()</f>
        <v>0</v>
      </c>
      <c r="F69" s="33" t="b">
        <f aca="false">FALSE()</f>
        <v>0</v>
      </c>
      <c r="G69" s="33" t="b">
        <f aca="false">FALSE()</f>
        <v>0</v>
      </c>
      <c r="I69" s="32" t="s">
        <v>140</v>
      </c>
    </row>
    <row r="70" customFormat="false" ht="15" hidden="false" customHeight="false" outlineLevel="0" collapsed="false">
      <c r="B70" s="32" t="s">
        <v>194</v>
      </c>
      <c r="D70" s="32" t="n">
        <v>0</v>
      </c>
      <c r="E70" s="33" t="b">
        <f aca="false">FALSE()</f>
        <v>0</v>
      </c>
      <c r="F70" s="33" t="b">
        <f aca="false">FALSE()</f>
        <v>0</v>
      </c>
      <c r="G70" s="33" t="b">
        <f aca="false">FALSE()</f>
        <v>0</v>
      </c>
      <c r="I70" s="32" t="s">
        <v>140</v>
      </c>
    </row>
    <row r="71" customFormat="false" ht="15" hidden="false" customHeight="false" outlineLevel="0" collapsed="false">
      <c r="B71" s="32" t="s">
        <v>196</v>
      </c>
      <c r="C71" s="32" t="s">
        <v>147</v>
      </c>
      <c r="D71" s="32" t="n">
        <v>0</v>
      </c>
      <c r="E71" s="33" t="b">
        <f aca="false">FALSE()</f>
        <v>0</v>
      </c>
      <c r="F71" s="33" t="b">
        <f aca="false">FALSE()</f>
        <v>0</v>
      </c>
      <c r="G71" s="33" t="b">
        <f aca="false">TRUE()</f>
        <v>1</v>
      </c>
      <c r="I71" s="32" t="s">
        <v>140</v>
      </c>
    </row>
    <row r="72" customFormat="false" ht="15" hidden="false" customHeight="false" outlineLevel="0" collapsed="false">
      <c r="B72" s="32" t="s">
        <v>198</v>
      </c>
      <c r="D72" s="32" t="n">
        <v>0</v>
      </c>
      <c r="E72" s="33" t="b">
        <f aca="false">FALSE()</f>
        <v>0</v>
      </c>
      <c r="F72" s="33" t="b">
        <f aca="false">FALSE()</f>
        <v>0</v>
      </c>
      <c r="G72" s="33" t="b">
        <f aca="false">TRUE()</f>
        <v>1</v>
      </c>
      <c r="I72" s="32" t="s">
        <v>140</v>
      </c>
    </row>
    <row r="73" customFormat="false" ht="15" hidden="false" customHeight="false" outlineLevel="0" collapsed="false">
      <c r="B73" s="32" t="s">
        <v>200</v>
      </c>
      <c r="D73" s="32" t="n">
        <v>0</v>
      </c>
      <c r="E73" s="33" t="b">
        <f aca="false">FALSE()</f>
        <v>0</v>
      </c>
      <c r="F73" s="33" t="b">
        <f aca="false">FALSE()</f>
        <v>0</v>
      </c>
      <c r="G73" s="33" t="b">
        <f aca="false">TRUE()</f>
        <v>1</v>
      </c>
      <c r="I73" s="32" t="s">
        <v>140</v>
      </c>
    </row>
    <row r="74" customFormat="false" ht="15" hidden="false" customHeight="false" outlineLevel="0" collapsed="false">
      <c r="B74" s="32" t="s">
        <v>202</v>
      </c>
      <c r="D74" s="32" t="n">
        <v>0</v>
      </c>
      <c r="E74" s="33" t="b">
        <f aca="false">TRUE()</f>
        <v>1</v>
      </c>
      <c r="F74" s="33" t="b">
        <f aca="false">TRUE()</f>
        <v>1</v>
      </c>
      <c r="G74" s="33" t="b">
        <f aca="false">TRUE()</f>
        <v>1</v>
      </c>
      <c r="I74" s="32" t="s">
        <v>140</v>
      </c>
    </row>
    <row r="75" customFormat="false" ht="15" hidden="false" customHeight="false" outlineLevel="0" collapsed="false">
      <c r="B75" s="32" t="s">
        <v>204</v>
      </c>
      <c r="D75" s="32" t="n">
        <v>0</v>
      </c>
      <c r="E75" s="33" t="b">
        <f aca="false">FALSE()</f>
        <v>0</v>
      </c>
      <c r="F75" s="33" t="b">
        <f aca="false">FALSE()</f>
        <v>0</v>
      </c>
      <c r="G75" s="33" t="b">
        <f aca="false">TRUE()</f>
        <v>1</v>
      </c>
      <c r="I75" s="32" t="s">
        <v>140</v>
      </c>
    </row>
    <row r="76" customFormat="false" ht="15" hidden="false" customHeight="false" outlineLevel="0" collapsed="false">
      <c r="B76" s="32" t="s">
        <v>206</v>
      </c>
      <c r="D76" s="32" t="n">
        <v>0</v>
      </c>
      <c r="E76" s="33" t="b">
        <f aca="false">TRUE()</f>
        <v>1</v>
      </c>
      <c r="F76" s="33" t="b">
        <f aca="false">TRUE()</f>
        <v>1</v>
      </c>
      <c r="G76" s="33" t="b">
        <f aca="false">TRUE()</f>
        <v>1</v>
      </c>
      <c r="I76" s="32" t="s">
        <v>140</v>
      </c>
    </row>
    <row r="77" customFormat="false" ht="15" hidden="false" customHeight="false" outlineLevel="0" collapsed="false">
      <c r="B77" s="32" t="s">
        <v>208</v>
      </c>
      <c r="D77" s="32" t="n">
        <v>0</v>
      </c>
      <c r="E77" s="33" t="b">
        <f aca="false">TRUE()</f>
        <v>1</v>
      </c>
      <c r="F77" s="33" t="b">
        <f aca="false">TRUE()</f>
        <v>1</v>
      </c>
      <c r="G77" s="33" t="b">
        <f aca="false">TRUE()</f>
        <v>1</v>
      </c>
      <c r="I77" s="32" t="s">
        <v>140</v>
      </c>
    </row>
    <row r="78" customFormat="false" ht="15" hidden="false" customHeight="false" outlineLevel="0" collapsed="false">
      <c r="B78" s="32" t="s">
        <v>210</v>
      </c>
      <c r="D78" s="32" t="n">
        <v>0</v>
      </c>
      <c r="E78" s="33" t="b">
        <f aca="false">TRUE()</f>
        <v>1</v>
      </c>
      <c r="F78" s="33" t="b">
        <f aca="false">TRUE()</f>
        <v>1</v>
      </c>
      <c r="G78" s="33" t="b">
        <f aca="false">TRUE()</f>
        <v>1</v>
      </c>
      <c r="I78" s="32" t="s">
        <v>140</v>
      </c>
    </row>
    <row r="79" customFormat="false" ht="15" hidden="false" customHeight="false" outlineLevel="0" collapsed="false">
      <c r="B79" s="32" t="s">
        <v>212</v>
      </c>
      <c r="D79" s="32" t="n">
        <v>0</v>
      </c>
      <c r="E79" s="33" t="b">
        <f aca="false">TRUE()</f>
        <v>1</v>
      </c>
      <c r="F79" s="33" t="b">
        <f aca="false">TRUE()</f>
        <v>1</v>
      </c>
      <c r="G79" s="33" t="b">
        <f aca="false">TRUE()</f>
        <v>1</v>
      </c>
      <c r="I79" s="32" t="s">
        <v>140</v>
      </c>
    </row>
    <row r="80" customFormat="false" ht="15" hidden="false" customHeight="false" outlineLevel="0" collapsed="false">
      <c r="B80" s="32" t="s">
        <v>214</v>
      </c>
      <c r="D80" s="32" t="n">
        <v>0</v>
      </c>
      <c r="E80" s="33" t="b">
        <f aca="false">TRUE()</f>
        <v>1</v>
      </c>
      <c r="F80" s="33" t="b">
        <f aca="false">TRUE()</f>
        <v>1</v>
      </c>
      <c r="G80" s="33" t="b">
        <f aca="false">TRUE()</f>
        <v>1</v>
      </c>
      <c r="I80" s="32" t="s">
        <v>140</v>
      </c>
    </row>
    <row r="81" customFormat="false" ht="15" hidden="false" customHeight="false" outlineLevel="0" collapsed="false">
      <c r="B81" s="32" t="s">
        <v>216</v>
      </c>
      <c r="D81" s="32" t="n">
        <v>0</v>
      </c>
      <c r="E81" s="33" t="b">
        <f aca="false">TRUE()</f>
        <v>1</v>
      </c>
      <c r="F81" s="33" t="b">
        <f aca="false">TRUE()</f>
        <v>1</v>
      </c>
      <c r="G81" s="33" t="b">
        <f aca="false">TRUE()</f>
        <v>1</v>
      </c>
    </row>
    <row r="82" customFormat="false" ht="15" hidden="false" customHeight="false" outlineLevel="0" collapsed="false">
      <c r="B82" s="32" t="s">
        <v>218</v>
      </c>
      <c r="D82" s="32" t="n">
        <v>0</v>
      </c>
      <c r="E82" s="33" t="b">
        <f aca="false">TRUE()</f>
        <v>1</v>
      </c>
      <c r="F82" s="33" t="b">
        <f aca="false">TRUE()</f>
        <v>1</v>
      </c>
      <c r="G82" s="33" t="b">
        <f aca="false">TRUE()</f>
        <v>1</v>
      </c>
    </row>
    <row r="83" customFormat="false" ht="15" hidden="false" customHeight="false" outlineLevel="0" collapsed="false">
      <c r="A83" s="32"/>
      <c r="B83" s="32" t="s">
        <v>248</v>
      </c>
    </row>
    <row r="84" customFormat="false" ht="15" hidden="false" customHeight="false" outlineLevel="0" collapsed="false">
      <c r="B84" s="32" t="s">
        <v>249</v>
      </c>
      <c r="D84" s="32" t="n">
        <v>0</v>
      </c>
      <c r="E84" s="32" t="s">
        <v>250</v>
      </c>
      <c r="F84" s="32" t="s">
        <v>250</v>
      </c>
      <c r="G84" s="32" t="s">
        <v>250</v>
      </c>
      <c r="H84" s="32" t="s">
        <v>251</v>
      </c>
    </row>
    <row r="85" customFormat="false" ht="15" hidden="false" customHeight="false" outlineLevel="0" collapsed="false">
      <c r="B85" s="32" t="s">
        <v>252</v>
      </c>
      <c r="D85" s="32" t="n">
        <v>0</v>
      </c>
      <c r="E85" s="32" t="n">
        <v>0</v>
      </c>
      <c r="F85" s="32" t="n">
        <v>0</v>
      </c>
      <c r="G85" s="32" t="n">
        <v>0</v>
      </c>
      <c r="H85" s="32" t="s">
        <v>253</v>
      </c>
    </row>
    <row r="86" customFormat="false" ht="15" hidden="false" customHeight="false" outlineLevel="0" collapsed="false">
      <c r="B86" s="32" t="s">
        <v>254</v>
      </c>
      <c r="D86" s="32" t="n">
        <v>0</v>
      </c>
      <c r="E86" s="32" t="n">
        <v>0</v>
      </c>
      <c r="F86" s="32" t="n">
        <v>0</v>
      </c>
      <c r="G86" s="32" t="n">
        <v>0</v>
      </c>
      <c r="H86" s="32" t="s">
        <v>255</v>
      </c>
    </row>
    <row r="87" customFormat="false" ht="15" hidden="false" customHeight="false" outlineLevel="0" collapsed="false">
      <c r="B87" s="32" t="s">
        <v>256</v>
      </c>
      <c r="D87" s="32" t="n">
        <v>0</v>
      </c>
      <c r="E87" s="32" t="s">
        <v>257</v>
      </c>
      <c r="F87" s="32" t="s">
        <v>257</v>
      </c>
      <c r="G87" s="32" t="s">
        <v>258</v>
      </c>
      <c r="H87" s="32" t="s">
        <v>259</v>
      </c>
    </row>
    <row r="88" customFormat="false" ht="15" hidden="false" customHeight="false" outlineLevel="0" collapsed="false">
      <c r="B88" s="32" t="s">
        <v>260</v>
      </c>
      <c r="D88" s="32" t="n">
        <v>0</v>
      </c>
      <c r="E88" s="32" t="n">
        <v>2027</v>
      </c>
      <c r="F88" s="32" t="n">
        <v>2027</v>
      </c>
      <c r="G88" s="32" t="n">
        <v>2026</v>
      </c>
      <c r="H88" s="32" t="s">
        <v>261</v>
      </c>
    </row>
    <row r="89" customFormat="false" ht="15" hidden="false" customHeight="false" outlineLevel="0" collapsed="false">
      <c r="B89" s="32" t="s">
        <v>262</v>
      </c>
      <c r="D89" s="32" t="n">
        <v>0</v>
      </c>
      <c r="E89" s="32" t="n">
        <v>2035</v>
      </c>
      <c r="F89" s="32" t="n">
        <v>2035</v>
      </c>
      <c r="G89" s="32" t="n">
        <v>2035</v>
      </c>
      <c r="H89" s="32" t="s">
        <v>263</v>
      </c>
    </row>
    <row r="90" customFormat="false" ht="15" hidden="false" customHeight="false" outlineLevel="0" collapsed="false">
      <c r="B90" s="32" t="s">
        <v>264</v>
      </c>
      <c r="D90" s="32" t="n">
        <v>0</v>
      </c>
      <c r="E90" s="32" t="n">
        <v>0</v>
      </c>
      <c r="F90" s="32" t="n">
        <v>0</v>
      </c>
      <c r="G90" s="32" t="n">
        <v>0</v>
      </c>
      <c r="H90" s="32" t="s">
        <v>265</v>
      </c>
    </row>
    <row r="91" customFormat="false" ht="15" hidden="false" customHeight="false" outlineLevel="0" collapsed="false">
      <c r="B91" s="32" t="s">
        <v>266</v>
      </c>
      <c r="D91" s="32" t="n">
        <v>0</v>
      </c>
      <c r="E91" s="32" t="n">
        <v>0</v>
      </c>
      <c r="F91" s="32" t="n">
        <v>0</v>
      </c>
      <c r="G91" s="32" t="n">
        <v>1</v>
      </c>
      <c r="H91" s="32" t="s">
        <v>267</v>
      </c>
    </row>
    <row r="92" customFormat="false" ht="15" hidden="false" customHeight="false" outlineLevel="0" collapsed="false">
      <c r="B92" s="32" t="s">
        <v>268</v>
      </c>
      <c r="D92" s="32" t="n">
        <v>0</v>
      </c>
      <c r="E92" s="32" t="s">
        <v>257</v>
      </c>
      <c r="F92" s="32" t="s">
        <v>257</v>
      </c>
      <c r="G92" s="32" t="s">
        <v>257</v>
      </c>
      <c r="H92" s="32" t="s">
        <v>269</v>
      </c>
    </row>
    <row r="93" customFormat="false" ht="15" hidden="false" customHeight="false" outlineLevel="0" collapsed="false">
      <c r="B93" s="32" t="s">
        <v>270</v>
      </c>
      <c r="D93" s="32" t="n">
        <v>0</v>
      </c>
      <c r="E93" s="32" t="s">
        <v>250</v>
      </c>
      <c r="F93" s="32" t="s">
        <v>250</v>
      </c>
      <c r="G93" s="32" t="s">
        <v>250</v>
      </c>
      <c r="H93" s="32" t="s">
        <v>271</v>
      </c>
    </row>
    <row r="94" customFormat="false" ht="15" hidden="false" customHeight="false" outlineLevel="0" collapsed="false">
      <c r="B94" s="32" t="s">
        <v>272</v>
      </c>
    </row>
    <row r="95" customFormat="false" ht="15" hidden="false" customHeight="false" outlineLevel="0" collapsed="false">
      <c r="B95" s="32" t="s">
        <v>273</v>
      </c>
      <c r="D95" s="32" t="n">
        <v>0</v>
      </c>
      <c r="E95" s="32" t="s">
        <v>274</v>
      </c>
      <c r="F95" s="32" t="s">
        <v>274</v>
      </c>
      <c r="G95" s="32" t="s">
        <v>274</v>
      </c>
      <c r="H95" s="32" t="s">
        <v>275</v>
      </c>
    </row>
    <row r="96" customFormat="false" ht="15" hidden="false" customHeight="false" outlineLevel="0" collapsed="false">
      <c r="B96" s="32" t="s">
        <v>276</v>
      </c>
      <c r="D96" s="32" t="n">
        <v>0</v>
      </c>
      <c r="E96" s="32" t="s">
        <v>274</v>
      </c>
      <c r="F96" s="32" t="s">
        <v>274</v>
      </c>
      <c r="G96" s="32" t="s">
        <v>274</v>
      </c>
      <c r="H96" s="32" t="s">
        <v>277</v>
      </c>
    </row>
    <row r="97" customFormat="false" ht="15" hidden="false" customHeight="false" outlineLevel="0" collapsed="false">
      <c r="B97" s="32" t="s">
        <v>278</v>
      </c>
      <c r="D97" s="32" t="n">
        <v>0</v>
      </c>
      <c r="E97" s="32" t="n">
        <v>0.2</v>
      </c>
      <c r="F97" s="32" t="n">
        <v>0.2</v>
      </c>
      <c r="G97" s="32" t="n">
        <v>0.2</v>
      </c>
      <c r="H97" s="32" t="s">
        <v>279</v>
      </c>
    </row>
    <row r="98" customFormat="false" ht="15" hidden="false" customHeight="false" outlineLevel="0" collapsed="false">
      <c r="B98" s="32" t="s">
        <v>280</v>
      </c>
    </row>
    <row r="99" customFormat="false" ht="15" hidden="false" customHeight="false" outlineLevel="0" collapsed="false">
      <c r="B99" s="32" t="s">
        <v>281</v>
      </c>
      <c r="C99" s="32" t="s">
        <v>147</v>
      </c>
      <c r="D99" s="32" t="n">
        <v>0</v>
      </c>
      <c r="E99" s="33" t="b">
        <f aca="false">TRUE()</f>
        <v>1</v>
      </c>
      <c r="F99" s="33" t="b">
        <f aca="false">TRUE()</f>
        <v>1</v>
      </c>
      <c r="G99" s="33" t="b">
        <f aca="false">TRUE()</f>
        <v>1</v>
      </c>
      <c r="I99" s="32" t="s">
        <v>140</v>
      </c>
    </row>
    <row r="100" customFormat="false" ht="15" hidden="false" customHeight="false" outlineLevel="0" collapsed="false">
      <c r="B100" s="32" t="s">
        <v>282</v>
      </c>
      <c r="D100" s="32" t="n">
        <v>0</v>
      </c>
      <c r="E100" s="33" t="b">
        <f aca="false">FALSE()</f>
        <v>0</v>
      </c>
      <c r="F100" s="33" t="b">
        <f aca="false">FALSE()</f>
        <v>0</v>
      </c>
      <c r="G100" s="33" t="b">
        <f aca="false">TRUE()</f>
        <v>1</v>
      </c>
      <c r="I100" s="32" t="s">
        <v>140</v>
      </c>
    </row>
    <row r="101" customFormat="false" ht="15" hidden="false" customHeight="false" outlineLevel="0" collapsed="false">
      <c r="B101" s="32" t="s">
        <v>283</v>
      </c>
      <c r="D101" s="32" t="n">
        <v>0</v>
      </c>
      <c r="E101" s="33" t="b">
        <f aca="false">FALSE()</f>
        <v>0</v>
      </c>
      <c r="F101" s="33" t="b">
        <f aca="false">FALSE()</f>
        <v>0</v>
      </c>
      <c r="G101" s="33" t="b">
        <f aca="false">TRUE()</f>
        <v>1</v>
      </c>
      <c r="I101" s="32" t="s">
        <v>140</v>
      </c>
    </row>
    <row r="102" customFormat="false" ht="15" hidden="false" customHeight="false" outlineLevel="0" collapsed="false">
      <c r="B102" s="32" t="s">
        <v>284</v>
      </c>
      <c r="D102" s="32" t="n">
        <v>0</v>
      </c>
      <c r="E102" s="33" t="b">
        <f aca="false">FALSE()</f>
        <v>0</v>
      </c>
      <c r="F102" s="33" t="b">
        <f aca="false">FALSE()</f>
        <v>0</v>
      </c>
      <c r="G102" s="33" t="b">
        <f aca="false">TRUE()</f>
        <v>1</v>
      </c>
      <c r="I102" s="32" t="s">
        <v>140</v>
      </c>
    </row>
    <row r="103" customFormat="false" ht="15" hidden="false" customHeight="false" outlineLevel="0" collapsed="false">
      <c r="B103" s="32" t="s">
        <v>285</v>
      </c>
      <c r="D103" s="32" t="n">
        <v>0</v>
      </c>
      <c r="E103" s="33" t="b">
        <f aca="false">FALSE()</f>
        <v>0</v>
      </c>
      <c r="F103" s="33" t="b">
        <f aca="false">FALSE()</f>
        <v>0</v>
      </c>
      <c r="G103" s="33" t="b">
        <f aca="false">TRUE()</f>
        <v>1</v>
      </c>
      <c r="I103" s="32" t="s">
        <v>140</v>
      </c>
    </row>
    <row r="104" customFormat="false" ht="15" hidden="false" customHeight="false" outlineLevel="0" collapsed="false">
      <c r="B104" s="32" t="s">
        <v>286</v>
      </c>
      <c r="C104" s="32" t="s">
        <v>147</v>
      </c>
      <c r="D104" s="32" t="n">
        <v>0</v>
      </c>
      <c r="E104" s="33" t="b">
        <f aca="false">FALSE()</f>
        <v>0</v>
      </c>
      <c r="F104" s="33" t="b">
        <f aca="false">FALSE()</f>
        <v>0</v>
      </c>
      <c r="G104" s="33" t="b">
        <f aca="false">TRUE()</f>
        <v>1</v>
      </c>
      <c r="I104" s="32" t="s">
        <v>140</v>
      </c>
    </row>
    <row r="105" customFormat="false" ht="15" hidden="false" customHeight="false" outlineLevel="0" collapsed="false">
      <c r="B105" s="32" t="s">
        <v>287</v>
      </c>
      <c r="D105" s="32" t="n">
        <v>0</v>
      </c>
      <c r="E105" s="33" t="b">
        <f aca="false">FALSE()</f>
        <v>0</v>
      </c>
      <c r="F105" s="33" t="b">
        <f aca="false">FALSE()</f>
        <v>0</v>
      </c>
      <c r="G105" s="33" t="b">
        <f aca="false">TRUE()</f>
        <v>1</v>
      </c>
      <c r="I105" s="32" t="s">
        <v>140</v>
      </c>
    </row>
    <row r="106" customFormat="false" ht="15" hidden="false" customHeight="false" outlineLevel="0" collapsed="false">
      <c r="B106" s="32" t="s">
        <v>288</v>
      </c>
      <c r="D106" s="32" t="n">
        <v>0</v>
      </c>
      <c r="E106" s="33" t="b">
        <f aca="false">FALSE()</f>
        <v>0</v>
      </c>
      <c r="F106" s="33" t="b">
        <f aca="false">FALSE()</f>
        <v>0</v>
      </c>
      <c r="G106" s="33" t="b">
        <f aca="false">TRUE()</f>
        <v>1</v>
      </c>
      <c r="I106" s="32" t="s">
        <v>140</v>
      </c>
    </row>
    <row r="107" customFormat="false" ht="15" hidden="false" customHeight="false" outlineLevel="0" collapsed="false">
      <c r="B107" s="32" t="s">
        <v>289</v>
      </c>
      <c r="D107" s="32" t="n">
        <v>0</v>
      </c>
      <c r="E107" s="33" t="b">
        <f aca="false">TRUE()</f>
        <v>1</v>
      </c>
      <c r="F107" s="33" t="b">
        <f aca="false">TRUE()</f>
        <v>1</v>
      </c>
      <c r="G107" s="33" t="b">
        <f aca="false">TRUE()</f>
        <v>1</v>
      </c>
      <c r="I107" s="32" t="s">
        <v>140</v>
      </c>
    </row>
    <row r="108" customFormat="false" ht="15" hidden="false" customHeight="false" outlineLevel="0" collapsed="false">
      <c r="B108" s="32" t="s">
        <v>290</v>
      </c>
      <c r="D108" s="32" t="n">
        <v>0</v>
      </c>
      <c r="E108" s="33" t="b">
        <f aca="false">TRUE()</f>
        <v>1</v>
      </c>
      <c r="F108" s="33" t="b">
        <f aca="false">TRUE()</f>
        <v>1</v>
      </c>
      <c r="G108" s="33" t="b">
        <f aca="false">TRUE()</f>
        <v>1</v>
      </c>
      <c r="I108" s="32" t="s">
        <v>140</v>
      </c>
    </row>
    <row r="109" customFormat="false" ht="15" hidden="false" customHeight="false" outlineLevel="0" collapsed="false">
      <c r="B109" s="32" t="s">
        <v>291</v>
      </c>
      <c r="D109" s="32" t="n">
        <v>0</v>
      </c>
      <c r="E109" s="33" t="b">
        <f aca="false">TRUE()</f>
        <v>1</v>
      </c>
      <c r="F109" s="33" t="b">
        <f aca="false">TRUE()</f>
        <v>1</v>
      </c>
      <c r="G109" s="33" t="b">
        <f aca="false">TRUE()</f>
        <v>1</v>
      </c>
      <c r="I109" s="32" t="s">
        <v>140</v>
      </c>
    </row>
    <row r="110" customFormat="false" ht="15" hidden="false" customHeight="false" outlineLevel="0" collapsed="false">
      <c r="B110" s="32" t="s">
        <v>292</v>
      </c>
      <c r="D110" s="32" t="n">
        <v>0</v>
      </c>
      <c r="E110" s="33" t="b">
        <f aca="false">FALSE()</f>
        <v>0</v>
      </c>
      <c r="F110" s="33" t="b">
        <f aca="false">FALSE()</f>
        <v>0</v>
      </c>
      <c r="G110" s="33" t="b">
        <f aca="false">TRUE()</f>
        <v>1</v>
      </c>
      <c r="I110" s="32" t="s">
        <v>140</v>
      </c>
    </row>
    <row r="111" customFormat="false" ht="15" hidden="false" customHeight="false" outlineLevel="0" collapsed="false">
      <c r="B111" s="32" t="s">
        <v>293</v>
      </c>
      <c r="D111" s="32" t="n">
        <v>0</v>
      </c>
      <c r="E111" s="33" t="b">
        <f aca="false">TRUE()</f>
        <v>1</v>
      </c>
      <c r="F111" s="33" t="b">
        <f aca="false">TRUE()</f>
        <v>1</v>
      </c>
      <c r="G111" s="33" t="b">
        <f aca="false">TRUE()</f>
        <v>1</v>
      </c>
      <c r="I111" s="32" t="s">
        <v>140</v>
      </c>
    </row>
    <row r="112" customFormat="false" ht="15" hidden="false" customHeight="false" outlineLevel="0" collapsed="false">
      <c r="B112" s="32" t="s">
        <v>294</v>
      </c>
      <c r="D112" s="32" t="n">
        <v>0</v>
      </c>
      <c r="E112" s="33" t="b">
        <f aca="false">FALSE()</f>
        <v>0</v>
      </c>
      <c r="F112" s="33" t="b">
        <f aca="false">FALSE()</f>
        <v>0</v>
      </c>
      <c r="G112" s="33" t="b">
        <f aca="false">TRUE()</f>
        <v>1</v>
      </c>
      <c r="I112" s="32" t="s">
        <v>140</v>
      </c>
    </row>
    <row r="113" customFormat="false" ht="15" hidden="false" customHeight="false" outlineLevel="0" collapsed="false">
      <c r="B113" s="32" t="s">
        <v>295</v>
      </c>
      <c r="D113" s="32" t="n">
        <v>0</v>
      </c>
      <c r="E113" s="33" t="b">
        <f aca="false">FALSE()</f>
        <v>0</v>
      </c>
      <c r="F113" s="33" t="b">
        <f aca="false">FALSE()</f>
        <v>0</v>
      </c>
      <c r="G113" s="33" t="b">
        <f aca="false">TRUE()</f>
        <v>1</v>
      </c>
      <c r="I113" s="32" t="s">
        <v>140</v>
      </c>
    </row>
    <row r="114" customFormat="false" ht="15" hidden="false" customHeight="false" outlineLevel="0" collapsed="false">
      <c r="B114" s="32" t="s">
        <v>296</v>
      </c>
      <c r="D114" s="32" t="n">
        <v>0</v>
      </c>
      <c r="E114" s="33" t="b">
        <f aca="false">FALSE()</f>
        <v>0</v>
      </c>
      <c r="F114" s="33" t="b">
        <f aca="false">FALSE()</f>
        <v>0</v>
      </c>
      <c r="G114" s="33" t="b">
        <f aca="false">TRUE()</f>
        <v>1</v>
      </c>
      <c r="I114" s="32" t="s">
        <v>140</v>
      </c>
    </row>
    <row r="115" customFormat="false" ht="15" hidden="false" customHeight="false" outlineLevel="0" collapsed="false">
      <c r="B115" s="32" t="s">
        <v>297</v>
      </c>
      <c r="D115" s="32" t="n">
        <v>0</v>
      </c>
      <c r="E115" s="33" t="b">
        <f aca="false">FALSE()</f>
        <v>0</v>
      </c>
      <c r="F115" s="33" t="b">
        <f aca="false">FALSE()</f>
        <v>0</v>
      </c>
      <c r="G115" s="33" t="b">
        <f aca="false">TRUE()</f>
        <v>1</v>
      </c>
      <c r="I115" s="32" t="s">
        <v>140</v>
      </c>
    </row>
    <row r="116" customFormat="false" ht="15" hidden="false" customHeight="false" outlineLevel="0" collapsed="false">
      <c r="B116" s="32" t="s">
        <v>298</v>
      </c>
    </row>
    <row r="117" customFormat="false" ht="15" hidden="false" customHeight="false" outlineLevel="0" collapsed="false">
      <c r="B117" s="32" t="s">
        <v>289</v>
      </c>
      <c r="D117" s="32" t="n">
        <v>0</v>
      </c>
      <c r="E117" s="33" t="b">
        <f aca="false">FALSE()</f>
        <v>0</v>
      </c>
      <c r="F117" s="33" t="b">
        <f aca="false">FALSE()</f>
        <v>0</v>
      </c>
      <c r="G117" s="33" t="b">
        <f aca="false">TRUE()</f>
        <v>1</v>
      </c>
    </row>
    <row r="118" customFormat="false" ht="15" hidden="false" customHeight="false" outlineLevel="0" collapsed="false">
      <c r="B118" s="32" t="s">
        <v>290</v>
      </c>
      <c r="D118" s="32" t="n">
        <v>0</v>
      </c>
      <c r="E118" s="33" t="b">
        <f aca="false">FALSE()</f>
        <v>0</v>
      </c>
      <c r="F118" s="33" t="b">
        <f aca="false">FALSE()</f>
        <v>0</v>
      </c>
      <c r="G118" s="33" t="b">
        <f aca="false">TRUE()</f>
        <v>1</v>
      </c>
    </row>
    <row r="119" customFormat="false" ht="15" hidden="false" customHeight="false" outlineLevel="0" collapsed="false">
      <c r="B119" s="32" t="s">
        <v>291</v>
      </c>
      <c r="D119" s="32" t="n">
        <v>0</v>
      </c>
      <c r="E119" s="33" t="b">
        <f aca="false">FALSE()</f>
        <v>0</v>
      </c>
      <c r="F119" s="33" t="b">
        <f aca="false">FALSE()</f>
        <v>0</v>
      </c>
      <c r="G119" s="33" t="b">
        <f aca="false">TRUE()</f>
        <v>1</v>
      </c>
    </row>
    <row r="120" customFormat="false" ht="15" hidden="false" customHeight="false" outlineLevel="0" collapsed="false">
      <c r="B120" s="32" t="s">
        <v>292</v>
      </c>
      <c r="D120" s="32" t="n">
        <v>0</v>
      </c>
      <c r="E120" s="33" t="b">
        <f aca="false">FALSE()</f>
        <v>0</v>
      </c>
      <c r="F120" s="33" t="b">
        <f aca="false">FALSE()</f>
        <v>0</v>
      </c>
      <c r="G120" s="33" t="b">
        <f aca="false">FALSE()</f>
        <v>0</v>
      </c>
    </row>
    <row r="121" customFormat="false" ht="15" hidden="false" customHeight="false" outlineLevel="0" collapsed="false">
      <c r="B121" s="32" t="s">
        <v>293</v>
      </c>
      <c r="D121" s="32" t="n">
        <v>0</v>
      </c>
      <c r="E121" s="33" t="b">
        <f aca="false">FALSE()</f>
        <v>0</v>
      </c>
      <c r="F121" s="33" t="b">
        <f aca="false">FALSE()</f>
        <v>0</v>
      </c>
      <c r="G121" s="33" t="b">
        <f aca="false">TRUE()</f>
        <v>1</v>
      </c>
    </row>
    <row r="122" customFormat="false" ht="15" hidden="false" customHeight="false" outlineLevel="0" collapsed="false">
      <c r="A122" s="32"/>
      <c r="B122" s="32" t="s">
        <v>299</v>
      </c>
    </row>
    <row r="123" customFormat="false" ht="15" hidden="false" customHeight="false" outlineLevel="0" collapsed="false">
      <c r="A123" s="32"/>
      <c r="B123" s="32" t="s">
        <v>300</v>
      </c>
      <c r="C123" s="32" t="s">
        <v>301</v>
      </c>
      <c r="D123" s="32" t="n">
        <v>0</v>
      </c>
      <c r="E123" s="33" t="b">
        <f aca="false">FALSE()</f>
        <v>0</v>
      </c>
      <c r="F123" s="33" t="b">
        <f aca="false">FALSE()</f>
        <v>0</v>
      </c>
      <c r="G123" s="33" t="b">
        <f aca="false">FALSE()</f>
        <v>0</v>
      </c>
      <c r="H123" s="32" t="s">
        <v>302</v>
      </c>
      <c r="I123" s="32" t="s">
        <v>140</v>
      </c>
    </row>
    <row r="124" customFormat="false" ht="15" hidden="false" customHeight="false" outlineLevel="0" collapsed="false">
      <c r="A124" s="32"/>
      <c r="B124" s="32" t="s">
        <v>303</v>
      </c>
      <c r="C124" s="32" t="s">
        <v>161</v>
      </c>
      <c r="D124" s="32" t="n">
        <v>0</v>
      </c>
      <c r="E124" s="32" t="n">
        <v>2027</v>
      </c>
      <c r="F124" s="32" t="n">
        <v>2027</v>
      </c>
      <c r="G124" s="32" t="n">
        <v>2027</v>
      </c>
      <c r="H124" s="32" t="s">
        <v>304</v>
      </c>
      <c r="I124" s="32" t="s">
        <v>140</v>
      </c>
    </row>
    <row r="125" customFormat="false" ht="15" hidden="false" customHeight="false" outlineLevel="0" collapsed="false">
      <c r="A125" s="32"/>
      <c r="B125" s="32" t="s">
        <v>305</v>
      </c>
      <c r="C125" s="32" t="s">
        <v>161</v>
      </c>
      <c r="D125" s="32" t="n">
        <v>0</v>
      </c>
      <c r="E125" s="32" t="n">
        <v>5</v>
      </c>
      <c r="F125" s="32" t="n">
        <v>5</v>
      </c>
      <c r="G125" s="32" t="n">
        <v>5</v>
      </c>
      <c r="H125" s="32" t="s">
        <v>306</v>
      </c>
      <c r="I125" s="32" t="s">
        <v>140</v>
      </c>
    </row>
    <row r="126" customFormat="false" ht="15" hidden="false" customHeight="false" outlineLevel="0" collapsed="false">
      <c r="A126" s="32"/>
      <c r="B126" s="32" t="s">
        <v>307</v>
      </c>
      <c r="C126" s="32" t="s">
        <v>88</v>
      </c>
      <c r="D126" s="32" t="n">
        <v>0</v>
      </c>
      <c r="E126" s="32" t="n">
        <v>1</v>
      </c>
      <c r="F126" s="32" t="n">
        <v>1</v>
      </c>
      <c r="G126" s="32" t="n">
        <v>1</v>
      </c>
      <c r="H126" s="32" t="s">
        <v>308</v>
      </c>
    </row>
    <row r="127" customFormat="false" ht="15" hidden="false" customHeight="false" outlineLevel="0" collapsed="false">
      <c r="A127" s="32"/>
      <c r="B127" s="32" t="s">
        <v>309</v>
      </c>
      <c r="C127" s="32" t="s">
        <v>310</v>
      </c>
      <c r="D127" s="32" t="n">
        <v>0</v>
      </c>
      <c r="E127" s="32" t="s">
        <v>250</v>
      </c>
      <c r="F127" s="32" t="s">
        <v>250</v>
      </c>
      <c r="G127" s="32" t="s">
        <v>250</v>
      </c>
      <c r="H127" s="32" t="s">
        <v>311</v>
      </c>
    </row>
    <row r="128" customFormat="false" ht="15" hidden="false" customHeight="false" outlineLevel="0" collapsed="false">
      <c r="A128" s="32"/>
      <c r="B128" s="32" t="s">
        <v>312</v>
      </c>
      <c r="C128" s="32" t="s">
        <v>161</v>
      </c>
      <c r="D128" s="32" t="n">
        <v>0</v>
      </c>
      <c r="E128" s="32" t="n">
        <v>5</v>
      </c>
      <c r="F128" s="32" t="n">
        <v>5</v>
      </c>
      <c r="G128" s="32" t="n">
        <v>5</v>
      </c>
      <c r="H128" s="32" t="s">
        <v>313</v>
      </c>
    </row>
    <row r="129" customFormat="false" ht="15" hidden="false" customHeight="false" outlineLevel="0" collapsed="false">
      <c r="A129" s="32"/>
      <c r="B129" s="32" t="s">
        <v>314</v>
      </c>
      <c r="C129" s="32" t="s">
        <v>88</v>
      </c>
      <c r="D129" s="32" t="n">
        <v>0</v>
      </c>
      <c r="E129" s="32" t="n">
        <v>0</v>
      </c>
      <c r="F129" s="32" t="n">
        <v>0</v>
      </c>
      <c r="G129" s="32" t="n">
        <v>0</v>
      </c>
      <c r="H129" s="32" t="s">
        <v>315</v>
      </c>
    </row>
    <row r="130" customFormat="false" ht="15" hidden="false" customHeight="false" outlineLevel="0" collapsed="false">
      <c r="A130" s="32"/>
      <c r="B130" s="32" t="s">
        <v>316</v>
      </c>
    </row>
    <row r="131" customFormat="false" ht="15" hidden="false" customHeight="false" outlineLevel="0" collapsed="false">
      <c r="A131" s="32"/>
      <c r="B131" s="32" t="s">
        <v>317</v>
      </c>
      <c r="C131" s="32" t="s">
        <v>301</v>
      </c>
      <c r="D131" s="32" t="n">
        <v>0</v>
      </c>
      <c r="E131" s="33" t="b">
        <f aca="false">FALSE()</f>
        <v>0</v>
      </c>
      <c r="F131" s="33" t="b">
        <f aca="false">FALSE()</f>
        <v>0</v>
      </c>
      <c r="G131" s="33" t="b">
        <f aca="false">FALSE()</f>
        <v>0</v>
      </c>
      <c r="H131" s="32" t="s">
        <v>318</v>
      </c>
      <c r="I131" s="32" t="s">
        <v>140</v>
      </c>
    </row>
    <row r="132" customFormat="false" ht="15" hidden="false" customHeight="false" outlineLevel="0" collapsed="false">
      <c r="A132" s="32"/>
      <c r="B132" s="32" t="s">
        <v>319</v>
      </c>
      <c r="C132" s="32" t="s">
        <v>161</v>
      </c>
      <c r="D132" s="32" t="n">
        <v>0</v>
      </c>
      <c r="E132" s="32" t="n">
        <v>2027</v>
      </c>
      <c r="F132" s="32" t="n">
        <v>2027</v>
      </c>
      <c r="G132" s="32" t="n">
        <v>2027</v>
      </c>
      <c r="H132" s="32" t="s">
        <v>320</v>
      </c>
      <c r="I132" s="32" t="s">
        <v>140</v>
      </c>
    </row>
    <row r="133" customFormat="false" ht="15" hidden="false" customHeight="false" outlineLevel="0" collapsed="false">
      <c r="A133" s="32"/>
      <c r="B133" s="32" t="s">
        <v>321</v>
      </c>
      <c r="C133" s="32" t="s">
        <v>161</v>
      </c>
      <c r="D133" s="32" t="n">
        <v>0</v>
      </c>
      <c r="E133" s="32" t="n">
        <v>5</v>
      </c>
      <c r="F133" s="32" t="n">
        <v>5</v>
      </c>
      <c r="G133" s="32" t="n">
        <v>5</v>
      </c>
      <c r="H133" s="32" t="s">
        <v>322</v>
      </c>
      <c r="I133" s="32" t="s">
        <v>140</v>
      </c>
    </row>
    <row r="134" customFormat="false" ht="15" hidden="false" customHeight="false" outlineLevel="0" collapsed="false">
      <c r="A134" s="32"/>
      <c r="B134" s="32" t="s">
        <v>323</v>
      </c>
      <c r="C134" s="32" t="s">
        <v>88</v>
      </c>
      <c r="D134" s="32" t="n">
        <v>0</v>
      </c>
      <c r="E134" s="32" t="n">
        <v>1</v>
      </c>
      <c r="F134" s="32" t="n">
        <v>1</v>
      </c>
      <c r="G134" s="32" t="n">
        <v>1</v>
      </c>
      <c r="H134" s="32" t="s">
        <v>324</v>
      </c>
    </row>
    <row r="135" customFormat="false" ht="15" hidden="false" customHeight="false" outlineLevel="0" collapsed="false">
      <c r="A135" s="32"/>
      <c r="B135" s="32" t="s">
        <v>325</v>
      </c>
      <c r="C135" s="32" t="s">
        <v>310</v>
      </c>
      <c r="D135" s="32" t="n">
        <v>0</v>
      </c>
      <c r="E135" s="32" t="s">
        <v>250</v>
      </c>
      <c r="F135" s="32" t="s">
        <v>250</v>
      </c>
      <c r="G135" s="32" t="s">
        <v>250</v>
      </c>
      <c r="H135" s="32" t="s">
        <v>326</v>
      </c>
    </row>
    <row r="136" customFormat="false" ht="15" hidden="false" customHeight="false" outlineLevel="0" collapsed="false">
      <c r="A136" s="32"/>
      <c r="B136" s="32" t="s">
        <v>327</v>
      </c>
      <c r="C136" s="32" t="s">
        <v>161</v>
      </c>
      <c r="D136" s="32" t="n">
        <v>0</v>
      </c>
      <c r="E136" s="32" t="n">
        <v>5</v>
      </c>
      <c r="F136" s="32" t="n">
        <v>5</v>
      </c>
      <c r="G136" s="32" t="n">
        <v>5</v>
      </c>
      <c r="H136" s="32" t="s">
        <v>328</v>
      </c>
    </row>
    <row r="137" customFormat="false" ht="15" hidden="false" customHeight="false" outlineLevel="0" collapsed="false">
      <c r="A137" s="32"/>
      <c r="B137" s="32" t="s">
        <v>329</v>
      </c>
      <c r="C137" s="32" t="s">
        <v>88</v>
      </c>
      <c r="D137" s="32" t="n">
        <v>0</v>
      </c>
      <c r="E137" s="32" t="n">
        <v>0</v>
      </c>
      <c r="F137" s="32" t="n">
        <v>0</v>
      </c>
      <c r="G137" s="32" t="n">
        <v>0</v>
      </c>
      <c r="H137" s="32" t="s">
        <v>330</v>
      </c>
    </row>
    <row r="138" customFormat="false" ht="15" hidden="false" customHeight="false" outlineLevel="0" collapsed="false">
      <c r="A138" s="32"/>
      <c r="B138" s="32" t="s">
        <v>331</v>
      </c>
      <c r="C138" s="32" t="s">
        <v>332</v>
      </c>
      <c r="D138" s="32" t="n">
        <v>0</v>
      </c>
      <c r="E138" s="32" t="s">
        <v>333</v>
      </c>
      <c r="F138" s="32" t="s">
        <v>333</v>
      </c>
      <c r="G138" s="32" t="s">
        <v>333</v>
      </c>
      <c r="H138" s="32" t="s">
        <v>334</v>
      </c>
    </row>
    <row r="139" customFormat="false" ht="15" hidden="false" customHeight="false" outlineLevel="0" collapsed="false">
      <c r="B139" s="32" t="s">
        <v>335</v>
      </c>
    </row>
    <row r="140" customFormat="false" ht="15" hidden="false" customHeight="false" outlineLevel="0" collapsed="false">
      <c r="B140" s="32" t="s">
        <v>336</v>
      </c>
      <c r="D140" s="32" t="n">
        <v>0</v>
      </c>
      <c r="E140" s="32" t="n">
        <v>2027</v>
      </c>
      <c r="F140" s="32" t="n">
        <v>2027</v>
      </c>
      <c r="G140" s="32" t="n">
        <v>2027</v>
      </c>
      <c r="I140" s="32" t="s">
        <v>140</v>
      </c>
    </row>
    <row r="141" customFormat="false" ht="15" hidden="false" customHeight="false" outlineLevel="0" collapsed="false">
      <c r="B141" s="32" t="s">
        <v>337</v>
      </c>
      <c r="D141" s="32" t="n">
        <v>0</v>
      </c>
      <c r="E141" s="32" t="n">
        <v>2035</v>
      </c>
      <c r="F141" s="32" t="n">
        <v>2035</v>
      </c>
      <c r="G141" s="32" t="n">
        <v>2035</v>
      </c>
      <c r="I141" s="32" t="s">
        <v>140</v>
      </c>
    </row>
    <row r="142" customFormat="false" ht="15" hidden="false" customHeight="false" outlineLevel="0" collapsed="false">
      <c r="B142" s="32" t="s">
        <v>338</v>
      </c>
      <c r="D142" s="32" t="n">
        <v>0</v>
      </c>
      <c r="E142" s="32" t="n">
        <v>0</v>
      </c>
      <c r="F142" s="32" t="n">
        <v>0</v>
      </c>
      <c r="G142" s="32" t="n">
        <v>0</v>
      </c>
      <c r="I142" s="32" t="s">
        <v>140</v>
      </c>
    </row>
    <row r="143" customFormat="false" ht="15" hidden="false" customHeight="false" outlineLevel="0" collapsed="false">
      <c r="B143" s="32" t="s">
        <v>339</v>
      </c>
      <c r="D143" s="32" t="n">
        <v>0</v>
      </c>
      <c r="E143" s="32" t="n">
        <v>0</v>
      </c>
      <c r="F143" s="32" t="n">
        <v>0</v>
      </c>
      <c r="G143" s="32" t="n">
        <v>0</v>
      </c>
      <c r="I143" s="32" t="s">
        <v>140</v>
      </c>
    </row>
    <row r="144" customFormat="false" ht="15" hidden="false" customHeight="false" outlineLevel="0" collapsed="false">
      <c r="B144" s="32" t="s">
        <v>340</v>
      </c>
      <c r="D144" s="32" t="n">
        <v>0</v>
      </c>
      <c r="E144" s="32" t="n">
        <v>0</v>
      </c>
      <c r="F144" s="32" t="n">
        <v>0</v>
      </c>
      <c r="G144" s="32" t="n">
        <v>0</v>
      </c>
      <c r="I144" s="32" t="s">
        <v>140</v>
      </c>
    </row>
    <row r="145" customFormat="false" ht="15" hidden="false" customHeight="false" outlineLevel="0" collapsed="false">
      <c r="B145" s="32" t="s">
        <v>341</v>
      </c>
      <c r="D145" s="32" t="n">
        <v>0</v>
      </c>
      <c r="E145" s="32" t="n">
        <v>0</v>
      </c>
      <c r="F145" s="32" t="n">
        <v>0</v>
      </c>
      <c r="G145" s="32" t="n">
        <v>0</v>
      </c>
      <c r="I145" s="32" t="s">
        <v>140</v>
      </c>
    </row>
    <row r="146" customFormat="false" ht="15" hidden="false" customHeight="false" outlineLevel="0" collapsed="false">
      <c r="B146" s="32" t="s">
        <v>342</v>
      </c>
      <c r="D146" s="32" t="n">
        <v>0</v>
      </c>
      <c r="E146" s="32" t="n">
        <v>0</v>
      </c>
      <c r="F146" s="32" t="n">
        <v>0</v>
      </c>
      <c r="G146" s="32" t="n">
        <v>0</v>
      </c>
      <c r="I146" s="32" t="s">
        <v>140</v>
      </c>
    </row>
    <row r="147" customFormat="false" ht="15" hidden="false" customHeight="false" outlineLevel="0" collapsed="false">
      <c r="B147" s="32" t="s">
        <v>343</v>
      </c>
      <c r="D147" s="32" t="n">
        <v>0</v>
      </c>
      <c r="E147" s="32" t="n">
        <v>0</v>
      </c>
      <c r="F147" s="32" t="n">
        <v>0</v>
      </c>
      <c r="G147" s="32" t="n">
        <v>0</v>
      </c>
      <c r="I147" s="32" t="s">
        <v>140</v>
      </c>
    </row>
    <row r="148" customFormat="false" ht="15" hidden="false" customHeight="false" outlineLevel="0" collapsed="false">
      <c r="B148" s="32" t="s">
        <v>344</v>
      </c>
      <c r="D148" s="32" t="n">
        <v>0</v>
      </c>
      <c r="E148" s="32" t="n">
        <v>0</v>
      </c>
      <c r="F148" s="32" t="n">
        <v>0</v>
      </c>
      <c r="G148" s="32" t="n">
        <v>0</v>
      </c>
      <c r="I148" s="32" t="s">
        <v>140</v>
      </c>
    </row>
    <row r="149" customFormat="false" ht="15" hidden="false" customHeight="false" outlineLevel="0" collapsed="false">
      <c r="B149" s="32" t="s">
        <v>345</v>
      </c>
      <c r="D149" s="32" t="n">
        <v>0</v>
      </c>
      <c r="E149" s="32" t="n">
        <v>0</v>
      </c>
      <c r="F149" s="32" t="n">
        <v>0</v>
      </c>
      <c r="G149" s="32" t="n">
        <v>0</v>
      </c>
      <c r="I149" s="32" t="s">
        <v>140</v>
      </c>
    </row>
    <row r="150" customFormat="false" ht="15" hidden="false" customHeight="false" outlineLevel="0" collapsed="false">
      <c r="B150" s="32" t="s">
        <v>346</v>
      </c>
      <c r="D150" s="32" t="n">
        <v>0</v>
      </c>
      <c r="E150" s="32" t="n">
        <v>0</v>
      </c>
      <c r="F150" s="32" t="n">
        <v>0</v>
      </c>
      <c r="G150" s="32" t="n">
        <v>0</v>
      </c>
      <c r="I150" s="32" t="s">
        <v>140</v>
      </c>
    </row>
    <row r="151" customFormat="false" ht="15" hidden="false" customHeight="false" outlineLevel="0" collapsed="false">
      <c r="B151" s="32" t="s">
        <v>347</v>
      </c>
      <c r="D151" s="32" t="n">
        <v>0</v>
      </c>
      <c r="E151" s="32" t="n">
        <v>0</v>
      </c>
      <c r="F151" s="32" t="n">
        <v>0</v>
      </c>
      <c r="G151" s="32" t="n">
        <v>0</v>
      </c>
      <c r="I151" s="32" t="s">
        <v>140</v>
      </c>
    </row>
    <row r="152" customFormat="false" ht="15" hidden="false" customHeight="false" outlineLevel="0" collapsed="false">
      <c r="B152" s="32" t="s">
        <v>348</v>
      </c>
      <c r="D152" s="32" t="n">
        <v>0</v>
      </c>
      <c r="E152" s="32" t="n">
        <v>0</v>
      </c>
      <c r="F152" s="32" t="n">
        <v>0</v>
      </c>
      <c r="G152" s="32" t="n">
        <v>0</v>
      </c>
      <c r="I152" s="32" t="s">
        <v>140</v>
      </c>
    </row>
    <row r="153" customFormat="false" ht="15" hidden="false" customHeight="false" outlineLevel="0" collapsed="false">
      <c r="B153" s="32" t="s">
        <v>349</v>
      </c>
      <c r="D153" s="32" t="n">
        <v>0</v>
      </c>
      <c r="E153" s="32" t="n">
        <v>0</v>
      </c>
      <c r="F153" s="32" t="n">
        <v>0</v>
      </c>
      <c r="G153" s="32" t="n">
        <v>0</v>
      </c>
      <c r="I153" s="32" t="s">
        <v>140</v>
      </c>
    </row>
    <row r="154" customFormat="false" ht="15" hidden="false" customHeight="false" outlineLevel="0" collapsed="false">
      <c r="B154" s="32" t="s">
        <v>350</v>
      </c>
      <c r="D154" s="32" t="n">
        <v>0</v>
      </c>
      <c r="E154" s="32" t="n">
        <v>0</v>
      </c>
      <c r="F154" s="32" t="n">
        <v>0</v>
      </c>
      <c r="G154" s="32" t="n">
        <v>0</v>
      </c>
      <c r="I154" s="32" t="s">
        <v>140</v>
      </c>
    </row>
    <row r="155" customFormat="false" ht="15" hidden="false" customHeight="false" outlineLevel="0" collapsed="false">
      <c r="B155" s="32" t="s">
        <v>351</v>
      </c>
      <c r="D155" s="32" t="n">
        <v>0</v>
      </c>
      <c r="E155" s="32" t="n">
        <v>0</v>
      </c>
      <c r="F155" s="32" t="n">
        <v>0</v>
      </c>
      <c r="G155" s="32" t="n">
        <v>0</v>
      </c>
      <c r="I155" s="32" t="s">
        <v>140</v>
      </c>
    </row>
    <row r="156" customFormat="false" ht="15" hidden="false" customHeight="false" outlineLevel="0" collapsed="false">
      <c r="B156" s="32" t="s">
        <v>352</v>
      </c>
      <c r="D156" s="32" t="n">
        <v>0</v>
      </c>
      <c r="E156" s="32" t="n">
        <v>0</v>
      </c>
      <c r="F156" s="32" t="n">
        <v>0</v>
      </c>
      <c r="G156" s="32" t="n">
        <v>0</v>
      </c>
      <c r="I156" s="32" t="s">
        <v>140</v>
      </c>
    </row>
    <row r="157" customFormat="false" ht="15" hidden="false" customHeight="false" outlineLevel="0" collapsed="false">
      <c r="B157" s="32" t="s">
        <v>353</v>
      </c>
      <c r="D157" s="32" t="n">
        <v>0</v>
      </c>
      <c r="E157" s="32" t="n">
        <v>0</v>
      </c>
      <c r="F157" s="32" t="n">
        <v>0</v>
      </c>
      <c r="G157" s="32" t="n">
        <v>0</v>
      </c>
      <c r="I157" s="32" t="s">
        <v>140</v>
      </c>
    </row>
    <row r="158" customFormat="false" ht="15" hidden="false" customHeight="false" outlineLevel="0" collapsed="false">
      <c r="B158" s="32" t="s">
        <v>354</v>
      </c>
      <c r="D158" s="32" t="n">
        <v>0</v>
      </c>
      <c r="E158" s="32" t="n">
        <v>0</v>
      </c>
      <c r="F158" s="32" t="n">
        <v>0</v>
      </c>
      <c r="G158" s="32" t="n">
        <v>0</v>
      </c>
      <c r="I158" s="32" t="s">
        <v>140</v>
      </c>
    </row>
    <row r="159" customFormat="false" ht="15" hidden="false" customHeight="false" outlineLevel="0" collapsed="false">
      <c r="B159" s="32" t="s">
        <v>355</v>
      </c>
      <c r="D159" s="32" t="n">
        <v>0</v>
      </c>
      <c r="E159" s="32" t="n">
        <v>0</v>
      </c>
      <c r="F159" s="32" t="n">
        <v>0</v>
      </c>
      <c r="G159" s="32" t="n">
        <v>0</v>
      </c>
      <c r="I159" s="32" t="s">
        <v>140</v>
      </c>
    </row>
    <row r="160" customFormat="false" ht="15" hidden="false" customHeight="false" outlineLevel="0" collapsed="false">
      <c r="B160" s="32" t="s">
        <v>356</v>
      </c>
      <c r="D160" s="32" t="n">
        <v>0</v>
      </c>
      <c r="E160" s="32" t="n">
        <v>0</v>
      </c>
      <c r="F160" s="32" t="n">
        <v>0</v>
      </c>
      <c r="G160" s="32" t="n">
        <v>0</v>
      </c>
      <c r="I160" s="32" t="s">
        <v>140</v>
      </c>
    </row>
    <row r="161" customFormat="false" ht="15" hidden="false" customHeight="false" outlineLevel="0" collapsed="false">
      <c r="B161" s="32" t="s">
        <v>357</v>
      </c>
      <c r="D161" s="32" t="n">
        <v>0</v>
      </c>
      <c r="E161" s="32" t="n">
        <v>0</v>
      </c>
      <c r="F161" s="32" t="n">
        <v>0</v>
      </c>
      <c r="G161" s="32" t="n">
        <v>0</v>
      </c>
      <c r="I161" s="32" t="s">
        <v>140</v>
      </c>
    </row>
    <row r="162" customFormat="false" ht="15" hidden="false" customHeight="false" outlineLevel="0" collapsed="false">
      <c r="B162" s="32" t="s">
        <v>358</v>
      </c>
      <c r="D162" s="32" t="n">
        <v>0</v>
      </c>
      <c r="E162" s="32" t="n">
        <v>0</v>
      </c>
      <c r="F162" s="32" t="n">
        <v>0</v>
      </c>
      <c r="G162" s="32" t="n">
        <v>0</v>
      </c>
      <c r="I162" s="32" t="s">
        <v>140</v>
      </c>
    </row>
    <row r="163" customFormat="false" ht="15" hidden="false" customHeight="false" outlineLevel="0" collapsed="false">
      <c r="B163" s="32" t="s">
        <v>359</v>
      </c>
      <c r="D163" s="32" t="n">
        <v>0</v>
      </c>
      <c r="E163" s="32" t="n">
        <v>0</v>
      </c>
      <c r="F163" s="32" t="n">
        <v>0</v>
      </c>
      <c r="G163" s="32" t="n">
        <v>0</v>
      </c>
      <c r="I163" s="32" t="s">
        <v>140</v>
      </c>
    </row>
    <row r="164" customFormat="false" ht="15" hidden="false" customHeight="false" outlineLevel="0" collapsed="false">
      <c r="B164" s="32" t="s">
        <v>360</v>
      </c>
      <c r="D164" s="32" t="n">
        <v>0</v>
      </c>
      <c r="E164" s="32" t="n">
        <v>0</v>
      </c>
      <c r="F164" s="32" t="n">
        <v>0</v>
      </c>
      <c r="G164" s="32" t="n">
        <v>0</v>
      </c>
      <c r="I164" s="32" t="s">
        <v>140</v>
      </c>
    </row>
    <row r="165" customFormat="false" ht="15" hidden="false" customHeight="false" outlineLevel="0" collapsed="false">
      <c r="B165" s="32" t="s">
        <v>361</v>
      </c>
      <c r="D165" s="32" t="n">
        <v>0</v>
      </c>
      <c r="E165" s="32" t="n">
        <v>0</v>
      </c>
      <c r="F165" s="32" t="n">
        <v>0</v>
      </c>
      <c r="G165" s="32" t="n">
        <v>0</v>
      </c>
      <c r="I165" s="32" t="s">
        <v>140</v>
      </c>
    </row>
    <row r="166" customFormat="false" ht="15" hidden="false" customHeight="false" outlineLevel="0" collapsed="false">
      <c r="B166" s="32" t="s">
        <v>362</v>
      </c>
      <c r="D166" s="32" t="n">
        <v>0</v>
      </c>
      <c r="E166" s="32" t="n">
        <v>0</v>
      </c>
      <c r="F166" s="32" t="n">
        <v>0</v>
      </c>
      <c r="G166" s="32" t="n">
        <v>0</v>
      </c>
      <c r="I166" s="32" t="s">
        <v>140</v>
      </c>
    </row>
    <row r="167" customFormat="false" ht="15" hidden="false" customHeight="false" outlineLevel="0" collapsed="false">
      <c r="B167" s="32" t="s">
        <v>363</v>
      </c>
      <c r="D167" s="32" t="n">
        <v>0</v>
      </c>
      <c r="E167" s="32" t="n">
        <v>0</v>
      </c>
      <c r="F167" s="32" t="n">
        <v>0</v>
      </c>
      <c r="G167" s="32" t="n">
        <v>0</v>
      </c>
      <c r="I167" s="32" t="s">
        <v>140</v>
      </c>
    </row>
    <row r="168" customFormat="false" ht="15" hidden="false" customHeight="false" outlineLevel="0" collapsed="false">
      <c r="B168" s="32" t="s">
        <v>364</v>
      </c>
      <c r="D168" s="32" t="n">
        <v>0</v>
      </c>
      <c r="E168" s="32" t="n">
        <v>0</v>
      </c>
      <c r="F168" s="32" t="n">
        <v>0</v>
      </c>
      <c r="G168" s="32" t="n">
        <v>0</v>
      </c>
      <c r="I168" s="32" t="s">
        <v>140</v>
      </c>
    </row>
    <row r="169" customFormat="false" ht="15" hidden="false" customHeight="false" outlineLevel="0" collapsed="false">
      <c r="B169" s="32" t="s">
        <v>365</v>
      </c>
      <c r="D169" s="32" t="n">
        <v>0</v>
      </c>
      <c r="E169" s="32" t="n">
        <v>0</v>
      </c>
      <c r="F169" s="32" t="n">
        <v>0</v>
      </c>
      <c r="G169" s="32" t="n">
        <v>0</v>
      </c>
      <c r="I169" s="32" t="s">
        <v>140</v>
      </c>
    </row>
    <row r="170" customFormat="false" ht="15" hidden="false" customHeight="false" outlineLevel="0" collapsed="false">
      <c r="B170" s="32" t="s">
        <v>366</v>
      </c>
      <c r="D170" s="32" t="n">
        <v>0</v>
      </c>
      <c r="E170" s="32" t="s">
        <v>55</v>
      </c>
      <c r="F170" s="32" t="s">
        <v>55</v>
      </c>
      <c r="G170" s="32" t="s">
        <v>55</v>
      </c>
      <c r="I170" s="32" t="s">
        <v>140</v>
      </c>
    </row>
    <row r="171" customFormat="false" ht="15" hidden="false" customHeight="false" outlineLevel="0" collapsed="false">
      <c r="B171" s="32" t="s">
        <v>367</v>
      </c>
      <c r="D171" s="32" t="n">
        <v>0</v>
      </c>
      <c r="E171" s="32" t="s">
        <v>55</v>
      </c>
      <c r="F171" s="32" t="s">
        <v>55</v>
      </c>
      <c r="G171" s="32" t="s">
        <v>55</v>
      </c>
      <c r="I171" s="32" t="s">
        <v>140</v>
      </c>
    </row>
    <row r="172" customFormat="false" ht="15" hidden="false" customHeight="false" outlineLevel="0" collapsed="false">
      <c r="B172" s="32" t="s">
        <v>368</v>
      </c>
      <c r="D172" s="32" t="n">
        <v>0</v>
      </c>
      <c r="E172" s="32" t="s">
        <v>55</v>
      </c>
      <c r="F172" s="32" t="s">
        <v>55</v>
      </c>
      <c r="G172" s="32" t="s">
        <v>55</v>
      </c>
      <c r="I172" s="32" t="s">
        <v>140</v>
      </c>
    </row>
    <row r="173" customFormat="false" ht="15" hidden="false" customHeight="false" outlineLevel="0" collapsed="false">
      <c r="B173" s="32" t="s">
        <v>369</v>
      </c>
      <c r="D173" s="32" t="n">
        <v>0</v>
      </c>
      <c r="E173" s="32" t="s">
        <v>55</v>
      </c>
      <c r="F173" s="32" t="s">
        <v>55</v>
      </c>
      <c r="G173" s="32" t="s">
        <v>55</v>
      </c>
      <c r="I173" s="32" t="s">
        <v>140</v>
      </c>
    </row>
    <row r="174" customFormat="false" ht="15" hidden="false" customHeight="false" outlineLevel="0" collapsed="false">
      <c r="B174" s="32" t="s">
        <v>370</v>
      </c>
      <c r="D174" s="32" t="n">
        <v>0</v>
      </c>
      <c r="E174" s="32" t="s">
        <v>55</v>
      </c>
      <c r="F174" s="32" t="s">
        <v>55</v>
      </c>
      <c r="G174" s="32" t="s">
        <v>55</v>
      </c>
      <c r="I174" s="32" t="s">
        <v>140</v>
      </c>
    </row>
    <row r="175" customFormat="false" ht="15" hidden="false" customHeight="false" outlineLevel="0" collapsed="false">
      <c r="B175" s="32" t="s">
        <v>371</v>
      </c>
      <c r="D175" s="32" t="n">
        <v>0</v>
      </c>
      <c r="E175" s="32" t="s">
        <v>55</v>
      </c>
      <c r="F175" s="32" t="s">
        <v>55</v>
      </c>
      <c r="G175" s="32" t="s">
        <v>55</v>
      </c>
      <c r="I175" s="32" t="s">
        <v>140</v>
      </c>
    </row>
    <row r="176" customFormat="false" ht="15" hidden="false" customHeight="false" outlineLevel="0" collapsed="false">
      <c r="B176" s="32" t="s">
        <v>372</v>
      </c>
      <c r="D176" s="32" t="n">
        <v>0</v>
      </c>
      <c r="E176" s="32" t="s">
        <v>75</v>
      </c>
      <c r="F176" s="32" t="s">
        <v>75</v>
      </c>
      <c r="G176" s="32" t="s">
        <v>75</v>
      </c>
      <c r="I176" s="32" t="s">
        <v>140</v>
      </c>
    </row>
    <row r="177" customFormat="false" ht="15" hidden="false" customHeight="false" outlineLevel="0" collapsed="false">
      <c r="B177" s="32" t="s">
        <v>373</v>
      </c>
      <c r="D177" s="32" t="n">
        <v>0</v>
      </c>
      <c r="E177" s="32" t="s">
        <v>75</v>
      </c>
      <c r="F177" s="32" t="s">
        <v>75</v>
      </c>
      <c r="G177" s="32" t="s">
        <v>75</v>
      </c>
      <c r="I177" s="32" t="s">
        <v>140</v>
      </c>
    </row>
    <row r="178" customFormat="false" ht="15" hidden="false" customHeight="false" outlineLevel="0" collapsed="false">
      <c r="B178" s="32" t="s">
        <v>374</v>
      </c>
      <c r="D178" s="32" t="n">
        <v>0</v>
      </c>
      <c r="E178" s="32" t="s">
        <v>61</v>
      </c>
      <c r="F178" s="32" t="s">
        <v>61</v>
      </c>
      <c r="G178" s="32" t="s">
        <v>61</v>
      </c>
      <c r="I178" s="32" t="s">
        <v>140</v>
      </c>
    </row>
    <row r="179" customFormat="false" ht="15" hidden="false" customHeight="false" outlineLevel="0" collapsed="false">
      <c r="B179" s="32" t="s">
        <v>375</v>
      </c>
      <c r="D179" s="32" t="n">
        <v>0</v>
      </c>
      <c r="E179" s="32" t="s">
        <v>61</v>
      </c>
      <c r="F179" s="32" t="s">
        <v>61</v>
      </c>
      <c r="G179" s="32" t="s">
        <v>61</v>
      </c>
      <c r="I179" s="32" t="s">
        <v>140</v>
      </c>
    </row>
    <row r="180" customFormat="false" ht="15" hidden="false" customHeight="false" outlineLevel="0" collapsed="false">
      <c r="B180" s="32" t="s">
        <v>376</v>
      </c>
      <c r="D180" s="32" t="n">
        <v>0</v>
      </c>
      <c r="E180" s="32" t="s">
        <v>61</v>
      </c>
      <c r="F180" s="32" t="s">
        <v>61</v>
      </c>
      <c r="G180" s="32" t="s">
        <v>61</v>
      </c>
      <c r="I180" s="32" t="s">
        <v>140</v>
      </c>
    </row>
    <row r="181" customFormat="false" ht="15" hidden="false" customHeight="false" outlineLevel="0" collapsed="false">
      <c r="B181" s="32" t="s">
        <v>377</v>
      </c>
      <c r="D181" s="32" t="n">
        <v>0</v>
      </c>
      <c r="E181" s="32" t="s">
        <v>61</v>
      </c>
      <c r="F181" s="32" t="s">
        <v>61</v>
      </c>
      <c r="G181" s="32" t="s">
        <v>61</v>
      </c>
      <c r="I181" s="32" t="s">
        <v>140</v>
      </c>
    </row>
    <row r="182" customFormat="false" ht="15" hidden="false" customHeight="false" outlineLevel="0" collapsed="false">
      <c r="B182" s="32" t="s">
        <v>378</v>
      </c>
      <c r="D182" s="32" t="n">
        <v>0</v>
      </c>
      <c r="E182" s="32" t="s">
        <v>379</v>
      </c>
      <c r="F182" s="32" t="s">
        <v>379</v>
      </c>
      <c r="G182" s="32" t="s">
        <v>61</v>
      </c>
      <c r="I182" s="32" t="s">
        <v>140</v>
      </c>
    </row>
    <row r="183" customFormat="false" ht="15" hidden="false" customHeight="false" outlineLevel="0" collapsed="false">
      <c r="B183" s="32" t="s">
        <v>380</v>
      </c>
      <c r="D183" s="32" t="n">
        <v>0</v>
      </c>
      <c r="E183" s="32" t="s">
        <v>55</v>
      </c>
      <c r="F183" s="32" t="s">
        <v>55</v>
      </c>
      <c r="G183" s="32" t="s">
        <v>61</v>
      </c>
      <c r="I183" s="32" t="s">
        <v>140</v>
      </c>
    </row>
    <row r="184" customFormat="false" ht="15" hidden="false" customHeight="false" outlineLevel="0" collapsed="false">
      <c r="A184" s="32"/>
      <c r="B184" s="32" t="s">
        <v>381</v>
      </c>
    </row>
    <row r="185" customFormat="false" ht="15" hidden="false" customHeight="false" outlineLevel="0" collapsed="false">
      <c r="A185" s="32"/>
      <c r="B185" s="32" t="s">
        <v>382</v>
      </c>
      <c r="C185" s="32" t="s">
        <v>147</v>
      </c>
      <c r="D185" s="32" t="n">
        <v>0</v>
      </c>
      <c r="E185" s="32" t="s">
        <v>250</v>
      </c>
      <c r="F185" s="32" t="s">
        <v>250</v>
      </c>
      <c r="G185" s="32" t="s">
        <v>250</v>
      </c>
      <c r="H185" s="32" t="s">
        <v>383</v>
      </c>
      <c r="I185" s="32" t="s">
        <v>140</v>
      </c>
    </row>
    <row r="186" customFormat="false" ht="15" hidden="false" customHeight="false" outlineLevel="0" collapsed="false">
      <c r="A186" s="32"/>
      <c r="B186" s="32" t="s">
        <v>384</v>
      </c>
      <c r="C186" s="32" t="s">
        <v>161</v>
      </c>
      <c r="D186" s="32" t="n">
        <v>0</v>
      </c>
      <c r="E186" s="32" t="n">
        <v>2027</v>
      </c>
      <c r="F186" s="32" t="n">
        <v>2027</v>
      </c>
      <c r="G186" s="32" t="n">
        <v>2027</v>
      </c>
      <c r="H186" s="32" t="s">
        <v>385</v>
      </c>
      <c r="I186" s="32" t="s">
        <v>140</v>
      </c>
    </row>
    <row r="187" customFormat="false" ht="15" hidden="false" customHeight="false" outlineLevel="0" collapsed="false">
      <c r="A187" s="32"/>
      <c r="B187" s="32" t="s">
        <v>386</v>
      </c>
      <c r="C187" s="32" t="s">
        <v>387</v>
      </c>
      <c r="D187" s="32" t="n">
        <v>0</v>
      </c>
      <c r="E187" s="32" t="n">
        <v>0</v>
      </c>
      <c r="F187" s="32" t="n">
        <v>0</v>
      </c>
      <c r="G187" s="32" t="n">
        <v>0</v>
      </c>
      <c r="H187" s="32" t="s">
        <v>388</v>
      </c>
      <c r="I187" s="32" t="s">
        <v>140</v>
      </c>
    </row>
    <row r="188" customFormat="false" ht="15" hidden="false" customHeight="false" outlineLevel="0" collapsed="false">
      <c r="A188" s="32"/>
      <c r="B188" s="32" t="s">
        <v>389</v>
      </c>
      <c r="C188" s="32" t="s">
        <v>387</v>
      </c>
      <c r="D188" s="32" t="n">
        <v>0</v>
      </c>
      <c r="E188" s="32" t="n">
        <v>0</v>
      </c>
      <c r="F188" s="32" t="n">
        <v>0</v>
      </c>
      <c r="G188" s="32" t="n">
        <v>0</v>
      </c>
      <c r="H188" s="32" t="s">
        <v>390</v>
      </c>
      <c r="I188" s="32" t="s">
        <v>140</v>
      </c>
    </row>
    <row r="189" customFormat="false" ht="15" hidden="false" customHeight="false" outlineLevel="0" collapsed="false">
      <c r="A189" s="32"/>
      <c r="B189" s="32" t="s">
        <v>391</v>
      </c>
      <c r="C189" s="32" t="s">
        <v>161</v>
      </c>
      <c r="D189" s="32" t="n">
        <v>0</v>
      </c>
      <c r="E189" s="32" t="n">
        <v>2030</v>
      </c>
      <c r="F189" s="32" t="n">
        <v>2030</v>
      </c>
      <c r="G189" s="32" t="n">
        <v>2030</v>
      </c>
      <c r="H189" s="32" t="s">
        <v>392</v>
      </c>
      <c r="I189" s="32" t="s">
        <v>140</v>
      </c>
    </row>
    <row r="190" customFormat="false" ht="15" hidden="false" customHeight="false" outlineLevel="0" collapsed="false">
      <c r="A190" s="32"/>
      <c r="B190" s="32" t="s">
        <v>393</v>
      </c>
    </row>
    <row r="191" customFormat="false" ht="15" hidden="false" customHeight="false" outlineLevel="0" collapsed="false">
      <c r="A191" s="32"/>
      <c r="B191" s="32" t="s">
        <v>394</v>
      </c>
      <c r="C191" s="32" t="s">
        <v>147</v>
      </c>
      <c r="D191" s="32" t="n">
        <v>0</v>
      </c>
      <c r="E191" s="33" t="b">
        <f aca="false">FALSE()</f>
        <v>0</v>
      </c>
      <c r="F191" s="33" t="b">
        <f aca="false">FALSE()</f>
        <v>0</v>
      </c>
      <c r="G191" s="33" t="b">
        <f aca="false">FALSE()</f>
        <v>0</v>
      </c>
      <c r="H191" s="32" t="s">
        <v>395</v>
      </c>
      <c r="I191" s="32" t="s">
        <v>140</v>
      </c>
    </row>
    <row r="192" customFormat="false" ht="15" hidden="false" customHeight="false" outlineLevel="0" collapsed="false">
      <c r="A192" s="32"/>
      <c r="B192" s="32" t="s">
        <v>396</v>
      </c>
      <c r="C192" s="32" t="s">
        <v>161</v>
      </c>
      <c r="D192" s="32" t="n">
        <v>0</v>
      </c>
      <c r="E192" s="32" t="n">
        <v>2027</v>
      </c>
      <c r="F192" s="32" t="n">
        <v>2027</v>
      </c>
      <c r="G192" s="32" t="n">
        <v>2027</v>
      </c>
      <c r="H192" s="32" t="s">
        <v>397</v>
      </c>
      <c r="I192" s="32" t="s">
        <v>140</v>
      </c>
    </row>
    <row r="193" customFormat="false" ht="15" hidden="false" customHeight="false" outlineLevel="0" collapsed="false">
      <c r="A193" s="32"/>
      <c r="B193" s="32" t="s">
        <v>398</v>
      </c>
      <c r="C193" s="32" t="s">
        <v>161</v>
      </c>
      <c r="D193" s="32" t="n">
        <v>0</v>
      </c>
      <c r="E193" s="32" t="n">
        <v>5</v>
      </c>
      <c r="F193" s="32" t="n">
        <v>5</v>
      </c>
      <c r="G193" s="32" t="n">
        <v>5</v>
      </c>
      <c r="H193" s="32" t="s">
        <v>399</v>
      </c>
      <c r="I193" s="32" t="s">
        <v>140</v>
      </c>
    </row>
    <row r="194" customFormat="false" ht="15" hidden="false" customHeight="false" outlineLevel="0" collapsed="false">
      <c r="A194" s="32"/>
      <c r="B194" s="32" t="s">
        <v>400</v>
      </c>
      <c r="C194" s="32" t="s">
        <v>147</v>
      </c>
      <c r="D194" s="32" t="n">
        <v>0</v>
      </c>
      <c r="E194" s="32" t="s">
        <v>401</v>
      </c>
      <c r="F194" s="32" t="s">
        <v>401</v>
      </c>
      <c r="G194" s="32" t="s">
        <v>401</v>
      </c>
      <c r="H194" s="32" t="s">
        <v>402</v>
      </c>
    </row>
    <row r="195" customFormat="false" ht="15" hidden="false" customHeight="false" outlineLevel="0" collapsed="false">
      <c r="A195" s="32"/>
      <c r="B195" s="32" t="s">
        <v>403</v>
      </c>
      <c r="C195" s="32" t="s">
        <v>147</v>
      </c>
      <c r="D195" s="32" t="n">
        <v>0</v>
      </c>
      <c r="E195" s="32" t="s">
        <v>250</v>
      </c>
      <c r="F195" s="32" t="s">
        <v>250</v>
      </c>
      <c r="G195" s="32" t="s">
        <v>250</v>
      </c>
      <c r="H195" s="32" t="s">
        <v>404</v>
      </c>
    </row>
    <row r="196" customFormat="false" ht="15" hidden="false" customHeight="false" outlineLevel="0" collapsed="false">
      <c r="A196" s="32"/>
      <c r="B196" s="32" t="s">
        <v>405</v>
      </c>
    </row>
    <row r="197" customFormat="false" ht="15" hidden="false" customHeight="false" outlineLevel="0" collapsed="false">
      <c r="A197" s="32"/>
      <c r="B197" s="32" t="s">
        <v>406</v>
      </c>
      <c r="C197" s="32" t="s">
        <v>407</v>
      </c>
      <c r="D197" s="32" t="n">
        <v>0</v>
      </c>
      <c r="E197" s="32" t="n">
        <v>30</v>
      </c>
      <c r="F197" s="32" t="n">
        <v>30</v>
      </c>
      <c r="G197" s="32" t="n">
        <v>30</v>
      </c>
      <c r="H197" s="32" t="s">
        <v>408</v>
      </c>
    </row>
    <row r="198" customFormat="false" ht="15" hidden="false" customHeight="false" outlineLevel="0" collapsed="false">
      <c r="A198" s="32"/>
      <c r="B198" s="32" t="s">
        <v>409</v>
      </c>
      <c r="C198" s="32" t="s">
        <v>407</v>
      </c>
      <c r="D198" s="32" t="n">
        <v>0</v>
      </c>
      <c r="E198" s="32" t="n">
        <v>0</v>
      </c>
      <c r="F198" s="32" t="n">
        <v>0</v>
      </c>
      <c r="G198" s="32" t="n">
        <v>0</v>
      </c>
      <c r="H198" s="32" t="s">
        <v>410</v>
      </c>
    </row>
    <row r="199" customFormat="false" ht="15" hidden="false" customHeight="false" outlineLevel="0" collapsed="false">
      <c r="A199" s="32"/>
      <c r="B199" s="32" t="s">
        <v>411</v>
      </c>
      <c r="C199" s="32" t="s">
        <v>407</v>
      </c>
      <c r="D199" s="32" t="n">
        <v>0</v>
      </c>
      <c r="E199" s="32" t="n">
        <v>50</v>
      </c>
      <c r="F199" s="32" t="n">
        <v>50</v>
      </c>
      <c r="G199" s="32" t="n">
        <v>50</v>
      </c>
      <c r="H199" s="32" t="s">
        <v>412</v>
      </c>
    </row>
    <row r="200" customFormat="false" ht="15" hidden="false" customHeight="false" outlineLevel="0" collapsed="false">
      <c r="A200" s="32"/>
      <c r="B200" s="32" t="s">
        <v>413</v>
      </c>
      <c r="C200" s="32" t="s">
        <v>407</v>
      </c>
      <c r="D200" s="32" t="n">
        <v>0</v>
      </c>
      <c r="E200" s="32" t="n">
        <v>0</v>
      </c>
      <c r="F200" s="32" t="n">
        <v>0</v>
      </c>
      <c r="G200" s="32" t="n">
        <v>0</v>
      </c>
      <c r="H200" s="32" t="s">
        <v>414</v>
      </c>
    </row>
    <row r="201" customFormat="false" ht="15" hidden="false" customHeight="false" outlineLevel="0" collapsed="false">
      <c r="A201" s="32"/>
      <c r="B201" s="32" t="s">
        <v>415</v>
      </c>
      <c r="C201" s="32" t="s">
        <v>407</v>
      </c>
      <c r="D201" s="32" t="n">
        <v>0</v>
      </c>
      <c r="E201" s="32" t="n">
        <v>20</v>
      </c>
      <c r="F201" s="32" t="n">
        <v>20</v>
      </c>
      <c r="G201" s="32" t="n">
        <v>20</v>
      </c>
      <c r="H201" s="32" t="s">
        <v>416</v>
      </c>
    </row>
    <row r="202" customFormat="false" ht="15" hidden="false" customHeight="false" outlineLevel="0" collapsed="false">
      <c r="A202" s="32"/>
      <c r="B202" s="32" t="s">
        <v>417</v>
      </c>
    </row>
    <row r="203" customFormat="false" ht="15" hidden="false" customHeight="false" outlineLevel="0" collapsed="false">
      <c r="A203" s="32"/>
      <c r="B203" s="32" t="s">
        <v>418</v>
      </c>
      <c r="C203" s="32" t="s">
        <v>419</v>
      </c>
      <c r="D203" s="32" t="n">
        <v>0</v>
      </c>
      <c r="E203" s="32" t="n">
        <v>40</v>
      </c>
      <c r="F203" s="32" t="n">
        <v>40</v>
      </c>
      <c r="G203" s="32" t="n">
        <v>40</v>
      </c>
      <c r="H203" s="32" t="s">
        <v>420</v>
      </c>
    </row>
    <row r="204" customFormat="false" ht="15" hidden="false" customHeight="false" outlineLevel="0" collapsed="false">
      <c r="A204" s="32"/>
      <c r="B204" s="32" t="s">
        <v>421</v>
      </c>
      <c r="C204" s="32" t="s">
        <v>422</v>
      </c>
      <c r="D204" s="32" t="n">
        <v>0</v>
      </c>
      <c r="E204" s="32" t="n">
        <v>100</v>
      </c>
      <c r="F204" s="32" t="n">
        <v>100</v>
      </c>
      <c r="G204" s="32" t="n">
        <v>100</v>
      </c>
      <c r="H204" s="32" t="s">
        <v>423</v>
      </c>
    </row>
    <row r="205" customFormat="false" ht="15" hidden="false" customHeight="false" outlineLevel="0" collapsed="false">
      <c r="A205" s="32"/>
      <c r="B205" s="32" t="s">
        <v>424</v>
      </c>
      <c r="C205" s="32" t="s">
        <v>425</v>
      </c>
      <c r="D205" s="32" t="n">
        <v>0</v>
      </c>
      <c r="E205" s="32" t="n">
        <v>0</v>
      </c>
      <c r="F205" s="32" t="n">
        <v>0</v>
      </c>
      <c r="G205" s="32" t="n">
        <v>0</v>
      </c>
      <c r="H205" s="32" t="s">
        <v>426</v>
      </c>
    </row>
    <row r="206" customFormat="false" ht="15" hidden="false" customHeight="false" outlineLevel="0" collapsed="false">
      <c r="A206" s="32"/>
      <c r="B206" s="32" t="s">
        <v>427</v>
      </c>
    </row>
    <row r="207" customFormat="false" ht="15" hidden="false" customHeight="false" outlineLevel="0" collapsed="false">
      <c r="A207" s="32" t="s">
        <v>159</v>
      </c>
      <c r="B207" s="32" t="s">
        <v>428</v>
      </c>
      <c r="C207" s="32" t="s">
        <v>147</v>
      </c>
      <c r="D207" s="32" t="n">
        <v>0</v>
      </c>
      <c r="E207" s="32" t="s">
        <v>429</v>
      </c>
      <c r="F207" s="32" t="s">
        <v>429</v>
      </c>
      <c r="G207" s="32" t="s">
        <v>430</v>
      </c>
      <c r="H207" s="32" t="s">
        <v>431</v>
      </c>
    </row>
    <row r="208" customFormat="false" ht="15" hidden="false" customHeight="false" outlineLevel="0" collapsed="false">
      <c r="A208" s="32"/>
      <c r="B208" s="32" t="s">
        <v>432</v>
      </c>
      <c r="C208" s="32" t="s">
        <v>147</v>
      </c>
      <c r="D208" s="32" t="n">
        <v>0</v>
      </c>
      <c r="E208" s="32" t="s">
        <v>430</v>
      </c>
      <c r="F208" s="32" t="s">
        <v>430</v>
      </c>
      <c r="G208" s="32" t="s">
        <v>430</v>
      </c>
      <c r="H208" s="32" t="s">
        <v>433</v>
      </c>
    </row>
    <row r="209" customFormat="false" ht="15" hidden="false" customHeight="false" outlineLevel="0" collapsed="false">
      <c r="A209" s="32"/>
      <c r="B209" s="32" t="s">
        <v>434</v>
      </c>
      <c r="C209" s="32" t="s">
        <v>435</v>
      </c>
      <c r="D209" s="32" t="n">
        <v>0</v>
      </c>
      <c r="E209" s="32" t="n">
        <v>0</v>
      </c>
      <c r="F209" s="32" t="n">
        <v>0</v>
      </c>
      <c r="G209" s="32" t="n">
        <v>0</v>
      </c>
      <c r="H209" s="32" t="s">
        <v>436</v>
      </c>
    </row>
    <row r="210" customFormat="false" ht="15" hidden="false" customHeight="false" outlineLevel="0" collapsed="false">
      <c r="A210" s="32"/>
      <c r="B210" s="32" t="s">
        <v>437</v>
      </c>
      <c r="C210" s="32" t="s">
        <v>147</v>
      </c>
      <c r="D210" s="32" t="n">
        <v>0</v>
      </c>
      <c r="E210" s="32" t="s">
        <v>429</v>
      </c>
      <c r="F210" s="32" t="s">
        <v>429</v>
      </c>
      <c r="G210" s="32" t="s">
        <v>429</v>
      </c>
      <c r="H210" s="32" t="s">
        <v>438</v>
      </c>
    </row>
    <row r="211" customFormat="false" ht="15" hidden="false" customHeight="false" outlineLevel="0" collapsed="false">
      <c r="A211" s="32"/>
      <c r="B211" s="32" t="s">
        <v>439</v>
      </c>
      <c r="C211" s="32" t="s">
        <v>88</v>
      </c>
      <c r="D211" s="32" t="n">
        <v>0</v>
      </c>
      <c r="E211" s="32" t="n">
        <v>0.9</v>
      </c>
      <c r="F211" s="32" t="n">
        <v>0.9</v>
      </c>
      <c r="G211" s="32" t="n">
        <v>0.9</v>
      </c>
      <c r="H211" s="32" t="s">
        <v>440</v>
      </c>
    </row>
    <row r="212" customFormat="false" ht="15" hidden="false" customHeight="false" outlineLevel="0" collapsed="false">
      <c r="A212" s="32"/>
      <c r="B212" s="32" t="s">
        <v>441</v>
      </c>
      <c r="C212" s="32" t="s">
        <v>161</v>
      </c>
      <c r="D212" s="32" t="n">
        <v>0</v>
      </c>
      <c r="E212" s="32" t="n">
        <v>5</v>
      </c>
      <c r="F212" s="32" t="n">
        <v>5</v>
      </c>
      <c r="G212" s="32" t="n">
        <v>5</v>
      </c>
      <c r="H212" s="32" t="s">
        <v>442</v>
      </c>
    </row>
    <row r="213" customFormat="false" ht="15" hidden="false" customHeight="false" outlineLevel="0" collapsed="false">
      <c r="A213" s="32"/>
      <c r="B213" s="32" t="s">
        <v>443</v>
      </c>
      <c r="C213" s="32" t="s">
        <v>147</v>
      </c>
      <c r="D213" s="32" t="n">
        <v>0</v>
      </c>
      <c r="E213" s="32" t="s">
        <v>430</v>
      </c>
      <c r="F213" s="32" t="s">
        <v>430</v>
      </c>
      <c r="G213" s="32" t="s">
        <v>430</v>
      </c>
      <c r="H213" s="32" t="s">
        <v>444</v>
      </c>
    </row>
    <row r="214" customFormat="false" ht="15" hidden="false" customHeight="false" outlineLevel="0" collapsed="false">
      <c r="A214" s="32"/>
      <c r="B214" s="32" t="s">
        <v>445</v>
      </c>
      <c r="C214" s="32" t="s">
        <v>435</v>
      </c>
      <c r="D214" s="32" t="n">
        <v>0</v>
      </c>
      <c r="E214" s="32" t="n">
        <v>0</v>
      </c>
      <c r="F214" s="32" t="n">
        <v>0</v>
      </c>
      <c r="G214" s="32" t="n">
        <v>0</v>
      </c>
      <c r="H214" s="32" t="s">
        <v>446</v>
      </c>
    </row>
    <row r="215" customFormat="false" ht="15" hidden="false" customHeight="false" outlineLevel="0" collapsed="false">
      <c r="A215" s="32"/>
      <c r="B215" s="32" t="s">
        <v>447</v>
      </c>
      <c r="C215" s="32" t="s">
        <v>147</v>
      </c>
      <c r="D215" s="32" t="n">
        <v>0</v>
      </c>
      <c r="E215" s="32" t="s">
        <v>429</v>
      </c>
      <c r="F215" s="32" t="s">
        <v>429</v>
      </c>
      <c r="G215" s="32" t="s">
        <v>429</v>
      </c>
      <c r="H215" s="32" t="s">
        <v>448</v>
      </c>
    </row>
    <row r="216" customFormat="false" ht="15" hidden="false" customHeight="false" outlineLevel="0" collapsed="false">
      <c r="B216" s="32" t="s">
        <v>449</v>
      </c>
      <c r="C216" s="32" t="s">
        <v>147</v>
      </c>
      <c r="D216" s="32" t="n">
        <v>0</v>
      </c>
      <c r="E216" s="32" t="s">
        <v>430</v>
      </c>
      <c r="F216" s="32" t="s">
        <v>430</v>
      </c>
      <c r="G216" s="32" t="s">
        <v>430</v>
      </c>
      <c r="H216" s="32" t="s">
        <v>450</v>
      </c>
    </row>
    <row r="217" customFormat="false" ht="15" hidden="false" customHeight="false" outlineLevel="0" collapsed="false">
      <c r="A217" s="32"/>
      <c r="B217" s="32" t="s">
        <v>451</v>
      </c>
      <c r="C217" s="32" t="s">
        <v>147</v>
      </c>
      <c r="D217" s="32" t="n">
        <v>0</v>
      </c>
      <c r="E217" s="32" t="s">
        <v>429</v>
      </c>
      <c r="F217" s="32" t="s">
        <v>429</v>
      </c>
      <c r="G217" s="32" t="s">
        <v>429</v>
      </c>
      <c r="H217" s="32" t="s">
        <v>452</v>
      </c>
    </row>
    <row r="218" customFormat="false" ht="15" hidden="false" customHeight="false" outlineLevel="0" collapsed="false">
      <c r="A218" s="32"/>
      <c r="B218" s="32" t="s">
        <v>453</v>
      </c>
      <c r="C218" s="32" t="s">
        <v>147</v>
      </c>
      <c r="D218" s="32" t="n">
        <v>0</v>
      </c>
      <c r="E218" s="32" t="s">
        <v>430</v>
      </c>
      <c r="F218" s="32" t="s">
        <v>430</v>
      </c>
      <c r="G218" s="32" t="s">
        <v>430</v>
      </c>
      <c r="H218" s="32" t="s">
        <v>454</v>
      </c>
    </row>
    <row r="219" customFormat="false" ht="15" hidden="false" customHeight="false" outlineLevel="0" collapsed="false">
      <c r="A219" s="32"/>
      <c r="B219" s="32" t="s">
        <v>455</v>
      </c>
    </row>
    <row r="220" customFormat="false" ht="15" hidden="false" customHeight="false" outlineLevel="0" collapsed="false">
      <c r="A220" s="32" t="s">
        <v>159</v>
      </c>
      <c r="B220" s="32" t="s">
        <v>456</v>
      </c>
      <c r="C220" s="32" t="s">
        <v>147</v>
      </c>
      <c r="D220" s="32" t="n">
        <v>0</v>
      </c>
      <c r="E220" s="32" t="s">
        <v>457</v>
      </c>
      <c r="F220" s="32" t="s">
        <v>457</v>
      </c>
      <c r="G220" s="32" t="s">
        <v>458</v>
      </c>
      <c r="H220" s="32" t="s">
        <v>459</v>
      </c>
    </row>
    <row r="221" customFormat="false" ht="15" hidden="false" customHeight="false" outlineLevel="0" collapsed="false">
      <c r="A221" s="32"/>
      <c r="B221" s="32" t="s">
        <v>460</v>
      </c>
      <c r="C221" s="32" t="s">
        <v>147</v>
      </c>
      <c r="D221" s="32" t="n">
        <v>0</v>
      </c>
      <c r="E221" s="32" t="s">
        <v>461</v>
      </c>
      <c r="F221" s="32" t="s">
        <v>461</v>
      </c>
      <c r="G221" s="32" t="s">
        <v>461</v>
      </c>
      <c r="H221" s="32" t="s">
        <v>462</v>
      </c>
    </row>
    <row r="222" customFormat="false" ht="15" hidden="false" customHeight="false" outlineLevel="0" collapsed="false">
      <c r="A222" s="32"/>
      <c r="B222" s="32" t="s">
        <v>463</v>
      </c>
      <c r="C222" s="32" t="s">
        <v>147</v>
      </c>
      <c r="D222" s="32" t="n">
        <v>0</v>
      </c>
      <c r="E222" s="32" t="s">
        <v>464</v>
      </c>
      <c r="F222" s="32" t="s">
        <v>464</v>
      </c>
      <c r="G222" s="32" t="s">
        <v>464</v>
      </c>
      <c r="H222" s="32" t="s">
        <v>465</v>
      </c>
    </row>
    <row r="223" customFormat="false" ht="15" hidden="false" customHeight="false" outlineLevel="0" collapsed="false">
      <c r="A223" s="32"/>
      <c r="B223" s="32" t="s">
        <v>466</v>
      </c>
      <c r="C223" s="32" t="s">
        <v>147</v>
      </c>
      <c r="D223" s="32" t="n">
        <v>0</v>
      </c>
      <c r="E223" s="32" t="s">
        <v>467</v>
      </c>
      <c r="F223" s="32" t="s">
        <v>467</v>
      </c>
      <c r="G223" s="32" t="s">
        <v>467</v>
      </c>
      <c r="H223" s="32" t="s">
        <v>468</v>
      </c>
    </row>
    <row r="224" customFormat="false" ht="15" hidden="false" customHeight="false" outlineLevel="0" collapsed="false">
      <c r="A224" s="32"/>
      <c r="B224" s="32" t="s">
        <v>469</v>
      </c>
      <c r="C224" s="32" t="s">
        <v>147</v>
      </c>
      <c r="D224" s="32" t="n">
        <v>0</v>
      </c>
      <c r="E224" s="32" t="s">
        <v>467</v>
      </c>
      <c r="F224" s="32" t="s">
        <v>467</v>
      </c>
      <c r="G224" s="32" t="s">
        <v>467</v>
      </c>
      <c r="H224" s="32" t="s">
        <v>470</v>
      </c>
    </row>
    <row r="225" customFormat="false" ht="15" hidden="false" customHeight="false" outlineLevel="0" collapsed="false">
      <c r="A225" s="32"/>
      <c r="B225" s="32" t="s">
        <v>471</v>
      </c>
      <c r="C225" s="32" t="s">
        <v>147</v>
      </c>
      <c r="D225" s="32" t="n">
        <v>0</v>
      </c>
      <c r="E225" s="32" t="s">
        <v>472</v>
      </c>
      <c r="F225" s="32" t="s">
        <v>472</v>
      </c>
      <c r="G225" s="32" t="s">
        <v>472</v>
      </c>
      <c r="H225" s="32" t="s">
        <v>473</v>
      </c>
    </row>
    <row r="226" customFormat="false" ht="15" hidden="false" customHeight="false" outlineLevel="0" collapsed="false">
      <c r="A226" s="32"/>
      <c r="B226" s="32" t="s">
        <v>474</v>
      </c>
      <c r="C226" s="32" t="s">
        <v>147</v>
      </c>
      <c r="D226" s="32" t="n">
        <v>0</v>
      </c>
      <c r="E226" s="32" t="s">
        <v>475</v>
      </c>
      <c r="F226" s="32" t="s">
        <v>475</v>
      </c>
      <c r="G226" s="32" t="s">
        <v>475</v>
      </c>
      <c r="H226" s="32" t="s">
        <v>476</v>
      </c>
    </row>
    <row r="227" customFormat="false" ht="15" hidden="false" customHeight="false" outlineLevel="0" collapsed="false">
      <c r="A227" s="32"/>
      <c r="B227" s="32" t="s">
        <v>477</v>
      </c>
      <c r="C227" s="32" t="s">
        <v>147</v>
      </c>
      <c r="D227" s="32" t="n">
        <v>0</v>
      </c>
      <c r="E227" s="32" t="s">
        <v>478</v>
      </c>
      <c r="F227" s="32" t="s">
        <v>478</v>
      </c>
      <c r="G227" s="32" t="s">
        <v>478</v>
      </c>
      <c r="H227" s="32" t="s">
        <v>479</v>
      </c>
    </row>
    <row r="228" customFormat="false" ht="15" hidden="false" customHeight="false" outlineLevel="0" collapsed="false">
      <c r="A228" s="32"/>
      <c r="B228" s="32" t="s">
        <v>480</v>
      </c>
      <c r="C228" s="32" t="s">
        <v>147</v>
      </c>
      <c r="D228" s="32" t="n">
        <v>0</v>
      </c>
      <c r="E228" s="32" t="s">
        <v>481</v>
      </c>
      <c r="F228" s="32" t="s">
        <v>481</v>
      </c>
      <c r="G228" s="32" t="s">
        <v>481</v>
      </c>
      <c r="H228" s="32" t="s">
        <v>482</v>
      </c>
    </row>
    <row r="229" customFormat="false" ht="15" hidden="false" customHeight="false" outlineLevel="0" collapsed="false">
      <c r="A229" s="32"/>
      <c r="B229" s="32" t="s">
        <v>483</v>
      </c>
      <c r="C229" s="32" t="s">
        <v>147</v>
      </c>
      <c r="D229" s="32" t="n">
        <v>0</v>
      </c>
      <c r="E229" s="32" t="s">
        <v>484</v>
      </c>
      <c r="F229" s="32" t="s">
        <v>484</v>
      </c>
      <c r="G229" s="32" t="s">
        <v>484</v>
      </c>
      <c r="H229" s="32" t="s">
        <v>485</v>
      </c>
    </row>
    <row r="230" customFormat="false" ht="15" hidden="false" customHeight="false" outlineLevel="0" collapsed="false">
      <c r="A230" s="32"/>
      <c r="B230" s="32" t="s">
        <v>486</v>
      </c>
      <c r="C230" s="32" t="s">
        <v>147</v>
      </c>
      <c r="D230" s="32" t="n">
        <v>0</v>
      </c>
      <c r="E230" s="32" t="s">
        <v>487</v>
      </c>
      <c r="F230" s="32" t="s">
        <v>487</v>
      </c>
      <c r="G230" s="32" t="s">
        <v>487</v>
      </c>
      <c r="H230" s="32" t="s">
        <v>488</v>
      </c>
    </row>
    <row r="231" customFormat="false" ht="15" hidden="false" customHeight="false" outlineLevel="0" collapsed="false">
      <c r="A231" s="32"/>
      <c r="B231" s="32" t="s">
        <v>489</v>
      </c>
    </row>
    <row r="232" customFormat="false" ht="15" hidden="false" customHeight="false" outlineLevel="0" collapsed="false">
      <c r="A232" s="32"/>
      <c r="B232" s="32" t="s">
        <v>490</v>
      </c>
      <c r="C232" s="32" t="s">
        <v>161</v>
      </c>
      <c r="D232" s="32" t="n">
        <v>0</v>
      </c>
      <c r="E232" s="32" t="n">
        <v>2022</v>
      </c>
      <c r="F232" s="32" t="n">
        <v>2022</v>
      </c>
      <c r="G232" s="32" t="n">
        <v>2022</v>
      </c>
      <c r="H232" s="32" t="s">
        <v>491</v>
      </c>
    </row>
    <row r="233" customFormat="false" ht="15" hidden="false" customHeight="false" outlineLevel="0" collapsed="false">
      <c r="A233" s="32"/>
      <c r="B233" s="32" t="s">
        <v>492</v>
      </c>
      <c r="C233" s="32" t="s">
        <v>161</v>
      </c>
      <c r="D233" s="32" t="n">
        <v>0</v>
      </c>
      <c r="E233" s="32" t="n">
        <v>2026</v>
      </c>
      <c r="F233" s="32" t="n">
        <v>2026</v>
      </c>
      <c r="G233" s="32" t="n">
        <v>2026</v>
      </c>
      <c r="H233" s="32" t="s">
        <v>493</v>
      </c>
    </row>
    <row r="234" customFormat="false" ht="15" hidden="false" customHeight="false" outlineLevel="0" collapsed="false">
      <c r="A234" s="32"/>
      <c r="B234" s="32" t="s">
        <v>494</v>
      </c>
      <c r="C234" s="32" t="s">
        <v>161</v>
      </c>
      <c r="D234" s="32" t="n">
        <v>0</v>
      </c>
      <c r="E234" s="32" t="s">
        <v>495</v>
      </c>
      <c r="F234" s="32" t="s">
        <v>495</v>
      </c>
      <c r="G234" s="32" t="s">
        <v>495</v>
      </c>
      <c r="H234" s="32" t="s">
        <v>496</v>
      </c>
    </row>
    <row r="235" customFormat="false" ht="15" hidden="false" customHeight="false" outlineLevel="0" collapsed="false">
      <c r="A235" s="32"/>
      <c r="B235" s="32" t="s">
        <v>497</v>
      </c>
      <c r="C235" s="32" t="s">
        <v>161</v>
      </c>
      <c r="D235" s="32" t="n">
        <v>0</v>
      </c>
      <c r="E235" s="32" t="n">
        <v>2026</v>
      </c>
      <c r="F235" s="32" t="n">
        <v>2026</v>
      </c>
      <c r="G235" s="32" t="n">
        <v>2026</v>
      </c>
      <c r="H235" s="32" t="s">
        <v>498</v>
      </c>
    </row>
    <row r="236" customFormat="false" ht="15" hidden="false" customHeight="false" outlineLevel="0" collapsed="false">
      <c r="A236" s="32" t="s">
        <v>159</v>
      </c>
      <c r="B236" s="32" t="s">
        <v>499</v>
      </c>
      <c r="C236" s="32" t="s">
        <v>161</v>
      </c>
      <c r="D236" s="32" t="n">
        <v>0</v>
      </c>
      <c r="E236" s="32" t="n">
        <v>2025</v>
      </c>
      <c r="F236" s="32" t="n">
        <v>2025</v>
      </c>
      <c r="G236" s="32" t="n">
        <v>2024</v>
      </c>
      <c r="H236" s="32" t="s">
        <v>500</v>
      </c>
    </row>
    <row r="237" customFormat="false" ht="15" hidden="false" customHeight="false" outlineLevel="0" collapsed="false">
      <c r="A237" s="32"/>
      <c r="B237" s="32" t="s">
        <v>501</v>
      </c>
      <c r="C237" s="32" t="s">
        <v>147</v>
      </c>
      <c r="D237" s="32" t="n">
        <v>0</v>
      </c>
      <c r="E237" s="32" t="s">
        <v>430</v>
      </c>
      <c r="F237" s="32" t="s">
        <v>430</v>
      </c>
      <c r="G237" s="32" t="s">
        <v>430</v>
      </c>
      <c r="H237" s="32" t="s">
        <v>502</v>
      </c>
    </row>
    <row r="238" customFormat="false" ht="15" hidden="false" customHeight="false" outlineLevel="0" collapsed="false">
      <c r="A238" s="32"/>
      <c r="B238" s="32" t="s">
        <v>503</v>
      </c>
      <c r="C238" s="32" t="s">
        <v>147</v>
      </c>
      <c r="D238" s="32" t="n">
        <v>0</v>
      </c>
      <c r="E238" s="32" t="s">
        <v>430</v>
      </c>
      <c r="F238" s="32" t="s">
        <v>430</v>
      </c>
      <c r="G238" s="32" t="s">
        <v>430</v>
      </c>
      <c r="H238" s="32" t="s">
        <v>504</v>
      </c>
    </row>
    <row r="239" customFormat="false" ht="15" hidden="false" customHeight="false" outlineLevel="0" collapsed="false">
      <c r="A239" s="32"/>
      <c r="B239" s="32" t="s">
        <v>505</v>
      </c>
      <c r="C239" s="32" t="s">
        <v>147</v>
      </c>
      <c r="D239" s="32" t="n">
        <v>0</v>
      </c>
      <c r="E239" s="32" t="s">
        <v>430</v>
      </c>
      <c r="F239" s="32" t="s">
        <v>430</v>
      </c>
      <c r="G239" s="32" t="s">
        <v>430</v>
      </c>
      <c r="H239" s="32" t="s">
        <v>506</v>
      </c>
    </row>
    <row r="240" customFormat="false" ht="15" hidden="false" customHeight="false" outlineLevel="0" collapsed="false">
      <c r="A240" s="32"/>
      <c r="B240" s="32" t="s">
        <v>507</v>
      </c>
      <c r="C240" s="32" t="s">
        <v>88</v>
      </c>
      <c r="D240" s="32" t="n">
        <v>0</v>
      </c>
      <c r="E240" s="32" t="n">
        <v>0.025</v>
      </c>
      <c r="F240" s="32" t="n">
        <v>0.025</v>
      </c>
      <c r="G240" s="32" t="n">
        <v>0.025</v>
      </c>
      <c r="H240" s="32" t="s">
        <v>508</v>
      </c>
    </row>
    <row r="241" customFormat="false" ht="15" hidden="false" customHeight="false" outlineLevel="0" collapsed="false">
      <c r="A241" s="32"/>
      <c r="B241" s="32" t="s">
        <v>509</v>
      </c>
    </row>
    <row r="242" customFormat="false" ht="15" hidden="false" customHeight="false" outlineLevel="0" collapsed="false">
      <c r="A242" s="32"/>
      <c r="B242" s="32" t="s">
        <v>510</v>
      </c>
      <c r="D242" s="32" t="n">
        <v>0</v>
      </c>
      <c r="E242" s="32" t="n">
        <v>0</v>
      </c>
      <c r="F242" s="32" t="n">
        <v>0</v>
      </c>
      <c r="G242" s="32" t="n">
        <v>0</v>
      </c>
      <c r="H242" s="32" t="s">
        <v>511</v>
      </c>
    </row>
    <row r="243" customFormat="false" ht="15" hidden="false" customHeight="false" outlineLevel="0" collapsed="false">
      <c r="A243" s="32"/>
      <c r="B243" s="32" t="s">
        <v>512</v>
      </c>
      <c r="D243" s="32" t="n">
        <v>0</v>
      </c>
      <c r="E243" s="32" t="n">
        <v>0</v>
      </c>
      <c r="F243" s="32" t="n">
        <v>0</v>
      </c>
      <c r="G243" s="32" t="n">
        <v>0</v>
      </c>
      <c r="H243" s="32" t="s">
        <v>513</v>
      </c>
    </row>
    <row r="244" customFormat="false" ht="15" hidden="false" customHeight="false" outlineLevel="0" collapsed="false">
      <c r="A244" s="32"/>
      <c r="B244" s="32" t="s">
        <v>238</v>
      </c>
      <c r="D244" s="32" t="n">
        <v>0</v>
      </c>
      <c r="E244" s="32" t="n">
        <v>0</v>
      </c>
      <c r="F244" s="32" t="n">
        <v>0</v>
      </c>
      <c r="G244" s="32" t="n">
        <v>0</v>
      </c>
      <c r="H244" s="32" t="s">
        <v>514</v>
      </c>
    </row>
    <row r="245" customFormat="false" ht="15" hidden="false" customHeight="false" outlineLevel="0" collapsed="false">
      <c r="A245" s="32"/>
      <c r="B245" s="32" t="s">
        <v>515</v>
      </c>
      <c r="D245" s="32" t="n">
        <v>0</v>
      </c>
      <c r="E245" s="32" t="n">
        <v>0</v>
      </c>
      <c r="F245" s="32" t="n">
        <v>0</v>
      </c>
      <c r="G245" s="32" t="n">
        <v>0</v>
      </c>
      <c r="H245" s="32" t="s">
        <v>516</v>
      </c>
    </row>
    <row r="246" customFormat="false" ht="15" hidden="false" customHeight="false" outlineLevel="0" collapsed="false">
      <c r="A246" s="32"/>
      <c r="B246" s="32" t="s">
        <v>517</v>
      </c>
    </row>
    <row r="247" customFormat="false" ht="15" hidden="false" customHeight="false" outlineLevel="0" collapsed="false">
      <c r="A247" s="32"/>
      <c r="B247" s="32" t="s">
        <v>518</v>
      </c>
      <c r="D247" s="32" t="n">
        <v>0</v>
      </c>
      <c r="E247" s="32" t="n">
        <v>0.7</v>
      </c>
      <c r="F247" s="32" t="n">
        <v>0.7</v>
      </c>
      <c r="G247" s="32" t="n">
        <v>0.7</v>
      </c>
      <c r="H247" s="32" t="s">
        <v>519</v>
      </c>
    </row>
    <row r="248" customFormat="false" ht="15" hidden="false" customHeight="false" outlineLevel="0" collapsed="false">
      <c r="A248" s="32"/>
      <c r="B248" s="32" t="s">
        <v>520</v>
      </c>
      <c r="D248" s="32" t="n">
        <v>0</v>
      </c>
      <c r="E248" s="32" t="n">
        <v>0.7</v>
      </c>
      <c r="F248" s="32" t="n">
        <v>0.7</v>
      </c>
      <c r="G248" s="32" t="n">
        <v>0.7</v>
      </c>
      <c r="H248" s="32" t="s">
        <v>521</v>
      </c>
    </row>
    <row r="249" customFormat="false" ht="15" hidden="false" customHeight="false" outlineLevel="0" collapsed="false">
      <c r="A249" s="32"/>
      <c r="B249" s="32" t="s">
        <v>522</v>
      </c>
      <c r="D249" s="32" t="n">
        <v>0</v>
      </c>
      <c r="E249" s="32" t="n">
        <v>0.7</v>
      </c>
      <c r="F249" s="32" t="n">
        <v>0.7</v>
      </c>
      <c r="G249" s="32" t="n">
        <v>0.7</v>
      </c>
      <c r="H249" s="32" t="s">
        <v>523</v>
      </c>
    </row>
    <row r="250" customFormat="false" ht="15" hidden="false" customHeight="false" outlineLevel="0" collapsed="false">
      <c r="A250" s="32"/>
      <c r="B250" s="32" t="s">
        <v>524</v>
      </c>
      <c r="D250" s="32" t="n">
        <v>0</v>
      </c>
      <c r="E250" s="32" t="n">
        <v>0.7</v>
      </c>
      <c r="F250" s="32" t="n">
        <v>0.7</v>
      </c>
      <c r="G250" s="32" t="n">
        <v>0.7</v>
      </c>
      <c r="H250" s="32" t="s">
        <v>525</v>
      </c>
    </row>
    <row r="251" customFormat="false" ht="15" hidden="false" customHeight="false" outlineLevel="0" collapsed="false">
      <c r="A251" s="32"/>
      <c r="B251" s="32" t="s">
        <v>526</v>
      </c>
      <c r="D251" s="32" t="n">
        <v>0</v>
      </c>
      <c r="E251" s="32" t="n">
        <v>1</v>
      </c>
      <c r="F251" s="32" t="n">
        <v>1</v>
      </c>
      <c r="G251" s="32" t="n">
        <v>1</v>
      </c>
      <c r="H251" s="32" t="s">
        <v>527</v>
      </c>
    </row>
    <row r="252" customFormat="false" ht="15" hidden="false" customHeight="false" outlineLevel="0" collapsed="false">
      <c r="A252" s="32"/>
      <c r="B252" s="32" t="s">
        <v>528</v>
      </c>
    </row>
    <row r="253" customFormat="false" ht="15" hidden="false" customHeight="false" outlineLevel="0" collapsed="false">
      <c r="A253" s="32"/>
      <c r="B253" s="32" t="s">
        <v>65</v>
      </c>
      <c r="D253" s="32" t="n">
        <v>0</v>
      </c>
      <c r="E253" s="32" t="n">
        <v>0.56</v>
      </c>
      <c r="F253" s="32" t="n">
        <v>0.56</v>
      </c>
      <c r="G253" s="32" t="n">
        <v>0.56</v>
      </c>
      <c r="H253" s="32" t="s">
        <v>529</v>
      </c>
    </row>
    <row r="254" customFormat="false" ht="15" hidden="false" customHeight="false" outlineLevel="0" collapsed="false">
      <c r="A254" s="32"/>
      <c r="B254" s="32" t="s">
        <v>67</v>
      </c>
      <c r="D254" s="32" t="n">
        <v>0</v>
      </c>
      <c r="E254" s="32" t="n">
        <v>0.45</v>
      </c>
      <c r="F254" s="32" t="n">
        <v>0.45</v>
      </c>
      <c r="G254" s="32" t="n">
        <v>0.45</v>
      </c>
      <c r="H254" s="32" t="s">
        <v>530</v>
      </c>
    </row>
    <row r="255" customFormat="false" ht="15" hidden="false" customHeight="false" outlineLevel="0" collapsed="false">
      <c r="A255" s="32"/>
      <c r="B255" s="32" t="s">
        <v>72</v>
      </c>
      <c r="D255" s="32" t="n">
        <v>0</v>
      </c>
      <c r="E255" s="32" t="n">
        <v>0.2</v>
      </c>
      <c r="F255" s="32" t="n">
        <v>0.2</v>
      </c>
      <c r="G255" s="32" t="n">
        <v>0.2</v>
      </c>
      <c r="H255" s="32" t="s">
        <v>531</v>
      </c>
    </row>
    <row r="256" customFormat="false" ht="15" hidden="false" customHeight="false" outlineLevel="0" collapsed="false">
      <c r="A256" s="32"/>
      <c r="B256" s="32" t="s">
        <v>532</v>
      </c>
      <c r="D256" s="32" t="n">
        <v>0</v>
      </c>
      <c r="E256" s="32" t="n">
        <v>0.58</v>
      </c>
      <c r="F256" s="32" t="n">
        <v>0.58</v>
      </c>
      <c r="G256" s="32" t="n">
        <v>0.58</v>
      </c>
      <c r="H256" s="32" t="s">
        <v>533</v>
      </c>
    </row>
    <row r="257" customFormat="false" ht="15" hidden="false" customHeight="false" outlineLevel="0" collapsed="false">
      <c r="A257" s="32"/>
      <c r="B257" s="32" t="s">
        <v>534</v>
      </c>
    </row>
    <row r="258" customFormat="false" ht="15" hidden="false" customHeight="false" outlineLevel="0" collapsed="false">
      <c r="A258" s="32"/>
      <c r="B258" s="32" t="s">
        <v>535</v>
      </c>
      <c r="C258" s="32" t="s">
        <v>147</v>
      </c>
      <c r="D258" s="32" t="n">
        <v>0</v>
      </c>
      <c r="E258" s="32" t="s">
        <v>536</v>
      </c>
      <c r="F258" s="32" t="s">
        <v>536</v>
      </c>
      <c r="G258" s="32" t="s">
        <v>536</v>
      </c>
      <c r="H258" s="32" t="s">
        <v>537</v>
      </c>
    </row>
    <row r="259" customFormat="false" ht="15" hidden="false" customHeight="false" outlineLevel="0" collapsed="false">
      <c r="A259" s="32"/>
      <c r="B259" s="32" t="s">
        <v>538</v>
      </c>
      <c r="C259" s="32" t="s">
        <v>147</v>
      </c>
      <c r="D259" s="32" t="n">
        <v>0</v>
      </c>
      <c r="E259" s="32" t="s">
        <v>536</v>
      </c>
      <c r="F259" s="32" t="s">
        <v>536</v>
      </c>
      <c r="G259" s="32" t="s">
        <v>536</v>
      </c>
      <c r="H259" s="32" t="s">
        <v>539</v>
      </c>
    </row>
    <row r="260" customFormat="false" ht="15" hidden="false" customHeight="false" outlineLevel="0" collapsed="false">
      <c r="A260" s="32"/>
      <c r="B260" s="32" t="s">
        <v>540</v>
      </c>
      <c r="C260" s="32" t="s">
        <v>147</v>
      </c>
      <c r="D260" s="32" t="n">
        <v>0</v>
      </c>
      <c r="E260" s="32" t="s">
        <v>536</v>
      </c>
      <c r="F260" s="32" t="s">
        <v>536</v>
      </c>
      <c r="G260" s="32" t="s">
        <v>536</v>
      </c>
      <c r="H260" s="32" t="s">
        <v>541</v>
      </c>
    </row>
    <row r="261" customFormat="false" ht="15" hidden="false" customHeight="false" outlineLevel="0" collapsed="false">
      <c r="A261" s="32"/>
      <c r="B261" s="32" t="s">
        <v>542</v>
      </c>
      <c r="C261" s="32" t="s">
        <v>147</v>
      </c>
      <c r="D261" s="32" t="n">
        <v>0</v>
      </c>
      <c r="E261" s="32" t="s">
        <v>536</v>
      </c>
      <c r="F261" s="32" t="s">
        <v>536</v>
      </c>
      <c r="G261" s="32" t="s">
        <v>536</v>
      </c>
      <c r="H261" s="32" t="s">
        <v>543</v>
      </c>
    </row>
    <row r="262" customFormat="false" ht="15" hidden="false" customHeight="false" outlineLevel="0" collapsed="false">
      <c r="A262" s="32"/>
      <c r="B262" s="32" t="s">
        <v>544</v>
      </c>
      <c r="C262" s="32" t="s">
        <v>147</v>
      </c>
      <c r="D262" s="32" t="n">
        <v>0</v>
      </c>
      <c r="E262" s="32" t="s">
        <v>430</v>
      </c>
      <c r="F262" s="32" t="s">
        <v>430</v>
      </c>
      <c r="G262" s="32" t="s">
        <v>430</v>
      </c>
      <c r="H262" s="32" t="s">
        <v>545</v>
      </c>
    </row>
    <row r="263" customFormat="false" ht="15" hidden="false" customHeight="false" outlineLevel="0" collapsed="false">
      <c r="A263" s="32"/>
      <c r="B263" s="32" t="s">
        <v>546</v>
      </c>
      <c r="C263" s="32" t="s">
        <v>147</v>
      </c>
      <c r="D263" s="32" t="n">
        <v>0</v>
      </c>
      <c r="E263" s="32" t="s">
        <v>536</v>
      </c>
      <c r="F263" s="32" t="s">
        <v>536</v>
      </c>
      <c r="G263" s="32" t="s">
        <v>536</v>
      </c>
      <c r="H263" s="32" t="s">
        <v>547</v>
      </c>
    </row>
    <row r="264" customFormat="false" ht="15" hidden="false" customHeight="false" outlineLevel="0" collapsed="false">
      <c r="A264" s="32"/>
      <c r="B264" s="32" t="s">
        <v>548</v>
      </c>
    </row>
    <row r="265" customFormat="false" ht="15" hidden="false" customHeight="false" outlineLevel="0" collapsed="false">
      <c r="A265" s="32"/>
      <c r="B265" s="32" t="s">
        <v>549</v>
      </c>
      <c r="C265" s="32" t="s">
        <v>147</v>
      </c>
      <c r="D265" s="32" t="n">
        <v>0</v>
      </c>
      <c r="E265" s="32" t="s">
        <v>550</v>
      </c>
      <c r="F265" s="32" t="s">
        <v>550</v>
      </c>
      <c r="G265" s="32" t="s">
        <v>550</v>
      </c>
      <c r="H265" s="32" t="s">
        <v>551</v>
      </c>
    </row>
    <row r="266" customFormat="false" ht="15" hidden="false" customHeight="false" outlineLevel="0" collapsed="false">
      <c r="A266" s="32"/>
      <c r="B266" s="32" t="s">
        <v>552</v>
      </c>
      <c r="C266" s="32" t="s">
        <v>147</v>
      </c>
      <c r="D266" s="32" t="n">
        <v>0</v>
      </c>
      <c r="E266" s="32" t="s">
        <v>553</v>
      </c>
      <c r="F266" s="32" t="s">
        <v>553</v>
      </c>
      <c r="G266" s="32" t="s">
        <v>553</v>
      </c>
      <c r="H266" s="32" t="s">
        <v>554</v>
      </c>
    </row>
    <row r="267" customFormat="false" ht="15" hidden="false" customHeight="false" outlineLevel="0" collapsed="false">
      <c r="A267" s="32"/>
      <c r="B267" s="32" t="s">
        <v>555</v>
      </c>
      <c r="C267" s="32" t="s">
        <v>147</v>
      </c>
      <c r="D267" s="32" t="n">
        <v>0</v>
      </c>
      <c r="E267" s="32" t="s">
        <v>430</v>
      </c>
      <c r="F267" s="32" t="s">
        <v>430</v>
      </c>
      <c r="G267" s="32" t="s">
        <v>430</v>
      </c>
      <c r="H267" s="32" t="s">
        <v>556</v>
      </c>
    </row>
    <row r="268" customFormat="false" ht="15" hidden="false" customHeight="false" outlineLevel="0" collapsed="false">
      <c r="A268" s="32"/>
      <c r="B268" s="32" t="s">
        <v>557</v>
      </c>
      <c r="C268" s="32" t="s">
        <v>147</v>
      </c>
      <c r="D268" s="32" t="n">
        <v>0</v>
      </c>
      <c r="E268" s="32" t="s">
        <v>429</v>
      </c>
      <c r="F268" s="32" t="s">
        <v>429</v>
      </c>
      <c r="G268" s="32" t="s">
        <v>429</v>
      </c>
      <c r="H268" s="32" t="s">
        <v>558</v>
      </c>
    </row>
    <row r="269" customFormat="false" ht="15" hidden="false" customHeight="false" outlineLevel="0" collapsed="false">
      <c r="A269" s="32"/>
      <c r="B269" s="32" t="s">
        <v>559</v>
      </c>
      <c r="C269" s="32" t="s">
        <v>147</v>
      </c>
      <c r="D269" s="32" t="n">
        <v>0</v>
      </c>
      <c r="E269" s="32" t="s">
        <v>560</v>
      </c>
      <c r="F269" s="32" t="s">
        <v>560</v>
      </c>
      <c r="G269" s="32" t="s">
        <v>560</v>
      </c>
      <c r="H269" s="32" t="s">
        <v>561</v>
      </c>
    </row>
    <row r="270" customFormat="false" ht="15" hidden="false" customHeight="false" outlineLevel="0" collapsed="false">
      <c r="A270" s="32"/>
      <c r="B270" s="32" t="s">
        <v>562</v>
      </c>
      <c r="D270" s="32" t="n">
        <v>0</v>
      </c>
      <c r="E270" s="32" t="s">
        <v>550</v>
      </c>
      <c r="F270" s="32" t="s">
        <v>550</v>
      </c>
      <c r="G270" s="32" t="s">
        <v>550</v>
      </c>
      <c r="H270" s="32" t="s">
        <v>563</v>
      </c>
    </row>
    <row r="271" customFormat="false" ht="15" hidden="false" customHeight="false" outlineLevel="0" collapsed="false">
      <c r="A271" s="32"/>
      <c r="B271" s="32" t="s">
        <v>564</v>
      </c>
      <c r="D271" s="32" t="n">
        <v>0</v>
      </c>
      <c r="E271" s="32" t="n">
        <v>0</v>
      </c>
      <c r="F271" s="32" t="n">
        <v>0</v>
      </c>
      <c r="G271" s="32" t="n">
        <v>0</v>
      </c>
      <c r="H271" s="32" t="s">
        <v>565</v>
      </c>
    </row>
    <row r="272" customFormat="false" ht="15" hidden="false" customHeight="false" outlineLevel="0" collapsed="false">
      <c r="A272" s="32"/>
      <c r="B272" s="32" t="s">
        <v>566</v>
      </c>
    </row>
    <row r="273" customFormat="false" ht="15" hidden="false" customHeight="false" outlineLevel="0" collapsed="false">
      <c r="A273" s="32"/>
      <c r="B273" s="32" t="s">
        <v>567</v>
      </c>
      <c r="C273" s="32" t="s">
        <v>88</v>
      </c>
      <c r="D273" s="32" t="n">
        <v>0</v>
      </c>
      <c r="E273" s="32" t="s">
        <v>568</v>
      </c>
      <c r="F273" s="32" t="s">
        <v>568</v>
      </c>
      <c r="G273" s="32" t="s">
        <v>568</v>
      </c>
      <c r="H273" s="32" t="s">
        <v>569</v>
      </c>
    </row>
    <row r="274" customFormat="false" ht="15" hidden="false" customHeight="false" outlineLevel="0" collapsed="false">
      <c r="A274" s="32"/>
      <c r="B274" s="32" t="s">
        <v>570</v>
      </c>
      <c r="C274" s="32" t="s">
        <v>88</v>
      </c>
      <c r="D274" s="32" t="n">
        <v>0</v>
      </c>
      <c r="E274" s="32" t="s">
        <v>571</v>
      </c>
      <c r="F274" s="32" t="s">
        <v>571</v>
      </c>
      <c r="G274" s="32" t="s">
        <v>571</v>
      </c>
      <c r="H274" s="32" t="s">
        <v>572</v>
      </c>
    </row>
    <row r="275" customFormat="false" ht="15" hidden="false" customHeight="false" outlineLevel="0" collapsed="false">
      <c r="A275" s="32"/>
      <c r="B275" s="32" t="s">
        <v>573</v>
      </c>
      <c r="C275" s="32" t="s">
        <v>147</v>
      </c>
      <c r="D275" s="32" t="n">
        <v>0</v>
      </c>
      <c r="E275" s="32" t="s">
        <v>560</v>
      </c>
      <c r="F275" s="32" t="s">
        <v>560</v>
      </c>
      <c r="G275" s="32" t="s">
        <v>560</v>
      </c>
      <c r="H275" s="32" t="s">
        <v>574</v>
      </c>
    </row>
    <row r="276" customFormat="false" ht="15" hidden="false" customHeight="false" outlineLevel="0" collapsed="false">
      <c r="A276" s="32"/>
      <c r="B276" s="32" t="s">
        <v>575</v>
      </c>
    </row>
    <row r="277" customFormat="false" ht="15" hidden="false" customHeight="false" outlineLevel="0" collapsed="false">
      <c r="A277" s="32"/>
      <c r="B277" s="32" t="s">
        <v>576</v>
      </c>
      <c r="C277" s="32" t="s">
        <v>577</v>
      </c>
      <c r="D277" s="32" t="n">
        <v>0</v>
      </c>
      <c r="E277" s="32" t="n">
        <v>0.04</v>
      </c>
      <c r="F277" s="32" t="n">
        <v>0.04</v>
      </c>
      <c r="G277" s="32" t="n">
        <v>0.04</v>
      </c>
      <c r="H277" s="32" t="s">
        <v>578</v>
      </c>
    </row>
    <row r="278" customFormat="false" ht="15" hidden="false" customHeight="false" outlineLevel="0" collapsed="false">
      <c r="A278" s="32"/>
      <c r="B278" s="32" t="s">
        <v>579</v>
      </c>
      <c r="D278" s="32" t="n">
        <v>0</v>
      </c>
      <c r="E278" s="32" t="n">
        <v>75</v>
      </c>
      <c r="F278" s="32" t="n">
        <v>75</v>
      </c>
      <c r="G278" s="32" t="n">
        <v>75</v>
      </c>
      <c r="H278" s="32" t="s">
        <v>580</v>
      </c>
    </row>
    <row r="279" customFormat="false" ht="15" hidden="false" customHeight="false" outlineLevel="0" collapsed="false">
      <c r="A279" s="32"/>
      <c r="B279" s="32" t="s">
        <v>581</v>
      </c>
    </row>
    <row r="280" customFormat="false" ht="15" hidden="false" customHeight="false" outlineLevel="0" collapsed="false">
      <c r="A280" s="32"/>
      <c r="B280" s="32" t="s">
        <v>582</v>
      </c>
      <c r="C280" s="32" t="s">
        <v>147</v>
      </c>
      <c r="D280" s="32" t="n">
        <v>0</v>
      </c>
      <c r="E280" s="32" t="s">
        <v>250</v>
      </c>
      <c r="F280" s="32" t="s">
        <v>250</v>
      </c>
      <c r="G280" s="32" t="s">
        <v>250</v>
      </c>
      <c r="H280" s="32" t="s">
        <v>583</v>
      </c>
    </row>
    <row r="281" customFormat="false" ht="15" hidden="false" customHeight="false" outlineLevel="0" collapsed="false">
      <c r="A281" s="32"/>
      <c r="B281" s="32" t="s">
        <v>584</v>
      </c>
      <c r="C281" s="32" t="s">
        <v>147</v>
      </c>
      <c r="D281" s="32" t="n">
        <v>0</v>
      </c>
      <c r="E281" s="32" t="s">
        <v>250</v>
      </c>
      <c r="F281" s="32" t="s">
        <v>250</v>
      </c>
      <c r="G281" s="32" t="s">
        <v>250</v>
      </c>
      <c r="H281" s="32" t="s">
        <v>585</v>
      </c>
    </row>
    <row r="282" customFormat="false" ht="15" hidden="false" customHeight="false" outlineLevel="0" collapsed="false">
      <c r="A282" s="32" t="s">
        <v>159</v>
      </c>
      <c r="B282" s="32" t="s">
        <v>586</v>
      </c>
      <c r="C282" s="32" t="s">
        <v>161</v>
      </c>
      <c r="D282" s="32" t="n">
        <v>0</v>
      </c>
      <c r="E282" s="32" t="n">
        <v>2025</v>
      </c>
      <c r="F282" s="32" t="n">
        <v>2025</v>
      </c>
      <c r="G282" s="32" t="n">
        <v>2030</v>
      </c>
      <c r="H282" s="32" t="s">
        <v>587</v>
      </c>
      <c r="I282" s="32" t="s">
        <v>140</v>
      </c>
    </row>
    <row r="283" customFormat="false" ht="15" hidden="false" customHeight="false" outlineLevel="0" collapsed="false">
      <c r="A283" s="32"/>
      <c r="B283" s="32" t="s">
        <v>588</v>
      </c>
    </row>
    <row r="284" customFormat="false" ht="15" hidden="false" customHeight="false" outlineLevel="0" collapsed="false">
      <c r="A284" s="32"/>
      <c r="B284" s="32" t="s">
        <v>589</v>
      </c>
      <c r="C284" s="32" t="s">
        <v>147</v>
      </c>
      <c r="D284" s="32" t="n">
        <v>0</v>
      </c>
      <c r="E284" s="32" t="s">
        <v>429</v>
      </c>
      <c r="F284" s="32" t="s">
        <v>429</v>
      </c>
      <c r="G284" s="32" t="s">
        <v>429</v>
      </c>
      <c r="H284" s="32" t="s">
        <v>590</v>
      </c>
    </row>
    <row r="285" customFormat="false" ht="15" hidden="false" customHeight="false" outlineLevel="0" collapsed="false">
      <c r="A285" s="32"/>
      <c r="B285" s="32" t="s">
        <v>591</v>
      </c>
    </row>
    <row r="286" customFormat="false" ht="15" hidden="false" customHeight="false" outlineLevel="0" collapsed="false">
      <c r="A286" s="32"/>
      <c r="B286" s="32" t="s">
        <v>592</v>
      </c>
      <c r="C286" s="32" t="s">
        <v>147</v>
      </c>
      <c r="D286" s="32" t="n">
        <v>0</v>
      </c>
      <c r="E286" s="32" t="s">
        <v>430</v>
      </c>
      <c r="F286" s="32" t="s">
        <v>430</v>
      </c>
      <c r="G286" s="32" t="s">
        <v>430</v>
      </c>
      <c r="H286" s="32" t="s">
        <v>593</v>
      </c>
    </row>
    <row r="287" customFormat="false" ht="15" hidden="false" customHeight="false" outlineLevel="0" collapsed="false">
      <c r="A287" s="32"/>
      <c r="B287" s="32" t="s">
        <v>594</v>
      </c>
      <c r="C287" s="32" t="s">
        <v>147</v>
      </c>
      <c r="D287" s="32" t="n">
        <v>0</v>
      </c>
      <c r="E287" s="32" t="s">
        <v>430</v>
      </c>
      <c r="F287" s="32" t="s">
        <v>430</v>
      </c>
      <c r="G287" s="32" t="s">
        <v>430</v>
      </c>
      <c r="H287" s="32" t="s">
        <v>595</v>
      </c>
    </row>
    <row r="288" customFormat="false" ht="15" hidden="false" customHeight="false" outlineLevel="0" collapsed="false">
      <c r="A288" s="32"/>
      <c r="B288" s="32" t="s">
        <v>596</v>
      </c>
      <c r="C288" s="32" t="s">
        <v>147</v>
      </c>
      <c r="D288" s="32" t="n">
        <v>0</v>
      </c>
      <c r="E288" s="32" t="s">
        <v>430</v>
      </c>
      <c r="F288" s="32" t="s">
        <v>430</v>
      </c>
      <c r="G288" s="32" t="s">
        <v>430</v>
      </c>
      <c r="H288" s="32" t="s">
        <v>597</v>
      </c>
    </row>
    <row r="289" customFormat="false" ht="15" hidden="false" customHeight="false" outlineLevel="0" collapsed="false">
      <c r="A289" s="32"/>
      <c r="B289" s="32" t="s">
        <v>598</v>
      </c>
      <c r="C289" s="32" t="s">
        <v>147</v>
      </c>
      <c r="D289" s="32" t="n">
        <v>0</v>
      </c>
      <c r="E289" s="32" t="s">
        <v>430</v>
      </c>
      <c r="F289" s="32" t="s">
        <v>430</v>
      </c>
      <c r="G289" s="32" t="s">
        <v>430</v>
      </c>
      <c r="H289" s="32" t="s">
        <v>599</v>
      </c>
    </row>
    <row r="290" customFormat="false" ht="15" hidden="false" customHeight="false" outlineLevel="0" collapsed="false">
      <c r="A290" s="32"/>
      <c r="B290" s="32" t="s">
        <v>600</v>
      </c>
      <c r="C290" s="32" t="s">
        <v>147</v>
      </c>
      <c r="D290" s="32" t="n">
        <v>0</v>
      </c>
      <c r="E290" s="32" t="s">
        <v>430</v>
      </c>
      <c r="F290" s="32" t="s">
        <v>430</v>
      </c>
      <c r="G290" s="32" t="s">
        <v>430</v>
      </c>
      <c r="H290" s="32" t="s">
        <v>601</v>
      </c>
    </row>
    <row r="291" customFormat="false" ht="15" hidden="false" customHeight="false" outlineLevel="0" collapsed="false">
      <c r="A291" s="32"/>
      <c r="B291" s="32" t="s">
        <v>602</v>
      </c>
      <c r="C291" s="32" t="s">
        <v>147</v>
      </c>
      <c r="D291" s="32" t="n">
        <v>0</v>
      </c>
      <c r="E291" s="32" t="s">
        <v>430</v>
      </c>
      <c r="F291" s="32" t="s">
        <v>430</v>
      </c>
      <c r="G291" s="32" t="s">
        <v>430</v>
      </c>
      <c r="H291" s="32" t="s">
        <v>603</v>
      </c>
    </row>
    <row r="292" customFormat="false" ht="15" hidden="false" customHeight="false" outlineLevel="0" collapsed="false">
      <c r="A292" s="32"/>
      <c r="B292" s="32" t="s">
        <v>604</v>
      </c>
      <c r="C292" s="32" t="s">
        <v>147</v>
      </c>
      <c r="D292" s="32" t="n">
        <v>0</v>
      </c>
      <c r="E292" s="32" t="s">
        <v>430</v>
      </c>
      <c r="F292" s="32" t="s">
        <v>430</v>
      </c>
      <c r="G292" s="32" t="s">
        <v>430</v>
      </c>
      <c r="H292" s="32" t="s">
        <v>605</v>
      </c>
    </row>
    <row r="293" customFormat="false" ht="15" hidden="false" customHeight="false" outlineLevel="0" collapsed="false">
      <c r="A293" s="32"/>
      <c r="B293" s="32" t="s">
        <v>606</v>
      </c>
      <c r="C293" s="32" t="s">
        <v>147</v>
      </c>
      <c r="D293" s="32" t="n">
        <v>0</v>
      </c>
      <c r="E293" s="32" t="s">
        <v>430</v>
      </c>
      <c r="F293" s="32" t="s">
        <v>430</v>
      </c>
      <c r="G293" s="32" t="s">
        <v>430</v>
      </c>
      <c r="H293" s="32" t="s">
        <v>607</v>
      </c>
    </row>
    <row r="294" customFormat="false" ht="15" hidden="false" customHeight="false" outlineLevel="0" collapsed="false">
      <c r="A294" s="32"/>
      <c r="B294" s="32" t="s">
        <v>608</v>
      </c>
      <c r="C294" s="32" t="s">
        <v>147</v>
      </c>
      <c r="D294" s="32" t="n">
        <v>0</v>
      </c>
      <c r="E294" s="32" t="s">
        <v>430</v>
      </c>
      <c r="F294" s="32" t="s">
        <v>430</v>
      </c>
      <c r="G294" s="32" t="s">
        <v>430</v>
      </c>
      <c r="H294" s="32" t="s">
        <v>609</v>
      </c>
    </row>
    <row r="295" customFormat="false" ht="15" hidden="false" customHeight="false" outlineLevel="0" collapsed="false">
      <c r="A295" s="32"/>
      <c r="B295" s="32" t="s">
        <v>610</v>
      </c>
      <c r="D295" s="32" t="n">
        <v>0</v>
      </c>
      <c r="F295" s="32" t="n">
        <v>0</v>
      </c>
    </row>
    <row r="296" customFormat="false" ht="15" hidden="false" customHeight="false" outlineLevel="0" collapsed="false">
      <c r="A296" s="32"/>
      <c r="B296" s="32" t="s">
        <v>611</v>
      </c>
      <c r="C296" s="32" t="s">
        <v>147</v>
      </c>
      <c r="D296" s="32" t="n">
        <v>0</v>
      </c>
      <c r="E296" s="32" t="s">
        <v>612</v>
      </c>
      <c r="F296" s="32" t="s">
        <v>612</v>
      </c>
      <c r="G296" s="32" t="s">
        <v>612</v>
      </c>
      <c r="H296" s="32" t="s">
        <v>613</v>
      </c>
    </row>
    <row r="297" customFormat="false" ht="15" hidden="false" customHeight="false" outlineLevel="0" collapsed="false">
      <c r="A297" s="32"/>
      <c r="B297" s="32" t="s">
        <v>614</v>
      </c>
      <c r="C297" s="32" t="s">
        <v>147</v>
      </c>
      <c r="D297" s="32" t="n">
        <v>0</v>
      </c>
      <c r="E297" s="32" t="s">
        <v>615</v>
      </c>
      <c r="F297" s="32" t="s">
        <v>615</v>
      </c>
      <c r="G297" s="32" t="s">
        <v>615</v>
      </c>
      <c r="H297" s="32" t="s">
        <v>616</v>
      </c>
    </row>
    <row r="298" customFormat="false" ht="15" hidden="false" customHeight="false" outlineLevel="0" collapsed="false">
      <c r="A298" s="32"/>
      <c r="B298" s="32" t="s">
        <v>617</v>
      </c>
      <c r="D298" s="32" t="n">
        <v>0</v>
      </c>
      <c r="E298" s="32" t="n">
        <v>0.56</v>
      </c>
      <c r="F298" s="32" t="n">
        <v>0.56</v>
      </c>
      <c r="G298" s="32" t="n">
        <v>0.56</v>
      </c>
      <c r="H298" s="32" t="s">
        <v>618</v>
      </c>
    </row>
    <row r="299" customFormat="false" ht="15" hidden="false" customHeight="false" outlineLevel="0" collapsed="false">
      <c r="A299" s="32"/>
      <c r="B299" s="32" t="s">
        <v>619</v>
      </c>
      <c r="D299" s="32" t="n">
        <v>0</v>
      </c>
      <c r="E299" s="32" t="n">
        <v>0.45</v>
      </c>
      <c r="F299" s="32" t="n">
        <v>0.45</v>
      </c>
      <c r="G299" s="32" t="n">
        <v>0.45</v>
      </c>
      <c r="H299" s="32" t="s">
        <v>620</v>
      </c>
    </row>
    <row r="300" customFormat="false" ht="15" hidden="false" customHeight="false" outlineLevel="0" collapsed="false">
      <c r="A300" s="32"/>
      <c r="B300" s="32" t="s">
        <v>621</v>
      </c>
      <c r="D300" s="32" t="n">
        <v>0</v>
      </c>
      <c r="E300" s="32" t="n">
        <v>0.2</v>
      </c>
      <c r="F300" s="32" t="n">
        <v>0.2</v>
      </c>
      <c r="G300" s="32" t="n">
        <v>0.2</v>
      </c>
      <c r="H300" s="32" t="s">
        <v>622</v>
      </c>
    </row>
    <row r="301" customFormat="false" ht="15" hidden="false" customHeight="false" outlineLevel="0" collapsed="false">
      <c r="A301" s="32"/>
      <c r="B301" s="32" t="s">
        <v>623</v>
      </c>
      <c r="D301" s="32" t="n">
        <v>0</v>
      </c>
      <c r="E301" s="32" t="n">
        <v>0.58</v>
      </c>
      <c r="F301" s="32" t="n">
        <v>0.58</v>
      </c>
      <c r="G301" s="32" t="n">
        <v>0.58</v>
      </c>
      <c r="H301" s="32" t="s">
        <v>624</v>
      </c>
    </row>
    <row r="302" customFormat="false" ht="15" hidden="false" customHeight="false" outlineLevel="0" collapsed="false">
      <c r="A302" s="32"/>
      <c r="B302" s="32" t="s">
        <v>625</v>
      </c>
      <c r="C302" s="32" t="s">
        <v>147</v>
      </c>
      <c r="D302" s="32" t="n">
        <v>0</v>
      </c>
      <c r="E302" s="32" t="s">
        <v>429</v>
      </c>
      <c r="F302" s="32" t="s">
        <v>429</v>
      </c>
      <c r="G302" s="32" t="s">
        <v>429</v>
      </c>
      <c r="H302" s="32" t="s">
        <v>626</v>
      </c>
    </row>
    <row r="303" customFormat="false" ht="15" hidden="false" customHeight="false" outlineLevel="0" collapsed="false">
      <c r="A303" s="32"/>
      <c r="B303" s="32" t="s">
        <v>627</v>
      </c>
    </row>
    <row r="304" customFormat="false" ht="15" hidden="false" customHeight="false" outlineLevel="0" collapsed="false">
      <c r="A304" s="32"/>
      <c r="B304" s="32" t="s">
        <v>628</v>
      </c>
      <c r="C304" s="32" t="s">
        <v>161</v>
      </c>
      <c r="D304" s="32" t="n">
        <v>0</v>
      </c>
      <c r="E304" s="32" t="n">
        <v>2030</v>
      </c>
      <c r="F304" s="32" t="n">
        <v>2030</v>
      </c>
      <c r="G304" s="32" t="n">
        <v>2030</v>
      </c>
      <c r="H304" s="32" t="s">
        <v>629</v>
      </c>
      <c r="I304" s="32" t="s">
        <v>140</v>
      </c>
    </row>
    <row r="305" customFormat="false" ht="15" hidden="false" customHeight="false" outlineLevel="0" collapsed="false">
      <c r="A305" s="32"/>
      <c r="B305" s="32" t="s">
        <v>630</v>
      </c>
      <c r="C305" s="32" t="s">
        <v>147</v>
      </c>
      <c r="D305" s="32" t="n">
        <v>0</v>
      </c>
      <c r="E305" s="32" t="s">
        <v>631</v>
      </c>
      <c r="F305" s="32" t="s">
        <v>631</v>
      </c>
      <c r="G305" s="32" t="s">
        <v>631</v>
      </c>
      <c r="H305" s="32" t="s">
        <v>632</v>
      </c>
    </row>
    <row r="306" customFormat="false" ht="15" hidden="false" customHeight="false" outlineLevel="0" collapsed="false">
      <c r="A306" s="32"/>
      <c r="B306" s="32" t="s">
        <v>633</v>
      </c>
      <c r="C306" s="32" t="s">
        <v>634</v>
      </c>
      <c r="D306" s="32" t="n">
        <v>0</v>
      </c>
      <c r="E306" s="32" t="s">
        <v>250</v>
      </c>
      <c r="F306" s="32" t="s">
        <v>250</v>
      </c>
      <c r="G306" s="32" t="s">
        <v>250</v>
      </c>
      <c r="H306" s="32" t="s">
        <v>635</v>
      </c>
    </row>
    <row r="307" customFormat="false" ht="15" hidden="false" customHeight="false" outlineLevel="0" collapsed="false">
      <c r="A307" s="32"/>
      <c r="B307" s="32" t="s">
        <v>636</v>
      </c>
      <c r="C307" s="32" t="s">
        <v>147</v>
      </c>
      <c r="D307" s="32" t="n">
        <v>0</v>
      </c>
      <c r="E307" s="32" t="s">
        <v>637</v>
      </c>
      <c r="F307" s="32" t="s">
        <v>637</v>
      </c>
      <c r="G307" s="32" t="s">
        <v>637</v>
      </c>
      <c r="H307" s="32" t="s">
        <v>638</v>
      </c>
    </row>
    <row r="308" customFormat="false" ht="15" hidden="false" customHeight="false" outlineLevel="0" collapsed="false">
      <c r="A308" s="32"/>
      <c r="B308" s="32" t="s">
        <v>639</v>
      </c>
      <c r="C308" s="32" t="s">
        <v>147</v>
      </c>
      <c r="D308" s="32" t="n">
        <v>0</v>
      </c>
      <c r="E308" s="32" t="s">
        <v>640</v>
      </c>
      <c r="F308" s="32" t="s">
        <v>640</v>
      </c>
      <c r="G308" s="32" t="s">
        <v>640</v>
      </c>
      <c r="H308" s="32" t="s">
        <v>641</v>
      </c>
    </row>
    <row r="309" customFormat="false" ht="15" hidden="false" customHeight="false" outlineLevel="0" collapsed="false">
      <c r="A309" s="32"/>
      <c r="B309" s="32" t="s">
        <v>642</v>
      </c>
      <c r="C309" s="32" t="s">
        <v>147</v>
      </c>
      <c r="D309" s="32" t="n">
        <v>0</v>
      </c>
      <c r="E309" s="32" t="s">
        <v>643</v>
      </c>
      <c r="F309" s="32" t="s">
        <v>643</v>
      </c>
      <c r="G309" s="32" t="s">
        <v>643</v>
      </c>
      <c r="H309" s="32" t="s">
        <v>644</v>
      </c>
    </row>
    <row r="310" customFormat="false" ht="15" hidden="false" customHeight="false" outlineLevel="0" collapsed="false">
      <c r="A310" s="32"/>
      <c r="B310" s="32" t="s">
        <v>645</v>
      </c>
      <c r="C310" s="32" t="s">
        <v>634</v>
      </c>
      <c r="D310" s="32" t="n">
        <v>0</v>
      </c>
      <c r="E310" s="32" t="n">
        <v>4</v>
      </c>
      <c r="F310" s="32" t="n">
        <v>4</v>
      </c>
      <c r="G310" s="32" t="n">
        <v>4</v>
      </c>
      <c r="H310" s="32" t="s">
        <v>646</v>
      </c>
    </row>
    <row r="311" customFormat="false" ht="15" hidden="false" customHeight="false" outlineLevel="0" collapsed="false">
      <c r="A311" s="32"/>
      <c r="B311" s="32" t="s">
        <v>647</v>
      </c>
      <c r="C311" s="32" t="s">
        <v>147</v>
      </c>
      <c r="D311" s="32" t="n">
        <v>0</v>
      </c>
      <c r="E311" s="32" t="s">
        <v>648</v>
      </c>
      <c r="F311" s="32" t="s">
        <v>648</v>
      </c>
      <c r="G311" s="32" t="s">
        <v>648</v>
      </c>
      <c r="H311" s="32" t="s">
        <v>649</v>
      </c>
    </row>
    <row r="312" customFormat="false" ht="15" hidden="false" customHeight="false" outlineLevel="0" collapsed="false">
      <c r="A312" s="32"/>
      <c r="B312" s="32" t="s">
        <v>650</v>
      </c>
      <c r="C312" s="32" t="s">
        <v>147</v>
      </c>
      <c r="D312" s="32" t="n">
        <v>0</v>
      </c>
      <c r="E312" s="32" t="s">
        <v>250</v>
      </c>
      <c r="F312" s="32" t="s">
        <v>250</v>
      </c>
      <c r="G312" s="32" t="s">
        <v>250</v>
      </c>
      <c r="H312" s="32" t="s">
        <v>651</v>
      </c>
    </row>
    <row r="313" customFormat="false" ht="15" hidden="false" customHeight="false" outlineLevel="0" collapsed="false">
      <c r="A313" s="32"/>
      <c r="B313" s="32" t="s">
        <v>652</v>
      </c>
      <c r="C313" s="32" t="s">
        <v>147</v>
      </c>
      <c r="D313" s="32" t="n">
        <v>0</v>
      </c>
      <c r="E313" s="32" t="n">
        <v>4</v>
      </c>
      <c r="F313" s="32" t="n">
        <v>4</v>
      </c>
      <c r="G313" s="32" t="n">
        <v>4</v>
      </c>
      <c r="H313" s="32" t="s">
        <v>653</v>
      </c>
    </row>
    <row r="314" customFormat="false" ht="15" hidden="false" customHeight="false" outlineLevel="0" collapsed="false">
      <c r="A314" s="32"/>
      <c r="B314" s="32" t="s">
        <v>654</v>
      </c>
      <c r="C314" s="32" t="s">
        <v>147</v>
      </c>
      <c r="D314" s="32" t="n">
        <v>0</v>
      </c>
      <c r="E314" s="32" t="s">
        <v>250</v>
      </c>
      <c r="F314" s="32" t="s">
        <v>250</v>
      </c>
      <c r="G314" s="32" t="s">
        <v>250</v>
      </c>
      <c r="H314" s="32" t="s">
        <v>655</v>
      </c>
    </row>
    <row r="315" customFormat="false" ht="15" hidden="false" customHeight="false" outlineLevel="0" collapsed="false">
      <c r="A315" s="32"/>
      <c r="B315" s="32" t="s">
        <v>656</v>
      </c>
      <c r="C315" s="32" t="s">
        <v>147</v>
      </c>
      <c r="D315" s="32" t="n">
        <v>0</v>
      </c>
      <c r="E315" s="32" t="s">
        <v>657</v>
      </c>
      <c r="F315" s="32" t="s">
        <v>657</v>
      </c>
      <c r="G315" s="32" t="s">
        <v>657</v>
      </c>
      <c r="H315" s="32" t="s">
        <v>658</v>
      </c>
    </row>
    <row r="316" customFormat="false" ht="15" hidden="false" customHeight="false" outlineLevel="0" collapsed="false">
      <c r="A316" s="32"/>
      <c r="B316" s="32" t="s">
        <v>659</v>
      </c>
      <c r="C316" s="32" t="s">
        <v>147</v>
      </c>
      <c r="D316" s="32" t="n">
        <v>0</v>
      </c>
      <c r="E316" s="32" t="s">
        <v>657</v>
      </c>
      <c r="F316" s="32" t="s">
        <v>657</v>
      </c>
      <c r="G316" s="32" t="s">
        <v>657</v>
      </c>
      <c r="H316" s="32" t="s">
        <v>660</v>
      </c>
    </row>
    <row r="317" customFormat="false" ht="15" hidden="false" customHeight="false" outlineLevel="0" collapsed="false">
      <c r="A317" s="32"/>
      <c r="B317" s="32" t="s">
        <v>661</v>
      </c>
      <c r="C317" s="32" t="s">
        <v>147</v>
      </c>
      <c r="D317" s="32" t="n">
        <v>0</v>
      </c>
      <c r="E317" s="32" t="s">
        <v>250</v>
      </c>
      <c r="F317" s="32" t="s">
        <v>250</v>
      </c>
      <c r="G317" s="32" t="s">
        <v>250</v>
      </c>
      <c r="H317" s="32" t="s">
        <v>662</v>
      </c>
    </row>
    <row r="318" customFormat="false" ht="15" hidden="false" customHeight="false" outlineLevel="0" collapsed="false">
      <c r="A318" s="32"/>
      <c r="B318" s="32" t="s">
        <v>663</v>
      </c>
      <c r="C318" s="32" t="s">
        <v>147</v>
      </c>
      <c r="D318" s="32" t="n">
        <v>0</v>
      </c>
      <c r="E318" s="32" t="s">
        <v>250</v>
      </c>
      <c r="F318" s="32" t="s">
        <v>250</v>
      </c>
      <c r="G318" s="32" t="s">
        <v>250</v>
      </c>
      <c r="H318" s="32" t="s">
        <v>664</v>
      </c>
    </row>
    <row r="319" customFormat="false" ht="15" hidden="false" customHeight="false" outlineLevel="0" collapsed="false">
      <c r="A319" s="32"/>
      <c r="B319" s="32" t="s">
        <v>665</v>
      </c>
      <c r="C319" s="32" t="s">
        <v>147</v>
      </c>
      <c r="D319" s="32" t="n">
        <v>0</v>
      </c>
      <c r="E319" s="32" t="s">
        <v>666</v>
      </c>
      <c r="F319" s="32" t="s">
        <v>666</v>
      </c>
      <c r="G319" s="32" t="s">
        <v>666</v>
      </c>
      <c r="H319" s="32" t="s">
        <v>667</v>
      </c>
    </row>
    <row r="320" customFormat="false" ht="15" hidden="false" customHeight="false" outlineLevel="0" collapsed="false">
      <c r="A320" s="32"/>
      <c r="B320" s="32" t="s">
        <v>668</v>
      </c>
      <c r="C320" s="32" t="s">
        <v>147</v>
      </c>
      <c r="D320" s="32" t="n">
        <v>0</v>
      </c>
      <c r="E320" s="32" t="s">
        <v>250</v>
      </c>
      <c r="F320" s="32" t="s">
        <v>250</v>
      </c>
      <c r="G320" s="32" t="s">
        <v>250</v>
      </c>
      <c r="H320" s="32" t="s">
        <v>669</v>
      </c>
    </row>
    <row r="321" customFormat="false" ht="15" hidden="false" customHeight="false" outlineLevel="0" collapsed="false">
      <c r="A321" s="32"/>
      <c r="B321" s="32" t="s">
        <v>670</v>
      </c>
    </row>
    <row r="322" customFormat="false" ht="15" hidden="false" customHeight="false" outlineLevel="0" collapsed="false">
      <c r="A322" s="32" t="s">
        <v>159</v>
      </c>
      <c r="B322" s="32" t="s">
        <v>671</v>
      </c>
      <c r="C322" s="32" t="s">
        <v>147</v>
      </c>
      <c r="D322" s="32" t="n">
        <v>0</v>
      </c>
      <c r="E322" s="32" t="s">
        <v>672</v>
      </c>
      <c r="F322" s="32" t="s">
        <v>672</v>
      </c>
      <c r="G322" s="32" t="s">
        <v>673</v>
      </c>
      <c r="H322" s="32" t="s">
        <v>674</v>
      </c>
    </row>
    <row r="323" customFormat="false" ht="15" hidden="false" customHeight="false" outlineLevel="0" collapsed="false">
      <c r="A323" s="32"/>
      <c r="B323" s="32" t="s">
        <v>675</v>
      </c>
      <c r="C323" s="32" t="s">
        <v>147</v>
      </c>
      <c r="D323" s="32" t="n">
        <v>0</v>
      </c>
      <c r="E323" s="32" t="s">
        <v>676</v>
      </c>
      <c r="F323" s="32" t="s">
        <v>676</v>
      </c>
      <c r="G323" s="32" t="s">
        <v>676</v>
      </c>
      <c r="H323" s="32" t="s">
        <v>677</v>
      </c>
    </row>
    <row r="324" customFormat="false" ht="15" hidden="false" customHeight="false" outlineLevel="0" collapsed="false">
      <c r="A324" s="32"/>
      <c r="B324" s="32" t="s">
        <v>678</v>
      </c>
      <c r="C324" s="32" t="s">
        <v>147</v>
      </c>
      <c r="D324" s="32" t="n">
        <v>0</v>
      </c>
      <c r="E324" s="32" t="s">
        <v>679</v>
      </c>
      <c r="F324" s="32" t="s">
        <v>679</v>
      </c>
      <c r="G324" s="32" t="s">
        <v>679</v>
      </c>
      <c r="H324" s="32" t="s">
        <v>680</v>
      </c>
    </row>
    <row r="325" customFormat="false" ht="15" hidden="false" customHeight="false" outlineLevel="0" collapsed="false">
      <c r="A325" s="32"/>
      <c r="B325" s="32" t="s">
        <v>681</v>
      </c>
      <c r="C325" s="32" t="s">
        <v>147</v>
      </c>
      <c r="D325" s="32" t="n">
        <v>0</v>
      </c>
      <c r="E325" s="32" t="s">
        <v>250</v>
      </c>
      <c r="F325" s="32" t="s">
        <v>250</v>
      </c>
      <c r="G325" s="32" t="s">
        <v>250</v>
      </c>
      <c r="H325" s="32" t="s">
        <v>682</v>
      </c>
    </row>
    <row r="326" customFormat="false" ht="15" hidden="false" customHeight="false" outlineLevel="0" collapsed="false">
      <c r="A326" s="32"/>
      <c r="B326" s="32" t="s">
        <v>683</v>
      </c>
      <c r="C326" s="32" t="s">
        <v>147</v>
      </c>
      <c r="D326" s="32" t="n">
        <v>0</v>
      </c>
      <c r="E326" s="32" t="s">
        <v>250</v>
      </c>
      <c r="F326" s="32" t="s">
        <v>250</v>
      </c>
      <c r="G326" s="32" t="s">
        <v>250</v>
      </c>
      <c r="H326" s="32" t="s">
        <v>684</v>
      </c>
    </row>
    <row r="327" customFormat="false" ht="15" hidden="false" customHeight="false" outlineLevel="0" collapsed="false">
      <c r="A327" s="32" t="s">
        <v>159</v>
      </c>
      <c r="B327" s="32" t="s">
        <v>685</v>
      </c>
      <c r="C327" s="32" t="s">
        <v>147</v>
      </c>
      <c r="D327" s="32" t="n">
        <v>0</v>
      </c>
      <c r="E327" s="32" t="s">
        <v>686</v>
      </c>
      <c r="F327" s="32" t="s">
        <v>686</v>
      </c>
      <c r="G327" s="32" t="s">
        <v>687</v>
      </c>
      <c r="H327" s="32" t="s">
        <v>688</v>
      </c>
    </row>
    <row r="328" customFormat="false" ht="15" hidden="false" customHeight="false" outlineLevel="0" collapsed="false">
      <c r="A328" s="32"/>
      <c r="B328" s="32" t="s">
        <v>689</v>
      </c>
      <c r="C328" s="32" t="s">
        <v>147</v>
      </c>
      <c r="D328" s="32" t="n">
        <v>0</v>
      </c>
      <c r="E328" s="32" t="n">
        <v>500000</v>
      </c>
      <c r="F328" s="32" t="n">
        <v>500000</v>
      </c>
      <c r="G328" s="32" t="n">
        <v>500000</v>
      </c>
      <c r="H328" s="32" t="s">
        <v>690</v>
      </c>
    </row>
    <row r="329" customFormat="false" ht="15" hidden="false" customHeight="false" outlineLevel="0" collapsed="false">
      <c r="A329" s="32" t="s">
        <v>691</v>
      </c>
      <c r="B329" s="32" t="s">
        <v>692</v>
      </c>
      <c r="C329" s="32" t="s">
        <v>147</v>
      </c>
      <c r="D329" s="32" t="n">
        <v>0</v>
      </c>
      <c r="E329" s="32" t="s">
        <v>691</v>
      </c>
      <c r="F329" s="32" t="s">
        <v>691</v>
      </c>
      <c r="G329" s="32" t="s">
        <v>693</v>
      </c>
      <c r="H329" s="32" t="s">
        <v>694</v>
      </c>
    </row>
    <row r="330" customFormat="false" ht="15" hidden="false" customHeight="false" outlineLevel="0" collapsed="false">
      <c r="A330" s="32" t="s">
        <v>691</v>
      </c>
      <c r="B330" s="32" t="s">
        <v>695</v>
      </c>
      <c r="C330" s="32" t="s">
        <v>147</v>
      </c>
      <c r="D330" s="32" t="n">
        <v>0</v>
      </c>
      <c r="E330" s="32" t="s">
        <v>691</v>
      </c>
      <c r="F330" s="32" t="s">
        <v>691</v>
      </c>
      <c r="G330" s="32" t="n">
        <v>1</v>
      </c>
      <c r="H330" s="32" t="s">
        <v>696</v>
      </c>
    </row>
    <row r="331" customFormat="false" ht="15" hidden="false" customHeight="false" outlineLevel="0" collapsed="false">
      <c r="A331" s="32"/>
      <c r="B331" s="32" t="s">
        <v>697</v>
      </c>
      <c r="C331" s="32" t="s">
        <v>147</v>
      </c>
      <c r="D331" s="32" t="n">
        <v>0</v>
      </c>
      <c r="E331" s="32" t="s">
        <v>698</v>
      </c>
      <c r="F331" s="32" t="s">
        <v>698</v>
      </c>
      <c r="G331" s="32" t="s">
        <v>698</v>
      </c>
      <c r="H331" s="32" t="s">
        <v>699</v>
      </c>
    </row>
    <row r="332" customFormat="false" ht="15" hidden="false" customHeight="false" outlineLevel="0" collapsed="false">
      <c r="A332" s="32"/>
      <c r="B332" s="32" t="s">
        <v>700</v>
      </c>
      <c r="C332" s="32" t="s">
        <v>147</v>
      </c>
      <c r="D332" s="32" t="n">
        <v>0</v>
      </c>
      <c r="E332" s="32" t="n">
        <v>0.03</v>
      </c>
      <c r="F332" s="32" t="n">
        <v>0.03</v>
      </c>
      <c r="G332" s="32" t="n">
        <v>0.03</v>
      </c>
      <c r="H332" s="32" t="s">
        <v>701</v>
      </c>
    </row>
    <row r="333" customFormat="false" ht="15" hidden="false" customHeight="false" outlineLevel="0" collapsed="false">
      <c r="A333" s="32"/>
      <c r="B333" s="32" t="s">
        <v>702</v>
      </c>
    </row>
    <row r="334" customFormat="false" ht="15" hidden="false" customHeight="false" outlineLevel="0" collapsed="false">
      <c r="A334" s="32"/>
      <c r="B334" s="32" t="s">
        <v>703</v>
      </c>
      <c r="C334" s="32" t="s">
        <v>704</v>
      </c>
      <c r="D334" s="32" t="n">
        <v>0</v>
      </c>
      <c r="E334" s="32" t="n">
        <v>20</v>
      </c>
      <c r="F334" s="32" t="n">
        <v>20</v>
      </c>
      <c r="G334" s="32" t="n">
        <v>20</v>
      </c>
      <c r="H334" s="32" t="s">
        <v>705</v>
      </c>
    </row>
    <row r="335" customFormat="false" ht="15" hidden="false" customHeight="false" outlineLevel="0" collapsed="false">
      <c r="A335" s="32"/>
      <c r="B335" s="32" t="s">
        <v>706</v>
      </c>
      <c r="C335" s="32" t="s">
        <v>88</v>
      </c>
      <c r="D335" s="32" t="n">
        <v>0</v>
      </c>
      <c r="E335" s="32" t="n">
        <v>0.65</v>
      </c>
      <c r="F335" s="32" t="n">
        <v>0.65</v>
      </c>
      <c r="G335" s="32" t="n">
        <v>0.65</v>
      </c>
      <c r="H335" s="32" t="s">
        <v>707</v>
      </c>
    </row>
    <row r="336" customFormat="false" ht="15" hidden="false" customHeight="false" outlineLevel="0" collapsed="false">
      <c r="A336" s="32"/>
      <c r="B336" s="32" t="s">
        <v>708</v>
      </c>
      <c r="C336" s="32" t="s">
        <v>88</v>
      </c>
      <c r="D336" s="32" t="n">
        <v>0</v>
      </c>
      <c r="E336" s="32" t="n">
        <v>0.99</v>
      </c>
      <c r="F336" s="32" t="n">
        <v>0.99</v>
      </c>
      <c r="G336" s="32" t="n">
        <v>0.99</v>
      </c>
      <c r="H336" s="32" t="s">
        <v>709</v>
      </c>
    </row>
    <row r="337" customFormat="false" ht="15" hidden="false" customHeight="false" outlineLevel="0" collapsed="false">
      <c r="A337" s="32"/>
      <c r="B337" s="32" t="s">
        <v>710</v>
      </c>
      <c r="C337" s="32" t="s">
        <v>88</v>
      </c>
      <c r="D337" s="32" t="n">
        <v>0</v>
      </c>
      <c r="E337" s="32" t="n">
        <v>0.5</v>
      </c>
      <c r="F337" s="32" t="n">
        <v>0.5</v>
      </c>
      <c r="G337" s="32" t="n">
        <v>0.5</v>
      </c>
      <c r="H337" s="32" t="s">
        <v>711</v>
      </c>
    </row>
    <row r="338" customFormat="false" ht="15" hidden="false" customHeight="false" outlineLevel="0" collapsed="false">
      <c r="A338" s="32"/>
      <c r="B338" s="32" t="s">
        <v>712</v>
      </c>
      <c r="C338" s="32" t="s">
        <v>147</v>
      </c>
      <c r="D338" s="32" t="n">
        <v>0</v>
      </c>
      <c r="E338" s="32" t="s">
        <v>657</v>
      </c>
      <c r="F338" s="32" t="s">
        <v>657</v>
      </c>
      <c r="G338" s="32" t="s">
        <v>657</v>
      </c>
      <c r="H338" s="32" t="s">
        <v>713</v>
      </c>
    </row>
    <row r="339" customFormat="false" ht="15" hidden="false" customHeight="false" outlineLevel="0" collapsed="false">
      <c r="B339" s="32" t="s">
        <v>714</v>
      </c>
    </row>
    <row r="340" customFormat="false" ht="15" hidden="false" customHeight="false" outlineLevel="0" collapsed="false">
      <c r="B340" s="32" t="s">
        <v>715</v>
      </c>
      <c r="C340" s="32" t="s">
        <v>716</v>
      </c>
      <c r="D340" s="32" t="n">
        <v>0</v>
      </c>
      <c r="E340" s="32" t="s">
        <v>717</v>
      </c>
      <c r="F340" s="32" t="s">
        <v>717</v>
      </c>
      <c r="G340" s="32" t="s">
        <v>478</v>
      </c>
      <c r="H340" s="32" t="s">
        <v>718</v>
      </c>
    </row>
    <row r="341" customFormat="false" ht="15" hidden="false" customHeight="false" outlineLevel="0" collapsed="false">
      <c r="A341" s="32"/>
      <c r="B341" s="32" t="s">
        <v>719</v>
      </c>
    </row>
    <row r="342" customFormat="false" ht="15" hidden="false" customHeight="false" outlineLevel="0" collapsed="false">
      <c r="A342" s="32"/>
      <c r="B342" s="32" t="s">
        <v>720</v>
      </c>
      <c r="C342" s="32" t="s">
        <v>147</v>
      </c>
      <c r="D342" s="32" t="n">
        <v>0</v>
      </c>
      <c r="E342" s="32" t="s">
        <v>429</v>
      </c>
      <c r="F342" s="32" t="s">
        <v>429</v>
      </c>
      <c r="G342" s="32" t="s">
        <v>429</v>
      </c>
      <c r="H342" s="32" t="s">
        <v>721</v>
      </c>
    </row>
    <row r="343" customFormat="false" ht="15" hidden="false" customHeight="false" outlineLevel="0" collapsed="false">
      <c r="A343" s="32"/>
      <c r="B343" s="32" t="s">
        <v>722</v>
      </c>
      <c r="D343" s="32" t="n">
        <v>0</v>
      </c>
      <c r="E343" s="32" t="n">
        <v>1</v>
      </c>
      <c r="F343" s="32" t="n">
        <v>1</v>
      </c>
      <c r="G343" s="32" t="n">
        <v>1</v>
      </c>
      <c r="H343" s="32" t="s">
        <v>723</v>
      </c>
    </row>
    <row r="344" customFormat="false" ht="15" hidden="false" customHeight="false" outlineLevel="0" collapsed="false">
      <c r="A344" s="32"/>
      <c r="B344" s="32" t="s">
        <v>724</v>
      </c>
      <c r="C344" s="32" t="s">
        <v>161</v>
      </c>
      <c r="D344" s="32" t="n">
        <v>0</v>
      </c>
      <c r="E344" s="32" t="n">
        <v>2030</v>
      </c>
      <c r="F344" s="32" t="n">
        <v>2030</v>
      </c>
      <c r="G344" s="32" t="n">
        <v>2030</v>
      </c>
      <c r="H344" s="32" t="s">
        <v>725</v>
      </c>
      <c r="I344" s="32" t="s">
        <v>140</v>
      </c>
    </row>
    <row r="345" customFormat="false" ht="15" hidden="false" customHeight="false" outlineLevel="0" collapsed="false">
      <c r="A345" s="32"/>
      <c r="B345" s="32" t="s">
        <v>726</v>
      </c>
      <c r="C345" s="32" t="s">
        <v>147</v>
      </c>
      <c r="D345" s="32" t="n">
        <v>0</v>
      </c>
      <c r="E345" s="32" t="s">
        <v>727</v>
      </c>
      <c r="F345" s="32" t="s">
        <v>727</v>
      </c>
      <c r="G345" s="32" t="s">
        <v>727</v>
      </c>
      <c r="H345" s="32" t="s">
        <v>728</v>
      </c>
    </row>
    <row r="346" customFormat="false" ht="15" hidden="false" customHeight="false" outlineLevel="0" collapsed="false">
      <c r="A346" s="32"/>
      <c r="B346" s="32" t="s">
        <v>729</v>
      </c>
      <c r="C346" s="32" t="s">
        <v>730</v>
      </c>
      <c r="D346" s="32" t="n">
        <v>0</v>
      </c>
      <c r="E346" s="32" t="n">
        <v>2</v>
      </c>
      <c r="F346" s="32" t="n">
        <v>2</v>
      </c>
      <c r="G346" s="32" t="n">
        <v>2</v>
      </c>
      <c r="H346" s="32" t="s">
        <v>731</v>
      </c>
    </row>
    <row r="347" customFormat="false" ht="15" hidden="false" customHeight="false" outlineLevel="0" collapsed="false">
      <c r="A347" s="32"/>
      <c r="B347" s="32" t="s">
        <v>732</v>
      </c>
      <c r="C347" s="32" t="s">
        <v>730</v>
      </c>
      <c r="D347" s="32" t="n">
        <v>0</v>
      </c>
      <c r="E347" s="32" t="n">
        <v>2</v>
      </c>
      <c r="F347" s="32" t="n">
        <v>2</v>
      </c>
      <c r="G347" s="32" t="n">
        <v>2</v>
      </c>
      <c r="H347" s="32" t="s">
        <v>733</v>
      </c>
    </row>
    <row r="348" customFormat="false" ht="15" hidden="false" customHeight="false" outlineLevel="0" collapsed="false">
      <c r="A348" s="32"/>
      <c r="B348" s="32" t="s">
        <v>734</v>
      </c>
      <c r="D348" s="32" t="n">
        <v>0</v>
      </c>
      <c r="E348" s="32" t="n">
        <v>0.01</v>
      </c>
      <c r="F348" s="32" t="n">
        <v>0.01</v>
      </c>
      <c r="G348" s="32" t="n">
        <v>0.01</v>
      </c>
      <c r="H348" s="32" t="s">
        <v>735</v>
      </c>
    </row>
    <row r="349" customFormat="false" ht="15" hidden="false" customHeight="false" outlineLevel="0" collapsed="false">
      <c r="A349" s="32"/>
      <c r="B349" s="32" t="s">
        <v>736</v>
      </c>
      <c r="C349" s="32" t="s">
        <v>147</v>
      </c>
      <c r="D349" s="32" t="n">
        <v>0</v>
      </c>
      <c r="E349" s="32" t="s">
        <v>737</v>
      </c>
      <c r="F349" s="32" t="s">
        <v>737</v>
      </c>
      <c r="G349" s="32" t="s">
        <v>737</v>
      </c>
      <c r="H349" s="32" t="s">
        <v>738</v>
      </c>
    </row>
    <row r="350" customFormat="false" ht="15" hidden="false" customHeight="false" outlineLevel="0" collapsed="false">
      <c r="A350" s="32"/>
      <c r="B350" s="32" t="s">
        <v>739</v>
      </c>
      <c r="D350" s="32" t="n">
        <v>0</v>
      </c>
      <c r="E350" s="32" t="s">
        <v>657</v>
      </c>
      <c r="F350" s="32" t="s">
        <v>657</v>
      </c>
      <c r="G350" s="32" t="s">
        <v>657</v>
      </c>
      <c r="H350" s="32" t="s">
        <v>740</v>
      </c>
    </row>
    <row r="351" customFormat="false" ht="15" hidden="false" customHeight="false" outlineLevel="0" collapsed="false">
      <c r="A351" s="32"/>
      <c r="B351" s="32" t="s">
        <v>741</v>
      </c>
      <c r="D351" s="32" t="n">
        <v>0</v>
      </c>
      <c r="E351" s="32" t="n">
        <v>0.01</v>
      </c>
      <c r="F351" s="32" t="n">
        <v>0.01</v>
      </c>
      <c r="G351" s="32" t="n">
        <v>0.01</v>
      </c>
      <c r="H351" s="32" t="s">
        <v>742</v>
      </c>
    </row>
    <row r="352" customFormat="false" ht="15" hidden="false" customHeight="false" outlineLevel="0" collapsed="false">
      <c r="A352" s="32"/>
      <c r="B352" s="32" t="s">
        <v>743</v>
      </c>
    </row>
    <row r="353" customFormat="false" ht="15" hidden="false" customHeight="false" outlineLevel="0" collapsed="false">
      <c r="A353" s="32"/>
      <c r="B353" s="32" t="s">
        <v>744</v>
      </c>
      <c r="C353" s="32" t="s">
        <v>147</v>
      </c>
      <c r="D353" s="32" t="n">
        <v>0</v>
      </c>
      <c r="E353" s="32" t="s">
        <v>250</v>
      </c>
      <c r="F353" s="32" t="s">
        <v>250</v>
      </c>
      <c r="G353" s="32" t="s">
        <v>250</v>
      </c>
      <c r="H353" s="32" t="s">
        <v>745</v>
      </c>
    </row>
    <row r="354" customFormat="false" ht="15" hidden="false" customHeight="false" outlineLevel="0" collapsed="false">
      <c r="A354" s="32"/>
      <c r="B354" s="32" t="s">
        <v>746</v>
      </c>
      <c r="C354" s="32" t="s">
        <v>747</v>
      </c>
      <c r="D354" s="32" t="n">
        <v>0</v>
      </c>
      <c r="E354" s="32" t="n">
        <v>0</v>
      </c>
      <c r="F354" s="32" t="n">
        <v>0</v>
      </c>
      <c r="G354" s="32" t="n">
        <v>0</v>
      </c>
      <c r="H354" s="32" t="s">
        <v>748</v>
      </c>
    </row>
    <row r="355" customFormat="false" ht="15" hidden="false" customHeight="false" outlineLevel="0" collapsed="false">
      <c r="A355" s="32"/>
      <c r="B355" s="32" t="s">
        <v>749</v>
      </c>
      <c r="C355" s="32" t="s">
        <v>747</v>
      </c>
      <c r="D355" s="32" t="n">
        <v>0</v>
      </c>
      <c r="E355" s="32" t="n">
        <v>0</v>
      </c>
      <c r="F355" s="32" t="n">
        <v>0</v>
      </c>
      <c r="G355" s="32" t="n">
        <v>0</v>
      </c>
      <c r="H355" s="32" t="s">
        <v>750</v>
      </c>
    </row>
    <row r="356" customFormat="false" ht="15" hidden="false" customHeight="false" outlineLevel="0" collapsed="false">
      <c r="A356" s="32"/>
      <c r="B356" s="32" t="s">
        <v>751</v>
      </c>
      <c r="C356" s="32" t="s">
        <v>752</v>
      </c>
      <c r="D356" s="32" t="n">
        <v>0</v>
      </c>
      <c r="E356" s="32" t="n">
        <v>10</v>
      </c>
      <c r="F356" s="32" t="n">
        <v>10</v>
      </c>
      <c r="G356" s="32" t="n">
        <v>10</v>
      </c>
      <c r="H356" s="32" t="s">
        <v>753</v>
      </c>
    </row>
    <row r="357" customFormat="false" ht="15" hidden="false" customHeight="false" outlineLevel="0" collapsed="false">
      <c r="A357" s="32"/>
      <c r="B357" s="32" t="s">
        <v>754</v>
      </c>
      <c r="C357" s="32" t="s">
        <v>147</v>
      </c>
      <c r="D357" s="32" t="n">
        <v>0</v>
      </c>
      <c r="E357" s="32" t="s">
        <v>250</v>
      </c>
      <c r="F357" s="32" t="s">
        <v>250</v>
      </c>
      <c r="G357" s="32" t="s">
        <v>250</v>
      </c>
      <c r="H357" s="32" t="s">
        <v>755</v>
      </c>
    </row>
    <row r="358" customFormat="false" ht="15" hidden="false" customHeight="false" outlineLevel="0" collapsed="false">
      <c r="A358" s="32"/>
      <c r="B358" s="32" t="s">
        <v>756</v>
      </c>
    </row>
    <row r="359" customFormat="false" ht="15" hidden="false" customHeight="false" outlineLevel="0" collapsed="false">
      <c r="A359" s="32"/>
      <c r="B359" s="32" t="s">
        <v>757</v>
      </c>
      <c r="D359" s="32" t="n">
        <v>0</v>
      </c>
      <c r="E359" s="32" t="n">
        <v>0.05</v>
      </c>
      <c r="F359" s="32" t="n">
        <v>0.05</v>
      </c>
      <c r="G359" s="32" t="n">
        <v>0.05</v>
      </c>
      <c r="H359" s="32" t="s">
        <v>758</v>
      </c>
    </row>
    <row r="360" customFormat="false" ht="15" hidden="false" customHeight="false" outlineLevel="0" collapsed="false">
      <c r="A360" s="32"/>
      <c r="B360" s="32" t="s">
        <v>759</v>
      </c>
      <c r="D360" s="32" t="n">
        <v>0</v>
      </c>
      <c r="E360" s="32" t="n">
        <v>0.02</v>
      </c>
      <c r="F360" s="32" t="n">
        <v>0.02</v>
      </c>
      <c r="G360" s="32" t="n">
        <v>0.02</v>
      </c>
      <c r="H360" s="32" t="s">
        <v>760</v>
      </c>
    </row>
    <row r="361" customFormat="false" ht="15" hidden="false" customHeight="false" outlineLevel="0" collapsed="false">
      <c r="A361" s="32"/>
      <c r="B361" s="32" t="s">
        <v>761</v>
      </c>
      <c r="D361" s="32" t="n">
        <v>0</v>
      </c>
      <c r="E361" s="32" t="n">
        <v>0.05</v>
      </c>
      <c r="F361" s="32" t="n">
        <v>0.05</v>
      </c>
      <c r="G361" s="32" t="n">
        <v>0.05</v>
      </c>
      <c r="H361" s="32" t="s">
        <v>762</v>
      </c>
    </row>
    <row r="362" customFormat="false" ht="15" hidden="false" customHeight="false" outlineLevel="0" collapsed="false">
      <c r="A362" s="32"/>
      <c r="B362" s="32" t="s">
        <v>763</v>
      </c>
      <c r="C362" s="32" t="s">
        <v>147</v>
      </c>
      <c r="D362" s="32" t="n">
        <v>0</v>
      </c>
      <c r="E362" s="32" t="s">
        <v>764</v>
      </c>
      <c r="F362" s="32" t="s">
        <v>764</v>
      </c>
      <c r="G362" s="32" t="s">
        <v>764</v>
      </c>
      <c r="H362" s="32" t="s">
        <v>765</v>
      </c>
    </row>
    <row r="363" customFormat="false" ht="15" hidden="false" customHeight="false" outlineLevel="0" collapsed="false">
      <c r="A363" s="32"/>
      <c r="B363" s="32" t="s">
        <v>766</v>
      </c>
    </row>
    <row r="364" customFormat="false" ht="15" hidden="false" customHeight="false" outlineLevel="0" collapsed="false">
      <c r="A364" s="32"/>
      <c r="B364" s="32" t="s">
        <v>767</v>
      </c>
      <c r="D364" s="32" t="n">
        <v>0</v>
      </c>
      <c r="E364" s="32" t="s">
        <v>429</v>
      </c>
      <c r="F364" s="32" t="s">
        <v>429</v>
      </c>
      <c r="G364" s="32" t="s">
        <v>429</v>
      </c>
      <c r="H364" s="32" t="s">
        <v>768</v>
      </c>
    </row>
    <row r="365" customFormat="false" ht="15" hidden="false" customHeight="false" outlineLevel="0" collapsed="false">
      <c r="A365" s="32" t="s">
        <v>159</v>
      </c>
      <c r="B365" s="32" t="s">
        <v>769</v>
      </c>
      <c r="D365" s="32" t="n">
        <v>0</v>
      </c>
      <c r="E365" s="32" t="s">
        <v>770</v>
      </c>
      <c r="F365" s="32" t="s">
        <v>770</v>
      </c>
      <c r="G365" s="32" t="s">
        <v>771</v>
      </c>
      <c r="H365" s="32" t="s">
        <v>772</v>
      </c>
    </row>
    <row r="366" customFormat="false" ht="15" hidden="false" customHeight="false" outlineLevel="0" collapsed="false">
      <c r="A366" s="32"/>
      <c r="B366" s="32" t="s">
        <v>773</v>
      </c>
      <c r="D366" s="32" t="n">
        <v>0</v>
      </c>
      <c r="E366" s="32" t="n">
        <v>0.075</v>
      </c>
      <c r="F366" s="32" t="n">
        <v>0.075</v>
      </c>
      <c r="G366" s="32" t="n">
        <v>0.075</v>
      </c>
      <c r="H366" s="32" t="s">
        <v>774</v>
      </c>
    </row>
    <row r="367" customFormat="false" ht="15" hidden="false" customHeight="false" outlineLevel="0" collapsed="false">
      <c r="A367" s="32"/>
      <c r="B367" s="32" t="s">
        <v>775</v>
      </c>
      <c r="D367" s="32" t="n">
        <v>0</v>
      </c>
      <c r="E367" s="32" t="s">
        <v>274</v>
      </c>
      <c r="F367" s="32" t="s">
        <v>274</v>
      </c>
      <c r="G367" s="32" t="s">
        <v>274</v>
      </c>
      <c r="H367" s="32" t="s">
        <v>776</v>
      </c>
    </row>
    <row r="368" customFormat="false" ht="15" hidden="false" customHeight="false" outlineLevel="0" collapsed="false">
      <c r="A368" s="32"/>
      <c r="B368" s="32" t="s">
        <v>777</v>
      </c>
      <c r="D368" s="32" t="n">
        <v>0</v>
      </c>
      <c r="E368" s="32" t="s">
        <v>429</v>
      </c>
      <c r="F368" s="32" t="s">
        <v>429</v>
      </c>
      <c r="G368" s="32" t="s">
        <v>429</v>
      </c>
      <c r="H368" s="32" t="s">
        <v>778</v>
      </c>
    </row>
    <row r="369" customFormat="false" ht="15" hidden="false" customHeight="false" outlineLevel="0" collapsed="false">
      <c r="A369" s="32"/>
      <c r="B369" s="32" t="s">
        <v>779</v>
      </c>
      <c r="D369" s="32" t="n">
        <v>0</v>
      </c>
      <c r="E369" s="32" t="s">
        <v>430</v>
      </c>
      <c r="F369" s="32" t="s">
        <v>430</v>
      </c>
      <c r="G369" s="32" t="s">
        <v>430</v>
      </c>
      <c r="H369" s="32" t="s">
        <v>780</v>
      </c>
    </row>
    <row r="370" customFormat="false" ht="15" hidden="false" customHeight="false" outlineLevel="0" collapsed="false">
      <c r="A370" s="32"/>
      <c r="B370" s="32" t="s">
        <v>781</v>
      </c>
      <c r="D370" s="32" t="n">
        <v>0</v>
      </c>
      <c r="E370" s="32" t="n">
        <v>0</v>
      </c>
      <c r="F370" s="32" t="n">
        <v>0</v>
      </c>
      <c r="G370" s="32" t="n">
        <v>0</v>
      </c>
      <c r="H370" s="32" t="s">
        <v>782</v>
      </c>
    </row>
    <row r="371" customFormat="false" ht="15" hidden="false" customHeight="false" outlineLevel="0" collapsed="false">
      <c r="A371" s="32"/>
      <c r="B371" s="32" t="s">
        <v>783</v>
      </c>
      <c r="D371" s="32" t="n">
        <v>0</v>
      </c>
      <c r="E371" s="32" t="n">
        <v>0</v>
      </c>
      <c r="F371" s="32" t="n">
        <v>0</v>
      </c>
      <c r="G371" s="32" t="n">
        <v>0</v>
      </c>
      <c r="H371" s="32" t="s">
        <v>784</v>
      </c>
    </row>
    <row r="372" customFormat="false" ht="15" hidden="false" customHeight="false" outlineLevel="0" collapsed="false">
      <c r="A372" s="32"/>
      <c r="B372" s="32" t="s">
        <v>785</v>
      </c>
      <c r="D372" s="32" t="n">
        <v>0</v>
      </c>
      <c r="E372" s="32" t="n">
        <v>0.9</v>
      </c>
      <c r="F372" s="32" t="n">
        <v>0.9</v>
      </c>
      <c r="G372" s="32" t="n">
        <v>0.9</v>
      </c>
      <c r="H372" s="32" t="s">
        <v>786</v>
      </c>
    </row>
    <row r="373" customFormat="false" ht="15" hidden="false" customHeight="false" outlineLevel="0" collapsed="false">
      <c r="A373" s="32"/>
      <c r="B373" s="32" t="s">
        <v>787</v>
      </c>
      <c r="D373" s="32" t="n">
        <v>0</v>
      </c>
      <c r="E373" s="32" t="n">
        <v>0.9</v>
      </c>
      <c r="F373" s="32" t="n">
        <v>0.9</v>
      </c>
      <c r="G373" s="32" t="n">
        <v>0.9</v>
      </c>
      <c r="H373" s="32" t="s">
        <v>788</v>
      </c>
    </row>
    <row r="374" customFormat="false" ht="15" hidden="false" customHeight="false" outlineLevel="0" collapsed="false">
      <c r="A374" s="32"/>
      <c r="B374" s="32" t="s">
        <v>789</v>
      </c>
      <c r="D374" s="32" t="n">
        <v>0</v>
      </c>
      <c r="E374" s="32" t="n">
        <v>1</v>
      </c>
      <c r="F374" s="32" t="n">
        <v>1</v>
      </c>
      <c r="G374" s="32" t="n">
        <v>1</v>
      </c>
      <c r="H374" s="32" t="s">
        <v>790</v>
      </c>
    </row>
    <row r="375" customFormat="false" ht="15" hidden="false" customHeight="false" outlineLevel="0" collapsed="false">
      <c r="A375" s="32"/>
      <c r="B375" s="32" t="s">
        <v>791</v>
      </c>
      <c r="D375" s="32" t="n">
        <v>0</v>
      </c>
      <c r="E375" s="32" t="n">
        <v>0.1</v>
      </c>
      <c r="F375" s="32" t="n">
        <v>0.1</v>
      </c>
      <c r="G375" s="32" t="n">
        <v>0.1</v>
      </c>
      <c r="H375" s="32" t="s">
        <v>792</v>
      </c>
    </row>
    <row r="376" customFormat="false" ht="15" hidden="false" customHeight="false" outlineLevel="0" collapsed="false">
      <c r="A376" s="32"/>
      <c r="B376" s="32" t="s">
        <v>793</v>
      </c>
      <c r="D376" s="32" t="n">
        <v>0</v>
      </c>
      <c r="E376" s="32" t="n">
        <v>0.01</v>
      </c>
      <c r="F376" s="32" t="n">
        <v>0.01</v>
      </c>
      <c r="G376" s="32" t="n">
        <v>0.01</v>
      </c>
      <c r="H376" s="32" t="s">
        <v>794</v>
      </c>
    </row>
    <row r="377" customFormat="false" ht="15" hidden="false" customHeight="false" outlineLevel="0" collapsed="false">
      <c r="A377" s="32"/>
      <c r="B377" s="32" t="s">
        <v>795</v>
      </c>
      <c r="D377" s="32" t="n">
        <v>0</v>
      </c>
      <c r="E377" s="32" t="n">
        <v>1</v>
      </c>
      <c r="F377" s="32" t="n">
        <v>1</v>
      </c>
      <c r="G377" s="32" t="n">
        <v>1</v>
      </c>
      <c r="H377" s="32" t="s">
        <v>796</v>
      </c>
    </row>
    <row r="378" customFormat="false" ht="15" hidden="false" customHeight="false" outlineLevel="0" collapsed="false">
      <c r="A378" s="32"/>
      <c r="B378" s="32" t="s">
        <v>797</v>
      </c>
      <c r="D378" s="32" t="n">
        <v>0</v>
      </c>
      <c r="E378" s="32" t="n">
        <v>0.8</v>
      </c>
      <c r="F378" s="32" t="n">
        <v>0.8</v>
      </c>
      <c r="G378" s="32" t="n">
        <v>0.8</v>
      </c>
      <c r="H378" s="32" t="s">
        <v>798</v>
      </c>
    </row>
    <row r="379" customFormat="false" ht="15" hidden="false" customHeight="false" outlineLevel="0" collapsed="false">
      <c r="A379" s="32"/>
      <c r="B379" s="32" t="s">
        <v>799</v>
      </c>
      <c r="D379" s="32" t="n">
        <v>0</v>
      </c>
      <c r="E379" s="32" t="s">
        <v>657</v>
      </c>
      <c r="F379" s="32" t="s">
        <v>657</v>
      </c>
      <c r="G379" s="32" t="s">
        <v>657</v>
      </c>
      <c r="H379" s="32" t="s">
        <v>800</v>
      </c>
    </row>
    <row r="380" customFormat="false" ht="15" hidden="false" customHeight="false" outlineLevel="0" collapsed="false">
      <c r="A380" s="32"/>
      <c r="B380" s="32" t="s">
        <v>801</v>
      </c>
      <c r="D380" s="32" t="n">
        <v>0</v>
      </c>
      <c r="E380" s="32" t="n">
        <v>0.1</v>
      </c>
      <c r="F380" s="32" t="n">
        <v>0.1</v>
      </c>
      <c r="G380" s="32" t="n">
        <v>0.1</v>
      </c>
      <c r="H380" s="32" t="s">
        <v>802</v>
      </c>
    </row>
    <row r="381" customFormat="false" ht="15" hidden="false" customHeight="false" outlineLevel="0" collapsed="false">
      <c r="A381" s="32"/>
      <c r="B381" s="32" t="s">
        <v>803</v>
      </c>
    </row>
    <row r="382" customFormat="false" ht="15" hidden="false" customHeight="false" outlineLevel="0" collapsed="false">
      <c r="A382" s="32"/>
      <c r="B382" s="32" t="s">
        <v>804</v>
      </c>
      <c r="D382" s="32" t="n">
        <v>0</v>
      </c>
      <c r="E382" s="32" t="n">
        <v>0</v>
      </c>
      <c r="F382" s="32" t="n">
        <v>0</v>
      </c>
      <c r="G382" s="32" t="n">
        <v>0</v>
      </c>
      <c r="H382" s="32" t="s">
        <v>805</v>
      </c>
    </row>
    <row r="383" customFormat="false" ht="15" hidden="false" customHeight="false" outlineLevel="0" collapsed="false">
      <c r="A383" s="32"/>
      <c r="B383" s="32" t="s">
        <v>806</v>
      </c>
      <c r="D383" s="32" t="n">
        <v>0</v>
      </c>
      <c r="E383" s="32" t="s">
        <v>430</v>
      </c>
      <c r="F383" s="32" t="s">
        <v>430</v>
      </c>
      <c r="G383" s="32" t="s">
        <v>430</v>
      </c>
      <c r="H383" s="32" t="s">
        <v>807</v>
      </c>
    </row>
    <row r="384" customFormat="false" ht="15" hidden="false" customHeight="false" outlineLevel="0" collapsed="false">
      <c r="A384" s="32"/>
      <c r="B384" s="32" t="s">
        <v>808</v>
      </c>
      <c r="D384" s="32" t="n">
        <v>0</v>
      </c>
      <c r="E384" s="32" t="s">
        <v>430</v>
      </c>
      <c r="F384" s="32" t="s">
        <v>430</v>
      </c>
      <c r="G384" s="32" t="s">
        <v>430</v>
      </c>
      <c r="H384" s="32" t="s">
        <v>809</v>
      </c>
    </row>
    <row r="385" customFormat="false" ht="15" hidden="false" customHeight="false" outlineLevel="0" collapsed="false">
      <c r="A385" s="32"/>
      <c r="B385" s="32" t="s">
        <v>810</v>
      </c>
      <c r="D385" s="32" t="n">
        <v>0</v>
      </c>
      <c r="E385" s="32" t="n">
        <v>2027</v>
      </c>
      <c r="F385" s="32" t="n">
        <v>2027</v>
      </c>
      <c r="G385" s="32" t="n">
        <v>2027</v>
      </c>
      <c r="H385" s="32" t="s">
        <v>811</v>
      </c>
    </row>
    <row r="386" customFormat="false" ht="15" hidden="false" customHeight="false" outlineLevel="0" collapsed="false">
      <c r="A386" s="32"/>
      <c r="B386" s="32" t="s">
        <v>812</v>
      </c>
      <c r="D386" s="32" t="n">
        <v>0</v>
      </c>
      <c r="E386" s="32" t="n">
        <v>5</v>
      </c>
      <c r="F386" s="32" t="n">
        <v>5</v>
      </c>
      <c r="G386" s="32" t="n">
        <v>5</v>
      </c>
      <c r="H386" s="32" t="s">
        <v>813</v>
      </c>
    </row>
    <row r="387" customFormat="false" ht="15" hidden="false" customHeight="false" outlineLevel="0" collapsed="false">
      <c r="A387" s="32"/>
      <c r="B387" s="32" t="s">
        <v>814</v>
      </c>
    </row>
    <row r="388" customFormat="false" ht="15" hidden="false" customHeight="false" outlineLevel="0" collapsed="false">
      <c r="A388" s="32"/>
      <c r="B388" s="32" t="s">
        <v>815</v>
      </c>
      <c r="C388" s="32" t="s">
        <v>88</v>
      </c>
      <c r="D388" s="32" t="n">
        <v>0</v>
      </c>
      <c r="E388" s="32" t="n">
        <v>1</v>
      </c>
      <c r="F388" s="32" t="n">
        <v>1</v>
      </c>
      <c r="G388" s="32" t="n">
        <v>1</v>
      </c>
      <c r="H388" s="32" t="s">
        <v>816</v>
      </c>
    </row>
    <row r="389" customFormat="false" ht="15" hidden="false" customHeight="false" outlineLevel="0" collapsed="false">
      <c r="A389" s="32"/>
      <c r="B389" s="32" t="s">
        <v>817</v>
      </c>
      <c r="D389" s="32" t="n">
        <v>0</v>
      </c>
      <c r="E389" s="32" t="n">
        <v>9</v>
      </c>
      <c r="F389" s="32" t="n">
        <v>9</v>
      </c>
      <c r="G389" s="32" t="n">
        <v>9</v>
      </c>
      <c r="H389" s="32" t="s">
        <v>818</v>
      </c>
    </row>
    <row r="390" customFormat="false" ht="15" hidden="false" customHeight="false" outlineLevel="0" collapsed="false">
      <c r="A390" s="32"/>
      <c r="B390" s="32" t="s">
        <v>819</v>
      </c>
      <c r="D390" s="32" t="n">
        <v>0</v>
      </c>
      <c r="E390" s="32" t="n">
        <v>2</v>
      </c>
      <c r="F390" s="32" t="n">
        <v>2</v>
      </c>
      <c r="G390" s="32" t="n">
        <v>2</v>
      </c>
      <c r="H390" s="32" t="s">
        <v>820</v>
      </c>
    </row>
    <row r="391" customFormat="false" ht="15" hidden="false" customHeight="false" outlineLevel="0" collapsed="false">
      <c r="A391" s="32"/>
      <c r="B391" s="32" t="s">
        <v>821</v>
      </c>
    </row>
    <row r="392" customFormat="false" ht="15" hidden="false" customHeight="false" outlineLevel="0" collapsed="false">
      <c r="A392" s="32"/>
      <c r="B392" s="32" t="s">
        <v>822</v>
      </c>
      <c r="D392" s="32" t="n">
        <v>0</v>
      </c>
      <c r="E392" s="32" t="n">
        <v>0.33</v>
      </c>
      <c r="F392" s="32" t="n">
        <v>0.33</v>
      </c>
      <c r="G392" s="32" t="n">
        <v>0.33</v>
      </c>
      <c r="H392" s="32" t="s">
        <v>823</v>
      </c>
    </row>
    <row r="393" customFormat="false" ht="15" hidden="false" customHeight="false" outlineLevel="0" collapsed="false">
      <c r="A393" s="32"/>
      <c r="B393" s="32" t="s">
        <v>824</v>
      </c>
      <c r="C393" s="32" t="s">
        <v>88</v>
      </c>
      <c r="D393" s="32" t="n">
        <v>0</v>
      </c>
      <c r="E393" s="32" t="n">
        <v>0.75</v>
      </c>
      <c r="F393" s="32" t="n">
        <v>0.75</v>
      </c>
      <c r="G393" s="32" t="n">
        <v>0.75</v>
      </c>
      <c r="H393" s="32" t="s">
        <v>825</v>
      </c>
    </row>
    <row r="394" customFormat="false" ht="15" hidden="false" customHeight="false" outlineLevel="0" collapsed="false">
      <c r="A394" s="32"/>
      <c r="B394" s="32" t="s">
        <v>826</v>
      </c>
      <c r="C394" s="32" t="s">
        <v>88</v>
      </c>
      <c r="D394" s="32" t="n">
        <v>0</v>
      </c>
      <c r="E394" s="32" t="n">
        <v>1</v>
      </c>
      <c r="F394" s="32" t="n">
        <v>1</v>
      </c>
      <c r="G394" s="32" t="n">
        <v>1</v>
      </c>
      <c r="H394" s="32" t="s">
        <v>827</v>
      </c>
    </row>
    <row r="395" customFormat="false" ht="15" hidden="false" customHeight="false" outlineLevel="0" collapsed="false">
      <c r="A395" s="32"/>
      <c r="B395" s="32" t="s">
        <v>828</v>
      </c>
      <c r="D395" s="32" t="n">
        <v>0</v>
      </c>
      <c r="E395" s="32" t="n">
        <v>1000</v>
      </c>
      <c r="F395" s="32" t="n">
        <v>1000</v>
      </c>
      <c r="G395" s="32" t="n">
        <v>1000</v>
      </c>
      <c r="H395" s="32" t="s">
        <v>829</v>
      </c>
    </row>
    <row r="396" customFormat="false" ht="15" hidden="false" customHeight="false" outlineLevel="0" collapsed="false">
      <c r="A396" s="32"/>
      <c r="B396" s="32" t="s">
        <v>830</v>
      </c>
    </row>
    <row r="397" customFormat="false" ht="15" hidden="false" customHeight="false" outlineLevel="0" collapsed="false">
      <c r="A397" s="32"/>
      <c r="B397" s="32" t="s">
        <v>831</v>
      </c>
      <c r="C397" s="32" t="s">
        <v>832</v>
      </c>
      <c r="D397" s="32" t="n">
        <v>0</v>
      </c>
      <c r="E397" s="32" t="s">
        <v>833</v>
      </c>
      <c r="F397" s="32" t="s">
        <v>833</v>
      </c>
      <c r="G397" s="32" t="s">
        <v>833</v>
      </c>
      <c r="H397" s="32" t="s">
        <v>834</v>
      </c>
    </row>
    <row r="398" customFormat="false" ht="15" hidden="false" customHeight="false" outlineLevel="0" collapsed="false">
      <c r="A398" s="32"/>
      <c r="B398" s="32" t="s">
        <v>835</v>
      </c>
      <c r="C398" s="32" t="s">
        <v>832</v>
      </c>
      <c r="D398" s="32" t="n">
        <v>0</v>
      </c>
      <c r="E398" s="32" t="s">
        <v>833</v>
      </c>
      <c r="F398" s="32" t="s">
        <v>833</v>
      </c>
      <c r="G398" s="32" t="s">
        <v>833</v>
      </c>
      <c r="H398" s="32" t="s">
        <v>836</v>
      </c>
    </row>
    <row r="399" customFormat="false" ht="15" hidden="false" customHeight="false" outlineLevel="0" collapsed="false">
      <c r="A399" s="32"/>
      <c r="B399" s="32" t="s">
        <v>837</v>
      </c>
      <c r="C399" s="32" t="s">
        <v>832</v>
      </c>
      <c r="D399" s="32" t="n">
        <v>0</v>
      </c>
      <c r="E399" s="32" t="s">
        <v>833</v>
      </c>
      <c r="F399" s="32" t="s">
        <v>833</v>
      </c>
      <c r="G399" s="32" t="s">
        <v>833</v>
      </c>
      <c r="H399" s="32" t="s">
        <v>838</v>
      </c>
    </row>
    <row r="400" customFormat="false" ht="15" hidden="false" customHeight="false" outlineLevel="0" collapsed="false">
      <c r="A400" s="32"/>
      <c r="B400" s="32" t="s">
        <v>839</v>
      </c>
      <c r="C400" s="32" t="s">
        <v>832</v>
      </c>
      <c r="D400" s="32" t="n">
        <v>0</v>
      </c>
      <c r="E400" s="32" t="s">
        <v>833</v>
      </c>
      <c r="F400" s="32" t="s">
        <v>833</v>
      </c>
      <c r="G400" s="32" t="s">
        <v>833</v>
      </c>
      <c r="H400" s="32" t="s">
        <v>840</v>
      </c>
    </row>
    <row r="401" customFormat="false" ht="15" hidden="false" customHeight="false" outlineLevel="0" collapsed="false">
      <c r="A401" s="32"/>
      <c r="B401" s="32" t="s">
        <v>841</v>
      </c>
      <c r="C401" s="32" t="s">
        <v>832</v>
      </c>
      <c r="D401" s="32" t="s">
        <v>657</v>
      </c>
      <c r="E401" s="32" t="s">
        <v>657</v>
      </c>
      <c r="F401" s="32" t="s">
        <v>657</v>
      </c>
      <c r="G401" s="32" t="s">
        <v>657</v>
      </c>
      <c r="H401" s="32" t="s">
        <v>842</v>
      </c>
    </row>
    <row r="402" customFormat="false" ht="15" hidden="false" customHeight="false" outlineLevel="0" collapsed="false">
      <c r="A402" s="32"/>
      <c r="B402" s="32" t="s">
        <v>843</v>
      </c>
      <c r="C402" s="32" t="s">
        <v>832</v>
      </c>
      <c r="D402" s="32" t="s">
        <v>657</v>
      </c>
      <c r="E402" s="32" t="s">
        <v>657</v>
      </c>
      <c r="F402" s="32" t="s">
        <v>657</v>
      </c>
      <c r="G402" s="32" t="s">
        <v>657</v>
      </c>
      <c r="H402" s="32" t="s">
        <v>844</v>
      </c>
    </row>
    <row r="403" customFormat="false" ht="15" hidden="false" customHeight="false" outlineLevel="0" collapsed="false">
      <c r="A403" s="32"/>
      <c r="B403" s="32" t="s">
        <v>845</v>
      </c>
      <c r="C403" s="32" t="s">
        <v>832</v>
      </c>
      <c r="D403" s="32" t="s">
        <v>833</v>
      </c>
      <c r="E403" s="32" t="s">
        <v>833</v>
      </c>
      <c r="F403" s="32" t="s">
        <v>833</v>
      </c>
      <c r="G403" s="32" t="s">
        <v>833</v>
      </c>
      <c r="H403" s="32" t="s">
        <v>846</v>
      </c>
    </row>
    <row r="404" customFormat="false" ht="15" hidden="false" customHeight="false" outlineLevel="0" collapsed="false">
      <c r="A404" s="32"/>
      <c r="B404" s="32" t="s">
        <v>847</v>
      </c>
      <c r="C404" s="32" t="s">
        <v>832</v>
      </c>
      <c r="D404" s="32" t="s">
        <v>833</v>
      </c>
      <c r="E404" s="32" t="s">
        <v>833</v>
      </c>
      <c r="F404" s="32" t="s">
        <v>833</v>
      </c>
      <c r="G404" s="32" t="s">
        <v>833</v>
      </c>
      <c r="H404" s="32" t="s">
        <v>848</v>
      </c>
    </row>
    <row r="405" customFormat="false" ht="15" hidden="false" customHeight="false" outlineLevel="0" collapsed="false">
      <c r="A405" s="32"/>
      <c r="B405" s="32" t="s">
        <v>849</v>
      </c>
      <c r="C405" s="32" t="s">
        <v>832</v>
      </c>
      <c r="D405" s="32" t="s">
        <v>833</v>
      </c>
      <c r="E405" s="32" t="s">
        <v>833</v>
      </c>
      <c r="F405" s="32" t="s">
        <v>833</v>
      </c>
      <c r="G405" s="32" t="s">
        <v>833</v>
      </c>
      <c r="H405" s="32" t="s">
        <v>850</v>
      </c>
    </row>
    <row r="406" customFormat="false" ht="15" hidden="false" customHeight="false" outlineLevel="0" collapsed="false">
      <c r="A406" s="32"/>
      <c r="B406" s="32" t="s">
        <v>851</v>
      </c>
    </row>
    <row r="407" customFormat="false" ht="15" hidden="false" customHeight="false" outlineLevel="0" collapsed="false">
      <c r="A407" s="32"/>
      <c r="B407" s="32" t="s">
        <v>54</v>
      </c>
      <c r="C407" s="32" t="s">
        <v>852</v>
      </c>
      <c r="D407" s="32" t="n">
        <v>2022</v>
      </c>
      <c r="E407" s="32" t="n">
        <v>2022</v>
      </c>
      <c r="F407" s="32" t="n">
        <v>2022</v>
      </c>
      <c r="G407" s="32" t="n">
        <v>2022</v>
      </c>
      <c r="H407" s="32" t="s">
        <v>853</v>
      </c>
    </row>
    <row r="408" customFormat="false" ht="15" hidden="false" customHeight="false" outlineLevel="0" collapsed="false">
      <c r="A408" s="32"/>
      <c r="B408" s="32" t="s">
        <v>58</v>
      </c>
      <c r="C408" s="32" t="s">
        <v>852</v>
      </c>
      <c r="D408" s="32" t="n">
        <v>2022</v>
      </c>
      <c r="E408" s="32" t="n">
        <v>2022</v>
      </c>
      <c r="F408" s="32" t="n">
        <v>2022</v>
      </c>
      <c r="G408" s="32" t="n">
        <v>2022</v>
      </c>
      <c r="H408" s="32" t="s">
        <v>854</v>
      </c>
    </row>
    <row r="409" customFormat="false" ht="15" hidden="false" customHeight="false" outlineLevel="0" collapsed="false">
      <c r="A409" s="32"/>
      <c r="B409" s="32" t="s">
        <v>855</v>
      </c>
      <c r="C409" s="32" t="s">
        <v>852</v>
      </c>
      <c r="D409" s="32" t="n">
        <v>2022</v>
      </c>
      <c r="E409" s="32" t="n">
        <v>2022</v>
      </c>
      <c r="F409" s="32" t="n">
        <v>2022</v>
      </c>
      <c r="G409" s="32" t="n">
        <v>2022</v>
      </c>
      <c r="H409" s="32" t="s">
        <v>856</v>
      </c>
    </row>
    <row r="410" customFormat="false" ht="15" hidden="false" customHeight="false" outlineLevel="0" collapsed="false">
      <c r="A410" s="32"/>
      <c r="B410" s="32" t="s">
        <v>857</v>
      </c>
      <c r="C410" s="32" t="s">
        <v>852</v>
      </c>
      <c r="D410" s="32" t="n">
        <v>2030</v>
      </c>
      <c r="E410" s="32" t="n">
        <v>2030</v>
      </c>
      <c r="F410" s="32" t="n">
        <v>2030</v>
      </c>
      <c r="G410" s="32" t="n">
        <v>2030</v>
      </c>
      <c r="H410" s="32" t="s">
        <v>858</v>
      </c>
    </row>
    <row r="411" customFormat="false" ht="15" hidden="false" customHeight="false" outlineLevel="0" collapsed="false">
      <c r="A411" s="32"/>
      <c r="B411" s="32" t="s">
        <v>859</v>
      </c>
      <c r="C411" s="32" t="s">
        <v>852</v>
      </c>
      <c r="D411" s="32" t="n">
        <v>2022</v>
      </c>
      <c r="E411" s="32" t="n">
        <v>2022</v>
      </c>
      <c r="F411" s="32" t="n">
        <v>2022</v>
      </c>
      <c r="G411" s="32" t="n">
        <v>2022</v>
      </c>
      <c r="H411" s="32" t="s">
        <v>860</v>
      </c>
    </row>
    <row r="412" customFormat="false" ht="15" hidden="false" customHeight="false" outlineLevel="0" collapsed="false">
      <c r="A412" s="32"/>
      <c r="B412" s="32" t="s">
        <v>861</v>
      </c>
      <c r="C412" s="32" t="s">
        <v>852</v>
      </c>
      <c r="D412" s="32" t="n">
        <v>2022</v>
      </c>
      <c r="E412" s="32" t="n">
        <v>2022</v>
      </c>
      <c r="F412" s="32" t="n">
        <v>2022</v>
      </c>
      <c r="G412" s="32" t="n">
        <v>2022</v>
      </c>
      <c r="H412" s="32" t="s">
        <v>862</v>
      </c>
    </row>
    <row r="413" customFormat="false" ht="15" hidden="false" customHeight="false" outlineLevel="0" collapsed="false">
      <c r="A413" s="32"/>
      <c r="B413" s="32" t="s">
        <v>863</v>
      </c>
      <c r="C413" s="32" t="s">
        <v>852</v>
      </c>
      <c r="D413" s="32" t="n">
        <v>2030</v>
      </c>
      <c r="E413" s="32" t="n">
        <v>2030</v>
      </c>
      <c r="F413" s="32" t="n">
        <v>2030</v>
      </c>
      <c r="G413" s="32" t="n">
        <v>2030</v>
      </c>
      <c r="H413" s="32" t="s">
        <v>864</v>
      </c>
    </row>
    <row r="414" customFormat="false" ht="15" hidden="false" customHeight="false" outlineLevel="0" collapsed="false">
      <c r="A414" s="32"/>
      <c r="B414" s="32" t="s">
        <v>865</v>
      </c>
      <c r="C414" s="32" t="s">
        <v>852</v>
      </c>
      <c r="D414" s="32" t="n">
        <v>2030</v>
      </c>
      <c r="E414" s="32" t="n">
        <v>2030</v>
      </c>
      <c r="F414" s="32" t="n">
        <v>2030</v>
      </c>
      <c r="G414" s="32" t="n">
        <v>2030</v>
      </c>
      <c r="H414" s="32" t="s">
        <v>866</v>
      </c>
    </row>
    <row r="415" customFormat="false" ht="15" hidden="false" customHeight="false" outlineLevel="0" collapsed="false">
      <c r="A415" s="32"/>
      <c r="B415" s="32" t="s">
        <v>72</v>
      </c>
      <c r="C415" s="32" t="s">
        <v>852</v>
      </c>
      <c r="D415" s="32" t="n">
        <v>2022</v>
      </c>
      <c r="E415" s="32" t="n">
        <v>2022</v>
      </c>
      <c r="F415" s="32" t="n">
        <v>2022</v>
      </c>
      <c r="G415" s="32" t="n">
        <v>2022</v>
      </c>
      <c r="H415" s="32" t="s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2" t="s">
        <v>868</v>
      </c>
      <c r="D1" s="4" t="s">
        <v>869</v>
      </c>
      <c r="E1" s="4" t="s">
        <v>870</v>
      </c>
      <c r="F1" s="4" t="s">
        <v>871</v>
      </c>
      <c r="G1" s="4" t="s">
        <v>872</v>
      </c>
      <c r="H1" s="4" t="s">
        <v>873</v>
      </c>
      <c r="I1" s="4" t="s">
        <v>238</v>
      </c>
      <c r="J1" s="4" t="s">
        <v>874</v>
      </c>
      <c r="K1" s="4" t="s">
        <v>875</v>
      </c>
      <c r="L1" s="4" t="s">
        <v>120</v>
      </c>
      <c r="M1" s="4" t="s">
        <v>46</v>
      </c>
      <c r="N1" s="4" t="s">
        <v>876</v>
      </c>
      <c r="O1" s="4" t="s">
        <v>877</v>
      </c>
      <c r="P1" s="4" t="s">
        <v>116</v>
      </c>
      <c r="Q1" s="4" t="s">
        <v>878</v>
      </c>
      <c r="R1" s="4" t="s">
        <v>879</v>
      </c>
      <c r="S1" s="4" t="s">
        <v>880</v>
      </c>
      <c r="T1" s="4" t="s">
        <v>881</v>
      </c>
      <c r="U1" s="4" t="s">
        <v>882</v>
      </c>
    </row>
    <row r="2" customFormat="false" ht="15" hidden="false" customHeight="false" outlineLevel="0" collapsed="false">
      <c r="A2" s="0" t="s">
        <v>883</v>
      </c>
      <c r="B2" s="0" t="s">
        <v>36</v>
      </c>
      <c r="C2" s="0" t="s">
        <v>884</v>
      </c>
      <c r="D2" s="34" t="s">
        <v>885</v>
      </c>
      <c r="E2" s="34" t="s">
        <v>886</v>
      </c>
      <c r="F2" s="34" t="s">
        <v>887</v>
      </c>
      <c r="G2" s="34" t="s">
        <v>888</v>
      </c>
      <c r="H2" s="34" t="s">
        <v>889</v>
      </c>
      <c r="I2" s="34" t="s">
        <v>890</v>
      </c>
      <c r="J2" s="34" t="s">
        <v>891</v>
      </c>
      <c r="K2" s="34" t="s">
        <v>892</v>
      </c>
      <c r="L2" s="34" t="s">
        <v>121</v>
      </c>
      <c r="M2" s="34" t="s">
        <v>47</v>
      </c>
      <c r="N2" s="34" t="s">
        <v>119</v>
      </c>
      <c r="O2" s="34" t="s">
        <v>893</v>
      </c>
      <c r="P2" s="34" t="s">
        <v>117</v>
      </c>
      <c r="Q2" s="34" t="s">
        <v>894</v>
      </c>
      <c r="R2" s="34" t="s">
        <v>895</v>
      </c>
      <c r="S2" s="34" t="s">
        <v>896</v>
      </c>
      <c r="T2" s="34" t="s">
        <v>897</v>
      </c>
      <c r="U2" s="34"/>
    </row>
    <row r="3" customFormat="false" ht="15" hidden="false" customHeight="false" outlineLevel="0" collapsed="false">
      <c r="A3" s="35" t="s">
        <v>898</v>
      </c>
      <c r="B3" s="6" t="s">
        <v>899</v>
      </c>
      <c r="C3" s="2" t="s">
        <v>900</v>
      </c>
      <c r="D3" s="22" t="n">
        <v>-19492.3356605057</v>
      </c>
      <c r="E3" s="22" t="n">
        <v>0</v>
      </c>
      <c r="F3" s="22" t="n">
        <v>47.6318696194386</v>
      </c>
      <c r="G3" s="22" t="n">
        <v>0</v>
      </c>
      <c r="H3" s="22" t="n">
        <v>0</v>
      </c>
      <c r="I3" s="22" t="n">
        <v>6382.14246168762</v>
      </c>
      <c r="J3" s="22" t="n">
        <v>1257.29449017166</v>
      </c>
      <c r="K3" s="22" t="n">
        <v>4021.53086721937</v>
      </c>
      <c r="L3" s="22" t="n">
        <v>411.495457790303</v>
      </c>
      <c r="M3" s="22" t="n">
        <v>751.853109844447</v>
      </c>
      <c r="N3" s="22" t="n">
        <v>6.19255526196581</v>
      </c>
      <c r="O3" s="22" t="n">
        <v>573.084118478078</v>
      </c>
      <c r="P3" s="22" t="n">
        <v>1270.64609184692</v>
      </c>
      <c r="Q3" s="22" t="n">
        <v>773.848788507035</v>
      </c>
      <c r="R3" s="22" t="n">
        <v>0</v>
      </c>
      <c r="S3" s="22" t="n">
        <v>591.843565476592</v>
      </c>
      <c r="T3" s="22" t="n">
        <v>0</v>
      </c>
      <c r="U3" s="22" t="n">
        <v>-3573.41834691153</v>
      </c>
    </row>
    <row r="4" customFormat="false" ht="15" hidden="false" customHeight="false" outlineLevel="0" collapsed="false">
      <c r="A4" s="35" t="s">
        <v>901</v>
      </c>
      <c r="B4" s="6" t="s">
        <v>54</v>
      </c>
      <c r="C4" s="2" t="s">
        <v>53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1.67290731426795</v>
      </c>
      <c r="J4" s="22" t="n">
        <v>0</v>
      </c>
      <c r="K4" s="22" t="n">
        <v>0</v>
      </c>
      <c r="L4" s="22" t="n">
        <v>0</v>
      </c>
      <c r="M4" s="22" t="n">
        <v>232.657354770131</v>
      </c>
      <c r="N4" s="22" t="n">
        <v>0</v>
      </c>
      <c r="O4" s="22" t="n">
        <v>0</v>
      </c>
      <c r="P4" s="22" t="n">
        <v>1463.05522446279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-165.399243442987</v>
      </c>
    </row>
    <row r="5" customFormat="false" ht="15" hidden="false" customHeight="false" outlineLevel="0" collapsed="false">
      <c r="A5" s="35" t="s">
        <v>902</v>
      </c>
      <c r="B5" s="6" t="s">
        <v>58</v>
      </c>
      <c r="C5" s="2" t="s">
        <v>57</v>
      </c>
      <c r="D5" s="22" t="n">
        <v>31743.4405874952</v>
      </c>
      <c r="E5" s="22" t="n">
        <v>541.703992516236</v>
      </c>
      <c r="F5" s="22" t="n">
        <v>0</v>
      </c>
      <c r="G5" s="22" t="n">
        <v>0</v>
      </c>
      <c r="H5" s="22" t="n">
        <v>0</v>
      </c>
      <c r="I5" s="22" t="n">
        <v>2035.46041977272</v>
      </c>
      <c r="J5" s="22" t="n">
        <v>0</v>
      </c>
      <c r="K5" s="22" t="n">
        <v>0</v>
      </c>
      <c r="L5" s="22" t="n">
        <v>0</v>
      </c>
      <c r="M5" s="22" t="n">
        <v>1669.05671904213</v>
      </c>
      <c r="N5" s="22" t="n">
        <v>0</v>
      </c>
      <c r="O5" s="22" t="n">
        <v>0</v>
      </c>
      <c r="P5" s="22" t="n">
        <v>1747.39153476208</v>
      </c>
      <c r="Q5" s="22" t="n">
        <v>960.130037214786</v>
      </c>
      <c r="R5" s="22" t="n">
        <v>0</v>
      </c>
      <c r="S5" s="22" t="n">
        <v>7454.00582946635</v>
      </c>
      <c r="T5" s="22" t="n">
        <v>0</v>
      </c>
      <c r="U5" s="22" t="n">
        <v>8778.26691273441</v>
      </c>
    </row>
    <row r="6" customFormat="false" ht="15" hidden="false" customHeight="false" outlineLevel="0" collapsed="false">
      <c r="A6" s="35" t="s">
        <v>903</v>
      </c>
      <c r="B6" s="6" t="s">
        <v>69</v>
      </c>
      <c r="C6" s="2" t="s">
        <v>68</v>
      </c>
      <c r="D6" s="22" t="n">
        <v>4928.2673355245</v>
      </c>
      <c r="E6" s="22" t="n">
        <v>0</v>
      </c>
      <c r="F6" s="22" t="n">
        <v>0</v>
      </c>
      <c r="G6" s="22" t="n">
        <v>0</v>
      </c>
      <c r="H6" s="22" t="n">
        <v>290.709497169709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2347.52754403714</v>
      </c>
      <c r="R6" s="22" t="n">
        <v>0</v>
      </c>
      <c r="S6" s="22" t="n">
        <v>293.099212219656</v>
      </c>
      <c r="T6" s="22" t="n">
        <v>100.678839675172</v>
      </c>
      <c r="U6" s="22" t="n">
        <v>-17958.5265698296</v>
      </c>
    </row>
    <row r="7" customFormat="false" ht="15" hidden="false" customHeight="false" outlineLevel="0" collapsed="false">
      <c r="A7" s="35" t="s">
        <v>904</v>
      </c>
      <c r="B7" s="6" t="s">
        <v>60</v>
      </c>
      <c r="C7" s="2" t="s">
        <v>59</v>
      </c>
      <c r="D7" s="22" t="n">
        <v>0</v>
      </c>
      <c r="E7" s="22" t="n">
        <v>7577.29644334562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2" t="n">
        <v>5735.98453582944</v>
      </c>
    </row>
    <row r="8" customFormat="false" ht="15" hidden="false" customHeight="false" outlineLevel="0" collapsed="false">
      <c r="A8" s="35" t="s">
        <v>905</v>
      </c>
      <c r="B8" s="6" t="s">
        <v>63</v>
      </c>
      <c r="C8" s="2" t="s">
        <v>62</v>
      </c>
      <c r="D8" s="22" t="n">
        <v>21.6208071952478</v>
      </c>
      <c r="E8" s="22" t="n">
        <v>10207.6320601434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927.021728178258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3819.23416175079</v>
      </c>
      <c r="R8" s="22" t="n">
        <v>0</v>
      </c>
      <c r="S8" s="22" t="n">
        <v>824.800093567561</v>
      </c>
      <c r="T8" s="22" t="n">
        <v>0</v>
      </c>
      <c r="U8" s="22" t="n">
        <v>11791.2301058995</v>
      </c>
    </row>
    <row r="9" customFormat="false" ht="15" hidden="false" customHeight="false" outlineLevel="0" collapsed="false">
      <c r="A9" s="35" t="s">
        <v>906</v>
      </c>
      <c r="B9" s="6" t="s">
        <v>67</v>
      </c>
      <c r="C9" s="2" t="s">
        <v>66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2.76900540691173</v>
      </c>
      <c r="J9" s="22" t="n">
        <v>0.344296494287579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4.38372614857524</v>
      </c>
      <c r="R9" s="22" t="n">
        <v>0</v>
      </c>
      <c r="S9" s="22" t="n">
        <v>0</v>
      </c>
      <c r="T9" s="22" t="n">
        <v>0</v>
      </c>
      <c r="U9" s="22" t="n">
        <v>26.7383218961832</v>
      </c>
    </row>
    <row r="10" customFormat="false" ht="15" hidden="false" customHeight="false" outlineLevel="0" collapsed="false">
      <c r="A10" s="35" t="s">
        <v>907</v>
      </c>
      <c r="B10" s="6" t="s">
        <v>65</v>
      </c>
      <c r="C10" s="2" t="s">
        <v>64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3182.2559195641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17.4320828436885</v>
      </c>
      <c r="R10" s="22" t="n">
        <v>0</v>
      </c>
      <c r="S10" s="22" t="n">
        <v>2465.7623559049</v>
      </c>
      <c r="T10" s="22" t="n">
        <v>0</v>
      </c>
      <c r="U10" s="22" t="n">
        <v>6147.5678748377</v>
      </c>
    </row>
    <row r="11" customFormat="false" ht="15" hidden="false" customHeight="false" outlineLevel="0" collapsed="false">
      <c r="A11" s="35" t="s">
        <v>908</v>
      </c>
      <c r="B11" s="6" t="s">
        <v>909</v>
      </c>
      <c r="C11" s="2" t="s">
        <v>910</v>
      </c>
      <c r="D11" s="22" t="n">
        <v>0</v>
      </c>
      <c r="E11" s="22" t="n">
        <v>0</v>
      </c>
      <c r="F11" s="22" t="n">
        <v>0</v>
      </c>
      <c r="G11" s="22" t="n">
        <v>706.876711449723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1730.04913382868</v>
      </c>
    </row>
    <row r="12" customFormat="false" ht="15" hidden="false" customHeight="false" outlineLevel="0" collapsed="false">
      <c r="A12" s="35" t="s">
        <v>911</v>
      </c>
      <c r="B12" s="6" t="s">
        <v>859</v>
      </c>
      <c r="C12" s="2" t="s">
        <v>912</v>
      </c>
      <c r="D12" s="22" t="n">
        <v>537.369380824405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10.2074725266824</v>
      </c>
    </row>
    <row r="13" customFormat="false" ht="15" hidden="false" customHeight="false" outlineLevel="0" collapsed="false">
      <c r="A13" s="35" t="s">
        <v>913</v>
      </c>
      <c r="B13" s="6" t="s">
        <v>861</v>
      </c>
      <c r="C13" s="2" t="s">
        <v>914</v>
      </c>
      <c r="D13" s="22" t="n">
        <v>439.515372280494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-12.5881751886569</v>
      </c>
    </row>
    <row r="14" customFormat="false" ht="15" hidden="false" customHeight="false" outlineLevel="0" collapsed="false">
      <c r="A14" s="35" t="s">
        <v>915</v>
      </c>
      <c r="B14" s="6" t="s">
        <v>863</v>
      </c>
      <c r="C14" s="2" t="s">
        <v>916</v>
      </c>
      <c r="D14" s="22" t="n">
        <v>1347.59028303912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25.9259932593843</v>
      </c>
    </row>
    <row r="15" customFormat="false" ht="15" hidden="false" customHeight="false" outlineLevel="0" collapsed="false">
      <c r="A15" s="35" t="s">
        <v>917</v>
      </c>
      <c r="B15" s="6" t="s">
        <v>865</v>
      </c>
      <c r="C15" s="2" t="s">
        <v>918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</row>
    <row r="16" customFormat="false" ht="15" hidden="false" customHeight="false" outlineLevel="0" collapsed="false">
      <c r="A16" s="35" t="s">
        <v>919</v>
      </c>
      <c r="B16" s="6" t="s">
        <v>857</v>
      </c>
      <c r="C16" s="2" t="s">
        <v>920</v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</row>
    <row r="17" customFormat="false" ht="15" hidden="false" customHeight="false" outlineLevel="0" collapsed="false">
      <c r="A17" s="35" t="s">
        <v>921</v>
      </c>
      <c r="B17" s="6" t="s">
        <v>72</v>
      </c>
      <c r="C17" s="2" t="s">
        <v>71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1579.83074407564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-1882.43804982064</v>
      </c>
    </row>
    <row r="18" customFormat="false" ht="15" hidden="false" customHeight="false" outlineLevel="0" collapsed="false">
      <c r="A18" s="35" t="s">
        <v>922</v>
      </c>
      <c r="B18" s="6" t="s">
        <v>923</v>
      </c>
      <c r="C18" s="2" t="s">
        <v>924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</row>
    <row r="19" customFormat="false" ht="15" hidden="false" customHeight="false" outlineLevel="0" collapsed="false">
      <c r="A19" s="35" t="s">
        <v>925</v>
      </c>
      <c r="B19" s="6" t="s">
        <v>926</v>
      </c>
      <c r="C19" s="2" t="s">
        <v>927</v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</row>
    <row r="20" customFormat="false" ht="15" hidden="false" customHeight="false" outlineLevel="0" collapsed="false">
      <c r="A20" s="35" t="s">
        <v>928</v>
      </c>
      <c r="B20" s="6" t="s">
        <v>929</v>
      </c>
      <c r="C20" s="2" t="s">
        <v>930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1654.12292100426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-1887.19269270247</v>
      </c>
    </row>
    <row r="21" customFormat="false" ht="15" hidden="false" customHeight="false" outlineLevel="0" collapsed="false">
      <c r="A21" s="35" t="s">
        <v>931</v>
      </c>
      <c r="B21" s="6" t="s">
        <v>932</v>
      </c>
      <c r="C21" s="2" t="s">
        <v>933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</row>
    <row r="22" customFormat="false" ht="15" hidden="false" customHeight="false" outlineLevel="0" collapsed="false">
      <c r="A22" s="35"/>
      <c r="B22" s="6" t="s">
        <v>934</v>
      </c>
      <c r="C22" s="2" t="s">
        <v>73</v>
      </c>
      <c r="D22" s="22" t="n">
        <v>2324.47503614402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6" min="4" style="0" width="8"/>
    <col collapsed="false" customWidth="true" hidden="false" outlineLevel="0" max="7" min="7" style="0" width="60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4"/>
  </cols>
  <sheetData>
    <row r="1" customFormat="false" ht="15" hidden="false" customHeight="false" outlineLevel="0" collapsed="false">
      <c r="A1" s="36" t="s">
        <v>935</v>
      </c>
      <c r="B1" s="36" t="s">
        <v>36</v>
      </c>
      <c r="C1" s="36" t="s">
        <v>936</v>
      </c>
      <c r="D1" s="36" t="s">
        <v>937</v>
      </c>
      <c r="E1" s="36" t="s">
        <v>51</v>
      </c>
      <c r="F1" s="36" t="s">
        <v>39</v>
      </c>
      <c r="G1" s="36" t="s">
        <v>38</v>
      </c>
      <c r="H1" s="36" t="s">
        <v>938</v>
      </c>
      <c r="I1" s="36" t="s">
        <v>939</v>
      </c>
      <c r="J1" s="36" t="s">
        <v>44</v>
      </c>
      <c r="K1" s="36" t="n">
        <v>2021</v>
      </c>
      <c r="L1" s="36" t="n">
        <v>2022</v>
      </c>
      <c r="M1" s="36" t="n">
        <v>2023</v>
      </c>
      <c r="N1" s="36" t="n">
        <v>2024</v>
      </c>
      <c r="O1" s="36" t="n">
        <v>2025</v>
      </c>
      <c r="P1" s="36" t="n">
        <v>2026</v>
      </c>
      <c r="Q1" s="36" t="n">
        <v>2027</v>
      </c>
      <c r="R1" s="36" t="n">
        <v>2028</v>
      </c>
      <c r="S1" s="36" t="n">
        <v>2029</v>
      </c>
      <c r="T1" s="36" t="n">
        <v>2030</v>
      </c>
      <c r="U1" s="36" t="n">
        <v>2031</v>
      </c>
      <c r="V1" s="36" t="n">
        <v>2032</v>
      </c>
      <c r="W1" s="36" t="n">
        <v>2033</v>
      </c>
      <c r="X1" s="36" t="n">
        <v>2034</v>
      </c>
      <c r="Y1" s="36" t="n">
        <v>2035</v>
      </c>
      <c r="Z1" s="36" t="n">
        <v>2036</v>
      </c>
      <c r="AA1" s="36" t="n">
        <v>2037</v>
      </c>
      <c r="AB1" s="36" t="n">
        <v>2038</v>
      </c>
      <c r="AC1" s="36" t="n">
        <v>2039</v>
      </c>
      <c r="AD1" s="36" t="n">
        <v>2040</v>
      </c>
      <c r="AE1" s="36" t="n">
        <v>2041</v>
      </c>
      <c r="AF1" s="36" t="n">
        <v>2042</v>
      </c>
      <c r="AG1" s="36" t="n">
        <v>2043</v>
      </c>
      <c r="AH1" s="36" t="n">
        <v>2044</v>
      </c>
      <c r="AI1" s="36" t="n">
        <v>2045</v>
      </c>
    </row>
    <row r="2" customFormat="false" ht="15" hidden="false" customHeight="false" outlineLevel="0" collapsed="false">
      <c r="A2" s="35" t="s">
        <v>940</v>
      </c>
      <c r="B2" s="6" t="s">
        <v>53</v>
      </c>
      <c r="C2" s="6" t="s">
        <v>5</v>
      </c>
      <c r="D2" s="6" t="s">
        <v>941</v>
      </c>
      <c r="E2" s="6" t="n">
        <v>1</v>
      </c>
      <c r="F2" s="6" t="s">
        <v>55</v>
      </c>
      <c r="G2" s="6" t="s">
        <v>942</v>
      </c>
      <c r="H2" s="6" t="n">
        <v>2513</v>
      </c>
      <c r="I2" s="35" t="s">
        <v>940</v>
      </c>
      <c r="K2" s="22" t="n">
        <v>11.1829015892439</v>
      </c>
      <c r="L2" s="22" t="n">
        <v>10.5233613454312</v>
      </c>
      <c r="M2" s="22" t="n">
        <v>10.2995608274442</v>
      </c>
      <c r="N2" s="22" t="n">
        <v>9.57752835953826</v>
      </c>
      <c r="O2" s="22" t="n">
        <v>8.48547828695805</v>
      </c>
      <c r="P2" s="22" t="n">
        <v>9.08719223524986</v>
      </c>
      <c r="Q2" s="22" t="n">
        <v>9.22292372893268</v>
      </c>
      <c r="R2" s="22" t="n">
        <v>9.15856495550969</v>
      </c>
      <c r="S2" s="22" t="n">
        <v>9.08954787739738</v>
      </c>
      <c r="T2" s="22" t="n">
        <v>9.01568166602283</v>
      </c>
      <c r="U2" s="22" t="n">
        <v>8.94439776555711</v>
      </c>
      <c r="V2" s="22" t="n">
        <v>8.94439776555711</v>
      </c>
      <c r="W2" s="22" t="n">
        <v>8.94439776555711</v>
      </c>
      <c r="X2" s="22" t="n">
        <v>8.94439776555711</v>
      </c>
      <c r="Y2" s="22" t="n">
        <v>8.94439776555711</v>
      </c>
      <c r="Z2" s="22" t="n">
        <v>8.94439776555711</v>
      </c>
      <c r="AA2" s="22" t="n">
        <v>8.94439776555711</v>
      </c>
      <c r="AB2" s="22" t="n">
        <v>8.94439776555711</v>
      </c>
      <c r="AC2" s="22" t="n">
        <v>8.94439776555711</v>
      </c>
      <c r="AD2" s="22" t="n">
        <v>8.94439776555711</v>
      </c>
      <c r="AE2" s="22" t="n">
        <v>8.94439776555711</v>
      </c>
    </row>
    <row r="3" customFormat="false" ht="15" hidden="false" customHeight="false" outlineLevel="0" collapsed="false">
      <c r="A3" s="35" t="s">
        <v>943</v>
      </c>
      <c r="B3" s="6" t="s">
        <v>53</v>
      </c>
      <c r="C3" s="6" t="s">
        <v>5</v>
      </c>
      <c r="D3" s="6" t="s">
        <v>944</v>
      </c>
      <c r="E3" s="6" t="n">
        <v>1</v>
      </c>
      <c r="F3" s="6" t="s">
        <v>55</v>
      </c>
      <c r="G3" s="6" t="s">
        <v>945</v>
      </c>
      <c r="H3" s="6" t="n">
        <v>2514</v>
      </c>
      <c r="I3" s="35" t="s">
        <v>943</v>
      </c>
      <c r="K3" s="22" t="n">
        <v>0</v>
      </c>
      <c r="L3" s="22" t="n">
        <v>0</v>
      </c>
      <c r="M3" s="22" t="n">
        <v>0</v>
      </c>
      <c r="N3" s="22" t="n">
        <v>0</v>
      </c>
      <c r="O3" s="22" t="n">
        <v>0</v>
      </c>
      <c r="P3" s="22" t="n">
        <v>0</v>
      </c>
      <c r="Q3" s="22" t="n">
        <v>0</v>
      </c>
      <c r="R3" s="22" t="n">
        <v>0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  <c r="AB3" s="22" t="n">
        <v>0</v>
      </c>
      <c r="AC3" s="22" t="n">
        <v>0</v>
      </c>
      <c r="AD3" s="22" t="n">
        <v>0</v>
      </c>
      <c r="AE3" s="22" t="n">
        <v>0</v>
      </c>
    </row>
    <row r="4" customFormat="false" ht="15" hidden="false" customHeight="false" outlineLevel="0" collapsed="false">
      <c r="A4" s="35" t="s">
        <v>946</v>
      </c>
      <c r="B4" s="6" t="s">
        <v>57</v>
      </c>
      <c r="C4" s="6" t="s">
        <v>5</v>
      </c>
      <c r="D4" s="6" t="s">
        <v>941</v>
      </c>
      <c r="E4" s="6" t="n">
        <v>1</v>
      </c>
      <c r="F4" s="6" t="s">
        <v>55</v>
      </c>
      <c r="G4" s="6" t="s">
        <v>942</v>
      </c>
      <c r="H4" s="6" t="n">
        <v>2582</v>
      </c>
      <c r="I4" s="35" t="s">
        <v>946</v>
      </c>
      <c r="K4" s="22" t="n">
        <v>6.06346361567291</v>
      </c>
      <c r="L4" s="22" t="n">
        <v>5.45101508161919</v>
      </c>
      <c r="M4" s="22" t="n">
        <v>5.11935630626248</v>
      </c>
      <c r="N4" s="22" t="n">
        <v>5.08218458640407</v>
      </c>
      <c r="O4" s="22" t="n">
        <v>5.08218458640407</v>
      </c>
      <c r="P4" s="22" t="n">
        <v>5.08218458640407</v>
      </c>
      <c r="Q4" s="22" t="n">
        <v>5.08218458640407</v>
      </c>
      <c r="R4" s="22" t="n">
        <v>5.08218458640407</v>
      </c>
      <c r="S4" s="22" t="n">
        <v>5.08218458640407</v>
      </c>
      <c r="T4" s="22" t="n">
        <v>5.08218458640407</v>
      </c>
      <c r="U4" s="22" t="n">
        <v>5.08218458640407</v>
      </c>
      <c r="V4" s="22" t="n">
        <v>5.08218458640407</v>
      </c>
      <c r="W4" s="22" t="n">
        <v>5.08218458640407</v>
      </c>
      <c r="X4" s="22" t="n">
        <v>5.08218458640407</v>
      </c>
      <c r="Y4" s="22" t="n">
        <v>5.08218458640407</v>
      </c>
      <c r="Z4" s="22" t="n">
        <v>5.08218458640407</v>
      </c>
      <c r="AA4" s="22" t="n">
        <v>5.08218458640407</v>
      </c>
      <c r="AB4" s="22" t="n">
        <v>5.08218458640407</v>
      </c>
      <c r="AC4" s="22" t="n">
        <v>5.08218458640407</v>
      </c>
      <c r="AD4" s="22" t="n">
        <v>5.08218458640407</v>
      </c>
      <c r="AE4" s="22" t="n">
        <v>5.08218458640407</v>
      </c>
    </row>
    <row r="5" customFormat="false" ht="15" hidden="false" customHeight="false" outlineLevel="0" collapsed="false">
      <c r="A5" s="35" t="s">
        <v>947</v>
      </c>
      <c r="B5" s="6" t="s">
        <v>57</v>
      </c>
      <c r="C5" s="6" t="s">
        <v>5</v>
      </c>
      <c r="D5" s="6" t="s">
        <v>944</v>
      </c>
      <c r="E5" s="6" t="n">
        <v>1</v>
      </c>
      <c r="F5" s="6" t="s">
        <v>55</v>
      </c>
      <c r="G5" s="6" t="s">
        <v>945</v>
      </c>
      <c r="H5" s="6" t="n">
        <v>2583</v>
      </c>
      <c r="I5" s="35" t="s">
        <v>947</v>
      </c>
      <c r="K5" s="22" t="n">
        <v>0</v>
      </c>
      <c r="L5" s="22" t="n">
        <v>0</v>
      </c>
      <c r="M5" s="22" t="n">
        <v>0</v>
      </c>
      <c r="N5" s="22" t="n">
        <v>0</v>
      </c>
      <c r="O5" s="22" t="n">
        <v>0</v>
      </c>
      <c r="P5" s="22" t="n">
        <v>0</v>
      </c>
      <c r="Q5" s="22" t="n">
        <v>0</v>
      </c>
      <c r="R5" s="22" t="n">
        <v>0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0</v>
      </c>
      <c r="X5" s="22" t="n">
        <v>0</v>
      </c>
      <c r="Y5" s="22" t="n">
        <v>0</v>
      </c>
      <c r="Z5" s="22" t="n">
        <v>0</v>
      </c>
      <c r="AA5" s="22" t="n">
        <v>0</v>
      </c>
      <c r="AB5" s="22" t="n">
        <v>0</v>
      </c>
      <c r="AC5" s="22" t="n">
        <v>0</v>
      </c>
      <c r="AD5" s="22" t="n">
        <v>0</v>
      </c>
      <c r="AE5" s="22" t="n">
        <v>0</v>
      </c>
    </row>
    <row r="6" customFormat="false" ht="15" hidden="false" customHeight="false" outlineLevel="0" collapsed="false">
      <c r="A6" s="35" t="s">
        <v>948</v>
      </c>
      <c r="B6" s="6" t="s">
        <v>59</v>
      </c>
      <c r="C6" s="6" t="s">
        <v>5</v>
      </c>
      <c r="D6" s="6" t="s">
        <v>941</v>
      </c>
      <c r="E6" s="6" t="n">
        <v>1</v>
      </c>
      <c r="F6" s="6" t="s">
        <v>61</v>
      </c>
      <c r="G6" s="6" t="s">
        <v>942</v>
      </c>
      <c r="H6" s="6" t="n">
        <v>2605</v>
      </c>
      <c r="I6" s="35" t="s">
        <v>949</v>
      </c>
      <c r="K6" s="22" t="n">
        <v>0.671146533321816</v>
      </c>
      <c r="L6" s="22" t="n">
        <v>0.611977976791406</v>
      </c>
      <c r="M6" s="22" t="n">
        <v>0.611809749641876</v>
      </c>
      <c r="N6" s="22" t="n">
        <v>0.603583100177906</v>
      </c>
      <c r="O6" s="22" t="n">
        <v>0.603583100177906</v>
      </c>
      <c r="P6" s="22" t="n">
        <v>0.603583100177906</v>
      </c>
      <c r="Q6" s="22" t="n">
        <v>0.603583100177906</v>
      </c>
      <c r="R6" s="22" t="n">
        <v>0.603583100177906</v>
      </c>
      <c r="S6" s="22" t="n">
        <v>0.603583100177906</v>
      </c>
      <c r="T6" s="22" t="n">
        <v>0.603583100177906</v>
      </c>
      <c r="U6" s="22" t="n">
        <v>0.603583100177906</v>
      </c>
      <c r="V6" s="22" t="n">
        <v>0.603583100177906</v>
      </c>
      <c r="W6" s="22" t="n">
        <v>0.603583100177906</v>
      </c>
      <c r="X6" s="22" t="n">
        <v>0.603583100177906</v>
      </c>
      <c r="Y6" s="22" t="n">
        <v>0.603583100177906</v>
      </c>
      <c r="Z6" s="22" t="n">
        <v>0.603583100177906</v>
      </c>
      <c r="AA6" s="22" t="n">
        <v>0.603583100177906</v>
      </c>
      <c r="AB6" s="22" t="n">
        <v>0.603583100177906</v>
      </c>
      <c r="AC6" s="22" t="n">
        <v>0.603583100177906</v>
      </c>
      <c r="AD6" s="22" t="n">
        <v>0.603583100177906</v>
      </c>
      <c r="AE6" s="22" t="n">
        <v>0.603583100177906</v>
      </c>
    </row>
    <row r="7" customFormat="false" ht="15" hidden="false" customHeight="false" outlineLevel="0" collapsed="false">
      <c r="A7" s="35" t="s">
        <v>950</v>
      </c>
      <c r="B7" s="6" t="s">
        <v>59</v>
      </c>
      <c r="C7" s="6" t="s">
        <v>5</v>
      </c>
      <c r="D7" s="6" t="s">
        <v>944</v>
      </c>
      <c r="E7" s="6" t="n">
        <v>1</v>
      </c>
      <c r="F7" s="6" t="s">
        <v>61</v>
      </c>
      <c r="G7" s="6" t="s">
        <v>945</v>
      </c>
      <c r="H7" s="6" t="n">
        <v>2606</v>
      </c>
      <c r="I7" s="35" t="s">
        <v>951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</row>
    <row r="8" customFormat="false" ht="15" hidden="false" customHeight="false" outlineLevel="0" collapsed="false">
      <c r="A8" s="35" t="s">
        <v>952</v>
      </c>
      <c r="B8" s="6" t="s">
        <v>62</v>
      </c>
      <c r="C8" s="6" t="s">
        <v>5</v>
      </c>
      <c r="D8" s="6" t="s">
        <v>941</v>
      </c>
      <c r="E8" s="6" t="n">
        <v>1</v>
      </c>
      <c r="F8" s="6" t="s">
        <v>61</v>
      </c>
      <c r="G8" s="6" t="s">
        <v>942</v>
      </c>
      <c r="H8" s="6" t="n">
        <v>2628</v>
      </c>
      <c r="I8" s="35" t="s">
        <v>953</v>
      </c>
      <c r="K8" s="22" t="n">
        <v>0.559711213155688</v>
      </c>
      <c r="L8" s="22" t="n">
        <v>0.494588730841068</v>
      </c>
      <c r="M8" s="22" t="n">
        <v>0.507786547202501</v>
      </c>
      <c r="N8" s="22" t="n">
        <v>0.470436426795617</v>
      </c>
      <c r="O8" s="22" t="n">
        <v>0.470436426795617</v>
      </c>
      <c r="P8" s="22" t="n">
        <v>0.470436426795617</v>
      </c>
      <c r="Q8" s="22" t="n">
        <v>0.470436426795617</v>
      </c>
      <c r="R8" s="22" t="n">
        <v>0.470436426795617</v>
      </c>
      <c r="S8" s="22" t="n">
        <v>0.470436426795617</v>
      </c>
      <c r="T8" s="22" t="n">
        <v>0.470436426795617</v>
      </c>
      <c r="U8" s="22" t="n">
        <v>0.470436426795617</v>
      </c>
      <c r="V8" s="22" t="n">
        <v>0.470436426795617</v>
      </c>
      <c r="W8" s="22" t="n">
        <v>0.470436426795617</v>
      </c>
      <c r="X8" s="22" t="n">
        <v>0.470436426795617</v>
      </c>
      <c r="Y8" s="22" t="n">
        <v>0.470436426795617</v>
      </c>
      <c r="Z8" s="22" t="n">
        <v>0.470436426795617</v>
      </c>
      <c r="AA8" s="22" t="n">
        <v>0.470436426795617</v>
      </c>
      <c r="AB8" s="22" t="n">
        <v>0.470436426795617</v>
      </c>
      <c r="AC8" s="22" t="n">
        <v>0.470436426795617</v>
      </c>
      <c r="AD8" s="22" t="n">
        <v>0.470436426795617</v>
      </c>
      <c r="AE8" s="22" t="n">
        <v>0.470436426795617</v>
      </c>
    </row>
    <row r="9" customFormat="false" ht="15" hidden="false" customHeight="false" outlineLevel="0" collapsed="false">
      <c r="A9" s="35" t="s">
        <v>954</v>
      </c>
      <c r="B9" s="6" t="s">
        <v>62</v>
      </c>
      <c r="C9" s="6" t="s">
        <v>5</v>
      </c>
      <c r="D9" s="6" t="s">
        <v>944</v>
      </c>
      <c r="E9" s="6" t="n">
        <v>1</v>
      </c>
      <c r="F9" s="6" t="s">
        <v>61</v>
      </c>
      <c r="G9" s="6" t="s">
        <v>945</v>
      </c>
      <c r="H9" s="6" t="n">
        <v>2629</v>
      </c>
      <c r="I9" s="35" t="s">
        <v>955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</row>
    <row r="10" customFormat="false" ht="15" hidden="false" customHeight="false" outlineLevel="0" collapsed="false">
      <c r="A10" s="35" t="s">
        <v>956</v>
      </c>
      <c r="B10" s="6" t="s">
        <v>64</v>
      </c>
      <c r="C10" s="6" t="s">
        <v>5</v>
      </c>
      <c r="D10" s="6" t="s">
        <v>941</v>
      </c>
      <c r="E10" s="6" t="n">
        <v>1</v>
      </c>
      <c r="F10" s="6" t="s">
        <v>61</v>
      </c>
      <c r="G10" s="6" t="s">
        <v>942</v>
      </c>
      <c r="H10" s="6" t="n">
        <v>2651</v>
      </c>
      <c r="I10" s="35" t="s">
        <v>957</v>
      </c>
      <c r="K10" s="22" t="n">
        <v>0.200366691126738</v>
      </c>
      <c r="L10" s="22" t="n">
        <v>0.157344736252274</v>
      </c>
      <c r="M10" s="22" t="n">
        <v>0.164484037759277</v>
      </c>
      <c r="N10" s="22" t="n">
        <v>0.150709077807049</v>
      </c>
      <c r="O10" s="22" t="n">
        <v>0.150709077807049</v>
      </c>
      <c r="P10" s="22" t="n">
        <v>0.150709077807049</v>
      </c>
      <c r="Q10" s="22" t="n">
        <v>0.150709077807049</v>
      </c>
      <c r="R10" s="22" t="n">
        <v>0.150709077807049</v>
      </c>
      <c r="S10" s="22" t="n">
        <v>0.150709077807049</v>
      </c>
      <c r="T10" s="22" t="n">
        <v>0.150709077807049</v>
      </c>
      <c r="U10" s="22" t="n">
        <v>0.150709077807049</v>
      </c>
      <c r="V10" s="22" t="n">
        <v>0.150709077807049</v>
      </c>
      <c r="W10" s="22" t="n">
        <v>0.150709077807049</v>
      </c>
      <c r="X10" s="22" t="n">
        <v>0.150709077807049</v>
      </c>
      <c r="Y10" s="22" t="n">
        <v>0.150709077807049</v>
      </c>
      <c r="Z10" s="22" t="n">
        <v>0.150709077807049</v>
      </c>
      <c r="AA10" s="22" t="n">
        <v>0.150709077807049</v>
      </c>
      <c r="AB10" s="22" t="n">
        <v>0.150709077807049</v>
      </c>
      <c r="AC10" s="22" t="n">
        <v>0.150709077807049</v>
      </c>
      <c r="AD10" s="22" t="n">
        <v>0.150709077807049</v>
      </c>
      <c r="AE10" s="22" t="n">
        <v>0.150709077807049</v>
      </c>
    </row>
    <row r="11" customFormat="false" ht="15" hidden="false" customHeight="false" outlineLevel="0" collapsed="false">
      <c r="A11" s="35" t="s">
        <v>958</v>
      </c>
      <c r="B11" s="6" t="s">
        <v>64</v>
      </c>
      <c r="C11" s="6" t="s">
        <v>5</v>
      </c>
      <c r="D11" s="6" t="s">
        <v>944</v>
      </c>
      <c r="E11" s="6" t="n">
        <v>1</v>
      </c>
      <c r="F11" s="6" t="s">
        <v>61</v>
      </c>
      <c r="G11" s="6" t="s">
        <v>945</v>
      </c>
      <c r="H11" s="6" t="n">
        <v>2652</v>
      </c>
      <c r="I11" s="35" t="s">
        <v>959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</row>
    <row r="12" customFormat="false" ht="15" hidden="false" customHeight="false" outlineLevel="0" collapsed="false">
      <c r="A12" s="35" t="s">
        <v>960</v>
      </c>
      <c r="B12" s="6" t="s">
        <v>66</v>
      </c>
      <c r="C12" s="6" t="s">
        <v>5</v>
      </c>
      <c r="D12" s="6" t="s">
        <v>941</v>
      </c>
      <c r="E12" s="6" t="n">
        <v>1</v>
      </c>
      <c r="F12" s="6" t="s">
        <v>61</v>
      </c>
      <c r="G12" s="6" t="s">
        <v>942</v>
      </c>
      <c r="H12" s="6" t="n">
        <v>2674</v>
      </c>
      <c r="I12" s="35" t="s">
        <v>961</v>
      </c>
      <c r="K12" s="22" t="n">
        <v>0.484294240973435</v>
      </c>
      <c r="L12" s="22" t="n">
        <v>0.456428170500128</v>
      </c>
      <c r="M12" s="22" t="n">
        <v>0.431689201955995</v>
      </c>
      <c r="N12" s="22" t="n">
        <v>0.42507558395597</v>
      </c>
      <c r="O12" s="22" t="n">
        <v>0.42507558395597</v>
      </c>
      <c r="P12" s="22" t="n">
        <v>0.42507558395597</v>
      </c>
      <c r="Q12" s="22" t="n">
        <v>0.42507558395597</v>
      </c>
      <c r="R12" s="22" t="n">
        <v>0.42507558395597</v>
      </c>
      <c r="S12" s="22" t="n">
        <v>0.42507558395597</v>
      </c>
      <c r="T12" s="22" t="n">
        <v>0.42507558395597</v>
      </c>
      <c r="U12" s="22" t="n">
        <v>0.42507558395597</v>
      </c>
      <c r="V12" s="22" t="n">
        <v>0.42507558395597</v>
      </c>
      <c r="W12" s="22" t="n">
        <v>0.42507558395597</v>
      </c>
      <c r="X12" s="22" t="n">
        <v>0.42507558395597</v>
      </c>
      <c r="Y12" s="22" t="n">
        <v>0.42507558395597</v>
      </c>
      <c r="Z12" s="22" t="n">
        <v>0.42507558395597</v>
      </c>
      <c r="AA12" s="22" t="n">
        <v>0.42507558395597</v>
      </c>
      <c r="AB12" s="22" t="n">
        <v>0.42507558395597</v>
      </c>
      <c r="AC12" s="22" t="n">
        <v>0.42507558395597</v>
      </c>
      <c r="AD12" s="22" t="n">
        <v>0.42507558395597</v>
      </c>
      <c r="AE12" s="22" t="n">
        <v>0.42507558395597</v>
      </c>
    </row>
    <row r="13" customFormat="false" ht="15" hidden="false" customHeight="false" outlineLevel="0" collapsed="false">
      <c r="A13" s="35" t="s">
        <v>962</v>
      </c>
      <c r="B13" s="6" t="s">
        <v>66</v>
      </c>
      <c r="C13" s="6" t="s">
        <v>5</v>
      </c>
      <c r="D13" s="6" t="s">
        <v>944</v>
      </c>
      <c r="E13" s="6" t="n">
        <v>1</v>
      </c>
      <c r="F13" s="6" t="s">
        <v>61</v>
      </c>
      <c r="G13" s="6" t="s">
        <v>945</v>
      </c>
      <c r="H13" s="6" t="n">
        <v>2675</v>
      </c>
      <c r="I13" s="35" t="s">
        <v>963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</row>
    <row r="14" customFormat="false" ht="15" hidden="false" customHeight="false" outlineLevel="0" collapsed="false">
      <c r="A14" s="35" t="s">
        <v>964</v>
      </c>
      <c r="B14" s="6" t="s">
        <v>68</v>
      </c>
      <c r="C14" s="6" t="s">
        <v>5</v>
      </c>
      <c r="D14" s="6" t="s">
        <v>941</v>
      </c>
      <c r="E14" s="6" t="n">
        <v>1</v>
      </c>
      <c r="F14" s="6" t="s">
        <v>70</v>
      </c>
      <c r="G14" s="6" t="s">
        <v>942</v>
      </c>
      <c r="H14" s="6" t="n">
        <v>2697</v>
      </c>
      <c r="I14" s="35" t="s">
        <v>965</v>
      </c>
      <c r="K14" s="22" t="n">
        <v>41.5003384988684</v>
      </c>
      <c r="L14" s="22" t="n">
        <v>34.4153703043132</v>
      </c>
      <c r="M14" s="22" t="n">
        <v>37.368960690432</v>
      </c>
      <c r="N14" s="22" t="n">
        <v>28.9827611014773</v>
      </c>
      <c r="O14" s="22" t="n">
        <v>15</v>
      </c>
      <c r="P14" s="22" t="n">
        <v>24.2586300842555</v>
      </c>
      <c r="Q14" s="22" t="n">
        <v>15</v>
      </c>
      <c r="R14" s="22" t="n">
        <v>15</v>
      </c>
      <c r="S14" s="22" t="n">
        <v>15</v>
      </c>
      <c r="T14" s="22" t="n">
        <v>15</v>
      </c>
      <c r="U14" s="22" t="n">
        <v>15</v>
      </c>
      <c r="V14" s="22" t="n">
        <v>15</v>
      </c>
      <c r="W14" s="22" t="n">
        <v>15</v>
      </c>
      <c r="X14" s="22" t="n">
        <v>15</v>
      </c>
      <c r="Y14" s="22" t="n">
        <v>15</v>
      </c>
      <c r="Z14" s="22" t="n">
        <v>15</v>
      </c>
      <c r="AA14" s="22" t="n">
        <v>15</v>
      </c>
      <c r="AB14" s="22" t="n">
        <v>15</v>
      </c>
      <c r="AC14" s="22" t="n">
        <v>15</v>
      </c>
      <c r="AD14" s="22" t="n">
        <v>15</v>
      </c>
      <c r="AE14" s="22" t="n">
        <v>15</v>
      </c>
    </row>
    <row r="15" customFormat="false" ht="15" hidden="false" customHeight="false" outlineLevel="0" collapsed="false">
      <c r="A15" s="35" t="s">
        <v>966</v>
      </c>
      <c r="B15" s="6" t="s">
        <v>68</v>
      </c>
      <c r="C15" s="6" t="s">
        <v>5</v>
      </c>
      <c r="D15" s="6" t="s">
        <v>944</v>
      </c>
      <c r="E15" s="6" t="n">
        <v>1</v>
      </c>
      <c r="F15" s="6" t="s">
        <v>70</v>
      </c>
      <c r="G15" s="6" t="s">
        <v>945</v>
      </c>
      <c r="H15" s="6" t="n">
        <v>2698</v>
      </c>
      <c r="I15" s="35" t="s">
        <v>967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</row>
    <row r="16" customFormat="false" ht="15" hidden="false" customHeight="false" outlineLevel="0" collapsed="false">
      <c r="A16" s="35" t="s">
        <v>968</v>
      </c>
      <c r="B16" s="6" t="s">
        <v>71</v>
      </c>
      <c r="C16" s="6" t="s">
        <v>5</v>
      </c>
      <c r="D16" s="6" t="s">
        <v>941</v>
      </c>
      <c r="E16" s="6" t="n">
        <v>1</v>
      </c>
      <c r="F16" s="6" t="s">
        <v>55</v>
      </c>
      <c r="G16" s="6" t="s">
        <v>942</v>
      </c>
      <c r="H16" s="6" t="n">
        <v>2720</v>
      </c>
      <c r="I16" s="35" t="s">
        <v>969</v>
      </c>
      <c r="K16" s="22" t="n">
        <v>15.3345505293169</v>
      </c>
      <c r="L16" s="22" t="n">
        <v>14.1995283906349</v>
      </c>
      <c r="M16" s="22" t="n">
        <v>13.8404416133152</v>
      </c>
      <c r="N16" s="22" t="n">
        <v>13.5677269404465</v>
      </c>
      <c r="O16" s="22" t="n">
        <v>13.5677269404465</v>
      </c>
      <c r="P16" s="22" t="n">
        <v>13.5677269404465</v>
      </c>
      <c r="Q16" s="22" t="n">
        <v>13.5677269404465</v>
      </c>
      <c r="R16" s="22" t="n">
        <v>13.5677269404465</v>
      </c>
      <c r="S16" s="22" t="n">
        <v>13.5677269404465</v>
      </c>
      <c r="T16" s="22" t="n">
        <v>13.5677269404465</v>
      </c>
      <c r="U16" s="22" t="n">
        <v>13.5677269404465</v>
      </c>
      <c r="V16" s="22" t="n">
        <v>13.5677269404465</v>
      </c>
      <c r="W16" s="22" t="n">
        <v>13.5677269404465</v>
      </c>
      <c r="X16" s="22" t="n">
        <v>13.5677269404465</v>
      </c>
      <c r="Y16" s="22" t="n">
        <v>13.5677269404465</v>
      </c>
      <c r="Z16" s="22" t="n">
        <v>13.5677269404465</v>
      </c>
      <c r="AA16" s="22" t="n">
        <v>13.5677269404465</v>
      </c>
      <c r="AB16" s="22" t="n">
        <v>13.5677269404465</v>
      </c>
      <c r="AC16" s="22" t="n">
        <v>13.5677269404465</v>
      </c>
      <c r="AD16" s="22" t="n">
        <v>13.5677269404465</v>
      </c>
      <c r="AE16" s="22" t="n">
        <v>13.5677269404465</v>
      </c>
    </row>
    <row r="17" customFormat="false" ht="15" hidden="false" customHeight="false" outlineLevel="0" collapsed="false">
      <c r="A17" s="35" t="s">
        <v>970</v>
      </c>
      <c r="B17" s="6" t="s">
        <v>71</v>
      </c>
      <c r="C17" s="6" t="s">
        <v>5</v>
      </c>
      <c r="D17" s="6" t="s">
        <v>944</v>
      </c>
      <c r="E17" s="6" t="n">
        <v>1</v>
      </c>
      <c r="F17" s="6" t="s">
        <v>55</v>
      </c>
      <c r="G17" s="6" t="s">
        <v>945</v>
      </c>
      <c r="H17" s="6" t="n">
        <v>2721</v>
      </c>
      <c r="I17" s="35" t="s">
        <v>971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</row>
    <row r="18" customFormat="false" ht="15" hidden="false" customHeight="false" outlineLevel="0" collapsed="false">
      <c r="A18" s="35" t="s">
        <v>972</v>
      </c>
      <c r="B18" s="6" t="s">
        <v>73</v>
      </c>
      <c r="C18" s="6" t="s">
        <v>5</v>
      </c>
      <c r="D18" s="6" t="s">
        <v>941</v>
      </c>
      <c r="E18" s="6" t="n">
        <v>1</v>
      </c>
      <c r="F18" s="6" t="s">
        <v>75</v>
      </c>
      <c r="G18" s="6" t="s">
        <v>942</v>
      </c>
      <c r="H18" s="6" t="n">
        <v>2809</v>
      </c>
      <c r="I18" s="35" t="s">
        <v>973</v>
      </c>
      <c r="K18" s="22"/>
      <c r="L18" s="22" t="n">
        <v>0.144044986793198</v>
      </c>
      <c r="M18" s="22" t="n">
        <v>0.141020409657004</v>
      </c>
      <c r="N18" s="22" t="n">
        <v>0.135116359594476</v>
      </c>
      <c r="O18" s="22" t="n">
        <v>0.130988256985856</v>
      </c>
      <c r="P18" s="22" t="n">
        <v>0.127908416086318</v>
      </c>
      <c r="Q18" s="22" t="n">
        <v>0.124814310557813</v>
      </c>
      <c r="R18" s="22" t="n">
        <v>0.121460257122878</v>
      </c>
      <c r="S18" s="22" t="n">
        <v>0.117950744135786</v>
      </c>
      <c r="T18" s="22" t="n">
        <v>0.114199161044597</v>
      </c>
      <c r="U18" s="22" t="n">
        <v>0.113665100059665</v>
      </c>
      <c r="V18" s="22" t="n">
        <v>0.113016929625957</v>
      </c>
      <c r="W18" s="22" t="n">
        <v>0.112314070507636</v>
      </c>
      <c r="X18" s="22" t="n">
        <v>0.111422042732843</v>
      </c>
      <c r="Y18" s="22" t="n">
        <v>0.110434123675809</v>
      </c>
      <c r="Z18" s="22" t="n">
        <v>0.109483973304471</v>
      </c>
      <c r="AA18" s="22" t="n">
        <v>0.10839192105294</v>
      </c>
      <c r="AB18" s="22" t="n">
        <v>0.107354433626704</v>
      </c>
      <c r="AC18" s="22" t="n">
        <v>0.105168675441661</v>
      </c>
      <c r="AD18" s="22" t="n">
        <v>0.103057983256008</v>
      </c>
      <c r="AE18" s="22" t="n">
        <v>0.100931838990114</v>
      </c>
    </row>
    <row r="19" customFormat="false" ht="15" hidden="false" customHeight="false" outlineLevel="0" collapsed="false">
      <c r="A19" s="35" t="s">
        <v>974</v>
      </c>
      <c r="B19" s="6" t="s">
        <v>73</v>
      </c>
      <c r="C19" s="6" t="s">
        <v>5</v>
      </c>
      <c r="D19" s="6" t="s">
        <v>944</v>
      </c>
      <c r="E19" s="6" t="n">
        <v>1</v>
      </c>
      <c r="F19" s="6" t="s">
        <v>75</v>
      </c>
      <c r="G19" s="6" t="s">
        <v>945</v>
      </c>
      <c r="H19" s="6" t="n">
        <v>2810</v>
      </c>
      <c r="I19" s="35" t="s">
        <v>975</v>
      </c>
      <c r="K19" s="22"/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</row>
    <row r="20" customFormat="false" ht="15" hidden="false" customHeight="false" outlineLevel="0" collapsed="false">
      <c r="A20" s="35" t="s">
        <v>976</v>
      </c>
      <c r="B20" s="6" t="s">
        <v>53</v>
      </c>
      <c r="C20" s="6" t="s">
        <v>5</v>
      </c>
      <c r="D20" s="6" t="s">
        <v>79</v>
      </c>
      <c r="E20" s="6" t="n">
        <v>1</v>
      </c>
      <c r="F20" s="6" t="s">
        <v>55</v>
      </c>
      <c r="G20" s="6" t="s">
        <v>977</v>
      </c>
      <c r="H20" s="6" t="n">
        <v>2379</v>
      </c>
      <c r="I20" s="35" t="s">
        <v>976</v>
      </c>
      <c r="K20" s="22"/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</row>
    <row r="21" customFormat="false" ht="15" hidden="false" customHeight="false" outlineLevel="0" collapsed="false">
      <c r="A21" s="35" t="s">
        <v>978</v>
      </c>
      <c r="B21" s="6" t="s">
        <v>57</v>
      </c>
      <c r="C21" s="6" t="s">
        <v>5</v>
      </c>
      <c r="D21" s="6" t="s">
        <v>79</v>
      </c>
      <c r="E21" s="6" t="n">
        <v>1</v>
      </c>
      <c r="F21" s="6" t="s">
        <v>55</v>
      </c>
      <c r="G21" s="6" t="s">
        <v>977</v>
      </c>
      <c r="H21" s="6" t="n">
        <v>2382</v>
      </c>
      <c r="I21" s="35" t="s">
        <v>978</v>
      </c>
      <c r="K21" s="22"/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</row>
    <row r="22" customFormat="false" ht="15" hidden="false" customHeight="false" outlineLevel="0" collapsed="false">
      <c r="A22" s="35" t="s">
        <v>979</v>
      </c>
      <c r="B22" s="6" t="s">
        <v>59</v>
      </c>
      <c r="C22" s="6" t="s">
        <v>5</v>
      </c>
      <c r="D22" s="6" t="s">
        <v>79</v>
      </c>
      <c r="E22" s="6" t="n">
        <v>1</v>
      </c>
      <c r="F22" s="6" t="s">
        <v>61</v>
      </c>
      <c r="G22" s="6" t="s">
        <v>977</v>
      </c>
      <c r="H22" s="6" t="n">
        <v>2383</v>
      </c>
      <c r="I22" s="35" t="s">
        <v>980</v>
      </c>
      <c r="K22" s="22"/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</row>
    <row r="23" customFormat="false" ht="15" hidden="false" customHeight="false" outlineLevel="0" collapsed="false">
      <c r="A23" s="35" t="s">
        <v>981</v>
      </c>
      <c r="B23" s="6" t="s">
        <v>62</v>
      </c>
      <c r="C23" s="6" t="s">
        <v>5</v>
      </c>
      <c r="D23" s="6" t="s">
        <v>79</v>
      </c>
      <c r="E23" s="6" t="n">
        <v>1</v>
      </c>
      <c r="F23" s="6" t="s">
        <v>61</v>
      </c>
      <c r="G23" s="6" t="s">
        <v>977</v>
      </c>
      <c r="H23" s="6" t="n">
        <v>2384</v>
      </c>
      <c r="I23" s="35" t="s">
        <v>982</v>
      </c>
      <c r="K23" s="22"/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</row>
    <row r="24" customFormat="false" ht="15" hidden="false" customHeight="false" outlineLevel="0" collapsed="false">
      <c r="A24" s="35" t="s">
        <v>983</v>
      </c>
      <c r="B24" s="6" t="s">
        <v>64</v>
      </c>
      <c r="C24" s="6" t="s">
        <v>5</v>
      </c>
      <c r="D24" s="6" t="s">
        <v>79</v>
      </c>
      <c r="E24" s="6" t="n">
        <v>1</v>
      </c>
      <c r="F24" s="6" t="s">
        <v>61</v>
      </c>
      <c r="G24" s="6" t="s">
        <v>977</v>
      </c>
      <c r="H24" s="6" t="n">
        <v>2385</v>
      </c>
      <c r="I24" s="35" t="s">
        <v>984</v>
      </c>
      <c r="K24" s="22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</row>
    <row r="25" customFormat="false" ht="15" hidden="false" customHeight="false" outlineLevel="0" collapsed="false">
      <c r="A25" s="35" t="s">
        <v>985</v>
      </c>
      <c r="B25" s="6" t="s">
        <v>66</v>
      </c>
      <c r="C25" s="6" t="s">
        <v>5</v>
      </c>
      <c r="D25" s="6" t="s">
        <v>79</v>
      </c>
      <c r="E25" s="6" t="n">
        <v>1</v>
      </c>
      <c r="F25" s="6" t="s">
        <v>61</v>
      </c>
      <c r="G25" s="6" t="s">
        <v>977</v>
      </c>
      <c r="H25" s="6" t="n">
        <v>2386</v>
      </c>
      <c r="I25" s="35" t="s">
        <v>986</v>
      </c>
      <c r="K25" s="22"/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</row>
    <row r="26" customFormat="false" ht="15" hidden="false" customHeight="false" outlineLevel="0" collapsed="false">
      <c r="A26" s="35" t="s">
        <v>987</v>
      </c>
      <c r="B26" s="6" t="s">
        <v>68</v>
      </c>
      <c r="C26" s="6" t="s">
        <v>5</v>
      </c>
      <c r="D26" s="6" t="s">
        <v>79</v>
      </c>
      <c r="E26" s="6" t="n">
        <v>1</v>
      </c>
      <c r="F26" s="6" t="s">
        <v>70</v>
      </c>
      <c r="G26" s="6" t="s">
        <v>977</v>
      </c>
      <c r="H26" s="6" t="n">
        <v>2387</v>
      </c>
      <c r="I26" s="35" t="s">
        <v>988</v>
      </c>
      <c r="K26" s="22"/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</row>
    <row r="27" customFormat="false" ht="15" hidden="false" customHeight="false" outlineLevel="0" collapsed="false">
      <c r="A27" s="35" t="s">
        <v>989</v>
      </c>
      <c r="B27" s="6" t="s">
        <v>71</v>
      </c>
      <c r="C27" s="6" t="s">
        <v>5</v>
      </c>
      <c r="D27" s="6" t="s">
        <v>79</v>
      </c>
      <c r="E27" s="6" t="n">
        <v>1</v>
      </c>
      <c r="F27" s="6" t="s">
        <v>55</v>
      </c>
      <c r="G27" s="6" t="s">
        <v>977</v>
      </c>
      <c r="H27" s="6" t="n">
        <v>2388</v>
      </c>
      <c r="I27" s="35" t="s">
        <v>990</v>
      </c>
      <c r="K27" s="22"/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</row>
    <row r="28" customFormat="false" ht="15" hidden="false" customHeight="false" outlineLevel="0" collapsed="false">
      <c r="A28" s="35" t="s">
        <v>991</v>
      </c>
      <c r="B28" s="6" t="s">
        <v>73</v>
      </c>
      <c r="C28" s="6" t="s">
        <v>5</v>
      </c>
      <c r="D28" s="6" t="s">
        <v>79</v>
      </c>
      <c r="E28" s="6" t="n">
        <v>1</v>
      </c>
      <c r="F28" s="6" t="s">
        <v>75</v>
      </c>
      <c r="G28" s="6" t="s">
        <v>992</v>
      </c>
      <c r="H28" s="6" t="s">
        <v>81</v>
      </c>
      <c r="I28" s="35" t="s">
        <v>81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</row>
    <row r="29" customFormat="false" ht="15" hidden="false" customHeight="false" outlineLevel="0" collapsed="false">
      <c r="A29" s="35" t="s">
        <v>993</v>
      </c>
      <c r="B29" s="6" t="s">
        <v>81</v>
      </c>
      <c r="C29" s="6" t="s">
        <v>885</v>
      </c>
      <c r="D29" s="6" t="s">
        <v>84</v>
      </c>
      <c r="E29" s="6" t="n">
        <v>1</v>
      </c>
      <c r="F29" s="6" t="s">
        <v>83</v>
      </c>
      <c r="G29" s="6" t="s">
        <v>994</v>
      </c>
      <c r="H29" s="6" t="n">
        <v>2270</v>
      </c>
      <c r="I29" s="35" t="s">
        <v>993</v>
      </c>
      <c r="K29" s="23"/>
      <c r="L29" s="23" t="n">
        <v>0</v>
      </c>
      <c r="M29" s="23" t="n">
        <v>0</v>
      </c>
      <c r="N29" s="23" t="n">
        <v>0</v>
      </c>
      <c r="O29" s="23" t="n">
        <v>0</v>
      </c>
      <c r="P29" s="23" t="n">
        <v>0</v>
      </c>
      <c r="Q29" s="23" t="n">
        <v>0</v>
      </c>
      <c r="R29" s="23" t="n">
        <v>0</v>
      </c>
      <c r="S29" s="23" t="n">
        <v>0</v>
      </c>
      <c r="T29" s="23" t="n">
        <v>0</v>
      </c>
      <c r="U29" s="23" t="n">
        <v>0</v>
      </c>
      <c r="V29" s="23" t="n">
        <v>0</v>
      </c>
      <c r="W29" s="23" t="n">
        <v>0</v>
      </c>
      <c r="X29" s="23" t="n">
        <v>0</v>
      </c>
      <c r="Y29" s="23" t="n">
        <v>0</v>
      </c>
      <c r="Z29" s="23" t="n">
        <v>0</v>
      </c>
      <c r="AA29" s="23" t="n">
        <v>0</v>
      </c>
      <c r="AB29" s="23" t="n">
        <v>0</v>
      </c>
      <c r="AC29" s="23" t="n">
        <v>0</v>
      </c>
      <c r="AD29" s="23" t="n">
        <v>0</v>
      </c>
      <c r="AE29" s="23" t="n">
        <v>0</v>
      </c>
    </row>
    <row r="30" customFormat="false" ht="15" hidden="false" customHeight="false" outlineLevel="0" collapsed="false">
      <c r="A30" s="35" t="s">
        <v>995</v>
      </c>
      <c r="B30" s="6" t="s">
        <v>81</v>
      </c>
      <c r="C30" s="6" t="s">
        <v>886</v>
      </c>
      <c r="D30" s="6" t="s">
        <v>84</v>
      </c>
      <c r="E30" s="6" t="n">
        <v>1</v>
      </c>
      <c r="F30" s="6" t="s">
        <v>83</v>
      </c>
      <c r="G30" s="6" t="s">
        <v>994</v>
      </c>
      <c r="H30" s="6" t="n">
        <v>2271</v>
      </c>
      <c r="I30" s="35" t="s">
        <v>995</v>
      </c>
      <c r="K30" s="23"/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0</v>
      </c>
      <c r="Q30" s="23" t="n">
        <v>0</v>
      </c>
      <c r="R30" s="23" t="n">
        <v>0</v>
      </c>
      <c r="S30" s="23" t="n">
        <v>0</v>
      </c>
      <c r="T30" s="23" t="n">
        <v>0</v>
      </c>
      <c r="U30" s="23" t="n">
        <v>0</v>
      </c>
      <c r="V30" s="23" t="n">
        <v>0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0</v>
      </c>
      <c r="AB30" s="23" t="n">
        <v>0</v>
      </c>
      <c r="AC30" s="23" t="n">
        <v>0</v>
      </c>
      <c r="AD30" s="23" t="n">
        <v>0</v>
      </c>
      <c r="AE30" s="23" t="n">
        <v>0</v>
      </c>
    </row>
    <row r="31" customFormat="false" ht="15" hidden="false" customHeight="false" outlineLevel="0" collapsed="false">
      <c r="A31" s="35" t="s">
        <v>996</v>
      </c>
      <c r="B31" s="6" t="s">
        <v>81</v>
      </c>
      <c r="C31" s="6" t="s">
        <v>887</v>
      </c>
      <c r="D31" s="6" t="s">
        <v>84</v>
      </c>
      <c r="E31" s="6" t="n">
        <v>1</v>
      </c>
      <c r="F31" s="6" t="s">
        <v>83</v>
      </c>
      <c r="G31" s="6" t="s">
        <v>994</v>
      </c>
      <c r="H31" s="6" t="n">
        <v>2272</v>
      </c>
      <c r="I31" s="35" t="s">
        <v>996</v>
      </c>
      <c r="K31" s="23"/>
      <c r="L31" s="23" t="n">
        <v>0</v>
      </c>
      <c r="M31" s="23" t="n">
        <v>0</v>
      </c>
      <c r="N31" s="23" t="n">
        <v>0</v>
      </c>
      <c r="O31" s="23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  <c r="W31" s="23" t="n">
        <v>0</v>
      </c>
      <c r="X31" s="23" t="n">
        <v>0</v>
      </c>
      <c r="Y31" s="23" t="n">
        <v>0</v>
      </c>
      <c r="Z31" s="23" t="n">
        <v>0</v>
      </c>
      <c r="AA31" s="23" t="n">
        <v>0</v>
      </c>
      <c r="AB31" s="23" t="n">
        <v>0</v>
      </c>
      <c r="AC31" s="23" t="n">
        <v>0</v>
      </c>
      <c r="AD31" s="23" t="n">
        <v>0</v>
      </c>
      <c r="AE31" s="23" t="n">
        <v>0</v>
      </c>
    </row>
    <row r="32" customFormat="false" ht="15" hidden="false" customHeight="false" outlineLevel="0" collapsed="false">
      <c r="A32" s="35" t="s">
        <v>997</v>
      </c>
      <c r="B32" s="6" t="s">
        <v>81</v>
      </c>
      <c r="C32" s="6" t="s">
        <v>889</v>
      </c>
      <c r="D32" s="6" t="s">
        <v>84</v>
      </c>
      <c r="E32" s="6" t="n">
        <v>1</v>
      </c>
      <c r="F32" s="6" t="s">
        <v>83</v>
      </c>
      <c r="G32" s="6" t="s">
        <v>994</v>
      </c>
      <c r="H32" s="6" t="n">
        <v>2273</v>
      </c>
      <c r="I32" s="35" t="s">
        <v>997</v>
      </c>
      <c r="K32" s="23"/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0</v>
      </c>
      <c r="T32" s="23" t="n">
        <v>0</v>
      </c>
      <c r="U32" s="23" t="n">
        <v>0</v>
      </c>
      <c r="V32" s="23" t="n">
        <v>0</v>
      </c>
      <c r="W32" s="23" t="n">
        <v>0</v>
      </c>
      <c r="X32" s="23" t="n">
        <v>0</v>
      </c>
      <c r="Y32" s="23" t="n">
        <v>0</v>
      </c>
      <c r="Z32" s="23" t="n">
        <v>0</v>
      </c>
      <c r="AA32" s="23" t="n">
        <v>0</v>
      </c>
      <c r="AB32" s="23" t="n">
        <v>0</v>
      </c>
      <c r="AC32" s="23" t="n">
        <v>0</v>
      </c>
      <c r="AD32" s="23" t="n">
        <v>0</v>
      </c>
      <c r="AE32" s="23" t="n">
        <v>0</v>
      </c>
    </row>
    <row r="33" customFormat="false" ht="15" hidden="false" customHeight="false" outlineLevel="0" collapsed="false">
      <c r="A33" s="35" t="s">
        <v>998</v>
      </c>
      <c r="B33" s="6" t="s">
        <v>81</v>
      </c>
      <c r="C33" s="6" t="s">
        <v>888</v>
      </c>
      <c r="D33" s="6" t="s">
        <v>84</v>
      </c>
      <c r="E33" s="6" t="n">
        <v>1</v>
      </c>
      <c r="F33" s="6" t="s">
        <v>83</v>
      </c>
      <c r="G33" s="6" t="s">
        <v>994</v>
      </c>
      <c r="H33" s="6" t="n">
        <v>2274</v>
      </c>
      <c r="I33" s="35" t="s">
        <v>998</v>
      </c>
      <c r="K33" s="23"/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0</v>
      </c>
      <c r="W33" s="23" t="n">
        <v>0</v>
      </c>
      <c r="X33" s="23" t="n">
        <v>0</v>
      </c>
      <c r="Y33" s="23" t="n">
        <v>0</v>
      </c>
      <c r="Z33" s="23" t="n">
        <v>0</v>
      </c>
      <c r="AA33" s="23" t="n">
        <v>0</v>
      </c>
      <c r="AB33" s="23" t="n">
        <v>0</v>
      </c>
      <c r="AC33" s="23" t="n">
        <v>0</v>
      </c>
      <c r="AD33" s="23" t="n">
        <v>0</v>
      </c>
      <c r="AE33" s="23" t="n">
        <v>0</v>
      </c>
    </row>
    <row r="34" customFormat="false" ht="15" hidden="false" customHeight="false" outlineLevel="0" collapsed="false">
      <c r="A34" s="35" t="s">
        <v>999</v>
      </c>
      <c r="B34" s="6" t="s">
        <v>81</v>
      </c>
      <c r="C34" s="6" t="s">
        <v>890</v>
      </c>
      <c r="D34" s="6" t="s">
        <v>84</v>
      </c>
      <c r="E34" s="6" t="n">
        <v>1</v>
      </c>
      <c r="F34" s="6" t="s">
        <v>83</v>
      </c>
      <c r="G34" s="6" t="s">
        <v>994</v>
      </c>
      <c r="H34" s="6" t="n">
        <v>2275</v>
      </c>
      <c r="I34" s="35" t="s">
        <v>999</v>
      </c>
      <c r="K34" s="23"/>
      <c r="L34" s="23" t="n">
        <v>0</v>
      </c>
      <c r="M34" s="23" t="n">
        <v>0</v>
      </c>
      <c r="N34" s="23" t="n">
        <v>0</v>
      </c>
      <c r="O34" s="23" t="n">
        <v>0</v>
      </c>
      <c r="P34" s="23" t="n">
        <v>0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0</v>
      </c>
      <c r="W34" s="23" t="n">
        <v>0</v>
      </c>
      <c r="X34" s="23" t="n">
        <v>0</v>
      </c>
      <c r="Y34" s="23" t="n">
        <v>0</v>
      </c>
      <c r="Z34" s="23" t="n">
        <v>0</v>
      </c>
      <c r="AA34" s="23" t="n">
        <v>0</v>
      </c>
      <c r="AB34" s="23" t="n">
        <v>0</v>
      </c>
      <c r="AC34" s="23" t="n">
        <v>0</v>
      </c>
      <c r="AD34" s="23" t="n">
        <v>0</v>
      </c>
      <c r="AE34" s="23" t="n">
        <v>0</v>
      </c>
    </row>
    <row r="35" customFormat="false" ht="15" hidden="false" customHeight="false" outlineLevel="0" collapsed="false">
      <c r="A35" s="35" t="s">
        <v>1000</v>
      </c>
      <c r="B35" s="6" t="s">
        <v>81</v>
      </c>
      <c r="C35" s="6" t="s">
        <v>891</v>
      </c>
      <c r="D35" s="6" t="s">
        <v>84</v>
      </c>
      <c r="E35" s="6" t="n">
        <v>1</v>
      </c>
      <c r="F35" s="6" t="s">
        <v>83</v>
      </c>
      <c r="G35" s="6" t="s">
        <v>994</v>
      </c>
      <c r="H35" s="6" t="n">
        <v>2276</v>
      </c>
      <c r="I35" s="35" t="s">
        <v>1000</v>
      </c>
      <c r="K35" s="23"/>
      <c r="L35" s="23" t="n">
        <v>0</v>
      </c>
      <c r="M35" s="23" t="n">
        <v>0</v>
      </c>
      <c r="N35" s="23" t="n">
        <v>0</v>
      </c>
      <c r="O35" s="23" t="n">
        <v>0</v>
      </c>
      <c r="P35" s="23" t="n">
        <v>0</v>
      </c>
      <c r="Q35" s="23" t="n">
        <v>0</v>
      </c>
      <c r="R35" s="23" t="n">
        <v>0</v>
      </c>
      <c r="S35" s="23" t="n">
        <v>0</v>
      </c>
      <c r="T35" s="23" t="n">
        <v>0</v>
      </c>
      <c r="U35" s="23" t="n">
        <v>0</v>
      </c>
      <c r="V35" s="23" t="n">
        <v>0</v>
      </c>
      <c r="W35" s="23" t="n">
        <v>0</v>
      </c>
      <c r="X35" s="23" t="n">
        <v>0</v>
      </c>
      <c r="Y35" s="23" t="n">
        <v>0</v>
      </c>
      <c r="Z35" s="23" t="n">
        <v>0</v>
      </c>
      <c r="AA35" s="23" t="n">
        <v>0</v>
      </c>
      <c r="AB35" s="23" t="n">
        <v>0</v>
      </c>
      <c r="AC35" s="23" t="n">
        <v>0</v>
      </c>
      <c r="AD35" s="23" t="n">
        <v>0</v>
      </c>
      <c r="AE35" s="23" t="n">
        <v>0</v>
      </c>
    </row>
    <row r="36" customFormat="false" ht="15" hidden="false" customHeight="false" outlineLevel="0" collapsed="false">
      <c r="A36" s="35" t="s">
        <v>1001</v>
      </c>
      <c r="B36" s="6" t="s">
        <v>81</v>
      </c>
      <c r="C36" s="6" t="s">
        <v>892</v>
      </c>
      <c r="D36" s="6" t="s">
        <v>84</v>
      </c>
      <c r="E36" s="6" t="n">
        <v>1</v>
      </c>
      <c r="F36" s="6" t="s">
        <v>83</v>
      </c>
      <c r="G36" s="6" t="s">
        <v>994</v>
      </c>
      <c r="H36" s="6" t="n">
        <v>2277</v>
      </c>
      <c r="I36" s="35" t="s">
        <v>1001</v>
      </c>
      <c r="K36" s="23"/>
      <c r="L36" s="23" t="n">
        <v>0</v>
      </c>
      <c r="M36" s="23" t="n">
        <v>0</v>
      </c>
      <c r="N36" s="23" t="n">
        <v>0</v>
      </c>
      <c r="O36" s="23" t="n">
        <v>0</v>
      </c>
      <c r="P36" s="23" t="n">
        <v>0</v>
      </c>
      <c r="Q36" s="23" t="n">
        <v>0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  <c r="W36" s="23" t="n">
        <v>0</v>
      </c>
      <c r="X36" s="23" t="n">
        <v>0</v>
      </c>
      <c r="Y36" s="23" t="n">
        <v>0</v>
      </c>
      <c r="Z36" s="23" t="n">
        <v>0</v>
      </c>
      <c r="AA36" s="23" t="n">
        <v>0</v>
      </c>
      <c r="AB36" s="23" t="n">
        <v>0</v>
      </c>
      <c r="AC36" s="23" t="n">
        <v>0</v>
      </c>
      <c r="AD36" s="23" t="n">
        <v>0</v>
      </c>
      <c r="AE36" s="23" t="n">
        <v>0</v>
      </c>
    </row>
    <row r="37" customFormat="false" ht="15" hidden="false" customHeight="false" outlineLevel="0" collapsed="false">
      <c r="A37" s="35" t="s">
        <v>1002</v>
      </c>
      <c r="B37" s="6" t="s">
        <v>81</v>
      </c>
      <c r="C37" s="6" t="s">
        <v>121</v>
      </c>
      <c r="D37" s="6" t="s">
        <v>84</v>
      </c>
      <c r="E37" s="6" t="n">
        <v>1</v>
      </c>
      <c r="F37" s="6" t="s">
        <v>83</v>
      </c>
      <c r="G37" s="6" t="s">
        <v>994</v>
      </c>
      <c r="H37" s="6" t="n">
        <v>2278</v>
      </c>
      <c r="I37" s="35" t="s">
        <v>1002</v>
      </c>
      <c r="K37" s="23"/>
      <c r="L37" s="23" t="n">
        <v>0</v>
      </c>
      <c r="M37" s="23" t="n">
        <v>0</v>
      </c>
      <c r="N37" s="23" t="n">
        <v>0</v>
      </c>
      <c r="O37" s="23" t="n">
        <v>0</v>
      </c>
      <c r="P37" s="23" t="n">
        <v>0</v>
      </c>
      <c r="Q37" s="23" t="n">
        <v>0</v>
      </c>
      <c r="R37" s="23" t="n">
        <v>0</v>
      </c>
      <c r="S37" s="23" t="n">
        <v>0</v>
      </c>
      <c r="T37" s="23" t="n">
        <v>0</v>
      </c>
      <c r="U37" s="23" t="n">
        <v>0</v>
      </c>
      <c r="V37" s="23" t="n">
        <v>0</v>
      </c>
      <c r="W37" s="23" t="n">
        <v>0</v>
      </c>
      <c r="X37" s="23" t="n">
        <v>0</v>
      </c>
      <c r="Y37" s="23" t="n">
        <v>0</v>
      </c>
      <c r="Z37" s="23" t="n">
        <v>0</v>
      </c>
      <c r="AA37" s="23" t="n">
        <v>0</v>
      </c>
      <c r="AB37" s="23" t="n">
        <v>0</v>
      </c>
      <c r="AC37" s="23" t="n">
        <v>0</v>
      </c>
      <c r="AD37" s="23" t="n">
        <v>0</v>
      </c>
      <c r="AE37" s="23" t="n">
        <v>0</v>
      </c>
    </row>
    <row r="38" customFormat="false" ht="15" hidden="false" customHeight="false" outlineLevel="0" collapsed="false">
      <c r="A38" s="35" t="s">
        <v>1003</v>
      </c>
      <c r="B38" s="6" t="s">
        <v>81</v>
      </c>
      <c r="C38" s="6" t="s">
        <v>47</v>
      </c>
      <c r="D38" s="6" t="s">
        <v>84</v>
      </c>
      <c r="E38" s="6" t="n">
        <v>1</v>
      </c>
      <c r="F38" s="6" t="s">
        <v>83</v>
      </c>
      <c r="G38" s="6" t="s">
        <v>994</v>
      </c>
      <c r="H38" s="6" t="n">
        <v>2279</v>
      </c>
      <c r="I38" s="35" t="s">
        <v>1003</v>
      </c>
      <c r="K38" s="23"/>
      <c r="L38" s="23" t="n">
        <v>0</v>
      </c>
      <c r="M38" s="23" t="n">
        <v>0</v>
      </c>
      <c r="N38" s="23" t="n">
        <v>0</v>
      </c>
      <c r="O38" s="23" t="n">
        <v>0</v>
      </c>
      <c r="P38" s="23" t="n">
        <v>0</v>
      </c>
      <c r="Q38" s="23" t="n">
        <v>0</v>
      </c>
      <c r="R38" s="23" t="n">
        <v>0</v>
      </c>
      <c r="S38" s="23" t="n">
        <v>0</v>
      </c>
      <c r="T38" s="23" t="n">
        <v>0</v>
      </c>
      <c r="U38" s="23" t="n">
        <v>0</v>
      </c>
      <c r="V38" s="23" t="n">
        <v>0</v>
      </c>
      <c r="W38" s="23" t="n">
        <v>0</v>
      </c>
      <c r="X38" s="23" t="n">
        <v>0</v>
      </c>
      <c r="Y38" s="23" t="n">
        <v>0</v>
      </c>
      <c r="Z38" s="23" t="n">
        <v>0</v>
      </c>
      <c r="AA38" s="23" t="n">
        <v>0</v>
      </c>
      <c r="AB38" s="23" t="n">
        <v>0</v>
      </c>
      <c r="AC38" s="23" t="n">
        <v>0</v>
      </c>
      <c r="AD38" s="23" t="n">
        <v>0</v>
      </c>
      <c r="AE38" s="23" t="n">
        <v>0</v>
      </c>
    </row>
    <row r="39" customFormat="false" ht="15" hidden="false" customHeight="false" outlineLevel="0" collapsed="false">
      <c r="A39" s="35" t="s">
        <v>1004</v>
      </c>
      <c r="B39" s="6" t="s">
        <v>81</v>
      </c>
      <c r="C39" s="6" t="s">
        <v>119</v>
      </c>
      <c r="D39" s="6" t="s">
        <v>84</v>
      </c>
      <c r="E39" s="6" t="n">
        <v>1</v>
      </c>
      <c r="F39" s="6" t="s">
        <v>83</v>
      </c>
      <c r="G39" s="6" t="s">
        <v>994</v>
      </c>
      <c r="H39" s="6" t="n">
        <v>2280</v>
      </c>
      <c r="I39" s="35" t="s">
        <v>1004</v>
      </c>
      <c r="K39" s="23"/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0</v>
      </c>
      <c r="Q39" s="23" t="n">
        <v>0</v>
      </c>
      <c r="R39" s="23" t="n">
        <v>0</v>
      </c>
      <c r="S39" s="23" t="n">
        <v>0</v>
      </c>
      <c r="T39" s="23" t="n">
        <v>0</v>
      </c>
      <c r="U39" s="23" t="n">
        <v>0</v>
      </c>
      <c r="V39" s="23" t="n">
        <v>0</v>
      </c>
      <c r="W39" s="23" t="n">
        <v>0</v>
      </c>
      <c r="X39" s="23" t="n">
        <v>0</v>
      </c>
      <c r="Y39" s="23" t="n">
        <v>0</v>
      </c>
      <c r="Z39" s="23" t="n">
        <v>0</v>
      </c>
      <c r="AA39" s="23" t="n">
        <v>0</v>
      </c>
      <c r="AB39" s="23" t="n">
        <v>0</v>
      </c>
      <c r="AC39" s="23" t="n">
        <v>0</v>
      </c>
      <c r="AD39" s="23" t="n">
        <v>0</v>
      </c>
      <c r="AE39" s="23" t="n">
        <v>0</v>
      </c>
    </row>
    <row r="40" customFormat="false" ht="15" hidden="false" customHeight="false" outlineLevel="0" collapsed="false">
      <c r="A40" s="35" t="s">
        <v>1005</v>
      </c>
      <c r="B40" s="6" t="s">
        <v>81</v>
      </c>
      <c r="C40" s="6" t="s">
        <v>893</v>
      </c>
      <c r="D40" s="6" t="s">
        <v>84</v>
      </c>
      <c r="E40" s="6" t="n">
        <v>1</v>
      </c>
      <c r="F40" s="6" t="s">
        <v>83</v>
      </c>
      <c r="G40" s="6" t="s">
        <v>994</v>
      </c>
      <c r="H40" s="6" t="n">
        <v>2281</v>
      </c>
      <c r="I40" s="35" t="s">
        <v>1005</v>
      </c>
      <c r="K40" s="23"/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0</v>
      </c>
      <c r="Q40" s="23" t="n">
        <v>0</v>
      </c>
      <c r="R40" s="23" t="n">
        <v>0</v>
      </c>
      <c r="S40" s="23" t="n">
        <v>0</v>
      </c>
      <c r="T40" s="23" t="n">
        <v>0</v>
      </c>
      <c r="U40" s="23" t="n">
        <v>0</v>
      </c>
      <c r="V40" s="23" t="n">
        <v>0</v>
      </c>
      <c r="W40" s="23" t="n">
        <v>0</v>
      </c>
      <c r="X40" s="23" t="n">
        <v>0</v>
      </c>
      <c r="Y40" s="23" t="n">
        <v>0</v>
      </c>
      <c r="Z40" s="23" t="n">
        <v>0</v>
      </c>
      <c r="AA40" s="23" t="n">
        <v>0</v>
      </c>
      <c r="AB40" s="23" t="n">
        <v>0</v>
      </c>
      <c r="AC40" s="23" t="n">
        <v>0</v>
      </c>
      <c r="AD40" s="23" t="n">
        <v>0</v>
      </c>
      <c r="AE40" s="23" t="n">
        <v>0</v>
      </c>
    </row>
    <row r="41" customFormat="false" ht="15" hidden="false" customHeight="false" outlineLevel="0" collapsed="false">
      <c r="A41" s="35" t="s">
        <v>1006</v>
      </c>
      <c r="B41" s="6" t="s">
        <v>81</v>
      </c>
      <c r="C41" s="6" t="s">
        <v>117</v>
      </c>
      <c r="D41" s="6" t="s">
        <v>84</v>
      </c>
      <c r="E41" s="6" t="n">
        <v>1</v>
      </c>
      <c r="F41" s="6" t="s">
        <v>83</v>
      </c>
      <c r="G41" s="6" t="s">
        <v>994</v>
      </c>
      <c r="H41" s="6" t="n">
        <v>2282</v>
      </c>
      <c r="I41" s="35" t="s">
        <v>1006</v>
      </c>
      <c r="K41" s="23"/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0</v>
      </c>
      <c r="U41" s="23" t="n">
        <v>0</v>
      </c>
      <c r="V41" s="23" t="n">
        <v>0</v>
      </c>
      <c r="W41" s="23" t="n">
        <v>0</v>
      </c>
      <c r="X41" s="23" t="n">
        <v>0</v>
      </c>
      <c r="Y41" s="23" t="n">
        <v>0</v>
      </c>
      <c r="Z41" s="23" t="n">
        <v>0</v>
      </c>
      <c r="AA41" s="23" t="n">
        <v>0</v>
      </c>
      <c r="AB41" s="23" t="n">
        <v>0</v>
      </c>
      <c r="AC41" s="23" t="n">
        <v>0</v>
      </c>
      <c r="AD41" s="23" t="n">
        <v>0</v>
      </c>
      <c r="AE41" s="23" t="n">
        <v>0</v>
      </c>
    </row>
    <row r="42" customFormat="false" ht="15" hidden="false" customHeight="false" outlineLevel="0" collapsed="false">
      <c r="A42" s="35" t="s">
        <v>1007</v>
      </c>
      <c r="B42" s="6" t="s">
        <v>81</v>
      </c>
      <c r="C42" s="6" t="s">
        <v>894</v>
      </c>
      <c r="D42" s="6" t="s">
        <v>84</v>
      </c>
      <c r="E42" s="6" t="n">
        <v>1</v>
      </c>
      <c r="F42" s="6" t="s">
        <v>83</v>
      </c>
      <c r="G42" s="6" t="s">
        <v>994</v>
      </c>
      <c r="H42" s="6" t="n">
        <v>2283</v>
      </c>
      <c r="I42" s="35" t="s">
        <v>1007</v>
      </c>
      <c r="K42" s="23"/>
      <c r="L42" s="23" t="n">
        <v>0</v>
      </c>
      <c r="M42" s="23" t="n">
        <v>0</v>
      </c>
      <c r="N42" s="23" t="n">
        <v>0</v>
      </c>
      <c r="O42" s="23" t="n">
        <v>0</v>
      </c>
      <c r="P42" s="23" t="n">
        <v>0</v>
      </c>
      <c r="Q42" s="23" t="n">
        <v>0</v>
      </c>
      <c r="R42" s="23" t="n">
        <v>0</v>
      </c>
      <c r="S42" s="23" t="n">
        <v>0</v>
      </c>
      <c r="T42" s="23" t="n">
        <v>0</v>
      </c>
      <c r="U42" s="23" t="n">
        <v>0</v>
      </c>
      <c r="V42" s="23" t="n">
        <v>0</v>
      </c>
      <c r="W42" s="23" t="n">
        <v>0</v>
      </c>
      <c r="X42" s="23" t="n">
        <v>0</v>
      </c>
      <c r="Y42" s="23" t="n">
        <v>0</v>
      </c>
      <c r="Z42" s="23" t="n">
        <v>0</v>
      </c>
      <c r="AA42" s="23" t="n">
        <v>0</v>
      </c>
      <c r="AB42" s="23" t="n">
        <v>0</v>
      </c>
      <c r="AC42" s="23" t="n">
        <v>0</v>
      </c>
      <c r="AD42" s="23" t="n">
        <v>0</v>
      </c>
      <c r="AE42" s="23" t="n">
        <v>0</v>
      </c>
    </row>
    <row r="43" customFormat="false" ht="15" hidden="false" customHeight="false" outlineLevel="0" collapsed="false">
      <c r="A43" s="35" t="s">
        <v>1008</v>
      </c>
      <c r="B43" s="6" t="s">
        <v>81</v>
      </c>
      <c r="C43" s="6" t="s">
        <v>895</v>
      </c>
      <c r="D43" s="6" t="s">
        <v>84</v>
      </c>
      <c r="E43" s="6" t="n">
        <v>1</v>
      </c>
      <c r="F43" s="6" t="s">
        <v>83</v>
      </c>
      <c r="G43" s="6" t="s">
        <v>994</v>
      </c>
      <c r="H43" s="6" t="n">
        <v>2284</v>
      </c>
      <c r="I43" s="35" t="s">
        <v>1008</v>
      </c>
      <c r="K43" s="23"/>
      <c r="L43" s="23" t="n">
        <v>0</v>
      </c>
      <c r="M43" s="23" t="n">
        <v>0</v>
      </c>
      <c r="N43" s="23" t="n">
        <v>0</v>
      </c>
      <c r="O43" s="23" t="n">
        <v>0</v>
      </c>
      <c r="P43" s="23" t="n">
        <v>0</v>
      </c>
      <c r="Q43" s="23" t="n">
        <v>0</v>
      </c>
      <c r="R43" s="23" t="n">
        <v>0</v>
      </c>
      <c r="S43" s="23" t="n">
        <v>0</v>
      </c>
      <c r="T43" s="23" t="n">
        <v>0</v>
      </c>
      <c r="U43" s="23" t="n">
        <v>0</v>
      </c>
      <c r="V43" s="23" t="n">
        <v>0</v>
      </c>
      <c r="W43" s="23" t="n">
        <v>0</v>
      </c>
      <c r="X43" s="23" t="n">
        <v>0</v>
      </c>
      <c r="Y43" s="23" t="n">
        <v>0</v>
      </c>
      <c r="Z43" s="23" t="n">
        <v>0</v>
      </c>
      <c r="AA43" s="23" t="n">
        <v>0</v>
      </c>
      <c r="AB43" s="23" t="n">
        <v>0</v>
      </c>
      <c r="AC43" s="23" t="n">
        <v>0</v>
      </c>
      <c r="AD43" s="23" t="n">
        <v>0</v>
      </c>
      <c r="AE43" s="23" t="n">
        <v>0</v>
      </c>
    </row>
    <row r="44" customFormat="false" ht="15" hidden="false" customHeight="false" outlineLevel="0" collapsed="false">
      <c r="A44" s="35" t="s">
        <v>1009</v>
      </c>
      <c r="B44" s="6" t="s">
        <v>81</v>
      </c>
      <c r="C44" s="6" t="s">
        <v>896</v>
      </c>
      <c r="D44" s="6" t="s">
        <v>84</v>
      </c>
      <c r="E44" s="6" t="n">
        <v>1</v>
      </c>
      <c r="F44" s="6" t="s">
        <v>83</v>
      </c>
      <c r="G44" s="6" t="s">
        <v>994</v>
      </c>
      <c r="H44" s="6" t="n">
        <v>2285</v>
      </c>
      <c r="I44" s="35" t="s">
        <v>1009</v>
      </c>
      <c r="K44" s="23"/>
      <c r="L44" s="23" t="n">
        <v>0</v>
      </c>
      <c r="M44" s="23" t="n">
        <v>0</v>
      </c>
      <c r="N44" s="23" t="n">
        <v>0</v>
      </c>
      <c r="O44" s="23" t="n">
        <v>0</v>
      </c>
      <c r="P44" s="23" t="n">
        <v>0</v>
      </c>
      <c r="Q44" s="23" t="n">
        <v>0</v>
      </c>
      <c r="R44" s="23" t="n">
        <v>0</v>
      </c>
      <c r="S44" s="23" t="n">
        <v>0</v>
      </c>
      <c r="T44" s="23" t="n">
        <v>0</v>
      </c>
      <c r="U44" s="23" t="n">
        <v>0</v>
      </c>
      <c r="V44" s="23" t="n">
        <v>0</v>
      </c>
      <c r="W44" s="23" t="n">
        <v>0</v>
      </c>
      <c r="X44" s="23" t="n">
        <v>0</v>
      </c>
      <c r="Y44" s="23" t="n">
        <v>0</v>
      </c>
      <c r="Z44" s="23" t="n">
        <v>0</v>
      </c>
      <c r="AA44" s="23" t="n">
        <v>0</v>
      </c>
      <c r="AB44" s="23" t="n">
        <v>0</v>
      </c>
      <c r="AC44" s="23" t="n">
        <v>0</v>
      </c>
      <c r="AD44" s="23" t="n">
        <v>0</v>
      </c>
      <c r="AE44" s="23" t="n">
        <v>0</v>
      </c>
    </row>
    <row r="45" customFormat="false" ht="15" hidden="false" customHeight="false" outlineLevel="0" collapsed="false">
      <c r="A45" s="35" t="s">
        <v>1010</v>
      </c>
      <c r="B45" s="6" t="s">
        <v>81</v>
      </c>
      <c r="C45" s="6" t="s">
        <v>897</v>
      </c>
      <c r="D45" s="6" t="s">
        <v>84</v>
      </c>
      <c r="E45" s="6" t="n">
        <v>1</v>
      </c>
      <c r="F45" s="6" t="s">
        <v>83</v>
      </c>
      <c r="G45" s="6" t="s">
        <v>994</v>
      </c>
      <c r="H45" s="6" t="n">
        <v>2286</v>
      </c>
      <c r="I45" s="35" t="s">
        <v>1010</v>
      </c>
      <c r="K45" s="23"/>
      <c r="L45" s="23" t="n">
        <v>0</v>
      </c>
      <c r="M45" s="23" t="n">
        <v>0</v>
      </c>
      <c r="N45" s="23" t="n">
        <v>0</v>
      </c>
      <c r="O45" s="23" t="n">
        <v>0</v>
      </c>
      <c r="P45" s="23" t="n">
        <v>0</v>
      </c>
      <c r="Q45" s="23" t="n">
        <v>0</v>
      </c>
      <c r="R45" s="23" t="n">
        <v>0</v>
      </c>
      <c r="S45" s="23" t="n">
        <v>0</v>
      </c>
      <c r="T45" s="23" t="n">
        <v>0</v>
      </c>
      <c r="U45" s="23" t="n">
        <v>0</v>
      </c>
      <c r="V45" s="23" t="n">
        <v>0</v>
      </c>
      <c r="W45" s="23" t="n">
        <v>0</v>
      </c>
      <c r="X45" s="23" t="n">
        <v>0</v>
      </c>
      <c r="Y45" s="23" t="n">
        <v>0</v>
      </c>
      <c r="Z45" s="23" t="n">
        <v>0</v>
      </c>
      <c r="AA45" s="23" t="n">
        <v>0</v>
      </c>
      <c r="AB45" s="23" t="n">
        <v>0</v>
      </c>
      <c r="AC45" s="23" t="n">
        <v>0</v>
      </c>
      <c r="AD45" s="23" t="n">
        <v>0</v>
      </c>
      <c r="AE45" s="23" t="n">
        <v>0</v>
      </c>
    </row>
    <row r="46" customFormat="false" ht="15" hidden="false" customHeight="false" outlineLevel="0" collapsed="false">
      <c r="A46" s="35" t="s">
        <v>1011</v>
      </c>
      <c r="B46" s="6" t="s">
        <v>81</v>
      </c>
      <c r="C46" s="6" t="s">
        <v>885</v>
      </c>
      <c r="D46" s="6" t="s">
        <v>86</v>
      </c>
      <c r="E46" s="6" t="n">
        <v>1</v>
      </c>
      <c r="F46" s="6" t="s">
        <v>83</v>
      </c>
      <c r="G46" s="6" t="s">
        <v>85</v>
      </c>
      <c r="H46" s="6" t="n">
        <v>2403</v>
      </c>
      <c r="I46" s="35" t="s">
        <v>1011</v>
      </c>
      <c r="K46" s="23"/>
      <c r="L46" s="23" t="n">
        <v>0</v>
      </c>
      <c r="M46" s="23" t="n">
        <v>0</v>
      </c>
      <c r="N46" s="23" t="n">
        <v>0</v>
      </c>
      <c r="O46" s="23" t="n">
        <v>0</v>
      </c>
      <c r="P46" s="23" t="n">
        <v>0</v>
      </c>
      <c r="Q46" s="23" t="n">
        <v>0</v>
      </c>
      <c r="R46" s="23" t="n">
        <v>0</v>
      </c>
      <c r="S46" s="23" t="n">
        <v>0</v>
      </c>
      <c r="T46" s="23" t="n">
        <v>0</v>
      </c>
      <c r="U46" s="23" t="n">
        <v>0</v>
      </c>
      <c r="V46" s="23" t="n">
        <v>0</v>
      </c>
      <c r="W46" s="23" t="n">
        <v>0</v>
      </c>
      <c r="X46" s="23" t="n">
        <v>0</v>
      </c>
      <c r="Y46" s="23" t="n">
        <v>0</v>
      </c>
      <c r="Z46" s="23" t="n">
        <v>0</v>
      </c>
      <c r="AA46" s="23" t="n">
        <v>0</v>
      </c>
      <c r="AB46" s="23" t="n">
        <v>0</v>
      </c>
      <c r="AC46" s="23" t="n">
        <v>0</v>
      </c>
      <c r="AD46" s="23" t="n">
        <v>0</v>
      </c>
      <c r="AE46" s="23" t="n">
        <v>0</v>
      </c>
    </row>
    <row r="47" customFormat="false" ht="15" hidden="false" customHeight="false" outlineLevel="0" collapsed="false">
      <c r="A47" s="35" t="s">
        <v>1012</v>
      </c>
      <c r="B47" s="6" t="s">
        <v>81</v>
      </c>
      <c r="C47" s="6" t="s">
        <v>886</v>
      </c>
      <c r="D47" s="6" t="s">
        <v>86</v>
      </c>
      <c r="E47" s="6" t="n">
        <v>1</v>
      </c>
      <c r="F47" s="6" t="s">
        <v>83</v>
      </c>
      <c r="G47" s="6" t="s">
        <v>85</v>
      </c>
      <c r="H47" s="6" t="n">
        <v>2404</v>
      </c>
      <c r="I47" s="35" t="s">
        <v>1012</v>
      </c>
      <c r="K47" s="23"/>
      <c r="L47" s="23" t="n">
        <v>0</v>
      </c>
      <c r="M47" s="23" t="n">
        <v>0</v>
      </c>
      <c r="N47" s="23" t="n">
        <v>0</v>
      </c>
      <c r="O47" s="23" t="n">
        <v>0</v>
      </c>
      <c r="P47" s="23" t="n">
        <v>0</v>
      </c>
      <c r="Q47" s="23" t="n">
        <v>0</v>
      </c>
      <c r="R47" s="23" t="n">
        <v>0</v>
      </c>
      <c r="S47" s="23" t="n">
        <v>0</v>
      </c>
      <c r="T47" s="23" t="n">
        <v>0</v>
      </c>
      <c r="U47" s="23" t="n">
        <v>0</v>
      </c>
      <c r="V47" s="23" t="n">
        <v>0</v>
      </c>
      <c r="W47" s="23" t="n">
        <v>0</v>
      </c>
      <c r="X47" s="23" t="n">
        <v>0</v>
      </c>
      <c r="Y47" s="23" t="n">
        <v>0</v>
      </c>
      <c r="Z47" s="23" t="n">
        <v>0</v>
      </c>
      <c r="AA47" s="23" t="n">
        <v>0</v>
      </c>
      <c r="AB47" s="23" t="n">
        <v>0</v>
      </c>
      <c r="AC47" s="23" t="n">
        <v>0</v>
      </c>
      <c r="AD47" s="23" t="n">
        <v>0</v>
      </c>
      <c r="AE47" s="23" t="n">
        <v>0</v>
      </c>
    </row>
    <row r="48" customFormat="false" ht="15" hidden="false" customHeight="false" outlineLevel="0" collapsed="false">
      <c r="A48" s="35" t="s">
        <v>1013</v>
      </c>
      <c r="B48" s="6" t="s">
        <v>81</v>
      </c>
      <c r="C48" s="6" t="s">
        <v>887</v>
      </c>
      <c r="D48" s="6" t="s">
        <v>86</v>
      </c>
      <c r="E48" s="6" t="n">
        <v>1</v>
      </c>
      <c r="F48" s="6" t="s">
        <v>83</v>
      </c>
      <c r="G48" s="6" t="s">
        <v>85</v>
      </c>
      <c r="H48" s="6" t="n">
        <v>2405</v>
      </c>
      <c r="I48" s="35" t="s">
        <v>1013</v>
      </c>
      <c r="K48" s="23"/>
      <c r="L48" s="23" t="n">
        <v>0</v>
      </c>
      <c r="M48" s="23" t="n">
        <v>0</v>
      </c>
      <c r="N48" s="23" t="n">
        <v>0</v>
      </c>
      <c r="O48" s="23" t="n">
        <v>0</v>
      </c>
      <c r="P48" s="23" t="n">
        <v>0</v>
      </c>
      <c r="Q48" s="23" t="n">
        <v>0</v>
      </c>
      <c r="R48" s="23" t="n">
        <v>0</v>
      </c>
      <c r="S48" s="23" t="n">
        <v>0</v>
      </c>
      <c r="T48" s="23" t="n">
        <v>0</v>
      </c>
      <c r="U48" s="23" t="n">
        <v>0</v>
      </c>
      <c r="V48" s="23" t="n">
        <v>0</v>
      </c>
      <c r="W48" s="23" t="n">
        <v>0</v>
      </c>
      <c r="X48" s="23" t="n">
        <v>0</v>
      </c>
      <c r="Y48" s="23" t="n">
        <v>0</v>
      </c>
      <c r="Z48" s="23" t="n">
        <v>0</v>
      </c>
      <c r="AA48" s="23" t="n">
        <v>0</v>
      </c>
      <c r="AB48" s="23" t="n">
        <v>0</v>
      </c>
      <c r="AC48" s="23" t="n">
        <v>0</v>
      </c>
      <c r="AD48" s="23" t="n">
        <v>0</v>
      </c>
      <c r="AE48" s="23" t="n">
        <v>0</v>
      </c>
    </row>
    <row r="49" customFormat="false" ht="15" hidden="false" customHeight="false" outlineLevel="0" collapsed="false">
      <c r="A49" s="35" t="s">
        <v>1014</v>
      </c>
      <c r="B49" s="6" t="s">
        <v>81</v>
      </c>
      <c r="C49" s="6" t="s">
        <v>889</v>
      </c>
      <c r="D49" s="6" t="s">
        <v>86</v>
      </c>
      <c r="E49" s="6" t="n">
        <v>1</v>
      </c>
      <c r="F49" s="6" t="s">
        <v>83</v>
      </c>
      <c r="G49" s="6" t="s">
        <v>85</v>
      </c>
      <c r="H49" s="6" t="n">
        <v>2406</v>
      </c>
      <c r="I49" s="35" t="s">
        <v>1015</v>
      </c>
      <c r="K49" s="23"/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3" t="n">
        <v>0</v>
      </c>
      <c r="R49" s="23" t="n">
        <v>0</v>
      </c>
      <c r="S49" s="23" t="n">
        <v>0</v>
      </c>
      <c r="T49" s="23" t="n">
        <v>0</v>
      </c>
      <c r="U49" s="23" t="n">
        <v>0</v>
      </c>
      <c r="V49" s="23" t="n">
        <v>0</v>
      </c>
      <c r="W49" s="23" t="n">
        <v>0</v>
      </c>
      <c r="X49" s="23" t="n">
        <v>0</v>
      </c>
      <c r="Y49" s="23" t="n">
        <v>0</v>
      </c>
      <c r="Z49" s="23" t="n">
        <v>0</v>
      </c>
      <c r="AA49" s="23" t="n">
        <v>0</v>
      </c>
      <c r="AB49" s="23" t="n">
        <v>0</v>
      </c>
      <c r="AC49" s="23" t="n">
        <v>0</v>
      </c>
      <c r="AD49" s="23" t="n">
        <v>0</v>
      </c>
      <c r="AE49" s="23" t="n">
        <v>0</v>
      </c>
    </row>
    <row r="50" customFormat="false" ht="15" hidden="false" customHeight="false" outlineLevel="0" collapsed="false">
      <c r="A50" s="35" t="s">
        <v>1015</v>
      </c>
      <c r="B50" s="6" t="s">
        <v>81</v>
      </c>
      <c r="C50" s="6" t="s">
        <v>888</v>
      </c>
      <c r="D50" s="6" t="s">
        <v>86</v>
      </c>
      <c r="E50" s="6" t="n">
        <v>1</v>
      </c>
      <c r="F50" s="6" t="s">
        <v>83</v>
      </c>
      <c r="G50" s="6" t="s">
        <v>85</v>
      </c>
      <c r="H50" s="6" t="n">
        <v>2407</v>
      </c>
      <c r="I50" s="35" t="s">
        <v>1014</v>
      </c>
      <c r="K50" s="23"/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3" t="n">
        <v>0</v>
      </c>
      <c r="R50" s="23" t="n">
        <v>0</v>
      </c>
      <c r="S50" s="23" t="n">
        <v>0</v>
      </c>
      <c r="T50" s="23" t="n">
        <v>0</v>
      </c>
      <c r="U50" s="23" t="n">
        <v>0</v>
      </c>
      <c r="V50" s="23" t="n">
        <v>0</v>
      </c>
      <c r="W50" s="23" t="n">
        <v>0</v>
      </c>
      <c r="X50" s="23" t="n">
        <v>0</v>
      </c>
      <c r="Y50" s="23" t="n">
        <v>0</v>
      </c>
      <c r="Z50" s="23" t="n">
        <v>0</v>
      </c>
      <c r="AA50" s="23" t="n">
        <v>0</v>
      </c>
      <c r="AB50" s="23" t="n">
        <v>0</v>
      </c>
      <c r="AC50" s="23" t="n">
        <v>0</v>
      </c>
      <c r="AD50" s="23" t="n">
        <v>0</v>
      </c>
      <c r="AE50" s="23" t="n">
        <v>0</v>
      </c>
    </row>
    <row r="51" customFormat="false" ht="15" hidden="false" customHeight="false" outlineLevel="0" collapsed="false">
      <c r="A51" s="35" t="s">
        <v>1016</v>
      </c>
      <c r="B51" s="6" t="s">
        <v>81</v>
      </c>
      <c r="C51" s="6" t="s">
        <v>890</v>
      </c>
      <c r="D51" s="6" t="s">
        <v>86</v>
      </c>
      <c r="E51" s="6" t="n">
        <v>1</v>
      </c>
      <c r="F51" s="6" t="s">
        <v>83</v>
      </c>
      <c r="G51" s="6" t="s">
        <v>85</v>
      </c>
      <c r="H51" s="6" t="n">
        <v>2408</v>
      </c>
      <c r="I51" s="35" t="s">
        <v>1016</v>
      </c>
      <c r="K51" s="23"/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0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  <c r="AD51" s="23" t="n">
        <v>0</v>
      </c>
      <c r="AE51" s="23" t="n">
        <v>0</v>
      </c>
    </row>
    <row r="52" customFormat="false" ht="15" hidden="false" customHeight="false" outlineLevel="0" collapsed="false">
      <c r="A52" s="35" t="s">
        <v>1017</v>
      </c>
      <c r="B52" s="6" t="s">
        <v>81</v>
      </c>
      <c r="C52" s="6" t="s">
        <v>891</v>
      </c>
      <c r="D52" s="6" t="s">
        <v>86</v>
      </c>
      <c r="E52" s="6" t="n">
        <v>1</v>
      </c>
      <c r="F52" s="6" t="s">
        <v>83</v>
      </c>
      <c r="G52" s="6" t="s">
        <v>85</v>
      </c>
      <c r="H52" s="6" t="n">
        <v>2409</v>
      </c>
      <c r="I52" s="35" t="s">
        <v>1017</v>
      </c>
      <c r="K52" s="23"/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0</v>
      </c>
      <c r="W52" s="23" t="n">
        <v>0</v>
      </c>
      <c r="X52" s="23" t="n">
        <v>0</v>
      </c>
      <c r="Y52" s="23" t="n">
        <v>0</v>
      </c>
      <c r="Z52" s="23" t="n">
        <v>0</v>
      </c>
      <c r="AA52" s="23" t="n">
        <v>0</v>
      </c>
      <c r="AB52" s="23" t="n">
        <v>0</v>
      </c>
      <c r="AC52" s="23" t="n">
        <v>0</v>
      </c>
      <c r="AD52" s="23" t="n">
        <v>0</v>
      </c>
      <c r="AE52" s="23" t="n">
        <v>0</v>
      </c>
    </row>
    <row r="53" customFormat="false" ht="15" hidden="false" customHeight="false" outlineLevel="0" collapsed="false">
      <c r="A53" s="35" t="s">
        <v>1018</v>
      </c>
      <c r="B53" s="6" t="s">
        <v>81</v>
      </c>
      <c r="C53" s="6" t="s">
        <v>892</v>
      </c>
      <c r="D53" s="6" t="s">
        <v>86</v>
      </c>
      <c r="E53" s="6" t="n">
        <v>1</v>
      </c>
      <c r="F53" s="6" t="s">
        <v>83</v>
      </c>
      <c r="G53" s="6" t="s">
        <v>85</v>
      </c>
      <c r="H53" s="6" t="n">
        <v>2410</v>
      </c>
      <c r="I53" s="35" t="s">
        <v>1018</v>
      </c>
      <c r="K53" s="23"/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3" t="n">
        <v>0</v>
      </c>
      <c r="R53" s="23" t="n">
        <v>0</v>
      </c>
      <c r="S53" s="23" t="n">
        <v>0</v>
      </c>
      <c r="T53" s="23" t="n">
        <v>0</v>
      </c>
      <c r="U53" s="23" t="n">
        <v>0</v>
      </c>
      <c r="V53" s="23" t="n">
        <v>0</v>
      </c>
      <c r="W53" s="23" t="n">
        <v>0</v>
      </c>
      <c r="X53" s="23" t="n">
        <v>0</v>
      </c>
      <c r="Y53" s="23" t="n">
        <v>0</v>
      </c>
      <c r="Z53" s="23" t="n">
        <v>0</v>
      </c>
      <c r="AA53" s="23" t="n">
        <v>0</v>
      </c>
      <c r="AB53" s="23" t="n">
        <v>0</v>
      </c>
      <c r="AC53" s="23" t="n">
        <v>0</v>
      </c>
      <c r="AD53" s="23" t="n">
        <v>0</v>
      </c>
      <c r="AE53" s="23" t="n">
        <v>0</v>
      </c>
    </row>
    <row r="54" customFormat="false" ht="15" hidden="false" customHeight="false" outlineLevel="0" collapsed="false">
      <c r="A54" s="35" t="s">
        <v>1019</v>
      </c>
      <c r="B54" s="6" t="s">
        <v>81</v>
      </c>
      <c r="C54" s="6" t="s">
        <v>121</v>
      </c>
      <c r="D54" s="6" t="s">
        <v>86</v>
      </c>
      <c r="E54" s="6" t="n">
        <v>1</v>
      </c>
      <c r="F54" s="6" t="s">
        <v>83</v>
      </c>
      <c r="G54" s="6" t="s">
        <v>85</v>
      </c>
      <c r="H54" s="6" t="n">
        <v>2411</v>
      </c>
      <c r="I54" s="35" t="s">
        <v>1019</v>
      </c>
      <c r="K54" s="23"/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3" t="n">
        <v>0</v>
      </c>
      <c r="R54" s="23" t="n">
        <v>0</v>
      </c>
      <c r="S54" s="23" t="n">
        <v>0</v>
      </c>
      <c r="T54" s="23" t="n">
        <v>0</v>
      </c>
      <c r="U54" s="23" t="n">
        <v>0</v>
      </c>
      <c r="V54" s="23" t="n">
        <v>0</v>
      </c>
      <c r="W54" s="23" t="n">
        <v>0</v>
      </c>
      <c r="X54" s="23" t="n">
        <v>0</v>
      </c>
      <c r="Y54" s="23" t="n">
        <v>0</v>
      </c>
      <c r="Z54" s="23" t="n">
        <v>0</v>
      </c>
      <c r="AA54" s="23" t="n">
        <v>0</v>
      </c>
      <c r="AB54" s="23" t="n">
        <v>0</v>
      </c>
      <c r="AC54" s="23" t="n">
        <v>0</v>
      </c>
      <c r="AD54" s="23" t="n">
        <v>0</v>
      </c>
      <c r="AE54" s="23" t="n">
        <v>0</v>
      </c>
    </row>
    <row r="55" customFormat="false" ht="15" hidden="false" customHeight="false" outlineLevel="0" collapsed="false">
      <c r="A55" s="35" t="s">
        <v>1020</v>
      </c>
      <c r="B55" s="6" t="s">
        <v>81</v>
      </c>
      <c r="C55" s="6" t="s">
        <v>47</v>
      </c>
      <c r="D55" s="6" t="s">
        <v>86</v>
      </c>
      <c r="E55" s="6" t="n">
        <v>1</v>
      </c>
      <c r="F55" s="6" t="s">
        <v>83</v>
      </c>
      <c r="G55" s="6" t="s">
        <v>85</v>
      </c>
      <c r="H55" s="6" t="n">
        <v>2412</v>
      </c>
      <c r="I55" s="35" t="s">
        <v>1020</v>
      </c>
      <c r="K55" s="23"/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3" t="n">
        <v>0</v>
      </c>
      <c r="R55" s="23" t="n">
        <v>0</v>
      </c>
      <c r="S55" s="23" t="n">
        <v>0</v>
      </c>
      <c r="T55" s="23" t="n">
        <v>0</v>
      </c>
      <c r="U55" s="23" t="n">
        <v>0</v>
      </c>
      <c r="V55" s="23" t="n">
        <v>0</v>
      </c>
      <c r="W55" s="23" t="n">
        <v>0</v>
      </c>
      <c r="X55" s="23" t="n">
        <v>0</v>
      </c>
      <c r="Y55" s="23" t="n">
        <v>0</v>
      </c>
      <c r="Z55" s="23" t="n">
        <v>0</v>
      </c>
      <c r="AA55" s="23" t="n">
        <v>0</v>
      </c>
      <c r="AB55" s="23" t="n">
        <v>0</v>
      </c>
      <c r="AC55" s="23" t="n">
        <v>0</v>
      </c>
      <c r="AD55" s="23" t="n">
        <v>0</v>
      </c>
      <c r="AE55" s="23" t="n">
        <v>0</v>
      </c>
    </row>
    <row r="56" customFormat="false" ht="15" hidden="false" customHeight="false" outlineLevel="0" collapsed="false">
      <c r="A56" s="35" t="s">
        <v>1021</v>
      </c>
      <c r="B56" s="6" t="s">
        <v>81</v>
      </c>
      <c r="C56" s="6" t="s">
        <v>119</v>
      </c>
      <c r="D56" s="6" t="s">
        <v>86</v>
      </c>
      <c r="E56" s="6" t="n">
        <v>1</v>
      </c>
      <c r="F56" s="6" t="s">
        <v>83</v>
      </c>
      <c r="G56" s="6" t="s">
        <v>85</v>
      </c>
      <c r="H56" s="6" t="n">
        <v>2413</v>
      </c>
      <c r="I56" s="35" t="s">
        <v>1021</v>
      </c>
      <c r="K56" s="23"/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3" t="n">
        <v>0</v>
      </c>
      <c r="R56" s="23" t="n">
        <v>0</v>
      </c>
      <c r="S56" s="23" t="n">
        <v>0</v>
      </c>
      <c r="T56" s="23" t="n">
        <v>0</v>
      </c>
      <c r="U56" s="23" t="n">
        <v>0</v>
      </c>
      <c r="V56" s="23" t="n">
        <v>0</v>
      </c>
      <c r="W56" s="23" t="n">
        <v>0</v>
      </c>
      <c r="X56" s="23" t="n">
        <v>0</v>
      </c>
      <c r="Y56" s="23" t="n">
        <v>0</v>
      </c>
      <c r="Z56" s="23" t="n">
        <v>0</v>
      </c>
      <c r="AA56" s="23" t="n">
        <v>0</v>
      </c>
      <c r="AB56" s="23" t="n">
        <v>0</v>
      </c>
      <c r="AC56" s="23" t="n">
        <v>0</v>
      </c>
      <c r="AD56" s="23" t="n">
        <v>0</v>
      </c>
      <c r="AE56" s="23" t="n">
        <v>0</v>
      </c>
    </row>
    <row r="57" customFormat="false" ht="15" hidden="false" customHeight="false" outlineLevel="0" collapsed="false">
      <c r="A57" s="35" t="s">
        <v>1022</v>
      </c>
      <c r="B57" s="6" t="s">
        <v>81</v>
      </c>
      <c r="C57" s="6" t="s">
        <v>893</v>
      </c>
      <c r="D57" s="6" t="s">
        <v>86</v>
      </c>
      <c r="E57" s="6" t="n">
        <v>1</v>
      </c>
      <c r="F57" s="6" t="s">
        <v>83</v>
      </c>
      <c r="G57" s="6" t="s">
        <v>85</v>
      </c>
      <c r="H57" s="6" t="n">
        <v>2414</v>
      </c>
      <c r="I57" s="35" t="s">
        <v>1022</v>
      </c>
      <c r="K57" s="23"/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23" t="n">
        <v>0</v>
      </c>
      <c r="Y57" s="23" t="n">
        <v>0</v>
      </c>
      <c r="Z57" s="23" t="n">
        <v>0</v>
      </c>
      <c r="AA57" s="23" t="n">
        <v>0</v>
      </c>
      <c r="AB57" s="23" t="n">
        <v>0</v>
      </c>
      <c r="AC57" s="23" t="n">
        <v>0</v>
      </c>
      <c r="AD57" s="23" t="n">
        <v>0</v>
      </c>
      <c r="AE57" s="23" t="n">
        <v>0</v>
      </c>
    </row>
    <row r="58" customFormat="false" ht="15" hidden="false" customHeight="false" outlineLevel="0" collapsed="false">
      <c r="A58" s="35" t="s">
        <v>1023</v>
      </c>
      <c r="B58" s="6" t="s">
        <v>81</v>
      </c>
      <c r="C58" s="6" t="s">
        <v>117</v>
      </c>
      <c r="D58" s="6" t="s">
        <v>86</v>
      </c>
      <c r="E58" s="6" t="n">
        <v>1</v>
      </c>
      <c r="F58" s="6" t="s">
        <v>83</v>
      </c>
      <c r="G58" s="6" t="s">
        <v>85</v>
      </c>
      <c r="H58" s="6" t="n">
        <v>2415</v>
      </c>
      <c r="I58" s="35" t="s">
        <v>1023</v>
      </c>
      <c r="K58" s="23"/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0</v>
      </c>
    </row>
    <row r="59" customFormat="false" ht="15" hidden="false" customHeight="false" outlineLevel="0" collapsed="false">
      <c r="A59" s="35" t="s">
        <v>1024</v>
      </c>
      <c r="B59" s="6" t="s">
        <v>81</v>
      </c>
      <c r="C59" s="6" t="s">
        <v>894</v>
      </c>
      <c r="D59" s="6" t="s">
        <v>86</v>
      </c>
      <c r="E59" s="6" t="n">
        <v>1</v>
      </c>
      <c r="F59" s="6" t="s">
        <v>83</v>
      </c>
      <c r="G59" s="6" t="s">
        <v>85</v>
      </c>
      <c r="H59" s="6" t="n">
        <v>2416</v>
      </c>
      <c r="I59" s="35" t="s">
        <v>1024</v>
      </c>
      <c r="K59" s="23"/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3" t="n">
        <v>0</v>
      </c>
      <c r="R59" s="23" t="n">
        <v>0</v>
      </c>
      <c r="S59" s="23" t="n">
        <v>0</v>
      </c>
      <c r="T59" s="23" t="n">
        <v>0</v>
      </c>
      <c r="U59" s="23" t="n">
        <v>0</v>
      </c>
      <c r="V59" s="23" t="n">
        <v>0</v>
      </c>
      <c r="W59" s="23" t="n">
        <v>0</v>
      </c>
      <c r="X59" s="23" t="n">
        <v>0</v>
      </c>
      <c r="Y59" s="23" t="n">
        <v>0</v>
      </c>
      <c r="Z59" s="23" t="n">
        <v>0</v>
      </c>
      <c r="AA59" s="23" t="n">
        <v>0</v>
      </c>
      <c r="AB59" s="23" t="n">
        <v>0</v>
      </c>
      <c r="AC59" s="23" t="n">
        <v>0</v>
      </c>
      <c r="AD59" s="23" t="n">
        <v>0</v>
      </c>
      <c r="AE59" s="23" t="n">
        <v>0</v>
      </c>
    </row>
    <row r="60" customFormat="false" ht="15" hidden="false" customHeight="false" outlineLevel="0" collapsed="false">
      <c r="A60" s="35" t="s">
        <v>1025</v>
      </c>
      <c r="B60" s="6" t="s">
        <v>81</v>
      </c>
      <c r="C60" s="6" t="s">
        <v>895</v>
      </c>
      <c r="D60" s="6" t="s">
        <v>86</v>
      </c>
      <c r="E60" s="6" t="n">
        <v>1</v>
      </c>
      <c r="F60" s="6" t="s">
        <v>83</v>
      </c>
      <c r="G60" s="6" t="s">
        <v>85</v>
      </c>
      <c r="H60" s="6" t="n">
        <v>2417</v>
      </c>
      <c r="I60" s="35" t="s">
        <v>1025</v>
      </c>
      <c r="K60" s="23"/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3" t="n">
        <v>0</v>
      </c>
      <c r="R60" s="23" t="n">
        <v>0</v>
      </c>
      <c r="S60" s="23" t="n">
        <v>0</v>
      </c>
      <c r="T60" s="23" t="n">
        <v>0</v>
      </c>
      <c r="U60" s="23" t="n">
        <v>0</v>
      </c>
      <c r="V60" s="23" t="n">
        <v>0</v>
      </c>
      <c r="W60" s="23" t="n">
        <v>0</v>
      </c>
      <c r="X60" s="23" t="n">
        <v>0</v>
      </c>
      <c r="Y60" s="23" t="n">
        <v>0</v>
      </c>
      <c r="Z60" s="23" t="n">
        <v>0</v>
      </c>
      <c r="AA60" s="23" t="n">
        <v>0</v>
      </c>
      <c r="AB60" s="23" t="n">
        <v>0</v>
      </c>
      <c r="AC60" s="23" t="n">
        <v>0</v>
      </c>
      <c r="AD60" s="23" t="n">
        <v>0</v>
      </c>
      <c r="AE60" s="23" t="n">
        <v>0</v>
      </c>
    </row>
    <row r="61" customFormat="false" ht="15" hidden="false" customHeight="false" outlineLevel="0" collapsed="false">
      <c r="A61" s="35" t="s">
        <v>1026</v>
      </c>
      <c r="B61" s="6" t="s">
        <v>81</v>
      </c>
      <c r="C61" s="6" t="s">
        <v>896</v>
      </c>
      <c r="D61" s="6" t="s">
        <v>86</v>
      </c>
      <c r="E61" s="6" t="n">
        <v>1</v>
      </c>
      <c r="F61" s="6" t="s">
        <v>83</v>
      </c>
      <c r="G61" s="6" t="s">
        <v>85</v>
      </c>
      <c r="H61" s="6" t="n">
        <v>2418</v>
      </c>
      <c r="I61" s="35" t="s">
        <v>1026</v>
      </c>
      <c r="K61" s="23"/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  <c r="AD61" s="23" t="n">
        <v>0</v>
      </c>
      <c r="AE61" s="23" t="n">
        <v>0</v>
      </c>
    </row>
    <row r="62" customFormat="false" ht="15" hidden="false" customHeight="false" outlineLevel="0" collapsed="false">
      <c r="A62" s="35" t="s">
        <v>1027</v>
      </c>
      <c r="B62" s="6" t="s">
        <v>81</v>
      </c>
      <c r="C62" s="6" t="s">
        <v>897</v>
      </c>
      <c r="D62" s="6" t="s">
        <v>86</v>
      </c>
      <c r="E62" s="6" t="n">
        <v>1</v>
      </c>
      <c r="F62" s="6" t="s">
        <v>83</v>
      </c>
      <c r="G62" s="6" t="s">
        <v>85</v>
      </c>
      <c r="H62" s="6" t="n">
        <v>2419</v>
      </c>
      <c r="I62" s="35" t="s">
        <v>1027</v>
      </c>
      <c r="K62" s="23"/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0</v>
      </c>
      <c r="X62" s="23" t="n">
        <v>0</v>
      </c>
      <c r="Y62" s="23" t="n">
        <v>0</v>
      </c>
      <c r="Z62" s="23" t="n">
        <v>0</v>
      </c>
      <c r="AA62" s="23" t="n">
        <v>0</v>
      </c>
      <c r="AB62" s="23" t="n">
        <v>0</v>
      </c>
      <c r="AC62" s="23" t="n">
        <v>0</v>
      </c>
      <c r="AD62" s="23" t="n">
        <v>0</v>
      </c>
      <c r="AE62" s="23" t="n">
        <v>0</v>
      </c>
    </row>
    <row r="63" customFormat="false" ht="15" hidden="false" customHeight="false" outlineLevel="0" collapsed="false">
      <c r="A63" s="35" t="s">
        <v>1028</v>
      </c>
      <c r="B63" s="6" t="s">
        <v>53</v>
      </c>
      <c r="C63" s="6" t="s">
        <v>5</v>
      </c>
      <c r="D63" s="6" t="s">
        <v>941</v>
      </c>
      <c r="E63" s="6" t="n">
        <v>2</v>
      </c>
      <c r="F63" s="6" t="s">
        <v>55</v>
      </c>
      <c r="G63" s="6" t="s">
        <v>942</v>
      </c>
      <c r="H63" s="6" t="n">
        <v>8844</v>
      </c>
      <c r="I63" s="35" t="s">
        <v>1028</v>
      </c>
      <c r="K63" s="22" t="n">
        <v>11.1829015892439</v>
      </c>
      <c r="L63" s="22" t="n">
        <v>10.5233613454312</v>
      </c>
      <c r="M63" s="22" t="n">
        <v>10.2995608274442</v>
      </c>
      <c r="N63" s="22" t="n">
        <v>9.57752835953826</v>
      </c>
      <c r="O63" s="22" t="n">
        <v>8.48547828695805</v>
      </c>
      <c r="P63" s="22" t="n">
        <v>9.08719223524986</v>
      </c>
      <c r="Q63" s="22" t="n">
        <v>9.22292372893268</v>
      </c>
      <c r="R63" s="22" t="n">
        <v>9.15856495550969</v>
      </c>
      <c r="S63" s="22" t="n">
        <v>9.08954787739738</v>
      </c>
      <c r="T63" s="22" t="n">
        <v>9.01568166602283</v>
      </c>
      <c r="U63" s="22" t="n">
        <v>8.94439776555711</v>
      </c>
      <c r="V63" s="22" t="n">
        <v>8.94439776555711</v>
      </c>
      <c r="W63" s="22" t="n">
        <v>8.94439776555711</v>
      </c>
      <c r="X63" s="22" t="n">
        <v>8.94439776555711</v>
      </c>
      <c r="Y63" s="22" t="n">
        <v>8.94439776555711</v>
      </c>
      <c r="Z63" s="22" t="n">
        <v>8.94439776555711</v>
      </c>
      <c r="AA63" s="22" t="n">
        <v>8.94439776555711</v>
      </c>
      <c r="AB63" s="22" t="n">
        <v>8.94439776555711</v>
      </c>
      <c r="AC63" s="22" t="n">
        <v>8.94439776555711</v>
      </c>
      <c r="AD63" s="22" t="n">
        <v>8.94439776555711</v>
      </c>
      <c r="AE63" s="22" t="n">
        <v>8.94439776555711</v>
      </c>
    </row>
    <row r="64" customFormat="false" ht="15" hidden="false" customHeight="false" outlineLevel="0" collapsed="false">
      <c r="A64" s="35" t="s">
        <v>1029</v>
      </c>
      <c r="B64" s="6" t="s">
        <v>53</v>
      </c>
      <c r="C64" s="6" t="s">
        <v>5</v>
      </c>
      <c r="D64" s="6" t="s">
        <v>944</v>
      </c>
      <c r="E64" s="6" t="n">
        <v>2</v>
      </c>
      <c r="F64" s="6" t="s">
        <v>55</v>
      </c>
      <c r="G64" s="6" t="s">
        <v>945</v>
      </c>
      <c r="H64" s="6" t="n">
        <v>8845</v>
      </c>
      <c r="I64" s="35" t="s">
        <v>1029</v>
      </c>
      <c r="K64" s="22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1.25</v>
      </c>
      <c r="R64" s="22" t="n">
        <v>2.5</v>
      </c>
      <c r="S64" s="22" t="n">
        <v>3.75</v>
      </c>
      <c r="T64" s="22" t="n">
        <v>5</v>
      </c>
      <c r="U64" s="22" t="n">
        <v>6.25</v>
      </c>
      <c r="V64" s="22" t="n">
        <v>7.5</v>
      </c>
      <c r="W64" s="22" t="n">
        <v>8.75</v>
      </c>
      <c r="X64" s="22" t="n">
        <v>10</v>
      </c>
      <c r="Y64" s="22" t="n">
        <v>11.25</v>
      </c>
      <c r="Z64" s="22" t="n">
        <v>12.5</v>
      </c>
      <c r="AA64" s="22" t="n">
        <v>13.75</v>
      </c>
      <c r="AB64" s="22" t="n">
        <v>15</v>
      </c>
      <c r="AC64" s="22" t="n">
        <v>16.25</v>
      </c>
      <c r="AD64" s="22" t="n">
        <v>17.5</v>
      </c>
      <c r="AE64" s="22" t="n">
        <v>18.75</v>
      </c>
    </row>
    <row r="65" customFormat="false" ht="15" hidden="false" customHeight="false" outlineLevel="0" collapsed="false">
      <c r="A65" s="35" t="s">
        <v>1030</v>
      </c>
      <c r="B65" s="6" t="s">
        <v>57</v>
      </c>
      <c r="C65" s="6" t="s">
        <v>5</v>
      </c>
      <c r="D65" s="6" t="s">
        <v>941</v>
      </c>
      <c r="E65" s="6" t="n">
        <v>2</v>
      </c>
      <c r="F65" s="6" t="s">
        <v>55</v>
      </c>
      <c r="G65" s="6" t="s">
        <v>942</v>
      </c>
      <c r="H65" s="6" t="n">
        <v>8913</v>
      </c>
      <c r="I65" s="35" t="s">
        <v>1030</v>
      </c>
      <c r="K65" s="22" t="n">
        <v>6.06346361567291</v>
      </c>
      <c r="L65" s="22" t="n">
        <v>5.45101508161919</v>
      </c>
      <c r="M65" s="22" t="n">
        <v>5.11935630626248</v>
      </c>
      <c r="N65" s="22" t="n">
        <v>5.08218458640407</v>
      </c>
      <c r="O65" s="22" t="n">
        <v>5.08218458640407</v>
      </c>
      <c r="P65" s="22" t="n">
        <v>5.08218458640407</v>
      </c>
      <c r="Q65" s="22" t="n">
        <v>5.08218458640407</v>
      </c>
      <c r="R65" s="22" t="n">
        <v>5.08218458640407</v>
      </c>
      <c r="S65" s="22" t="n">
        <v>5.08218458640407</v>
      </c>
      <c r="T65" s="22" t="n">
        <v>5.08218458640407</v>
      </c>
      <c r="U65" s="22" t="n">
        <v>5.08218458640407</v>
      </c>
      <c r="V65" s="22" t="n">
        <v>5.08218458640407</v>
      </c>
      <c r="W65" s="22" t="n">
        <v>5.08218458640407</v>
      </c>
      <c r="X65" s="22" t="n">
        <v>5.08218458640407</v>
      </c>
      <c r="Y65" s="22" t="n">
        <v>5.08218458640407</v>
      </c>
      <c r="Z65" s="22" t="n">
        <v>5.08218458640407</v>
      </c>
      <c r="AA65" s="22" t="n">
        <v>5.08218458640407</v>
      </c>
      <c r="AB65" s="22" t="n">
        <v>5.08218458640407</v>
      </c>
      <c r="AC65" s="22" t="n">
        <v>5.08218458640407</v>
      </c>
      <c r="AD65" s="22" t="n">
        <v>5.08218458640407</v>
      </c>
      <c r="AE65" s="22" t="n">
        <v>5.08218458640407</v>
      </c>
    </row>
    <row r="66" customFormat="false" ht="15" hidden="false" customHeight="false" outlineLevel="0" collapsed="false">
      <c r="A66" s="35" t="s">
        <v>1031</v>
      </c>
      <c r="B66" s="6" t="s">
        <v>57</v>
      </c>
      <c r="C66" s="6" t="s">
        <v>5</v>
      </c>
      <c r="D66" s="6" t="s">
        <v>944</v>
      </c>
      <c r="E66" s="6" t="n">
        <v>2</v>
      </c>
      <c r="F66" s="6" t="s">
        <v>55</v>
      </c>
      <c r="G66" s="6" t="s">
        <v>945</v>
      </c>
      <c r="H66" s="6" t="n">
        <v>8914</v>
      </c>
      <c r="I66" s="35" t="s">
        <v>1031</v>
      </c>
      <c r="K66" s="22" t="n">
        <v>0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>
        <v>0.6975</v>
      </c>
      <c r="R66" s="22" t="n">
        <v>1.395</v>
      </c>
      <c r="S66" s="22" t="n">
        <v>2.0925</v>
      </c>
      <c r="T66" s="22" t="n">
        <v>2.79</v>
      </c>
      <c r="U66" s="22" t="n">
        <v>3.4875</v>
      </c>
      <c r="V66" s="22" t="n">
        <v>4.185</v>
      </c>
      <c r="W66" s="22" t="n">
        <v>4.8825</v>
      </c>
      <c r="X66" s="22" t="n">
        <v>5.58</v>
      </c>
      <c r="Y66" s="22" t="n">
        <v>6.2775</v>
      </c>
      <c r="Z66" s="22" t="n">
        <v>6.975</v>
      </c>
      <c r="AA66" s="22" t="n">
        <v>7.6725</v>
      </c>
      <c r="AB66" s="22" t="n">
        <v>8.37</v>
      </c>
      <c r="AC66" s="22" t="n">
        <v>9.0675</v>
      </c>
      <c r="AD66" s="22" t="n">
        <v>9.765</v>
      </c>
      <c r="AE66" s="22" t="n">
        <v>10.4625</v>
      </c>
    </row>
    <row r="67" customFormat="false" ht="15" hidden="false" customHeight="false" outlineLevel="0" collapsed="false">
      <c r="A67" s="35" t="s">
        <v>1032</v>
      </c>
      <c r="B67" s="6" t="s">
        <v>59</v>
      </c>
      <c r="C67" s="6" t="s">
        <v>5</v>
      </c>
      <c r="D67" s="6" t="s">
        <v>941</v>
      </c>
      <c r="E67" s="6" t="n">
        <v>2</v>
      </c>
      <c r="F67" s="6" t="s">
        <v>61</v>
      </c>
      <c r="G67" s="6" t="s">
        <v>942</v>
      </c>
      <c r="H67" s="6" t="n">
        <v>8936</v>
      </c>
      <c r="I67" s="35" t="s">
        <v>1033</v>
      </c>
      <c r="K67" s="22" t="n">
        <v>0.671146533321816</v>
      </c>
      <c r="L67" s="22" t="n">
        <v>0.611977976791406</v>
      </c>
      <c r="M67" s="22" t="n">
        <v>0.611809749641876</v>
      </c>
      <c r="N67" s="22" t="n">
        <v>0.603583100177906</v>
      </c>
      <c r="O67" s="22" t="n">
        <v>0.603583100177906</v>
      </c>
      <c r="P67" s="22" t="n">
        <v>0.603583100177906</v>
      </c>
      <c r="Q67" s="22" t="n">
        <v>0.603583100177906</v>
      </c>
      <c r="R67" s="22" t="n">
        <v>0.603583100177906</v>
      </c>
      <c r="S67" s="22" t="n">
        <v>0.603583100177906</v>
      </c>
      <c r="T67" s="22" t="n">
        <v>0.603583100177906</v>
      </c>
      <c r="U67" s="22" t="n">
        <v>0.603583100177906</v>
      </c>
      <c r="V67" s="22" t="n">
        <v>0.603583100177906</v>
      </c>
      <c r="W67" s="22" t="n">
        <v>0.603583100177906</v>
      </c>
      <c r="X67" s="22" t="n">
        <v>0.603583100177906</v>
      </c>
      <c r="Y67" s="22" t="n">
        <v>0.603583100177906</v>
      </c>
      <c r="Z67" s="22" t="n">
        <v>0.603583100177906</v>
      </c>
      <c r="AA67" s="22" t="n">
        <v>0.603583100177906</v>
      </c>
      <c r="AB67" s="22" t="n">
        <v>0.603583100177906</v>
      </c>
      <c r="AC67" s="22" t="n">
        <v>0.603583100177906</v>
      </c>
      <c r="AD67" s="22" t="n">
        <v>0.603583100177906</v>
      </c>
      <c r="AE67" s="22" t="n">
        <v>0.603583100177906</v>
      </c>
    </row>
    <row r="68" customFormat="false" ht="15" hidden="false" customHeight="false" outlineLevel="0" collapsed="false">
      <c r="A68" s="35" t="s">
        <v>1034</v>
      </c>
      <c r="B68" s="6" t="s">
        <v>59</v>
      </c>
      <c r="C68" s="6" t="s">
        <v>5</v>
      </c>
      <c r="D68" s="6" t="s">
        <v>944</v>
      </c>
      <c r="E68" s="6" t="n">
        <v>2</v>
      </c>
      <c r="F68" s="6" t="s">
        <v>61</v>
      </c>
      <c r="G68" s="6" t="s">
        <v>945</v>
      </c>
      <c r="H68" s="6" t="n">
        <v>8937</v>
      </c>
      <c r="I68" s="35" t="s">
        <v>1035</v>
      </c>
      <c r="K68" s="22" t="n">
        <v>0</v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>
        <v>0.0289278431715</v>
      </c>
      <c r="R68" s="22" t="n">
        <v>0.057855686343</v>
      </c>
      <c r="S68" s="22" t="n">
        <v>0.0867835295145</v>
      </c>
      <c r="T68" s="22" t="n">
        <v>0.115711372686</v>
      </c>
      <c r="U68" s="22" t="n">
        <v>0.1446392158575</v>
      </c>
      <c r="V68" s="22" t="n">
        <v>0.173567059029</v>
      </c>
      <c r="W68" s="22" t="n">
        <v>0.2024949022005</v>
      </c>
      <c r="X68" s="22" t="n">
        <v>0.231422745372</v>
      </c>
      <c r="Y68" s="22" t="n">
        <v>0.2603505885435</v>
      </c>
      <c r="Z68" s="22" t="n">
        <v>0.289278431715</v>
      </c>
      <c r="AA68" s="22" t="n">
        <v>0.3182062748865</v>
      </c>
      <c r="AB68" s="22" t="n">
        <v>0.347134118058</v>
      </c>
      <c r="AC68" s="22" t="n">
        <v>0.3760619612295</v>
      </c>
      <c r="AD68" s="22" t="n">
        <v>0.404989804401</v>
      </c>
      <c r="AE68" s="22" t="n">
        <v>0.4339176475725</v>
      </c>
    </row>
    <row r="69" customFormat="false" ht="15" hidden="false" customHeight="false" outlineLevel="0" collapsed="false">
      <c r="A69" s="35" t="s">
        <v>1036</v>
      </c>
      <c r="B69" s="6" t="s">
        <v>62</v>
      </c>
      <c r="C69" s="6" t="s">
        <v>5</v>
      </c>
      <c r="D69" s="6" t="s">
        <v>941</v>
      </c>
      <c r="E69" s="6" t="n">
        <v>2</v>
      </c>
      <c r="F69" s="6" t="s">
        <v>61</v>
      </c>
      <c r="G69" s="6" t="s">
        <v>942</v>
      </c>
      <c r="H69" s="6" t="n">
        <v>8959</v>
      </c>
      <c r="I69" s="35" t="s">
        <v>1037</v>
      </c>
      <c r="K69" s="22" t="n">
        <v>0.559711213155688</v>
      </c>
      <c r="L69" s="22" t="n">
        <v>0.494588730841068</v>
      </c>
      <c r="M69" s="22" t="n">
        <v>0.507786547202501</v>
      </c>
      <c r="N69" s="22" t="n">
        <v>0.470436426795617</v>
      </c>
      <c r="O69" s="22" t="n">
        <v>0.470436426795617</v>
      </c>
      <c r="P69" s="22" t="n">
        <v>0.470436426795617</v>
      </c>
      <c r="Q69" s="22" t="n">
        <v>0.470436426795617</v>
      </c>
      <c r="R69" s="22" t="n">
        <v>0.470436426795617</v>
      </c>
      <c r="S69" s="22" t="n">
        <v>0.470436426795617</v>
      </c>
      <c r="T69" s="22" t="n">
        <v>0.470436426795617</v>
      </c>
      <c r="U69" s="22" t="n">
        <v>0.470436426795617</v>
      </c>
      <c r="V69" s="22" t="n">
        <v>0.470436426795617</v>
      </c>
      <c r="W69" s="22" t="n">
        <v>0.470436426795617</v>
      </c>
      <c r="X69" s="22" t="n">
        <v>0.470436426795617</v>
      </c>
      <c r="Y69" s="22" t="n">
        <v>0.470436426795617</v>
      </c>
      <c r="Z69" s="22" t="n">
        <v>0.470436426795617</v>
      </c>
      <c r="AA69" s="22" t="n">
        <v>0.470436426795617</v>
      </c>
      <c r="AB69" s="22" t="n">
        <v>0.470436426795617</v>
      </c>
      <c r="AC69" s="22" t="n">
        <v>0.470436426795617</v>
      </c>
      <c r="AD69" s="22" t="n">
        <v>0.470436426795617</v>
      </c>
      <c r="AE69" s="22" t="n">
        <v>0.470436426795617</v>
      </c>
    </row>
    <row r="70" customFormat="false" ht="15" hidden="false" customHeight="false" outlineLevel="0" collapsed="false">
      <c r="A70" s="35" t="s">
        <v>1038</v>
      </c>
      <c r="B70" s="6" t="s">
        <v>62</v>
      </c>
      <c r="C70" s="6" t="s">
        <v>5</v>
      </c>
      <c r="D70" s="6" t="s">
        <v>944</v>
      </c>
      <c r="E70" s="6" t="n">
        <v>2</v>
      </c>
      <c r="F70" s="6" t="s">
        <v>61</v>
      </c>
      <c r="G70" s="6" t="s">
        <v>945</v>
      </c>
      <c r="H70" s="6" t="n">
        <v>8960</v>
      </c>
      <c r="I70" s="35" t="s">
        <v>1039</v>
      </c>
      <c r="K70" s="22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0</v>
      </c>
      <c r="Q70" s="22" t="n">
        <v>0.033010438858875</v>
      </c>
      <c r="R70" s="22" t="n">
        <v>0.06602087771775</v>
      </c>
      <c r="S70" s="22" t="n">
        <v>0.099031316576625</v>
      </c>
      <c r="T70" s="22" t="n">
        <v>0.1320417554355</v>
      </c>
      <c r="U70" s="22" t="n">
        <v>0.165052194294375</v>
      </c>
      <c r="V70" s="22" t="n">
        <v>0.19806263315325</v>
      </c>
      <c r="W70" s="22" t="n">
        <v>0.231073072012125</v>
      </c>
      <c r="X70" s="22" t="n">
        <v>0.264083510871</v>
      </c>
      <c r="Y70" s="22" t="n">
        <v>0.297093949729875</v>
      </c>
      <c r="Z70" s="22" t="n">
        <v>0.33010438858875</v>
      </c>
      <c r="AA70" s="22" t="n">
        <v>0.363114827447625</v>
      </c>
      <c r="AB70" s="22" t="n">
        <v>0.3961252663065</v>
      </c>
      <c r="AC70" s="22" t="n">
        <v>0.429135705165375</v>
      </c>
      <c r="AD70" s="22" t="n">
        <v>0.46214614402425</v>
      </c>
      <c r="AE70" s="22" t="n">
        <v>0.495156582883125</v>
      </c>
    </row>
    <row r="71" customFormat="false" ht="15" hidden="false" customHeight="false" outlineLevel="0" collapsed="false">
      <c r="A71" s="35" t="s">
        <v>1040</v>
      </c>
      <c r="B71" s="6" t="s">
        <v>64</v>
      </c>
      <c r="C71" s="6" t="s">
        <v>5</v>
      </c>
      <c r="D71" s="6" t="s">
        <v>941</v>
      </c>
      <c r="E71" s="6" t="n">
        <v>2</v>
      </c>
      <c r="F71" s="6" t="s">
        <v>61</v>
      </c>
      <c r="G71" s="6" t="s">
        <v>942</v>
      </c>
      <c r="H71" s="6" t="n">
        <v>8982</v>
      </c>
      <c r="I71" s="35" t="s">
        <v>1041</v>
      </c>
      <c r="K71" s="22" t="n">
        <v>0.200366691126738</v>
      </c>
      <c r="L71" s="22" t="n">
        <v>0.157344736252274</v>
      </c>
      <c r="M71" s="22" t="n">
        <v>0.164484037759277</v>
      </c>
      <c r="N71" s="22" t="n">
        <v>0.150709077807049</v>
      </c>
      <c r="O71" s="22" t="n">
        <v>0.150709077807049</v>
      </c>
      <c r="P71" s="22" t="n">
        <v>0.150709077807049</v>
      </c>
      <c r="Q71" s="22" t="n">
        <v>0.150709077807049</v>
      </c>
      <c r="R71" s="22" t="n">
        <v>0.150709077807049</v>
      </c>
      <c r="S71" s="22" t="n">
        <v>0.150709077807049</v>
      </c>
      <c r="T71" s="22" t="n">
        <v>0.150709077807049</v>
      </c>
      <c r="U71" s="22" t="n">
        <v>0.150709077807049</v>
      </c>
      <c r="V71" s="22" t="n">
        <v>0.150709077807049</v>
      </c>
      <c r="W71" s="22" t="n">
        <v>0.150709077807049</v>
      </c>
      <c r="X71" s="22" t="n">
        <v>0.150709077807049</v>
      </c>
      <c r="Y71" s="22" t="n">
        <v>0.150709077807049</v>
      </c>
      <c r="Z71" s="22" t="n">
        <v>0.150709077807049</v>
      </c>
      <c r="AA71" s="22" t="n">
        <v>0.150709077807049</v>
      </c>
      <c r="AB71" s="22" t="n">
        <v>0.150709077807049</v>
      </c>
      <c r="AC71" s="22" t="n">
        <v>0.150709077807049</v>
      </c>
      <c r="AD71" s="22" t="n">
        <v>0.150709077807049</v>
      </c>
      <c r="AE71" s="22" t="n">
        <v>0.150709077807049</v>
      </c>
    </row>
    <row r="72" customFormat="false" ht="15" hidden="false" customHeight="false" outlineLevel="0" collapsed="false">
      <c r="A72" s="35" t="s">
        <v>1042</v>
      </c>
      <c r="B72" s="6" t="s">
        <v>64</v>
      </c>
      <c r="C72" s="6" t="s">
        <v>5</v>
      </c>
      <c r="D72" s="6" t="s">
        <v>944</v>
      </c>
      <c r="E72" s="6" t="n">
        <v>2</v>
      </c>
      <c r="F72" s="6" t="s">
        <v>61</v>
      </c>
      <c r="G72" s="6" t="s">
        <v>945</v>
      </c>
      <c r="H72" s="6" t="n">
        <v>8983</v>
      </c>
      <c r="I72" s="35" t="s">
        <v>1043</v>
      </c>
      <c r="K72" s="22" t="n">
        <v>0</v>
      </c>
      <c r="L72" s="22" t="n">
        <v>0</v>
      </c>
      <c r="M72" s="22" t="n">
        <v>0</v>
      </c>
      <c r="N72" s="22" t="n">
        <v>0</v>
      </c>
      <c r="O72" s="22" t="n">
        <v>0</v>
      </c>
      <c r="P72" s="22" t="n">
        <v>0</v>
      </c>
      <c r="Q72" s="22" t="n">
        <v>0.0221060829272957</v>
      </c>
      <c r="R72" s="22" t="n">
        <v>0.0442121658545914</v>
      </c>
      <c r="S72" s="22" t="n">
        <v>0.0663182487818871</v>
      </c>
      <c r="T72" s="22" t="n">
        <v>0.0884243317091828</v>
      </c>
      <c r="U72" s="22" t="n">
        <v>0.110530414636479</v>
      </c>
      <c r="V72" s="22" t="n">
        <v>0.132636497563774</v>
      </c>
      <c r="W72" s="22" t="n">
        <v>0.15474258049107</v>
      </c>
      <c r="X72" s="22" t="n">
        <v>0.176848663418366</v>
      </c>
      <c r="Y72" s="22" t="n">
        <v>0.198954746345661</v>
      </c>
      <c r="Z72" s="22" t="n">
        <v>0.221060829272957</v>
      </c>
      <c r="AA72" s="22" t="n">
        <v>0.243166912200253</v>
      </c>
      <c r="AB72" s="22" t="n">
        <v>0.265272995127548</v>
      </c>
      <c r="AC72" s="22" t="n">
        <v>0.287379078054844</v>
      </c>
      <c r="AD72" s="22" t="n">
        <v>0.30948516098214</v>
      </c>
      <c r="AE72" s="22" t="n">
        <v>0.331591243909435</v>
      </c>
    </row>
    <row r="73" customFormat="false" ht="15" hidden="false" customHeight="false" outlineLevel="0" collapsed="false">
      <c r="A73" s="35" t="s">
        <v>1044</v>
      </c>
      <c r="B73" s="6" t="s">
        <v>66</v>
      </c>
      <c r="C73" s="6" t="s">
        <v>5</v>
      </c>
      <c r="D73" s="6" t="s">
        <v>941</v>
      </c>
      <c r="E73" s="6" t="n">
        <v>2</v>
      </c>
      <c r="F73" s="6" t="s">
        <v>61</v>
      </c>
      <c r="G73" s="6" t="s">
        <v>942</v>
      </c>
      <c r="H73" s="6" t="n">
        <v>9005</v>
      </c>
      <c r="I73" s="35" t="s">
        <v>1045</v>
      </c>
      <c r="K73" s="22" t="n">
        <v>0.484294240973435</v>
      </c>
      <c r="L73" s="22" t="n">
        <v>0.456428170500128</v>
      </c>
      <c r="M73" s="22" t="n">
        <v>0.431689201955995</v>
      </c>
      <c r="N73" s="22" t="n">
        <v>0.42507558395597</v>
      </c>
      <c r="O73" s="22" t="n">
        <v>0.42507558395597</v>
      </c>
      <c r="P73" s="22" t="n">
        <v>0.42507558395597</v>
      </c>
      <c r="Q73" s="22" t="n">
        <v>0.42507558395597</v>
      </c>
      <c r="R73" s="22" t="n">
        <v>0.42507558395597</v>
      </c>
      <c r="S73" s="22" t="n">
        <v>0.42507558395597</v>
      </c>
      <c r="T73" s="22" t="n">
        <v>0.42507558395597</v>
      </c>
      <c r="U73" s="22" t="n">
        <v>0.42507558395597</v>
      </c>
      <c r="V73" s="22" t="n">
        <v>0.42507558395597</v>
      </c>
      <c r="W73" s="22" t="n">
        <v>0.42507558395597</v>
      </c>
      <c r="X73" s="22" t="n">
        <v>0.42507558395597</v>
      </c>
      <c r="Y73" s="22" t="n">
        <v>0.42507558395597</v>
      </c>
      <c r="Z73" s="22" t="n">
        <v>0.42507558395597</v>
      </c>
      <c r="AA73" s="22" t="n">
        <v>0.42507558395597</v>
      </c>
      <c r="AB73" s="22" t="n">
        <v>0.42507558395597</v>
      </c>
      <c r="AC73" s="22" t="n">
        <v>0.42507558395597</v>
      </c>
      <c r="AD73" s="22" t="n">
        <v>0.42507558395597</v>
      </c>
      <c r="AE73" s="22" t="n">
        <v>0.42507558395597</v>
      </c>
    </row>
    <row r="74" customFormat="false" ht="15" hidden="false" customHeight="false" outlineLevel="0" collapsed="false">
      <c r="A74" s="35" t="s">
        <v>1046</v>
      </c>
      <c r="B74" s="6" t="s">
        <v>66</v>
      </c>
      <c r="C74" s="6" t="s">
        <v>5</v>
      </c>
      <c r="D74" s="6" t="s">
        <v>944</v>
      </c>
      <c r="E74" s="6" t="n">
        <v>2</v>
      </c>
      <c r="F74" s="6" t="s">
        <v>61</v>
      </c>
      <c r="G74" s="6" t="s">
        <v>945</v>
      </c>
      <c r="H74" s="6" t="n">
        <v>9006</v>
      </c>
      <c r="I74" s="35" t="s">
        <v>1047</v>
      </c>
      <c r="K74" s="22" t="n">
        <v>0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0</v>
      </c>
      <c r="Q74" s="22" t="n">
        <v>0.0319888301101085</v>
      </c>
      <c r="R74" s="22" t="n">
        <v>0.063977660220217</v>
      </c>
      <c r="S74" s="22" t="n">
        <v>0.0959664903303255</v>
      </c>
      <c r="T74" s="22" t="n">
        <v>0.127955320440434</v>
      </c>
      <c r="U74" s="22" t="n">
        <v>0.159944150550543</v>
      </c>
      <c r="V74" s="22" t="n">
        <v>0.191932980660651</v>
      </c>
      <c r="W74" s="22" t="n">
        <v>0.22392181077076</v>
      </c>
      <c r="X74" s="22" t="n">
        <v>0.255910640880868</v>
      </c>
      <c r="Y74" s="22" t="n">
        <v>0.287899470990977</v>
      </c>
      <c r="Z74" s="22" t="n">
        <v>0.319888301101085</v>
      </c>
      <c r="AA74" s="22" t="n">
        <v>0.351877131211193</v>
      </c>
      <c r="AB74" s="22" t="n">
        <v>0.383865961321302</v>
      </c>
      <c r="AC74" s="22" t="n">
        <v>0.41585479143141</v>
      </c>
      <c r="AD74" s="22" t="n">
        <v>0.447843621541519</v>
      </c>
      <c r="AE74" s="22" t="n">
        <v>0.479832451651627</v>
      </c>
    </row>
    <row r="75" customFormat="false" ht="15" hidden="false" customHeight="false" outlineLevel="0" collapsed="false">
      <c r="A75" s="35" t="s">
        <v>1048</v>
      </c>
      <c r="B75" s="6" t="s">
        <v>68</v>
      </c>
      <c r="C75" s="6" t="s">
        <v>5</v>
      </c>
      <c r="D75" s="6" t="s">
        <v>941</v>
      </c>
      <c r="E75" s="6" t="n">
        <v>2</v>
      </c>
      <c r="F75" s="6" t="s">
        <v>70</v>
      </c>
      <c r="G75" s="6" t="s">
        <v>942</v>
      </c>
      <c r="H75" s="6" t="n">
        <v>9028</v>
      </c>
      <c r="I75" s="35" t="s">
        <v>1049</v>
      </c>
      <c r="K75" s="22" t="n">
        <v>41.5003384988684</v>
      </c>
      <c r="L75" s="22" t="n">
        <v>34.4153703043132</v>
      </c>
      <c r="M75" s="22" t="n">
        <v>37.368960690432</v>
      </c>
      <c r="N75" s="22" t="n">
        <v>28.9827611014773</v>
      </c>
      <c r="O75" s="22" t="n">
        <v>15</v>
      </c>
      <c r="P75" s="22" t="n">
        <v>24.2586300842555</v>
      </c>
      <c r="Q75" s="22" t="n">
        <v>13.0962081961325</v>
      </c>
      <c r="R75" s="22" t="n">
        <v>10.0252451140106</v>
      </c>
      <c r="S75" s="22" t="n">
        <v>8.47723069137362</v>
      </c>
      <c r="T75" s="22" t="n">
        <v>7.12348244520922</v>
      </c>
      <c r="U75" s="22" t="n">
        <v>5.65275973941006</v>
      </c>
      <c r="V75" s="22" t="n">
        <v>5.65275973941006</v>
      </c>
      <c r="W75" s="22" t="n">
        <v>5.65275973941006</v>
      </c>
      <c r="X75" s="22" t="n">
        <v>5.65275973941006</v>
      </c>
      <c r="Y75" s="22" t="n">
        <v>5.65275973941006</v>
      </c>
      <c r="Z75" s="22" t="n">
        <v>5.65275973941007</v>
      </c>
      <c r="AA75" s="22" t="n">
        <v>5.65275973941006</v>
      </c>
      <c r="AB75" s="22" t="n">
        <v>5.65275973941006</v>
      </c>
      <c r="AC75" s="22" t="n">
        <v>5.65275973941004</v>
      </c>
      <c r="AD75" s="22" t="n">
        <v>5.65275973941006</v>
      </c>
      <c r="AE75" s="22" t="n">
        <v>5.65275973941004</v>
      </c>
    </row>
    <row r="76" customFormat="false" ht="15" hidden="false" customHeight="false" outlineLevel="0" collapsed="false">
      <c r="A76" s="35" t="s">
        <v>1050</v>
      </c>
      <c r="B76" s="6" t="s">
        <v>68</v>
      </c>
      <c r="C76" s="6" t="s">
        <v>5</v>
      </c>
      <c r="D76" s="6" t="s">
        <v>944</v>
      </c>
      <c r="E76" s="6" t="n">
        <v>2</v>
      </c>
      <c r="F76" s="6" t="s">
        <v>70</v>
      </c>
      <c r="G76" s="6" t="s">
        <v>945</v>
      </c>
      <c r="H76" s="6" t="n">
        <v>9029</v>
      </c>
      <c r="I76" s="35" t="s">
        <v>1051</v>
      </c>
      <c r="K76" s="22" t="n">
        <v>0</v>
      </c>
      <c r="L76" s="22" t="n">
        <v>0</v>
      </c>
      <c r="M76" s="22" t="n">
        <v>0</v>
      </c>
      <c r="N76" s="22" t="n">
        <v>0</v>
      </c>
      <c r="O76" s="22" t="n">
        <v>0</v>
      </c>
      <c r="P76" s="22" t="n">
        <v>0</v>
      </c>
      <c r="Q76" s="22" t="n">
        <v>5.86755</v>
      </c>
      <c r="R76" s="22" t="n">
        <v>11.7351</v>
      </c>
      <c r="S76" s="22" t="n">
        <v>17.60265</v>
      </c>
      <c r="T76" s="22" t="n">
        <v>23.4702</v>
      </c>
      <c r="U76" s="22" t="n">
        <v>29.33775</v>
      </c>
      <c r="V76" s="22" t="n">
        <v>35.2053</v>
      </c>
      <c r="W76" s="22" t="n">
        <v>41.07285</v>
      </c>
      <c r="X76" s="22" t="n">
        <v>46.9404</v>
      </c>
      <c r="Y76" s="22" t="n">
        <v>52.80795</v>
      </c>
      <c r="Z76" s="22" t="n">
        <v>58.6755</v>
      </c>
      <c r="AA76" s="22" t="n">
        <v>64.54305</v>
      </c>
      <c r="AB76" s="22" t="n">
        <v>70.4106</v>
      </c>
      <c r="AC76" s="22" t="n">
        <v>76.27815</v>
      </c>
      <c r="AD76" s="22" t="n">
        <v>82.1457</v>
      </c>
      <c r="AE76" s="22" t="n">
        <v>88.01325</v>
      </c>
    </row>
    <row r="77" customFormat="false" ht="15" hidden="false" customHeight="false" outlineLevel="0" collapsed="false">
      <c r="A77" s="35" t="s">
        <v>1052</v>
      </c>
      <c r="B77" s="6" t="s">
        <v>71</v>
      </c>
      <c r="C77" s="6" t="s">
        <v>5</v>
      </c>
      <c r="D77" s="6" t="s">
        <v>941</v>
      </c>
      <c r="E77" s="6" t="n">
        <v>2</v>
      </c>
      <c r="F77" s="6" t="s">
        <v>55</v>
      </c>
      <c r="G77" s="6" t="s">
        <v>942</v>
      </c>
      <c r="H77" s="6" t="n">
        <v>9051</v>
      </c>
      <c r="I77" s="35" t="s">
        <v>1053</v>
      </c>
      <c r="K77" s="22" t="n">
        <v>15.3345505293169</v>
      </c>
      <c r="L77" s="22" t="n">
        <v>14.1995283906349</v>
      </c>
      <c r="M77" s="22" t="n">
        <v>13.8404416133152</v>
      </c>
      <c r="N77" s="22" t="n">
        <v>13.5677269404465</v>
      </c>
      <c r="O77" s="22" t="n">
        <v>13.5677269404465</v>
      </c>
      <c r="P77" s="22" t="n">
        <v>13.5677269404465</v>
      </c>
      <c r="Q77" s="22" t="n">
        <v>13.5677269404465</v>
      </c>
      <c r="R77" s="22" t="n">
        <v>13.5677269404465</v>
      </c>
      <c r="S77" s="22" t="n">
        <v>13.5677269404465</v>
      </c>
      <c r="T77" s="22" t="n">
        <v>13.5677269404465</v>
      </c>
      <c r="U77" s="22" t="n">
        <v>13.5677269404465</v>
      </c>
      <c r="V77" s="22" t="n">
        <v>13.5677269404465</v>
      </c>
      <c r="W77" s="22" t="n">
        <v>13.5677269404465</v>
      </c>
      <c r="X77" s="22" t="n">
        <v>13.5677269404465</v>
      </c>
      <c r="Y77" s="22" t="n">
        <v>13.5677269404465</v>
      </c>
      <c r="Z77" s="22" t="n">
        <v>13.5677269404465</v>
      </c>
      <c r="AA77" s="22" t="n">
        <v>13.5677269404465</v>
      </c>
      <c r="AB77" s="22" t="n">
        <v>13.5677269404465</v>
      </c>
      <c r="AC77" s="22" t="n">
        <v>13.5677269404465</v>
      </c>
      <c r="AD77" s="22" t="n">
        <v>13.5677269404465</v>
      </c>
      <c r="AE77" s="22" t="n">
        <v>13.5677269404465</v>
      </c>
    </row>
    <row r="78" customFormat="false" ht="15" hidden="false" customHeight="false" outlineLevel="0" collapsed="false">
      <c r="A78" s="35" t="s">
        <v>1054</v>
      </c>
      <c r="B78" s="6" t="s">
        <v>71</v>
      </c>
      <c r="C78" s="6" t="s">
        <v>5</v>
      </c>
      <c r="D78" s="6" t="s">
        <v>944</v>
      </c>
      <c r="E78" s="6" t="n">
        <v>2</v>
      </c>
      <c r="F78" s="6" t="s">
        <v>55</v>
      </c>
      <c r="G78" s="6" t="s">
        <v>945</v>
      </c>
      <c r="H78" s="6" t="n">
        <v>9052</v>
      </c>
      <c r="I78" s="35" t="s">
        <v>1055</v>
      </c>
      <c r="K78" s="22" t="n">
        <v>0</v>
      </c>
      <c r="L78" s="22" t="n">
        <v>0</v>
      </c>
      <c r="M78" s="22" t="n">
        <v>0</v>
      </c>
      <c r="N78" s="22" t="n">
        <v>0</v>
      </c>
      <c r="O78" s="22" t="n">
        <v>0</v>
      </c>
      <c r="P78" s="22" t="n">
        <v>0</v>
      </c>
      <c r="Q78" s="22" t="n">
        <v>0</v>
      </c>
      <c r="R78" s="22" t="n">
        <v>0</v>
      </c>
      <c r="S78" s="22" t="n">
        <v>0</v>
      </c>
      <c r="T78" s="22" t="n">
        <v>0</v>
      </c>
      <c r="U78" s="22" t="n">
        <v>0</v>
      </c>
      <c r="V78" s="22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2" t="n">
        <v>0</v>
      </c>
      <c r="AC78" s="22" t="n">
        <v>0</v>
      </c>
      <c r="AD78" s="22" t="n">
        <v>0</v>
      </c>
      <c r="AE78" s="22" t="n">
        <v>0</v>
      </c>
    </row>
    <row r="79" customFormat="false" ht="15" hidden="false" customHeight="false" outlineLevel="0" collapsed="false">
      <c r="A79" s="35" t="s">
        <v>1056</v>
      </c>
      <c r="B79" s="6" t="s">
        <v>73</v>
      </c>
      <c r="C79" s="6" t="s">
        <v>5</v>
      </c>
      <c r="D79" s="6" t="s">
        <v>941</v>
      </c>
      <c r="E79" s="6" t="n">
        <v>2</v>
      </c>
      <c r="F79" s="6" t="s">
        <v>75</v>
      </c>
      <c r="G79" s="6" t="s">
        <v>942</v>
      </c>
      <c r="H79" s="6" t="n">
        <v>9140</v>
      </c>
      <c r="I79" s="35" t="s">
        <v>1057</v>
      </c>
      <c r="K79" s="22"/>
      <c r="L79" s="22" t="n">
        <v>0.144044986793198</v>
      </c>
      <c r="M79" s="22" t="n">
        <v>0.141386241751359</v>
      </c>
      <c r="N79" s="22" t="n">
        <v>0.135397565443731</v>
      </c>
      <c r="O79" s="22" t="n">
        <v>0.131522885420651</v>
      </c>
      <c r="P79" s="22" t="n">
        <v>0.128826108485231</v>
      </c>
      <c r="Q79" s="22" t="n">
        <v>0.12594200976474</v>
      </c>
      <c r="R79" s="22" t="n">
        <v>0.123113265701861</v>
      </c>
      <c r="S79" s="22" t="n">
        <v>0.119391738089068</v>
      </c>
      <c r="T79" s="22" t="n">
        <v>0.11554419046792</v>
      </c>
      <c r="U79" s="22" t="n">
        <v>0.114924230654159</v>
      </c>
      <c r="V79" s="22" t="n">
        <v>0.114346912116736</v>
      </c>
      <c r="W79" s="22" t="n">
        <v>0.113738711172664</v>
      </c>
      <c r="X79" s="22" t="n">
        <v>0.112999900487521</v>
      </c>
      <c r="Y79" s="22" t="n">
        <v>0.112177685835534</v>
      </c>
      <c r="Z79" s="22" t="n">
        <v>0.111417903250404</v>
      </c>
      <c r="AA79" s="22" t="n">
        <v>0.110525819985454</v>
      </c>
      <c r="AB79" s="22" t="n">
        <v>0.109699565234896</v>
      </c>
      <c r="AC79" s="22" t="n">
        <v>0.107726788963949</v>
      </c>
      <c r="AD79" s="22" t="n">
        <v>0.105820924450935</v>
      </c>
      <c r="AE79" s="22" t="n">
        <v>0.103855595705721</v>
      </c>
    </row>
    <row r="80" customFormat="false" ht="15" hidden="false" customHeight="false" outlineLevel="0" collapsed="false">
      <c r="A80" s="35" t="s">
        <v>1058</v>
      </c>
      <c r="B80" s="6" t="s">
        <v>73</v>
      </c>
      <c r="C80" s="6" t="s">
        <v>5</v>
      </c>
      <c r="D80" s="6" t="s">
        <v>944</v>
      </c>
      <c r="E80" s="6" t="n">
        <v>2</v>
      </c>
      <c r="F80" s="6" t="s">
        <v>75</v>
      </c>
      <c r="G80" s="6" t="s">
        <v>945</v>
      </c>
      <c r="H80" s="6" t="n">
        <v>9141</v>
      </c>
      <c r="I80" s="35" t="s">
        <v>1059</v>
      </c>
      <c r="K80" s="22"/>
      <c r="L80" s="22" t="n">
        <v>0</v>
      </c>
      <c r="M80" s="22" t="n">
        <v>0</v>
      </c>
      <c r="N80" s="22" t="n">
        <v>0</v>
      </c>
      <c r="O80" s="22" t="n">
        <v>0</v>
      </c>
      <c r="P80" s="22" t="n">
        <v>0</v>
      </c>
      <c r="Q80" s="22" t="n">
        <v>0</v>
      </c>
      <c r="R80" s="22" t="n">
        <v>0</v>
      </c>
      <c r="S80" s="22" t="n">
        <v>0</v>
      </c>
      <c r="T80" s="22" t="n">
        <v>0</v>
      </c>
      <c r="U80" s="22" t="n">
        <v>0</v>
      </c>
      <c r="V80" s="22" t="n">
        <v>0</v>
      </c>
      <c r="W80" s="22" t="n">
        <v>0</v>
      </c>
      <c r="X80" s="22" t="n">
        <v>0</v>
      </c>
      <c r="Y80" s="22" t="n">
        <v>0</v>
      </c>
      <c r="Z80" s="22" t="n">
        <v>0</v>
      </c>
      <c r="AA80" s="22" t="n">
        <v>0</v>
      </c>
      <c r="AB80" s="22" t="n">
        <v>0</v>
      </c>
      <c r="AC80" s="22" t="n">
        <v>0</v>
      </c>
      <c r="AD80" s="22" t="n">
        <v>0</v>
      </c>
      <c r="AE80" s="22" t="n">
        <v>0</v>
      </c>
    </row>
    <row r="81" customFormat="false" ht="15" hidden="false" customHeight="false" outlineLevel="0" collapsed="false">
      <c r="A81" s="35" t="s">
        <v>1060</v>
      </c>
      <c r="B81" s="6" t="s">
        <v>53</v>
      </c>
      <c r="C81" s="6" t="s">
        <v>5</v>
      </c>
      <c r="D81" s="6" t="s">
        <v>79</v>
      </c>
      <c r="E81" s="6" t="n">
        <v>2</v>
      </c>
      <c r="F81" s="6" t="s">
        <v>55</v>
      </c>
      <c r="G81" s="6" t="s">
        <v>977</v>
      </c>
      <c r="H81" s="6" t="n">
        <v>8710</v>
      </c>
      <c r="I81" s="35" t="s">
        <v>1060</v>
      </c>
      <c r="K81" s="22"/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0</v>
      </c>
      <c r="Q81" s="22" t="n">
        <v>0</v>
      </c>
      <c r="R81" s="22" t="n">
        <v>0</v>
      </c>
      <c r="S81" s="22" t="n">
        <v>0</v>
      </c>
      <c r="T81" s="22" t="n">
        <v>0</v>
      </c>
      <c r="U81" s="22" t="n">
        <v>0</v>
      </c>
      <c r="V81" s="22" t="n">
        <v>0</v>
      </c>
      <c r="W81" s="22" t="n">
        <v>0</v>
      </c>
      <c r="X81" s="22" t="n">
        <v>0</v>
      </c>
      <c r="Y81" s="22" t="n">
        <v>0</v>
      </c>
      <c r="Z81" s="22" t="n">
        <v>0</v>
      </c>
      <c r="AA81" s="22" t="n">
        <v>0</v>
      </c>
      <c r="AB81" s="22" t="n">
        <v>0</v>
      </c>
      <c r="AC81" s="22" t="n">
        <v>0</v>
      </c>
      <c r="AD81" s="22" t="n">
        <v>0</v>
      </c>
      <c r="AE81" s="22" t="n">
        <v>0</v>
      </c>
    </row>
    <row r="82" customFormat="false" ht="15" hidden="false" customHeight="false" outlineLevel="0" collapsed="false">
      <c r="A82" s="35" t="s">
        <v>1061</v>
      </c>
      <c r="B82" s="6" t="s">
        <v>57</v>
      </c>
      <c r="C82" s="6" t="s">
        <v>5</v>
      </c>
      <c r="D82" s="6" t="s">
        <v>79</v>
      </c>
      <c r="E82" s="6" t="n">
        <v>2</v>
      </c>
      <c r="F82" s="6" t="s">
        <v>55</v>
      </c>
      <c r="G82" s="6" t="s">
        <v>977</v>
      </c>
      <c r="H82" s="6" t="n">
        <v>8713</v>
      </c>
      <c r="I82" s="35" t="s">
        <v>1061</v>
      </c>
      <c r="K82" s="22"/>
      <c r="L82" s="22" t="n">
        <v>0</v>
      </c>
      <c r="M82" s="22" t="n">
        <v>0</v>
      </c>
      <c r="N82" s="22" t="n">
        <v>0</v>
      </c>
      <c r="O82" s="22" t="n">
        <v>0</v>
      </c>
      <c r="P82" s="22" t="n">
        <v>0</v>
      </c>
      <c r="Q82" s="22" t="n">
        <v>0</v>
      </c>
      <c r="R82" s="22" t="n">
        <v>0</v>
      </c>
      <c r="S82" s="22" t="n">
        <v>0</v>
      </c>
      <c r="T82" s="22" t="n">
        <v>0</v>
      </c>
      <c r="U82" s="22" t="n">
        <v>0</v>
      </c>
      <c r="V82" s="22" t="n">
        <v>0</v>
      </c>
      <c r="W82" s="22" t="n">
        <v>0</v>
      </c>
      <c r="X82" s="22" t="n">
        <v>0</v>
      </c>
      <c r="Y82" s="22" t="n">
        <v>0</v>
      </c>
      <c r="Z82" s="22" t="n">
        <v>0</v>
      </c>
      <c r="AA82" s="22" t="n">
        <v>0</v>
      </c>
      <c r="AB82" s="22" t="n">
        <v>0</v>
      </c>
      <c r="AC82" s="22" t="n">
        <v>0</v>
      </c>
      <c r="AD82" s="22" t="n">
        <v>0</v>
      </c>
      <c r="AE82" s="22" t="n">
        <v>0</v>
      </c>
    </row>
    <row r="83" customFormat="false" ht="15" hidden="false" customHeight="false" outlineLevel="0" collapsed="false">
      <c r="A83" s="35" t="s">
        <v>1062</v>
      </c>
      <c r="B83" s="6" t="s">
        <v>59</v>
      </c>
      <c r="C83" s="6" t="s">
        <v>5</v>
      </c>
      <c r="D83" s="6" t="s">
        <v>79</v>
      </c>
      <c r="E83" s="6" t="n">
        <v>2</v>
      </c>
      <c r="F83" s="6" t="s">
        <v>61</v>
      </c>
      <c r="G83" s="6" t="s">
        <v>977</v>
      </c>
      <c r="H83" s="6" t="n">
        <v>8714</v>
      </c>
      <c r="I83" s="35" t="s">
        <v>1063</v>
      </c>
      <c r="K83" s="22"/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0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2" t="n">
        <v>0</v>
      </c>
      <c r="AC83" s="22" t="n">
        <v>0</v>
      </c>
      <c r="AD83" s="22" t="n">
        <v>0</v>
      </c>
      <c r="AE83" s="22" t="n">
        <v>0</v>
      </c>
    </row>
    <row r="84" customFormat="false" ht="15" hidden="false" customHeight="false" outlineLevel="0" collapsed="false">
      <c r="A84" s="35" t="s">
        <v>1064</v>
      </c>
      <c r="B84" s="6" t="s">
        <v>62</v>
      </c>
      <c r="C84" s="6" t="s">
        <v>5</v>
      </c>
      <c r="D84" s="6" t="s">
        <v>79</v>
      </c>
      <c r="E84" s="6" t="n">
        <v>2</v>
      </c>
      <c r="F84" s="6" t="s">
        <v>61</v>
      </c>
      <c r="G84" s="6" t="s">
        <v>977</v>
      </c>
      <c r="H84" s="6" t="n">
        <v>8715</v>
      </c>
      <c r="I84" s="35" t="s">
        <v>1065</v>
      </c>
      <c r="K84" s="22"/>
      <c r="L84" s="22" t="n">
        <v>0</v>
      </c>
      <c r="M84" s="22" t="n">
        <v>0</v>
      </c>
      <c r="N84" s="22" t="n">
        <v>0</v>
      </c>
      <c r="O84" s="22" t="n">
        <v>0</v>
      </c>
      <c r="P84" s="22" t="n">
        <v>0</v>
      </c>
      <c r="Q84" s="22" t="n">
        <v>0</v>
      </c>
      <c r="R84" s="22" t="n">
        <v>0</v>
      </c>
      <c r="S84" s="22" t="n">
        <v>0</v>
      </c>
      <c r="T84" s="22" t="n">
        <v>0</v>
      </c>
      <c r="U84" s="22" t="n">
        <v>0</v>
      </c>
      <c r="V84" s="22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  <c r="AD84" s="22" t="n">
        <v>0</v>
      </c>
      <c r="AE84" s="22" t="n">
        <v>0</v>
      </c>
    </row>
    <row r="85" customFormat="false" ht="15" hidden="false" customHeight="false" outlineLevel="0" collapsed="false">
      <c r="A85" s="35" t="s">
        <v>1066</v>
      </c>
      <c r="B85" s="6" t="s">
        <v>64</v>
      </c>
      <c r="C85" s="6" t="s">
        <v>5</v>
      </c>
      <c r="D85" s="6" t="s">
        <v>79</v>
      </c>
      <c r="E85" s="6" t="n">
        <v>2</v>
      </c>
      <c r="F85" s="6" t="s">
        <v>61</v>
      </c>
      <c r="G85" s="6" t="s">
        <v>977</v>
      </c>
      <c r="H85" s="6" t="n">
        <v>8716</v>
      </c>
      <c r="I85" s="35" t="s">
        <v>1067</v>
      </c>
      <c r="K85" s="22"/>
      <c r="L85" s="22" t="n">
        <v>0</v>
      </c>
      <c r="M85" s="22" t="n">
        <v>0</v>
      </c>
      <c r="N85" s="22" t="n">
        <v>0</v>
      </c>
      <c r="O85" s="22" t="n">
        <v>0</v>
      </c>
      <c r="P85" s="22" t="n">
        <v>0</v>
      </c>
      <c r="Q85" s="22" t="n">
        <v>0</v>
      </c>
      <c r="R85" s="22" t="n">
        <v>0</v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0</v>
      </c>
      <c r="X85" s="22" t="n">
        <v>0</v>
      </c>
      <c r="Y85" s="22" t="n">
        <v>0</v>
      </c>
      <c r="Z85" s="22" t="n">
        <v>0</v>
      </c>
      <c r="AA85" s="22" t="n">
        <v>0</v>
      </c>
      <c r="AB85" s="22" t="n">
        <v>0</v>
      </c>
      <c r="AC85" s="22" t="n">
        <v>0</v>
      </c>
      <c r="AD85" s="22" t="n">
        <v>0</v>
      </c>
      <c r="AE85" s="22" t="n">
        <v>0</v>
      </c>
    </row>
    <row r="86" customFormat="false" ht="15" hidden="false" customHeight="false" outlineLevel="0" collapsed="false">
      <c r="A86" s="35" t="s">
        <v>1068</v>
      </c>
      <c r="B86" s="6" t="s">
        <v>66</v>
      </c>
      <c r="C86" s="6" t="s">
        <v>5</v>
      </c>
      <c r="D86" s="6" t="s">
        <v>79</v>
      </c>
      <c r="E86" s="6" t="n">
        <v>2</v>
      </c>
      <c r="F86" s="6" t="s">
        <v>61</v>
      </c>
      <c r="G86" s="6" t="s">
        <v>977</v>
      </c>
      <c r="H86" s="6" t="n">
        <v>8717</v>
      </c>
      <c r="I86" s="35" t="s">
        <v>1069</v>
      </c>
      <c r="K86" s="22"/>
      <c r="L86" s="22" t="n">
        <v>0</v>
      </c>
      <c r="M86" s="22" t="n">
        <v>0</v>
      </c>
      <c r="N86" s="22" t="n">
        <v>0</v>
      </c>
      <c r="O86" s="22" t="n">
        <v>0</v>
      </c>
      <c r="P86" s="22" t="n">
        <v>0</v>
      </c>
      <c r="Q86" s="22" t="n">
        <v>0</v>
      </c>
      <c r="R86" s="22" t="n">
        <v>0</v>
      </c>
      <c r="S86" s="22" t="n">
        <v>0</v>
      </c>
      <c r="T86" s="22" t="n">
        <v>0</v>
      </c>
      <c r="U86" s="22" t="n">
        <v>0</v>
      </c>
      <c r="V86" s="22" t="n">
        <v>0</v>
      </c>
      <c r="W86" s="22" t="n">
        <v>0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  <c r="AD86" s="22" t="n">
        <v>0</v>
      </c>
      <c r="AE86" s="22" t="n">
        <v>0</v>
      </c>
    </row>
    <row r="87" customFormat="false" ht="15" hidden="false" customHeight="false" outlineLevel="0" collapsed="false">
      <c r="A87" s="35" t="s">
        <v>1070</v>
      </c>
      <c r="B87" s="6" t="s">
        <v>68</v>
      </c>
      <c r="C87" s="6" t="s">
        <v>5</v>
      </c>
      <c r="D87" s="6" t="s">
        <v>79</v>
      </c>
      <c r="E87" s="6" t="n">
        <v>2</v>
      </c>
      <c r="F87" s="6" t="s">
        <v>70</v>
      </c>
      <c r="G87" s="6" t="s">
        <v>977</v>
      </c>
      <c r="H87" s="6" t="n">
        <v>8718</v>
      </c>
      <c r="I87" s="35" t="s">
        <v>1071</v>
      </c>
      <c r="K87" s="22"/>
      <c r="L87" s="22" t="n">
        <v>0</v>
      </c>
      <c r="M87" s="22" t="n">
        <v>0</v>
      </c>
      <c r="N87" s="22" t="n">
        <v>0</v>
      </c>
      <c r="O87" s="22" t="n">
        <v>0</v>
      </c>
      <c r="P87" s="22" t="n">
        <v>0</v>
      </c>
      <c r="Q87" s="22" t="n">
        <v>0</v>
      </c>
      <c r="R87" s="22" t="n">
        <v>0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0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  <c r="AD87" s="22" t="n">
        <v>0</v>
      </c>
      <c r="AE87" s="22" t="n">
        <v>0</v>
      </c>
    </row>
    <row r="88" customFormat="false" ht="15" hidden="false" customHeight="false" outlineLevel="0" collapsed="false">
      <c r="A88" s="35" t="s">
        <v>1072</v>
      </c>
      <c r="B88" s="6" t="s">
        <v>71</v>
      </c>
      <c r="C88" s="6" t="s">
        <v>5</v>
      </c>
      <c r="D88" s="6" t="s">
        <v>79</v>
      </c>
      <c r="E88" s="6" t="n">
        <v>2</v>
      </c>
      <c r="F88" s="6" t="s">
        <v>55</v>
      </c>
      <c r="G88" s="6" t="s">
        <v>977</v>
      </c>
      <c r="H88" s="6" t="n">
        <v>8719</v>
      </c>
      <c r="I88" s="35" t="s">
        <v>1073</v>
      </c>
      <c r="K88" s="22"/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0</v>
      </c>
      <c r="W88" s="22" t="n">
        <v>0</v>
      </c>
      <c r="X88" s="22" t="n">
        <v>0</v>
      </c>
      <c r="Y88" s="22" t="n">
        <v>0</v>
      </c>
      <c r="Z88" s="22" t="n">
        <v>0</v>
      </c>
      <c r="AA88" s="22" t="n">
        <v>0</v>
      </c>
      <c r="AB88" s="22" t="n">
        <v>0</v>
      </c>
      <c r="AC88" s="22" t="n">
        <v>0</v>
      </c>
      <c r="AD88" s="22" t="n">
        <v>0</v>
      </c>
      <c r="AE88" s="22" t="n">
        <v>0</v>
      </c>
    </row>
    <row r="89" customFormat="false" ht="15" hidden="false" customHeight="false" outlineLevel="0" collapsed="false">
      <c r="A89" s="35" t="s">
        <v>1074</v>
      </c>
      <c r="B89" s="6" t="s">
        <v>73</v>
      </c>
      <c r="C89" s="6" t="s">
        <v>5</v>
      </c>
      <c r="D89" s="6" t="s">
        <v>79</v>
      </c>
      <c r="E89" s="6" t="n">
        <v>2</v>
      </c>
      <c r="F89" s="6" t="s">
        <v>75</v>
      </c>
      <c r="G89" s="6" t="s">
        <v>992</v>
      </c>
      <c r="H89" s="6" t="s">
        <v>81</v>
      </c>
      <c r="I89" s="35" t="s">
        <v>81</v>
      </c>
      <c r="K89" s="22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0</v>
      </c>
      <c r="Q89" s="22" t="n">
        <v>0</v>
      </c>
      <c r="R89" s="22" t="n">
        <v>0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0</v>
      </c>
      <c r="X89" s="22" t="n">
        <v>0</v>
      </c>
      <c r="Y89" s="22" t="n">
        <v>0</v>
      </c>
      <c r="Z89" s="22" t="n">
        <v>0</v>
      </c>
      <c r="AA89" s="22" t="n">
        <v>0</v>
      </c>
      <c r="AB89" s="22" t="n">
        <v>0</v>
      </c>
      <c r="AC89" s="22" t="n">
        <v>0</v>
      </c>
      <c r="AD89" s="22" t="n">
        <v>0</v>
      </c>
      <c r="AE89" s="22" t="n">
        <v>0</v>
      </c>
    </row>
    <row r="90" customFormat="false" ht="15" hidden="false" customHeight="false" outlineLevel="0" collapsed="false">
      <c r="A90" s="35" t="s">
        <v>1075</v>
      </c>
      <c r="B90" s="6" t="s">
        <v>81</v>
      </c>
      <c r="C90" s="6" t="s">
        <v>885</v>
      </c>
      <c r="D90" s="6" t="s">
        <v>84</v>
      </c>
      <c r="E90" s="6" t="n">
        <v>2</v>
      </c>
      <c r="F90" s="6" t="s">
        <v>83</v>
      </c>
      <c r="G90" s="6" t="s">
        <v>994</v>
      </c>
      <c r="H90" s="6" t="n">
        <v>8601</v>
      </c>
      <c r="I90" s="35" t="s">
        <v>1075</v>
      </c>
      <c r="K90" s="23"/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1</v>
      </c>
      <c r="Q90" s="23" t="n">
        <v>1</v>
      </c>
      <c r="R90" s="23" t="n">
        <v>1</v>
      </c>
      <c r="S90" s="23" t="n">
        <v>1</v>
      </c>
      <c r="T90" s="23" t="n">
        <v>1</v>
      </c>
      <c r="U90" s="23" t="n">
        <v>1</v>
      </c>
      <c r="V90" s="23" t="n">
        <v>1</v>
      </c>
      <c r="W90" s="23" t="n">
        <v>1</v>
      </c>
      <c r="X90" s="23" t="n">
        <v>1</v>
      </c>
      <c r="Y90" s="23" t="n">
        <v>1</v>
      </c>
      <c r="Z90" s="23" t="n">
        <v>1</v>
      </c>
      <c r="AA90" s="23" t="n">
        <v>1</v>
      </c>
      <c r="AB90" s="23" t="n">
        <v>1</v>
      </c>
      <c r="AC90" s="23" t="n">
        <v>1</v>
      </c>
      <c r="AD90" s="23" t="n">
        <v>1</v>
      </c>
      <c r="AE90" s="23" t="n">
        <v>1</v>
      </c>
    </row>
    <row r="91" customFormat="false" ht="15" hidden="false" customHeight="false" outlineLevel="0" collapsed="false">
      <c r="A91" s="35" t="s">
        <v>1076</v>
      </c>
      <c r="B91" s="6" t="s">
        <v>81</v>
      </c>
      <c r="C91" s="6" t="s">
        <v>886</v>
      </c>
      <c r="D91" s="6" t="s">
        <v>84</v>
      </c>
      <c r="E91" s="6" t="n">
        <v>2</v>
      </c>
      <c r="F91" s="6" t="s">
        <v>83</v>
      </c>
      <c r="G91" s="6" t="s">
        <v>994</v>
      </c>
      <c r="H91" s="6" t="n">
        <v>8602</v>
      </c>
      <c r="I91" s="35" t="s">
        <v>1076</v>
      </c>
      <c r="K91" s="23"/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1</v>
      </c>
      <c r="Q91" s="23" t="n">
        <v>1</v>
      </c>
      <c r="R91" s="23" t="n">
        <v>1</v>
      </c>
      <c r="S91" s="23" t="n">
        <v>1</v>
      </c>
      <c r="T91" s="23" t="n">
        <v>1</v>
      </c>
      <c r="U91" s="23" t="n">
        <v>1</v>
      </c>
      <c r="V91" s="23" t="n">
        <v>1</v>
      </c>
      <c r="W91" s="23" t="n">
        <v>1</v>
      </c>
      <c r="X91" s="23" t="n">
        <v>1</v>
      </c>
      <c r="Y91" s="23" t="n">
        <v>1</v>
      </c>
      <c r="Z91" s="23" t="n">
        <v>1</v>
      </c>
      <c r="AA91" s="23" t="n">
        <v>1</v>
      </c>
      <c r="AB91" s="23" t="n">
        <v>1</v>
      </c>
      <c r="AC91" s="23" t="n">
        <v>1</v>
      </c>
      <c r="AD91" s="23" t="n">
        <v>1</v>
      </c>
      <c r="AE91" s="23" t="n">
        <v>1</v>
      </c>
    </row>
    <row r="92" customFormat="false" ht="15" hidden="false" customHeight="false" outlineLevel="0" collapsed="false">
      <c r="A92" s="35" t="s">
        <v>1077</v>
      </c>
      <c r="B92" s="6" t="s">
        <v>81</v>
      </c>
      <c r="C92" s="6" t="s">
        <v>887</v>
      </c>
      <c r="D92" s="6" t="s">
        <v>84</v>
      </c>
      <c r="E92" s="6" t="n">
        <v>2</v>
      </c>
      <c r="F92" s="6" t="s">
        <v>83</v>
      </c>
      <c r="G92" s="6" t="s">
        <v>994</v>
      </c>
      <c r="H92" s="6" t="n">
        <v>8603</v>
      </c>
      <c r="I92" s="35" t="s">
        <v>1077</v>
      </c>
      <c r="K92" s="23"/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1</v>
      </c>
      <c r="Q92" s="23" t="n">
        <v>1</v>
      </c>
      <c r="R92" s="23" t="n">
        <v>1</v>
      </c>
      <c r="S92" s="23" t="n">
        <v>1</v>
      </c>
      <c r="T92" s="23" t="n">
        <v>1</v>
      </c>
      <c r="U92" s="23" t="n">
        <v>1</v>
      </c>
      <c r="V92" s="23" t="n">
        <v>1</v>
      </c>
      <c r="W92" s="23" t="n">
        <v>1</v>
      </c>
      <c r="X92" s="23" t="n">
        <v>1</v>
      </c>
      <c r="Y92" s="23" t="n">
        <v>1</v>
      </c>
      <c r="Z92" s="23" t="n">
        <v>1</v>
      </c>
      <c r="AA92" s="23" t="n">
        <v>1</v>
      </c>
      <c r="AB92" s="23" t="n">
        <v>1</v>
      </c>
      <c r="AC92" s="23" t="n">
        <v>1</v>
      </c>
      <c r="AD92" s="23" t="n">
        <v>1</v>
      </c>
      <c r="AE92" s="23" t="n">
        <v>1</v>
      </c>
    </row>
    <row r="93" customFormat="false" ht="15" hidden="false" customHeight="false" outlineLevel="0" collapsed="false">
      <c r="A93" s="35" t="s">
        <v>1078</v>
      </c>
      <c r="B93" s="6" t="s">
        <v>81</v>
      </c>
      <c r="C93" s="6" t="s">
        <v>889</v>
      </c>
      <c r="D93" s="6" t="s">
        <v>84</v>
      </c>
      <c r="E93" s="6" t="n">
        <v>2</v>
      </c>
      <c r="F93" s="6" t="s">
        <v>83</v>
      </c>
      <c r="G93" s="6" t="s">
        <v>994</v>
      </c>
      <c r="H93" s="6" t="n">
        <v>8604</v>
      </c>
      <c r="I93" s="35" t="s">
        <v>1078</v>
      </c>
      <c r="K93" s="23"/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1</v>
      </c>
      <c r="Q93" s="23" t="n">
        <v>1</v>
      </c>
      <c r="R93" s="23" t="n">
        <v>1</v>
      </c>
      <c r="S93" s="23" t="n">
        <v>1</v>
      </c>
      <c r="T93" s="23" t="n">
        <v>1</v>
      </c>
      <c r="U93" s="23" t="n">
        <v>1</v>
      </c>
      <c r="V93" s="23" t="n">
        <v>1</v>
      </c>
      <c r="W93" s="23" t="n">
        <v>1</v>
      </c>
      <c r="X93" s="23" t="n">
        <v>1</v>
      </c>
      <c r="Y93" s="23" t="n">
        <v>1</v>
      </c>
      <c r="Z93" s="23" t="n">
        <v>1</v>
      </c>
      <c r="AA93" s="23" t="n">
        <v>1</v>
      </c>
      <c r="AB93" s="23" t="n">
        <v>1</v>
      </c>
      <c r="AC93" s="23" t="n">
        <v>1</v>
      </c>
      <c r="AD93" s="23" t="n">
        <v>1</v>
      </c>
      <c r="AE93" s="23" t="n">
        <v>1</v>
      </c>
    </row>
    <row r="94" customFormat="false" ht="15" hidden="false" customHeight="false" outlineLevel="0" collapsed="false">
      <c r="A94" s="35" t="s">
        <v>1079</v>
      </c>
      <c r="B94" s="6" t="s">
        <v>81</v>
      </c>
      <c r="C94" s="6" t="s">
        <v>888</v>
      </c>
      <c r="D94" s="6" t="s">
        <v>84</v>
      </c>
      <c r="E94" s="6" t="n">
        <v>2</v>
      </c>
      <c r="F94" s="6" t="s">
        <v>83</v>
      </c>
      <c r="G94" s="6" t="s">
        <v>994</v>
      </c>
      <c r="H94" s="6" t="n">
        <v>8605</v>
      </c>
      <c r="I94" s="35" t="s">
        <v>1079</v>
      </c>
      <c r="K94" s="23"/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1</v>
      </c>
      <c r="Q94" s="23" t="n">
        <v>1</v>
      </c>
      <c r="R94" s="23" t="n">
        <v>1</v>
      </c>
      <c r="S94" s="23" t="n">
        <v>1</v>
      </c>
      <c r="T94" s="23" t="n">
        <v>1</v>
      </c>
      <c r="U94" s="23" t="n">
        <v>1</v>
      </c>
      <c r="V94" s="23" t="n">
        <v>1</v>
      </c>
      <c r="W94" s="23" t="n">
        <v>1</v>
      </c>
      <c r="X94" s="23" t="n">
        <v>1</v>
      </c>
      <c r="Y94" s="23" t="n">
        <v>1</v>
      </c>
      <c r="Z94" s="23" t="n">
        <v>1</v>
      </c>
      <c r="AA94" s="23" t="n">
        <v>1</v>
      </c>
      <c r="AB94" s="23" t="n">
        <v>1</v>
      </c>
      <c r="AC94" s="23" t="n">
        <v>1</v>
      </c>
      <c r="AD94" s="23" t="n">
        <v>1</v>
      </c>
      <c r="AE94" s="23" t="n">
        <v>1</v>
      </c>
    </row>
    <row r="95" customFormat="false" ht="15" hidden="false" customHeight="false" outlineLevel="0" collapsed="false">
      <c r="A95" s="35" t="s">
        <v>1080</v>
      </c>
      <c r="B95" s="6" t="s">
        <v>81</v>
      </c>
      <c r="C95" s="6" t="s">
        <v>890</v>
      </c>
      <c r="D95" s="6" t="s">
        <v>84</v>
      </c>
      <c r="E95" s="6" t="n">
        <v>2</v>
      </c>
      <c r="F95" s="6" t="s">
        <v>83</v>
      </c>
      <c r="G95" s="6" t="s">
        <v>994</v>
      </c>
      <c r="H95" s="6" t="n">
        <v>8606</v>
      </c>
      <c r="I95" s="35" t="s">
        <v>1080</v>
      </c>
      <c r="K95" s="23"/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1</v>
      </c>
      <c r="Q95" s="23" t="n">
        <v>1</v>
      </c>
      <c r="R95" s="23" t="n">
        <v>1</v>
      </c>
      <c r="S95" s="23" t="n">
        <v>1</v>
      </c>
      <c r="T95" s="23" t="n">
        <v>1</v>
      </c>
      <c r="U95" s="23" t="n">
        <v>1</v>
      </c>
      <c r="V95" s="23" t="n">
        <v>1</v>
      </c>
      <c r="W95" s="23" t="n">
        <v>1</v>
      </c>
      <c r="X95" s="23" t="n">
        <v>1</v>
      </c>
      <c r="Y95" s="23" t="n">
        <v>1</v>
      </c>
      <c r="Z95" s="23" t="n">
        <v>1</v>
      </c>
      <c r="AA95" s="23" t="n">
        <v>1</v>
      </c>
      <c r="AB95" s="23" t="n">
        <v>1</v>
      </c>
      <c r="AC95" s="23" t="n">
        <v>1</v>
      </c>
      <c r="AD95" s="23" t="n">
        <v>1</v>
      </c>
      <c r="AE95" s="23" t="n">
        <v>1</v>
      </c>
    </row>
    <row r="96" customFormat="false" ht="15" hidden="false" customHeight="false" outlineLevel="0" collapsed="false">
      <c r="A96" s="35" t="s">
        <v>1081</v>
      </c>
      <c r="B96" s="6" t="s">
        <v>81</v>
      </c>
      <c r="C96" s="6" t="s">
        <v>891</v>
      </c>
      <c r="D96" s="6" t="s">
        <v>84</v>
      </c>
      <c r="E96" s="6" t="n">
        <v>2</v>
      </c>
      <c r="F96" s="6" t="s">
        <v>83</v>
      </c>
      <c r="G96" s="6" t="s">
        <v>994</v>
      </c>
      <c r="H96" s="6" t="n">
        <v>8607</v>
      </c>
      <c r="I96" s="35" t="s">
        <v>1081</v>
      </c>
      <c r="K96" s="23"/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1</v>
      </c>
      <c r="Q96" s="23" t="n">
        <v>1</v>
      </c>
      <c r="R96" s="23" t="n">
        <v>1</v>
      </c>
      <c r="S96" s="23" t="n">
        <v>1</v>
      </c>
      <c r="T96" s="23" t="n">
        <v>1</v>
      </c>
      <c r="U96" s="23" t="n">
        <v>1</v>
      </c>
      <c r="V96" s="23" t="n">
        <v>1</v>
      </c>
      <c r="W96" s="23" t="n">
        <v>1</v>
      </c>
      <c r="X96" s="23" t="n">
        <v>1</v>
      </c>
      <c r="Y96" s="23" t="n">
        <v>1</v>
      </c>
      <c r="Z96" s="23" t="n">
        <v>1</v>
      </c>
      <c r="AA96" s="23" t="n">
        <v>1</v>
      </c>
      <c r="AB96" s="23" t="n">
        <v>1</v>
      </c>
      <c r="AC96" s="23" t="n">
        <v>1</v>
      </c>
      <c r="AD96" s="23" t="n">
        <v>1</v>
      </c>
      <c r="AE96" s="23" t="n">
        <v>1</v>
      </c>
    </row>
    <row r="97" customFormat="false" ht="15" hidden="false" customHeight="false" outlineLevel="0" collapsed="false">
      <c r="A97" s="35" t="s">
        <v>1082</v>
      </c>
      <c r="B97" s="6" t="s">
        <v>81</v>
      </c>
      <c r="C97" s="6" t="s">
        <v>892</v>
      </c>
      <c r="D97" s="6" t="s">
        <v>84</v>
      </c>
      <c r="E97" s="6" t="n">
        <v>2</v>
      </c>
      <c r="F97" s="6" t="s">
        <v>83</v>
      </c>
      <c r="G97" s="6" t="s">
        <v>994</v>
      </c>
      <c r="H97" s="6" t="n">
        <v>8608</v>
      </c>
      <c r="I97" s="35" t="s">
        <v>1082</v>
      </c>
      <c r="K97" s="23"/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1</v>
      </c>
      <c r="Q97" s="23" t="n">
        <v>1</v>
      </c>
      <c r="R97" s="23" t="n">
        <v>1</v>
      </c>
      <c r="S97" s="23" t="n">
        <v>1</v>
      </c>
      <c r="T97" s="23" t="n">
        <v>1</v>
      </c>
      <c r="U97" s="23" t="n">
        <v>1</v>
      </c>
      <c r="V97" s="23" t="n">
        <v>1</v>
      </c>
      <c r="W97" s="23" t="n">
        <v>1</v>
      </c>
      <c r="X97" s="23" t="n">
        <v>1</v>
      </c>
      <c r="Y97" s="23" t="n">
        <v>1</v>
      </c>
      <c r="Z97" s="23" t="n">
        <v>1</v>
      </c>
      <c r="AA97" s="23" t="n">
        <v>1</v>
      </c>
      <c r="AB97" s="23" t="n">
        <v>1</v>
      </c>
      <c r="AC97" s="23" t="n">
        <v>1</v>
      </c>
      <c r="AD97" s="23" t="n">
        <v>1</v>
      </c>
      <c r="AE97" s="23" t="n">
        <v>1</v>
      </c>
    </row>
    <row r="98" customFormat="false" ht="15" hidden="false" customHeight="false" outlineLevel="0" collapsed="false">
      <c r="A98" s="35" t="s">
        <v>1083</v>
      </c>
      <c r="B98" s="6" t="s">
        <v>81</v>
      </c>
      <c r="C98" s="6" t="s">
        <v>121</v>
      </c>
      <c r="D98" s="6" t="s">
        <v>84</v>
      </c>
      <c r="E98" s="6" t="n">
        <v>2</v>
      </c>
      <c r="F98" s="6" t="s">
        <v>83</v>
      </c>
      <c r="G98" s="6" t="s">
        <v>994</v>
      </c>
      <c r="H98" s="6" t="n">
        <v>8609</v>
      </c>
      <c r="I98" s="35" t="s">
        <v>1083</v>
      </c>
      <c r="K98" s="23"/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1</v>
      </c>
      <c r="Q98" s="23" t="n">
        <v>1</v>
      </c>
      <c r="R98" s="23" t="n">
        <v>1</v>
      </c>
      <c r="S98" s="23" t="n">
        <v>1</v>
      </c>
      <c r="T98" s="23" t="n">
        <v>1</v>
      </c>
      <c r="U98" s="23" t="n">
        <v>1</v>
      </c>
      <c r="V98" s="23" t="n">
        <v>1</v>
      </c>
      <c r="W98" s="23" t="n">
        <v>1</v>
      </c>
      <c r="X98" s="23" t="n">
        <v>1</v>
      </c>
      <c r="Y98" s="23" t="n">
        <v>1</v>
      </c>
      <c r="Z98" s="23" t="n">
        <v>1</v>
      </c>
      <c r="AA98" s="23" t="n">
        <v>1</v>
      </c>
      <c r="AB98" s="23" t="n">
        <v>1</v>
      </c>
      <c r="AC98" s="23" t="n">
        <v>1</v>
      </c>
      <c r="AD98" s="23" t="n">
        <v>1</v>
      </c>
      <c r="AE98" s="23" t="n">
        <v>1</v>
      </c>
    </row>
    <row r="99" customFormat="false" ht="15" hidden="false" customHeight="false" outlineLevel="0" collapsed="false">
      <c r="A99" s="35" t="s">
        <v>1084</v>
      </c>
      <c r="B99" s="6" t="s">
        <v>81</v>
      </c>
      <c r="C99" s="6" t="s">
        <v>47</v>
      </c>
      <c r="D99" s="6" t="s">
        <v>84</v>
      </c>
      <c r="E99" s="6" t="n">
        <v>2</v>
      </c>
      <c r="F99" s="6" t="s">
        <v>83</v>
      </c>
      <c r="G99" s="6" t="s">
        <v>994</v>
      </c>
      <c r="H99" s="6" t="n">
        <v>8610</v>
      </c>
      <c r="I99" s="35" t="s">
        <v>1084</v>
      </c>
      <c r="K99" s="23"/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1</v>
      </c>
      <c r="Q99" s="23" t="n">
        <v>1</v>
      </c>
      <c r="R99" s="23" t="n">
        <v>1</v>
      </c>
      <c r="S99" s="23" t="n">
        <v>1</v>
      </c>
      <c r="T99" s="23" t="n">
        <v>1</v>
      </c>
      <c r="U99" s="23" t="n">
        <v>1</v>
      </c>
      <c r="V99" s="23" t="n">
        <v>1</v>
      </c>
      <c r="W99" s="23" t="n">
        <v>1</v>
      </c>
      <c r="X99" s="23" t="n">
        <v>1</v>
      </c>
      <c r="Y99" s="23" t="n">
        <v>1</v>
      </c>
      <c r="Z99" s="23" t="n">
        <v>1</v>
      </c>
      <c r="AA99" s="23" t="n">
        <v>1</v>
      </c>
      <c r="AB99" s="23" t="n">
        <v>1</v>
      </c>
      <c r="AC99" s="23" t="n">
        <v>1</v>
      </c>
      <c r="AD99" s="23" t="n">
        <v>1</v>
      </c>
      <c r="AE99" s="23" t="n">
        <v>1</v>
      </c>
    </row>
    <row r="100" customFormat="false" ht="15" hidden="false" customHeight="false" outlineLevel="0" collapsed="false">
      <c r="A100" s="35" t="s">
        <v>1085</v>
      </c>
      <c r="B100" s="6" t="s">
        <v>81</v>
      </c>
      <c r="C100" s="6" t="s">
        <v>119</v>
      </c>
      <c r="D100" s="6" t="s">
        <v>84</v>
      </c>
      <c r="E100" s="6" t="n">
        <v>2</v>
      </c>
      <c r="F100" s="6" t="s">
        <v>83</v>
      </c>
      <c r="G100" s="6" t="s">
        <v>994</v>
      </c>
      <c r="H100" s="6" t="n">
        <v>8611</v>
      </c>
      <c r="I100" s="35" t="s">
        <v>1085</v>
      </c>
      <c r="K100" s="23"/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1</v>
      </c>
      <c r="Q100" s="23" t="n">
        <v>1</v>
      </c>
      <c r="R100" s="23" t="n">
        <v>1</v>
      </c>
      <c r="S100" s="23" t="n">
        <v>1</v>
      </c>
      <c r="T100" s="23" t="n">
        <v>1</v>
      </c>
      <c r="U100" s="23" t="n">
        <v>1</v>
      </c>
      <c r="V100" s="23" t="n">
        <v>1</v>
      </c>
      <c r="W100" s="23" t="n">
        <v>1</v>
      </c>
      <c r="X100" s="23" t="n">
        <v>1</v>
      </c>
      <c r="Y100" s="23" t="n">
        <v>1</v>
      </c>
      <c r="Z100" s="23" t="n">
        <v>1</v>
      </c>
      <c r="AA100" s="23" t="n">
        <v>1</v>
      </c>
      <c r="AB100" s="23" t="n">
        <v>1</v>
      </c>
      <c r="AC100" s="23" t="n">
        <v>1</v>
      </c>
      <c r="AD100" s="23" t="n">
        <v>1</v>
      </c>
      <c r="AE100" s="23" t="n">
        <v>1</v>
      </c>
    </row>
    <row r="101" customFormat="false" ht="15" hidden="false" customHeight="false" outlineLevel="0" collapsed="false">
      <c r="A101" s="35" t="s">
        <v>1086</v>
      </c>
      <c r="B101" s="6" t="s">
        <v>81</v>
      </c>
      <c r="C101" s="6" t="s">
        <v>893</v>
      </c>
      <c r="D101" s="6" t="s">
        <v>84</v>
      </c>
      <c r="E101" s="6" t="n">
        <v>2</v>
      </c>
      <c r="F101" s="6" t="s">
        <v>83</v>
      </c>
      <c r="G101" s="6" t="s">
        <v>994</v>
      </c>
      <c r="H101" s="6" t="n">
        <v>8612</v>
      </c>
      <c r="I101" s="35" t="s">
        <v>1086</v>
      </c>
      <c r="K101" s="23"/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1</v>
      </c>
      <c r="Q101" s="23" t="n">
        <v>1</v>
      </c>
      <c r="R101" s="23" t="n">
        <v>1</v>
      </c>
      <c r="S101" s="23" t="n">
        <v>1</v>
      </c>
      <c r="T101" s="23" t="n">
        <v>1</v>
      </c>
      <c r="U101" s="23" t="n">
        <v>1</v>
      </c>
      <c r="V101" s="23" t="n">
        <v>1</v>
      </c>
      <c r="W101" s="23" t="n">
        <v>1</v>
      </c>
      <c r="X101" s="23" t="n">
        <v>1</v>
      </c>
      <c r="Y101" s="23" t="n">
        <v>1</v>
      </c>
      <c r="Z101" s="23" t="n">
        <v>1</v>
      </c>
      <c r="AA101" s="23" t="n">
        <v>1</v>
      </c>
      <c r="AB101" s="23" t="n">
        <v>1</v>
      </c>
      <c r="AC101" s="23" t="n">
        <v>1</v>
      </c>
      <c r="AD101" s="23" t="n">
        <v>1</v>
      </c>
      <c r="AE101" s="23" t="n">
        <v>1</v>
      </c>
    </row>
    <row r="102" customFormat="false" ht="15" hidden="false" customHeight="false" outlineLevel="0" collapsed="false">
      <c r="A102" s="35" t="s">
        <v>1087</v>
      </c>
      <c r="B102" s="6" t="s">
        <v>81</v>
      </c>
      <c r="C102" s="6" t="s">
        <v>117</v>
      </c>
      <c r="D102" s="6" t="s">
        <v>84</v>
      </c>
      <c r="E102" s="6" t="n">
        <v>2</v>
      </c>
      <c r="F102" s="6" t="s">
        <v>83</v>
      </c>
      <c r="G102" s="6" t="s">
        <v>994</v>
      </c>
      <c r="H102" s="6" t="n">
        <v>8613</v>
      </c>
      <c r="I102" s="35" t="s">
        <v>1087</v>
      </c>
      <c r="K102" s="23"/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1</v>
      </c>
      <c r="Q102" s="23" t="n">
        <v>1</v>
      </c>
      <c r="R102" s="23" t="n">
        <v>1</v>
      </c>
      <c r="S102" s="23" t="n">
        <v>1</v>
      </c>
      <c r="T102" s="23" t="n">
        <v>1</v>
      </c>
      <c r="U102" s="23" t="n">
        <v>1</v>
      </c>
      <c r="V102" s="23" t="n">
        <v>1</v>
      </c>
      <c r="W102" s="23" t="n">
        <v>1</v>
      </c>
      <c r="X102" s="23" t="n">
        <v>1</v>
      </c>
      <c r="Y102" s="23" t="n">
        <v>1</v>
      </c>
      <c r="Z102" s="23" t="n">
        <v>1</v>
      </c>
      <c r="AA102" s="23" t="n">
        <v>1</v>
      </c>
      <c r="AB102" s="23" t="n">
        <v>1</v>
      </c>
      <c r="AC102" s="23" t="n">
        <v>1</v>
      </c>
      <c r="AD102" s="23" t="n">
        <v>1</v>
      </c>
      <c r="AE102" s="23" t="n">
        <v>1</v>
      </c>
    </row>
    <row r="103" customFormat="false" ht="15" hidden="false" customHeight="false" outlineLevel="0" collapsed="false">
      <c r="A103" s="35" t="s">
        <v>1088</v>
      </c>
      <c r="B103" s="6" t="s">
        <v>81</v>
      </c>
      <c r="C103" s="6" t="s">
        <v>894</v>
      </c>
      <c r="D103" s="6" t="s">
        <v>84</v>
      </c>
      <c r="E103" s="6" t="n">
        <v>2</v>
      </c>
      <c r="F103" s="6" t="s">
        <v>83</v>
      </c>
      <c r="G103" s="6" t="s">
        <v>994</v>
      </c>
      <c r="H103" s="6" t="n">
        <v>8614</v>
      </c>
      <c r="I103" s="35" t="s">
        <v>1088</v>
      </c>
      <c r="K103" s="23"/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1</v>
      </c>
      <c r="Q103" s="23" t="n">
        <v>1</v>
      </c>
      <c r="R103" s="23" t="n">
        <v>1</v>
      </c>
      <c r="S103" s="23" t="n">
        <v>1</v>
      </c>
      <c r="T103" s="23" t="n">
        <v>1</v>
      </c>
      <c r="U103" s="23" t="n">
        <v>1</v>
      </c>
      <c r="V103" s="23" t="n">
        <v>1</v>
      </c>
      <c r="W103" s="23" t="n">
        <v>1</v>
      </c>
      <c r="X103" s="23" t="n">
        <v>1</v>
      </c>
      <c r="Y103" s="23" t="n">
        <v>1</v>
      </c>
      <c r="Z103" s="23" t="n">
        <v>1</v>
      </c>
      <c r="AA103" s="23" t="n">
        <v>1</v>
      </c>
      <c r="AB103" s="23" t="n">
        <v>1</v>
      </c>
      <c r="AC103" s="23" t="n">
        <v>1</v>
      </c>
      <c r="AD103" s="23" t="n">
        <v>1</v>
      </c>
      <c r="AE103" s="23" t="n">
        <v>1</v>
      </c>
    </row>
    <row r="104" customFormat="false" ht="15" hidden="false" customHeight="false" outlineLevel="0" collapsed="false">
      <c r="A104" s="35" t="s">
        <v>1089</v>
      </c>
      <c r="B104" s="6" t="s">
        <v>81</v>
      </c>
      <c r="C104" s="6" t="s">
        <v>895</v>
      </c>
      <c r="D104" s="6" t="s">
        <v>84</v>
      </c>
      <c r="E104" s="6" t="n">
        <v>2</v>
      </c>
      <c r="F104" s="6" t="s">
        <v>83</v>
      </c>
      <c r="G104" s="6" t="s">
        <v>994</v>
      </c>
      <c r="H104" s="6" t="n">
        <v>8615</v>
      </c>
      <c r="I104" s="35" t="s">
        <v>1089</v>
      </c>
      <c r="K104" s="23"/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1</v>
      </c>
      <c r="Q104" s="23" t="n">
        <v>1</v>
      </c>
      <c r="R104" s="23" t="n">
        <v>1</v>
      </c>
      <c r="S104" s="23" t="n">
        <v>1</v>
      </c>
      <c r="T104" s="23" t="n">
        <v>1</v>
      </c>
      <c r="U104" s="23" t="n">
        <v>1</v>
      </c>
      <c r="V104" s="23" t="n">
        <v>1</v>
      </c>
      <c r="W104" s="23" t="n">
        <v>1</v>
      </c>
      <c r="X104" s="23" t="n">
        <v>1</v>
      </c>
      <c r="Y104" s="23" t="n">
        <v>1</v>
      </c>
      <c r="Z104" s="23" t="n">
        <v>1</v>
      </c>
      <c r="AA104" s="23" t="n">
        <v>1</v>
      </c>
      <c r="AB104" s="23" t="n">
        <v>1</v>
      </c>
      <c r="AC104" s="23" t="n">
        <v>1</v>
      </c>
      <c r="AD104" s="23" t="n">
        <v>1</v>
      </c>
      <c r="AE104" s="23" t="n">
        <v>1</v>
      </c>
    </row>
    <row r="105" customFormat="false" ht="15" hidden="false" customHeight="false" outlineLevel="0" collapsed="false">
      <c r="A105" s="35" t="s">
        <v>1090</v>
      </c>
      <c r="B105" s="6" t="s">
        <v>81</v>
      </c>
      <c r="C105" s="6" t="s">
        <v>896</v>
      </c>
      <c r="D105" s="6" t="s">
        <v>84</v>
      </c>
      <c r="E105" s="6" t="n">
        <v>2</v>
      </c>
      <c r="F105" s="6" t="s">
        <v>83</v>
      </c>
      <c r="G105" s="6" t="s">
        <v>994</v>
      </c>
      <c r="H105" s="6" t="n">
        <v>8616</v>
      </c>
      <c r="I105" s="35" t="s">
        <v>1090</v>
      </c>
      <c r="K105" s="23"/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1</v>
      </c>
      <c r="Q105" s="23" t="n">
        <v>1</v>
      </c>
      <c r="R105" s="23" t="n">
        <v>1</v>
      </c>
      <c r="S105" s="23" t="n">
        <v>1</v>
      </c>
      <c r="T105" s="23" t="n">
        <v>1</v>
      </c>
      <c r="U105" s="23" t="n">
        <v>1</v>
      </c>
      <c r="V105" s="23" t="n">
        <v>1</v>
      </c>
      <c r="W105" s="23" t="n">
        <v>1</v>
      </c>
      <c r="X105" s="23" t="n">
        <v>1</v>
      </c>
      <c r="Y105" s="23" t="n">
        <v>1</v>
      </c>
      <c r="Z105" s="23" t="n">
        <v>1</v>
      </c>
      <c r="AA105" s="23" t="n">
        <v>1</v>
      </c>
      <c r="AB105" s="23" t="n">
        <v>1</v>
      </c>
      <c r="AC105" s="23" t="n">
        <v>1</v>
      </c>
      <c r="AD105" s="23" t="n">
        <v>1</v>
      </c>
      <c r="AE105" s="23" t="n">
        <v>1</v>
      </c>
    </row>
    <row r="106" customFormat="false" ht="15" hidden="false" customHeight="false" outlineLevel="0" collapsed="false">
      <c r="A106" s="35" t="s">
        <v>1091</v>
      </c>
      <c r="B106" s="6" t="s">
        <v>81</v>
      </c>
      <c r="C106" s="6" t="s">
        <v>897</v>
      </c>
      <c r="D106" s="6" t="s">
        <v>84</v>
      </c>
      <c r="E106" s="6" t="n">
        <v>2</v>
      </c>
      <c r="F106" s="6" t="s">
        <v>83</v>
      </c>
      <c r="G106" s="6" t="s">
        <v>994</v>
      </c>
      <c r="H106" s="6" t="n">
        <v>8617</v>
      </c>
      <c r="I106" s="35" t="s">
        <v>1091</v>
      </c>
      <c r="K106" s="23"/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1</v>
      </c>
      <c r="Q106" s="23" t="n">
        <v>1</v>
      </c>
      <c r="R106" s="23" t="n">
        <v>1</v>
      </c>
      <c r="S106" s="23" t="n">
        <v>1</v>
      </c>
      <c r="T106" s="23" t="n">
        <v>1</v>
      </c>
      <c r="U106" s="23" t="n">
        <v>1</v>
      </c>
      <c r="V106" s="23" t="n">
        <v>1</v>
      </c>
      <c r="W106" s="23" t="n">
        <v>1</v>
      </c>
      <c r="X106" s="23" t="n">
        <v>1</v>
      </c>
      <c r="Y106" s="23" t="n">
        <v>1</v>
      </c>
      <c r="Z106" s="23" t="n">
        <v>1</v>
      </c>
      <c r="AA106" s="23" t="n">
        <v>1</v>
      </c>
      <c r="AB106" s="23" t="n">
        <v>1</v>
      </c>
      <c r="AC106" s="23" t="n">
        <v>1</v>
      </c>
      <c r="AD106" s="23" t="n">
        <v>1</v>
      </c>
      <c r="AE106" s="23" t="n">
        <v>1</v>
      </c>
    </row>
    <row r="107" customFormat="false" ht="15" hidden="false" customHeight="false" outlineLevel="0" collapsed="false">
      <c r="A107" s="35" t="s">
        <v>1092</v>
      </c>
      <c r="B107" s="6" t="s">
        <v>81</v>
      </c>
      <c r="C107" s="6" t="s">
        <v>885</v>
      </c>
      <c r="D107" s="6" t="s">
        <v>86</v>
      </c>
      <c r="E107" s="6" t="n">
        <v>2</v>
      </c>
      <c r="F107" s="6" t="s">
        <v>83</v>
      </c>
      <c r="G107" s="6" t="s">
        <v>85</v>
      </c>
      <c r="H107" s="6" t="n">
        <v>8734</v>
      </c>
      <c r="I107" s="35" t="s">
        <v>1092</v>
      </c>
      <c r="K107" s="23"/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3" t="n">
        <v>0</v>
      </c>
      <c r="R107" s="23" t="n">
        <v>0</v>
      </c>
      <c r="S107" s="23" t="n">
        <v>0</v>
      </c>
      <c r="T107" s="23" t="n">
        <v>0</v>
      </c>
      <c r="U107" s="23" t="n">
        <v>0</v>
      </c>
      <c r="V107" s="23" t="n">
        <v>0</v>
      </c>
      <c r="W107" s="23" t="n">
        <v>0</v>
      </c>
      <c r="X107" s="23" t="n">
        <v>0</v>
      </c>
      <c r="Y107" s="23" t="n">
        <v>0</v>
      </c>
      <c r="Z107" s="23" t="n">
        <v>0</v>
      </c>
      <c r="AA107" s="23" t="n">
        <v>0</v>
      </c>
      <c r="AB107" s="23" t="n">
        <v>0</v>
      </c>
      <c r="AC107" s="23" t="n">
        <v>0</v>
      </c>
      <c r="AD107" s="23" t="n">
        <v>0</v>
      </c>
      <c r="AE107" s="23" t="n">
        <v>0</v>
      </c>
    </row>
    <row r="108" customFormat="false" ht="15" hidden="false" customHeight="false" outlineLevel="0" collapsed="false">
      <c r="A108" s="35" t="s">
        <v>1093</v>
      </c>
      <c r="B108" s="6" t="s">
        <v>81</v>
      </c>
      <c r="C108" s="6" t="s">
        <v>886</v>
      </c>
      <c r="D108" s="6" t="s">
        <v>86</v>
      </c>
      <c r="E108" s="6" t="n">
        <v>2</v>
      </c>
      <c r="F108" s="6" t="s">
        <v>83</v>
      </c>
      <c r="G108" s="6" t="s">
        <v>85</v>
      </c>
      <c r="H108" s="6" t="n">
        <v>8735</v>
      </c>
      <c r="I108" s="35" t="s">
        <v>1093</v>
      </c>
      <c r="K108" s="23"/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3" t="n">
        <v>0</v>
      </c>
      <c r="R108" s="23" t="n">
        <v>0</v>
      </c>
      <c r="S108" s="23" t="n">
        <v>0</v>
      </c>
      <c r="T108" s="23" t="n">
        <v>0</v>
      </c>
      <c r="U108" s="23" t="n">
        <v>0</v>
      </c>
      <c r="V108" s="23" t="n">
        <v>0</v>
      </c>
      <c r="W108" s="23" t="n">
        <v>0</v>
      </c>
      <c r="X108" s="23" t="n">
        <v>0</v>
      </c>
      <c r="Y108" s="23" t="n">
        <v>0</v>
      </c>
      <c r="Z108" s="23" t="n">
        <v>0</v>
      </c>
      <c r="AA108" s="23" t="n">
        <v>0</v>
      </c>
      <c r="AB108" s="23" t="n">
        <v>0</v>
      </c>
      <c r="AC108" s="23" t="n">
        <v>0</v>
      </c>
      <c r="AD108" s="23" t="n">
        <v>0</v>
      </c>
      <c r="AE108" s="23" t="n">
        <v>0</v>
      </c>
    </row>
    <row r="109" customFormat="false" ht="15" hidden="false" customHeight="false" outlineLevel="0" collapsed="false">
      <c r="A109" s="35" t="s">
        <v>1094</v>
      </c>
      <c r="B109" s="6" t="s">
        <v>81</v>
      </c>
      <c r="C109" s="6" t="s">
        <v>887</v>
      </c>
      <c r="D109" s="6" t="s">
        <v>86</v>
      </c>
      <c r="E109" s="6" t="n">
        <v>2</v>
      </c>
      <c r="F109" s="6" t="s">
        <v>83</v>
      </c>
      <c r="G109" s="6" t="s">
        <v>85</v>
      </c>
      <c r="H109" s="6" t="n">
        <v>8736</v>
      </c>
      <c r="I109" s="35" t="s">
        <v>1094</v>
      </c>
      <c r="K109" s="23"/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3" t="n">
        <v>0</v>
      </c>
      <c r="R109" s="23" t="n">
        <v>0</v>
      </c>
      <c r="S109" s="23" t="n">
        <v>0</v>
      </c>
      <c r="T109" s="23" t="n">
        <v>0</v>
      </c>
      <c r="U109" s="23" t="n">
        <v>0</v>
      </c>
      <c r="V109" s="23" t="n">
        <v>0</v>
      </c>
      <c r="W109" s="23" t="n">
        <v>0</v>
      </c>
      <c r="X109" s="23" t="n">
        <v>0</v>
      </c>
      <c r="Y109" s="23" t="n">
        <v>0</v>
      </c>
      <c r="Z109" s="23" t="n">
        <v>0</v>
      </c>
      <c r="AA109" s="23" t="n">
        <v>0</v>
      </c>
      <c r="AB109" s="23" t="n">
        <v>0</v>
      </c>
      <c r="AC109" s="23" t="n">
        <v>0</v>
      </c>
      <c r="AD109" s="23" t="n">
        <v>0</v>
      </c>
      <c r="AE109" s="23" t="n">
        <v>0</v>
      </c>
    </row>
    <row r="110" customFormat="false" ht="15" hidden="false" customHeight="false" outlineLevel="0" collapsed="false">
      <c r="A110" s="35" t="s">
        <v>1095</v>
      </c>
      <c r="B110" s="6" t="s">
        <v>81</v>
      </c>
      <c r="C110" s="6" t="s">
        <v>889</v>
      </c>
      <c r="D110" s="6" t="s">
        <v>86</v>
      </c>
      <c r="E110" s="6" t="n">
        <v>2</v>
      </c>
      <c r="F110" s="6" t="s">
        <v>83</v>
      </c>
      <c r="G110" s="6" t="s">
        <v>85</v>
      </c>
      <c r="H110" s="6" t="n">
        <v>8737</v>
      </c>
      <c r="I110" s="35" t="s">
        <v>1096</v>
      </c>
      <c r="K110" s="23"/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3" t="n">
        <v>0</v>
      </c>
      <c r="R110" s="23" t="n">
        <v>0</v>
      </c>
      <c r="S110" s="23" t="n">
        <v>0</v>
      </c>
      <c r="T110" s="23" t="n">
        <v>0</v>
      </c>
      <c r="U110" s="23" t="n">
        <v>0</v>
      </c>
      <c r="V110" s="23" t="n">
        <v>0</v>
      </c>
      <c r="W110" s="23" t="n">
        <v>0</v>
      </c>
      <c r="X110" s="23" t="n">
        <v>0</v>
      </c>
      <c r="Y110" s="23" t="n">
        <v>0</v>
      </c>
      <c r="Z110" s="23" t="n">
        <v>0</v>
      </c>
      <c r="AA110" s="23" t="n">
        <v>0</v>
      </c>
      <c r="AB110" s="23" t="n">
        <v>0</v>
      </c>
      <c r="AC110" s="23" t="n">
        <v>0</v>
      </c>
      <c r="AD110" s="23" t="n">
        <v>0</v>
      </c>
      <c r="AE110" s="23" t="n">
        <v>0</v>
      </c>
    </row>
    <row r="111" customFormat="false" ht="15" hidden="false" customHeight="false" outlineLevel="0" collapsed="false">
      <c r="A111" s="35" t="s">
        <v>1096</v>
      </c>
      <c r="B111" s="6" t="s">
        <v>81</v>
      </c>
      <c r="C111" s="6" t="s">
        <v>888</v>
      </c>
      <c r="D111" s="6" t="s">
        <v>86</v>
      </c>
      <c r="E111" s="6" t="n">
        <v>2</v>
      </c>
      <c r="F111" s="6" t="s">
        <v>83</v>
      </c>
      <c r="G111" s="6" t="s">
        <v>85</v>
      </c>
      <c r="H111" s="6" t="n">
        <v>8738</v>
      </c>
      <c r="I111" s="35" t="s">
        <v>1095</v>
      </c>
      <c r="K111" s="23"/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3" t="n">
        <v>0</v>
      </c>
      <c r="R111" s="23" t="n">
        <v>0</v>
      </c>
      <c r="S111" s="23" t="n">
        <v>0</v>
      </c>
      <c r="T111" s="23" t="n">
        <v>0</v>
      </c>
      <c r="U111" s="23" t="n">
        <v>0</v>
      </c>
      <c r="V111" s="23" t="n">
        <v>0</v>
      </c>
      <c r="W111" s="23" t="n">
        <v>0</v>
      </c>
      <c r="X111" s="23" t="n">
        <v>0</v>
      </c>
      <c r="Y111" s="23" t="n">
        <v>0</v>
      </c>
      <c r="Z111" s="23" t="n">
        <v>0</v>
      </c>
      <c r="AA111" s="23" t="n">
        <v>0</v>
      </c>
      <c r="AB111" s="23" t="n">
        <v>0</v>
      </c>
      <c r="AC111" s="23" t="n">
        <v>0</v>
      </c>
      <c r="AD111" s="23" t="n">
        <v>0</v>
      </c>
      <c r="AE111" s="23" t="n">
        <v>0</v>
      </c>
    </row>
    <row r="112" customFormat="false" ht="15" hidden="false" customHeight="false" outlineLevel="0" collapsed="false">
      <c r="A112" s="35" t="s">
        <v>1097</v>
      </c>
      <c r="B112" s="6" t="s">
        <v>81</v>
      </c>
      <c r="C112" s="6" t="s">
        <v>890</v>
      </c>
      <c r="D112" s="6" t="s">
        <v>86</v>
      </c>
      <c r="E112" s="6" t="n">
        <v>2</v>
      </c>
      <c r="F112" s="6" t="s">
        <v>83</v>
      </c>
      <c r="G112" s="6" t="s">
        <v>85</v>
      </c>
      <c r="H112" s="6" t="n">
        <v>8739</v>
      </c>
      <c r="I112" s="35" t="s">
        <v>1097</v>
      </c>
      <c r="K112" s="23"/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3" t="n">
        <v>0</v>
      </c>
      <c r="R112" s="23" t="n">
        <v>0</v>
      </c>
      <c r="S112" s="23" t="n">
        <v>0</v>
      </c>
      <c r="T112" s="23" t="n">
        <v>0</v>
      </c>
      <c r="U112" s="23" t="n">
        <v>0</v>
      </c>
      <c r="V112" s="23" t="n">
        <v>0</v>
      </c>
      <c r="W112" s="23" t="n">
        <v>0</v>
      </c>
      <c r="X112" s="23" t="n">
        <v>0</v>
      </c>
      <c r="Y112" s="23" t="n">
        <v>0</v>
      </c>
      <c r="Z112" s="23" t="n">
        <v>0</v>
      </c>
      <c r="AA112" s="23" t="n">
        <v>0</v>
      </c>
      <c r="AB112" s="23" t="n">
        <v>0</v>
      </c>
      <c r="AC112" s="23" t="n">
        <v>0</v>
      </c>
      <c r="AD112" s="23" t="n">
        <v>0</v>
      </c>
      <c r="AE112" s="23" t="n">
        <v>0</v>
      </c>
    </row>
    <row r="113" customFormat="false" ht="15" hidden="false" customHeight="false" outlineLevel="0" collapsed="false">
      <c r="A113" s="35" t="s">
        <v>1098</v>
      </c>
      <c r="B113" s="6" t="s">
        <v>81</v>
      </c>
      <c r="C113" s="6" t="s">
        <v>891</v>
      </c>
      <c r="D113" s="6" t="s">
        <v>86</v>
      </c>
      <c r="E113" s="6" t="n">
        <v>2</v>
      </c>
      <c r="F113" s="6" t="s">
        <v>83</v>
      </c>
      <c r="G113" s="6" t="s">
        <v>85</v>
      </c>
      <c r="H113" s="6" t="n">
        <v>8740</v>
      </c>
      <c r="I113" s="35" t="s">
        <v>1098</v>
      </c>
      <c r="K113" s="23"/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3" t="n">
        <v>0</v>
      </c>
      <c r="R113" s="23" t="n">
        <v>0</v>
      </c>
      <c r="S113" s="23" t="n">
        <v>0</v>
      </c>
      <c r="T113" s="23" t="n">
        <v>0</v>
      </c>
      <c r="U113" s="23" t="n">
        <v>0</v>
      </c>
      <c r="V113" s="23" t="n">
        <v>0</v>
      </c>
      <c r="W113" s="23" t="n">
        <v>0</v>
      </c>
      <c r="X113" s="23" t="n">
        <v>0</v>
      </c>
      <c r="Y113" s="23" t="n">
        <v>0</v>
      </c>
      <c r="Z113" s="23" t="n">
        <v>0</v>
      </c>
      <c r="AA113" s="23" t="n">
        <v>0</v>
      </c>
      <c r="AB113" s="23" t="n">
        <v>0</v>
      </c>
      <c r="AC113" s="23" t="n">
        <v>0</v>
      </c>
      <c r="AD113" s="23" t="n">
        <v>0</v>
      </c>
      <c r="AE113" s="23" t="n">
        <v>0</v>
      </c>
    </row>
    <row r="114" customFormat="false" ht="15" hidden="false" customHeight="false" outlineLevel="0" collapsed="false">
      <c r="A114" s="35" t="s">
        <v>1099</v>
      </c>
      <c r="B114" s="6" t="s">
        <v>81</v>
      </c>
      <c r="C114" s="6" t="s">
        <v>892</v>
      </c>
      <c r="D114" s="6" t="s">
        <v>86</v>
      </c>
      <c r="E114" s="6" t="n">
        <v>2</v>
      </c>
      <c r="F114" s="6" t="s">
        <v>83</v>
      </c>
      <c r="G114" s="6" t="s">
        <v>85</v>
      </c>
      <c r="H114" s="6" t="n">
        <v>8741</v>
      </c>
      <c r="I114" s="35" t="s">
        <v>1099</v>
      </c>
      <c r="K114" s="23"/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0</v>
      </c>
      <c r="R114" s="23" t="n">
        <v>0</v>
      </c>
      <c r="S114" s="23" t="n">
        <v>0</v>
      </c>
      <c r="T114" s="23" t="n">
        <v>0</v>
      </c>
      <c r="U114" s="23" t="n">
        <v>0</v>
      </c>
      <c r="V114" s="23" t="n">
        <v>0</v>
      </c>
      <c r="W114" s="23" t="n">
        <v>0</v>
      </c>
      <c r="X114" s="23" t="n">
        <v>0</v>
      </c>
      <c r="Y114" s="23" t="n">
        <v>0</v>
      </c>
      <c r="Z114" s="23" t="n">
        <v>0</v>
      </c>
      <c r="AA114" s="23" t="n">
        <v>0</v>
      </c>
      <c r="AB114" s="23" t="n">
        <v>0</v>
      </c>
      <c r="AC114" s="23" t="n">
        <v>0</v>
      </c>
      <c r="AD114" s="23" t="n">
        <v>0</v>
      </c>
      <c r="AE114" s="23" t="n">
        <v>0</v>
      </c>
    </row>
    <row r="115" customFormat="false" ht="15" hidden="false" customHeight="false" outlineLevel="0" collapsed="false">
      <c r="A115" s="35" t="s">
        <v>1100</v>
      </c>
      <c r="B115" s="6" t="s">
        <v>81</v>
      </c>
      <c r="C115" s="6" t="s">
        <v>121</v>
      </c>
      <c r="D115" s="6" t="s">
        <v>86</v>
      </c>
      <c r="E115" s="6" t="n">
        <v>2</v>
      </c>
      <c r="F115" s="6" t="s">
        <v>83</v>
      </c>
      <c r="G115" s="6" t="s">
        <v>85</v>
      </c>
      <c r="H115" s="6" t="n">
        <v>8742</v>
      </c>
      <c r="I115" s="35" t="s">
        <v>1100</v>
      </c>
      <c r="K115" s="23"/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3" t="n">
        <v>0</v>
      </c>
      <c r="R115" s="23" t="n">
        <v>0</v>
      </c>
      <c r="S115" s="23" t="n">
        <v>0</v>
      </c>
      <c r="T115" s="23" t="n">
        <v>0</v>
      </c>
      <c r="U115" s="23" t="n">
        <v>0</v>
      </c>
      <c r="V115" s="23" t="n">
        <v>0</v>
      </c>
      <c r="W115" s="23" t="n">
        <v>0</v>
      </c>
      <c r="X115" s="23" t="n">
        <v>0</v>
      </c>
      <c r="Y115" s="23" t="n">
        <v>0</v>
      </c>
      <c r="Z115" s="23" t="n">
        <v>0</v>
      </c>
      <c r="AA115" s="23" t="n">
        <v>0</v>
      </c>
      <c r="AB115" s="23" t="n">
        <v>0</v>
      </c>
      <c r="AC115" s="23" t="n">
        <v>0</v>
      </c>
      <c r="AD115" s="23" t="n">
        <v>0</v>
      </c>
      <c r="AE115" s="23" t="n">
        <v>0</v>
      </c>
    </row>
    <row r="116" customFormat="false" ht="15" hidden="false" customHeight="false" outlineLevel="0" collapsed="false">
      <c r="A116" s="35" t="s">
        <v>1101</v>
      </c>
      <c r="B116" s="6" t="s">
        <v>81</v>
      </c>
      <c r="C116" s="6" t="s">
        <v>47</v>
      </c>
      <c r="D116" s="6" t="s">
        <v>86</v>
      </c>
      <c r="E116" s="6" t="n">
        <v>2</v>
      </c>
      <c r="F116" s="6" t="s">
        <v>83</v>
      </c>
      <c r="G116" s="6" t="s">
        <v>85</v>
      </c>
      <c r="H116" s="6" t="n">
        <v>8743</v>
      </c>
      <c r="I116" s="35" t="s">
        <v>1101</v>
      </c>
      <c r="K116" s="23"/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3" t="n">
        <v>0</v>
      </c>
      <c r="R116" s="23" t="n">
        <v>0</v>
      </c>
      <c r="S116" s="23" t="n">
        <v>0</v>
      </c>
      <c r="T116" s="23" t="n">
        <v>0</v>
      </c>
      <c r="U116" s="23" t="n">
        <v>0</v>
      </c>
      <c r="V116" s="23" t="n">
        <v>0</v>
      </c>
      <c r="W116" s="23" t="n">
        <v>0</v>
      </c>
      <c r="X116" s="23" t="n">
        <v>0</v>
      </c>
      <c r="Y116" s="23" t="n">
        <v>0</v>
      </c>
      <c r="Z116" s="23" t="n">
        <v>0</v>
      </c>
      <c r="AA116" s="23" t="n">
        <v>0</v>
      </c>
      <c r="AB116" s="23" t="n">
        <v>0</v>
      </c>
      <c r="AC116" s="23" t="n">
        <v>0</v>
      </c>
      <c r="AD116" s="23" t="n">
        <v>0</v>
      </c>
      <c r="AE116" s="23" t="n">
        <v>0</v>
      </c>
    </row>
    <row r="117" customFormat="false" ht="15" hidden="false" customHeight="false" outlineLevel="0" collapsed="false">
      <c r="A117" s="35" t="s">
        <v>1102</v>
      </c>
      <c r="B117" s="6" t="s">
        <v>81</v>
      </c>
      <c r="C117" s="6" t="s">
        <v>119</v>
      </c>
      <c r="D117" s="6" t="s">
        <v>86</v>
      </c>
      <c r="E117" s="6" t="n">
        <v>2</v>
      </c>
      <c r="F117" s="6" t="s">
        <v>83</v>
      </c>
      <c r="G117" s="6" t="s">
        <v>85</v>
      </c>
      <c r="H117" s="6" t="n">
        <v>8744</v>
      </c>
      <c r="I117" s="35" t="s">
        <v>1102</v>
      </c>
      <c r="K117" s="23"/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  <c r="T117" s="23" t="n">
        <v>0</v>
      </c>
      <c r="U117" s="23" t="n">
        <v>0</v>
      </c>
      <c r="V117" s="23" t="n">
        <v>0</v>
      </c>
      <c r="W117" s="23" t="n">
        <v>0</v>
      </c>
      <c r="X117" s="23" t="n">
        <v>0</v>
      </c>
      <c r="Y117" s="23" t="n">
        <v>0</v>
      </c>
      <c r="Z117" s="23" t="n">
        <v>0</v>
      </c>
      <c r="AA117" s="23" t="n">
        <v>0</v>
      </c>
      <c r="AB117" s="23" t="n">
        <v>0</v>
      </c>
      <c r="AC117" s="23" t="n">
        <v>0</v>
      </c>
      <c r="AD117" s="23" t="n">
        <v>0</v>
      </c>
      <c r="AE117" s="23" t="n">
        <v>0</v>
      </c>
    </row>
    <row r="118" customFormat="false" ht="15" hidden="false" customHeight="false" outlineLevel="0" collapsed="false">
      <c r="A118" s="35" t="s">
        <v>1103</v>
      </c>
      <c r="B118" s="6" t="s">
        <v>81</v>
      </c>
      <c r="C118" s="6" t="s">
        <v>893</v>
      </c>
      <c r="D118" s="6" t="s">
        <v>86</v>
      </c>
      <c r="E118" s="6" t="n">
        <v>2</v>
      </c>
      <c r="F118" s="6" t="s">
        <v>83</v>
      </c>
      <c r="G118" s="6" t="s">
        <v>85</v>
      </c>
      <c r="H118" s="6" t="n">
        <v>8745</v>
      </c>
      <c r="I118" s="35" t="s">
        <v>1103</v>
      </c>
      <c r="K118" s="23"/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3" t="n">
        <v>0</v>
      </c>
      <c r="R118" s="23" t="n">
        <v>0</v>
      </c>
      <c r="S118" s="23" t="n">
        <v>0</v>
      </c>
      <c r="T118" s="23" t="n">
        <v>0</v>
      </c>
      <c r="U118" s="23" t="n">
        <v>0</v>
      </c>
      <c r="V118" s="23" t="n">
        <v>0</v>
      </c>
      <c r="W118" s="23" t="n">
        <v>0</v>
      </c>
      <c r="X118" s="23" t="n">
        <v>0</v>
      </c>
      <c r="Y118" s="23" t="n">
        <v>0</v>
      </c>
      <c r="Z118" s="23" t="n">
        <v>0</v>
      </c>
      <c r="AA118" s="23" t="n">
        <v>0</v>
      </c>
      <c r="AB118" s="23" t="n">
        <v>0</v>
      </c>
      <c r="AC118" s="23" t="n">
        <v>0</v>
      </c>
      <c r="AD118" s="23" t="n">
        <v>0</v>
      </c>
      <c r="AE118" s="23" t="n">
        <v>0</v>
      </c>
    </row>
    <row r="119" customFormat="false" ht="15" hidden="false" customHeight="false" outlineLevel="0" collapsed="false">
      <c r="A119" s="35" t="s">
        <v>1104</v>
      </c>
      <c r="B119" s="6" t="s">
        <v>81</v>
      </c>
      <c r="C119" s="6" t="s">
        <v>117</v>
      </c>
      <c r="D119" s="6" t="s">
        <v>86</v>
      </c>
      <c r="E119" s="6" t="n">
        <v>2</v>
      </c>
      <c r="F119" s="6" t="s">
        <v>83</v>
      </c>
      <c r="G119" s="6" t="s">
        <v>85</v>
      </c>
      <c r="H119" s="6" t="n">
        <v>8746</v>
      </c>
      <c r="I119" s="35" t="s">
        <v>1104</v>
      </c>
      <c r="K119" s="23"/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3" t="n">
        <v>0</v>
      </c>
      <c r="R119" s="23" t="n">
        <v>0</v>
      </c>
      <c r="S119" s="23" t="n">
        <v>0</v>
      </c>
      <c r="T119" s="23" t="n">
        <v>0</v>
      </c>
      <c r="U119" s="23" t="n">
        <v>0</v>
      </c>
      <c r="V119" s="23" t="n">
        <v>0</v>
      </c>
      <c r="W119" s="23" t="n">
        <v>0</v>
      </c>
      <c r="X119" s="23" t="n">
        <v>0</v>
      </c>
      <c r="Y119" s="23" t="n">
        <v>0</v>
      </c>
      <c r="Z119" s="23" t="n">
        <v>0</v>
      </c>
      <c r="AA119" s="23" t="n">
        <v>0</v>
      </c>
      <c r="AB119" s="23" t="n">
        <v>0</v>
      </c>
      <c r="AC119" s="23" t="n">
        <v>0</v>
      </c>
      <c r="AD119" s="23" t="n">
        <v>0</v>
      </c>
      <c r="AE119" s="23" t="n">
        <v>0</v>
      </c>
    </row>
    <row r="120" customFormat="false" ht="15" hidden="false" customHeight="false" outlineLevel="0" collapsed="false">
      <c r="A120" s="35" t="s">
        <v>1105</v>
      </c>
      <c r="B120" s="6" t="s">
        <v>81</v>
      </c>
      <c r="C120" s="6" t="s">
        <v>894</v>
      </c>
      <c r="D120" s="6" t="s">
        <v>86</v>
      </c>
      <c r="E120" s="6" t="n">
        <v>2</v>
      </c>
      <c r="F120" s="6" t="s">
        <v>83</v>
      </c>
      <c r="G120" s="6" t="s">
        <v>85</v>
      </c>
      <c r="H120" s="6" t="n">
        <v>8747</v>
      </c>
      <c r="I120" s="35" t="s">
        <v>1105</v>
      </c>
      <c r="K120" s="23"/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0</v>
      </c>
      <c r="T120" s="23" t="n">
        <v>0</v>
      </c>
      <c r="U120" s="23" t="n">
        <v>0</v>
      </c>
      <c r="V120" s="23" t="n">
        <v>0</v>
      </c>
      <c r="W120" s="23" t="n">
        <v>0</v>
      </c>
      <c r="X120" s="23" t="n">
        <v>0</v>
      </c>
      <c r="Y120" s="23" t="n">
        <v>0</v>
      </c>
      <c r="Z120" s="23" t="n">
        <v>0</v>
      </c>
      <c r="AA120" s="23" t="n">
        <v>0</v>
      </c>
      <c r="AB120" s="23" t="n">
        <v>0</v>
      </c>
      <c r="AC120" s="23" t="n">
        <v>0</v>
      </c>
      <c r="AD120" s="23" t="n">
        <v>0</v>
      </c>
      <c r="AE120" s="23" t="n">
        <v>0</v>
      </c>
    </row>
    <row r="121" customFormat="false" ht="15" hidden="false" customHeight="false" outlineLevel="0" collapsed="false">
      <c r="A121" s="35" t="s">
        <v>1106</v>
      </c>
      <c r="B121" s="6" t="s">
        <v>81</v>
      </c>
      <c r="C121" s="6" t="s">
        <v>895</v>
      </c>
      <c r="D121" s="6" t="s">
        <v>86</v>
      </c>
      <c r="E121" s="6" t="n">
        <v>2</v>
      </c>
      <c r="F121" s="6" t="s">
        <v>83</v>
      </c>
      <c r="G121" s="6" t="s">
        <v>85</v>
      </c>
      <c r="H121" s="6" t="n">
        <v>8748</v>
      </c>
      <c r="I121" s="35" t="s">
        <v>1106</v>
      </c>
      <c r="K121" s="23"/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0</v>
      </c>
      <c r="V121" s="23" t="n">
        <v>0</v>
      </c>
      <c r="W121" s="23" t="n">
        <v>0</v>
      </c>
      <c r="X121" s="23" t="n">
        <v>0</v>
      </c>
      <c r="Y121" s="23" t="n">
        <v>0</v>
      </c>
      <c r="Z121" s="23" t="n">
        <v>0</v>
      </c>
      <c r="AA121" s="23" t="n">
        <v>0</v>
      </c>
      <c r="AB121" s="23" t="n">
        <v>0</v>
      </c>
      <c r="AC121" s="23" t="n">
        <v>0</v>
      </c>
      <c r="AD121" s="23" t="n">
        <v>0</v>
      </c>
      <c r="AE121" s="23" t="n">
        <v>0</v>
      </c>
    </row>
    <row r="122" customFormat="false" ht="15" hidden="false" customHeight="false" outlineLevel="0" collapsed="false">
      <c r="A122" s="35" t="s">
        <v>1107</v>
      </c>
      <c r="B122" s="6" t="s">
        <v>81</v>
      </c>
      <c r="C122" s="6" t="s">
        <v>896</v>
      </c>
      <c r="D122" s="6" t="s">
        <v>86</v>
      </c>
      <c r="E122" s="6" t="n">
        <v>2</v>
      </c>
      <c r="F122" s="6" t="s">
        <v>83</v>
      </c>
      <c r="G122" s="6" t="s">
        <v>85</v>
      </c>
      <c r="H122" s="6" t="n">
        <v>8749</v>
      </c>
      <c r="I122" s="35" t="s">
        <v>1107</v>
      </c>
      <c r="K122" s="23"/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3" t="n">
        <v>0</v>
      </c>
      <c r="R122" s="23" t="n">
        <v>0</v>
      </c>
      <c r="S122" s="23" t="n">
        <v>0</v>
      </c>
      <c r="T122" s="23" t="n">
        <v>0</v>
      </c>
      <c r="U122" s="23" t="n">
        <v>0</v>
      </c>
      <c r="V122" s="23" t="n">
        <v>0</v>
      </c>
      <c r="W122" s="23" t="n">
        <v>0</v>
      </c>
      <c r="X122" s="23" t="n">
        <v>0</v>
      </c>
      <c r="Y122" s="23" t="n">
        <v>0</v>
      </c>
      <c r="Z122" s="23" t="n">
        <v>0</v>
      </c>
      <c r="AA122" s="23" t="n">
        <v>0</v>
      </c>
      <c r="AB122" s="23" t="n">
        <v>0</v>
      </c>
      <c r="AC122" s="23" t="n">
        <v>0</v>
      </c>
      <c r="AD122" s="23" t="n">
        <v>0</v>
      </c>
      <c r="AE122" s="23" t="n">
        <v>0</v>
      </c>
    </row>
    <row r="123" customFormat="false" ht="15" hidden="false" customHeight="false" outlineLevel="0" collapsed="false">
      <c r="A123" s="35" t="s">
        <v>1108</v>
      </c>
      <c r="B123" s="6" t="s">
        <v>81</v>
      </c>
      <c r="C123" s="6" t="s">
        <v>897</v>
      </c>
      <c r="D123" s="6" t="s">
        <v>86</v>
      </c>
      <c r="E123" s="6" t="n">
        <v>2</v>
      </c>
      <c r="F123" s="6" t="s">
        <v>83</v>
      </c>
      <c r="G123" s="6" t="s">
        <v>85</v>
      </c>
      <c r="H123" s="6" t="n">
        <v>8750</v>
      </c>
      <c r="I123" s="35" t="s">
        <v>1108</v>
      </c>
      <c r="K123" s="23"/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3" t="n">
        <v>0</v>
      </c>
      <c r="R123" s="23" t="n">
        <v>0</v>
      </c>
      <c r="S123" s="23" t="n">
        <v>0</v>
      </c>
      <c r="T123" s="23" t="n">
        <v>0</v>
      </c>
      <c r="U123" s="23" t="n">
        <v>0</v>
      </c>
      <c r="V123" s="23" t="n">
        <v>0</v>
      </c>
      <c r="W123" s="23" t="n">
        <v>0</v>
      </c>
      <c r="X123" s="23" t="n">
        <v>0</v>
      </c>
      <c r="Y123" s="23" t="n">
        <v>0</v>
      </c>
      <c r="Z123" s="23" t="n">
        <v>0</v>
      </c>
      <c r="AA123" s="23" t="n">
        <v>0</v>
      </c>
      <c r="AB123" s="23" t="n">
        <v>0</v>
      </c>
      <c r="AC123" s="23" t="n">
        <v>0</v>
      </c>
      <c r="AD123" s="23" t="n">
        <v>0</v>
      </c>
      <c r="AE123" s="2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36" t="s">
        <v>935</v>
      </c>
      <c r="B1" s="36" t="s">
        <v>937</v>
      </c>
      <c r="C1" s="36" t="s">
        <v>51</v>
      </c>
      <c r="D1" s="36" t="s">
        <v>38</v>
      </c>
      <c r="E1" s="36" t="s">
        <v>938</v>
      </c>
      <c r="F1" s="36"/>
      <c r="G1" s="36"/>
      <c r="H1" s="36"/>
      <c r="I1" s="36"/>
      <c r="J1" s="36"/>
      <c r="K1" s="36" t="n">
        <v>2021</v>
      </c>
      <c r="L1" s="36" t="n">
        <v>2022</v>
      </c>
      <c r="M1" s="36" t="n">
        <v>2023</v>
      </c>
      <c r="N1" s="36" t="n">
        <v>2024</v>
      </c>
      <c r="O1" s="36" t="n">
        <v>2025</v>
      </c>
      <c r="P1" s="36" t="n">
        <v>2026</v>
      </c>
      <c r="Q1" s="36" t="n">
        <v>2027</v>
      </c>
      <c r="R1" s="36" t="n">
        <v>2028</v>
      </c>
      <c r="S1" s="36" t="n">
        <v>2029</v>
      </c>
      <c r="T1" s="36" t="n">
        <v>2030</v>
      </c>
      <c r="U1" s="36" t="n">
        <v>2031</v>
      </c>
      <c r="V1" s="36" t="n">
        <v>2032</v>
      </c>
      <c r="W1" s="36" t="n">
        <v>2033</v>
      </c>
      <c r="X1" s="36" t="n">
        <v>2034</v>
      </c>
      <c r="Y1" s="36" t="n">
        <v>2035</v>
      </c>
      <c r="Z1" s="36" t="n">
        <v>2036</v>
      </c>
      <c r="AA1" s="36" t="n">
        <v>2037</v>
      </c>
      <c r="AB1" s="36" t="n">
        <v>2038</v>
      </c>
      <c r="AC1" s="36" t="n">
        <v>2039</v>
      </c>
      <c r="AD1" s="36" t="n">
        <v>2040</v>
      </c>
      <c r="AE1" s="36" t="n">
        <v>2041</v>
      </c>
      <c r="AF1" s="36" t="n">
        <v>2042</v>
      </c>
      <c r="AG1" s="36" t="n">
        <v>2043</v>
      </c>
      <c r="AH1" s="36" t="n">
        <v>2044</v>
      </c>
      <c r="AI1" s="36" t="n">
        <v>2045</v>
      </c>
    </row>
    <row r="2" customFormat="false" ht="15" hidden="false" customHeight="false" outlineLevel="0" collapsed="false">
      <c r="A2" s="35" t="s">
        <v>1109</v>
      </c>
      <c r="B2" s="6" t="s">
        <v>89</v>
      </c>
      <c r="C2" s="6" t="n">
        <v>1</v>
      </c>
      <c r="D2" s="6" t="s">
        <v>87</v>
      </c>
      <c r="E2" s="6" t="n">
        <v>2446</v>
      </c>
      <c r="K2" s="24"/>
      <c r="L2" s="24" t="n">
        <v>0.06651345</v>
      </c>
      <c r="M2" s="24" t="n">
        <v>0.03760281</v>
      </c>
      <c r="N2" s="24" t="n">
        <v>0.02398801</v>
      </c>
      <c r="O2" s="24" t="n">
        <v>0.04392387</v>
      </c>
      <c r="P2" s="24" t="n">
        <v>0.04239706</v>
      </c>
      <c r="Q2" s="24" t="n">
        <v>0.04829218</v>
      </c>
      <c r="R2" s="24" t="n">
        <v>0.05535316</v>
      </c>
      <c r="S2" s="24" t="n">
        <v>0.05226606</v>
      </c>
      <c r="T2" s="24" t="n">
        <v>0.04841877</v>
      </c>
      <c r="U2" s="24" t="n">
        <v>0.04788736</v>
      </c>
      <c r="V2" s="24" t="n">
        <v>0.04735595</v>
      </c>
      <c r="W2" s="24" t="n">
        <v>0.04682454</v>
      </c>
      <c r="X2" s="24" t="n">
        <v>0.04629313</v>
      </c>
      <c r="Y2" s="24" t="n">
        <v>0.04576172</v>
      </c>
      <c r="Z2" s="24" t="n">
        <v>0.04523031</v>
      </c>
      <c r="AA2" s="24" t="n">
        <v>0.0446989</v>
      </c>
      <c r="AB2" s="24" t="n">
        <v>0.04416749</v>
      </c>
      <c r="AC2" s="24" t="n">
        <v>0.04363608</v>
      </c>
      <c r="AD2" s="24" t="n">
        <v>0.04310467</v>
      </c>
      <c r="AE2" s="24" t="n">
        <v>0.04257326</v>
      </c>
    </row>
    <row r="3" customFormat="false" ht="15" hidden="false" customHeight="false" outlineLevel="0" collapsed="false">
      <c r="A3" s="35" t="s">
        <v>1110</v>
      </c>
      <c r="B3" s="6" t="s">
        <v>92</v>
      </c>
      <c r="C3" s="6" t="n">
        <v>1</v>
      </c>
      <c r="D3" s="6" t="s">
        <v>1111</v>
      </c>
      <c r="E3" s="6" t="n">
        <v>2433</v>
      </c>
      <c r="K3" s="23"/>
      <c r="L3" s="23" t="n">
        <v>1.02715172471961</v>
      </c>
      <c r="M3" s="23" t="n">
        <v>1.02715172471961</v>
      </c>
      <c r="N3" s="23" t="n">
        <v>1.02056983588512</v>
      </c>
      <c r="O3" s="23" t="n">
        <v>1.01733442885234</v>
      </c>
      <c r="P3" s="23" t="n">
        <v>1.00766833225382</v>
      </c>
      <c r="Q3" s="23" t="n">
        <v>1.00074428717553</v>
      </c>
      <c r="R3" s="23" t="n">
        <v>0.991886489011858</v>
      </c>
      <c r="S3" s="23" t="n">
        <v>0.98065540330043</v>
      </c>
      <c r="T3" s="23" t="n">
        <v>0.970209403992443</v>
      </c>
      <c r="U3" s="23" t="n">
        <v>0.964192659077105</v>
      </c>
      <c r="V3" s="23" t="n">
        <v>0.961612871227152</v>
      </c>
      <c r="W3" s="23" t="n">
        <v>0.95919844785405</v>
      </c>
      <c r="X3" s="23" t="n">
        <v>0.956951254445196</v>
      </c>
      <c r="Y3" s="23" t="n">
        <v>0.954872978595777</v>
      </c>
      <c r="Z3" s="23" t="n">
        <v>0.952965140861449</v>
      </c>
      <c r="AA3" s="23" t="n">
        <v>0.951229104903385</v>
      </c>
      <c r="AB3" s="23" t="n">
        <v>0.949666086892293</v>
      </c>
      <c r="AC3" s="23" t="n">
        <v>0.948277164137976</v>
      </c>
      <c r="AD3" s="23" t="n">
        <v>0.947063282915592</v>
      </c>
      <c r="AE3" s="23" t="n">
        <v>0.946025265458513</v>
      </c>
    </row>
    <row r="4" customFormat="false" ht="15" hidden="false" customHeight="false" outlineLevel="0" collapsed="false">
      <c r="A4" s="35" t="s">
        <v>1112</v>
      </c>
      <c r="B4" s="6" t="s">
        <v>94</v>
      </c>
      <c r="C4" s="6" t="n">
        <v>1</v>
      </c>
      <c r="D4" s="6" t="s">
        <v>1113</v>
      </c>
      <c r="E4" s="6" t="n">
        <v>2439</v>
      </c>
      <c r="K4" s="23" t="n">
        <v>0</v>
      </c>
      <c r="L4" s="23" t="n">
        <v>0</v>
      </c>
      <c r="M4" s="23" t="n">
        <v>-0.208133083020442</v>
      </c>
      <c r="N4" s="23" t="n">
        <v>0.0923714285714286</v>
      </c>
      <c r="O4" s="23" t="n">
        <v>0</v>
      </c>
      <c r="P4" s="23" t="n">
        <v>0</v>
      </c>
      <c r="Q4" s="23" t="n">
        <v>0</v>
      </c>
      <c r="R4" s="23" t="n">
        <v>0</v>
      </c>
      <c r="S4" s="23" t="n">
        <v>0</v>
      </c>
      <c r="T4" s="23" t="n">
        <v>0</v>
      </c>
      <c r="U4" s="23" t="n">
        <v>0</v>
      </c>
      <c r="V4" s="23" t="n">
        <v>0</v>
      </c>
      <c r="W4" s="23" t="n">
        <v>0</v>
      </c>
      <c r="X4" s="23" t="n">
        <v>0</v>
      </c>
      <c r="Y4" s="23" t="n">
        <v>0</v>
      </c>
      <c r="Z4" s="23" t="n">
        <v>0</v>
      </c>
      <c r="AA4" s="23" t="n">
        <v>0</v>
      </c>
      <c r="AB4" s="23" t="n">
        <v>0</v>
      </c>
      <c r="AC4" s="23" t="n">
        <v>0</v>
      </c>
      <c r="AD4" s="23" t="n">
        <v>0</v>
      </c>
      <c r="AE4" s="23" t="n">
        <v>0</v>
      </c>
    </row>
    <row r="5" customFormat="false" ht="15" hidden="false" customHeight="false" outlineLevel="0" collapsed="false">
      <c r="A5" s="35" t="s">
        <v>1114</v>
      </c>
      <c r="B5" s="6" t="s">
        <v>89</v>
      </c>
      <c r="C5" s="6" t="n">
        <v>2</v>
      </c>
      <c r="D5" s="6" t="s">
        <v>87</v>
      </c>
      <c r="E5" s="6" t="n">
        <v>8777</v>
      </c>
      <c r="K5" s="24"/>
      <c r="L5" s="24" t="n">
        <v>0.06651345</v>
      </c>
      <c r="M5" s="24" t="n">
        <v>0.03760281</v>
      </c>
      <c r="N5" s="24" t="n">
        <v>0.02398801</v>
      </c>
      <c r="O5" s="24" t="n">
        <v>0.04392387</v>
      </c>
      <c r="P5" s="24" t="n">
        <v>0.04239706</v>
      </c>
      <c r="Q5" s="24" t="n">
        <v>0.0482983837830076</v>
      </c>
      <c r="R5" s="24" t="n">
        <v>0.0555905477124225</v>
      </c>
      <c r="S5" s="24" t="n">
        <v>0.0521372353896314</v>
      </c>
      <c r="T5" s="24" t="n">
        <v>0.0481249074919299</v>
      </c>
      <c r="U5" s="24" t="n">
        <v>0.0472087965265213</v>
      </c>
      <c r="V5" s="24" t="n">
        <v>0.0466890433006764</v>
      </c>
      <c r="W5" s="24" t="n">
        <v>0.0466327501470292</v>
      </c>
      <c r="X5" s="24" t="n">
        <v>0.0468727232644215</v>
      </c>
      <c r="Y5" s="24" t="n">
        <v>0.0474699217530487</v>
      </c>
      <c r="Z5" s="24" t="n">
        <v>0.048590713024029</v>
      </c>
      <c r="AA5" s="24" t="n">
        <v>0.0499411820780664</v>
      </c>
      <c r="AB5" s="24" t="n">
        <v>0.0513941835424786</v>
      </c>
      <c r="AC5" s="24" t="n">
        <v>0.0526817630197767</v>
      </c>
      <c r="AD5" s="24" t="n">
        <v>0.0538007113363503</v>
      </c>
      <c r="AE5" s="24" t="n">
        <v>0.0547893980443376</v>
      </c>
    </row>
    <row r="6" customFormat="false" ht="15" hidden="false" customHeight="false" outlineLevel="0" collapsed="false">
      <c r="A6" s="35" t="s">
        <v>1115</v>
      </c>
      <c r="B6" s="6" t="s">
        <v>92</v>
      </c>
      <c r="C6" s="6" t="n">
        <v>2</v>
      </c>
      <c r="D6" s="6" t="s">
        <v>1111</v>
      </c>
      <c r="E6" s="6" t="n">
        <v>8764</v>
      </c>
      <c r="K6" s="23"/>
      <c r="L6" s="23" t="n">
        <v>1.02715172471961</v>
      </c>
      <c r="M6" s="23" t="n">
        <v>1.02715172471961</v>
      </c>
      <c r="N6" s="23" t="n">
        <v>1.02056983588512</v>
      </c>
      <c r="O6" s="23" t="n">
        <v>1.01733442885234</v>
      </c>
      <c r="P6" s="23" t="n">
        <v>1.00766833225382</v>
      </c>
      <c r="Q6" s="23" t="n">
        <v>1.00074428717553</v>
      </c>
      <c r="R6" s="23" t="n">
        <v>0.991884557194643</v>
      </c>
      <c r="S6" s="23" t="n">
        <v>0.980580565078603</v>
      </c>
      <c r="T6" s="23" t="n">
        <v>0.970250789717781</v>
      </c>
      <c r="U6" s="23" t="n">
        <v>0.964288208159648</v>
      </c>
      <c r="V6" s="23" t="n">
        <v>0.961834393419511</v>
      </c>
      <c r="W6" s="23" t="n">
        <v>0.959416951161644</v>
      </c>
      <c r="X6" s="23" t="n">
        <v>0.957014292521884</v>
      </c>
      <c r="Y6" s="23" t="n">
        <v>0.954681937225522</v>
      </c>
      <c r="Z6" s="23" t="n">
        <v>0.952400711587746</v>
      </c>
      <c r="AA6" s="23" t="n">
        <v>0.950116474994055</v>
      </c>
      <c r="AB6" s="23" t="n">
        <v>0.947927358499145</v>
      </c>
      <c r="AC6" s="23" t="n">
        <v>0.945876747762997</v>
      </c>
      <c r="AD6" s="23" t="n">
        <v>0.944054805828393</v>
      </c>
      <c r="AE6" s="23" t="n">
        <v>0.942463912252065</v>
      </c>
    </row>
    <row r="7" customFormat="false" ht="15" hidden="false" customHeight="false" outlineLevel="0" collapsed="false">
      <c r="A7" s="35" t="s">
        <v>1116</v>
      </c>
      <c r="B7" s="6" t="s">
        <v>94</v>
      </c>
      <c r="C7" s="6" t="n">
        <v>2</v>
      </c>
      <c r="D7" s="6" t="s">
        <v>1113</v>
      </c>
      <c r="E7" s="6" t="n">
        <v>8770</v>
      </c>
      <c r="K7" s="23" t="n">
        <v>0</v>
      </c>
      <c r="L7" s="23" t="n">
        <v>0</v>
      </c>
      <c r="M7" s="23" t="n">
        <v>-0.208133083020442</v>
      </c>
      <c r="N7" s="23" t="n">
        <v>0.0923714285714286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0</v>
      </c>
      <c r="T7" s="23" t="n">
        <v>0</v>
      </c>
      <c r="U7" s="23" t="n">
        <v>0</v>
      </c>
      <c r="V7" s="23" t="n">
        <v>0</v>
      </c>
      <c r="W7" s="23" t="n">
        <v>0</v>
      </c>
      <c r="X7" s="23" t="n">
        <v>0</v>
      </c>
      <c r="Y7" s="23" t="n">
        <v>0</v>
      </c>
      <c r="Z7" s="23" t="n">
        <v>0</v>
      </c>
      <c r="AA7" s="23" t="n">
        <v>0</v>
      </c>
      <c r="AB7" s="23" t="n">
        <v>0</v>
      </c>
      <c r="AC7" s="23" t="n">
        <v>0</v>
      </c>
      <c r="AD7" s="23" t="n">
        <v>0</v>
      </c>
      <c r="AE7" s="2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36" t="s">
        <v>935</v>
      </c>
      <c r="B1" s="36" t="s">
        <v>1117</v>
      </c>
      <c r="C1" s="36" t="s">
        <v>1118</v>
      </c>
      <c r="D1" s="36" t="s">
        <v>236</v>
      </c>
      <c r="E1" s="36" t="s">
        <v>238</v>
      </c>
      <c r="F1" s="36" t="s">
        <v>8</v>
      </c>
      <c r="G1" s="36" t="s">
        <v>1119</v>
      </c>
      <c r="H1" s="36"/>
      <c r="I1" s="36" t="s">
        <v>36</v>
      </c>
      <c r="J1" s="36" t="s">
        <v>1120</v>
      </c>
      <c r="K1" s="36" t="s">
        <v>1121</v>
      </c>
    </row>
    <row r="2" customFormat="false" ht="15" hidden="false" customHeight="false" outlineLevel="0" collapsed="false">
      <c r="A2" s="35" t="s">
        <v>1122</v>
      </c>
      <c r="B2" s="6" t="s">
        <v>648</v>
      </c>
      <c r="C2" s="6" t="s">
        <v>53</v>
      </c>
      <c r="D2" s="27" t="n">
        <v>0</v>
      </c>
      <c r="E2" s="27" t="n">
        <v>0.3</v>
      </c>
      <c r="F2" s="27" t="n">
        <v>0.5</v>
      </c>
      <c r="G2" s="27" t="n">
        <v>0.7</v>
      </c>
      <c r="I2" s="2" t="s">
        <v>53</v>
      </c>
      <c r="J2" s="37" t="s">
        <v>53</v>
      </c>
      <c r="K2" s="37" t="s">
        <v>53</v>
      </c>
    </row>
    <row r="3" customFormat="false" ht="15" hidden="false" customHeight="false" outlineLevel="0" collapsed="false">
      <c r="A3" s="35" t="s">
        <v>1123</v>
      </c>
      <c r="B3" s="6" t="s">
        <v>648</v>
      </c>
      <c r="C3" s="6" t="s">
        <v>57</v>
      </c>
      <c r="D3" s="27" t="n">
        <v>0.5</v>
      </c>
      <c r="E3" s="27" t="n">
        <v>0.3</v>
      </c>
      <c r="F3" s="27" t="n">
        <v>1</v>
      </c>
      <c r="G3" s="27" t="n">
        <v>1</v>
      </c>
      <c r="I3" s="2" t="s">
        <v>57</v>
      </c>
      <c r="J3" s="37" t="s">
        <v>57</v>
      </c>
      <c r="K3" s="37" t="s">
        <v>57</v>
      </c>
    </row>
    <row r="4" customFormat="false" ht="15" hidden="false" customHeight="false" outlineLevel="0" collapsed="false">
      <c r="A4" s="35" t="s">
        <v>1124</v>
      </c>
      <c r="B4" s="6" t="s">
        <v>648</v>
      </c>
      <c r="C4" s="6" t="s">
        <v>59</v>
      </c>
      <c r="D4" s="27" t="n">
        <v>0.7</v>
      </c>
      <c r="E4" s="27" t="n">
        <v>0.5</v>
      </c>
      <c r="F4" s="27" t="n">
        <v>0.5</v>
      </c>
      <c r="G4" s="27" t="n">
        <v>0.5</v>
      </c>
      <c r="I4" s="2" t="s">
        <v>59</v>
      </c>
      <c r="J4" s="37" t="s">
        <v>59</v>
      </c>
      <c r="K4" s="37" t="s">
        <v>1125</v>
      </c>
    </row>
    <row r="5" customFormat="false" ht="15" hidden="false" customHeight="false" outlineLevel="0" collapsed="false">
      <c r="A5" s="35" t="s">
        <v>1126</v>
      </c>
      <c r="B5" s="6" t="s">
        <v>648</v>
      </c>
      <c r="C5" s="6" t="s">
        <v>62</v>
      </c>
      <c r="D5" s="27" t="n">
        <v>0.6</v>
      </c>
      <c r="E5" s="27" t="n">
        <v>0.5</v>
      </c>
      <c r="F5" s="27" t="n">
        <v>0.5</v>
      </c>
      <c r="G5" s="27" t="n">
        <v>0.5</v>
      </c>
      <c r="I5" s="2" t="s">
        <v>62</v>
      </c>
      <c r="J5" s="37" t="s">
        <v>62</v>
      </c>
      <c r="K5" s="37" t="s">
        <v>1125</v>
      </c>
    </row>
    <row r="6" customFormat="false" ht="15" hidden="false" customHeight="false" outlineLevel="0" collapsed="false">
      <c r="A6" s="35" t="s">
        <v>1127</v>
      </c>
      <c r="B6" s="6" t="s">
        <v>648</v>
      </c>
      <c r="C6" s="6" t="s">
        <v>1125</v>
      </c>
      <c r="D6" s="27" t="n">
        <v>0.8</v>
      </c>
      <c r="E6" s="27" t="n">
        <v>0.5</v>
      </c>
      <c r="F6" s="27" t="n">
        <v>0.8</v>
      </c>
      <c r="G6" s="27" t="n">
        <v>1.2</v>
      </c>
      <c r="I6" s="2" t="s">
        <v>64</v>
      </c>
      <c r="J6" s="37" t="s">
        <v>1125</v>
      </c>
      <c r="K6" s="37" t="s">
        <v>1125</v>
      </c>
    </row>
    <row r="7" customFormat="false" ht="15" hidden="false" customHeight="false" outlineLevel="0" collapsed="false">
      <c r="A7" s="35" t="s">
        <v>1128</v>
      </c>
      <c r="B7" s="6" t="s">
        <v>648</v>
      </c>
      <c r="C7" s="6" t="s">
        <v>71</v>
      </c>
      <c r="D7" s="27" t="n">
        <v>0</v>
      </c>
      <c r="E7" s="27" t="n">
        <v>0.1</v>
      </c>
      <c r="F7" s="27" t="n">
        <v>0.1</v>
      </c>
      <c r="G7" s="27" t="n">
        <v>0.1</v>
      </c>
      <c r="I7" s="2" t="s">
        <v>66</v>
      </c>
      <c r="J7" s="37" t="s">
        <v>1125</v>
      </c>
      <c r="K7" s="37" t="s">
        <v>1125</v>
      </c>
    </row>
    <row r="8" customFormat="false" ht="15" hidden="false" customHeight="false" outlineLevel="0" collapsed="false">
      <c r="A8" s="35" t="s">
        <v>1129</v>
      </c>
      <c r="B8" s="6" t="s">
        <v>648</v>
      </c>
      <c r="C8" s="6" t="s">
        <v>73</v>
      </c>
      <c r="D8" s="27" t="n">
        <v>1</v>
      </c>
      <c r="E8" s="27" t="n">
        <v>0.8</v>
      </c>
      <c r="F8" s="27" t="n">
        <v>0.8</v>
      </c>
      <c r="G8" s="27" t="n">
        <v>1</v>
      </c>
      <c r="I8" s="2" t="s">
        <v>68</v>
      </c>
      <c r="J8" s="37" t="s">
        <v>1125</v>
      </c>
      <c r="K8" s="37" t="s">
        <v>1125</v>
      </c>
    </row>
    <row r="9" customFormat="false" ht="15" hidden="false" customHeight="false" outlineLevel="0" collapsed="false">
      <c r="A9" s="35" t="s">
        <v>1130</v>
      </c>
      <c r="B9" s="6" t="s">
        <v>648</v>
      </c>
      <c r="C9" s="6" t="s">
        <v>1131</v>
      </c>
      <c r="D9" s="27" t="n">
        <v>1.2</v>
      </c>
      <c r="E9" s="27" t="n">
        <v>0.8</v>
      </c>
      <c r="F9" s="27" t="n">
        <v>0.8</v>
      </c>
      <c r="G9" s="27" t="n">
        <v>1.1</v>
      </c>
      <c r="I9" s="2" t="s">
        <v>71</v>
      </c>
      <c r="J9" s="37" t="s">
        <v>71</v>
      </c>
      <c r="K9" s="37" t="s">
        <v>71</v>
      </c>
    </row>
    <row r="10" customFormat="false" ht="15" hidden="false" customHeight="false" outlineLevel="0" collapsed="false">
      <c r="A10" s="35" t="s">
        <v>1132</v>
      </c>
      <c r="B10" s="6" t="s">
        <v>1133</v>
      </c>
      <c r="C10" s="6" t="s">
        <v>53</v>
      </c>
      <c r="D10" s="27" t="n">
        <v>-0.3</v>
      </c>
      <c r="E10" s="27" t="n">
        <v>-0.3</v>
      </c>
      <c r="F10" s="27" t="n">
        <v>-0.3</v>
      </c>
      <c r="G10" s="27" t="n">
        <v>-0.4</v>
      </c>
      <c r="I10" s="2" t="s">
        <v>73</v>
      </c>
      <c r="J10" s="37" t="s">
        <v>73</v>
      </c>
      <c r="K10" s="37" t="s">
        <v>73</v>
      </c>
    </row>
    <row r="11" customFormat="false" ht="15" hidden="false" customHeight="false" outlineLevel="0" collapsed="false">
      <c r="A11" s="35" t="s">
        <v>1134</v>
      </c>
      <c r="B11" s="6" t="s">
        <v>1133</v>
      </c>
      <c r="C11" s="6" t="s">
        <v>57</v>
      </c>
      <c r="D11" s="27" t="n">
        <v>-0.5</v>
      </c>
      <c r="E11" s="27" t="n">
        <v>-0.4</v>
      </c>
      <c r="F11" s="27" t="n">
        <v>-0.5</v>
      </c>
      <c r="G11" s="27" t="n">
        <v>-0.6</v>
      </c>
    </row>
    <row r="12" customFormat="false" ht="15" hidden="false" customHeight="false" outlineLevel="0" collapsed="false">
      <c r="A12" s="35" t="s">
        <v>1135</v>
      </c>
      <c r="B12" s="6" t="s">
        <v>1133</v>
      </c>
      <c r="C12" s="6" t="s">
        <v>59</v>
      </c>
      <c r="D12" s="27" t="n">
        <v>-0.4</v>
      </c>
      <c r="E12" s="27" t="n">
        <v>-0.5</v>
      </c>
      <c r="F12" s="27" t="n">
        <v>-0.4</v>
      </c>
      <c r="G12" s="27" t="n">
        <v>-0.6</v>
      </c>
    </row>
    <row r="13" customFormat="false" ht="15" hidden="false" customHeight="false" outlineLevel="0" collapsed="false">
      <c r="A13" s="35" t="s">
        <v>1136</v>
      </c>
      <c r="B13" s="6" t="s">
        <v>1133</v>
      </c>
      <c r="C13" s="6" t="s">
        <v>62</v>
      </c>
      <c r="D13" s="27" t="n">
        <v>-0.3</v>
      </c>
      <c r="E13" s="27" t="n">
        <v>-0.3</v>
      </c>
      <c r="F13" s="27" t="n">
        <v>-0.7</v>
      </c>
      <c r="G13" s="27" t="n">
        <v>-0.5</v>
      </c>
    </row>
    <row r="14" customFormat="false" ht="15" hidden="false" customHeight="false" outlineLevel="0" collapsed="false">
      <c r="A14" s="35" t="s">
        <v>1137</v>
      </c>
      <c r="B14" s="6" t="s">
        <v>1133</v>
      </c>
      <c r="C14" s="6" t="s">
        <v>1125</v>
      </c>
      <c r="D14" s="27" t="n">
        <v>-0.3</v>
      </c>
      <c r="E14" s="27" t="n">
        <v>-0.3</v>
      </c>
      <c r="F14" s="27" t="n">
        <v>-0.4</v>
      </c>
      <c r="G14" s="27" t="n">
        <v>-0.5</v>
      </c>
    </row>
    <row r="15" customFormat="false" ht="15" hidden="false" customHeight="false" outlineLevel="0" collapsed="false">
      <c r="A15" s="35" t="s">
        <v>1138</v>
      </c>
      <c r="B15" s="6" t="s">
        <v>1133</v>
      </c>
      <c r="C15" s="6" t="s">
        <v>71</v>
      </c>
      <c r="D15" s="27" t="n">
        <v>-0.3</v>
      </c>
      <c r="E15" s="27" t="n">
        <v>-0.3</v>
      </c>
      <c r="F15" s="27" t="n">
        <v>-0.3</v>
      </c>
      <c r="G15" s="27" t="n">
        <v>-0.4</v>
      </c>
    </row>
    <row r="16" customFormat="false" ht="15" hidden="false" customHeight="false" outlineLevel="0" collapsed="false">
      <c r="A16" s="35" t="s">
        <v>1139</v>
      </c>
      <c r="B16" s="6" t="s">
        <v>1133</v>
      </c>
      <c r="C16" s="6" t="s">
        <v>73</v>
      </c>
      <c r="D16" s="27" t="n">
        <v>-0.5</v>
      </c>
      <c r="E16" s="27" t="n">
        <v>-0.5</v>
      </c>
      <c r="F16" s="27" t="n">
        <v>-0.5</v>
      </c>
      <c r="G16" s="27" t="n">
        <v>-0.7</v>
      </c>
    </row>
    <row r="17" customFormat="false" ht="15" hidden="false" customHeight="false" outlineLevel="0" collapsed="false">
      <c r="A17" s="35" t="s">
        <v>1140</v>
      </c>
      <c r="B17" s="6" t="s">
        <v>1133</v>
      </c>
      <c r="C17" s="6" t="s">
        <v>1131</v>
      </c>
      <c r="D17" s="27" t="n">
        <v>-0.2</v>
      </c>
      <c r="E17" s="27" t="n">
        <v>-0.3</v>
      </c>
      <c r="F17" s="27" t="n">
        <v>-0.3</v>
      </c>
      <c r="G17" s="27" t="n">
        <v>-0.5</v>
      </c>
    </row>
    <row r="18" customFormat="false" ht="15" hidden="false" customHeight="false" outlineLevel="0" collapsed="false">
      <c r="A18" s="35" t="s">
        <v>1141</v>
      </c>
      <c r="B18" s="6" t="s">
        <v>1142</v>
      </c>
      <c r="C18" s="6" t="s">
        <v>53</v>
      </c>
      <c r="D18" s="27" t="n">
        <v>-0.4</v>
      </c>
      <c r="E18" s="27" t="n">
        <v>-0.4</v>
      </c>
      <c r="F18" s="27" t="n">
        <v>-0.4</v>
      </c>
      <c r="G18" s="27" t="n">
        <v>-0.6</v>
      </c>
    </row>
    <row r="19" customFormat="false" ht="15" hidden="false" customHeight="false" outlineLevel="0" collapsed="false">
      <c r="A19" s="35" t="s">
        <v>1143</v>
      </c>
      <c r="B19" s="6" t="s">
        <v>1142</v>
      </c>
      <c r="C19" s="6" t="s">
        <v>57</v>
      </c>
      <c r="D19" s="27" t="n">
        <v>-0.4</v>
      </c>
      <c r="E19" s="27" t="n">
        <v>-0.5</v>
      </c>
      <c r="F19" s="27" t="n">
        <v>-0.5</v>
      </c>
      <c r="G19" s="27" t="n">
        <v>-1</v>
      </c>
    </row>
    <row r="20" customFormat="false" ht="15" hidden="false" customHeight="false" outlineLevel="0" collapsed="false">
      <c r="A20" s="35" t="s">
        <v>1144</v>
      </c>
      <c r="B20" s="6" t="s">
        <v>1142</v>
      </c>
      <c r="C20" s="6" t="s">
        <v>59</v>
      </c>
      <c r="D20" s="27" t="n">
        <v>-0.4</v>
      </c>
      <c r="E20" s="27" t="n">
        <v>-0.6</v>
      </c>
      <c r="F20" s="27" t="n">
        <v>-0.7</v>
      </c>
      <c r="G20" s="27" t="n">
        <v>-1.1</v>
      </c>
    </row>
    <row r="21" customFormat="false" ht="15" hidden="false" customHeight="false" outlineLevel="0" collapsed="false">
      <c r="A21" s="35" t="s">
        <v>1145</v>
      </c>
      <c r="B21" s="6" t="s">
        <v>1142</v>
      </c>
      <c r="C21" s="6" t="s">
        <v>62</v>
      </c>
      <c r="D21" s="27" t="n">
        <v>-0.3</v>
      </c>
      <c r="E21" s="27" t="n">
        <v>-0.3</v>
      </c>
      <c r="F21" s="27" t="n">
        <v>-1.2</v>
      </c>
      <c r="G21" s="27" t="n">
        <v>-0.4</v>
      </c>
    </row>
    <row r="22" customFormat="false" ht="15" hidden="false" customHeight="false" outlineLevel="0" collapsed="false">
      <c r="A22" s="35" t="s">
        <v>1146</v>
      </c>
      <c r="B22" s="6" t="s">
        <v>1142</v>
      </c>
      <c r="C22" s="6" t="s">
        <v>1125</v>
      </c>
      <c r="D22" s="27" t="n">
        <v>-0.4</v>
      </c>
      <c r="E22" s="27" t="n">
        <v>-0.4</v>
      </c>
      <c r="F22" s="27" t="n">
        <v>-0.4</v>
      </c>
      <c r="G22" s="27" t="n">
        <v>-0.6</v>
      </c>
    </row>
    <row r="23" customFormat="false" ht="15" hidden="false" customHeight="false" outlineLevel="0" collapsed="false">
      <c r="A23" s="35" t="s">
        <v>1147</v>
      </c>
      <c r="B23" s="6" t="s">
        <v>1142</v>
      </c>
      <c r="C23" s="6" t="s">
        <v>71</v>
      </c>
      <c r="D23" s="27" t="n">
        <v>-0.2</v>
      </c>
      <c r="E23" s="27" t="n">
        <v>-0.2</v>
      </c>
      <c r="F23" s="27" t="n">
        <v>-0.2</v>
      </c>
      <c r="G23" s="27" t="n">
        <v>-0.3</v>
      </c>
    </row>
    <row r="24" customFormat="false" ht="15" hidden="false" customHeight="false" outlineLevel="0" collapsed="false">
      <c r="A24" s="35" t="s">
        <v>1148</v>
      </c>
      <c r="B24" s="6" t="s">
        <v>1142</v>
      </c>
      <c r="C24" s="6" t="s">
        <v>73</v>
      </c>
      <c r="D24" s="27" t="n">
        <v>-0.4</v>
      </c>
      <c r="E24" s="27" t="n">
        <v>-0.4</v>
      </c>
      <c r="F24" s="27" t="n">
        <v>-0.4</v>
      </c>
      <c r="G24" s="27" t="n">
        <v>-0.6</v>
      </c>
    </row>
    <row r="25" customFormat="false" ht="15" hidden="false" customHeight="false" outlineLevel="0" collapsed="false">
      <c r="A25" s="35" t="s">
        <v>1149</v>
      </c>
      <c r="B25" s="6" t="s">
        <v>1142</v>
      </c>
      <c r="C25" s="6" t="s">
        <v>1131</v>
      </c>
      <c r="D25" s="27" t="n">
        <v>-0.2</v>
      </c>
      <c r="E25" s="27" t="n">
        <v>-0.2</v>
      </c>
      <c r="F25" s="27" t="n">
        <v>-0.2</v>
      </c>
      <c r="G25" s="27" t="n">
        <v>-0.4</v>
      </c>
    </row>
    <row r="26" customFormat="false" ht="15" hidden="false" customHeight="false" outlineLevel="0" collapsed="false">
      <c r="A26" s="35" t="s">
        <v>1150</v>
      </c>
      <c r="B26" s="6" t="s">
        <v>1151</v>
      </c>
      <c r="C26" s="6" t="s">
        <v>53</v>
      </c>
      <c r="D26" s="27" t="n">
        <v>0.01</v>
      </c>
      <c r="E26" s="27" t="n">
        <v>0.005</v>
      </c>
      <c r="F26" s="27" t="n">
        <v>0.005</v>
      </c>
      <c r="G26" s="27" t="n">
        <v>0.005</v>
      </c>
    </row>
    <row r="27" customFormat="false" ht="15" hidden="false" customHeight="false" outlineLevel="0" collapsed="false">
      <c r="A27" s="35" t="s">
        <v>1152</v>
      </c>
      <c r="B27" s="6" t="s">
        <v>1151</v>
      </c>
      <c r="C27" s="6" t="s">
        <v>57</v>
      </c>
      <c r="D27" s="27" t="n">
        <v>0.01</v>
      </c>
      <c r="E27" s="27" t="n">
        <v>0.01</v>
      </c>
      <c r="F27" s="27" t="n">
        <v>0.01</v>
      </c>
      <c r="G27" s="27" t="n">
        <v>0.01</v>
      </c>
    </row>
    <row r="28" customFormat="false" ht="15" hidden="false" customHeight="false" outlineLevel="0" collapsed="false">
      <c r="A28" s="35" t="s">
        <v>1153</v>
      </c>
      <c r="B28" s="6" t="s">
        <v>1151</v>
      </c>
      <c r="C28" s="6" t="s">
        <v>1125</v>
      </c>
      <c r="D28" s="27" t="n">
        <v>0.01</v>
      </c>
      <c r="E28" s="27" t="n">
        <v>0.005</v>
      </c>
      <c r="F28" s="27" t="n">
        <v>0.005</v>
      </c>
      <c r="G28" s="27" t="n">
        <v>0.005</v>
      </c>
    </row>
    <row r="29" customFormat="false" ht="15" hidden="false" customHeight="false" outlineLevel="0" collapsed="false">
      <c r="A29" s="35" t="s">
        <v>1154</v>
      </c>
      <c r="B29" s="6" t="s">
        <v>1151</v>
      </c>
      <c r="C29" s="6" t="s">
        <v>71</v>
      </c>
      <c r="D29" s="27" t="n">
        <v>0.01</v>
      </c>
      <c r="E29" s="27" t="n">
        <v>0.005</v>
      </c>
      <c r="F29" s="27" t="n">
        <v>0.005</v>
      </c>
      <c r="G29" s="27" t="n">
        <v>0.005</v>
      </c>
    </row>
    <row r="30" customFormat="false" ht="15" hidden="false" customHeight="false" outlineLevel="0" collapsed="false">
      <c r="A30" s="35" t="s">
        <v>1155</v>
      </c>
      <c r="B30" s="6" t="s">
        <v>1151</v>
      </c>
      <c r="C30" s="6" t="s">
        <v>73</v>
      </c>
      <c r="D30" s="27" t="n">
        <v>0.01</v>
      </c>
      <c r="E30" s="27" t="n">
        <v>0.005</v>
      </c>
      <c r="F30" s="27" t="n">
        <v>0.005</v>
      </c>
      <c r="G30" s="27" t="n">
        <v>0.005</v>
      </c>
    </row>
    <row r="31" customFormat="false" ht="15" hidden="false" customHeight="false" outlineLevel="0" collapsed="false">
      <c r="A31" s="35" t="s">
        <v>1156</v>
      </c>
      <c r="B31" s="6" t="s">
        <v>1151</v>
      </c>
      <c r="C31" s="6" t="s">
        <v>1131</v>
      </c>
      <c r="D31" s="27" t="n">
        <v>0.01</v>
      </c>
      <c r="E31" s="27" t="n">
        <v>0.005</v>
      </c>
      <c r="F31" s="27" t="n">
        <v>0.005</v>
      </c>
      <c r="G31" s="27" t="n">
        <v>0.005</v>
      </c>
    </row>
    <row r="33" customFormat="false" ht="15" hidden="false" customHeight="false" outlineLevel="0" collapsed="false">
      <c r="A33" s="4" t="s">
        <v>1157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5" style="0" width="10"/>
    <col collapsed="false" customWidth="true" hidden="false" outlineLevel="0" max="35" min="11" style="0" width="11"/>
  </cols>
  <sheetData>
    <row r="1" customFormat="false" ht="15" hidden="false" customHeight="false" outlineLevel="0" collapsed="false">
      <c r="A1" s="38" t="s">
        <v>1158</v>
      </c>
    </row>
    <row r="2" customFormat="false" ht="15" hidden="false" customHeight="false" outlineLevel="0" collapsed="false">
      <c r="A2" s="2" t="s">
        <v>1159</v>
      </c>
      <c r="D2" s="39" t="n">
        <f aca="false">MAX(F8,F12,F16,F20,F24,F28,F32,F36,F40,F44,F48,F52,F56,F60,F64,F68,F72,F76,F80,F84,F88,F92,F96,F100,F104,F108,F112,F116,F120,F124,F128,F132,F136,F140,F144,F148)</f>
        <v>-0</v>
      </c>
    </row>
    <row r="3" customFormat="false" ht="15" hidden="false" customHeight="false" outlineLevel="0" collapsed="false">
      <c r="A3" s="2" t="s">
        <v>1160</v>
      </c>
      <c r="D3" s="39" t="n">
        <f aca="false">MAX(F152,F156,F160,F164,F168,F172,F176,F180,F184,F188,F192,F196,F200,F204,F208,F212,F216,F220,F224,F228,F232,F236,F240,F244,F248,F252,F256,F260,F264,F268,F272,F276,F280,F284,F288,F292)</f>
        <v>-0</v>
      </c>
    </row>
    <row r="4" customFormat="false" ht="15" hidden="false" customHeight="false" outlineLevel="0" collapsed="false">
      <c r="A4" s="2" t="s">
        <v>1161</v>
      </c>
      <c r="D4" s="39" t="n">
        <f aca="false"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-0</v>
      </c>
    </row>
    <row r="5" customFormat="false" ht="15" hidden="false" customHeight="false" outlineLevel="0" collapsed="false">
      <c r="A5" s="36" t="s">
        <v>42</v>
      </c>
      <c r="B5" s="36" t="s">
        <v>36</v>
      </c>
      <c r="C5" s="36" t="s">
        <v>37</v>
      </c>
      <c r="D5" s="36" t="s">
        <v>51</v>
      </c>
      <c r="E5" s="36" t="s">
        <v>1162</v>
      </c>
      <c r="F5" s="36" t="s">
        <v>1163</v>
      </c>
      <c r="G5" s="36"/>
      <c r="H5" s="36"/>
      <c r="I5" s="36"/>
      <c r="J5" s="36"/>
      <c r="K5" s="36" t="n">
        <v>2021</v>
      </c>
      <c r="L5" s="36" t="n">
        <v>2022</v>
      </c>
      <c r="M5" s="36" t="n">
        <v>2023</v>
      </c>
      <c r="N5" s="36" t="n">
        <v>2024</v>
      </c>
      <c r="O5" s="36" t="n">
        <v>2025</v>
      </c>
      <c r="P5" s="36" t="n">
        <v>2026</v>
      </c>
      <c r="Q5" s="36" t="n">
        <v>2027</v>
      </c>
      <c r="R5" s="36" t="n">
        <v>2028</v>
      </c>
      <c r="S5" s="36" t="n">
        <v>2029</v>
      </c>
      <c r="T5" s="36" t="n">
        <v>2030</v>
      </c>
      <c r="U5" s="36" t="n">
        <v>2031</v>
      </c>
      <c r="V5" s="36" t="n">
        <v>2032</v>
      </c>
      <c r="W5" s="36" t="n">
        <v>2033</v>
      </c>
      <c r="X5" s="36" t="n">
        <v>2034</v>
      </c>
      <c r="Y5" s="36" t="n">
        <v>2035</v>
      </c>
      <c r="Z5" s="36" t="n">
        <v>2036</v>
      </c>
      <c r="AA5" s="36" t="n">
        <v>2037</v>
      </c>
      <c r="AB5" s="36" t="n">
        <v>2038</v>
      </c>
      <c r="AC5" s="36" t="n">
        <v>2039</v>
      </c>
      <c r="AD5" s="36" t="n">
        <v>2040</v>
      </c>
      <c r="AE5" s="36" t="n">
        <v>2041</v>
      </c>
      <c r="AF5" s="36" t="n">
        <v>2042</v>
      </c>
      <c r="AG5" s="36" t="n">
        <v>2043</v>
      </c>
      <c r="AH5" s="36" t="n">
        <v>2044</v>
      </c>
      <c r="AI5" s="36" t="n">
        <v>2045</v>
      </c>
    </row>
    <row r="6" customFormat="false" ht="15" hidden="false" customHeight="false" outlineLevel="0" collapsed="false">
      <c r="A6" s="35" t="s">
        <v>1164</v>
      </c>
      <c r="B6" s="6" t="s">
        <v>53</v>
      </c>
      <c r="C6" s="6" t="s">
        <v>47</v>
      </c>
      <c r="D6" s="6" t="n">
        <v>1</v>
      </c>
      <c r="E6" s="6" t="s">
        <v>1165</v>
      </c>
      <c r="K6" s="29" t="n">
        <v>0.191247905398944</v>
      </c>
      <c r="L6" s="29" t="n">
        <v>232.657354770131</v>
      </c>
      <c r="M6" s="29" t="n">
        <v>189.452656106887</v>
      </c>
      <c r="N6" s="29" t="n">
        <v>217.728838709141</v>
      </c>
      <c r="O6" s="29" t="n">
        <v>237.897930150489</v>
      </c>
      <c r="P6" s="29" t="n">
        <v>232.650069031245</v>
      </c>
      <c r="Q6" s="29" t="n">
        <v>235.342940210036</v>
      </c>
      <c r="R6" s="29" t="n">
        <v>241.853740474189</v>
      </c>
      <c r="S6" s="29" t="n">
        <v>248.193685291757</v>
      </c>
      <c r="T6" s="29" t="n">
        <v>254.267796740139</v>
      </c>
      <c r="U6" s="29" t="n">
        <v>260.356389857144</v>
      </c>
      <c r="V6" s="29" t="n">
        <v>265.285472863016</v>
      </c>
      <c r="W6" s="29" t="n">
        <v>270.226993806343</v>
      </c>
      <c r="X6" s="29" t="n">
        <v>275.17954419786</v>
      </c>
      <c r="Y6" s="29" t="n">
        <v>280.141727960992</v>
      </c>
      <c r="Z6" s="29" t="n">
        <v>285.112160249554</v>
      </c>
      <c r="AA6" s="29" t="n">
        <v>290.089466138538</v>
      </c>
      <c r="AB6" s="29" t="n">
        <v>295.072279194488</v>
      </c>
      <c r="AC6" s="29" t="n">
        <v>300.059239931575</v>
      </c>
      <c r="AD6" s="29" t="n">
        <v>305.048994159046</v>
      </c>
      <c r="AE6" s="29" t="n">
        <v>310.040191225303</v>
      </c>
    </row>
    <row r="7" customFormat="false" ht="15" hidden="false" customHeight="false" outlineLevel="0" collapsed="false">
      <c r="A7" s="35" t="s">
        <v>1164</v>
      </c>
      <c r="B7" s="6" t="s">
        <v>53</v>
      </c>
      <c r="C7" s="6" t="s">
        <v>47</v>
      </c>
      <c r="D7" s="6" t="n">
        <v>1</v>
      </c>
      <c r="E7" s="6" t="s">
        <v>1166</v>
      </c>
      <c r="K7" s="29" t="n">
        <f aca="false">INDEX(Mitigation_Industry!K:K,MATCH($A7,Mitigation_Industry!$H:$H,0))</f>
        <v>0</v>
      </c>
      <c r="L7" s="29" t="n">
        <f aca="false">INDEX(Mitigation_Industry!L:L,MATCH($A7,Mitigation_Industry!$H:$H,0))</f>
        <v>232.657354770131</v>
      </c>
      <c r="M7" s="29" t="n">
        <f aca="false">INDEX(Mitigation_Industry!M:M,MATCH($A7,Mitigation_Industry!$H:$H,0))</f>
        <v>189.452656106887</v>
      </c>
      <c r="N7" s="29" t="n">
        <f aca="false">INDEX(Mitigation_Industry!N:N,MATCH($A7,Mitigation_Industry!$H:$H,0))</f>
        <v>217.728838709141</v>
      </c>
      <c r="O7" s="29" t="n">
        <f aca="false">INDEX(Mitigation_Industry!O:O,MATCH($A7,Mitigation_Industry!$H:$H,0))</f>
        <v>237.897930150489</v>
      </c>
      <c r="P7" s="29" t="n">
        <f aca="false">INDEX(Mitigation_Industry!P:P,MATCH($A7,Mitigation_Industry!$H:$H,0))</f>
        <v>232.650069031245</v>
      </c>
      <c r="Q7" s="29" t="n">
        <f aca="false">INDEX(Mitigation_Industry!Q:Q,MATCH($A7,Mitigation_Industry!$H:$H,0))</f>
        <v>235.342940210036</v>
      </c>
      <c r="R7" s="29" t="n">
        <f aca="false">INDEX(Mitigation_Industry!R:R,MATCH($A7,Mitigation_Industry!$H:$H,0))</f>
        <v>241.853740474189</v>
      </c>
      <c r="S7" s="29" t="n">
        <f aca="false">INDEX(Mitigation_Industry!S:S,MATCH($A7,Mitigation_Industry!$H:$H,0))</f>
        <v>248.193685291757</v>
      </c>
      <c r="T7" s="29" t="n">
        <f aca="false">INDEX(Mitigation_Industry!T:T,MATCH($A7,Mitigation_Industry!$H:$H,0))</f>
        <v>254.267796740139</v>
      </c>
      <c r="U7" s="29" t="n">
        <f aca="false">INDEX(Mitigation_Industry!U:U,MATCH($A7,Mitigation_Industry!$H:$H,0))</f>
        <v>260.356389857144</v>
      </c>
      <c r="V7" s="29" t="n">
        <f aca="false">INDEX(Mitigation_Industry!V:V,MATCH($A7,Mitigation_Industry!$H:$H,0))</f>
        <v>265.285472863016</v>
      </c>
      <c r="W7" s="29" t="n">
        <f aca="false">INDEX(Mitigation_Industry!W:W,MATCH($A7,Mitigation_Industry!$H:$H,0))</f>
        <v>270.226993806343</v>
      </c>
      <c r="X7" s="29" t="n">
        <f aca="false">INDEX(Mitigation_Industry!X:X,MATCH($A7,Mitigation_Industry!$H:$H,0))</f>
        <v>275.17954419786</v>
      </c>
      <c r="Y7" s="29" t="n">
        <f aca="false">INDEX(Mitigation_Industry!Y:Y,MATCH($A7,Mitigation_Industry!$H:$H,0))</f>
        <v>280.141727960992</v>
      </c>
      <c r="Z7" s="29" t="n">
        <f aca="false">INDEX(Mitigation_Industry!Z:Z,MATCH($A7,Mitigation_Industry!$H:$H,0))</f>
        <v>285.112160249554</v>
      </c>
      <c r="AA7" s="29" t="n">
        <f aca="false">INDEX(Mitigation_Industry!AA:AA,MATCH($A7,Mitigation_Industry!$H:$H,0))</f>
        <v>290.089466138538</v>
      </c>
      <c r="AB7" s="29" t="n">
        <f aca="false">INDEX(Mitigation_Industry!AB:AB,MATCH($A7,Mitigation_Industry!$H:$H,0))</f>
        <v>295.072279194488</v>
      </c>
      <c r="AC7" s="29" t="n">
        <f aca="false">INDEX(Mitigation_Industry!AC:AC,MATCH($A7,Mitigation_Industry!$H:$H,0))</f>
        <v>300.059239931575</v>
      </c>
      <c r="AD7" s="29" t="n">
        <f aca="false">INDEX(Mitigation_Industry!AD:AD,MATCH($A7,Mitigation_Industry!$H:$H,0))</f>
        <v>305.048994159046</v>
      </c>
      <c r="AE7" s="29" t="n">
        <f aca="false">INDEX(Mitigation_Industry!AE:AE,MATCH($A7,Mitigation_Industry!$H:$H,0))</f>
        <v>310.040191225303</v>
      </c>
    </row>
    <row r="8" customFormat="false" ht="15" hidden="false" customHeight="false" outlineLevel="0" collapsed="false">
      <c r="A8" s="35" t="s">
        <v>1164</v>
      </c>
      <c r="B8" s="6" t="s">
        <v>53</v>
      </c>
      <c r="C8" s="6" t="s">
        <v>47</v>
      </c>
      <c r="D8" s="6" t="n">
        <v>1</v>
      </c>
      <c r="E8" s="2" t="s">
        <v>1167</v>
      </c>
      <c r="F8" s="40" t="n">
        <f aca="false">MAX(MAX(L8:AE8),-MIN(L8:AE8))</f>
        <v>-0</v>
      </c>
      <c r="K8" s="41" t="n">
        <f aca="false">IF(ISNUMBER(K6),IF(ISNUMBER(K7),K7-K6,999999),0)</f>
        <v>999999</v>
      </c>
      <c r="L8" s="41" t="n">
        <f aca="false">IF(ISNUMBER(L6),IF(ISNUMBER(L7),L7-L6,999999),0)</f>
        <v>0</v>
      </c>
      <c r="M8" s="41" t="n">
        <f aca="false">IF(ISNUMBER(M6),IF(ISNUMBER(M7),M7-M6,999999),0)</f>
        <v>0</v>
      </c>
      <c r="N8" s="41" t="n">
        <f aca="false">IF(ISNUMBER(N6),IF(ISNUMBER(N7),N7-N6,999999),0)</f>
        <v>0</v>
      </c>
      <c r="O8" s="41" t="n">
        <f aca="false">IF(ISNUMBER(O6),IF(ISNUMBER(O7),O7-O6,999999),0)</f>
        <v>0</v>
      </c>
      <c r="P8" s="41" t="n">
        <f aca="false">IF(ISNUMBER(P6),IF(ISNUMBER(P7),P7-P6,999999),0)</f>
        <v>0</v>
      </c>
      <c r="Q8" s="41" t="n">
        <f aca="false">IF(ISNUMBER(Q6),IF(ISNUMBER(Q7),Q7-Q6,999999),0)</f>
        <v>0</v>
      </c>
      <c r="R8" s="41" t="n">
        <f aca="false">IF(ISNUMBER(R6),IF(ISNUMBER(R7),R7-R6,999999),0)</f>
        <v>0</v>
      </c>
      <c r="S8" s="41" t="n">
        <f aca="false">IF(ISNUMBER(S6),IF(ISNUMBER(S7),S7-S6,999999),0)</f>
        <v>0</v>
      </c>
      <c r="T8" s="41" t="n">
        <f aca="false">IF(ISNUMBER(T6),IF(ISNUMBER(T7),T7-T6,999999),0)</f>
        <v>0</v>
      </c>
      <c r="U8" s="41" t="n">
        <f aca="false">IF(ISNUMBER(U6),IF(ISNUMBER(U7),U7-U6,999999),0)</f>
        <v>0</v>
      </c>
      <c r="V8" s="41" t="n">
        <f aca="false">IF(ISNUMBER(V6),IF(ISNUMBER(V7),V7-V6,999999),0)</f>
        <v>0</v>
      </c>
      <c r="W8" s="41" t="n">
        <f aca="false">IF(ISNUMBER(W6),IF(ISNUMBER(W7),W7-W6,999999),0)</f>
        <v>0</v>
      </c>
      <c r="X8" s="41" t="n">
        <f aca="false">IF(ISNUMBER(X6),IF(ISNUMBER(X7),X7-X6,999999),0)</f>
        <v>0</v>
      </c>
      <c r="Y8" s="41" t="n">
        <f aca="false">IF(ISNUMBER(Y6),IF(ISNUMBER(Y7),Y7-Y6,999999),0)</f>
        <v>0</v>
      </c>
      <c r="Z8" s="41" t="n">
        <f aca="false">IF(ISNUMBER(Z6),IF(ISNUMBER(Z7),Z7-Z6,999999),0)</f>
        <v>0</v>
      </c>
      <c r="AA8" s="41" t="n">
        <f aca="false">IF(ISNUMBER(AA6),IF(ISNUMBER(AA7),AA7-AA6,999999),0)</f>
        <v>0</v>
      </c>
      <c r="AB8" s="41" t="n">
        <f aca="false">IF(ISNUMBER(AB6),IF(ISNUMBER(AB7),AB7-AB6,999999),0)</f>
        <v>0</v>
      </c>
      <c r="AC8" s="41" t="n">
        <f aca="false">IF(ISNUMBER(AC6),IF(ISNUMBER(AC7),AC7-AC6,999999),0)</f>
        <v>0</v>
      </c>
      <c r="AD8" s="41" t="n">
        <f aca="false">IF(ISNUMBER(AD6),IF(ISNUMBER(AD7),AD7-AD6,999999),0)</f>
        <v>0</v>
      </c>
      <c r="AE8" s="41" t="n">
        <f aca="false">IF(ISNUMBER(AE6),IF(ISNUMBER(AE7),AE7-AE6,999999),0)</f>
        <v>0</v>
      </c>
    </row>
    <row r="10" customFormat="false" ht="15" hidden="false" customHeight="false" outlineLevel="0" collapsed="false">
      <c r="A10" s="35" t="s">
        <v>1168</v>
      </c>
      <c r="B10" s="6" t="s">
        <v>57</v>
      </c>
      <c r="C10" s="6" t="s">
        <v>47</v>
      </c>
      <c r="D10" s="6" t="n">
        <v>1</v>
      </c>
      <c r="E10" s="6" t="s">
        <v>1165</v>
      </c>
      <c r="K10" s="29" t="n">
        <v>0.808752094601056</v>
      </c>
      <c r="L10" s="29" t="n">
        <v>1669.05671904213</v>
      </c>
      <c r="M10" s="29" t="n">
        <v>1431.77752088248</v>
      </c>
      <c r="N10" s="29" t="n">
        <v>1603.11808152123</v>
      </c>
      <c r="O10" s="29" t="n">
        <v>1666.46910747486</v>
      </c>
      <c r="P10" s="29" t="n">
        <v>1729.05195222199</v>
      </c>
      <c r="Q10" s="29" t="n">
        <v>1803.61960143886</v>
      </c>
      <c r="R10" s="29" t="n">
        <v>1893.18143077966</v>
      </c>
      <c r="S10" s="29" t="n">
        <v>1980.2914020527</v>
      </c>
      <c r="T10" s="29" t="n">
        <v>2062.96309592189</v>
      </c>
      <c r="U10" s="29" t="n">
        <v>2147.42478846149</v>
      </c>
      <c r="V10" s="29" t="n">
        <v>2233.98481484628</v>
      </c>
      <c r="W10" s="29" t="n">
        <v>2322.64341184426</v>
      </c>
      <c r="X10" s="29" t="n">
        <v>2413.39924651936</v>
      </c>
      <c r="Y10" s="29" t="n">
        <v>2506.24939253545</v>
      </c>
      <c r="Z10" s="29" t="n">
        <v>2601.18930322639</v>
      </c>
      <c r="AA10" s="29" t="n">
        <v>2698.21278116586</v>
      </c>
      <c r="AB10" s="29" t="n">
        <v>2797.31194398114</v>
      </c>
      <c r="AC10" s="29" t="n">
        <v>2898.47718616532</v>
      </c>
      <c r="AD10" s="29" t="n">
        <v>3001.69713665221</v>
      </c>
      <c r="AE10" s="29" t="n">
        <v>3106.95861192804</v>
      </c>
    </row>
    <row r="11" customFormat="false" ht="15" hidden="false" customHeight="false" outlineLevel="0" collapsed="false">
      <c r="A11" s="35" t="s">
        <v>1168</v>
      </c>
      <c r="B11" s="6" t="s">
        <v>57</v>
      </c>
      <c r="C11" s="6" t="s">
        <v>47</v>
      </c>
      <c r="D11" s="6" t="n">
        <v>1</v>
      </c>
      <c r="E11" s="6" t="s">
        <v>1166</v>
      </c>
      <c r="K11" s="29" t="n">
        <f aca="false">INDEX(Mitigation_Industry!K:K,MATCH($A11,Mitigation_Industry!$H:$H,0))</f>
        <v>0</v>
      </c>
      <c r="L11" s="29" t="n">
        <f aca="false">INDEX(Mitigation_Industry!L:L,MATCH($A11,Mitigation_Industry!$H:$H,0))</f>
        <v>1669.05671904213</v>
      </c>
      <c r="M11" s="29" t="n">
        <f aca="false">INDEX(Mitigation_Industry!M:M,MATCH($A11,Mitigation_Industry!$H:$H,0))</f>
        <v>1431.77752088248</v>
      </c>
      <c r="N11" s="29" t="n">
        <f aca="false">INDEX(Mitigation_Industry!N:N,MATCH($A11,Mitigation_Industry!$H:$H,0))</f>
        <v>1603.11808152123</v>
      </c>
      <c r="O11" s="29" t="n">
        <f aca="false">INDEX(Mitigation_Industry!O:O,MATCH($A11,Mitigation_Industry!$H:$H,0))</f>
        <v>1666.46910747486</v>
      </c>
      <c r="P11" s="29" t="n">
        <f aca="false">INDEX(Mitigation_Industry!P:P,MATCH($A11,Mitigation_Industry!$H:$H,0))</f>
        <v>1729.05195222199</v>
      </c>
      <c r="Q11" s="29" t="n">
        <f aca="false">INDEX(Mitigation_Industry!Q:Q,MATCH($A11,Mitigation_Industry!$H:$H,0))</f>
        <v>1803.61960143886</v>
      </c>
      <c r="R11" s="29" t="n">
        <f aca="false">INDEX(Mitigation_Industry!R:R,MATCH($A11,Mitigation_Industry!$H:$H,0))</f>
        <v>1893.18143077966</v>
      </c>
      <c r="S11" s="29" t="n">
        <f aca="false">INDEX(Mitigation_Industry!S:S,MATCH($A11,Mitigation_Industry!$H:$H,0))</f>
        <v>1980.2914020527</v>
      </c>
      <c r="T11" s="29" t="n">
        <f aca="false">INDEX(Mitigation_Industry!T:T,MATCH($A11,Mitigation_Industry!$H:$H,0))</f>
        <v>2062.96309592189</v>
      </c>
      <c r="U11" s="29" t="n">
        <f aca="false">INDEX(Mitigation_Industry!U:U,MATCH($A11,Mitigation_Industry!$H:$H,0))</f>
        <v>2147.42478846149</v>
      </c>
      <c r="V11" s="29" t="n">
        <f aca="false">INDEX(Mitigation_Industry!V:V,MATCH($A11,Mitigation_Industry!$H:$H,0))</f>
        <v>2233.98481484628</v>
      </c>
      <c r="W11" s="29" t="n">
        <f aca="false">INDEX(Mitigation_Industry!W:W,MATCH($A11,Mitigation_Industry!$H:$H,0))</f>
        <v>2322.64341184426</v>
      </c>
      <c r="X11" s="29" t="n">
        <f aca="false">INDEX(Mitigation_Industry!X:X,MATCH($A11,Mitigation_Industry!$H:$H,0))</f>
        <v>2413.39924651936</v>
      </c>
      <c r="Y11" s="29" t="n">
        <f aca="false">INDEX(Mitigation_Industry!Y:Y,MATCH($A11,Mitigation_Industry!$H:$H,0))</f>
        <v>2506.24939253545</v>
      </c>
      <c r="Z11" s="29" t="n">
        <f aca="false">INDEX(Mitigation_Industry!Z:Z,MATCH($A11,Mitigation_Industry!$H:$H,0))</f>
        <v>2601.18930322639</v>
      </c>
      <c r="AA11" s="29" t="n">
        <f aca="false">INDEX(Mitigation_Industry!AA:AA,MATCH($A11,Mitigation_Industry!$H:$H,0))</f>
        <v>2698.21278116586</v>
      </c>
      <c r="AB11" s="29" t="n">
        <f aca="false">INDEX(Mitigation_Industry!AB:AB,MATCH($A11,Mitigation_Industry!$H:$H,0))</f>
        <v>2797.31194398115</v>
      </c>
      <c r="AC11" s="29" t="n">
        <f aca="false">INDEX(Mitigation_Industry!AC:AC,MATCH($A11,Mitigation_Industry!$H:$H,0))</f>
        <v>2898.47718616532</v>
      </c>
      <c r="AD11" s="29" t="n">
        <f aca="false">INDEX(Mitigation_Industry!AD:AD,MATCH($A11,Mitigation_Industry!$H:$H,0))</f>
        <v>3001.69713665221</v>
      </c>
      <c r="AE11" s="29" t="n">
        <f aca="false">INDEX(Mitigation_Industry!AE:AE,MATCH($A11,Mitigation_Industry!$H:$H,0))</f>
        <v>3106.95861192804</v>
      </c>
    </row>
    <row r="12" customFormat="false" ht="15" hidden="false" customHeight="false" outlineLevel="0" collapsed="false">
      <c r="A12" s="35" t="s">
        <v>1168</v>
      </c>
      <c r="B12" s="6" t="s">
        <v>57</v>
      </c>
      <c r="C12" s="6" t="s">
        <v>47</v>
      </c>
      <c r="D12" s="6" t="n">
        <v>1</v>
      </c>
      <c r="E12" s="2" t="s">
        <v>1167</v>
      </c>
      <c r="F12" s="40" t="n">
        <f aca="false">MAX(MAX(L12:AE12),-MIN(L12:AE12))</f>
        <v>-0</v>
      </c>
      <c r="K12" s="41" t="n">
        <f aca="false">IF(ISNUMBER(K10),IF(ISNUMBER(K11),K11-K10,999999),0)</f>
        <v>999999</v>
      </c>
      <c r="L12" s="41" t="n">
        <f aca="false">IF(ISNUMBER(L10),IF(ISNUMBER(L11),L11-L10,999999),0)</f>
        <v>0</v>
      </c>
      <c r="M12" s="41" t="n">
        <f aca="false">IF(ISNUMBER(M10),IF(ISNUMBER(M11),M11-M10,999999),0)</f>
        <v>0</v>
      </c>
      <c r="N12" s="41" t="n">
        <f aca="false">IF(ISNUMBER(N10),IF(ISNUMBER(N11),N11-N10,999999),0)</f>
        <v>0</v>
      </c>
      <c r="O12" s="41" t="n">
        <f aca="false">IF(ISNUMBER(O10),IF(ISNUMBER(O11),O11-O10,999999),0)</f>
        <v>0</v>
      </c>
      <c r="P12" s="41" t="n">
        <f aca="false">IF(ISNUMBER(P10),IF(ISNUMBER(P11),P11-P10,999999),0)</f>
        <v>0</v>
      </c>
      <c r="Q12" s="41" t="n">
        <f aca="false">IF(ISNUMBER(Q10),IF(ISNUMBER(Q11),Q11-Q10,999999),0)</f>
        <v>0</v>
      </c>
      <c r="R12" s="41" t="n">
        <f aca="false">IF(ISNUMBER(R10),IF(ISNUMBER(R11),R11-R10,999999),0)</f>
        <v>0</v>
      </c>
      <c r="S12" s="41" t="n">
        <f aca="false">IF(ISNUMBER(S10),IF(ISNUMBER(S11),S11-S10,999999),0)</f>
        <v>0</v>
      </c>
      <c r="T12" s="41" t="n">
        <f aca="false">IF(ISNUMBER(T10),IF(ISNUMBER(T11),T11-T10,999999),0)</f>
        <v>0</v>
      </c>
      <c r="U12" s="41" t="n">
        <f aca="false">IF(ISNUMBER(U10),IF(ISNUMBER(U11),U11-U10,999999),0)</f>
        <v>0</v>
      </c>
      <c r="V12" s="41" t="n">
        <f aca="false">IF(ISNUMBER(V10),IF(ISNUMBER(V11),V11-V10,999999),0)</f>
        <v>0</v>
      </c>
      <c r="W12" s="41" t="n">
        <f aca="false">IF(ISNUMBER(W10),IF(ISNUMBER(W11),W11-W10,999999),0)</f>
        <v>0</v>
      </c>
      <c r="X12" s="41" t="n">
        <f aca="false">IF(ISNUMBER(X10),IF(ISNUMBER(X11),X11-X10,999999),0)</f>
        <v>0</v>
      </c>
      <c r="Y12" s="41" t="n">
        <f aca="false">IF(ISNUMBER(Y10),IF(ISNUMBER(Y11),Y11-Y10,999999),0)</f>
        <v>0</v>
      </c>
      <c r="Z12" s="41" t="n">
        <f aca="false">IF(ISNUMBER(Z10),IF(ISNUMBER(Z11),Z11-Z10,999999),0)</f>
        <v>0</v>
      </c>
      <c r="AA12" s="41" t="n">
        <f aca="false">IF(ISNUMBER(AA10),IF(ISNUMBER(AA11),AA11-AA10,999999),0)</f>
        <v>0</v>
      </c>
      <c r="AB12" s="41" t="n">
        <f aca="false">IF(ISNUMBER(AB10),IF(ISNUMBER(AB11),AB11-AB10,999999),0)</f>
        <v>0</v>
      </c>
      <c r="AC12" s="41" t="n">
        <f aca="false">IF(ISNUMBER(AC10),IF(ISNUMBER(AC11),AC11-AC10,999999),0)</f>
        <v>0</v>
      </c>
      <c r="AD12" s="41" t="n">
        <f aca="false">IF(ISNUMBER(AD10),IF(ISNUMBER(AD11),AD11-AD10,999999),0)</f>
        <v>0</v>
      </c>
      <c r="AE12" s="41" t="n">
        <f aca="false">IF(ISNUMBER(AE10),IF(ISNUMBER(AE11),AE11-AE10,999999),0)</f>
        <v>0</v>
      </c>
    </row>
    <row r="14" customFormat="false" ht="15" hidden="false" customHeight="false" outlineLevel="0" collapsed="false">
      <c r="A14" s="35" t="s">
        <v>1169</v>
      </c>
      <c r="B14" s="6" t="s">
        <v>59</v>
      </c>
      <c r="C14" s="6" t="s">
        <v>47</v>
      </c>
      <c r="D14" s="6" t="n">
        <v>1</v>
      </c>
      <c r="E14" s="6" t="s">
        <v>1165</v>
      </c>
      <c r="K14" s="29" t="n">
        <v>0</v>
      </c>
      <c r="L14" s="29" t="n">
        <v>0</v>
      </c>
      <c r="M14" s="29" t="n">
        <v>0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  <c r="U14" s="29" t="n">
        <v>0</v>
      </c>
      <c r="V14" s="29" t="n">
        <v>0</v>
      </c>
      <c r="W14" s="29" t="n">
        <v>0</v>
      </c>
      <c r="X14" s="29" t="n">
        <v>0</v>
      </c>
      <c r="Y14" s="29" t="n">
        <v>0</v>
      </c>
      <c r="Z14" s="29" t="n">
        <v>0</v>
      </c>
      <c r="AA14" s="29" t="n">
        <v>0</v>
      </c>
      <c r="AB14" s="29" t="n">
        <v>0</v>
      </c>
      <c r="AC14" s="29" t="n">
        <v>0</v>
      </c>
      <c r="AD14" s="29" t="n">
        <v>0</v>
      </c>
      <c r="AE14" s="29" t="n">
        <v>0</v>
      </c>
    </row>
    <row r="15" customFormat="false" ht="15" hidden="false" customHeight="false" outlineLevel="0" collapsed="false">
      <c r="A15" s="35" t="s">
        <v>1169</v>
      </c>
      <c r="B15" s="6" t="s">
        <v>59</v>
      </c>
      <c r="C15" s="6" t="s">
        <v>47</v>
      </c>
      <c r="D15" s="6" t="n">
        <v>1</v>
      </c>
      <c r="E15" s="6" t="s">
        <v>1166</v>
      </c>
      <c r="K15" s="29" t="n">
        <f aca="false">INDEX(Mitigation_Industry!K:K,MATCH($A15,Mitigation_Industry!$H:$H,0))</f>
        <v>0</v>
      </c>
      <c r="L15" s="29" t="n">
        <f aca="false">INDEX(Mitigation_Industry!L:L,MATCH($A15,Mitigation_Industry!$H:$H,0))</f>
        <v>0</v>
      </c>
      <c r="M15" s="29" t="n">
        <f aca="false">INDEX(Mitigation_Industry!M:M,MATCH($A15,Mitigation_Industry!$H:$H,0))</f>
        <v>0</v>
      </c>
      <c r="N15" s="29" t="n">
        <f aca="false">INDEX(Mitigation_Industry!N:N,MATCH($A15,Mitigation_Industry!$H:$H,0))</f>
        <v>0</v>
      </c>
      <c r="O15" s="29" t="n">
        <f aca="false">INDEX(Mitigation_Industry!O:O,MATCH($A15,Mitigation_Industry!$H:$H,0))</f>
        <v>0</v>
      </c>
      <c r="P15" s="29" t="n">
        <f aca="false">INDEX(Mitigation_Industry!P:P,MATCH($A15,Mitigation_Industry!$H:$H,0))</f>
        <v>0</v>
      </c>
      <c r="Q15" s="29" t="n">
        <f aca="false">INDEX(Mitigation_Industry!Q:Q,MATCH($A15,Mitigation_Industry!$H:$H,0))</f>
        <v>0</v>
      </c>
      <c r="R15" s="29" t="n">
        <f aca="false">INDEX(Mitigation_Industry!R:R,MATCH($A15,Mitigation_Industry!$H:$H,0))</f>
        <v>0</v>
      </c>
      <c r="S15" s="29" t="n">
        <f aca="false">INDEX(Mitigation_Industry!S:S,MATCH($A15,Mitigation_Industry!$H:$H,0))</f>
        <v>0</v>
      </c>
      <c r="T15" s="29" t="n">
        <f aca="false">INDEX(Mitigation_Industry!T:T,MATCH($A15,Mitigation_Industry!$H:$H,0))</f>
        <v>0</v>
      </c>
      <c r="U15" s="29" t="n">
        <f aca="false">INDEX(Mitigation_Industry!U:U,MATCH($A15,Mitigation_Industry!$H:$H,0))</f>
        <v>0</v>
      </c>
      <c r="V15" s="29" t="n">
        <f aca="false">INDEX(Mitigation_Industry!V:V,MATCH($A15,Mitigation_Industry!$H:$H,0))</f>
        <v>0</v>
      </c>
      <c r="W15" s="29" t="n">
        <f aca="false">INDEX(Mitigation_Industry!W:W,MATCH($A15,Mitigation_Industry!$H:$H,0))</f>
        <v>0</v>
      </c>
      <c r="X15" s="29" t="n">
        <f aca="false">INDEX(Mitigation_Industry!X:X,MATCH($A15,Mitigation_Industry!$H:$H,0))</f>
        <v>0</v>
      </c>
      <c r="Y15" s="29" t="n">
        <f aca="false">INDEX(Mitigation_Industry!Y:Y,MATCH($A15,Mitigation_Industry!$H:$H,0))</f>
        <v>0</v>
      </c>
      <c r="Z15" s="29" t="n">
        <f aca="false">INDEX(Mitigation_Industry!Z:Z,MATCH($A15,Mitigation_Industry!$H:$H,0))</f>
        <v>0</v>
      </c>
      <c r="AA15" s="29" t="n">
        <f aca="false">INDEX(Mitigation_Industry!AA:AA,MATCH($A15,Mitigation_Industry!$H:$H,0))</f>
        <v>0</v>
      </c>
      <c r="AB15" s="29" t="n">
        <f aca="false">INDEX(Mitigation_Industry!AB:AB,MATCH($A15,Mitigation_Industry!$H:$H,0))</f>
        <v>0</v>
      </c>
      <c r="AC15" s="29" t="n">
        <f aca="false">INDEX(Mitigation_Industry!AC:AC,MATCH($A15,Mitigation_Industry!$H:$H,0))</f>
        <v>0</v>
      </c>
      <c r="AD15" s="29" t="n">
        <f aca="false">INDEX(Mitigation_Industry!AD:AD,MATCH($A15,Mitigation_Industry!$H:$H,0))</f>
        <v>0</v>
      </c>
      <c r="AE15" s="29" t="n">
        <f aca="false">INDEX(Mitigation_Industry!AE:AE,MATCH($A15,Mitigation_Industry!$H:$H,0))</f>
        <v>0</v>
      </c>
    </row>
    <row r="16" customFormat="false" ht="15" hidden="false" customHeight="false" outlineLevel="0" collapsed="false">
      <c r="A16" s="35" t="s">
        <v>1169</v>
      </c>
      <c r="B16" s="6" t="s">
        <v>59</v>
      </c>
      <c r="C16" s="6" t="s">
        <v>47</v>
      </c>
      <c r="D16" s="6" t="n">
        <v>1</v>
      </c>
      <c r="E16" s="2" t="s">
        <v>1167</v>
      </c>
      <c r="F16" s="40" t="n">
        <f aca="false">MAX(MAX(L16:AE16),-MIN(L16:AE16))</f>
        <v>-0</v>
      </c>
      <c r="K16" s="41" t="n">
        <f aca="false">IF(ISNUMBER(K14),IF(ISNUMBER(K15),K15-K14,999999),0)</f>
        <v>999999</v>
      </c>
      <c r="L16" s="41" t="n">
        <f aca="false">IF(ISNUMBER(L14),IF(ISNUMBER(L15),L15-L14,999999),0)</f>
        <v>0</v>
      </c>
      <c r="M16" s="41" t="n">
        <f aca="false">IF(ISNUMBER(M14),IF(ISNUMBER(M15),M15-M14,999999),0)</f>
        <v>0</v>
      </c>
      <c r="N16" s="41" t="n">
        <f aca="false">IF(ISNUMBER(N14),IF(ISNUMBER(N15),N15-N14,999999),0)</f>
        <v>0</v>
      </c>
      <c r="O16" s="41" t="n">
        <f aca="false">IF(ISNUMBER(O14),IF(ISNUMBER(O15),O15-O14,999999),0)</f>
        <v>0</v>
      </c>
      <c r="P16" s="41" t="n">
        <f aca="false">IF(ISNUMBER(P14),IF(ISNUMBER(P15),P15-P14,999999),0)</f>
        <v>0</v>
      </c>
      <c r="Q16" s="41" t="n">
        <f aca="false">IF(ISNUMBER(Q14),IF(ISNUMBER(Q15),Q15-Q14,999999),0)</f>
        <v>0</v>
      </c>
      <c r="R16" s="41" t="n">
        <f aca="false">IF(ISNUMBER(R14),IF(ISNUMBER(R15),R15-R14,999999),0)</f>
        <v>0</v>
      </c>
      <c r="S16" s="41" t="n">
        <f aca="false">IF(ISNUMBER(S14),IF(ISNUMBER(S15),S15-S14,999999),0)</f>
        <v>0</v>
      </c>
      <c r="T16" s="41" t="n">
        <f aca="false">IF(ISNUMBER(T14),IF(ISNUMBER(T15),T15-T14,999999),0)</f>
        <v>0</v>
      </c>
      <c r="U16" s="41" t="n">
        <f aca="false">IF(ISNUMBER(U14),IF(ISNUMBER(U15),U15-U14,999999),0)</f>
        <v>0</v>
      </c>
      <c r="V16" s="41" t="n">
        <f aca="false">IF(ISNUMBER(V14),IF(ISNUMBER(V15),V15-V14,999999),0)</f>
        <v>0</v>
      </c>
      <c r="W16" s="41" t="n">
        <f aca="false">IF(ISNUMBER(W14),IF(ISNUMBER(W15),W15-W14,999999),0)</f>
        <v>0</v>
      </c>
      <c r="X16" s="41" t="n">
        <f aca="false">IF(ISNUMBER(X14),IF(ISNUMBER(X15),X15-X14,999999),0)</f>
        <v>0</v>
      </c>
      <c r="Y16" s="41" t="n">
        <f aca="false">IF(ISNUMBER(Y14),IF(ISNUMBER(Y15),Y15-Y14,999999),0)</f>
        <v>0</v>
      </c>
      <c r="Z16" s="41" t="n">
        <f aca="false">IF(ISNUMBER(Z14),IF(ISNUMBER(Z15),Z15-Z14,999999),0)</f>
        <v>0</v>
      </c>
      <c r="AA16" s="41" t="n">
        <f aca="false">IF(ISNUMBER(AA14),IF(ISNUMBER(AA15),AA15-AA14,999999),0)</f>
        <v>0</v>
      </c>
      <c r="AB16" s="41" t="n">
        <f aca="false">IF(ISNUMBER(AB14),IF(ISNUMBER(AB15),AB15-AB14,999999),0)</f>
        <v>0</v>
      </c>
      <c r="AC16" s="41" t="n">
        <f aca="false">IF(ISNUMBER(AC14),IF(ISNUMBER(AC15),AC15-AC14,999999),0)</f>
        <v>0</v>
      </c>
      <c r="AD16" s="41" t="n">
        <f aca="false">IF(ISNUMBER(AD14),IF(ISNUMBER(AD15),AD15-AD14,999999),0)</f>
        <v>0</v>
      </c>
      <c r="AE16" s="41" t="n">
        <f aca="false">IF(ISNUMBER(AE14),IF(ISNUMBER(AE15),AE15-AE14,999999),0)</f>
        <v>0</v>
      </c>
    </row>
    <row r="18" customFormat="false" ht="15" hidden="false" customHeight="false" outlineLevel="0" collapsed="false">
      <c r="A18" s="35" t="s">
        <v>1170</v>
      </c>
      <c r="B18" s="6" t="s">
        <v>62</v>
      </c>
      <c r="C18" s="6" t="s">
        <v>47</v>
      </c>
      <c r="D18" s="6" t="n">
        <v>1</v>
      </c>
      <c r="E18" s="6" t="s">
        <v>1165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0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0</v>
      </c>
      <c r="AA18" s="29" t="n">
        <v>0</v>
      </c>
      <c r="AB18" s="29" t="n">
        <v>0</v>
      </c>
      <c r="AC18" s="29" t="n">
        <v>0</v>
      </c>
      <c r="AD18" s="29" t="n">
        <v>0</v>
      </c>
      <c r="AE18" s="29" t="n">
        <v>0</v>
      </c>
    </row>
    <row r="19" customFormat="false" ht="15" hidden="false" customHeight="false" outlineLevel="0" collapsed="false">
      <c r="A19" s="35" t="s">
        <v>1170</v>
      </c>
      <c r="B19" s="6" t="s">
        <v>62</v>
      </c>
      <c r="C19" s="6" t="s">
        <v>47</v>
      </c>
      <c r="D19" s="6" t="n">
        <v>1</v>
      </c>
      <c r="E19" s="6" t="s">
        <v>1166</v>
      </c>
      <c r="K19" s="29" t="n">
        <f aca="false">INDEX(Mitigation_Industry!K:K,MATCH($A19,Mitigation_Industry!$H:$H,0))</f>
        <v>0</v>
      </c>
      <c r="L19" s="29" t="n">
        <f aca="false">INDEX(Mitigation_Industry!L:L,MATCH($A19,Mitigation_Industry!$H:$H,0))</f>
        <v>0</v>
      </c>
      <c r="M19" s="29" t="n">
        <f aca="false">INDEX(Mitigation_Industry!M:M,MATCH($A19,Mitigation_Industry!$H:$H,0))</f>
        <v>0</v>
      </c>
      <c r="N19" s="29" t="n">
        <f aca="false">INDEX(Mitigation_Industry!N:N,MATCH($A19,Mitigation_Industry!$H:$H,0))</f>
        <v>0</v>
      </c>
      <c r="O19" s="29" t="n">
        <f aca="false">INDEX(Mitigation_Industry!O:O,MATCH($A19,Mitigation_Industry!$H:$H,0))</f>
        <v>0</v>
      </c>
      <c r="P19" s="29" t="n">
        <f aca="false">INDEX(Mitigation_Industry!P:P,MATCH($A19,Mitigation_Industry!$H:$H,0))</f>
        <v>0</v>
      </c>
      <c r="Q19" s="29" t="n">
        <f aca="false">INDEX(Mitigation_Industry!Q:Q,MATCH($A19,Mitigation_Industry!$H:$H,0))</f>
        <v>0</v>
      </c>
      <c r="R19" s="29" t="n">
        <f aca="false">INDEX(Mitigation_Industry!R:R,MATCH($A19,Mitigation_Industry!$H:$H,0))</f>
        <v>0</v>
      </c>
      <c r="S19" s="29" t="n">
        <f aca="false">INDEX(Mitigation_Industry!S:S,MATCH($A19,Mitigation_Industry!$H:$H,0))</f>
        <v>0</v>
      </c>
      <c r="T19" s="29" t="n">
        <f aca="false">INDEX(Mitigation_Industry!T:T,MATCH($A19,Mitigation_Industry!$H:$H,0))</f>
        <v>0</v>
      </c>
      <c r="U19" s="29" t="n">
        <f aca="false">INDEX(Mitigation_Industry!U:U,MATCH($A19,Mitigation_Industry!$H:$H,0))</f>
        <v>0</v>
      </c>
      <c r="V19" s="29" t="n">
        <f aca="false">INDEX(Mitigation_Industry!V:V,MATCH($A19,Mitigation_Industry!$H:$H,0))</f>
        <v>0</v>
      </c>
      <c r="W19" s="29" t="n">
        <f aca="false">INDEX(Mitigation_Industry!W:W,MATCH($A19,Mitigation_Industry!$H:$H,0))</f>
        <v>0</v>
      </c>
      <c r="X19" s="29" t="n">
        <f aca="false">INDEX(Mitigation_Industry!X:X,MATCH($A19,Mitigation_Industry!$H:$H,0))</f>
        <v>0</v>
      </c>
      <c r="Y19" s="29" t="n">
        <f aca="false">INDEX(Mitigation_Industry!Y:Y,MATCH($A19,Mitigation_Industry!$H:$H,0))</f>
        <v>0</v>
      </c>
      <c r="Z19" s="29" t="n">
        <f aca="false">INDEX(Mitigation_Industry!Z:Z,MATCH($A19,Mitigation_Industry!$H:$H,0))</f>
        <v>0</v>
      </c>
      <c r="AA19" s="29" t="n">
        <f aca="false">INDEX(Mitigation_Industry!AA:AA,MATCH($A19,Mitigation_Industry!$H:$H,0))</f>
        <v>0</v>
      </c>
      <c r="AB19" s="29" t="n">
        <f aca="false">INDEX(Mitigation_Industry!AB:AB,MATCH($A19,Mitigation_Industry!$H:$H,0))</f>
        <v>0</v>
      </c>
      <c r="AC19" s="29" t="n">
        <f aca="false">INDEX(Mitigation_Industry!AC:AC,MATCH($A19,Mitigation_Industry!$H:$H,0))</f>
        <v>0</v>
      </c>
      <c r="AD19" s="29" t="n">
        <f aca="false">INDEX(Mitigation_Industry!AD:AD,MATCH($A19,Mitigation_Industry!$H:$H,0))</f>
        <v>0</v>
      </c>
      <c r="AE19" s="29" t="n">
        <f aca="false">INDEX(Mitigation_Industry!AE:AE,MATCH($A19,Mitigation_Industry!$H:$H,0))</f>
        <v>0</v>
      </c>
    </row>
    <row r="20" customFormat="false" ht="15" hidden="false" customHeight="false" outlineLevel="0" collapsed="false">
      <c r="A20" s="35" t="s">
        <v>1170</v>
      </c>
      <c r="B20" s="6" t="s">
        <v>62</v>
      </c>
      <c r="C20" s="6" t="s">
        <v>47</v>
      </c>
      <c r="D20" s="6" t="n">
        <v>1</v>
      </c>
      <c r="E20" s="2" t="s">
        <v>1167</v>
      </c>
      <c r="F20" s="40" t="n">
        <f aca="false">MAX(MAX(L20:AE20),-MIN(L20:AE20))</f>
        <v>-0</v>
      </c>
      <c r="K20" s="41" t="n">
        <f aca="false">IF(ISNUMBER(K18),IF(ISNUMBER(K19),K19-K18,999999),0)</f>
        <v>999999</v>
      </c>
      <c r="L20" s="41" t="n">
        <f aca="false">IF(ISNUMBER(L18),IF(ISNUMBER(L19),L19-L18,999999),0)</f>
        <v>0</v>
      </c>
      <c r="M20" s="41" t="n">
        <f aca="false">IF(ISNUMBER(M18),IF(ISNUMBER(M19),M19-M18,999999),0)</f>
        <v>0</v>
      </c>
      <c r="N20" s="41" t="n">
        <f aca="false">IF(ISNUMBER(N18),IF(ISNUMBER(N19),N19-N18,999999),0)</f>
        <v>0</v>
      </c>
      <c r="O20" s="41" t="n">
        <f aca="false">IF(ISNUMBER(O18),IF(ISNUMBER(O19),O19-O18,999999),0)</f>
        <v>0</v>
      </c>
      <c r="P20" s="41" t="n">
        <f aca="false">IF(ISNUMBER(P18),IF(ISNUMBER(P19),P19-P18,999999),0)</f>
        <v>0</v>
      </c>
      <c r="Q20" s="41" t="n">
        <f aca="false">IF(ISNUMBER(Q18),IF(ISNUMBER(Q19),Q19-Q18,999999),0)</f>
        <v>0</v>
      </c>
      <c r="R20" s="41" t="n">
        <f aca="false">IF(ISNUMBER(R18),IF(ISNUMBER(R19),R19-R18,999999),0)</f>
        <v>0</v>
      </c>
      <c r="S20" s="41" t="n">
        <f aca="false">IF(ISNUMBER(S18),IF(ISNUMBER(S19),S19-S18,999999),0)</f>
        <v>0</v>
      </c>
      <c r="T20" s="41" t="n">
        <f aca="false">IF(ISNUMBER(T18),IF(ISNUMBER(T19),T19-T18,999999),0)</f>
        <v>0</v>
      </c>
      <c r="U20" s="41" t="n">
        <f aca="false">IF(ISNUMBER(U18),IF(ISNUMBER(U19),U19-U18,999999),0)</f>
        <v>0</v>
      </c>
      <c r="V20" s="41" t="n">
        <f aca="false">IF(ISNUMBER(V18),IF(ISNUMBER(V19),V19-V18,999999),0)</f>
        <v>0</v>
      </c>
      <c r="W20" s="41" t="n">
        <f aca="false">IF(ISNUMBER(W18),IF(ISNUMBER(W19),W19-W18,999999),0)</f>
        <v>0</v>
      </c>
      <c r="X20" s="41" t="n">
        <f aca="false">IF(ISNUMBER(X18),IF(ISNUMBER(X19),X19-X18,999999),0)</f>
        <v>0</v>
      </c>
      <c r="Y20" s="41" t="n">
        <f aca="false">IF(ISNUMBER(Y18),IF(ISNUMBER(Y19),Y19-Y18,999999),0)</f>
        <v>0</v>
      </c>
      <c r="Z20" s="41" t="n">
        <f aca="false">IF(ISNUMBER(Z18),IF(ISNUMBER(Z19),Z19-Z18,999999),0)</f>
        <v>0</v>
      </c>
      <c r="AA20" s="41" t="n">
        <f aca="false">IF(ISNUMBER(AA18),IF(ISNUMBER(AA19),AA19-AA18,999999),0)</f>
        <v>0</v>
      </c>
      <c r="AB20" s="41" t="n">
        <f aca="false">IF(ISNUMBER(AB18),IF(ISNUMBER(AB19),AB19-AB18,999999),0)</f>
        <v>0</v>
      </c>
      <c r="AC20" s="41" t="n">
        <f aca="false">IF(ISNUMBER(AC18),IF(ISNUMBER(AC19),AC19-AC18,999999),0)</f>
        <v>0</v>
      </c>
      <c r="AD20" s="41" t="n">
        <f aca="false">IF(ISNUMBER(AD18),IF(ISNUMBER(AD19),AD19-AD18,999999),0)</f>
        <v>0</v>
      </c>
      <c r="AE20" s="41" t="n">
        <f aca="false">IF(ISNUMBER(AE18),IF(ISNUMBER(AE19),AE19-AE18,999999),0)</f>
        <v>0</v>
      </c>
    </row>
    <row r="22" customFormat="false" ht="15" hidden="false" customHeight="false" outlineLevel="0" collapsed="false">
      <c r="A22" s="35" t="s">
        <v>1171</v>
      </c>
      <c r="B22" s="6" t="s">
        <v>64</v>
      </c>
      <c r="C22" s="6" t="s">
        <v>47</v>
      </c>
      <c r="D22" s="6" t="n">
        <v>1</v>
      </c>
      <c r="E22" s="6" t="s">
        <v>1165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0</v>
      </c>
      <c r="V22" s="29" t="n">
        <v>0</v>
      </c>
      <c r="W22" s="29" t="n">
        <v>0</v>
      </c>
      <c r="X22" s="29" t="n">
        <v>0</v>
      </c>
      <c r="Y22" s="29" t="n">
        <v>0</v>
      </c>
      <c r="Z22" s="29" t="n">
        <v>0</v>
      </c>
      <c r="AA22" s="29" t="n">
        <v>0</v>
      </c>
      <c r="AB22" s="29" t="n">
        <v>0</v>
      </c>
      <c r="AC22" s="29" t="n">
        <v>0</v>
      </c>
      <c r="AD22" s="29" t="n">
        <v>0</v>
      </c>
      <c r="AE22" s="29" t="n">
        <v>0</v>
      </c>
    </row>
    <row r="23" customFormat="false" ht="15" hidden="false" customHeight="false" outlineLevel="0" collapsed="false">
      <c r="A23" s="35" t="s">
        <v>1171</v>
      </c>
      <c r="B23" s="6" t="s">
        <v>64</v>
      </c>
      <c r="C23" s="6" t="s">
        <v>47</v>
      </c>
      <c r="D23" s="6" t="n">
        <v>1</v>
      </c>
      <c r="E23" s="6" t="s">
        <v>1166</v>
      </c>
      <c r="K23" s="29" t="n">
        <f aca="false">INDEX(Mitigation_Industry!K:K,MATCH($A23,Mitigation_Industry!$H:$H,0))</f>
        <v>0</v>
      </c>
      <c r="L23" s="29" t="n">
        <f aca="false">INDEX(Mitigation_Industry!L:L,MATCH($A23,Mitigation_Industry!$H:$H,0))</f>
        <v>0</v>
      </c>
      <c r="M23" s="29" t="n">
        <f aca="false">INDEX(Mitigation_Industry!M:M,MATCH($A23,Mitigation_Industry!$H:$H,0))</f>
        <v>0</v>
      </c>
      <c r="N23" s="29" t="n">
        <f aca="false">INDEX(Mitigation_Industry!N:N,MATCH($A23,Mitigation_Industry!$H:$H,0))</f>
        <v>0</v>
      </c>
      <c r="O23" s="29" t="n">
        <f aca="false">INDEX(Mitigation_Industry!O:O,MATCH($A23,Mitigation_Industry!$H:$H,0))</f>
        <v>0</v>
      </c>
      <c r="P23" s="29" t="n">
        <f aca="false">INDEX(Mitigation_Industry!P:P,MATCH($A23,Mitigation_Industry!$H:$H,0))</f>
        <v>0</v>
      </c>
      <c r="Q23" s="29" t="n">
        <f aca="false">INDEX(Mitigation_Industry!Q:Q,MATCH($A23,Mitigation_Industry!$H:$H,0))</f>
        <v>0</v>
      </c>
      <c r="R23" s="29" t="n">
        <f aca="false">INDEX(Mitigation_Industry!R:R,MATCH($A23,Mitigation_Industry!$H:$H,0))</f>
        <v>0</v>
      </c>
      <c r="S23" s="29" t="n">
        <f aca="false">INDEX(Mitigation_Industry!S:S,MATCH($A23,Mitigation_Industry!$H:$H,0))</f>
        <v>0</v>
      </c>
      <c r="T23" s="29" t="n">
        <f aca="false">INDEX(Mitigation_Industry!T:T,MATCH($A23,Mitigation_Industry!$H:$H,0))</f>
        <v>0</v>
      </c>
      <c r="U23" s="29" t="n">
        <f aca="false">INDEX(Mitigation_Industry!U:U,MATCH($A23,Mitigation_Industry!$H:$H,0))</f>
        <v>0</v>
      </c>
      <c r="V23" s="29" t="n">
        <f aca="false">INDEX(Mitigation_Industry!V:V,MATCH($A23,Mitigation_Industry!$H:$H,0))</f>
        <v>0</v>
      </c>
      <c r="W23" s="29" t="n">
        <f aca="false">INDEX(Mitigation_Industry!W:W,MATCH($A23,Mitigation_Industry!$H:$H,0))</f>
        <v>0</v>
      </c>
      <c r="X23" s="29" t="n">
        <f aca="false">INDEX(Mitigation_Industry!X:X,MATCH($A23,Mitigation_Industry!$H:$H,0))</f>
        <v>0</v>
      </c>
      <c r="Y23" s="29" t="n">
        <f aca="false">INDEX(Mitigation_Industry!Y:Y,MATCH($A23,Mitigation_Industry!$H:$H,0))</f>
        <v>0</v>
      </c>
      <c r="Z23" s="29" t="n">
        <f aca="false">INDEX(Mitigation_Industry!Z:Z,MATCH($A23,Mitigation_Industry!$H:$H,0))</f>
        <v>0</v>
      </c>
      <c r="AA23" s="29" t="n">
        <f aca="false">INDEX(Mitigation_Industry!AA:AA,MATCH($A23,Mitigation_Industry!$H:$H,0))</f>
        <v>0</v>
      </c>
      <c r="AB23" s="29" t="n">
        <f aca="false">INDEX(Mitigation_Industry!AB:AB,MATCH($A23,Mitigation_Industry!$H:$H,0))</f>
        <v>0</v>
      </c>
      <c r="AC23" s="29" t="n">
        <f aca="false">INDEX(Mitigation_Industry!AC:AC,MATCH($A23,Mitigation_Industry!$H:$H,0))</f>
        <v>0</v>
      </c>
      <c r="AD23" s="29" t="n">
        <f aca="false">INDEX(Mitigation_Industry!AD:AD,MATCH($A23,Mitigation_Industry!$H:$H,0))</f>
        <v>0</v>
      </c>
      <c r="AE23" s="29" t="n">
        <f aca="false">INDEX(Mitigation_Industry!AE:AE,MATCH($A23,Mitigation_Industry!$H:$H,0))</f>
        <v>0</v>
      </c>
    </row>
    <row r="24" customFormat="false" ht="15" hidden="false" customHeight="false" outlineLevel="0" collapsed="false">
      <c r="A24" s="35" t="s">
        <v>1171</v>
      </c>
      <c r="B24" s="6" t="s">
        <v>64</v>
      </c>
      <c r="C24" s="6" t="s">
        <v>47</v>
      </c>
      <c r="D24" s="6" t="n">
        <v>1</v>
      </c>
      <c r="E24" s="2" t="s">
        <v>1167</v>
      </c>
      <c r="F24" s="40" t="n">
        <f aca="false">MAX(MAX(L24:AE24),-MIN(L24:AE24))</f>
        <v>-0</v>
      </c>
      <c r="K24" s="41" t="n">
        <f aca="false">IF(ISNUMBER(K22),IF(ISNUMBER(K23),K23-K22,999999),0)</f>
        <v>999999</v>
      </c>
      <c r="L24" s="41" t="n">
        <f aca="false">IF(ISNUMBER(L22),IF(ISNUMBER(L23),L23-L22,999999),0)</f>
        <v>0</v>
      </c>
      <c r="M24" s="41" t="n">
        <f aca="false">IF(ISNUMBER(M22),IF(ISNUMBER(M23),M23-M22,999999),0)</f>
        <v>0</v>
      </c>
      <c r="N24" s="41" t="n">
        <f aca="false">IF(ISNUMBER(N22),IF(ISNUMBER(N23),N23-N22,999999),0)</f>
        <v>0</v>
      </c>
      <c r="O24" s="41" t="n">
        <f aca="false">IF(ISNUMBER(O22),IF(ISNUMBER(O23),O23-O22,999999),0)</f>
        <v>0</v>
      </c>
      <c r="P24" s="41" t="n">
        <f aca="false">IF(ISNUMBER(P22),IF(ISNUMBER(P23),P23-P22,999999),0)</f>
        <v>0</v>
      </c>
      <c r="Q24" s="41" t="n">
        <f aca="false">IF(ISNUMBER(Q22),IF(ISNUMBER(Q23),Q23-Q22,999999),0)</f>
        <v>0</v>
      </c>
      <c r="R24" s="41" t="n">
        <f aca="false">IF(ISNUMBER(R22),IF(ISNUMBER(R23),R23-R22,999999),0)</f>
        <v>0</v>
      </c>
      <c r="S24" s="41" t="n">
        <f aca="false">IF(ISNUMBER(S22),IF(ISNUMBER(S23),S23-S22,999999),0)</f>
        <v>0</v>
      </c>
      <c r="T24" s="41" t="n">
        <f aca="false">IF(ISNUMBER(T22),IF(ISNUMBER(T23),T23-T22,999999),0)</f>
        <v>0</v>
      </c>
      <c r="U24" s="41" t="n">
        <f aca="false">IF(ISNUMBER(U22),IF(ISNUMBER(U23),U23-U22,999999),0)</f>
        <v>0</v>
      </c>
      <c r="V24" s="41" t="n">
        <f aca="false">IF(ISNUMBER(V22),IF(ISNUMBER(V23),V23-V22,999999),0)</f>
        <v>0</v>
      </c>
      <c r="W24" s="41" t="n">
        <f aca="false">IF(ISNUMBER(W22),IF(ISNUMBER(W23),W23-W22,999999),0)</f>
        <v>0</v>
      </c>
      <c r="X24" s="41" t="n">
        <f aca="false">IF(ISNUMBER(X22),IF(ISNUMBER(X23),X23-X22,999999),0)</f>
        <v>0</v>
      </c>
      <c r="Y24" s="41" t="n">
        <f aca="false">IF(ISNUMBER(Y22),IF(ISNUMBER(Y23),Y23-Y22,999999),0)</f>
        <v>0</v>
      </c>
      <c r="Z24" s="41" t="n">
        <f aca="false">IF(ISNUMBER(Z22),IF(ISNUMBER(Z23),Z23-Z22,999999),0)</f>
        <v>0</v>
      </c>
      <c r="AA24" s="41" t="n">
        <f aca="false">IF(ISNUMBER(AA22),IF(ISNUMBER(AA23),AA23-AA22,999999),0)</f>
        <v>0</v>
      </c>
      <c r="AB24" s="41" t="n">
        <f aca="false">IF(ISNUMBER(AB22),IF(ISNUMBER(AB23),AB23-AB22,999999),0)</f>
        <v>0</v>
      </c>
      <c r="AC24" s="41" t="n">
        <f aca="false">IF(ISNUMBER(AC22),IF(ISNUMBER(AC23),AC23-AC22,999999),0)</f>
        <v>0</v>
      </c>
      <c r="AD24" s="41" t="n">
        <f aca="false">IF(ISNUMBER(AD22),IF(ISNUMBER(AD23),AD23-AD22,999999),0)</f>
        <v>0</v>
      </c>
      <c r="AE24" s="41" t="n">
        <f aca="false">IF(ISNUMBER(AE22),IF(ISNUMBER(AE23),AE23-AE22,999999),0)</f>
        <v>0</v>
      </c>
    </row>
    <row r="26" customFormat="false" ht="15" hidden="false" customHeight="false" outlineLevel="0" collapsed="false">
      <c r="A26" s="35" t="s">
        <v>1172</v>
      </c>
      <c r="B26" s="6" t="s">
        <v>66</v>
      </c>
      <c r="C26" s="6" t="s">
        <v>47</v>
      </c>
      <c r="D26" s="6" t="n">
        <v>1</v>
      </c>
      <c r="E26" s="6" t="s">
        <v>1165</v>
      </c>
      <c r="K26" s="29" t="n">
        <v>0</v>
      </c>
      <c r="L26" s="29" t="n">
        <v>0</v>
      </c>
      <c r="M26" s="29" t="n">
        <v>0</v>
      </c>
      <c r="N26" s="29" t="n">
        <v>0</v>
      </c>
      <c r="O26" s="29" t="n">
        <v>0</v>
      </c>
      <c r="P26" s="29" t="n">
        <v>0</v>
      </c>
      <c r="Q26" s="29" t="n">
        <v>0</v>
      </c>
      <c r="R26" s="29" t="n">
        <v>0</v>
      </c>
      <c r="S26" s="29" t="n">
        <v>0</v>
      </c>
      <c r="T26" s="29" t="n">
        <v>0</v>
      </c>
      <c r="U26" s="29" t="n">
        <v>0</v>
      </c>
      <c r="V26" s="29" t="n">
        <v>0</v>
      </c>
      <c r="W26" s="29" t="n">
        <v>0</v>
      </c>
      <c r="X26" s="29" t="n">
        <v>0</v>
      </c>
      <c r="Y26" s="29" t="n">
        <v>0</v>
      </c>
      <c r="Z26" s="29" t="n">
        <v>0</v>
      </c>
      <c r="AA26" s="29" t="n">
        <v>0</v>
      </c>
      <c r="AB26" s="29" t="n">
        <v>0</v>
      </c>
      <c r="AC26" s="29" t="n">
        <v>0</v>
      </c>
      <c r="AD26" s="29" t="n">
        <v>0</v>
      </c>
      <c r="AE26" s="29" t="n">
        <v>0</v>
      </c>
    </row>
    <row r="27" customFormat="false" ht="15" hidden="false" customHeight="false" outlineLevel="0" collapsed="false">
      <c r="A27" s="35" t="s">
        <v>1172</v>
      </c>
      <c r="B27" s="6" t="s">
        <v>66</v>
      </c>
      <c r="C27" s="6" t="s">
        <v>47</v>
      </c>
      <c r="D27" s="6" t="n">
        <v>1</v>
      </c>
      <c r="E27" s="6" t="s">
        <v>1166</v>
      </c>
      <c r="K27" s="29" t="n">
        <f aca="false">INDEX(Mitigation_Industry!K:K,MATCH($A27,Mitigation_Industry!$H:$H,0))</f>
        <v>0</v>
      </c>
      <c r="L27" s="29" t="n">
        <f aca="false">INDEX(Mitigation_Industry!L:L,MATCH($A27,Mitigation_Industry!$H:$H,0))</f>
        <v>0</v>
      </c>
      <c r="M27" s="29" t="n">
        <f aca="false">INDEX(Mitigation_Industry!M:M,MATCH($A27,Mitigation_Industry!$H:$H,0))</f>
        <v>0</v>
      </c>
      <c r="N27" s="29" t="n">
        <f aca="false">INDEX(Mitigation_Industry!N:N,MATCH($A27,Mitigation_Industry!$H:$H,0))</f>
        <v>0</v>
      </c>
      <c r="O27" s="29" t="n">
        <f aca="false">INDEX(Mitigation_Industry!O:O,MATCH($A27,Mitigation_Industry!$H:$H,0))</f>
        <v>0</v>
      </c>
      <c r="P27" s="29" t="n">
        <f aca="false">INDEX(Mitigation_Industry!P:P,MATCH($A27,Mitigation_Industry!$H:$H,0))</f>
        <v>0</v>
      </c>
      <c r="Q27" s="29" t="n">
        <f aca="false">INDEX(Mitigation_Industry!Q:Q,MATCH($A27,Mitigation_Industry!$H:$H,0))</f>
        <v>0</v>
      </c>
      <c r="R27" s="29" t="n">
        <f aca="false">INDEX(Mitigation_Industry!R:R,MATCH($A27,Mitigation_Industry!$H:$H,0))</f>
        <v>0</v>
      </c>
      <c r="S27" s="29" t="n">
        <f aca="false">INDEX(Mitigation_Industry!S:S,MATCH($A27,Mitigation_Industry!$H:$H,0))</f>
        <v>0</v>
      </c>
      <c r="T27" s="29" t="n">
        <f aca="false">INDEX(Mitigation_Industry!T:T,MATCH($A27,Mitigation_Industry!$H:$H,0))</f>
        <v>0</v>
      </c>
      <c r="U27" s="29" t="n">
        <f aca="false">INDEX(Mitigation_Industry!U:U,MATCH($A27,Mitigation_Industry!$H:$H,0))</f>
        <v>0</v>
      </c>
      <c r="V27" s="29" t="n">
        <f aca="false">INDEX(Mitigation_Industry!V:V,MATCH($A27,Mitigation_Industry!$H:$H,0))</f>
        <v>0</v>
      </c>
      <c r="W27" s="29" t="n">
        <f aca="false">INDEX(Mitigation_Industry!W:W,MATCH($A27,Mitigation_Industry!$H:$H,0))</f>
        <v>0</v>
      </c>
      <c r="X27" s="29" t="n">
        <f aca="false">INDEX(Mitigation_Industry!X:X,MATCH($A27,Mitigation_Industry!$H:$H,0))</f>
        <v>0</v>
      </c>
      <c r="Y27" s="29" t="n">
        <f aca="false">INDEX(Mitigation_Industry!Y:Y,MATCH($A27,Mitigation_Industry!$H:$H,0))</f>
        <v>0</v>
      </c>
      <c r="Z27" s="29" t="n">
        <f aca="false">INDEX(Mitigation_Industry!Z:Z,MATCH($A27,Mitigation_Industry!$H:$H,0))</f>
        <v>0</v>
      </c>
      <c r="AA27" s="29" t="n">
        <f aca="false">INDEX(Mitigation_Industry!AA:AA,MATCH($A27,Mitigation_Industry!$H:$H,0))</f>
        <v>0</v>
      </c>
      <c r="AB27" s="29" t="n">
        <f aca="false">INDEX(Mitigation_Industry!AB:AB,MATCH($A27,Mitigation_Industry!$H:$H,0))</f>
        <v>0</v>
      </c>
      <c r="AC27" s="29" t="n">
        <f aca="false">INDEX(Mitigation_Industry!AC:AC,MATCH($A27,Mitigation_Industry!$H:$H,0))</f>
        <v>0</v>
      </c>
      <c r="AD27" s="29" t="n">
        <f aca="false">INDEX(Mitigation_Industry!AD:AD,MATCH($A27,Mitigation_Industry!$H:$H,0))</f>
        <v>0</v>
      </c>
      <c r="AE27" s="29" t="n">
        <f aca="false">INDEX(Mitigation_Industry!AE:AE,MATCH($A27,Mitigation_Industry!$H:$H,0))</f>
        <v>0</v>
      </c>
    </row>
    <row r="28" customFormat="false" ht="15" hidden="false" customHeight="false" outlineLevel="0" collapsed="false">
      <c r="A28" s="35" t="s">
        <v>1172</v>
      </c>
      <c r="B28" s="6" t="s">
        <v>66</v>
      </c>
      <c r="C28" s="6" t="s">
        <v>47</v>
      </c>
      <c r="D28" s="6" t="n">
        <v>1</v>
      </c>
      <c r="E28" s="2" t="s">
        <v>1167</v>
      </c>
      <c r="F28" s="40" t="n">
        <f aca="false">MAX(MAX(L28:AE28),-MIN(L28:AE28))</f>
        <v>-0</v>
      </c>
      <c r="K28" s="41" t="n">
        <f aca="false">IF(ISNUMBER(K26),IF(ISNUMBER(K27),K27-K26,999999),0)</f>
        <v>999999</v>
      </c>
      <c r="L28" s="41" t="n">
        <f aca="false">IF(ISNUMBER(L26),IF(ISNUMBER(L27),L27-L26,999999),0)</f>
        <v>0</v>
      </c>
      <c r="M28" s="41" t="n">
        <f aca="false">IF(ISNUMBER(M26),IF(ISNUMBER(M27),M27-M26,999999),0)</f>
        <v>0</v>
      </c>
      <c r="N28" s="41" t="n">
        <f aca="false">IF(ISNUMBER(N26),IF(ISNUMBER(N27),N27-N26,999999),0)</f>
        <v>0</v>
      </c>
      <c r="O28" s="41" t="n">
        <f aca="false">IF(ISNUMBER(O26),IF(ISNUMBER(O27),O27-O26,999999),0)</f>
        <v>0</v>
      </c>
      <c r="P28" s="41" t="n">
        <f aca="false">IF(ISNUMBER(P26),IF(ISNUMBER(P27),P27-P26,999999),0)</f>
        <v>0</v>
      </c>
      <c r="Q28" s="41" t="n">
        <f aca="false">IF(ISNUMBER(Q26),IF(ISNUMBER(Q27),Q27-Q26,999999),0)</f>
        <v>0</v>
      </c>
      <c r="R28" s="41" t="n">
        <f aca="false">IF(ISNUMBER(R26),IF(ISNUMBER(R27),R27-R26,999999),0)</f>
        <v>0</v>
      </c>
      <c r="S28" s="41" t="n">
        <f aca="false">IF(ISNUMBER(S26),IF(ISNUMBER(S27),S27-S26,999999),0)</f>
        <v>0</v>
      </c>
      <c r="T28" s="41" t="n">
        <f aca="false">IF(ISNUMBER(T26),IF(ISNUMBER(T27),T27-T26,999999),0)</f>
        <v>0</v>
      </c>
      <c r="U28" s="41" t="n">
        <f aca="false">IF(ISNUMBER(U26),IF(ISNUMBER(U27),U27-U26,999999),0)</f>
        <v>0</v>
      </c>
      <c r="V28" s="41" t="n">
        <f aca="false">IF(ISNUMBER(V26),IF(ISNUMBER(V27),V27-V26,999999),0)</f>
        <v>0</v>
      </c>
      <c r="W28" s="41" t="n">
        <f aca="false">IF(ISNUMBER(W26),IF(ISNUMBER(W27),W27-W26,999999),0)</f>
        <v>0</v>
      </c>
      <c r="X28" s="41" t="n">
        <f aca="false">IF(ISNUMBER(X26),IF(ISNUMBER(X27),X27-X26,999999),0)</f>
        <v>0</v>
      </c>
      <c r="Y28" s="41" t="n">
        <f aca="false">IF(ISNUMBER(Y26),IF(ISNUMBER(Y27),Y27-Y26,999999),0)</f>
        <v>0</v>
      </c>
      <c r="Z28" s="41" t="n">
        <f aca="false">IF(ISNUMBER(Z26),IF(ISNUMBER(Z27),Z27-Z26,999999),0)</f>
        <v>0</v>
      </c>
      <c r="AA28" s="41" t="n">
        <f aca="false">IF(ISNUMBER(AA26),IF(ISNUMBER(AA27),AA27-AA26,999999),0)</f>
        <v>0</v>
      </c>
      <c r="AB28" s="41" t="n">
        <f aca="false">IF(ISNUMBER(AB26),IF(ISNUMBER(AB27),AB27-AB26,999999),0)</f>
        <v>0</v>
      </c>
      <c r="AC28" s="41" t="n">
        <f aca="false">IF(ISNUMBER(AC26),IF(ISNUMBER(AC27),AC27-AC26,999999),0)</f>
        <v>0</v>
      </c>
      <c r="AD28" s="41" t="n">
        <f aca="false">IF(ISNUMBER(AD26),IF(ISNUMBER(AD27),AD27-AD26,999999),0)</f>
        <v>0</v>
      </c>
      <c r="AE28" s="41" t="n">
        <f aca="false">IF(ISNUMBER(AE26),IF(ISNUMBER(AE27),AE27-AE26,999999),0)</f>
        <v>0</v>
      </c>
    </row>
    <row r="30" customFormat="false" ht="15" hidden="false" customHeight="false" outlineLevel="0" collapsed="false">
      <c r="A30" s="35" t="s">
        <v>1173</v>
      </c>
      <c r="B30" s="6" t="s">
        <v>68</v>
      </c>
      <c r="C30" s="6" t="s">
        <v>47</v>
      </c>
      <c r="D30" s="6" t="n">
        <v>1</v>
      </c>
      <c r="E30" s="6" t="s">
        <v>1165</v>
      </c>
      <c r="K30" s="29" t="n">
        <v>0</v>
      </c>
      <c r="L30" s="29" t="n">
        <v>0</v>
      </c>
      <c r="M30" s="29" t="n">
        <v>0</v>
      </c>
      <c r="N30" s="29" t="n">
        <v>0</v>
      </c>
      <c r="O30" s="29" t="n">
        <v>0</v>
      </c>
      <c r="P30" s="29" t="n">
        <v>0</v>
      </c>
      <c r="Q30" s="29" t="n">
        <v>0</v>
      </c>
      <c r="R30" s="29" t="n">
        <v>0</v>
      </c>
      <c r="S30" s="29" t="n">
        <v>0</v>
      </c>
      <c r="T30" s="29" t="n">
        <v>0</v>
      </c>
      <c r="U30" s="29" t="n">
        <v>0</v>
      </c>
      <c r="V30" s="29" t="n">
        <v>0</v>
      </c>
      <c r="W30" s="29" t="n">
        <v>0</v>
      </c>
      <c r="X30" s="29" t="n">
        <v>0</v>
      </c>
      <c r="Y30" s="29" t="n">
        <v>0</v>
      </c>
      <c r="Z30" s="29" t="n">
        <v>0</v>
      </c>
      <c r="AA30" s="29" t="n">
        <v>0</v>
      </c>
      <c r="AB30" s="29" t="n">
        <v>0</v>
      </c>
      <c r="AC30" s="29" t="n">
        <v>0</v>
      </c>
      <c r="AD30" s="29" t="n">
        <v>0</v>
      </c>
      <c r="AE30" s="29" t="n">
        <v>0</v>
      </c>
    </row>
    <row r="31" customFormat="false" ht="15" hidden="false" customHeight="false" outlineLevel="0" collapsed="false">
      <c r="A31" s="35" t="s">
        <v>1173</v>
      </c>
      <c r="B31" s="6" t="s">
        <v>68</v>
      </c>
      <c r="C31" s="6" t="s">
        <v>47</v>
      </c>
      <c r="D31" s="6" t="n">
        <v>1</v>
      </c>
      <c r="E31" s="6" t="s">
        <v>1166</v>
      </c>
      <c r="K31" s="29" t="n">
        <f aca="false">INDEX(Mitigation_Industry!K:K,MATCH($A31,Mitigation_Industry!$H:$H,0))</f>
        <v>0</v>
      </c>
      <c r="L31" s="29" t="n">
        <f aca="false">INDEX(Mitigation_Industry!L:L,MATCH($A31,Mitigation_Industry!$H:$H,0))</f>
        <v>0</v>
      </c>
      <c r="M31" s="29" t="n">
        <f aca="false">INDEX(Mitigation_Industry!M:M,MATCH($A31,Mitigation_Industry!$H:$H,0))</f>
        <v>0</v>
      </c>
      <c r="N31" s="29" t="n">
        <f aca="false">INDEX(Mitigation_Industry!N:N,MATCH($A31,Mitigation_Industry!$H:$H,0))</f>
        <v>0</v>
      </c>
      <c r="O31" s="29" t="n">
        <f aca="false">INDEX(Mitigation_Industry!O:O,MATCH($A31,Mitigation_Industry!$H:$H,0))</f>
        <v>0</v>
      </c>
      <c r="P31" s="29" t="n">
        <f aca="false">INDEX(Mitigation_Industry!P:P,MATCH($A31,Mitigation_Industry!$H:$H,0))</f>
        <v>0</v>
      </c>
      <c r="Q31" s="29" t="n">
        <f aca="false">INDEX(Mitigation_Industry!Q:Q,MATCH($A31,Mitigation_Industry!$H:$H,0))</f>
        <v>0</v>
      </c>
      <c r="R31" s="29" t="n">
        <f aca="false">INDEX(Mitigation_Industry!R:R,MATCH($A31,Mitigation_Industry!$H:$H,0))</f>
        <v>0</v>
      </c>
      <c r="S31" s="29" t="n">
        <f aca="false">INDEX(Mitigation_Industry!S:S,MATCH($A31,Mitigation_Industry!$H:$H,0))</f>
        <v>0</v>
      </c>
      <c r="T31" s="29" t="n">
        <f aca="false">INDEX(Mitigation_Industry!T:T,MATCH($A31,Mitigation_Industry!$H:$H,0))</f>
        <v>0</v>
      </c>
      <c r="U31" s="29" t="n">
        <f aca="false">INDEX(Mitigation_Industry!U:U,MATCH($A31,Mitigation_Industry!$H:$H,0))</f>
        <v>0</v>
      </c>
      <c r="V31" s="29" t="n">
        <f aca="false">INDEX(Mitigation_Industry!V:V,MATCH($A31,Mitigation_Industry!$H:$H,0))</f>
        <v>0</v>
      </c>
      <c r="W31" s="29" t="n">
        <f aca="false">INDEX(Mitigation_Industry!W:W,MATCH($A31,Mitigation_Industry!$H:$H,0))</f>
        <v>0</v>
      </c>
      <c r="X31" s="29" t="n">
        <f aca="false">INDEX(Mitigation_Industry!X:X,MATCH($A31,Mitigation_Industry!$H:$H,0))</f>
        <v>0</v>
      </c>
      <c r="Y31" s="29" t="n">
        <f aca="false">INDEX(Mitigation_Industry!Y:Y,MATCH($A31,Mitigation_Industry!$H:$H,0))</f>
        <v>0</v>
      </c>
      <c r="Z31" s="29" t="n">
        <f aca="false">INDEX(Mitigation_Industry!Z:Z,MATCH($A31,Mitigation_Industry!$H:$H,0))</f>
        <v>0</v>
      </c>
      <c r="AA31" s="29" t="n">
        <f aca="false">INDEX(Mitigation_Industry!AA:AA,MATCH($A31,Mitigation_Industry!$H:$H,0))</f>
        <v>0</v>
      </c>
      <c r="AB31" s="29" t="n">
        <f aca="false">INDEX(Mitigation_Industry!AB:AB,MATCH($A31,Mitigation_Industry!$H:$H,0))</f>
        <v>0</v>
      </c>
      <c r="AC31" s="29" t="n">
        <f aca="false">INDEX(Mitigation_Industry!AC:AC,MATCH($A31,Mitigation_Industry!$H:$H,0))</f>
        <v>0</v>
      </c>
      <c r="AD31" s="29" t="n">
        <f aca="false">INDEX(Mitigation_Industry!AD:AD,MATCH($A31,Mitigation_Industry!$H:$H,0))</f>
        <v>0</v>
      </c>
      <c r="AE31" s="29" t="n">
        <f aca="false">INDEX(Mitigation_Industry!AE:AE,MATCH($A31,Mitigation_Industry!$H:$H,0))</f>
        <v>0</v>
      </c>
    </row>
    <row r="32" customFormat="false" ht="15" hidden="false" customHeight="false" outlineLevel="0" collapsed="false">
      <c r="A32" s="35" t="s">
        <v>1173</v>
      </c>
      <c r="B32" s="6" t="s">
        <v>68</v>
      </c>
      <c r="C32" s="6" t="s">
        <v>47</v>
      </c>
      <c r="D32" s="6" t="n">
        <v>1</v>
      </c>
      <c r="E32" s="2" t="s">
        <v>1167</v>
      </c>
      <c r="F32" s="40" t="n">
        <f aca="false">MAX(MAX(L32:AE32),-MIN(L32:AE32))</f>
        <v>-0</v>
      </c>
      <c r="K32" s="41" t="n">
        <f aca="false">IF(ISNUMBER(K30),IF(ISNUMBER(K31),K31-K30,999999),0)</f>
        <v>999999</v>
      </c>
      <c r="L32" s="41" t="n">
        <f aca="false">IF(ISNUMBER(L30),IF(ISNUMBER(L31),L31-L30,999999),0)</f>
        <v>0</v>
      </c>
      <c r="M32" s="41" t="n">
        <f aca="false">IF(ISNUMBER(M30),IF(ISNUMBER(M31),M31-M30,999999),0)</f>
        <v>0</v>
      </c>
      <c r="N32" s="41" t="n">
        <f aca="false">IF(ISNUMBER(N30),IF(ISNUMBER(N31),N31-N30,999999),0)</f>
        <v>0</v>
      </c>
      <c r="O32" s="41" t="n">
        <f aca="false">IF(ISNUMBER(O30),IF(ISNUMBER(O31),O31-O30,999999),0)</f>
        <v>0</v>
      </c>
      <c r="P32" s="41" t="n">
        <f aca="false">IF(ISNUMBER(P30),IF(ISNUMBER(P31),P31-P30,999999),0)</f>
        <v>0</v>
      </c>
      <c r="Q32" s="41" t="n">
        <f aca="false">IF(ISNUMBER(Q30),IF(ISNUMBER(Q31),Q31-Q30,999999),0)</f>
        <v>0</v>
      </c>
      <c r="R32" s="41" t="n">
        <f aca="false">IF(ISNUMBER(R30),IF(ISNUMBER(R31),R31-R30,999999),0)</f>
        <v>0</v>
      </c>
      <c r="S32" s="41" t="n">
        <f aca="false">IF(ISNUMBER(S30),IF(ISNUMBER(S31),S31-S30,999999),0)</f>
        <v>0</v>
      </c>
      <c r="T32" s="41" t="n">
        <f aca="false">IF(ISNUMBER(T30),IF(ISNUMBER(T31),T31-T30,999999),0)</f>
        <v>0</v>
      </c>
      <c r="U32" s="41" t="n">
        <f aca="false">IF(ISNUMBER(U30),IF(ISNUMBER(U31),U31-U30,999999),0)</f>
        <v>0</v>
      </c>
      <c r="V32" s="41" t="n">
        <f aca="false">IF(ISNUMBER(V30),IF(ISNUMBER(V31),V31-V30,999999),0)</f>
        <v>0</v>
      </c>
      <c r="W32" s="41" t="n">
        <f aca="false">IF(ISNUMBER(W30),IF(ISNUMBER(W31),W31-W30,999999),0)</f>
        <v>0</v>
      </c>
      <c r="X32" s="41" t="n">
        <f aca="false">IF(ISNUMBER(X30),IF(ISNUMBER(X31),X31-X30,999999),0)</f>
        <v>0</v>
      </c>
      <c r="Y32" s="41" t="n">
        <f aca="false">IF(ISNUMBER(Y30),IF(ISNUMBER(Y31),Y31-Y30,999999),0)</f>
        <v>0</v>
      </c>
      <c r="Z32" s="41" t="n">
        <f aca="false">IF(ISNUMBER(Z30),IF(ISNUMBER(Z31),Z31-Z30,999999),0)</f>
        <v>0</v>
      </c>
      <c r="AA32" s="41" t="n">
        <f aca="false">IF(ISNUMBER(AA30),IF(ISNUMBER(AA31),AA31-AA30,999999),0)</f>
        <v>0</v>
      </c>
      <c r="AB32" s="41" t="n">
        <f aca="false">IF(ISNUMBER(AB30),IF(ISNUMBER(AB31),AB31-AB30,999999),0)</f>
        <v>0</v>
      </c>
      <c r="AC32" s="41" t="n">
        <f aca="false">IF(ISNUMBER(AC30),IF(ISNUMBER(AC31),AC31-AC30,999999),0)</f>
        <v>0</v>
      </c>
      <c r="AD32" s="41" t="n">
        <f aca="false">IF(ISNUMBER(AD30),IF(ISNUMBER(AD31),AD31-AD30,999999),0)</f>
        <v>0</v>
      </c>
      <c r="AE32" s="41" t="n">
        <f aca="false">IF(ISNUMBER(AE30),IF(ISNUMBER(AE31),AE31-AE30,999999),0)</f>
        <v>0</v>
      </c>
    </row>
    <row r="34" customFormat="false" ht="15" hidden="false" customHeight="false" outlineLevel="0" collapsed="false">
      <c r="A34" s="35" t="s">
        <v>1174</v>
      </c>
      <c r="B34" s="6" t="s">
        <v>71</v>
      </c>
      <c r="C34" s="6" t="s">
        <v>47</v>
      </c>
      <c r="D34" s="6" t="n">
        <v>1</v>
      </c>
      <c r="E34" s="6" t="s">
        <v>1165</v>
      </c>
      <c r="K34" s="29" t="n">
        <v>0</v>
      </c>
      <c r="L34" s="29" t="n">
        <v>0</v>
      </c>
      <c r="M34" s="29" t="n">
        <v>0</v>
      </c>
      <c r="N34" s="29" t="n">
        <v>0</v>
      </c>
      <c r="O34" s="29" t="n">
        <v>0</v>
      </c>
      <c r="P34" s="29" t="n">
        <v>0</v>
      </c>
      <c r="Q34" s="29" t="n">
        <v>0</v>
      </c>
      <c r="R34" s="29" t="n">
        <v>0</v>
      </c>
      <c r="S34" s="29" t="n">
        <v>0</v>
      </c>
      <c r="T34" s="29" t="n">
        <v>0</v>
      </c>
      <c r="U34" s="29" t="n">
        <v>0</v>
      </c>
      <c r="V34" s="29" t="n">
        <v>0</v>
      </c>
      <c r="W34" s="29" t="n">
        <v>0</v>
      </c>
      <c r="X34" s="29" t="n">
        <v>0</v>
      </c>
      <c r="Y34" s="29" t="n">
        <v>0</v>
      </c>
      <c r="Z34" s="29" t="n">
        <v>0</v>
      </c>
      <c r="AA34" s="29" t="n">
        <v>0</v>
      </c>
      <c r="AB34" s="29" t="n">
        <v>0</v>
      </c>
      <c r="AC34" s="29" t="n">
        <v>0</v>
      </c>
      <c r="AD34" s="29" t="n">
        <v>0</v>
      </c>
      <c r="AE34" s="29" t="n">
        <v>0</v>
      </c>
    </row>
    <row r="35" customFormat="false" ht="15" hidden="false" customHeight="false" outlineLevel="0" collapsed="false">
      <c r="A35" s="35" t="s">
        <v>1174</v>
      </c>
      <c r="B35" s="6" t="s">
        <v>71</v>
      </c>
      <c r="C35" s="6" t="s">
        <v>47</v>
      </c>
      <c r="D35" s="6" t="n">
        <v>1</v>
      </c>
      <c r="E35" s="6" t="s">
        <v>1166</v>
      </c>
      <c r="K35" s="29" t="n">
        <f aca="false">INDEX(Mitigation_Industry!K:K,MATCH($A35,Mitigation_Industry!$H:$H,0))</f>
        <v>0</v>
      </c>
      <c r="L35" s="29" t="n">
        <f aca="false">INDEX(Mitigation_Industry!L:L,MATCH($A35,Mitigation_Industry!$H:$H,0))</f>
        <v>0</v>
      </c>
      <c r="M35" s="29" t="n">
        <f aca="false">INDEX(Mitigation_Industry!M:M,MATCH($A35,Mitigation_Industry!$H:$H,0))</f>
        <v>0</v>
      </c>
      <c r="N35" s="29" t="n">
        <f aca="false">INDEX(Mitigation_Industry!N:N,MATCH($A35,Mitigation_Industry!$H:$H,0))</f>
        <v>0</v>
      </c>
      <c r="O35" s="29" t="n">
        <f aca="false">INDEX(Mitigation_Industry!O:O,MATCH($A35,Mitigation_Industry!$H:$H,0))</f>
        <v>0</v>
      </c>
      <c r="P35" s="29" t="n">
        <f aca="false">INDEX(Mitigation_Industry!P:P,MATCH($A35,Mitigation_Industry!$H:$H,0))</f>
        <v>0</v>
      </c>
      <c r="Q35" s="29" t="n">
        <f aca="false">INDEX(Mitigation_Industry!Q:Q,MATCH($A35,Mitigation_Industry!$H:$H,0))</f>
        <v>0</v>
      </c>
      <c r="R35" s="29" t="n">
        <f aca="false">INDEX(Mitigation_Industry!R:R,MATCH($A35,Mitigation_Industry!$H:$H,0))</f>
        <v>0</v>
      </c>
      <c r="S35" s="29" t="n">
        <f aca="false">INDEX(Mitigation_Industry!S:S,MATCH($A35,Mitigation_Industry!$H:$H,0))</f>
        <v>0</v>
      </c>
      <c r="T35" s="29" t="n">
        <f aca="false">INDEX(Mitigation_Industry!T:T,MATCH($A35,Mitigation_Industry!$H:$H,0))</f>
        <v>0</v>
      </c>
      <c r="U35" s="29" t="n">
        <f aca="false">INDEX(Mitigation_Industry!U:U,MATCH($A35,Mitigation_Industry!$H:$H,0))</f>
        <v>0</v>
      </c>
      <c r="V35" s="29" t="n">
        <f aca="false">INDEX(Mitigation_Industry!V:V,MATCH($A35,Mitigation_Industry!$H:$H,0))</f>
        <v>0</v>
      </c>
      <c r="W35" s="29" t="n">
        <f aca="false">INDEX(Mitigation_Industry!W:W,MATCH($A35,Mitigation_Industry!$H:$H,0))</f>
        <v>0</v>
      </c>
      <c r="X35" s="29" t="n">
        <f aca="false">INDEX(Mitigation_Industry!X:X,MATCH($A35,Mitigation_Industry!$H:$H,0))</f>
        <v>0</v>
      </c>
      <c r="Y35" s="29" t="n">
        <f aca="false">INDEX(Mitigation_Industry!Y:Y,MATCH($A35,Mitigation_Industry!$H:$H,0))</f>
        <v>0</v>
      </c>
      <c r="Z35" s="29" t="n">
        <f aca="false">INDEX(Mitigation_Industry!Z:Z,MATCH($A35,Mitigation_Industry!$H:$H,0))</f>
        <v>0</v>
      </c>
      <c r="AA35" s="29" t="n">
        <f aca="false">INDEX(Mitigation_Industry!AA:AA,MATCH($A35,Mitigation_Industry!$H:$H,0))</f>
        <v>0</v>
      </c>
      <c r="AB35" s="29" t="n">
        <f aca="false">INDEX(Mitigation_Industry!AB:AB,MATCH($A35,Mitigation_Industry!$H:$H,0))</f>
        <v>0</v>
      </c>
      <c r="AC35" s="29" t="n">
        <f aca="false">INDEX(Mitigation_Industry!AC:AC,MATCH($A35,Mitigation_Industry!$H:$H,0))</f>
        <v>0</v>
      </c>
      <c r="AD35" s="29" t="n">
        <f aca="false">INDEX(Mitigation_Industry!AD:AD,MATCH($A35,Mitigation_Industry!$H:$H,0))</f>
        <v>0</v>
      </c>
      <c r="AE35" s="29" t="n">
        <f aca="false">INDEX(Mitigation_Industry!AE:AE,MATCH($A35,Mitigation_Industry!$H:$H,0))</f>
        <v>0</v>
      </c>
    </row>
    <row r="36" customFormat="false" ht="15" hidden="false" customHeight="false" outlineLevel="0" collapsed="false">
      <c r="A36" s="35" t="s">
        <v>1174</v>
      </c>
      <c r="B36" s="6" t="s">
        <v>71</v>
      </c>
      <c r="C36" s="6" t="s">
        <v>47</v>
      </c>
      <c r="D36" s="6" t="n">
        <v>1</v>
      </c>
      <c r="E36" s="2" t="s">
        <v>1167</v>
      </c>
      <c r="F36" s="40" t="n">
        <f aca="false">MAX(MAX(L36:AE36),-MIN(L36:AE36))</f>
        <v>-0</v>
      </c>
      <c r="K36" s="41" t="n">
        <f aca="false">IF(ISNUMBER(K34),IF(ISNUMBER(K35),K35-K34,999999),0)</f>
        <v>999999</v>
      </c>
      <c r="L36" s="41" t="n">
        <f aca="false">IF(ISNUMBER(L34),IF(ISNUMBER(L35),L35-L34,999999),0)</f>
        <v>0</v>
      </c>
      <c r="M36" s="41" t="n">
        <f aca="false">IF(ISNUMBER(M34),IF(ISNUMBER(M35),M35-M34,999999),0)</f>
        <v>0</v>
      </c>
      <c r="N36" s="41" t="n">
        <f aca="false">IF(ISNUMBER(N34),IF(ISNUMBER(N35),N35-N34,999999),0)</f>
        <v>0</v>
      </c>
      <c r="O36" s="41" t="n">
        <f aca="false">IF(ISNUMBER(O34),IF(ISNUMBER(O35),O35-O34,999999),0)</f>
        <v>0</v>
      </c>
      <c r="P36" s="41" t="n">
        <f aca="false">IF(ISNUMBER(P34),IF(ISNUMBER(P35),P35-P34,999999),0)</f>
        <v>0</v>
      </c>
      <c r="Q36" s="41" t="n">
        <f aca="false">IF(ISNUMBER(Q34),IF(ISNUMBER(Q35),Q35-Q34,999999),0)</f>
        <v>0</v>
      </c>
      <c r="R36" s="41" t="n">
        <f aca="false">IF(ISNUMBER(R34),IF(ISNUMBER(R35),R35-R34,999999),0)</f>
        <v>0</v>
      </c>
      <c r="S36" s="41" t="n">
        <f aca="false">IF(ISNUMBER(S34),IF(ISNUMBER(S35),S35-S34,999999),0)</f>
        <v>0</v>
      </c>
      <c r="T36" s="41" t="n">
        <f aca="false">IF(ISNUMBER(T34),IF(ISNUMBER(T35),T35-T34,999999),0)</f>
        <v>0</v>
      </c>
      <c r="U36" s="41" t="n">
        <f aca="false">IF(ISNUMBER(U34),IF(ISNUMBER(U35),U35-U34,999999),0)</f>
        <v>0</v>
      </c>
      <c r="V36" s="41" t="n">
        <f aca="false">IF(ISNUMBER(V34),IF(ISNUMBER(V35),V35-V34,999999),0)</f>
        <v>0</v>
      </c>
      <c r="W36" s="41" t="n">
        <f aca="false">IF(ISNUMBER(W34),IF(ISNUMBER(W35),W35-W34,999999),0)</f>
        <v>0</v>
      </c>
      <c r="X36" s="41" t="n">
        <f aca="false">IF(ISNUMBER(X34),IF(ISNUMBER(X35),X35-X34,999999),0)</f>
        <v>0</v>
      </c>
      <c r="Y36" s="41" t="n">
        <f aca="false">IF(ISNUMBER(Y34),IF(ISNUMBER(Y35),Y35-Y34,999999),0)</f>
        <v>0</v>
      </c>
      <c r="Z36" s="41" t="n">
        <f aca="false">IF(ISNUMBER(Z34),IF(ISNUMBER(Z35),Z35-Z34,999999),0)</f>
        <v>0</v>
      </c>
      <c r="AA36" s="41" t="n">
        <f aca="false">IF(ISNUMBER(AA34),IF(ISNUMBER(AA35),AA35-AA34,999999),0)</f>
        <v>0</v>
      </c>
      <c r="AB36" s="41" t="n">
        <f aca="false">IF(ISNUMBER(AB34),IF(ISNUMBER(AB35),AB35-AB34,999999),0)</f>
        <v>0</v>
      </c>
      <c r="AC36" s="41" t="n">
        <f aca="false">IF(ISNUMBER(AC34),IF(ISNUMBER(AC35),AC35-AC34,999999),0)</f>
        <v>0</v>
      </c>
      <c r="AD36" s="41" t="n">
        <f aca="false">IF(ISNUMBER(AD34),IF(ISNUMBER(AD35),AD35-AD34,999999),0)</f>
        <v>0</v>
      </c>
      <c r="AE36" s="41" t="n">
        <f aca="false">IF(ISNUMBER(AE34),IF(ISNUMBER(AE35),AE35-AE34,999999),0)</f>
        <v>0</v>
      </c>
    </row>
    <row r="38" customFormat="false" ht="15" hidden="false" customHeight="false" outlineLevel="0" collapsed="false">
      <c r="A38" s="35" t="s">
        <v>1175</v>
      </c>
      <c r="B38" s="6" t="s">
        <v>73</v>
      </c>
      <c r="C38" s="6" t="s">
        <v>47</v>
      </c>
      <c r="D38" s="6" t="n">
        <v>1</v>
      </c>
      <c r="E38" s="6" t="s">
        <v>1165</v>
      </c>
      <c r="K38" s="29" t="n">
        <v>0</v>
      </c>
      <c r="L38" s="29" t="n">
        <v>0</v>
      </c>
      <c r="M38" s="29" t="n">
        <v>0</v>
      </c>
      <c r="N38" s="29" t="n">
        <v>0</v>
      </c>
      <c r="O38" s="29" t="n">
        <v>0</v>
      </c>
      <c r="P38" s="29" t="n">
        <v>0</v>
      </c>
      <c r="Q38" s="29" t="n">
        <v>0</v>
      </c>
      <c r="R38" s="29" t="n">
        <v>0</v>
      </c>
      <c r="S38" s="29" t="n">
        <v>0</v>
      </c>
      <c r="T38" s="29" t="n">
        <v>0</v>
      </c>
      <c r="U38" s="29" t="n">
        <v>0</v>
      </c>
      <c r="V38" s="29" t="n">
        <v>0</v>
      </c>
      <c r="W38" s="29" t="n">
        <v>0</v>
      </c>
      <c r="X38" s="29" t="n">
        <v>0</v>
      </c>
      <c r="Y38" s="29" t="n">
        <v>0</v>
      </c>
      <c r="Z38" s="29" t="n">
        <v>0</v>
      </c>
      <c r="AA38" s="29" t="n">
        <v>0</v>
      </c>
      <c r="AB38" s="29" t="n">
        <v>0</v>
      </c>
      <c r="AC38" s="29" t="n">
        <v>0</v>
      </c>
      <c r="AD38" s="29" t="n">
        <v>0</v>
      </c>
      <c r="AE38" s="29" t="n">
        <v>0</v>
      </c>
    </row>
    <row r="39" customFormat="false" ht="15" hidden="false" customHeight="false" outlineLevel="0" collapsed="false">
      <c r="A39" s="35" t="s">
        <v>1175</v>
      </c>
      <c r="B39" s="6" t="s">
        <v>73</v>
      </c>
      <c r="C39" s="6" t="s">
        <v>47</v>
      </c>
      <c r="D39" s="6" t="n">
        <v>1</v>
      </c>
      <c r="E39" s="6" t="s">
        <v>1166</v>
      </c>
      <c r="K39" s="29" t="n">
        <f aca="false">INDEX(Mitigation_Industry!K:K,MATCH($A39,Mitigation_Industry!$H:$H,0))</f>
        <v>0</v>
      </c>
      <c r="L39" s="29" t="n">
        <f aca="false">INDEX(Mitigation_Industry!L:L,MATCH($A39,Mitigation_Industry!$H:$H,0))</f>
        <v>0</v>
      </c>
      <c r="M39" s="29" t="n">
        <f aca="false">INDEX(Mitigation_Industry!M:M,MATCH($A39,Mitigation_Industry!$H:$H,0))</f>
        <v>0</v>
      </c>
      <c r="N39" s="29" t="n">
        <f aca="false">INDEX(Mitigation_Industry!N:N,MATCH($A39,Mitigation_Industry!$H:$H,0))</f>
        <v>0</v>
      </c>
      <c r="O39" s="29" t="n">
        <f aca="false">INDEX(Mitigation_Industry!O:O,MATCH($A39,Mitigation_Industry!$H:$H,0))</f>
        <v>0</v>
      </c>
      <c r="P39" s="29" t="n">
        <f aca="false">INDEX(Mitigation_Industry!P:P,MATCH($A39,Mitigation_Industry!$H:$H,0))</f>
        <v>0</v>
      </c>
      <c r="Q39" s="29" t="n">
        <f aca="false">INDEX(Mitigation_Industry!Q:Q,MATCH($A39,Mitigation_Industry!$H:$H,0))</f>
        <v>0</v>
      </c>
      <c r="R39" s="29" t="n">
        <f aca="false">INDEX(Mitigation_Industry!R:R,MATCH($A39,Mitigation_Industry!$H:$H,0))</f>
        <v>0</v>
      </c>
      <c r="S39" s="29" t="n">
        <f aca="false">INDEX(Mitigation_Industry!S:S,MATCH($A39,Mitigation_Industry!$H:$H,0))</f>
        <v>0</v>
      </c>
      <c r="T39" s="29" t="n">
        <f aca="false">INDEX(Mitigation_Industry!T:T,MATCH($A39,Mitigation_Industry!$H:$H,0))</f>
        <v>0</v>
      </c>
      <c r="U39" s="29" t="n">
        <f aca="false">INDEX(Mitigation_Industry!U:U,MATCH($A39,Mitigation_Industry!$H:$H,0))</f>
        <v>0</v>
      </c>
      <c r="V39" s="29" t="n">
        <f aca="false">INDEX(Mitigation_Industry!V:V,MATCH($A39,Mitigation_Industry!$H:$H,0))</f>
        <v>0</v>
      </c>
      <c r="W39" s="29" t="n">
        <f aca="false">INDEX(Mitigation_Industry!W:W,MATCH($A39,Mitigation_Industry!$H:$H,0))</f>
        <v>0</v>
      </c>
      <c r="X39" s="29" t="n">
        <f aca="false">INDEX(Mitigation_Industry!X:X,MATCH($A39,Mitigation_Industry!$H:$H,0))</f>
        <v>0</v>
      </c>
      <c r="Y39" s="29" t="n">
        <f aca="false">INDEX(Mitigation_Industry!Y:Y,MATCH($A39,Mitigation_Industry!$H:$H,0))</f>
        <v>0</v>
      </c>
      <c r="Z39" s="29" t="n">
        <f aca="false">INDEX(Mitigation_Industry!Z:Z,MATCH($A39,Mitigation_Industry!$H:$H,0))</f>
        <v>0</v>
      </c>
      <c r="AA39" s="29" t="n">
        <f aca="false">INDEX(Mitigation_Industry!AA:AA,MATCH($A39,Mitigation_Industry!$H:$H,0))</f>
        <v>0</v>
      </c>
      <c r="AB39" s="29" t="n">
        <f aca="false">INDEX(Mitigation_Industry!AB:AB,MATCH($A39,Mitigation_Industry!$H:$H,0))</f>
        <v>0</v>
      </c>
      <c r="AC39" s="29" t="n">
        <f aca="false">INDEX(Mitigation_Industry!AC:AC,MATCH($A39,Mitigation_Industry!$H:$H,0))</f>
        <v>0</v>
      </c>
      <c r="AD39" s="29" t="n">
        <f aca="false">INDEX(Mitigation_Industry!AD:AD,MATCH($A39,Mitigation_Industry!$H:$H,0))</f>
        <v>0</v>
      </c>
      <c r="AE39" s="29" t="n">
        <f aca="false">INDEX(Mitigation_Industry!AE:AE,MATCH($A39,Mitigation_Industry!$H:$H,0))</f>
        <v>0</v>
      </c>
    </row>
    <row r="40" customFormat="false" ht="15" hidden="false" customHeight="false" outlineLevel="0" collapsed="false">
      <c r="A40" s="35" t="s">
        <v>1175</v>
      </c>
      <c r="B40" s="6" t="s">
        <v>73</v>
      </c>
      <c r="C40" s="6" t="s">
        <v>47</v>
      </c>
      <c r="D40" s="6" t="n">
        <v>1</v>
      </c>
      <c r="E40" s="2" t="s">
        <v>1167</v>
      </c>
      <c r="F40" s="40" t="n">
        <f aca="false">MAX(MAX(L40:AE40),-MIN(L40:AE40))</f>
        <v>-0</v>
      </c>
      <c r="K40" s="41" t="n">
        <f aca="false">IF(ISNUMBER(K38),IF(ISNUMBER(K39),K39-K38,999999),0)</f>
        <v>999999</v>
      </c>
      <c r="L40" s="41" t="n">
        <f aca="false">IF(ISNUMBER(L38),IF(ISNUMBER(L39),L39-L38,999999),0)</f>
        <v>0</v>
      </c>
      <c r="M40" s="41" t="n">
        <f aca="false">IF(ISNUMBER(M38),IF(ISNUMBER(M39),M39-M38,999999),0)</f>
        <v>0</v>
      </c>
      <c r="N40" s="41" t="n">
        <f aca="false">IF(ISNUMBER(N38),IF(ISNUMBER(N39),N39-N38,999999),0)</f>
        <v>0</v>
      </c>
      <c r="O40" s="41" t="n">
        <f aca="false">IF(ISNUMBER(O38),IF(ISNUMBER(O39),O39-O38,999999),0)</f>
        <v>0</v>
      </c>
      <c r="P40" s="41" t="n">
        <f aca="false">IF(ISNUMBER(P38),IF(ISNUMBER(P39),P39-P38,999999),0)</f>
        <v>0</v>
      </c>
      <c r="Q40" s="41" t="n">
        <f aca="false">IF(ISNUMBER(Q38),IF(ISNUMBER(Q39),Q39-Q38,999999),0)</f>
        <v>0</v>
      </c>
      <c r="R40" s="41" t="n">
        <f aca="false">IF(ISNUMBER(R38),IF(ISNUMBER(R39),R39-R38,999999),0)</f>
        <v>0</v>
      </c>
      <c r="S40" s="41" t="n">
        <f aca="false">IF(ISNUMBER(S38),IF(ISNUMBER(S39),S39-S38,999999),0)</f>
        <v>0</v>
      </c>
      <c r="T40" s="41" t="n">
        <f aca="false">IF(ISNUMBER(T38),IF(ISNUMBER(T39),T39-T38,999999),0)</f>
        <v>0</v>
      </c>
      <c r="U40" s="41" t="n">
        <f aca="false">IF(ISNUMBER(U38),IF(ISNUMBER(U39),U39-U38,999999),0)</f>
        <v>0</v>
      </c>
      <c r="V40" s="41" t="n">
        <f aca="false">IF(ISNUMBER(V38),IF(ISNUMBER(V39),V39-V38,999999),0)</f>
        <v>0</v>
      </c>
      <c r="W40" s="41" t="n">
        <f aca="false">IF(ISNUMBER(W38),IF(ISNUMBER(W39),W39-W38,999999),0)</f>
        <v>0</v>
      </c>
      <c r="X40" s="41" t="n">
        <f aca="false">IF(ISNUMBER(X38),IF(ISNUMBER(X39),X39-X38,999999),0)</f>
        <v>0</v>
      </c>
      <c r="Y40" s="41" t="n">
        <f aca="false">IF(ISNUMBER(Y38),IF(ISNUMBER(Y39),Y39-Y38,999999),0)</f>
        <v>0</v>
      </c>
      <c r="Z40" s="41" t="n">
        <f aca="false">IF(ISNUMBER(Z38),IF(ISNUMBER(Z39),Z39-Z38,999999),0)</f>
        <v>0</v>
      </c>
      <c r="AA40" s="41" t="n">
        <f aca="false">IF(ISNUMBER(AA38),IF(ISNUMBER(AA39),AA39-AA38,999999),0)</f>
        <v>0</v>
      </c>
      <c r="AB40" s="41" t="n">
        <f aca="false">IF(ISNUMBER(AB38),IF(ISNUMBER(AB39),AB39-AB38,999999),0)</f>
        <v>0</v>
      </c>
      <c r="AC40" s="41" t="n">
        <f aca="false">IF(ISNUMBER(AC38),IF(ISNUMBER(AC39),AC39-AC38,999999),0)</f>
        <v>0</v>
      </c>
      <c r="AD40" s="41" t="n">
        <f aca="false">IF(ISNUMBER(AD38),IF(ISNUMBER(AD39),AD39-AD38,999999),0)</f>
        <v>0</v>
      </c>
      <c r="AE40" s="41" t="n">
        <f aca="false">IF(ISNUMBER(AE38),IF(ISNUMBER(AE39),AE39-AE38,999999),0)</f>
        <v>0</v>
      </c>
    </row>
    <row r="42" customFormat="false" ht="15" hidden="false" customHeight="false" outlineLevel="0" collapsed="false">
      <c r="A42" s="35" t="s">
        <v>1176</v>
      </c>
      <c r="B42" s="6" t="s">
        <v>53</v>
      </c>
      <c r="C42" s="6" t="s">
        <v>117</v>
      </c>
      <c r="D42" s="6" t="n">
        <v>1</v>
      </c>
      <c r="E42" s="6" t="s">
        <v>1165</v>
      </c>
      <c r="K42" s="29"/>
      <c r="L42" s="29" t="n">
        <v>1463.05522446279</v>
      </c>
      <c r="M42" s="29" t="n">
        <v>1191.36443625172</v>
      </c>
      <c r="N42" s="29" t="n">
        <v>1369.17792822134</v>
      </c>
      <c r="O42" s="29" t="n">
        <v>1496.01034508212</v>
      </c>
      <c r="P42" s="29" t="n">
        <v>1463.00940842421</v>
      </c>
      <c r="Q42" s="29" t="n">
        <v>1479.94340671035</v>
      </c>
      <c r="R42" s="29" t="n">
        <v>1520.88627890674</v>
      </c>
      <c r="S42" s="29" t="n">
        <v>1560.75473437556</v>
      </c>
      <c r="T42" s="29" t="n">
        <v>1598.95150875781</v>
      </c>
      <c r="U42" s="29" t="n">
        <v>1637.23935045645</v>
      </c>
      <c r="V42" s="29" t="n">
        <v>1668.235665405</v>
      </c>
      <c r="W42" s="29" t="n">
        <v>1699.31019575918</v>
      </c>
      <c r="X42" s="29" t="n">
        <v>1730.45408429811</v>
      </c>
      <c r="Y42" s="29" t="n">
        <v>1761.65855185757</v>
      </c>
      <c r="Z42" s="29" t="n">
        <v>1792.91488989513</v>
      </c>
      <c r="AA42" s="29" t="n">
        <v>1824.21445225722</v>
      </c>
      <c r="AB42" s="29" t="n">
        <v>1855.54864618903</v>
      </c>
      <c r="AC42" s="29" t="n">
        <v>1886.90892262557</v>
      </c>
      <c r="AD42" s="29" t="n">
        <v>1918.28676579971</v>
      </c>
      <c r="AE42" s="29" t="n">
        <v>1949.67368220012</v>
      </c>
    </row>
    <row r="43" customFormat="false" ht="15" hidden="false" customHeight="false" outlineLevel="0" collapsed="false">
      <c r="A43" s="35" t="s">
        <v>1176</v>
      </c>
      <c r="B43" s="6" t="s">
        <v>53</v>
      </c>
      <c r="C43" s="6" t="s">
        <v>117</v>
      </c>
      <c r="D43" s="6" t="n">
        <v>1</v>
      </c>
      <c r="E43" s="6" t="s">
        <v>1166</v>
      </c>
      <c r="K43" s="29" t="n">
        <f aca="false">INDEX(Mitigation_Industry!K:K,MATCH($A43,Mitigation_Industry!$H:$H,0))</f>
        <v>0</v>
      </c>
      <c r="L43" s="29" t="n">
        <f aca="false">INDEX(Mitigation_Industry!L:L,MATCH($A43,Mitigation_Industry!$H:$H,0))</f>
        <v>1463.05522446279</v>
      </c>
      <c r="M43" s="29" t="n">
        <f aca="false">INDEX(Mitigation_Industry!M:M,MATCH($A43,Mitigation_Industry!$H:$H,0))</f>
        <v>1191.36443625172</v>
      </c>
      <c r="N43" s="29" t="n">
        <f aca="false">INDEX(Mitigation_Industry!N:N,MATCH($A43,Mitigation_Industry!$H:$H,0))</f>
        <v>1369.17792822134</v>
      </c>
      <c r="O43" s="29" t="n">
        <f aca="false">INDEX(Mitigation_Industry!O:O,MATCH($A43,Mitigation_Industry!$H:$H,0))</f>
        <v>1496.01034508212</v>
      </c>
      <c r="P43" s="29" t="n">
        <f aca="false">INDEX(Mitigation_Industry!P:P,MATCH($A43,Mitigation_Industry!$H:$H,0))</f>
        <v>1463.00940842421</v>
      </c>
      <c r="Q43" s="29" t="n">
        <f aca="false">INDEX(Mitigation_Industry!Q:Q,MATCH($A43,Mitigation_Industry!$H:$H,0))</f>
        <v>1479.94340671035</v>
      </c>
      <c r="R43" s="29" t="n">
        <f aca="false">INDEX(Mitigation_Industry!R:R,MATCH($A43,Mitigation_Industry!$H:$H,0))</f>
        <v>1520.88627890674</v>
      </c>
      <c r="S43" s="29" t="n">
        <f aca="false">INDEX(Mitigation_Industry!S:S,MATCH($A43,Mitigation_Industry!$H:$H,0))</f>
        <v>1560.75473437556</v>
      </c>
      <c r="T43" s="29" t="n">
        <f aca="false">INDEX(Mitigation_Industry!T:T,MATCH($A43,Mitigation_Industry!$H:$H,0))</f>
        <v>1598.95150875781</v>
      </c>
      <c r="U43" s="29" t="n">
        <f aca="false">INDEX(Mitigation_Industry!U:U,MATCH($A43,Mitigation_Industry!$H:$H,0))</f>
        <v>1637.23935045645</v>
      </c>
      <c r="V43" s="29" t="n">
        <f aca="false">INDEX(Mitigation_Industry!V:V,MATCH($A43,Mitigation_Industry!$H:$H,0))</f>
        <v>1668.235665405</v>
      </c>
      <c r="W43" s="29" t="n">
        <f aca="false">INDEX(Mitigation_Industry!W:W,MATCH($A43,Mitigation_Industry!$H:$H,0))</f>
        <v>1699.31019575918</v>
      </c>
      <c r="X43" s="29" t="n">
        <f aca="false">INDEX(Mitigation_Industry!X:X,MATCH($A43,Mitigation_Industry!$H:$H,0))</f>
        <v>1730.45408429811</v>
      </c>
      <c r="Y43" s="29" t="n">
        <f aca="false">INDEX(Mitigation_Industry!Y:Y,MATCH($A43,Mitigation_Industry!$H:$H,0))</f>
        <v>1761.65855185757</v>
      </c>
      <c r="Z43" s="29" t="n">
        <f aca="false">INDEX(Mitigation_Industry!Z:Z,MATCH($A43,Mitigation_Industry!$H:$H,0))</f>
        <v>1792.91488989513</v>
      </c>
      <c r="AA43" s="29" t="n">
        <f aca="false">INDEX(Mitigation_Industry!AA:AA,MATCH($A43,Mitigation_Industry!$H:$H,0))</f>
        <v>1824.21445225722</v>
      </c>
      <c r="AB43" s="29" t="n">
        <f aca="false">INDEX(Mitigation_Industry!AB:AB,MATCH($A43,Mitigation_Industry!$H:$H,0))</f>
        <v>1855.54864618903</v>
      </c>
      <c r="AC43" s="29" t="n">
        <f aca="false">INDEX(Mitigation_Industry!AC:AC,MATCH($A43,Mitigation_Industry!$H:$H,0))</f>
        <v>1886.90892262557</v>
      </c>
      <c r="AD43" s="29" t="n">
        <f aca="false">INDEX(Mitigation_Industry!AD:AD,MATCH($A43,Mitigation_Industry!$H:$H,0))</f>
        <v>1918.28676579971</v>
      </c>
      <c r="AE43" s="29" t="n">
        <f aca="false">INDEX(Mitigation_Industry!AE:AE,MATCH($A43,Mitigation_Industry!$H:$H,0))</f>
        <v>1949.67368220012</v>
      </c>
    </row>
    <row r="44" customFormat="false" ht="15" hidden="false" customHeight="false" outlineLevel="0" collapsed="false">
      <c r="A44" s="35" t="s">
        <v>1176</v>
      </c>
      <c r="B44" s="6" t="s">
        <v>53</v>
      </c>
      <c r="C44" s="6" t="s">
        <v>117</v>
      </c>
      <c r="D44" s="6" t="n">
        <v>1</v>
      </c>
      <c r="E44" s="2" t="s">
        <v>1167</v>
      </c>
      <c r="F44" s="40" t="n">
        <f aca="false">MAX(MAX(L44:AE44),-MIN(L44:AE44))</f>
        <v>-0</v>
      </c>
      <c r="K44" s="41" t="n">
        <f aca="false">IF(ISNUMBER(K42),IF(ISNUMBER(K43),K43-K42,999999),0)</f>
        <v>0</v>
      </c>
      <c r="L44" s="41" t="n">
        <f aca="false">IF(ISNUMBER(L42),IF(ISNUMBER(L43),L43-L42,999999),0)</f>
        <v>0</v>
      </c>
      <c r="M44" s="41" t="n">
        <f aca="false">IF(ISNUMBER(M42),IF(ISNUMBER(M43),M43-M42,999999),0)</f>
        <v>0</v>
      </c>
      <c r="N44" s="41" t="n">
        <f aca="false">IF(ISNUMBER(N42),IF(ISNUMBER(N43),N43-N42,999999),0)</f>
        <v>0</v>
      </c>
      <c r="O44" s="41" t="n">
        <f aca="false">IF(ISNUMBER(O42),IF(ISNUMBER(O43),O43-O42,999999),0)</f>
        <v>0</v>
      </c>
      <c r="P44" s="41" t="n">
        <f aca="false">IF(ISNUMBER(P42),IF(ISNUMBER(P43),P43-P42,999999),0)</f>
        <v>0</v>
      </c>
      <c r="Q44" s="41" t="n">
        <f aca="false">IF(ISNUMBER(Q42),IF(ISNUMBER(Q43),Q43-Q42,999999),0)</f>
        <v>0</v>
      </c>
      <c r="R44" s="41" t="n">
        <f aca="false">IF(ISNUMBER(R42),IF(ISNUMBER(R43),R43-R42,999999),0)</f>
        <v>0</v>
      </c>
      <c r="S44" s="41" t="n">
        <f aca="false">IF(ISNUMBER(S42),IF(ISNUMBER(S43),S43-S42,999999),0)</f>
        <v>0</v>
      </c>
      <c r="T44" s="41" t="n">
        <f aca="false">IF(ISNUMBER(T42),IF(ISNUMBER(T43),T43-T42,999999),0)</f>
        <v>0</v>
      </c>
      <c r="U44" s="41" t="n">
        <f aca="false">IF(ISNUMBER(U42),IF(ISNUMBER(U43),U43-U42,999999),0)</f>
        <v>0</v>
      </c>
      <c r="V44" s="41" t="n">
        <f aca="false">IF(ISNUMBER(V42),IF(ISNUMBER(V43),V43-V42,999999),0)</f>
        <v>0</v>
      </c>
      <c r="W44" s="41" t="n">
        <f aca="false">IF(ISNUMBER(W42),IF(ISNUMBER(W43),W43-W42,999999),0)</f>
        <v>0</v>
      </c>
      <c r="X44" s="41" t="n">
        <f aca="false">IF(ISNUMBER(X42),IF(ISNUMBER(X43),X43-X42,999999),0)</f>
        <v>0</v>
      </c>
      <c r="Y44" s="41" t="n">
        <f aca="false">IF(ISNUMBER(Y42),IF(ISNUMBER(Y43),Y43-Y42,999999),0)</f>
        <v>0</v>
      </c>
      <c r="Z44" s="41" t="n">
        <f aca="false">IF(ISNUMBER(Z42),IF(ISNUMBER(Z43),Z43-Z42,999999),0)</f>
        <v>0</v>
      </c>
      <c r="AA44" s="41" t="n">
        <f aca="false">IF(ISNUMBER(AA42),IF(ISNUMBER(AA43),AA43-AA42,999999),0)</f>
        <v>0</v>
      </c>
      <c r="AB44" s="41" t="n">
        <f aca="false">IF(ISNUMBER(AB42),IF(ISNUMBER(AB43),AB43-AB42,999999),0)</f>
        <v>0</v>
      </c>
      <c r="AC44" s="41" t="n">
        <f aca="false">IF(ISNUMBER(AC42),IF(ISNUMBER(AC43),AC43-AC42,999999),0)</f>
        <v>0</v>
      </c>
      <c r="AD44" s="41" t="n">
        <f aca="false">IF(ISNUMBER(AD42),IF(ISNUMBER(AD43),AD43-AD42,999999),0)</f>
        <v>0</v>
      </c>
      <c r="AE44" s="41" t="n">
        <f aca="false">IF(ISNUMBER(AE42),IF(ISNUMBER(AE43),AE43-AE42,999999),0)</f>
        <v>0</v>
      </c>
    </row>
    <row r="46" customFormat="false" ht="15" hidden="false" customHeight="false" outlineLevel="0" collapsed="false">
      <c r="A46" s="35" t="s">
        <v>1177</v>
      </c>
      <c r="B46" s="6" t="s">
        <v>57</v>
      </c>
      <c r="C46" s="6" t="s">
        <v>117</v>
      </c>
      <c r="D46" s="6" t="n">
        <v>1</v>
      </c>
      <c r="E46" s="6" t="s">
        <v>1165</v>
      </c>
      <c r="K46" s="29"/>
      <c r="L46" s="29" t="n">
        <v>1747.39153476208</v>
      </c>
      <c r="M46" s="29" t="n">
        <v>1498.9759731404</v>
      </c>
      <c r="N46" s="29" t="n">
        <v>1678.3581605794</v>
      </c>
      <c r="O46" s="29" t="n">
        <v>1744.68247730686</v>
      </c>
      <c r="P46" s="29" t="n">
        <v>1810.20255932974</v>
      </c>
      <c r="Q46" s="29" t="n">
        <v>1888.26993566398</v>
      </c>
      <c r="R46" s="29" t="n">
        <v>1982.03522275246</v>
      </c>
      <c r="S46" s="29" t="n">
        <v>2073.23357728365</v>
      </c>
      <c r="T46" s="29" t="n">
        <v>2159.78535014034</v>
      </c>
      <c r="U46" s="29" t="n">
        <v>2248.21113272254</v>
      </c>
      <c r="V46" s="29" t="n">
        <v>2338.83373148022</v>
      </c>
      <c r="W46" s="29" t="n">
        <v>2431.65339429375</v>
      </c>
      <c r="X46" s="29" t="n">
        <v>2526.6687256676</v>
      </c>
      <c r="Y46" s="29" t="n">
        <v>2623.87666192219</v>
      </c>
      <c r="Z46" s="29" t="n">
        <v>2723.27244300004</v>
      </c>
      <c r="AA46" s="29" t="n">
        <v>2824.84958060738</v>
      </c>
      <c r="AB46" s="29" t="n">
        <v>2928.5998224235</v>
      </c>
      <c r="AC46" s="29" t="n">
        <v>3034.51311212059</v>
      </c>
      <c r="AD46" s="29" t="n">
        <v>3142.57754494757</v>
      </c>
      <c r="AE46" s="29" t="n">
        <v>3252.7793186411</v>
      </c>
    </row>
    <row r="47" customFormat="false" ht="15" hidden="false" customHeight="false" outlineLevel="0" collapsed="false">
      <c r="A47" s="35" t="s">
        <v>1177</v>
      </c>
      <c r="B47" s="6" t="s">
        <v>57</v>
      </c>
      <c r="C47" s="6" t="s">
        <v>117</v>
      </c>
      <c r="D47" s="6" t="n">
        <v>1</v>
      </c>
      <c r="E47" s="6" t="s">
        <v>1166</v>
      </c>
      <c r="K47" s="29" t="n">
        <f aca="false">INDEX(Mitigation_Industry!K:K,MATCH($A47,Mitigation_Industry!$H:$H,0))</f>
        <v>0</v>
      </c>
      <c r="L47" s="29" t="n">
        <f aca="false">INDEX(Mitigation_Industry!L:L,MATCH($A47,Mitigation_Industry!$H:$H,0))</f>
        <v>1747.39153476208</v>
      </c>
      <c r="M47" s="29" t="n">
        <f aca="false">INDEX(Mitigation_Industry!M:M,MATCH($A47,Mitigation_Industry!$H:$H,0))</f>
        <v>1498.9759731404</v>
      </c>
      <c r="N47" s="29" t="n">
        <f aca="false">INDEX(Mitigation_Industry!N:N,MATCH($A47,Mitigation_Industry!$H:$H,0))</f>
        <v>1678.35816057939</v>
      </c>
      <c r="O47" s="29" t="n">
        <f aca="false">INDEX(Mitigation_Industry!O:O,MATCH($A47,Mitigation_Industry!$H:$H,0))</f>
        <v>1744.68247730686</v>
      </c>
      <c r="P47" s="29" t="n">
        <f aca="false">INDEX(Mitigation_Industry!P:P,MATCH($A47,Mitigation_Industry!$H:$H,0))</f>
        <v>1810.20255932974</v>
      </c>
      <c r="Q47" s="29" t="n">
        <f aca="false">INDEX(Mitigation_Industry!Q:Q,MATCH($A47,Mitigation_Industry!$H:$H,0))</f>
        <v>1888.26993566398</v>
      </c>
      <c r="R47" s="29" t="n">
        <f aca="false">INDEX(Mitigation_Industry!R:R,MATCH($A47,Mitigation_Industry!$H:$H,0))</f>
        <v>1982.03522275245</v>
      </c>
      <c r="S47" s="29" t="n">
        <f aca="false">INDEX(Mitigation_Industry!S:S,MATCH($A47,Mitigation_Industry!$H:$H,0))</f>
        <v>2073.23357728365</v>
      </c>
      <c r="T47" s="29" t="n">
        <f aca="false">INDEX(Mitigation_Industry!T:T,MATCH($A47,Mitigation_Industry!$H:$H,0))</f>
        <v>2159.78535014034</v>
      </c>
      <c r="U47" s="29" t="n">
        <f aca="false">INDEX(Mitigation_Industry!U:U,MATCH($A47,Mitigation_Industry!$H:$H,0))</f>
        <v>2248.21113272254</v>
      </c>
      <c r="V47" s="29" t="n">
        <f aca="false">INDEX(Mitigation_Industry!V:V,MATCH($A47,Mitigation_Industry!$H:$H,0))</f>
        <v>2338.83373148022</v>
      </c>
      <c r="W47" s="29" t="n">
        <f aca="false">INDEX(Mitigation_Industry!W:W,MATCH($A47,Mitigation_Industry!$H:$H,0))</f>
        <v>2431.65339429375</v>
      </c>
      <c r="X47" s="29" t="n">
        <f aca="false">INDEX(Mitigation_Industry!X:X,MATCH($A47,Mitigation_Industry!$H:$H,0))</f>
        <v>2526.6687256676</v>
      </c>
      <c r="Y47" s="29" t="n">
        <f aca="false">INDEX(Mitigation_Industry!Y:Y,MATCH($A47,Mitigation_Industry!$H:$H,0))</f>
        <v>2623.87666192218</v>
      </c>
      <c r="Z47" s="29" t="n">
        <f aca="false">INDEX(Mitigation_Industry!Z:Z,MATCH($A47,Mitigation_Industry!$H:$H,0))</f>
        <v>2723.27244300004</v>
      </c>
      <c r="AA47" s="29" t="n">
        <f aca="false">INDEX(Mitigation_Industry!AA:AA,MATCH($A47,Mitigation_Industry!$H:$H,0))</f>
        <v>2824.84958060738</v>
      </c>
      <c r="AB47" s="29" t="n">
        <f aca="false">INDEX(Mitigation_Industry!AB:AB,MATCH($A47,Mitigation_Industry!$H:$H,0))</f>
        <v>2928.59982242349</v>
      </c>
      <c r="AC47" s="29" t="n">
        <f aca="false">INDEX(Mitigation_Industry!AC:AC,MATCH($A47,Mitigation_Industry!$H:$H,0))</f>
        <v>3034.51311212058</v>
      </c>
      <c r="AD47" s="29" t="n">
        <f aca="false">INDEX(Mitigation_Industry!AD:AD,MATCH($A47,Mitigation_Industry!$H:$H,0))</f>
        <v>3142.57754494757</v>
      </c>
      <c r="AE47" s="29" t="n">
        <f aca="false">INDEX(Mitigation_Industry!AE:AE,MATCH($A47,Mitigation_Industry!$H:$H,0))</f>
        <v>3252.7793186411</v>
      </c>
    </row>
    <row r="48" customFormat="false" ht="15" hidden="false" customHeight="false" outlineLevel="0" collapsed="false">
      <c r="A48" s="35" t="s">
        <v>1177</v>
      </c>
      <c r="B48" s="6" t="s">
        <v>57</v>
      </c>
      <c r="C48" s="6" t="s">
        <v>117</v>
      </c>
      <c r="D48" s="6" t="n">
        <v>1</v>
      </c>
      <c r="E48" s="2" t="s">
        <v>1167</v>
      </c>
      <c r="F48" s="40" t="n">
        <f aca="false">MAX(MAX(L48:AE48),-MIN(L48:AE48))</f>
        <v>-0</v>
      </c>
      <c r="K48" s="41" t="n">
        <f aca="false">IF(ISNUMBER(K46),IF(ISNUMBER(K47),K47-K46,999999),0)</f>
        <v>0</v>
      </c>
      <c r="L48" s="41" t="n">
        <f aca="false">IF(ISNUMBER(L46),IF(ISNUMBER(L47),L47-L46,999999),0)</f>
        <v>0</v>
      </c>
      <c r="M48" s="41" t="n">
        <f aca="false">IF(ISNUMBER(M46),IF(ISNUMBER(M47),M47-M46,999999),0)</f>
        <v>0</v>
      </c>
      <c r="N48" s="41" t="n">
        <f aca="false">IF(ISNUMBER(N46),IF(ISNUMBER(N47),N47-N46,999999),0)</f>
        <v>0</v>
      </c>
      <c r="O48" s="41" t="n">
        <f aca="false">IF(ISNUMBER(O46),IF(ISNUMBER(O47),O47-O46,999999),0)</f>
        <v>0</v>
      </c>
      <c r="P48" s="41" t="n">
        <f aca="false">IF(ISNUMBER(P46),IF(ISNUMBER(P47),P47-P46,999999),0)</f>
        <v>0</v>
      </c>
      <c r="Q48" s="41" t="n">
        <f aca="false">IF(ISNUMBER(Q46),IF(ISNUMBER(Q47),Q47-Q46,999999),0)</f>
        <v>0</v>
      </c>
      <c r="R48" s="41" t="n">
        <f aca="false">IF(ISNUMBER(R46),IF(ISNUMBER(R47),R47-R46,999999),0)</f>
        <v>0</v>
      </c>
      <c r="S48" s="41" t="n">
        <f aca="false">IF(ISNUMBER(S46),IF(ISNUMBER(S47),S47-S46,999999),0)</f>
        <v>0</v>
      </c>
      <c r="T48" s="41" t="n">
        <f aca="false">IF(ISNUMBER(T46),IF(ISNUMBER(T47),T47-T46,999999),0)</f>
        <v>0</v>
      </c>
      <c r="U48" s="41" t="n">
        <f aca="false">IF(ISNUMBER(U46),IF(ISNUMBER(U47),U47-U46,999999),0)</f>
        <v>0</v>
      </c>
      <c r="V48" s="41" t="n">
        <f aca="false">IF(ISNUMBER(V46),IF(ISNUMBER(V47),V47-V46,999999),0)</f>
        <v>0</v>
      </c>
      <c r="W48" s="41" t="n">
        <f aca="false">IF(ISNUMBER(W46),IF(ISNUMBER(W47),W47-W46,999999),0)</f>
        <v>0</v>
      </c>
      <c r="X48" s="41" t="n">
        <f aca="false">IF(ISNUMBER(X46),IF(ISNUMBER(X47),X47-X46,999999),0)</f>
        <v>0</v>
      </c>
      <c r="Y48" s="41" t="n">
        <f aca="false">IF(ISNUMBER(Y46),IF(ISNUMBER(Y47),Y47-Y46,999999),0)</f>
        <v>0</v>
      </c>
      <c r="Z48" s="41" t="n">
        <f aca="false">IF(ISNUMBER(Z46),IF(ISNUMBER(Z47),Z47-Z46,999999),0)</f>
        <v>0</v>
      </c>
      <c r="AA48" s="41" t="n">
        <f aca="false">IF(ISNUMBER(AA46),IF(ISNUMBER(AA47),AA47-AA46,999999),0)</f>
        <v>0</v>
      </c>
      <c r="AB48" s="41" t="n">
        <f aca="false">IF(ISNUMBER(AB46),IF(ISNUMBER(AB47),AB47-AB46,999999),0)</f>
        <v>0</v>
      </c>
      <c r="AC48" s="41" t="n">
        <f aca="false">IF(ISNUMBER(AC46),IF(ISNUMBER(AC47),AC47-AC46,999999),0)</f>
        <v>0</v>
      </c>
      <c r="AD48" s="41" t="n">
        <f aca="false">IF(ISNUMBER(AD46),IF(ISNUMBER(AD47),AD47-AD46,999999),0)</f>
        <v>0</v>
      </c>
      <c r="AE48" s="41" t="n">
        <f aca="false">IF(ISNUMBER(AE46),IF(ISNUMBER(AE47),AE47-AE46,999999),0)</f>
        <v>0</v>
      </c>
    </row>
    <row r="50" customFormat="false" ht="15" hidden="false" customHeight="false" outlineLevel="0" collapsed="false">
      <c r="A50" s="35" t="s">
        <v>1178</v>
      </c>
      <c r="B50" s="6" t="s">
        <v>59</v>
      </c>
      <c r="C50" s="6" t="s">
        <v>117</v>
      </c>
      <c r="D50" s="6" t="n">
        <v>1</v>
      </c>
      <c r="E50" s="6" t="s">
        <v>1165</v>
      </c>
      <c r="K50" s="29"/>
      <c r="L50" s="29" t="n">
        <v>0</v>
      </c>
      <c r="M50" s="29" t="n">
        <v>0</v>
      </c>
      <c r="N50" s="29" t="n">
        <v>0</v>
      </c>
      <c r="O50" s="29" t="n">
        <v>0</v>
      </c>
      <c r="P50" s="29" t="n">
        <v>0</v>
      </c>
      <c r="Q50" s="29" t="n">
        <v>0</v>
      </c>
      <c r="R50" s="29" t="n">
        <v>0</v>
      </c>
      <c r="S50" s="29" t="n">
        <v>0</v>
      </c>
      <c r="T50" s="29" t="n">
        <v>0</v>
      </c>
      <c r="U50" s="29" t="n">
        <v>0</v>
      </c>
      <c r="V50" s="29" t="n">
        <v>0</v>
      </c>
      <c r="W50" s="29" t="n">
        <v>0</v>
      </c>
      <c r="X50" s="29" t="n">
        <v>0</v>
      </c>
      <c r="Y50" s="29" t="n">
        <v>0</v>
      </c>
      <c r="Z50" s="29" t="n">
        <v>0</v>
      </c>
      <c r="AA50" s="29" t="n">
        <v>0</v>
      </c>
      <c r="AB50" s="29" t="n">
        <v>0</v>
      </c>
      <c r="AC50" s="29" t="n">
        <v>0</v>
      </c>
      <c r="AD50" s="29" t="n">
        <v>0</v>
      </c>
      <c r="AE50" s="29" t="n">
        <v>0</v>
      </c>
    </row>
    <row r="51" customFormat="false" ht="15" hidden="false" customHeight="false" outlineLevel="0" collapsed="false">
      <c r="A51" s="35" t="s">
        <v>1178</v>
      </c>
      <c r="B51" s="6" t="s">
        <v>59</v>
      </c>
      <c r="C51" s="6" t="s">
        <v>117</v>
      </c>
      <c r="D51" s="6" t="n">
        <v>1</v>
      </c>
      <c r="E51" s="6" t="s">
        <v>1166</v>
      </c>
      <c r="K51" s="29" t="n">
        <f aca="false">INDEX(Mitigation_Industry!K:K,MATCH($A51,Mitigation_Industry!$H:$H,0))</f>
        <v>0</v>
      </c>
      <c r="L51" s="29" t="n">
        <f aca="false">INDEX(Mitigation_Industry!L:L,MATCH($A51,Mitigation_Industry!$H:$H,0))</f>
        <v>0</v>
      </c>
      <c r="M51" s="29" t="n">
        <f aca="false">INDEX(Mitigation_Industry!M:M,MATCH($A51,Mitigation_Industry!$H:$H,0))</f>
        <v>0</v>
      </c>
      <c r="N51" s="29" t="n">
        <f aca="false">INDEX(Mitigation_Industry!N:N,MATCH($A51,Mitigation_Industry!$H:$H,0))</f>
        <v>0</v>
      </c>
      <c r="O51" s="29" t="n">
        <f aca="false">INDEX(Mitigation_Industry!O:O,MATCH($A51,Mitigation_Industry!$H:$H,0))</f>
        <v>0</v>
      </c>
      <c r="P51" s="29" t="n">
        <f aca="false">INDEX(Mitigation_Industry!P:P,MATCH($A51,Mitigation_Industry!$H:$H,0))</f>
        <v>0</v>
      </c>
      <c r="Q51" s="29" t="n">
        <f aca="false">INDEX(Mitigation_Industry!Q:Q,MATCH($A51,Mitigation_Industry!$H:$H,0))</f>
        <v>0</v>
      </c>
      <c r="R51" s="29" t="n">
        <f aca="false">INDEX(Mitigation_Industry!R:R,MATCH($A51,Mitigation_Industry!$H:$H,0))</f>
        <v>0</v>
      </c>
      <c r="S51" s="29" t="n">
        <f aca="false">INDEX(Mitigation_Industry!S:S,MATCH($A51,Mitigation_Industry!$H:$H,0))</f>
        <v>0</v>
      </c>
      <c r="T51" s="29" t="n">
        <f aca="false">INDEX(Mitigation_Industry!T:T,MATCH($A51,Mitigation_Industry!$H:$H,0))</f>
        <v>0</v>
      </c>
      <c r="U51" s="29" t="n">
        <f aca="false">INDEX(Mitigation_Industry!U:U,MATCH($A51,Mitigation_Industry!$H:$H,0))</f>
        <v>0</v>
      </c>
      <c r="V51" s="29" t="n">
        <f aca="false">INDEX(Mitigation_Industry!V:V,MATCH($A51,Mitigation_Industry!$H:$H,0))</f>
        <v>0</v>
      </c>
      <c r="W51" s="29" t="n">
        <f aca="false">INDEX(Mitigation_Industry!W:W,MATCH($A51,Mitigation_Industry!$H:$H,0))</f>
        <v>0</v>
      </c>
      <c r="X51" s="29" t="n">
        <f aca="false">INDEX(Mitigation_Industry!X:X,MATCH($A51,Mitigation_Industry!$H:$H,0))</f>
        <v>0</v>
      </c>
      <c r="Y51" s="29" t="n">
        <f aca="false">INDEX(Mitigation_Industry!Y:Y,MATCH($A51,Mitigation_Industry!$H:$H,0))</f>
        <v>0</v>
      </c>
      <c r="Z51" s="29" t="n">
        <f aca="false">INDEX(Mitigation_Industry!Z:Z,MATCH($A51,Mitigation_Industry!$H:$H,0))</f>
        <v>0</v>
      </c>
      <c r="AA51" s="29" t="n">
        <f aca="false">INDEX(Mitigation_Industry!AA:AA,MATCH($A51,Mitigation_Industry!$H:$H,0))</f>
        <v>0</v>
      </c>
      <c r="AB51" s="29" t="n">
        <f aca="false">INDEX(Mitigation_Industry!AB:AB,MATCH($A51,Mitigation_Industry!$H:$H,0))</f>
        <v>0</v>
      </c>
      <c r="AC51" s="29" t="n">
        <f aca="false">INDEX(Mitigation_Industry!AC:AC,MATCH($A51,Mitigation_Industry!$H:$H,0))</f>
        <v>0</v>
      </c>
      <c r="AD51" s="29" t="n">
        <f aca="false">INDEX(Mitigation_Industry!AD:AD,MATCH($A51,Mitigation_Industry!$H:$H,0))</f>
        <v>0</v>
      </c>
      <c r="AE51" s="29" t="n">
        <f aca="false">INDEX(Mitigation_Industry!AE:AE,MATCH($A51,Mitigation_Industry!$H:$H,0))</f>
        <v>0</v>
      </c>
    </row>
    <row r="52" customFormat="false" ht="15" hidden="false" customHeight="false" outlineLevel="0" collapsed="false">
      <c r="A52" s="35" t="s">
        <v>1178</v>
      </c>
      <c r="B52" s="6" t="s">
        <v>59</v>
      </c>
      <c r="C52" s="6" t="s">
        <v>117</v>
      </c>
      <c r="D52" s="6" t="n">
        <v>1</v>
      </c>
      <c r="E52" s="2" t="s">
        <v>1167</v>
      </c>
      <c r="F52" s="40" t="n">
        <f aca="false">MAX(MAX(L52:AE52),-MIN(L52:AE52))</f>
        <v>-0</v>
      </c>
      <c r="K52" s="41" t="n">
        <f aca="false">IF(ISNUMBER(K50),IF(ISNUMBER(K51),K51-K50,999999),0)</f>
        <v>0</v>
      </c>
      <c r="L52" s="41" t="n">
        <f aca="false">IF(ISNUMBER(L50),IF(ISNUMBER(L51),L51-L50,999999),0)</f>
        <v>0</v>
      </c>
      <c r="M52" s="41" t="n">
        <f aca="false">IF(ISNUMBER(M50),IF(ISNUMBER(M51),M51-M50,999999),0)</f>
        <v>0</v>
      </c>
      <c r="N52" s="41" t="n">
        <f aca="false">IF(ISNUMBER(N50),IF(ISNUMBER(N51),N51-N50,999999),0)</f>
        <v>0</v>
      </c>
      <c r="O52" s="41" t="n">
        <f aca="false">IF(ISNUMBER(O50),IF(ISNUMBER(O51),O51-O50,999999),0)</f>
        <v>0</v>
      </c>
      <c r="P52" s="41" t="n">
        <f aca="false">IF(ISNUMBER(P50),IF(ISNUMBER(P51),P51-P50,999999),0)</f>
        <v>0</v>
      </c>
      <c r="Q52" s="41" t="n">
        <f aca="false">IF(ISNUMBER(Q50),IF(ISNUMBER(Q51),Q51-Q50,999999),0)</f>
        <v>0</v>
      </c>
      <c r="R52" s="41" t="n">
        <f aca="false">IF(ISNUMBER(R50),IF(ISNUMBER(R51),R51-R50,999999),0)</f>
        <v>0</v>
      </c>
      <c r="S52" s="41" t="n">
        <f aca="false">IF(ISNUMBER(S50),IF(ISNUMBER(S51),S51-S50,999999),0)</f>
        <v>0</v>
      </c>
      <c r="T52" s="41" t="n">
        <f aca="false">IF(ISNUMBER(T50),IF(ISNUMBER(T51),T51-T50,999999),0)</f>
        <v>0</v>
      </c>
      <c r="U52" s="41" t="n">
        <f aca="false">IF(ISNUMBER(U50),IF(ISNUMBER(U51),U51-U50,999999),0)</f>
        <v>0</v>
      </c>
      <c r="V52" s="41" t="n">
        <f aca="false">IF(ISNUMBER(V50),IF(ISNUMBER(V51),V51-V50,999999),0)</f>
        <v>0</v>
      </c>
      <c r="W52" s="41" t="n">
        <f aca="false">IF(ISNUMBER(W50),IF(ISNUMBER(W51),W51-W50,999999),0)</f>
        <v>0</v>
      </c>
      <c r="X52" s="41" t="n">
        <f aca="false">IF(ISNUMBER(X50),IF(ISNUMBER(X51),X51-X50,999999),0)</f>
        <v>0</v>
      </c>
      <c r="Y52" s="41" t="n">
        <f aca="false">IF(ISNUMBER(Y50),IF(ISNUMBER(Y51),Y51-Y50,999999),0)</f>
        <v>0</v>
      </c>
      <c r="Z52" s="41" t="n">
        <f aca="false">IF(ISNUMBER(Z50),IF(ISNUMBER(Z51),Z51-Z50,999999),0)</f>
        <v>0</v>
      </c>
      <c r="AA52" s="41" t="n">
        <f aca="false">IF(ISNUMBER(AA50),IF(ISNUMBER(AA51),AA51-AA50,999999),0)</f>
        <v>0</v>
      </c>
      <c r="AB52" s="41" t="n">
        <f aca="false">IF(ISNUMBER(AB50),IF(ISNUMBER(AB51),AB51-AB50,999999),0)</f>
        <v>0</v>
      </c>
      <c r="AC52" s="41" t="n">
        <f aca="false">IF(ISNUMBER(AC50),IF(ISNUMBER(AC51),AC51-AC50,999999),0)</f>
        <v>0</v>
      </c>
      <c r="AD52" s="41" t="n">
        <f aca="false">IF(ISNUMBER(AD50),IF(ISNUMBER(AD51),AD51-AD50,999999),0)</f>
        <v>0</v>
      </c>
      <c r="AE52" s="41" t="n">
        <f aca="false">IF(ISNUMBER(AE50),IF(ISNUMBER(AE51),AE51-AE50,999999),0)</f>
        <v>0</v>
      </c>
    </row>
    <row r="54" customFormat="false" ht="15" hidden="false" customHeight="false" outlineLevel="0" collapsed="false">
      <c r="A54" s="35" t="s">
        <v>1179</v>
      </c>
      <c r="B54" s="6" t="s">
        <v>62</v>
      </c>
      <c r="C54" s="6" t="s">
        <v>117</v>
      </c>
      <c r="D54" s="6" t="n">
        <v>1</v>
      </c>
      <c r="E54" s="6" t="s">
        <v>1165</v>
      </c>
      <c r="K54" s="29"/>
      <c r="L54" s="29" t="n">
        <v>0</v>
      </c>
      <c r="M54" s="29" t="n">
        <v>0</v>
      </c>
      <c r="N54" s="29" t="n">
        <v>0</v>
      </c>
      <c r="O54" s="29" t="n">
        <v>0</v>
      </c>
      <c r="P54" s="29" t="n">
        <v>0</v>
      </c>
      <c r="Q54" s="29" t="n">
        <v>0</v>
      </c>
      <c r="R54" s="29" t="n">
        <v>0</v>
      </c>
      <c r="S54" s="29" t="n">
        <v>0</v>
      </c>
      <c r="T54" s="29" t="n">
        <v>0</v>
      </c>
      <c r="U54" s="29" t="n">
        <v>0</v>
      </c>
      <c r="V54" s="29" t="n">
        <v>0</v>
      </c>
      <c r="W54" s="29" t="n">
        <v>0</v>
      </c>
      <c r="X54" s="29" t="n">
        <v>0</v>
      </c>
      <c r="Y54" s="29" t="n">
        <v>0</v>
      </c>
      <c r="Z54" s="29" t="n">
        <v>0</v>
      </c>
      <c r="AA54" s="29" t="n">
        <v>0</v>
      </c>
      <c r="AB54" s="29" t="n">
        <v>0</v>
      </c>
      <c r="AC54" s="29" t="n">
        <v>0</v>
      </c>
      <c r="AD54" s="29" t="n">
        <v>0</v>
      </c>
      <c r="AE54" s="29" t="n">
        <v>0</v>
      </c>
    </row>
    <row r="55" customFormat="false" ht="15" hidden="false" customHeight="false" outlineLevel="0" collapsed="false">
      <c r="A55" s="35" t="s">
        <v>1179</v>
      </c>
      <c r="B55" s="6" t="s">
        <v>62</v>
      </c>
      <c r="C55" s="6" t="s">
        <v>117</v>
      </c>
      <c r="D55" s="6" t="n">
        <v>1</v>
      </c>
      <c r="E55" s="6" t="s">
        <v>1166</v>
      </c>
      <c r="K55" s="29" t="n">
        <f aca="false">INDEX(Mitigation_Industry!K:K,MATCH($A55,Mitigation_Industry!$H:$H,0))</f>
        <v>0</v>
      </c>
      <c r="L55" s="29" t="n">
        <f aca="false">INDEX(Mitigation_Industry!L:L,MATCH($A55,Mitigation_Industry!$H:$H,0))</f>
        <v>0</v>
      </c>
      <c r="M55" s="29" t="n">
        <f aca="false">INDEX(Mitigation_Industry!M:M,MATCH($A55,Mitigation_Industry!$H:$H,0))</f>
        <v>0</v>
      </c>
      <c r="N55" s="29" t="n">
        <f aca="false">INDEX(Mitigation_Industry!N:N,MATCH($A55,Mitigation_Industry!$H:$H,0))</f>
        <v>0</v>
      </c>
      <c r="O55" s="29" t="n">
        <f aca="false">INDEX(Mitigation_Industry!O:O,MATCH($A55,Mitigation_Industry!$H:$H,0))</f>
        <v>0</v>
      </c>
      <c r="P55" s="29" t="n">
        <f aca="false">INDEX(Mitigation_Industry!P:P,MATCH($A55,Mitigation_Industry!$H:$H,0))</f>
        <v>0</v>
      </c>
      <c r="Q55" s="29" t="n">
        <f aca="false">INDEX(Mitigation_Industry!Q:Q,MATCH($A55,Mitigation_Industry!$H:$H,0))</f>
        <v>0</v>
      </c>
      <c r="R55" s="29" t="n">
        <f aca="false">INDEX(Mitigation_Industry!R:R,MATCH($A55,Mitigation_Industry!$H:$H,0))</f>
        <v>0</v>
      </c>
      <c r="S55" s="29" t="n">
        <f aca="false">INDEX(Mitigation_Industry!S:S,MATCH($A55,Mitigation_Industry!$H:$H,0))</f>
        <v>0</v>
      </c>
      <c r="T55" s="29" t="n">
        <f aca="false">INDEX(Mitigation_Industry!T:T,MATCH($A55,Mitigation_Industry!$H:$H,0))</f>
        <v>0</v>
      </c>
      <c r="U55" s="29" t="n">
        <f aca="false">INDEX(Mitigation_Industry!U:U,MATCH($A55,Mitigation_Industry!$H:$H,0))</f>
        <v>0</v>
      </c>
      <c r="V55" s="29" t="n">
        <f aca="false">INDEX(Mitigation_Industry!V:V,MATCH($A55,Mitigation_Industry!$H:$H,0))</f>
        <v>0</v>
      </c>
      <c r="W55" s="29" t="n">
        <f aca="false">INDEX(Mitigation_Industry!W:W,MATCH($A55,Mitigation_Industry!$H:$H,0))</f>
        <v>0</v>
      </c>
      <c r="X55" s="29" t="n">
        <f aca="false">INDEX(Mitigation_Industry!X:X,MATCH($A55,Mitigation_Industry!$H:$H,0))</f>
        <v>0</v>
      </c>
      <c r="Y55" s="29" t="n">
        <f aca="false">INDEX(Mitigation_Industry!Y:Y,MATCH($A55,Mitigation_Industry!$H:$H,0))</f>
        <v>0</v>
      </c>
      <c r="Z55" s="29" t="n">
        <f aca="false">INDEX(Mitigation_Industry!Z:Z,MATCH($A55,Mitigation_Industry!$H:$H,0))</f>
        <v>0</v>
      </c>
      <c r="AA55" s="29" t="n">
        <f aca="false">INDEX(Mitigation_Industry!AA:AA,MATCH($A55,Mitigation_Industry!$H:$H,0))</f>
        <v>0</v>
      </c>
      <c r="AB55" s="29" t="n">
        <f aca="false">INDEX(Mitigation_Industry!AB:AB,MATCH($A55,Mitigation_Industry!$H:$H,0))</f>
        <v>0</v>
      </c>
      <c r="AC55" s="29" t="n">
        <f aca="false">INDEX(Mitigation_Industry!AC:AC,MATCH($A55,Mitigation_Industry!$H:$H,0))</f>
        <v>0</v>
      </c>
      <c r="AD55" s="29" t="n">
        <f aca="false">INDEX(Mitigation_Industry!AD:AD,MATCH($A55,Mitigation_Industry!$H:$H,0))</f>
        <v>0</v>
      </c>
      <c r="AE55" s="29" t="n">
        <f aca="false">INDEX(Mitigation_Industry!AE:AE,MATCH($A55,Mitigation_Industry!$H:$H,0))</f>
        <v>0</v>
      </c>
    </row>
    <row r="56" customFormat="false" ht="15" hidden="false" customHeight="false" outlineLevel="0" collapsed="false">
      <c r="A56" s="35" t="s">
        <v>1179</v>
      </c>
      <c r="B56" s="6" t="s">
        <v>62</v>
      </c>
      <c r="C56" s="6" t="s">
        <v>117</v>
      </c>
      <c r="D56" s="6" t="n">
        <v>1</v>
      </c>
      <c r="E56" s="2" t="s">
        <v>1167</v>
      </c>
      <c r="F56" s="40" t="n">
        <f aca="false">MAX(MAX(L56:AE56),-MIN(L56:AE56))</f>
        <v>-0</v>
      </c>
      <c r="K56" s="41" t="n">
        <f aca="false">IF(ISNUMBER(K54),IF(ISNUMBER(K55),K55-K54,999999),0)</f>
        <v>0</v>
      </c>
      <c r="L56" s="41" t="n">
        <f aca="false">IF(ISNUMBER(L54),IF(ISNUMBER(L55),L55-L54,999999),0)</f>
        <v>0</v>
      </c>
      <c r="M56" s="41" t="n">
        <f aca="false">IF(ISNUMBER(M54),IF(ISNUMBER(M55),M55-M54,999999),0)</f>
        <v>0</v>
      </c>
      <c r="N56" s="41" t="n">
        <f aca="false">IF(ISNUMBER(N54),IF(ISNUMBER(N55),N55-N54,999999),0)</f>
        <v>0</v>
      </c>
      <c r="O56" s="41" t="n">
        <f aca="false">IF(ISNUMBER(O54),IF(ISNUMBER(O55),O55-O54,999999),0)</f>
        <v>0</v>
      </c>
      <c r="P56" s="41" t="n">
        <f aca="false">IF(ISNUMBER(P54),IF(ISNUMBER(P55),P55-P54,999999),0)</f>
        <v>0</v>
      </c>
      <c r="Q56" s="41" t="n">
        <f aca="false">IF(ISNUMBER(Q54),IF(ISNUMBER(Q55),Q55-Q54,999999),0)</f>
        <v>0</v>
      </c>
      <c r="R56" s="41" t="n">
        <f aca="false">IF(ISNUMBER(R54),IF(ISNUMBER(R55),R55-R54,999999),0)</f>
        <v>0</v>
      </c>
      <c r="S56" s="41" t="n">
        <f aca="false">IF(ISNUMBER(S54),IF(ISNUMBER(S55),S55-S54,999999),0)</f>
        <v>0</v>
      </c>
      <c r="T56" s="41" t="n">
        <f aca="false">IF(ISNUMBER(T54),IF(ISNUMBER(T55),T55-T54,999999),0)</f>
        <v>0</v>
      </c>
      <c r="U56" s="41" t="n">
        <f aca="false">IF(ISNUMBER(U54),IF(ISNUMBER(U55),U55-U54,999999),0)</f>
        <v>0</v>
      </c>
      <c r="V56" s="41" t="n">
        <f aca="false">IF(ISNUMBER(V54),IF(ISNUMBER(V55),V55-V54,999999),0)</f>
        <v>0</v>
      </c>
      <c r="W56" s="41" t="n">
        <f aca="false">IF(ISNUMBER(W54),IF(ISNUMBER(W55),W55-W54,999999),0)</f>
        <v>0</v>
      </c>
      <c r="X56" s="41" t="n">
        <f aca="false">IF(ISNUMBER(X54),IF(ISNUMBER(X55),X55-X54,999999),0)</f>
        <v>0</v>
      </c>
      <c r="Y56" s="41" t="n">
        <f aca="false">IF(ISNUMBER(Y54),IF(ISNUMBER(Y55),Y55-Y54,999999),0)</f>
        <v>0</v>
      </c>
      <c r="Z56" s="41" t="n">
        <f aca="false">IF(ISNUMBER(Z54),IF(ISNUMBER(Z55),Z55-Z54,999999),0)</f>
        <v>0</v>
      </c>
      <c r="AA56" s="41" t="n">
        <f aca="false">IF(ISNUMBER(AA54),IF(ISNUMBER(AA55),AA55-AA54,999999),0)</f>
        <v>0</v>
      </c>
      <c r="AB56" s="41" t="n">
        <f aca="false">IF(ISNUMBER(AB54),IF(ISNUMBER(AB55),AB55-AB54,999999),0)</f>
        <v>0</v>
      </c>
      <c r="AC56" s="41" t="n">
        <f aca="false">IF(ISNUMBER(AC54),IF(ISNUMBER(AC55),AC55-AC54,999999),0)</f>
        <v>0</v>
      </c>
      <c r="AD56" s="41" t="n">
        <f aca="false">IF(ISNUMBER(AD54),IF(ISNUMBER(AD55),AD55-AD54,999999),0)</f>
        <v>0</v>
      </c>
      <c r="AE56" s="41" t="n">
        <f aca="false">IF(ISNUMBER(AE54),IF(ISNUMBER(AE55),AE55-AE54,999999),0)</f>
        <v>0</v>
      </c>
    </row>
    <row r="58" customFormat="false" ht="15" hidden="false" customHeight="false" outlineLevel="0" collapsed="false">
      <c r="A58" s="35" t="s">
        <v>1180</v>
      </c>
      <c r="B58" s="6" t="s">
        <v>64</v>
      </c>
      <c r="C58" s="6" t="s">
        <v>117</v>
      </c>
      <c r="D58" s="6" t="n">
        <v>1</v>
      </c>
      <c r="E58" s="6" t="s">
        <v>1165</v>
      </c>
      <c r="K58" s="29"/>
      <c r="L58" s="29" t="n">
        <v>0</v>
      </c>
      <c r="M58" s="29" t="n">
        <v>0</v>
      </c>
      <c r="N58" s="29" t="n">
        <v>0</v>
      </c>
      <c r="O58" s="29" t="n">
        <v>0</v>
      </c>
      <c r="P58" s="29" t="n">
        <v>0</v>
      </c>
      <c r="Q58" s="29" t="n">
        <v>0</v>
      </c>
      <c r="R58" s="29" t="n">
        <v>0</v>
      </c>
      <c r="S58" s="29" t="n">
        <v>0</v>
      </c>
      <c r="T58" s="29" t="n">
        <v>0</v>
      </c>
      <c r="U58" s="29" t="n">
        <v>0</v>
      </c>
      <c r="V58" s="29" t="n">
        <v>0</v>
      </c>
      <c r="W58" s="29" t="n">
        <v>0</v>
      </c>
      <c r="X58" s="29" t="n">
        <v>0</v>
      </c>
      <c r="Y58" s="29" t="n">
        <v>0</v>
      </c>
      <c r="Z58" s="29" t="n">
        <v>0</v>
      </c>
      <c r="AA58" s="29" t="n">
        <v>0</v>
      </c>
      <c r="AB58" s="29" t="n">
        <v>0</v>
      </c>
      <c r="AC58" s="29" t="n">
        <v>0</v>
      </c>
      <c r="AD58" s="29" t="n">
        <v>0</v>
      </c>
      <c r="AE58" s="29" t="n">
        <v>0</v>
      </c>
    </row>
    <row r="59" customFormat="false" ht="15" hidden="false" customHeight="false" outlineLevel="0" collapsed="false">
      <c r="A59" s="35" t="s">
        <v>1180</v>
      </c>
      <c r="B59" s="6" t="s">
        <v>64</v>
      </c>
      <c r="C59" s="6" t="s">
        <v>117</v>
      </c>
      <c r="D59" s="6" t="n">
        <v>1</v>
      </c>
      <c r="E59" s="6" t="s">
        <v>1166</v>
      </c>
      <c r="K59" s="29" t="n">
        <f aca="false">INDEX(Mitigation_Industry!K:K,MATCH($A59,Mitigation_Industry!$H:$H,0))</f>
        <v>0</v>
      </c>
      <c r="L59" s="29" t="n">
        <f aca="false">INDEX(Mitigation_Industry!L:L,MATCH($A59,Mitigation_Industry!$H:$H,0))</f>
        <v>0</v>
      </c>
      <c r="M59" s="29" t="n">
        <f aca="false">INDEX(Mitigation_Industry!M:M,MATCH($A59,Mitigation_Industry!$H:$H,0))</f>
        <v>0</v>
      </c>
      <c r="N59" s="29" t="n">
        <f aca="false">INDEX(Mitigation_Industry!N:N,MATCH($A59,Mitigation_Industry!$H:$H,0))</f>
        <v>0</v>
      </c>
      <c r="O59" s="29" t="n">
        <f aca="false">INDEX(Mitigation_Industry!O:O,MATCH($A59,Mitigation_Industry!$H:$H,0))</f>
        <v>0</v>
      </c>
      <c r="P59" s="29" t="n">
        <f aca="false">INDEX(Mitigation_Industry!P:P,MATCH($A59,Mitigation_Industry!$H:$H,0))</f>
        <v>0</v>
      </c>
      <c r="Q59" s="29" t="n">
        <f aca="false">INDEX(Mitigation_Industry!Q:Q,MATCH($A59,Mitigation_Industry!$H:$H,0))</f>
        <v>0</v>
      </c>
      <c r="R59" s="29" t="n">
        <f aca="false">INDEX(Mitigation_Industry!R:R,MATCH($A59,Mitigation_Industry!$H:$H,0))</f>
        <v>0</v>
      </c>
      <c r="S59" s="29" t="n">
        <f aca="false">INDEX(Mitigation_Industry!S:S,MATCH($A59,Mitigation_Industry!$H:$H,0))</f>
        <v>0</v>
      </c>
      <c r="T59" s="29" t="n">
        <f aca="false">INDEX(Mitigation_Industry!T:T,MATCH($A59,Mitigation_Industry!$H:$H,0))</f>
        <v>0</v>
      </c>
      <c r="U59" s="29" t="n">
        <f aca="false">INDEX(Mitigation_Industry!U:U,MATCH($A59,Mitigation_Industry!$H:$H,0))</f>
        <v>0</v>
      </c>
      <c r="V59" s="29" t="n">
        <f aca="false">INDEX(Mitigation_Industry!V:V,MATCH($A59,Mitigation_Industry!$H:$H,0))</f>
        <v>0</v>
      </c>
      <c r="W59" s="29" t="n">
        <f aca="false">INDEX(Mitigation_Industry!W:W,MATCH($A59,Mitigation_Industry!$H:$H,0))</f>
        <v>0</v>
      </c>
      <c r="X59" s="29" t="n">
        <f aca="false">INDEX(Mitigation_Industry!X:X,MATCH($A59,Mitigation_Industry!$H:$H,0))</f>
        <v>0</v>
      </c>
      <c r="Y59" s="29" t="n">
        <f aca="false">INDEX(Mitigation_Industry!Y:Y,MATCH($A59,Mitigation_Industry!$H:$H,0))</f>
        <v>0</v>
      </c>
      <c r="Z59" s="29" t="n">
        <f aca="false">INDEX(Mitigation_Industry!Z:Z,MATCH($A59,Mitigation_Industry!$H:$H,0))</f>
        <v>0</v>
      </c>
      <c r="AA59" s="29" t="n">
        <f aca="false">INDEX(Mitigation_Industry!AA:AA,MATCH($A59,Mitigation_Industry!$H:$H,0))</f>
        <v>0</v>
      </c>
      <c r="AB59" s="29" t="n">
        <f aca="false">INDEX(Mitigation_Industry!AB:AB,MATCH($A59,Mitigation_Industry!$H:$H,0))</f>
        <v>0</v>
      </c>
      <c r="AC59" s="29" t="n">
        <f aca="false">INDEX(Mitigation_Industry!AC:AC,MATCH($A59,Mitigation_Industry!$H:$H,0))</f>
        <v>0</v>
      </c>
      <c r="AD59" s="29" t="n">
        <f aca="false">INDEX(Mitigation_Industry!AD:AD,MATCH($A59,Mitigation_Industry!$H:$H,0))</f>
        <v>0</v>
      </c>
      <c r="AE59" s="29" t="n">
        <f aca="false">INDEX(Mitigation_Industry!AE:AE,MATCH($A59,Mitigation_Industry!$H:$H,0))</f>
        <v>0</v>
      </c>
    </row>
    <row r="60" customFormat="false" ht="15" hidden="false" customHeight="false" outlineLevel="0" collapsed="false">
      <c r="A60" s="35" t="s">
        <v>1180</v>
      </c>
      <c r="B60" s="6" t="s">
        <v>64</v>
      </c>
      <c r="C60" s="6" t="s">
        <v>117</v>
      </c>
      <c r="D60" s="6" t="n">
        <v>1</v>
      </c>
      <c r="E60" s="2" t="s">
        <v>1167</v>
      </c>
      <c r="F60" s="40" t="n">
        <f aca="false">MAX(MAX(L60:AE60),-MIN(L60:AE60))</f>
        <v>-0</v>
      </c>
      <c r="K60" s="41" t="n">
        <f aca="false">IF(ISNUMBER(K58),IF(ISNUMBER(K59),K59-K58,999999),0)</f>
        <v>0</v>
      </c>
      <c r="L60" s="41" t="n">
        <f aca="false">IF(ISNUMBER(L58),IF(ISNUMBER(L59),L59-L58,999999),0)</f>
        <v>0</v>
      </c>
      <c r="M60" s="41" t="n">
        <f aca="false">IF(ISNUMBER(M58),IF(ISNUMBER(M59),M59-M58,999999),0)</f>
        <v>0</v>
      </c>
      <c r="N60" s="41" t="n">
        <f aca="false">IF(ISNUMBER(N58),IF(ISNUMBER(N59),N59-N58,999999),0)</f>
        <v>0</v>
      </c>
      <c r="O60" s="41" t="n">
        <f aca="false">IF(ISNUMBER(O58),IF(ISNUMBER(O59),O59-O58,999999),0)</f>
        <v>0</v>
      </c>
      <c r="P60" s="41" t="n">
        <f aca="false">IF(ISNUMBER(P58),IF(ISNUMBER(P59),P59-P58,999999),0)</f>
        <v>0</v>
      </c>
      <c r="Q60" s="41" t="n">
        <f aca="false">IF(ISNUMBER(Q58),IF(ISNUMBER(Q59),Q59-Q58,999999),0)</f>
        <v>0</v>
      </c>
      <c r="R60" s="41" t="n">
        <f aca="false">IF(ISNUMBER(R58),IF(ISNUMBER(R59),R59-R58,999999),0)</f>
        <v>0</v>
      </c>
      <c r="S60" s="41" t="n">
        <f aca="false">IF(ISNUMBER(S58),IF(ISNUMBER(S59),S59-S58,999999),0)</f>
        <v>0</v>
      </c>
      <c r="T60" s="41" t="n">
        <f aca="false">IF(ISNUMBER(T58),IF(ISNUMBER(T59),T59-T58,999999),0)</f>
        <v>0</v>
      </c>
      <c r="U60" s="41" t="n">
        <f aca="false">IF(ISNUMBER(U58),IF(ISNUMBER(U59),U59-U58,999999),0)</f>
        <v>0</v>
      </c>
      <c r="V60" s="41" t="n">
        <f aca="false">IF(ISNUMBER(V58),IF(ISNUMBER(V59),V59-V58,999999),0)</f>
        <v>0</v>
      </c>
      <c r="W60" s="41" t="n">
        <f aca="false">IF(ISNUMBER(W58),IF(ISNUMBER(W59),W59-W58,999999),0)</f>
        <v>0</v>
      </c>
      <c r="X60" s="41" t="n">
        <f aca="false">IF(ISNUMBER(X58),IF(ISNUMBER(X59),X59-X58,999999),0)</f>
        <v>0</v>
      </c>
      <c r="Y60" s="41" t="n">
        <f aca="false">IF(ISNUMBER(Y58),IF(ISNUMBER(Y59),Y59-Y58,999999),0)</f>
        <v>0</v>
      </c>
      <c r="Z60" s="41" t="n">
        <f aca="false">IF(ISNUMBER(Z58),IF(ISNUMBER(Z59),Z59-Z58,999999),0)</f>
        <v>0</v>
      </c>
      <c r="AA60" s="41" t="n">
        <f aca="false">IF(ISNUMBER(AA58),IF(ISNUMBER(AA59),AA59-AA58,999999),0)</f>
        <v>0</v>
      </c>
      <c r="AB60" s="41" t="n">
        <f aca="false">IF(ISNUMBER(AB58),IF(ISNUMBER(AB59),AB59-AB58,999999),0)</f>
        <v>0</v>
      </c>
      <c r="AC60" s="41" t="n">
        <f aca="false">IF(ISNUMBER(AC58),IF(ISNUMBER(AC59),AC59-AC58,999999),0)</f>
        <v>0</v>
      </c>
      <c r="AD60" s="41" t="n">
        <f aca="false">IF(ISNUMBER(AD58),IF(ISNUMBER(AD59),AD59-AD58,999999),0)</f>
        <v>0</v>
      </c>
      <c r="AE60" s="41" t="n">
        <f aca="false">IF(ISNUMBER(AE58),IF(ISNUMBER(AE59),AE59-AE58,999999),0)</f>
        <v>0</v>
      </c>
    </row>
    <row r="62" customFormat="false" ht="15" hidden="false" customHeight="false" outlineLevel="0" collapsed="false">
      <c r="A62" s="35" t="s">
        <v>1181</v>
      </c>
      <c r="B62" s="6" t="s">
        <v>66</v>
      </c>
      <c r="C62" s="6" t="s">
        <v>117</v>
      </c>
      <c r="D62" s="6" t="n">
        <v>1</v>
      </c>
      <c r="E62" s="6" t="s">
        <v>1165</v>
      </c>
      <c r="K62" s="29"/>
      <c r="L62" s="29" t="n">
        <v>0</v>
      </c>
      <c r="M62" s="29" t="n">
        <v>0</v>
      </c>
      <c r="N62" s="29" t="n">
        <v>0</v>
      </c>
      <c r="O62" s="29" t="n">
        <v>0</v>
      </c>
      <c r="P62" s="29" t="n">
        <v>0</v>
      </c>
      <c r="Q62" s="29" t="n">
        <v>0</v>
      </c>
      <c r="R62" s="29" t="n">
        <v>0</v>
      </c>
      <c r="S62" s="29" t="n">
        <v>0</v>
      </c>
      <c r="T62" s="29" t="n">
        <v>0</v>
      </c>
      <c r="U62" s="29" t="n">
        <v>0</v>
      </c>
      <c r="V62" s="29" t="n">
        <v>0</v>
      </c>
      <c r="W62" s="29" t="n">
        <v>0</v>
      </c>
      <c r="X62" s="29" t="n">
        <v>0</v>
      </c>
      <c r="Y62" s="29" t="n">
        <v>0</v>
      </c>
      <c r="Z62" s="29" t="n">
        <v>0</v>
      </c>
      <c r="AA62" s="29" t="n">
        <v>0</v>
      </c>
      <c r="AB62" s="29" t="n">
        <v>0</v>
      </c>
      <c r="AC62" s="29" t="n">
        <v>0</v>
      </c>
      <c r="AD62" s="29" t="n">
        <v>0</v>
      </c>
      <c r="AE62" s="29" t="n">
        <v>0</v>
      </c>
    </row>
    <row r="63" customFormat="false" ht="15" hidden="false" customHeight="false" outlineLevel="0" collapsed="false">
      <c r="A63" s="35" t="s">
        <v>1181</v>
      </c>
      <c r="B63" s="6" t="s">
        <v>66</v>
      </c>
      <c r="C63" s="6" t="s">
        <v>117</v>
      </c>
      <c r="D63" s="6" t="n">
        <v>1</v>
      </c>
      <c r="E63" s="6" t="s">
        <v>1166</v>
      </c>
      <c r="K63" s="29" t="n">
        <f aca="false">INDEX(Mitigation_Industry!K:K,MATCH($A63,Mitigation_Industry!$H:$H,0))</f>
        <v>0</v>
      </c>
      <c r="L63" s="29" t="n">
        <f aca="false">INDEX(Mitigation_Industry!L:L,MATCH($A63,Mitigation_Industry!$H:$H,0))</f>
        <v>0</v>
      </c>
      <c r="M63" s="29" t="n">
        <f aca="false">INDEX(Mitigation_Industry!M:M,MATCH($A63,Mitigation_Industry!$H:$H,0))</f>
        <v>0</v>
      </c>
      <c r="N63" s="29" t="n">
        <f aca="false">INDEX(Mitigation_Industry!N:N,MATCH($A63,Mitigation_Industry!$H:$H,0))</f>
        <v>0</v>
      </c>
      <c r="O63" s="29" t="n">
        <f aca="false">INDEX(Mitigation_Industry!O:O,MATCH($A63,Mitigation_Industry!$H:$H,0))</f>
        <v>0</v>
      </c>
      <c r="P63" s="29" t="n">
        <f aca="false">INDEX(Mitigation_Industry!P:P,MATCH($A63,Mitigation_Industry!$H:$H,0))</f>
        <v>0</v>
      </c>
      <c r="Q63" s="29" t="n">
        <f aca="false">INDEX(Mitigation_Industry!Q:Q,MATCH($A63,Mitigation_Industry!$H:$H,0))</f>
        <v>0</v>
      </c>
      <c r="R63" s="29" t="n">
        <f aca="false">INDEX(Mitigation_Industry!R:R,MATCH($A63,Mitigation_Industry!$H:$H,0))</f>
        <v>0</v>
      </c>
      <c r="S63" s="29" t="n">
        <f aca="false">INDEX(Mitigation_Industry!S:S,MATCH($A63,Mitigation_Industry!$H:$H,0))</f>
        <v>0</v>
      </c>
      <c r="T63" s="29" t="n">
        <f aca="false">INDEX(Mitigation_Industry!T:T,MATCH($A63,Mitigation_Industry!$H:$H,0))</f>
        <v>0</v>
      </c>
      <c r="U63" s="29" t="n">
        <f aca="false">INDEX(Mitigation_Industry!U:U,MATCH($A63,Mitigation_Industry!$H:$H,0))</f>
        <v>0</v>
      </c>
      <c r="V63" s="29" t="n">
        <f aca="false">INDEX(Mitigation_Industry!V:V,MATCH($A63,Mitigation_Industry!$H:$H,0))</f>
        <v>0</v>
      </c>
      <c r="W63" s="29" t="n">
        <f aca="false">INDEX(Mitigation_Industry!W:W,MATCH($A63,Mitigation_Industry!$H:$H,0))</f>
        <v>0</v>
      </c>
      <c r="X63" s="29" t="n">
        <f aca="false">INDEX(Mitigation_Industry!X:X,MATCH($A63,Mitigation_Industry!$H:$H,0))</f>
        <v>0</v>
      </c>
      <c r="Y63" s="29" t="n">
        <f aca="false">INDEX(Mitigation_Industry!Y:Y,MATCH($A63,Mitigation_Industry!$H:$H,0))</f>
        <v>0</v>
      </c>
      <c r="Z63" s="29" t="n">
        <f aca="false">INDEX(Mitigation_Industry!Z:Z,MATCH($A63,Mitigation_Industry!$H:$H,0))</f>
        <v>0</v>
      </c>
      <c r="AA63" s="29" t="n">
        <f aca="false">INDEX(Mitigation_Industry!AA:AA,MATCH($A63,Mitigation_Industry!$H:$H,0))</f>
        <v>0</v>
      </c>
      <c r="AB63" s="29" t="n">
        <f aca="false">INDEX(Mitigation_Industry!AB:AB,MATCH($A63,Mitigation_Industry!$H:$H,0))</f>
        <v>0</v>
      </c>
      <c r="AC63" s="29" t="n">
        <f aca="false">INDEX(Mitigation_Industry!AC:AC,MATCH($A63,Mitigation_Industry!$H:$H,0))</f>
        <v>0</v>
      </c>
      <c r="AD63" s="29" t="n">
        <f aca="false">INDEX(Mitigation_Industry!AD:AD,MATCH($A63,Mitigation_Industry!$H:$H,0))</f>
        <v>0</v>
      </c>
      <c r="AE63" s="29" t="n">
        <f aca="false">INDEX(Mitigation_Industry!AE:AE,MATCH($A63,Mitigation_Industry!$H:$H,0))</f>
        <v>0</v>
      </c>
    </row>
    <row r="64" customFormat="false" ht="15" hidden="false" customHeight="false" outlineLevel="0" collapsed="false">
      <c r="A64" s="35" t="s">
        <v>1181</v>
      </c>
      <c r="B64" s="6" t="s">
        <v>66</v>
      </c>
      <c r="C64" s="6" t="s">
        <v>117</v>
      </c>
      <c r="D64" s="6" t="n">
        <v>1</v>
      </c>
      <c r="E64" s="2" t="s">
        <v>1167</v>
      </c>
      <c r="F64" s="40" t="n">
        <f aca="false">MAX(MAX(L64:AE64),-MIN(L64:AE64))</f>
        <v>-0</v>
      </c>
      <c r="K64" s="41" t="n">
        <f aca="false">IF(ISNUMBER(K62),IF(ISNUMBER(K63),K63-K62,999999),0)</f>
        <v>0</v>
      </c>
      <c r="L64" s="41" t="n">
        <f aca="false">IF(ISNUMBER(L62),IF(ISNUMBER(L63),L63-L62,999999),0)</f>
        <v>0</v>
      </c>
      <c r="M64" s="41" t="n">
        <f aca="false">IF(ISNUMBER(M62),IF(ISNUMBER(M63),M63-M62,999999),0)</f>
        <v>0</v>
      </c>
      <c r="N64" s="41" t="n">
        <f aca="false">IF(ISNUMBER(N62),IF(ISNUMBER(N63),N63-N62,999999),0)</f>
        <v>0</v>
      </c>
      <c r="O64" s="41" t="n">
        <f aca="false">IF(ISNUMBER(O62),IF(ISNUMBER(O63),O63-O62,999999),0)</f>
        <v>0</v>
      </c>
      <c r="P64" s="41" t="n">
        <f aca="false">IF(ISNUMBER(P62),IF(ISNUMBER(P63),P63-P62,999999),0)</f>
        <v>0</v>
      </c>
      <c r="Q64" s="41" t="n">
        <f aca="false">IF(ISNUMBER(Q62),IF(ISNUMBER(Q63),Q63-Q62,999999),0)</f>
        <v>0</v>
      </c>
      <c r="R64" s="41" t="n">
        <f aca="false">IF(ISNUMBER(R62),IF(ISNUMBER(R63),R63-R62,999999),0)</f>
        <v>0</v>
      </c>
      <c r="S64" s="41" t="n">
        <f aca="false">IF(ISNUMBER(S62),IF(ISNUMBER(S63),S63-S62,999999),0)</f>
        <v>0</v>
      </c>
      <c r="T64" s="41" t="n">
        <f aca="false">IF(ISNUMBER(T62),IF(ISNUMBER(T63),T63-T62,999999),0)</f>
        <v>0</v>
      </c>
      <c r="U64" s="41" t="n">
        <f aca="false">IF(ISNUMBER(U62),IF(ISNUMBER(U63),U63-U62,999999),0)</f>
        <v>0</v>
      </c>
      <c r="V64" s="41" t="n">
        <f aca="false">IF(ISNUMBER(V62),IF(ISNUMBER(V63),V63-V62,999999),0)</f>
        <v>0</v>
      </c>
      <c r="W64" s="41" t="n">
        <f aca="false">IF(ISNUMBER(W62),IF(ISNUMBER(W63),W63-W62,999999),0)</f>
        <v>0</v>
      </c>
      <c r="X64" s="41" t="n">
        <f aca="false">IF(ISNUMBER(X62),IF(ISNUMBER(X63),X63-X62,999999),0)</f>
        <v>0</v>
      </c>
      <c r="Y64" s="41" t="n">
        <f aca="false">IF(ISNUMBER(Y62),IF(ISNUMBER(Y63),Y63-Y62,999999),0)</f>
        <v>0</v>
      </c>
      <c r="Z64" s="41" t="n">
        <f aca="false">IF(ISNUMBER(Z62),IF(ISNUMBER(Z63),Z63-Z62,999999),0)</f>
        <v>0</v>
      </c>
      <c r="AA64" s="41" t="n">
        <f aca="false">IF(ISNUMBER(AA62),IF(ISNUMBER(AA63),AA63-AA62,999999),0)</f>
        <v>0</v>
      </c>
      <c r="AB64" s="41" t="n">
        <f aca="false">IF(ISNUMBER(AB62),IF(ISNUMBER(AB63),AB63-AB62,999999),0)</f>
        <v>0</v>
      </c>
      <c r="AC64" s="41" t="n">
        <f aca="false">IF(ISNUMBER(AC62),IF(ISNUMBER(AC63),AC63-AC62,999999),0)</f>
        <v>0</v>
      </c>
      <c r="AD64" s="41" t="n">
        <f aca="false">IF(ISNUMBER(AD62),IF(ISNUMBER(AD63),AD63-AD62,999999),0)</f>
        <v>0</v>
      </c>
      <c r="AE64" s="41" t="n">
        <f aca="false">IF(ISNUMBER(AE62),IF(ISNUMBER(AE63),AE63-AE62,999999),0)</f>
        <v>0</v>
      </c>
    </row>
    <row r="66" customFormat="false" ht="15" hidden="false" customHeight="false" outlineLevel="0" collapsed="false">
      <c r="A66" s="35" t="s">
        <v>1182</v>
      </c>
      <c r="B66" s="6" t="s">
        <v>68</v>
      </c>
      <c r="C66" s="6" t="s">
        <v>117</v>
      </c>
      <c r="D66" s="6" t="n">
        <v>1</v>
      </c>
      <c r="E66" s="6" t="s">
        <v>1165</v>
      </c>
      <c r="K66" s="29"/>
      <c r="L66" s="29" t="n">
        <v>0</v>
      </c>
      <c r="M66" s="29" t="n">
        <v>0</v>
      </c>
      <c r="N66" s="29" t="n">
        <v>0</v>
      </c>
      <c r="O66" s="29" t="n">
        <v>0</v>
      </c>
      <c r="P66" s="29" t="n">
        <v>0</v>
      </c>
      <c r="Q66" s="29" t="n">
        <v>0</v>
      </c>
      <c r="R66" s="29" t="n">
        <v>0</v>
      </c>
      <c r="S66" s="29" t="n">
        <v>0</v>
      </c>
      <c r="T66" s="29" t="n">
        <v>0</v>
      </c>
      <c r="U66" s="29" t="n">
        <v>0</v>
      </c>
      <c r="V66" s="29" t="n">
        <v>0</v>
      </c>
      <c r="W66" s="29" t="n">
        <v>0</v>
      </c>
      <c r="X66" s="29" t="n">
        <v>0</v>
      </c>
      <c r="Y66" s="29" t="n">
        <v>0</v>
      </c>
      <c r="Z66" s="29" t="n">
        <v>0</v>
      </c>
      <c r="AA66" s="29" t="n">
        <v>0</v>
      </c>
      <c r="AB66" s="29" t="n">
        <v>0</v>
      </c>
      <c r="AC66" s="29" t="n">
        <v>0</v>
      </c>
      <c r="AD66" s="29" t="n">
        <v>0</v>
      </c>
      <c r="AE66" s="29" t="n">
        <v>0</v>
      </c>
    </row>
    <row r="67" customFormat="false" ht="15" hidden="false" customHeight="false" outlineLevel="0" collapsed="false">
      <c r="A67" s="35" t="s">
        <v>1182</v>
      </c>
      <c r="B67" s="6" t="s">
        <v>68</v>
      </c>
      <c r="C67" s="6" t="s">
        <v>117</v>
      </c>
      <c r="D67" s="6" t="n">
        <v>1</v>
      </c>
      <c r="E67" s="6" t="s">
        <v>1166</v>
      </c>
      <c r="K67" s="29" t="n">
        <f aca="false">INDEX(Mitigation_Industry!K:K,MATCH($A67,Mitigation_Industry!$H:$H,0))</f>
        <v>0</v>
      </c>
      <c r="L67" s="29" t="n">
        <f aca="false">INDEX(Mitigation_Industry!L:L,MATCH($A67,Mitigation_Industry!$H:$H,0))</f>
        <v>0</v>
      </c>
      <c r="M67" s="29" t="n">
        <f aca="false">INDEX(Mitigation_Industry!M:M,MATCH($A67,Mitigation_Industry!$H:$H,0))</f>
        <v>0</v>
      </c>
      <c r="N67" s="29" t="n">
        <f aca="false">INDEX(Mitigation_Industry!N:N,MATCH($A67,Mitigation_Industry!$H:$H,0))</f>
        <v>0</v>
      </c>
      <c r="O67" s="29" t="n">
        <f aca="false">INDEX(Mitigation_Industry!O:O,MATCH($A67,Mitigation_Industry!$H:$H,0))</f>
        <v>0</v>
      </c>
      <c r="P67" s="29" t="n">
        <f aca="false">INDEX(Mitigation_Industry!P:P,MATCH($A67,Mitigation_Industry!$H:$H,0))</f>
        <v>0</v>
      </c>
      <c r="Q67" s="29" t="n">
        <f aca="false">INDEX(Mitigation_Industry!Q:Q,MATCH($A67,Mitigation_Industry!$H:$H,0))</f>
        <v>0</v>
      </c>
      <c r="R67" s="29" t="n">
        <f aca="false">INDEX(Mitigation_Industry!R:R,MATCH($A67,Mitigation_Industry!$H:$H,0))</f>
        <v>0</v>
      </c>
      <c r="S67" s="29" t="n">
        <f aca="false">INDEX(Mitigation_Industry!S:S,MATCH($A67,Mitigation_Industry!$H:$H,0))</f>
        <v>0</v>
      </c>
      <c r="T67" s="29" t="n">
        <f aca="false">INDEX(Mitigation_Industry!T:T,MATCH($A67,Mitigation_Industry!$H:$H,0))</f>
        <v>0</v>
      </c>
      <c r="U67" s="29" t="n">
        <f aca="false">INDEX(Mitigation_Industry!U:U,MATCH($A67,Mitigation_Industry!$H:$H,0))</f>
        <v>0</v>
      </c>
      <c r="V67" s="29" t="n">
        <f aca="false">INDEX(Mitigation_Industry!V:V,MATCH($A67,Mitigation_Industry!$H:$H,0))</f>
        <v>0</v>
      </c>
      <c r="W67" s="29" t="n">
        <f aca="false">INDEX(Mitigation_Industry!W:W,MATCH($A67,Mitigation_Industry!$H:$H,0))</f>
        <v>0</v>
      </c>
      <c r="X67" s="29" t="n">
        <f aca="false">INDEX(Mitigation_Industry!X:X,MATCH($A67,Mitigation_Industry!$H:$H,0))</f>
        <v>0</v>
      </c>
      <c r="Y67" s="29" t="n">
        <f aca="false">INDEX(Mitigation_Industry!Y:Y,MATCH($A67,Mitigation_Industry!$H:$H,0))</f>
        <v>0</v>
      </c>
      <c r="Z67" s="29" t="n">
        <f aca="false">INDEX(Mitigation_Industry!Z:Z,MATCH($A67,Mitigation_Industry!$H:$H,0))</f>
        <v>0</v>
      </c>
      <c r="AA67" s="29" t="n">
        <f aca="false">INDEX(Mitigation_Industry!AA:AA,MATCH($A67,Mitigation_Industry!$H:$H,0))</f>
        <v>0</v>
      </c>
      <c r="AB67" s="29" t="n">
        <f aca="false">INDEX(Mitigation_Industry!AB:AB,MATCH($A67,Mitigation_Industry!$H:$H,0))</f>
        <v>0</v>
      </c>
      <c r="AC67" s="29" t="n">
        <f aca="false">INDEX(Mitigation_Industry!AC:AC,MATCH($A67,Mitigation_Industry!$H:$H,0))</f>
        <v>0</v>
      </c>
      <c r="AD67" s="29" t="n">
        <f aca="false">INDEX(Mitigation_Industry!AD:AD,MATCH($A67,Mitigation_Industry!$H:$H,0))</f>
        <v>0</v>
      </c>
      <c r="AE67" s="29" t="n">
        <f aca="false">INDEX(Mitigation_Industry!AE:AE,MATCH($A67,Mitigation_Industry!$H:$H,0))</f>
        <v>0</v>
      </c>
    </row>
    <row r="68" customFormat="false" ht="15" hidden="false" customHeight="false" outlineLevel="0" collapsed="false">
      <c r="A68" s="35" t="s">
        <v>1182</v>
      </c>
      <c r="B68" s="6" t="s">
        <v>68</v>
      </c>
      <c r="C68" s="6" t="s">
        <v>117</v>
      </c>
      <c r="D68" s="6" t="n">
        <v>1</v>
      </c>
      <c r="E68" s="2" t="s">
        <v>1167</v>
      </c>
      <c r="F68" s="40" t="n">
        <f aca="false">MAX(MAX(L68:AE68),-MIN(L68:AE68))</f>
        <v>-0</v>
      </c>
      <c r="K68" s="41" t="n">
        <f aca="false">IF(ISNUMBER(K66),IF(ISNUMBER(K67),K67-K66,999999),0)</f>
        <v>0</v>
      </c>
      <c r="L68" s="41" t="n">
        <f aca="false">IF(ISNUMBER(L66),IF(ISNUMBER(L67),L67-L66,999999),0)</f>
        <v>0</v>
      </c>
      <c r="M68" s="41" t="n">
        <f aca="false">IF(ISNUMBER(M66),IF(ISNUMBER(M67),M67-M66,999999),0)</f>
        <v>0</v>
      </c>
      <c r="N68" s="41" t="n">
        <f aca="false">IF(ISNUMBER(N66),IF(ISNUMBER(N67),N67-N66,999999),0)</f>
        <v>0</v>
      </c>
      <c r="O68" s="41" t="n">
        <f aca="false">IF(ISNUMBER(O66),IF(ISNUMBER(O67),O67-O66,999999),0)</f>
        <v>0</v>
      </c>
      <c r="P68" s="41" t="n">
        <f aca="false">IF(ISNUMBER(P66),IF(ISNUMBER(P67),P67-P66,999999),0)</f>
        <v>0</v>
      </c>
      <c r="Q68" s="41" t="n">
        <f aca="false">IF(ISNUMBER(Q66),IF(ISNUMBER(Q67),Q67-Q66,999999),0)</f>
        <v>0</v>
      </c>
      <c r="R68" s="41" t="n">
        <f aca="false">IF(ISNUMBER(R66),IF(ISNUMBER(R67),R67-R66,999999),0)</f>
        <v>0</v>
      </c>
      <c r="S68" s="41" t="n">
        <f aca="false">IF(ISNUMBER(S66),IF(ISNUMBER(S67),S67-S66,999999),0)</f>
        <v>0</v>
      </c>
      <c r="T68" s="41" t="n">
        <f aca="false">IF(ISNUMBER(T66),IF(ISNUMBER(T67),T67-T66,999999),0)</f>
        <v>0</v>
      </c>
      <c r="U68" s="41" t="n">
        <f aca="false">IF(ISNUMBER(U66),IF(ISNUMBER(U67),U67-U66,999999),0)</f>
        <v>0</v>
      </c>
      <c r="V68" s="41" t="n">
        <f aca="false">IF(ISNUMBER(V66),IF(ISNUMBER(V67),V67-V66,999999),0)</f>
        <v>0</v>
      </c>
      <c r="W68" s="41" t="n">
        <f aca="false">IF(ISNUMBER(W66),IF(ISNUMBER(W67),W67-W66,999999),0)</f>
        <v>0</v>
      </c>
      <c r="X68" s="41" t="n">
        <f aca="false">IF(ISNUMBER(X66),IF(ISNUMBER(X67),X67-X66,999999),0)</f>
        <v>0</v>
      </c>
      <c r="Y68" s="41" t="n">
        <f aca="false">IF(ISNUMBER(Y66),IF(ISNUMBER(Y67),Y67-Y66,999999),0)</f>
        <v>0</v>
      </c>
      <c r="Z68" s="41" t="n">
        <f aca="false">IF(ISNUMBER(Z66),IF(ISNUMBER(Z67),Z67-Z66,999999),0)</f>
        <v>0</v>
      </c>
      <c r="AA68" s="41" t="n">
        <f aca="false">IF(ISNUMBER(AA66),IF(ISNUMBER(AA67),AA67-AA66,999999),0)</f>
        <v>0</v>
      </c>
      <c r="AB68" s="41" t="n">
        <f aca="false">IF(ISNUMBER(AB66),IF(ISNUMBER(AB67),AB67-AB66,999999),0)</f>
        <v>0</v>
      </c>
      <c r="AC68" s="41" t="n">
        <f aca="false">IF(ISNUMBER(AC66),IF(ISNUMBER(AC67),AC67-AC66,999999),0)</f>
        <v>0</v>
      </c>
      <c r="AD68" s="41" t="n">
        <f aca="false">IF(ISNUMBER(AD66),IF(ISNUMBER(AD67),AD67-AD66,999999),0)</f>
        <v>0</v>
      </c>
      <c r="AE68" s="41" t="n">
        <f aca="false">IF(ISNUMBER(AE66),IF(ISNUMBER(AE67),AE67-AE66,999999),0)</f>
        <v>0</v>
      </c>
    </row>
    <row r="70" customFormat="false" ht="15" hidden="false" customHeight="false" outlineLevel="0" collapsed="false">
      <c r="A70" s="35" t="s">
        <v>1183</v>
      </c>
      <c r="B70" s="6" t="s">
        <v>71</v>
      </c>
      <c r="C70" s="6" t="s">
        <v>117</v>
      </c>
      <c r="D70" s="6" t="n">
        <v>1</v>
      </c>
      <c r="E70" s="6" t="s">
        <v>1165</v>
      </c>
      <c r="K70" s="29"/>
      <c r="L70" s="29" t="n">
        <v>0</v>
      </c>
      <c r="M70" s="29" t="n">
        <v>0</v>
      </c>
      <c r="N70" s="29" t="n">
        <v>0</v>
      </c>
      <c r="O70" s="29" t="n">
        <v>0</v>
      </c>
      <c r="P70" s="29" t="n">
        <v>0</v>
      </c>
      <c r="Q70" s="29" t="n">
        <v>0</v>
      </c>
      <c r="R70" s="29" t="n">
        <v>0</v>
      </c>
      <c r="S70" s="29" t="n">
        <v>0</v>
      </c>
      <c r="T70" s="29" t="n">
        <v>0</v>
      </c>
      <c r="U70" s="29" t="n">
        <v>0</v>
      </c>
      <c r="V70" s="29" t="n">
        <v>0</v>
      </c>
      <c r="W70" s="29" t="n">
        <v>0</v>
      </c>
      <c r="X70" s="29" t="n">
        <v>0</v>
      </c>
      <c r="Y70" s="29" t="n">
        <v>0</v>
      </c>
      <c r="Z70" s="29" t="n">
        <v>0</v>
      </c>
      <c r="AA70" s="29" t="n">
        <v>0</v>
      </c>
      <c r="AB70" s="29" t="n">
        <v>0</v>
      </c>
      <c r="AC70" s="29" t="n">
        <v>0</v>
      </c>
      <c r="AD70" s="29" t="n">
        <v>0</v>
      </c>
      <c r="AE70" s="29" t="n">
        <v>0</v>
      </c>
    </row>
    <row r="71" customFormat="false" ht="15" hidden="false" customHeight="false" outlineLevel="0" collapsed="false">
      <c r="A71" s="35" t="s">
        <v>1183</v>
      </c>
      <c r="B71" s="6" t="s">
        <v>71</v>
      </c>
      <c r="C71" s="6" t="s">
        <v>117</v>
      </c>
      <c r="D71" s="6" t="n">
        <v>1</v>
      </c>
      <c r="E71" s="6" t="s">
        <v>1166</v>
      </c>
      <c r="K71" s="29" t="n">
        <f aca="false">INDEX(Mitigation_Industry!K:K,MATCH($A71,Mitigation_Industry!$H:$H,0))</f>
        <v>0</v>
      </c>
      <c r="L71" s="29" t="n">
        <f aca="false">INDEX(Mitigation_Industry!L:L,MATCH($A71,Mitigation_Industry!$H:$H,0))</f>
        <v>0</v>
      </c>
      <c r="M71" s="29" t="n">
        <f aca="false">INDEX(Mitigation_Industry!M:M,MATCH($A71,Mitigation_Industry!$H:$H,0))</f>
        <v>0</v>
      </c>
      <c r="N71" s="29" t="n">
        <f aca="false">INDEX(Mitigation_Industry!N:N,MATCH($A71,Mitigation_Industry!$H:$H,0))</f>
        <v>0</v>
      </c>
      <c r="O71" s="29" t="n">
        <f aca="false">INDEX(Mitigation_Industry!O:O,MATCH($A71,Mitigation_Industry!$H:$H,0))</f>
        <v>0</v>
      </c>
      <c r="P71" s="29" t="n">
        <f aca="false">INDEX(Mitigation_Industry!P:P,MATCH($A71,Mitigation_Industry!$H:$H,0))</f>
        <v>0</v>
      </c>
      <c r="Q71" s="29" t="n">
        <f aca="false">INDEX(Mitigation_Industry!Q:Q,MATCH($A71,Mitigation_Industry!$H:$H,0))</f>
        <v>0</v>
      </c>
      <c r="R71" s="29" t="n">
        <f aca="false">INDEX(Mitigation_Industry!R:R,MATCH($A71,Mitigation_Industry!$H:$H,0))</f>
        <v>0</v>
      </c>
      <c r="S71" s="29" t="n">
        <f aca="false">INDEX(Mitigation_Industry!S:S,MATCH($A71,Mitigation_Industry!$H:$H,0))</f>
        <v>0</v>
      </c>
      <c r="T71" s="29" t="n">
        <f aca="false">INDEX(Mitigation_Industry!T:T,MATCH($A71,Mitigation_Industry!$H:$H,0))</f>
        <v>0</v>
      </c>
      <c r="U71" s="29" t="n">
        <f aca="false">INDEX(Mitigation_Industry!U:U,MATCH($A71,Mitigation_Industry!$H:$H,0))</f>
        <v>0</v>
      </c>
      <c r="V71" s="29" t="n">
        <f aca="false">INDEX(Mitigation_Industry!V:V,MATCH($A71,Mitigation_Industry!$H:$H,0))</f>
        <v>0</v>
      </c>
      <c r="W71" s="29" t="n">
        <f aca="false">INDEX(Mitigation_Industry!W:W,MATCH($A71,Mitigation_Industry!$H:$H,0))</f>
        <v>0</v>
      </c>
      <c r="X71" s="29" t="n">
        <f aca="false">INDEX(Mitigation_Industry!X:X,MATCH($A71,Mitigation_Industry!$H:$H,0))</f>
        <v>0</v>
      </c>
      <c r="Y71" s="29" t="n">
        <f aca="false">INDEX(Mitigation_Industry!Y:Y,MATCH($A71,Mitigation_Industry!$H:$H,0))</f>
        <v>0</v>
      </c>
      <c r="Z71" s="29" t="n">
        <f aca="false">INDEX(Mitigation_Industry!Z:Z,MATCH($A71,Mitigation_Industry!$H:$H,0))</f>
        <v>0</v>
      </c>
      <c r="AA71" s="29" t="n">
        <f aca="false">INDEX(Mitigation_Industry!AA:AA,MATCH($A71,Mitigation_Industry!$H:$H,0))</f>
        <v>0</v>
      </c>
      <c r="AB71" s="29" t="n">
        <f aca="false">INDEX(Mitigation_Industry!AB:AB,MATCH($A71,Mitigation_Industry!$H:$H,0))</f>
        <v>0</v>
      </c>
      <c r="AC71" s="29" t="n">
        <f aca="false">INDEX(Mitigation_Industry!AC:AC,MATCH($A71,Mitigation_Industry!$H:$H,0))</f>
        <v>0</v>
      </c>
      <c r="AD71" s="29" t="n">
        <f aca="false">INDEX(Mitigation_Industry!AD:AD,MATCH($A71,Mitigation_Industry!$H:$H,0))</f>
        <v>0</v>
      </c>
      <c r="AE71" s="29" t="n">
        <f aca="false">INDEX(Mitigation_Industry!AE:AE,MATCH($A71,Mitigation_Industry!$H:$H,0))</f>
        <v>0</v>
      </c>
    </row>
    <row r="72" customFormat="false" ht="15" hidden="false" customHeight="false" outlineLevel="0" collapsed="false">
      <c r="A72" s="35" t="s">
        <v>1183</v>
      </c>
      <c r="B72" s="6" t="s">
        <v>71</v>
      </c>
      <c r="C72" s="6" t="s">
        <v>117</v>
      </c>
      <c r="D72" s="6" t="n">
        <v>1</v>
      </c>
      <c r="E72" s="2" t="s">
        <v>1167</v>
      </c>
      <c r="F72" s="40" t="n">
        <f aca="false">MAX(MAX(L72:AE72),-MIN(L72:AE72))</f>
        <v>-0</v>
      </c>
      <c r="K72" s="41" t="n">
        <f aca="false">IF(ISNUMBER(K70),IF(ISNUMBER(K71),K71-K70,999999),0)</f>
        <v>0</v>
      </c>
      <c r="L72" s="41" t="n">
        <f aca="false">IF(ISNUMBER(L70),IF(ISNUMBER(L71),L71-L70,999999),0)</f>
        <v>0</v>
      </c>
      <c r="M72" s="41" t="n">
        <f aca="false">IF(ISNUMBER(M70),IF(ISNUMBER(M71),M71-M70,999999),0)</f>
        <v>0</v>
      </c>
      <c r="N72" s="41" t="n">
        <f aca="false">IF(ISNUMBER(N70),IF(ISNUMBER(N71),N71-N70,999999),0)</f>
        <v>0</v>
      </c>
      <c r="O72" s="41" t="n">
        <f aca="false">IF(ISNUMBER(O70),IF(ISNUMBER(O71),O71-O70,999999),0)</f>
        <v>0</v>
      </c>
      <c r="P72" s="41" t="n">
        <f aca="false">IF(ISNUMBER(P70),IF(ISNUMBER(P71),P71-P70,999999),0)</f>
        <v>0</v>
      </c>
      <c r="Q72" s="41" t="n">
        <f aca="false">IF(ISNUMBER(Q70),IF(ISNUMBER(Q71),Q71-Q70,999999),0)</f>
        <v>0</v>
      </c>
      <c r="R72" s="41" t="n">
        <f aca="false">IF(ISNUMBER(R70),IF(ISNUMBER(R71),R71-R70,999999),0)</f>
        <v>0</v>
      </c>
      <c r="S72" s="41" t="n">
        <f aca="false">IF(ISNUMBER(S70),IF(ISNUMBER(S71),S71-S70,999999),0)</f>
        <v>0</v>
      </c>
      <c r="T72" s="41" t="n">
        <f aca="false">IF(ISNUMBER(T70),IF(ISNUMBER(T71),T71-T70,999999),0)</f>
        <v>0</v>
      </c>
      <c r="U72" s="41" t="n">
        <f aca="false">IF(ISNUMBER(U70),IF(ISNUMBER(U71),U71-U70,999999),0)</f>
        <v>0</v>
      </c>
      <c r="V72" s="41" t="n">
        <f aca="false">IF(ISNUMBER(V70),IF(ISNUMBER(V71),V71-V70,999999),0)</f>
        <v>0</v>
      </c>
      <c r="W72" s="41" t="n">
        <f aca="false">IF(ISNUMBER(W70),IF(ISNUMBER(W71),W71-W70,999999),0)</f>
        <v>0</v>
      </c>
      <c r="X72" s="41" t="n">
        <f aca="false">IF(ISNUMBER(X70),IF(ISNUMBER(X71),X71-X70,999999),0)</f>
        <v>0</v>
      </c>
      <c r="Y72" s="41" t="n">
        <f aca="false">IF(ISNUMBER(Y70),IF(ISNUMBER(Y71),Y71-Y70,999999),0)</f>
        <v>0</v>
      </c>
      <c r="Z72" s="41" t="n">
        <f aca="false">IF(ISNUMBER(Z70),IF(ISNUMBER(Z71),Z71-Z70,999999),0)</f>
        <v>0</v>
      </c>
      <c r="AA72" s="41" t="n">
        <f aca="false">IF(ISNUMBER(AA70),IF(ISNUMBER(AA71),AA71-AA70,999999),0)</f>
        <v>0</v>
      </c>
      <c r="AB72" s="41" t="n">
        <f aca="false">IF(ISNUMBER(AB70),IF(ISNUMBER(AB71),AB71-AB70,999999),0)</f>
        <v>0</v>
      </c>
      <c r="AC72" s="41" t="n">
        <f aca="false">IF(ISNUMBER(AC70),IF(ISNUMBER(AC71),AC71-AC70,999999),0)</f>
        <v>0</v>
      </c>
      <c r="AD72" s="41" t="n">
        <f aca="false">IF(ISNUMBER(AD70),IF(ISNUMBER(AD71),AD71-AD70,999999),0)</f>
        <v>0</v>
      </c>
      <c r="AE72" s="41" t="n">
        <f aca="false">IF(ISNUMBER(AE70),IF(ISNUMBER(AE71),AE71-AE70,999999),0)</f>
        <v>0</v>
      </c>
    </row>
    <row r="74" customFormat="false" ht="15" hidden="false" customHeight="false" outlineLevel="0" collapsed="false">
      <c r="A74" s="35" t="s">
        <v>1184</v>
      </c>
      <c r="B74" s="6" t="s">
        <v>73</v>
      </c>
      <c r="C74" s="6" t="s">
        <v>117</v>
      </c>
      <c r="D74" s="6" t="n">
        <v>1</v>
      </c>
      <c r="E74" s="6" t="s">
        <v>1165</v>
      </c>
      <c r="K74" s="29"/>
      <c r="L74" s="29" t="n">
        <v>0</v>
      </c>
      <c r="M74" s="29" t="n">
        <v>0</v>
      </c>
      <c r="N74" s="29" t="n">
        <v>0</v>
      </c>
      <c r="O74" s="29" t="n">
        <v>0</v>
      </c>
      <c r="P74" s="29" t="n">
        <v>0</v>
      </c>
      <c r="Q74" s="29" t="n">
        <v>0</v>
      </c>
      <c r="R74" s="29" t="n">
        <v>0</v>
      </c>
      <c r="S74" s="29" t="n">
        <v>0</v>
      </c>
      <c r="T74" s="29" t="n">
        <v>0</v>
      </c>
      <c r="U74" s="29" t="n">
        <v>0</v>
      </c>
      <c r="V74" s="29" t="n">
        <v>0</v>
      </c>
      <c r="W74" s="29" t="n">
        <v>0</v>
      </c>
      <c r="X74" s="29" t="n">
        <v>0</v>
      </c>
      <c r="Y74" s="29" t="n">
        <v>0</v>
      </c>
      <c r="Z74" s="29" t="n">
        <v>0</v>
      </c>
      <c r="AA74" s="29" t="n">
        <v>0</v>
      </c>
      <c r="AB74" s="29" t="n">
        <v>0</v>
      </c>
      <c r="AC74" s="29" t="n">
        <v>0</v>
      </c>
      <c r="AD74" s="29" t="n">
        <v>0</v>
      </c>
      <c r="AE74" s="29" t="n">
        <v>0</v>
      </c>
    </row>
    <row r="75" customFormat="false" ht="15" hidden="false" customHeight="false" outlineLevel="0" collapsed="false">
      <c r="A75" s="35" t="s">
        <v>1184</v>
      </c>
      <c r="B75" s="6" t="s">
        <v>73</v>
      </c>
      <c r="C75" s="6" t="s">
        <v>117</v>
      </c>
      <c r="D75" s="6" t="n">
        <v>1</v>
      </c>
      <c r="E75" s="6" t="s">
        <v>1166</v>
      </c>
      <c r="K75" s="29" t="n">
        <f aca="false">INDEX(Mitigation_Industry!K:K,MATCH($A75,Mitigation_Industry!$H:$H,0))</f>
        <v>0</v>
      </c>
      <c r="L75" s="29" t="n">
        <f aca="false">INDEX(Mitigation_Industry!L:L,MATCH($A75,Mitigation_Industry!$H:$H,0))</f>
        <v>0</v>
      </c>
      <c r="M75" s="29" t="n">
        <f aca="false">INDEX(Mitigation_Industry!M:M,MATCH($A75,Mitigation_Industry!$H:$H,0))</f>
        <v>0</v>
      </c>
      <c r="N75" s="29" t="n">
        <f aca="false">INDEX(Mitigation_Industry!N:N,MATCH($A75,Mitigation_Industry!$H:$H,0))</f>
        <v>0</v>
      </c>
      <c r="O75" s="29" t="n">
        <f aca="false">INDEX(Mitigation_Industry!O:O,MATCH($A75,Mitigation_Industry!$H:$H,0))</f>
        <v>0</v>
      </c>
      <c r="P75" s="29" t="n">
        <f aca="false">INDEX(Mitigation_Industry!P:P,MATCH($A75,Mitigation_Industry!$H:$H,0))</f>
        <v>0</v>
      </c>
      <c r="Q75" s="29" t="n">
        <f aca="false">INDEX(Mitigation_Industry!Q:Q,MATCH($A75,Mitigation_Industry!$H:$H,0))</f>
        <v>0</v>
      </c>
      <c r="R75" s="29" t="n">
        <f aca="false">INDEX(Mitigation_Industry!R:R,MATCH($A75,Mitigation_Industry!$H:$H,0))</f>
        <v>0</v>
      </c>
      <c r="S75" s="29" t="n">
        <f aca="false">INDEX(Mitigation_Industry!S:S,MATCH($A75,Mitigation_Industry!$H:$H,0))</f>
        <v>0</v>
      </c>
      <c r="T75" s="29" t="n">
        <f aca="false">INDEX(Mitigation_Industry!T:T,MATCH($A75,Mitigation_Industry!$H:$H,0))</f>
        <v>0</v>
      </c>
      <c r="U75" s="29" t="n">
        <f aca="false">INDEX(Mitigation_Industry!U:U,MATCH($A75,Mitigation_Industry!$H:$H,0))</f>
        <v>0</v>
      </c>
      <c r="V75" s="29" t="n">
        <f aca="false">INDEX(Mitigation_Industry!V:V,MATCH($A75,Mitigation_Industry!$H:$H,0))</f>
        <v>0</v>
      </c>
      <c r="W75" s="29" t="n">
        <f aca="false">INDEX(Mitigation_Industry!W:W,MATCH($A75,Mitigation_Industry!$H:$H,0))</f>
        <v>0</v>
      </c>
      <c r="X75" s="29" t="n">
        <f aca="false">INDEX(Mitigation_Industry!X:X,MATCH($A75,Mitigation_Industry!$H:$H,0))</f>
        <v>0</v>
      </c>
      <c r="Y75" s="29" t="n">
        <f aca="false">INDEX(Mitigation_Industry!Y:Y,MATCH($A75,Mitigation_Industry!$H:$H,0))</f>
        <v>0</v>
      </c>
      <c r="Z75" s="29" t="n">
        <f aca="false">INDEX(Mitigation_Industry!Z:Z,MATCH($A75,Mitigation_Industry!$H:$H,0))</f>
        <v>0</v>
      </c>
      <c r="AA75" s="29" t="n">
        <f aca="false">INDEX(Mitigation_Industry!AA:AA,MATCH($A75,Mitigation_Industry!$H:$H,0))</f>
        <v>0</v>
      </c>
      <c r="AB75" s="29" t="n">
        <f aca="false">INDEX(Mitigation_Industry!AB:AB,MATCH($A75,Mitigation_Industry!$H:$H,0))</f>
        <v>0</v>
      </c>
      <c r="AC75" s="29" t="n">
        <f aca="false">INDEX(Mitigation_Industry!AC:AC,MATCH($A75,Mitigation_Industry!$H:$H,0))</f>
        <v>0</v>
      </c>
      <c r="AD75" s="29" t="n">
        <f aca="false">INDEX(Mitigation_Industry!AD:AD,MATCH($A75,Mitigation_Industry!$H:$H,0))</f>
        <v>0</v>
      </c>
      <c r="AE75" s="29" t="n">
        <f aca="false">INDEX(Mitigation_Industry!AE:AE,MATCH($A75,Mitigation_Industry!$H:$H,0))</f>
        <v>0</v>
      </c>
    </row>
    <row r="76" customFormat="false" ht="15" hidden="false" customHeight="false" outlineLevel="0" collapsed="false">
      <c r="A76" s="35" t="s">
        <v>1184</v>
      </c>
      <c r="B76" s="6" t="s">
        <v>73</v>
      </c>
      <c r="C76" s="6" t="s">
        <v>117</v>
      </c>
      <c r="D76" s="6" t="n">
        <v>1</v>
      </c>
      <c r="E76" s="2" t="s">
        <v>1167</v>
      </c>
      <c r="F76" s="40" t="n">
        <f aca="false">MAX(MAX(L76:AE76),-MIN(L76:AE76))</f>
        <v>-0</v>
      </c>
      <c r="K76" s="41" t="n">
        <f aca="false">IF(ISNUMBER(K74),IF(ISNUMBER(K75),K75-K74,999999),0)</f>
        <v>0</v>
      </c>
      <c r="L76" s="41" t="n">
        <f aca="false">IF(ISNUMBER(L74),IF(ISNUMBER(L75),L75-L74,999999),0)</f>
        <v>0</v>
      </c>
      <c r="M76" s="41" t="n">
        <f aca="false">IF(ISNUMBER(M74),IF(ISNUMBER(M75),M75-M74,999999),0)</f>
        <v>0</v>
      </c>
      <c r="N76" s="41" t="n">
        <f aca="false">IF(ISNUMBER(N74),IF(ISNUMBER(N75),N75-N74,999999),0)</f>
        <v>0</v>
      </c>
      <c r="O76" s="41" t="n">
        <f aca="false">IF(ISNUMBER(O74),IF(ISNUMBER(O75),O75-O74,999999),0)</f>
        <v>0</v>
      </c>
      <c r="P76" s="41" t="n">
        <f aca="false">IF(ISNUMBER(P74),IF(ISNUMBER(P75),P75-P74,999999),0)</f>
        <v>0</v>
      </c>
      <c r="Q76" s="41" t="n">
        <f aca="false">IF(ISNUMBER(Q74),IF(ISNUMBER(Q75),Q75-Q74,999999),0)</f>
        <v>0</v>
      </c>
      <c r="R76" s="41" t="n">
        <f aca="false">IF(ISNUMBER(R74),IF(ISNUMBER(R75),R75-R74,999999),0)</f>
        <v>0</v>
      </c>
      <c r="S76" s="41" t="n">
        <f aca="false">IF(ISNUMBER(S74),IF(ISNUMBER(S75),S75-S74,999999),0)</f>
        <v>0</v>
      </c>
      <c r="T76" s="41" t="n">
        <f aca="false">IF(ISNUMBER(T74),IF(ISNUMBER(T75),T75-T74,999999),0)</f>
        <v>0</v>
      </c>
      <c r="U76" s="41" t="n">
        <f aca="false">IF(ISNUMBER(U74),IF(ISNUMBER(U75),U75-U74,999999),0)</f>
        <v>0</v>
      </c>
      <c r="V76" s="41" t="n">
        <f aca="false">IF(ISNUMBER(V74),IF(ISNUMBER(V75),V75-V74,999999),0)</f>
        <v>0</v>
      </c>
      <c r="W76" s="41" t="n">
        <f aca="false">IF(ISNUMBER(W74),IF(ISNUMBER(W75),W75-W74,999999),0)</f>
        <v>0</v>
      </c>
      <c r="X76" s="41" t="n">
        <f aca="false">IF(ISNUMBER(X74),IF(ISNUMBER(X75),X75-X74,999999),0)</f>
        <v>0</v>
      </c>
      <c r="Y76" s="41" t="n">
        <f aca="false">IF(ISNUMBER(Y74),IF(ISNUMBER(Y75),Y75-Y74,999999),0)</f>
        <v>0</v>
      </c>
      <c r="Z76" s="41" t="n">
        <f aca="false">IF(ISNUMBER(Z74),IF(ISNUMBER(Z75),Z75-Z74,999999),0)</f>
        <v>0</v>
      </c>
      <c r="AA76" s="41" t="n">
        <f aca="false">IF(ISNUMBER(AA74),IF(ISNUMBER(AA75),AA75-AA74,999999),0)</f>
        <v>0</v>
      </c>
      <c r="AB76" s="41" t="n">
        <f aca="false">IF(ISNUMBER(AB74),IF(ISNUMBER(AB75),AB75-AB74,999999),0)</f>
        <v>0</v>
      </c>
      <c r="AC76" s="41" t="n">
        <f aca="false">IF(ISNUMBER(AC74),IF(ISNUMBER(AC75),AC75-AC74,999999),0)</f>
        <v>0</v>
      </c>
      <c r="AD76" s="41" t="n">
        <f aca="false">IF(ISNUMBER(AD74),IF(ISNUMBER(AD75),AD75-AD74,999999),0)</f>
        <v>0</v>
      </c>
      <c r="AE76" s="41" t="n">
        <f aca="false">IF(ISNUMBER(AE74),IF(ISNUMBER(AE75),AE75-AE74,999999),0)</f>
        <v>0</v>
      </c>
    </row>
    <row r="78" customFormat="false" ht="15" hidden="false" customHeight="false" outlineLevel="0" collapsed="false">
      <c r="A78" s="35" t="s">
        <v>1185</v>
      </c>
      <c r="B78" s="6" t="s">
        <v>53</v>
      </c>
      <c r="C78" s="6" t="s">
        <v>119</v>
      </c>
      <c r="D78" s="6" t="n">
        <v>1</v>
      </c>
      <c r="E78" s="6" t="s">
        <v>1165</v>
      </c>
      <c r="K78" s="29"/>
      <c r="L78" s="29" t="n">
        <v>0</v>
      </c>
      <c r="M78" s="29" t="n">
        <v>0</v>
      </c>
      <c r="N78" s="29" t="n">
        <v>0</v>
      </c>
      <c r="O78" s="29" t="n">
        <v>0</v>
      </c>
      <c r="P78" s="29" t="n">
        <v>0</v>
      </c>
      <c r="Q78" s="29" t="n">
        <v>0</v>
      </c>
      <c r="R78" s="29" t="n">
        <v>0</v>
      </c>
      <c r="S78" s="29" t="n">
        <v>0</v>
      </c>
      <c r="T78" s="29" t="n">
        <v>0</v>
      </c>
      <c r="U78" s="29" t="n">
        <v>0</v>
      </c>
      <c r="V78" s="29" t="n">
        <v>0</v>
      </c>
      <c r="W78" s="29" t="n">
        <v>0</v>
      </c>
      <c r="X78" s="29" t="n">
        <v>0</v>
      </c>
      <c r="Y78" s="29" t="n">
        <v>0</v>
      </c>
      <c r="Z78" s="29" t="n">
        <v>0</v>
      </c>
      <c r="AA78" s="29" t="n">
        <v>0</v>
      </c>
      <c r="AB78" s="29" t="n">
        <v>0</v>
      </c>
      <c r="AC78" s="29" t="n">
        <v>0</v>
      </c>
      <c r="AD78" s="29" t="n">
        <v>0</v>
      </c>
      <c r="AE78" s="29" t="n">
        <v>0</v>
      </c>
    </row>
    <row r="79" customFormat="false" ht="15" hidden="false" customHeight="false" outlineLevel="0" collapsed="false">
      <c r="A79" s="35" t="s">
        <v>1185</v>
      </c>
      <c r="B79" s="6" t="s">
        <v>53</v>
      </c>
      <c r="C79" s="6" t="s">
        <v>119</v>
      </c>
      <c r="D79" s="6" t="n">
        <v>1</v>
      </c>
      <c r="E79" s="6" t="s">
        <v>1166</v>
      </c>
      <c r="K79" s="29" t="n">
        <f aca="false">INDEX(Mitigation_Industry!K:K,MATCH($A79,Mitigation_Industry!$H:$H,0))</f>
        <v>0</v>
      </c>
      <c r="L79" s="29" t="n">
        <f aca="false">INDEX(Mitigation_Industry!L:L,MATCH($A79,Mitigation_Industry!$H:$H,0))</f>
        <v>0</v>
      </c>
      <c r="M79" s="29" t="n">
        <f aca="false">INDEX(Mitigation_Industry!M:M,MATCH($A79,Mitigation_Industry!$H:$H,0))</f>
        <v>0</v>
      </c>
      <c r="N79" s="29" t="n">
        <f aca="false">INDEX(Mitigation_Industry!N:N,MATCH($A79,Mitigation_Industry!$H:$H,0))</f>
        <v>0</v>
      </c>
      <c r="O79" s="29" t="n">
        <f aca="false">INDEX(Mitigation_Industry!O:O,MATCH($A79,Mitigation_Industry!$H:$H,0))</f>
        <v>0</v>
      </c>
      <c r="P79" s="29" t="n">
        <f aca="false">INDEX(Mitigation_Industry!P:P,MATCH($A79,Mitigation_Industry!$H:$H,0))</f>
        <v>0</v>
      </c>
      <c r="Q79" s="29" t="n">
        <f aca="false">INDEX(Mitigation_Industry!Q:Q,MATCH($A79,Mitigation_Industry!$H:$H,0))</f>
        <v>0</v>
      </c>
      <c r="R79" s="29" t="n">
        <f aca="false">INDEX(Mitigation_Industry!R:R,MATCH($A79,Mitigation_Industry!$H:$H,0))</f>
        <v>0</v>
      </c>
      <c r="S79" s="29" t="n">
        <f aca="false">INDEX(Mitigation_Industry!S:S,MATCH($A79,Mitigation_Industry!$H:$H,0))</f>
        <v>0</v>
      </c>
      <c r="T79" s="29" t="n">
        <f aca="false">INDEX(Mitigation_Industry!T:T,MATCH($A79,Mitigation_Industry!$H:$H,0))</f>
        <v>0</v>
      </c>
      <c r="U79" s="29" t="n">
        <f aca="false">INDEX(Mitigation_Industry!U:U,MATCH($A79,Mitigation_Industry!$H:$H,0))</f>
        <v>0</v>
      </c>
      <c r="V79" s="29" t="n">
        <f aca="false">INDEX(Mitigation_Industry!V:V,MATCH($A79,Mitigation_Industry!$H:$H,0))</f>
        <v>0</v>
      </c>
      <c r="W79" s="29" t="n">
        <f aca="false">INDEX(Mitigation_Industry!W:W,MATCH($A79,Mitigation_Industry!$H:$H,0))</f>
        <v>0</v>
      </c>
      <c r="X79" s="29" t="n">
        <f aca="false">INDEX(Mitigation_Industry!X:X,MATCH($A79,Mitigation_Industry!$H:$H,0))</f>
        <v>0</v>
      </c>
      <c r="Y79" s="29" t="n">
        <f aca="false">INDEX(Mitigation_Industry!Y:Y,MATCH($A79,Mitigation_Industry!$H:$H,0))</f>
        <v>0</v>
      </c>
      <c r="Z79" s="29" t="n">
        <f aca="false">INDEX(Mitigation_Industry!Z:Z,MATCH($A79,Mitigation_Industry!$H:$H,0))</f>
        <v>0</v>
      </c>
      <c r="AA79" s="29" t="n">
        <f aca="false">INDEX(Mitigation_Industry!AA:AA,MATCH($A79,Mitigation_Industry!$H:$H,0))</f>
        <v>0</v>
      </c>
      <c r="AB79" s="29" t="n">
        <f aca="false">INDEX(Mitigation_Industry!AB:AB,MATCH($A79,Mitigation_Industry!$H:$H,0))</f>
        <v>0</v>
      </c>
      <c r="AC79" s="29" t="n">
        <f aca="false">INDEX(Mitigation_Industry!AC:AC,MATCH($A79,Mitigation_Industry!$H:$H,0))</f>
        <v>0</v>
      </c>
      <c r="AD79" s="29" t="n">
        <f aca="false">INDEX(Mitigation_Industry!AD:AD,MATCH($A79,Mitigation_Industry!$H:$H,0))</f>
        <v>0</v>
      </c>
      <c r="AE79" s="29" t="n">
        <f aca="false">INDEX(Mitigation_Industry!AE:AE,MATCH($A79,Mitigation_Industry!$H:$H,0))</f>
        <v>0</v>
      </c>
    </row>
    <row r="80" customFormat="false" ht="15" hidden="false" customHeight="false" outlineLevel="0" collapsed="false">
      <c r="A80" s="35" t="s">
        <v>1185</v>
      </c>
      <c r="B80" s="6" t="s">
        <v>53</v>
      </c>
      <c r="C80" s="6" t="s">
        <v>119</v>
      </c>
      <c r="D80" s="6" t="n">
        <v>1</v>
      </c>
      <c r="E80" s="2" t="s">
        <v>1167</v>
      </c>
      <c r="F80" s="40" t="n">
        <f aca="false">MAX(MAX(L80:AE80),-MIN(L80:AE80))</f>
        <v>-0</v>
      </c>
      <c r="K80" s="41" t="n">
        <f aca="false">IF(ISNUMBER(K78),IF(ISNUMBER(K79),K79-K78,999999),0)</f>
        <v>0</v>
      </c>
      <c r="L80" s="41" t="n">
        <f aca="false">IF(ISNUMBER(L78),IF(ISNUMBER(L79),L79-L78,999999),0)</f>
        <v>0</v>
      </c>
      <c r="M80" s="41" t="n">
        <f aca="false">IF(ISNUMBER(M78),IF(ISNUMBER(M79),M79-M78,999999),0)</f>
        <v>0</v>
      </c>
      <c r="N80" s="41" t="n">
        <f aca="false">IF(ISNUMBER(N78),IF(ISNUMBER(N79),N79-N78,999999),0)</f>
        <v>0</v>
      </c>
      <c r="O80" s="41" t="n">
        <f aca="false">IF(ISNUMBER(O78),IF(ISNUMBER(O79),O79-O78,999999),0)</f>
        <v>0</v>
      </c>
      <c r="P80" s="41" t="n">
        <f aca="false">IF(ISNUMBER(P78),IF(ISNUMBER(P79),P79-P78,999999),0)</f>
        <v>0</v>
      </c>
      <c r="Q80" s="41" t="n">
        <f aca="false">IF(ISNUMBER(Q78),IF(ISNUMBER(Q79),Q79-Q78,999999),0)</f>
        <v>0</v>
      </c>
      <c r="R80" s="41" t="n">
        <f aca="false">IF(ISNUMBER(R78),IF(ISNUMBER(R79),R79-R78,999999),0)</f>
        <v>0</v>
      </c>
      <c r="S80" s="41" t="n">
        <f aca="false">IF(ISNUMBER(S78),IF(ISNUMBER(S79),S79-S78,999999),0)</f>
        <v>0</v>
      </c>
      <c r="T80" s="41" t="n">
        <f aca="false">IF(ISNUMBER(T78),IF(ISNUMBER(T79),T79-T78,999999),0)</f>
        <v>0</v>
      </c>
      <c r="U80" s="41" t="n">
        <f aca="false">IF(ISNUMBER(U78),IF(ISNUMBER(U79),U79-U78,999999),0)</f>
        <v>0</v>
      </c>
      <c r="V80" s="41" t="n">
        <f aca="false">IF(ISNUMBER(V78),IF(ISNUMBER(V79),V79-V78,999999),0)</f>
        <v>0</v>
      </c>
      <c r="W80" s="41" t="n">
        <f aca="false">IF(ISNUMBER(W78),IF(ISNUMBER(W79),W79-W78,999999),0)</f>
        <v>0</v>
      </c>
      <c r="X80" s="41" t="n">
        <f aca="false">IF(ISNUMBER(X78),IF(ISNUMBER(X79),X79-X78,999999),0)</f>
        <v>0</v>
      </c>
      <c r="Y80" s="41" t="n">
        <f aca="false">IF(ISNUMBER(Y78),IF(ISNUMBER(Y79),Y79-Y78,999999),0)</f>
        <v>0</v>
      </c>
      <c r="Z80" s="41" t="n">
        <f aca="false">IF(ISNUMBER(Z78),IF(ISNUMBER(Z79),Z79-Z78,999999),0)</f>
        <v>0</v>
      </c>
      <c r="AA80" s="41" t="n">
        <f aca="false">IF(ISNUMBER(AA78),IF(ISNUMBER(AA79),AA79-AA78,999999),0)</f>
        <v>0</v>
      </c>
      <c r="AB80" s="41" t="n">
        <f aca="false">IF(ISNUMBER(AB78),IF(ISNUMBER(AB79),AB79-AB78,999999),0)</f>
        <v>0</v>
      </c>
      <c r="AC80" s="41" t="n">
        <f aca="false">IF(ISNUMBER(AC78),IF(ISNUMBER(AC79),AC79-AC78,999999),0)</f>
        <v>0</v>
      </c>
      <c r="AD80" s="41" t="n">
        <f aca="false">IF(ISNUMBER(AD78),IF(ISNUMBER(AD79),AD79-AD78,999999),0)</f>
        <v>0</v>
      </c>
      <c r="AE80" s="41" t="n">
        <f aca="false">IF(ISNUMBER(AE78),IF(ISNUMBER(AE79),AE79-AE78,999999),0)</f>
        <v>0</v>
      </c>
    </row>
    <row r="82" customFormat="false" ht="15" hidden="false" customHeight="false" outlineLevel="0" collapsed="false">
      <c r="A82" s="35" t="s">
        <v>1186</v>
      </c>
      <c r="B82" s="6" t="s">
        <v>57</v>
      </c>
      <c r="C82" s="6" t="s">
        <v>119</v>
      </c>
      <c r="D82" s="6" t="n">
        <v>1</v>
      </c>
      <c r="E82" s="6" t="s">
        <v>1165</v>
      </c>
      <c r="K82" s="29"/>
      <c r="L82" s="29" t="n">
        <v>0</v>
      </c>
      <c r="M82" s="29" t="n">
        <v>0</v>
      </c>
      <c r="N82" s="29" t="n">
        <v>0</v>
      </c>
      <c r="O82" s="29" t="n">
        <v>0</v>
      </c>
      <c r="P82" s="29" t="n">
        <v>0</v>
      </c>
      <c r="Q82" s="29" t="n">
        <v>0</v>
      </c>
      <c r="R82" s="29" t="n">
        <v>0</v>
      </c>
      <c r="S82" s="29" t="n">
        <v>0</v>
      </c>
      <c r="T82" s="29" t="n">
        <v>0</v>
      </c>
      <c r="U82" s="29" t="n">
        <v>0</v>
      </c>
      <c r="V82" s="29" t="n">
        <v>0</v>
      </c>
      <c r="W82" s="29" t="n">
        <v>0</v>
      </c>
      <c r="X82" s="29" t="n">
        <v>0</v>
      </c>
      <c r="Y82" s="29" t="n">
        <v>0</v>
      </c>
      <c r="Z82" s="29" t="n">
        <v>0</v>
      </c>
      <c r="AA82" s="29" t="n">
        <v>0</v>
      </c>
      <c r="AB82" s="29" t="n">
        <v>0</v>
      </c>
      <c r="AC82" s="29" t="n">
        <v>0</v>
      </c>
      <c r="AD82" s="29" t="n">
        <v>0</v>
      </c>
      <c r="AE82" s="29" t="n">
        <v>0</v>
      </c>
    </row>
    <row r="83" customFormat="false" ht="15" hidden="false" customHeight="false" outlineLevel="0" collapsed="false">
      <c r="A83" s="35" t="s">
        <v>1186</v>
      </c>
      <c r="B83" s="6" t="s">
        <v>57</v>
      </c>
      <c r="C83" s="6" t="s">
        <v>119</v>
      </c>
      <c r="D83" s="6" t="n">
        <v>1</v>
      </c>
      <c r="E83" s="6" t="s">
        <v>1166</v>
      </c>
      <c r="K83" s="29" t="n">
        <f aca="false">INDEX(Mitigation_Industry!K:K,MATCH($A83,Mitigation_Industry!$H:$H,0))</f>
        <v>0</v>
      </c>
      <c r="L83" s="29" t="n">
        <f aca="false">INDEX(Mitigation_Industry!L:L,MATCH($A83,Mitigation_Industry!$H:$H,0))</f>
        <v>0</v>
      </c>
      <c r="M83" s="29" t="n">
        <f aca="false">INDEX(Mitigation_Industry!M:M,MATCH($A83,Mitigation_Industry!$H:$H,0))</f>
        <v>0</v>
      </c>
      <c r="N83" s="29" t="n">
        <f aca="false">INDEX(Mitigation_Industry!N:N,MATCH($A83,Mitigation_Industry!$H:$H,0))</f>
        <v>0</v>
      </c>
      <c r="O83" s="29" t="n">
        <f aca="false">INDEX(Mitigation_Industry!O:O,MATCH($A83,Mitigation_Industry!$H:$H,0))</f>
        <v>0</v>
      </c>
      <c r="P83" s="29" t="n">
        <f aca="false">INDEX(Mitigation_Industry!P:P,MATCH($A83,Mitigation_Industry!$H:$H,0))</f>
        <v>0</v>
      </c>
      <c r="Q83" s="29" t="n">
        <f aca="false">INDEX(Mitigation_Industry!Q:Q,MATCH($A83,Mitigation_Industry!$H:$H,0))</f>
        <v>0</v>
      </c>
      <c r="R83" s="29" t="n">
        <f aca="false">INDEX(Mitigation_Industry!R:R,MATCH($A83,Mitigation_Industry!$H:$H,0))</f>
        <v>0</v>
      </c>
      <c r="S83" s="29" t="n">
        <f aca="false">INDEX(Mitigation_Industry!S:S,MATCH($A83,Mitigation_Industry!$H:$H,0))</f>
        <v>0</v>
      </c>
      <c r="T83" s="29" t="n">
        <f aca="false">INDEX(Mitigation_Industry!T:T,MATCH($A83,Mitigation_Industry!$H:$H,0))</f>
        <v>0</v>
      </c>
      <c r="U83" s="29" t="n">
        <f aca="false">INDEX(Mitigation_Industry!U:U,MATCH($A83,Mitigation_Industry!$H:$H,0))</f>
        <v>0</v>
      </c>
      <c r="V83" s="29" t="n">
        <f aca="false">INDEX(Mitigation_Industry!V:V,MATCH($A83,Mitigation_Industry!$H:$H,0))</f>
        <v>0</v>
      </c>
      <c r="W83" s="29" t="n">
        <f aca="false">INDEX(Mitigation_Industry!W:W,MATCH($A83,Mitigation_Industry!$H:$H,0))</f>
        <v>0</v>
      </c>
      <c r="X83" s="29" t="n">
        <f aca="false">INDEX(Mitigation_Industry!X:X,MATCH($A83,Mitigation_Industry!$H:$H,0))</f>
        <v>0</v>
      </c>
      <c r="Y83" s="29" t="n">
        <f aca="false">INDEX(Mitigation_Industry!Y:Y,MATCH($A83,Mitigation_Industry!$H:$H,0))</f>
        <v>0</v>
      </c>
      <c r="Z83" s="29" t="n">
        <f aca="false">INDEX(Mitigation_Industry!Z:Z,MATCH($A83,Mitigation_Industry!$H:$H,0))</f>
        <v>0</v>
      </c>
      <c r="AA83" s="29" t="n">
        <f aca="false">INDEX(Mitigation_Industry!AA:AA,MATCH($A83,Mitigation_Industry!$H:$H,0))</f>
        <v>0</v>
      </c>
      <c r="AB83" s="29" t="n">
        <f aca="false">INDEX(Mitigation_Industry!AB:AB,MATCH($A83,Mitigation_Industry!$H:$H,0))</f>
        <v>0</v>
      </c>
      <c r="AC83" s="29" t="n">
        <f aca="false">INDEX(Mitigation_Industry!AC:AC,MATCH($A83,Mitigation_Industry!$H:$H,0))</f>
        <v>0</v>
      </c>
      <c r="AD83" s="29" t="n">
        <f aca="false">INDEX(Mitigation_Industry!AD:AD,MATCH($A83,Mitigation_Industry!$H:$H,0))</f>
        <v>0</v>
      </c>
      <c r="AE83" s="29" t="n">
        <f aca="false">INDEX(Mitigation_Industry!AE:AE,MATCH($A83,Mitigation_Industry!$H:$H,0))</f>
        <v>0</v>
      </c>
    </row>
    <row r="84" customFormat="false" ht="15" hidden="false" customHeight="false" outlineLevel="0" collapsed="false">
      <c r="A84" s="35" t="s">
        <v>1186</v>
      </c>
      <c r="B84" s="6" t="s">
        <v>57</v>
      </c>
      <c r="C84" s="6" t="s">
        <v>119</v>
      </c>
      <c r="D84" s="6" t="n">
        <v>1</v>
      </c>
      <c r="E84" s="2" t="s">
        <v>1167</v>
      </c>
      <c r="F84" s="40" t="n">
        <f aca="false">MAX(MAX(L84:AE84),-MIN(L84:AE84))</f>
        <v>-0</v>
      </c>
      <c r="K84" s="41" t="n">
        <f aca="false">IF(ISNUMBER(K82),IF(ISNUMBER(K83),K83-K82,999999),0)</f>
        <v>0</v>
      </c>
      <c r="L84" s="41" t="n">
        <f aca="false">IF(ISNUMBER(L82),IF(ISNUMBER(L83),L83-L82,999999),0)</f>
        <v>0</v>
      </c>
      <c r="M84" s="41" t="n">
        <f aca="false">IF(ISNUMBER(M82),IF(ISNUMBER(M83),M83-M82,999999),0)</f>
        <v>0</v>
      </c>
      <c r="N84" s="41" t="n">
        <f aca="false">IF(ISNUMBER(N82),IF(ISNUMBER(N83),N83-N82,999999),0)</f>
        <v>0</v>
      </c>
      <c r="O84" s="41" t="n">
        <f aca="false">IF(ISNUMBER(O82),IF(ISNUMBER(O83),O83-O82,999999),0)</f>
        <v>0</v>
      </c>
      <c r="P84" s="41" t="n">
        <f aca="false">IF(ISNUMBER(P82),IF(ISNUMBER(P83),P83-P82,999999),0)</f>
        <v>0</v>
      </c>
      <c r="Q84" s="41" t="n">
        <f aca="false">IF(ISNUMBER(Q82),IF(ISNUMBER(Q83),Q83-Q82,999999),0)</f>
        <v>0</v>
      </c>
      <c r="R84" s="41" t="n">
        <f aca="false">IF(ISNUMBER(R82),IF(ISNUMBER(R83),R83-R82,999999),0)</f>
        <v>0</v>
      </c>
      <c r="S84" s="41" t="n">
        <f aca="false">IF(ISNUMBER(S82),IF(ISNUMBER(S83),S83-S82,999999),0)</f>
        <v>0</v>
      </c>
      <c r="T84" s="41" t="n">
        <f aca="false">IF(ISNUMBER(T82),IF(ISNUMBER(T83),T83-T82,999999),0)</f>
        <v>0</v>
      </c>
      <c r="U84" s="41" t="n">
        <f aca="false">IF(ISNUMBER(U82),IF(ISNUMBER(U83),U83-U82,999999),0)</f>
        <v>0</v>
      </c>
      <c r="V84" s="41" t="n">
        <f aca="false">IF(ISNUMBER(V82),IF(ISNUMBER(V83),V83-V82,999999),0)</f>
        <v>0</v>
      </c>
      <c r="W84" s="41" t="n">
        <f aca="false">IF(ISNUMBER(W82),IF(ISNUMBER(W83),W83-W82,999999),0)</f>
        <v>0</v>
      </c>
      <c r="X84" s="41" t="n">
        <f aca="false">IF(ISNUMBER(X82),IF(ISNUMBER(X83),X83-X82,999999),0)</f>
        <v>0</v>
      </c>
      <c r="Y84" s="41" t="n">
        <f aca="false">IF(ISNUMBER(Y82),IF(ISNUMBER(Y83),Y83-Y82,999999),0)</f>
        <v>0</v>
      </c>
      <c r="Z84" s="41" t="n">
        <f aca="false">IF(ISNUMBER(Z82),IF(ISNUMBER(Z83),Z83-Z82,999999),0)</f>
        <v>0</v>
      </c>
      <c r="AA84" s="41" t="n">
        <f aca="false">IF(ISNUMBER(AA82),IF(ISNUMBER(AA83),AA83-AA82,999999),0)</f>
        <v>0</v>
      </c>
      <c r="AB84" s="41" t="n">
        <f aca="false">IF(ISNUMBER(AB82),IF(ISNUMBER(AB83),AB83-AB82,999999),0)</f>
        <v>0</v>
      </c>
      <c r="AC84" s="41" t="n">
        <f aca="false">IF(ISNUMBER(AC82),IF(ISNUMBER(AC83),AC83-AC82,999999),0)</f>
        <v>0</v>
      </c>
      <c r="AD84" s="41" t="n">
        <f aca="false">IF(ISNUMBER(AD82),IF(ISNUMBER(AD83),AD83-AD82,999999),0)</f>
        <v>0</v>
      </c>
      <c r="AE84" s="41" t="n">
        <f aca="false">IF(ISNUMBER(AE82),IF(ISNUMBER(AE83),AE83-AE82,999999),0)</f>
        <v>0</v>
      </c>
    </row>
    <row r="86" customFormat="false" ht="15" hidden="false" customHeight="false" outlineLevel="0" collapsed="false">
      <c r="A86" s="35" t="s">
        <v>1187</v>
      </c>
      <c r="B86" s="6" t="s">
        <v>59</v>
      </c>
      <c r="C86" s="6" t="s">
        <v>119</v>
      </c>
      <c r="D86" s="6" t="n">
        <v>1</v>
      </c>
      <c r="E86" s="6" t="s">
        <v>1165</v>
      </c>
      <c r="K86" s="29"/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</v>
      </c>
      <c r="U86" s="29" t="n">
        <v>0</v>
      </c>
      <c r="V86" s="29" t="n">
        <v>0</v>
      </c>
      <c r="W86" s="29" t="n">
        <v>0</v>
      </c>
      <c r="X86" s="29" t="n">
        <v>0</v>
      </c>
      <c r="Y86" s="29" t="n">
        <v>0</v>
      </c>
      <c r="Z86" s="29" t="n">
        <v>0</v>
      </c>
      <c r="AA86" s="29" t="n">
        <v>0</v>
      </c>
      <c r="AB86" s="29" t="n">
        <v>0</v>
      </c>
      <c r="AC86" s="29" t="n">
        <v>0</v>
      </c>
      <c r="AD86" s="29" t="n">
        <v>0</v>
      </c>
      <c r="AE86" s="29" t="n">
        <v>0</v>
      </c>
    </row>
    <row r="87" customFormat="false" ht="15" hidden="false" customHeight="false" outlineLevel="0" collapsed="false">
      <c r="A87" s="35" t="s">
        <v>1187</v>
      </c>
      <c r="B87" s="6" t="s">
        <v>59</v>
      </c>
      <c r="C87" s="6" t="s">
        <v>119</v>
      </c>
      <c r="D87" s="6" t="n">
        <v>1</v>
      </c>
      <c r="E87" s="6" t="s">
        <v>1166</v>
      </c>
      <c r="K87" s="29" t="n">
        <f aca="false">INDEX(Mitigation_Industry!K:K,MATCH($A87,Mitigation_Industry!$H:$H,0))</f>
        <v>0</v>
      </c>
      <c r="L87" s="29" t="n">
        <f aca="false">INDEX(Mitigation_Industry!L:L,MATCH($A87,Mitigation_Industry!$H:$H,0))</f>
        <v>0</v>
      </c>
      <c r="M87" s="29" t="n">
        <f aca="false">INDEX(Mitigation_Industry!M:M,MATCH($A87,Mitigation_Industry!$H:$H,0))</f>
        <v>0</v>
      </c>
      <c r="N87" s="29" t="n">
        <f aca="false">INDEX(Mitigation_Industry!N:N,MATCH($A87,Mitigation_Industry!$H:$H,0))</f>
        <v>0</v>
      </c>
      <c r="O87" s="29" t="n">
        <f aca="false">INDEX(Mitigation_Industry!O:O,MATCH($A87,Mitigation_Industry!$H:$H,0))</f>
        <v>0</v>
      </c>
      <c r="P87" s="29" t="n">
        <f aca="false">INDEX(Mitigation_Industry!P:P,MATCH($A87,Mitigation_Industry!$H:$H,0))</f>
        <v>0</v>
      </c>
      <c r="Q87" s="29" t="n">
        <f aca="false">INDEX(Mitigation_Industry!Q:Q,MATCH($A87,Mitigation_Industry!$H:$H,0))</f>
        <v>0</v>
      </c>
      <c r="R87" s="29" t="n">
        <f aca="false">INDEX(Mitigation_Industry!R:R,MATCH($A87,Mitigation_Industry!$H:$H,0))</f>
        <v>0</v>
      </c>
      <c r="S87" s="29" t="n">
        <f aca="false">INDEX(Mitigation_Industry!S:S,MATCH($A87,Mitigation_Industry!$H:$H,0))</f>
        <v>0</v>
      </c>
      <c r="T87" s="29" t="n">
        <f aca="false">INDEX(Mitigation_Industry!T:T,MATCH($A87,Mitigation_Industry!$H:$H,0))</f>
        <v>0</v>
      </c>
      <c r="U87" s="29" t="n">
        <f aca="false">INDEX(Mitigation_Industry!U:U,MATCH($A87,Mitigation_Industry!$H:$H,0))</f>
        <v>0</v>
      </c>
      <c r="V87" s="29" t="n">
        <f aca="false">INDEX(Mitigation_Industry!V:V,MATCH($A87,Mitigation_Industry!$H:$H,0))</f>
        <v>0</v>
      </c>
      <c r="W87" s="29" t="n">
        <f aca="false">INDEX(Mitigation_Industry!W:W,MATCH($A87,Mitigation_Industry!$H:$H,0))</f>
        <v>0</v>
      </c>
      <c r="X87" s="29" t="n">
        <f aca="false">INDEX(Mitigation_Industry!X:X,MATCH($A87,Mitigation_Industry!$H:$H,0))</f>
        <v>0</v>
      </c>
      <c r="Y87" s="29" t="n">
        <f aca="false">INDEX(Mitigation_Industry!Y:Y,MATCH($A87,Mitigation_Industry!$H:$H,0))</f>
        <v>0</v>
      </c>
      <c r="Z87" s="29" t="n">
        <f aca="false">INDEX(Mitigation_Industry!Z:Z,MATCH($A87,Mitigation_Industry!$H:$H,0))</f>
        <v>0</v>
      </c>
      <c r="AA87" s="29" t="n">
        <f aca="false">INDEX(Mitigation_Industry!AA:AA,MATCH($A87,Mitigation_Industry!$H:$H,0))</f>
        <v>0</v>
      </c>
      <c r="AB87" s="29" t="n">
        <f aca="false">INDEX(Mitigation_Industry!AB:AB,MATCH($A87,Mitigation_Industry!$H:$H,0))</f>
        <v>0</v>
      </c>
      <c r="AC87" s="29" t="n">
        <f aca="false">INDEX(Mitigation_Industry!AC:AC,MATCH($A87,Mitigation_Industry!$H:$H,0))</f>
        <v>0</v>
      </c>
      <c r="AD87" s="29" t="n">
        <f aca="false">INDEX(Mitigation_Industry!AD:AD,MATCH($A87,Mitigation_Industry!$H:$H,0))</f>
        <v>0</v>
      </c>
      <c r="AE87" s="29" t="n">
        <f aca="false">INDEX(Mitigation_Industry!AE:AE,MATCH($A87,Mitigation_Industry!$H:$H,0))</f>
        <v>0</v>
      </c>
    </row>
    <row r="88" customFormat="false" ht="15" hidden="false" customHeight="false" outlineLevel="0" collapsed="false">
      <c r="A88" s="35" t="s">
        <v>1187</v>
      </c>
      <c r="B88" s="6" t="s">
        <v>59</v>
      </c>
      <c r="C88" s="6" t="s">
        <v>119</v>
      </c>
      <c r="D88" s="6" t="n">
        <v>1</v>
      </c>
      <c r="E88" s="2" t="s">
        <v>1167</v>
      </c>
      <c r="F88" s="40" t="n">
        <f aca="false">MAX(MAX(L88:AE88),-MIN(L88:AE88))</f>
        <v>-0</v>
      </c>
      <c r="K88" s="41" t="n">
        <f aca="false">IF(ISNUMBER(K86),IF(ISNUMBER(K87),K87-K86,999999),0)</f>
        <v>0</v>
      </c>
      <c r="L88" s="41" t="n">
        <f aca="false">IF(ISNUMBER(L86),IF(ISNUMBER(L87),L87-L86,999999),0)</f>
        <v>0</v>
      </c>
      <c r="M88" s="41" t="n">
        <f aca="false">IF(ISNUMBER(M86),IF(ISNUMBER(M87),M87-M86,999999),0)</f>
        <v>0</v>
      </c>
      <c r="N88" s="41" t="n">
        <f aca="false">IF(ISNUMBER(N86),IF(ISNUMBER(N87),N87-N86,999999),0)</f>
        <v>0</v>
      </c>
      <c r="O88" s="41" t="n">
        <f aca="false">IF(ISNUMBER(O86),IF(ISNUMBER(O87),O87-O86,999999),0)</f>
        <v>0</v>
      </c>
      <c r="P88" s="41" t="n">
        <f aca="false">IF(ISNUMBER(P86),IF(ISNUMBER(P87),P87-P86,999999),0)</f>
        <v>0</v>
      </c>
      <c r="Q88" s="41" t="n">
        <f aca="false">IF(ISNUMBER(Q86),IF(ISNUMBER(Q87),Q87-Q86,999999),0)</f>
        <v>0</v>
      </c>
      <c r="R88" s="41" t="n">
        <f aca="false">IF(ISNUMBER(R86),IF(ISNUMBER(R87),R87-R86,999999),0)</f>
        <v>0</v>
      </c>
      <c r="S88" s="41" t="n">
        <f aca="false">IF(ISNUMBER(S86),IF(ISNUMBER(S87),S87-S86,999999),0)</f>
        <v>0</v>
      </c>
      <c r="T88" s="41" t="n">
        <f aca="false">IF(ISNUMBER(T86),IF(ISNUMBER(T87),T87-T86,999999),0)</f>
        <v>0</v>
      </c>
      <c r="U88" s="41" t="n">
        <f aca="false">IF(ISNUMBER(U86),IF(ISNUMBER(U87),U87-U86,999999),0)</f>
        <v>0</v>
      </c>
      <c r="V88" s="41" t="n">
        <f aca="false">IF(ISNUMBER(V86),IF(ISNUMBER(V87),V87-V86,999999),0)</f>
        <v>0</v>
      </c>
      <c r="W88" s="41" t="n">
        <f aca="false">IF(ISNUMBER(W86),IF(ISNUMBER(W87),W87-W86,999999),0)</f>
        <v>0</v>
      </c>
      <c r="X88" s="41" t="n">
        <f aca="false">IF(ISNUMBER(X86),IF(ISNUMBER(X87),X87-X86,999999),0)</f>
        <v>0</v>
      </c>
      <c r="Y88" s="41" t="n">
        <f aca="false">IF(ISNUMBER(Y86),IF(ISNUMBER(Y87),Y87-Y86,999999),0)</f>
        <v>0</v>
      </c>
      <c r="Z88" s="41" t="n">
        <f aca="false">IF(ISNUMBER(Z86),IF(ISNUMBER(Z87),Z87-Z86,999999),0)</f>
        <v>0</v>
      </c>
      <c r="AA88" s="41" t="n">
        <f aca="false">IF(ISNUMBER(AA86),IF(ISNUMBER(AA87),AA87-AA86,999999),0)</f>
        <v>0</v>
      </c>
      <c r="AB88" s="41" t="n">
        <f aca="false">IF(ISNUMBER(AB86),IF(ISNUMBER(AB87),AB87-AB86,999999),0)</f>
        <v>0</v>
      </c>
      <c r="AC88" s="41" t="n">
        <f aca="false">IF(ISNUMBER(AC86),IF(ISNUMBER(AC87),AC87-AC86,999999),0)</f>
        <v>0</v>
      </c>
      <c r="AD88" s="41" t="n">
        <f aca="false">IF(ISNUMBER(AD86),IF(ISNUMBER(AD87),AD87-AD86,999999),0)</f>
        <v>0</v>
      </c>
      <c r="AE88" s="41" t="n">
        <f aca="false">IF(ISNUMBER(AE86),IF(ISNUMBER(AE87),AE87-AE86,999999),0)</f>
        <v>0</v>
      </c>
    </row>
    <row r="90" customFormat="false" ht="15" hidden="false" customHeight="false" outlineLevel="0" collapsed="false">
      <c r="A90" s="35" t="s">
        <v>1188</v>
      </c>
      <c r="B90" s="6" t="s">
        <v>62</v>
      </c>
      <c r="C90" s="6" t="s">
        <v>119</v>
      </c>
      <c r="D90" s="6" t="n">
        <v>1</v>
      </c>
      <c r="E90" s="6" t="s">
        <v>1165</v>
      </c>
      <c r="K90" s="29"/>
      <c r="L90" s="29" t="n">
        <v>0</v>
      </c>
      <c r="M90" s="29" t="n">
        <v>0</v>
      </c>
      <c r="N90" s="29" t="n">
        <v>0</v>
      </c>
      <c r="O90" s="29" t="n">
        <v>0</v>
      </c>
      <c r="P90" s="29" t="n">
        <v>0</v>
      </c>
      <c r="Q90" s="29" t="n">
        <v>0</v>
      </c>
      <c r="R90" s="29" t="n">
        <v>0</v>
      </c>
      <c r="S90" s="29" t="n">
        <v>0</v>
      </c>
      <c r="T90" s="29" t="n">
        <v>0</v>
      </c>
      <c r="U90" s="29" t="n">
        <v>0</v>
      </c>
      <c r="V90" s="29" t="n">
        <v>0</v>
      </c>
      <c r="W90" s="29" t="n">
        <v>0</v>
      </c>
      <c r="X90" s="29" t="n">
        <v>0</v>
      </c>
      <c r="Y90" s="29" t="n">
        <v>0</v>
      </c>
      <c r="Z90" s="29" t="n">
        <v>0</v>
      </c>
      <c r="AA90" s="29" t="n">
        <v>0</v>
      </c>
      <c r="AB90" s="29" t="n">
        <v>0</v>
      </c>
      <c r="AC90" s="29" t="n">
        <v>0</v>
      </c>
      <c r="AD90" s="29" t="n">
        <v>0</v>
      </c>
      <c r="AE90" s="29" t="n">
        <v>0</v>
      </c>
    </row>
    <row r="91" customFormat="false" ht="15" hidden="false" customHeight="false" outlineLevel="0" collapsed="false">
      <c r="A91" s="35" t="s">
        <v>1188</v>
      </c>
      <c r="B91" s="6" t="s">
        <v>62</v>
      </c>
      <c r="C91" s="6" t="s">
        <v>119</v>
      </c>
      <c r="D91" s="6" t="n">
        <v>1</v>
      </c>
      <c r="E91" s="6" t="s">
        <v>1166</v>
      </c>
      <c r="K91" s="29" t="n">
        <f aca="false">INDEX(Mitigation_Industry!K:K,MATCH($A91,Mitigation_Industry!$H:$H,0))</f>
        <v>0</v>
      </c>
      <c r="L91" s="29" t="n">
        <f aca="false">INDEX(Mitigation_Industry!L:L,MATCH($A91,Mitigation_Industry!$H:$H,0))</f>
        <v>0</v>
      </c>
      <c r="M91" s="29" t="n">
        <f aca="false">INDEX(Mitigation_Industry!M:M,MATCH($A91,Mitigation_Industry!$H:$H,0))</f>
        <v>0</v>
      </c>
      <c r="N91" s="29" t="n">
        <f aca="false">INDEX(Mitigation_Industry!N:N,MATCH($A91,Mitigation_Industry!$H:$H,0))</f>
        <v>0</v>
      </c>
      <c r="O91" s="29" t="n">
        <f aca="false">INDEX(Mitigation_Industry!O:O,MATCH($A91,Mitigation_Industry!$H:$H,0))</f>
        <v>0</v>
      </c>
      <c r="P91" s="29" t="n">
        <f aca="false">INDEX(Mitigation_Industry!P:P,MATCH($A91,Mitigation_Industry!$H:$H,0))</f>
        <v>0</v>
      </c>
      <c r="Q91" s="29" t="n">
        <f aca="false">INDEX(Mitigation_Industry!Q:Q,MATCH($A91,Mitigation_Industry!$H:$H,0))</f>
        <v>0</v>
      </c>
      <c r="R91" s="29" t="n">
        <f aca="false">INDEX(Mitigation_Industry!R:R,MATCH($A91,Mitigation_Industry!$H:$H,0))</f>
        <v>0</v>
      </c>
      <c r="S91" s="29" t="n">
        <f aca="false">INDEX(Mitigation_Industry!S:S,MATCH($A91,Mitigation_Industry!$H:$H,0))</f>
        <v>0</v>
      </c>
      <c r="T91" s="29" t="n">
        <f aca="false">INDEX(Mitigation_Industry!T:T,MATCH($A91,Mitigation_Industry!$H:$H,0))</f>
        <v>0</v>
      </c>
      <c r="U91" s="29" t="n">
        <f aca="false">INDEX(Mitigation_Industry!U:U,MATCH($A91,Mitigation_Industry!$H:$H,0))</f>
        <v>0</v>
      </c>
      <c r="V91" s="29" t="n">
        <f aca="false">INDEX(Mitigation_Industry!V:V,MATCH($A91,Mitigation_Industry!$H:$H,0))</f>
        <v>0</v>
      </c>
      <c r="W91" s="29" t="n">
        <f aca="false">INDEX(Mitigation_Industry!W:W,MATCH($A91,Mitigation_Industry!$H:$H,0))</f>
        <v>0</v>
      </c>
      <c r="X91" s="29" t="n">
        <f aca="false">INDEX(Mitigation_Industry!X:X,MATCH($A91,Mitigation_Industry!$H:$H,0))</f>
        <v>0</v>
      </c>
      <c r="Y91" s="29" t="n">
        <f aca="false">INDEX(Mitigation_Industry!Y:Y,MATCH($A91,Mitigation_Industry!$H:$H,0))</f>
        <v>0</v>
      </c>
      <c r="Z91" s="29" t="n">
        <f aca="false">INDEX(Mitigation_Industry!Z:Z,MATCH($A91,Mitigation_Industry!$H:$H,0))</f>
        <v>0</v>
      </c>
      <c r="AA91" s="29" t="n">
        <f aca="false">INDEX(Mitigation_Industry!AA:AA,MATCH($A91,Mitigation_Industry!$H:$H,0))</f>
        <v>0</v>
      </c>
      <c r="AB91" s="29" t="n">
        <f aca="false">INDEX(Mitigation_Industry!AB:AB,MATCH($A91,Mitigation_Industry!$H:$H,0))</f>
        <v>0</v>
      </c>
      <c r="AC91" s="29" t="n">
        <f aca="false">INDEX(Mitigation_Industry!AC:AC,MATCH($A91,Mitigation_Industry!$H:$H,0))</f>
        <v>0</v>
      </c>
      <c r="AD91" s="29" t="n">
        <f aca="false">INDEX(Mitigation_Industry!AD:AD,MATCH($A91,Mitigation_Industry!$H:$H,0))</f>
        <v>0</v>
      </c>
      <c r="AE91" s="29" t="n">
        <f aca="false">INDEX(Mitigation_Industry!AE:AE,MATCH($A91,Mitigation_Industry!$H:$H,0))</f>
        <v>0</v>
      </c>
    </row>
    <row r="92" customFormat="false" ht="15" hidden="false" customHeight="false" outlineLevel="0" collapsed="false">
      <c r="A92" s="35" t="s">
        <v>1188</v>
      </c>
      <c r="B92" s="6" t="s">
        <v>62</v>
      </c>
      <c r="C92" s="6" t="s">
        <v>119</v>
      </c>
      <c r="D92" s="6" t="n">
        <v>1</v>
      </c>
      <c r="E92" s="2" t="s">
        <v>1167</v>
      </c>
      <c r="F92" s="40" t="n">
        <f aca="false">MAX(MAX(L92:AE92),-MIN(L92:AE92))</f>
        <v>-0</v>
      </c>
      <c r="K92" s="41" t="n">
        <f aca="false">IF(ISNUMBER(K90),IF(ISNUMBER(K91),K91-K90,999999),0)</f>
        <v>0</v>
      </c>
      <c r="L92" s="41" t="n">
        <f aca="false">IF(ISNUMBER(L90),IF(ISNUMBER(L91),L91-L90,999999),0)</f>
        <v>0</v>
      </c>
      <c r="M92" s="41" t="n">
        <f aca="false">IF(ISNUMBER(M90),IF(ISNUMBER(M91),M91-M90,999999),0)</f>
        <v>0</v>
      </c>
      <c r="N92" s="41" t="n">
        <f aca="false">IF(ISNUMBER(N90),IF(ISNUMBER(N91),N91-N90,999999),0)</f>
        <v>0</v>
      </c>
      <c r="O92" s="41" t="n">
        <f aca="false">IF(ISNUMBER(O90),IF(ISNUMBER(O91),O91-O90,999999),0)</f>
        <v>0</v>
      </c>
      <c r="P92" s="41" t="n">
        <f aca="false">IF(ISNUMBER(P90),IF(ISNUMBER(P91),P91-P90,999999),0)</f>
        <v>0</v>
      </c>
      <c r="Q92" s="41" t="n">
        <f aca="false">IF(ISNUMBER(Q90),IF(ISNUMBER(Q91),Q91-Q90,999999),0)</f>
        <v>0</v>
      </c>
      <c r="R92" s="41" t="n">
        <f aca="false">IF(ISNUMBER(R90),IF(ISNUMBER(R91),R91-R90,999999),0)</f>
        <v>0</v>
      </c>
      <c r="S92" s="41" t="n">
        <f aca="false">IF(ISNUMBER(S90),IF(ISNUMBER(S91),S91-S90,999999),0)</f>
        <v>0</v>
      </c>
      <c r="T92" s="41" t="n">
        <f aca="false">IF(ISNUMBER(T90),IF(ISNUMBER(T91),T91-T90,999999),0)</f>
        <v>0</v>
      </c>
      <c r="U92" s="41" t="n">
        <f aca="false">IF(ISNUMBER(U90),IF(ISNUMBER(U91),U91-U90,999999),0)</f>
        <v>0</v>
      </c>
      <c r="V92" s="41" t="n">
        <f aca="false">IF(ISNUMBER(V90),IF(ISNUMBER(V91),V91-V90,999999),0)</f>
        <v>0</v>
      </c>
      <c r="W92" s="41" t="n">
        <f aca="false">IF(ISNUMBER(W90),IF(ISNUMBER(W91),W91-W90,999999),0)</f>
        <v>0</v>
      </c>
      <c r="X92" s="41" t="n">
        <f aca="false">IF(ISNUMBER(X90),IF(ISNUMBER(X91),X91-X90,999999),0)</f>
        <v>0</v>
      </c>
      <c r="Y92" s="41" t="n">
        <f aca="false">IF(ISNUMBER(Y90),IF(ISNUMBER(Y91),Y91-Y90,999999),0)</f>
        <v>0</v>
      </c>
      <c r="Z92" s="41" t="n">
        <f aca="false">IF(ISNUMBER(Z90),IF(ISNUMBER(Z91),Z91-Z90,999999),0)</f>
        <v>0</v>
      </c>
      <c r="AA92" s="41" t="n">
        <f aca="false">IF(ISNUMBER(AA90),IF(ISNUMBER(AA91),AA91-AA90,999999),0)</f>
        <v>0</v>
      </c>
      <c r="AB92" s="41" t="n">
        <f aca="false">IF(ISNUMBER(AB90),IF(ISNUMBER(AB91),AB91-AB90,999999),0)</f>
        <v>0</v>
      </c>
      <c r="AC92" s="41" t="n">
        <f aca="false">IF(ISNUMBER(AC90),IF(ISNUMBER(AC91),AC91-AC90,999999),0)</f>
        <v>0</v>
      </c>
      <c r="AD92" s="41" t="n">
        <f aca="false">IF(ISNUMBER(AD90),IF(ISNUMBER(AD91),AD91-AD90,999999),0)</f>
        <v>0</v>
      </c>
      <c r="AE92" s="41" t="n">
        <f aca="false">IF(ISNUMBER(AE90),IF(ISNUMBER(AE91),AE91-AE90,999999),0)</f>
        <v>0</v>
      </c>
    </row>
    <row r="94" customFormat="false" ht="15" hidden="false" customHeight="false" outlineLevel="0" collapsed="false">
      <c r="A94" s="35" t="s">
        <v>1189</v>
      </c>
      <c r="B94" s="6" t="s">
        <v>64</v>
      </c>
      <c r="C94" s="6" t="s">
        <v>119</v>
      </c>
      <c r="D94" s="6" t="n">
        <v>1</v>
      </c>
      <c r="E94" s="6" t="s">
        <v>1165</v>
      </c>
      <c r="K94" s="29"/>
      <c r="L94" s="29" t="n">
        <v>0</v>
      </c>
      <c r="M94" s="29" t="n">
        <v>0</v>
      </c>
      <c r="N94" s="29" t="n">
        <v>0</v>
      </c>
      <c r="O94" s="29" t="n">
        <v>0</v>
      </c>
      <c r="P94" s="29" t="n">
        <v>0</v>
      </c>
      <c r="Q94" s="29" t="n">
        <v>0</v>
      </c>
      <c r="R94" s="29" t="n">
        <v>0</v>
      </c>
      <c r="S94" s="29" t="n">
        <v>0</v>
      </c>
      <c r="T94" s="29" t="n">
        <v>0</v>
      </c>
      <c r="U94" s="29" t="n">
        <v>0</v>
      </c>
      <c r="V94" s="29" t="n">
        <v>0</v>
      </c>
      <c r="W94" s="29" t="n">
        <v>0</v>
      </c>
      <c r="X94" s="29" t="n">
        <v>0</v>
      </c>
      <c r="Y94" s="29" t="n">
        <v>0</v>
      </c>
      <c r="Z94" s="29" t="n">
        <v>0</v>
      </c>
      <c r="AA94" s="29" t="n">
        <v>0</v>
      </c>
      <c r="AB94" s="29" t="n">
        <v>0</v>
      </c>
      <c r="AC94" s="29" t="n">
        <v>0</v>
      </c>
      <c r="AD94" s="29" t="n">
        <v>0</v>
      </c>
      <c r="AE94" s="29" t="n">
        <v>0</v>
      </c>
    </row>
    <row r="95" customFormat="false" ht="15" hidden="false" customHeight="false" outlineLevel="0" collapsed="false">
      <c r="A95" s="35" t="s">
        <v>1189</v>
      </c>
      <c r="B95" s="6" t="s">
        <v>64</v>
      </c>
      <c r="C95" s="6" t="s">
        <v>119</v>
      </c>
      <c r="D95" s="6" t="n">
        <v>1</v>
      </c>
      <c r="E95" s="6" t="s">
        <v>1166</v>
      </c>
      <c r="K95" s="29" t="n">
        <f aca="false">INDEX(Mitigation_Industry!K:K,MATCH($A95,Mitigation_Industry!$H:$H,0))</f>
        <v>0</v>
      </c>
      <c r="L95" s="29" t="n">
        <f aca="false">INDEX(Mitigation_Industry!L:L,MATCH($A95,Mitigation_Industry!$H:$H,0))</f>
        <v>0</v>
      </c>
      <c r="M95" s="29" t="n">
        <f aca="false">INDEX(Mitigation_Industry!M:M,MATCH($A95,Mitigation_Industry!$H:$H,0))</f>
        <v>0</v>
      </c>
      <c r="N95" s="29" t="n">
        <f aca="false">INDEX(Mitigation_Industry!N:N,MATCH($A95,Mitigation_Industry!$H:$H,0))</f>
        <v>0</v>
      </c>
      <c r="O95" s="29" t="n">
        <f aca="false">INDEX(Mitigation_Industry!O:O,MATCH($A95,Mitigation_Industry!$H:$H,0))</f>
        <v>0</v>
      </c>
      <c r="P95" s="29" t="n">
        <f aca="false">INDEX(Mitigation_Industry!P:P,MATCH($A95,Mitigation_Industry!$H:$H,0))</f>
        <v>0</v>
      </c>
      <c r="Q95" s="29" t="n">
        <f aca="false">INDEX(Mitigation_Industry!Q:Q,MATCH($A95,Mitigation_Industry!$H:$H,0))</f>
        <v>0</v>
      </c>
      <c r="R95" s="29" t="n">
        <f aca="false">INDEX(Mitigation_Industry!R:R,MATCH($A95,Mitigation_Industry!$H:$H,0))</f>
        <v>0</v>
      </c>
      <c r="S95" s="29" t="n">
        <f aca="false">INDEX(Mitigation_Industry!S:S,MATCH($A95,Mitigation_Industry!$H:$H,0))</f>
        <v>0</v>
      </c>
      <c r="T95" s="29" t="n">
        <f aca="false">INDEX(Mitigation_Industry!T:T,MATCH($A95,Mitigation_Industry!$H:$H,0))</f>
        <v>0</v>
      </c>
      <c r="U95" s="29" t="n">
        <f aca="false">INDEX(Mitigation_Industry!U:U,MATCH($A95,Mitigation_Industry!$H:$H,0))</f>
        <v>0</v>
      </c>
      <c r="V95" s="29" t="n">
        <f aca="false">INDEX(Mitigation_Industry!V:V,MATCH($A95,Mitigation_Industry!$H:$H,0))</f>
        <v>0</v>
      </c>
      <c r="W95" s="29" t="n">
        <f aca="false">INDEX(Mitigation_Industry!W:W,MATCH($A95,Mitigation_Industry!$H:$H,0))</f>
        <v>0</v>
      </c>
      <c r="X95" s="29" t="n">
        <f aca="false">INDEX(Mitigation_Industry!X:X,MATCH($A95,Mitigation_Industry!$H:$H,0))</f>
        <v>0</v>
      </c>
      <c r="Y95" s="29" t="n">
        <f aca="false">INDEX(Mitigation_Industry!Y:Y,MATCH($A95,Mitigation_Industry!$H:$H,0))</f>
        <v>0</v>
      </c>
      <c r="Z95" s="29" t="n">
        <f aca="false">INDEX(Mitigation_Industry!Z:Z,MATCH($A95,Mitigation_Industry!$H:$H,0))</f>
        <v>0</v>
      </c>
      <c r="AA95" s="29" t="n">
        <f aca="false">INDEX(Mitigation_Industry!AA:AA,MATCH($A95,Mitigation_Industry!$H:$H,0))</f>
        <v>0</v>
      </c>
      <c r="AB95" s="29" t="n">
        <f aca="false">INDEX(Mitigation_Industry!AB:AB,MATCH($A95,Mitigation_Industry!$H:$H,0))</f>
        <v>0</v>
      </c>
      <c r="AC95" s="29" t="n">
        <f aca="false">INDEX(Mitigation_Industry!AC:AC,MATCH($A95,Mitigation_Industry!$H:$H,0))</f>
        <v>0</v>
      </c>
      <c r="AD95" s="29" t="n">
        <f aca="false">INDEX(Mitigation_Industry!AD:AD,MATCH($A95,Mitigation_Industry!$H:$H,0))</f>
        <v>0</v>
      </c>
      <c r="AE95" s="29" t="n">
        <f aca="false">INDEX(Mitigation_Industry!AE:AE,MATCH($A95,Mitigation_Industry!$H:$H,0))</f>
        <v>0</v>
      </c>
    </row>
    <row r="96" customFormat="false" ht="15" hidden="false" customHeight="false" outlineLevel="0" collapsed="false">
      <c r="A96" s="35" t="s">
        <v>1189</v>
      </c>
      <c r="B96" s="6" t="s">
        <v>64</v>
      </c>
      <c r="C96" s="6" t="s">
        <v>119</v>
      </c>
      <c r="D96" s="6" t="n">
        <v>1</v>
      </c>
      <c r="E96" s="2" t="s">
        <v>1167</v>
      </c>
      <c r="F96" s="40" t="n">
        <f aca="false">MAX(MAX(L96:AE96),-MIN(L96:AE96))</f>
        <v>-0</v>
      </c>
      <c r="K96" s="41" t="n">
        <f aca="false">IF(ISNUMBER(K94),IF(ISNUMBER(K95),K95-K94,999999),0)</f>
        <v>0</v>
      </c>
      <c r="L96" s="41" t="n">
        <f aca="false">IF(ISNUMBER(L94),IF(ISNUMBER(L95),L95-L94,999999),0)</f>
        <v>0</v>
      </c>
      <c r="M96" s="41" t="n">
        <f aca="false">IF(ISNUMBER(M94),IF(ISNUMBER(M95),M95-M94,999999),0)</f>
        <v>0</v>
      </c>
      <c r="N96" s="41" t="n">
        <f aca="false">IF(ISNUMBER(N94),IF(ISNUMBER(N95),N95-N94,999999),0)</f>
        <v>0</v>
      </c>
      <c r="O96" s="41" t="n">
        <f aca="false">IF(ISNUMBER(O94),IF(ISNUMBER(O95),O95-O94,999999),0)</f>
        <v>0</v>
      </c>
      <c r="P96" s="41" t="n">
        <f aca="false">IF(ISNUMBER(P94),IF(ISNUMBER(P95),P95-P94,999999),0)</f>
        <v>0</v>
      </c>
      <c r="Q96" s="41" t="n">
        <f aca="false">IF(ISNUMBER(Q94),IF(ISNUMBER(Q95),Q95-Q94,999999),0)</f>
        <v>0</v>
      </c>
      <c r="R96" s="41" t="n">
        <f aca="false">IF(ISNUMBER(R94),IF(ISNUMBER(R95),R95-R94,999999),0)</f>
        <v>0</v>
      </c>
      <c r="S96" s="41" t="n">
        <f aca="false">IF(ISNUMBER(S94),IF(ISNUMBER(S95),S95-S94,999999),0)</f>
        <v>0</v>
      </c>
      <c r="T96" s="41" t="n">
        <f aca="false">IF(ISNUMBER(T94),IF(ISNUMBER(T95),T95-T94,999999),0)</f>
        <v>0</v>
      </c>
      <c r="U96" s="41" t="n">
        <f aca="false">IF(ISNUMBER(U94),IF(ISNUMBER(U95),U95-U94,999999),0)</f>
        <v>0</v>
      </c>
      <c r="V96" s="41" t="n">
        <f aca="false">IF(ISNUMBER(V94),IF(ISNUMBER(V95),V95-V94,999999),0)</f>
        <v>0</v>
      </c>
      <c r="W96" s="41" t="n">
        <f aca="false">IF(ISNUMBER(W94),IF(ISNUMBER(W95),W95-W94,999999),0)</f>
        <v>0</v>
      </c>
      <c r="X96" s="41" t="n">
        <f aca="false">IF(ISNUMBER(X94),IF(ISNUMBER(X95),X95-X94,999999),0)</f>
        <v>0</v>
      </c>
      <c r="Y96" s="41" t="n">
        <f aca="false">IF(ISNUMBER(Y94),IF(ISNUMBER(Y95),Y95-Y94,999999),0)</f>
        <v>0</v>
      </c>
      <c r="Z96" s="41" t="n">
        <f aca="false">IF(ISNUMBER(Z94),IF(ISNUMBER(Z95),Z95-Z94,999999),0)</f>
        <v>0</v>
      </c>
      <c r="AA96" s="41" t="n">
        <f aca="false">IF(ISNUMBER(AA94),IF(ISNUMBER(AA95),AA95-AA94,999999),0)</f>
        <v>0</v>
      </c>
      <c r="AB96" s="41" t="n">
        <f aca="false">IF(ISNUMBER(AB94),IF(ISNUMBER(AB95),AB95-AB94,999999),0)</f>
        <v>0</v>
      </c>
      <c r="AC96" s="41" t="n">
        <f aca="false">IF(ISNUMBER(AC94),IF(ISNUMBER(AC95),AC95-AC94,999999),0)</f>
        <v>0</v>
      </c>
      <c r="AD96" s="41" t="n">
        <f aca="false">IF(ISNUMBER(AD94),IF(ISNUMBER(AD95),AD95-AD94,999999),0)</f>
        <v>0</v>
      </c>
      <c r="AE96" s="41" t="n">
        <f aca="false">IF(ISNUMBER(AE94),IF(ISNUMBER(AE95),AE95-AE94,999999),0)</f>
        <v>0</v>
      </c>
    </row>
    <row r="98" customFormat="false" ht="15" hidden="false" customHeight="false" outlineLevel="0" collapsed="false">
      <c r="A98" s="35" t="s">
        <v>1190</v>
      </c>
      <c r="B98" s="6" t="s">
        <v>66</v>
      </c>
      <c r="C98" s="6" t="s">
        <v>119</v>
      </c>
      <c r="D98" s="6" t="n">
        <v>1</v>
      </c>
      <c r="E98" s="6" t="s">
        <v>1165</v>
      </c>
      <c r="K98" s="29"/>
      <c r="L98" s="29" t="n">
        <v>0</v>
      </c>
      <c r="M98" s="29" t="n">
        <v>0</v>
      </c>
      <c r="N98" s="29" t="n">
        <v>0</v>
      </c>
      <c r="O98" s="29" t="n">
        <v>0</v>
      </c>
      <c r="P98" s="29" t="n">
        <v>0</v>
      </c>
      <c r="Q98" s="29" t="n">
        <v>0</v>
      </c>
      <c r="R98" s="29" t="n">
        <v>0</v>
      </c>
      <c r="S98" s="29" t="n">
        <v>0</v>
      </c>
      <c r="T98" s="29" t="n">
        <v>0</v>
      </c>
      <c r="U98" s="29" t="n">
        <v>0</v>
      </c>
      <c r="V98" s="29" t="n">
        <v>0</v>
      </c>
      <c r="W98" s="29" t="n">
        <v>0</v>
      </c>
      <c r="X98" s="29" t="n">
        <v>0</v>
      </c>
      <c r="Y98" s="29" t="n">
        <v>0</v>
      </c>
      <c r="Z98" s="29" t="n">
        <v>0</v>
      </c>
      <c r="AA98" s="29" t="n">
        <v>0</v>
      </c>
      <c r="AB98" s="29" t="n">
        <v>0</v>
      </c>
      <c r="AC98" s="29" t="n">
        <v>0</v>
      </c>
      <c r="AD98" s="29" t="n">
        <v>0</v>
      </c>
      <c r="AE98" s="29" t="n">
        <v>0</v>
      </c>
    </row>
    <row r="99" customFormat="false" ht="15" hidden="false" customHeight="false" outlineLevel="0" collapsed="false">
      <c r="A99" s="35" t="s">
        <v>1190</v>
      </c>
      <c r="B99" s="6" t="s">
        <v>66</v>
      </c>
      <c r="C99" s="6" t="s">
        <v>119</v>
      </c>
      <c r="D99" s="6" t="n">
        <v>1</v>
      </c>
      <c r="E99" s="6" t="s">
        <v>1166</v>
      </c>
      <c r="K99" s="29" t="n">
        <f aca="false">INDEX(Mitigation_Industry!K:K,MATCH($A99,Mitigation_Industry!$H:$H,0))</f>
        <v>0</v>
      </c>
      <c r="L99" s="29" t="n">
        <f aca="false">INDEX(Mitigation_Industry!L:L,MATCH($A99,Mitigation_Industry!$H:$H,0))</f>
        <v>0</v>
      </c>
      <c r="M99" s="29" t="n">
        <f aca="false">INDEX(Mitigation_Industry!M:M,MATCH($A99,Mitigation_Industry!$H:$H,0))</f>
        <v>0</v>
      </c>
      <c r="N99" s="29" t="n">
        <f aca="false">INDEX(Mitigation_Industry!N:N,MATCH($A99,Mitigation_Industry!$H:$H,0))</f>
        <v>0</v>
      </c>
      <c r="O99" s="29" t="n">
        <f aca="false">INDEX(Mitigation_Industry!O:O,MATCH($A99,Mitigation_Industry!$H:$H,0))</f>
        <v>0</v>
      </c>
      <c r="P99" s="29" t="n">
        <f aca="false">INDEX(Mitigation_Industry!P:P,MATCH($A99,Mitigation_Industry!$H:$H,0))</f>
        <v>0</v>
      </c>
      <c r="Q99" s="29" t="n">
        <f aca="false">INDEX(Mitigation_Industry!Q:Q,MATCH($A99,Mitigation_Industry!$H:$H,0))</f>
        <v>0</v>
      </c>
      <c r="R99" s="29" t="n">
        <f aca="false">INDEX(Mitigation_Industry!R:R,MATCH($A99,Mitigation_Industry!$H:$H,0))</f>
        <v>0</v>
      </c>
      <c r="S99" s="29" t="n">
        <f aca="false">INDEX(Mitigation_Industry!S:S,MATCH($A99,Mitigation_Industry!$H:$H,0))</f>
        <v>0</v>
      </c>
      <c r="T99" s="29" t="n">
        <f aca="false">INDEX(Mitigation_Industry!T:T,MATCH($A99,Mitigation_Industry!$H:$H,0))</f>
        <v>0</v>
      </c>
      <c r="U99" s="29" t="n">
        <f aca="false">INDEX(Mitigation_Industry!U:U,MATCH($A99,Mitigation_Industry!$H:$H,0))</f>
        <v>0</v>
      </c>
      <c r="V99" s="29" t="n">
        <f aca="false">INDEX(Mitigation_Industry!V:V,MATCH($A99,Mitigation_Industry!$H:$H,0))</f>
        <v>0</v>
      </c>
      <c r="W99" s="29" t="n">
        <f aca="false">INDEX(Mitigation_Industry!W:W,MATCH($A99,Mitigation_Industry!$H:$H,0))</f>
        <v>0</v>
      </c>
      <c r="X99" s="29" t="n">
        <f aca="false">INDEX(Mitigation_Industry!X:X,MATCH($A99,Mitigation_Industry!$H:$H,0))</f>
        <v>0</v>
      </c>
      <c r="Y99" s="29" t="n">
        <f aca="false">INDEX(Mitigation_Industry!Y:Y,MATCH($A99,Mitigation_Industry!$H:$H,0))</f>
        <v>0</v>
      </c>
      <c r="Z99" s="29" t="n">
        <f aca="false">INDEX(Mitigation_Industry!Z:Z,MATCH($A99,Mitigation_Industry!$H:$H,0))</f>
        <v>0</v>
      </c>
      <c r="AA99" s="29" t="n">
        <f aca="false">INDEX(Mitigation_Industry!AA:AA,MATCH($A99,Mitigation_Industry!$H:$H,0))</f>
        <v>0</v>
      </c>
      <c r="AB99" s="29" t="n">
        <f aca="false">INDEX(Mitigation_Industry!AB:AB,MATCH($A99,Mitigation_Industry!$H:$H,0))</f>
        <v>0</v>
      </c>
      <c r="AC99" s="29" t="n">
        <f aca="false">INDEX(Mitigation_Industry!AC:AC,MATCH($A99,Mitigation_Industry!$H:$H,0))</f>
        <v>0</v>
      </c>
      <c r="AD99" s="29" t="n">
        <f aca="false">INDEX(Mitigation_Industry!AD:AD,MATCH($A99,Mitigation_Industry!$H:$H,0))</f>
        <v>0</v>
      </c>
      <c r="AE99" s="29" t="n">
        <f aca="false">INDEX(Mitigation_Industry!AE:AE,MATCH($A99,Mitigation_Industry!$H:$H,0))</f>
        <v>0</v>
      </c>
    </row>
    <row r="100" customFormat="false" ht="15" hidden="false" customHeight="false" outlineLevel="0" collapsed="false">
      <c r="A100" s="35" t="s">
        <v>1190</v>
      </c>
      <c r="B100" s="6" t="s">
        <v>66</v>
      </c>
      <c r="C100" s="6" t="s">
        <v>119</v>
      </c>
      <c r="D100" s="6" t="n">
        <v>1</v>
      </c>
      <c r="E100" s="2" t="s">
        <v>1167</v>
      </c>
      <c r="F100" s="40" t="n">
        <f aca="false">MAX(MAX(L100:AE100),-MIN(L100:AE100))</f>
        <v>-0</v>
      </c>
      <c r="K100" s="41" t="n">
        <f aca="false">IF(ISNUMBER(K98),IF(ISNUMBER(K99),K99-K98,999999),0)</f>
        <v>0</v>
      </c>
      <c r="L100" s="41" t="n">
        <f aca="false">IF(ISNUMBER(L98),IF(ISNUMBER(L99),L99-L98,999999),0)</f>
        <v>0</v>
      </c>
      <c r="M100" s="41" t="n">
        <f aca="false">IF(ISNUMBER(M98),IF(ISNUMBER(M99),M99-M98,999999),0)</f>
        <v>0</v>
      </c>
      <c r="N100" s="41" t="n">
        <f aca="false">IF(ISNUMBER(N98),IF(ISNUMBER(N99),N99-N98,999999),0)</f>
        <v>0</v>
      </c>
      <c r="O100" s="41" t="n">
        <f aca="false">IF(ISNUMBER(O98),IF(ISNUMBER(O99),O99-O98,999999),0)</f>
        <v>0</v>
      </c>
      <c r="P100" s="41" t="n">
        <f aca="false">IF(ISNUMBER(P98),IF(ISNUMBER(P99),P99-P98,999999),0)</f>
        <v>0</v>
      </c>
      <c r="Q100" s="41" t="n">
        <f aca="false">IF(ISNUMBER(Q98),IF(ISNUMBER(Q99),Q99-Q98,999999),0)</f>
        <v>0</v>
      </c>
      <c r="R100" s="41" t="n">
        <f aca="false">IF(ISNUMBER(R98),IF(ISNUMBER(R99),R99-R98,999999),0)</f>
        <v>0</v>
      </c>
      <c r="S100" s="41" t="n">
        <f aca="false">IF(ISNUMBER(S98),IF(ISNUMBER(S99),S99-S98,999999),0)</f>
        <v>0</v>
      </c>
      <c r="T100" s="41" t="n">
        <f aca="false">IF(ISNUMBER(T98),IF(ISNUMBER(T99),T99-T98,999999),0)</f>
        <v>0</v>
      </c>
      <c r="U100" s="41" t="n">
        <f aca="false">IF(ISNUMBER(U98),IF(ISNUMBER(U99),U99-U98,999999),0)</f>
        <v>0</v>
      </c>
      <c r="V100" s="41" t="n">
        <f aca="false">IF(ISNUMBER(V98),IF(ISNUMBER(V99),V99-V98,999999),0)</f>
        <v>0</v>
      </c>
      <c r="W100" s="41" t="n">
        <f aca="false">IF(ISNUMBER(W98),IF(ISNUMBER(W99),W99-W98,999999),0)</f>
        <v>0</v>
      </c>
      <c r="X100" s="41" t="n">
        <f aca="false">IF(ISNUMBER(X98),IF(ISNUMBER(X99),X99-X98,999999),0)</f>
        <v>0</v>
      </c>
      <c r="Y100" s="41" t="n">
        <f aca="false">IF(ISNUMBER(Y98),IF(ISNUMBER(Y99),Y99-Y98,999999),0)</f>
        <v>0</v>
      </c>
      <c r="Z100" s="41" t="n">
        <f aca="false">IF(ISNUMBER(Z98),IF(ISNUMBER(Z99),Z99-Z98,999999),0)</f>
        <v>0</v>
      </c>
      <c r="AA100" s="41" t="n">
        <f aca="false">IF(ISNUMBER(AA98),IF(ISNUMBER(AA99),AA99-AA98,999999),0)</f>
        <v>0</v>
      </c>
      <c r="AB100" s="41" t="n">
        <f aca="false">IF(ISNUMBER(AB98),IF(ISNUMBER(AB99),AB99-AB98,999999),0)</f>
        <v>0</v>
      </c>
      <c r="AC100" s="41" t="n">
        <f aca="false">IF(ISNUMBER(AC98),IF(ISNUMBER(AC99),AC99-AC98,999999),0)</f>
        <v>0</v>
      </c>
      <c r="AD100" s="41" t="n">
        <f aca="false">IF(ISNUMBER(AD98),IF(ISNUMBER(AD99),AD99-AD98,999999),0)</f>
        <v>0</v>
      </c>
      <c r="AE100" s="41" t="n">
        <f aca="false">IF(ISNUMBER(AE98),IF(ISNUMBER(AE99),AE99-AE98,999999),0)</f>
        <v>0</v>
      </c>
    </row>
    <row r="102" customFormat="false" ht="15" hidden="false" customHeight="false" outlineLevel="0" collapsed="false">
      <c r="A102" s="35" t="s">
        <v>1191</v>
      </c>
      <c r="B102" s="6" t="s">
        <v>68</v>
      </c>
      <c r="C102" s="6" t="s">
        <v>119</v>
      </c>
      <c r="D102" s="6" t="n">
        <v>1</v>
      </c>
      <c r="E102" s="6" t="s">
        <v>1165</v>
      </c>
      <c r="K102" s="29"/>
      <c r="L102" s="29" t="n">
        <v>0</v>
      </c>
      <c r="M102" s="29" t="n">
        <v>0</v>
      </c>
      <c r="N102" s="29" t="n">
        <v>0</v>
      </c>
      <c r="O102" s="29" t="n">
        <v>0</v>
      </c>
      <c r="P102" s="29" t="n">
        <v>0</v>
      </c>
      <c r="Q102" s="29" t="n">
        <v>0</v>
      </c>
      <c r="R102" s="29" t="n">
        <v>0</v>
      </c>
      <c r="S102" s="29" t="n">
        <v>0</v>
      </c>
      <c r="T102" s="29" t="n">
        <v>0</v>
      </c>
      <c r="U102" s="29" t="n">
        <v>0</v>
      </c>
      <c r="V102" s="29" t="n">
        <v>0</v>
      </c>
      <c r="W102" s="29" t="n">
        <v>0</v>
      </c>
      <c r="X102" s="29" t="n">
        <v>0</v>
      </c>
      <c r="Y102" s="29" t="n">
        <v>0</v>
      </c>
      <c r="Z102" s="29" t="n">
        <v>0</v>
      </c>
      <c r="AA102" s="29" t="n">
        <v>0</v>
      </c>
      <c r="AB102" s="29" t="n">
        <v>0</v>
      </c>
      <c r="AC102" s="29" t="n">
        <v>0</v>
      </c>
      <c r="AD102" s="29" t="n">
        <v>0</v>
      </c>
      <c r="AE102" s="29" t="n">
        <v>0</v>
      </c>
    </row>
    <row r="103" customFormat="false" ht="15" hidden="false" customHeight="false" outlineLevel="0" collapsed="false">
      <c r="A103" s="35" t="s">
        <v>1191</v>
      </c>
      <c r="B103" s="6" t="s">
        <v>68</v>
      </c>
      <c r="C103" s="6" t="s">
        <v>119</v>
      </c>
      <c r="D103" s="6" t="n">
        <v>1</v>
      </c>
      <c r="E103" s="6" t="s">
        <v>1166</v>
      </c>
      <c r="K103" s="29" t="n">
        <f aca="false">INDEX(Mitigation_Industry!K:K,MATCH($A103,Mitigation_Industry!$H:$H,0))</f>
        <v>0</v>
      </c>
      <c r="L103" s="29" t="n">
        <f aca="false">INDEX(Mitigation_Industry!L:L,MATCH($A103,Mitigation_Industry!$H:$H,0))</f>
        <v>0</v>
      </c>
      <c r="M103" s="29" t="n">
        <f aca="false">INDEX(Mitigation_Industry!M:M,MATCH($A103,Mitigation_Industry!$H:$H,0))</f>
        <v>0</v>
      </c>
      <c r="N103" s="29" t="n">
        <f aca="false">INDEX(Mitigation_Industry!N:N,MATCH($A103,Mitigation_Industry!$H:$H,0))</f>
        <v>0</v>
      </c>
      <c r="O103" s="29" t="n">
        <f aca="false">INDEX(Mitigation_Industry!O:O,MATCH($A103,Mitigation_Industry!$H:$H,0))</f>
        <v>0</v>
      </c>
      <c r="P103" s="29" t="n">
        <f aca="false">INDEX(Mitigation_Industry!P:P,MATCH($A103,Mitigation_Industry!$H:$H,0))</f>
        <v>0</v>
      </c>
      <c r="Q103" s="29" t="n">
        <f aca="false">INDEX(Mitigation_Industry!Q:Q,MATCH($A103,Mitigation_Industry!$H:$H,0))</f>
        <v>0</v>
      </c>
      <c r="R103" s="29" t="n">
        <f aca="false">INDEX(Mitigation_Industry!R:R,MATCH($A103,Mitigation_Industry!$H:$H,0))</f>
        <v>0</v>
      </c>
      <c r="S103" s="29" t="n">
        <f aca="false">INDEX(Mitigation_Industry!S:S,MATCH($A103,Mitigation_Industry!$H:$H,0))</f>
        <v>0</v>
      </c>
      <c r="T103" s="29" t="n">
        <f aca="false">INDEX(Mitigation_Industry!T:T,MATCH($A103,Mitigation_Industry!$H:$H,0))</f>
        <v>0</v>
      </c>
      <c r="U103" s="29" t="n">
        <f aca="false">INDEX(Mitigation_Industry!U:U,MATCH($A103,Mitigation_Industry!$H:$H,0))</f>
        <v>0</v>
      </c>
      <c r="V103" s="29" t="n">
        <f aca="false">INDEX(Mitigation_Industry!V:V,MATCH($A103,Mitigation_Industry!$H:$H,0))</f>
        <v>0</v>
      </c>
      <c r="W103" s="29" t="n">
        <f aca="false">INDEX(Mitigation_Industry!W:W,MATCH($A103,Mitigation_Industry!$H:$H,0))</f>
        <v>0</v>
      </c>
      <c r="X103" s="29" t="n">
        <f aca="false">INDEX(Mitigation_Industry!X:X,MATCH($A103,Mitigation_Industry!$H:$H,0))</f>
        <v>0</v>
      </c>
      <c r="Y103" s="29" t="n">
        <f aca="false">INDEX(Mitigation_Industry!Y:Y,MATCH($A103,Mitigation_Industry!$H:$H,0))</f>
        <v>0</v>
      </c>
      <c r="Z103" s="29" t="n">
        <f aca="false">INDEX(Mitigation_Industry!Z:Z,MATCH($A103,Mitigation_Industry!$H:$H,0))</f>
        <v>0</v>
      </c>
      <c r="AA103" s="29" t="n">
        <f aca="false">INDEX(Mitigation_Industry!AA:AA,MATCH($A103,Mitigation_Industry!$H:$H,0))</f>
        <v>0</v>
      </c>
      <c r="AB103" s="29" t="n">
        <f aca="false">INDEX(Mitigation_Industry!AB:AB,MATCH($A103,Mitigation_Industry!$H:$H,0))</f>
        <v>0</v>
      </c>
      <c r="AC103" s="29" t="n">
        <f aca="false">INDEX(Mitigation_Industry!AC:AC,MATCH($A103,Mitigation_Industry!$H:$H,0))</f>
        <v>0</v>
      </c>
      <c r="AD103" s="29" t="n">
        <f aca="false">INDEX(Mitigation_Industry!AD:AD,MATCH($A103,Mitigation_Industry!$H:$H,0))</f>
        <v>0</v>
      </c>
      <c r="AE103" s="29" t="n">
        <f aca="false">INDEX(Mitigation_Industry!AE:AE,MATCH($A103,Mitigation_Industry!$H:$H,0))</f>
        <v>0</v>
      </c>
    </row>
    <row r="104" customFormat="false" ht="15" hidden="false" customHeight="false" outlineLevel="0" collapsed="false">
      <c r="A104" s="35" t="s">
        <v>1191</v>
      </c>
      <c r="B104" s="6" t="s">
        <v>68</v>
      </c>
      <c r="C104" s="6" t="s">
        <v>119</v>
      </c>
      <c r="D104" s="6" t="n">
        <v>1</v>
      </c>
      <c r="E104" s="2" t="s">
        <v>1167</v>
      </c>
      <c r="F104" s="40" t="n">
        <f aca="false">MAX(MAX(L104:AE104),-MIN(L104:AE104))</f>
        <v>-0</v>
      </c>
      <c r="K104" s="41" t="n">
        <f aca="false">IF(ISNUMBER(K102),IF(ISNUMBER(K103),K103-K102,999999),0)</f>
        <v>0</v>
      </c>
      <c r="L104" s="41" t="n">
        <f aca="false">IF(ISNUMBER(L102),IF(ISNUMBER(L103),L103-L102,999999),0)</f>
        <v>0</v>
      </c>
      <c r="M104" s="41" t="n">
        <f aca="false">IF(ISNUMBER(M102),IF(ISNUMBER(M103),M103-M102,999999),0)</f>
        <v>0</v>
      </c>
      <c r="N104" s="41" t="n">
        <f aca="false">IF(ISNUMBER(N102),IF(ISNUMBER(N103),N103-N102,999999),0)</f>
        <v>0</v>
      </c>
      <c r="O104" s="41" t="n">
        <f aca="false">IF(ISNUMBER(O102),IF(ISNUMBER(O103),O103-O102,999999),0)</f>
        <v>0</v>
      </c>
      <c r="P104" s="41" t="n">
        <f aca="false">IF(ISNUMBER(P102),IF(ISNUMBER(P103),P103-P102,999999),0)</f>
        <v>0</v>
      </c>
      <c r="Q104" s="41" t="n">
        <f aca="false">IF(ISNUMBER(Q102),IF(ISNUMBER(Q103),Q103-Q102,999999),0)</f>
        <v>0</v>
      </c>
      <c r="R104" s="41" t="n">
        <f aca="false">IF(ISNUMBER(R102),IF(ISNUMBER(R103),R103-R102,999999),0)</f>
        <v>0</v>
      </c>
      <c r="S104" s="41" t="n">
        <f aca="false">IF(ISNUMBER(S102),IF(ISNUMBER(S103),S103-S102,999999),0)</f>
        <v>0</v>
      </c>
      <c r="T104" s="41" t="n">
        <f aca="false">IF(ISNUMBER(T102),IF(ISNUMBER(T103),T103-T102,999999),0)</f>
        <v>0</v>
      </c>
      <c r="U104" s="41" t="n">
        <f aca="false">IF(ISNUMBER(U102),IF(ISNUMBER(U103),U103-U102,999999),0)</f>
        <v>0</v>
      </c>
      <c r="V104" s="41" t="n">
        <f aca="false">IF(ISNUMBER(V102),IF(ISNUMBER(V103),V103-V102,999999),0)</f>
        <v>0</v>
      </c>
      <c r="W104" s="41" t="n">
        <f aca="false">IF(ISNUMBER(W102),IF(ISNUMBER(W103),W103-W102,999999),0)</f>
        <v>0</v>
      </c>
      <c r="X104" s="41" t="n">
        <f aca="false">IF(ISNUMBER(X102),IF(ISNUMBER(X103),X103-X102,999999),0)</f>
        <v>0</v>
      </c>
      <c r="Y104" s="41" t="n">
        <f aca="false">IF(ISNUMBER(Y102),IF(ISNUMBER(Y103),Y103-Y102,999999),0)</f>
        <v>0</v>
      </c>
      <c r="Z104" s="41" t="n">
        <f aca="false">IF(ISNUMBER(Z102),IF(ISNUMBER(Z103),Z103-Z102,999999),0)</f>
        <v>0</v>
      </c>
      <c r="AA104" s="41" t="n">
        <f aca="false">IF(ISNUMBER(AA102),IF(ISNUMBER(AA103),AA103-AA102,999999),0)</f>
        <v>0</v>
      </c>
      <c r="AB104" s="41" t="n">
        <f aca="false">IF(ISNUMBER(AB102),IF(ISNUMBER(AB103),AB103-AB102,999999),0)</f>
        <v>0</v>
      </c>
      <c r="AC104" s="41" t="n">
        <f aca="false">IF(ISNUMBER(AC102),IF(ISNUMBER(AC103),AC103-AC102,999999),0)</f>
        <v>0</v>
      </c>
      <c r="AD104" s="41" t="n">
        <f aca="false">IF(ISNUMBER(AD102),IF(ISNUMBER(AD103),AD103-AD102,999999),0)</f>
        <v>0</v>
      </c>
      <c r="AE104" s="41" t="n">
        <f aca="false">IF(ISNUMBER(AE102),IF(ISNUMBER(AE103),AE103-AE102,999999),0)</f>
        <v>0</v>
      </c>
    </row>
    <row r="106" customFormat="false" ht="15" hidden="false" customHeight="false" outlineLevel="0" collapsed="false">
      <c r="A106" s="35" t="s">
        <v>1192</v>
      </c>
      <c r="B106" s="6" t="s">
        <v>71</v>
      </c>
      <c r="C106" s="6" t="s">
        <v>119</v>
      </c>
      <c r="D106" s="6" t="n">
        <v>1</v>
      </c>
      <c r="E106" s="6" t="s">
        <v>1165</v>
      </c>
      <c r="K106" s="29"/>
      <c r="L106" s="29" t="n">
        <v>0</v>
      </c>
      <c r="M106" s="29" t="n">
        <v>0</v>
      </c>
      <c r="N106" s="29" t="n">
        <v>0</v>
      </c>
      <c r="O106" s="29" t="n">
        <v>0</v>
      </c>
      <c r="P106" s="29" t="n">
        <v>0</v>
      </c>
      <c r="Q106" s="29" t="n">
        <v>0</v>
      </c>
      <c r="R106" s="29" t="n">
        <v>0</v>
      </c>
      <c r="S106" s="29" t="n">
        <v>0</v>
      </c>
      <c r="T106" s="29" t="n">
        <v>0</v>
      </c>
      <c r="U106" s="29" t="n">
        <v>0</v>
      </c>
      <c r="V106" s="29" t="n">
        <v>0</v>
      </c>
      <c r="W106" s="29" t="n">
        <v>0</v>
      </c>
      <c r="X106" s="29" t="n">
        <v>0</v>
      </c>
      <c r="Y106" s="29" t="n">
        <v>0</v>
      </c>
      <c r="Z106" s="29" t="n">
        <v>0</v>
      </c>
      <c r="AA106" s="29" t="n">
        <v>0</v>
      </c>
      <c r="AB106" s="29" t="n">
        <v>0</v>
      </c>
      <c r="AC106" s="29" t="n">
        <v>0</v>
      </c>
      <c r="AD106" s="29" t="n">
        <v>0</v>
      </c>
      <c r="AE106" s="29" t="n">
        <v>0</v>
      </c>
    </row>
    <row r="107" customFormat="false" ht="15" hidden="false" customHeight="false" outlineLevel="0" collapsed="false">
      <c r="A107" s="35" t="s">
        <v>1192</v>
      </c>
      <c r="B107" s="6" t="s">
        <v>71</v>
      </c>
      <c r="C107" s="6" t="s">
        <v>119</v>
      </c>
      <c r="D107" s="6" t="n">
        <v>1</v>
      </c>
      <c r="E107" s="6" t="s">
        <v>1166</v>
      </c>
      <c r="K107" s="29" t="n">
        <f aca="false">INDEX(Mitigation_Industry!K:K,MATCH($A107,Mitigation_Industry!$H:$H,0))</f>
        <v>0</v>
      </c>
      <c r="L107" s="29" t="n">
        <f aca="false">INDEX(Mitigation_Industry!L:L,MATCH($A107,Mitigation_Industry!$H:$H,0))</f>
        <v>0</v>
      </c>
      <c r="M107" s="29" t="n">
        <f aca="false">INDEX(Mitigation_Industry!M:M,MATCH($A107,Mitigation_Industry!$H:$H,0))</f>
        <v>0</v>
      </c>
      <c r="N107" s="29" t="n">
        <f aca="false">INDEX(Mitigation_Industry!N:N,MATCH($A107,Mitigation_Industry!$H:$H,0))</f>
        <v>0</v>
      </c>
      <c r="O107" s="29" t="n">
        <f aca="false">INDEX(Mitigation_Industry!O:O,MATCH($A107,Mitigation_Industry!$H:$H,0))</f>
        <v>0</v>
      </c>
      <c r="P107" s="29" t="n">
        <f aca="false">INDEX(Mitigation_Industry!P:P,MATCH($A107,Mitigation_Industry!$H:$H,0))</f>
        <v>0</v>
      </c>
      <c r="Q107" s="29" t="n">
        <f aca="false">INDEX(Mitigation_Industry!Q:Q,MATCH($A107,Mitigation_Industry!$H:$H,0))</f>
        <v>0</v>
      </c>
      <c r="R107" s="29" t="n">
        <f aca="false">INDEX(Mitigation_Industry!R:R,MATCH($A107,Mitigation_Industry!$H:$H,0))</f>
        <v>0</v>
      </c>
      <c r="S107" s="29" t="n">
        <f aca="false">INDEX(Mitigation_Industry!S:S,MATCH($A107,Mitigation_Industry!$H:$H,0))</f>
        <v>0</v>
      </c>
      <c r="T107" s="29" t="n">
        <f aca="false">INDEX(Mitigation_Industry!T:T,MATCH($A107,Mitigation_Industry!$H:$H,0))</f>
        <v>0</v>
      </c>
      <c r="U107" s="29" t="n">
        <f aca="false">INDEX(Mitigation_Industry!U:U,MATCH($A107,Mitigation_Industry!$H:$H,0))</f>
        <v>0</v>
      </c>
      <c r="V107" s="29" t="n">
        <f aca="false">INDEX(Mitigation_Industry!V:V,MATCH($A107,Mitigation_Industry!$H:$H,0))</f>
        <v>0</v>
      </c>
      <c r="W107" s="29" t="n">
        <f aca="false">INDEX(Mitigation_Industry!W:W,MATCH($A107,Mitigation_Industry!$H:$H,0))</f>
        <v>0</v>
      </c>
      <c r="X107" s="29" t="n">
        <f aca="false">INDEX(Mitigation_Industry!X:X,MATCH($A107,Mitigation_Industry!$H:$H,0))</f>
        <v>0</v>
      </c>
      <c r="Y107" s="29" t="n">
        <f aca="false">INDEX(Mitigation_Industry!Y:Y,MATCH($A107,Mitigation_Industry!$H:$H,0))</f>
        <v>0</v>
      </c>
      <c r="Z107" s="29" t="n">
        <f aca="false">INDEX(Mitigation_Industry!Z:Z,MATCH($A107,Mitigation_Industry!$H:$H,0))</f>
        <v>0</v>
      </c>
      <c r="AA107" s="29" t="n">
        <f aca="false">INDEX(Mitigation_Industry!AA:AA,MATCH($A107,Mitigation_Industry!$H:$H,0))</f>
        <v>0</v>
      </c>
      <c r="AB107" s="29" t="n">
        <f aca="false">INDEX(Mitigation_Industry!AB:AB,MATCH($A107,Mitigation_Industry!$H:$H,0))</f>
        <v>0</v>
      </c>
      <c r="AC107" s="29" t="n">
        <f aca="false">INDEX(Mitigation_Industry!AC:AC,MATCH($A107,Mitigation_Industry!$H:$H,0))</f>
        <v>0</v>
      </c>
      <c r="AD107" s="29" t="n">
        <f aca="false">INDEX(Mitigation_Industry!AD:AD,MATCH($A107,Mitigation_Industry!$H:$H,0))</f>
        <v>0</v>
      </c>
      <c r="AE107" s="29" t="n">
        <f aca="false">INDEX(Mitigation_Industry!AE:AE,MATCH($A107,Mitigation_Industry!$H:$H,0))</f>
        <v>0</v>
      </c>
    </row>
    <row r="108" customFormat="false" ht="15" hidden="false" customHeight="false" outlineLevel="0" collapsed="false">
      <c r="A108" s="35" t="s">
        <v>1192</v>
      </c>
      <c r="B108" s="6" t="s">
        <v>71</v>
      </c>
      <c r="C108" s="6" t="s">
        <v>119</v>
      </c>
      <c r="D108" s="6" t="n">
        <v>1</v>
      </c>
      <c r="E108" s="2" t="s">
        <v>1167</v>
      </c>
      <c r="F108" s="40" t="n">
        <f aca="false">MAX(MAX(L108:AE108),-MIN(L108:AE108))</f>
        <v>-0</v>
      </c>
      <c r="K108" s="41" t="n">
        <f aca="false">IF(ISNUMBER(K106),IF(ISNUMBER(K107),K107-K106,999999),0)</f>
        <v>0</v>
      </c>
      <c r="L108" s="41" t="n">
        <f aca="false">IF(ISNUMBER(L106),IF(ISNUMBER(L107),L107-L106,999999),0)</f>
        <v>0</v>
      </c>
      <c r="M108" s="41" t="n">
        <f aca="false">IF(ISNUMBER(M106),IF(ISNUMBER(M107),M107-M106,999999),0)</f>
        <v>0</v>
      </c>
      <c r="N108" s="41" t="n">
        <f aca="false">IF(ISNUMBER(N106),IF(ISNUMBER(N107),N107-N106,999999),0)</f>
        <v>0</v>
      </c>
      <c r="O108" s="41" t="n">
        <f aca="false">IF(ISNUMBER(O106),IF(ISNUMBER(O107),O107-O106,999999),0)</f>
        <v>0</v>
      </c>
      <c r="P108" s="41" t="n">
        <f aca="false">IF(ISNUMBER(P106),IF(ISNUMBER(P107),P107-P106,999999),0)</f>
        <v>0</v>
      </c>
      <c r="Q108" s="41" t="n">
        <f aca="false">IF(ISNUMBER(Q106),IF(ISNUMBER(Q107),Q107-Q106,999999),0)</f>
        <v>0</v>
      </c>
      <c r="R108" s="41" t="n">
        <f aca="false">IF(ISNUMBER(R106),IF(ISNUMBER(R107),R107-R106,999999),0)</f>
        <v>0</v>
      </c>
      <c r="S108" s="41" t="n">
        <f aca="false">IF(ISNUMBER(S106),IF(ISNUMBER(S107),S107-S106,999999),0)</f>
        <v>0</v>
      </c>
      <c r="T108" s="41" t="n">
        <f aca="false">IF(ISNUMBER(T106),IF(ISNUMBER(T107),T107-T106,999999),0)</f>
        <v>0</v>
      </c>
      <c r="U108" s="41" t="n">
        <f aca="false">IF(ISNUMBER(U106),IF(ISNUMBER(U107),U107-U106,999999),0)</f>
        <v>0</v>
      </c>
      <c r="V108" s="41" t="n">
        <f aca="false">IF(ISNUMBER(V106),IF(ISNUMBER(V107),V107-V106,999999),0)</f>
        <v>0</v>
      </c>
      <c r="W108" s="41" t="n">
        <f aca="false">IF(ISNUMBER(W106),IF(ISNUMBER(W107),W107-W106,999999),0)</f>
        <v>0</v>
      </c>
      <c r="X108" s="41" t="n">
        <f aca="false">IF(ISNUMBER(X106),IF(ISNUMBER(X107),X107-X106,999999),0)</f>
        <v>0</v>
      </c>
      <c r="Y108" s="41" t="n">
        <f aca="false">IF(ISNUMBER(Y106),IF(ISNUMBER(Y107),Y107-Y106,999999),0)</f>
        <v>0</v>
      </c>
      <c r="Z108" s="41" t="n">
        <f aca="false">IF(ISNUMBER(Z106),IF(ISNUMBER(Z107),Z107-Z106,999999),0)</f>
        <v>0</v>
      </c>
      <c r="AA108" s="41" t="n">
        <f aca="false">IF(ISNUMBER(AA106),IF(ISNUMBER(AA107),AA107-AA106,999999),0)</f>
        <v>0</v>
      </c>
      <c r="AB108" s="41" t="n">
        <f aca="false">IF(ISNUMBER(AB106),IF(ISNUMBER(AB107),AB107-AB106,999999),0)</f>
        <v>0</v>
      </c>
      <c r="AC108" s="41" t="n">
        <f aca="false">IF(ISNUMBER(AC106),IF(ISNUMBER(AC107),AC107-AC106,999999),0)</f>
        <v>0</v>
      </c>
      <c r="AD108" s="41" t="n">
        <f aca="false">IF(ISNUMBER(AD106),IF(ISNUMBER(AD107),AD107-AD106,999999),0)</f>
        <v>0</v>
      </c>
      <c r="AE108" s="41" t="n">
        <f aca="false">IF(ISNUMBER(AE106),IF(ISNUMBER(AE107),AE107-AE106,999999),0)</f>
        <v>0</v>
      </c>
    </row>
    <row r="110" customFormat="false" ht="15" hidden="false" customHeight="false" outlineLevel="0" collapsed="false">
      <c r="A110" s="35" t="s">
        <v>1193</v>
      </c>
      <c r="B110" s="6" t="s">
        <v>73</v>
      </c>
      <c r="C110" s="6" t="s">
        <v>119</v>
      </c>
      <c r="D110" s="6" t="n">
        <v>1</v>
      </c>
      <c r="E110" s="6" t="s">
        <v>1165</v>
      </c>
      <c r="K110" s="29"/>
      <c r="L110" s="29" t="n">
        <v>0</v>
      </c>
      <c r="M110" s="29" t="n">
        <v>0</v>
      </c>
      <c r="N110" s="29" t="n">
        <v>0</v>
      </c>
      <c r="O110" s="29" t="n">
        <v>0</v>
      </c>
      <c r="P110" s="29" t="n">
        <v>0</v>
      </c>
      <c r="Q110" s="29" t="n">
        <v>0</v>
      </c>
      <c r="R110" s="29" t="n">
        <v>0</v>
      </c>
      <c r="S110" s="29" t="n">
        <v>0</v>
      </c>
      <c r="T110" s="29" t="n">
        <v>0</v>
      </c>
      <c r="U110" s="29" t="n">
        <v>0</v>
      </c>
      <c r="V110" s="29" t="n">
        <v>0</v>
      </c>
      <c r="W110" s="29" t="n">
        <v>0</v>
      </c>
      <c r="X110" s="29" t="n">
        <v>0</v>
      </c>
      <c r="Y110" s="29" t="n">
        <v>0</v>
      </c>
      <c r="Z110" s="29" t="n">
        <v>0</v>
      </c>
      <c r="AA110" s="29" t="n">
        <v>0</v>
      </c>
      <c r="AB110" s="29" t="n">
        <v>0</v>
      </c>
      <c r="AC110" s="29" t="n">
        <v>0</v>
      </c>
      <c r="AD110" s="29" t="n">
        <v>0</v>
      </c>
      <c r="AE110" s="29" t="n">
        <v>0</v>
      </c>
    </row>
    <row r="111" customFormat="false" ht="15" hidden="false" customHeight="false" outlineLevel="0" collapsed="false">
      <c r="A111" s="35" t="s">
        <v>1193</v>
      </c>
      <c r="B111" s="6" t="s">
        <v>73</v>
      </c>
      <c r="C111" s="6" t="s">
        <v>119</v>
      </c>
      <c r="D111" s="6" t="n">
        <v>1</v>
      </c>
      <c r="E111" s="6" t="s">
        <v>1166</v>
      </c>
      <c r="K111" s="29" t="n">
        <f aca="false">INDEX(Mitigation_Industry!K:K,MATCH($A111,Mitigation_Industry!$H:$H,0))</f>
        <v>0</v>
      </c>
      <c r="L111" s="29" t="n">
        <f aca="false">INDEX(Mitigation_Industry!L:L,MATCH($A111,Mitigation_Industry!$H:$H,0))</f>
        <v>0</v>
      </c>
      <c r="M111" s="29" t="n">
        <f aca="false">INDEX(Mitigation_Industry!M:M,MATCH($A111,Mitigation_Industry!$H:$H,0))</f>
        <v>0</v>
      </c>
      <c r="N111" s="29" t="n">
        <f aca="false">INDEX(Mitigation_Industry!N:N,MATCH($A111,Mitigation_Industry!$H:$H,0))</f>
        <v>0</v>
      </c>
      <c r="O111" s="29" t="n">
        <f aca="false">INDEX(Mitigation_Industry!O:O,MATCH($A111,Mitigation_Industry!$H:$H,0))</f>
        <v>0</v>
      </c>
      <c r="P111" s="29" t="n">
        <f aca="false">INDEX(Mitigation_Industry!P:P,MATCH($A111,Mitigation_Industry!$H:$H,0))</f>
        <v>0</v>
      </c>
      <c r="Q111" s="29" t="n">
        <f aca="false">INDEX(Mitigation_Industry!Q:Q,MATCH($A111,Mitigation_Industry!$H:$H,0))</f>
        <v>0</v>
      </c>
      <c r="R111" s="29" t="n">
        <f aca="false">INDEX(Mitigation_Industry!R:R,MATCH($A111,Mitigation_Industry!$H:$H,0))</f>
        <v>0</v>
      </c>
      <c r="S111" s="29" t="n">
        <f aca="false">INDEX(Mitigation_Industry!S:S,MATCH($A111,Mitigation_Industry!$H:$H,0))</f>
        <v>0</v>
      </c>
      <c r="T111" s="29" t="n">
        <f aca="false">INDEX(Mitigation_Industry!T:T,MATCH($A111,Mitigation_Industry!$H:$H,0))</f>
        <v>0</v>
      </c>
      <c r="U111" s="29" t="n">
        <f aca="false">INDEX(Mitigation_Industry!U:U,MATCH($A111,Mitigation_Industry!$H:$H,0))</f>
        <v>0</v>
      </c>
      <c r="V111" s="29" t="n">
        <f aca="false">INDEX(Mitigation_Industry!V:V,MATCH($A111,Mitigation_Industry!$H:$H,0))</f>
        <v>0</v>
      </c>
      <c r="W111" s="29" t="n">
        <f aca="false">INDEX(Mitigation_Industry!W:W,MATCH($A111,Mitigation_Industry!$H:$H,0))</f>
        <v>0</v>
      </c>
      <c r="X111" s="29" t="n">
        <f aca="false">INDEX(Mitigation_Industry!X:X,MATCH($A111,Mitigation_Industry!$H:$H,0))</f>
        <v>0</v>
      </c>
      <c r="Y111" s="29" t="n">
        <f aca="false">INDEX(Mitigation_Industry!Y:Y,MATCH($A111,Mitigation_Industry!$H:$H,0))</f>
        <v>0</v>
      </c>
      <c r="Z111" s="29" t="n">
        <f aca="false">INDEX(Mitigation_Industry!Z:Z,MATCH($A111,Mitigation_Industry!$H:$H,0))</f>
        <v>0</v>
      </c>
      <c r="AA111" s="29" t="n">
        <f aca="false">INDEX(Mitigation_Industry!AA:AA,MATCH($A111,Mitigation_Industry!$H:$H,0))</f>
        <v>0</v>
      </c>
      <c r="AB111" s="29" t="n">
        <f aca="false">INDEX(Mitigation_Industry!AB:AB,MATCH($A111,Mitigation_Industry!$H:$H,0))</f>
        <v>0</v>
      </c>
      <c r="AC111" s="29" t="n">
        <f aca="false">INDEX(Mitigation_Industry!AC:AC,MATCH($A111,Mitigation_Industry!$H:$H,0))</f>
        <v>0</v>
      </c>
      <c r="AD111" s="29" t="n">
        <f aca="false">INDEX(Mitigation_Industry!AD:AD,MATCH($A111,Mitigation_Industry!$H:$H,0))</f>
        <v>0</v>
      </c>
      <c r="AE111" s="29" t="n">
        <f aca="false">INDEX(Mitigation_Industry!AE:AE,MATCH($A111,Mitigation_Industry!$H:$H,0))</f>
        <v>0</v>
      </c>
    </row>
    <row r="112" customFormat="false" ht="15" hidden="false" customHeight="false" outlineLevel="0" collapsed="false">
      <c r="A112" s="35" t="s">
        <v>1193</v>
      </c>
      <c r="B112" s="6" t="s">
        <v>73</v>
      </c>
      <c r="C112" s="6" t="s">
        <v>119</v>
      </c>
      <c r="D112" s="6" t="n">
        <v>1</v>
      </c>
      <c r="E112" s="2" t="s">
        <v>1167</v>
      </c>
      <c r="F112" s="40" t="n">
        <f aca="false">MAX(MAX(L112:AE112),-MIN(L112:AE112))</f>
        <v>-0</v>
      </c>
      <c r="K112" s="41" t="n">
        <f aca="false">IF(ISNUMBER(K110),IF(ISNUMBER(K111),K111-K110,999999),0)</f>
        <v>0</v>
      </c>
      <c r="L112" s="41" t="n">
        <f aca="false">IF(ISNUMBER(L110),IF(ISNUMBER(L111),L111-L110,999999),0)</f>
        <v>0</v>
      </c>
      <c r="M112" s="41" t="n">
        <f aca="false">IF(ISNUMBER(M110),IF(ISNUMBER(M111),M111-M110,999999),0)</f>
        <v>0</v>
      </c>
      <c r="N112" s="41" t="n">
        <f aca="false">IF(ISNUMBER(N110),IF(ISNUMBER(N111),N111-N110,999999),0)</f>
        <v>0</v>
      </c>
      <c r="O112" s="41" t="n">
        <f aca="false">IF(ISNUMBER(O110),IF(ISNUMBER(O111),O111-O110,999999),0)</f>
        <v>0</v>
      </c>
      <c r="P112" s="41" t="n">
        <f aca="false">IF(ISNUMBER(P110),IF(ISNUMBER(P111),P111-P110,999999),0)</f>
        <v>0</v>
      </c>
      <c r="Q112" s="41" t="n">
        <f aca="false">IF(ISNUMBER(Q110),IF(ISNUMBER(Q111),Q111-Q110,999999),0)</f>
        <v>0</v>
      </c>
      <c r="R112" s="41" t="n">
        <f aca="false">IF(ISNUMBER(R110),IF(ISNUMBER(R111),R111-R110,999999),0)</f>
        <v>0</v>
      </c>
      <c r="S112" s="41" t="n">
        <f aca="false">IF(ISNUMBER(S110),IF(ISNUMBER(S111),S111-S110,999999),0)</f>
        <v>0</v>
      </c>
      <c r="T112" s="41" t="n">
        <f aca="false">IF(ISNUMBER(T110),IF(ISNUMBER(T111),T111-T110,999999),0)</f>
        <v>0</v>
      </c>
      <c r="U112" s="41" t="n">
        <f aca="false">IF(ISNUMBER(U110),IF(ISNUMBER(U111),U111-U110,999999),0)</f>
        <v>0</v>
      </c>
      <c r="V112" s="41" t="n">
        <f aca="false">IF(ISNUMBER(V110),IF(ISNUMBER(V111),V111-V110,999999),0)</f>
        <v>0</v>
      </c>
      <c r="W112" s="41" t="n">
        <f aca="false">IF(ISNUMBER(W110),IF(ISNUMBER(W111),W111-W110,999999),0)</f>
        <v>0</v>
      </c>
      <c r="X112" s="41" t="n">
        <f aca="false">IF(ISNUMBER(X110),IF(ISNUMBER(X111),X111-X110,999999),0)</f>
        <v>0</v>
      </c>
      <c r="Y112" s="41" t="n">
        <f aca="false">IF(ISNUMBER(Y110),IF(ISNUMBER(Y111),Y111-Y110,999999),0)</f>
        <v>0</v>
      </c>
      <c r="Z112" s="41" t="n">
        <f aca="false">IF(ISNUMBER(Z110),IF(ISNUMBER(Z111),Z111-Z110,999999),0)</f>
        <v>0</v>
      </c>
      <c r="AA112" s="41" t="n">
        <f aca="false">IF(ISNUMBER(AA110),IF(ISNUMBER(AA111),AA111-AA110,999999),0)</f>
        <v>0</v>
      </c>
      <c r="AB112" s="41" t="n">
        <f aca="false">IF(ISNUMBER(AB110),IF(ISNUMBER(AB111),AB111-AB110,999999),0)</f>
        <v>0</v>
      </c>
      <c r="AC112" s="41" t="n">
        <f aca="false">IF(ISNUMBER(AC110),IF(ISNUMBER(AC111),AC111-AC110,999999),0)</f>
        <v>0</v>
      </c>
      <c r="AD112" s="41" t="n">
        <f aca="false">IF(ISNUMBER(AD110),IF(ISNUMBER(AD111),AD111-AD110,999999),0)</f>
        <v>0</v>
      </c>
      <c r="AE112" s="41" t="n">
        <f aca="false">IF(ISNUMBER(AE110),IF(ISNUMBER(AE111),AE111-AE110,999999),0)</f>
        <v>0</v>
      </c>
    </row>
    <row r="114" customFormat="false" ht="15" hidden="false" customHeight="false" outlineLevel="0" collapsed="false">
      <c r="A114" s="35" t="s">
        <v>1194</v>
      </c>
      <c r="B114" s="6" t="s">
        <v>53</v>
      </c>
      <c r="C114" s="6" t="s">
        <v>121</v>
      </c>
      <c r="D114" s="6" t="n">
        <v>1</v>
      </c>
      <c r="E114" s="6" t="s">
        <v>1165</v>
      </c>
      <c r="K114" s="29"/>
      <c r="L114" s="29" t="n">
        <v>0</v>
      </c>
      <c r="M114" s="29" t="n">
        <v>0</v>
      </c>
      <c r="N114" s="29" t="n">
        <v>0</v>
      </c>
      <c r="O114" s="29" t="n">
        <v>0</v>
      </c>
      <c r="P114" s="29" t="n">
        <v>0</v>
      </c>
      <c r="Q114" s="29" t="n">
        <v>0</v>
      </c>
      <c r="R114" s="29" t="n">
        <v>0</v>
      </c>
      <c r="S114" s="29" t="n">
        <v>0</v>
      </c>
      <c r="T114" s="29" t="n">
        <v>0</v>
      </c>
      <c r="U114" s="29" t="n">
        <v>0</v>
      </c>
      <c r="V114" s="29" t="n">
        <v>0</v>
      </c>
      <c r="W114" s="29" t="n">
        <v>0</v>
      </c>
      <c r="X114" s="29" t="n">
        <v>0</v>
      </c>
      <c r="Y114" s="29" t="n">
        <v>0</v>
      </c>
      <c r="Z114" s="29" t="n">
        <v>0</v>
      </c>
      <c r="AA114" s="29" t="n">
        <v>0</v>
      </c>
      <c r="AB114" s="29" t="n">
        <v>0</v>
      </c>
      <c r="AC114" s="29" t="n">
        <v>0</v>
      </c>
      <c r="AD114" s="29" t="n">
        <v>0</v>
      </c>
      <c r="AE114" s="29" t="n">
        <v>0</v>
      </c>
    </row>
    <row r="115" customFormat="false" ht="15" hidden="false" customHeight="false" outlineLevel="0" collapsed="false">
      <c r="A115" s="35" t="s">
        <v>1194</v>
      </c>
      <c r="B115" s="6" t="s">
        <v>53</v>
      </c>
      <c r="C115" s="6" t="s">
        <v>121</v>
      </c>
      <c r="D115" s="6" t="n">
        <v>1</v>
      </c>
      <c r="E115" s="6" t="s">
        <v>1166</v>
      </c>
      <c r="K115" s="29" t="n">
        <f aca="false">INDEX(Mitigation_Industry!K:K,MATCH($A115,Mitigation_Industry!$H:$H,0))</f>
        <v>0</v>
      </c>
      <c r="L115" s="29" t="n">
        <f aca="false">INDEX(Mitigation_Industry!L:L,MATCH($A115,Mitigation_Industry!$H:$H,0))</f>
        <v>0</v>
      </c>
      <c r="M115" s="29" t="n">
        <f aca="false">INDEX(Mitigation_Industry!M:M,MATCH($A115,Mitigation_Industry!$H:$H,0))</f>
        <v>0</v>
      </c>
      <c r="N115" s="29" t="n">
        <f aca="false">INDEX(Mitigation_Industry!N:N,MATCH($A115,Mitigation_Industry!$H:$H,0))</f>
        <v>0</v>
      </c>
      <c r="O115" s="29" t="n">
        <f aca="false">INDEX(Mitigation_Industry!O:O,MATCH($A115,Mitigation_Industry!$H:$H,0))</f>
        <v>0</v>
      </c>
      <c r="P115" s="29" t="n">
        <f aca="false">INDEX(Mitigation_Industry!P:P,MATCH($A115,Mitigation_Industry!$H:$H,0))</f>
        <v>0</v>
      </c>
      <c r="Q115" s="29" t="n">
        <f aca="false">INDEX(Mitigation_Industry!Q:Q,MATCH($A115,Mitigation_Industry!$H:$H,0))</f>
        <v>0</v>
      </c>
      <c r="R115" s="29" t="n">
        <f aca="false">INDEX(Mitigation_Industry!R:R,MATCH($A115,Mitigation_Industry!$H:$H,0))</f>
        <v>0</v>
      </c>
      <c r="S115" s="29" t="n">
        <f aca="false">INDEX(Mitigation_Industry!S:S,MATCH($A115,Mitigation_Industry!$H:$H,0))</f>
        <v>0</v>
      </c>
      <c r="T115" s="29" t="n">
        <f aca="false">INDEX(Mitigation_Industry!T:T,MATCH($A115,Mitigation_Industry!$H:$H,0))</f>
        <v>0</v>
      </c>
      <c r="U115" s="29" t="n">
        <f aca="false">INDEX(Mitigation_Industry!U:U,MATCH($A115,Mitigation_Industry!$H:$H,0))</f>
        <v>0</v>
      </c>
      <c r="V115" s="29" t="n">
        <f aca="false">INDEX(Mitigation_Industry!V:V,MATCH($A115,Mitigation_Industry!$H:$H,0))</f>
        <v>0</v>
      </c>
      <c r="W115" s="29" t="n">
        <f aca="false">INDEX(Mitigation_Industry!W:W,MATCH($A115,Mitigation_Industry!$H:$H,0))</f>
        <v>0</v>
      </c>
      <c r="X115" s="29" t="n">
        <f aca="false">INDEX(Mitigation_Industry!X:X,MATCH($A115,Mitigation_Industry!$H:$H,0))</f>
        <v>0</v>
      </c>
      <c r="Y115" s="29" t="n">
        <f aca="false">INDEX(Mitigation_Industry!Y:Y,MATCH($A115,Mitigation_Industry!$H:$H,0))</f>
        <v>0</v>
      </c>
      <c r="Z115" s="29" t="n">
        <f aca="false">INDEX(Mitigation_Industry!Z:Z,MATCH($A115,Mitigation_Industry!$H:$H,0))</f>
        <v>0</v>
      </c>
      <c r="AA115" s="29" t="n">
        <f aca="false">INDEX(Mitigation_Industry!AA:AA,MATCH($A115,Mitigation_Industry!$H:$H,0))</f>
        <v>0</v>
      </c>
      <c r="AB115" s="29" t="n">
        <f aca="false">INDEX(Mitigation_Industry!AB:AB,MATCH($A115,Mitigation_Industry!$H:$H,0))</f>
        <v>0</v>
      </c>
      <c r="AC115" s="29" t="n">
        <f aca="false">INDEX(Mitigation_Industry!AC:AC,MATCH($A115,Mitigation_Industry!$H:$H,0))</f>
        <v>0</v>
      </c>
      <c r="AD115" s="29" t="n">
        <f aca="false">INDEX(Mitigation_Industry!AD:AD,MATCH($A115,Mitigation_Industry!$H:$H,0))</f>
        <v>0</v>
      </c>
      <c r="AE115" s="29" t="n">
        <f aca="false">INDEX(Mitigation_Industry!AE:AE,MATCH($A115,Mitigation_Industry!$H:$H,0))</f>
        <v>0</v>
      </c>
    </row>
    <row r="116" customFormat="false" ht="15" hidden="false" customHeight="false" outlineLevel="0" collapsed="false">
      <c r="A116" s="35" t="s">
        <v>1194</v>
      </c>
      <c r="B116" s="6" t="s">
        <v>53</v>
      </c>
      <c r="C116" s="6" t="s">
        <v>121</v>
      </c>
      <c r="D116" s="6" t="n">
        <v>1</v>
      </c>
      <c r="E116" s="2" t="s">
        <v>1167</v>
      </c>
      <c r="F116" s="40" t="n">
        <f aca="false">MAX(MAX(L116:AE116),-MIN(L116:AE116))</f>
        <v>-0</v>
      </c>
      <c r="K116" s="41" t="n">
        <f aca="false">IF(ISNUMBER(K114),IF(ISNUMBER(K115),K115-K114,999999),0)</f>
        <v>0</v>
      </c>
      <c r="L116" s="41" t="n">
        <f aca="false">IF(ISNUMBER(L114),IF(ISNUMBER(L115),L115-L114,999999),0)</f>
        <v>0</v>
      </c>
      <c r="M116" s="41" t="n">
        <f aca="false">IF(ISNUMBER(M114),IF(ISNUMBER(M115),M115-M114,999999),0)</f>
        <v>0</v>
      </c>
      <c r="N116" s="41" t="n">
        <f aca="false">IF(ISNUMBER(N114),IF(ISNUMBER(N115),N115-N114,999999),0)</f>
        <v>0</v>
      </c>
      <c r="O116" s="41" t="n">
        <f aca="false">IF(ISNUMBER(O114),IF(ISNUMBER(O115),O115-O114,999999),0)</f>
        <v>0</v>
      </c>
      <c r="P116" s="41" t="n">
        <f aca="false">IF(ISNUMBER(P114),IF(ISNUMBER(P115),P115-P114,999999),0)</f>
        <v>0</v>
      </c>
      <c r="Q116" s="41" t="n">
        <f aca="false">IF(ISNUMBER(Q114),IF(ISNUMBER(Q115),Q115-Q114,999999),0)</f>
        <v>0</v>
      </c>
      <c r="R116" s="41" t="n">
        <f aca="false">IF(ISNUMBER(R114),IF(ISNUMBER(R115),R115-R114,999999),0)</f>
        <v>0</v>
      </c>
      <c r="S116" s="41" t="n">
        <f aca="false">IF(ISNUMBER(S114),IF(ISNUMBER(S115),S115-S114,999999),0)</f>
        <v>0</v>
      </c>
      <c r="T116" s="41" t="n">
        <f aca="false">IF(ISNUMBER(T114),IF(ISNUMBER(T115),T115-T114,999999),0)</f>
        <v>0</v>
      </c>
      <c r="U116" s="41" t="n">
        <f aca="false">IF(ISNUMBER(U114),IF(ISNUMBER(U115),U115-U114,999999),0)</f>
        <v>0</v>
      </c>
      <c r="V116" s="41" t="n">
        <f aca="false">IF(ISNUMBER(V114),IF(ISNUMBER(V115),V115-V114,999999),0)</f>
        <v>0</v>
      </c>
      <c r="W116" s="41" t="n">
        <f aca="false">IF(ISNUMBER(W114),IF(ISNUMBER(W115),W115-W114,999999),0)</f>
        <v>0</v>
      </c>
      <c r="X116" s="41" t="n">
        <f aca="false">IF(ISNUMBER(X114),IF(ISNUMBER(X115),X115-X114,999999),0)</f>
        <v>0</v>
      </c>
      <c r="Y116" s="41" t="n">
        <f aca="false">IF(ISNUMBER(Y114),IF(ISNUMBER(Y115),Y115-Y114,999999),0)</f>
        <v>0</v>
      </c>
      <c r="Z116" s="41" t="n">
        <f aca="false">IF(ISNUMBER(Z114),IF(ISNUMBER(Z115),Z115-Z114,999999),0)</f>
        <v>0</v>
      </c>
      <c r="AA116" s="41" t="n">
        <f aca="false">IF(ISNUMBER(AA114),IF(ISNUMBER(AA115),AA115-AA114,999999),0)</f>
        <v>0</v>
      </c>
      <c r="AB116" s="41" t="n">
        <f aca="false">IF(ISNUMBER(AB114),IF(ISNUMBER(AB115),AB115-AB114,999999),0)</f>
        <v>0</v>
      </c>
      <c r="AC116" s="41" t="n">
        <f aca="false">IF(ISNUMBER(AC114),IF(ISNUMBER(AC115),AC115-AC114,999999),0)</f>
        <v>0</v>
      </c>
      <c r="AD116" s="41" t="n">
        <f aca="false">IF(ISNUMBER(AD114),IF(ISNUMBER(AD115),AD115-AD114,999999),0)</f>
        <v>0</v>
      </c>
      <c r="AE116" s="41" t="n">
        <f aca="false">IF(ISNUMBER(AE114),IF(ISNUMBER(AE115),AE115-AE114,999999),0)</f>
        <v>0</v>
      </c>
    </row>
    <row r="118" customFormat="false" ht="15" hidden="false" customHeight="false" outlineLevel="0" collapsed="false">
      <c r="A118" s="35" t="s">
        <v>1195</v>
      </c>
      <c r="B118" s="6" t="s">
        <v>57</v>
      </c>
      <c r="C118" s="6" t="s">
        <v>121</v>
      </c>
      <c r="D118" s="6" t="n">
        <v>1</v>
      </c>
      <c r="E118" s="6" t="s">
        <v>1165</v>
      </c>
      <c r="K118" s="29"/>
      <c r="L118" s="29" t="n">
        <v>0</v>
      </c>
      <c r="M118" s="29" t="n">
        <v>0</v>
      </c>
      <c r="N118" s="29" t="n">
        <v>0</v>
      </c>
      <c r="O118" s="29" t="n">
        <v>0</v>
      </c>
      <c r="P118" s="29" t="n">
        <v>0</v>
      </c>
      <c r="Q118" s="29" t="n">
        <v>0</v>
      </c>
      <c r="R118" s="29" t="n">
        <v>0</v>
      </c>
      <c r="S118" s="29" t="n">
        <v>0</v>
      </c>
      <c r="T118" s="29" t="n">
        <v>0</v>
      </c>
      <c r="U118" s="29" t="n">
        <v>0</v>
      </c>
      <c r="V118" s="29" t="n">
        <v>0</v>
      </c>
      <c r="W118" s="29" t="n">
        <v>0</v>
      </c>
      <c r="X118" s="29" t="n">
        <v>0</v>
      </c>
      <c r="Y118" s="29" t="n">
        <v>0</v>
      </c>
      <c r="Z118" s="29" t="n">
        <v>0</v>
      </c>
      <c r="AA118" s="29" t="n">
        <v>0</v>
      </c>
      <c r="AB118" s="29" t="n">
        <v>0</v>
      </c>
      <c r="AC118" s="29" t="n">
        <v>0</v>
      </c>
      <c r="AD118" s="29" t="n">
        <v>0</v>
      </c>
      <c r="AE118" s="29" t="n">
        <v>0</v>
      </c>
    </row>
    <row r="119" customFormat="false" ht="15" hidden="false" customHeight="false" outlineLevel="0" collapsed="false">
      <c r="A119" s="35" t="s">
        <v>1195</v>
      </c>
      <c r="B119" s="6" t="s">
        <v>57</v>
      </c>
      <c r="C119" s="6" t="s">
        <v>121</v>
      </c>
      <c r="D119" s="6" t="n">
        <v>1</v>
      </c>
      <c r="E119" s="6" t="s">
        <v>1166</v>
      </c>
      <c r="K119" s="29" t="n">
        <f aca="false">INDEX(Mitigation_Industry!K:K,MATCH($A119,Mitigation_Industry!$H:$H,0))</f>
        <v>0</v>
      </c>
      <c r="L119" s="29" t="n">
        <f aca="false">INDEX(Mitigation_Industry!L:L,MATCH($A119,Mitigation_Industry!$H:$H,0))</f>
        <v>0</v>
      </c>
      <c r="M119" s="29" t="n">
        <f aca="false">INDEX(Mitigation_Industry!M:M,MATCH($A119,Mitigation_Industry!$H:$H,0))</f>
        <v>0</v>
      </c>
      <c r="N119" s="29" t="n">
        <f aca="false">INDEX(Mitigation_Industry!N:N,MATCH($A119,Mitigation_Industry!$H:$H,0))</f>
        <v>0</v>
      </c>
      <c r="O119" s="29" t="n">
        <f aca="false">INDEX(Mitigation_Industry!O:O,MATCH($A119,Mitigation_Industry!$H:$H,0))</f>
        <v>0</v>
      </c>
      <c r="P119" s="29" t="n">
        <f aca="false">INDEX(Mitigation_Industry!P:P,MATCH($A119,Mitigation_Industry!$H:$H,0))</f>
        <v>0</v>
      </c>
      <c r="Q119" s="29" t="n">
        <f aca="false">INDEX(Mitigation_Industry!Q:Q,MATCH($A119,Mitigation_Industry!$H:$H,0))</f>
        <v>0</v>
      </c>
      <c r="R119" s="29" t="n">
        <f aca="false">INDEX(Mitigation_Industry!R:R,MATCH($A119,Mitigation_Industry!$H:$H,0))</f>
        <v>0</v>
      </c>
      <c r="S119" s="29" t="n">
        <f aca="false">INDEX(Mitigation_Industry!S:S,MATCH($A119,Mitigation_Industry!$H:$H,0))</f>
        <v>0</v>
      </c>
      <c r="T119" s="29" t="n">
        <f aca="false">INDEX(Mitigation_Industry!T:T,MATCH($A119,Mitigation_Industry!$H:$H,0))</f>
        <v>0</v>
      </c>
      <c r="U119" s="29" t="n">
        <f aca="false">INDEX(Mitigation_Industry!U:U,MATCH($A119,Mitigation_Industry!$H:$H,0))</f>
        <v>0</v>
      </c>
      <c r="V119" s="29" t="n">
        <f aca="false">INDEX(Mitigation_Industry!V:V,MATCH($A119,Mitigation_Industry!$H:$H,0))</f>
        <v>0</v>
      </c>
      <c r="W119" s="29" t="n">
        <f aca="false">INDEX(Mitigation_Industry!W:W,MATCH($A119,Mitigation_Industry!$H:$H,0))</f>
        <v>0</v>
      </c>
      <c r="X119" s="29" t="n">
        <f aca="false">INDEX(Mitigation_Industry!X:X,MATCH($A119,Mitigation_Industry!$H:$H,0))</f>
        <v>0</v>
      </c>
      <c r="Y119" s="29" t="n">
        <f aca="false">INDEX(Mitigation_Industry!Y:Y,MATCH($A119,Mitigation_Industry!$H:$H,0))</f>
        <v>0</v>
      </c>
      <c r="Z119" s="29" t="n">
        <f aca="false">INDEX(Mitigation_Industry!Z:Z,MATCH($A119,Mitigation_Industry!$H:$H,0))</f>
        <v>0</v>
      </c>
      <c r="AA119" s="29" t="n">
        <f aca="false">INDEX(Mitigation_Industry!AA:AA,MATCH($A119,Mitigation_Industry!$H:$H,0))</f>
        <v>0</v>
      </c>
      <c r="AB119" s="29" t="n">
        <f aca="false">INDEX(Mitigation_Industry!AB:AB,MATCH($A119,Mitigation_Industry!$H:$H,0))</f>
        <v>0</v>
      </c>
      <c r="AC119" s="29" t="n">
        <f aca="false">INDEX(Mitigation_Industry!AC:AC,MATCH($A119,Mitigation_Industry!$H:$H,0))</f>
        <v>0</v>
      </c>
      <c r="AD119" s="29" t="n">
        <f aca="false">INDEX(Mitigation_Industry!AD:AD,MATCH($A119,Mitigation_Industry!$H:$H,0))</f>
        <v>0</v>
      </c>
      <c r="AE119" s="29" t="n">
        <f aca="false">INDEX(Mitigation_Industry!AE:AE,MATCH($A119,Mitigation_Industry!$H:$H,0))</f>
        <v>0</v>
      </c>
    </row>
    <row r="120" customFormat="false" ht="15" hidden="false" customHeight="false" outlineLevel="0" collapsed="false">
      <c r="A120" s="35" t="s">
        <v>1195</v>
      </c>
      <c r="B120" s="6" t="s">
        <v>57</v>
      </c>
      <c r="C120" s="6" t="s">
        <v>121</v>
      </c>
      <c r="D120" s="6" t="n">
        <v>1</v>
      </c>
      <c r="E120" s="2" t="s">
        <v>1167</v>
      </c>
      <c r="F120" s="40" t="n">
        <f aca="false">MAX(MAX(L120:AE120),-MIN(L120:AE120))</f>
        <v>-0</v>
      </c>
      <c r="K120" s="41" t="n">
        <f aca="false">IF(ISNUMBER(K118),IF(ISNUMBER(K119),K119-K118,999999),0)</f>
        <v>0</v>
      </c>
      <c r="L120" s="41" t="n">
        <f aca="false">IF(ISNUMBER(L118),IF(ISNUMBER(L119),L119-L118,999999),0)</f>
        <v>0</v>
      </c>
      <c r="M120" s="41" t="n">
        <f aca="false">IF(ISNUMBER(M118),IF(ISNUMBER(M119),M119-M118,999999),0)</f>
        <v>0</v>
      </c>
      <c r="N120" s="41" t="n">
        <f aca="false">IF(ISNUMBER(N118),IF(ISNUMBER(N119),N119-N118,999999),0)</f>
        <v>0</v>
      </c>
      <c r="O120" s="41" t="n">
        <f aca="false">IF(ISNUMBER(O118),IF(ISNUMBER(O119),O119-O118,999999),0)</f>
        <v>0</v>
      </c>
      <c r="P120" s="41" t="n">
        <f aca="false">IF(ISNUMBER(P118),IF(ISNUMBER(P119),P119-P118,999999),0)</f>
        <v>0</v>
      </c>
      <c r="Q120" s="41" t="n">
        <f aca="false">IF(ISNUMBER(Q118),IF(ISNUMBER(Q119),Q119-Q118,999999),0)</f>
        <v>0</v>
      </c>
      <c r="R120" s="41" t="n">
        <f aca="false">IF(ISNUMBER(R118),IF(ISNUMBER(R119),R119-R118,999999),0)</f>
        <v>0</v>
      </c>
      <c r="S120" s="41" t="n">
        <f aca="false">IF(ISNUMBER(S118),IF(ISNUMBER(S119),S119-S118,999999),0)</f>
        <v>0</v>
      </c>
      <c r="T120" s="41" t="n">
        <f aca="false">IF(ISNUMBER(T118),IF(ISNUMBER(T119),T119-T118,999999),0)</f>
        <v>0</v>
      </c>
      <c r="U120" s="41" t="n">
        <f aca="false">IF(ISNUMBER(U118),IF(ISNUMBER(U119),U119-U118,999999),0)</f>
        <v>0</v>
      </c>
      <c r="V120" s="41" t="n">
        <f aca="false">IF(ISNUMBER(V118),IF(ISNUMBER(V119),V119-V118,999999),0)</f>
        <v>0</v>
      </c>
      <c r="W120" s="41" t="n">
        <f aca="false">IF(ISNUMBER(W118),IF(ISNUMBER(W119),W119-W118,999999),0)</f>
        <v>0</v>
      </c>
      <c r="X120" s="41" t="n">
        <f aca="false">IF(ISNUMBER(X118),IF(ISNUMBER(X119),X119-X118,999999),0)</f>
        <v>0</v>
      </c>
      <c r="Y120" s="41" t="n">
        <f aca="false">IF(ISNUMBER(Y118),IF(ISNUMBER(Y119),Y119-Y118,999999),0)</f>
        <v>0</v>
      </c>
      <c r="Z120" s="41" t="n">
        <f aca="false">IF(ISNUMBER(Z118),IF(ISNUMBER(Z119),Z119-Z118,999999),0)</f>
        <v>0</v>
      </c>
      <c r="AA120" s="41" t="n">
        <f aca="false">IF(ISNUMBER(AA118),IF(ISNUMBER(AA119),AA119-AA118,999999),0)</f>
        <v>0</v>
      </c>
      <c r="AB120" s="41" t="n">
        <f aca="false">IF(ISNUMBER(AB118),IF(ISNUMBER(AB119),AB119-AB118,999999),0)</f>
        <v>0</v>
      </c>
      <c r="AC120" s="41" t="n">
        <f aca="false">IF(ISNUMBER(AC118),IF(ISNUMBER(AC119),AC119-AC118,999999),0)</f>
        <v>0</v>
      </c>
      <c r="AD120" s="41" t="n">
        <f aca="false">IF(ISNUMBER(AD118),IF(ISNUMBER(AD119),AD119-AD118,999999),0)</f>
        <v>0</v>
      </c>
      <c r="AE120" s="41" t="n">
        <f aca="false">IF(ISNUMBER(AE118),IF(ISNUMBER(AE119),AE119-AE118,999999),0)</f>
        <v>0</v>
      </c>
    </row>
    <row r="122" customFormat="false" ht="15" hidden="false" customHeight="false" outlineLevel="0" collapsed="false">
      <c r="A122" s="35" t="s">
        <v>1196</v>
      </c>
      <c r="B122" s="6" t="s">
        <v>59</v>
      </c>
      <c r="C122" s="6" t="s">
        <v>121</v>
      </c>
      <c r="D122" s="6" t="n">
        <v>1</v>
      </c>
      <c r="E122" s="6" t="s">
        <v>1165</v>
      </c>
      <c r="K122" s="29"/>
      <c r="L122" s="29" t="n">
        <v>0</v>
      </c>
      <c r="M122" s="29" t="n">
        <v>0</v>
      </c>
      <c r="N122" s="29" t="n">
        <v>0</v>
      </c>
      <c r="O122" s="29" t="n">
        <v>0</v>
      </c>
      <c r="P122" s="29" t="n">
        <v>0</v>
      </c>
      <c r="Q122" s="29" t="n">
        <v>0</v>
      </c>
      <c r="R122" s="29" t="n">
        <v>0</v>
      </c>
      <c r="S122" s="29" t="n">
        <v>0</v>
      </c>
      <c r="T122" s="29" t="n">
        <v>0</v>
      </c>
      <c r="U122" s="29" t="n">
        <v>0</v>
      </c>
      <c r="V122" s="29" t="n">
        <v>0</v>
      </c>
      <c r="W122" s="29" t="n">
        <v>0</v>
      </c>
      <c r="X122" s="29" t="n">
        <v>0</v>
      </c>
      <c r="Y122" s="29" t="n">
        <v>0</v>
      </c>
      <c r="Z122" s="29" t="n">
        <v>0</v>
      </c>
      <c r="AA122" s="29" t="n">
        <v>0</v>
      </c>
      <c r="AB122" s="29" t="n">
        <v>0</v>
      </c>
      <c r="AC122" s="29" t="n">
        <v>0</v>
      </c>
      <c r="AD122" s="29" t="n">
        <v>0</v>
      </c>
      <c r="AE122" s="29" t="n">
        <v>0</v>
      </c>
    </row>
    <row r="123" customFormat="false" ht="15" hidden="false" customHeight="false" outlineLevel="0" collapsed="false">
      <c r="A123" s="35" t="s">
        <v>1196</v>
      </c>
      <c r="B123" s="6" t="s">
        <v>59</v>
      </c>
      <c r="C123" s="6" t="s">
        <v>121</v>
      </c>
      <c r="D123" s="6" t="n">
        <v>1</v>
      </c>
      <c r="E123" s="6" t="s">
        <v>1166</v>
      </c>
      <c r="K123" s="29" t="n">
        <f aca="false">INDEX(Mitigation_Industry!K:K,MATCH($A123,Mitigation_Industry!$H:$H,0))</f>
        <v>0</v>
      </c>
      <c r="L123" s="29" t="n">
        <f aca="false">INDEX(Mitigation_Industry!L:L,MATCH($A123,Mitigation_Industry!$H:$H,0))</f>
        <v>0</v>
      </c>
      <c r="M123" s="29" t="n">
        <f aca="false">INDEX(Mitigation_Industry!M:M,MATCH($A123,Mitigation_Industry!$H:$H,0))</f>
        <v>0</v>
      </c>
      <c r="N123" s="29" t="n">
        <f aca="false">INDEX(Mitigation_Industry!N:N,MATCH($A123,Mitigation_Industry!$H:$H,0))</f>
        <v>0</v>
      </c>
      <c r="O123" s="29" t="n">
        <f aca="false">INDEX(Mitigation_Industry!O:O,MATCH($A123,Mitigation_Industry!$H:$H,0))</f>
        <v>0</v>
      </c>
      <c r="P123" s="29" t="n">
        <f aca="false">INDEX(Mitigation_Industry!P:P,MATCH($A123,Mitigation_Industry!$H:$H,0))</f>
        <v>0</v>
      </c>
      <c r="Q123" s="29" t="n">
        <f aca="false">INDEX(Mitigation_Industry!Q:Q,MATCH($A123,Mitigation_Industry!$H:$H,0))</f>
        <v>0</v>
      </c>
      <c r="R123" s="29" t="n">
        <f aca="false">INDEX(Mitigation_Industry!R:R,MATCH($A123,Mitigation_Industry!$H:$H,0))</f>
        <v>0</v>
      </c>
      <c r="S123" s="29" t="n">
        <f aca="false">INDEX(Mitigation_Industry!S:S,MATCH($A123,Mitigation_Industry!$H:$H,0))</f>
        <v>0</v>
      </c>
      <c r="T123" s="29" t="n">
        <f aca="false">INDEX(Mitigation_Industry!T:T,MATCH($A123,Mitigation_Industry!$H:$H,0))</f>
        <v>0</v>
      </c>
      <c r="U123" s="29" t="n">
        <f aca="false">INDEX(Mitigation_Industry!U:U,MATCH($A123,Mitigation_Industry!$H:$H,0))</f>
        <v>0</v>
      </c>
      <c r="V123" s="29" t="n">
        <f aca="false">INDEX(Mitigation_Industry!V:V,MATCH($A123,Mitigation_Industry!$H:$H,0))</f>
        <v>0</v>
      </c>
      <c r="W123" s="29" t="n">
        <f aca="false">INDEX(Mitigation_Industry!W:W,MATCH($A123,Mitigation_Industry!$H:$H,0))</f>
        <v>0</v>
      </c>
      <c r="X123" s="29" t="n">
        <f aca="false">INDEX(Mitigation_Industry!X:X,MATCH($A123,Mitigation_Industry!$H:$H,0))</f>
        <v>0</v>
      </c>
      <c r="Y123" s="29" t="n">
        <f aca="false">INDEX(Mitigation_Industry!Y:Y,MATCH($A123,Mitigation_Industry!$H:$H,0))</f>
        <v>0</v>
      </c>
      <c r="Z123" s="29" t="n">
        <f aca="false">INDEX(Mitigation_Industry!Z:Z,MATCH($A123,Mitigation_Industry!$H:$H,0))</f>
        <v>0</v>
      </c>
      <c r="AA123" s="29" t="n">
        <f aca="false">INDEX(Mitigation_Industry!AA:AA,MATCH($A123,Mitigation_Industry!$H:$H,0))</f>
        <v>0</v>
      </c>
      <c r="AB123" s="29" t="n">
        <f aca="false">INDEX(Mitigation_Industry!AB:AB,MATCH($A123,Mitigation_Industry!$H:$H,0))</f>
        <v>0</v>
      </c>
      <c r="AC123" s="29" t="n">
        <f aca="false">INDEX(Mitigation_Industry!AC:AC,MATCH($A123,Mitigation_Industry!$H:$H,0))</f>
        <v>0</v>
      </c>
      <c r="AD123" s="29" t="n">
        <f aca="false">INDEX(Mitigation_Industry!AD:AD,MATCH($A123,Mitigation_Industry!$H:$H,0))</f>
        <v>0</v>
      </c>
      <c r="AE123" s="29" t="n">
        <f aca="false">INDEX(Mitigation_Industry!AE:AE,MATCH($A123,Mitigation_Industry!$H:$H,0))</f>
        <v>0</v>
      </c>
    </row>
    <row r="124" customFormat="false" ht="15" hidden="false" customHeight="false" outlineLevel="0" collapsed="false">
      <c r="A124" s="35" t="s">
        <v>1196</v>
      </c>
      <c r="B124" s="6" t="s">
        <v>59</v>
      </c>
      <c r="C124" s="6" t="s">
        <v>121</v>
      </c>
      <c r="D124" s="6" t="n">
        <v>1</v>
      </c>
      <c r="E124" s="2" t="s">
        <v>1167</v>
      </c>
      <c r="F124" s="40" t="n">
        <f aca="false">MAX(MAX(L124:AE124),-MIN(L124:AE124))</f>
        <v>-0</v>
      </c>
      <c r="K124" s="41" t="n">
        <f aca="false">IF(ISNUMBER(K122),IF(ISNUMBER(K123),K123-K122,999999),0)</f>
        <v>0</v>
      </c>
      <c r="L124" s="41" t="n">
        <f aca="false">IF(ISNUMBER(L122),IF(ISNUMBER(L123),L123-L122,999999),0)</f>
        <v>0</v>
      </c>
      <c r="M124" s="41" t="n">
        <f aca="false">IF(ISNUMBER(M122),IF(ISNUMBER(M123),M123-M122,999999),0)</f>
        <v>0</v>
      </c>
      <c r="N124" s="41" t="n">
        <f aca="false">IF(ISNUMBER(N122),IF(ISNUMBER(N123),N123-N122,999999),0)</f>
        <v>0</v>
      </c>
      <c r="O124" s="41" t="n">
        <f aca="false">IF(ISNUMBER(O122),IF(ISNUMBER(O123),O123-O122,999999),0)</f>
        <v>0</v>
      </c>
      <c r="P124" s="41" t="n">
        <f aca="false">IF(ISNUMBER(P122),IF(ISNUMBER(P123),P123-P122,999999),0)</f>
        <v>0</v>
      </c>
      <c r="Q124" s="41" t="n">
        <f aca="false">IF(ISNUMBER(Q122),IF(ISNUMBER(Q123),Q123-Q122,999999),0)</f>
        <v>0</v>
      </c>
      <c r="R124" s="41" t="n">
        <f aca="false">IF(ISNUMBER(R122),IF(ISNUMBER(R123),R123-R122,999999),0)</f>
        <v>0</v>
      </c>
      <c r="S124" s="41" t="n">
        <f aca="false">IF(ISNUMBER(S122),IF(ISNUMBER(S123),S123-S122,999999),0)</f>
        <v>0</v>
      </c>
      <c r="T124" s="41" t="n">
        <f aca="false">IF(ISNUMBER(T122),IF(ISNUMBER(T123),T123-T122,999999),0)</f>
        <v>0</v>
      </c>
      <c r="U124" s="41" t="n">
        <f aca="false">IF(ISNUMBER(U122),IF(ISNUMBER(U123),U123-U122,999999),0)</f>
        <v>0</v>
      </c>
      <c r="V124" s="41" t="n">
        <f aca="false">IF(ISNUMBER(V122),IF(ISNUMBER(V123),V123-V122,999999),0)</f>
        <v>0</v>
      </c>
      <c r="W124" s="41" t="n">
        <f aca="false">IF(ISNUMBER(W122),IF(ISNUMBER(W123),W123-W122,999999),0)</f>
        <v>0</v>
      </c>
      <c r="X124" s="41" t="n">
        <f aca="false">IF(ISNUMBER(X122),IF(ISNUMBER(X123),X123-X122,999999),0)</f>
        <v>0</v>
      </c>
      <c r="Y124" s="41" t="n">
        <f aca="false">IF(ISNUMBER(Y122),IF(ISNUMBER(Y123),Y123-Y122,999999),0)</f>
        <v>0</v>
      </c>
      <c r="Z124" s="41" t="n">
        <f aca="false">IF(ISNUMBER(Z122),IF(ISNUMBER(Z123),Z123-Z122,999999),0)</f>
        <v>0</v>
      </c>
      <c r="AA124" s="41" t="n">
        <f aca="false">IF(ISNUMBER(AA122),IF(ISNUMBER(AA123),AA123-AA122,999999),0)</f>
        <v>0</v>
      </c>
      <c r="AB124" s="41" t="n">
        <f aca="false">IF(ISNUMBER(AB122),IF(ISNUMBER(AB123),AB123-AB122,999999),0)</f>
        <v>0</v>
      </c>
      <c r="AC124" s="41" t="n">
        <f aca="false">IF(ISNUMBER(AC122),IF(ISNUMBER(AC123),AC123-AC122,999999),0)</f>
        <v>0</v>
      </c>
      <c r="AD124" s="41" t="n">
        <f aca="false">IF(ISNUMBER(AD122),IF(ISNUMBER(AD123),AD123-AD122,999999),0)</f>
        <v>0</v>
      </c>
      <c r="AE124" s="41" t="n">
        <f aca="false">IF(ISNUMBER(AE122),IF(ISNUMBER(AE123),AE123-AE122,999999),0)</f>
        <v>0</v>
      </c>
    </row>
    <row r="126" customFormat="false" ht="15" hidden="false" customHeight="false" outlineLevel="0" collapsed="false">
      <c r="A126" s="35" t="s">
        <v>1197</v>
      </c>
      <c r="B126" s="6" t="s">
        <v>62</v>
      </c>
      <c r="C126" s="6" t="s">
        <v>121</v>
      </c>
      <c r="D126" s="6" t="n">
        <v>1</v>
      </c>
      <c r="E126" s="6" t="s">
        <v>1165</v>
      </c>
      <c r="K126" s="29"/>
      <c r="L126" s="29" t="n">
        <v>0</v>
      </c>
      <c r="M126" s="29" t="n">
        <v>0</v>
      </c>
      <c r="N126" s="29" t="n">
        <v>0</v>
      </c>
      <c r="O126" s="29" t="n">
        <v>0</v>
      </c>
      <c r="P126" s="29" t="n">
        <v>0</v>
      </c>
      <c r="Q126" s="29" t="n">
        <v>0</v>
      </c>
      <c r="R126" s="29" t="n">
        <v>0</v>
      </c>
      <c r="S126" s="29" t="n">
        <v>0</v>
      </c>
      <c r="T126" s="29" t="n">
        <v>0</v>
      </c>
      <c r="U126" s="29" t="n">
        <v>0</v>
      </c>
      <c r="V126" s="29" t="n">
        <v>0</v>
      </c>
      <c r="W126" s="29" t="n">
        <v>0</v>
      </c>
      <c r="X126" s="29" t="n">
        <v>0</v>
      </c>
      <c r="Y126" s="29" t="n">
        <v>0</v>
      </c>
      <c r="Z126" s="29" t="n">
        <v>0</v>
      </c>
      <c r="AA126" s="29" t="n">
        <v>0</v>
      </c>
      <c r="AB126" s="29" t="n">
        <v>0</v>
      </c>
      <c r="AC126" s="29" t="n">
        <v>0</v>
      </c>
      <c r="AD126" s="29" t="n">
        <v>0</v>
      </c>
      <c r="AE126" s="29" t="n">
        <v>0</v>
      </c>
    </row>
    <row r="127" customFormat="false" ht="15" hidden="false" customHeight="false" outlineLevel="0" collapsed="false">
      <c r="A127" s="35" t="s">
        <v>1197</v>
      </c>
      <c r="B127" s="6" t="s">
        <v>62</v>
      </c>
      <c r="C127" s="6" t="s">
        <v>121</v>
      </c>
      <c r="D127" s="6" t="n">
        <v>1</v>
      </c>
      <c r="E127" s="6" t="s">
        <v>1166</v>
      </c>
      <c r="K127" s="29" t="n">
        <f aca="false">INDEX(Mitigation_Industry!K:K,MATCH($A127,Mitigation_Industry!$H:$H,0))</f>
        <v>0</v>
      </c>
      <c r="L127" s="29" t="n">
        <f aca="false">INDEX(Mitigation_Industry!L:L,MATCH($A127,Mitigation_Industry!$H:$H,0))</f>
        <v>0</v>
      </c>
      <c r="M127" s="29" t="n">
        <f aca="false">INDEX(Mitigation_Industry!M:M,MATCH($A127,Mitigation_Industry!$H:$H,0))</f>
        <v>0</v>
      </c>
      <c r="N127" s="29" t="n">
        <f aca="false">INDEX(Mitigation_Industry!N:N,MATCH($A127,Mitigation_Industry!$H:$H,0))</f>
        <v>0</v>
      </c>
      <c r="O127" s="29" t="n">
        <f aca="false">INDEX(Mitigation_Industry!O:O,MATCH($A127,Mitigation_Industry!$H:$H,0))</f>
        <v>0</v>
      </c>
      <c r="P127" s="29" t="n">
        <f aca="false">INDEX(Mitigation_Industry!P:P,MATCH($A127,Mitigation_Industry!$H:$H,0))</f>
        <v>0</v>
      </c>
      <c r="Q127" s="29" t="n">
        <f aca="false">INDEX(Mitigation_Industry!Q:Q,MATCH($A127,Mitigation_Industry!$H:$H,0))</f>
        <v>0</v>
      </c>
      <c r="R127" s="29" t="n">
        <f aca="false">INDEX(Mitigation_Industry!R:R,MATCH($A127,Mitigation_Industry!$H:$H,0))</f>
        <v>0</v>
      </c>
      <c r="S127" s="29" t="n">
        <f aca="false">INDEX(Mitigation_Industry!S:S,MATCH($A127,Mitigation_Industry!$H:$H,0))</f>
        <v>0</v>
      </c>
      <c r="T127" s="29" t="n">
        <f aca="false">INDEX(Mitigation_Industry!T:T,MATCH($A127,Mitigation_Industry!$H:$H,0))</f>
        <v>0</v>
      </c>
      <c r="U127" s="29" t="n">
        <f aca="false">INDEX(Mitigation_Industry!U:U,MATCH($A127,Mitigation_Industry!$H:$H,0))</f>
        <v>0</v>
      </c>
      <c r="V127" s="29" t="n">
        <f aca="false">INDEX(Mitigation_Industry!V:V,MATCH($A127,Mitigation_Industry!$H:$H,0))</f>
        <v>0</v>
      </c>
      <c r="W127" s="29" t="n">
        <f aca="false">INDEX(Mitigation_Industry!W:W,MATCH($A127,Mitigation_Industry!$H:$H,0))</f>
        <v>0</v>
      </c>
      <c r="X127" s="29" t="n">
        <f aca="false">INDEX(Mitigation_Industry!X:X,MATCH($A127,Mitigation_Industry!$H:$H,0))</f>
        <v>0</v>
      </c>
      <c r="Y127" s="29" t="n">
        <f aca="false">INDEX(Mitigation_Industry!Y:Y,MATCH($A127,Mitigation_Industry!$H:$H,0))</f>
        <v>0</v>
      </c>
      <c r="Z127" s="29" t="n">
        <f aca="false">INDEX(Mitigation_Industry!Z:Z,MATCH($A127,Mitigation_Industry!$H:$H,0))</f>
        <v>0</v>
      </c>
      <c r="AA127" s="29" t="n">
        <f aca="false">INDEX(Mitigation_Industry!AA:AA,MATCH($A127,Mitigation_Industry!$H:$H,0))</f>
        <v>0</v>
      </c>
      <c r="AB127" s="29" t="n">
        <f aca="false">INDEX(Mitigation_Industry!AB:AB,MATCH($A127,Mitigation_Industry!$H:$H,0))</f>
        <v>0</v>
      </c>
      <c r="AC127" s="29" t="n">
        <f aca="false">INDEX(Mitigation_Industry!AC:AC,MATCH($A127,Mitigation_Industry!$H:$H,0))</f>
        <v>0</v>
      </c>
      <c r="AD127" s="29" t="n">
        <f aca="false">INDEX(Mitigation_Industry!AD:AD,MATCH($A127,Mitigation_Industry!$H:$H,0))</f>
        <v>0</v>
      </c>
      <c r="AE127" s="29" t="n">
        <f aca="false">INDEX(Mitigation_Industry!AE:AE,MATCH($A127,Mitigation_Industry!$H:$H,0))</f>
        <v>0</v>
      </c>
    </row>
    <row r="128" customFormat="false" ht="15" hidden="false" customHeight="false" outlineLevel="0" collapsed="false">
      <c r="A128" s="35" t="s">
        <v>1197</v>
      </c>
      <c r="B128" s="6" t="s">
        <v>62</v>
      </c>
      <c r="C128" s="6" t="s">
        <v>121</v>
      </c>
      <c r="D128" s="6" t="n">
        <v>1</v>
      </c>
      <c r="E128" s="2" t="s">
        <v>1167</v>
      </c>
      <c r="F128" s="40" t="n">
        <f aca="false">MAX(MAX(L128:AE128),-MIN(L128:AE128))</f>
        <v>-0</v>
      </c>
      <c r="K128" s="41" t="n">
        <f aca="false">IF(ISNUMBER(K126),IF(ISNUMBER(K127),K127-K126,999999),0)</f>
        <v>0</v>
      </c>
      <c r="L128" s="41" t="n">
        <f aca="false">IF(ISNUMBER(L126),IF(ISNUMBER(L127),L127-L126,999999),0)</f>
        <v>0</v>
      </c>
      <c r="M128" s="41" t="n">
        <f aca="false">IF(ISNUMBER(M126),IF(ISNUMBER(M127),M127-M126,999999),0)</f>
        <v>0</v>
      </c>
      <c r="N128" s="41" t="n">
        <f aca="false">IF(ISNUMBER(N126),IF(ISNUMBER(N127),N127-N126,999999),0)</f>
        <v>0</v>
      </c>
      <c r="O128" s="41" t="n">
        <f aca="false">IF(ISNUMBER(O126),IF(ISNUMBER(O127),O127-O126,999999),0)</f>
        <v>0</v>
      </c>
      <c r="P128" s="41" t="n">
        <f aca="false">IF(ISNUMBER(P126),IF(ISNUMBER(P127),P127-P126,999999),0)</f>
        <v>0</v>
      </c>
      <c r="Q128" s="41" t="n">
        <f aca="false">IF(ISNUMBER(Q126),IF(ISNUMBER(Q127),Q127-Q126,999999),0)</f>
        <v>0</v>
      </c>
      <c r="R128" s="41" t="n">
        <f aca="false">IF(ISNUMBER(R126),IF(ISNUMBER(R127),R127-R126,999999),0)</f>
        <v>0</v>
      </c>
      <c r="S128" s="41" t="n">
        <f aca="false">IF(ISNUMBER(S126),IF(ISNUMBER(S127),S127-S126,999999),0)</f>
        <v>0</v>
      </c>
      <c r="T128" s="41" t="n">
        <f aca="false">IF(ISNUMBER(T126),IF(ISNUMBER(T127),T127-T126,999999),0)</f>
        <v>0</v>
      </c>
      <c r="U128" s="41" t="n">
        <f aca="false">IF(ISNUMBER(U126),IF(ISNUMBER(U127),U127-U126,999999),0)</f>
        <v>0</v>
      </c>
      <c r="V128" s="41" t="n">
        <f aca="false">IF(ISNUMBER(V126),IF(ISNUMBER(V127),V127-V126,999999),0)</f>
        <v>0</v>
      </c>
      <c r="W128" s="41" t="n">
        <f aca="false">IF(ISNUMBER(W126),IF(ISNUMBER(W127),W127-W126,999999),0)</f>
        <v>0</v>
      </c>
      <c r="X128" s="41" t="n">
        <f aca="false">IF(ISNUMBER(X126),IF(ISNUMBER(X127),X127-X126,999999),0)</f>
        <v>0</v>
      </c>
      <c r="Y128" s="41" t="n">
        <f aca="false">IF(ISNUMBER(Y126),IF(ISNUMBER(Y127),Y127-Y126,999999),0)</f>
        <v>0</v>
      </c>
      <c r="Z128" s="41" t="n">
        <f aca="false">IF(ISNUMBER(Z126),IF(ISNUMBER(Z127),Z127-Z126,999999),0)</f>
        <v>0</v>
      </c>
      <c r="AA128" s="41" t="n">
        <f aca="false">IF(ISNUMBER(AA126),IF(ISNUMBER(AA127),AA127-AA126,999999),0)</f>
        <v>0</v>
      </c>
      <c r="AB128" s="41" t="n">
        <f aca="false">IF(ISNUMBER(AB126),IF(ISNUMBER(AB127),AB127-AB126,999999),0)</f>
        <v>0</v>
      </c>
      <c r="AC128" s="41" t="n">
        <f aca="false">IF(ISNUMBER(AC126),IF(ISNUMBER(AC127),AC127-AC126,999999),0)</f>
        <v>0</v>
      </c>
      <c r="AD128" s="41" t="n">
        <f aca="false">IF(ISNUMBER(AD126),IF(ISNUMBER(AD127),AD127-AD126,999999),0)</f>
        <v>0</v>
      </c>
      <c r="AE128" s="41" t="n">
        <f aca="false">IF(ISNUMBER(AE126),IF(ISNUMBER(AE127),AE127-AE126,999999),0)</f>
        <v>0</v>
      </c>
    </row>
    <row r="130" customFormat="false" ht="15" hidden="false" customHeight="false" outlineLevel="0" collapsed="false">
      <c r="A130" s="35" t="s">
        <v>1198</v>
      </c>
      <c r="B130" s="6" t="s">
        <v>64</v>
      </c>
      <c r="C130" s="6" t="s">
        <v>121</v>
      </c>
      <c r="D130" s="6" t="n">
        <v>1</v>
      </c>
      <c r="E130" s="6" t="s">
        <v>1165</v>
      </c>
      <c r="K130" s="29"/>
      <c r="L130" s="29" t="n">
        <v>0</v>
      </c>
      <c r="M130" s="29" t="n">
        <v>0</v>
      </c>
      <c r="N130" s="29" t="n">
        <v>0</v>
      </c>
      <c r="O130" s="29" t="n">
        <v>0</v>
      </c>
      <c r="P130" s="29" t="n">
        <v>0</v>
      </c>
      <c r="Q130" s="29" t="n">
        <v>0</v>
      </c>
      <c r="R130" s="29" t="n">
        <v>0</v>
      </c>
      <c r="S130" s="29" t="n">
        <v>0</v>
      </c>
      <c r="T130" s="29" t="n">
        <v>0</v>
      </c>
      <c r="U130" s="29" t="n">
        <v>0</v>
      </c>
      <c r="V130" s="29" t="n">
        <v>0</v>
      </c>
      <c r="W130" s="29" t="n">
        <v>0</v>
      </c>
      <c r="X130" s="29" t="n">
        <v>0</v>
      </c>
      <c r="Y130" s="29" t="n">
        <v>0</v>
      </c>
      <c r="Z130" s="29" t="n">
        <v>0</v>
      </c>
      <c r="AA130" s="29" t="n">
        <v>0</v>
      </c>
      <c r="AB130" s="29" t="n">
        <v>0</v>
      </c>
      <c r="AC130" s="29" t="n">
        <v>0</v>
      </c>
      <c r="AD130" s="29" t="n">
        <v>0</v>
      </c>
      <c r="AE130" s="29" t="n">
        <v>0</v>
      </c>
    </row>
    <row r="131" customFormat="false" ht="15" hidden="false" customHeight="false" outlineLevel="0" collapsed="false">
      <c r="A131" s="35" t="s">
        <v>1198</v>
      </c>
      <c r="B131" s="6" t="s">
        <v>64</v>
      </c>
      <c r="C131" s="6" t="s">
        <v>121</v>
      </c>
      <c r="D131" s="6" t="n">
        <v>1</v>
      </c>
      <c r="E131" s="6" t="s">
        <v>1166</v>
      </c>
      <c r="K131" s="29" t="n">
        <f aca="false">INDEX(Mitigation_Industry!K:K,MATCH($A131,Mitigation_Industry!$H:$H,0))</f>
        <v>0</v>
      </c>
      <c r="L131" s="29" t="n">
        <f aca="false">INDEX(Mitigation_Industry!L:L,MATCH($A131,Mitigation_Industry!$H:$H,0))</f>
        <v>0</v>
      </c>
      <c r="M131" s="29" t="n">
        <f aca="false">INDEX(Mitigation_Industry!M:M,MATCH($A131,Mitigation_Industry!$H:$H,0))</f>
        <v>0</v>
      </c>
      <c r="N131" s="29" t="n">
        <f aca="false">INDEX(Mitigation_Industry!N:N,MATCH($A131,Mitigation_Industry!$H:$H,0))</f>
        <v>0</v>
      </c>
      <c r="O131" s="29" t="n">
        <f aca="false">INDEX(Mitigation_Industry!O:O,MATCH($A131,Mitigation_Industry!$H:$H,0))</f>
        <v>0</v>
      </c>
      <c r="P131" s="29" t="n">
        <f aca="false">INDEX(Mitigation_Industry!P:P,MATCH($A131,Mitigation_Industry!$H:$H,0))</f>
        <v>0</v>
      </c>
      <c r="Q131" s="29" t="n">
        <f aca="false">INDEX(Mitigation_Industry!Q:Q,MATCH($A131,Mitigation_Industry!$H:$H,0))</f>
        <v>0</v>
      </c>
      <c r="R131" s="29" t="n">
        <f aca="false">INDEX(Mitigation_Industry!R:R,MATCH($A131,Mitigation_Industry!$H:$H,0))</f>
        <v>0</v>
      </c>
      <c r="S131" s="29" t="n">
        <f aca="false">INDEX(Mitigation_Industry!S:S,MATCH($A131,Mitigation_Industry!$H:$H,0))</f>
        <v>0</v>
      </c>
      <c r="T131" s="29" t="n">
        <f aca="false">INDEX(Mitigation_Industry!T:T,MATCH($A131,Mitigation_Industry!$H:$H,0))</f>
        <v>0</v>
      </c>
      <c r="U131" s="29" t="n">
        <f aca="false">INDEX(Mitigation_Industry!U:U,MATCH($A131,Mitigation_Industry!$H:$H,0))</f>
        <v>0</v>
      </c>
      <c r="V131" s="29" t="n">
        <f aca="false">INDEX(Mitigation_Industry!V:V,MATCH($A131,Mitigation_Industry!$H:$H,0))</f>
        <v>0</v>
      </c>
      <c r="W131" s="29" t="n">
        <f aca="false">INDEX(Mitigation_Industry!W:W,MATCH($A131,Mitigation_Industry!$H:$H,0))</f>
        <v>0</v>
      </c>
      <c r="X131" s="29" t="n">
        <f aca="false">INDEX(Mitigation_Industry!X:X,MATCH($A131,Mitigation_Industry!$H:$H,0))</f>
        <v>0</v>
      </c>
      <c r="Y131" s="29" t="n">
        <f aca="false">INDEX(Mitigation_Industry!Y:Y,MATCH($A131,Mitigation_Industry!$H:$H,0))</f>
        <v>0</v>
      </c>
      <c r="Z131" s="29" t="n">
        <f aca="false">INDEX(Mitigation_Industry!Z:Z,MATCH($A131,Mitigation_Industry!$H:$H,0))</f>
        <v>0</v>
      </c>
      <c r="AA131" s="29" t="n">
        <f aca="false">INDEX(Mitigation_Industry!AA:AA,MATCH($A131,Mitigation_Industry!$H:$H,0))</f>
        <v>0</v>
      </c>
      <c r="AB131" s="29" t="n">
        <f aca="false">INDEX(Mitigation_Industry!AB:AB,MATCH($A131,Mitigation_Industry!$H:$H,0))</f>
        <v>0</v>
      </c>
      <c r="AC131" s="29" t="n">
        <f aca="false">INDEX(Mitigation_Industry!AC:AC,MATCH($A131,Mitigation_Industry!$H:$H,0))</f>
        <v>0</v>
      </c>
      <c r="AD131" s="29" t="n">
        <f aca="false">INDEX(Mitigation_Industry!AD:AD,MATCH($A131,Mitigation_Industry!$H:$H,0))</f>
        <v>0</v>
      </c>
      <c r="AE131" s="29" t="n">
        <f aca="false">INDEX(Mitigation_Industry!AE:AE,MATCH($A131,Mitigation_Industry!$H:$H,0))</f>
        <v>0</v>
      </c>
    </row>
    <row r="132" customFormat="false" ht="15" hidden="false" customHeight="false" outlineLevel="0" collapsed="false">
      <c r="A132" s="35" t="s">
        <v>1198</v>
      </c>
      <c r="B132" s="6" t="s">
        <v>64</v>
      </c>
      <c r="C132" s="6" t="s">
        <v>121</v>
      </c>
      <c r="D132" s="6" t="n">
        <v>1</v>
      </c>
      <c r="E132" s="2" t="s">
        <v>1167</v>
      </c>
      <c r="F132" s="40" t="n">
        <f aca="false">MAX(MAX(L132:AE132),-MIN(L132:AE132))</f>
        <v>-0</v>
      </c>
      <c r="K132" s="41" t="n">
        <f aca="false">IF(ISNUMBER(K130),IF(ISNUMBER(K131),K131-K130,999999),0)</f>
        <v>0</v>
      </c>
      <c r="L132" s="41" t="n">
        <f aca="false">IF(ISNUMBER(L130),IF(ISNUMBER(L131),L131-L130,999999),0)</f>
        <v>0</v>
      </c>
      <c r="M132" s="41" t="n">
        <f aca="false">IF(ISNUMBER(M130),IF(ISNUMBER(M131),M131-M130,999999),0)</f>
        <v>0</v>
      </c>
      <c r="N132" s="41" t="n">
        <f aca="false">IF(ISNUMBER(N130),IF(ISNUMBER(N131),N131-N130,999999),0)</f>
        <v>0</v>
      </c>
      <c r="O132" s="41" t="n">
        <f aca="false">IF(ISNUMBER(O130),IF(ISNUMBER(O131),O131-O130,999999),0)</f>
        <v>0</v>
      </c>
      <c r="P132" s="41" t="n">
        <f aca="false">IF(ISNUMBER(P130),IF(ISNUMBER(P131),P131-P130,999999),0)</f>
        <v>0</v>
      </c>
      <c r="Q132" s="41" t="n">
        <f aca="false">IF(ISNUMBER(Q130),IF(ISNUMBER(Q131),Q131-Q130,999999),0)</f>
        <v>0</v>
      </c>
      <c r="R132" s="41" t="n">
        <f aca="false">IF(ISNUMBER(R130),IF(ISNUMBER(R131),R131-R130,999999),0)</f>
        <v>0</v>
      </c>
      <c r="S132" s="41" t="n">
        <f aca="false">IF(ISNUMBER(S130),IF(ISNUMBER(S131),S131-S130,999999),0)</f>
        <v>0</v>
      </c>
      <c r="T132" s="41" t="n">
        <f aca="false">IF(ISNUMBER(T130),IF(ISNUMBER(T131),T131-T130,999999),0)</f>
        <v>0</v>
      </c>
      <c r="U132" s="41" t="n">
        <f aca="false">IF(ISNUMBER(U130),IF(ISNUMBER(U131),U131-U130,999999),0)</f>
        <v>0</v>
      </c>
      <c r="V132" s="41" t="n">
        <f aca="false">IF(ISNUMBER(V130),IF(ISNUMBER(V131),V131-V130,999999),0)</f>
        <v>0</v>
      </c>
      <c r="W132" s="41" t="n">
        <f aca="false">IF(ISNUMBER(W130),IF(ISNUMBER(W131),W131-W130,999999),0)</f>
        <v>0</v>
      </c>
      <c r="X132" s="41" t="n">
        <f aca="false">IF(ISNUMBER(X130),IF(ISNUMBER(X131),X131-X130,999999),0)</f>
        <v>0</v>
      </c>
      <c r="Y132" s="41" t="n">
        <f aca="false">IF(ISNUMBER(Y130),IF(ISNUMBER(Y131),Y131-Y130,999999),0)</f>
        <v>0</v>
      </c>
      <c r="Z132" s="41" t="n">
        <f aca="false">IF(ISNUMBER(Z130),IF(ISNUMBER(Z131),Z131-Z130,999999),0)</f>
        <v>0</v>
      </c>
      <c r="AA132" s="41" t="n">
        <f aca="false">IF(ISNUMBER(AA130),IF(ISNUMBER(AA131),AA131-AA130,999999),0)</f>
        <v>0</v>
      </c>
      <c r="AB132" s="41" t="n">
        <f aca="false">IF(ISNUMBER(AB130),IF(ISNUMBER(AB131),AB131-AB130,999999),0)</f>
        <v>0</v>
      </c>
      <c r="AC132" s="41" t="n">
        <f aca="false">IF(ISNUMBER(AC130),IF(ISNUMBER(AC131),AC131-AC130,999999),0)</f>
        <v>0</v>
      </c>
      <c r="AD132" s="41" t="n">
        <f aca="false">IF(ISNUMBER(AD130),IF(ISNUMBER(AD131),AD131-AD130,999999),0)</f>
        <v>0</v>
      </c>
      <c r="AE132" s="41" t="n">
        <f aca="false">IF(ISNUMBER(AE130),IF(ISNUMBER(AE131),AE131-AE130,999999),0)</f>
        <v>0</v>
      </c>
    </row>
    <row r="134" customFormat="false" ht="15" hidden="false" customHeight="false" outlineLevel="0" collapsed="false">
      <c r="A134" s="35" t="s">
        <v>1199</v>
      </c>
      <c r="B134" s="6" t="s">
        <v>66</v>
      </c>
      <c r="C134" s="6" t="s">
        <v>121</v>
      </c>
      <c r="D134" s="6" t="n">
        <v>1</v>
      </c>
      <c r="E134" s="6" t="s">
        <v>1165</v>
      </c>
      <c r="K134" s="29"/>
      <c r="L134" s="29" t="n">
        <v>0</v>
      </c>
      <c r="M134" s="29" t="n">
        <v>0</v>
      </c>
      <c r="N134" s="29" t="n">
        <v>0</v>
      </c>
      <c r="O134" s="29" t="n">
        <v>0</v>
      </c>
      <c r="P134" s="29" t="n">
        <v>0</v>
      </c>
      <c r="Q134" s="29" t="n">
        <v>0</v>
      </c>
      <c r="R134" s="29" t="n">
        <v>0</v>
      </c>
      <c r="S134" s="29" t="n">
        <v>0</v>
      </c>
      <c r="T134" s="29" t="n">
        <v>0</v>
      </c>
      <c r="U134" s="29" t="n">
        <v>0</v>
      </c>
      <c r="V134" s="29" t="n">
        <v>0</v>
      </c>
      <c r="W134" s="29" t="n">
        <v>0</v>
      </c>
      <c r="X134" s="29" t="n">
        <v>0</v>
      </c>
      <c r="Y134" s="29" t="n">
        <v>0</v>
      </c>
      <c r="Z134" s="29" t="n">
        <v>0</v>
      </c>
      <c r="AA134" s="29" t="n">
        <v>0</v>
      </c>
      <c r="AB134" s="29" t="n">
        <v>0</v>
      </c>
      <c r="AC134" s="29" t="n">
        <v>0</v>
      </c>
      <c r="AD134" s="29" t="n">
        <v>0</v>
      </c>
      <c r="AE134" s="29" t="n">
        <v>0</v>
      </c>
    </row>
    <row r="135" customFormat="false" ht="15" hidden="false" customHeight="false" outlineLevel="0" collapsed="false">
      <c r="A135" s="35" t="s">
        <v>1199</v>
      </c>
      <c r="B135" s="6" t="s">
        <v>66</v>
      </c>
      <c r="C135" s="6" t="s">
        <v>121</v>
      </c>
      <c r="D135" s="6" t="n">
        <v>1</v>
      </c>
      <c r="E135" s="6" t="s">
        <v>1166</v>
      </c>
      <c r="K135" s="29" t="n">
        <f aca="false">INDEX(Mitigation_Industry!K:K,MATCH($A135,Mitigation_Industry!$H:$H,0))</f>
        <v>0</v>
      </c>
      <c r="L135" s="29" t="n">
        <f aca="false">INDEX(Mitigation_Industry!L:L,MATCH($A135,Mitigation_Industry!$H:$H,0))</f>
        <v>0</v>
      </c>
      <c r="M135" s="29" t="n">
        <f aca="false">INDEX(Mitigation_Industry!M:M,MATCH($A135,Mitigation_Industry!$H:$H,0))</f>
        <v>0</v>
      </c>
      <c r="N135" s="29" t="n">
        <f aca="false">INDEX(Mitigation_Industry!N:N,MATCH($A135,Mitigation_Industry!$H:$H,0))</f>
        <v>0</v>
      </c>
      <c r="O135" s="29" t="n">
        <f aca="false">INDEX(Mitigation_Industry!O:O,MATCH($A135,Mitigation_Industry!$H:$H,0))</f>
        <v>0</v>
      </c>
      <c r="P135" s="29" t="n">
        <f aca="false">INDEX(Mitigation_Industry!P:P,MATCH($A135,Mitigation_Industry!$H:$H,0))</f>
        <v>0</v>
      </c>
      <c r="Q135" s="29" t="n">
        <f aca="false">INDEX(Mitigation_Industry!Q:Q,MATCH($A135,Mitigation_Industry!$H:$H,0))</f>
        <v>0</v>
      </c>
      <c r="R135" s="29" t="n">
        <f aca="false">INDEX(Mitigation_Industry!R:R,MATCH($A135,Mitigation_Industry!$H:$H,0))</f>
        <v>0</v>
      </c>
      <c r="S135" s="29" t="n">
        <f aca="false">INDEX(Mitigation_Industry!S:S,MATCH($A135,Mitigation_Industry!$H:$H,0))</f>
        <v>0</v>
      </c>
      <c r="T135" s="29" t="n">
        <f aca="false">INDEX(Mitigation_Industry!T:T,MATCH($A135,Mitigation_Industry!$H:$H,0))</f>
        <v>0</v>
      </c>
      <c r="U135" s="29" t="n">
        <f aca="false">INDEX(Mitigation_Industry!U:U,MATCH($A135,Mitigation_Industry!$H:$H,0))</f>
        <v>0</v>
      </c>
      <c r="V135" s="29" t="n">
        <f aca="false">INDEX(Mitigation_Industry!V:V,MATCH($A135,Mitigation_Industry!$H:$H,0))</f>
        <v>0</v>
      </c>
      <c r="W135" s="29" t="n">
        <f aca="false">INDEX(Mitigation_Industry!W:W,MATCH($A135,Mitigation_Industry!$H:$H,0))</f>
        <v>0</v>
      </c>
      <c r="X135" s="29" t="n">
        <f aca="false">INDEX(Mitigation_Industry!X:X,MATCH($A135,Mitigation_Industry!$H:$H,0))</f>
        <v>0</v>
      </c>
      <c r="Y135" s="29" t="n">
        <f aca="false">INDEX(Mitigation_Industry!Y:Y,MATCH($A135,Mitigation_Industry!$H:$H,0))</f>
        <v>0</v>
      </c>
      <c r="Z135" s="29" t="n">
        <f aca="false">INDEX(Mitigation_Industry!Z:Z,MATCH($A135,Mitigation_Industry!$H:$H,0))</f>
        <v>0</v>
      </c>
      <c r="AA135" s="29" t="n">
        <f aca="false">INDEX(Mitigation_Industry!AA:AA,MATCH($A135,Mitigation_Industry!$H:$H,0))</f>
        <v>0</v>
      </c>
      <c r="AB135" s="29" t="n">
        <f aca="false">INDEX(Mitigation_Industry!AB:AB,MATCH($A135,Mitigation_Industry!$H:$H,0))</f>
        <v>0</v>
      </c>
      <c r="AC135" s="29" t="n">
        <f aca="false">INDEX(Mitigation_Industry!AC:AC,MATCH($A135,Mitigation_Industry!$H:$H,0))</f>
        <v>0</v>
      </c>
      <c r="AD135" s="29" t="n">
        <f aca="false">INDEX(Mitigation_Industry!AD:AD,MATCH($A135,Mitigation_Industry!$H:$H,0))</f>
        <v>0</v>
      </c>
      <c r="AE135" s="29" t="n">
        <f aca="false">INDEX(Mitigation_Industry!AE:AE,MATCH($A135,Mitigation_Industry!$H:$H,0))</f>
        <v>0</v>
      </c>
    </row>
    <row r="136" customFormat="false" ht="15" hidden="false" customHeight="false" outlineLevel="0" collapsed="false">
      <c r="A136" s="35" t="s">
        <v>1199</v>
      </c>
      <c r="B136" s="6" t="s">
        <v>66</v>
      </c>
      <c r="C136" s="6" t="s">
        <v>121</v>
      </c>
      <c r="D136" s="6" t="n">
        <v>1</v>
      </c>
      <c r="E136" s="2" t="s">
        <v>1167</v>
      </c>
      <c r="F136" s="40" t="n">
        <f aca="false">MAX(MAX(L136:AE136),-MIN(L136:AE136))</f>
        <v>-0</v>
      </c>
      <c r="K136" s="41" t="n">
        <f aca="false">IF(ISNUMBER(K134),IF(ISNUMBER(K135),K135-K134,999999),0)</f>
        <v>0</v>
      </c>
      <c r="L136" s="41" t="n">
        <f aca="false">IF(ISNUMBER(L134),IF(ISNUMBER(L135),L135-L134,999999),0)</f>
        <v>0</v>
      </c>
      <c r="M136" s="41" t="n">
        <f aca="false">IF(ISNUMBER(M134),IF(ISNUMBER(M135),M135-M134,999999),0)</f>
        <v>0</v>
      </c>
      <c r="N136" s="41" t="n">
        <f aca="false">IF(ISNUMBER(N134),IF(ISNUMBER(N135),N135-N134,999999),0)</f>
        <v>0</v>
      </c>
      <c r="O136" s="41" t="n">
        <f aca="false">IF(ISNUMBER(O134),IF(ISNUMBER(O135),O135-O134,999999),0)</f>
        <v>0</v>
      </c>
      <c r="P136" s="41" t="n">
        <f aca="false">IF(ISNUMBER(P134),IF(ISNUMBER(P135),P135-P134,999999),0)</f>
        <v>0</v>
      </c>
      <c r="Q136" s="41" t="n">
        <f aca="false">IF(ISNUMBER(Q134),IF(ISNUMBER(Q135),Q135-Q134,999999),0)</f>
        <v>0</v>
      </c>
      <c r="R136" s="41" t="n">
        <f aca="false">IF(ISNUMBER(R134),IF(ISNUMBER(R135),R135-R134,999999),0)</f>
        <v>0</v>
      </c>
      <c r="S136" s="41" t="n">
        <f aca="false">IF(ISNUMBER(S134),IF(ISNUMBER(S135),S135-S134,999999),0)</f>
        <v>0</v>
      </c>
      <c r="T136" s="41" t="n">
        <f aca="false">IF(ISNUMBER(T134),IF(ISNUMBER(T135),T135-T134,999999),0)</f>
        <v>0</v>
      </c>
      <c r="U136" s="41" t="n">
        <f aca="false">IF(ISNUMBER(U134),IF(ISNUMBER(U135),U135-U134,999999),0)</f>
        <v>0</v>
      </c>
      <c r="V136" s="41" t="n">
        <f aca="false">IF(ISNUMBER(V134),IF(ISNUMBER(V135),V135-V134,999999),0)</f>
        <v>0</v>
      </c>
      <c r="W136" s="41" t="n">
        <f aca="false">IF(ISNUMBER(W134),IF(ISNUMBER(W135),W135-W134,999999),0)</f>
        <v>0</v>
      </c>
      <c r="X136" s="41" t="n">
        <f aca="false">IF(ISNUMBER(X134),IF(ISNUMBER(X135),X135-X134,999999),0)</f>
        <v>0</v>
      </c>
      <c r="Y136" s="41" t="n">
        <f aca="false">IF(ISNUMBER(Y134),IF(ISNUMBER(Y135),Y135-Y134,999999),0)</f>
        <v>0</v>
      </c>
      <c r="Z136" s="41" t="n">
        <f aca="false">IF(ISNUMBER(Z134),IF(ISNUMBER(Z135),Z135-Z134,999999),0)</f>
        <v>0</v>
      </c>
      <c r="AA136" s="41" t="n">
        <f aca="false">IF(ISNUMBER(AA134),IF(ISNUMBER(AA135),AA135-AA134,999999),0)</f>
        <v>0</v>
      </c>
      <c r="AB136" s="41" t="n">
        <f aca="false">IF(ISNUMBER(AB134),IF(ISNUMBER(AB135),AB135-AB134,999999),0)</f>
        <v>0</v>
      </c>
      <c r="AC136" s="41" t="n">
        <f aca="false">IF(ISNUMBER(AC134),IF(ISNUMBER(AC135),AC135-AC134,999999),0)</f>
        <v>0</v>
      </c>
      <c r="AD136" s="41" t="n">
        <f aca="false">IF(ISNUMBER(AD134),IF(ISNUMBER(AD135),AD135-AD134,999999),0)</f>
        <v>0</v>
      </c>
      <c r="AE136" s="41" t="n">
        <f aca="false">IF(ISNUMBER(AE134),IF(ISNUMBER(AE135),AE135-AE134,999999),0)</f>
        <v>0</v>
      </c>
    </row>
    <row r="138" customFormat="false" ht="15" hidden="false" customHeight="false" outlineLevel="0" collapsed="false">
      <c r="A138" s="35" t="s">
        <v>1200</v>
      </c>
      <c r="B138" s="6" t="s">
        <v>68</v>
      </c>
      <c r="C138" s="6" t="s">
        <v>121</v>
      </c>
      <c r="D138" s="6" t="n">
        <v>1</v>
      </c>
      <c r="E138" s="6" t="s">
        <v>1165</v>
      </c>
      <c r="K138" s="29"/>
      <c r="L138" s="29" t="n">
        <v>0</v>
      </c>
      <c r="M138" s="29" t="n">
        <v>0</v>
      </c>
      <c r="N138" s="29" t="n">
        <v>0</v>
      </c>
      <c r="O138" s="29" t="n">
        <v>0</v>
      </c>
      <c r="P138" s="29" t="n">
        <v>0</v>
      </c>
      <c r="Q138" s="29" t="n">
        <v>0</v>
      </c>
      <c r="R138" s="29" t="n">
        <v>0</v>
      </c>
      <c r="S138" s="29" t="n">
        <v>0</v>
      </c>
      <c r="T138" s="29" t="n">
        <v>0</v>
      </c>
      <c r="U138" s="29" t="n">
        <v>0</v>
      </c>
      <c r="V138" s="29" t="n">
        <v>0</v>
      </c>
      <c r="W138" s="29" t="n">
        <v>0</v>
      </c>
      <c r="X138" s="29" t="n">
        <v>0</v>
      </c>
      <c r="Y138" s="29" t="n">
        <v>0</v>
      </c>
      <c r="Z138" s="29" t="n">
        <v>0</v>
      </c>
      <c r="AA138" s="29" t="n">
        <v>0</v>
      </c>
      <c r="AB138" s="29" t="n">
        <v>0</v>
      </c>
      <c r="AC138" s="29" t="n">
        <v>0</v>
      </c>
      <c r="AD138" s="29" t="n">
        <v>0</v>
      </c>
      <c r="AE138" s="29" t="n">
        <v>0</v>
      </c>
    </row>
    <row r="139" customFormat="false" ht="15" hidden="false" customHeight="false" outlineLevel="0" collapsed="false">
      <c r="A139" s="35" t="s">
        <v>1200</v>
      </c>
      <c r="B139" s="6" t="s">
        <v>68</v>
      </c>
      <c r="C139" s="6" t="s">
        <v>121</v>
      </c>
      <c r="D139" s="6" t="n">
        <v>1</v>
      </c>
      <c r="E139" s="6" t="s">
        <v>1166</v>
      </c>
      <c r="K139" s="29" t="n">
        <f aca="false">INDEX(Mitigation_Industry!K:K,MATCH($A139,Mitigation_Industry!$H:$H,0))</f>
        <v>0</v>
      </c>
      <c r="L139" s="29" t="n">
        <f aca="false">INDEX(Mitigation_Industry!L:L,MATCH($A139,Mitigation_Industry!$H:$H,0))</f>
        <v>0</v>
      </c>
      <c r="M139" s="29" t="n">
        <f aca="false">INDEX(Mitigation_Industry!M:M,MATCH($A139,Mitigation_Industry!$H:$H,0))</f>
        <v>0</v>
      </c>
      <c r="N139" s="29" t="n">
        <f aca="false">INDEX(Mitigation_Industry!N:N,MATCH($A139,Mitigation_Industry!$H:$H,0))</f>
        <v>0</v>
      </c>
      <c r="O139" s="29" t="n">
        <f aca="false">INDEX(Mitigation_Industry!O:O,MATCH($A139,Mitigation_Industry!$H:$H,0))</f>
        <v>0</v>
      </c>
      <c r="P139" s="29" t="n">
        <f aca="false">INDEX(Mitigation_Industry!P:P,MATCH($A139,Mitigation_Industry!$H:$H,0))</f>
        <v>0</v>
      </c>
      <c r="Q139" s="29" t="n">
        <f aca="false">INDEX(Mitigation_Industry!Q:Q,MATCH($A139,Mitigation_Industry!$H:$H,0))</f>
        <v>0</v>
      </c>
      <c r="R139" s="29" t="n">
        <f aca="false">INDEX(Mitigation_Industry!R:R,MATCH($A139,Mitigation_Industry!$H:$H,0))</f>
        <v>0</v>
      </c>
      <c r="S139" s="29" t="n">
        <f aca="false">INDEX(Mitigation_Industry!S:S,MATCH($A139,Mitigation_Industry!$H:$H,0))</f>
        <v>0</v>
      </c>
      <c r="T139" s="29" t="n">
        <f aca="false">INDEX(Mitigation_Industry!T:T,MATCH($A139,Mitigation_Industry!$H:$H,0))</f>
        <v>0</v>
      </c>
      <c r="U139" s="29" t="n">
        <f aca="false">INDEX(Mitigation_Industry!U:U,MATCH($A139,Mitigation_Industry!$H:$H,0))</f>
        <v>0</v>
      </c>
      <c r="V139" s="29" t="n">
        <f aca="false">INDEX(Mitigation_Industry!V:V,MATCH($A139,Mitigation_Industry!$H:$H,0))</f>
        <v>0</v>
      </c>
      <c r="W139" s="29" t="n">
        <f aca="false">INDEX(Mitigation_Industry!W:W,MATCH($A139,Mitigation_Industry!$H:$H,0))</f>
        <v>0</v>
      </c>
      <c r="X139" s="29" t="n">
        <f aca="false">INDEX(Mitigation_Industry!X:X,MATCH($A139,Mitigation_Industry!$H:$H,0))</f>
        <v>0</v>
      </c>
      <c r="Y139" s="29" t="n">
        <f aca="false">INDEX(Mitigation_Industry!Y:Y,MATCH($A139,Mitigation_Industry!$H:$H,0))</f>
        <v>0</v>
      </c>
      <c r="Z139" s="29" t="n">
        <f aca="false">INDEX(Mitigation_Industry!Z:Z,MATCH($A139,Mitigation_Industry!$H:$H,0))</f>
        <v>0</v>
      </c>
      <c r="AA139" s="29" t="n">
        <f aca="false">INDEX(Mitigation_Industry!AA:AA,MATCH($A139,Mitigation_Industry!$H:$H,0))</f>
        <v>0</v>
      </c>
      <c r="AB139" s="29" t="n">
        <f aca="false">INDEX(Mitigation_Industry!AB:AB,MATCH($A139,Mitigation_Industry!$H:$H,0))</f>
        <v>0</v>
      </c>
      <c r="AC139" s="29" t="n">
        <f aca="false">INDEX(Mitigation_Industry!AC:AC,MATCH($A139,Mitigation_Industry!$H:$H,0))</f>
        <v>0</v>
      </c>
      <c r="AD139" s="29" t="n">
        <f aca="false">INDEX(Mitigation_Industry!AD:AD,MATCH($A139,Mitigation_Industry!$H:$H,0))</f>
        <v>0</v>
      </c>
      <c r="AE139" s="29" t="n">
        <f aca="false">INDEX(Mitigation_Industry!AE:AE,MATCH($A139,Mitigation_Industry!$H:$H,0))</f>
        <v>0</v>
      </c>
    </row>
    <row r="140" customFormat="false" ht="15" hidden="false" customHeight="false" outlineLevel="0" collapsed="false">
      <c r="A140" s="35" t="s">
        <v>1200</v>
      </c>
      <c r="B140" s="6" t="s">
        <v>68</v>
      </c>
      <c r="C140" s="6" t="s">
        <v>121</v>
      </c>
      <c r="D140" s="6" t="n">
        <v>1</v>
      </c>
      <c r="E140" s="2" t="s">
        <v>1167</v>
      </c>
      <c r="F140" s="40" t="n">
        <f aca="false">MAX(MAX(L140:AE140),-MIN(L140:AE140))</f>
        <v>-0</v>
      </c>
      <c r="K140" s="41" t="n">
        <f aca="false">IF(ISNUMBER(K138),IF(ISNUMBER(K139),K139-K138,999999),0)</f>
        <v>0</v>
      </c>
      <c r="L140" s="41" t="n">
        <f aca="false">IF(ISNUMBER(L138),IF(ISNUMBER(L139),L139-L138,999999),0)</f>
        <v>0</v>
      </c>
      <c r="M140" s="41" t="n">
        <f aca="false">IF(ISNUMBER(M138),IF(ISNUMBER(M139),M139-M138,999999),0)</f>
        <v>0</v>
      </c>
      <c r="N140" s="41" t="n">
        <f aca="false">IF(ISNUMBER(N138),IF(ISNUMBER(N139),N139-N138,999999),0)</f>
        <v>0</v>
      </c>
      <c r="O140" s="41" t="n">
        <f aca="false">IF(ISNUMBER(O138),IF(ISNUMBER(O139),O139-O138,999999),0)</f>
        <v>0</v>
      </c>
      <c r="P140" s="41" t="n">
        <f aca="false">IF(ISNUMBER(P138),IF(ISNUMBER(P139),P139-P138,999999),0)</f>
        <v>0</v>
      </c>
      <c r="Q140" s="41" t="n">
        <f aca="false">IF(ISNUMBER(Q138),IF(ISNUMBER(Q139),Q139-Q138,999999),0)</f>
        <v>0</v>
      </c>
      <c r="R140" s="41" t="n">
        <f aca="false">IF(ISNUMBER(R138),IF(ISNUMBER(R139),R139-R138,999999),0)</f>
        <v>0</v>
      </c>
      <c r="S140" s="41" t="n">
        <f aca="false">IF(ISNUMBER(S138),IF(ISNUMBER(S139),S139-S138,999999),0)</f>
        <v>0</v>
      </c>
      <c r="T140" s="41" t="n">
        <f aca="false">IF(ISNUMBER(T138),IF(ISNUMBER(T139),T139-T138,999999),0)</f>
        <v>0</v>
      </c>
      <c r="U140" s="41" t="n">
        <f aca="false">IF(ISNUMBER(U138),IF(ISNUMBER(U139),U139-U138,999999),0)</f>
        <v>0</v>
      </c>
      <c r="V140" s="41" t="n">
        <f aca="false">IF(ISNUMBER(V138),IF(ISNUMBER(V139),V139-V138,999999),0)</f>
        <v>0</v>
      </c>
      <c r="W140" s="41" t="n">
        <f aca="false">IF(ISNUMBER(W138),IF(ISNUMBER(W139),W139-W138,999999),0)</f>
        <v>0</v>
      </c>
      <c r="X140" s="41" t="n">
        <f aca="false">IF(ISNUMBER(X138),IF(ISNUMBER(X139),X139-X138,999999),0)</f>
        <v>0</v>
      </c>
      <c r="Y140" s="41" t="n">
        <f aca="false">IF(ISNUMBER(Y138),IF(ISNUMBER(Y139),Y139-Y138,999999),0)</f>
        <v>0</v>
      </c>
      <c r="Z140" s="41" t="n">
        <f aca="false">IF(ISNUMBER(Z138),IF(ISNUMBER(Z139),Z139-Z138,999999),0)</f>
        <v>0</v>
      </c>
      <c r="AA140" s="41" t="n">
        <f aca="false">IF(ISNUMBER(AA138),IF(ISNUMBER(AA139),AA139-AA138,999999),0)</f>
        <v>0</v>
      </c>
      <c r="AB140" s="41" t="n">
        <f aca="false">IF(ISNUMBER(AB138),IF(ISNUMBER(AB139),AB139-AB138,999999),0)</f>
        <v>0</v>
      </c>
      <c r="AC140" s="41" t="n">
        <f aca="false">IF(ISNUMBER(AC138),IF(ISNUMBER(AC139),AC139-AC138,999999),0)</f>
        <v>0</v>
      </c>
      <c r="AD140" s="41" t="n">
        <f aca="false">IF(ISNUMBER(AD138),IF(ISNUMBER(AD139),AD139-AD138,999999),0)</f>
        <v>0</v>
      </c>
      <c r="AE140" s="41" t="n">
        <f aca="false">IF(ISNUMBER(AE138),IF(ISNUMBER(AE139),AE139-AE138,999999),0)</f>
        <v>0</v>
      </c>
    </row>
    <row r="142" customFormat="false" ht="15" hidden="false" customHeight="false" outlineLevel="0" collapsed="false">
      <c r="A142" s="35" t="s">
        <v>1201</v>
      </c>
      <c r="B142" s="6" t="s">
        <v>71</v>
      </c>
      <c r="C142" s="6" t="s">
        <v>121</v>
      </c>
      <c r="D142" s="6" t="n">
        <v>1</v>
      </c>
      <c r="E142" s="6" t="s">
        <v>1165</v>
      </c>
      <c r="K142" s="29"/>
      <c r="L142" s="29" t="n">
        <v>0</v>
      </c>
      <c r="M142" s="29" t="n">
        <v>0</v>
      </c>
      <c r="N142" s="29" t="n">
        <v>0</v>
      </c>
      <c r="O142" s="29" t="n">
        <v>0</v>
      </c>
      <c r="P142" s="29" t="n">
        <v>0</v>
      </c>
      <c r="Q142" s="29" t="n">
        <v>0</v>
      </c>
      <c r="R142" s="29" t="n">
        <v>0</v>
      </c>
      <c r="S142" s="29" t="n">
        <v>0</v>
      </c>
      <c r="T142" s="29" t="n">
        <v>0</v>
      </c>
      <c r="U142" s="29" t="n">
        <v>0</v>
      </c>
      <c r="V142" s="29" t="n">
        <v>0</v>
      </c>
      <c r="W142" s="29" t="n">
        <v>0</v>
      </c>
      <c r="X142" s="29" t="n">
        <v>0</v>
      </c>
      <c r="Y142" s="29" t="n">
        <v>0</v>
      </c>
      <c r="Z142" s="29" t="n">
        <v>0</v>
      </c>
      <c r="AA142" s="29" t="n">
        <v>0</v>
      </c>
      <c r="AB142" s="29" t="n">
        <v>0</v>
      </c>
      <c r="AC142" s="29" t="n">
        <v>0</v>
      </c>
      <c r="AD142" s="29" t="n">
        <v>0</v>
      </c>
      <c r="AE142" s="29" t="n">
        <v>0</v>
      </c>
    </row>
    <row r="143" customFormat="false" ht="15" hidden="false" customHeight="false" outlineLevel="0" collapsed="false">
      <c r="A143" s="35" t="s">
        <v>1201</v>
      </c>
      <c r="B143" s="6" t="s">
        <v>71</v>
      </c>
      <c r="C143" s="6" t="s">
        <v>121</v>
      </c>
      <c r="D143" s="6" t="n">
        <v>1</v>
      </c>
      <c r="E143" s="6" t="s">
        <v>1166</v>
      </c>
      <c r="K143" s="29" t="n">
        <f aca="false">INDEX(Mitigation_Industry!K:K,MATCH($A143,Mitigation_Industry!$H:$H,0))</f>
        <v>0</v>
      </c>
      <c r="L143" s="29" t="n">
        <f aca="false">INDEX(Mitigation_Industry!L:L,MATCH($A143,Mitigation_Industry!$H:$H,0))</f>
        <v>0</v>
      </c>
      <c r="M143" s="29" t="n">
        <f aca="false">INDEX(Mitigation_Industry!M:M,MATCH($A143,Mitigation_Industry!$H:$H,0))</f>
        <v>0</v>
      </c>
      <c r="N143" s="29" t="n">
        <f aca="false">INDEX(Mitigation_Industry!N:N,MATCH($A143,Mitigation_Industry!$H:$H,0))</f>
        <v>0</v>
      </c>
      <c r="O143" s="29" t="n">
        <f aca="false">INDEX(Mitigation_Industry!O:O,MATCH($A143,Mitigation_Industry!$H:$H,0))</f>
        <v>0</v>
      </c>
      <c r="P143" s="29" t="n">
        <f aca="false">INDEX(Mitigation_Industry!P:P,MATCH($A143,Mitigation_Industry!$H:$H,0))</f>
        <v>0</v>
      </c>
      <c r="Q143" s="29" t="n">
        <f aca="false">INDEX(Mitigation_Industry!Q:Q,MATCH($A143,Mitigation_Industry!$H:$H,0))</f>
        <v>0</v>
      </c>
      <c r="R143" s="29" t="n">
        <f aca="false">INDEX(Mitigation_Industry!R:R,MATCH($A143,Mitigation_Industry!$H:$H,0))</f>
        <v>0</v>
      </c>
      <c r="S143" s="29" t="n">
        <f aca="false">INDEX(Mitigation_Industry!S:S,MATCH($A143,Mitigation_Industry!$H:$H,0))</f>
        <v>0</v>
      </c>
      <c r="T143" s="29" t="n">
        <f aca="false">INDEX(Mitigation_Industry!T:T,MATCH($A143,Mitigation_Industry!$H:$H,0))</f>
        <v>0</v>
      </c>
      <c r="U143" s="29" t="n">
        <f aca="false">INDEX(Mitigation_Industry!U:U,MATCH($A143,Mitigation_Industry!$H:$H,0))</f>
        <v>0</v>
      </c>
      <c r="V143" s="29" t="n">
        <f aca="false">INDEX(Mitigation_Industry!V:V,MATCH($A143,Mitigation_Industry!$H:$H,0))</f>
        <v>0</v>
      </c>
      <c r="W143" s="29" t="n">
        <f aca="false">INDEX(Mitigation_Industry!W:W,MATCH($A143,Mitigation_Industry!$H:$H,0))</f>
        <v>0</v>
      </c>
      <c r="X143" s="29" t="n">
        <f aca="false">INDEX(Mitigation_Industry!X:X,MATCH($A143,Mitigation_Industry!$H:$H,0))</f>
        <v>0</v>
      </c>
      <c r="Y143" s="29" t="n">
        <f aca="false">INDEX(Mitigation_Industry!Y:Y,MATCH($A143,Mitigation_Industry!$H:$H,0))</f>
        <v>0</v>
      </c>
      <c r="Z143" s="29" t="n">
        <f aca="false">INDEX(Mitigation_Industry!Z:Z,MATCH($A143,Mitigation_Industry!$H:$H,0))</f>
        <v>0</v>
      </c>
      <c r="AA143" s="29" t="n">
        <f aca="false">INDEX(Mitigation_Industry!AA:AA,MATCH($A143,Mitigation_Industry!$H:$H,0))</f>
        <v>0</v>
      </c>
      <c r="AB143" s="29" t="n">
        <f aca="false">INDEX(Mitigation_Industry!AB:AB,MATCH($A143,Mitigation_Industry!$H:$H,0))</f>
        <v>0</v>
      </c>
      <c r="AC143" s="29" t="n">
        <f aca="false">INDEX(Mitigation_Industry!AC:AC,MATCH($A143,Mitigation_Industry!$H:$H,0))</f>
        <v>0</v>
      </c>
      <c r="AD143" s="29" t="n">
        <f aca="false">INDEX(Mitigation_Industry!AD:AD,MATCH($A143,Mitigation_Industry!$H:$H,0))</f>
        <v>0</v>
      </c>
      <c r="AE143" s="29" t="n">
        <f aca="false">INDEX(Mitigation_Industry!AE:AE,MATCH($A143,Mitigation_Industry!$H:$H,0))</f>
        <v>0</v>
      </c>
    </row>
    <row r="144" customFormat="false" ht="15" hidden="false" customHeight="false" outlineLevel="0" collapsed="false">
      <c r="A144" s="35" t="s">
        <v>1201</v>
      </c>
      <c r="B144" s="6" t="s">
        <v>71</v>
      </c>
      <c r="C144" s="6" t="s">
        <v>121</v>
      </c>
      <c r="D144" s="6" t="n">
        <v>1</v>
      </c>
      <c r="E144" s="2" t="s">
        <v>1167</v>
      </c>
      <c r="F144" s="40" t="n">
        <f aca="false">MAX(MAX(L144:AE144),-MIN(L144:AE144))</f>
        <v>-0</v>
      </c>
      <c r="K144" s="41" t="n">
        <f aca="false">IF(ISNUMBER(K142),IF(ISNUMBER(K143),K143-K142,999999),0)</f>
        <v>0</v>
      </c>
      <c r="L144" s="41" t="n">
        <f aca="false">IF(ISNUMBER(L142),IF(ISNUMBER(L143),L143-L142,999999),0)</f>
        <v>0</v>
      </c>
      <c r="M144" s="41" t="n">
        <f aca="false">IF(ISNUMBER(M142),IF(ISNUMBER(M143),M143-M142,999999),0)</f>
        <v>0</v>
      </c>
      <c r="N144" s="41" t="n">
        <f aca="false">IF(ISNUMBER(N142),IF(ISNUMBER(N143),N143-N142,999999),0)</f>
        <v>0</v>
      </c>
      <c r="O144" s="41" t="n">
        <f aca="false">IF(ISNUMBER(O142),IF(ISNUMBER(O143),O143-O142,999999),0)</f>
        <v>0</v>
      </c>
      <c r="P144" s="41" t="n">
        <f aca="false">IF(ISNUMBER(P142),IF(ISNUMBER(P143),P143-P142,999999),0)</f>
        <v>0</v>
      </c>
      <c r="Q144" s="41" t="n">
        <f aca="false">IF(ISNUMBER(Q142),IF(ISNUMBER(Q143),Q143-Q142,999999),0)</f>
        <v>0</v>
      </c>
      <c r="R144" s="41" t="n">
        <f aca="false">IF(ISNUMBER(R142),IF(ISNUMBER(R143),R143-R142,999999),0)</f>
        <v>0</v>
      </c>
      <c r="S144" s="41" t="n">
        <f aca="false">IF(ISNUMBER(S142),IF(ISNUMBER(S143),S143-S142,999999),0)</f>
        <v>0</v>
      </c>
      <c r="T144" s="41" t="n">
        <f aca="false">IF(ISNUMBER(T142),IF(ISNUMBER(T143),T143-T142,999999),0)</f>
        <v>0</v>
      </c>
      <c r="U144" s="41" t="n">
        <f aca="false">IF(ISNUMBER(U142),IF(ISNUMBER(U143),U143-U142,999999),0)</f>
        <v>0</v>
      </c>
      <c r="V144" s="41" t="n">
        <f aca="false">IF(ISNUMBER(V142),IF(ISNUMBER(V143),V143-V142,999999),0)</f>
        <v>0</v>
      </c>
      <c r="W144" s="41" t="n">
        <f aca="false">IF(ISNUMBER(W142),IF(ISNUMBER(W143),W143-W142,999999),0)</f>
        <v>0</v>
      </c>
      <c r="X144" s="41" t="n">
        <f aca="false">IF(ISNUMBER(X142),IF(ISNUMBER(X143),X143-X142,999999),0)</f>
        <v>0</v>
      </c>
      <c r="Y144" s="41" t="n">
        <f aca="false">IF(ISNUMBER(Y142),IF(ISNUMBER(Y143),Y143-Y142,999999),0)</f>
        <v>0</v>
      </c>
      <c r="Z144" s="41" t="n">
        <f aca="false">IF(ISNUMBER(Z142),IF(ISNUMBER(Z143),Z143-Z142,999999),0)</f>
        <v>0</v>
      </c>
      <c r="AA144" s="41" t="n">
        <f aca="false">IF(ISNUMBER(AA142),IF(ISNUMBER(AA143),AA143-AA142,999999),0)</f>
        <v>0</v>
      </c>
      <c r="AB144" s="41" t="n">
        <f aca="false">IF(ISNUMBER(AB142),IF(ISNUMBER(AB143),AB143-AB142,999999),0)</f>
        <v>0</v>
      </c>
      <c r="AC144" s="41" t="n">
        <f aca="false">IF(ISNUMBER(AC142),IF(ISNUMBER(AC143),AC143-AC142,999999),0)</f>
        <v>0</v>
      </c>
      <c r="AD144" s="41" t="n">
        <f aca="false">IF(ISNUMBER(AD142),IF(ISNUMBER(AD143),AD143-AD142,999999),0)</f>
        <v>0</v>
      </c>
      <c r="AE144" s="41" t="n">
        <f aca="false">IF(ISNUMBER(AE142),IF(ISNUMBER(AE143),AE143-AE142,999999),0)</f>
        <v>0</v>
      </c>
    </row>
    <row r="146" customFormat="false" ht="15" hidden="false" customHeight="false" outlineLevel="0" collapsed="false">
      <c r="A146" s="35" t="s">
        <v>1202</v>
      </c>
      <c r="B146" s="6" t="s">
        <v>73</v>
      </c>
      <c r="C146" s="6" t="s">
        <v>121</v>
      </c>
      <c r="D146" s="6" t="n">
        <v>1</v>
      </c>
      <c r="E146" s="6" t="s">
        <v>1165</v>
      </c>
      <c r="K146" s="29"/>
      <c r="L146" s="29" t="n">
        <v>0</v>
      </c>
      <c r="M146" s="29" t="n">
        <v>0</v>
      </c>
      <c r="N146" s="29" t="n">
        <v>0</v>
      </c>
      <c r="O146" s="29" t="n">
        <v>0</v>
      </c>
      <c r="P146" s="29" t="n">
        <v>0</v>
      </c>
      <c r="Q146" s="29" t="n">
        <v>0</v>
      </c>
      <c r="R146" s="29" t="n">
        <v>0</v>
      </c>
      <c r="S146" s="29" t="n">
        <v>0</v>
      </c>
      <c r="T146" s="29" t="n">
        <v>0</v>
      </c>
      <c r="U146" s="29" t="n">
        <v>0</v>
      </c>
      <c r="V146" s="29" t="n">
        <v>0</v>
      </c>
      <c r="W146" s="29" t="n">
        <v>0</v>
      </c>
      <c r="X146" s="29" t="n">
        <v>0</v>
      </c>
      <c r="Y146" s="29" t="n">
        <v>0</v>
      </c>
      <c r="Z146" s="29" t="n">
        <v>0</v>
      </c>
      <c r="AA146" s="29" t="n">
        <v>0</v>
      </c>
      <c r="AB146" s="29" t="n">
        <v>0</v>
      </c>
      <c r="AC146" s="29" t="n">
        <v>0</v>
      </c>
      <c r="AD146" s="29" t="n">
        <v>0</v>
      </c>
      <c r="AE146" s="29" t="n">
        <v>0</v>
      </c>
    </row>
    <row r="147" customFormat="false" ht="15" hidden="false" customHeight="false" outlineLevel="0" collapsed="false">
      <c r="A147" s="35" t="s">
        <v>1202</v>
      </c>
      <c r="B147" s="6" t="s">
        <v>73</v>
      </c>
      <c r="C147" s="6" t="s">
        <v>121</v>
      </c>
      <c r="D147" s="6" t="n">
        <v>1</v>
      </c>
      <c r="E147" s="6" t="s">
        <v>1166</v>
      </c>
      <c r="K147" s="29" t="n">
        <f aca="false">INDEX(Mitigation_Industry!K:K,MATCH($A147,Mitigation_Industry!$H:$H,0))</f>
        <v>0</v>
      </c>
      <c r="L147" s="29" t="n">
        <f aca="false">INDEX(Mitigation_Industry!L:L,MATCH($A147,Mitigation_Industry!$H:$H,0))</f>
        <v>0</v>
      </c>
      <c r="M147" s="29" t="n">
        <f aca="false">INDEX(Mitigation_Industry!M:M,MATCH($A147,Mitigation_Industry!$H:$H,0))</f>
        <v>0</v>
      </c>
      <c r="N147" s="29" t="n">
        <f aca="false">INDEX(Mitigation_Industry!N:N,MATCH($A147,Mitigation_Industry!$H:$H,0))</f>
        <v>0</v>
      </c>
      <c r="O147" s="29" t="n">
        <f aca="false">INDEX(Mitigation_Industry!O:O,MATCH($A147,Mitigation_Industry!$H:$H,0))</f>
        <v>0</v>
      </c>
      <c r="P147" s="29" t="n">
        <f aca="false">INDEX(Mitigation_Industry!P:P,MATCH($A147,Mitigation_Industry!$H:$H,0))</f>
        <v>0</v>
      </c>
      <c r="Q147" s="29" t="n">
        <f aca="false">INDEX(Mitigation_Industry!Q:Q,MATCH($A147,Mitigation_Industry!$H:$H,0))</f>
        <v>0</v>
      </c>
      <c r="R147" s="29" t="n">
        <f aca="false">INDEX(Mitigation_Industry!R:R,MATCH($A147,Mitigation_Industry!$H:$H,0))</f>
        <v>0</v>
      </c>
      <c r="S147" s="29" t="n">
        <f aca="false">INDEX(Mitigation_Industry!S:S,MATCH($A147,Mitigation_Industry!$H:$H,0))</f>
        <v>0</v>
      </c>
      <c r="T147" s="29" t="n">
        <f aca="false">INDEX(Mitigation_Industry!T:T,MATCH($A147,Mitigation_Industry!$H:$H,0))</f>
        <v>0</v>
      </c>
      <c r="U147" s="29" t="n">
        <f aca="false">INDEX(Mitigation_Industry!U:U,MATCH($A147,Mitigation_Industry!$H:$H,0))</f>
        <v>0</v>
      </c>
      <c r="V147" s="29" t="n">
        <f aca="false">INDEX(Mitigation_Industry!V:V,MATCH($A147,Mitigation_Industry!$H:$H,0))</f>
        <v>0</v>
      </c>
      <c r="W147" s="29" t="n">
        <f aca="false">INDEX(Mitigation_Industry!W:W,MATCH($A147,Mitigation_Industry!$H:$H,0))</f>
        <v>0</v>
      </c>
      <c r="X147" s="29" t="n">
        <f aca="false">INDEX(Mitigation_Industry!X:X,MATCH($A147,Mitigation_Industry!$H:$H,0))</f>
        <v>0</v>
      </c>
      <c r="Y147" s="29" t="n">
        <f aca="false">INDEX(Mitigation_Industry!Y:Y,MATCH($A147,Mitigation_Industry!$H:$H,0))</f>
        <v>0</v>
      </c>
      <c r="Z147" s="29" t="n">
        <f aca="false">INDEX(Mitigation_Industry!Z:Z,MATCH($A147,Mitigation_Industry!$H:$H,0))</f>
        <v>0</v>
      </c>
      <c r="AA147" s="29" t="n">
        <f aca="false">INDEX(Mitigation_Industry!AA:AA,MATCH($A147,Mitigation_Industry!$H:$H,0))</f>
        <v>0</v>
      </c>
      <c r="AB147" s="29" t="n">
        <f aca="false">INDEX(Mitigation_Industry!AB:AB,MATCH($A147,Mitigation_Industry!$H:$H,0))</f>
        <v>0</v>
      </c>
      <c r="AC147" s="29" t="n">
        <f aca="false">INDEX(Mitigation_Industry!AC:AC,MATCH($A147,Mitigation_Industry!$H:$H,0))</f>
        <v>0</v>
      </c>
      <c r="AD147" s="29" t="n">
        <f aca="false">INDEX(Mitigation_Industry!AD:AD,MATCH($A147,Mitigation_Industry!$H:$H,0))</f>
        <v>0</v>
      </c>
      <c r="AE147" s="29" t="n">
        <f aca="false">INDEX(Mitigation_Industry!AE:AE,MATCH($A147,Mitigation_Industry!$H:$H,0))</f>
        <v>0</v>
      </c>
    </row>
    <row r="148" customFormat="false" ht="15" hidden="false" customHeight="false" outlineLevel="0" collapsed="false">
      <c r="A148" s="35" t="s">
        <v>1202</v>
      </c>
      <c r="B148" s="6" t="s">
        <v>73</v>
      </c>
      <c r="C148" s="6" t="s">
        <v>121</v>
      </c>
      <c r="D148" s="6" t="n">
        <v>1</v>
      </c>
      <c r="E148" s="2" t="s">
        <v>1167</v>
      </c>
      <c r="F148" s="40" t="n">
        <f aca="false">MAX(MAX(L148:AE148),-MIN(L148:AE148))</f>
        <v>-0</v>
      </c>
      <c r="K148" s="41" t="n">
        <f aca="false">IF(ISNUMBER(K146),IF(ISNUMBER(K147),K147-K146,999999),0)</f>
        <v>0</v>
      </c>
      <c r="L148" s="41" t="n">
        <f aca="false">IF(ISNUMBER(L146),IF(ISNUMBER(L147),L147-L146,999999),0)</f>
        <v>0</v>
      </c>
      <c r="M148" s="41" t="n">
        <f aca="false">IF(ISNUMBER(M146),IF(ISNUMBER(M147),M147-M146,999999),0)</f>
        <v>0</v>
      </c>
      <c r="N148" s="41" t="n">
        <f aca="false">IF(ISNUMBER(N146),IF(ISNUMBER(N147),N147-N146,999999),0)</f>
        <v>0</v>
      </c>
      <c r="O148" s="41" t="n">
        <f aca="false">IF(ISNUMBER(O146),IF(ISNUMBER(O147),O147-O146,999999),0)</f>
        <v>0</v>
      </c>
      <c r="P148" s="41" t="n">
        <f aca="false">IF(ISNUMBER(P146),IF(ISNUMBER(P147),P147-P146,999999),0)</f>
        <v>0</v>
      </c>
      <c r="Q148" s="41" t="n">
        <f aca="false">IF(ISNUMBER(Q146),IF(ISNUMBER(Q147),Q147-Q146,999999),0)</f>
        <v>0</v>
      </c>
      <c r="R148" s="41" t="n">
        <f aca="false">IF(ISNUMBER(R146),IF(ISNUMBER(R147),R147-R146,999999),0)</f>
        <v>0</v>
      </c>
      <c r="S148" s="41" t="n">
        <f aca="false">IF(ISNUMBER(S146),IF(ISNUMBER(S147),S147-S146,999999),0)</f>
        <v>0</v>
      </c>
      <c r="T148" s="41" t="n">
        <f aca="false">IF(ISNUMBER(T146),IF(ISNUMBER(T147),T147-T146,999999),0)</f>
        <v>0</v>
      </c>
      <c r="U148" s="41" t="n">
        <f aca="false">IF(ISNUMBER(U146),IF(ISNUMBER(U147),U147-U146,999999),0)</f>
        <v>0</v>
      </c>
      <c r="V148" s="41" t="n">
        <f aca="false">IF(ISNUMBER(V146),IF(ISNUMBER(V147),V147-V146,999999),0)</f>
        <v>0</v>
      </c>
      <c r="W148" s="41" t="n">
        <f aca="false">IF(ISNUMBER(W146),IF(ISNUMBER(W147),W147-W146,999999),0)</f>
        <v>0</v>
      </c>
      <c r="X148" s="41" t="n">
        <f aca="false">IF(ISNUMBER(X146),IF(ISNUMBER(X147),X147-X146,999999),0)</f>
        <v>0</v>
      </c>
      <c r="Y148" s="41" t="n">
        <f aca="false">IF(ISNUMBER(Y146),IF(ISNUMBER(Y147),Y147-Y146,999999),0)</f>
        <v>0</v>
      </c>
      <c r="Z148" s="41" t="n">
        <f aca="false">IF(ISNUMBER(Z146),IF(ISNUMBER(Z147),Z147-Z146,999999),0)</f>
        <v>0</v>
      </c>
      <c r="AA148" s="41" t="n">
        <f aca="false">IF(ISNUMBER(AA146),IF(ISNUMBER(AA147),AA147-AA146,999999),0)</f>
        <v>0</v>
      </c>
      <c r="AB148" s="41" t="n">
        <f aca="false">IF(ISNUMBER(AB146),IF(ISNUMBER(AB147),AB147-AB146,999999),0)</f>
        <v>0</v>
      </c>
      <c r="AC148" s="41" t="n">
        <f aca="false">IF(ISNUMBER(AC146),IF(ISNUMBER(AC147),AC147-AC146,999999),0)</f>
        <v>0</v>
      </c>
      <c r="AD148" s="41" t="n">
        <f aca="false">IF(ISNUMBER(AD146),IF(ISNUMBER(AD147),AD147-AD146,999999),0)</f>
        <v>0</v>
      </c>
      <c r="AE148" s="41" t="n">
        <f aca="false">IF(ISNUMBER(AE146),IF(ISNUMBER(AE147),AE147-AE146,999999),0)</f>
        <v>0</v>
      </c>
    </row>
    <row r="150" customFormat="false" ht="15" hidden="false" customHeight="false" outlineLevel="0" collapsed="false">
      <c r="A150" s="35" t="s">
        <v>1203</v>
      </c>
      <c r="B150" s="6" t="s">
        <v>53</v>
      </c>
      <c r="C150" s="6" t="s">
        <v>47</v>
      </c>
      <c r="D150" s="6" t="n">
        <v>2</v>
      </c>
      <c r="E150" s="6" t="s">
        <v>1165</v>
      </c>
      <c r="K150" s="29"/>
      <c r="L150" s="29" t="n">
        <v>232.657354770131</v>
      </c>
      <c r="M150" s="29" t="n">
        <v>189.452656106887</v>
      </c>
      <c r="N150" s="29" t="n">
        <v>217.728838709141</v>
      </c>
      <c r="O150" s="29" t="n">
        <v>237.897930150489</v>
      </c>
      <c r="P150" s="29" t="n">
        <v>232.650069031245</v>
      </c>
      <c r="Q150" s="29" t="n">
        <v>218.618471368115</v>
      </c>
      <c r="R150" s="29" t="n">
        <v>210.284986903496</v>
      </c>
      <c r="S150" s="29" t="n">
        <v>203.146439638976</v>
      </c>
      <c r="T150" s="29" t="n">
        <v>196.842308863218</v>
      </c>
      <c r="U150" s="29" t="n">
        <v>191.39075749538</v>
      </c>
      <c r="V150" s="29" t="n">
        <v>186.217881149257</v>
      </c>
      <c r="W150" s="29" t="n">
        <v>181.780087995083</v>
      </c>
      <c r="X150" s="29" t="n">
        <v>177.973491872085</v>
      </c>
      <c r="Y150" s="29" t="n">
        <v>174.726352563084</v>
      </c>
      <c r="Z150" s="29" t="n">
        <v>171.999286703688</v>
      </c>
      <c r="AA150" s="29" t="n">
        <v>169.743912191121</v>
      </c>
      <c r="AB150" s="29" t="n">
        <v>167.914656525018</v>
      </c>
      <c r="AC150" s="29" t="n">
        <v>166.456009647827</v>
      </c>
      <c r="AD150" s="29" t="n">
        <v>165.321234711665</v>
      </c>
      <c r="AE150" s="29" t="n">
        <v>164.473168735152</v>
      </c>
    </row>
    <row r="151" customFormat="false" ht="15" hidden="false" customHeight="false" outlineLevel="0" collapsed="false">
      <c r="A151" s="35" t="s">
        <v>1203</v>
      </c>
      <c r="B151" s="6" t="s">
        <v>53</v>
      </c>
      <c r="C151" s="6" t="s">
        <v>47</v>
      </c>
      <c r="D151" s="6" t="n">
        <v>2</v>
      </c>
      <c r="E151" s="6" t="s">
        <v>1166</v>
      </c>
      <c r="K151" s="29" t="n">
        <f aca="false">INDEX(Mitigation_Industry!K:K,MATCH($A151,Mitigation_Industry!$H:$H,0))</f>
        <v>0</v>
      </c>
      <c r="L151" s="29" t="n">
        <f aca="false">INDEX(Mitigation_Industry!L:L,MATCH($A151,Mitigation_Industry!$H:$H,0))</f>
        <v>232.657354770131</v>
      </c>
      <c r="M151" s="29" t="n">
        <f aca="false">INDEX(Mitigation_Industry!M:M,MATCH($A151,Mitigation_Industry!$H:$H,0))</f>
        <v>189.452656106887</v>
      </c>
      <c r="N151" s="29" t="n">
        <f aca="false">INDEX(Mitigation_Industry!N:N,MATCH($A151,Mitigation_Industry!$H:$H,0))</f>
        <v>217.728838709141</v>
      </c>
      <c r="O151" s="29" t="n">
        <f aca="false">INDEX(Mitigation_Industry!O:O,MATCH($A151,Mitigation_Industry!$H:$H,0))</f>
        <v>237.897930150489</v>
      </c>
      <c r="P151" s="29" t="n">
        <f aca="false">INDEX(Mitigation_Industry!P:P,MATCH($A151,Mitigation_Industry!$H:$H,0))</f>
        <v>232.650069031245</v>
      </c>
      <c r="Q151" s="29" t="n">
        <f aca="false">INDEX(Mitigation_Industry!Q:Q,MATCH($A151,Mitigation_Industry!$H:$H,0))</f>
        <v>218.618471368115</v>
      </c>
      <c r="R151" s="29" t="n">
        <f aca="false">INDEX(Mitigation_Industry!R:R,MATCH($A151,Mitigation_Industry!$H:$H,0))</f>
        <v>210.284986903495</v>
      </c>
      <c r="S151" s="29" t="n">
        <f aca="false">INDEX(Mitigation_Industry!S:S,MATCH($A151,Mitigation_Industry!$H:$H,0))</f>
        <v>203.146439638976</v>
      </c>
      <c r="T151" s="29" t="n">
        <f aca="false">INDEX(Mitigation_Industry!T:T,MATCH($A151,Mitigation_Industry!$H:$H,0))</f>
        <v>196.842308863218</v>
      </c>
      <c r="U151" s="29" t="n">
        <f aca="false">INDEX(Mitigation_Industry!U:U,MATCH($A151,Mitigation_Industry!$H:$H,0))</f>
        <v>191.39075749538</v>
      </c>
      <c r="V151" s="29" t="n">
        <f aca="false">INDEX(Mitigation_Industry!V:V,MATCH($A151,Mitigation_Industry!$H:$H,0))</f>
        <v>186.217881149256</v>
      </c>
      <c r="W151" s="29" t="n">
        <f aca="false">INDEX(Mitigation_Industry!W:W,MATCH($A151,Mitigation_Industry!$H:$H,0))</f>
        <v>181.780087995083</v>
      </c>
      <c r="X151" s="29" t="n">
        <f aca="false">INDEX(Mitigation_Industry!X:X,MATCH($A151,Mitigation_Industry!$H:$H,0))</f>
        <v>177.973491872085</v>
      </c>
      <c r="Y151" s="29" t="n">
        <f aca="false">INDEX(Mitigation_Industry!Y:Y,MATCH($A151,Mitigation_Industry!$H:$H,0))</f>
        <v>174.726352563084</v>
      </c>
      <c r="Z151" s="29" t="n">
        <f aca="false">INDEX(Mitigation_Industry!Z:Z,MATCH($A151,Mitigation_Industry!$H:$H,0))</f>
        <v>171.999286703688</v>
      </c>
      <c r="AA151" s="29" t="n">
        <f aca="false">INDEX(Mitigation_Industry!AA:AA,MATCH($A151,Mitigation_Industry!$H:$H,0))</f>
        <v>169.743912191121</v>
      </c>
      <c r="AB151" s="29" t="n">
        <f aca="false">INDEX(Mitigation_Industry!AB:AB,MATCH($A151,Mitigation_Industry!$H:$H,0))</f>
        <v>167.914656525018</v>
      </c>
      <c r="AC151" s="29" t="n">
        <f aca="false">INDEX(Mitigation_Industry!AC:AC,MATCH($A151,Mitigation_Industry!$H:$H,0))</f>
        <v>166.456009647827</v>
      </c>
      <c r="AD151" s="29" t="n">
        <f aca="false">INDEX(Mitigation_Industry!AD:AD,MATCH($A151,Mitigation_Industry!$H:$H,0))</f>
        <v>165.321234711665</v>
      </c>
      <c r="AE151" s="29" t="n">
        <f aca="false">INDEX(Mitigation_Industry!AE:AE,MATCH($A151,Mitigation_Industry!$H:$H,0))</f>
        <v>164.473168735151</v>
      </c>
    </row>
    <row r="152" customFormat="false" ht="15" hidden="false" customHeight="false" outlineLevel="0" collapsed="false">
      <c r="A152" s="35" t="s">
        <v>1203</v>
      </c>
      <c r="B152" s="6" t="s">
        <v>53</v>
      </c>
      <c r="C152" s="6" t="s">
        <v>47</v>
      </c>
      <c r="D152" s="6" t="n">
        <v>2</v>
      </c>
      <c r="E152" s="2" t="s">
        <v>1167</v>
      </c>
      <c r="F152" s="40" t="n">
        <f aca="false">MAX(MAX(L152:AE152),-MIN(L152:AE152))</f>
        <v>-0</v>
      </c>
      <c r="K152" s="41" t="n">
        <f aca="false">IF(ISNUMBER(K150),IF(ISNUMBER(K151),K151-K150,999999),0)</f>
        <v>0</v>
      </c>
      <c r="L152" s="41" t="n">
        <f aca="false">IF(ISNUMBER(L150),IF(ISNUMBER(L151),L151-L150,999999),0)</f>
        <v>0</v>
      </c>
      <c r="M152" s="41" t="n">
        <f aca="false">IF(ISNUMBER(M150),IF(ISNUMBER(M151),M151-M150,999999),0)</f>
        <v>0</v>
      </c>
      <c r="N152" s="41" t="n">
        <f aca="false">IF(ISNUMBER(N150),IF(ISNUMBER(N151),N151-N150,999999),0)</f>
        <v>0</v>
      </c>
      <c r="O152" s="41" t="n">
        <f aca="false">IF(ISNUMBER(O150),IF(ISNUMBER(O151),O151-O150,999999),0)</f>
        <v>0</v>
      </c>
      <c r="P152" s="41" t="n">
        <f aca="false">IF(ISNUMBER(P150),IF(ISNUMBER(P151),P151-P150,999999),0)</f>
        <v>0</v>
      </c>
      <c r="Q152" s="41" t="n">
        <f aca="false">IF(ISNUMBER(Q150),IF(ISNUMBER(Q151),Q151-Q150,999999),0)</f>
        <v>0</v>
      </c>
      <c r="R152" s="41" t="n">
        <f aca="false">IF(ISNUMBER(R150),IF(ISNUMBER(R151),R151-R150,999999),0)</f>
        <v>0</v>
      </c>
      <c r="S152" s="41" t="n">
        <f aca="false">IF(ISNUMBER(S150),IF(ISNUMBER(S151),S151-S150,999999),0)</f>
        <v>0</v>
      </c>
      <c r="T152" s="41" t="n">
        <f aca="false">IF(ISNUMBER(T150),IF(ISNUMBER(T151),T151-T150,999999),0)</f>
        <v>0</v>
      </c>
      <c r="U152" s="41" t="n">
        <f aca="false">IF(ISNUMBER(U150),IF(ISNUMBER(U151),U151-U150,999999),0)</f>
        <v>0</v>
      </c>
      <c r="V152" s="41" t="n">
        <f aca="false">IF(ISNUMBER(V150),IF(ISNUMBER(V151),V151-V150,999999),0)</f>
        <v>0</v>
      </c>
      <c r="W152" s="41" t="n">
        <f aca="false">IF(ISNUMBER(W150),IF(ISNUMBER(W151),W151-W150,999999),0)</f>
        <v>0</v>
      </c>
      <c r="X152" s="41" t="n">
        <f aca="false">IF(ISNUMBER(X150),IF(ISNUMBER(X151),X151-X150,999999),0)</f>
        <v>0</v>
      </c>
      <c r="Y152" s="41" t="n">
        <f aca="false">IF(ISNUMBER(Y150),IF(ISNUMBER(Y151),Y151-Y150,999999),0)</f>
        <v>0</v>
      </c>
      <c r="Z152" s="41" t="n">
        <f aca="false">IF(ISNUMBER(Z150),IF(ISNUMBER(Z151),Z151-Z150,999999),0)</f>
        <v>0</v>
      </c>
      <c r="AA152" s="41" t="n">
        <f aca="false">IF(ISNUMBER(AA150),IF(ISNUMBER(AA151),AA151-AA150,999999),0)</f>
        <v>0</v>
      </c>
      <c r="AB152" s="41" t="n">
        <f aca="false">IF(ISNUMBER(AB150),IF(ISNUMBER(AB151),AB151-AB150,999999),0)</f>
        <v>0</v>
      </c>
      <c r="AC152" s="41" t="n">
        <f aca="false">IF(ISNUMBER(AC150),IF(ISNUMBER(AC151),AC151-AC150,999999),0)</f>
        <v>0</v>
      </c>
      <c r="AD152" s="41" t="n">
        <f aca="false">IF(ISNUMBER(AD150),IF(ISNUMBER(AD151),AD151-AD150,999999),0)</f>
        <v>0</v>
      </c>
      <c r="AE152" s="41" t="n">
        <f aca="false">IF(ISNUMBER(AE150),IF(ISNUMBER(AE151),AE151-AE150,999999),0)</f>
        <v>0</v>
      </c>
    </row>
    <row r="154" customFormat="false" ht="15" hidden="false" customHeight="false" outlineLevel="0" collapsed="false">
      <c r="A154" s="35" t="s">
        <v>1204</v>
      </c>
      <c r="B154" s="6" t="s">
        <v>57</v>
      </c>
      <c r="C154" s="6" t="s">
        <v>47</v>
      </c>
      <c r="D154" s="6" t="n">
        <v>2</v>
      </c>
      <c r="E154" s="6" t="s">
        <v>1165</v>
      </c>
      <c r="K154" s="29"/>
      <c r="L154" s="29" t="n">
        <v>1669.05671904213</v>
      </c>
      <c r="M154" s="29" t="n">
        <v>1431.77752088248</v>
      </c>
      <c r="N154" s="29" t="n">
        <v>1603.11808152123</v>
      </c>
      <c r="O154" s="29" t="n">
        <v>1666.46910747486</v>
      </c>
      <c r="P154" s="29" t="n">
        <v>1729.05195222199</v>
      </c>
      <c r="Q154" s="29" t="n">
        <v>1637.78632580039</v>
      </c>
      <c r="R154" s="29" t="n">
        <v>1578.66423029268</v>
      </c>
      <c r="S154" s="29" t="n">
        <v>1529.18642645785</v>
      </c>
      <c r="T154" s="29" t="n">
        <v>1485.54624416421</v>
      </c>
      <c r="U154" s="29" t="n">
        <v>1450.07735137627</v>
      </c>
      <c r="V154" s="29" t="n">
        <v>1421.68890759584</v>
      </c>
      <c r="W154" s="29" t="n">
        <v>1399.58115789727</v>
      </c>
      <c r="X154" s="29" t="n">
        <v>1383.05404578153</v>
      </c>
      <c r="Y154" s="29" t="n">
        <v>1371.7254363433</v>
      </c>
      <c r="Z154" s="29" t="n">
        <v>1365.59511084898</v>
      </c>
      <c r="AA154" s="29" t="n">
        <v>1364.43418952399</v>
      </c>
      <c r="AB154" s="29" t="n">
        <v>1367.98635270479</v>
      </c>
      <c r="AC154" s="29" t="n">
        <v>1375.77030004243</v>
      </c>
      <c r="AD154" s="29" t="n">
        <v>1387.3865840128</v>
      </c>
      <c r="AE154" s="29" t="n">
        <v>1402.5434936424</v>
      </c>
    </row>
    <row r="155" customFormat="false" ht="15" hidden="false" customHeight="false" outlineLevel="0" collapsed="false">
      <c r="A155" s="35" t="s">
        <v>1204</v>
      </c>
      <c r="B155" s="6" t="s">
        <v>57</v>
      </c>
      <c r="C155" s="6" t="s">
        <v>47</v>
      </c>
      <c r="D155" s="6" t="n">
        <v>2</v>
      </c>
      <c r="E155" s="6" t="s">
        <v>1166</v>
      </c>
      <c r="K155" s="29" t="n">
        <f aca="false">INDEX(Mitigation_Industry!K:K,MATCH($A155,Mitigation_Industry!$H:$H,0))</f>
        <v>0</v>
      </c>
      <c r="L155" s="29" t="n">
        <f aca="false">INDEX(Mitigation_Industry!L:L,MATCH($A155,Mitigation_Industry!$H:$H,0))</f>
        <v>1669.05671904213</v>
      </c>
      <c r="M155" s="29" t="n">
        <f aca="false">INDEX(Mitigation_Industry!M:M,MATCH($A155,Mitigation_Industry!$H:$H,0))</f>
        <v>1431.77752088248</v>
      </c>
      <c r="N155" s="29" t="n">
        <f aca="false">INDEX(Mitigation_Industry!N:N,MATCH($A155,Mitigation_Industry!$H:$H,0))</f>
        <v>1603.11808152123</v>
      </c>
      <c r="O155" s="29" t="n">
        <f aca="false">INDEX(Mitigation_Industry!O:O,MATCH($A155,Mitigation_Industry!$H:$H,0))</f>
        <v>1666.46910747486</v>
      </c>
      <c r="P155" s="29" t="n">
        <f aca="false">INDEX(Mitigation_Industry!P:P,MATCH($A155,Mitigation_Industry!$H:$H,0))</f>
        <v>1729.05195222199</v>
      </c>
      <c r="Q155" s="29" t="n">
        <f aca="false">INDEX(Mitigation_Industry!Q:Q,MATCH($A155,Mitigation_Industry!$H:$H,0))</f>
        <v>1637.78632580039</v>
      </c>
      <c r="R155" s="29" t="n">
        <f aca="false">INDEX(Mitigation_Industry!R:R,MATCH($A155,Mitigation_Industry!$H:$H,0))</f>
        <v>1578.66423029268</v>
      </c>
      <c r="S155" s="29" t="n">
        <f aca="false">INDEX(Mitigation_Industry!S:S,MATCH($A155,Mitigation_Industry!$H:$H,0))</f>
        <v>1529.18642645785</v>
      </c>
      <c r="T155" s="29" t="n">
        <f aca="false">INDEX(Mitigation_Industry!T:T,MATCH($A155,Mitigation_Industry!$H:$H,0))</f>
        <v>1485.54624416421</v>
      </c>
      <c r="U155" s="29" t="n">
        <f aca="false">INDEX(Mitigation_Industry!U:U,MATCH($A155,Mitigation_Industry!$H:$H,0))</f>
        <v>1450.07735137627</v>
      </c>
      <c r="V155" s="29" t="n">
        <f aca="false">INDEX(Mitigation_Industry!V:V,MATCH($A155,Mitigation_Industry!$H:$H,0))</f>
        <v>1421.68890759584</v>
      </c>
      <c r="W155" s="29" t="n">
        <f aca="false">INDEX(Mitigation_Industry!W:W,MATCH($A155,Mitigation_Industry!$H:$H,0))</f>
        <v>1399.58115789727</v>
      </c>
      <c r="X155" s="29" t="n">
        <f aca="false">INDEX(Mitigation_Industry!X:X,MATCH($A155,Mitigation_Industry!$H:$H,0))</f>
        <v>1383.05404578153</v>
      </c>
      <c r="Y155" s="29" t="n">
        <f aca="false">INDEX(Mitigation_Industry!Y:Y,MATCH($A155,Mitigation_Industry!$H:$H,0))</f>
        <v>1371.7254363433</v>
      </c>
      <c r="Z155" s="29" t="n">
        <f aca="false">INDEX(Mitigation_Industry!Z:Z,MATCH($A155,Mitigation_Industry!$H:$H,0))</f>
        <v>1365.59511084898</v>
      </c>
      <c r="AA155" s="29" t="n">
        <f aca="false">INDEX(Mitigation_Industry!AA:AA,MATCH($A155,Mitigation_Industry!$H:$H,0))</f>
        <v>1364.43418952399</v>
      </c>
      <c r="AB155" s="29" t="n">
        <f aca="false">INDEX(Mitigation_Industry!AB:AB,MATCH($A155,Mitigation_Industry!$H:$H,0))</f>
        <v>1367.98635270479</v>
      </c>
      <c r="AC155" s="29" t="n">
        <f aca="false">INDEX(Mitigation_Industry!AC:AC,MATCH($A155,Mitigation_Industry!$H:$H,0))</f>
        <v>1375.77030004243</v>
      </c>
      <c r="AD155" s="29" t="n">
        <f aca="false">INDEX(Mitigation_Industry!AD:AD,MATCH($A155,Mitigation_Industry!$H:$H,0))</f>
        <v>1387.3865840128</v>
      </c>
      <c r="AE155" s="29" t="n">
        <f aca="false">INDEX(Mitigation_Industry!AE:AE,MATCH($A155,Mitigation_Industry!$H:$H,0))</f>
        <v>1402.5434936424</v>
      </c>
    </row>
    <row r="156" customFormat="false" ht="15" hidden="false" customHeight="false" outlineLevel="0" collapsed="false">
      <c r="A156" s="35" t="s">
        <v>1204</v>
      </c>
      <c r="B156" s="6" t="s">
        <v>57</v>
      </c>
      <c r="C156" s="6" t="s">
        <v>47</v>
      </c>
      <c r="D156" s="6" t="n">
        <v>2</v>
      </c>
      <c r="E156" s="2" t="s">
        <v>1167</v>
      </c>
      <c r="F156" s="40" t="n">
        <f aca="false">MAX(MAX(L156:AE156),-MIN(L156:AE156))</f>
        <v>-0</v>
      </c>
      <c r="K156" s="41" t="n">
        <f aca="false">IF(ISNUMBER(K154),IF(ISNUMBER(K155),K155-K154,999999),0)</f>
        <v>0</v>
      </c>
      <c r="L156" s="41" t="n">
        <f aca="false">IF(ISNUMBER(L154),IF(ISNUMBER(L155),L155-L154,999999),0)</f>
        <v>0</v>
      </c>
      <c r="M156" s="41" t="n">
        <f aca="false">IF(ISNUMBER(M154),IF(ISNUMBER(M155),M155-M154,999999),0)</f>
        <v>0</v>
      </c>
      <c r="N156" s="41" t="n">
        <f aca="false">IF(ISNUMBER(N154),IF(ISNUMBER(N155),N155-N154,999999),0)</f>
        <v>0</v>
      </c>
      <c r="O156" s="41" t="n">
        <f aca="false">IF(ISNUMBER(O154),IF(ISNUMBER(O155),O155-O154,999999),0)</f>
        <v>0</v>
      </c>
      <c r="P156" s="41" t="n">
        <f aca="false">IF(ISNUMBER(P154),IF(ISNUMBER(P155),P155-P154,999999),0)</f>
        <v>0</v>
      </c>
      <c r="Q156" s="41" t="n">
        <f aca="false">IF(ISNUMBER(Q154),IF(ISNUMBER(Q155),Q155-Q154,999999),0)</f>
        <v>0</v>
      </c>
      <c r="R156" s="41" t="n">
        <f aca="false">IF(ISNUMBER(R154),IF(ISNUMBER(R155),R155-R154,999999),0)</f>
        <v>0</v>
      </c>
      <c r="S156" s="41" t="n">
        <f aca="false">IF(ISNUMBER(S154),IF(ISNUMBER(S155),S155-S154,999999),0)</f>
        <v>0</v>
      </c>
      <c r="T156" s="41" t="n">
        <f aca="false">IF(ISNUMBER(T154),IF(ISNUMBER(T155),T155-T154,999999),0)</f>
        <v>0</v>
      </c>
      <c r="U156" s="41" t="n">
        <f aca="false">IF(ISNUMBER(U154),IF(ISNUMBER(U155),U155-U154,999999),0)</f>
        <v>0</v>
      </c>
      <c r="V156" s="41" t="n">
        <f aca="false">IF(ISNUMBER(V154),IF(ISNUMBER(V155),V155-V154,999999),0)</f>
        <v>0</v>
      </c>
      <c r="W156" s="41" t="n">
        <f aca="false">IF(ISNUMBER(W154),IF(ISNUMBER(W155),W155-W154,999999),0)</f>
        <v>0</v>
      </c>
      <c r="X156" s="41" t="n">
        <f aca="false">IF(ISNUMBER(X154),IF(ISNUMBER(X155),X155-X154,999999),0)</f>
        <v>0</v>
      </c>
      <c r="Y156" s="41" t="n">
        <f aca="false">IF(ISNUMBER(Y154),IF(ISNUMBER(Y155),Y155-Y154,999999),0)</f>
        <v>0</v>
      </c>
      <c r="Z156" s="41" t="n">
        <f aca="false">IF(ISNUMBER(Z154),IF(ISNUMBER(Z155),Z155-Z154,999999),0)</f>
        <v>0</v>
      </c>
      <c r="AA156" s="41" t="n">
        <f aca="false">IF(ISNUMBER(AA154),IF(ISNUMBER(AA155),AA155-AA154,999999),0)</f>
        <v>0</v>
      </c>
      <c r="AB156" s="41" t="n">
        <f aca="false">IF(ISNUMBER(AB154),IF(ISNUMBER(AB155),AB155-AB154,999999),0)</f>
        <v>0</v>
      </c>
      <c r="AC156" s="41" t="n">
        <f aca="false">IF(ISNUMBER(AC154),IF(ISNUMBER(AC155),AC155-AC154,999999),0)</f>
        <v>0</v>
      </c>
      <c r="AD156" s="41" t="n">
        <f aca="false">IF(ISNUMBER(AD154),IF(ISNUMBER(AD155),AD155-AD154,999999),0)</f>
        <v>0</v>
      </c>
      <c r="AE156" s="41" t="n">
        <f aca="false">IF(ISNUMBER(AE154),IF(ISNUMBER(AE155),AE155-AE154,999999),0)</f>
        <v>0</v>
      </c>
    </row>
    <row r="158" customFormat="false" ht="15" hidden="false" customHeight="false" outlineLevel="0" collapsed="false">
      <c r="A158" s="35" t="s">
        <v>1205</v>
      </c>
      <c r="B158" s="6" t="s">
        <v>59</v>
      </c>
      <c r="C158" s="6" t="s">
        <v>47</v>
      </c>
      <c r="D158" s="6" t="n">
        <v>2</v>
      </c>
      <c r="E158" s="6" t="s">
        <v>1165</v>
      </c>
      <c r="K158" s="29"/>
      <c r="L158" s="29" t="n">
        <v>0</v>
      </c>
      <c r="M158" s="29" t="n">
        <v>0</v>
      </c>
      <c r="N158" s="29" t="n">
        <v>0</v>
      </c>
      <c r="O158" s="29" t="n">
        <v>0</v>
      </c>
      <c r="P158" s="29" t="n">
        <v>0</v>
      </c>
      <c r="Q158" s="29" t="n">
        <v>0</v>
      </c>
      <c r="R158" s="29" t="n">
        <v>0</v>
      </c>
      <c r="S158" s="29" t="n">
        <v>0</v>
      </c>
      <c r="T158" s="29" t="n">
        <v>0</v>
      </c>
      <c r="U158" s="29" t="n">
        <v>0</v>
      </c>
      <c r="V158" s="29" t="n">
        <v>0</v>
      </c>
      <c r="W158" s="29" t="n">
        <v>0</v>
      </c>
      <c r="X158" s="29" t="n">
        <v>0</v>
      </c>
      <c r="Y158" s="29" t="n">
        <v>0</v>
      </c>
      <c r="Z158" s="29" t="n">
        <v>0</v>
      </c>
      <c r="AA158" s="29" t="n">
        <v>0</v>
      </c>
      <c r="AB158" s="29" t="n">
        <v>0</v>
      </c>
      <c r="AC158" s="29" t="n">
        <v>0</v>
      </c>
      <c r="AD158" s="29" t="n">
        <v>0</v>
      </c>
      <c r="AE158" s="29" t="n">
        <v>0</v>
      </c>
    </row>
    <row r="159" customFormat="false" ht="15" hidden="false" customHeight="false" outlineLevel="0" collapsed="false">
      <c r="A159" s="35" t="s">
        <v>1205</v>
      </c>
      <c r="B159" s="6" t="s">
        <v>59</v>
      </c>
      <c r="C159" s="6" t="s">
        <v>47</v>
      </c>
      <c r="D159" s="6" t="n">
        <v>2</v>
      </c>
      <c r="E159" s="6" t="s">
        <v>1166</v>
      </c>
      <c r="K159" s="29" t="n">
        <f aca="false">INDEX(Mitigation_Industry!K:K,MATCH($A159,Mitigation_Industry!$H:$H,0))</f>
        <v>0</v>
      </c>
      <c r="L159" s="29" t="n">
        <f aca="false">INDEX(Mitigation_Industry!L:L,MATCH($A159,Mitigation_Industry!$H:$H,0))</f>
        <v>0</v>
      </c>
      <c r="M159" s="29" t="n">
        <f aca="false">INDEX(Mitigation_Industry!M:M,MATCH($A159,Mitigation_Industry!$H:$H,0))</f>
        <v>0</v>
      </c>
      <c r="N159" s="29" t="n">
        <f aca="false">INDEX(Mitigation_Industry!N:N,MATCH($A159,Mitigation_Industry!$H:$H,0))</f>
        <v>0</v>
      </c>
      <c r="O159" s="29" t="n">
        <f aca="false">INDEX(Mitigation_Industry!O:O,MATCH($A159,Mitigation_Industry!$H:$H,0))</f>
        <v>0</v>
      </c>
      <c r="P159" s="29" t="n">
        <f aca="false">INDEX(Mitigation_Industry!P:P,MATCH($A159,Mitigation_Industry!$H:$H,0))</f>
        <v>0</v>
      </c>
      <c r="Q159" s="29" t="n">
        <f aca="false">INDEX(Mitigation_Industry!Q:Q,MATCH($A159,Mitigation_Industry!$H:$H,0))</f>
        <v>0</v>
      </c>
      <c r="R159" s="29" t="n">
        <f aca="false">INDEX(Mitigation_Industry!R:R,MATCH($A159,Mitigation_Industry!$H:$H,0))</f>
        <v>0</v>
      </c>
      <c r="S159" s="29" t="n">
        <f aca="false">INDEX(Mitigation_Industry!S:S,MATCH($A159,Mitigation_Industry!$H:$H,0))</f>
        <v>0</v>
      </c>
      <c r="T159" s="29" t="n">
        <f aca="false">INDEX(Mitigation_Industry!T:T,MATCH($A159,Mitigation_Industry!$H:$H,0))</f>
        <v>0</v>
      </c>
      <c r="U159" s="29" t="n">
        <f aca="false">INDEX(Mitigation_Industry!U:U,MATCH($A159,Mitigation_Industry!$H:$H,0))</f>
        <v>0</v>
      </c>
      <c r="V159" s="29" t="n">
        <f aca="false">INDEX(Mitigation_Industry!V:V,MATCH($A159,Mitigation_Industry!$H:$H,0))</f>
        <v>0</v>
      </c>
      <c r="W159" s="29" t="n">
        <f aca="false">INDEX(Mitigation_Industry!W:W,MATCH($A159,Mitigation_Industry!$H:$H,0))</f>
        <v>0</v>
      </c>
      <c r="X159" s="29" t="n">
        <f aca="false">INDEX(Mitigation_Industry!X:X,MATCH($A159,Mitigation_Industry!$H:$H,0))</f>
        <v>0</v>
      </c>
      <c r="Y159" s="29" t="n">
        <f aca="false">INDEX(Mitigation_Industry!Y:Y,MATCH($A159,Mitigation_Industry!$H:$H,0))</f>
        <v>0</v>
      </c>
      <c r="Z159" s="29" t="n">
        <f aca="false">INDEX(Mitigation_Industry!Z:Z,MATCH($A159,Mitigation_Industry!$H:$H,0))</f>
        <v>0</v>
      </c>
      <c r="AA159" s="29" t="n">
        <f aca="false">INDEX(Mitigation_Industry!AA:AA,MATCH($A159,Mitigation_Industry!$H:$H,0))</f>
        <v>0</v>
      </c>
      <c r="AB159" s="29" t="n">
        <f aca="false">INDEX(Mitigation_Industry!AB:AB,MATCH($A159,Mitigation_Industry!$H:$H,0))</f>
        <v>0</v>
      </c>
      <c r="AC159" s="29" t="n">
        <f aca="false">INDEX(Mitigation_Industry!AC:AC,MATCH($A159,Mitigation_Industry!$H:$H,0))</f>
        <v>0</v>
      </c>
      <c r="AD159" s="29" t="n">
        <f aca="false">INDEX(Mitigation_Industry!AD:AD,MATCH($A159,Mitigation_Industry!$H:$H,0))</f>
        <v>0</v>
      </c>
      <c r="AE159" s="29" t="n">
        <f aca="false">INDEX(Mitigation_Industry!AE:AE,MATCH($A159,Mitigation_Industry!$H:$H,0))</f>
        <v>0</v>
      </c>
    </row>
    <row r="160" customFormat="false" ht="15" hidden="false" customHeight="false" outlineLevel="0" collapsed="false">
      <c r="A160" s="35" t="s">
        <v>1205</v>
      </c>
      <c r="B160" s="6" t="s">
        <v>59</v>
      </c>
      <c r="C160" s="6" t="s">
        <v>47</v>
      </c>
      <c r="D160" s="6" t="n">
        <v>2</v>
      </c>
      <c r="E160" s="2" t="s">
        <v>1167</v>
      </c>
      <c r="F160" s="40" t="n">
        <f aca="false">MAX(MAX(L160:AE160),-MIN(L160:AE160))</f>
        <v>-0</v>
      </c>
      <c r="K160" s="41" t="n">
        <f aca="false">IF(ISNUMBER(K158),IF(ISNUMBER(K159),K159-K158,999999),0)</f>
        <v>0</v>
      </c>
      <c r="L160" s="41" t="n">
        <f aca="false">IF(ISNUMBER(L158),IF(ISNUMBER(L159),L159-L158,999999),0)</f>
        <v>0</v>
      </c>
      <c r="M160" s="41" t="n">
        <f aca="false">IF(ISNUMBER(M158),IF(ISNUMBER(M159),M159-M158,999999),0)</f>
        <v>0</v>
      </c>
      <c r="N160" s="41" t="n">
        <f aca="false">IF(ISNUMBER(N158),IF(ISNUMBER(N159),N159-N158,999999),0)</f>
        <v>0</v>
      </c>
      <c r="O160" s="41" t="n">
        <f aca="false">IF(ISNUMBER(O158),IF(ISNUMBER(O159),O159-O158,999999),0)</f>
        <v>0</v>
      </c>
      <c r="P160" s="41" t="n">
        <f aca="false">IF(ISNUMBER(P158),IF(ISNUMBER(P159),P159-P158,999999),0)</f>
        <v>0</v>
      </c>
      <c r="Q160" s="41" t="n">
        <f aca="false">IF(ISNUMBER(Q158),IF(ISNUMBER(Q159),Q159-Q158,999999),0)</f>
        <v>0</v>
      </c>
      <c r="R160" s="41" t="n">
        <f aca="false">IF(ISNUMBER(R158),IF(ISNUMBER(R159),R159-R158,999999),0)</f>
        <v>0</v>
      </c>
      <c r="S160" s="41" t="n">
        <f aca="false">IF(ISNUMBER(S158),IF(ISNUMBER(S159),S159-S158,999999),0)</f>
        <v>0</v>
      </c>
      <c r="T160" s="41" t="n">
        <f aca="false">IF(ISNUMBER(T158),IF(ISNUMBER(T159),T159-T158,999999),0)</f>
        <v>0</v>
      </c>
      <c r="U160" s="41" t="n">
        <f aca="false">IF(ISNUMBER(U158),IF(ISNUMBER(U159),U159-U158,999999),0)</f>
        <v>0</v>
      </c>
      <c r="V160" s="41" t="n">
        <f aca="false">IF(ISNUMBER(V158),IF(ISNUMBER(V159),V159-V158,999999),0)</f>
        <v>0</v>
      </c>
      <c r="W160" s="41" t="n">
        <f aca="false">IF(ISNUMBER(W158),IF(ISNUMBER(W159),W159-W158,999999),0)</f>
        <v>0</v>
      </c>
      <c r="X160" s="41" t="n">
        <f aca="false">IF(ISNUMBER(X158),IF(ISNUMBER(X159),X159-X158,999999),0)</f>
        <v>0</v>
      </c>
      <c r="Y160" s="41" t="n">
        <f aca="false">IF(ISNUMBER(Y158),IF(ISNUMBER(Y159),Y159-Y158,999999),0)</f>
        <v>0</v>
      </c>
      <c r="Z160" s="41" t="n">
        <f aca="false">IF(ISNUMBER(Z158),IF(ISNUMBER(Z159),Z159-Z158,999999),0)</f>
        <v>0</v>
      </c>
      <c r="AA160" s="41" t="n">
        <f aca="false">IF(ISNUMBER(AA158),IF(ISNUMBER(AA159),AA159-AA158,999999),0)</f>
        <v>0</v>
      </c>
      <c r="AB160" s="41" t="n">
        <f aca="false">IF(ISNUMBER(AB158),IF(ISNUMBER(AB159),AB159-AB158,999999),0)</f>
        <v>0</v>
      </c>
      <c r="AC160" s="41" t="n">
        <f aca="false">IF(ISNUMBER(AC158),IF(ISNUMBER(AC159),AC159-AC158,999999),0)</f>
        <v>0</v>
      </c>
      <c r="AD160" s="41" t="n">
        <f aca="false">IF(ISNUMBER(AD158),IF(ISNUMBER(AD159),AD159-AD158,999999),0)</f>
        <v>0</v>
      </c>
      <c r="AE160" s="41" t="n">
        <f aca="false">IF(ISNUMBER(AE158),IF(ISNUMBER(AE159),AE159-AE158,999999),0)</f>
        <v>0</v>
      </c>
    </row>
    <row r="162" customFormat="false" ht="15" hidden="false" customHeight="false" outlineLevel="0" collapsed="false">
      <c r="A162" s="35" t="s">
        <v>1206</v>
      </c>
      <c r="B162" s="6" t="s">
        <v>62</v>
      </c>
      <c r="C162" s="6" t="s">
        <v>47</v>
      </c>
      <c r="D162" s="6" t="n">
        <v>2</v>
      </c>
      <c r="E162" s="6" t="s">
        <v>1165</v>
      </c>
      <c r="K162" s="29"/>
      <c r="L162" s="29" t="n">
        <v>0</v>
      </c>
      <c r="M162" s="29" t="n">
        <v>0</v>
      </c>
      <c r="N162" s="29" t="n">
        <v>0</v>
      </c>
      <c r="O162" s="29" t="n">
        <v>0</v>
      </c>
      <c r="P162" s="29" t="n">
        <v>0</v>
      </c>
      <c r="Q162" s="29" t="n">
        <v>0</v>
      </c>
      <c r="R162" s="29" t="n">
        <v>0</v>
      </c>
      <c r="S162" s="29" t="n">
        <v>0</v>
      </c>
      <c r="T162" s="29" t="n">
        <v>0</v>
      </c>
      <c r="U162" s="29" t="n">
        <v>0</v>
      </c>
      <c r="V162" s="29" t="n">
        <v>0</v>
      </c>
      <c r="W162" s="29" t="n">
        <v>0</v>
      </c>
      <c r="X162" s="29" t="n">
        <v>0</v>
      </c>
      <c r="Y162" s="29" t="n">
        <v>0</v>
      </c>
      <c r="Z162" s="29" t="n">
        <v>0</v>
      </c>
      <c r="AA162" s="29" t="n">
        <v>0</v>
      </c>
      <c r="AB162" s="29" t="n">
        <v>0</v>
      </c>
      <c r="AC162" s="29" t="n">
        <v>0</v>
      </c>
      <c r="AD162" s="29" t="n">
        <v>0</v>
      </c>
      <c r="AE162" s="29" t="n">
        <v>0</v>
      </c>
    </row>
    <row r="163" customFormat="false" ht="15" hidden="false" customHeight="false" outlineLevel="0" collapsed="false">
      <c r="A163" s="35" t="s">
        <v>1206</v>
      </c>
      <c r="B163" s="6" t="s">
        <v>62</v>
      </c>
      <c r="C163" s="6" t="s">
        <v>47</v>
      </c>
      <c r="D163" s="6" t="n">
        <v>2</v>
      </c>
      <c r="E163" s="6" t="s">
        <v>1166</v>
      </c>
      <c r="K163" s="29" t="n">
        <f aca="false">INDEX(Mitigation_Industry!K:K,MATCH($A163,Mitigation_Industry!$H:$H,0))</f>
        <v>0</v>
      </c>
      <c r="L163" s="29" t="n">
        <f aca="false">INDEX(Mitigation_Industry!L:L,MATCH($A163,Mitigation_Industry!$H:$H,0))</f>
        <v>0</v>
      </c>
      <c r="M163" s="29" t="n">
        <f aca="false">INDEX(Mitigation_Industry!M:M,MATCH($A163,Mitigation_Industry!$H:$H,0))</f>
        <v>0</v>
      </c>
      <c r="N163" s="29" t="n">
        <f aca="false">INDEX(Mitigation_Industry!N:N,MATCH($A163,Mitigation_Industry!$H:$H,0))</f>
        <v>0</v>
      </c>
      <c r="O163" s="29" t="n">
        <f aca="false">INDEX(Mitigation_Industry!O:O,MATCH($A163,Mitigation_Industry!$H:$H,0))</f>
        <v>0</v>
      </c>
      <c r="P163" s="29" t="n">
        <f aca="false">INDEX(Mitigation_Industry!P:P,MATCH($A163,Mitigation_Industry!$H:$H,0))</f>
        <v>0</v>
      </c>
      <c r="Q163" s="29" t="n">
        <f aca="false">INDEX(Mitigation_Industry!Q:Q,MATCH($A163,Mitigation_Industry!$H:$H,0))</f>
        <v>0</v>
      </c>
      <c r="R163" s="29" t="n">
        <f aca="false">INDEX(Mitigation_Industry!R:R,MATCH($A163,Mitigation_Industry!$H:$H,0))</f>
        <v>0</v>
      </c>
      <c r="S163" s="29" t="n">
        <f aca="false">INDEX(Mitigation_Industry!S:S,MATCH($A163,Mitigation_Industry!$H:$H,0))</f>
        <v>0</v>
      </c>
      <c r="T163" s="29" t="n">
        <f aca="false">INDEX(Mitigation_Industry!T:T,MATCH($A163,Mitigation_Industry!$H:$H,0))</f>
        <v>0</v>
      </c>
      <c r="U163" s="29" t="n">
        <f aca="false">INDEX(Mitigation_Industry!U:U,MATCH($A163,Mitigation_Industry!$H:$H,0))</f>
        <v>0</v>
      </c>
      <c r="V163" s="29" t="n">
        <f aca="false">INDEX(Mitigation_Industry!V:V,MATCH($A163,Mitigation_Industry!$H:$H,0))</f>
        <v>0</v>
      </c>
      <c r="W163" s="29" t="n">
        <f aca="false">INDEX(Mitigation_Industry!W:W,MATCH($A163,Mitigation_Industry!$H:$H,0))</f>
        <v>0</v>
      </c>
      <c r="X163" s="29" t="n">
        <f aca="false">INDEX(Mitigation_Industry!X:X,MATCH($A163,Mitigation_Industry!$H:$H,0))</f>
        <v>0</v>
      </c>
      <c r="Y163" s="29" t="n">
        <f aca="false">INDEX(Mitigation_Industry!Y:Y,MATCH($A163,Mitigation_Industry!$H:$H,0))</f>
        <v>0</v>
      </c>
      <c r="Z163" s="29" t="n">
        <f aca="false">INDEX(Mitigation_Industry!Z:Z,MATCH($A163,Mitigation_Industry!$H:$H,0))</f>
        <v>0</v>
      </c>
      <c r="AA163" s="29" t="n">
        <f aca="false">INDEX(Mitigation_Industry!AA:AA,MATCH($A163,Mitigation_Industry!$H:$H,0))</f>
        <v>0</v>
      </c>
      <c r="AB163" s="29" t="n">
        <f aca="false">INDEX(Mitigation_Industry!AB:AB,MATCH($A163,Mitigation_Industry!$H:$H,0))</f>
        <v>0</v>
      </c>
      <c r="AC163" s="29" t="n">
        <f aca="false">INDEX(Mitigation_Industry!AC:AC,MATCH($A163,Mitigation_Industry!$H:$H,0))</f>
        <v>0</v>
      </c>
      <c r="AD163" s="29" t="n">
        <f aca="false">INDEX(Mitigation_Industry!AD:AD,MATCH($A163,Mitigation_Industry!$H:$H,0))</f>
        <v>0</v>
      </c>
      <c r="AE163" s="29" t="n">
        <f aca="false">INDEX(Mitigation_Industry!AE:AE,MATCH($A163,Mitigation_Industry!$H:$H,0))</f>
        <v>0</v>
      </c>
    </row>
    <row r="164" customFormat="false" ht="15" hidden="false" customHeight="false" outlineLevel="0" collapsed="false">
      <c r="A164" s="35" t="s">
        <v>1206</v>
      </c>
      <c r="B164" s="6" t="s">
        <v>62</v>
      </c>
      <c r="C164" s="6" t="s">
        <v>47</v>
      </c>
      <c r="D164" s="6" t="n">
        <v>2</v>
      </c>
      <c r="E164" s="2" t="s">
        <v>1167</v>
      </c>
      <c r="F164" s="40" t="n">
        <f aca="false">MAX(MAX(L164:AE164),-MIN(L164:AE164))</f>
        <v>-0</v>
      </c>
      <c r="K164" s="41" t="n">
        <f aca="false">IF(ISNUMBER(K162),IF(ISNUMBER(K163),K163-K162,999999),0)</f>
        <v>0</v>
      </c>
      <c r="L164" s="41" t="n">
        <f aca="false">IF(ISNUMBER(L162),IF(ISNUMBER(L163),L163-L162,999999),0)</f>
        <v>0</v>
      </c>
      <c r="M164" s="41" t="n">
        <f aca="false">IF(ISNUMBER(M162),IF(ISNUMBER(M163),M163-M162,999999),0)</f>
        <v>0</v>
      </c>
      <c r="N164" s="41" t="n">
        <f aca="false">IF(ISNUMBER(N162),IF(ISNUMBER(N163),N163-N162,999999),0)</f>
        <v>0</v>
      </c>
      <c r="O164" s="41" t="n">
        <f aca="false">IF(ISNUMBER(O162),IF(ISNUMBER(O163),O163-O162,999999),0)</f>
        <v>0</v>
      </c>
      <c r="P164" s="41" t="n">
        <f aca="false">IF(ISNUMBER(P162),IF(ISNUMBER(P163),P163-P162,999999),0)</f>
        <v>0</v>
      </c>
      <c r="Q164" s="41" t="n">
        <f aca="false">IF(ISNUMBER(Q162),IF(ISNUMBER(Q163),Q163-Q162,999999),0)</f>
        <v>0</v>
      </c>
      <c r="R164" s="41" t="n">
        <f aca="false">IF(ISNUMBER(R162),IF(ISNUMBER(R163),R163-R162,999999),0)</f>
        <v>0</v>
      </c>
      <c r="S164" s="41" t="n">
        <f aca="false">IF(ISNUMBER(S162),IF(ISNUMBER(S163),S163-S162,999999),0)</f>
        <v>0</v>
      </c>
      <c r="T164" s="41" t="n">
        <f aca="false">IF(ISNUMBER(T162),IF(ISNUMBER(T163),T163-T162,999999),0)</f>
        <v>0</v>
      </c>
      <c r="U164" s="41" t="n">
        <f aca="false">IF(ISNUMBER(U162),IF(ISNUMBER(U163),U163-U162,999999),0)</f>
        <v>0</v>
      </c>
      <c r="V164" s="41" t="n">
        <f aca="false">IF(ISNUMBER(V162),IF(ISNUMBER(V163),V163-V162,999999),0)</f>
        <v>0</v>
      </c>
      <c r="W164" s="41" t="n">
        <f aca="false">IF(ISNUMBER(W162),IF(ISNUMBER(W163),W163-W162,999999),0)</f>
        <v>0</v>
      </c>
      <c r="X164" s="41" t="n">
        <f aca="false">IF(ISNUMBER(X162),IF(ISNUMBER(X163),X163-X162,999999),0)</f>
        <v>0</v>
      </c>
      <c r="Y164" s="41" t="n">
        <f aca="false">IF(ISNUMBER(Y162),IF(ISNUMBER(Y163),Y163-Y162,999999),0)</f>
        <v>0</v>
      </c>
      <c r="Z164" s="41" t="n">
        <f aca="false">IF(ISNUMBER(Z162),IF(ISNUMBER(Z163),Z163-Z162,999999),0)</f>
        <v>0</v>
      </c>
      <c r="AA164" s="41" t="n">
        <f aca="false">IF(ISNUMBER(AA162),IF(ISNUMBER(AA163),AA163-AA162,999999),0)</f>
        <v>0</v>
      </c>
      <c r="AB164" s="41" t="n">
        <f aca="false">IF(ISNUMBER(AB162),IF(ISNUMBER(AB163),AB163-AB162,999999),0)</f>
        <v>0</v>
      </c>
      <c r="AC164" s="41" t="n">
        <f aca="false">IF(ISNUMBER(AC162),IF(ISNUMBER(AC163),AC163-AC162,999999),0)</f>
        <v>0</v>
      </c>
      <c r="AD164" s="41" t="n">
        <f aca="false">IF(ISNUMBER(AD162),IF(ISNUMBER(AD163),AD163-AD162,999999),0)</f>
        <v>0</v>
      </c>
      <c r="AE164" s="41" t="n">
        <f aca="false">IF(ISNUMBER(AE162),IF(ISNUMBER(AE163),AE163-AE162,999999),0)</f>
        <v>0</v>
      </c>
    </row>
    <row r="166" customFormat="false" ht="15" hidden="false" customHeight="false" outlineLevel="0" collapsed="false">
      <c r="A166" s="35" t="s">
        <v>1207</v>
      </c>
      <c r="B166" s="6" t="s">
        <v>64</v>
      </c>
      <c r="C166" s="6" t="s">
        <v>47</v>
      </c>
      <c r="D166" s="6" t="n">
        <v>2</v>
      </c>
      <c r="E166" s="6" t="s">
        <v>1165</v>
      </c>
      <c r="K166" s="29"/>
      <c r="L166" s="29" t="n">
        <v>0</v>
      </c>
      <c r="M166" s="29" t="n">
        <v>0</v>
      </c>
      <c r="N166" s="29" t="n">
        <v>0</v>
      </c>
      <c r="O166" s="29" t="n">
        <v>0</v>
      </c>
      <c r="P166" s="29" t="n">
        <v>0</v>
      </c>
      <c r="Q166" s="29" t="n">
        <v>0</v>
      </c>
      <c r="R166" s="29" t="n">
        <v>0</v>
      </c>
      <c r="S166" s="29" t="n">
        <v>0</v>
      </c>
      <c r="T166" s="29" t="n">
        <v>0</v>
      </c>
      <c r="U166" s="29" t="n">
        <v>0</v>
      </c>
      <c r="V166" s="29" t="n">
        <v>0</v>
      </c>
      <c r="W166" s="29" t="n">
        <v>0</v>
      </c>
      <c r="X166" s="29" t="n">
        <v>0</v>
      </c>
      <c r="Y166" s="29" t="n">
        <v>0</v>
      </c>
      <c r="Z166" s="29" t="n">
        <v>0</v>
      </c>
      <c r="AA166" s="29" t="n">
        <v>0</v>
      </c>
      <c r="AB166" s="29" t="n">
        <v>0</v>
      </c>
      <c r="AC166" s="29" t="n">
        <v>0</v>
      </c>
      <c r="AD166" s="29" t="n">
        <v>0</v>
      </c>
      <c r="AE166" s="29" t="n">
        <v>0</v>
      </c>
    </row>
    <row r="167" customFormat="false" ht="15" hidden="false" customHeight="false" outlineLevel="0" collapsed="false">
      <c r="A167" s="35" t="s">
        <v>1207</v>
      </c>
      <c r="B167" s="6" t="s">
        <v>64</v>
      </c>
      <c r="C167" s="6" t="s">
        <v>47</v>
      </c>
      <c r="D167" s="6" t="n">
        <v>2</v>
      </c>
      <c r="E167" s="6" t="s">
        <v>1166</v>
      </c>
      <c r="K167" s="29" t="n">
        <f aca="false">INDEX(Mitigation_Industry!K:K,MATCH($A167,Mitigation_Industry!$H:$H,0))</f>
        <v>0</v>
      </c>
      <c r="L167" s="29" t="n">
        <f aca="false">INDEX(Mitigation_Industry!L:L,MATCH($A167,Mitigation_Industry!$H:$H,0))</f>
        <v>0</v>
      </c>
      <c r="M167" s="29" t="n">
        <f aca="false">INDEX(Mitigation_Industry!M:M,MATCH($A167,Mitigation_Industry!$H:$H,0))</f>
        <v>0</v>
      </c>
      <c r="N167" s="29" t="n">
        <f aca="false">INDEX(Mitigation_Industry!N:N,MATCH($A167,Mitigation_Industry!$H:$H,0))</f>
        <v>0</v>
      </c>
      <c r="O167" s="29" t="n">
        <f aca="false">INDEX(Mitigation_Industry!O:O,MATCH($A167,Mitigation_Industry!$H:$H,0))</f>
        <v>0</v>
      </c>
      <c r="P167" s="29" t="n">
        <f aca="false">INDEX(Mitigation_Industry!P:P,MATCH($A167,Mitigation_Industry!$H:$H,0))</f>
        <v>0</v>
      </c>
      <c r="Q167" s="29" t="n">
        <f aca="false">INDEX(Mitigation_Industry!Q:Q,MATCH($A167,Mitigation_Industry!$H:$H,0))</f>
        <v>0</v>
      </c>
      <c r="R167" s="29" t="n">
        <f aca="false">INDEX(Mitigation_Industry!R:R,MATCH($A167,Mitigation_Industry!$H:$H,0))</f>
        <v>0</v>
      </c>
      <c r="S167" s="29" t="n">
        <f aca="false">INDEX(Mitigation_Industry!S:S,MATCH($A167,Mitigation_Industry!$H:$H,0))</f>
        <v>0</v>
      </c>
      <c r="T167" s="29" t="n">
        <f aca="false">INDEX(Mitigation_Industry!T:T,MATCH($A167,Mitigation_Industry!$H:$H,0))</f>
        <v>0</v>
      </c>
      <c r="U167" s="29" t="n">
        <f aca="false">INDEX(Mitigation_Industry!U:U,MATCH($A167,Mitigation_Industry!$H:$H,0))</f>
        <v>0</v>
      </c>
      <c r="V167" s="29" t="n">
        <f aca="false">INDEX(Mitigation_Industry!V:V,MATCH($A167,Mitigation_Industry!$H:$H,0))</f>
        <v>0</v>
      </c>
      <c r="W167" s="29" t="n">
        <f aca="false">INDEX(Mitigation_Industry!W:W,MATCH($A167,Mitigation_Industry!$H:$H,0))</f>
        <v>0</v>
      </c>
      <c r="X167" s="29" t="n">
        <f aca="false">INDEX(Mitigation_Industry!X:X,MATCH($A167,Mitigation_Industry!$H:$H,0))</f>
        <v>0</v>
      </c>
      <c r="Y167" s="29" t="n">
        <f aca="false">INDEX(Mitigation_Industry!Y:Y,MATCH($A167,Mitigation_Industry!$H:$H,0))</f>
        <v>0</v>
      </c>
      <c r="Z167" s="29" t="n">
        <f aca="false">INDEX(Mitigation_Industry!Z:Z,MATCH($A167,Mitigation_Industry!$H:$H,0))</f>
        <v>0</v>
      </c>
      <c r="AA167" s="29" t="n">
        <f aca="false">INDEX(Mitigation_Industry!AA:AA,MATCH($A167,Mitigation_Industry!$H:$H,0))</f>
        <v>0</v>
      </c>
      <c r="AB167" s="29" t="n">
        <f aca="false">INDEX(Mitigation_Industry!AB:AB,MATCH($A167,Mitigation_Industry!$H:$H,0))</f>
        <v>0</v>
      </c>
      <c r="AC167" s="29" t="n">
        <f aca="false">INDEX(Mitigation_Industry!AC:AC,MATCH($A167,Mitigation_Industry!$H:$H,0))</f>
        <v>0</v>
      </c>
      <c r="AD167" s="29" t="n">
        <f aca="false">INDEX(Mitigation_Industry!AD:AD,MATCH($A167,Mitigation_Industry!$H:$H,0))</f>
        <v>0</v>
      </c>
      <c r="AE167" s="29" t="n">
        <f aca="false">INDEX(Mitigation_Industry!AE:AE,MATCH($A167,Mitigation_Industry!$H:$H,0))</f>
        <v>0</v>
      </c>
    </row>
    <row r="168" customFormat="false" ht="15" hidden="false" customHeight="false" outlineLevel="0" collapsed="false">
      <c r="A168" s="35" t="s">
        <v>1207</v>
      </c>
      <c r="B168" s="6" t="s">
        <v>64</v>
      </c>
      <c r="C168" s="6" t="s">
        <v>47</v>
      </c>
      <c r="D168" s="6" t="n">
        <v>2</v>
      </c>
      <c r="E168" s="2" t="s">
        <v>1167</v>
      </c>
      <c r="F168" s="40" t="n">
        <f aca="false">MAX(MAX(L168:AE168),-MIN(L168:AE168))</f>
        <v>-0</v>
      </c>
      <c r="K168" s="41" t="n">
        <f aca="false">IF(ISNUMBER(K166),IF(ISNUMBER(K167),K167-K166,999999),0)</f>
        <v>0</v>
      </c>
      <c r="L168" s="41" t="n">
        <f aca="false">IF(ISNUMBER(L166),IF(ISNUMBER(L167),L167-L166,999999),0)</f>
        <v>0</v>
      </c>
      <c r="M168" s="41" t="n">
        <f aca="false">IF(ISNUMBER(M166),IF(ISNUMBER(M167),M167-M166,999999),0)</f>
        <v>0</v>
      </c>
      <c r="N168" s="41" t="n">
        <f aca="false">IF(ISNUMBER(N166),IF(ISNUMBER(N167),N167-N166,999999),0)</f>
        <v>0</v>
      </c>
      <c r="O168" s="41" t="n">
        <f aca="false">IF(ISNUMBER(O166),IF(ISNUMBER(O167),O167-O166,999999),0)</f>
        <v>0</v>
      </c>
      <c r="P168" s="41" t="n">
        <f aca="false">IF(ISNUMBER(P166),IF(ISNUMBER(P167),P167-P166,999999),0)</f>
        <v>0</v>
      </c>
      <c r="Q168" s="41" t="n">
        <f aca="false">IF(ISNUMBER(Q166),IF(ISNUMBER(Q167),Q167-Q166,999999),0)</f>
        <v>0</v>
      </c>
      <c r="R168" s="41" t="n">
        <f aca="false">IF(ISNUMBER(R166),IF(ISNUMBER(R167),R167-R166,999999),0)</f>
        <v>0</v>
      </c>
      <c r="S168" s="41" t="n">
        <f aca="false">IF(ISNUMBER(S166),IF(ISNUMBER(S167),S167-S166,999999),0)</f>
        <v>0</v>
      </c>
      <c r="T168" s="41" t="n">
        <f aca="false">IF(ISNUMBER(T166),IF(ISNUMBER(T167),T167-T166,999999),0)</f>
        <v>0</v>
      </c>
      <c r="U168" s="41" t="n">
        <f aca="false">IF(ISNUMBER(U166),IF(ISNUMBER(U167),U167-U166,999999),0)</f>
        <v>0</v>
      </c>
      <c r="V168" s="41" t="n">
        <f aca="false">IF(ISNUMBER(V166),IF(ISNUMBER(V167),V167-V166,999999),0)</f>
        <v>0</v>
      </c>
      <c r="W168" s="41" t="n">
        <f aca="false">IF(ISNUMBER(W166),IF(ISNUMBER(W167),W167-W166,999999),0)</f>
        <v>0</v>
      </c>
      <c r="X168" s="41" t="n">
        <f aca="false">IF(ISNUMBER(X166),IF(ISNUMBER(X167),X167-X166,999999),0)</f>
        <v>0</v>
      </c>
      <c r="Y168" s="41" t="n">
        <f aca="false">IF(ISNUMBER(Y166),IF(ISNUMBER(Y167),Y167-Y166,999999),0)</f>
        <v>0</v>
      </c>
      <c r="Z168" s="41" t="n">
        <f aca="false">IF(ISNUMBER(Z166),IF(ISNUMBER(Z167),Z167-Z166,999999),0)</f>
        <v>0</v>
      </c>
      <c r="AA168" s="41" t="n">
        <f aca="false">IF(ISNUMBER(AA166),IF(ISNUMBER(AA167),AA167-AA166,999999),0)</f>
        <v>0</v>
      </c>
      <c r="AB168" s="41" t="n">
        <f aca="false">IF(ISNUMBER(AB166),IF(ISNUMBER(AB167),AB167-AB166,999999),0)</f>
        <v>0</v>
      </c>
      <c r="AC168" s="41" t="n">
        <f aca="false">IF(ISNUMBER(AC166),IF(ISNUMBER(AC167),AC167-AC166,999999),0)</f>
        <v>0</v>
      </c>
      <c r="AD168" s="41" t="n">
        <f aca="false">IF(ISNUMBER(AD166),IF(ISNUMBER(AD167),AD167-AD166,999999),0)</f>
        <v>0</v>
      </c>
      <c r="AE168" s="41" t="n">
        <f aca="false">IF(ISNUMBER(AE166),IF(ISNUMBER(AE167),AE167-AE166,999999),0)</f>
        <v>0</v>
      </c>
    </row>
    <row r="170" customFormat="false" ht="15" hidden="false" customHeight="false" outlineLevel="0" collapsed="false">
      <c r="A170" s="35" t="s">
        <v>1208</v>
      </c>
      <c r="B170" s="6" t="s">
        <v>66</v>
      </c>
      <c r="C170" s="6" t="s">
        <v>47</v>
      </c>
      <c r="D170" s="6" t="n">
        <v>2</v>
      </c>
      <c r="E170" s="6" t="s">
        <v>1165</v>
      </c>
      <c r="K170" s="29"/>
      <c r="L170" s="29" t="n">
        <v>0</v>
      </c>
      <c r="M170" s="29" t="n">
        <v>0</v>
      </c>
      <c r="N170" s="29" t="n">
        <v>0</v>
      </c>
      <c r="O170" s="29" t="n">
        <v>0</v>
      </c>
      <c r="P170" s="29" t="n">
        <v>0</v>
      </c>
      <c r="Q170" s="29" t="n">
        <v>0</v>
      </c>
      <c r="R170" s="29" t="n">
        <v>0</v>
      </c>
      <c r="S170" s="29" t="n">
        <v>0</v>
      </c>
      <c r="T170" s="29" t="n">
        <v>0</v>
      </c>
      <c r="U170" s="29" t="n">
        <v>0</v>
      </c>
      <c r="V170" s="29" t="n">
        <v>0</v>
      </c>
      <c r="W170" s="29" t="n">
        <v>0</v>
      </c>
      <c r="X170" s="29" t="n">
        <v>0</v>
      </c>
      <c r="Y170" s="29" t="n">
        <v>0</v>
      </c>
      <c r="Z170" s="29" t="n">
        <v>0</v>
      </c>
      <c r="AA170" s="29" t="n">
        <v>0</v>
      </c>
      <c r="AB170" s="29" t="n">
        <v>0</v>
      </c>
      <c r="AC170" s="29" t="n">
        <v>0</v>
      </c>
      <c r="AD170" s="29" t="n">
        <v>0</v>
      </c>
      <c r="AE170" s="29" t="n">
        <v>0</v>
      </c>
    </row>
    <row r="171" customFormat="false" ht="15" hidden="false" customHeight="false" outlineLevel="0" collapsed="false">
      <c r="A171" s="35" t="s">
        <v>1208</v>
      </c>
      <c r="B171" s="6" t="s">
        <v>66</v>
      </c>
      <c r="C171" s="6" t="s">
        <v>47</v>
      </c>
      <c r="D171" s="6" t="n">
        <v>2</v>
      </c>
      <c r="E171" s="6" t="s">
        <v>1166</v>
      </c>
      <c r="K171" s="29" t="n">
        <f aca="false">INDEX(Mitigation_Industry!K:K,MATCH($A171,Mitigation_Industry!$H:$H,0))</f>
        <v>0</v>
      </c>
      <c r="L171" s="29" t="n">
        <f aca="false">INDEX(Mitigation_Industry!L:L,MATCH($A171,Mitigation_Industry!$H:$H,0))</f>
        <v>0</v>
      </c>
      <c r="M171" s="29" t="n">
        <f aca="false">INDEX(Mitigation_Industry!M:M,MATCH($A171,Mitigation_Industry!$H:$H,0))</f>
        <v>0</v>
      </c>
      <c r="N171" s="29" t="n">
        <f aca="false">INDEX(Mitigation_Industry!N:N,MATCH($A171,Mitigation_Industry!$H:$H,0))</f>
        <v>0</v>
      </c>
      <c r="O171" s="29" t="n">
        <f aca="false">INDEX(Mitigation_Industry!O:O,MATCH($A171,Mitigation_Industry!$H:$H,0))</f>
        <v>0</v>
      </c>
      <c r="P171" s="29" t="n">
        <f aca="false">INDEX(Mitigation_Industry!P:P,MATCH($A171,Mitigation_Industry!$H:$H,0))</f>
        <v>0</v>
      </c>
      <c r="Q171" s="29" t="n">
        <f aca="false">INDEX(Mitigation_Industry!Q:Q,MATCH($A171,Mitigation_Industry!$H:$H,0))</f>
        <v>0</v>
      </c>
      <c r="R171" s="29" t="n">
        <f aca="false">INDEX(Mitigation_Industry!R:R,MATCH($A171,Mitigation_Industry!$H:$H,0))</f>
        <v>0</v>
      </c>
      <c r="S171" s="29" t="n">
        <f aca="false">INDEX(Mitigation_Industry!S:S,MATCH($A171,Mitigation_Industry!$H:$H,0))</f>
        <v>0</v>
      </c>
      <c r="T171" s="29" t="n">
        <f aca="false">INDEX(Mitigation_Industry!T:T,MATCH($A171,Mitigation_Industry!$H:$H,0))</f>
        <v>0</v>
      </c>
      <c r="U171" s="29" t="n">
        <f aca="false">INDEX(Mitigation_Industry!U:U,MATCH($A171,Mitigation_Industry!$H:$H,0))</f>
        <v>0</v>
      </c>
      <c r="V171" s="29" t="n">
        <f aca="false">INDEX(Mitigation_Industry!V:V,MATCH($A171,Mitigation_Industry!$H:$H,0))</f>
        <v>0</v>
      </c>
      <c r="W171" s="29" t="n">
        <f aca="false">INDEX(Mitigation_Industry!W:W,MATCH($A171,Mitigation_Industry!$H:$H,0))</f>
        <v>0</v>
      </c>
      <c r="X171" s="29" t="n">
        <f aca="false">INDEX(Mitigation_Industry!X:X,MATCH($A171,Mitigation_Industry!$H:$H,0))</f>
        <v>0</v>
      </c>
      <c r="Y171" s="29" t="n">
        <f aca="false">INDEX(Mitigation_Industry!Y:Y,MATCH($A171,Mitigation_Industry!$H:$H,0))</f>
        <v>0</v>
      </c>
      <c r="Z171" s="29" t="n">
        <f aca="false">INDEX(Mitigation_Industry!Z:Z,MATCH($A171,Mitigation_Industry!$H:$H,0))</f>
        <v>0</v>
      </c>
      <c r="AA171" s="29" t="n">
        <f aca="false">INDEX(Mitigation_Industry!AA:AA,MATCH($A171,Mitigation_Industry!$H:$H,0))</f>
        <v>0</v>
      </c>
      <c r="AB171" s="29" t="n">
        <f aca="false">INDEX(Mitigation_Industry!AB:AB,MATCH($A171,Mitigation_Industry!$H:$H,0))</f>
        <v>0</v>
      </c>
      <c r="AC171" s="29" t="n">
        <f aca="false">INDEX(Mitigation_Industry!AC:AC,MATCH($A171,Mitigation_Industry!$H:$H,0))</f>
        <v>0</v>
      </c>
      <c r="AD171" s="29" t="n">
        <f aca="false">INDEX(Mitigation_Industry!AD:AD,MATCH($A171,Mitigation_Industry!$H:$H,0))</f>
        <v>0</v>
      </c>
      <c r="AE171" s="29" t="n">
        <f aca="false">INDEX(Mitigation_Industry!AE:AE,MATCH($A171,Mitigation_Industry!$H:$H,0))</f>
        <v>0</v>
      </c>
    </row>
    <row r="172" customFormat="false" ht="15" hidden="false" customHeight="false" outlineLevel="0" collapsed="false">
      <c r="A172" s="35" t="s">
        <v>1208</v>
      </c>
      <c r="B172" s="6" t="s">
        <v>66</v>
      </c>
      <c r="C172" s="6" t="s">
        <v>47</v>
      </c>
      <c r="D172" s="6" t="n">
        <v>2</v>
      </c>
      <c r="E172" s="2" t="s">
        <v>1167</v>
      </c>
      <c r="F172" s="40" t="n">
        <f aca="false">MAX(MAX(L172:AE172),-MIN(L172:AE172))</f>
        <v>-0</v>
      </c>
      <c r="K172" s="41" t="n">
        <f aca="false">IF(ISNUMBER(K170),IF(ISNUMBER(K171),K171-K170,999999),0)</f>
        <v>0</v>
      </c>
      <c r="L172" s="41" t="n">
        <f aca="false">IF(ISNUMBER(L170),IF(ISNUMBER(L171),L171-L170,999999),0)</f>
        <v>0</v>
      </c>
      <c r="M172" s="41" t="n">
        <f aca="false">IF(ISNUMBER(M170),IF(ISNUMBER(M171),M171-M170,999999),0)</f>
        <v>0</v>
      </c>
      <c r="N172" s="41" t="n">
        <f aca="false">IF(ISNUMBER(N170),IF(ISNUMBER(N171),N171-N170,999999),0)</f>
        <v>0</v>
      </c>
      <c r="O172" s="41" t="n">
        <f aca="false">IF(ISNUMBER(O170),IF(ISNUMBER(O171),O171-O170,999999),0)</f>
        <v>0</v>
      </c>
      <c r="P172" s="41" t="n">
        <f aca="false">IF(ISNUMBER(P170),IF(ISNUMBER(P171),P171-P170,999999),0)</f>
        <v>0</v>
      </c>
      <c r="Q172" s="41" t="n">
        <f aca="false">IF(ISNUMBER(Q170),IF(ISNUMBER(Q171),Q171-Q170,999999),0)</f>
        <v>0</v>
      </c>
      <c r="R172" s="41" t="n">
        <f aca="false">IF(ISNUMBER(R170),IF(ISNUMBER(R171),R171-R170,999999),0)</f>
        <v>0</v>
      </c>
      <c r="S172" s="41" t="n">
        <f aca="false">IF(ISNUMBER(S170),IF(ISNUMBER(S171),S171-S170,999999),0)</f>
        <v>0</v>
      </c>
      <c r="T172" s="41" t="n">
        <f aca="false">IF(ISNUMBER(T170),IF(ISNUMBER(T171),T171-T170,999999),0)</f>
        <v>0</v>
      </c>
      <c r="U172" s="41" t="n">
        <f aca="false">IF(ISNUMBER(U170),IF(ISNUMBER(U171),U171-U170,999999),0)</f>
        <v>0</v>
      </c>
      <c r="V172" s="41" t="n">
        <f aca="false">IF(ISNUMBER(V170),IF(ISNUMBER(V171),V171-V170,999999),0)</f>
        <v>0</v>
      </c>
      <c r="W172" s="41" t="n">
        <f aca="false">IF(ISNUMBER(W170),IF(ISNUMBER(W171),W171-W170,999999),0)</f>
        <v>0</v>
      </c>
      <c r="X172" s="41" t="n">
        <f aca="false">IF(ISNUMBER(X170),IF(ISNUMBER(X171),X171-X170,999999),0)</f>
        <v>0</v>
      </c>
      <c r="Y172" s="41" t="n">
        <f aca="false">IF(ISNUMBER(Y170),IF(ISNUMBER(Y171),Y171-Y170,999999),0)</f>
        <v>0</v>
      </c>
      <c r="Z172" s="41" t="n">
        <f aca="false">IF(ISNUMBER(Z170),IF(ISNUMBER(Z171),Z171-Z170,999999),0)</f>
        <v>0</v>
      </c>
      <c r="AA172" s="41" t="n">
        <f aca="false">IF(ISNUMBER(AA170),IF(ISNUMBER(AA171),AA171-AA170,999999),0)</f>
        <v>0</v>
      </c>
      <c r="AB172" s="41" t="n">
        <f aca="false">IF(ISNUMBER(AB170),IF(ISNUMBER(AB171),AB171-AB170,999999),0)</f>
        <v>0</v>
      </c>
      <c r="AC172" s="41" t="n">
        <f aca="false">IF(ISNUMBER(AC170),IF(ISNUMBER(AC171),AC171-AC170,999999),0)</f>
        <v>0</v>
      </c>
      <c r="AD172" s="41" t="n">
        <f aca="false">IF(ISNUMBER(AD170),IF(ISNUMBER(AD171),AD171-AD170,999999),0)</f>
        <v>0</v>
      </c>
      <c r="AE172" s="41" t="n">
        <f aca="false">IF(ISNUMBER(AE170),IF(ISNUMBER(AE171),AE171-AE170,999999),0)</f>
        <v>0</v>
      </c>
    </row>
    <row r="174" customFormat="false" ht="15" hidden="false" customHeight="false" outlineLevel="0" collapsed="false">
      <c r="A174" s="35" t="s">
        <v>1209</v>
      </c>
      <c r="B174" s="6" t="s">
        <v>68</v>
      </c>
      <c r="C174" s="6" t="s">
        <v>47</v>
      </c>
      <c r="D174" s="6" t="n">
        <v>2</v>
      </c>
      <c r="E174" s="6" t="s">
        <v>1165</v>
      </c>
      <c r="K174" s="29"/>
      <c r="L174" s="29" t="n">
        <v>0</v>
      </c>
      <c r="M174" s="29" t="n">
        <v>0</v>
      </c>
      <c r="N174" s="29" t="n">
        <v>0</v>
      </c>
      <c r="O174" s="29" t="n">
        <v>0</v>
      </c>
      <c r="P174" s="29" t="n">
        <v>0</v>
      </c>
      <c r="Q174" s="29" t="n">
        <v>0</v>
      </c>
      <c r="R174" s="29" t="n">
        <v>0</v>
      </c>
      <c r="S174" s="29" t="n">
        <v>0</v>
      </c>
      <c r="T174" s="29" t="n">
        <v>0</v>
      </c>
      <c r="U174" s="29" t="n">
        <v>0</v>
      </c>
      <c r="V174" s="29" t="n">
        <v>0</v>
      </c>
      <c r="W174" s="29" t="n">
        <v>0</v>
      </c>
      <c r="X174" s="29" t="n">
        <v>0</v>
      </c>
      <c r="Y174" s="29" t="n">
        <v>0</v>
      </c>
      <c r="Z174" s="29" t="n">
        <v>0</v>
      </c>
      <c r="AA174" s="29" t="n">
        <v>0</v>
      </c>
      <c r="AB174" s="29" t="n">
        <v>0</v>
      </c>
      <c r="AC174" s="29" t="n">
        <v>0</v>
      </c>
      <c r="AD174" s="29" t="n">
        <v>0</v>
      </c>
      <c r="AE174" s="29" t="n">
        <v>0</v>
      </c>
    </row>
    <row r="175" customFormat="false" ht="15" hidden="false" customHeight="false" outlineLevel="0" collapsed="false">
      <c r="A175" s="35" t="s">
        <v>1209</v>
      </c>
      <c r="B175" s="6" t="s">
        <v>68</v>
      </c>
      <c r="C175" s="6" t="s">
        <v>47</v>
      </c>
      <c r="D175" s="6" t="n">
        <v>2</v>
      </c>
      <c r="E175" s="6" t="s">
        <v>1166</v>
      </c>
      <c r="K175" s="29" t="n">
        <f aca="false">INDEX(Mitigation_Industry!K:K,MATCH($A175,Mitigation_Industry!$H:$H,0))</f>
        <v>0</v>
      </c>
      <c r="L175" s="29" t="n">
        <f aca="false">INDEX(Mitigation_Industry!L:L,MATCH($A175,Mitigation_Industry!$H:$H,0))</f>
        <v>0</v>
      </c>
      <c r="M175" s="29" t="n">
        <f aca="false">INDEX(Mitigation_Industry!M:M,MATCH($A175,Mitigation_Industry!$H:$H,0))</f>
        <v>0</v>
      </c>
      <c r="N175" s="29" t="n">
        <f aca="false">INDEX(Mitigation_Industry!N:N,MATCH($A175,Mitigation_Industry!$H:$H,0))</f>
        <v>0</v>
      </c>
      <c r="O175" s="29" t="n">
        <f aca="false">INDEX(Mitigation_Industry!O:O,MATCH($A175,Mitigation_Industry!$H:$H,0))</f>
        <v>0</v>
      </c>
      <c r="P175" s="29" t="n">
        <f aca="false">INDEX(Mitigation_Industry!P:P,MATCH($A175,Mitigation_Industry!$H:$H,0))</f>
        <v>0</v>
      </c>
      <c r="Q175" s="29" t="n">
        <f aca="false">INDEX(Mitigation_Industry!Q:Q,MATCH($A175,Mitigation_Industry!$H:$H,0))</f>
        <v>0</v>
      </c>
      <c r="R175" s="29" t="n">
        <f aca="false">INDEX(Mitigation_Industry!R:R,MATCH($A175,Mitigation_Industry!$H:$H,0))</f>
        <v>0</v>
      </c>
      <c r="S175" s="29" t="n">
        <f aca="false">INDEX(Mitigation_Industry!S:S,MATCH($A175,Mitigation_Industry!$H:$H,0))</f>
        <v>0</v>
      </c>
      <c r="T175" s="29" t="n">
        <f aca="false">INDEX(Mitigation_Industry!T:T,MATCH($A175,Mitigation_Industry!$H:$H,0))</f>
        <v>0</v>
      </c>
      <c r="U175" s="29" t="n">
        <f aca="false">INDEX(Mitigation_Industry!U:U,MATCH($A175,Mitigation_Industry!$H:$H,0))</f>
        <v>0</v>
      </c>
      <c r="V175" s="29" t="n">
        <f aca="false">INDEX(Mitigation_Industry!V:V,MATCH($A175,Mitigation_Industry!$H:$H,0))</f>
        <v>0</v>
      </c>
      <c r="W175" s="29" t="n">
        <f aca="false">INDEX(Mitigation_Industry!W:W,MATCH($A175,Mitigation_Industry!$H:$H,0))</f>
        <v>0</v>
      </c>
      <c r="X175" s="29" t="n">
        <f aca="false">INDEX(Mitigation_Industry!X:X,MATCH($A175,Mitigation_Industry!$H:$H,0))</f>
        <v>0</v>
      </c>
      <c r="Y175" s="29" t="n">
        <f aca="false">INDEX(Mitigation_Industry!Y:Y,MATCH($A175,Mitigation_Industry!$H:$H,0))</f>
        <v>0</v>
      </c>
      <c r="Z175" s="29" t="n">
        <f aca="false">INDEX(Mitigation_Industry!Z:Z,MATCH($A175,Mitigation_Industry!$H:$H,0))</f>
        <v>0</v>
      </c>
      <c r="AA175" s="29" t="n">
        <f aca="false">INDEX(Mitigation_Industry!AA:AA,MATCH($A175,Mitigation_Industry!$H:$H,0))</f>
        <v>0</v>
      </c>
      <c r="AB175" s="29" t="n">
        <f aca="false">INDEX(Mitigation_Industry!AB:AB,MATCH($A175,Mitigation_Industry!$H:$H,0))</f>
        <v>0</v>
      </c>
      <c r="AC175" s="29" t="n">
        <f aca="false">INDEX(Mitigation_Industry!AC:AC,MATCH($A175,Mitigation_Industry!$H:$H,0))</f>
        <v>0</v>
      </c>
      <c r="AD175" s="29" t="n">
        <f aca="false">INDEX(Mitigation_Industry!AD:AD,MATCH($A175,Mitigation_Industry!$H:$H,0))</f>
        <v>0</v>
      </c>
      <c r="AE175" s="29" t="n">
        <f aca="false">INDEX(Mitigation_Industry!AE:AE,MATCH($A175,Mitigation_Industry!$H:$H,0))</f>
        <v>0</v>
      </c>
    </row>
    <row r="176" customFormat="false" ht="15" hidden="false" customHeight="false" outlineLevel="0" collapsed="false">
      <c r="A176" s="35" t="s">
        <v>1209</v>
      </c>
      <c r="B176" s="6" t="s">
        <v>68</v>
      </c>
      <c r="C176" s="6" t="s">
        <v>47</v>
      </c>
      <c r="D176" s="6" t="n">
        <v>2</v>
      </c>
      <c r="E176" s="2" t="s">
        <v>1167</v>
      </c>
      <c r="F176" s="40" t="n">
        <f aca="false">MAX(MAX(L176:AE176),-MIN(L176:AE176))</f>
        <v>-0</v>
      </c>
      <c r="K176" s="41" t="n">
        <f aca="false">IF(ISNUMBER(K174),IF(ISNUMBER(K175),K175-K174,999999),0)</f>
        <v>0</v>
      </c>
      <c r="L176" s="41" t="n">
        <f aca="false">IF(ISNUMBER(L174),IF(ISNUMBER(L175),L175-L174,999999),0)</f>
        <v>0</v>
      </c>
      <c r="M176" s="41" t="n">
        <f aca="false">IF(ISNUMBER(M174),IF(ISNUMBER(M175),M175-M174,999999),0)</f>
        <v>0</v>
      </c>
      <c r="N176" s="41" t="n">
        <f aca="false">IF(ISNUMBER(N174),IF(ISNUMBER(N175),N175-N174,999999),0)</f>
        <v>0</v>
      </c>
      <c r="O176" s="41" t="n">
        <f aca="false">IF(ISNUMBER(O174),IF(ISNUMBER(O175),O175-O174,999999),0)</f>
        <v>0</v>
      </c>
      <c r="P176" s="41" t="n">
        <f aca="false">IF(ISNUMBER(P174),IF(ISNUMBER(P175),P175-P174,999999),0)</f>
        <v>0</v>
      </c>
      <c r="Q176" s="41" t="n">
        <f aca="false">IF(ISNUMBER(Q174),IF(ISNUMBER(Q175),Q175-Q174,999999),0)</f>
        <v>0</v>
      </c>
      <c r="R176" s="41" t="n">
        <f aca="false">IF(ISNUMBER(R174),IF(ISNUMBER(R175),R175-R174,999999),0)</f>
        <v>0</v>
      </c>
      <c r="S176" s="41" t="n">
        <f aca="false">IF(ISNUMBER(S174),IF(ISNUMBER(S175),S175-S174,999999),0)</f>
        <v>0</v>
      </c>
      <c r="T176" s="41" t="n">
        <f aca="false">IF(ISNUMBER(T174),IF(ISNUMBER(T175),T175-T174,999999),0)</f>
        <v>0</v>
      </c>
      <c r="U176" s="41" t="n">
        <f aca="false">IF(ISNUMBER(U174),IF(ISNUMBER(U175),U175-U174,999999),0)</f>
        <v>0</v>
      </c>
      <c r="V176" s="41" t="n">
        <f aca="false">IF(ISNUMBER(V174),IF(ISNUMBER(V175),V175-V174,999999),0)</f>
        <v>0</v>
      </c>
      <c r="W176" s="41" t="n">
        <f aca="false">IF(ISNUMBER(W174),IF(ISNUMBER(W175),W175-W174,999999),0)</f>
        <v>0</v>
      </c>
      <c r="X176" s="41" t="n">
        <f aca="false">IF(ISNUMBER(X174),IF(ISNUMBER(X175),X175-X174,999999),0)</f>
        <v>0</v>
      </c>
      <c r="Y176" s="41" t="n">
        <f aca="false">IF(ISNUMBER(Y174),IF(ISNUMBER(Y175),Y175-Y174,999999),0)</f>
        <v>0</v>
      </c>
      <c r="Z176" s="41" t="n">
        <f aca="false">IF(ISNUMBER(Z174),IF(ISNUMBER(Z175),Z175-Z174,999999),0)</f>
        <v>0</v>
      </c>
      <c r="AA176" s="41" t="n">
        <f aca="false">IF(ISNUMBER(AA174),IF(ISNUMBER(AA175),AA175-AA174,999999),0)</f>
        <v>0</v>
      </c>
      <c r="AB176" s="41" t="n">
        <f aca="false">IF(ISNUMBER(AB174),IF(ISNUMBER(AB175),AB175-AB174,999999),0)</f>
        <v>0</v>
      </c>
      <c r="AC176" s="41" t="n">
        <f aca="false">IF(ISNUMBER(AC174),IF(ISNUMBER(AC175),AC175-AC174,999999),0)</f>
        <v>0</v>
      </c>
      <c r="AD176" s="41" t="n">
        <f aca="false">IF(ISNUMBER(AD174),IF(ISNUMBER(AD175),AD175-AD174,999999),0)</f>
        <v>0</v>
      </c>
      <c r="AE176" s="41" t="n">
        <f aca="false">IF(ISNUMBER(AE174),IF(ISNUMBER(AE175),AE175-AE174,999999),0)</f>
        <v>0</v>
      </c>
    </row>
    <row r="178" customFormat="false" ht="15" hidden="false" customHeight="false" outlineLevel="0" collapsed="false">
      <c r="A178" s="35" t="s">
        <v>1210</v>
      </c>
      <c r="B178" s="6" t="s">
        <v>71</v>
      </c>
      <c r="C178" s="6" t="s">
        <v>47</v>
      </c>
      <c r="D178" s="6" t="n">
        <v>2</v>
      </c>
      <c r="E178" s="6" t="s">
        <v>1165</v>
      </c>
      <c r="K178" s="29"/>
      <c r="L178" s="29" t="n">
        <v>0</v>
      </c>
      <c r="M178" s="29" t="n">
        <v>0</v>
      </c>
      <c r="N178" s="29" t="n">
        <v>0</v>
      </c>
      <c r="O178" s="29" t="n">
        <v>0</v>
      </c>
      <c r="P178" s="29" t="n">
        <v>0</v>
      </c>
      <c r="Q178" s="29" t="n">
        <v>0</v>
      </c>
      <c r="R178" s="29" t="n">
        <v>0</v>
      </c>
      <c r="S178" s="29" t="n">
        <v>0</v>
      </c>
      <c r="T178" s="29" t="n">
        <v>0</v>
      </c>
      <c r="U178" s="29" t="n">
        <v>0</v>
      </c>
      <c r="V178" s="29" t="n">
        <v>0</v>
      </c>
      <c r="W178" s="29" t="n">
        <v>0</v>
      </c>
      <c r="X178" s="29" t="n">
        <v>0</v>
      </c>
      <c r="Y178" s="29" t="n">
        <v>0</v>
      </c>
      <c r="Z178" s="29" t="n">
        <v>0</v>
      </c>
      <c r="AA178" s="29" t="n">
        <v>0</v>
      </c>
      <c r="AB178" s="29" t="n">
        <v>0</v>
      </c>
      <c r="AC178" s="29" t="n">
        <v>0</v>
      </c>
      <c r="AD178" s="29" t="n">
        <v>0</v>
      </c>
      <c r="AE178" s="29" t="n">
        <v>0</v>
      </c>
    </row>
    <row r="179" customFormat="false" ht="15" hidden="false" customHeight="false" outlineLevel="0" collapsed="false">
      <c r="A179" s="35" t="s">
        <v>1210</v>
      </c>
      <c r="B179" s="6" t="s">
        <v>71</v>
      </c>
      <c r="C179" s="6" t="s">
        <v>47</v>
      </c>
      <c r="D179" s="6" t="n">
        <v>2</v>
      </c>
      <c r="E179" s="6" t="s">
        <v>1166</v>
      </c>
      <c r="K179" s="29" t="n">
        <f aca="false">INDEX(Mitigation_Industry!K:K,MATCH($A179,Mitigation_Industry!$H:$H,0))</f>
        <v>0</v>
      </c>
      <c r="L179" s="29" t="n">
        <f aca="false">INDEX(Mitigation_Industry!L:L,MATCH($A179,Mitigation_Industry!$H:$H,0))</f>
        <v>0</v>
      </c>
      <c r="M179" s="29" t="n">
        <f aca="false">INDEX(Mitigation_Industry!M:M,MATCH($A179,Mitigation_Industry!$H:$H,0))</f>
        <v>0</v>
      </c>
      <c r="N179" s="29" t="n">
        <f aca="false">INDEX(Mitigation_Industry!N:N,MATCH($A179,Mitigation_Industry!$H:$H,0))</f>
        <v>0</v>
      </c>
      <c r="O179" s="29" t="n">
        <f aca="false">INDEX(Mitigation_Industry!O:O,MATCH($A179,Mitigation_Industry!$H:$H,0))</f>
        <v>0</v>
      </c>
      <c r="P179" s="29" t="n">
        <f aca="false">INDEX(Mitigation_Industry!P:P,MATCH($A179,Mitigation_Industry!$H:$H,0))</f>
        <v>0</v>
      </c>
      <c r="Q179" s="29" t="n">
        <f aca="false">INDEX(Mitigation_Industry!Q:Q,MATCH($A179,Mitigation_Industry!$H:$H,0))</f>
        <v>0</v>
      </c>
      <c r="R179" s="29" t="n">
        <f aca="false">INDEX(Mitigation_Industry!R:R,MATCH($A179,Mitigation_Industry!$H:$H,0))</f>
        <v>0</v>
      </c>
      <c r="S179" s="29" t="n">
        <f aca="false">INDEX(Mitigation_Industry!S:S,MATCH($A179,Mitigation_Industry!$H:$H,0))</f>
        <v>0</v>
      </c>
      <c r="T179" s="29" t="n">
        <f aca="false">INDEX(Mitigation_Industry!T:T,MATCH($A179,Mitigation_Industry!$H:$H,0))</f>
        <v>0</v>
      </c>
      <c r="U179" s="29" t="n">
        <f aca="false">INDEX(Mitigation_Industry!U:U,MATCH($A179,Mitigation_Industry!$H:$H,0))</f>
        <v>0</v>
      </c>
      <c r="V179" s="29" t="n">
        <f aca="false">INDEX(Mitigation_Industry!V:V,MATCH($A179,Mitigation_Industry!$H:$H,0))</f>
        <v>0</v>
      </c>
      <c r="W179" s="29" t="n">
        <f aca="false">INDEX(Mitigation_Industry!W:W,MATCH($A179,Mitigation_Industry!$H:$H,0))</f>
        <v>0</v>
      </c>
      <c r="X179" s="29" t="n">
        <f aca="false">INDEX(Mitigation_Industry!X:X,MATCH($A179,Mitigation_Industry!$H:$H,0))</f>
        <v>0</v>
      </c>
      <c r="Y179" s="29" t="n">
        <f aca="false">INDEX(Mitigation_Industry!Y:Y,MATCH($A179,Mitigation_Industry!$H:$H,0))</f>
        <v>0</v>
      </c>
      <c r="Z179" s="29" t="n">
        <f aca="false">INDEX(Mitigation_Industry!Z:Z,MATCH($A179,Mitigation_Industry!$H:$H,0))</f>
        <v>0</v>
      </c>
      <c r="AA179" s="29" t="n">
        <f aca="false">INDEX(Mitigation_Industry!AA:AA,MATCH($A179,Mitigation_Industry!$H:$H,0))</f>
        <v>0</v>
      </c>
      <c r="AB179" s="29" t="n">
        <f aca="false">INDEX(Mitigation_Industry!AB:AB,MATCH($A179,Mitigation_Industry!$H:$H,0))</f>
        <v>0</v>
      </c>
      <c r="AC179" s="29" t="n">
        <f aca="false">INDEX(Mitigation_Industry!AC:AC,MATCH($A179,Mitigation_Industry!$H:$H,0))</f>
        <v>0</v>
      </c>
      <c r="AD179" s="29" t="n">
        <f aca="false">INDEX(Mitigation_Industry!AD:AD,MATCH($A179,Mitigation_Industry!$H:$H,0))</f>
        <v>0</v>
      </c>
      <c r="AE179" s="29" t="n">
        <f aca="false">INDEX(Mitigation_Industry!AE:AE,MATCH($A179,Mitigation_Industry!$H:$H,0))</f>
        <v>0</v>
      </c>
    </row>
    <row r="180" customFormat="false" ht="15" hidden="false" customHeight="false" outlineLevel="0" collapsed="false">
      <c r="A180" s="35" t="s">
        <v>1210</v>
      </c>
      <c r="B180" s="6" t="s">
        <v>71</v>
      </c>
      <c r="C180" s="6" t="s">
        <v>47</v>
      </c>
      <c r="D180" s="6" t="n">
        <v>2</v>
      </c>
      <c r="E180" s="2" t="s">
        <v>1167</v>
      </c>
      <c r="F180" s="40" t="n">
        <f aca="false">MAX(MAX(L180:AE180),-MIN(L180:AE180))</f>
        <v>-0</v>
      </c>
      <c r="K180" s="41" t="n">
        <f aca="false">IF(ISNUMBER(K178),IF(ISNUMBER(K179),K179-K178,999999),0)</f>
        <v>0</v>
      </c>
      <c r="L180" s="41" t="n">
        <f aca="false">IF(ISNUMBER(L178),IF(ISNUMBER(L179),L179-L178,999999),0)</f>
        <v>0</v>
      </c>
      <c r="M180" s="41" t="n">
        <f aca="false">IF(ISNUMBER(M178),IF(ISNUMBER(M179),M179-M178,999999),0)</f>
        <v>0</v>
      </c>
      <c r="N180" s="41" t="n">
        <f aca="false">IF(ISNUMBER(N178),IF(ISNUMBER(N179),N179-N178,999999),0)</f>
        <v>0</v>
      </c>
      <c r="O180" s="41" t="n">
        <f aca="false">IF(ISNUMBER(O178),IF(ISNUMBER(O179),O179-O178,999999),0)</f>
        <v>0</v>
      </c>
      <c r="P180" s="41" t="n">
        <f aca="false">IF(ISNUMBER(P178),IF(ISNUMBER(P179),P179-P178,999999),0)</f>
        <v>0</v>
      </c>
      <c r="Q180" s="41" t="n">
        <f aca="false">IF(ISNUMBER(Q178),IF(ISNUMBER(Q179),Q179-Q178,999999),0)</f>
        <v>0</v>
      </c>
      <c r="R180" s="41" t="n">
        <f aca="false">IF(ISNUMBER(R178),IF(ISNUMBER(R179),R179-R178,999999),0)</f>
        <v>0</v>
      </c>
      <c r="S180" s="41" t="n">
        <f aca="false">IF(ISNUMBER(S178),IF(ISNUMBER(S179),S179-S178,999999),0)</f>
        <v>0</v>
      </c>
      <c r="T180" s="41" t="n">
        <f aca="false">IF(ISNUMBER(T178),IF(ISNUMBER(T179),T179-T178,999999),0)</f>
        <v>0</v>
      </c>
      <c r="U180" s="41" t="n">
        <f aca="false">IF(ISNUMBER(U178),IF(ISNUMBER(U179),U179-U178,999999),0)</f>
        <v>0</v>
      </c>
      <c r="V180" s="41" t="n">
        <f aca="false">IF(ISNUMBER(V178),IF(ISNUMBER(V179),V179-V178,999999),0)</f>
        <v>0</v>
      </c>
      <c r="W180" s="41" t="n">
        <f aca="false">IF(ISNUMBER(W178),IF(ISNUMBER(W179),W179-W178,999999),0)</f>
        <v>0</v>
      </c>
      <c r="X180" s="41" t="n">
        <f aca="false">IF(ISNUMBER(X178),IF(ISNUMBER(X179),X179-X178,999999),0)</f>
        <v>0</v>
      </c>
      <c r="Y180" s="41" t="n">
        <f aca="false">IF(ISNUMBER(Y178),IF(ISNUMBER(Y179),Y179-Y178,999999),0)</f>
        <v>0</v>
      </c>
      <c r="Z180" s="41" t="n">
        <f aca="false">IF(ISNUMBER(Z178),IF(ISNUMBER(Z179),Z179-Z178,999999),0)</f>
        <v>0</v>
      </c>
      <c r="AA180" s="41" t="n">
        <f aca="false">IF(ISNUMBER(AA178),IF(ISNUMBER(AA179),AA179-AA178,999999),0)</f>
        <v>0</v>
      </c>
      <c r="AB180" s="41" t="n">
        <f aca="false">IF(ISNUMBER(AB178),IF(ISNUMBER(AB179),AB179-AB178,999999),0)</f>
        <v>0</v>
      </c>
      <c r="AC180" s="41" t="n">
        <f aca="false">IF(ISNUMBER(AC178),IF(ISNUMBER(AC179),AC179-AC178,999999),0)</f>
        <v>0</v>
      </c>
      <c r="AD180" s="41" t="n">
        <f aca="false">IF(ISNUMBER(AD178),IF(ISNUMBER(AD179),AD179-AD178,999999),0)</f>
        <v>0</v>
      </c>
      <c r="AE180" s="41" t="n">
        <f aca="false">IF(ISNUMBER(AE178),IF(ISNUMBER(AE179),AE179-AE178,999999),0)</f>
        <v>0</v>
      </c>
    </row>
    <row r="182" customFormat="false" ht="15" hidden="false" customHeight="false" outlineLevel="0" collapsed="false">
      <c r="A182" s="35" t="s">
        <v>1211</v>
      </c>
      <c r="B182" s="6" t="s">
        <v>73</v>
      </c>
      <c r="C182" s="6" t="s">
        <v>47</v>
      </c>
      <c r="D182" s="6" t="n">
        <v>2</v>
      </c>
      <c r="E182" s="6" t="s">
        <v>1165</v>
      </c>
      <c r="K182" s="29"/>
      <c r="L182" s="29" t="n">
        <v>0</v>
      </c>
      <c r="M182" s="29" t="n">
        <v>0</v>
      </c>
      <c r="N182" s="29" t="n">
        <v>0</v>
      </c>
      <c r="O182" s="29" t="n">
        <v>0</v>
      </c>
      <c r="P182" s="29" t="n">
        <v>0</v>
      </c>
      <c r="Q182" s="29" t="n">
        <v>0</v>
      </c>
      <c r="R182" s="29" t="n">
        <v>0</v>
      </c>
      <c r="S182" s="29" t="n">
        <v>0</v>
      </c>
      <c r="T182" s="29" t="n">
        <v>0</v>
      </c>
      <c r="U182" s="29" t="n">
        <v>0</v>
      </c>
      <c r="V182" s="29" t="n">
        <v>0</v>
      </c>
      <c r="W182" s="29" t="n">
        <v>0</v>
      </c>
      <c r="X182" s="29" t="n">
        <v>0</v>
      </c>
      <c r="Y182" s="29" t="n">
        <v>0</v>
      </c>
      <c r="Z182" s="29" t="n">
        <v>0</v>
      </c>
      <c r="AA182" s="29" t="n">
        <v>0</v>
      </c>
      <c r="AB182" s="29" t="n">
        <v>0</v>
      </c>
      <c r="AC182" s="29" t="n">
        <v>0</v>
      </c>
      <c r="AD182" s="29" t="n">
        <v>0</v>
      </c>
      <c r="AE182" s="29" t="n">
        <v>0</v>
      </c>
    </row>
    <row r="183" customFormat="false" ht="15" hidden="false" customHeight="false" outlineLevel="0" collapsed="false">
      <c r="A183" s="35" t="s">
        <v>1211</v>
      </c>
      <c r="B183" s="6" t="s">
        <v>73</v>
      </c>
      <c r="C183" s="6" t="s">
        <v>47</v>
      </c>
      <c r="D183" s="6" t="n">
        <v>2</v>
      </c>
      <c r="E183" s="6" t="s">
        <v>1166</v>
      </c>
      <c r="K183" s="29" t="n">
        <f aca="false">INDEX(Mitigation_Industry!K:K,MATCH($A183,Mitigation_Industry!$H:$H,0))</f>
        <v>0</v>
      </c>
      <c r="L183" s="29" t="n">
        <f aca="false">INDEX(Mitigation_Industry!L:L,MATCH($A183,Mitigation_Industry!$H:$H,0))</f>
        <v>0</v>
      </c>
      <c r="M183" s="29" t="n">
        <f aca="false">INDEX(Mitigation_Industry!M:M,MATCH($A183,Mitigation_Industry!$H:$H,0))</f>
        <v>0</v>
      </c>
      <c r="N183" s="29" t="n">
        <f aca="false">INDEX(Mitigation_Industry!N:N,MATCH($A183,Mitigation_Industry!$H:$H,0))</f>
        <v>0</v>
      </c>
      <c r="O183" s="29" t="n">
        <f aca="false">INDEX(Mitigation_Industry!O:O,MATCH($A183,Mitigation_Industry!$H:$H,0))</f>
        <v>0</v>
      </c>
      <c r="P183" s="29" t="n">
        <f aca="false">INDEX(Mitigation_Industry!P:P,MATCH($A183,Mitigation_Industry!$H:$H,0))</f>
        <v>0</v>
      </c>
      <c r="Q183" s="29" t="n">
        <f aca="false">INDEX(Mitigation_Industry!Q:Q,MATCH($A183,Mitigation_Industry!$H:$H,0))</f>
        <v>0</v>
      </c>
      <c r="R183" s="29" t="n">
        <f aca="false">INDEX(Mitigation_Industry!R:R,MATCH($A183,Mitigation_Industry!$H:$H,0))</f>
        <v>0</v>
      </c>
      <c r="S183" s="29" t="n">
        <f aca="false">INDEX(Mitigation_Industry!S:S,MATCH($A183,Mitigation_Industry!$H:$H,0))</f>
        <v>0</v>
      </c>
      <c r="T183" s="29" t="n">
        <f aca="false">INDEX(Mitigation_Industry!T:T,MATCH($A183,Mitigation_Industry!$H:$H,0))</f>
        <v>0</v>
      </c>
      <c r="U183" s="29" t="n">
        <f aca="false">INDEX(Mitigation_Industry!U:U,MATCH($A183,Mitigation_Industry!$H:$H,0))</f>
        <v>0</v>
      </c>
      <c r="V183" s="29" t="n">
        <f aca="false">INDEX(Mitigation_Industry!V:V,MATCH($A183,Mitigation_Industry!$H:$H,0))</f>
        <v>0</v>
      </c>
      <c r="W183" s="29" t="n">
        <f aca="false">INDEX(Mitigation_Industry!W:W,MATCH($A183,Mitigation_Industry!$H:$H,0))</f>
        <v>0</v>
      </c>
      <c r="X183" s="29" t="n">
        <f aca="false">INDEX(Mitigation_Industry!X:X,MATCH($A183,Mitigation_Industry!$H:$H,0))</f>
        <v>0</v>
      </c>
      <c r="Y183" s="29" t="n">
        <f aca="false">INDEX(Mitigation_Industry!Y:Y,MATCH($A183,Mitigation_Industry!$H:$H,0))</f>
        <v>0</v>
      </c>
      <c r="Z183" s="29" t="n">
        <f aca="false">INDEX(Mitigation_Industry!Z:Z,MATCH($A183,Mitigation_Industry!$H:$H,0))</f>
        <v>0</v>
      </c>
      <c r="AA183" s="29" t="n">
        <f aca="false">INDEX(Mitigation_Industry!AA:AA,MATCH($A183,Mitigation_Industry!$H:$H,0))</f>
        <v>0</v>
      </c>
      <c r="AB183" s="29" t="n">
        <f aca="false">INDEX(Mitigation_Industry!AB:AB,MATCH($A183,Mitigation_Industry!$H:$H,0))</f>
        <v>0</v>
      </c>
      <c r="AC183" s="29" t="n">
        <f aca="false">INDEX(Mitigation_Industry!AC:AC,MATCH($A183,Mitigation_Industry!$H:$H,0))</f>
        <v>0</v>
      </c>
      <c r="AD183" s="29" t="n">
        <f aca="false">INDEX(Mitigation_Industry!AD:AD,MATCH($A183,Mitigation_Industry!$H:$H,0))</f>
        <v>0</v>
      </c>
      <c r="AE183" s="29" t="n">
        <f aca="false">INDEX(Mitigation_Industry!AE:AE,MATCH($A183,Mitigation_Industry!$H:$H,0))</f>
        <v>0</v>
      </c>
    </row>
    <row r="184" customFormat="false" ht="15" hidden="false" customHeight="false" outlineLevel="0" collapsed="false">
      <c r="A184" s="35" t="s">
        <v>1211</v>
      </c>
      <c r="B184" s="6" t="s">
        <v>73</v>
      </c>
      <c r="C184" s="6" t="s">
        <v>47</v>
      </c>
      <c r="D184" s="6" t="n">
        <v>2</v>
      </c>
      <c r="E184" s="2" t="s">
        <v>1167</v>
      </c>
      <c r="F184" s="40" t="n">
        <f aca="false">MAX(MAX(L184:AE184),-MIN(L184:AE184))</f>
        <v>-0</v>
      </c>
      <c r="K184" s="41" t="n">
        <f aca="false">IF(ISNUMBER(K182),IF(ISNUMBER(K183),K183-K182,999999),0)</f>
        <v>0</v>
      </c>
      <c r="L184" s="41" t="n">
        <f aca="false">IF(ISNUMBER(L182),IF(ISNUMBER(L183),L183-L182,999999),0)</f>
        <v>0</v>
      </c>
      <c r="M184" s="41" t="n">
        <f aca="false">IF(ISNUMBER(M182),IF(ISNUMBER(M183),M183-M182,999999),0)</f>
        <v>0</v>
      </c>
      <c r="N184" s="41" t="n">
        <f aca="false">IF(ISNUMBER(N182),IF(ISNUMBER(N183),N183-N182,999999),0)</f>
        <v>0</v>
      </c>
      <c r="O184" s="41" t="n">
        <f aca="false">IF(ISNUMBER(O182),IF(ISNUMBER(O183),O183-O182,999999),0)</f>
        <v>0</v>
      </c>
      <c r="P184" s="41" t="n">
        <f aca="false">IF(ISNUMBER(P182),IF(ISNUMBER(P183),P183-P182,999999),0)</f>
        <v>0</v>
      </c>
      <c r="Q184" s="41" t="n">
        <f aca="false">IF(ISNUMBER(Q182),IF(ISNUMBER(Q183),Q183-Q182,999999),0)</f>
        <v>0</v>
      </c>
      <c r="R184" s="41" t="n">
        <f aca="false">IF(ISNUMBER(R182),IF(ISNUMBER(R183),R183-R182,999999),0)</f>
        <v>0</v>
      </c>
      <c r="S184" s="41" t="n">
        <f aca="false">IF(ISNUMBER(S182),IF(ISNUMBER(S183),S183-S182,999999),0)</f>
        <v>0</v>
      </c>
      <c r="T184" s="41" t="n">
        <f aca="false">IF(ISNUMBER(T182),IF(ISNUMBER(T183),T183-T182,999999),0)</f>
        <v>0</v>
      </c>
      <c r="U184" s="41" t="n">
        <f aca="false">IF(ISNUMBER(U182),IF(ISNUMBER(U183),U183-U182,999999),0)</f>
        <v>0</v>
      </c>
      <c r="V184" s="41" t="n">
        <f aca="false">IF(ISNUMBER(V182),IF(ISNUMBER(V183),V183-V182,999999),0)</f>
        <v>0</v>
      </c>
      <c r="W184" s="41" t="n">
        <f aca="false">IF(ISNUMBER(W182),IF(ISNUMBER(W183),W183-W182,999999),0)</f>
        <v>0</v>
      </c>
      <c r="X184" s="41" t="n">
        <f aca="false">IF(ISNUMBER(X182),IF(ISNUMBER(X183),X183-X182,999999),0)</f>
        <v>0</v>
      </c>
      <c r="Y184" s="41" t="n">
        <f aca="false">IF(ISNUMBER(Y182),IF(ISNUMBER(Y183),Y183-Y182,999999),0)</f>
        <v>0</v>
      </c>
      <c r="Z184" s="41" t="n">
        <f aca="false">IF(ISNUMBER(Z182),IF(ISNUMBER(Z183),Z183-Z182,999999),0)</f>
        <v>0</v>
      </c>
      <c r="AA184" s="41" t="n">
        <f aca="false">IF(ISNUMBER(AA182),IF(ISNUMBER(AA183),AA183-AA182,999999),0)</f>
        <v>0</v>
      </c>
      <c r="AB184" s="41" t="n">
        <f aca="false">IF(ISNUMBER(AB182),IF(ISNUMBER(AB183),AB183-AB182,999999),0)</f>
        <v>0</v>
      </c>
      <c r="AC184" s="41" t="n">
        <f aca="false">IF(ISNUMBER(AC182),IF(ISNUMBER(AC183),AC183-AC182,999999),0)</f>
        <v>0</v>
      </c>
      <c r="AD184" s="41" t="n">
        <f aca="false">IF(ISNUMBER(AD182),IF(ISNUMBER(AD183),AD183-AD182,999999),0)</f>
        <v>0</v>
      </c>
      <c r="AE184" s="41" t="n">
        <f aca="false">IF(ISNUMBER(AE182),IF(ISNUMBER(AE183),AE183-AE182,999999),0)</f>
        <v>0</v>
      </c>
    </row>
    <row r="186" customFormat="false" ht="15" hidden="false" customHeight="false" outlineLevel="0" collapsed="false">
      <c r="A186" s="35" t="s">
        <v>1212</v>
      </c>
      <c r="B186" s="6" t="s">
        <v>53</v>
      </c>
      <c r="C186" s="6" t="s">
        <v>117</v>
      </c>
      <c r="D186" s="6" t="n">
        <v>2</v>
      </c>
      <c r="E186" s="6" t="s">
        <v>1165</v>
      </c>
      <c r="K186" s="29"/>
      <c r="L186" s="29" t="n">
        <v>1463.05522446279</v>
      </c>
      <c r="M186" s="29" t="n">
        <v>1191.36443625172</v>
      </c>
      <c r="N186" s="29" t="n">
        <v>1369.17792822134</v>
      </c>
      <c r="O186" s="29" t="n">
        <v>1496.01034508212</v>
      </c>
      <c r="P186" s="29" t="n">
        <v>1463.00940842421</v>
      </c>
      <c r="Q186" s="29" t="n">
        <v>1374.77234285246</v>
      </c>
      <c r="R186" s="29" t="n">
        <v>1322.36760372015</v>
      </c>
      <c r="S186" s="29" t="n">
        <v>1277.47717298028</v>
      </c>
      <c r="T186" s="29" t="n">
        <v>1237.83393248921</v>
      </c>
      <c r="U186" s="29" t="n">
        <v>1203.55209894037</v>
      </c>
      <c r="V186" s="29" t="n">
        <v>1171.02270062768</v>
      </c>
      <c r="W186" s="29" t="n">
        <v>1143.11583963154</v>
      </c>
      <c r="X186" s="29" t="n">
        <v>1119.17823254117</v>
      </c>
      <c r="Y186" s="29" t="n">
        <v>1098.75874425426</v>
      </c>
      <c r="Z186" s="29" t="n">
        <v>1081.60971426986</v>
      </c>
      <c r="AA186" s="29" t="n">
        <v>1067.4268939288</v>
      </c>
      <c r="AB186" s="29" t="n">
        <v>1055.92370262924</v>
      </c>
      <c r="AC186" s="29" t="n">
        <v>1046.75106789165</v>
      </c>
      <c r="AD186" s="29" t="n">
        <v>1039.61508716763</v>
      </c>
      <c r="AE186" s="29" t="n">
        <v>1034.28206273411</v>
      </c>
    </row>
    <row r="187" customFormat="false" ht="15" hidden="false" customHeight="false" outlineLevel="0" collapsed="false">
      <c r="A187" s="35" t="s">
        <v>1212</v>
      </c>
      <c r="B187" s="6" t="s">
        <v>53</v>
      </c>
      <c r="C187" s="6" t="s">
        <v>117</v>
      </c>
      <c r="D187" s="6" t="n">
        <v>2</v>
      </c>
      <c r="E187" s="6" t="s">
        <v>1166</v>
      </c>
      <c r="K187" s="29" t="n">
        <f aca="false">INDEX(Mitigation_Industry!K:K,MATCH($A187,Mitigation_Industry!$H:$H,0))</f>
        <v>0</v>
      </c>
      <c r="L187" s="29" t="n">
        <f aca="false">INDEX(Mitigation_Industry!L:L,MATCH($A187,Mitigation_Industry!$H:$H,0))</f>
        <v>1463.05522446279</v>
      </c>
      <c r="M187" s="29" t="n">
        <f aca="false">INDEX(Mitigation_Industry!M:M,MATCH($A187,Mitigation_Industry!$H:$H,0))</f>
        <v>1191.36443625172</v>
      </c>
      <c r="N187" s="29" t="n">
        <f aca="false">INDEX(Mitigation_Industry!N:N,MATCH($A187,Mitigation_Industry!$H:$H,0))</f>
        <v>1369.17792822134</v>
      </c>
      <c r="O187" s="29" t="n">
        <f aca="false">INDEX(Mitigation_Industry!O:O,MATCH($A187,Mitigation_Industry!$H:$H,0))</f>
        <v>1496.01034508212</v>
      </c>
      <c r="P187" s="29" t="n">
        <f aca="false">INDEX(Mitigation_Industry!P:P,MATCH($A187,Mitigation_Industry!$H:$H,0))</f>
        <v>1463.00940842421</v>
      </c>
      <c r="Q187" s="29" t="n">
        <f aca="false">INDEX(Mitigation_Industry!Q:Q,MATCH($A187,Mitigation_Industry!$H:$H,0))</f>
        <v>1374.77234285246</v>
      </c>
      <c r="R187" s="29" t="n">
        <f aca="false">INDEX(Mitigation_Industry!R:R,MATCH($A187,Mitigation_Industry!$H:$H,0))</f>
        <v>1322.36760372015</v>
      </c>
      <c r="S187" s="29" t="n">
        <f aca="false">INDEX(Mitigation_Industry!S:S,MATCH($A187,Mitigation_Industry!$H:$H,0))</f>
        <v>1277.47717298028</v>
      </c>
      <c r="T187" s="29" t="n">
        <f aca="false">INDEX(Mitigation_Industry!T:T,MATCH($A187,Mitigation_Industry!$H:$H,0))</f>
        <v>1237.83393248921</v>
      </c>
      <c r="U187" s="29" t="n">
        <f aca="false">INDEX(Mitigation_Industry!U:U,MATCH($A187,Mitigation_Industry!$H:$H,0))</f>
        <v>1203.55209894037</v>
      </c>
      <c r="V187" s="29" t="n">
        <f aca="false">INDEX(Mitigation_Industry!V:V,MATCH($A187,Mitigation_Industry!$H:$H,0))</f>
        <v>1171.02270062767</v>
      </c>
      <c r="W187" s="29" t="n">
        <f aca="false">INDEX(Mitigation_Industry!W:W,MATCH($A187,Mitigation_Industry!$H:$H,0))</f>
        <v>1143.11583963154</v>
      </c>
      <c r="X187" s="29" t="n">
        <f aca="false">INDEX(Mitigation_Industry!X:X,MATCH($A187,Mitigation_Industry!$H:$H,0))</f>
        <v>1119.17823254117</v>
      </c>
      <c r="Y187" s="29" t="n">
        <f aca="false">INDEX(Mitigation_Industry!Y:Y,MATCH($A187,Mitigation_Industry!$H:$H,0))</f>
        <v>1098.75874425426</v>
      </c>
      <c r="Z187" s="29" t="n">
        <f aca="false">INDEX(Mitigation_Industry!Z:Z,MATCH($A187,Mitigation_Industry!$H:$H,0))</f>
        <v>1081.60971426986</v>
      </c>
      <c r="AA187" s="29" t="n">
        <f aca="false">INDEX(Mitigation_Industry!AA:AA,MATCH($A187,Mitigation_Industry!$H:$H,0))</f>
        <v>1067.4268939288</v>
      </c>
      <c r="AB187" s="29" t="n">
        <f aca="false">INDEX(Mitigation_Industry!AB:AB,MATCH($A187,Mitigation_Industry!$H:$H,0))</f>
        <v>1055.92370262924</v>
      </c>
      <c r="AC187" s="29" t="n">
        <f aca="false">INDEX(Mitigation_Industry!AC:AC,MATCH($A187,Mitigation_Industry!$H:$H,0))</f>
        <v>1046.75106789165</v>
      </c>
      <c r="AD187" s="29" t="n">
        <f aca="false">INDEX(Mitigation_Industry!AD:AD,MATCH($A187,Mitigation_Industry!$H:$H,0))</f>
        <v>1039.61508716763</v>
      </c>
      <c r="AE187" s="29" t="n">
        <f aca="false">INDEX(Mitigation_Industry!AE:AE,MATCH($A187,Mitigation_Industry!$H:$H,0))</f>
        <v>1034.28206273411</v>
      </c>
    </row>
    <row r="188" customFormat="false" ht="15" hidden="false" customHeight="false" outlineLevel="0" collapsed="false">
      <c r="A188" s="35" t="s">
        <v>1212</v>
      </c>
      <c r="B188" s="6" t="s">
        <v>53</v>
      </c>
      <c r="C188" s="6" t="s">
        <v>117</v>
      </c>
      <c r="D188" s="6" t="n">
        <v>2</v>
      </c>
      <c r="E188" s="2" t="s">
        <v>1167</v>
      </c>
      <c r="F188" s="40" t="n">
        <f aca="false">MAX(MAX(L188:AE188),-MIN(L188:AE188))</f>
        <v>-0</v>
      </c>
      <c r="K188" s="41" t="n">
        <f aca="false">IF(ISNUMBER(K186),IF(ISNUMBER(K187),K187-K186,999999),0)</f>
        <v>0</v>
      </c>
      <c r="L188" s="41" t="n">
        <f aca="false">IF(ISNUMBER(L186),IF(ISNUMBER(L187),L187-L186,999999),0)</f>
        <v>0</v>
      </c>
      <c r="M188" s="41" t="n">
        <f aca="false">IF(ISNUMBER(M186),IF(ISNUMBER(M187),M187-M186,999999),0)</f>
        <v>0</v>
      </c>
      <c r="N188" s="41" t="n">
        <f aca="false">IF(ISNUMBER(N186),IF(ISNUMBER(N187),N187-N186,999999),0)</f>
        <v>0</v>
      </c>
      <c r="O188" s="41" t="n">
        <f aca="false">IF(ISNUMBER(O186),IF(ISNUMBER(O187),O187-O186,999999),0)</f>
        <v>0</v>
      </c>
      <c r="P188" s="41" t="n">
        <f aca="false">IF(ISNUMBER(P186),IF(ISNUMBER(P187),P187-P186,999999),0)</f>
        <v>0</v>
      </c>
      <c r="Q188" s="41" t="n">
        <f aca="false">IF(ISNUMBER(Q186),IF(ISNUMBER(Q187),Q187-Q186,999999),0)</f>
        <v>0</v>
      </c>
      <c r="R188" s="41" t="n">
        <f aca="false">IF(ISNUMBER(R186),IF(ISNUMBER(R187),R187-R186,999999),0)</f>
        <v>0</v>
      </c>
      <c r="S188" s="41" t="n">
        <f aca="false">IF(ISNUMBER(S186),IF(ISNUMBER(S187),S187-S186,999999),0)</f>
        <v>0</v>
      </c>
      <c r="T188" s="41" t="n">
        <f aca="false">IF(ISNUMBER(T186),IF(ISNUMBER(T187),T187-T186,999999),0)</f>
        <v>0</v>
      </c>
      <c r="U188" s="41" t="n">
        <f aca="false">IF(ISNUMBER(U186),IF(ISNUMBER(U187),U187-U186,999999),0)</f>
        <v>0</v>
      </c>
      <c r="V188" s="41" t="n">
        <f aca="false">IF(ISNUMBER(V186),IF(ISNUMBER(V187),V187-V186,999999),0)</f>
        <v>0</v>
      </c>
      <c r="W188" s="41" t="n">
        <f aca="false">IF(ISNUMBER(W186),IF(ISNUMBER(W187),W187-W186,999999),0)</f>
        <v>0</v>
      </c>
      <c r="X188" s="41" t="n">
        <f aca="false">IF(ISNUMBER(X186),IF(ISNUMBER(X187),X187-X186,999999),0)</f>
        <v>0</v>
      </c>
      <c r="Y188" s="41" t="n">
        <f aca="false">IF(ISNUMBER(Y186),IF(ISNUMBER(Y187),Y187-Y186,999999),0)</f>
        <v>0</v>
      </c>
      <c r="Z188" s="41" t="n">
        <f aca="false">IF(ISNUMBER(Z186),IF(ISNUMBER(Z187),Z187-Z186,999999),0)</f>
        <v>0</v>
      </c>
      <c r="AA188" s="41" t="n">
        <f aca="false">IF(ISNUMBER(AA186),IF(ISNUMBER(AA187),AA187-AA186,999999),0)</f>
        <v>0</v>
      </c>
      <c r="AB188" s="41" t="n">
        <f aca="false">IF(ISNUMBER(AB186),IF(ISNUMBER(AB187),AB187-AB186,999999),0)</f>
        <v>0</v>
      </c>
      <c r="AC188" s="41" t="n">
        <f aca="false">IF(ISNUMBER(AC186),IF(ISNUMBER(AC187),AC187-AC186,999999),0)</f>
        <v>0</v>
      </c>
      <c r="AD188" s="41" t="n">
        <f aca="false">IF(ISNUMBER(AD186),IF(ISNUMBER(AD187),AD187-AD186,999999),0)</f>
        <v>0</v>
      </c>
      <c r="AE188" s="41" t="n">
        <f aca="false">IF(ISNUMBER(AE186),IF(ISNUMBER(AE187),AE187-AE186,999999),0)</f>
        <v>0</v>
      </c>
    </row>
    <row r="190" customFormat="false" ht="15" hidden="false" customHeight="false" outlineLevel="0" collapsed="false">
      <c r="A190" s="35" t="s">
        <v>1213</v>
      </c>
      <c r="B190" s="6" t="s">
        <v>57</v>
      </c>
      <c r="C190" s="6" t="s">
        <v>117</v>
      </c>
      <c r="D190" s="6" t="n">
        <v>2</v>
      </c>
      <c r="E190" s="6" t="s">
        <v>1165</v>
      </c>
      <c r="K190" s="29"/>
      <c r="L190" s="29" t="n">
        <v>1747.39153476208</v>
      </c>
      <c r="M190" s="29" t="n">
        <v>1498.9759731404</v>
      </c>
      <c r="N190" s="29" t="n">
        <v>1678.3581605794</v>
      </c>
      <c r="O190" s="29" t="n">
        <v>1744.68247730686</v>
      </c>
      <c r="P190" s="29" t="n">
        <v>1810.20255932974</v>
      </c>
      <c r="Q190" s="29" t="n">
        <v>1714.65350985502</v>
      </c>
      <c r="R190" s="29" t="n">
        <v>1652.75660244085</v>
      </c>
      <c r="S190" s="29" t="n">
        <v>1600.95662788443</v>
      </c>
      <c r="T190" s="29" t="n">
        <v>1555.26825537714</v>
      </c>
      <c r="U190" s="29" t="n">
        <v>1518.13468028774</v>
      </c>
      <c r="V190" s="29" t="n">
        <v>1488.41386506255</v>
      </c>
      <c r="W190" s="29" t="n">
        <v>1465.26851941002</v>
      </c>
      <c r="X190" s="29" t="n">
        <v>1447.96573066975</v>
      </c>
      <c r="Y190" s="29" t="n">
        <v>1436.1054289753</v>
      </c>
      <c r="Z190" s="29" t="n">
        <v>1429.68738532712</v>
      </c>
      <c r="AA190" s="29" t="n">
        <v>1428.47197780221</v>
      </c>
      <c r="AB190" s="29" t="n">
        <v>1432.19085673629</v>
      </c>
      <c r="AC190" s="29" t="n">
        <v>1440.34013262946</v>
      </c>
      <c r="AD190" s="29" t="n">
        <v>1452.50161045322</v>
      </c>
      <c r="AE190" s="29" t="n">
        <v>1468.36988819222</v>
      </c>
    </row>
    <row r="191" customFormat="false" ht="15" hidden="false" customHeight="false" outlineLevel="0" collapsed="false">
      <c r="A191" s="35" t="s">
        <v>1213</v>
      </c>
      <c r="B191" s="6" t="s">
        <v>57</v>
      </c>
      <c r="C191" s="6" t="s">
        <v>117</v>
      </c>
      <c r="D191" s="6" t="n">
        <v>2</v>
      </c>
      <c r="E191" s="6" t="s">
        <v>1166</v>
      </c>
      <c r="K191" s="29" t="n">
        <f aca="false">INDEX(Mitigation_Industry!K:K,MATCH($A191,Mitigation_Industry!$H:$H,0))</f>
        <v>0</v>
      </c>
      <c r="L191" s="29" t="n">
        <f aca="false">INDEX(Mitigation_Industry!L:L,MATCH($A191,Mitigation_Industry!$H:$H,0))</f>
        <v>1747.39153476208</v>
      </c>
      <c r="M191" s="29" t="n">
        <f aca="false">INDEX(Mitigation_Industry!M:M,MATCH($A191,Mitigation_Industry!$H:$H,0))</f>
        <v>1498.9759731404</v>
      </c>
      <c r="N191" s="29" t="n">
        <f aca="false">INDEX(Mitigation_Industry!N:N,MATCH($A191,Mitigation_Industry!$H:$H,0))</f>
        <v>1678.35816057939</v>
      </c>
      <c r="O191" s="29" t="n">
        <f aca="false">INDEX(Mitigation_Industry!O:O,MATCH($A191,Mitigation_Industry!$H:$H,0))</f>
        <v>1744.68247730686</v>
      </c>
      <c r="P191" s="29" t="n">
        <f aca="false">INDEX(Mitigation_Industry!P:P,MATCH($A191,Mitigation_Industry!$H:$H,0))</f>
        <v>1810.20255932974</v>
      </c>
      <c r="Q191" s="29" t="n">
        <f aca="false">INDEX(Mitigation_Industry!Q:Q,MATCH($A191,Mitigation_Industry!$H:$H,0))</f>
        <v>1714.65350985502</v>
      </c>
      <c r="R191" s="29" t="n">
        <f aca="false">INDEX(Mitigation_Industry!R:R,MATCH($A191,Mitigation_Industry!$H:$H,0))</f>
        <v>1652.75660244085</v>
      </c>
      <c r="S191" s="29" t="n">
        <f aca="false">INDEX(Mitigation_Industry!S:S,MATCH($A191,Mitigation_Industry!$H:$H,0))</f>
        <v>1600.95662788443</v>
      </c>
      <c r="T191" s="29" t="n">
        <f aca="false">INDEX(Mitigation_Industry!T:T,MATCH($A191,Mitigation_Industry!$H:$H,0))</f>
        <v>1555.26825537714</v>
      </c>
      <c r="U191" s="29" t="n">
        <f aca="false">INDEX(Mitigation_Industry!U:U,MATCH($A191,Mitigation_Industry!$H:$H,0))</f>
        <v>1518.13468028774</v>
      </c>
      <c r="V191" s="29" t="n">
        <f aca="false">INDEX(Mitigation_Industry!V:V,MATCH($A191,Mitigation_Industry!$H:$H,0))</f>
        <v>1488.41386506255</v>
      </c>
      <c r="W191" s="29" t="n">
        <f aca="false">INDEX(Mitigation_Industry!W:W,MATCH($A191,Mitigation_Industry!$H:$H,0))</f>
        <v>1465.26851941002</v>
      </c>
      <c r="X191" s="29" t="n">
        <f aca="false">INDEX(Mitigation_Industry!X:X,MATCH($A191,Mitigation_Industry!$H:$H,0))</f>
        <v>1447.96573066975</v>
      </c>
      <c r="Y191" s="29" t="n">
        <f aca="false">INDEX(Mitigation_Industry!Y:Y,MATCH($A191,Mitigation_Industry!$H:$H,0))</f>
        <v>1436.1054289753</v>
      </c>
      <c r="Z191" s="29" t="n">
        <f aca="false">INDEX(Mitigation_Industry!Z:Z,MATCH($A191,Mitigation_Industry!$H:$H,0))</f>
        <v>1429.68738532712</v>
      </c>
      <c r="AA191" s="29" t="n">
        <f aca="false">INDEX(Mitigation_Industry!AA:AA,MATCH($A191,Mitigation_Industry!$H:$H,0))</f>
        <v>1428.47197780221</v>
      </c>
      <c r="AB191" s="29" t="n">
        <f aca="false">INDEX(Mitigation_Industry!AB:AB,MATCH($A191,Mitigation_Industry!$H:$H,0))</f>
        <v>1432.19085673629</v>
      </c>
      <c r="AC191" s="29" t="n">
        <f aca="false">INDEX(Mitigation_Industry!AC:AC,MATCH($A191,Mitigation_Industry!$H:$H,0))</f>
        <v>1440.34013262946</v>
      </c>
      <c r="AD191" s="29" t="n">
        <f aca="false">INDEX(Mitigation_Industry!AD:AD,MATCH($A191,Mitigation_Industry!$H:$H,0))</f>
        <v>1452.50161045322</v>
      </c>
      <c r="AE191" s="29" t="n">
        <f aca="false">INDEX(Mitigation_Industry!AE:AE,MATCH($A191,Mitigation_Industry!$H:$H,0))</f>
        <v>1468.36988819222</v>
      </c>
    </row>
    <row r="192" customFormat="false" ht="15" hidden="false" customHeight="false" outlineLevel="0" collapsed="false">
      <c r="A192" s="35" t="s">
        <v>1213</v>
      </c>
      <c r="B192" s="6" t="s">
        <v>57</v>
      </c>
      <c r="C192" s="6" t="s">
        <v>117</v>
      </c>
      <c r="D192" s="6" t="n">
        <v>2</v>
      </c>
      <c r="E192" s="2" t="s">
        <v>1167</v>
      </c>
      <c r="F192" s="40" t="n">
        <f aca="false">MAX(MAX(L192:AE192),-MIN(L192:AE192))</f>
        <v>-0</v>
      </c>
      <c r="K192" s="41" t="n">
        <f aca="false">IF(ISNUMBER(K190),IF(ISNUMBER(K191),K191-K190,999999),0)</f>
        <v>0</v>
      </c>
      <c r="L192" s="41" t="n">
        <f aca="false">IF(ISNUMBER(L190),IF(ISNUMBER(L191),L191-L190,999999),0)</f>
        <v>0</v>
      </c>
      <c r="M192" s="41" t="n">
        <f aca="false">IF(ISNUMBER(M190),IF(ISNUMBER(M191),M191-M190,999999),0)</f>
        <v>0</v>
      </c>
      <c r="N192" s="41" t="n">
        <f aca="false">IF(ISNUMBER(N190),IF(ISNUMBER(N191),N191-N190,999999),0)</f>
        <v>0</v>
      </c>
      <c r="O192" s="41" t="n">
        <f aca="false">IF(ISNUMBER(O190),IF(ISNUMBER(O191),O191-O190,999999),0)</f>
        <v>0</v>
      </c>
      <c r="P192" s="41" t="n">
        <f aca="false">IF(ISNUMBER(P190),IF(ISNUMBER(P191),P191-P190,999999),0)</f>
        <v>0</v>
      </c>
      <c r="Q192" s="41" t="n">
        <f aca="false">IF(ISNUMBER(Q190),IF(ISNUMBER(Q191),Q191-Q190,999999),0)</f>
        <v>0</v>
      </c>
      <c r="R192" s="41" t="n">
        <f aca="false">IF(ISNUMBER(R190),IF(ISNUMBER(R191),R191-R190,999999),0)</f>
        <v>0</v>
      </c>
      <c r="S192" s="41" t="n">
        <f aca="false">IF(ISNUMBER(S190),IF(ISNUMBER(S191),S191-S190,999999),0)</f>
        <v>0</v>
      </c>
      <c r="T192" s="41" t="n">
        <f aca="false">IF(ISNUMBER(T190),IF(ISNUMBER(T191),T191-T190,999999),0)</f>
        <v>0</v>
      </c>
      <c r="U192" s="41" t="n">
        <f aca="false">IF(ISNUMBER(U190),IF(ISNUMBER(U191),U191-U190,999999),0)</f>
        <v>0</v>
      </c>
      <c r="V192" s="41" t="n">
        <f aca="false">IF(ISNUMBER(V190),IF(ISNUMBER(V191),V191-V190,999999),0)</f>
        <v>0</v>
      </c>
      <c r="W192" s="41" t="n">
        <f aca="false">IF(ISNUMBER(W190),IF(ISNUMBER(W191),W191-W190,999999),0)</f>
        <v>0</v>
      </c>
      <c r="X192" s="41" t="n">
        <f aca="false">IF(ISNUMBER(X190),IF(ISNUMBER(X191),X191-X190,999999),0)</f>
        <v>0</v>
      </c>
      <c r="Y192" s="41" t="n">
        <f aca="false">IF(ISNUMBER(Y190),IF(ISNUMBER(Y191),Y191-Y190,999999),0)</f>
        <v>0</v>
      </c>
      <c r="Z192" s="41" t="n">
        <f aca="false">IF(ISNUMBER(Z190),IF(ISNUMBER(Z191),Z191-Z190,999999),0)</f>
        <v>0</v>
      </c>
      <c r="AA192" s="41" t="n">
        <f aca="false">IF(ISNUMBER(AA190),IF(ISNUMBER(AA191),AA191-AA190,999999),0)</f>
        <v>0</v>
      </c>
      <c r="AB192" s="41" t="n">
        <f aca="false">IF(ISNUMBER(AB190),IF(ISNUMBER(AB191),AB191-AB190,999999),0)</f>
        <v>0</v>
      </c>
      <c r="AC192" s="41" t="n">
        <f aca="false">IF(ISNUMBER(AC190),IF(ISNUMBER(AC191),AC191-AC190,999999),0)</f>
        <v>0</v>
      </c>
      <c r="AD192" s="41" t="n">
        <f aca="false">IF(ISNUMBER(AD190),IF(ISNUMBER(AD191),AD191-AD190,999999),0)</f>
        <v>0</v>
      </c>
      <c r="AE192" s="41" t="n">
        <f aca="false">IF(ISNUMBER(AE190),IF(ISNUMBER(AE191),AE191-AE190,999999),0)</f>
        <v>0</v>
      </c>
    </row>
    <row r="194" customFormat="false" ht="15" hidden="false" customHeight="false" outlineLevel="0" collapsed="false">
      <c r="A194" s="35" t="s">
        <v>1214</v>
      </c>
      <c r="B194" s="6" t="s">
        <v>59</v>
      </c>
      <c r="C194" s="6" t="s">
        <v>117</v>
      </c>
      <c r="D194" s="6" t="n">
        <v>2</v>
      </c>
      <c r="E194" s="6" t="s">
        <v>1165</v>
      </c>
      <c r="K194" s="29"/>
      <c r="L194" s="29" t="n">
        <v>0</v>
      </c>
      <c r="M194" s="29" t="n">
        <v>0</v>
      </c>
      <c r="N194" s="29" t="n">
        <v>0</v>
      </c>
      <c r="O194" s="29" t="n">
        <v>0</v>
      </c>
      <c r="P194" s="29" t="n">
        <v>0</v>
      </c>
      <c r="Q194" s="29" t="n">
        <v>0</v>
      </c>
      <c r="R194" s="29" t="n">
        <v>0</v>
      </c>
      <c r="S194" s="29" t="n">
        <v>0</v>
      </c>
      <c r="T194" s="29" t="n">
        <v>0</v>
      </c>
      <c r="U194" s="29" t="n">
        <v>0</v>
      </c>
      <c r="V194" s="29" t="n">
        <v>0</v>
      </c>
      <c r="W194" s="29" t="n">
        <v>0</v>
      </c>
      <c r="X194" s="29" t="n">
        <v>0</v>
      </c>
      <c r="Y194" s="29" t="n">
        <v>0</v>
      </c>
      <c r="Z194" s="29" t="n">
        <v>0</v>
      </c>
      <c r="AA194" s="29" t="n">
        <v>0</v>
      </c>
      <c r="AB194" s="29" t="n">
        <v>0</v>
      </c>
      <c r="AC194" s="29" t="n">
        <v>0</v>
      </c>
      <c r="AD194" s="29" t="n">
        <v>0</v>
      </c>
      <c r="AE194" s="29" t="n">
        <v>0</v>
      </c>
    </row>
    <row r="195" customFormat="false" ht="15" hidden="false" customHeight="false" outlineLevel="0" collapsed="false">
      <c r="A195" s="35" t="s">
        <v>1214</v>
      </c>
      <c r="B195" s="6" t="s">
        <v>59</v>
      </c>
      <c r="C195" s="6" t="s">
        <v>117</v>
      </c>
      <c r="D195" s="6" t="n">
        <v>2</v>
      </c>
      <c r="E195" s="6" t="s">
        <v>1166</v>
      </c>
      <c r="K195" s="29" t="n">
        <f aca="false">INDEX(Mitigation_Industry!K:K,MATCH($A195,Mitigation_Industry!$H:$H,0))</f>
        <v>0</v>
      </c>
      <c r="L195" s="29" t="n">
        <f aca="false">INDEX(Mitigation_Industry!L:L,MATCH($A195,Mitigation_Industry!$H:$H,0))</f>
        <v>0</v>
      </c>
      <c r="M195" s="29" t="n">
        <f aca="false">INDEX(Mitigation_Industry!M:M,MATCH($A195,Mitigation_Industry!$H:$H,0))</f>
        <v>0</v>
      </c>
      <c r="N195" s="29" t="n">
        <f aca="false">INDEX(Mitigation_Industry!N:N,MATCH($A195,Mitigation_Industry!$H:$H,0))</f>
        <v>0</v>
      </c>
      <c r="O195" s="29" t="n">
        <f aca="false">INDEX(Mitigation_Industry!O:O,MATCH($A195,Mitigation_Industry!$H:$H,0))</f>
        <v>0</v>
      </c>
      <c r="P195" s="29" t="n">
        <f aca="false">INDEX(Mitigation_Industry!P:P,MATCH($A195,Mitigation_Industry!$H:$H,0))</f>
        <v>0</v>
      </c>
      <c r="Q195" s="29" t="n">
        <f aca="false">INDEX(Mitigation_Industry!Q:Q,MATCH($A195,Mitigation_Industry!$H:$H,0))</f>
        <v>0</v>
      </c>
      <c r="R195" s="29" t="n">
        <f aca="false">INDEX(Mitigation_Industry!R:R,MATCH($A195,Mitigation_Industry!$H:$H,0))</f>
        <v>0</v>
      </c>
      <c r="S195" s="29" t="n">
        <f aca="false">INDEX(Mitigation_Industry!S:S,MATCH($A195,Mitigation_Industry!$H:$H,0))</f>
        <v>0</v>
      </c>
      <c r="T195" s="29" t="n">
        <f aca="false">INDEX(Mitigation_Industry!T:T,MATCH($A195,Mitigation_Industry!$H:$H,0))</f>
        <v>0</v>
      </c>
      <c r="U195" s="29" t="n">
        <f aca="false">INDEX(Mitigation_Industry!U:U,MATCH($A195,Mitigation_Industry!$H:$H,0))</f>
        <v>0</v>
      </c>
      <c r="V195" s="29" t="n">
        <f aca="false">INDEX(Mitigation_Industry!V:V,MATCH($A195,Mitigation_Industry!$H:$H,0))</f>
        <v>0</v>
      </c>
      <c r="W195" s="29" t="n">
        <f aca="false">INDEX(Mitigation_Industry!W:W,MATCH($A195,Mitigation_Industry!$H:$H,0))</f>
        <v>0</v>
      </c>
      <c r="X195" s="29" t="n">
        <f aca="false">INDEX(Mitigation_Industry!X:X,MATCH($A195,Mitigation_Industry!$H:$H,0))</f>
        <v>0</v>
      </c>
      <c r="Y195" s="29" t="n">
        <f aca="false">INDEX(Mitigation_Industry!Y:Y,MATCH($A195,Mitigation_Industry!$H:$H,0))</f>
        <v>0</v>
      </c>
      <c r="Z195" s="29" t="n">
        <f aca="false">INDEX(Mitigation_Industry!Z:Z,MATCH($A195,Mitigation_Industry!$H:$H,0))</f>
        <v>0</v>
      </c>
      <c r="AA195" s="29" t="n">
        <f aca="false">INDEX(Mitigation_Industry!AA:AA,MATCH($A195,Mitigation_Industry!$H:$H,0))</f>
        <v>0</v>
      </c>
      <c r="AB195" s="29" t="n">
        <f aca="false">INDEX(Mitigation_Industry!AB:AB,MATCH($A195,Mitigation_Industry!$H:$H,0))</f>
        <v>0</v>
      </c>
      <c r="AC195" s="29" t="n">
        <f aca="false">INDEX(Mitigation_Industry!AC:AC,MATCH($A195,Mitigation_Industry!$H:$H,0))</f>
        <v>0</v>
      </c>
      <c r="AD195" s="29" t="n">
        <f aca="false">INDEX(Mitigation_Industry!AD:AD,MATCH($A195,Mitigation_Industry!$H:$H,0))</f>
        <v>0</v>
      </c>
      <c r="AE195" s="29" t="n">
        <f aca="false">INDEX(Mitigation_Industry!AE:AE,MATCH($A195,Mitigation_Industry!$H:$H,0))</f>
        <v>0</v>
      </c>
    </row>
    <row r="196" customFormat="false" ht="15" hidden="false" customHeight="false" outlineLevel="0" collapsed="false">
      <c r="A196" s="35" t="s">
        <v>1214</v>
      </c>
      <c r="B196" s="6" t="s">
        <v>59</v>
      </c>
      <c r="C196" s="6" t="s">
        <v>117</v>
      </c>
      <c r="D196" s="6" t="n">
        <v>2</v>
      </c>
      <c r="E196" s="2" t="s">
        <v>1167</v>
      </c>
      <c r="F196" s="40" t="n">
        <f aca="false">MAX(MAX(L196:AE196),-MIN(L196:AE196))</f>
        <v>-0</v>
      </c>
      <c r="K196" s="41" t="n">
        <f aca="false">IF(ISNUMBER(K194),IF(ISNUMBER(K195),K195-K194,999999),0)</f>
        <v>0</v>
      </c>
      <c r="L196" s="41" t="n">
        <f aca="false">IF(ISNUMBER(L194),IF(ISNUMBER(L195),L195-L194,999999),0)</f>
        <v>0</v>
      </c>
      <c r="M196" s="41" t="n">
        <f aca="false">IF(ISNUMBER(M194),IF(ISNUMBER(M195),M195-M194,999999),0)</f>
        <v>0</v>
      </c>
      <c r="N196" s="41" t="n">
        <f aca="false">IF(ISNUMBER(N194),IF(ISNUMBER(N195),N195-N194,999999),0)</f>
        <v>0</v>
      </c>
      <c r="O196" s="41" t="n">
        <f aca="false">IF(ISNUMBER(O194),IF(ISNUMBER(O195),O195-O194,999999),0)</f>
        <v>0</v>
      </c>
      <c r="P196" s="41" t="n">
        <f aca="false">IF(ISNUMBER(P194),IF(ISNUMBER(P195),P195-P194,999999),0)</f>
        <v>0</v>
      </c>
      <c r="Q196" s="41" t="n">
        <f aca="false">IF(ISNUMBER(Q194),IF(ISNUMBER(Q195),Q195-Q194,999999),0)</f>
        <v>0</v>
      </c>
      <c r="R196" s="41" t="n">
        <f aca="false">IF(ISNUMBER(R194),IF(ISNUMBER(R195),R195-R194,999999),0)</f>
        <v>0</v>
      </c>
      <c r="S196" s="41" t="n">
        <f aca="false">IF(ISNUMBER(S194),IF(ISNUMBER(S195),S195-S194,999999),0)</f>
        <v>0</v>
      </c>
      <c r="T196" s="41" t="n">
        <f aca="false">IF(ISNUMBER(T194),IF(ISNUMBER(T195),T195-T194,999999),0)</f>
        <v>0</v>
      </c>
      <c r="U196" s="41" t="n">
        <f aca="false">IF(ISNUMBER(U194),IF(ISNUMBER(U195),U195-U194,999999),0)</f>
        <v>0</v>
      </c>
      <c r="V196" s="41" t="n">
        <f aca="false">IF(ISNUMBER(V194),IF(ISNUMBER(V195),V195-V194,999999),0)</f>
        <v>0</v>
      </c>
      <c r="W196" s="41" t="n">
        <f aca="false">IF(ISNUMBER(W194),IF(ISNUMBER(W195),W195-W194,999999),0)</f>
        <v>0</v>
      </c>
      <c r="X196" s="41" t="n">
        <f aca="false">IF(ISNUMBER(X194),IF(ISNUMBER(X195),X195-X194,999999),0)</f>
        <v>0</v>
      </c>
      <c r="Y196" s="41" t="n">
        <f aca="false">IF(ISNUMBER(Y194),IF(ISNUMBER(Y195),Y195-Y194,999999),0)</f>
        <v>0</v>
      </c>
      <c r="Z196" s="41" t="n">
        <f aca="false">IF(ISNUMBER(Z194),IF(ISNUMBER(Z195),Z195-Z194,999999),0)</f>
        <v>0</v>
      </c>
      <c r="AA196" s="41" t="n">
        <f aca="false">IF(ISNUMBER(AA194),IF(ISNUMBER(AA195),AA195-AA194,999999),0)</f>
        <v>0</v>
      </c>
      <c r="AB196" s="41" t="n">
        <f aca="false">IF(ISNUMBER(AB194),IF(ISNUMBER(AB195),AB195-AB194,999999),0)</f>
        <v>0</v>
      </c>
      <c r="AC196" s="41" t="n">
        <f aca="false">IF(ISNUMBER(AC194),IF(ISNUMBER(AC195),AC195-AC194,999999),0)</f>
        <v>0</v>
      </c>
      <c r="AD196" s="41" t="n">
        <f aca="false">IF(ISNUMBER(AD194),IF(ISNUMBER(AD195),AD195-AD194,999999),0)</f>
        <v>0</v>
      </c>
      <c r="AE196" s="41" t="n">
        <f aca="false">IF(ISNUMBER(AE194),IF(ISNUMBER(AE195),AE195-AE194,999999),0)</f>
        <v>0</v>
      </c>
    </row>
    <row r="198" customFormat="false" ht="15" hidden="false" customHeight="false" outlineLevel="0" collapsed="false">
      <c r="A198" s="35" t="s">
        <v>1215</v>
      </c>
      <c r="B198" s="6" t="s">
        <v>62</v>
      </c>
      <c r="C198" s="6" t="s">
        <v>117</v>
      </c>
      <c r="D198" s="6" t="n">
        <v>2</v>
      </c>
      <c r="E198" s="6" t="s">
        <v>1165</v>
      </c>
      <c r="K198" s="29"/>
      <c r="L198" s="29" t="n">
        <v>0</v>
      </c>
      <c r="M198" s="29" t="n">
        <v>0</v>
      </c>
      <c r="N198" s="29" t="n">
        <v>0</v>
      </c>
      <c r="O198" s="29" t="n">
        <v>0</v>
      </c>
      <c r="P198" s="29" t="n">
        <v>0</v>
      </c>
      <c r="Q198" s="29" t="n">
        <v>0</v>
      </c>
      <c r="R198" s="29" t="n">
        <v>0</v>
      </c>
      <c r="S198" s="29" t="n">
        <v>0</v>
      </c>
      <c r="T198" s="29" t="n">
        <v>0</v>
      </c>
      <c r="U198" s="29" t="n">
        <v>0</v>
      </c>
      <c r="V198" s="29" t="n">
        <v>0</v>
      </c>
      <c r="W198" s="29" t="n">
        <v>0</v>
      </c>
      <c r="X198" s="29" t="n">
        <v>0</v>
      </c>
      <c r="Y198" s="29" t="n">
        <v>0</v>
      </c>
      <c r="Z198" s="29" t="n">
        <v>0</v>
      </c>
      <c r="AA198" s="29" t="n">
        <v>0</v>
      </c>
      <c r="AB198" s="29" t="n">
        <v>0</v>
      </c>
      <c r="AC198" s="29" t="n">
        <v>0</v>
      </c>
      <c r="AD198" s="29" t="n">
        <v>0</v>
      </c>
      <c r="AE198" s="29" t="n">
        <v>0</v>
      </c>
    </row>
    <row r="199" customFormat="false" ht="15" hidden="false" customHeight="false" outlineLevel="0" collapsed="false">
      <c r="A199" s="35" t="s">
        <v>1215</v>
      </c>
      <c r="B199" s="6" t="s">
        <v>62</v>
      </c>
      <c r="C199" s="6" t="s">
        <v>117</v>
      </c>
      <c r="D199" s="6" t="n">
        <v>2</v>
      </c>
      <c r="E199" s="6" t="s">
        <v>1166</v>
      </c>
      <c r="K199" s="29" t="n">
        <f aca="false">INDEX(Mitigation_Industry!K:K,MATCH($A199,Mitigation_Industry!$H:$H,0))</f>
        <v>0</v>
      </c>
      <c r="L199" s="29" t="n">
        <f aca="false">INDEX(Mitigation_Industry!L:L,MATCH($A199,Mitigation_Industry!$H:$H,0))</f>
        <v>0</v>
      </c>
      <c r="M199" s="29" t="n">
        <f aca="false">INDEX(Mitigation_Industry!M:M,MATCH($A199,Mitigation_Industry!$H:$H,0))</f>
        <v>0</v>
      </c>
      <c r="N199" s="29" t="n">
        <f aca="false">INDEX(Mitigation_Industry!N:N,MATCH($A199,Mitigation_Industry!$H:$H,0))</f>
        <v>0</v>
      </c>
      <c r="O199" s="29" t="n">
        <f aca="false">INDEX(Mitigation_Industry!O:O,MATCH($A199,Mitigation_Industry!$H:$H,0))</f>
        <v>0</v>
      </c>
      <c r="P199" s="29" t="n">
        <f aca="false">INDEX(Mitigation_Industry!P:P,MATCH($A199,Mitigation_Industry!$H:$H,0))</f>
        <v>0</v>
      </c>
      <c r="Q199" s="29" t="n">
        <f aca="false">INDEX(Mitigation_Industry!Q:Q,MATCH($A199,Mitigation_Industry!$H:$H,0))</f>
        <v>0</v>
      </c>
      <c r="R199" s="29" t="n">
        <f aca="false">INDEX(Mitigation_Industry!R:R,MATCH($A199,Mitigation_Industry!$H:$H,0))</f>
        <v>0</v>
      </c>
      <c r="S199" s="29" t="n">
        <f aca="false">INDEX(Mitigation_Industry!S:S,MATCH($A199,Mitigation_Industry!$H:$H,0))</f>
        <v>0</v>
      </c>
      <c r="T199" s="29" t="n">
        <f aca="false">INDEX(Mitigation_Industry!T:T,MATCH($A199,Mitigation_Industry!$H:$H,0))</f>
        <v>0</v>
      </c>
      <c r="U199" s="29" t="n">
        <f aca="false">INDEX(Mitigation_Industry!U:U,MATCH($A199,Mitigation_Industry!$H:$H,0))</f>
        <v>0</v>
      </c>
      <c r="V199" s="29" t="n">
        <f aca="false">INDEX(Mitigation_Industry!V:V,MATCH($A199,Mitigation_Industry!$H:$H,0))</f>
        <v>0</v>
      </c>
      <c r="W199" s="29" t="n">
        <f aca="false">INDEX(Mitigation_Industry!W:W,MATCH($A199,Mitigation_Industry!$H:$H,0))</f>
        <v>0</v>
      </c>
      <c r="X199" s="29" t="n">
        <f aca="false">INDEX(Mitigation_Industry!X:X,MATCH($A199,Mitigation_Industry!$H:$H,0))</f>
        <v>0</v>
      </c>
      <c r="Y199" s="29" t="n">
        <f aca="false">INDEX(Mitigation_Industry!Y:Y,MATCH($A199,Mitigation_Industry!$H:$H,0))</f>
        <v>0</v>
      </c>
      <c r="Z199" s="29" t="n">
        <f aca="false">INDEX(Mitigation_Industry!Z:Z,MATCH($A199,Mitigation_Industry!$H:$H,0))</f>
        <v>0</v>
      </c>
      <c r="AA199" s="29" t="n">
        <f aca="false">INDEX(Mitigation_Industry!AA:AA,MATCH($A199,Mitigation_Industry!$H:$H,0))</f>
        <v>0</v>
      </c>
      <c r="AB199" s="29" t="n">
        <f aca="false">INDEX(Mitigation_Industry!AB:AB,MATCH($A199,Mitigation_Industry!$H:$H,0))</f>
        <v>0</v>
      </c>
      <c r="AC199" s="29" t="n">
        <f aca="false">INDEX(Mitigation_Industry!AC:AC,MATCH($A199,Mitigation_Industry!$H:$H,0))</f>
        <v>0</v>
      </c>
      <c r="AD199" s="29" t="n">
        <f aca="false">INDEX(Mitigation_Industry!AD:AD,MATCH($A199,Mitigation_Industry!$H:$H,0))</f>
        <v>0</v>
      </c>
      <c r="AE199" s="29" t="n">
        <f aca="false">INDEX(Mitigation_Industry!AE:AE,MATCH($A199,Mitigation_Industry!$H:$H,0))</f>
        <v>0</v>
      </c>
    </row>
    <row r="200" customFormat="false" ht="15" hidden="false" customHeight="false" outlineLevel="0" collapsed="false">
      <c r="A200" s="35" t="s">
        <v>1215</v>
      </c>
      <c r="B200" s="6" t="s">
        <v>62</v>
      </c>
      <c r="C200" s="6" t="s">
        <v>117</v>
      </c>
      <c r="D200" s="6" t="n">
        <v>2</v>
      </c>
      <c r="E200" s="2" t="s">
        <v>1167</v>
      </c>
      <c r="F200" s="40" t="n">
        <f aca="false">MAX(MAX(L200:AE200),-MIN(L200:AE200))</f>
        <v>-0</v>
      </c>
      <c r="K200" s="41" t="n">
        <f aca="false">IF(ISNUMBER(K198),IF(ISNUMBER(K199),K199-K198,999999),0)</f>
        <v>0</v>
      </c>
      <c r="L200" s="41" t="n">
        <f aca="false">IF(ISNUMBER(L198),IF(ISNUMBER(L199),L199-L198,999999),0)</f>
        <v>0</v>
      </c>
      <c r="M200" s="41" t="n">
        <f aca="false">IF(ISNUMBER(M198),IF(ISNUMBER(M199),M199-M198,999999),0)</f>
        <v>0</v>
      </c>
      <c r="N200" s="41" t="n">
        <f aca="false">IF(ISNUMBER(N198),IF(ISNUMBER(N199),N199-N198,999999),0)</f>
        <v>0</v>
      </c>
      <c r="O200" s="41" t="n">
        <f aca="false">IF(ISNUMBER(O198),IF(ISNUMBER(O199),O199-O198,999999),0)</f>
        <v>0</v>
      </c>
      <c r="P200" s="41" t="n">
        <f aca="false">IF(ISNUMBER(P198),IF(ISNUMBER(P199),P199-P198,999999),0)</f>
        <v>0</v>
      </c>
      <c r="Q200" s="41" t="n">
        <f aca="false">IF(ISNUMBER(Q198),IF(ISNUMBER(Q199),Q199-Q198,999999),0)</f>
        <v>0</v>
      </c>
      <c r="R200" s="41" t="n">
        <f aca="false">IF(ISNUMBER(R198),IF(ISNUMBER(R199),R199-R198,999999),0)</f>
        <v>0</v>
      </c>
      <c r="S200" s="41" t="n">
        <f aca="false">IF(ISNUMBER(S198),IF(ISNUMBER(S199),S199-S198,999999),0)</f>
        <v>0</v>
      </c>
      <c r="T200" s="41" t="n">
        <f aca="false">IF(ISNUMBER(T198),IF(ISNUMBER(T199),T199-T198,999999),0)</f>
        <v>0</v>
      </c>
      <c r="U200" s="41" t="n">
        <f aca="false">IF(ISNUMBER(U198),IF(ISNUMBER(U199),U199-U198,999999),0)</f>
        <v>0</v>
      </c>
      <c r="V200" s="41" t="n">
        <f aca="false">IF(ISNUMBER(V198),IF(ISNUMBER(V199),V199-V198,999999),0)</f>
        <v>0</v>
      </c>
      <c r="W200" s="41" t="n">
        <f aca="false">IF(ISNUMBER(W198),IF(ISNUMBER(W199),W199-W198,999999),0)</f>
        <v>0</v>
      </c>
      <c r="X200" s="41" t="n">
        <f aca="false">IF(ISNUMBER(X198),IF(ISNUMBER(X199),X199-X198,999999),0)</f>
        <v>0</v>
      </c>
      <c r="Y200" s="41" t="n">
        <f aca="false">IF(ISNUMBER(Y198),IF(ISNUMBER(Y199),Y199-Y198,999999),0)</f>
        <v>0</v>
      </c>
      <c r="Z200" s="41" t="n">
        <f aca="false">IF(ISNUMBER(Z198),IF(ISNUMBER(Z199),Z199-Z198,999999),0)</f>
        <v>0</v>
      </c>
      <c r="AA200" s="41" t="n">
        <f aca="false">IF(ISNUMBER(AA198),IF(ISNUMBER(AA199),AA199-AA198,999999),0)</f>
        <v>0</v>
      </c>
      <c r="AB200" s="41" t="n">
        <f aca="false">IF(ISNUMBER(AB198),IF(ISNUMBER(AB199),AB199-AB198,999999),0)</f>
        <v>0</v>
      </c>
      <c r="AC200" s="41" t="n">
        <f aca="false">IF(ISNUMBER(AC198),IF(ISNUMBER(AC199),AC199-AC198,999999),0)</f>
        <v>0</v>
      </c>
      <c r="AD200" s="41" t="n">
        <f aca="false">IF(ISNUMBER(AD198),IF(ISNUMBER(AD199),AD199-AD198,999999),0)</f>
        <v>0</v>
      </c>
      <c r="AE200" s="41" t="n">
        <f aca="false">IF(ISNUMBER(AE198),IF(ISNUMBER(AE199),AE199-AE198,999999),0)</f>
        <v>0</v>
      </c>
    </row>
    <row r="202" customFormat="false" ht="15" hidden="false" customHeight="false" outlineLevel="0" collapsed="false">
      <c r="A202" s="35" t="s">
        <v>1216</v>
      </c>
      <c r="B202" s="6" t="s">
        <v>64</v>
      </c>
      <c r="C202" s="6" t="s">
        <v>117</v>
      </c>
      <c r="D202" s="6" t="n">
        <v>2</v>
      </c>
      <c r="E202" s="6" t="s">
        <v>1165</v>
      </c>
      <c r="K202" s="29"/>
      <c r="L202" s="29" t="n">
        <v>0</v>
      </c>
      <c r="M202" s="29" t="n">
        <v>0</v>
      </c>
      <c r="N202" s="29" t="n">
        <v>0</v>
      </c>
      <c r="O202" s="29" t="n">
        <v>0</v>
      </c>
      <c r="P202" s="29" t="n">
        <v>0</v>
      </c>
      <c r="Q202" s="29" t="n">
        <v>0</v>
      </c>
      <c r="R202" s="29" t="n">
        <v>0</v>
      </c>
      <c r="S202" s="29" t="n">
        <v>0</v>
      </c>
      <c r="T202" s="29" t="n">
        <v>0</v>
      </c>
      <c r="U202" s="29" t="n">
        <v>0</v>
      </c>
      <c r="V202" s="29" t="n">
        <v>0</v>
      </c>
      <c r="W202" s="29" t="n">
        <v>0</v>
      </c>
      <c r="X202" s="29" t="n">
        <v>0</v>
      </c>
      <c r="Y202" s="29" t="n">
        <v>0</v>
      </c>
      <c r="Z202" s="29" t="n">
        <v>0</v>
      </c>
      <c r="AA202" s="29" t="n">
        <v>0</v>
      </c>
      <c r="AB202" s="29" t="n">
        <v>0</v>
      </c>
      <c r="AC202" s="29" t="n">
        <v>0</v>
      </c>
      <c r="AD202" s="29" t="n">
        <v>0</v>
      </c>
      <c r="AE202" s="29" t="n">
        <v>0</v>
      </c>
    </row>
    <row r="203" customFormat="false" ht="15" hidden="false" customHeight="false" outlineLevel="0" collapsed="false">
      <c r="A203" s="35" t="s">
        <v>1216</v>
      </c>
      <c r="B203" s="6" t="s">
        <v>64</v>
      </c>
      <c r="C203" s="6" t="s">
        <v>117</v>
      </c>
      <c r="D203" s="6" t="n">
        <v>2</v>
      </c>
      <c r="E203" s="6" t="s">
        <v>1166</v>
      </c>
      <c r="K203" s="29" t="n">
        <f aca="false">INDEX(Mitigation_Industry!K:K,MATCH($A203,Mitigation_Industry!$H:$H,0))</f>
        <v>0</v>
      </c>
      <c r="L203" s="29" t="n">
        <f aca="false">INDEX(Mitigation_Industry!L:L,MATCH($A203,Mitigation_Industry!$H:$H,0))</f>
        <v>0</v>
      </c>
      <c r="M203" s="29" t="n">
        <f aca="false">INDEX(Mitigation_Industry!M:M,MATCH($A203,Mitigation_Industry!$H:$H,0))</f>
        <v>0</v>
      </c>
      <c r="N203" s="29" t="n">
        <f aca="false">INDEX(Mitigation_Industry!N:N,MATCH($A203,Mitigation_Industry!$H:$H,0))</f>
        <v>0</v>
      </c>
      <c r="O203" s="29" t="n">
        <f aca="false">INDEX(Mitigation_Industry!O:O,MATCH($A203,Mitigation_Industry!$H:$H,0))</f>
        <v>0</v>
      </c>
      <c r="P203" s="29" t="n">
        <f aca="false">INDEX(Mitigation_Industry!P:P,MATCH($A203,Mitigation_Industry!$H:$H,0))</f>
        <v>0</v>
      </c>
      <c r="Q203" s="29" t="n">
        <f aca="false">INDEX(Mitigation_Industry!Q:Q,MATCH($A203,Mitigation_Industry!$H:$H,0))</f>
        <v>0</v>
      </c>
      <c r="R203" s="29" t="n">
        <f aca="false">INDEX(Mitigation_Industry!R:R,MATCH($A203,Mitigation_Industry!$H:$H,0))</f>
        <v>0</v>
      </c>
      <c r="S203" s="29" t="n">
        <f aca="false">INDEX(Mitigation_Industry!S:S,MATCH($A203,Mitigation_Industry!$H:$H,0))</f>
        <v>0</v>
      </c>
      <c r="T203" s="29" t="n">
        <f aca="false">INDEX(Mitigation_Industry!T:T,MATCH($A203,Mitigation_Industry!$H:$H,0))</f>
        <v>0</v>
      </c>
      <c r="U203" s="29" t="n">
        <f aca="false">INDEX(Mitigation_Industry!U:U,MATCH($A203,Mitigation_Industry!$H:$H,0))</f>
        <v>0</v>
      </c>
      <c r="V203" s="29" t="n">
        <f aca="false">INDEX(Mitigation_Industry!V:V,MATCH($A203,Mitigation_Industry!$H:$H,0))</f>
        <v>0</v>
      </c>
      <c r="W203" s="29" t="n">
        <f aca="false">INDEX(Mitigation_Industry!W:W,MATCH($A203,Mitigation_Industry!$H:$H,0))</f>
        <v>0</v>
      </c>
      <c r="X203" s="29" t="n">
        <f aca="false">INDEX(Mitigation_Industry!X:X,MATCH($A203,Mitigation_Industry!$H:$H,0))</f>
        <v>0</v>
      </c>
      <c r="Y203" s="29" t="n">
        <f aca="false">INDEX(Mitigation_Industry!Y:Y,MATCH($A203,Mitigation_Industry!$H:$H,0))</f>
        <v>0</v>
      </c>
      <c r="Z203" s="29" t="n">
        <f aca="false">INDEX(Mitigation_Industry!Z:Z,MATCH($A203,Mitigation_Industry!$H:$H,0))</f>
        <v>0</v>
      </c>
      <c r="AA203" s="29" t="n">
        <f aca="false">INDEX(Mitigation_Industry!AA:AA,MATCH($A203,Mitigation_Industry!$H:$H,0))</f>
        <v>0</v>
      </c>
      <c r="AB203" s="29" t="n">
        <f aca="false">INDEX(Mitigation_Industry!AB:AB,MATCH($A203,Mitigation_Industry!$H:$H,0))</f>
        <v>0</v>
      </c>
      <c r="AC203" s="29" t="n">
        <f aca="false">INDEX(Mitigation_Industry!AC:AC,MATCH($A203,Mitigation_Industry!$H:$H,0))</f>
        <v>0</v>
      </c>
      <c r="AD203" s="29" t="n">
        <f aca="false">INDEX(Mitigation_Industry!AD:AD,MATCH($A203,Mitigation_Industry!$H:$H,0))</f>
        <v>0</v>
      </c>
      <c r="AE203" s="29" t="n">
        <f aca="false">INDEX(Mitigation_Industry!AE:AE,MATCH($A203,Mitigation_Industry!$H:$H,0))</f>
        <v>0</v>
      </c>
    </row>
    <row r="204" customFormat="false" ht="15" hidden="false" customHeight="false" outlineLevel="0" collapsed="false">
      <c r="A204" s="35" t="s">
        <v>1216</v>
      </c>
      <c r="B204" s="6" t="s">
        <v>64</v>
      </c>
      <c r="C204" s="6" t="s">
        <v>117</v>
      </c>
      <c r="D204" s="6" t="n">
        <v>2</v>
      </c>
      <c r="E204" s="2" t="s">
        <v>1167</v>
      </c>
      <c r="F204" s="40" t="n">
        <f aca="false">MAX(MAX(L204:AE204),-MIN(L204:AE204))</f>
        <v>-0</v>
      </c>
      <c r="K204" s="41" t="n">
        <f aca="false">IF(ISNUMBER(K202),IF(ISNUMBER(K203),K203-K202,999999),0)</f>
        <v>0</v>
      </c>
      <c r="L204" s="41" t="n">
        <f aca="false">IF(ISNUMBER(L202),IF(ISNUMBER(L203),L203-L202,999999),0)</f>
        <v>0</v>
      </c>
      <c r="M204" s="41" t="n">
        <f aca="false">IF(ISNUMBER(M202),IF(ISNUMBER(M203),M203-M202,999999),0)</f>
        <v>0</v>
      </c>
      <c r="N204" s="41" t="n">
        <f aca="false">IF(ISNUMBER(N202),IF(ISNUMBER(N203),N203-N202,999999),0)</f>
        <v>0</v>
      </c>
      <c r="O204" s="41" t="n">
        <f aca="false">IF(ISNUMBER(O202),IF(ISNUMBER(O203),O203-O202,999999),0)</f>
        <v>0</v>
      </c>
      <c r="P204" s="41" t="n">
        <f aca="false">IF(ISNUMBER(P202),IF(ISNUMBER(P203),P203-P202,999999),0)</f>
        <v>0</v>
      </c>
      <c r="Q204" s="41" t="n">
        <f aca="false">IF(ISNUMBER(Q202),IF(ISNUMBER(Q203),Q203-Q202,999999),0)</f>
        <v>0</v>
      </c>
      <c r="R204" s="41" t="n">
        <f aca="false">IF(ISNUMBER(R202),IF(ISNUMBER(R203),R203-R202,999999),0)</f>
        <v>0</v>
      </c>
      <c r="S204" s="41" t="n">
        <f aca="false">IF(ISNUMBER(S202),IF(ISNUMBER(S203),S203-S202,999999),0)</f>
        <v>0</v>
      </c>
      <c r="T204" s="41" t="n">
        <f aca="false">IF(ISNUMBER(T202),IF(ISNUMBER(T203),T203-T202,999999),0)</f>
        <v>0</v>
      </c>
      <c r="U204" s="41" t="n">
        <f aca="false">IF(ISNUMBER(U202),IF(ISNUMBER(U203),U203-U202,999999),0)</f>
        <v>0</v>
      </c>
      <c r="V204" s="41" t="n">
        <f aca="false">IF(ISNUMBER(V202),IF(ISNUMBER(V203),V203-V202,999999),0)</f>
        <v>0</v>
      </c>
      <c r="W204" s="41" t="n">
        <f aca="false">IF(ISNUMBER(W202),IF(ISNUMBER(W203),W203-W202,999999),0)</f>
        <v>0</v>
      </c>
      <c r="X204" s="41" t="n">
        <f aca="false">IF(ISNUMBER(X202),IF(ISNUMBER(X203),X203-X202,999999),0)</f>
        <v>0</v>
      </c>
      <c r="Y204" s="41" t="n">
        <f aca="false">IF(ISNUMBER(Y202),IF(ISNUMBER(Y203),Y203-Y202,999999),0)</f>
        <v>0</v>
      </c>
      <c r="Z204" s="41" t="n">
        <f aca="false">IF(ISNUMBER(Z202),IF(ISNUMBER(Z203),Z203-Z202,999999),0)</f>
        <v>0</v>
      </c>
      <c r="AA204" s="41" t="n">
        <f aca="false">IF(ISNUMBER(AA202),IF(ISNUMBER(AA203),AA203-AA202,999999),0)</f>
        <v>0</v>
      </c>
      <c r="AB204" s="41" t="n">
        <f aca="false">IF(ISNUMBER(AB202),IF(ISNUMBER(AB203),AB203-AB202,999999),0)</f>
        <v>0</v>
      </c>
      <c r="AC204" s="41" t="n">
        <f aca="false">IF(ISNUMBER(AC202),IF(ISNUMBER(AC203),AC203-AC202,999999),0)</f>
        <v>0</v>
      </c>
      <c r="AD204" s="41" t="n">
        <f aca="false">IF(ISNUMBER(AD202),IF(ISNUMBER(AD203),AD203-AD202,999999),0)</f>
        <v>0</v>
      </c>
      <c r="AE204" s="41" t="n">
        <f aca="false">IF(ISNUMBER(AE202),IF(ISNUMBER(AE203),AE203-AE202,999999),0)</f>
        <v>0</v>
      </c>
    </row>
    <row r="206" customFormat="false" ht="15" hidden="false" customHeight="false" outlineLevel="0" collapsed="false">
      <c r="A206" s="35" t="s">
        <v>1217</v>
      </c>
      <c r="B206" s="6" t="s">
        <v>66</v>
      </c>
      <c r="C206" s="6" t="s">
        <v>117</v>
      </c>
      <c r="D206" s="6" t="n">
        <v>2</v>
      </c>
      <c r="E206" s="6" t="s">
        <v>1165</v>
      </c>
      <c r="K206" s="29"/>
      <c r="L206" s="29" t="n">
        <v>0</v>
      </c>
      <c r="M206" s="29" t="n">
        <v>0</v>
      </c>
      <c r="N206" s="29" t="n">
        <v>0</v>
      </c>
      <c r="O206" s="29" t="n">
        <v>0</v>
      </c>
      <c r="P206" s="29" t="n">
        <v>0</v>
      </c>
      <c r="Q206" s="29" t="n">
        <v>0</v>
      </c>
      <c r="R206" s="29" t="n">
        <v>0</v>
      </c>
      <c r="S206" s="29" t="n">
        <v>0</v>
      </c>
      <c r="T206" s="29" t="n">
        <v>0</v>
      </c>
      <c r="U206" s="29" t="n">
        <v>0</v>
      </c>
      <c r="V206" s="29" t="n">
        <v>0</v>
      </c>
      <c r="W206" s="29" t="n">
        <v>0</v>
      </c>
      <c r="X206" s="29" t="n">
        <v>0</v>
      </c>
      <c r="Y206" s="29" t="n">
        <v>0</v>
      </c>
      <c r="Z206" s="29" t="n">
        <v>0</v>
      </c>
      <c r="AA206" s="29" t="n">
        <v>0</v>
      </c>
      <c r="AB206" s="29" t="n">
        <v>0</v>
      </c>
      <c r="AC206" s="29" t="n">
        <v>0</v>
      </c>
      <c r="AD206" s="29" t="n">
        <v>0</v>
      </c>
      <c r="AE206" s="29" t="n">
        <v>0</v>
      </c>
    </row>
    <row r="207" customFormat="false" ht="15" hidden="false" customHeight="false" outlineLevel="0" collapsed="false">
      <c r="A207" s="35" t="s">
        <v>1217</v>
      </c>
      <c r="B207" s="6" t="s">
        <v>66</v>
      </c>
      <c r="C207" s="6" t="s">
        <v>117</v>
      </c>
      <c r="D207" s="6" t="n">
        <v>2</v>
      </c>
      <c r="E207" s="6" t="s">
        <v>1166</v>
      </c>
      <c r="K207" s="29" t="n">
        <f aca="false">INDEX(Mitigation_Industry!K:K,MATCH($A207,Mitigation_Industry!$H:$H,0))</f>
        <v>0</v>
      </c>
      <c r="L207" s="29" t="n">
        <f aca="false">INDEX(Mitigation_Industry!L:L,MATCH($A207,Mitigation_Industry!$H:$H,0))</f>
        <v>0</v>
      </c>
      <c r="M207" s="29" t="n">
        <f aca="false">INDEX(Mitigation_Industry!M:M,MATCH($A207,Mitigation_Industry!$H:$H,0))</f>
        <v>0</v>
      </c>
      <c r="N207" s="29" t="n">
        <f aca="false">INDEX(Mitigation_Industry!N:N,MATCH($A207,Mitigation_Industry!$H:$H,0))</f>
        <v>0</v>
      </c>
      <c r="O207" s="29" t="n">
        <f aca="false">INDEX(Mitigation_Industry!O:O,MATCH($A207,Mitigation_Industry!$H:$H,0))</f>
        <v>0</v>
      </c>
      <c r="P207" s="29" t="n">
        <f aca="false">INDEX(Mitigation_Industry!P:P,MATCH($A207,Mitigation_Industry!$H:$H,0))</f>
        <v>0</v>
      </c>
      <c r="Q207" s="29" t="n">
        <f aca="false">INDEX(Mitigation_Industry!Q:Q,MATCH($A207,Mitigation_Industry!$H:$H,0))</f>
        <v>0</v>
      </c>
      <c r="R207" s="29" t="n">
        <f aca="false">INDEX(Mitigation_Industry!R:R,MATCH($A207,Mitigation_Industry!$H:$H,0))</f>
        <v>0</v>
      </c>
      <c r="S207" s="29" t="n">
        <f aca="false">INDEX(Mitigation_Industry!S:S,MATCH($A207,Mitigation_Industry!$H:$H,0))</f>
        <v>0</v>
      </c>
      <c r="T207" s="29" t="n">
        <f aca="false">INDEX(Mitigation_Industry!T:T,MATCH($A207,Mitigation_Industry!$H:$H,0))</f>
        <v>0</v>
      </c>
      <c r="U207" s="29" t="n">
        <f aca="false">INDEX(Mitigation_Industry!U:U,MATCH($A207,Mitigation_Industry!$H:$H,0))</f>
        <v>0</v>
      </c>
      <c r="V207" s="29" t="n">
        <f aca="false">INDEX(Mitigation_Industry!V:V,MATCH($A207,Mitigation_Industry!$H:$H,0))</f>
        <v>0</v>
      </c>
      <c r="W207" s="29" t="n">
        <f aca="false">INDEX(Mitigation_Industry!W:W,MATCH($A207,Mitigation_Industry!$H:$H,0))</f>
        <v>0</v>
      </c>
      <c r="X207" s="29" t="n">
        <f aca="false">INDEX(Mitigation_Industry!X:X,MATCH($A207,Mitigation_Industry!$H:$H,0))</f>
        <v>0</v>
      </c>
      <c r="Y207" s="29" t="n">
        <f aca="false">INDEX(Mitigation_Industry!Y:Y,MATCH($A207,Mitigation_Industry!$H:$H,0))</f>
        <v>0</v>
      </c>
      <c r="Z207" s="29" t="n">
        <f aca="false">INDEX(Mitigation_Industry!Z:Z,MATCH($A207,Mitigation_Industry!$H:$H,0))</f>
        <v>0</v>
      </c>
      <c r="AA207" s="29" t="n">
        <f aca="false">INDEX(Mitigation_Industry!AA:AA,MATCH($A207,Mitigation_Industry!$H:$H,0))</f>
        <v>0</v>
      </c>
      <c r="AB207" s="29" t="n">
        <f aca="false">INDEX(Mitigation_Industry!AB:AB,MATCH($A207,Mitigation_Industry!$H:$H,0))</f>
        <v>0</v>
      </c>
      <c r="AC207" s="29" t="n">
        <f aca="false">INDEX(Mitigation_Industry!AC:AC,MATCH($A207,Mitigation_Industry!$H:$H,0))</f>
        <v>0</v>
      </c>
      <c r="AD207" s="29" t="n">
        <f aca="false">INDEX(Mitigation_Industry!AD:AD,MATCH($A207,Mitigation_Industry!$H:$H,0))</f>
        <v>0</v>
      </c>
      <c r="AE207" s="29" t="n">
        <f aca="false">INDEX(Mitigation_Industry!AE:AE,MATCH($A207,Mitigation_Industry!$H:$H,0))</f>
        <v>0</v>
      </c>
    </row>
    <row r="208" customFormat="false" ht="15" hidden="false" customHeight="false" outlineLevel="0" collapsed="false">
      <c r="A208" s="35" t="s">
        <v>1217</v>
      </c>
      <c r="B208" s="6" t="s">
        <v>66</v>
      </c>
      <c r="C208" s="6" t="s">
        <v>117</v>
      </c>
      <c r="D208" s="6" t="n">
        <v>2</v>
      </c>
      <c r="E208" s="2" t="s">
        <v>1167</v>
      </c>
      <c r="F208" s="40" t="n">
        <f aca="false">MAX(MAX(L208:AE208),-MIN(L208:AE208))</f>
        <v>-0</v>
      </c>
      <c r="K208" s="41" t="n">
        <f aca="false">IF(ISNUMBER(K206),IF(ISNUMBER(K207),K207-K206,999999),0)</f>
        <v>0</v>
      </c>
      <c r="L208" s="41" t="n">
        <f aca="false">IF(ISNUMBER(L206),IF(ISNUMBER(L207),L207-L206,999999),0)</f>
        <v>0</v>
      </c>
      <c r="M208" s="41" t="n">
        <f aca="false">IF(ISNUMBER(M206),IF(ISNUMBER(M207),M207-M206,999999),0)</f>
        <v>0</v>
      </c>
      <c r="N208" s="41" t="n">
        <f aca="false">IF(ISNUMBER(N206),IF(ISNUMBER(N207),N207-N206,999999),0)</f>
        <v>0</v>
      </c>
      <c r="O208" s="41" t="n">
        <f aca="false">IF(ISNUMBER(O206),IF(ISNUMBER(O207),O207-O206,999999),0)</f>
        <v>0</v>
      </c>
      <c r="P208" s="41" t="n">
        <f aca="false">IF(ISNUMBER(P206),IF(ISNUMBER(P207),P207-P206,999999),0)</f>
        <v>0</v>
      </c>
      <c r="Q208" s="41" t="n">
        <f aca="false">IF(ISNUMBER(Q206),IF(ISNUMBER(Q207),Q207-Q206,999999),0)</f>
        <v>0</v>
      </c>
      <c r="R208" s="41" t="n">
        <f aca="false">IF(ISNUMBER(R206),IF(ISNUMBER(R207),R207-R206,999999),0)</f>
        <v>0</v>
      </c>
      <c r="S208" s="41" t="n">
        <f aca="false">IF(ISNUMBER(S206),IF(ISNUMBER(S207),S207-S206,999999),0)</f>
        <v>0</v>
      </c>
      <c r="T208" s="41" t="n">
        <f aca="false">IF(ISNUMBER(T206),IF(ISNUMBER(T207),T207-T206,999999),0)</f>
        <v>0</v>
      </c>
      <c r="U208" s="41" t="n">
        <f aca="false">IF(ISNUMBER(U206),IF(ISNUMBER(U207),U207-U206,999999),0)</f>
        <v>0</v>
      </c>
      <c r="V208" s="41" t="n">
        <f aca="false">IF(ISNUMBER(V206),IF(ISNUMBER(V207),V207-V206,999999),0)</f>
        <v>0</v>
      </c>
      <c r="W208" s="41" t="n">
        <f aca="false">IF(ISNUMBER(W206),IF(ISNUMBER(W207),W207-W206,999999),0)</f>
        <v>0</v>
      </c>
      <c r="X208" s="41" t="n">
        <f aca="false">IF(ISNUMBER(X206),IF(ISNUMBER(X207),X207-X206,999999),0)</f>
        <v>0</v>
      </c>
      <c r="Y208" s="41" t="n">
        <f aca="false">IF(ISNUMBER(Y206),IF(ISNUMBER(Y207),Y207-Y206,999999),0)</f>
        <v>0</v>
      </c>
      <c r="Z208" s="41" t="n">
        <f aca="false">IF(ISNUMBER(Z206),IF(ISNUMBER(Z207),Z207-Z206,999999),0)</f>
        <v>0</v>
      </c>
      <c r="AA208" s="41" t="n">
        <f aca="false">IF(ISNUMBER(AA206),IF(ISNUMBER(AA207),AA207-AA206,999999),0)</f>
        <v>0</v>
      </c>
      <c r="AB208" s="41" t="n">
        <f aca="false">IF(ISNUMBER(AB206),IF(ISNUMBER(AB207),AB207-AB206,999999),0)</f>
        <v>0</v>
      </c>
      <c r="AC208" s="41" t="n">
        <f aca="false">IF(ISNUMBER(AC206),IF(ISNUMBER(AC207),AC207-AC206,999999),0)</f>
        <v>0</v>
      </c>
      <c r="AD208" s="41" t="n">
        <f aca="false">IF(ISNUMBER(AD206),IF(ISNUMBER(AD207),AD207-AD206,999999),0)</f>
        <v>0</v>
      </c>
      <c r="AE208" s="41" t="n">
        <f aca="false">IF(ISNUMBER(AE206),IF(ISNUMBER(AE207),AE207-AE206,999999),0)</f>
        <v>0</v>
      </c>
    </row>
    <row r="210" customFormat="false" ht="15" hidden="false" customHeight="false" outlineLevel="0" collapsed="false">
      <c r="A210" s="35" t="s">
        <v>1218</v>
      </c>
      <c r="B210" s="6" t="s">
        <v>68</v>
      </c>
      <c r="C210" s="6" t="s">
        <v>117</v>
      </c>
      <c r="D210" s="6" t="n">
        <v>2</v>
      </c>
      <c r="E210" s="6" t="s">
        <v>1165</v>
      </c>
      <c r="K210" s="29"/>
      <c r="L210" s="29" t="n">
        <v>0</v>
      </c>
      <c r="M210" s="29" t="n">
        <v>0</v>
      </c>
      <c r="N210" s="29" t="n">
        <v>0</v>
      </c>
      <c r="O210" s="29" t="n">
        <v>0</v>
      </c>
      <c r="P210" s="29" t="n">
        <v>0</v>
      </c>
      <c r="Q210" s="29" t="n">
        <v>0</v>
      </c>
      <c r="R210" s="29" t="n">
        <v>0</v>
      </c>
      <c r="S210" s="29" t="n">
        <v>0</v>
      </c>
      <c r="T210" s="29" t="n">
        <v>0</v>
      </c>
      <c r="U210" s="29" t="n">
        <v>0</v>
      </c>
      <c r="V210" s="29" t="n">
        <v>0</v>
      </c>
      <c r="W210" s="29" t="n">
        <v>0</v>
      </c>
      <c r="X210" s="29" t="n">
        <v>0</v>
      </c>
      <c r="Y210" s="29" t="n">
        <v>0</v>
      </c>
      <c r="Z210" s="29" t="n">
        <v>0</v>
      </c>
      <c r="AA210" s="29" t="n">
        <v>0</v>
      </c>
      <c r="AB210" s="29" t="n">
        <v>0</v>
      </c>
      <c r="AC210" s="29" t="n">
        <v>0</v>
      </c>
      <c r="AD210" s="29" t="n">
        <v>0</v>
      </c>
      <c r="AE210" s="29" t="n">
        <v>0</v>
      </c>
    </row>
    <row r="211" customFormat="false" ht="15" hidden="false" customHeight="false" outlineLevel="0" collapsed="false">
      <c r="A211" s="35" t="s">
        <v>1218</v>
      </c>
      <c r="B211" s="6" t="s">
        <v>68</v>
      </c>
      <c r="C211" s="6" t="s">
        <v>117</v>
      </c>
      <c r="D211" s="6" t="n">
        <v>2</v>
      </c>
      <c r="E211" s="6" t="s">
        <v>1166</v>
      </c>
      <c r="K211" s="29" t="n">
        <f aca="false">INDEX(Mitigation_Industry!K:K,MATCH($A211,Mitigation_Industry!$H:$H,0))</f>
        <v>0</v>
      </c>
      <c r="L211" s="29" t="n">
        <f aca="false">INDEX(Mitigation_Industry!L:L,MATCH($A211,Mitigation_Industry!$H:$H,0))</f>
        <v>0</v>
      </c>
      <c r="M211" s="29" t="n">
        <f aca="false">INDEX(Mitigation_Industry!M:M,MATCH($A211,Mitigation_Industry!$H:$H,0))</f>
        <v>0</v>
      </c>
      <c r="N211" s="29" t="n">
        <f aca="false">INDEX(Mitigation_Industry!N:N,MATCH($A211,Mitigation_Industry!$H:$H,0))</f>
        <v>0</v>
      </c>
      <c r="O211" s="29" t="n">
        <f aca="false">INDEX(Mitigation_Industry!O:O,MATCH($A211,Mitigation_Industry!$H:$H,0))</f>
        <v>0</v>
      </c>
      <c r="P211" s="29" t="n">
        <f aca="false">INDEX(Mitigation_Industry!P:P,MATCH($A211,Mitigation_Industry!$H:$H,0))</f>
        <v>0</v>
      </c>
      <c r="Q211" s="29" t="n">
        <f aca="false">INDEX(Mitigation_Industry!Q:Q,MATCH($A211,Mitigation_Industry!$H:$H,0))</f>
        <v>0</v>
      </c>
      <c r="R211" s="29" t="n">
        <f aca="false">INDEX(Mitigation_Industry!R:R,MATCH($A211,Mitigation_Industry!$H:$H,0))</f>
        <v>0</v>
      </c>
      <c r="S211" s="29" t="n">
        <f aca="false">INDEX(Mitigation_Industry!S:S,MATCH($A211,Mitigation_Industry!$H:$H,0))</f>
        <v>0</v>
      </c>
      <c r="T211" s="29" t="n">
        <f aca="false">INDEX(Mitigation_Industry!T:T,MATCH($A211,Mitigation_Industry!$H:$H,0))</f>
        <v>0</v>
      </c>
      <c r="U211" s="29" t="n">
        <f aca="false">INDEX(Mitigation_Industry!U:U,MATCH($A211,Mitigation_Industry!$H:$H,0))</f>
        <v>0</v>
      </c>
      <c r="V211" s="29" t="n">
        <f aca="false">INDEX(Mitigation_Industry!V:V,MATCH($A211,Mitigation_Industry!$H:$H,0))</f>
        <v>0</v>
      </c>
      <c r="W211" s="29" t="n">
        <f aca="false">INDEX(Mitigation_Industry!W:W,MATCH($A211,Mitigation_Industry!$H:$H,0))</f>
        <v>0</v>
      </c>
      <c r="X211" s="29" t="n">
        <f aca="false">INDEX(Mitigation_Industry!X:X,MATCH($A211,Mitigation_Industry!$H:$H,0))</f>
        <v>0</v>
      </c>
      <c r="Y211" s="29" t="n">
        <f aca="false">INDEX(Mitigation_Industry!Y:Y,MATCH($A211,Mitigation_Industry!$H:$H,0))</f>
        <v>0</v>
      </c>
      <c r="Z211" s="29" t="n">
        <f aca="false">INDEX(Mitigation_Industry!Z:Z,MATCH($A211,Mitigation_Industry!$H:$H,0))</f>
        <v>0</v>
      </c>
      <c r="AA211" s="29" t="n">
        <f aca="false">INDEX(Mitigation_Industry!AA:AA,MATCH($A211,Mitigation_Industry!$H:$H,0))</f>
        <v>0</v>
      </c>
      <c r="AB211" s="29" t="n">
        <f aca="false">INDEX(Mitigation_Industry!AB:AB,MATCH($A211,Mitigation_Industry!$H:$H,0))</f>
        <v>0</v>
      </c>
      <c r="AC211" s="29" t="n">
        <f aca="false">INDEX(Mitigation_Industry!AC:AC,MATCH($A211,Mitigation_Industry!$H:$H,0))</f>
        <v>0</v>
      </c>
      <c r="AD211" s="29" t="n">
        <f aca="false">INDEX(Mitigation_Industry!AD:AD,MATCH($A211,Mitigation_Industry!$H:$H,0))</f>
        <v>0</v>
      </c>
      <c r="AE211" s="29" t="n">
        <f aca="false">INDEX(Mitigation_Industry!AE:AE,MATCH($A211,Mitigation_Industry!$H:$H,0))</f>
        <v>0</v>
      </c>
    </row>
    <row r="212" customFormat="false" ht="15" hidden="false" customHeight="false" outlineLevel="0" collapsed="false">
      <c r="A212" s="35" t="s">
        <v>1218</v>
      </c>
      <c r="B212" s="6" t="s">
        <v>68</v>
      </c>
      <c r="C212" s="6" t="s">
        <v>117</v>
      </c>
      <c r="D212" s="6" t="n">
        <v>2</v>
      </c>
      <c r="E212" s="2" t="s">
        <v>1167</v>
      </c>
      <c r="F212" s="40" t="n">
        <f aca="false">MAX(MAX(L212:AE212),-MIN(L212:AE212))</f>
        <v>-0</v>
      </c>
      <c r="K212" s="41" t="n">
        <f aca="false">IF(ISNUMBER(K210),IF(ISNUMBER(K211),K211-K210,999999),0)</f>
        <v>0</v>
      </c>
      <c r="L212" s="41" t="n">
        <f aca="false">IF(ISNUMBER(L210),IF(ISNUMBER(L211),L211-L210,999999),0)</f>
        <v>0</v>
      </c>
      <c r="M212" s="41" t="n">
        <f aca="false">IF(ISNUMBER(M210),IF(ISNUMBER(M211),M211-M210,999999),0)</f>
        <v>0</v>
      </c>
      <c r="N212" s="41" t="n">
        <f aca="false">IF(ISNUMBER(N210),IF(ISNUMBER(N211),N211-N210,999999),0)</f>
        <v>0</v>
      </c>
      <c r="O212" s="41" t="n">
        <f aca="false">IF(ISNUMBER(O210),IF(ISNUMBER(O211),O211-O210,999999),0)</f>
        <v>0</v>
      </c>
      <c r="P212" s="41" t="n">
        <f aca="false">IF(ISNUMBER(P210),IF(ISNUMBER(P211),P211-P210,999999),0)</f>
        <v>0</v>
      </c>
      <c r="Q212" s="41" t="n">
        <f aca="false">IF(ISNUMBER(Q210),IF(ISNUMBER(Q211),Q211-Q210,999999),0)</f>
        <v>0</v>
      </c>
      <c r="R212" s="41" t="n">
        <f aca="false">IF(ISNUMBER(R210),IF(ISNUMBER(R211),R211-R210,999999),0)</f>
        <v>0</v>
      </c>
      <c r="S212" s="41" t="n">
        <f aca="false">IF(ISNUMBER(S210),IF(ISNUMBER(S211),S211-S210,999999),0)</f>
        <v>0</v>
      </c>
      <c r="T212" s="41" t="n">
        <f aca="false">IF(ISNUMBER(T210),IF(ISNUMBER(T211),T211-T210,999999),0)</f>
        <v>0</v>
      </c>
      <c r="U212" s="41" t="n">
        <f aca="false">IF(ISNUMBER(U210),IF(ISNUMBER(U211),U211-U210,999999),0)</f>
        <v>0</v>
      </c>
      <c r="V212" s="41" t="n">
        <f aca="false">IF(ISNUMBER(V210),IF(ISNUMBER(V211),V211-V210,999999),0)</f>
        <v>0</v>
      </c>
      <c r="W212" s="41" t="n">
        <f aca="false">IF(ISNUMBER(W210),IF(ISNUMBER(W211),W211-W210,999999),0)</f>
        <v>0</v>
      </c>
      <c r="X212" s="41" t="n">
        <f aca="false">IF(ISNUMBER(X210),IF(ISNUMBER(X211),X211-X210,999999),0)</f>
        <v>0</v>
      </c>
      <c r="Y212" s="41" t="n">
        <f aca="false">IF(ISNUMBER(Y210),IF(ISNUMBER(Y211),Y211-Y210,999999),0)</f>
        <v>0</v>
      </c>
      <c r="Z212" s="41" t="n">
        <f aca="false">IF(ISNUMBER(Z210),IF(ISNUMBER(Z211),Z211-Z210,999999),0)</f>
        <v>0</v>
      </c>
      <c r="AA212" s="41" t="n">
        <f aca="false">IF(ISNUMBER(AA210),IF(ISNUMBER(AA211),AA211-AA210,999999),0)</f>
        <v>0</v>
      </c>
      <c r="AB212" s="41" t="n">
        <f aca="false">IF(ISNUMBER(AB210),IF(ISNUMBER(AB211),AB211-AB210,999999),0)</f>
        <v>0</v>
      </c>
      <c r="AC212" s="41" t="n">
        <f aca="false">IF(ISNUMBER(AC210),IF(ISNUMBER(AC211),AC211-AC210,999999),0)</f>
        <v>0</v>
      </c>
      <c r="AD212" s="41" t="n">
        <f aca="false">IF(ISNUMBER(AD210),IF(ISNUMBER(AD211),AD211-AD210,999999),0)</f>
        <v>0</v>
      </c>
      <c r="AE212" s="41" t="n">
        <f aca="false">IF(ISNUMBER(AE210),IF(ISNUMBER(AE211),AE211-AE210,999999),0)</f>
        <v>0</v>
      </c>
    </row>
    <row r="214" customFormat="false" ht="15" hidden="false" customHeight="false" outlineLevel="0" collapsed="false">
      <c r="A214" s="35" t="s">
        <v>1219</v>
      </c>
      <c r="B214" s="6" t="s">
        <v>71</v>
      </c>
      <c r="C214" s="6" t="s">
        <v>117</v>
      </c>
      <c r="D214" s="6" t="n">
        <v>2</v>
      </c>
      <c r="E214" s="6" t="s">
        <v>1165</v>
      </c>
      <c r="K214" s="29"/>
      <c r="L214" s="29" t="n">
        <v>0</v>
      </c>
      <c r="M214" s="29" t="n">
        <v>0</v>
      </c>
      <c r="N214" s="29" t="n">
        <v>0</v>
      </c>
      <c r="O214" s="29" t="n">
        <v>0</v>
      </c>
      <c r="P214" s="29" t="n">
        <v>0</v>
      </c>
      <c r="Q214" s="29" t="n">
        <v>0</v>
      </c>
      <c r="R214" s="29" t="n">
        <v>0</v>
      </c>
      <c r="S214" s="29" t="n">
        <v>0</v>
      </c>
      <c r="T214" s="29" t="n">
        <v>0</v>
      </c>
      <c r="U214" s="29" t="n">
        <v>0</v>
      </c>
      <c r="V214" s="29" t="n">
        <v>0</v>
      </c>
      <c r="W214" s="29" t="n">
        <v>0</v>
      </c>
      <c r="X214" s="29" t="n">
        <v>0</v>
      </c>
      <c r="Y214" s="29" t="n">
        <v>0</v>
      </c>
      <c r="Z214" s="29" t="n">
        <v>0</v>
      </c>
      <c r="AA214" s="29" t="n">
        <v>0</v>
      </c>
      <c r="AB214" s="29" t="n">
        <v>0</v>
      </c>
      <c r="AC214" s="29" t="n">
        <v>0</v>
      </c>
      <c r="AD214" s="29" t="n">
        <v>0</v>
      </c>
      <c r="AE214" s="29" t="n">
        <v>0</v>
      </c>
    </row>
    <row r="215" customFormat="false" ht="15" hidden="false" customHeight="false" outlineLevel="0" collapsed="false">
      <c r="A215" s="35" t="s">
        <v>1219</v>
      </c>
      <c r="B215" s="6" t="s">
        <v>71</v>
      </c>
      <c r="C215" s="6" t="s">
        <v>117</v>
      </c>
      <c r="D215" s="6" t="n">
        <v>2</v>
      </c>
      <c r="E215" s="6" t="s">
        <v>1166</v>
      </c>
      <c r="K215" s="29" t="n">
        <f aca="false">INDEX(Mitigation_Industry!K:K,MATCH($A215,Mitigation_Industry!$H:$H,0))</f>
        <v>0</v>
      </c>
      <c r="L215" s="29" t="n">
        <f aca="false">INDEX(Mitigation_Industry!L:L,MATCH($A215,Mitigation_Industry!$H:$H,0))</f>
        <v>0</v>
      </c>
      <c r="M215" s="29" t="n">
        <f aca="false">INDEX(Mitigation_Industry!M:M,MATCH($A215,Mitigation_Industry!$H:$H,0))</f>
        <v>0</v>
      </c>
      <c r="N215" s="29" t="n">
        <f aca="false">INDEX(Mitigation_Industry!N:N,MATCH($A215,Mitigation_Industry!$H:$H,0))</f>
        <v>0</v>
      </c>
      <c r="O215" s="29" t="n">
        <f aca="false">INDEX(Mitigation_Industry!O:O,MATCH($A215,Mitigation_Industry!$H:$H,0))</f>
        <v>0</v>
      </c>
      <c r="P215" s="29" t="n">
        <f aca="false">INDEX(Mitigation_Industry!P:P,MATCH($A215,Mitigation_Industry!$H:$H,0))</f>
        <v>0</v>
      </c>
      <c r="Q215" s="29" t="n">
        <f aca="false">INDEX(Mitigation_Industry!Q:Q,MATCH($A215,Mitigation_Industry!$H:$H,0))</f>
        <v>0</v>
      </c>
      <c r="R215" s="29" t="n">
        <f aca="false">INDEX(Mitigation_Industry!R:R,MATCH($A215,Mitigation_Industry!$H:$H,0))</f>
        <v>0</v>
      </c>
      <c r="S215" s="29" t="n">
        <f aca="false">INDEX(Mitigation_Industry!S:S,MATCH($A215,Mitigation_Industry!$H:$H,0))</f>
        <v>0</v>
      </c>
      <c r="T215" s="29" t="n">
        <f aca="false">INDEX(Mitigation_Industry!T:T,MATCH($A215,Mitigation_Industry!$H:$H,0))</f>
        <v>0</v>
      </c>
      <c r="U215" s="29" t="n">
        <f aca="false">INDEX(Mitigation_Industry!U:U,MATCH($A215,Mitigation_Industry!$H:$H,0))</f>
        <v>0</v>
      </c>
      <c r="V215" s="29" t="n">
        <f aca="false">INDEX(Mitigation_Industry!V:V,MATCH($A215,Mitigation_Industry!$H:$H,0))</f>
        <v>0</v>
      </c>
      <c r="W215" s="29" t="n">
        <f aca="false">INDEX(Mitigation_Industry!W:W,MATCH($A215,Mitigation_Industry!$H:$H,0))</f>
        <v>0</v>
      </c>
      <c r="X215" s="29" t="n">
        <f aca="false">INDEX(Mitigation_Industry!X:X,MATCH($A215,Mitigation_Industry!$H:$H,0))</f>
        <v>0</v>
      </c>
      <c r="Y215" s="29" t="n">
        <f aca="false">INDEX(Mitigation_Industry!Y:Y,MATCH($A215,Mitigation_Industry!$H:$H,0))</f>
        <v>0</v>
      </c>
      <c r="Z215" s="29" t="n">
        <f aca="false">INDEX(Mitigation_Industry!Z:Z,MATCH($A215,Mitigation_Industry!$H:$H,0))</f>
        <v>0</v>
      </c>
      <c r="AA215" s="29" t="n">
        <f aca="false">INDEX(Mitigation_Industry!AA:AA,MATCH($A215,Mitigation_Industry!$H:$H,0))</f>
        <v>0</v>
      </c>
      <c r="AB215" s="29" t="n">
        <f aca="false">INDEX(Mitigation_Industry!AB:AB,MATCH($A215,Mitigation_Industry!$H:$H,0))</f>
        <v>0</v>
      </c>
      <c r="AC215" s="29" t="n">
        <f aca="false">INDEX(Mitigation_Industry!AC:AC,MATCH($A215,Mitigation_Industry!$H:$H,0))</f>
        <v>0</v>
      </c>
      <c r="AD215" s="29" t="n">
        <f aca="false">INDEX(Mitigation_Industry!AD:AD,MATCH($A215,Mitigation_Industry!$H:$H,0))</f>
        <v>0</v>
      </c>
      <c r="AE215" s="29" t="n">
        <f aca="false">INDEX(Mitigation_Industry!AE:AE,MATCH($A215,Mitigation_Industry!$H:$H,0))</f>
        <v>0</v>
      </c>
    </row>
    <row r="216" customFormat="false" ht="15" hidden="false" customHeight="false" outlineLevel="0" collapsed="false">
      <c r="A216" s="35" t="s">
        <v>1219</v>
      </c>
      <c r="B216" s="6" t="s">
        <v>71</v>
      </c>
      <c r="C216" s="6" t="s">
        <v>117</v>
      </c>
      <c r="D216" s="6" t="n">
        <v>2</v>
      </c>
      <c r="E216" s="2" t="s">
        <v>1167</v>
      </c>
      <c r="F216" s="40" t="n">
        <f aca="false">MAX(MAX(L216:AE216),-MIN(L216:AE216))</f>
        <v>-0</v>
      </c>
      <c r="K216" s="41" t="n">
        <f aca="false">IF(ISNUMBER(K214),IF(ISNUMBER(K215),K215-K214,999999),0)</f>
        <v>0</v>
      </c>
      <c r="L216" s="41" t="n">
        <f aca="false">IF(ISNUMBER(L214),IF(ISNUMBER(L215),L215-L214,999999),0)</f>
        <v>0</v>
      </c>
      <c r="M216" s="41" t="n">
        <f aca="false">IF(ISNUMBER(M214),IF(ISNUMBER(M215),M215-M214,999999),0)</f>
        <v>0</v>
      </c>
      <c r="N216" s="41" t="n">
        <f aca="false">IF(ISNUMBER(N214),IF(ISNUMBER(N215),N215-N214,999999),0)</f>
        <v>0</v>
      </c>
      <c r="O216" s="41" t="n">
        <f aca="false">IF(ISNUMBER(O214),IF(ISNUMBER(O215),O215-O214,999999),0)</f>
        <v>0</v>
      </c>
      <c r="P216" s="41" t="n">
        <f aca="false">IF(ISNUMBER(P214),IF(ISNUMBER(P215),P215-P214,999999),0)</f>
        <v>0</v>
      </c>
      <c r="Q216" s="41" t="n">
        <f aca="false">IF(ISNUMBER(Q214),IF(ISNUMBER(Q215),Q215-Q214,999999),0)</f>
        <v>0</v>
      </c>
      <c r="R216" s="41" t="n">
        <f aca="false">IF(ISNUMBER(R214),IF(ISNUMBER(R215),R215-R214,999999),0)</f>
        <v>0</v>
      </c>
      <c r="S216" s="41" t="n">
        <f aca="false">IF(ISNUMBER(S214),IF(ISNUMBER(S215),S215-S214,999999),0)</f>
        <v>0</v>
      </c>
      <c r="T216" s="41" t="n">
        <f aca="false">IF(ISNUMBER(T214),IF(ISNUMBER(T215),T215-T214,999999),0)</f>
        <v>0</v>
      </c>
      <c r="U216" s="41" t="n">
        <f aca="false">IF(ISNUMBER(U214),IF(ISNUMBER(U215),U215-U214,999999),0)</f>
        <v>0</v>
      </c>
      <c r="V216" s="41" t="n">
        <f aca="false">IF(ISNUMBER(V214),IF(ISNUMBER(V215),V215-V214,999999),0)</f>
        <v>0</v>
      </c>
      <c r="W216" s="41" t="n">
        <f aca="false">IF(ISNUMBER(W214),IF(ISNUMBER(W215),W215-W214,999999),0)</f>
        <v>0</v>
      </c>
      <c r="X216" s="41" t="n">
        <f aca="false">IF(ISNUMBER(X214),IF(ISNUMBER(X215),X215-X214,999999),0)</f>
        <v>0</v>
      </c>
      <c r="Y216" s="41" t="n">
        <f aca="false">IF(ISNUMBER(Y214),IF(ISNUMBER(Y215),Y215-Y214,999999),0)</f>
        <v>0</v>
      </c>
      <c r="Z216" s="41" t="n">
        <f aca="false">IF(ISNUMBER(Z214),IF(ISNUMBER(Z215),Z215-Z214,999999),0)</f>
        <v>0</v>
      </c>
      <c r="AA216" s="41" t="n">
        <f aca="false">IF(ISNUMBER(AA214),IF(ISNUMBER(AA215),AA215-AA214,999999),0)</f>
        <v>0</v>
      </c>
      <c r="AB216" s="41" t="n">
        <f aca="false">IF(ISNUMBER(AB214),IF(ISNUMBER(AB215),AB215-AB214,999999),0)</f>
        <v>0</v>
      </c>
      <c r="AC216" s="41" t="n">
        <f aca="false">IF(ISNUMBER(AC214),IF(ISNUMBER(AC215),AC215-AC214,999999),0)</f>
        <v>0</v>
      </c>
      <c r="AD216" s="41" t="n">
        <f aca="false">IF(ISNUMBER(AD214),IF(ISNUMBER(AD215),AD215-AD214,999999),0)</f>
        <v>0</v>
      </c>
      <c r="AE216" s="41" t="n">
        <f aca="false">IF(ISNUMBER(AE214),IF(ISNUMBER(AE215),AE215-AE214,999999),0)</f>
        <v>0</v>
      </c>
    </row>
    <row r="218" customFormat="false" ht="15" hidden="false" customHeight="false" outlineLevel="0" collapsed="false">
      <c r="A218" s="35" t="s">
        <v>1220</v>
      </c>
      <c r="B218" s="6" t="s">
        <v>73</v>
      </c>
      <c r="C218" s="6" t="s">
        <v>117</v>
      </c>
      <c r="D218" s="6" t="n">
        <v>2</v>
      </c>
      <c r="E218" s="6" t="s">
        <v>1165</v>
      </c>
      <c r="K218" s="29"/>
      <c r="L218" s="29" t="n">
        <v>0</v>
      </c>
      <c r="M218" s="29" t="n">
        <v>0</v>
      </c>
      <c r="N218" s="29" t="n">
        <v>0</v>
      </c>
      <c r="O218" s="29" t="n">
        <v>0</v>
      </c>
      <c r="P218" s="29" t="n">
        <v>0</v>
      </c>
      <c r="Q218" s="29" t="n">
        <v>0</v>
      </c>
      <c r="R218" s="29" t="n">
        <v>0</v>
      </c>
      <c r="S218" s="29" t="n">
        <v>0</v>
      </c>
      <c r="T218" s="29" t="n">
        <v>0</v>
      </c>
      <c r="U218" s="29" t="n">
        <v>0</v>
      </c>
      <c r="V218" s="29" t="n">
        <v>0</v>
      </c>
      <c r="W218" s="29" t="n">
        <v>0</v>
      </c>
      <c r="X218" s="29" t="n">
        <v>0</v>
      </c>
      <c r="Y218" s="29" t="n">
        <v>0</v>
      </c>
      <c r="Z218" s="29" t="n">
        <v>0</v>
      </c>
      <c r="AA218" s="29" t="n">
        <v>0</v>
      </c>
      <c r="AB218" s="29" t="n">
        <v>0</v>
      </c>
      <c r="AC218" s="29" t="n">
        <v>0</v>
      </c>
      <c r="AD218" s="29" t="n">
        <v>0</v>
      </c>
      <c r="AE218" s="29" t="n">
        <v>0</v>
      </c>
    </row>
    <row r="219" customFormat="false" ht="15" hidden="false" customHeight="false" outlineLevel="0" collapsed="false">
      <c r="A219" s="35" t="s">
        <v>1220</v>
      </c>
      <c r="B219" s="6" t="s">
        <v>73</v>
      </c>
      <c r="C219" s="6" t="s">
        <v>117</v>
      </c>
      <c r="D219" s="6" t="n">
        <v>2</v>
      </c>
      <c r="E219" s="6" t="s">
        <v>1166</v>
      </c>
      <c r="K219" s="29" t="n">
        <f aca="false">INDEX(Mitigation_Industry!K:K,MATCH($A219,Mitigation_Industry!$H:$H,0))</f>
        <v>0</v>
      </c>
      <c r="L219" s="29" t="n">
        <f aca="false">INDEX(Mitigation_Industry!L:L,MATCH($A219,Mitigation_Industry!$H:$H,0))</f>
        <v>0</v>
      </c>
      <c r="M219" s="29" t="n">
        <f aca="false">INDEX(Mitigation_Industry!M:M,MATCH($A219,Mitigation_Industry!$H:$H,0))</f>
        <v>0</v>
      </c>
      <c r="N219" s="29" t="n">
        <f aca="false">INDEX(Mitigation_Industry!N:N,MATCH($A219,Mitigation_Industry!$H:$H,0))</f>
        <v>0</v>
      </c>
      <c r="O219" s="29" t="n">
        <f aca="false">INDEX(Mitigation_Industry!O:O,MATCH($A219,Mitigation_Industry!$H:$H,0))</f>
        <v>0</v>
      </c>
      <c r="P219" s="29" t="n">
        <f aca="false">INDEX(Mitigation_Industry!P:P,MATCH($A219,Mitigation_Industry!$H:$H,0))</f>
        <v>0</v>
      </c>
      <c r="Q219" s="29" t="n">
        <f aca="false">INDEX(Mitigation_Industry!Q:Q,MATCH($A219,Mitigation_Industry!$H:$H,0))</f>
        <v>0</v>
      </c>
      <c r="R219" s="29" t="n">
        <f aca="false">INDEX(Mitigation_Industry!R:R,MATCH($A219,Mitigation_Industry!$H:$H,0))</f>
        <v>0</v>
      </c>
      <c r="S219" s="29" t="n">
        <f aca="false">INDEX(Mitigation_Industry!S:S,MATCH($A219,Mitigation_Industry!$H:$H,0))</f>
        <v>0</v>
      </c>
      <c r="T219" s="29" t="n">
        <f aca="false">INDEX(Mitigation_Industry!T:T,MATCH($A219,Mitigation_Industry!$H:$H,0))</f>
        <v>0</v>
      </c>
      <c r="U219" s="29" t="n">
        <f aca="false">INDEX(Mitigation_Industry!U:U,MATCH($A219,Mitigation_Industry!$H:$H,0))</f>
        <v>0</v>
      </c>
      <c r="V219" s="29" t="n">
        <f aca="false">INDEX(Mitigation_Industry!V:V,MATCH($A219,Mitigation_Industry!$H:$H,0))</f>
        <v>0</v>
      </c>
      <c r="W219" s="29" t="n">
        <f aca="false">INDEX(Mitigation_Industry!W:W,MATCH($A219,Mitigation_Industry!$H:$H,0))</f>
        <v>0</v>
      </c>
      <c r="X219" s="29" t="n">
        <f aca="false">INDEX(Mitigation_Industry!X:X,MATCH($A219,Mitigation_Industry!$H:$H,0))</f>
        <v>0</v>
      </c>
      <c r="Y219" s="29" t="n">
        <f aca="false">INDEX(Mitigation_Industry!Y:Y,MATCH($A219,Mitigation_Industry!$H:$H,0))</f>
        <v>0</v>
      </c>
      <c r="Z219" s="29" t="n">
        <f aca="false">INDEX(Mitigation_Industry!Z:Z,MATCH($A219,Mitigation_Industry!$H:$H,0))</f>
        <v>0</v>
      </c>
      <c r="AA219" s="29" t="n">
        <f aca="false">INDEX(Mitigation_Industry!AA:AA,MATCH($A219,Mitigation_Industry!$H:$H,0))</f>
        <v>0</v>
      </c>
      <c r="AB219" s="29" t="n">
        <f aca="false">INDEX(Mitigation_Industry!AB:AB,MATCH($A219,Mitigation_Industry!$H:$H,0))</f>
        <v>0</v>
      </c>
      <c r="AC219" s="29" t="n">
        <f aca="false">INDEX(Mitigation_Industry!AC:AC,MATCH($A219,Mitigation_Industry!$H:$H,0))</f>
        <v>0</v>
      </c>
      <c r="AD219" s="29" t="n">
        <f aca="false">INDEX(Mitigation_Industry!AD:AD,MATCH($A219,Mitigation_Industry!$H:$H,0))</f>
        <v>0</v>
      </c>
      <c r="AE219" s="29" t="n">
        <f aca="false">INDEX(Mitigation_Industry!AE:AE,MATCH($A219,Mitigation_Industry!$H:$H,0))</f>
        <v>0</v>
      </c>
    </row>
    <row r="220" customFormat="false" ht="15" hidden="false" customHeight="false" outlineLevel="0" collapsed="false">
      <c r="A220" s="35" t="s">
        <v>1220</v>
      </c>
      <c r="B220" s="6" t="s">
        <v>73</v>
      </c>
      <c r="C220" s="6" t="s">
        <v>117</v>
      </c>
      <c r="D220" s="6" t="n">
        <v>2</v>
      </c>
      <c r="E220" s="2" t="s">
        <v>1167</v>
      </c>
      <c r="F220" s="40" t="n">
        <f aca="false">MAX(MAX(L220:AE220),-MIN(L220:AE220))</f>
        <v>-0</v>
      </c>
      <c r="K220" s="41" t="n">
        <f aca="false">IF(ISNUMBER(K218),IF(ISNUMBER(K219),K219-K218,999999),0)</f>
        <v>0</v>
      </c>
      <c r="L220" s="41" t="n">
        <f aca="false">IF(ISNUMBER(L218),IF(ISNUMBER(L219),L219-L218,999999),0)</f>
        <v>0</v>
      </c>
      <c r="M220" s="41" t="n">
        <f aca="false">IF(ISNUMBER(M218),IF(ISNUMBER(M219),M219-M218,999999),0)</f>
        <v>0</v>
      </c>
      <c r="N220" s="41" t="n">
        <f aca="false">IF(ISNUMBER(N218),IF(ISNUMBER(N219),N219-N218,999999),0)</f>
        <v>0</v>
      </c>
      <c r="O220" s="41" t="n">
        <f aca="false">IF(ISNUMBER(O218),IF(ISNUMBER(O219),O219-O218,999999),0)</f>
        <v>0</v>
      </c>
      <c r="P220" s="41" t="n">
        <f aca="false">IF(ISNUMBER(P218),IF(ISNUMBER(P219),P219-P218,999999),0)</f>
        <v>0</v>
      </c>
      <c r="Q220" s="41" t="n">
        <f aca="false">IF(ISNUMBER(Q218),IF(ISNUMBER(Q219),Q219-Q218,999999),0)</f>
        <v>0</v>
      </c>
      <c r="R220" s="41" t="n">
        <f aca="false">IF(ISNUMBER(R218),IF(ISNUMBER(R219),R219-R218,999999),0)</f>
        <v>0</v>
      </c>
      <c r="S220" s="41" t="n">
        <f aca="false">IF(ISNUMBER(S218),IF(ISNUMBER(S219),S219-S218,999999),0)</f>
        <v>0</v>
      </c>
      <c r="T220" s="41" t="n">
        <f aca="false">IF(ISNUMBER(T218),IF(ISNUMBER(T219),T219-T218,999999),0)</f>
        <v>0</v>
      </c>
      <c r="U220" s="41" t="n">
        <f aca="false">IF(ISNUMBER(U218),IF(ISNUMBER(U219),U219-U218,999999),0)</f>
        <v>0</v>
      </c>
      <c r="V220" s="41" t="n">
        <f aca="false">IF(ISNUMBER(V218),IF(ISNUMBER(V219),V219-V218,999999),0)</f>
        <v>0</v>
      </c>
      <c r="W220" s="41" t="n">
        <f aca="false">IF(ISNUMBER(W218),IF(ISNUMBER(W219),W219-W218,999999),0)</f>
        <v>0</v>
      </c>
      <c r="X220" s="41" t="n">
        <f aca="false">IF(ISNUMBER(X218),IF(ISNUMBER(X219),X219-X218,999999),0)</f>
        <v>0</v>
      </c>
      <c r="Y220" s="41" t="n">
        <f aca="false">IF(ISNUMBER(Y218),IF(ISNUMBER(Y219),Y219-Y218,999999),0)</f>
        <v>0</v>
      </c>
      <c r="Z220" s="41" t="n">
        <f aca="false">IF(ISNUMBER(Z218),IF(ISNUMBER(Z219),Z219-Z218,999999),0)</f>
        <v>0</v>
      </c>
      <c r="AA220" s="41" t="n">
        <f aca="false">IF(ISNUMBER(AA218),IF(ISNUMBER(AA219),AA219-AA218,999999),0)</f>
        <v>0</v>
      </c>
      <c r="AB220" s="41" t="n">
        <f aca="false">IF(ISNUMBER(AB218),IF(ISNUMBER(AB219),AB219-AB218,999999),0)</f>
        <v>0</v>
      </c>
      <c r="AC220" s="41" t="n">
        <f aca="false">IF(ISNUMBER(AC218),IF(ISNUMBER(AC219),AC219-AC218,999999),0)</f>
        <v>0</v>
      </c>
      <c r="AD220" s="41" t="n">
        <f aca="false">IF(ISNUMBER(AD218),IF(ISNUMBER(AD219),AD219-AD218,999999),0)</f>
        <v>0</v>
      </c>
      <c r="AE220" s="41" t="n">
        <f aca="false">IF(ISNUMBER(AE218),IF(ISNUMBER(AE219),AE219-AE218,999999),0)</f>
        <v>0</v>
      </c>
    </row>
    <row r="222" customFormat="false" ht="15" hidden="false" customHeight="false" outlineLevel="0" collapsed="false">
      <c r="A222" s="35" t="s">
        <v>1221</v>
      </c>
      <c r="B222" s="6" t="s">
        <v>53</v>
      </c>
      <c r="C222" s="6" t="s">
        <v>119</v>
      </c>
      <c r="D222" s="6" t="n">
        <v>2</v>
      </c>
      <c r="E222" s="6" t="s">
        <v>1165</v>
      </c>
      <c r="K222" s="29"/>
      <c r="L222" s="29" t="n">
        <v>0</v>
      </c>
      <c r="M222" s="29" t="n">
        <v>0</v>
      </c>
      <c r="N222" s="29" t="n">
        <v>0</v>
      </c>
      <c r="O222" s="29" t="n">
        <v>0</v>
      </c>
      <c r="P222" s="29" t="n">
        <v>0</v>
      </c>
      <c r="Q222" s="29" t="n">
        <v>0</v>
      </c>
      <c r="R222" s="29" t="n">
        <v>0</v>
      </c>
      <c r="S222" s="29" t="n">
        <v>0</v>
      </c>
      <c r="T222" s="29" t="n">
        <v>0</v>
      </c>
      <c r="U222" s="29" t="n">
        <v>0</v>
      </c>
      <c r="V222" s="29" t="n">
        <v>0</v>
      </c>
      <c r="W222" s="29" t="n">
        <v>0</v>
      </c>
      <c r="X222" s="29" t="n">
        <v>0</v>
      </c>
      <c r="Y222" s="29" t="n">
        <v>0</v>
      </c>
      <c r="Z222" s="29" t="n">
        <v>0</v>
      </c>
      <c r="AA222" s="29" t="n">
        <v>0</v>
      </c>
      <c r="AB222" s="29" t="n">
        <v>0</v>
      </c>
      <c r="AC222" s="29" t="n">
        <v>0</v>
      </c>
      <c r="AD222" s="29" t="n">
        <v>0</v>
      </c>
      <c r="AE222" s="29" t="n">
        <v>0</v>
      </c>
    </row>
    <row r="223" customFormat="false" ht="15" hidden="false" customHeight="false" outlineLevel="0" collapsed="false">
      <c r="A223" s="35" t="s">
        <v>1221</v>
      </c>
      <c r="B223" s="6" t="s">
        <v>53</v>
      </c>
      <c r="C223" s="6" t="s">
        <v>119</v>
      </c>
      <c r="D223" s="6" t="n">
        <v>2</v>
      </c>
      <c r="E223" s="6" t="s">
        <v>1166</v>
      </c>
      <c r="K223" s="29" t="n">
        <f aca="false">INDEX(Mitigation_Industry!K:K,MATCH($A223,Mitigation_Industry!$H:$H,0))</f>
        <v>0</v>
      </c>
      <c r="L223" s="29" t="n">
        <f aca="false">INDEX(Mitigation_Industry!L:L,MATCH($A223,Mitigation_Industry!$H:$H,0))</f>
        <v>0</v>
      </c>
      <c r="M223" s="29" t="n">
        <f aca="false">INDEX(Mitigation_Industry!M:M,MATCH($A223,Mitigation_Industry!$H:$H,0))</f>
        <v>0</v>
      </c>
      <c r="N223" s="29" t="n">
        <f aca="false">INDEX(Mitigation_Industry!N:N,MATCH($A223,Mitigation_Industry!$H:$H,0))</f>
        <v>0</v>
      </c>
      <c r="O223" s="29" t="n">
        <f aca="false">INDEX(Mitigation_Industry!O:O,MATCH($A223,Mitigation_Industry!$H:$H,0))</f>
        <v>0</v>
      </c>
      <c r="P223" s="29" t="n">
        <f aca="false">INDEX(Mitigation_Industry!P:P,MATCH($A223,Mitigation_Industry!$H:$H,0))</f>
        <v>0</v>
      </c>
      <c r="Q223" s="29" t="n">
        <f aca="false">INDEX(Mitigation_Industry!Q:Q,MATCH($A223,Mitigation_Industry!$H:$H,0))</f>
        <v>0</v>
      </c>
      <c r="R223" s="29" t="n">
        <f aca="false">INDEX(Mitigation_Industry!R:R,MATCH($A223,Mitigation_Industry!$H:$H,0))</f>
        <v>0</v>
      </c>
      <c r="S223" s="29" t="n">
        <f aca="false">INDEX(Mitigation_Industry!S:S,MATCH($A223,Mitigation_Industry!$H:$H,0))</f>
        <v>0</v>
      </c>
      <c r="T223" s="29" t="n">
        <f aca="false">INDEX(Mitigation_Industry!T:T,MATCH($A223,Mitigation_Industry!$H:$H,0))</f>
        <v>0</v>
      </c>
      <c r="U223" s="29" t="n">
        <f aca="false">INDEX(Mitigation_Industry!U:U,MATCH($A223,Mitigation_Industry!$H:$H,0))</f>
        <v>0</v>
      </c>
      <c r="V223" s="29" t="n">
        <f aca="false">INDEX(Mitigation_Industry!V:V,MATCH($A223,Mitigation_Industry!$H:$H,0))</f>
        <v>0</v>
      </c>
      <c r="W223" s="29" t="n">
        <f aca="false">INDEX(Mitigation_Industry!W:W,MATCH($A223,Mitigation_Industry!$H:$H,0))</f>
        <v>0</v>
      </c>
      <c r="X223" s="29" t="n">
        <f aca="false">INDEX(Mitigation_Industry!X:X,MATCH($A223,Mitigation_Industry!$H:$H,0))</f>
        <v>0</v>
      </c>
      <c r="Y223" s="29" t="n">
        <f aca="false">INDEX(Mitigation_Industry!Y:Y,MATCH($A223,Mitigation_Industry!$H:$H,0))</f>
        <v>0</v>
      </c>
      <c r="Z223" s="29" t="n">
        <f aca="false">INDEX(Mitigation_Industry!Z:Z,MATCH($A223,Mitigation_Industry!$H:$H,0))</f>
        <v>0</v>
      </c>
      <c r="AA223" s="29" t="n">
        <f aca="false">INDEX(Mitigation_Industry!AA:AA,MATCH($A223,Mitigation_Industry!$H:$H,0))</f>
        <v>0</v>
      </c>
      <c r="AB223" s="29" t="n">
        <f aca="false">INDEX(Mitigation_Industry!AB:AB,MATCH($A223,Mitigation_Industry!$H:$H,0))</f>
        <v>0</v>
      </c>
      <c r="AC223" s="29" t="n">
        <f aca="false">INDEX(Mitigation_Industry!AC:AC,MATCH($A223,Mitigation_Industry!$H:$H,0))</f>
        <v>0</v>
      </c>
      <c r="AD223" s="29" t="n">
        <f aca="false">INDEX(Mitigation_Industry!AD:AD,MATCH($A223,Mitigation_Industry!$H:$H,0))</f>
        <v>0</v>
      </c>
      <c r="AE223" s="29" t="n">
        <f aca="false">INDEX(Mitigation_Industry!AE:AE,MATCH($A223,Mitigation_Industry!$H:$H,0))</f>
        <v>0</v>
      </c>
    </row>
    <row r="224" customFormat="false" ht="15" hidden="false" customHeight="false" outlineLevel="0" collapsed="false">
      <c r="A224" s="35" t="s">
        <v>1221</v>
      </c>
      <c r="B224" s="6" t="s">
        <v>53</v>
      </c>
      <c r="C224" s="6" t="s">
        <v>119</v>
      </c>
      <c r="D224" s="6" t="n">
        <v>2</v>
      </c>
      <c r="E224" s="2" t="s">
        <v>1167</v>
      </c>
      <c r="F224" s="40" t="n">
        <f aca="false">MAX(MAX(L224:AE224),-MIN(L224:AE224))</f>
        <v>-0</v>
      </c>
      <c r="K224" s="41" t="n">
        <f aca="false">IF(ISNUMBER(K222),IF(ISNUMBER(K223),K223-K222,999999),0)</f>
        <v>0</v>
      </c>
      <c r="L224" s="41" t="n">
        <f aca="false">IF(ISNUMBER(L222),IF(ISNUMBER(L223),L223-L222,999999),0)</f>
        <v>0</v>
      </c>
      <c r="M224" s="41" t="n">
        <f aca="false">IF(ISNUMBER(M222),IF(ISNUMBER(M223),M223-M222,999999),0)</f>
        <v>0</v>
      </c>
      <c r="N224" s="41" t="n">
        <f aca="false">IF(ISNUMBER(N222),IF(ISNUMBER(N223),N223-N222,999999),0)</f>
        <v>0</v>
      </c>
      <c r="O224" s="41" t="n">
        <f aca="false">IF(ISNUMBER(O222),IF(ISNUMBER(O223),O223-O222,999999),0)</f>
        <v>0</v>
      </c>
      <c r="P224" s="41" t="n">
        <f aca="false">IF(ISNUMBER(P222),IF(ISNUMBER(P223),P223-P222,999999),0)</f>
        <v>0</v>
      </c>
      <c r="Q224" s="41" t="n">
        <f aca="false">IF(ISNUMBER(Q222),IF(ISNUMBER(Q223),Q223-Q222,999999),0)</f>
        <v>0</v>
      </c>
      <c r="R224" s="41" t="n">
        <f aca="false">IF(ISNUMBER(R222),IF(ISNUMBER(R223),R223-R222,999999),0)</f>
        <v>0</v>
      </c>
      <c r="S224" s="41" t="n">
        <f aca="false">IF(ISNUMBER(S222),IF(ISNUMBER(S223),S223-S222,999999),0)</f>
        <v>0</v>
      </c>
      <c r="T224" s="41" t="n">
        <f aca="false">IF(ISNUMBER(T222),IF(ISNUMBER(T223),T223-T222,999999),0)</f>
        <v>0</v>
      </c>
      <c r="U224" s="41" t="n">
        <f aca="false">IF(ISNUMBER(U222),IF(ISNUMBER(U223),U223-U222,999999),0)</f>
        <v>0</v>
      </c>
      <c r="V224" s="41" t="n">
        <f aca="false">IF(ISNUMBER(V222),IF(ISNUMBER(V223),V223-V222,999999),0)</f>
        <v>0</v>
      </c>
      <c r="W224" s="41" t="n">
        <f aca="false">IF(ISNUMBER(W222),IF(ISNUMBER(W223),W223-W222,999999),0)</f>
        <v>0</v>
      </c>
      <c r="X224" s="41" t="n">
        <f aca="false">IF(ISNUMBER(X222),IF(ISNUMBER(X223),X223-X222,999999),0)</f>
        <v>0</v>
      </c>
      <c r="Y224" s="41" t="n">
        <f aca="false">IF(ISNUMBER(Y222),IF(ISNUMBER(Y223),Y223-Y222,999999),0)</f>
        <v>0</v>
      </c>
      <c r="Z224" s="41" t="n">
        <f aca="false">IF(ISNUMBER(Z222),IF(ISNUMBER(Z223),Z223-Z222,999999),0)</f>
        <v>0</v>
      </c>
      <c r="AA224" s="41" t="n">
        <f aca="false">IF(ISNUMBER(AA222),IF(ISNUMBER(AA223),AA223-AA222,999999),0)</f>
        <v>0</v>
      </c>
      <c r="AB224" s="41" t="n">
        <f aca="false">IF(ISNUMBER(AB222),IF(ISNUMBER(AB223),AB223-AB222,999999),0)</f>
        <v>0</v>
      </c>
      <c r="AC224" s="41" t="n">
        <f aca="false">IF(ISNUMBER(AC222),IF(ISNUMBER(AC223),AC223-AC222,999999),0)</f>
        <v>0</v>
      </c>
      <c r="AD224" s="41" t="n">
        <f aca="false">IF(ISNUMBER(AD222),IF(ISNUMBER(AD223),AD223-AD222,999999),0)</f>
        <v>0</v>
      </c>
      <c r="AE224" s="41" t="n">
        <f aca="false">IF(ISNUMBER(AE222),IF(ISNUMBER(AE223),AE223-AE222,999999),0)</f>
        <v>0</v>
      </c>
    </row>
    <row r="226" customFormat="false" ht="15" hidden="false" customHeight="false" outlineLevel="0" collapsed="false">
      <c r="A226" s="35" t="s">
        <v>1222</v>
      </c>
      <c r="B226" s="6" t="s">
        <v>57</v>
      </c>
      <c r="C226" s="6" t="s">
        <v>119</v>
      </c>
      <c r="D226" s="6" t="n">
        <v>2</v>
      </c>
      <c r="E226" s="6" t="s">
        <v>1165</v>
      </c>
      <c r="K226" s="29"/>
      <c r="L226" s="29" t="n">
        <v>0</v>
      </c>
      <c r="M226" s="29" t="n">
        <v>0</v>
      </c>
      <c r="N226" s="29" t="n">
        <v>0</v>
      </c>
      <c r="O226" s="29" t="n">
        <v>0</v>
      </c>
      <c r="P226" s="29" t="n">
        <v>0</v>
      </c>
      <c r="Q226" s="29" t="n">
        <v>0</v>
      </c>
      <c r="R226" s="29" t="n">
        <v>0</v>
      </c>
      <c r="S226" s="29" t="n">
        <v>0</v>
      </c>
      <c r="T226" s="29" t="n">
        <v>0</v>
      </c>
      <c r="U226" s="29" t="n">
        <v>0</v>
      </c>
      <c r="V226" s="29" t="n">
        <v>0</v>
      </c>
      <c r="W226" s="29" t="n">
        <v>0</v>
      </c>
      <c r="X226" s="29" t="n">
        <v>0</v>
      </c>
      <c r="Y226" s="29" t="n">
        <v>0</v>
      </c>
      <c r="Z226" s="29" t="n">
        <v>0</v>
      </c>
      <c r="AA226" s="29" t="n">
        <v>0</v>
      </c>
      <c r="AB226" s="29" t="n">
        <v>0</v>
      </c>
      <c r="AC226" s="29" t="n">
        <v>0</v>
      </c>
      <c r="AD226" s="29" t="n">
        <v>0</v>
      </c>
      <c r="AE226" s="29" t="n">
        <v>0</v>
      </c>
    </row>
    <row r="227" customFormat="false" ht="15" hidden="false" customHeight="false" outlineLevel="0" collapsed="false">
      <c r="A227" s="35" t="s">
        <v>1222</v>
      </c>
      <c r="B227" s="6" t="s">
        <v>57</v>
      </c>
      <c r="C227" s="6" t="s">
        <v>119</v>
      </c>
      <c r="D227" s="6" t="n">
        <v>2</v>
      </c>
      <c r="E227" s="6" t="s">
        <v>1166</v>
      </c>
      <c r="K227" s="29" t="n">
        <f aca="false">INDEX(Mitigation_Industry!K:K,MATCH($A227,Mitigation_Industry!$H:$H,0))</f>
        <v>0</v>
      </c>
      <c r="L227" s="29" t="n">
        <f aca="false">INDEX(Mitigation_Industry!L:L,MATCH($A227,Mitigation_Industry!$H:$H,0))</f>
        <v>0</v>
      </c>
      <c r="M227" s="29" t="n">
        <f aca="false">INDEX(Mitigation_Industry!M:M,MATCH($A227,Mitigation_Industry!$H:$H,0))</f>
        <v>0</v>
      </c>
      <c r="N227" s="29" t="n">
        <f aca="false">INDEX(Mitigation_Industry!N:N,MATCH($A227,Mitigation_Industry!$H:$H,0))</f>
        <v>0</v>
      </c>
      <c r="O227" s="29" t="n">
        <f aca="false">INDEX(Mitigation_Industry!O:O,MATCH($A227,Mitigation_Industry!$H:$H,0))</f>
        <v>0</v>
      </c>
      <c r="P227" s="29" t="n">
        <f aca="false">INDEX(Mitigation_Industry!P:P,MATCH($A227,Mitigation_Industry!$H:$H,0))</f>
        <v>0</v>
      </c>
      <c r="Q227" s="29" t="n">
        <f aca="false">INDEX(Mitigation_Industry!Q:Q,MATCH($A227,Mitigation_Industry!$H:$H,0))</f>
        <v>0</v>
      </c>
      <c r="R227" s="29" t="n">
        <f aca="false">INDEX(Mitigation_Industry!R:R,MATCH($A227,Mitigation_Industry!$H:$H,0))</f>
        <v>0</v>
      </c>
      <c r="S227" s="29" t="n">
        <f aca="false">INDEX(Mitigation_Industry!S:S,MATCH($A227,Mitigation_Industry!$H:$H,0))</f>
        <v>0</v>
      </c>
      <c r="T227" s="29" t="n">
        <f aca="false">INDEX(Mitigation_Industry!T:T,MATCH($A227,Mitigation_Industry!$H:$H,0))</f>
        <v>0</v>
      </c>
      <c r="U227" s="29" t="n">
        <f aca="false">INDEX(Mitigation_Industry!U:U,MATCH($A227,Mitigation_Industry!$H:$H,0))</f>
        <v>0</v>
      </c>
      <c r="V227" s="29" t="n">
        <f aca="false">INDEX(Mitigation_Industry!V:V,MATCH($A227,Mitigation_Industry!$H:$H,0))</f>
        <v>0</v>
      </c>
      <c r="W227" s="29" t="n">
        <f aca="false">INDEX(Mitigation_Industry!W:W,MATCH($A227,Mitigation_Industry!$H:$H,0))</f>
        <v>0</v>
      </c>
      <c r="X227" s="29" t="n">
        <f aca="false">INDEX(Mitigation_Industry!X:X,MATCH($A227,Mitigation_Industry!$H:$H,0))</f>
        <v>0</v>
      </c>
      <c r="Y227" s="29" t="n">
        <f aca="false">INDEX(Mitigation_Industry!Y:Y,MATCH($A227,Mitigation_Industry!$H:$H,0))</f>
        <v>0</v>
      </c>
      <c r="Z227" s="29" t="n">
        <f aca="false">INDEX(Mitigation_Industry!Z:Z,MATCH($A227,Mitigation_Industry!$H:$H,0))</f>
        <v>0</v>
      </c>
      <c r="AA227" s="29" t="n">
        <f aca="false">INDEX(Mitigation_Industry!AA:AA,MATCH($A227,Mitigation_Industry!$H:$H,0))</f>
        <v>0</v>
      </c>
      <c r="AB227" s="29" t="n">
        <f aca="false">INDEX(Mitigation_Industry!AB:AB,MATCH($A227,Mitigation_Industry!$H:$H,0))</f>
        <v>0</v>
      </c>
      <c r="AC227" s="29" t="n">
        <f aca="false">INDEX(Mitigation_Industry!AC:AC,MATCH($A227,Mitigation_Industry!$H:$H,0))</f>
        <v>0</v>
      </c>
      <c r="AD227" s="29" t="n">
        <f aca="false">INDEX(Mitigation_Industry!AD:AD,MATCH($A227,Mitigation_Industry!$H:$H,0))</f>
        <v>0</v>
      </c>
      <c r="AE227" s="29" t="n">
        <f aca="false">INDEX(Mitigation_Industry!AE:AE,MATCH($A227,Mitigation_Industry!$H:$H,0))</f>
        <v>0</v>
      </c>
    </row>
    <row r="228" customFormat="false" ht="15" hidden="false" customHeight="false" outlineLevel="0" collapsed="false">
      <c r="A228" s="35" t="s">
        <v>1222</v>
      </c>
      <c r="B228" s="6" t="s">
        <v>57</v>
      </c>
      <c r="C228" s="6" t="s">
        <v>119</v>
      </c>
      <c r="D228" s="6" t="n">
        <v>2</v>
      </c>
      <c r="E228" s="2" t="s">
        <v>1167</v>
      </c>
      <c r="F228" s="40" t="n">
        <f aca="false">MAX(MAX(L228:AE228),-MIN(L228:AE228))</f>
        <v>-0</v>
      </c>
      <c r="K228" s="41" t="n">
        <f aca="false">IF(ISNUMBER(K226),IF(ISNUMBER(K227),K227-K226,999999),0)</f>
        <v>0</v>
      </c>
      <c r="L228" s="41" t="n">
        <f aca="false">IF(ISNUMBER(L226),IF(ISNUMBER(L227),L227-L226,999999),0)</f>
        <v>0</v>
      </c>
      <c r="M228" s="41" t="n">
        <f aca="false">IF(ISNUMBER(M226),IF(ISNUMBER(M227),M227-M226,999999),0)</f>
        <v>0</v>
      </c>
      <c r="N228" s="41" t="n">
        <f aca="false">IF(ISNUMBER(N226),IF(ISNUMBER(N227),N227-N226,999999),0)</f>
        <v>0</v>
      </c>
      <c r="O228" s="41" t="n">
        <f aca="false">IF(ISNUMBER(O226),IF(ISNUMBER(O227),O227-O226,999999),0)</f>
        <v>0</v>
      </c>
      <c r="P228" s="41" t="n">
        <f aca="false">IF(ISNUMBER(P226),IF(ISNUMBER(P227),P227-P226,999999),0)</f>
        <v>0</v>
      </c>
      <c r="Q228" s="41" t="n">
        <f aca="false">IF(ISNUMBER(Q226),IF(ISNUMBER(Q227),Q227-Q226,999999),0)</f>
        <v>0</v>
      </c>
      <c r="R228" s="41" t="n">
        <f aca="false">IF(ISNUMBER(R226),IF(ISNUMBER(R227),R227-R226,999999),0)</f>
        <v>0</v>
      </c>
      <c r="S228" s="41" t="n">
        <f aca="false">IF(ISNUMBER(S226),IF(ISNUMBER(S227),S227-S226,999999),0)</f>
        <v>0</v>
      </c>
      <c r="T228" s="41" t="n">
        <f aca="false">IF(ISNUMBER(T226),IF(ISNUMBER(T227),T227-T226,999999),0)</f>
        <v>0</v>
      </c>
      <c r="U228" s="41" t="n">
        <f aca="false">IF(ISNUMBER(U226),IF(ISNUMBER(U227),U227-U226,999999),0)</f>
        <v>0</v>
      </c>
      <c r="V228" s="41" t="n">
        <f aca="false">IF(ISNUMBER(V226),IF(ISNUMBER(V227),V227-V226,999999),0)</f>
        <v>0</v>
      </c>
      <c r="W228" s="41" t="n">
        <f aca="false">IF(ISNUMBER(W226),IF(ISNUMBER(W227),W227-W226,999999),0)</f>
        <v>0</v>
      </c>
      <c r="X228" s="41" t="n">
        <f aca="false">IF(ISNUMBER(X226),IF(ISNUMBER(X227),X227-X226,999999),0)</f>
        <v>0</v>
      </c>
      <c r="Y228" s="41" t="n">
        <f aca="false">IF(ISNUMBER(Y226),IF(ISNUMBER(Y227),Y227-Y226,999999),0)</f>
        <v>0</v>
      </c>
      <c r="Z228" s="41" t="n">
        <f aca="false">IF(ISNUMBER(Z226),IF(ISNUMBER(Z227),Z227-Z226,999999),0)</f>
        <v>0</v>
      </c>
      <c r="AA228" s="41" t="n">
        <f aca="false">IF(ISNUMBER(AA226),IF(ISNUMBER(AA227),AA227-AA226,999999),0)</f>
        <v>0</v>
      </c>
      <c r="AB228" s="41" t="n">
        <f aca="false">IF(ISNUMBER(AB226),IF(ISNUMBER(AB227),AB227-AB226,999999),0)</f>
        <v>0</v>
      </c>
      <c r="AC228" s="41" t="n">
        <f aca="false">IF(ISNUMBER(AC226),IF(ISNUMBER(AC227),AC227-AC226,999999),0)</f>
        <v>0</v>
      </c>
      <c r="AD228" s="41" t="n">
        <f aca="false">IF(ISNUMBER(AD226),IF(ISNUMBER(AD227),AD227-AD226,999999),0)</f>
        <v>0</v>
      </c>
      <c r="AE228" s="41" t="n">
        <f aca="false">IF(ISNUMBER(AE226),IF(ISNUMBER(AE227),AE227-AE226,999999),0)</f>
        <v>0</v>
      </c>
    </row>
    <row r="230" customFormat="false" ht="15" hidden="false" customHeight="false" outlineLevel="0" collapsed="false">
      <c r="A230" s="35" t="s">
        <v>1223</v>
      </c>
      <c r="B230" s="6" t="s">
        <v>59</v>
      </c>
      <c r="C230" s="6" t="s">
        <v>119</v>
      </c>
      <c r="D230" s="6" t="n">
        <v>2</v>
      </c>
      <c r="E230" s="6" t="s">
        <v>1165</v>
      </c>
      <c r="K230" s="29"/>
      <c r="L230" s="29" t="n">
        <v>0</v>
      </c>
      <c r="M230" s="29" t="n">
        <v>0</v>
      </c>
      <c r="N230" s="29" t="n">
        <v>0</v>
      </c>
      <c r="O230" s="29" t="n">
        <v>0</v>
      </c>
      <c r="P230" s="29" t="n">
        <v>0</v>
      </c>
      <c r="Q230" s="29" t="n">
        <v>0</v>
      </c>
      <c r="R230" s="29" t="n">
        <v>0</v>
      </c>
      <c r="S230" s="29" t="n">
        <v>0</v>
      </c>
      <c r="T230" s="29" t="n">
        <v>0</v>
      </c>
      <c r="U230" s="29" t="n">
        <v>0</v>
      </c>
      <c r="V230" s="29" t="n">
        <v>0</v>
      </c>
      <c r="W230" s="29" t="n">
        <v>0</v>
      </c>
      <c r="X230" s="29" t="n">
        <v>0</v>
      </c>
      <c r="Y230" s="29" t="n">
        <v>0</v>
      </c>
      <c r="Z230" s="29" t="n">
        <v>0</v>
      </c>
      <c r="AA230" s="29" t="n">
        <v>0</v>
      </c>
      <c r="AB230" s="29" t="n">
        <v>0</v>
      </c>
      <c r="AC230" s="29" t="n">
        <v>0</v>
      </c>
      <c r="AD230" s="29" t="n">
        <v>0</v>
      </c>
      <c r="AE230" s="29" t="n">
        <v>0</v>
      </c>
    </row>
    <row r="231" customFormat="false" ht="15" hidden="false" customHeight="false" outlineLevel="0" collapsed="false">
      <c r="A231" s="35" t="s">
        <v>1223</v>
      </c>
      <c r="B231" s="6" t="s">
        <v>59</v>
      </c>
      <c r="C231" s="6" t="s">
        <v>119</v>
      </c>
      <c r="D231" s="6" t="n">
        <v>2</v>
      </c>
      <c r="E231" s="6" t="s">
        <v>1166</v>
      </c>
      <c r="K231" s="29" t="n">
        <f aca="false">INDEX(Mitigation_Industry!K:K,MATCH($A231,Mitigation_Industry!$H:$H,0))</f>
        <v>0</v>
      </c>
      <c r="L231" s="29" t="n">
        <f aca="false">INDEX(Mitigation_Industry!L:L,MATCH($A231,Mitigation_Industry!$H:$H,0))</f>
        <v>0</v>
      </c>
      <c r="M231" s="29" t="n">
        <f aca="false">INDEX(Mitigation_Industry!M:M,MATCH($A231,Mitigation_Industry!$H:$H,0))</f>
        <v>0</v>
      </c>
      <c r="N231" s="29" t="n">
        <f aca="false">INDEX(Mitigation_Industry!N:N,MATCH($A231,Mitigation_Industry!$H:$H,0))</f>
        <v>0</v>
      </c>
      <c r="O231" s="29" t="n">
        <f aca="false">INDEX(Mitigation_Industry!O:O,MATCH($A231,Mitigation_Industry!$H:$H,0))</f>
        <v>0</v>
      </c>
      <c r="P231" s="29" t="n">
        <f aca="false">INDEX(Mitigation_Industry!P:P,MATCH($A231,Mitigation_Industry!$H:$H,0))</f>
        <v>0</v>
      </c>
      <c r="Q231" s="29" t="n">
        <f aca="false">INDEX(Mitigation_Industry!Q:Q,MATCH($A231,Mitigation_Industry!$H:$H,0))</f>
        <v>0</v>
      </c>
      <c r="R231" s="29" t="n">
        <f aca="false">INDEX(Mitigation_Industry!R:R,MATCH($A231,Mitigation_Industry!$H:$H,0))</f>
        <v>0</v>
      </c>
      <c r="S231" s="29" t="n">
        <f aca="false">INDEX(Mitigation_Industry!S:S,MATCH($A231,Mitigation_Industry!$H:$H,0))</f>
        <v>0</v>
      </c>
      <c r="T231" s="29" t="n">
        <f aca="false">INDEX(Mitigation_Industry!T:T,MATCH($A231,Mitigation_Industry!$H:$H,0))</f>
        <v>0</v>
      </c>
      <c r="U231" s="29" t="n">
        <f aca="false">INDEX(Mitigation_Industry!U:U,MATCH($A231,Mitigation_Industry!$H:$H,0))</f>
        <v>0</v>
      </c>
      <c r="V231" s="29" t="n">
        <f aca="false">INDEX(Mitigation_Industry!V:V,MATCH($A231,Mitigation_Industry!$H:$H,0))</f>
        <v>0</v>
      </c>
      <c r="W231" s="29" t="n">
        <f aca="false">INDEX(Mitigation_Industry!W:W,MATCH($A231,Mitigation_Industry!$H:$H,0))</f>
        <v>0</v>
      </c>
      <c r="X231" s="29" t="n">
        <f aca="false">INDEX(Mitigation_Industry!X:X,MATCH($A231,Mitigation_Industry!$H:$H,0))</f>
        <v>0</v>
      </c>
      <c r="Y231" s="29" t="n">
        <f aca="false">INDEX(Mitigation_Industry!Y:Y,MATCH($A231,Mitigation_Industry!$H:$H,0))</f>
        <v>0</v>
      </c>
      <c r="Z231" s="29" t="n">
        <f aca="false">INDEX(Mitigation_Industry!Z:Z,MATCH($A231,Mitigation_Industry!$H:$H,0))</f>
        <v>0</v>
      </c>
      <c r="AA231" s="29" t="n">
        <f aca="false">INDEX(Mitigation_Industry!AA:AA,MATCH($A231,Mitigation_Industry!$H:$H,0))</f>
        <v>0</v>
      </c>
      <c r="AB231" s="29" t="n">
        <f aca="false">INDEX(Mitigation_Industry!AB:AB,MATCH($A231,Mitigation_Industry!$H:$H,0))</f>
        <v>0</v>
      </c>
      <c r="AC231" s="29" t="n">
        <f aca="false">INDEX(Mitigation_Industry!AC:AC,MATCH($A231,Mitigation_Industry!$H:$H,0))</f>
        <v>0</v>
      </c>
      <c r="AD231" s="29" t="n">
        <f aca="false">INDEX(Mitigation_Industry!AD:AD,MATCH($A231,Mitigation_Industry!$H:$H,0))</f>
        <v>0</v>
      </c>
      <c r="AE231" s="29" t="n">
        <f aca="false">INDEX(Mitigation_Industry!AE:AE,MATCH($A231,Mitigation_Industry!$H:$H,0))</f>
        <v>0</v>
      </c>
    </row>
    <row r="232" customFormat="false" ht="15" hidden="false" customHeight="false" outlineLevel="0" collapsed="false">
      <c r="A232" s="35" t="s">
        <v>1223</v>
      </c>
      <c r="B232" s="6" t="s">
        <v>59</v>
      </c>
      <c r="C232" s="6" t="s">
        <v>119</v>
      </c>
      <c r="D232" s="6" t="n">
        <v>2</v>
      </c>
      <c r="E232" s="2" t="s">
        <v>1167</v>
      </c>
      <c r="F232" s="40" t="n">
        <f aca="false">MAX(MAX(L232:AE232),-MIN(L232:AE232))</f>
        <v>-0</v>
      </c>
      <c r="K232" s="41" t="n">
        <f aca="false">IF(ISNUMBER(K230),IF(ISNUMBER(K231),K231-K230,999999),0)</f>
        <v>0</v>
      </c>
      <c r="L232" s="41" t="n">
        <f aca="false">IF(ISNUMBER(L230),IF(ISNUMBER(L231),L231-L230,999999),0)</f>
        <v>0</v>
      </c>
      <c r="M232" s="41" t="n">
        <f aca="false">IF(ISNUMBER(M230),IF(ISNUMBER(M231),M231-M230,999999),0)</f>
        <v>0</v>
      </c>
      <c r="N232" s="41" t="n">
        <f aca="false">IF(ISNUMBER(N230),IF(ISNUMBER(N231),N231-N230,999999),0)</f>
        <v>0</v>
      </c>
      <c r="O232" s="41" t="n">
        <f aca="false">IF(ISNUMBER(O230),IF(ISNUMBER(O231),O231-O230,999999),0)</f>
        <v>0</v>
      </c>
      <c r="P232" s="41" t="n">
        <f aca="false">IF(ISNUMBER(P230),IF(ISNUMBER(P231),P231-P230,999999),0)</f>
        <v>0</v>
      </c>
      <c r="Q232" s="41" t="n">
        <f aca="false">IF(ISNUMBER(Q230),IF(ISNUMBER(Q231),Q231-Q230,999999),0)</f>
        <v>0</v>
      </c>
      <c r="R232" s="41" t="n">
        <f aca="false">IF(ISNUMBER(R230),IF(ISNUMBER(R231),R231-R230,999999),0)</f>
        <v>0</v>
      </c>
      <c r="S232" s="41" t="n">
        <f aca="false">IF(ISNUMBER(S230),IF(ISNUMBER(S231),S231-S230,999999),0)</f>
        <v>0</v>
      </c>
      <c r="T232" s="41" t="n">
        <f aca="false">IF(ISNUMBER(T230),IF(ISNUMBER(T231),T231-T230,999999),0)</f>
        <v>0</v>
      </c>
      <c r="U232" s="41" t="n">
        <f aca="false">IF(ISNUMBER(U230),IF(ISNUMBER(U231),U231-U230,999999),0)</f>
        <v>0</v>
      </c>
      <c r="V232" s="41" t="n">
        <f aca="false">IF(ISNUMBER(V230),IF(ISNUMBER(V231),V231-V230,999999),0)</f>
        <v>0</v>
      </c>
      <c r="W232" s="41" t="n">
        <f aca="false">IF(ISNUMBER(W230),IF(ISNUMBER(W231),W231-W230,999999),0)</f>
        <v>0</v>
      </c>
      <c r="X232" s="41" t="n">
        <f aca="false">IF(ISNUMBER(X230),IF(ISNUMBER(X231),X231-X230,999999),0)</f>
        <v>0</v>
      </c>
      <c r="Y232" s="41" t="n">
        <f aca="false">IF(ISNUMBER(Y230),IF(ISNUMBER(Y231),Y231-Y230,999999),0)</f>
        <v>0</v>
      </c>
      <c r="Z232" s="41" t="n">
        <f aca="false">IF(ISNUMBER(Z230),IF(ISNUMBER(Z231),Z231-Z230,999999),0)</f>
        <v>0</v>
      </c>
      <c r="AA232" s="41" t="n">
        <f aca="false">IF(ISNUMBER(AA230),IF(ISNUMBER(AA231),AA231-AA230,999999),0)</f>
        <v>0</v>
      </c>
      <c r="AB232" s="41" t="n">
        <f aca="false">IF(ISNUMBER(AB230),IF(ISNUMBER(AB231),AB231-AB230,999999),0)</f>
        <v>0</v>
      </c>
      <c r="AC232" s="41" t="n">
        <f aca="false">IF(ISNUMBER(AC230),IF(ISNUMBER(AC231),AC231-AC230,999999),0)</f>
        <v>0</v>
      </c>
      <c r="AD232" s="41" t="n">
        <f aca="false">IF(ISNUMBER(AD230),IF(ISNUMBER(AD231),AD231-AD230,999999),0)</f>
        <v>0</v>
      </c>
      <c r="AE232" s="41" t="n">
        <f aca="false">IF(ISNUMBER(AE230),IF(ISNUMBER(AE231),AE231-AE230,999999),0)</f>
        <v>0</v>
      </c>
    </row>
    <row r="234" customFormat="false" ht="15" hidden="false" customHeight="false" outlineLevel="0" collapsed="false">
      <c r="A234" s="35" t="s">
        <v>1224</v>
      </c>
      <c r="B234" s="6" t="s">
        <v>62</v>
      </c>
      <c r="C234" s="6" t="s">
        <v>119</v>
      </c>
      <c r="D234" s="6" t="n">
        <v>2</v>
      </c>
      <c r="E234" s="6" t="s">
        <v>1165</v>
      </c>
      <c r="K234" s="29"/>
      <c r="L234" s="29" t="n">
        <v>0</v>
      </c>
      <c r="M234" s="29" t="n">
        <v>0</v>
      </c>
      <c r="N234" s="29" t="n">
        <v>0</v>
      </c>
      <c r="O234" s="29" t="n">
        <v>0</v>
      </c>
      <c r="P234" s="29" t="n">
        <v>0</v>
      </c>
      <c r="Q234" s="29" t="n">
        <v>0</v>
      </c>
      <c r="R234" s="29" t="n">
        <v>0</v>
      </c>
      <c r="S234" s="29" t="n">
        <v>0</v>
      </c>
      <c r="T234" s="29" t="n">
        <v>0</v>
      </c>
      <c r="U234" s="29" t="n">
        <v>0</v>
      </c>
      <c r="V234" s="29" t="n">
        <v>0</v>
      </c>
      <c r="W234" s="29" t="n">
        <v>0</v>
      </c>
      <c r="X234" s="29" t="n">
        <v>0</v>
      </c>
      <c r="Y234" s="29" t="n">
        <v>0</v>
      </c>
      <c r="Z234" s="29" t="n">
        <v>0</v>
      </c>
      <c r="AA234" s="29" t="n">
        <v>0</v>
      </c>
      <c r="AB234" s="29" t="n">
        <v>0</v>
      </c>
      <c r="AC234" s="29" t="n">
        <v>0</v>
      </c>
      <c r="AD234" s="29" t="n">
        <v>0</v>
      </c>
      <c r="AE234" s="29" t="n">
        <v>0</v>
      </c>
    </row>
    <row r="235" customFormat="false" ht="15" hidden="false" customHeight="false" outlineLevel="0" collapsed="false">
      <c r="A235" s="35" t="s">
        <v>1224</v>
      </c>
      <c r="B235" s="6" t="s">
        <v>62</v>
      </c>
      <c r="C235" s="6" t="s">
        <v>119</v>
      </c>
      <c r="D235" s="6" t="n">
        <v>2</v>
      </c>
      <c r="E235" s="6" t="s">
        <v>1166</v>
      </c>
      <c r="K235" s="29" t="n">
        <f aca="false">INDEX(Mitigation_Industry!K:K,MATCH($A235,Mitigation_Industry!$H:$H,0))</f>
        <v>0</v>
      </c>
      <c r="L235" s="29" t="n">
        <f aca="false">INDEX(Mitigation_Industry!L:L,MATCH($A235,Mitigation_Industry!$H:$H,0))</f>
        <v>0</v>
      </c>
      <c r="M235" s="29" t="n">
        <f aca="false">INDEX(Mitigation_Industry!M:M,MATCH($A235,Mitigation_Industry!$H:$H,0))</f>
        <v>0</v>
      </c>
      <c r="N235" s="29" t="n">
        <f aca="false">INDEX(Mitigation_Industry!N:N,MATCH($A235,Mitigation_Industry!$H:$H,0))</f>
        <v>0</v>
      </c>
      <c r="O235" s="29" t="n">
        <f aca="false">INDEX(Mitigation_Industry!O:O,MATCH($A235,Mitigation_Industry!$H:$H,0))</f>
        <v>0</v>
      </c>
      <c r="P235" s="29" t="n">
        <f aca="false">INDEX(Mitigation_Industry!P:P,MATCH($A235,Mitigation_Industry!$H:$H,0))</f>
        <v>0</v>
      </c>
      <c r="Q235" s="29" t="n">
        <f aca="false">INDEX(Mitigation_Industry!Q:Q,MATCH($A235,Mitigation_Industry!$H:$H,0))</f>
        <v>0</v>
      </c>
      <c r="R235" s="29" t="n">
        <f aca="false">INDEX(Mitigation_Industry!R:R,MATCH($A235,Mitigation_Industry!$H:$H,0))</f>
        <v>0</v>
      </c>
      <c r="S235" s="29" t="n">
        <f aca="false">INDEX(Mitigation_Industry!S:S,MATCH($A235,Mitigation_Industry!$H:$H,0))</f>
        <v>0</v>
      </c>
      <c r="T235" s="29" t="n">
        <f aca="false">INDEX(Mitigation_Industry!T:T,MATCH($A235,Mitigation_Industry!$H:$H,0))</f>
        <v>0</v>
      </c>
      <c r="U235" s="29" t="n">
        <f aca="false">INDEX(Mitigation_Industry!U:U,MATCH($A235,Mitigation_Industry!$H:$H,0))</f>
        <v>0</v>
      </c>
      <c r="V235" s="29" t="n">
        <f aca="false">INDEX(Mitigation_Industry!V:V,MATCH($A235,Mitigation_Industry!$H:$H,0))</f>
        <v>0</v>
      </c>
      <c r="W235" s="29" t="n">
        <f aca="false">INDEX(Mitigation_Industry!W:W,MATCH($A235,Mitigation_Industry!$H:$H,0))</f>
        <v>0</v>
      </c>
      <c r="X235" s="29" t="n">
        <f aca="false">INDEX(Mitigation_Industry!X:X,MATCH($A235,Mitigation_Industry!$H:$H,0))</f>
        <v>0</v>
      </c>
      <c r="Y235" s="29" t="n">
        <f aca="false">INDEX(Mitigation_Industry!Y:Y,MATCH($A235,Mitigation_Industry!$H:$H,0))</f>
        <v>0</v>
      </c>
      <c r="Z235" s="29" t="n">
        <f aca="false">INDEX(Mitigation_Industry!Z:Z,MATCH($A235,Mitigation_Industry!$H:$H,0))</f>
        <v>0</v>
      </c>
      <c r="AA235" s="29" t="n">
        <f aca="false">INDEX(Mitigation_Industry!AA:AA,MATCH($A235,Mitigation_Industry!$H:$H,0))</f>
        <v>0</v>
      </c>
      <c r="AB235" s="29" t="n">
        <f aca="false">INDEX(Mitigation_Industry!AB:AB,MATCH($A235,Mitigation_Industry!$H:$H,0))</f>
        <v>0</v>
      </c>
      <c r="AC235" s="29" t="n">
        <f aca="false">INDEX(Mitigation_Industry!AC:AC,MATCH($A235,Mitigation_Industry!$H:$H,0))</f>
        <v>0</v>
      </c>
      <c r="AD235" s="29" t="n">
        <f aca="false">INDEX(Mitigation_Industry!AD:AD,MATCH($A235,Mitigation_Industry!$H:$H,0))</f>
        <v>0</v>
      </c>
      <c r="AE235" s="29" t="n">
        <f aca="false">INDEX(Mitigation_Industry!AE:AE,MATCH($A235,Mitigation_Industry!$H:$H,0))</f>
        <v>0</v>
      </c>
    </row>
    <row r="236" customFormat="false" ht="15" hidden="false" customHeight="false" outlineLevel="0" collapsed="false">
      <c r="A236" s="35" t="s">
        <v>1224</v>
      </c>
      <c r="B236" s="6" t="s">
        <v>62</v>
      </c>
      <c r="C236" s="6" t="s">
        <v>119</v>
      </c>
      <c r="D236" s="6" t="n">
        <v>2</v>
      </c>
      <c r="E236" s="2" t="s">
        <v>1167</v>
      </c>
      <c r="F236" s="40" t="n">
        <f aca="false">MAX(MAX(L236:AE236),-MIN(L236:AE236))</f>
        <v>-0</v>
      </c>
      <c r="K236" s="41" t="n">
        <f aca="false">IF(ISNUMBER(K234),IF(ISNUMBER(K235),K235-K234,999999),0)</f>
        <v>0</v>
      </c>
      <c r="L236" s="41" t="n">
        <f aca="false">IF(ISNUMBER(L234),IF(ISNUMBER(L235),L235-L234,999999),0)</f>
        <v>0</v>
      </c>
      <c r="M236" s="41" t="n">
        <f aca="false">IF(ISNUMBER(M234),IF(ISNUMBER(M235),M235-M234,999999),0)</f>
        <v>0</v>
      </c>
      <c r="N236" s="41" t="n">
        <f aca="false">IF(ISNUMBER(N234),IF(ISNUMBER(N235),N235-N234,999999),0)</f>
        <v>0</v>
      </c>
      <c r="O236" s="41" t="n">
        <f aca="false">IF(ISNUMBER(O234),IF(ISNUMBER(O235),O235-O234,999999),0)</f>
        <v>0</v>
      </c>
      <c r="P236" s="41" t="n">
        <f aca="false">IF(ISNUMBER(P234),IF(ISNUMBER(P235),P235-P234,999999),0)</f>
        <v>0</v>
      </c>
      <c r="Q236" s="41" t="n">
        <f aca="false">IF(ISNUMBER(Q234),IF(ISNUMBER(Q235),Q235-Q234,999999),0)</f>
        <v>0</v>
      </c>
      <c r="R236" s="41" t="n">
        <f aca="false">IF(ISNUMBER(R234),IF(ISNUMBER(R235),R235-R234,999999),0)</f>
        <v>0</v>
      </c>
      <c r="S236" s="41" t="n">
        <f aca="false">IF(ISNUMBER(S234),IF(ISNUMBER(S235),S235-S234,999999),0)</f>
        <v>0</v>
      </c>
      <c r="T236" s="41" t="n">
        <f aca="false">IF(ISNUMBER(T234),IF(ISNUMBER(T235),T235-T234,999999),0)</f>
        <v>0</v>
      </c>
      <c r="U236" s="41" t="n">
        <f aca="false">IF(ISNUMBER(U234),IF(ISNUMBER(U235),U235-U234,999999),0)</f>
        <v>0</v>
      </c>
      <c r="V236" s="41" t="n">
        <f aca="false">IF(ISNUMBER(V234),IF(ISNUMBER(V235),V235-V234,999999),0)</f>
        <v>0</v>
      </c>
      <c r="W236" s="41" t="n">
        <f aca="false">IF(ISNUMBER(W234),IF(ISNUMBER(W235),W235-W234,999999),0)</f>
        <v>0</v>
      </c>
      <c r="X236" s="41" t="n">
        <f aca="false">IF(ISNUMBER(X234),IF(ISNUMBER(X235),X235-X234,999999),0)</f>
        <v>0</v>
      </c>
      <c r="Y236" s="41" t="n">
        <f aca="false">IF(ISNUMBER(Y234),IF(ISNUMBER(Y235),Y235-Y234,999999),0)</f>
        <v>0</v>
      </c>
      <c r="Z236" s="41" t="n">
        <f aca="false">IF(ISNUMBER(Z234),IF(ISNUMBER(Z235),Z235-Z234,999999),0)</f>
        <v>0</v>
      </c>
      <c r="AA236" s="41" t="n">
        <f aca="false">IF(ISNUMBER(AA234),IF(ISNUMBER(AA235),AA235-AA234,999999),0)</f>
        <v>0</v>
      </c>
      <c r="AB236" s="41" t="n">
        <f aca="false">IF(ISNUMBER(AB234),IF(ISNUMBER(AB235),AB235-AB234,999999),0)</f>
        <v>0</v>
      </c>
      <c r="AC236" s="41" t="n">
        <f aca="false">IF(ISNUMBER(AC234),IF(ISNUMBER(AC235),AC235-AC234,999999),0)</f>
        <v>0</v>
      </c>
      <c r="AD236" s="41" t="n">
        <f aca="false">IF(ISNUMBER(AD234),IF(ISNUMBER(AD235),AD235-AD234,999999),0)</f>
        <v>0</v>
      </c>
      <c r="AE236" s="41" t="n">
        <f aca="false">IF(ISNUMBER(AE234),IF(ISNUMBER(AE235),AE235-AE234,999999),0)</f>
        <v>0</v>
      </c>
    </row>
    <row r="238" customFormat="false" ht="15" hidden="false" customHeight="false" outlineLevel="0" collapsed="false">
      <c r="A238" s="35" t="s">
        <v>1225</v>
      </c>
      <c r="B238" s="6" t="s">
        <v>64</v>
      </c>
      <c r="C238" s="6" t="s">
        <v>119</v>
      </c>
      <c r="D238" s="6" t="n">
        <v>2</v>
      </c>
      <c r="E238" s="6" t="s">
        <v>1165</v>
      </c>
      <c r="K238" s="29"/>
      <c r="L238" s="29" t="n">
        <v>0</v>
      </c>
      <c r="M238" s="29" t="n">
        <v>0</v>
      </c>
      <c r="N238" s="29" t="n">
        <v>0</v>
      </c>
      <c r="O238" s="29" t="n">
        <v>0</v>
      </c>
      <c r="P238" s="29" t="n">
        <v>0</v>
      </c>
      <c r="Q238" s="29" t="n">
        <v>0</v>
      </c>
      <c r="R238" s="29" t="n">
        <v>0</v>
      </c>
      <c r="S238" s="29" t="n">
        <v>0</v>
      </c>
      <c r="T238" s="29" t="n">
        <v>0</v>
      </c>
      <c r="U238" s="29" t="n">
        <v>0</v>
      </c>
      <c r="V238" s="29" t="n">
        <v>0</v>
      </c>
      <c r="W238" s="29" t="n">
        <v>0</v>
      </c>
      <c r="X238" s="29" t="n">
        <v>0</v>
      </c>
      <c r="Y238" s="29" t="n">
        <v>0</v>
      </c>
      <c r="Z238" s="29" t="n">
        <v>0</v>
      </c>
      <c r="AA238" s="29" t="n">
        <v>0</v>
      </c>
      <c r="AB238" s="29" t="n">
        <v>0</v>
      </c>
      <c r="AC238" s="29" t="n">
        <v>0</v>
      </c>
      <c r="AD238" s="29" t="n">
        <v>0</v>
      </c>
      <c r="AE238" s="29" t="n">
        <v>0</v>
      </c>
    </row>
    <row r="239" customFormat="false" ht="15" hidden="false" customHeight="false" outlineLevel="0" collapsed="false">
      <c r="A239" s="35" t="s">
        <v>1225</v>
      </c>
      <c r="B239" s="6" t="s">
        <v>64</v>
      </c>
      <c r="C239" s="6" t="s">
        <v>119</v>
      </c>
      <c r="D239" s="6" t="n">
        <v>2</v>
      </c>
      <c r="E239" s="6" t="s">
        <v>1166</v>
      </c>
      <c r="K239" s="29" t="n">
        <f aca="false">INDEX(Mitigation_Industry!K:K,MATCH($A239,Mitigation_Industry!$H:$H,0))</f>
        <v>0</v>
      </c>
      <c r="L239" s="29" t="n">
        <f aca="false">INDEX(Mitigation_Industry!L:L,MATCH($A239,Mitigation_Industry!$H:$H,0))</f>
        <v>0</v>
      </c>
      <c r="M239" s="29" t="n">
        <f aca="false">INDEX(Mitigation_Industry!M:M,MATCH($A239,Mitigation_Industry!$H:$H,0))</f>
        <v>0</v>
      </c>
      <c r="N239" s="29" t="n">
        <f aca="false">INDEX(Mitigation_Industry!N:N,MATCH($A239,Mitigation_Industry!$H:$H,0))</f>
        <v>0</v>
      </c>
      <c r="O239" s="29" t="n">
        <f aca="false">INDEX(Mitigation_Industry!O:O,MATCH($A239,Mitigation_Industry!$H:$H,0))</f>
        <v>0</v>
      </c>
      <c r="P239" s="29" t="n">
        <f aca="false">INDEX(Mitigation_Industry!P:P,MATCH($A239,Mitigation_Industry!$H:$H,0))</f>
        <v>0</v>
      </c>
      <c r="Q239" s="29" t="n">
        <f aca="false">INDEX(Mitigation_Industry!Q:Q,MATCH($A239,Mitigation_Industry!$H:$H,0))</f>
        <v>0</v>
      </c>
      <c r="R239" s="29" t="n">
        <f aca="false">INDEX(Mitigation_Industry!R:R,MATCH($A239,Mitigation_Industry!$H:$H,0))</f>
        <v>0</v>
      </c>
      <c r="S239" s="29" t="n">
        <f aca="false">INDEX(Mitigation_Industry!S:S,MATCH($A239,Mitigation_Industry!$H:$H,0))</f>
        <v>0</v>
      </c>
      <c r="T239" s="29" t="n">
        <f aca="false">INDEX(Mitigation_Industry!T:T,MATCH($A239,Mitigation_Industry!$H:$H,0))</f>
        <v>0</v>
      </c>
      <c r="U239" s="29" t="n">
        <f aca="false">INDEX(Mitigation_Industry!U:U,MATCH($A239,Mitigation_Industry!$H:$H,0))</f>
        <v>0</v>
      </c>
      <c r="V239" s="29" t="n">
        <f aca="false">INDEX(Mitigation_Industry!V:V,MATCH($A239,Mitigation_Industry!$H:$H,0))</f>
        <v>0</v>
      </c>
      <c r="W239" s="29" t="n">
        <f aca="false">INDEX(Mitigation_Industry!W:W,MATCH($A239,Mitigation_Industry!$H:$H,0))</f>
        <v>0</v>
      </c>
      <c r="X239" s="29" t="n">
        <f aca="false">INDEX(Mitigation_Industry!X:X,MATCH($A239,Mitigation_Industry!$H:$H,0))</f>
        <v>0</v>
      </c>
      <c r="Y239" s="29" t="n">
        <f aca="false">INDEX(Mitigation_Industry!Y:Y,MATCH($A239,Mitigation_Industry!$H:$H,0))</f>
        <v>0</v>
      </c>
      <c r="Z239" s="29" t="n">
        <f aca="false">INDEX(Mitigation_Industry!Z:Z,MATCH($A239,Mitigation_Industry!$H:$H,0))</f>
        <v>0</v>
      </c>
      <c r="AA239" s="29" t="n">
        <f aca="false">INDEX(Mitigation_Industry!AA:AA,MATCH($A239,Mitigation_Industry!$H:$H,0))</f>
        <v>0</v>
      </c>
      <c r="AB239" s="29" t="n">
        <f aca="false">INDEX(Mitigation_Industry!AB:AB,MATCH($A239,Mitigation_Industry!$H:$H,0))</f>
        <v>0</v>
      </c>
      <c r="AC239" s="29" t="n">
        <f aca="false">INDEX(Mitigation_Industry!AC:AC,MATCH($A239,Mitigation_Industry!$H:$H,0))</f>
        <v>0</v>
      </c>
      <c r="AD239" s="29" t="n">
        <f aca="false">INDEX(Mitigation_Industry!AD:AD,MATCH($A239,Mitigation_Industry!$H:$H,0))</f>
        <v>0</v>
      </c>
      <c r="AE239" s="29" t="n">
        <f aca="false">INDEX(Mitigation_Industry!AE:AE,MATCH($A239,Mitigation_Industry!$H:$H,0))</f>
        <v>0</v>
      </c>
    </row>
    <row r="240" customFormat="false" ht="15" hidden="false" customHeight="false" outlineLevel="0" collapsed="false">
      <c r="A240" s="35" t="s">
        <v>1225</v>
      </c>
      <c r="B240" s="6" t="s">
        <v>64</v>
      </c>
      <c r="C240" s="6" t="s">
        <v>119</v>
      </c>
      <c r="D240" s="6" t="n">
        <v>2</v>
      </c>
      <c r="E240" s="2" t="s">
        <v>1167</v>
      </c>
      <c r="F240" s="40" t="n">
        <f aca="false">MAX(MAX(L240:AE240),-MIN(L240:AE240))</f>
        <v>-0</v>
      </c>
      <c r="K240" s="41" t="n">
        <f aca="false">IF(ISNUMBER(K238),IF(ISNUMBER(K239),K239-K238,999999),0)</f>
        <v>0</v>
      </c>
      <c r="L240" s="41" t="n">
        <f aca="false">IF(ISNUMBER(L238),IF(ISNUMBER(L239),L239-L238,999999),0)</f>
        <v>0</v>
      </c>
      <c r="M240" s="41" t="n">
        <f aca="false">IF(ISNUMBER(M238),IF(ISNUMBER(M239),M239-M238,999999),0)</f>
        <v>0</v>
      </c>
      <c r="N240" s="41" t="n">
        <f aca="false">IF(ISNUMBER(N238),IF(ISNUMBER(N239),N239-N238,999999),0)</f>
        <v>0</v>
      </c>
      <c r="O240" s="41" t="n">
        <f aca="false">IF(ISNUMBER(O238),IF(ISNUMBER(O239),O239-O238,999999),0)</f>
        <v>0</v>
      </c>
      <c r="P240" s="41" t="n">
        <f aca="false">IF(ISNUMBER(P238),IF(ISNUMBER(P239),P239-P238,999999),0)</f>
        <v>0</v>
      </c>
      <c r="Q240" s="41" t="n">
        <f aca="false">IF(ISNUMBER(Q238),IF(ISNUMBER(Q239),Q239-Q238,999999),0)</f>
        <v>0</v>
      </c>
      <c r="R240" s="41" t="n">
        <f aca="false">IF(ISNUMBER(R238),IF(ISNUMBER(R239),R239-R238,999999),0)</f>
        <v>0</v>
      </c>
      <c r="S240" s="41" t="n">
        <f aca="false">IF(ISNUMBER(S238),IF(ISNUMBER(S239),S239-S238,999999),0)</f>
        <v>0</v>
      </c>
      <c r="T240" s="41" t="n">
        <f aca="false">IF(ISNUMBER(T238),IF(ISNUMBER(T239),T239-T238,999999),0)</f>
        <v>0</v>
      </c>
      <c r="U240" s="41" t="n">
        <f aca="false">IF(ISNUMBER(U238),IF(ISNUMBER(U239),U239-U238,999999),0)</f>
        <v>0</v>
      </c>
      <c r="V240" s="41" t="n">
        <f aca="false">IF(ISNUMBER(V238),IF(ISNUMBER(V239),V239-V238,999999),0)</f>
        <v>0</v>
      </c>
      <c r="W240" s="41" t="n">
        <f aca="false">IF(ISNUMBER(W238),IF(ISNUMBER(W239),W239-W238,999999),0)</f>
        <v>0</v>
      </c>
      <c r="X240" s="41" t="n">
        <f aca="false">IF(ISNUMBER(X238),IF(ISNUMBER(X239),X239-X238,999999),0)</f>
        <v>0</v>
      </c>
      <c r="Y240" s="41" t="n">
        <f aca="false">IF(ISNUMBER(Y238),IF(ISNUMBER(Y239),Y239-Y238,999999),0)</f>
        <v>0</v>
      </c>
      <c r="Z240" s="41" t="n">
        <f aca="false">IF(ISNUMBER(Z238),IF(ISNUMBER(Z239),Z239-Z238,999999),0)</f>
        <v>0</v>
      </c>
      <c r="AA240" s="41" t="n">
        <f aca="false">IF(ISNUMBER(AA238),IF(ISNUMBER(AA239),AA239-AA238,999999),0)</f>
        <v>0</v>
      </c>
      <c r="AB240" s="41" t="n">
        <f aca="false">IF(ISNUMBER(AB238),IF(ISNUMBER(AB239),AB239-AB238,999999),0)</f>
        <v>0</v>
      </c>
      <c r="AC240" s="41" t="n">
        <f aca="false">IF(ISNUMBER(AC238),IF(ISNUMBER(AC239),AC239-AC238,999999),0)</f>
        <v>0</v>
      </c>
      <c r="AD240" s="41" t="n">
        <f aca="false">IF(ISNUMBER(AD238),IF(ISNUMBER(AD239),AD239-AD238,999999),0)</f>
        <v>0</v>
      </c>
      <c r="AE240" s="41" t="n">
        <f aca="false">IF(ISNUMBER(AE238),IF(ISNUMBER(AE239),AE239-AE238,999999),0)</f>
        <v>0</v>
      </c>
    </row>
    <row r="242" customFormat="false" ht="15" hidden="false" customHeight="false" outlineLevel="0" collapsed="false">
      <c r="A242" s="35" t="s">
        <v>1226</v>
      </c>
      <c r="B242" s="6" t="s">
        <v>66</v>
      </c>
      <c r="C242" s="6" t="s">
        <v>119</v>
      </c>
      <c r="D242" s="6" t="n">
        <v>2</v>
      </c>
      <c r="E242" s="6" t="s">
        <v>1165</v>
      </c>
      <c r="K242" s="29"/>
      <c r="L242" s="29" t="n">
        <v>0</v>
      </c>
      <c r="M242" s="29" t="n">
        <v>0</v>
      </c>
      <c r="N242" s="29" t="n">
        <v>0</v>
      </c>
      <c r="O242" s="29" t="n">
        <v>0</v>
      </c>
      <c r="P242" s="29" t="n">
        <v>0</v>
      </c>
      <c r="Q242" s="29" t="n">
        <v>0</v>
      </c>
      <c r="R242" s="29" t="n">
        <v>0</v>
      </c>
      <c r="S242" s="29" t="n">
        <v>0</v>
      </c>
      <c r="T242" s="29" t="n">
        <v>0</v>
      </c>
      <c r="U242" s="29" t="n">
        <v>0</v>
      </c>
      <c r="V242" s="29" t="n">
        <v>0</v>
      </c>
      <c r="W242" s="29" t="n">
        <v>0</v>
      </c>
      <c r="X242" s="29" t="n">
        <v>0</v>
      </c>
      <c r="Y242" s="29" t="n">
        <v>0</v>
      </c>
      <c r="Z242" s="29" t="n">
        <v>0</v>
      </c>
      <c r="AA242" s="29" t="n">
        <v>0</v>
      </c>
      <c r="AB242" s="29" t="n">
        <v>0</v>
      </c>
      <c r="AC242" s="29" t="n">
        <v>0</v>
      </c>
      <c r="AD242" s="29" t="n">
        <v>0</v>
      </c>
      <c r="AE242" s="29" t="n">
        <v>0</v>
      </c>
    </row>
    <row r="243" customFormat="false" ht="15" hidden="false" customHeight="false" outlineLevel="0" collapsed="false">
      <c r="A243" s="35" t="s">
        <v>1226</v>
      </c>
      <c r="B243" s="6" t="s">
        <v>66</v>
      </c>
      <c r="C243" s="6" t="s">
        <v>119</v>
      </c>
      <c r="D243" s="6" t="n">
        <v>2</v>
      </c>
      <c r="E243" s="6" t="s">
        <v>1166</v>
      </c>
      <c r="K243" s="29" t="n">
        <f aca="false">INDEX(Mitigation_Industry!K:K,MATCH($A243,Mitigation_Industry!$H:$H,0))</f>
        <v>0</v>
      </c>
      <c r="L243" s="29" t="n">
        <f aca="false">INDEX(Mitigation_Industry!L:L,MATCH($A243,Mitigation_Industry!$H:$H,0))</f>
        <v>0</v>
      </c>
      <c r="M243" s="29" t="n">
        <f aca="false">INDEX(Mitigation_Industry!M:M,MATCH($A243,Mitigation_Industry!$H:$H,0))</f>
        <v>0</v>
      </c>
      <c r="N243" s="29" t="n">
        <f aca="false">INDEX(Mitigation_Industry!N:N,MATCH($A243,Mitigation_Industry!$H:$H,0))</f>
        <v>0</v>
      </c>
      <c r="O243" s="29" t="n">
        <f aca="false">INDEX(Mitigation_Industry!O:O,MATCH($A243,Mitigation_Industry!$H:$H,0))</f>
        <v>0</v>
      </c>
      <c r="P243" s="29" t="n">
        <f aca="false">INDEX(Mitigation_Industry!P:P,MATCH($A243,Mitigation_Industry!$H:$H,0))</f>
        <v>0</v>
      </c>
      <c r="Q243" s="29" t="n">
        <f aca="false">INDEX(Mitigation_Industry!Q:Q,MATCH($A243,Mitigation_Industry!$H:$H,0))</f>
        <v>0</v>
      </c>
      <c r="R243" s="29" t="n">
        <f aca="false">INDEX(Mitigation_Industry!R:R,MATCH($A243,Mitigation_Industry!$H:$H,0))</f>
        <v>0</v>
      </c>
      <c r="S243" s="29" t="n">
        <f aca="false">INDEX(Mitigation_Industry!S:S,MATCH($A243,Mitigation_Industry!$H:$H,0))</f>
        <v>0</v>
      </c>
      <c r="T243" s="29" t="n">
        <f aca="false">INDEX(Mitigation_Industry!T:T,MATCH($A243,Mitigation_Industry!$H:$H,0))</f>
        <v>0</v>
      </c>
      <c r="U243" s="29" t="n">
        <f aca="false">INDEX(Mitigation_Industry!U:U,MATCH($A243,Mitigation_Industry!$H:$H,0))</f>
        <v>0</v>
      </c>
      <c r="V243" s="29" t="n">
        <f aca="false">INDEX(Mitigation_Industry!V:V,MATCH($A243,Mitigation_Industry!$H:$H,0))</f>
        <v>0</v>
      </c>
      <c r="W243" s="29" t="n">
        <f aca="false">INDEX(Mitigation_Industry!W:W,MATCH($A243,Mitigation_Industry!$H:$H,0))</f>
        <v>0</v>
      </c>
      <c r="X243" s="29" t="n">
        <f aca="false">INDEX(Mitigation_Industry!X:X,MATCH($A243,Mitigation_Industry!$H:$H,0))</f>
        <v>0</v>
      </c>
      <c r="Y243" s="29" t="n">
        <f aca="false">INDEX(Mitigation_Industry!Y:Y,MATCH($A243,Mitigation_Industry!$H:$H,0))</f>
        <v>0</v>
      </c>
      <c r="Z243" s="29" t="n">
        <f aca="false">INDEX(Mitigation_Industry!Z:Z,MATCH($A243,Mitigation_Industry!$H:$H,0))</f>
        <v>0</v>
      </c>
      <c r="AA243" s="29" t="n">
        <f aca="false">INDEX(Mitigation_Industry!AA:AA,MATCH($A243,Mitigation_Industry!$H:$H,0))</f>
        <v>0</v>
      </c>
      <c r="AB243" s="29" t="n">
        <f aca="false">INDEX(Mitigation_Industry!AB:AB,MATCH($A243,Mitigation_Industry!$H:$H,0))</f>
        <v>0</v>
      </c>
      <c r="AC243" s="29" t="n">
        <f aca="false">INDEX(Mitigation_Industry!AC:AC,MATCH($A243,Mitigation_Industry!$H:$H,0))</f>
        <v>0</v>
      </c>
      <c r="AD243" s="29" t="n">
        <f aca="false">INDEX(Mitigation_Industry!AD:AD,MATCH($A243,Mitigation_Industry!$H:$H,0))</f>
        <v>0</v>
      </c>
      <c r="AE243" s="29" t="n">
        <f aca="false">INDEX(Mitigation_Industry!AE:AE,MATCH($A243,Mitigation_Industry!$H:$H,0))</f>
        <v>0</v>
      </c>
    </row>
    <row r="244" customFormat="false" ht="15" hidden="false" customHeight="false" outlineLevel="0" collapsed="false">
      <c r="A244" s="35" t="s">
        <v>1226</v>
      </c>
      <c r="B244" s="6" t="s">
        <v>66</v>
      </c>
      <c r="C244" s="6" t="s">
        <v>119</v>
      </c>
      <c r="D244" s="6" t="n">
        <v>2</v>
      </c>
      <c r="E244" s="2" t="s">
        <v>1167</v>
      </c>
      <c r="F244" s="40" t="n">
        <f aca="false">MAX(MAX(L244:AE244),-MIN(L244:AE244))</f>
        <v>-0</v>
      </c>
      <c r="K244" s="41" t="n">
        <f aca="false">IF(ISNUMBER(K242),IF(ISNUMBER(K243),K243-K242,999999),0)</f>
        <v>0</v>
      </c>
      <c r="L244" s="41" t="n">
        <f aca="false">IF(ISNUMBER(L242),IF(ISNUMBER(L243),L243-L242,999999),0)</f>
        <v>0</v>
      </c>
      <c r="M244" s="41" t="n">
        <f aca="false">IF(ISNUMBER(M242),IF(ISNUMBER(M243),M243-M242,999999),0)</f>
        <v>0</v>
      </c>
      <c r="N244" s="41" t="n">
        <f aca="false">IF(ISNUMBER(N242),IF(ISNUMBER(N243),N243-N242,999999),0)</f>
        <v>0</v>
      </c>
      <c r="O244" s="41" t="n">
        <f aca="false">IF(ISNUMBER(O242),IF(ISNUMBER(O243),O243-O242,999999),0)</f>
        <v>0</v>
      </c>
      <c r="P244" s="41" t="n">
        <f aca="false">IF(ISNUMBER(P242),IF(ISNUMBER(P243),P243-P242,999999),0)</f>
        <v>0</v>
      </c>
      <c r="Q244" s="41" t="n">
        <f aca="false">IF(ISNUMBER(Q242),IF(ISNUMBER(Q243),Q243-Q242,999999),0)</f>
        <v>0</v>
      </c>
      <c r="R244" s="41" t="n">
        <f aca="false">IF(ISNUMBER(R242),IF(ISNUMBER(R243),R243-R242,999999),0)</f>
        <v>0</v>
      </c>
      <c r="S244" s="41" t="n">
        <f aca="false">IF(ISNUMBER(S242),IF(ISNUMBER(S243),S243-S242,999999),0)</f>
        <v>0</v>
      </c>
      <c r="T244" s="41" t="n">
        <f aca="false">IF(ISNUMBER(T242),IF(ISNUMBER(T243),T243-T242,999999),0)</f>
        <v>0</v>
      </c>
      <c r="U244" s="41" t="n">
        <f aca="false">IF(ISNUMBER(U242),IF(ISNUMBER(U243),U243-U242,999999),0)</f>
        <v>0</v>
      </c>
      <c r="V244" s="41" t="n">
        <f aca="false">IF(ISNUMBER(V242),IF(ISNUMBER(V243),V243-V242,999999),0)</f>
        <v>0</v>
      </c>
      <c r="W244" s="41" t="n">
        <f aca="false">IF(ISNUMBER(W242),IF(ISNUMBER(W243),W243-W242,999999),0)</f>
        <v>0</v>
      </c>
      <c r="X244" s="41" t="n">
        <f aca="false">IF(ISNUMBER(X242),IF(ISNUMBER(X243),X243-X242,999999),0)</f>
        <v>0</v>
      </c>
      <c r="Y244" s="41" t="n">
        <f aca="false">IF(ISNUMBER(Y242),IF(ISNUMBER(Y243),Y243-Y242,999999),0)</f>
        <v>0</v>
      </c>
      <c r="Z244" s="41" t="n">
        <f aca="false">IF(ISNUMBER(Z242),IF(ISNUMBER(Z243),Z243-Z242,999999),0)</f>
        <v>0</v>
      </c>
      <c r="AA244" s="41" t="n">
        <f aca="false">IF(ISNUMBER(AA242),IF(ISNUMBER(AA243),AA243-AA242,999999),0)</f>
        <v>0</v>
      </c>
      <c r="AB244" s="41" t="n">
        <f aca="false">IF(ISNUMBER(AB242),IF(ISNUMBER(AB243),AB243-AB242,999999),0)</f>
        <v>0</v>
      </c>
      <c r="AC244" s="41" t="n">
        <f aca="false">IF(ISNUMBER(AC242),IF(ISNUMBER(AC243),AC243-AC242,999999),0)</f>
        <v>0</v>
      </c>
      <c r="AD244" s="41" t="n">
        <f aca="false">IF(ISNUMBER(AD242),IF(ISNUMBER(AD243),AD243-AD242,999999),0)</f>
        <v>0</v>
      </c>
      <c r="AE244" s="41" t="n">
        <f aca="false">IF(ISNUMBER(AE242),IF(ISNUMBER(AE243),AE243-AE242,999999),0)</f>
        <v>0</v>
      </c>
    </row>
    <row r="246" customFormat="false" ht="15" hidden="false" customHeight="false" outlineLevel="0" collapsed="false">
      <c r="A246" s="35" t="s">
        <v>1227</v>
      </c>
      <c r="B246" s="6" t="s">
        <v>68</v>
      </c>
      <c r="C246" s="6" t="s">
        <v>119</v>
      </c>
      <c r="D246" s="6" t="n">
        <v>2</v>
      </c>
      <c r="E246" s="6" t="s">
        <v>1165</v>
      </c>
      <c r="K246" s="29"/>
      <c r="L246" s="29" t="n">
        <v>0</v>
      </c>
      <c r="M246" s="29" t="n">
        <v>0</v>
      </c>
      <c r="N246" s="29" t="n">
        <v>0</v>
      </c>
      <c r="O246" s="29" t="n">
        <v>0</v>
      </c>
      <c r="P246" s="29" t="n">
        <v>0</v>
      </c>
      <c r="Q246" s="29" t="n">
        <v>0</v>
      </c>
      <c r="R246" s="29" t="n">
        <v>0</v>
      </c>
      <c r="S246" s="29" t="n">
        <v>0</v>
      </c>
      <c r="T246" s="29" t="n">
        <v>0</v>
      </c>
      <c r="U246" s="29" t="n">
        <v>0</v>
      </c>
      <c r="V246" s="29" t="n">
        <v>0</v>
      </c>
      <c r="W246" s="29" t="n">
        <v>0</v>
      </c>
      <c r="X246" s="29" t="n">
        <v>0</v>
      </c>
      <c r="Y246" s="29" t="n">
        <v>0</v>
      </c>
      <c r="Z246" s="29" t="n">
        <v>0</v>
      </c>
      <c r="AA246" s="29" t="n">
        <v>0</v>
      </c>
      <c r="AB246" s="29" t="n">
        <v>0</v>
      </c>
      <c r="AC246" s="29" t="n">
        <v>0</v>
      </c>
      <c r="AD246" s="29" t="n">
        <v>0</v>
      </c>
      <c r="AE246" s="29" t="n">
        <v>0</v>
      </c>
    </row>
    <row r="247" customFormat="false" ht="15" hidden="false" customHeight="false" outlineLevel="0" collapsed="false">
      <c r="A247" s="35" t="s">
        <v>1227</v>
      </c>
      <c r="B247" s="6" t="s">
        <v>68</v>
      </c>
      <c r="C247" s="6" t="s">
        <v>119</v>
      </c>
      <c r="D247" s="6" t="n">
        <v>2</v>
      </c>
      <c r="E247" s="6" t="s">
        <v>1166</v>
      </c>
      <c r="K247" s="29" t="n">
        <f aca="false">INDEX(Mitigation_Industry!K:K,MATCH($A247,Mitigation_Industry!$H:$H,0))</f>
        <v>0</v>
      </c>
      <c r="L247" s="29" t="n">
        <f aca="false">INDEX(Mitigation_Industry!L:L,MATCH($A247,Mitigation_Industry!$H:$H,0))</f>
        <v>0</v>
      </c>
      <c r="M247" s="29" t="n">
        <f aca="false">INDEX(Mitigation_Industry!M:M,MATCH($A247,Mitigation_Industry!$H:$H,0))</f>
        <v>0</v>
      </c>
      <c r="N247" s="29" t="n">
        <f aca="false">INDEX(Mitigation_Industry!N:N,MATCH($A247,Mitigation_Industry!$H:$H,0))</f>
        <v>0</v>
      </c>
      <c r="O247" s="29" t="n">
        <f aca="false">INDEX(Mitigation_Industry!O:O,MATCH($A247,Mitigation_Industry!$H:$H,0))</f>
        <v>0</v>
      </c>
      <c r="P247" s="29" t="n">
        <f aca="false">INDEX(Mitigation_Industry!P:P,MATCH($A247,Mitigation_Industry!$H:$H,0))</f>
        <v>0</v>
      </c>
      <c r="Q247" s="29" t="n">
        <f aca="false">INDEX(Mitigation_Industry!Q:Q,MATCH($A247,Mitigation_Industry!$H:$H,0))</f>
        <v>0</v>
      </c>
      <c r="R247" s="29" t="n">
        <f aca="false">INDEX(Mitigation_Industry!R:R,MATCH($A247,Mitigation_Industry!$H:$H,0))</f>
        <v>0</v>
      </c>
      <c r="S247" s="29" t="n">
        <f aca="false">INDEX(Mitigation_Industry!S:S,MATCH($A247,Mitigation_Industry!$H:$H,0))</f>
        <v>0</v>
      </c>
      <c r="T247" s="29" t="n">
        <f aca="false">INDEX(Mitigation_Industry!T:T,MATCH($A247,Mitigation_Industry!$H:$H,0))</f>
        <v>0</v>
      </c>
      <c r="U247" s="29" t="n">
        <f aca="false">INDEX(Mitigation_Industry!U:U,MATCH($A247,Mitigation_Industry!$H:$H,0))</f>
        <v>0</v>
      </c>
      <c r="V247" s="29" t="n">
        <f aca="false">INDEX(Mitigation_Industry!V:V,MATCH($A247,Mitigation_Industry!$H:$H,0))</f>
        <v>0</v>
      </c>
      <c r="W247" s="29" t="n">
        <f aca="false">INDEX(Mitigation_Industry!W:W,MATCH($A247,Mitigation_Industry!$H:$H,0))</f>
        <v>0</v>
      </c>
      <c r="X247" s="29" t="n">
        <f aca="false">INDEX(Mitigation_Industry!X:X,MATCH($A247,Mitigation_Industry!$H:$H,0))</f>
        <v>0</v>
      </c>
      <c r="Y247" s="29" t="n">
        <f aca="false">INDEX(Mitigation_Industry!Y:Y,MATCH($A247,Mitigation_Industry!$H:$H,0))</f>
        <v>0</v>
      </c>
      <c r="Z247" s="29" t="n">
        <f aca="false">INDEX(Mitigation_Industry!Z:Z,MATCH($A247,Mitigation_Industry!$H:$H,0))</f>
        <v>0</v>
      </c>
      <c r="AA247" s="29" t="n">
        <f aca="false">INDEX(Mitigation_Industry!AA:AA,MATCH($A247,Mitigation_Industry!$H:$H,0))</f>
        <v>0</v>
      </c>
      <c r="AB247" s="29" t="n">
        <f aca="false">INDEX(Mitigation_Industry!AB:AB,MATCH($A247,Mitigation_Industry!$H:$H,0))</f>
        <v>0</v>
      </c>
      <c r="AC247" s="29" t="n">
        <f aca="false">INDEX(Mitigation_Industry!AC:AC,MATCH($A247,Mitigation_Industry!$H:$H,0))</f>
        <v>0</v>
      </c>
      <c r="AD247" s="29" t="n">
        <f aca="false">INDEX(Mitigation_Industry!AD:AD,MATCH($A247,Mitigation_Industry!$H:$H,0))</f>
        <v>0</v>
      </c>
      <c r="AE247" s="29" t="n">
        <f aca="false">INDEX(Mitigation_Industry!AE:AE,MATCH($A247,Mitigation_Industry!$H:$H,0))</f>
        <v>0</v>
      </c>
    </row>
    <row r="248" customFormat="false" ht="15" hidden="false" customHeight="false" outlineLevel="0" collapsed="false">
      <c r="A248" s="35" t="s">
        <v>1227</v>
      </c>
      <c r="B248" s="6" t="s">
        <v>68</v>
      </c>
      <c r="C248" s="6" t="s">
        <v>119</v>
      </c>
      <c r="D248" s="6" t="n">
        <v>2</v>
      </c>
      <c r="E248" s="2" t="s">
        <v>1167</v>
      </c>
      <c r="F248" s="40" t="n">
        <f aca="false">MAX(MAX(L248:AE248),-MIN(L248:AE248))</f>
        <v>-0</v>
      </c>
      <c r="K248" s="41" t="n">
        <f aca="false">IF(ISNUMBER(K246),IF(ISNUMBER(K247),K247-K246,999999),0)</f>
        <v>0</v>
      </c>
      <c r="L248" s="41" t="n">
        <f aca="false">IF(ISNUMBER(L246),IF(ISNUMBER(L247),L247-L246,999999),0)</f>
        <v>0</v>
      </c>
      <c r="M248" s="41" t="n">
        <f aca="false">IF(ISNUMBER(M246),IF(ISNUMBER(M247),M247-M246,999999),0)</f>
        <v>0</v>
      </c>
      <c r="N248" s="41" t="n">
        <f aca="false">IF(ISNUMBER(N246),IF(ISNUMBER(N247),N247-N246,999999),0)</f>
        <v>0</v>
      </c>
      <c r="O248" s="41" t="n">
        <f aca="false">IF(ISNUMBER(O246),IF(ISNUMBER(O247),O247-O246,999999),0)</f>
        <v>0</v>
      </c>
      <c r="P248" s="41" t="n">
        <f aca="false">IF(ISNUMBER(P246),IF(ISNUMBER(P247),P247-P246,999999),0)</f>
        <v>0</v>
      </c>
      <c r="Q248" s="41" t="n">
        <f aca="false">IF(ISNUMBER(Q246),IF(ISNUMBER(Q247),Q247-Q246,999999),0)</f>
        <v>0</v>
      </c>
      <c r="R248" s="41" t="n">
        <f aca="false">IF(ISNUMBER(R246),IF(ISNUMBER(R247),R247-R246,999999),0)</f>
        <v>0</v>
      </c>
      <c r="S248" s="41" t="n">
        <f aca="false">IF(ISNUMBER(S246),IF(ISNUMBER(S247),S247-S246,999999),0)</f>
        <v>0</v>
      </c>
      <c r="T248" s="41" t="n">
        <f aca="false">IF(ISNUMBER(T246),IF(ISNUMBER(T247),T247-T246,999999),0)</f>
        <v>0</v>
      </c>
      <c r="U248" s="41" t="n">
        <f aca="false">IF(ISNUMBER(U246),IF(ISNUMBER(U247),U247-U246,999999),0)</f>
        <v>0</v>
      </c>
      <c r="V248" s="41" t="n">
        <f aca="false">IF(ISNUMBER(V246),IF(ISNUMBER(V247),V247-V246,999999),0)</f>
        <v>0</v>
      </c>
      <c r="W248" s="41" t="n">
        <f aca="false">IF(ISNUMBER(W246),IF(ISNUMBER(W247),W247-W246,999999),0)</f>
        <v>0</v>
      </c>
      <c r="X248" s="41" t="n">
        <f aca="false">IF(ISNUMBER(X246),IF(ISNUMBER(X247),X247-X246,999999),0)</f>
        <v>0</v>
      </c>
      <c r="Y248" s="41" t="n">
        <f aca="false">IF(ISNUMBER(Y246),IF(ISNUMBER(Y247),Y247-Y246,999999),0)</f>
        <v>0</v>
      </c>
      <c r="Z248" s="41" t="n">
        <f aca="false">IF(ISNUMBER(Z246),IF(ISNUMBER(Z247),Z247-Z246,999999),0)</f>
        <v>0</v>
      </c>
      <c r="AA248" s="41" t="n">
        <f aca="false">IF(ISNUMBER(AA246),IF(ISNUMBER(AA247),AA247-AA246,999999),0)</f>
        <v>0</v>
      </c>
      <c r="AB248" s="41" t="n">
        <f aca="false">IF(ISNUMBER(AB246),IF(ISNUMBER(AB247),AB247-AB246,999999),0)</f>
        <v>0</v>
      </c>
      <c r="AC248" s="41" t="n">
        <f aca="false">IF(ISNUMBER(AC246),IF(ISNUMBER(AC247),AC247-AC246,999999),0)</f>
        <v>0</v>
      </c>
      <c r="AD248" s="41" t="n">
        <f aca="false">IF(ISNUMBER(AD246),IF(ISNUMBER(AD247),AD247-AD246,999999),0)</f>
        <v>0</v>
      </c>
      <c r="AE248" s="41" t="n">
        <f aca="false">IF(ISNUMBER(AE246),IF(ISNUMBER(AE247),AE247-AE246,999999),0)</f>
        <v>0</v>
      </c>
    </row>
    <row r="250" customFormat="false" ht="15" hidden="false" customHeight="false" outlineLevel="0" collapsed="false">
      <c r="A250" s="35" t="s">
        <v>1228</v>
      </c>
      <c r="B250" s="6" t="s">
        <v>71</v>
      </c>
      <c r="C250" s="6" t="s">
        <v>119</v>
      </c>
      <c r="D250" s="6" t="n">
        <v>2</v>
      </c>
      <c r="E250" s="6" t="s">
        <v>1165</v>
      </c>
      <c r="K250" s="29"/>
      <c r="L250" s="29" t="n">
        <v>0</v>
      </c>
      <c r="M250" s="29" t="n">
        <v>0</v>
      </c>
      <c r="N250" s="29" t="n">
        <v>0</v>
      </c>
      <c r="O250" s="29" t="n">
        <v>0</v>
      </c>
      <c r="P250" s="29" t="n">
        <v>0</v>
      </c>
      <c r="Q250" s="29" t="n">
        <v>0</v>
      </c>
      <c r="R250" s="29" t="n">
        <v>0</v>
      </c>
      <c r="S250" s="29" t="n">
        <v>0</v>
      </c>
      <c r="T250" s="29" t="n">
        <v>0</v>
      </c>
      <c r="U250" s="29" t="n">
        <v>0</v>
      </c>
      <c r="V250" s="29" t="n">
        <v>0</v>
      </c>
      <c r="W250" s="29" t="n">
        <v>0</v>
      </c>
      <c r="X250" s="29" t="n">
        <v>0</v>
      </c>
      <c r="Y250" s="29" t="n">
        <v>0</v>
      </c>
      <c r="Z250" s="29" t="n">
        <v>0</v>
      </c>
      <c r="AA250" s="29" t="n">
        <v>0</v>
      </c>
      <c r="AB250" s="29" t="n">
        <v>0</v>
      </c>
      <c r="AC250" s="29" t="n">
        <v>0</v>
      </c>
      <c r="AD250" s="29" t="n">
        <v>0</v>
      </c>
      <c r="AE250" s="29" t="n">
        <v>0</v>
      </c>
    </row>
    <row r="251" customFormat="false" ht="15" hidden="false" customHeight="false" outlineLevel="0" collapsed="false">
      <c r="A251" s="35" t="s">
        <v>1228</v>
      </c>
      <c r="B251" s="6" t="s">
        <v>71</v>
      </c>
      <c r="C251" s="6" t="s">
        <v>119</v>
      </c>
      <c r="D251" s="6" t="n">
        <v>2</v>
      </c>
      <c r="E251" s="6" t="s">
        <v>1166</v>
      </c>
      <c r="K251" s="29" t="n">
        <f aca="false">INDEX(Mitigation_Industry!K:K,MATCH($A251,Mitigation_Industry!$H:$H,0))</f>
        <v>0</v>
      </c>
      <c r="L251" s="29" t="n">
        <f aca="false">INDEX(Mitigation_Industry!L:L,MATCH($A251,Mitigation_Industry!$H:$H,0))</f>
        <v>0</v>
      </c>
      <c r="M251" s="29" t="n">
        <f aca="false">INDEX(Mitigation_Industry!M:M,MATCH($A251,Mitigation_Industry!$H:$H,0))</f>
        <v>0</v>
      </c>
      <c r="N251" s="29" t="n">
        <f aca="false">INDEX(Mitigation_Industry!N:N,MATCH($A251,Mitigation_Industry!$H:$H,0))</f>
        <v>0</v>
      </c>
      <c r="O251" s="29" t="n">
        <f aca="false">INDEX(Mitigation_Industry!O:O,MATCH($A251,Mitigation_Industry!$H:$H,0))</f>
        <v>0</v>
      </c>
      <c r="P251" s="29" t="n">
        <f aca="false">INDEX(Mitigation_Industry!P:P,MATCH($A251,Mitigation_Industry!$H:$H,0))</f>
        <v>0</v>
      </c>
      <c r="Q251" s="29" t="n">
        <f aca="false">INDEX(Mitigation_Industry!Q:Q,MATCH($A251,Mitigation_Industry!$H:$H,0))</f>
        <v>0</v>
      </c>
      <c r="R251" s="29" t="n">
        <f aca="false">INDEX(Mitigation_Industry!R:R,MATCH($A251,Mitigation_Industry!$H:$H,0))</f>
        <v>0</v>
      </c>
      <c r="S251" s="29" t="n">
        <f aca="false">INDEX(Mitigation_Industry!S:S,MATCH($A251,Mitigation_Industry!$H:$H,0))</f>
        <v>0</v>
      </c>
      <c r="T251" s="29" t="n">
        <f aca="false">INDEX(Mitigation_Industry!T:T,MATCH($A251,Mitigation_Industry!$H:$H,0))</f>
        <v>0</v>
      </c>
      <c r="U251" s="29" t="n">
        <f aca="false">INDEX(Mitigation_Industry!U:U,MATCH($A251,Mitigation_Industry!$H:$H,0))</f>
        <v>0</v>
      </c>
      <c r="V251" s="29" t="n">
        <f aca="false">INDEX(Mitigation_Industry!V:V,MATCH($A251,Mitigation_Industry!$H:$H,0))</f>
        <v>0</v>
      </c>
      <c r="W251" s="29" t="n">
        <f aca="false">INDEX(Mitigation_Industry!W:W,MATCH($A251,Mitigation_Industry!$H:$H,0))</f>
        <v>0</v>
      </c>
      <c r="X251" s="29" t="n">
        <f aca="false">INDEX(Mitigation_Industry!X:X,MATCH($A251,Mitigation_Industry!$H:$H,0))</f>
        <v>0</v>
      </c>
      <c r="Y251" s="29" t="n">
        <f aca="false">INDEX(Mitigation_Industry!Y:Y,MATCH($A251,Mitigation_Industry!$H:$H,0))</f>
        <v>0</v>
      </c>
      <c r="Z251" s="29" t="n">
        <f aca="false">INDEX(Mitigation_Industry!Z:Z,MATCH($A251,Mitigation_Industry!$H:$H,0))</f>
        <v>0</v>
      </c>
      <c r="AA251" s="29" t="n">
        <f aca="false">INDEX(Mitigation_Industry!AA:AA,MATCH($A251,Mitigation_Industry!$H:$H,0))</f>
        <v>0</v>
      </c>
      <c r="AB251" s="29" t="n">
        <f aca="false">INDEX(Mitigation_Industry!AB:AB,MATCH($A251,Mitigation_Industry!$H:$H,0))</f>
        <v>0</v>
      </c>
      <c r="AC251" s="29" t="n">
        <f aca="false">INDEX(Mitigation_Industry!AC:AC,MATCH($A251,Mitigation_Industry!$H:$H,0))</f>
        <v>0</v>
      </c>
      <c r="AD251" s="29" t="n">
        <f aca="false">INDEX(Mitigation_Industry!AD:AD,MATCH($A251,Mitigation_Industry!$H:$H,0))</f>
        <v>0</v>
      </c>
      <c r="AE251" s="29" t="n">
        <f aca="false">INDEX(Mitigation_Industry!AE:AE,MATCH($A251,Mitigation_Industry!$H:$H,0))</f>
        <v>0</v>
      </c>
    </row>
    <row r="252" customFormat="false" ht="15" hidden="false" customHeight="false" outlineLevel="0" collapsed="false">
      <c r="A252" s="35" t="s">
        <v>1228</v>
      </c>
      <c r="B252" s="6" t="s">
        <v>71</v>
      </c>
      <c r="C252" s="6" t="s">
        <v>119</v>
      </c>
      <c r="D252" s="6" t="n">
        <v>2</v>
      </c>
      <c r="E252" s="2" t="s">
        <v>1167</v>
      </c>
      <c r="F252" s="40" t="n">
        <f aca="false">MAX(MAX(L252:AE252),-MIN(L252:AE252))</f>
        <v>-0</v>
      </c>
      <c r="K252" s="41" t="n">
        <f aca="false">IF(ISNUMBER(K250),IF(ISNUMBER(K251),K251-K250,999999),0)</f>
        <v>0</v>
      </c>
      <c r="L252" s="41" t="n">
        <f aca="false">IF(ISNUMBER(L250),IF(ISNUMBER(L251),L251-L250,999999),0)</f>
        <v>0</v>
      </c>
      <c r="M252" s="41" t="n">
        <f aca="false">IF(ISNUMBER(M250),IF(ISNUMBER(M251),M251-M250,999999),0)</f>
        <v>0</v>
      </c>
      <c r="N252" s="41" t="n">
        <f aca="false">IF(ISNUMBER(N250),IF(ISNUMBER(N251),N251-N250,999999),0)</f>
        <v>0</v>
      </c>
      <c r="O252" s="41" t="n">
        <f aca="false">IF(ISNUMBER(O250),IF(ISNUMBER(O251),O251-O250,999999),0)</f>
        <v>0</v>
      </c>
      <c r="P252" s="41" t="n">
        <f aca="false">IF(ISNUMBER(P250),IF(ISNUMBER(P251),P251-P250,999999),0)</f>
        <v>0</v>
      </c>
      <c r="Q252" s="41" t="n">
        <f aca="false">IF(ISNUMBER(Q250),IF(ISNUMBER(Q251),Q251-Q250,999999),0)</f>
        <v>0</v>
      </c>
      <c r="R252" s="41" t="n">
        <f aca="false">IF(ISNUMBER(R250),IF(ISNUMBER(R251),R251-R250,999999),0)</f>
        <v>0</v>
      </c>
      <c r="S252" s="41" t="n">
        <f aca="false">IF(ISNUMBER(S250),IF(ISNUMBER(S251),S251-S250,999999),0)</f>
        <v>0</v>
      </c>
      <c r="T252" s="41" t="n">
        <f aca="false">IF(ISNUMBER(T250),IF(ISNUMBER(T251),T251-T250,999999),0)</f>
        <v>0</v>
      </c>
      <c r="U252" s="41" t="n">
        <f aca="false">IF(ISNUMBER(U250),IF(ISNUMBER(U251),U251-U250,999999),0)</f>
        <v>0</v>
      </c>
      <c r="V252" s="41" t="n">
        <f aca="false">IF(ISNUMBER(V250),IF(ISNUMBER(V251),V251-V250,999999),0)</f>
        <v>0</v>
      </c>
      <c r="W252" s="41" t="n">
        <f aca="false">IF(ISNUMBER(W250),IF(ISNUMBER(W251),W251-W250,999999),0)</f>
        <v>0</v>
      </c>
      <c r="X252" s="41" t="n">
        <f aca="false">IF(ISNUMBER(X250),IF(ISNUMBER(X251),X251-X250,999999),0)</f>
        <v>0</v>
      </c>
      <c r="Y252" s="41" t="n">
        <f aca="false">IF(ISNUMBER(Y250),IF(ISNUMBER(Y251),Y251-Y250,999999),0)</f>
        <v>0</v>
      </c>
      <c r="Z252" s="41" t="n">
        <f aca="false">IF(ISNUMBER(Z250),IF(ISNUMBER(Z251),Z251-Z250,999999),0)</f>
        <v>0</v>
      </c>
      <c r="AA252" s="41" t="n">
        <f aca="false">IF(ISNUMBER(AA250),IF(ISNUMBER(AA251),AA251-AA250,999999),0)</f>
        <v>0</v>
      </c>
      <c r="AB252" s="41" t="n">
        <f aca="false">IF(ISNUMBER(AB250),IF(ISNUMBER(AB251),AB251-AB250,999999),0)</f>
        <v>0</v>
      </c>
      <c r="AC252" s="41" t="n">
        <f aca="false">IF(ISNUMBER(AC250),IF(ISNUMBER(AC251),AC251-AC250,999999),0)</f>
        <v>0</v>
      </c>
      <c r="AD252" s="41" t="n">
        <f aca="false">IF(ISNUMBER(AD250),IF(ISNUMBER(AD251),AD251-AD250,999999),0)</f>
        <v>0</v>
      </c>
      <c r="AE252" s="41" t="n">
        <f aca="false">IF(ISNUMBER(AE250),IF(ISNUMBER(AE251),AE251-AE250,999999),0)</f>
        <v>0</v>
      </c>
    </row>
    <row r="254" customFormat="false" ht="15" hidden="false" customHeight="false" outlineLevel="0" collapsed="false">
      <c r="A254" s="35" t="s">
        <v>1229</v>
      </c>
      <c r="B254" s="6" t="s">
        <v>73</v>
      </c>
      <c r="C254" s="6" t="s">
        <v>119</v>
      </c>
      <c r="D254" s="6" t="n">
        <v>2</v>
      </c>
      <c r="E254" s="6" t="s">
        <v>1165</v>
      </c>
      <c r="K254" s="29"/>
      <c r="L254" s="29" t="n">
        <v>0</v>
      </c>
      <c r="M254" s="29" t="n">
        <v>0</v>
      </c>
      <c r="N254" s="29" t="n">
        <v>0</v>
      </c>
      <c r="O254" s="29" t="n">
        <v>0</v>
      </c>
      <c r="P254" s="29" t="n">
        <v>0</v>
      </c>
      <c r="Q254" s="29" t="n">
        <v>0</v>
      </c>
      <c r="R254" s="29" t="n">
        <v>0</v>
      </c>
      <c r="S254" s="29" t="n">
        <v>0</v>
      </c>
      <c r="T254" s="29" t="n">
        <v>0</v>
      </c>
      <c r="U254" s="29" t="n">
        <v>0</v>
      </c>
      <c r="V254" s="29" t="n">
        <v>0</v>
      </c>
      <c r="W254" s="29" t="n">
        <v>0</v>
      </c>
      <c r="X254" s="29" t="n">
        <v>0</v>
      </c>
      <c r="Y254" s="29" t="n">
        <v>0</v>
      </c>
      <c r="Z254" s="29" t="n">
        <v>0</v>
      </c>
      <c r="AA254" s="29" t="n">
        <v>0</v>
      </c>
      <c r="AB254" s="29" t="n">
        <v>0</v>
      </c>
      <c r="AC254" s="29" t="n">
        <v>0</v>
      </c>
      <c r="AD254" s="29" t="n">
        <v>0</v>
      </c>
      <c r="AE254" s="29" t="n">
        <v>0</v>
      </c>
    </row>
    <row r="255" customFormat="false" ht="15" hidden="false" customHeight="false" outlineLevel="0" collapsed="false">
      <c r="A255" s="35" t="s">
        <v>1229</v>
      </c>
      <c r="B255" s="6" t="s">
        <v>73</v>
      </c>
      <c r="C255" s="6" t="s">
        <v>119</v>
      </c>
      <c r="D255" s="6" t="n">
        <v>2</v>
      </c>
      <c r="E255" s="6" t="s">
        <v>1166</v>
      </c>
      <c r="K255" s="29" t="n">
        <f aca="false">INDEX(Mitigation_Industry!K:K,MATCH($A255,Mitigation_Industry!$H:$H,0))</f>
        <v>0</v>
      </c>
      <c r="L255" s="29" t="n">
        <f aca="false">INDEX(Mitigation_Industry!L:L,MATCH($A255,Mitigation_Industry!$H:$H,0))</f>
        <v>0</v>
      </c>
      <c r="M255" s="29" t="n">
        <f aca="false">INDEX(Mitigation_Industry!M:M,MATCH($A255,Mitigation_Industry!$H:$H,0))</f>
        <v>0</v>
      </c>
      <c r="N255" s="29" t="n">
        <f aca="false">INDEX(Mitigation_Industry!N:N,MATCH($A255,Mitigation_Industry!$H:$H,0))</f>
        <v>0</v>
      </c>
      <c r="O255" s="29" t="n">
        <f aca="false">INDEX(Mitigation_Industry!O:O,MATCH($A255,Mitigation_Industry!$H:$H,0))</f>
        <v>0</v>
      </c>
      <c r="P255" s="29" t="n">
        <f aca="false">INDEX(Mitigation_Industry!P:P,MATCH($A255,Mitigation_Industry!$H:$H,0))</f>
        <v>0</v>
      </c>
      <c r="Q255" s="29" t="n">
        <f aca="false">INDEX(Mitigation_Industry!Q:Q,MATCH($A255,Mitigation_Industry!$H:$H,0))</f>
        <v>0</v>
      </c>
      <c r="R255" s="29" t="n">
        <f aca="false">INDEX(Mitigation_Industry!R:R,MATCH($A255,Mitigation_Industry!$H:$H,0))</f>
        <v>0</v>
      </c>
      <c r="S255" s="29" t="n">
        <f aca="false">INDEX(Mitigation_Industry!S:S,MATCH($A255,Mitigation_Industry!$H:$H,0))</f>
        <v>0</v>
      </c>
      <c r="T255" s="29" t="n">
        <f aca="false">INDEX(Mitigation_Industry!T:T,MATCH($A255,Mitigation_Industry!$H:$H,0))</f>
        <v>0</v>
      </c>
      <c r="U255" s="29" t="n">
        <f aca="false">INDEX(Mitigation_Industry!U:U,MATCH($A255,Mitigation_Industry!$H:$H,0))</f>
        <v>0</v>
      </c>
      <c r="V255" s="29" t="n">
        <f aca="false">INDEX(Mitigation_Industry!V:V,MATCH($A255,Mitigation_Industry!$H:$H,0))</f>
        <v>0</v>
      </c>
      <c r="W255" s="29" t="n">
        <f aca="false">INDEX(Mitigation_Industry!W:W,MATCH($A255,Mitigation_Industry!$H:$H,0))</f>
        <v>0</v>
      </c>
      <c r="X255" s="29" t="n">
        <f aca="false">INDEX(Mitigation_Industry!X:X,MATCH($A255,Mitigation_Industry!$H:$H,0))</f>
        <v>0</v>
      </c>
      <c r="Y255" s="29" t="n">
        <f aca="false">INDEX(Mitigation_Industry!Y:Y,MATCH($A255,Mitigation_Industry!$H:$H,0))</f>
        <v>0</v>
      </c>
      <c r="Z255" s="29" t="n">
        <f aca="false">INDEX(Mitigation_Industry!Z:Z,MATCH($A255,Mitigation_Industry!$H:$H,0))</f>
        <v>0</v>
      </c>
      <c r="AA255" s="29" t="n">
        <f aca="false">INDEX(Mitigation_Industry!AA:AA,MATCH($A255,Mitigation_Industry!$H:$H,0))</f>
        <v>0</v>
      </c>
      <c r="AB255" s="29" t="n">
        <f aca="false">INDEX(Mitigation_Industry!AB:AB,MATCH($A255,Mitigation_Industry!$H:$H,0))</f>
        <v>0</v>
      </c>
      <c r="AC255" s="29" t="n">
        <f aca="false">INDEX(Mitigation_Industry!AC:AC,MATCH($A255,Mitigation_Industry!$H:$H,0))</f>
        <v>0</v>
      </c>
      <c r="AD255" s="29" t="n">
        <f aca="false">INDEX(Mitigation_Industry!AD:AD,MATCH($A255,Mitigation_Industry!$H:$H,0))</f>
        <v>0</v>
      </c>
      <c r="AE255" s="29" t="n">
        <f aca="false">INDEX(Mitigation_Industry!AE:AE,MATCH($A255,Mitigation_Industry!$H:$H,0))</f>
        <v>0</v>
      </c>
    </row>
    <row r="256" customFormat="false" ht="15" hidden="false" customHeight="false" outlineLevel="0" collapsed="false">
      <c r="A256" s="35" t="s">
        <v>1229</v>
      </c>
      <c r="B256" s="6" t="s">
        <v>73</v>
      </c>
      <c r="C256" s="6" t="s">
        <v>119</v>
      </c>
      <c r="D256" s="6" t="n">
        <v>2</v>
      </c>
      <c r="E256" s="2" t="s">
        <v>1167</v>
      </c>
      <c r="F256" s="40" t="n">
        <f aca="false">MAX(MAX(L256:AE256),-MIN(L256:AE256))</f>
        <v>-0</v>
      </c>
      <c r="K256" s="41" t="n">
        <f aca="false">IF(ISNUMBER(K254),IF(ISNUMBER(K255),K255-K254,999999),0)</f>
        <v>0</v>
      </c>
      <c r="L256" s="41" t="n">
        <f aca="false">IF(ISNUMBER(L254),IF(ISNUMBER(L255),L255-L254,999999),0)</f>
        <v>0</v>
      </c>
      <c r="M256" s="41" t="n">
        <f aca="false">IF(ISNUMBER(M254),IF(ISNUMBER(M255),M255-M254,999999),0)</f>
        <v>0</v>
      </c>
      <c r="N256" s="41" t="n">
        <f aca="false">IF(ISNUMBER(N254),IF(ISNUMBER(N255),N255-N254,999999),0)</f>
        <v>0</v>
      </c>
      <c r="O256" s="41" t="n">
        <f aca="false">IF(ISNUMBER(O254),IF(ISNUMBER(O255),O255-O254,999999),0)</f>
        <v>0</v>
      </c>
      <c r="P256" s="41" t="n">
        <f aca="false">IF(ISNUMBER(P254),IF(ISNUMBER(P255),P255-P254,999999),0)</f>
        <v>0</v>
      </c>
      <c r="Q256" s="41" t="n">
        <f aca="false">IF(ISNUMBER(Q254),IF(ISNUMBER(Q255),Q255-Q254,999999),0)</f>
        <v>0</v>
      </c>
      <c r="R256" s="41" t="n">
        <f aca="false">IF(ISNUMBER(R254),IF(ISNUMBER(R255),R255-R254,999999),0)</f>
        <v>0</v>
      </c>
      <c r="S256" s="41" t="n">
        <f aca="false">IF(ISNUMBER(S254),IF(ISNUMBER(S255),S255-S254,999999),0)</f>
        <v>0</v>
      </c>
      <c r="T256" s="41" t="n">
        <f aca="false">IF(ISNUMBER(T254),IF(ISNUMBER(T255),T255-T254,999999),0)</f>
        <v>0</v>
      </c>
      <c r="U256" s="41" t="n">
        <f aca="false">IF(ISNUMBER(U254),IF(ISNUMBER(U255),U255-U254,999999),0)</f>
        <v>0</v>
      </c>
      <c r="V256" s="41" t="n">
        <f aca="false">IF(ISNUMBER(V254),IF(ISNUMBER(V255),V255-V254,999999),0)</f>
        <v>0</v>
      </c>
      <c r="W256" s="41" t="n">
        <f aca="false">IF(ISNUMBER(W254),IF(ISNUMBER(W255),W255-W254,999999),0)</f>
        <v>0</v>
      </c>
      <c r="X256" s="41" t="n">
        <f aca="false">IF(ISNUMBER(X254),IF(ISNUMBER(X255),X255-X254,999999),0)</f>
        <v>0</v>
      </c>
      <c r="Y256" s="41" t="n">
        <f aca="false">IF(ISNUMBER(Y254),IF(ISNUMBER(Y255),Y255-Y254,999999),0)</f>
        <v>0</v>
      </c>
      <c r="Z256" s="41" t="n">
        <f aca="false">IF(ISNUMBER(Z254),IF(ISNUMBER(Z255),Z255-Z254,999999),0)</f>
        <v>0</v>
      </c>
      <c r="AA256" s="41" t="n">
        <f aca="false">IF(ISNUMBER(AA254),IF(ISNUMBER(AA255),AA255-AA254,999999),0)</f>
        <v>0</v>
      </c>
      <c r="AB256" s="41" t="n">
        <f aca="false">IF(ISNUMBER(AB254),IF(ISNUMBER(AB255),AB255-AB254,999999),0)</f>
        <v>0</v>
      </c>
      <c r="AC256" s="41" t="n">
        <f aca="false">IF(ISNUMBER(AC254),IF(ISNUMBER(AC255),AC255-AC254,999999),0)</f>
        <v>0</v>
      </c>
      <c r="AD256" s="41" t="n">
        <f aca="false">IF(ISNUMBER(AD254),IF(ISNUMBER(AD255),AD255-AD254,999999),0)</f>
        <v>0</v>
      </c>
      <c r="AE256" s="41" t="n">
        <f aca="false">IF(ISNUMBER(AE254),IF(ISNUMBER(AE255),AE255-AE254,999999),0)</f>
        <v>0</v>
      </c>
    </row>
    <row r="258" customFormat="false" ht="15" hidden="false" customHeight="false" outlineLevel="0" collapsed="false">
      <c r="A258" s="35" t="s">
        <v>1230</v>
      </c>
      <c r="B258" s="6" t="s">
        <v>53</v>
      </c>
      <c r="C258" s="6" t="s">
        <v>121</v>
      </c>
      <c r="D258" s="6" t="n">
        <v>2</v>
      </c>
      <c r="E258" s="6" t="s">
        <v>1165</v>
      </c>
      <c r="K258" s="29"/>
      <c r="L258" s="29" t="n">
        <v>0</v>
      </c>
      <c r="M258" s="29" t="n">
        <v>0</v>
      </c>
      <c r="N258" s="29" t="n">
        <v>0</v>
      </c>
      <c r="O258" s="29" t="n">
        <v>0</v>
      </c>
      <c r="P258" s="29" t="n">
        <v>0</v>
      </c>
      <c r="Q258" s="29" t="n">
        <v>0</v>
      </c>
      <c r="R258" s="29" t="n">
        <v>0</v>
      </c>
      <c r="S258" s="29" t="n">
        <v>0</v>
      </c>
      <c r="T258" s="29" t="n">
        <v>0</v>
      </c>
      <c r="U258" s="29" t="n">
        <v>0</v>
      </c>
      <c r="V258" s="29" t="n">
        <v>0</v>
      </c>
      <c r="W258" s="29" t="n">
        <v>0</v>
      </c>
      <c r="X258" s="29" t="n">
        <v>0</v>
      </c>
      <c r="Y258" s="29" t="n">
        <v>0</v>
      </c>
      <c r="Z258" s="29" t="n">
        <v>0</v>
      </c>
      <c r="AA258" s="29" t="n">
        <v>0</v>
      </c>
      <c r="AB258" s="29" t="n">
        <v>0</v>
      </c>
      <c r="AC258" s="29" t="n">
        <v>0</v>
      </c>
      <c r="AD258" s="29" t="n">
        <v>0</v>
      </c>
      <c r="AE258" s="29" t="n">
        <v>0</v>
      </c>
    </row>
    <row r="259" customFormat="false" ht="15" hidden="false" customHeight="false" outlineLevel="0" collapsed="false">
      <c r="A259" s="35" t="s">
        <v>1230</v>
      </c>
      <c r="B259" s="6" t="s">
        <v>53</v>
      </c>
      <c r="C259" s="6" t="s">
        <v>121</v>
      </c>
      <c r="D259" s="6" t="n">
        <v>2</v>
      </c>
      <c r="E259" s="6" t="s">
        <v>1166</v>
      </c>
      <c r="K259" s="29" t="n">
        <f aca="false">INDEX(Mitigation_Industry!K:K,MATCH($A259,Mitigation_Industry!$H:$H,0))</f>
        <v>0</v>
      </c>
      <c r="L259" s="29" t="n">
        <f aca="false">INDEX(Mitigation_Industry!L:L,MATCH($A259,Mitigation_Industry!$H:$H,0))</f>
        <v>0</v>
      </c>
      <c r="M259" s="29" t="n">
        <f aca="false">INDEX(Mitigation_Industry!M:M,MATCH($A259,Mitigation_Industry!$H:$H,0))</f>
        <v>0</v>
      </c>
      <c r="N259" s="29" t="n">
        <f aca="false">INDEX(Mitigation_Industry!N:N,MATCH($A259,Mitigation_Industry!$H:$H,0))</f>
        <v>0</v>
      </c>
      <c r="O259" s="29" t="n">
        <f aca="false">INDEX(Mitigation_Industry!O:O,MATCH($A259,Mitigation_Industry!$H:$H,0))</f>
        <v>0</v>
      </c>
      <c r="P259" s="29" t="n">
        <f aca="false">INDEX(Mitigation_Industry!P:P,MATCH($A259,Mitigation_Industry!$H:$H,0))</f>
        <v>0</v>
      </c>
      <c r="Q259" s="29" t="n">
        <f aca="false">INDEX(Mitigation_Industry!Q:Q,MATCH($A259,Mitigation_Industry!$H:$H,0))</f>
        <v>0</v>
      </c>
      <c r="R259" s="29" t="n">
        <f aca="false">INDEX(Mitigation_Industry!R:R,MATCH($A259,Mitigation_Industry!$H:$H,0))</f>
        <v>0</v>
      </c>
      <c r="S259" s="29" t="n">
        <f aca="false">INDEX(Mitigation_Industry!S:S,MATCH($A259,Mitigation_Industry!$H:$H,0))</f>
        <v>0</v>
      </c>
      <c r="T259" s="29" t="n">
        <f aca="false">INDEX(Mitigation_Industry!T:T,MATCH($A259,Mitigation_Industry!$H:$H,0))</f>
        <v>0</v>
      </c>
      <c r="U259" s="29" t="n">
        <f aca="false">INDEX(Mitigation_Industry!U:U,MATCH($A259,Mitigation_Industry!$H:$H,0))</f>
        <v>0</v>
      </c>
      <c r="V259" s="29" t="n">
        <f aca="false">INDEX(Mitigation_Industry!V:V,MATCH($A259,Mitigation_Industry!$H:$H,0))</f>
        <v>0</v>
      </c>
      <c r="W259" s="29" t="n">
        <f aca="false">INDEX(Mitigation_Industry!W:W,MATCH($A259,Mitigation_Industry!$H:$H,0))</f>
        <v>0</v>
      </c>
      <c r="X259" s="29" t="n">
        <f aca="false">INDEX(Mitigation_Industry!X:X,MATCH($A259,Mitigation_Industry!$H:$H,0))</f>
        <v>0</v>
      </c>
      <c r="Y259" s="29" t="n">
        <f aca="false">INDEX(Mitigation_Industry!Y:Y,MATCH($A259,Mitigation_Industry!$H:$H,0))</f>
        <v>0</v>
      </c>
      <c r="Z259" s="29" t="n">
        <f aca="false">INDEX(Mitigation_Industry!Z:Z,MATCH($A259,Mitigation_Industry!$H:$H,0))</f>
        <v>0</v>
      </c>
      <c r="AA259" s="29" t="n">
        <f aca="false">INDEX(Mitigation_Industry!AA:AA,MATCH($A259,Mitigation_Industry!$H:$H,0))</f>
        <v>0</v>
      </c>
      <c r="AB259" s="29" t="n">
        <f aca="false">INDEX(Mitigation_Industry!AB:AB,MATCH($A259,Mitigation_Industry!$H:$H,0))</f>
        <v>0</v>
      </c>
      <c r="AC259" s="29" t="n">
        <f aca="false">INDEX(Mitigation_Industry!AC:AC,MATCH($A259,Mitigation_Industry!$H:$H,0))</f>
        <v>0</v>
      </c>
      <c r="AD259" s="29" t="n">
        <f aca="false">INDEX(Mitigation_Industry!AD:AD,MATCH($A259,Mitigation_Industry!$H:$H,0))</f>
        <v>0</v>
      </c>
      <c r="AE259" s="29" t="n">
        <f aca="false">INDEX(Mitigation_Industry!AE:AE,MATCH($A259,Mitigation_Industry!$H:$H,0))</f>
        <v>0</v>
      </c>
    </row>
    <row r="260" customFormat="false" ht="15" hidden="false" customHeight="false" outlineLevel="0" collapsed="false">
      <c r="A260" s="35" t="s">
        <v>1230</v>
      </c>
      <c r="B260" s="6" t="s">
        <v>53</v>
      </c>
      <c r="C260" s="6" t="s">
        <v>121</v>
      </c>
      <c r="D260" s="6" t="n">
        <v>2</v>
      </c>
      <c r="E260" s="2" t="s">
        <v>1167</v>
      </c>
      <c r="F260" s="40" t="n">
        <f aca="false">MAX(MAX(L260:AE260),-MIN(L260:AE260))</f>
        <v>-0</v>
      </c>
      <c r="K260" s="41" t="n">
        <f aca="false">IF(ISNUMBER(K258),IF(ISNUMBER(K259),K259-K258,999999),0)</f>
        <v>0</v>
      </c>
      <c r="L260" s="41" t="n">
        <f aca="false">IF(ISNUMBER(L258),IF(ISNUMBER(L259),L259-L258,999999),0)</f>
        <v>0</v>
      </c>
      <c r="M260" s="41" t="n">
        <f aca="false">IF(ISNUMBER(M258),IF(ISNUMBER(M259),M259-M258,999999),0)</f>
        <v>0</v>
      </c>
      <c r="N260" s="41" t="n">
        <f aca="false">IF(ISNUMBER(N258),IF(ISNUMBER(N259),N259-N258,999999),0)</f>
        <v>0</v>
      </c>
      <c r="O260" s="41" t="n">
        <f aca="false">IF(ISNUMBER(O258),IF(ISNUMBER(O259),O259-O258,999999),0)</f>
        <v>0</v>
      </c>
      <c r="P260" s="41" t="n">
        <f aca="false">IF(ISNUMBER(P258),IF(ISNUMBER(P259),P259-P258,999999),0)</f>
        <v>0</v>
      </c>
      <c r="Q260" s="41" t="n">
        <f aca="false">IF(ISNUMBER(Q258),IF(ISNUMBER(Q259),Q259-Q258,999999),0)</f>
        <v>0</v>
      </c>
      <c r="R260" s="41" t="n">
        <f aca="false">IF(ISNUMBER(R258),IF(ISNUMBER(R259),R259-R258,999999),0)</f>
        <v>0</v>
      </c>
      <c r="S260" s="41" t="n">
        <f aca="false">IF(ISNUMBER(S258),IF(ISNUMBER(S259),S259-S258,999999),0)</f>
        <v>0</v>
      </c>
      <c r="T260" s="41" t="n">
        <f aca="false">IF(ISNUMBER(T258),IF(ISNUMBER(T259),T259-T258,999999),0)</f>
        <v>0</v>
      </c>
      <c r="U260" s="41" t="n">
        <f aca="false">IF(ISNUMBER(U258),IF(ISNUMBER(U259),U259-U258,999999),0)</f>
        <v>0</v>
      </c>
      <c r="V260" s="41" t="n">
        <f aca="false">IF(ISNUMBER(V258),IF(ISNUMBER(V259),V259-V258,999999),0)</f>
        <v>0</v>
      </c>
      <c r="W260" s="41" t="n">
        <f aca="false">IF(ISNUMBER(W258),IF(ISNUMBER(W259),W259-W258,999999),0)</f>
        <v>0</v>
      </c>
      <c r="X260" s="41" t="n">
        <f aca="false">IF(ISNUMBER(X258),IF(ISNUMBER(X259),X259-X258,999999),0)</f>
        <v>0</v>
      </c>
      <c r="Y260" s="41" t="n">
        <f aca="false">IF(ISNUMBER(Y258),IF(ISNUMBER(Y259),Y259-Y258,999999),0)</f>
        <v>0</v>
      </c>
      <c r="Z260" s="41" t="n">
        <f aca="false">IF(ISNUMBER(Z258),IF(ISNUMBER(Z259),Z259-Z258,999999),0)</f>
        <v>0</v>
      </c>
      <c r="AA260" s="41" t="n">
        <f aca="false">IF(ISNUMBER(AA258),IF(ISNUMBER(AA259),AA259-AA258,999999),0)</f>
        <v>0</v>
      </c>
      <c r="AB260" s="41" t="n">
        <f aca="false">IF(ISNUMBER(AB258),IF(ISNUMBER(AB259),AB259-AB258,999999),0)</f>
        <v>0</v>
      </c>
      <c r="AC260" s="41" t="n">
        <f aca="false">IF(ISNUMBER(AC258),IF(ISNUMBER(AC259),AC259-AC258,999999),0)</f>
        <v>0</v>
      </c>
      <c r="AD260" s="41" t="n">
        <f aca="false">IF(ISNUMBER(AD258),IF(ISNUMBER(AD259),AD259-AD258,999999),0)</f>
        <v>0</v>
      </c>
      <c r="AE260" s="41" t="n">
        <f aca="false">IF(ISNUMBER(AE258),IF(ISNUMBER(AE259),AE259-AE258,999999),0)</f>
        <v>0</v>
      </c>
    </row>
    <row r="262" customFormat="false" ht="15" hidden="false" customHeight="false" outlineLevel="0" collapsed="false">
      <c r="A262" s="35" t="s">
        <v>1231</v>
      </c>
      <c r="B262" s="6" t="s">
        <v>57</v>
      </c>
      <c r="C262" s="6" t="s">
        <v>121</v>
      </c>
      <c r="D262" s="6" t="n">
        <v>2</v>
      </c>
      <c r="E262" s="6" t="s">
        <v>1165</v>
      </c>
      <c r="K262" s="29"/>
      <c r="L262" s="29" t="n">
        <v>0</v>
      </c>
      <c r="M262" s="29" t="n">
        <v>0</v>
      </c>
      <c r="N262" s="29" t="n">
        <v>0</v>
      </c>
      <c r="O262" s="29" t="n">
        <v>0</v>
      </c>
      <c r="P262" s="29" t="n">
        <v>0</v>
      </c>
      <c r="Q262" s="29" t="n">
        <v>0</v>
      </c>
      <c r="R262" s="29" t="n">
        <v>0</v>
      </c>
      <c r="S262" s="29" t="n">
        <v>0</v>
      </c>
      <c r="T262" s="29" t="n">
        <v>0</v>
      </c>
      <c r="U262" s="29" t="n">
        <v>0</v>
      </c>
      <c r="V262" s="29" t="n">
        <v>0</v>
      </c>
      <c r="W262" s="29" t="n">
        <v>0</v>
      </c>
      <c r="X262" s="29" t="n">
        <v>0</v>
      </c>
      <c r="Y262" s="29" t="n">
        <v>0</v>
      </c>
      <c r="Z262" s="29" t="n">
        <v>0</v>
      </c>
      <c r="AA262" s="29" t="n">
        <v>0</v>
      </c>
      <c r="AB262" s="29" t="n">
        <v>0</v>
      </c>
      <c r="AC262" s="29" t="n">
        <v>0</v>
      </c>
      <c r="AD262" s="29" t="n">
        <v>0</v>
      </c>
      <c r="AE262" s="29" t="n">
        <v>0</v>
      </c>
    </row>
    <row r="263" customFormat="false" ht="15" hidden="false" customHeight="false" outlineLevel="0" collapsed="false">
      <c r="A263" s="35" t="s">
        <v>1231</v>
      </c>
      <c r="B263" s="6" t="s">
        <v>57</v>
      </c>
      <c r="C263" s="6" t="s">
        <v>121</v>
      </c>
      <c r="D263" s="6" t="n">
        <v>2</v>
      </c>
      <c r="E263" s="6" t="s">
        <v>1166</v>
      </c>
      <c r="K263" s="29" t="n">
        <f aca="false">INDEX(Mitigation_Industry!K:K,MATCH($A263,Mitigation_Industry!$H:$H,0))</f>
        <v>0</v>
      </c>
      <c r="L263" s="29" t="n">
        <f aca="false">INDEX(Mitigation_Industry!L:L,MATCH($A263,Mitigation_Industry!$H:$H,0))</f>
        <v>0</v>
      </c>
      <c r="M263" s="29" t="n">
        <f aca="false">INDEX(Mitigation_Industry!M:M,MATCH($A263,Mitigation_Industry!$H:$H,0))</f>
        <v>0</v>
      </c>
      <c r="N263" s="29" t="n">
        <f aca="false">INDEX(Mitigation_Industry!N:N,MATCH($A263,Mitigation_Industry!$H:$H,0))</f>
        <v>0</v>
      </c>
      <c r="O263" s="29" t="n">
        <f aca="false">INDEX(Mitigation_Industry!O:O,MATCH($A263,Mitigation_Industry!$H:$H,0))</f>
        <v>0</v>
      </c>
      <c r="P263" s="29" t="n">
        <f aca="false">INDEX(Mitigation_Industry!P:P,MATCH($A263,Mitigation_Industry!$H:$H,0))</f>
        <v>0</v>
      </c>
      <c r="Q263" s="29" t="n">
        <f aca="false">INDEX(Mitigation_Industry!Q:Q,MATCH($A263,Mitigation_Industry!$H:$H,0))</f>
        <v>0</v>
      </c>
      <c r="R263" s="29" t="n">
        <f aca="false">INDEX(Mitigation_Industry!R:R,MATCH($A263,Mitigation_Industry!$H:$H,0))</f>
        <v>0</v>
      </c>
      <c r="S263" s="29" t="n">
        <f aca="false">INDEX(Mitigation_Industry!S:S,MATCH($A263,Mitigation_Industry!$H:$H,0))</f>
        <v>0</v>
      </c>
      <c r="T263" s="29" t="n">
        <f aca="false">INDEX(Mitigation_Industry!T:T,MATCH($A263,Mitigation_Industry!$H:$H,0))</f>
        <v>0</v>
      </c>
      <c r="U263" s="29" t="n">
        <f aca="false">INDEX(Mitigation_Industry!U:U,MATCH($A263,Mitigation_Industry!$H:$H,0))</f>
        <v>0</v>
      </c>
      <c r="V263" s="29" t="n">
        <f aca="false">INDEX(Mitigation_Industry!V:V,MATCH($A263,Mitigation_Industry!$H:$H,0))</f>
        <v>0</v>
      </c>
      <c r="W263" s="29" t="n">
        <f aca="false">INDEX(Mitigation_Industry!W:W,MATCH($A263,Mitigation_Industry!$H:$H,0))</f>
        <v>0</v>
      </c>
      <c r="X263" s="29" t="n">
        <f aca="false">INDEX(Mitigation_Industry!X:X,MATCH($A263,Mitigation_Industry!$H:$H,0))</f>
        <v>0</v>
      </c>
      <c r="Y263" s="29" t="n">
        <f aca="false">INDEX(Mitigation_Industry!Y:Y,MATCH($A263,Mitigation_Industry!$H:$H,0))</f>
        <v>0</v>
      </c>
      <c r="Z263" s="29" t="n">
        <f aca="false">INDEX(Mitigation_Industry!Z:Z,MATCH($A263,Mitigation_Industry!$H:$H,0))</f>
        <v>0</v>
      </c>
      <c r="AA263" s="29" t="n">
        <f aca="false">INDEX(Mitigation_Industry!AA:AA,MATCH($A263,Mitigation_Industry!$H:$H,0))</f>
        <v>0</v>
      </c>
      <c r="AB263" s="29" t="n">
        <f aca="false">INDEX(Mitigation_Industry!AB:AB,MATCH($A263,Mitigation_Industry!$H:$H,0))</f>
        <v>0</v>
      </c>
      <c r="AC263" s="29" t="n">
        <f aca="false">INDEX(Mitigation_Industry!AC:AC,MATCH($A263,Mitigation_Industry!$H:$H,0))</f>
        <v>0</v>
      </c>
      <c r="AD263" s="29" t="n">
        <f aca="false">INDEX(Mitigation_Industry!AD:AD,MATCH($A263,Mitigation_Industry!$H:$H,0))</f>
        <v>0</v>
      </c>
      <c r="AE263" s="29" t="n">
        <f aca="false">INDEX(Mitigation_Industry!AE:AE,MATCH($A263,Mitigation_Industry!$H:$H,0))</f>
        <v>0</v>
      </c>
    </row>
    <row r="264" customFormat="false" ht="15" hidden="false" customHeight="false" outlineLevel="0" collapsed="false">
      <c r="A264" s="35" t="s">
        <v>1231</v>
      </c>
      <c r="B264" s="6" t="s">
        <v>57</v>
      </c>
      <c r="C264" s="6" t="s">
        <v>121</v>
      </c>
      <c r="D264" s="6" t="n">
        <v>2</v>
      </c>
      <c r="E264" s="2" t="s">
        <v>1167</v>
      </c>
      <c r="F264" s="40" t="n">
        <f aca="false">MAX(MAX(L264:AE264),-MIN(L264:AE264))</f>
        <v>-0</v>
      </c>
      <c r="K264" s="41" t="n">
        <f aca="false">IF(ISNUMBER(K262),IF(ISNUMBER(K263),K263-K262,999999),0)</f>
        <v>0</v>
      </c>
      <c r="L264" s="41" t="n">
        <f aca="false">IF(ISNUMBER(L262),IF(ISNUMBER(L263),L263-L262,999999),0)</f>
        <v>0</v>
      </c>
      <c r="M264" s="41" t="n">
        <f aca="false">IF(ISNUMBER(M262),IF(ISNUMBER(M263),M263-M262,999999),0)</f>
        <v>0</v>
      </c>
      <c r="N264" s="41" t="n">
        <f aca="false">IF(ISNUMBER(N262),IF(ISNUMBER(N263),N263-N262,999999),0)</f>
        <v>0</v>
      </c>
      <c r="O264" s="41" t="n">
        <f aca="false">IF(ISNUMBER(O262),IF(ISNUMBER(O263),O263-O262,999999),0)</f>
        <v>0</v>
      </c>
      <c r="P264" s="41" t="n">
        <f aca="false">IF(ISNUMBER(P262),IF(ISNUMBER(P263),P263-P262,999999),0)</f>
        <v>0</v>
      </c>
      <c r="Q264" s="41" t="n">
        <f aca="false">IF(ISNUMBER(Q262),IF(ISNUMBER(Q263),Q263-Q262,999999),0)</f>
        <v>0</v>
      </c>
      <c r="R264" s="41" t="n">
        <f aca="false">IF(ISNUMBER(R262),IF(ISNUMBER(R263),R263-R262,999999),0)</f>
        <v>0</v>
      </c>
      <c r="S264" s="41" t="n">
        <f aca="false">IF(ISNUMBER(S262),IF(ISNUMBER(S263),S263-S262,999999),0)</f>
        <v>0</v>
      </c>
      <c r="T264" s="41" t="n">
        <f aca="false">IF(ISNUMBER(T262),IF(ISNUMBER(T263),T263-T262,999999),0)</f>
        <v>0</v>
      </c>
      <c r="U264" s="41" t="n">
        <f aca="false">IF(ISNUMBER(U262),IF(ISNUMBER(U263),U263-U262,999999),0)</f>
        <v>0</v>
      </c>
      <c r="V264" s="41" t="n">
        <f aca="false">IF(ISNUMBER(V262),IF(ISNUMBER(V263),V263-V262,999999),0)</f>
        <v>0</v>
      </c>
      <c r="W264" s="41" t="n">
        <f aca="false">IF(ISNUMBER(W262),IF(ISNUMBER(W263),W263-W262,999999),0)</f>
        <v>0</v>
      </c>
      <c r="X264" s="41" t="n">
        <f aca="false">IF(ISNUMBER(X262),IF(ISNUMBER(X263),X263-X262,999999),0)</f>
        <v>0</v>
      </c>
      <c r="Y264" s="41" t="n">
        <f aca="false">IF(ISNUMBER(Y262),IF(ISNUMBER(Y263),Y263-Y262,999999),0)</f>
        <v>0</v>
      </c>
      <c r="Z264" s="41" t="n">
        <f aca="false">IF(ISNUMBER(Z262),IF(ISNUMBER(Z263),Z263-Z262,999999),0)</f>
        <v>0</v>
      </c>
      <c r="AA264" s="41" t="n">
        <f aca="false">IF(ISNUMBER(AA262),IF(ISNUMBER(AA263),AA263-AA262,999999),0)</f>
        <v>0</v>
      </c>
      <c r="AB264" s="41" t="n">
        <f aca="false">IF(ISNUMBER(AB262),IF(ISNUMBER(AB263),AB263-AB262,999999),0)</f>
        <v>0</v>
      </c>
      <c r="AC264" s="41" t="n">
        <f aca="false">IF(ISNUMBER(AC262),IF(ISNUMBER(AC263),AC263-AC262,999999),0)</f>
        <v>0</v>
      </c>
      <c r="AD264" s="41" t="n">
        <f aca="false">IF(ISNUMBER(AD262),IF(ISNUMBER(AD263),AD263-AD262,999999),0)</f>
        <v>0</v>
      </c>
      <c r="AE264" s="41" t="n">
        <f aca="false">IF(ISNUMBER(AE262),IF(ISNUMBER(AE263),AE263-AE262,999999),0)</f>
        <v>0</v>
      </c>
    </row>
    <row r="266" customFormat="false" ht="15" hidden="false" customHeight="false" outlineLevel="0" collapsed="false">
      <c r="A266" s="35" t="s">
        <v>1232</v>
      </c>
      <c r="B266" s="6" t="s">
        <v>59</v>
      </c>
      <c r="C266" s="6" t="s">
        <v>121</v>
      </c>
      <c r="D266" s="6" t="n">
        <v>2</v>
      </c>
      <c r="E266" s="6" t="s">
        <v>1165</v>
      </c>
      <c r="K266" s="29"/>
      <c r="L266" s="29" t="n">
        <v>0</v>
      </c>
      <c r="M266" s="29" t="n">
        <v>0</v>
      </c>
      <c r="N266" s="29" t="n">
        <v>0</v>
      </c>
      <c r="O266" s="29" t="n">
        <v>0</v>
      </c>
      <c r="P266" s="29" t="n">
        <v>0</v>
      </c>
      <c r="Q266" s="29" t="n">
        <v>0</v>
      </c>
      <c r="R266" s="29" t="n">
        <v>0</v>
      </c>
      <c r="S266" s="29" t="n">
        <v>0</v>
      </c>
      <c r="T266" s="29" t="n">
        <v>0</v>
      </c>
      <c r="U266" s="29" t="n">
        <v>0</v>
      </c>
      <c r="V266" s="29" t="n">
        <v>0</v>
      </c>
      <c r="W266" s="29" t="n">
        <v>0</v>
      </c>
      <c r="X266" s="29" t="n">
        <v>0</v>
      </c>
      <c r="Y266" s="29" t="n">
        <v>0</v>
      </c>
      <c r="Z266" s="29" t="n">
        <v>0</v>
      </c>
      <c r="AA266" s="29" t="n">
        <v>0</v>
      </c>
      <c r="AB266" s="29" t="n">
        <v>0</v>
      </c>
      <c r="AC266" s="29" t="n">
        <v>0</v>
      </c>
      <c r="AD266" s="29" t="n">
        <v>0</v>
      </c>
      <c r="AE266" s="29" t="n">
        <v>0</v>
      </c>
    </row>
    <row r="267" customFormat="false" ht="15" hidden="false" customHeight="false" outlineLevel="0" collapsed="false">
      <c r="A267" s="35" t="s">
        <v>1232</v>
      </c>
      <c r="B267" s="6" t="s">
        <v>59</v>
      </c>
      <c r="C267" s="6" t="s">
        <v>121</v>
      </c>
      <c r="D267" s="6" t="n">
        <v>2</v>
      </c>
      <c r="E267" s="6" t="s">
        <v>1166</v>
      </c>
      <c r="K267" s="29" t="n">
        <f aca="false">INDEX(Mitigation_Industry!K:K,MATCH($A267,Mitigation_Industry!$H:$H,0))</f>
        <v>0</v>
      </c>
      <c r="L267" s="29" t="n">
        <f aca="false">INDEX(Mitigation_Industry!L:L,MATCH($A267,Mitigation_Industry!$H:$H,0))</f>
        <v>0</v>
      </c>
      <c r="M267" s="29" t="n">
        <f aca="false">INDEX(Mitigation_Industry!M:M,MATCH($A267,Mitigation_Industry!$H:$H,0))</f>
        <v>0</v>
      </c>
      <c r="N267" s="29" t="n">
        <f aca="false">INDEX(Mitigation_Industry!N:N,MATCH($A267,Mitigation_Industry!$H:$H,0))</f>
        <v>0</v>
      </c>
      <c r="O267" s="29" t="n">
        <f aca="false">INDEX(Mitigation_Industry!O:O,MATCH($A267,Mitigation_Industry!$H:$H,0))</f>
        <v>0</v>
      </c>
      <c r="P267" s="29" t="n">
        <f aca="false">INDEX(Mitigation_Industry!P:P,MATCH($A267,Mitigation_Industry!$H:$H,0))</f>
        <v>0</v>
      </c>
      <c r="Q267" s="29" t="n">
        <f aca="false">INDEX(Mitigation_Industry!Q:Q,MATCH($A267,Mitigation_Industry!$H:$H,0))</f>
        <v>0</v>
      </c>
      <c r="R267" s="29" t="n">
        <f aca="false">INDEX(Mitigation_Industry!R:R,MATCH($A267,Mitigation_Industry!$H:$H,0))</f>
        <v>0</v>
      </c>
      <c r="S267" s="29" t="n">
        <f aca="false">INDEX(Mitigation_Industry!S:S,MATCH($A267,Mitigation_Industry!$H:$H,0))</f>
        <v>0</v>
      </c>
      <c r="T267" s="29" t="n">
        <f aca="false">INDEX(Mitigation_Industry!T:T,MATCH($A267,Mitigation_Industry!$H:$H,0))</f>
        <v>0</v>
      </c>
      <c r="U267" s="29" t="n">
        <f aca="false">INDEX(Mitigation_Industry!U:U,MATCH($A267,Mitigation_Industry!$H:$H,0))</f>
        <v>0</v>
      </c>
      <c r="V267" s="29" t="n">
        <f aca="false">INDEX(Mitigation_Industry!V:V,MATCH($A267,Mitigation_Industry!$H:$H,0))</f>
        <v>0</v>
      </c>
      <c r="W267" s="29" t="n">
        <f aca="false">INDEX(Mitigation_Industry!W:W,MATCH($A267,Mitigation_Industry!$H:$H,0))</f>
        <v>0</v>
      </c>
      <c r="X267" s="29" t="n">
        <f aca="false">INDEX(Mitigation_Industry!X:X,MATCH($A267,Mitigation_Industry!$H:$H,0))</f>
        <v>0</v>
      </c>
      <c r="Y267" s="29" t="n">
        <f aca="false">INDEX(Mitigation_Industry!Y:Y,MATCH($A267,Mitigation_Industry!$H:$H,0))</f>
        <v>0</v>
      </c>
      <c r="Z267" s="29" t="n">
        <f aca="false">INDEX(Mitigation_Industry!Z:Z,MATCH($A267,Mitigation_Industry!$H:$H,0))</f>
        <v>0</v>
      </c>
      <c r="AA267" s="29" t="n">
        <f aca="false">INDEX(Mitigation_Industry!AA:AA,MATCH($A267,Mitigation_Industry!$H:$H,0))</f>
        <v>0</v>
      </c>
      <c r="AB267" s="29" t="n">
        <f aca="false">INDEX(Mitigation_Industry!AB:AB,MATCH($A267,Mitigation_Industry!$H:$H,0))</f>
        <v>0</v>
      </c>
      <c r="AC267" s="29" t="n">
        <f aca="false">INDEX(Mitigation_Industry!AC:AC,MATCH($A267,Mitigation_Industry!$H:$H,0))</f>
        <v>0</v>
      </c>
      <c r="AD267" s="29" t="n">
        <f aca="false">INDEX(Mitigation_Industry!AD:AD,MATCH($A267,Mitigation_Industry!$H:$H,0))</f>
        <v>0</v>
      </c>
      <c r="AE267" s="29" t="n">
        <f aca="false">INDEX(Mitigation_Industry!AE:AE,MATCH($A267,Mitigation_Industry!$H:$H,0))</f>
        <v>0</v>
      </c>
    </row>
    <row r="268" customFormat="false" ht="15" hidden="false" customHeight="false" outlineLevel="0" collapsed="false">
      <c r="A268" s="35" t="s">
        <v>1232</v>
      </c>
      <c r="B268" s="6" t="s">
        <v>59</v>
      </c>
      <c r="C268" s="6" t="s">
        <v>121</v>
      </c>
      <c r="D268" s="6" t="n">
        <v>2</v>
      </c>
      <c r="E268" s="2" t="s">
        <v>1167</v>
      </c>
      <c r="F268" s="40" t="n">
        <f aca="false">MAX(MAX(L268:AE268),-MIN(L268:AE268))</f>
        <v>-0</v>
      </c>
      <c r="K268" s="41" t="n">
        <f aca="false">IF(ISNUMBER(K266),IF(ISNUMBER(K267),K267-K266,999999),0)</f>
        <v>0</v>
      </c>
      <c r="L268" s="41" t="n">
        <f aca="false">IF(ISNUMBER(L266),IF(ISNUMBER(L267),L267-L266,999999),0)</f>
        <v>0</v>
      </c>
      <c r="M268" s="41" t="n">
        <f aca="false">IF(ISNUMBER(M266),IF(ISNUMBER(M267),M267-M266,999999),0)</f>
        <v>0</v>
      </c>
      <c r="N268" s="41" t="n">
        <f aca="false">IF(ISNUMBER(N266),IF(ISNUMBER(N267),N267-N266,999999),0)</f>
        <v>0</v>
      </c>
      <c r="O268" s="41" t="n">
        <f aca="false">IF(ISNUMBER(O266),IF(ISNUMBER(O267),O267-O266,999999),0)</f>
        <v>0</v>
      </c>
      <c r="P268" s="41" t="n">
        <f aca="false">IF(ISNUMBER(P266),IF(ISNUMBER(P267),P267-P266,999999),0)</f>
        <v>0</v>
      </c>
      <c r="Q268" s="41" t="n">
        <f aca="false">IF(ISNUMBER(Q266),IF(ISNUMBER(Q267),Q267-Q266,999999),0)</f>
        <v>0</v>
      </c>
      <c r="R268" s="41" t="n">
        <f aca="false">IF(ISNUMBER(R266),IF(ISNUMBER(R267),R267-R266,999999),0)</f>
        <v>0</v>
      </c>
      <c r="S268" s="41" t="n">
        <f aca="false">IF(ISNUMBER(S266),IF(ISNUMBER(S267),S267-S266,999999),0)</f>
        <v>0</v>
      </c>
      <c r="T268" s="41" t="n">
        <f aca="false">IF(ISNUMBER(T266),IF(ISNUMBER(T267),T267-T266,999999),0)</f>
        <v>0</v>
      </c>
      <c r="U268" s="41" t="n">
        <f aca="false">IF(ISNUMBER(U266),IF(ISNUMBER(U267),U267-U266,999999),0)</f>
        <v>0</v>
      </c>
      <c r="V268" s="41" t="n">
        <f aca="false">IF(ISNUMBER(V266),IF(ISNUMBER(V267),V267-V266,999999),0)</f>
        <v>0</v>
      </c>
      <c r="W268" s="41" t="n">
        <f aca="false">IF(ISNUMBER(W266),IF(ISNUMBER(W267),W267-W266,999999),0)</f>
        <v>0</v>
      </c>
      <c r="X268" s="41" t="n">
        <f aca="false">IF(ISNUMBER(X266),IF(ISNUMBER(X267),X267-X266,999999),0)</f>
        <v>0</v>
      </c>
      <c r="Y268" s="41" t="n">
        <f aca="false">IF(ISNUMBER(Y266),IF(ISNUMBER(Y267),Y267-Y266,999999),0)</f>
        <v>0</v>
      </c>
      <c r="Z268" s="41" t="n">
        <f aca="false">IF(ISNUMBER(Z266),IF(ISNUMBER(Z267),Z267-Z266,999999),0)</f>
        <v>0</v>
      </c>
      <c r="AA268" s="41" t="n">
        <f aca="false">IF(ISNUMBER(AA266),IF(ISNUMBER(AA267),AA267-AA266,999999),0)</f>
        <v>0</v>
      </c>
      <c r="AB268" s="41" t="n">
        <f aca="false">IF(ISNUMBER(AB266),IF(ISNUMBER(AB267),AB267-AB266,999999),0)</f>
        <v>0</v>
      </c>
      <c r="AC268" s="41" t="n">
        <f aca="false">IF(ISNUMBER(AC266),IF(ISNUMBER(AC267),AC267-AC266,999999),0)</f>
        <v>0</v>
      </c>
      <c r="AD268" s="41" t="n">
        <f aca="false">IF(ISNUMBER(AD266),IF(ISNUMBER(AD267),AD267-AD266,999999),0)</f>
        <v>0</v>
      </c>
      <c r="AE268" s="41" t="n">
        <f aca="false">IF(ISNUMBER(AE266),IF(ISNUMBER(AE267),AE267-AE266,999999),0)</f>
        <v>0</v>
      </c>
    </row>
    <row r="270" customFormat="false" ht="15" hidden="false" customHeight="false" outlineLevel="0" collapsed="false">
      <c r="A270" s="35" t="s">
        <v>1233</v>
      </c>
      <c r="B270" s="6" t="s">
        <v>62</v>
      </c>
      <c r="C270" s="6" t="s">
        <v>121</v>
      </c>
      <c r="D270" s="6" t="n">
        <v>2</v>
      </c>
      <c r="E270" s="6" t="s">
        <v>1165</v>
      </c>
      <c r="K270" s="29"/>
      <c r="L270" s="29" t="n">
        <v>0</v>
      </c>
      <c r="M270" s="29" t="n">
        <v>0</v>
      </c>
      <c r="N270" s="29" t="n">
        <v>0</v>
      </c>
      <c r="O270" s="29" t="n">
        <v>0</v>
      </c>
      <c r="P270" s="29" t="n">
        <v>0</v>
      </c>
      <c r="Q270" s="29" t="n">
        <v>0</v>
      </c>
      <c r="R270" s="29" t="n">
        <v>0</v>
      </c>
      <c r="S270" s="29" t="n">
        <v>0</v>
      </c>
      <c r="T270" s="29" t="n">
        <v>0</v>
      </c>
      <c r="U270" s="29" t="n">
        <v>0</v>
      </c>
      <c r="V270" s="29" t="n">
        <v>0</v>
      </c>
      <c r="W270" s="29" t="n">
        <v>0</v>
      </c>
      <c r="X270" s="29" t="n">
        <v>0</v>
      </c>
      <c r="Y270" s="29" t="n">
        <v>0</v>
      </c>
      <c r="Z270" s="29" t="n">
        <v>0</v>
      </c>
      <c r="AA270" s="29" t="n">
        <v>0</v>
      </c>
      <c r="AB270" s="29" t="n">
        <v>0</v>
      </c>
      <c r="AC270" s="29" t="n">
        <v>0</v>
      </c>
      <c r="AD270" s="29" t="n">
        <v>0</v>
      </c>
      <c r="AE270" s="29" t="n">
        <v>0</v>
      </c>
    </row>
    <row r="271" customFormat="false" ht="15" hidden="false" customHeight="false" outlineLevel="0" collapsed="false">
      <c r="A271" s="35" t="s">
        <v>1233</v>
      </c>
      <c r="B271" s="6" t="s">
        <v>62</v>
      </c>
      <c r="C271" s="6" t="s">
        <v>121</v>
      </c>
      <c r="D271" s="6" t="n">
        <v>2</v>
      </c>
      <c r="E271" s="6" t="s">
        <v>1166</v>
      </c>
      <c r="K271" s="29" t="n">
        <f aca="false">INDEX(Mitigation_Industry!K:K,MATCH($A271,Mitigation_Industry!$H:$H,0))</f>
        <v>0</v>
      </c>
      <c r="L271" s="29" t="n">
        <f aca="false">INDEX(Mitigation_Industry!L:L,MATCH($A271,Mitigation_Industry!$H:$H,0))</f>
        <v>0</v>
      </c>
      <c r="M271" s="29" t="n">
        <f aca="false">INDEX(Mitigation_Industry!M:M,MATCH($A271,Mitigation_Industry!$H:$H,0))</f>
        <v>0</v>
      </c>
      <c r="N271" s="29" t="n">
        <f aca="false">INDEX(Mitigation_Industry!N:N,MATCH($A271,Mitigation_Industry!$H:$H,0))</f>
        <v>0</v>
      </c>
      <c r="O271" s="29" t="n">
        <f aca="false">INDEX(Mitigation_Industry!O:O,MATCH($A271,Mitigation_Industry!$H:$H,0))</f>
        <v>0</v>
      </c>
      <c r="P271" s="29" t="n">
        <f aca="false">INDEX(Mitigation_Industry!P:P,MATCH($A271,Mitigation_Industry!$H:$H,0))</f>
        <v>0</v>
      </c>
      <c r="Q271" s="29" t="n">
        <f aca="false">INDEX(Mitigation_Industry!Q:Q,MATCH($A271,Mitigation_Industry!$H:$H,0))</f>
        <v>0</v>
      </c>
      <c r="R271" s="29" t="n">
        <f aca="false">INDEX(Mitigation_Industry!R:R,MATCH($A271,Mitigation_Industry!$H:$H,0))</f>
        <v>0</v>
      </c>
      <c r="S271" s="29" t="n">
        <f aca="false">INDEX(Mitigation_Industry!S:S,MATCH($A271,Mitigation_Industry!$H:$H,0))</f>
        <v>0</v>
      </c>
      <c r="T271" s="29" t="n">
        <f aca="false">INDEX(Mitigation_Industry!T:T,MATCH($A271,Mitigation_Industry!$H:$H,0))</f>
        <v>0</v>
      </c>
      <c r="U271" s="29" t="n">
        <f aca="false">INDEX(Mitigation_Industry!U:U,MATCH($A271,Mitigation_Industry!$H:$H,0))</f>
        <v>0</v>
      </c>
      <c r="V271" s="29" t="n">
        <f aca="false">INDEX(Mitigation_Industry!V:V,MATCH($A271,Mitigation_Industry!$H:$H,0))</f>
        <v>0</v>
      </c>
      <c r="W271" s="29" t="n">
        <f aca="false">INDEX(Mitigation_Industry!W:W,MATCH($A271,Mitigation_Industry!$H:$H,0))</f>
        <v>0</v>
      </c>
      <c r="X271" s="29" t="n">
        <f aca="false">INDEX(Mitigation_Industry!X:X,MATCH($A271,Mitigation_Industry!$H:$H,0))</f>
        <v>0</v>
      </c>
      <c r="Y271" s="29" t="n">
        <f aca="false">INDEX(Mitigation_Industry!Y:Y,MATCH($A271,Mitigation_Industry!$H:$H,0))</f>
        <v>0</v>
      </c>
      <c r="Z271" s="29" t="n">
        <f aca="false">INDEX(Mitigation_Industry!Z:Z,MATCH($A271,Mitigation_Industry!$H:$H,0))</f>
        <v>0</v>
      </c>
      <c r="AA271" s="29" t="n">
        <f aca="false">INDEX(Mitigation_Industry!AA:AA,MATCH($A271,Mitigation_Industry!$H:$H,0))</f>
        <v>0</v>
      </c>
      <c r="AB271" s="29" t="n">
        <f aca="false">INDEX(Mitigation_Industry!AB:AB,MATCH($A271,Mitigation_Industry!$H:$H,0))</f>
        <v>0</v>
      </c>
      <c r="AC271" s="29" t="n">
        <f aca="false">INDEX(Mitigation_Industry!AC:AC,MATCH($A271,Mitigation_Industry!$H:$H,0))</f>
        <v>0</v>
      </c>
      <c r="AD271" s="29" t="n">
        <f aca="false">INDEX(Mitigation_Industry!AD:AD,MATCH($A271,Mitigation_Industry!$H:$H,0))</f>
        <v>0</v>
      </c>
      <c r="AE271" s="29" t="n">
        <f aca="false">INDEX(Mitigation_Industry!AE:AE,MATCH($A271,Mitigation_Industry!$H:$H,0))</f>
        <v>0</v>
      </c>
    </row>
    <row r="272" customFormat="false" ht="15" hidden="false" customHeight="false" outlineLevel="0" collapsed="false">
      <c r="A272" s="35" t="s">
        <v>1233</v>
      </c>
      <c r="B272" s="6" t="s">
        <v>62</v>
      </c>
      <c r="C272" s="6" t="s">
        <v>121</v>
      </c>
      <c r="D272" s="6" t="n">
        <v>2</v>
      </c>
      <c r="E272" s="2" t="s">
        <v>1167</v>
      </c>
      <c r="F272" s="40" t="n">
        <f aca="false">MAX(MAX(L272:AE272),-MIN(L272:AE272))</f>
        <v>-0</v>
      </c>
      <c r="K272" s="41" t="n">
        <f aca="false">IF(ISNUMBER(K270),IF(ISNUMBER(K271),K271-K270,999999),0)</f>
        <v>0</v>
      </c>
      <c r="L272" s="41" t="n">
        <f aca="false">IF(ISNUMBER(L270),IF(ISNUMBER(L271),L271-L270,999999),0)</f>
        <v>0</v>
      </c>
      <c r="M272" s="41" t="n">
        <f aca="false">IF(ISNUMBER(M270),IF(ISNUMBER(M271),M271-M270,999999),0)</f>
        <v>0</v>
      </c>
      <c r="N272" s="41" t="n">
        <f aca="false">IF(ISNUMBER(N270),IF(ISNUMBER(N271),N271-N270,999999),0)</f>
        <v>0</v>
      </c>
      <c r="O272" s="41" t="n">
        <f aca="false">IF(ISNUMBER(O270),IF(ISNUMBER(O271),O271-O270,999999),0)</f>
        <v>0</v>
      </c>
      <c r="P272" s="41" t="n">
        <f aca="false">IF(ISNUMBER(P270),IF(ISNUMBER(P271),P271-P270,999999),0)</f>
        <v>0</v>
      </c>
      <c r="Q272" s="41" t="n">
        <f aca="false">IF(ISNUMBER(Q270),IF(ISNUMBER(Q271),Q271-Q270,999999),0)</f>
        <v>0</v>
      </c>
      <c r="R272" s="41" t="n">
        <f aca="false">IF(ISNUMBER(R270),IF(ISNUMBER(R271),R271-R270,999999),0)</f>
        <v>0</v>
      </c>
      <c r="S272" s="41" t="n">
        <f aca="false">IF(ISNUMBER(S270),IF(ISNUMBER(S271),S271-S270,999999),0)</f>
        <v>0</v>
      </c>
      <c r="T272" s="41" t="n">
        <f aca="false">IF(ISNUMBER(T270),IF(ISNUMBER(T271),T271-T270,999999),0)</f>
        <v>0</v>
      </c>
      <c r="U272" s="41" t="n">
        <f aca="false">IF(ISNUMBER(U270),IF(ISNUMBER(U271),U271-U270,999999),0)</f>
        <v>0</v>
      </c>
      <c r="V272" s="41" t="n">
        <f aca="false">IF(ISNUMBER(V270),IF(ISNUMBER(V271),V271-V270,999999),0)</f>
        <v>0</v>
      </c>
      <c r="W272" s="41" t="n">
        <f aca="false">IF(ISNUMBER(W270),IF(ISNUMBER(W271),W271-W270,999999),0)</f>
        <v>0</v>
      </c>
      <c r="X272" s="41" t="n">
        <f aca="false">IF(ISNUMBER(X270),IF(ISNUMBER(X271),X271-X270,999999),0)</f>
        <v>0</v>
      </c>
      <c r="Y272" s="41" t="n">
        <f aca="false">IF(ISNUMBER(Y270),IF(ISNUMBER(Y271),Y271-Y270,999999),0)</f>
        <v>0</v>
      </c>
      <c r="Z272" s="41" t="n">
        <f aca="false">IF(ISNUMBER(Z270),IF(ISNUMBER(Z271),Z271-Z270,999999),0)</f>
        <v>0</v>
      </c>
      <c r="AA272" s="41" t="n">
        <f aca="false">IF(ISNUMBER(AA270),IF(ISNUMBER(AA271),AA271-AA270,999999),0)</f>
        <v>0</v>
      </c>
      <c r="AB272" s="41" t="n">
        <f aca="false">IF(ISNUMBER(AB270),IF(ISNUMBER(AB271),AB271-AB270,999999),0)</f>
        <v>0</v>
      </c>
      <c r="AC272" s="41" t="n">
        <f aca="false">IF(ISNUMBER(AC270),IF(ISNUMBER(AC271),AC271-AC270,999999),0)</f>
        <v>0</v>
      </c>
      <c r="AD272" s="41" t="n">
        <f aca="false">IF(ISNUMBER(AD270),IF(ISNUMBER(AD271),AD271-AD270,999999),0)</f>
        <v>0</v>
      </c>
      <c r="AE272" s="41" t="n">
        <f aca="false">IF(ISNUMBER(AE270),IF(ISNUMBER(AE271),AE271-AE270,999999),0)</f>
        <v>0</v>
      </c>
    </row>
    <row r="274" customFormat="false" ht="15" hidden="false" customHeight="false" outlineLevel="0" collapsed="false">
      <c r="A274" s="35" t="s">
        <v>1234</v>
      </c>
      <c r="B274" s="6" t="s">
        <v>64</v>
      </c>
      <c r="C274" s="6" t="s">
        <v>121</v>
      </c>
      <c r="D274" s="6" t="n">
        <v>2</v>
      </c>
      <c r="E274" s="6" t="s">
        <v>1165</v>
      </c>
      <c r="K274" s="29"/>
      <c r="L274" s="29" t="n">
        <v>0</v>
      </c>
      <c r="M274" s="29" t="n">
        <v>0</v>
      </c>
      <c r="N274" s="29" t="n">
        <v>0</v>
      </c>
      <c r="O274" s="29" t="n">
        <v>0</v>
      </c>
      <c r="P274" s="29" t="n">
        <v>0</v>
      </c>
      <c r="Q274" s="29" t="n">
        <v>0</v>
      </c>
      <c r="R274" s="29" t="n">
        <v>0</v>
      </c>
      <c r="S274" s="29" t="n">
        <v>0</v>
      </c>
      <c r="T274" s="29" t="n">
        <v>0</v>
      </c>
      <c r="U274" s="29" t="n">
        <v>0</v>
      </c>
      <c r="V274" s="29" t="n">
        <v>0</v>
      </c>
      <c r="W274" s="29" t="n">
        <v>0</v>
      </c>
      <c r="X274" s="29" t="n">
        <v>0</v>
      </c>
      <c r="Y274" s="29" t="n">
        <v>0</v>
      </c>
      <c r="Z274" s="29" t="n">
        <v>0</v>
      </c>
      <c r="AA274" s="29" t="n">
        <v>0</v>
      </c>
      <c r="AB274" s="29" t="n">
        <v>0</v>
      </c>
      <c r="AC274" s="29" t="n">
        <v>0</v>
      </c>
      <c r="AD274" s="29" t="n">
        <v>0</v>
      </c>
      <c r="AE274" s="29" t="n">
        <v>0</v>
      </c>
    </row>
    <row r="275" customFormat="false" ht="15" hidden="false" customHeight="false" outlineLevel="0" collapsed="false">
      <c r="A275" s="35" t="s">
        <v>1234</v>
      </c>
      <c r="B275" s="6" t="s">
        <v>64</v>
      </c>
      <c r="C275" s="6" t="s">
        <v>121</v>
      </c>
      <c r="D275" s="6" t="n">
        <v>2</v>
      </c>
      <c r="E275" s="6" t="s">
        <v>1166</v>
      </c>
      <c r="K275" s="29" t="n">
        <f aca="false">INDEX(Mitigation_Industry!K:K,MATCH($A275,Mitigation_Industry!$H:$H,0))</f>
        <v>0</v>
      </c>
      <c r="L275" s="29" t="n">
        <f aca="false">INDEX(Mitigation_Industry!L:L,MATCH($A275,Mitigation_Industry!$H:$H,0))</f>
        <v>0</v>
      </c>
      <c r="M275" s="29" t="n">
        <f aca="false">INDEX(Mitigation_Industry!M:M,MATCH($A275,Mitigation_Industry!$H:$H,0))</f>
        <v>0</v>
      </c>
      <c r="N275" s="29" t="n">
        <f aca="false">INDEX(Mitigation_Industry!N:N,MATCH($A275,Mitigation_Industry!$H:$H,0))</f>
        <v>0</v>
      </c>
      <c r="O275" s="29" t="n">
        <f aca="false">INDEX(Mitigation_Industry!O:O,MATCH($A275,Mitigation_Industry!$H:$H,0))</f>
        <v>0</v>
      </c>
      <c r="P275" s="29" t="n">
        <f aca="false">INDEX(Mitigation_Industry!P:P,MATCH($A275,Mitigation_Industry!$H:$H,0))</f>
        <v>0</v>
      </c>
      <c r="Q275" s="29" t="n">
        <f aca="false">INDEX(Mitigation_Industry!Q:Q,MATCH($A275,Mitigation_Industry!$H:$H,0))</f>
        <v>0</v>
      </c>
      <c r="R275" s="29" t="n">
        <f aca="false">INDEX(Mitigation_Industry!R:R,MATCH($A275,Mitigation_Industry!$H:$H,0))</f>
        <v>0</v>
      </c>
      <c r="S275" s="29" t="n">
        <f aca="false">INDEX(Mitigation_Industry!S:S,MATCH($A275,Mitigation_Industry!$H:$H,0))</f>
        <v>0</v>
      </c>
      <c r="T275" s="29" t="n">
        <f aca="false">INDEX(Mitigation_Industry!T:T,MATCH($A275,Mitigation_Industry!$H:$H,0))</f>
        <v>0</v>
      </c>
      <c r="U275" s="29" t="n">
        <f aca="false">INDEX(Mitigation_Industry!U:U,MATCH($A275,Mitigation_Industry!$H:$H,0))</f>
        <v>0</v>
      </c>
      <c r="V275" s="29" t="n">
        <f aca="false">INDEX(Mitigation_Industry!V:V,MATCH($A275,Mitigation_Industry!$H:$H,0))</f>
        <v>0</v>
      </c>
      <c r="W275" s="29" t="n">
        <f aca="false">INDEX(Mitigation_Industry!W:W,MATCH($A275,Mitigation_Industry!$H:$H,0))</f>
        <v>0</v>
      </c>
      <c r="X275" s="29" t="n">
        <f aca="false">INDEX(Mitigation_Industry!X:X,MATCH($A275,Mitigation_Industry!$H:$H,0))</f>
        <v>0</v>
      </c>
      <c r="Y275" s="29" t="n">
        <f aca="false">INDEX(Mitigation_Industry!Y:Y,MATCH($A275,Mitigation_Industry!$H:$H,0))</f>
        <v>0</v>
      </c>
      <c r="Z275" s="29" t="n">
        <f aca="false">INDEX(Mitigation_Industry!Z:Z,MATCH($A275,Mitigation_Industry!$H:$H,0))</f>
        <v>0</v>
      </c>
      <c r="AA275" s="29" t="n">
        <f aca="false">INDEX(Mitigation_Industry!AA:AA,MATCH($A275,Mitigation_Industry!$H:$H,0))</f>
        <v>0</v>
      </c>
      <c r="AB275" s="29" t="n">
        <f aca="false">INDEX(Mitigation_Industry!AB:AB,MATCH($A275,Mitigation_Industry!$H:$H,0))</f>
        <v>0</v>
      </c>
      <c r="AC275" s="29" t="n">
        <f aca="false">INDEX(Mitigation_Industry!AC:AC,MATCH($A275,Mitigation_Industry!$H:$H,0))</f>
        <v>0</v>
      </c>
      <c r="AD275" s="29" t="n">
        <f aca="false">INDEX(Mitigation_Industry!AD:AD,MATCH($A275,Mitigation_Industry!$H:$H,0))</f>
        <v>0</v>
      </c>
      <c r="AE275" s="29" t="n">
        <f aca="false">INDEX(Mitigation_Industry!AE:AE,MATCH($A275,Mitigation_Industry!$H:$H,0))</f>
        <v>0</v>
      </c>
    </row>
    <row r="276" customFormat="false" ht="15" hidden="false" customHeight="false" outlineLevel="0" collapsed="false">
      <c r="A276" s="35" t="s">
        <v>1234</v>
      </c>
      <c r="B276" s="6" t="s">
        <v>64</v>
      </c>
      <c r="C276" s="6" t="s">
        <v>121</v>
      </c>
      <c r="D276" s="6" t="n">
        <v>2</v>
      </c>
      <c r="E276" s="2" t="s">
        <v>1167</v>
      </c>
      <c r="F276" s="40" t="n">
        <f aca="false">MAX(MAX(L276:AE276),-MIN(L276:AE276))</f>
        <v>-0</v>
      </c>
      <c r="K276" s="41" t="n">
        <f aca="false">IF(ISNUMBER(K274),IF(ISNUMBER(K275),K275-K274,999999),0)</f>
        <v>0</v>
      </c>
      <c r="L276" s="41" t="n">
        <f aca="false">IF(ISNUMBER(L274),IF(ISNUMBER(L275),L275-L274,999999),0)</f>
        <v>0</v>
      </c>
      <c r="M276" s="41" t="n">
        <f aca="false">IF(ISNUMBER(M274),IF(ISNUMBER(M275),M275-M274,999999),0)</f>
        <v>0</v>
      </c>
      <c r="N276" s="41" t="n">
        <f aca="false">IF(ISNUMBER(N274),IF(ISNUMBER(N275),N275-N274,999999),0)</f>
        <v>0</v>
      </c>
      <c r="O276" s="41" t="n">
        <f aca="false">IF(ISNUMBER(O274),IF(ISNUMBER(O275),O275-O274,999999),0)</f>
        <v>0</v>
      </c>
      <c r="P276" s="41" t="n">
        <f aca="false">IF(ISNUMBER(P274),IF(ISNUMBER(P275),P275-P274,999999),0)</f>
        <v>0</v>
      </c>
      <c r="Q276" s="41" t="n">
        <f aca="false">IF(ISNUMBER(Q274),IF(ISNUMBER(Q275),Q275-Q274,999999),0)</f>
        <v>0</v>
      </c>
      <c r="R276" s="41" t="n">
        <f aca="false">IF(ISNUMBER(R274),IF(ISNUMBER(R275),R275-R274,999999),0)</f>
        <v>0</v>
      </c>
      <c r="S276" s="41" t="n">
        <f aca="false">IF(ISNUMBER(S274),IF(ISNUMBER(S275),S275-S274,999999),0)</f>
        <v>0</v>
      </c>
      <c r="T276" s="41" t="n">
        <f aca="false">IF(ISNUMBER(T274),IF(ISNUMBER(T275),T275-T274,999999),0)</f>
        <v>0</v>
      </c>
      <c r="U276" s="41" t="n">
        <f aca="false">IF(ISNUMBER(U274),IF(ISNUMBER(U275),U275-U274,999999),0)</f>
        <v>0</v>
      </c>
      <c r="V276" s="41" t="n">
        <f aca="false">IF(ISNUMBER(V274),IF(ISNUMBER(V275),V275-V274,999999),0)</f>
        <v>0</v>
      </c>
      <c r="W276" s="41" t="n">
        <f aca="false">IF(ISNUMBER(W274),IF(ISNUMBER(W275),W275-W274,999999),0)</f>
        <v>0</v>
      </c>
      <c r="X276" s="41" t="n">
        <f aca="false">IF(ISNUMBER(X274),IF(ISNUMBER(X275),X275-X274,999999),0)</f>
        <v>0</v>
      </c>
      <c r="Y276" s="41" t="n">
        <f aca="false">IF(ISNUMBER(Y274),IF(ISNUMBER(Y275),Y275-Y274,999999),0)</f>
        <v>0</v>
      </c>
      <c r="Z276" s="41" t="n">
        <f aca="false">IF(ISNUMBER(Z274),IF(ISNUMBER(Z275),Z275-Z274,999999),0)</f>
        <v>0</v>
      </c>
      <c r="AA276" s="41" t="n">
        <f aca="false">IF(ISNUMBER(AA274),IF(ISNUMBER(AA275),AA275-AA274,999999),0)</f>
        <v>0</v>
      </c>
      <c r="AB276" s="41" t="n">
        <f aca="false">IF(ISNUMBER(AB274),IF(ISNUMBER(AB275),AB275-AB274,999999),0)</f>
        <v>0</v>
      </c>
      <c r="AC276" s="41" t="n">
        <f aca="false">IF(ISNUMBER(AC274),IF(ISNUMBER(AC275),AC275-AC274,999999),0)</f>
        <v>0</v>
      </c>
      <c r="AD276" s="41" t="n">
        <f aca="false">IF(ISNUMBER(AD274),IF(ISNUMBER(AD275),AD275-AD274,999999),0)</f>
        <v>0</v>
      </c>
      <c r="AE276" s="41" t="n">
        <f aca="false">IF(ISNUMBER(AE274),IF(ISNUMBER(AE275),AE275-AE274,999999),0)</f>
        <v>0</v>
      </c>
    </row>
    <row r="278" customFormat="false" ht="15" hidden="false" customHeight="false" outlineLevel="0" collapsed="false">
      <c r="A278" s="35" t="s">
        <v>1235</v>
      </c>
      <c r="B278" s="6" t="s">
        <v>66</v>
      </c>
      <c r="C278" s="6" t="s">
        <v>121</v>
      </c>
      <c r="D278" s="6" t="n">
        <v>2</v>
      </c>
      <c r="E278" s="6" t="s">
        <v>1165</v>
      </c>
      <c r="K278" s="29"/>
      <c r="L278" s="29" t="n">
        <v>0</v>
      </c>
      <c r="M278" s="29" t="n">
        <v>0</v>
      </c>
      <c r="N278" s="29" t="n">
        <v>0</v>
      </c>
      <c r="O278" s="29" t="n">
        <v>0</v>
      </c>
      <c r="P278" s="29" t="n">
        <v>0</v>
      </c>
      <c r="Q278" s="29" t="n">
        <v>0</v>
      </c>
      <c r="R278" s="29" t="n">
        <v>0</v>
      </c>
      <c r="S278" s="29" t="n">
        <v>0</v>
      </c>
      <c r="T278" s="29" t="n">
        <v>0</v>
      </c>
      <c r="U278" s="29" t="n">
        <v>0</v>
      </c>
      <c r="V278" s="29" t="n">
        <v>0</v>
      </c>
      <c r="W278" s="29" t="n">
        <v>0</v>
      </c>
      <c r="X278" s="29" t="n">
        <v>0</v>
      </c>
      <c r="Y278" s="29" t="n">
        <v>0</v>
      </c>
      <c r="Z278" s="29" t="n">
        <v>0</v>
      </c>
      <c r="AA278" s="29" t="n">
        <v>0</v>
      </c>
      <c r="AB278" s="29" t="n">
        <v>0</v>
      </c>
      <c r="AC278" s="29" t="n">
        <v>0</v>
      </c>
      <c r="AD278" s="29" t="n">
        <v>0</v>
      </c>
      <c r="AE278" s="29" t="n">
        <v>0</v>
      </c>
    </row>
    <row r="279" customFormat="false" ht="15" hidden="false" customHeight="false" outlineLevel="0" collapsed="false">
      <c r="A279" s="35" t="s">
        <v>1235</v>
      </c>
      <c r="B279" s="6" t="s">
        <v>66</v>
      </c>
      <c r="C279" s="6" t="s">
        <v>121</v>
      </c>
      <c r="D279" s="6" t="n">
        <v>2</v>
      </c>
      <c r="E279" s="6" t="s">
        <v>1166</v>
      </c>
      <c r="K279" s="29" t="n">
        <f aca="false">INDEX(Mitigation_Industry!K:K,MATCH($A279,Mitigation_Industry!$H:$H,0))</f>
        <v>0</v>
      </c>
      <c r="L279" s="29" t="n">
        <f aca="false">INDEX(Mitigation_Industry!L:L,MATCH($A279,Mitigation_Industry!$H:$H,0))</f>
        <v>0</v>
      </c>
      <c r="M279" s="29" t="n">
        <f aca="false">INDEX(Mitigation_Industry!M:M,MATCH($A279,Mitigation_Industry!$H:$H,0))</f>
        <v>0</v>
      </c>
      <c r="N279" s="29" t="n">
        <f aca="false">INDEX(Mitigation_Industry!N:N,MATCH($A279,Mitigation_Industry!$H:$H,0))</f>
        <v>0</v>
      </c>
      <c r="O279" s="29" t="n">
        <f aca="false">INDEX(Mitigation_Industry!O:O,MATCH($A279,Mitigation_Industry!$H:$H,0))</f>
        <v>0</v>
      </c>
      <c r="P279" s="29" t="n">
        <f aca="false">INDEX(Mitigation_Industry!P:P,MATCH($A279,Mitigation_Industry!$H:$H,0))</f>
        <v>0</v>
      </c>
      <c r="Q279" s="29" t="n">
        <f aca="false">INDEX(Mitigation_Industry!Q:Q,MATCH($A279,Mitigation_Industry!$H:$H,0))</f>
        <v>0</v>
      </c>
      <c r="R279" s="29" t="n">
        <f aca="false">INDEX(Mitigation_Industry!R:R,MATCH($A279,Mitigation_Industry!$H:$H,0))</f>
        <v>0</v>
      </c>
      <c r="S279" s="29" t="n">
        <f aca="false">INDEX(Mitigation_Industry!S:S,MATCH($A279,Mitigation_Industry!$H:$H,0))</f>
        <v>0</v>
      </c>
      <c r="T279" s="29" t="n">
        <f aca="false">INDEX(Mitigation_Industry!T:T,MATCH($A279,Mitigation_Industry!$H:$H,0))</f>
        <v>0</v>
      </c>
      <c r="U279" s="29" t="n">
        <f aca="false">INDEX(Mitigation_Industry!U:U,MATCH($A279,Mitigation_Industry!$H:$H,0))</f>
        <v>0</v>
      </c>
      <c r="V279" s="29" t="n">
        <f aca="false">INDEX(Mitigation_Industry!V:V,MATCH($A279,Mitigation_Industry!$H:$H,0))</f>
        <v>0</v>
      </c>
      <c r="W279" s="29" t="n">
        <f aca="false">INDEX(Mitigation_Industry!W:W,MATCH($A279,Mitigation_Industry!$H:$H,0))</f>
        <v>0</v>
      </c>
      <c r="X279" s="29" t="n">
        <f aca="false">INDEX(Mitigation_Industry!X:X,MATCH($A279,Mitigation_Industry!$H:$H,0))</f>
        <v>0</v>
      </c>
      <c r="Y279" s="29" t="n">
        <f aca="false">INDEX(Mitigation_Industry!Y:Y,MATCH($A279,Mitigation_Industry!$H:$H,0))</f>
        <v>0</v>
      </c>
      <c r="Z279" s="29" t="n">
        <f aca="false">INDEX(Mitigation_Industry!Z:Z,MATCH($A279,Mitigation_Industry!$H:$H,0))</f>
        <v>0</v>
      </c>
      <c r="AA279" s="29" t="n">
        <f aca="false">INDEX(Mitigation_Industry!AA:AA,MATCH($A279,Mitigation_Industry!$H:$H,0))</f>
        <v>0</v>
      </c>
      <c r="AB279" s="29" t="n">
        <f aca="false">INDEX(Mitigation_Industry!AB:AB,MATCH($A279,Mitigation_Industry!$H:$H,0))</f>
        <v>0</v>
      </c>
      <c r="AC279" s="29" t="n">
        <f aca="false">INDEX(Mitigation_Industry!AC:AC,MATCH($A279,Mitigation_Industry!$H:$H,0))</f>
        <v>0</v>
      </c>
      <c r="AD279" s="29" t="n">
        <f aca="false">INDEX(Mitigation_Industry!AD:AD,MATCH($A279,Mitigation_Industry!$H:$H,0))</f>
        <v>0</v>
      </c>
      <c r="AE279" s="29" t="n">
        <f aca="false">INDEX(Mitigation_Industry!AE:AE,MATCH($A279,Mitigation_Industry!$H:$H,0))</f>
        <v>0</v>
      </c>
    </row>
    <row r="280" customFormat="false" ht="15" hidden="false" customHeight="false" outlineLevel="0" collapsed="false">
      <c r="A280" s="35" t="s">
        <v>1235</v>
      </c>
      <c r="B280" s="6" t="s">
        <v>66</v>
      </c>
      <c r="C280" s="6" t="s">
        <v>121</v>
      </c>
      <c r="D280" s="6" t="n">
        <v>2</v>
      </c>
      <c r="E280" s="2" t="s">
        <v>1167</v>
      </c>
      <c r="F280" s="40" t="n">
        <f aca="false">MAX(MAX(L280:AE280),-MIN(L280:AE280))</f>
        <v>-0</v>
      </c>
      <c r="K280" s="41" t="n">
        <f aca="false">IF(ISNUMBER(K278),IF(ISNUMBER(K279),K279-K278,999999),0)</f>
        <v>0</v>
      </c>
      <c r="L280" s="41" t="n">
        <f aca="false">IF(ISNUMBER(L278),IF(ISNUMBER(L279),L279-L278,999999),0)</f>
        <v>0</v>
      </c>
      <c r="M280" s="41" t="n">
        <f aca="false">IF(ISNUMBER(M278),IF(ISNUMBER(M279),M279-M278,999999),0)</f>
        <v>0</v>
      </c>
      <c r="N280" s="41" t="n">
        <f aca="false">IF(ISNUMBER(N278),IF(ISNUMBER(N279),N279-N278,999999),0)</f>
        <v>0</v>
      </c>
      <c r="O280" s="41" t="n">
        <f aca="false">IF(ISNUMBER(O278),IF(ISNUMBER(O279),O279-O278,999999),0)</f>
        <v>0</v>
      </c>
      <c r="P280" s="41" t="n">
        <f aca="false">IF(ISNUMBER(P278),IF(ISNUMBER(P279),P279-P278,999999),0)</f>
        <v>0</v>
      </c>
      <c r="Q280" s="41" t="n">
        <f aca="false">IF(ISNUMBER(Q278),IF(ISNUMBER(Q279),Q279-Q278,999999),0)</f>
        <v>0</v>
      </c>
      <c r="R280" s="41" t="n">
        <f aca="false">IF(ISNUMBER(R278),IF(ISNUMBER(R279),R279-R278,999999),0)</f>
        <v>0</v>
      </c>
      <c r="S280" s="41" t="n">
        <f aca="false">IF(ISNUMBER(S278),IF(ISNUMBER(S279),S279-S278,999999),0)</f>
        <v>0</v>
      </c>
      <c r="T280" s="41" t="n">
        <f aca="false">IF(ISNUMBER(T278),IF(ISNUMBER(T279),T279-T278,999999),0)</f>
        <v>0</v>
      </c>
      <c r="U280" s="41" t="n">
        <f aca="false">IF(ISNUMBER(U278),IF(ISNUMBER(U279),U279-U278,999999),0)</f>
        <v>0</v>
      </c>
      <c r="V280" s="41" t="n">
        <f aca="false">IF(ISNUMBER(V278),IF(ISNUMBER(V279),V279-V278,999999),0)</f>
        <v>0</v>
      </c>
      <c r="W280" s="41" t="n">
        <f aca="false">IF(ISNUMBER(W278),IF(ISNUMBER(W279),W279-W278,999999),0)</f>
        <v>0</v>
      </c>
      <c r="X280" s="41" t="n">
        <f aca="false">IF(ISNUMBER(X278),IF(ISNUMBER(X279),X279-X278,999999),0)</f>
        <v>0</v>
      </c>
      <c r="Y280" s="41" t="n">
        <f aca="false">IF(ISNUMBER(Y278),IF(ISNUMBER(Y279),Y279-Y278,999999),0)</f>
        <v>0</v>
      </c>
      <c r="Z280" s="41" t="n">
        <f aca="false">IF(ISNUMBER(Z278),IF(ISNUMBER(Z279),Z279-Z278,999999),0)</f>
        <v>0</v>
      </c>
      <c r="AA280" s="41" t="n">
        <f aca="false">IF(ISNUMBER(AA278),IF(ISNUMBER(AA279),AA279-AA278,999999),0)</f>
        <v>0</v>
      </c>
      <c r="AB280" s="41" t="n">
        <f aca="false">IF(ISNUMBER(AB278),IF(ISNUMBER(AB279),AB279-AB278,999999),0)</f>
        <v>0</v>
      </c>
      <c r="AC280" s="41" t="n">
        <f aca="false">IF(ISNUMBER(AC278),IF(ISNUMBER(AC279),AC279-AC278,999999),0)</f>
        <v>0</v>
      </c>
      <c r="AD280" s="41" t="n">
        <f aca="false">IF(ISNUMBER(AD278),IF(ISNUMBER(AD279),AD279-AD278,999999),0)</f>
        <v>0</v>
      </c>
      <c r="AE280" s="41" t="n">
        <f aca="false">IF(ISNUMBER(AE278),IF(ISNUMBER(AE279),AE279-AE278,999999),0)</f>
        <v>0</v>
      </c>
    </row>
    <row r="282" customFormat="false" ht="15" hidden="false" customHeight="false" outlineLevel="0" collapsed="false">
      <c r="A282" s="35" t="s">
        <v>1236</v>
      </c>
      <c r="B282" s="6" t="s">
        <v>68</v>
      </c>
      <c r="C282" s="6" t="s">
        <v>121</v>
      </c>
      <c r="D282" s="6" t="n">
        <v>2</v>
      </c>
      <c r="E282" s="6" t="s">
        <v>1165</v>
      </c>
      <c r="K282" s="29"/>
      <c r="L282" s="29" t="n">
        <v>0</v>
      </c>
      <c r="M282" s="29" t="n">
        <v>0</v>
      </c>
      <c r="N282" s="29" t="n">
        <v>0</v>
      </c>
      <c r="O282" s="29" t="n">
        <v>0</v>
      </c>
      <c r="P282" s="29" t="n">
        <v>0</v>
      </c>
      <c r="Q282" s="29" t="n">
        <v>0</v>
      </c>
      <c r="R282" s="29" t="n">
        <v>0</v>
      </c>
      <c r="S282" s="29" t="n">
        <v>0</v>
      </c>
      <c r="T282" s="29" t="n">
        <v>0</v>
      </c>
      <c r="U282" s="29" t="n">
        <v>0</v>
      </c>
      <c r="V282" s="29" t="n">
        <v>0</v>
      </c>
      <c r="W282" s="29" t="n">
        <v>0</v>
      </c>
      <c r="X282" s="29" t="n">
        <v>0</v>
      </c>
      <c r="Y282" s="29" t="n">
        <v>0</v>
      </c>
      <c r="Z282" s="29" t="n">
        <v>0</v>
      </c>
      <c r="AA282" s="29" t="n">
        <v>0</v>
      </c>
      <c r="AB282" s="29" t="n">
        <v>0</v>
      </c>
      <c r="AC282" s="29" t="n">
        <v>0</v>
      </c>
      <c r="AD282" s="29" t="n">
        <v>0</v>
      </c>
      <c r="AE282" s="29" t="n">
        <v>0</v>
      </c>
    </row>
    <row r="283" customFormat="false" ht="15" hidden="false" customHeight="false" outlineLevel="0" collapsed="false">
      <c r="A283" s="35" t="s">
        <v>1236</v>
      </c>
      <c r="B283" s="6" t="s">
        <v>68</v>
      </c>
      <c r="C283" s="6" t="s">
        <v>121</v>
      </c>
      <c r="D283" s="6" t="n">
        <v>2</v>
      </c>
      <c r="E283" s="6" t="s">
        <v>1166</v>
      </c>
      <c r="K283" s="29" t="n">
        <f aca="false">INDEX(Mitigation_Industry!K:K,MATCH($A283,Mitigation_Industry!$H:$H,0))</f>
        <v>0</v>
      </c>
      <c r="L283" s="29" t="n">
        <f aca="false">INDEX(Mitigation_Industry!L:L,MATCH($A283,Mitigation_Industry!$H:$H,0))</f>
        <v>0</v>
      </c>
      <c r="M283" s="29" t="n">
        <f aca="false">INDEX(Mitigation_Industry!M:M,MATCH($A283,Mitigation_Industry!$H:$H,0))</f>
        <v>0</v>
      </c>
      <c r="N283" s="29" t="n">
        <f aca="false">INDEX(Mitigation_Industry!N:N,MATCH($A283,Mitigation_Industry!$H:$H,0))</f>
        <v>0</v>
      </c>
      <c r="O283" s="29" t="n">
        <f aca="false">INDEX(Mitigation_Industry!O:O,MATCH($A283,Mitigation_Industry!$H:$H,0))</f>
        <v>0</v>
      </c>
      <c r="P283" s="29" t="n">
        <f aca="false">INDEX(Mitigation_Industry!P:P,MATCH($A283,Mitigation_Industry!$H:$H,0))</f>
        <v>0</v>
      </c>
      <c r="Q283" s="29" t="n">
        <f aca="false">INDEX(Mitigation_Industry!Q:Q,MATCH($A283,Mitigation_Industry!$H:$H,0))</f>
        <v>0</v>
      </c>
      <c r="R283" s="29" t="n">
        <f aca="false">INDEX(Mitigation_Industry!R:R,MATCH($A283,Mitigation_Industry!$H:$H,0))</f>
        <v>0</v>
      </c>
      <c r="S283" s="29" t="n">
        <f aca="false">INDEX(Mitigation_Industry!S:S,MATCH($A283,Mitigation_Industry!$H:$H,0))</f>
        <v>0</v>
      </c>
      <c r="T283" s="29" t="n">
        <f aca="false">INDEX(Mitigation_Industry!T:T,MATCH($A283,Mitigation_Industry!$H:$H,0))</f>
        <v>0</v>
      </c>
      <c r="U283" s="29" t="n">
        <f aca="false">INDEX(Mitigation_Industry!U:U,MATCH($A283,Mitigation_Industry!$H:$H,0))</f>
        <v>0</v>
      </c>
      <c r="V283" s="29" t="n">
        <f aca="false">INDEX(Mitigation_Industry!V:V,MATCH($A283,Mitigation_Industry!$H:$H,0))</f>
        <v>0</v>
      </c>
      <c r="W283" s="29" t="n">
        <f aca="false">INDEX(Mitigation_Industry!W:W,MATCH($A283,Mitigation_Industry!$H:$H,0))</f>
        <v>0</v>
      </c>
      <c r="X283" s="29" t="n">
        <f aca="false">INDEX(Mitigation_Industry!X:X,MATCH($A283,Mitigation_Industry!$H:$H,0))</f>
        <v>0</v>
      </c>
      <c r="Y283" s="29" t="n">
        <f aca="false">INDEX(Mitigation_Industry!Y:Y,MATCH($A283,Mitigation_Industry!$H:$H,0))</f>
        <v>0</v>
      </c>
      <c r="Z283" s="29" t="n">
        <f aca="false">INDEX(Mitigation_Industry!Z:Z,MATCH($A283,Mitigation_Industry!$H:$H,0))</f>
        <v>0</v>
      </c>
      <c r="AA283" s="29" t="n">
        <f aca="false">INDEX(Mitigation_Industry!AA:AA,MATCH($A283,Mitigation_Industry!$H:$H,0))</f>
        <v>0</v>
      </c>
      <c r="AB283" s="29" t="n">
        <f aca="false">INDEX(Mitigation_Industry!AB:AB,MATCH($A283,Mitigation_Industry!$H:$H,0))</f>
        <v>0</v>
      </c>
      <c r="AC283" s="29" t="n">
        <f aca="false">INDEX(Mitigation_Industry!AC:AC,MATCH($A283,Mitigation_Industry!$H:$H,0))</f>
        <v>0</v>
      </c>
      <c r="AD283" s="29" t="n">
        <f aca="false">INDEX(Mitigation_Industry!AD:AD,MATCH($A283,Mitigation_Industry!$H:$H,0))</f>
        <v>0</v>
      </c>
      <c r="AE283" s="29" t="n">
        <f aca="false">INDEX(Mitigation_Industry!AE:AE,MATCH($A283,Mitigation_Industry!$H:$H,0))</f>
        <v>0</v>
      </c>
    </row>
    <row r="284" customFormat="false" ht="15" hidden="false" customHeight="false" outlineLevel="0" collapsed="false">
      <c r="A284" s="35" t="s">
        <v>1236</v>
      </c>
      <c r="B284" s="6" t="s">
        <v>68</v>
      </c>
      <c r="C284" s="6" t="s">
        <v>121</v>
      </c>
      <c r="D284" s="6" t="n">
        <v>2</v>
      </c>
      <c r="E284" s="2" t="s">
        <v>1167</v>
      </c>
      <c r="F284" s="40" t="n">
        <f aca="false">MAX(MAX(L284:AE284),-MIN(L284:AE284))</f>
        <v>-0</v>
      </c>
      <c r="K284" s="41" t="n">
        <f aca="false">IF(ISNUMBER(K282),IF(ISNUMBER(K283),K283-K282,999999),0)</f>
        <v>0</v>
      </c>
      <c r="L284" s="41" t="n">
        <f aca="false">IF(ISNUMBER(L282),IF(ISNUMBER(L283),L283-L282,999999),0)</f>
        <v>0</v>
      </c>
      <c r="M284" s="41" t="n">
        <f aca="false">IF(ISNUMBER(M282),IF(ISNUMBER(M283),M283-M282,999999),0)</f>
        <v>0</v>
      </c>
      <c r="N284" s="41" t="n">
        <f aca="false">IF(ISNUMBER(N282),IF(ISNUMBER(N283),N283-N282,999999),0)</f>
        <v>0</v>
      </c>
      <c r="O284" s="41" t="n">
        <f aca="false">IF(ISNUMBER(O282),IF(ISNUMBER(O283),O283-O282,999999),0)</f>
        <v>0</v>
      </c>
      <c r="P284" s="41" t="n">
        <f aca="false">IF(ISNUMBER(P282),IF(ISNUMBER(P283),P283-P282,999999),0)</f>
        <v>0</v>
      </c>
      <c r="Q284" s="41" t="n">
        <f aca="false">IF(ISNUMBER(Q282),IF(ISNUMBER(Q283),Q283-Q282,999999),0)</f>
        <v>0</v>
      </c>
      <c r="R284" s="41" t="n">
        <f aca="false">IF(ISNUMBER(R282),IF(ISNUMBER(R283),R283-R282,999999),0)</f>
        <v>0</v>
      </c>
      <c r="S284" s="41" t="n">
        <f aca="false">IF(ISNUMBER(S282),IF(ISNUMBER(S283),S283-S282,999999),0)</f>
        <v>0</v>
      </c>
      <c r="T284" s="41" t="n">
        <f aca="false">IF(ISNUMBER(T282),IF(ISNUMBER(T283),T283-T282,999999),0)</f>
        <v>0</v>
      </c>
      <c r="U284" s="41" t="n">
        <f aca="false">IF(ISNUMBER(U282),IF(ISNUMBER(U283),U283-U282,999999),0)</f>
        <v>0</v>
      </c>
      <c r="V284" s="41" t="n">
        <f aca="false">IF(ISNUMBER(V282),IF(ISNUMBER(V283),V283-V282,999999),0)</f>
        <v>0</v>
      </c>
      <c r="W284" s="41" t="n">
        <f aca="false">IF(ISNUMBER(W282),IF(ISNUMBER(W283),W283-W282,999999),0)</f>
        <v>0</v>
      </c>
      <c r="X284" s="41" t="n">
        <f aca="false">IF(ISNUMBER(X282),IF(ISNUMBER(X283),X283-X282,999999),0)</f>
        <v>0</v>
      </c>
      <c r="Y284" s="41" t="n">
        <f aca="false">IF(ISNUMBER(Y282),IF(ISNUMBER(Y283),Y283-Y282,999999),0)</f>
        <v>0</v>
      </c>
      <c r="Z284" s="41" t="n">
        <f aca="false">IF(ISNUMBER(Z282),IF(ISNUMBER(Z283),Z283-Z282,999999),0)</f>
        <v>0</v>
      </c>
      <c r="AA284" s="41" t="n">
        <f aca="false">IF(ISNUMBER(AA282),IF(ISNUMBER(AA283),AA283-AA282,999999),0)</f>
        <v>0</v>
      </c>
      <c r="AB284" s="41" t="n">
        <f aca="false">IF(ISNUMBER(AB282),IF(ISNUMBER(AB283),AB283-AB282,999999),0)</f>
        <v>0</v>
      </c>
      <c r="AC284" s="41" t="n">
        <f aca="false">IF(ISNUMBER(AC282),IF(ISNUMBER(AC283),AC283-AC282,999999),0)</f>
        <v>0</v>
      </c>
      <c r="AD284" s="41" t="n">
        <f aca="false">IF(ISNUMBER(AD282),IF(ISNUMBER(AD283),AD283-AD282,999999),0)</f>
        <v>0</v>
      </c>
      <c r="AE284" s="41" t="n">
        <f aca="false">IF(ISNUMBER(AE282),IF(ISNUMBER(AE283),AE283-AE282,999999),0)</f>
        <v>0</v>
      </c>
    </row>
    <row r="286" customFormat="false" ht="15" hidden="false" customHeight="false" outlineLevel="0" collapsed="false">
      <c r="A286" s="35" t="s">
        <v>1237</v>
      </c>
      <c r="B286" s="6" t="s">
        <v>71</v>
      </c>
      <c r="C286" s="6" t="s">
        <v>121</v>
      </c>
      <c r="D286" s="6" t="n">
        <v>2</v>
      </c>
      <c r="E286" s="6" t="s">
        <v>1165</v>
      </c>
      <c r="K286" s="29"/>
      <c r="L286" s="29" t="n">
        <v>0</v>
      </c>
      <c r="M286" s="29" t="n">
        <v>0</v>
      </c>
      <c r="N286" s="29" t="n">
        <v>0</v>
      </c>
      <c r="O286" s="29" t="n">
        <v>0</v>
      </c>
      <c r="P286" s="29" t="n">
        <v>0</v>
      </c>
      <c r="Q286" s="29" t="n">
        <v>0</v>
      </c>
      <c r="R286" s="29" t="n">
        <v>0</v>
      </c>
      <c r="S286" s="29" t="n">
        <v>0</v>
      </c>
      <c r="T286" s="29" t="n">
        <v>0</v>
      </c>
      <c r="U286" s="29" t="n">
        <v>0</v>
      </c>
      <c r="V286" s="29" t="n">
        <v>0</v>
      </c>
      <c r="W286" s="29" t="n">
        <v>0</v>
      </c>
      <c r="X286" s="29" t="n">
        <v>0</v>
      </c>
      <c r="Y286" s="29" t="n">
        <v>0</v>
      </c>
      <c r="Z286" s="29" t="n">
        <v>0</v>
      </c>
      <c r="AA286" s="29" t="n">
        <v>0</v>
      </c>
      <c r="AB286" s="29" t="n">
        <v>0</v>
      </c>
      <c r="AC286" s="29" t="n">
        <v>0</v>
      </c>
      <c r="AD286" s="29" t="n">
        <v>0</v>
      </c>
      <c r="AE286" s="29" t="n">
        <v>0</v>
      </c>
    </row>
    <row r="287" customFormat="false" ht="15" hidden="false" customHeight="false" outlineLevel="0" collapsed="false">
      <c r="A287" s="35" t="s">
        <v>1237</v>
      </c>
      <c r="B287" s="6" t="s">
        <v>71</v>
      </c>
      <c r="C287" s="6" t="s">
        <v>121</v>
      </c>
      <c r="D287" s="6" t="n">
        <v>2</v>
      </c>
      <c r="E287" s="6" t="s">
        <v>1166</v>
      </c>
      <c r="K287" s="29" t="n">
        <f aca="false">INDEX(Mitigation_Industry!K:K,MATCH($A287,Mitigation_Industry!$H:$H,0))</f>
        <v>0</v>
      </c>
      <c r="L287" s="29" t="n">
        <f aca="false">INDEX(Mitigation_Industry!L:L,MATCH($A287,Mitigation_Industry!$H:$H,0))</f>
        <v>0</v>
      </c>
      <c r="M287" s="29" t="n">
        <f aca="false">INDEX(Mitigation_Industry!M:M,MATCH($A287,Mitigation_Industry!$H:$H,0))</f>
        <v>0</v>
      </c>
      <c r="N287" s="29" t="n">
        <f aca="false">INDEX(Mitigation_Industry!N:N,MATCH($A287,Mitigation_Industry!$H:$H,0))</f>
        <v>0</v>
      </c>
      <c r="O287" s="29" t="n">
        <f aca="false">INDEX(Mitigation_Industry!O:O,MATCH($A287,Mitigation_Industry!$H:$H,0))</f>
        <v>0</v>
      </c>
      <c r="P287" s="29" t="n">
        <f aca="false">INDEX(Mitigation_Industry!P:P,MATCH($A287,Mitigation_Industry!$H:$H,0))</f>
        <v>0</v>
      </c>
      <c r="Q287" s="29" t="n">
        <f aca="false">INDEX(Mitigation_Industry!Q:Q,MATCH($A287,Mitigation_Industry!$H:$H,0))</f>
        <v>0</v>
      </c>
      <c r="R287" s="29" t="n">
        <f aca="false">INDEX(Mitigation_Industry!R:R,MATCH($A287,Mitigation_Industry!$H:$H,0))</f>
        <v>0</v>
      </c>
      <c r="S287" s="29" t="n">
        <f aca="false">INDEX(Mitigation_Industry!S:S,MATCH($A287,Mitigation_Industry!$H:$H,0))</f>
        <v>0</v>
      </c>
      <c r="T287" s="29" t="n">
        <f aca="false">INDEX(Mitigation_Industry!T:T,MATCH($A287,Mitigation_Industry!$H:$H,0))</f>
        <v>0</v>
      </c>
      <c r="U287" s="29" t="n">
        <f aca="false">INDEX(Mitigation_Industry!U:U,MATCH($A287,Mitigation_Industry!$H:$H,0))</f>
        <v>0</v>
      </c>
      <c r="V287" s="29" t="n">
        <f aca="false">INDEX(Mitigation_Industry!V:V,MATCH($A287,Mitigation_Industry!$H:$H,0))</f>
        <v>0</v>
      </c>
      <c r="W287" s="29" t="n">
        <f aca="false">INDEX(Mitigation_Industry!W:W,MATCH($A287,Mitigation_Industry!$H:$H,0))</f>
        <v>0</v>
      </c>
      <c r="X287" s="29" t="n">
        <f aca="false">INDEX(Mitigation_Industry!X:X,MATCH($A287,Mitigation_Industry!$H:$H,0))</f>
        <v>0</v>
      </c>
      <c r="Y287" s="29" t="n">
        <f aca="false">INDEX(Mitigation_Industry!Y:Y,MATCH($A287,Mitigation_Industry!$H:$H,0))</f>
        <v>0</v>
      </c>
      <c r="Z287" s="29" t="n">
        <f aca="false">INDEX(Mitigation_Industry!Z:Z,MATCH($A287,Mitigation_Industry!$H:$H,0))</f>
        <v>0</v>
      </c>
      <c r="AA287" s="29" t="n">
        <f aca="false">INDEX(Mitigation_Industry!AA:AA,MATCH($A287,Mitigation_Industry!$H:$H,0))</f>
        <v>0</v>
      </c>
      <c r="AB287" s="29" t="n">
        <f aca="false">INDEX(Mitigation_Industry!AB:AB,MATCH($A287,Mitigation_Industry!$H:$H,0))</f>
        <v>0</v>
      </c>
      <c r="AC287" s="29" t="n">
        <f aca="false">INDEX(Mitigation_Industry!AC:AC,MATCH($A287,Mitigation_Industry!$H:$H,0))</f>
        <v>0</v>
      </c>
      <c r="AD287" s="29" t="n">
        <f aca="false">INDEX(Mitigation_Industry!AD:AD,MATCH($A287,Mitigation_Industry!$H:$H,0))</f>
        <v>0</v>
      </c>
      <c r="AE287" s="29" t="n">
        <f aca="false">INDEX(Mitigation_Industry!AE:AE,MATCH($A287,Mitigation_Industry!$H:$H,0))</f>
        <v>0</v>
      </c>
    </row>
    <row r="288" customFormat="false" ht="15" hidden="false" customHeight="false" outlineLevel="0" collapsed="false">
      <c r="A288" s="35" t="s">
        <v>1237</v>
      </c>
      <c r="B288" s="6" t="s">
        <v>71</v>
      </c>
      <c r="C288" s="6" t="s">
        <v>121</v>
      </c>
      <c r="D288" s="6" t="n">
        <v>2</v>
      </c>
      <c r="E288" s="2" t="s">
        <v>1167</v>
      </c>
      <c r="F288" s="40" t="n">
        <f aca="false">MAX(MAX(L288:AE288),-MIN(L288:AE288))</f>
        <v>-0</v>
      </c>
      <c r="K288" s="41" t="n">
        <f aca="false">IF(ISNUMBER(K286),IF(ISNUMBER(K287),K287-K286,999999),0)</f>
        <v>0</v>
      </c>
      <c r="L288" s="41" t="n">
        <f aca="false">IF(ISNUMBER(L286),IF(ISNUMBER(L287),L287-L286,999999),0)</f>
        <v>0</v>
      </c>
      <c r="M288" s="41" t="n">
        <f aca="false">IF(ISNUMBER(M286),IF(ISNUMBER(M287),M287-M286,999999),0)</f>
        <v>0</v>
      </c>
      <c r="N288" s="41" t="n">
        <f aca="false">IF(ISNUMBER(N286),IF(ISNUMBER(N287),N287-N286,999999),0)</f>
        <v>0</v>
      </c>
      <c r="O288" s="41" t="n">
        <f aca="false">IF(ISNUMBER(O286),IF(ISNUMBER(O287),O287-O286,999999),0)</f>
        <v>0</v>
      </c>
      <c r="P288" s="41" t="n">
        <f aca="false">IF(ISNUMBER(P286),IF(ISNUMBER(P287),P287-P286,999999),0)</f>
        <v>0</v>
      </c>
      <c r="Q288" s="41" t="n">
        <f aca="false">IF(ISNUMBER(Q286),IF(ISNUMBER(Q287),Q287-Q286,999999),0)</f>
        <v>0</v>
      </c>
      <c r="R288" s="41" t="n">
        <f aca="false">IF(ISNUMBER(R286),IF(ISNUMBER(R287),R287-R286,999999),0)</f>
        <v>0</v>
      </c>
      <c r="S288" s="41" t="n">
        <f aca="false">IF(ISNUMBER(S286),IF(ISNUMBER(S287),S287-S286,999999),0)</f>
        <v>0</v>
      </c>
      <c r="T288" s="41" t="n">
        <f aca="false">IF(ISNUMBER(T286),IF(ISNUMBER(T287),T287-T286,999999),0)</f>
        <v>0</v>
      </c>
      <c r="U288" s="41" t="n">
        <f aca="false">IF(ISNUMBER(U286),IF(ISNUMBER(U287),U287-U286,999999),0)</f>
        <v>0</v>
      </c>
      <c r="V288" s="41" t="n">
        <f aca="false">IF(ISNUMBER(V286),IF(ISNUMBER(V287),V287-V286,999999),0)</f>
        <v>0</v>
      </c>
      <c r="W288" s="41" t="n">
        <f aca="false">IF(ISNUMBER(W286),IF(ISNUMBER(W287),W287-W286,999999),0)</f>
        <v>0</v>
      </c>
      <c r="X288" s="41" t="n">
        <f aca="false">IF(ISNUMBER(X286),IF(ISNUMBER(X287),X287-X286,999999),0)</f>
        <v>0</v>
      </c>
      <c r="Y288" s="41" t="n">
        <f aca="false">IF(ISNUMBER(Y286),IF(ISNUMBER(Y287),Y287-Y286,999999),0)</f>
        <v>0</v>
      </c>
      <c r="Z288" s="41" t="n">
        <f aca="false">IF(ISNUMBER(Z286),IF(ISNUMBER(Z287),Z287-Z286,999999),0)</f>
        <v>0</v>
      </c>
      <c r="AA288" s="41" t="n">
        <f aca="false">IF(ISNUMBER(AA286),IF(ISNUMBER(AA287),AA287-AA286,999999),0)</f>
        <v>0</v>
      </c>
      <c r="AB288" s="41" t="n">
        <f aca="false">IF(ISNUMBER(AB286),IF(ISNUMBER(AB287),AB287-AB286,999999),0)</f>
        <v>0</v>
      </c>
      <c r="AC288" s="41" t="n">
        <f aca="false">IF(ISNUMBER(AC286),IF(ISNUMBER(AC287),AC287-AC286,999999),0)</f>
        <v>0</v>
      </c>
      <c r="AD288" s="41" t="n">
        <f aca="false">IF(ISNUMBER(AD286),IF(ISNUMBER(AD287),AD287-AD286,999999),0)</f>
        <v>0</v>
      </c>
      <c r="AE288" s="41" t="n">
        <f aca="false">IF(ISNUMBER(AE286),IF(ISNUMBER(AE287),AE287-AE286,999999),0)</f>
        <v>0</v>
      </c>
    </row>
    <row r="290" customFormat="false" ht="15" hidden="false" customHeight="false" outlineLevel="0" collapsed="false">
      <c r="A290" s="35" t="s">
        <v>1238</v>
      </c>
      <c r="B290" s="6" t="s">
        <v>73</v>
      </c>
      <c r="C290" s="6" t="s">
        <v>121</v>
      </c>
      <c r="D290" s="6" t="n">
        <v>2</v>
      </c>
      <c r="E290" s="6" t="s">
        <v>1165</v>
      </c>
      <c r="K290" s="29"/>
      <c r="L290" s="29" t="n">
        <v>0</v>
      </c>
      <c r="M290" s="29" t="n">
        <v>0</v>
      </c>
      <c r="N290" s="29" t="n">
        <v>0</v>
      </c>
      <c r="O290" s="29" t="n">
        <v>0</v>
      </c>
      <c r="P290" s="29" t="n">
        <v>0</v>
      </c>
      <c r="Q290" s="29" t="n">
        <v>0</v>
      </c>
      <c r="R290" s="29" t="n">
        <v>0</v>
      </c>
      <c r="S290" s="29" t="n">
        <v>0</v>
      </c>
      <c r="T290" s="29" t="n">
        <v>0</v>
      </c>
      <c r="U290" s="29" t="n">
        <v>0</v>
      </c>
      <c r="V290" s="29" t="n">
        <v>0</v>
      </c>
      <c r="W290" s="29" t="n">
        <v>0</v>
      </c>
      <c r="X290" s="29" t="n">
        <v>0</v>
      </c>
      <c r="Y290" s="29" t="n">
        <v>0</v>
      </c>
      <c r="Z290" s="29" t="n">
        <v>0</v>
      </c>
      <c r="AA290" s="29" t="n">
        <v>0</v>
      </c>
      <c r="AB290" s="29" t="n">
        <v>0</v>
      </c>
      <c r="AC290" s="29" t="n">
        <v>0</v>
      </c>
      <c r="AD290" s="29" t="n">
        <v>0</v>
      </c>
      <c r="AE290" s="29" t="n">
        <v>0</v>
      </c>
    </row>
    <row r="291" customFormat="false" ht="15" hidden="false" customHeight="false" outlineLevel="0" collapsed="false">
      <c r="A291" s="35" t="s">
        <v>1238</v>
      </c>
      <c r="B291" s="6" t="s">
        <v>73</v>
      </c>
      <c r="C291" s="6" t="s">
        <v>121</v>
      </c>
      <c r="D291" s="6" t="n">
        <v>2</v>
      </c>
      <c r="E291" s="6" t="s">
        <v>1166</v>
      </c>
      <c r="K291" s="29" t="n">
        <f aca="false">INDEX(Mitigation_Industry!K:K,MATCH($A291,Mitigation_Industry!$H:$H,0))</f>
        <v>0</v>
      </c>
      <c r="L291" s="29" t="n">
        <f aca="false">INDEX(Mitigation_Industry!L:L,MATCH($A291,Mitigation_Industry!$H:$H,0))</f>
        <v>0</v>
      </c>
      <c r="M291" s="29" t="n">
        <f aca="false">INDEX(Mitigation_Industry!M:M,MATCH($A291,Mitigation_Industry!$H:$H,0))</f>
        <v>0</v>
      </c>
      <c r="N291" s="29" t="n">
        <f aca="false">INDEX(Mitigation_Industry!N:N,MATCH($A291,Mitigation_Industry!$H:$H,0))</f>
        <v>0</v>
      </c>
      <c r="O291" s="29" t="n">
        <f aca="false">INDEX(Mitigation_Industry!O:O,MATCH($A291,Mitigation_Industry!$H:$H,0))</f>
        <v>0</v>
      </c>
      <c r="P291" s="29" t="n">
        <f aca="false">INDEX(Mitigation_Industry!P:P,MATCH($A291,Mitigation_Industry!$H:$H,0))</f>
        <v>0</v>
      </c>
      <c r="Q291" s="29" t="n">
        <f aca="false">INDEX(Mitigation_Industry!Q:Q,MATCH($A291,Mitigation_Industry!$H:$H,0))</f>
        <v>0</v>
      </c>
      <c r="R291" s="29" t="n">
        <f aca="false">INDEX(Mitigation_Industry!R:R,MATCH($A291,Mitigation_Industry!$H:$H,0))</f>
        <v>0</v>
      </c>
      <c r="S291" s="29" t="n">
        <f aca="false">INDEX(Mitigation_Industry!S:S,MATCH($A291,Mitigation_Industry!$H:$H,0))</f>
        <v>0</v>
      </c>
      <c r="T291" s="29" t="n">
        <f aca="false">INDEX(Mitigation_Industry!T:T,MATCH($A291,Mitigation_Industry!$H:$H,0))</f>
        <v>0</v>
      </c>
      <c r="U291" s="29" t="n">
        <f aca="false">INDEX(Mitigation_Industry!U:U,MATCH($A291,Mitigation_Industry!$H:$H,0))</f>
        <v>0</v>
      </c>
      <c r="V291" s="29" t="n">
        <f aca="false">INDEX(Mitigation_Industry!V:V,MATCH($A291,Mitigation_Industry!$H:$H,0))</f>
        <v>0</v>
      </c>
      <c r="W291" s="29" t="n">
        <f aca="false">INDEX(Mitigation_Industry!W:W,MATCH($A291,Mitigation_Industry!$H:$H,0))</f>
        <v>0</v>
      </c>
      <c r="X291" s="29" t="n">
        <f aca="false">INDEX(Mitigation_Industry!X:X,MATCH($A291,Mitigation_Industry!$H:$H,0))</f>
        <v>0</v>
      </c>
      <c r="Y291" s="29" t="n">
        <f aca="false">INDEX(Mitigation_Industry!Y:Y,MATCH($A291,Mitigation_Industry!$H:$H,0))</f>
        <v>0</v>
      </c>
      <c r="Z291" s="29" t="n">
        <f aca="false">INDEX(Mitigation_Industry!Z:Z,MATCH($A291,Mitigation_Industry!$H:$H,0))</f>
        <v>0</v>
      </c>
      <c r="AA291" s="29" t="n">
        <f aca="false">INDEX(Mitigation_Industry!AA:AA,MATCH($A291,Mitigation_Industry!$H:$H,0))</f>
        <v>0</v>
      </c>
      <c r="AB291" s="29" t="n">
        <f aca="false">INDEX(Mitigation_Industry!AB:AB,MATCH($A291,Mitigation_Industry!$H:$H,0))</f>
        <v>0</v>
      </c>
      <c r="AC291" s="29" t="n">
        <f aca="false">INDEX(Mitigation_Industry!AC:AC,MATCH($A291,Mitigation_Industry!$H:$H,0))</f>
        <v>0</v>
      </c>
      <c r="AD291" s="29" t="n">
        <f aca="false">INDEX(Mitigation_Industry!AD:AD,MATCH($A291,Mitigation_Industry!$H:$H,0))</f>
        <v>0</v>
      </c>
      <c r="AE291" s="29" t="n">
        <f aca="false">INDEX(Mitigation_Industry!AE:AE,MATCH($A291,Mitigation_Industry!$H:$H,0))</f>
        <v>0</v>
      </c>
    </row>
    <row r="292" customFormat="false" ht="15" hidden="false" customHeight="false" outlineLevel="0" collapsed="false">
      <c r="A292" s="35" t="s">
        <v>1238</v>
      </c>
      <c r="B292" s="6" t="s">
        <v>73</v>
      </c>
      <c r="C292" s="6" t="s">
        <v>121</v>
      </c>
      <c r="D292" s="6" t="n">
        <v>2</v>
      </c>
      <c r="E292" s="2" t="s">
        <v>1167</v>
      </c>
      <c r="F292" s="40" t="n">
        <f aca="false">MAX(MAX(L292:AE292),-MIN(L292:AE292))</f>
        <v>-0</v>
      </c>
      <c r="K292" s="41" t="n">
        <f aca="false">IF(ISNUMBER(K290),IF(ISNUMBER(K291),K291-K290,999999),0)</f>
        <v>0</v>
      </c>
      <c r="L292" s="41" t="n">
        <f aca="false">IF(ISNUMBER(L290),IF(ISNUMBER(L291),L291-L290,999999),0)</f>
        <v>0</v>
      </c>
      <c r="M292" s="41" t="n">
        <f aca="false">IF(ISNUMBER(M290),IF(ISNUMBER(M291),M291-M290,999999),0)</f>
        <v>0</v>
      </c>
      <c r="N292" s="41" t="n">
        <f aca="false">IF(ISNUMBER(N290),IF(ISNUMBER(N291),N291-N290,999999),0)</f>
        <v>0</v>
      </c>
      <c r="O292" s="41" t="n">
        <f aca="false">IF(ISNUMBER(O290),IF(ISNUMBER(O291),O291-O290,999999),0)</f>
        <v>0</v>
      </c>
      <c r="P292" s="41" t="n">
        <f aca="false">IF(ISNUMBER(P290),IF(ISNUMBER(P291),P291-P290,999999),0)</f>
        <v>0</v>
      </c>
      <c r="Q292" s="41" t="n">
        <f aca="false">IF(ISNUMBER(Q290),IF(ISNUMBER(Q291),Q291-Q290,999999),0)</f>
        <v>0</v>
      </c>
      <c r="R292" s="41" t="n">
        <f aca="false">IF(ISNUMBER(R290),IF(ISNUMBER(R291),R291-R290,999999),0)</f>
        <v>0</v>
      </c>
      <c r="S292" s="41" t="n">
        <f aca="false">IF(ISNUMBER(S290),IF(ISNUMBER(S291),S291-S290,999999),0)</f>
        <v>0</v>
      </c>
      <c r="T292" s="41" t="n">
        <f aca="false">IF(ISNUMBER(T290),IF(ISNUMBER(T291),T291-T290,999999),0)</f>
        <v>0</v>
      </c>
      <c r="U292" s="41" t="n">
        <f aca="false">IF(ISNUMBER(U290),IF(ISNUMBER(U291),U291-U290,999999),0)</f>
        <v>0</v>
      </c>
      <c r="V292" s="41" t="n">
        <f aca="false">IF(ISNUMBER(V290),IF(ISNUMBER(V291),V291-V290,999999),0)</f>
        <v>0</v>
      </c>
      <c r="W292" s="41" t="n">
        <f aca="false">IF(ISNUMBER(W290),IF(ISNUMBER(W291),W291-W290,999999),0)</f>
        <v>0</v>
      </c>
      <c r="X292" s="41" t="n">
        <f aca="false">IF(ISNUMBER(X290),IF(ISNUMBER(X291),X291-X290,999999),0)</f>
        <v>0</v>
      </c>
      <c r="Y292" s="41" t="n">
        <f aca="false">IF(ISNUMBER(Y290),IF(ISNUMBER(Y291),Y291-Y290,999999),0)</f>
        <v>0</v>
      </c>
      <c r="Z292" s="41" t="n">
        <f aca="false">IF(ISNUMBER(Z290),IF(ISNUMBER(Z291),Z291-Z290,999999),0)</f>
        <v>0</v>
      </c>
      <c r="AA292" s="41" t="n">
        <f aca="false">IF(ISNUMBER(AA290),IF(ISNUMBER(AA291),AA291-AA290,999999),0)</f>
        <v>0</v>
      </c>
      <c r="AB292" s="41" t="n">
        <f aca="false">IF(ISNUMBER(AB290),IF(ISNUMBER(AB291),AB291-AB290,999999),0)</f>
        <v>0</v>
      </c>
      <c r="AC292" s="41" t="n">
        <f aca="false">IF(ISNUMBER(AC290),IF(ISNUMBER(AC291),AC291-AC290,999999),0)</f>
        <v>0</v>
      </c>
      <c r="AD292" s="41" t="n">
        <f aca="false">IF(ISNUMBER(AD290),IF(ISNUMBER(AD291),AD291-AD290,999999),0)</f>
        <v>0</v>
      </c>
      <c r="AE292" s="41" t="n">
        <f aca="false">IF(ISNUMBER(AE290),IF(ISNUMBER(AE291),AE291-AE290,999999),0)</f>
        <v>0</v>
      </c>
    </row>
    <row r="294" customFormat="false" ht="15" hidden="false" customHeight="false" outlineLevel="0" collapsed="false">
      <c r="A294" s="35" t="s">
        <v>1239</v>
      </c>
      <c r="B294" s="6" t="s">
        <v>53</v>
      </c>
      <c r="C294" s="6" t="s">
        <v>47</v>
      </c>
      <c r="D294" s="6" t="n">
        <v>1</v>
      </c>
      <c r="E294" s="6" t="s">
        <v>1165</v>
      </c>
      <c r="K294" s="22"/>
      <c r="L294" s="22" t="n">
        <v>10.5233613454312</v>
      </c>
      <c r="M294" s="22" t="n">
        <v>10.2995608274442</v>
      </c>
      <c r="N294" s="22" t="n">
        <v>9.57752835953826</v>
      </c>
      <c r="O294" s="22" t="n">
        <v>8.48547828695805</v>
      </c>
      <c r="P294" s="22" t="n">
        <v>9.08719223524986</v>
      </c>
      <c r="Q294" s="22" t="n">
        <v>9.22292372893268</v>
      </c>
      <c r="R294" s="22" t="n">
        <v>9.15856495550969</v>
      </c>
      <c r="S294" s="22" t="n">
        <v>9.08954787739738</v>
      </c>
      <c r="T294" s="22" t="n">
        <v>9.01568166602283</v>
      </c>
      <c r="U294" s="22" t="n">
        <v>8.94439776555711</v>
      </c>
      <c r="V294" s="22" t="n">
        <v>8.94439776555711</v>
      </c>
      <c r="W294" s="22" t="n">
        <v>8.94439776555711</v>
      </c>
      <c r="X294" s="22" t="n">
        <v>8.94439776555711</v>
      </c>
      <c r="Y294" s="22" t="n">
        <v>8.94439776555711</v>
      </c>
      <c r="Z294" s="22" t="n">
        <v>8.94439776555711</v>
      </c>
      <c r="AA294" s="22" t="n">
        <v>8.94439776555711</v>
      </c>
      <c r="AB294" s="22" t="n">
        <v>8.94439776555711</v>
      </c>
      <c r="AC294" s="22" t="n">
        <v>8.94439776555711</v>
      </c>
      <c r="AD294" s="22" t="n">
        <v>8.94439776555711</v>
      </c>
      <c r="AE294" s="22" t="n">
        <v>8.94439776555711</v>
      </c>
    </row>
    <row r="295" customFormat="false" ht="15" hidden="false" customHeight="false" outlineLevel="0" collapsed="false">
      <c r="A295" s="35" t="s">
        <v>1239</v>
      </c>
      <c r="B295" s="6" t="s">
        <v>53</v>
      </c>
      <c r="C295" s="6" t="s">
        <v>47</v>
      </c>
      <c r="D295" s="6" t="n">
        <v>1</v>
      </c>
      <c r="E295" s="6" t="s">
        <v>1166</v>
      </c>
      <c r="K295" s="22" t="n">
        <f aca="false">INDEX(Mitigation_Industry!K:K,MATCH($A295,Mitigation_Industry!$H:$H,0))</f>
        <v>11.1829015892439</v>
      </c>
      <c r="L295" s="22" t="n">
        <f aca="false">INDEX(Mitigation_Industry!L:L,MATCH($A295,Mitigation_Industry!$H:$H,0))</f>
        <v>10.5233613454312</v>
      </c>
      <c r="M295" s="22" t="n">
        <f aca="false">INDEX(Mitigation_Industry!M:M,MATCH($A295,Mitigation_Industry!$H:$H,0))</f>
        <v>10.2995608274442</v>
      </c>
      <c r="N295" s="22" t="n">
        <f aca="false">INDEX(Mitigation_Industry!N:N,MATCH($A295,Mitigation_Industry!$H:$H,0))</f>
        <v>9.57752835953826</v>
      </c>
      <c r="O295" s="22" t="n">
        <f aca="false">INDEX(Mitigation_Industry!O:O,MATCH($A295,Mitigation_Industry!$H:$H,0))</f>
        <v>8.48547828695805</v>
      </c>
      <c r="P295" s="22" t="n">
        <f aca="false">INDEX(Mitigation_Industry!P:P,MATCH($A295,Mitigation_Industry!$H:$H,0))</f>
        <v>9.08719223524986</v>
      </c>
      <c r="Q295" s="22" t="n">
        <f aca="false">INDEX(Mitigation_Industry!Q:Q,MATCH($A295,Mitigation_Industry!$H:$H,0))</f>
        <v>9.22292372893268</v>
      </c>
      <c r="R295" s="22" t="n">
        <f aca="false">INDEX(Mitigation_Industry!R:R,MATCH($A295,Mitigation_Industry!$H:$H,0))</f>
        <v>9.15856495550969</v>
      </c>
      <c r="S295" s="22" t="n">
        <f aca="false">INDEX(Mitigation_Industry!S:S,MATCH($A295,Mitigation_Industry!$H:$H,0))</f>
        <v>9.08954787739738</v>
      </c>
      <c r="T295" s="22" t="n">
        <f aca="false">INDEX(Mitigation_Industry!T:T,MATCH($A295,Mitigation_Industry!$H:$H,0))</f>
        <v>9.01568166602283</v>
      </c>
      <c r="U295" s="22" t="n">
        <f aca="false">INDEX(Mitigation_Industry!U:U,MATCH($A295,Mitigation_Industry!$H:$H,0))</f>
        <v>8.94439776555711</v>
      </c>
      <c r="V295" s="22" t="n">
        <f aca="false">INDEX(Mitigation_Industry!V:V,MATCH($A295,Mitigation_Industry!$H:$H,0))</f>
        <v>8.94439776555711</v>
      </c>
      <c r="W295" s="22" t="n">
        <f aca="false">INDEX(Mitigation_Industry!W:W,MATCH($A295,Mitigation_Industry!$H:$H,0))</f>
        <v>8.94439776555711</v>
      </c>
      <c r="X295" s="22" t="n">
        <f aca="false">INDEX(Mitigation_Industry!X:X,MATCH($A295,Mitigation_Industry!$H:$H,0))</f>
        <v>8.94439776555711</v>
      </c>
      <c r="Y295" s="22" t="n">
        <f aca="false">INDEX(Mitigation_Industry!Y:Y,MATCH($A295,Mitigation_Industry!$H:$H,0))</f>
        <v>8.94439776555711</v>
      </c>
      <c r="Z295" s="22" t="n">
        <f aca="false">INDEX(Mitigation_Industry!Z:Z,MATCH($A295,Mitigation_Industry!$H:$H,0))</f>
        <v>8.94439776555711</v>
      </c>
      <c r="AA295" s="22" t="n">
        <f aca="false">INDEX(Mitigation_Industry!AA:AA,MATCH($A295,Mitigation_Industry!$H:$H,0))</f>
        <v>8.94439776555711</v>
      </c>
      <c r="AB295" s="22" t="n">
        <f aca="false">INDEX(Mitigation_Industry!AB:AB,MATCH($A295,Mitigation_Industry!$H:$H,0))</f>
        <v>8.94439776555711</v>
      </c>
      <c r="AC295" s="22" t="n">
        <f aca="false">INDEX(Mitigation_Industry!AC:AC,MATCH($A295,Mitigation_Industry!$H:$H,0))</f>
        <v>8.94439776555711</v>
      </c>
      <c r="AD295" s="22" t="n">
        <f aca="false">INDEX(Mitigation_Industry!AD:AD,MATCH($A295,Mitigation_Industry!$H:$H,0))</f>
        <v>8.94439776555711</v>
      </c>
      <c r="AE295" s="22" t="n">
        <f aca="false">INDEX(Mitigation_Industry!AE:AE,MATCH($A295,Mitigation_Industry!$H:$H,0))</f>
        <v>8.94439776555711</v>
      </c>
    </row>
    <row r="296" customFormat="false" ht="15" hidden="false" customHeight="false" outlineLevel="0" collapsed="false">
      <c r="A296" s="35" t="s">
        <v>1239</v>
      </c>
      <c r="B296" s="6" t="s">
        <v>53</v>
      </c>
      <c r="C296" s="6" t="s">
        <v>47</v>
      </c>
      <c r="D296" s="6" t="n">
        <v>1</v>
      </c>
      <c r="E296" s="2" t="s">
        <v>1167</v>
      </c>
      <c r="F296" s="40" t="n">
        <f aca="false">MAX(MAX(L296:AE296),-MIN(L296:AE296))</f>
        <v>-0</v>
      </c>
      <c r="K296" s="41" t="n">
        <f aca="false">IF(ISNUMBER(K294),IF(ISNUMBER(K295),K295-K294,999999),0)</f>
        <v>0</v>
      </c>
      <c r="L296" s="41" t="n">
        <f aca="false">IF(ISNUMBER(L294),IF(ISNUMBER(L295),L295-L294,999999),0)</f>
        <v>0</v>
      </c>
      <c r="M296" s="41" t="n">
        <f aca="false">IF(ISNUMBER(M294),IF(ISNUMBER(M295),M295-M294,999999),0)</f>
        <v>0</v>
      </c>
      <c r="N296" s="41" t="n">
        <f aca="false">IF(ISNUMBER(N294),IF(ISNUMBER(N295),N295-N294,999999),0)</f>
        <v>0</v>
      </c>
      <c r="O296" s="41" t="n">
        <f aca="false">IF(ISNUMBER(O294),IF(ISNUMBER(O295),O295-O294,999999),0)</f>
        <v>0</v>
      </c>
      <c r="P296" s="41" t="n">
        <f aca="false">IF(ISNUMBER(P294),IF(ISNUMBER(P295),P295-P294,999999),0)</f>
        <v>0</v>
      </c>
      <c r="Q296" s="41" t="n">
        <f aca="false">IF(ISNUMBER(Q294),IF(ISNUMBER(Q295),Q295-Q294,999999),0)</f>
        <v>0</v>
      </c>
      <c r="R296" s="41" t="n">
        <f aca="false">IF(ISNUMBER(R294),IF(ISNUMBER(R295),R295-R294,999999),0)</f>
        <v>0</v>
      </c>
      <c r="S296" s="41" t="n">
        <f aca="false">IF(ISNUMBER(S294),IF(ISNUMBER(S295),S295-S294,999999),0)</f>
        <v>0</v>
      </c>
      <c r="T296" s="41" t="n">
        <f aca="false">IF(ISNUMBER(T294),IF(ISNUMBER(T295),T295-T294,999999),0)</f>
        <v>0</v>
      </c>
      <c r="U296" s="41" t="n">
        <f aca="false">IF(ISNUMBER(U294),IF(ISNUMBER(U295),U295-U294,999999),0)</f>
        <v>0</v>
      </c>
      <c r="V296" s="41" t="n">
        <f aca="false">IF(ISNUMBER(V294),IF(ISNUMBER(V295),V295-V294,999999),0)</f>
        <v>0</v>
      </c>
      <c r="W296" s="41" t="n">
        <f aca="false">IF(ISNUMBER(W294),IF(ISNUMBER(W295),W295-W294,999999),0)</f>
        <v>0</v>
      </c>
      <c r="X296" s="41" t="n">
        <f aca="false">IF(ISNUMBER(X294),IF(ISNUMBER(X295),X295-X294,999999),0)</f>
        <v>0</v>
      </c>
      <c r="Y296" s="41" t="n">
        <f aca="false">IF(ISNUMBER(Y294),IF(ISNUMBER(Y295),Y295-Y294,999999),0)</f>
        <v>0</v>
      </c>
      <c r="Z296" s="41" t="n">
        <f aca="false">IF(ISNUMBER(Z294),IF(ISNUMBER(Z295),Z295-Z294,999999),0)</f>
        <v>0</v>
      </c>
      <c r="AA296" s="41" t="n">
        <f aca="false">IF(ISNUMBER(AA294),IF(ISNUMBER(AA295),AA295-AA294,999999),0)</f>
        <v>0</v>
      </c>
      <c r="AB296" s="41" t="n">
        <f aca="false">IF(ISNUMBER(AB294),IF(ISNUMBER(AB295),AB295-AB294,999999),0)</f>
        <v>0</v>
      </c>
      <c r="AC296" s="41" t="n">
        <f aca="false">IF(ISNUMBER(AC294),IF(ISNUMBER(AC295),AC295-AC294,999999),0)</f>
        <v>0</v>
      </c>
      <c r="AD296" s="41" t="n">
        <f aca="false">IF(ISNUMBER(AD294),IF(ISNUMBER(AD295),AD295-AD294,999999),0)</f>
        <v>0</v>
      </c>
      <c r="AE296" s="41" t="n">
        <f aca="false">IF(ISNUMBER(AE294),IF(ISNUMBER(AE295),AE295-AE294,999999),0)</f>
        <v>0</v>
      </c>
    </row>
    <row r="298" customFormat="false" ht="15" hidden="false" customHeight="false" outlineLevel="0" collapsed="false">
      <c r="A298" s="35" t="s">
        <v>1240</v>
      </c>
      <c r="B298" s="6" t="s">
        <v>57</v>
      </c>
      <c r="C298" s="6" t="s">
        <v>47</v>
      </c>
      <c r="D298" s="6" t="n">
        <v>1</v>
      </c>
      <c r="E298" s="6" t="s">
        <v>1165</v>
      </c>
      <c r="K298" s="22"/>
      <c r="L298" s="22" t="n">
        <v>5.45101508161919</v>
      </c>
      <c r="M298" s="22" t="n">
        <v>5.11935630626248</v>
      </c>
      <c r="N298" s="22" t="n">
        <v>5.08218458640407</v>
      </c>
      <c r="O298" s="22" t="n">
        <v>5.08218458640407</v>
      </c>
      <c r="P298" s="22" t="n">
        <v>5.08218458640407</v>
      </c>
      <c r="Q298" s="22" t="n">
        <v>5.08218458640407</v>
      </c>
      <c r="R298" s="22" t="n">
        <v>5.08218458640407</v>
      </c>
      <c r="S298" s="22" t="n">
        <v>5.08218458640407</v>
      </c>
      <c r="T298" s="22" t="n">
        <v>5.08218458640407</v>
      </c>
      <c r="U298" s="22" t="n">
        <v>5.08218458640407</v>
      </c>
      <c r="V298" s="22" t="n">
        <v>5.08218458640407</v>
      </c>
      <c r="W298" s="22" t="n">
        <v>5.08218458640407</v>
      </c>
      <c r="X298" s="22" t="n">
        <v>5.08218458640407</v>
      </c>
      <c r="Y298" s="22" t="n">
        <v>5.08218458640407</v>
      </c>
      <c r="Z298" s="22" t="n">
        <v>5.08218458640407</v>
      </c>
      <c r="AA298" s="22" t="n">
        <v>5.08218458640407</v>
      </c>
      <c r="AB298" s="22" t="n">
        <v>5.08218458640407</v>
      </c>
      <c r="AC298" s="22" t="n">
        <v>5.08218458640407</v>
      </c>
      <c r="AD298" s="22" t="n">
        <v>5.08218458640407</v>
      </c>
      <c r="AE298" s="22" t="n">
        <v>5.08218458640407</v>
      </c>
    </row>
    <row r="299" customFormat="false" ht="15" hidden="false" customHeight="false" outlineLevel="0" collapsed="false">
      <c r="A299" s="35" t="s">
        <v>1240</v>
      </c>
      <c r="B299" s="6" t="s">
        <v>57</v>
      </c>
      <c r="C299" s="6" t="s">
        <v>47</v>
      </c>
      <c r="D299" s="6" t="n">
        <v>1</v>
      </c>
      <c r="E299" s="6" t="s">
        <v>1166</v>
      </c>
      <c r="K299" s="22" t="n">
        <f aca="false">INDEX(Mitigation_Industry!K:K,MATCH($A299,Mitigation_Industry!$H:$H,0))</f>
        <v>6.06346361567291</v>
      </c>
      <c r="L299" s="22" t="n">
        <f aca="false">INDEX(Mitigation_Industry!L:L,MATCH($A299,Mitigation_Industry!$H:$H,0))</f>
        <v>5.45101508161919</v>
      </c>
      <c r="M299" s="22" t="n">
        <f aca="false">INDEX(Mitigation_Industry!M:M,MATCH($A299,Mitigation_Industry!$H:$H,0))</f>
        <v>5.11935630626248</v>
      </c>
      <c r="N299" s="22" t="n">
        <f aca="false">INDEX(Mitigation_Industry!N:N,MATCH($A299,Mitigation_Industry!$H:$H,0))</f>
        <v>5.08218458640407</v>
      </c>
      <c r="O299" s="22" t="n">
        <f aca="false">INDEX(Mitigation_Industry!O:O,MATCH($A299,Mitigation_Industry!$H:$H,0))</f>
        <v>5.08218458640407</v>
      </c>
      <c r="P299" s="22" t="n">
        <f aca="false">INDEX(Mitigation_Industry!P:P,MATCH($A299,Mitigation_Industry!$H:$H,0))</f>
        <v>5.08218458640407</v>
      </c>
      <c r="Q299" s="22" t="n">
        <f aca="false">INDEX(Mitigation_Industry!Q:Q,MATCH($A299,Mitigation_Industry!$H:$H,0))</f>
        <v>5.08218458640407</v>
      </c>
      <c r="R299" s="22" t="n">
        <f aca="false">INDEX(Mitigation_Industry!R:R,MATCH($A299,Mitigation_Industry!$H:$H,0))</f>
        <v>5.08218458640407</v>
      </c>
      <c r="S299" s="22" t="n">
        <f aca="false">INDEX(Mitigation_Industry!S:S,MATCH($A299,Mitigation_Industry!$H:$H,0))</f>
        <v>5.08218458640407</v>
      </c>
      <c r="T299" s="22" t="n">
        <f aca="false">INDEX(Mitigation_Industry!T:T,MATCH($A299,Mitigation_Industry!$H:$H,0))</f>
        <v>5.08218458640407</v>
      </c>
      <c r="U299" s="22" t="n">
        <f aca="false">INDEX(Mitigation_Industry!U:U,MATCH($A299,Mitigation_Industry!$H:$H,0))</f>
        <v>5.08218458640407</v>
      </c>
      <c r="V299" s="22" t="n">
        <f aca="false">INDEX(Mitigation_Industry!V:V,MATCH($A299,Mitigation_Industry!$H:$H,0))</f>
        <v>5.08218458640407</v>
      </c>
      <c r="W299" s="22" t="n">
        <f aca="false">INDEX(Mitigation_Industry!W:W,MATCH($A299,Mitigation_Industry!$H:$H,0))</f>
        <v>5.08218458640407</v>
      </c>
      <c r="X299" s="22" t="n">
        <f aca="false">INDEX(Mitigation_Industry!X:X,MATCH($A299,Mitigation_Industry!$H:$H,0))</f>
        <v>5.08218458640407</v>
      </c>
      <c r="Y299" s="22" t="n">
        <f aca="false">INDEX(Mitigation_Industry!Y:Y,MATCH($A299,Mitigation_Industry!$H:$H,0))</f>
        <v>5.08218458640407</v>
      </c>
      <c r="Z299" s="22" t="n">
        <f aca="false">INDEX(Mitigation_Industry!Z:Z,MATCH($A299,Mitigation_Industry!$H:$H,0))</f>
        <v>5.08218458640407</v>
      </c>
      <c r="AA299" s="22" t="n">
        <f aca="false">INDEX(Mitigation_Industry!AA:AA,MATCH($A299,Mitigation_Industry!$H:$H,0))</f>
        <v>5.08218458640407</v>
      </c>
      <c r="AB299" s="22" t="n">
        <f aca="false">INDEX(Mitigation_Industry!AB:AB,MATCH($A299,Mitigation_Industry!$H:$H,0))</f>
        <v>5.08218458640407</v>
      </c>
      <c r="AC299" s="22" t="n">
        <f aca="false">INDEX(Mitigation_Industry!AC:AC,MATCH($A299,Mitigation_Industry!$H:$H,0))</f>
        <v>5.08218458640407</v>
      </c>
      <c r="AD299" s="22" t="n">
        <f aca="false">INDEX(Mitigation_Industry!AD:AD,MATCH($A299,Mitigation_Industry!$H:$H,0))</f>
        <v>5.08218458640407</v>
      </c>
      <c r="AE299" s="22" t="n">
        <f aca="false">INDEX(Mitigation_Industry!AE:AE,MATCH($A299,Mitigation_Industry!$H:$H,0))</f>
        <v>5.08218458640407</v>
      </c>
    </row>
    <row r="300" customFormat="false" ht="15" hidden="false" customHeight="false" outlineLevel="0" collapsed="false">
      <c r="A300" s="35" t="s">
        <v>1240</v>
      </c>
      <c r="B300" s="6" t="s">
        <v>57</v>
      </c>
      <c r="C300" s="6" t="s">
        <v>47</v>
      </c>
      <c r="D300" s="6" t="n">
        <v>1</v>
      </c>
      <c r="E300" s="2" t="s">
        <v>1167</v>
      </c>
      <c r="F300" s="40" t="n">
        <f aca="false">MAX(MAX(L300:AE300),-MIN(L300:AE300))</f>
        <v>-0</v>
      </c>
      <c r="K300" s="41" t="n">
        <f aca="false">IF(ISNUMBER(K298),IF(ISNUMBER(K299),K299-K298,999999),0)</f>
        <v>0</v>
      </c>
      <c r="L300" s="41" t="n">
        <f aca="false">IF(ISNUMBER(L298),IF(ISNUMBER(L299),L299-L298,999999),0)</f>
        <v>0</v>
      </c>
      <c r="M300" s="41" t="n">
        <f aca="false">IF(ISNUMBER(M298),IF(ISNUMBER(M299),M299-M298,999999),0)</f>
        <v>0</v>
      </c>
      <c r="N300" s="41" t="n">
        <f aca="false">IF(ISNUMBER(N298),IF(ISNUMBER(N299),N299-N298,999999),0)</f>
        <v>0</v>
      </c>
      <c r="O300" s="41" t="n">
        <f aca="false">IF(ISNUMBER(O298),IF(ISNUMBER(O299),O299-O298,999999),0)</f>
        <v>0</v>
      </c>
      <c r="P300" s="41" t="n">
        <f aca="false">IF(ISNUMBER(P298),IF(ISNUMBER(P299),P299-P298,999999),0)</f>
        <v>0</v>
      </c>
      <c r="Q300" s="41" t="n">
        <f aca="false">IF(ISNUMBER(Q298),IF(ISNUMBER(Q299),Q299-Q298,999999),0)</f>
        <v>0</v>
      </c>
      <c r="R300" s="41" t="n">
        <f aca="false">IF(ISNUMBER(R298),IF(ISNUMBER(R299),R299-R298,999999),0)</f>
        <v>0</v>
      </c>
      <c r="S300" s="41" t="n">
        <f aca="false">IF(ISNUMBER(S298),IF(ISNUMBER(S299),S299-S298,999999),0)</f>
        <v>0</v>
      </c>
      <c r="T300" s="41" t="n">
        <f aca="false">IF(ISNUMBER(T298),IF(ISNUMBER(T299),T299-T298,999999),0)</f>
        <v>0</v>
      </c>
      <c r="U300" s="41" t="n">
        <f aca="false">IF(ISNUMBER(U298),IF(ISNUMBER(U299),U299-U298,999999),0)</f>
        <v>0</v>
      </c>
      <c r="V300" s="41" t="n">
        <f aca="false">IF(ISNUMBER(V298),IF(ISNUMBER(V299),V299-V298,999999),0)</f>
        <v>0</v>
      </c>
      <c r="W300" s="41" t="n">
        <f aca="false">IF(ISNUMBER(W298),IF(ISNUMBER(W299),W299-W298,999999),0)</f>
        <v>0</v>
      </c>
      <c r="X300" s="41" t="n">
        <f aca="false">IF(ISNUMBER(X298),IF(ISNUMBER(X299),X299-X298,999999),0)</f>
        <v>0</v>
      </c>
      <c r="Y300" s="41" t="n">
        <f aca="false">IF(ISNUMBER(Y298),IF(ISNUMBER(Y299),Y299-Y298,999999),0)</f>
        <v>0</v>
      </c>
      <c r="Z300" s="41" t="n">
        <f aca="false">IF(ISNUMBER(Z298),IF(ISNUMBER(Z299),Z299-Z298,999999),0)</f>
        <v>0</v>
      </c>
      <c r="AA300" s="41" t="n">
        <f aca="false">IF(ISNUMBER(AA298),IF(ISNUMBER(AA299),AA299-AA298,999999),0)</f>
        <v>0</v>
      </c>
      <c r="AB300" s="41" t="n">
        <f aca="false">IF(ISNUMBER(AB298),IF(ISNUMBER(AB299),AB299-AB298,999999),0)</f>
        <v>0</v>
      </c>
      <c r="AC300" s="41" t="n">
        <f aca="false">IF(ISNUMBER(AC298),IF(ISNUMBER(AC299),AC299-AC298,999999),0)</f>
        <v>0</v>
      </c>
      <c r="AD300" s="41" t="n">
        <f aca="false">IF(ISNUMBER(AD298),IF(ISNUMBER(AD299),AD299-AD298,999999),0)</f>
        <v>0</v>
      </c>
      <c r="AE300" s="41" t="n">
        <f aca="false">IF(ISNUMBER(AE298),IF(ISNUMBER(AE299),AE299-AE298,999999),0)</f>
        <v>0</v>
      </c>
    </row>
    <row r="302" customFormat="false" ht="15" hidden="false" customHeight="false" outlineLevel="0" collapsed="false">
      <c r="A302" s="35" t="s">
        <v>1241</v>
      </c>
      <c r="B302" s="6" t="s">
        <v>59</v>
      </c>
      <c r="C302" s="6" t="s">
        <v>47</v>
      </c>
      <c r="D302" s="6" t="n">
        <v>1</v>
      </c>
      <c r="E302" s="6" t="s">
        <v>1165</v>
      </c>
      <c r="K302" s="22"/>
      <c r="L302" s="22" t="n">
        <v>0.611977976791406</v>
      </c>
      <c r="M302" s="22" t="n">
        <v>0.611809749641876</v>
      </c>
      <c r="N302" s="22" t="n">
        <v>0.603583100177906</v>
      </c>
      <c r="O302" s="22" t="n">
        <v>0.603583100177906</v>
      </c>
      <c r="P302" s="22" t="n">
        <v>0.603583100177906</v>
      </c>
      <c r="Q302" s="22" t="n">
        <v>0.603583100177906</v>
      </c>
      <c r="R302" s="22" t="n">
        <v>0.603583100177906</v>
      </c>
      <c r="S302" s="22" t="n">
        <v>0.603583100177906</v>
      </c>
      <c r="T302" s="22" t="n">
        <v>0.603583100177906</v>
      </c>
      <c r="U302" s="22" t="n">
        <v>0.603583100177906</v>
      </c>
      <c r="V302" s="22" t="n">
        <v>0.603583100177906</v>
      </c>
      <c r="W302" s="22" t="n">
        <v>0.603583100177906</v>
      </c>
      <c r="X302" s="22" t="n">
        <v>0.603583100177906</v>
      </c>
      <c r="Y302" s="22" t="n">
        <v>0.603583100177906</v>
      </c>
      <c r="Z302" s="22" t="n">
        <v>0.603583100177906</v>
      </c>
      <c r="AA302" s="22" t="n">
        <v>0.603583100177906</v>
      </c>
      <c r="AB302" s="22" t="n">
        <v>0.603583100177906</v>
      </c>
      <c r="AC302" s="22" t="n">
        <v>0.603583100177906</v>
      </c>
      <c r="AD302" s="22" t="n">
        <v>0.603583100177906</v>
      </c>
      <c r="AE302" s="22" t="n">
        <v>0.603583100177906</v>
      </c>
    </row>
    <row r="303" customFormat="false" ht="15" hidden="false" customHeight="false" outlineLevel="0" collapsed="false">
      <c r="A303" s="35" t="s">
        <v>1241</v>
      </c>
      <c r="B303" s="6" t="s">
        <v>59</v>
      </c>
      <c r="C303" s="6" t="s">
        <v>47</v>
      </c>
      <c r="D303" s="6" t="n">
        <v>1</v>
      </c>
      <c r="E303" s="6" t="s">
        <v>1166</v>
      </c>
      <c r="K303" s="22" t="n">
        <f aca="false">INDEX(Mitigation_Industry!K:K,MATCH($A303,Mitigation_Industry!$H:$H,0))</f>
        <v>0.671146533321816</v>
      </c>
      <c r="L303" s="22" t="n">
        <f aca="false">INDEX(Mitigation_Industry!L:L,MATCH($A303,Mitigation_Industry!$H:$H,0))</f>
        <v>0.611977976791406</v>
      </c>
      <c r="M303" s="22" t="n">
        <f aca="false">INDEX(Mitigation_Industry!M:M,MATCH($A303,Mitigation_Industry!$H:$H,0))</f>
        <v>0.611809749641876</v>
      </c>
      <c r="N303" s="22" t="n">
        <f aca="false">INDEX(Mitigation_Industry!N:N,MATCH($A303,Mitigation_Industry!$H:$H,0))</f>
        <v>0.603583100177906</v>
      </c>
      <c r="O303" s="22" t="n">
        <f aca="false">INDEX(Mitigation_Industry!O:O,MATCH($A303,Mitigation_Industry!$H:$H,0))</f>
        <v>0.603583100177906</v>
      </c>
      <c r="P303" s="22" t="n">
        <f aca="false">INDEX(Mitigation_Industry!P:P,MATCH($A303,Mitigation_Industry!$H:$H,0))</f>
        <v>0.603583100177906</v>
      </c>
      <c r="Q303" s="22" t="n">
        <f aca="false">INDEX(Mitigation_Industry!Q:Q,MATCH($A303,Mitigation_Industry!$H:$H,0))</f>
        <v>0.603583100177906</v>
      </c>
      <c r="R303" s="22" t="n">
        <f aca="false">INDEX(Mitigation_Industry!R:R,MATCH($A303,Mitigation_Industry!$H:$H,0))</f>
        <v>0.603583100177906</v>
      </c>
      <c r="S303" s="22" t="n">
        <f aca="false">INDEX(Mitigation_Industry!S:S,MATCH($A303,Mitigation_Industry!$H:$H,0))</f>
        <v>0.603583100177906</v>
      </c>
      <c r="T303" s="22" t="n">
        <f aca="false">INDEX(Mitigation_Industry!T:T,MATCH($A303,Mitigation_Industry!$H:$H,0))</f>
        <v>0.603583100177906</v>
      </c>
      <c r="U303" s="22" t="n">
        <f aca="false">INDEX(Mitigation_Industry!U:U,MATCH($A303,Mitigation_Industry!$H:$H,0))</f>
        <v>0.603583100177906</v>
      </c>
      <c r="V303" s="22" t="n">
        <f aca="false">INDEX(Mitigation_Industry!V:V,MATCH($A303,Mitigation_Industry!$H:$H,0))</f>
        <v>0.603583100177906</v>
      </c>
      <c r="W303" s="22" t="n">
        <f aca="false">INDEX(Mitigation_Industry!W:W,MATCH($A303,Mitigation_Industry!$H:$H,0))</f>
        <v>0.603583100177906</v>
      </c>
      <c r="X303" s="22" t="n">
        <f aca="false">INDEX(Mitigation_Industry!X:X,MATCH($A303,Mitigation_Industry!$H:$H,0))</f>
        <v>0.603583100177906</v>
      </c>
      <c r="Y303" s="22" t="n">
        <f aca="false">INDEX(Mitigation_Industry!Y:Y,MATCH($A303,Mitigation_Industry!$H:$H,0))</f>
        <v>0.603583100177906</v>
      </c>
      <c r="Z303" s="22" t="n">
        <f aca="false">INDEX(Mitigation_Industry!Z:Z,MATCH($A303,Mitigation_Industry!$H:$H,0))</f>
        <v>0.603583100177906</v>
      </c>
      <c r="AA303" s="22" t="n">
        <f aca="false">INDEX(Mitigation_Industry!AA:AA,MATCH($A303,Mitigation_Industry!$H:$H,0))</f>
        <v>0.603583100177906</v>
      </c>
      <c r="AB303" s="22" t="n">
        <f aca="false">INDEX(Mitigation_Industry!AB:AB,MATCH($A303,Mitigation_Industry!$H:$H,0))</f>
        <v>0.603583100177906</v>
      </c>
      <c r="AC303" s="22" t="n">
        <f aca="false">INDEX(Mitigation_Industry!AC:AC,MATCH($A303,Mitigation_Industry!$H:$H,0))</f>
        <v>0.603583100177906</v>
      </c>
      <c r="AD303" s="22" t="n">
        <f aca="false">INDEX(Mitigation_Industry!AD:AD,MATCH($A303,Mitigation_Industry!$H:$H,0))</f>
        <v>0.603583100177906</v>
      </c>
      <c r="AE303" s="22" t="n">
        <f aca="false">INDEX(Mitigation_Industry!AE:AE,MATCH($A303,Mitigation_Industry!$H:$H,0))</f>
        <v>0.603583100177906</v>
      </c>
    </row>
    <row r="304" customFormat="false" ht="15" hidden="false" customHeight="false" outlineLevel="0" collapsed="false">
      <c r="A304" s="35" t="s">
        <v>1241</v>
      </c>
      <c r="B304" s="6" t="s">
        <v>59</v>
      </c>
      <c r="C304" s="6" t="s">
        <v>47</v>
      </c>
      <c r="D304" s="6" t="n">
        <v>1</v>
      </c>
      <c r="E304" s="2" t="s">
        <v>1167</v>
      </c>
      <c r="F304" s="40" t="n">
        <f aca="false">MAX(MAX(L304:AE304),-MIN(L304:AE304))</f>
        <v>-0</v>
      </c>
      <c r="K304" s="41" t="n">
        <f aca="false">IF(ISNUMBER(K302),IF(ISNUMBER(K303),K303-K302,999999),0)</f>
        <v>0</v>
      </c>
      <c r="L304" s="41" t="n">
        <f aca="false">IF(ISNUMBER(L302),IF(ISNUMBER(L303),L303-L302,999999),0)</f>
        <v>0</v>
      </c>
      <c r="M304" s="41" t="n">
        <f aca="false">IF(ISNUMBER(M302),IF(ISNUMBER(M303),M303-M302,999999),0)</f>
        <v>0</v>
      </c>
      <c r="N304" s="41" t="n">
        <f aca="false">IF(ISNUMBER(N302),IF(ISNUMBER(N303),N303-N302,999999),0)</f>
        <v>0</v>
      </c>
      <c r="O304" s="41" t="n">
        <f aca="false">IF(ISNUMBER(O302),IF(ISNUMBER(O303),O303-O302,999999),0)</f>
        <v>0</v>
      </c>
      <c r="P304" s="41" t="n">
        <f aca="false">IF(ISNUMBER(P302),IF(ISNUMBER(P303),P303-P302,999999),0)</f>
        <v>0</v>
      </c>
      <c r="Q304" s="41" t="n">
        <f aca="false">IF(ISNUMBER(Q302),IF(ISNUMBER(Q303),Q303-Q302,999999),0)</f>
        <v>0</v>
      </c>
      <c r="R304" s="41" t="n">
        <f aca="false">IF(ISNUMBER(R302),IF(ISNUMBER(R303),R303-R302,999999),0)</f>
        <v>0</v>
      </c>
      <c r="S304" s="41" t="n">
        <f aca="false">IF(ISNUMBER(S302),IF(ISNUMBER(S303),S303-S302,999999),0)</f>
        <v>0</v>
      </c>
      <c r="T304" s="41" t="n">
        <f aca="false">IF(ISNUMBER(T302),IF(ISNUMBER(T303),T303-T302,999999),0)</f>
        <v>0</v>
      </c>
      <c r="U304" s="41" t="n">
        <f aca="false">IF(ISNUMBER(U302),IF(ISNUMBER(U303),U303-U302,999999),0)</f>
        <v>0</v>
      </c>
      <c r="V304" s="41" t="n">
        <f aca="false">IF(ISNUMBER(V302),IF(ISNUMBER(V303),V303-V302,999999),0)</f>
        <v>0</v>
      </c>
      <c r="W304" s="41" t="n">
        <f aca="false">IF(ISNUMBER(W302),IF(ISNUMBER(W303),W303-W302,999999),0)</f>
        <v>0</v>
      </c>
      <c r="X304" s="41" t="n">
        <f aca="false">IF(ISNUMBER(X302),IF(ISNUMBER(X303),X303-X302,999999),0)</f>
        <v>0</v>
      </c>
      <c r="Y304" s="41" t="n">
        <f aca="false">IF(ISNUMBER(Y302),IF(ISNUMBER(Y303),Y303-Y302,999999),0)</f>
        <v>0</v>
      </c>
      <c r="Z304" s="41" t="n">
        <f aca="false">IF(ISNUMBER(Z302),IF(ISNUMBER(Z303),Z303-Z302,999999),0)</f>
        <v>0</v>
      </c>
      <c r="AA304" s="41" t="n">
        <f aca="false">IF(ISNUMBER(AA302),IF(ISNUMBER(AA303),AA303-AA302,999999),0)</f>
        <v>0</v>
      </c>
      <c r="AB304" s="41" t="n">
        <f aca="false">IF(ISNUMBER(AB302),IF(ISNUMBER(AB303),AB303-AB302,999999),0)</f>
        <v>0</v>
      </c>
      <c r="AC304" s="41" t="n">
        <f aca="false">IF(ISNUMBER(AC302),IF(ISNUMBER(AC303),AC303-AC302,999999),0)</f>
        <v>0</v>
      </c>
      <c r="AD304" s="41" t="n">
        <f aca="false">IF(ISNUMBER(AD302),IF(ISNUMBER(AD303),AD303-AD302,999999),0)</f>
        <v>0</v>
      </c>
      <c r="AE304" s="41" t="n">
        <f aca="false">IF(ISNUMBER(AE302),IF(ISNUMBER(AE303),AE303-AE302,999999),0)</f>
        <v>0</v>
      </c>
    </row>
    <row r="306" customFormat="false" ht="15" hidden="false" customHeight="false" outlineLevel="0" collapsed="false">
      <c r="A306" s="35" t="s">
        <v>1242</v>
      </c>
      <c r="B306" s="6" t="s">
        <v>62</v>
      </c>
      <c r="C306" s="6" t="s">
        <v>47</v>
      </c>
      <c r="D306" s="6" t="n">
        <v>1</v>
      </c>
      <c r="E306" s="6" t="s">
        <v>1165</v>
      </c>
      <c r="K306" s="22"/>
      <c r="L306" s="22" t="n">
        <v>0.494588730841068</v>
      </c>
      <c r="M306" s="22" t="n">
        <v>0.507786547202501</v>
      </c>
      <c r="N306" s="22" t="n">
        <v>0.470436426795617</v>
      </c>
      <c r="O306" s="22" t="n">
        <v>0.470436426795617</v>
      </c>
      <c r="P306" s="22" t="n">
        <v>0.470436426795617</v>
      </c>
      <c r="Q306" s="22" t="n">
        <v>0.470436426795617</v>
      </c>
      <c r="R306" s="22" t="n">
        <v>0.470436426795617</v>
      </c>
      <c r="S306" s="22" t="n">
        <v>0.470436426795617</v>
      </c>
      <c r="T306" s="22" t="n">
        <v>0.470436426795617</v>
      </c>
      <c r="U306" s="22" t="n">
        <v>0.470436426795617</v>
      </c>
      <c r="V306" s="22" t="n">
        <v>0.470436426795617</v>
      </c>
      <c r="W306" s="22" t="n">
        <v>0.470436426795617</v>
      </c>
      <c r="X306" s="22" t="n">
        <v>0.470436426795617</v>
      </c>
      <c r="Y306" s="22" t="n">
        <v>0.470436426795617</v>
      </c>
      <c r="Z306" s="22" t="n">
        <v>0.470436426795617</v>
      </c>
      <c r="AA306" s="22" t="n">
        <v>0.470436426795617</v>
      </c>
      <c r="AB306" s="22" t="n">
        <v>0.470436426795617</v>
      </c>
      <c r="AC306" s="22" t="n">
        <v>0.470436426795617</v>
      </c>
      <c r="AD306" s="22" t="n">
        <v>0.470436426795617</v>
      </c>
      <c r="AE306" s="22" t="n">
        <v>0.470436426795617</v>
      </c>
    </row>
    <row r="307" customFormat="false" ht="15" hidden="false" customHeight="false" outlineLevel="0" collapsed="false">
      <c r="A307" s="35" t="s">
        <v>1242</v>
      </c>
      <c r="B307" s="6" t="s">
        <v>62</v>
      </c>
      <c r="C307" s="6" t="s">
        <v>47</v>
      </c>
      <c r="D307" s="6" t="n">
        <v>1</v>
      </c>
      <c r="E307" s="6" t="s">
        <v>1166</v>
      </c>
      <c r="K307" s="22" t="n">
        <f aca="false">INDEX(Mitigation_Industry!K:K,MATCH($A307,Mitigation_Industry!$H:$H,0))</f>
        <v>0.559711213155688</v>
      </c>
      <c r="L307" s="22" t="n">
        <f aca="false">INDEX(Mitigation_Industry!L:L,MATCH($A307,Mitigation_Industry!$H:$H,0))</f>
        <v>0.494588730841068</v>
      </c>
      <c r="M307" s="22" t="n">
        <f aca="false">INDEX(Mitigation_Industry!M:M,MATCH($A307,Mitigation_Industry!$H:$H,0))</f>
        <v>0.507786547202501</v>
      </c>
      <c r="N307" s="22" t="n">
        <f aca="false">INDEX(Mitigation_Industry!N:N,MATCH($A307,Mitigation_Industry!$H:$H,0))</f>
        <v>0.470436426795617</v>
      </c>
      <c r="O307" s="22" t="n">
        <f aca="false">INDEX(Mitigation_Industry!O:O,MATCH($A307,Mitigation_Industry!$H:$H,0))</f>
        <v>0.470436426795617</v>
      </c>
      <c r="P307" s="22" t="n">
        <f aca="false">INDEX(Mitigation_Industry!P:P,MATCH($A307,Mitigation_Industry!$H:$H,0))</f>
        <v>0.470436426795617</v>
      </c>
      <c r="Q307" s="22" t="n">
        <f aca="false">INDEX(Mitigation_Industry!Q:Q,MATCH($A307,Mitigation_Industry!$H:$H,0))</f>
        <v>0.470436426795617</v>
      </c>
      <c r="R307" s="22" t="n">
        <f aca="false">INDEX(Mitigation_Industry!R:R,MATCH($A307,Mitigation_Industry!$H:$H,0))</f>
        <v>0.470436426795617</v>
      </c>
      <c r="S307" s="22" t="n">
        <f aca="false">INDEX(Mitigation_Industry!S:S,MATCH($A307,Mitigation_Industry!$H:$H,0))</f>
        <v>0.470436426795617</v>
      </c>
      <c r="T307" s="22" t="n">
        <f aca="false">INDEX(Mitigation_Industry!T:T,MATCH($A307,Mitigation_Industry!$H:$H,0))</f>
        <v>0.470436426795617</v>
      </c>
      <c r="U307" s="22" t="n">
        <f aca="false">INDEX(Mitigation_Industry!U:U,MATCH($A307,Mitigation_Industry!$H:$H,0))</f>
        <v>0.470436426795617</v>
      </c>
      <c r="V307" s="22" t="n">
        <f aca="false">INDEX(Mitigation_Industry!V:V,MATCH($A307,Mitigation_Industry!$H:$H,0))</f>
        <v>0.470436426795617</v>
      </c>
      <c r="W307" s="22" t="n">
        <f aca="false">INDEX(Mitigation_Industry!W:W,MATCH($A307,Mitigation_Industry!$H:$H,0))</f>
        <v>0.470436426795617</v>
      </c>
      <c r="X307" s="22" t="n">
        <f aca="false">INDEX(Mitigation_Industry!X:X,MATCH($A307,Mitigation_Industry!$H:$H,0))</f>
        <v>0.470436426795617</v>
      </c>
      <c r="Y307" s="22" t="n">
        <f aca="false">INDEX(Mitigation_Industry!Y:Y,MATCH($A307,Mitigation_Industry!$H:$H,0))</f>
        <v>0.470436426795617</v>
      </c>
      <c r="Z307" s="22" t="n">
        <f aca="false">INDEX(Mitigation_Industry!Z:Z,MATCH($A307,Mitigation_Industry!$H:$H,0))</f>
        <v>0.470436426795617</v>
      </c>
      <c r="AA307" s="22" t="n">
        <f aca="false">INDEX(Mitigation_Industry!AA:AA,MATCH($A307,Mitigation_Industry!$H:$H,0))</f>
        <v>0.470436426795617</v>
      </c>
      <c r="AB307" s="22" t="n">
        <f aca="false">INDEX(Mitigation_Industry!AB:AB,MATCH($A307,Mitigation_Industry!$H:$H,0))</f>
        <v>0.470436426795617</v>
      </c>
      <c r="AC307" s="22" t="n">
        <f aca="false">INDEX(Mitigation_Industry!AC:AC,MATCH($A307,Mitigation_Industry!$H:$H,0))</f>
        <v>0.470436426795617</v>
      </c>
      <c r="AD307" s="22" t="n">
        <f aca="false">INDEX(Mitigation_Industry!AD:AD,MATCH($A307,Mitigation_Industry!$H:$H,0))</f>
        <v>0.470436426795617</v>
      </c>
      <c r="AE307" s="22" t="n">
        <f aca="false">INDEX(Mitigation_Industry!AE:AE,MATCH($A307,Mitigation_Industry!$H:$H,0))</f>
        <v>0.470436426795617</v>
      </c>
    </row>
    <row r="308" customFormat="false" ht="15" hidden="false" customHeight="false" outlineLevel="0" collapsed="false">
      <c r="A308" s="35" t="s">
        <v>1242</v>
      </c>
      <c r="B308" s="6" t="s">
        <v>62</v>
      </c>
      <c r="C308" s="6" t="s">
        <v>47</v>
      </c>
      <c r="D308" s="6" t="n">
        <v>1</v>
      </c>
      <c r="E308" s="2" t="s">
        <v>1167</v>
      </c>
      <c r="F308" s="40" t="n">
        <f aca="false">MAX(MAX(L308:AE308),-MIN(L308:AE308))</f>
        <v>-0</v>
      </c>
      <c r="K308" s="41" t="n">
        <f aca="false">IF(ISNUMBER(K306),IF(ISNUMBER(K307),K307-K306,999999),0)</f>
        <v>0</v>
      </c>
      <c r="L308" s="41" t="n">
        <f aca="false">IF(ISNUMBER(L306),IF(ISNUMBER(L307),L307-L306,999999),0)</f>
        <v>0</v>
      </c>
      <c r="M308" s="41" t="n">
        <f aca="false">IF(ISNUMBER(M306),IF(ISNUMBER(M307),M307-M306,999999),0)</f>
        <v>0</v>
      </c>
      <c r="N308" s="41" t="n">
        <f aca="false">IF(ISNUMBER(N306),IF(ISNUMBER(N307),N307-N306,999999),0)</f>
        <v>0</v>
      </c>
      <c r="O308" s="41" t="n">
        <f aca="false">IF(ISNUMBER(O306),IF(ISNUMBER(O307),O307-O306,999999),0)</f>
        <v>0</v>
      </c>
      <c r="P308" s="41" t="n">
        <f aca="false">IF(ISNUMBER(P306),IF(ISNUMBER(P307),P307-P306,999999),0)</f>
        <v>0</v>
      </c>
      <c r="Q308" s="41" t="n">
        <f aca="false">IF(ISNUMBER(Q306),IF(ISNUMBER(Q307),Q307-Q306,999999),0)</f>
        <v>0</v>
      </c>
      <c r="R308" s="41" t="n">
        <f aca="false">IF(ISNUMBER(R306),IF(ISNUMBER(R307),R307-R306,999999),0)</f>
        <v>0</v>
      </c>
      <c r="S308" s="41" t="n">
        <f aca="false">IF(ISNUMBER(S306),IF(ISNUMBER(S307),S307-S306,999999),0)</f>
        <v>0</v>
      </c>
      <c r="T308" s="41" t="n">
        <f aca="false">IF(ISNUMBER(T306),IF(ISNUMBER(T307),T307-T306,999999),0)</f>
        <v>0</v>
      </c>
      <c r="U308" s="41" t="n">
        <f aca="false">IF(ISNUMBER(U306),IF(ISNUMBER(U307),U307-U306,999999),0)</f>
        <v>0</v>
      </c>
      <c r="V308" s="41" t="n">
        <f aca="false">IF(ISNUMBER(V306),IF(ISNUMBER(V307),V307-V306,999999),0)</f>
        <v>0</v>
      </c>
      <c r="W308" s="41" t="n">
        <f aca="false">IF(ISNUMBER(W306),IF(ISNUMBER(W307),W307-W306,999999),0)</f>
        <v>0</v>
      </c>
      <c r="X308" s="41" t="n">
        <f aca="false">IF(ISNUMBER(X306),IF(ISNUMBER(X307),X307-X306,999999),0)</f>
        <v>0</v>
      </c>
      <c r="Y308" s="41" t="n">
        <f aca="false">IF(ISNUMBER(Y306),IF(ISNUMBER(Y307),Y307-Y306,999999),0)</f>
        <v>0</v>
      </c>
      <c r="Z308" s="41" t="n">
        <f aca="false">IF(ISNUMBER(Z306),IF(ISNUMBER(Z307),Z307-Z306,999999),0)</f>
        <v>0</v>
      </c>
      <c r="AA308" s="41" t="n">
        <f aca="false">IF(ISNUMBER(AA306),IF(ISNUMBER(AA307),AA307-AA306,999999),0)</f>
        <v>0</v>
      </c>
      <c r="AB308" s="41" t="n">
        <f aca="false">IF(ISNUMBER(AB306),IF(ISNUMBER(AB307),AB307-AB306,999999),0)</f>
        <v>0</v>
      </c>
      <c r="AC308" s="41" t="n">
        <f aca="false">IF(ISNUMBER(AC306),IF(ISNUMBER(AC307),AC307-AC306,999999),0)</f>
        <v>0</v>
      </c>
      <c r="AD308" s="41" t="n">
        <f aca="false">IF(ISNUMBER(AD306),IF(ISNUMBER(AD307),AD307-AD306,999999),0)</f>
        <v>0</v>
      </c>
      <c r="AE308" s="41" t="n">
        <f aca="false">IF(ISNUMBER(AE306),IF(ISNUMBER(AE307),AE307-AE306,999999),0)</f>
        <v>0</v>
      </c>
    </row>
    <row r="310" customFormat="false" ht="15" hidden="false" customHeight="false" outlineLevel="0" collapsed="false">
      <c r="A310" s="35" t="s">
        <v>1243</v>
      </c>
      <c r="B310" s="6" t="s">
        <v>64</v>
      </c>
      <c r="C310" s="6" t="s">
        <v>47</v>
      </c>
      <c r="D310" s="6" t="n">
        <v>1</v>
      </c>
      <c r="E310" s="6" t="s">
        <v>1165</v>
      </c>
      <c r="K310" s="22"/>
      <c r="L310" s="22" t="n">
        <v>0.157344736252274</v>
      </c>
      <c r="M310" s="22" t="n">
        <v>0.164484037759277</v>
      </c>
      <c r="N310" s="22" t="n">
        <v>0.150709077807049</v>
      </c>
      <c r="O310" s="22" t="n">
        <v>0.150709077807049</v>
      </c>
      <c r="P310" s="22" t="n">
        <v>0.150709077807049</v>
      </c>
      <c r="Q310" s="22" t="n">
        <v>0.150709077807049</v>
      </c>
      <c r="R310" s="22" t="n">
        <v>0.150709077807049</v>
      </c>
      <c r="S310" s="22" t="n">
        <v>0.150709077807049</v>
      </c>
      <c r="T310" s="22" t="n">
        <v>0.150709077807049</v>
      </c>
      <c r="U310" s="22" t="n">
        <v>0.150709077807049</v>
      </c>
      <c r="V310" s="22" t="n">
        <v>0.150709077807049</v>
      </c>
      <c r="W310" s="22" t="n">
        <v>0.150709077807049</v>
      </c>
      <c r="X310" s="22" t="n">
        <v>0.150709077807049</v>
      </c>
      <c r="Y310" s="22" t="n">
        <v>0.150709077807049</v>
      </c>
      <c r="Z310" s="22" t="n">
        <v>0.150709077807049</v>
      </c>
      <c r="AA310" s="22" t="n">
        <v>0.150709077807049</v>
      </c>
      <c r="AB310" s="22" t="n">
        <v>0.150709077807049</v>
      </c>
      <c r="AC310" s="22" t="n">
        <v>0.150709077807049</v>
      </c>
      <c r="AD310" s="22" t="n">
        <v>0.150709077807049</v>
      </c>
      <c r="AE310" s="22" t="n">
        <v>0.150709077807049</v>
      </c>
    </row>
    <row r="311" customFormat="false" ht="15" hidden="false" customHeight="false" outlineLevel="0" collapsed="false">
      <c r="A311" s="35" t="s">
        <v>1243</v>
      </c>
      <c r="B311" s="6" t="s">
        <v>64</v>
      </c>
      <c r="C311" s="6" t="s">
        <v>47</v>
      </c>
      <c r="D311" s="6" t="n">
        <v>1</v>
      </c>
      <c r="E311" s="6" t="s">
        <v>1166</v>
      </c>
      <c r="K311" s="22" t="n">
        <f aca="false">INDEX(Mitigation_Industry!K:K,MATCH($A311,Mitigation_Industry!$H:$H,0))</f>
        <v>0.200366691126738</v>
      </c>
      <c r="L311" s="22" t="n">
        <f aca="false">INDEX(Mitigation_Industry!L:L,MATCH($A311,Mitigation_Industry!$H:$H,0))</f>
        <v>0.157344736252274</v>
      </c>
      <c r="M311" s="22" t="n">
        <f aca="false">INDEX(Mitigation_Industry!M:M,MATCH($A311,Mitigation_Industry!$H:$H,0))</f>
        <v>0.164484037759277</v>
      </c>
      <c r="N311" s="22" t="n">
        <f aca="false">INDEX(Mitigation_Industry!N:N,MATCH($A311,Mitigation_Industry!$H:$H,0))</f>
        <v>0.150709077807049</v>
      </c>
      <c r="O311" s="22" t="n">
        <f aca="false">INDEX(Mitigation_Industry!O:O,MATCH($A311,Mitigation_Industry!$H:$H,0))</f>
        <v>0.150709077807049</v>
      </c>
      <c r="P311" s="22" t="n">
        <f aca="false">INDEX(Mitigation_Industry!P:P,MATCH($A311,Mitigation_Industry!$H:$H,0))</f>
        <v>0.150709077807049</v>
      </c>
      <c r="Q311" s="22" t="n">
        <f aca="false">INDEX(Mitigation_Industry!Q:Q,MATCH($A311,Mitigation_Industry!$H:$H,0))</f>
        <v>0.150709077807049</v>
      </c>
      <c r="R311" s="22" t="n">
        <f aca="false">INDEX(Mitigation_Industry!R:R,MATCH($A311,Mitigation_Industry!$H:$H,0))</f>
        <v>0.150709077807049</v>
      </c>
      <c r="S311" s="22" t="n">
        <f aca="false">INDEX(Mitigation_Industry!S:S,MATCH($A311,Mitigation_Industry!$H:$H,0))</f>
        <v>0.150709077807049</v>
      </c>
      <c r="T311" s="22" t="n">
        <f aca="false">INDEX(Mitigation_Industry!T:T,MATCH($A311,Mitigation_Industry!$H:$H,0))</f>
        <v>0.150709077807049</v>
      </c>
      <c r="U311" s="22" t="n">
        <f aca="false">INDEX(Mitigation_Industry!U:U,MATCH($A311,Mitigation_Industry!$H:$H,0))</f>
        <v>0.150709077807049</v>
      </c>
      <c r="V311" s="22" t="n">
        <f aca="false">INDEX(Mitigation_Industry!V:V,MATCH($A311,Mitigation_Industry!$H:$H,0))</f>
        <v>0.150709077807049</v>
      </c>
      <c r="W311" s="22" t="n">
        <f aca="false">INDEX(Mitigation_Industry!W:W,MATCH($A311,Mitigation_Industry!$H:$H,0))</f>
        <v>0.150709077807049</v>
      </c>
      <c r="X311" s="22" t="n">
        <f aca="false">INDEX(Mitigation_Industry!X:X,MATCH($A311,Mitigation_Industry!$H:$H,0))</f>
        <v>0.150709077807049</v>
      </c>
      <c r="Y311" s="22" t="n">
        <f aca="false">INDEX(Mitigation_Industry!Y:Y,MATCH($A311,Mitigation_Industry!$H:$H,0))</f>
        <v>0.150709077807049</v>
      </c>
      <c r="Z311" s="22" t="n">
        <f aca="false">INDEX(Mitigation_Industry!Z:Z,MATCH($A311,Mitigation_Industry!$H:$H,0))</f>
        <v>0.150709077807049</v>
      </c>
      <c r="AA311" s="22" t="n">
        <f aca="false">INDEX(Mitigation_Industry!AA:AA,MATCH($A311,Mitigation_Industry!$H:$H,0))</f>
        <v>0.150709077807049</v>
      </c>
      <c r="AB311" s="22" t="n">
        <f aca="false">INDEX(Mitigation_Industry!AB:AB,MATCH($A311,Mitigation_Industry!$H:$H,0))</f>
        <v>0.150709077807049</v>
      </c>
      <c r="AC311" s="22" t="n">
        <f aca="false">INDEX(Mitigation_Industry!AC:AC,MATCH($A311,Mitigation_Industry!$H:$H,0))</f>
        <v>0.150709077807049</v>
      </c>
      <c r="AD311" s="22" t="n">
        <f aca="false">INDEX(Mitigation_Industry!AD:AD,MATCH($A311,Mitigation_Industry!$H:$H,0))</f>
        <v>0.150709077807049</v>
      </c>
      <c r="AE311" s="22" t="n">
        <f aca="false">INDEX(Mitigation_Industry!AE:AE,MATCH($A311,Mitigation_Industry!$H:$H,0))</f>
        <v>0.150709077807049</v>
      </c>
    </row>
    <row r="312" customFormat="false" ht="15" hidden="false" customHeight="false" outlineLevel="0" collapsed="false">
      <c r="A312" s="35" t="s">
        <v>1243</v>
      </c>
      <c r="B312" s="6" t="s">
        <v>64</v>
      </c>
      <c r="C312" s="6" t="s">
        <v>47</v>
      </c>
      <c r="D312" s="6" t="n">
        <v>1</v>
      </c>
      <c r="E312" s="2" t="s">
        <v>1167</v>
      </c>
      <c r="F312" s="40" t="n">
        <f aca="false">MAX(MAX(L312:AE312),-MIN(L312:AE312))</f>
        <v>-0</v>
      </c>
      <c r="K312" s="41" t="n">
        <f aca="false">IF(ISNUMBER(K310),IF(ISNUMBER(K311),K311-K310,999999),0)</f>
        <v>0</v>
      </c>
      <c r="L312" s="41" t="n">
        <f aca="false">IF(ISNUMBER(L310),IF(ISNUMBER(L311),L311-L310,999999),0)</f>
        <v>0</v>
      </c>
      <c r="M312" s="41" t="n">
        <f aca="false">IF(ISNUMBER(M310),IF(ISNUMBER(M311),M311-M310,999999),0)</f>
        <v>0</v>
      </c>
      <c r="N312" s="41" t="n">
        <f aca="false">IF(ISNUMBER(N310),IF(ISNUMBER(N311),N311-N310,999999),0)</f>
        <v>0</v>
      </c>
      <c r="O312" s="41" t="n">
        <f aca="false">IF(ISNUMBER(O310),IF(ISNUMBER(O311),O311-O310,999999),0)</f>
        <v>0</v>
      </c>
      <c r="P312" s="41" t="n">
        <f aca="false">IF(ISNUMBER(P310),IF(ISNUMBER(P311),P311-P310,999999),0)</f>
        <v>0</v>
      </c>
      <c r="Q312" s="41" t="n">
        <f aca="false">IF(ISNUMBER(Q310),IF(ISNUMBER(Q311),Q311-Q310,999999),0)</f>
        <v>0</v>
      </c>
      <c r="R312" s="41" t="n">
        <f aca="false">IF(ISNUMBER(R310),IF(ISNUMBER(R311),R311-R310,999999),0)</f>
        <v>0</v>
      </c>
      <c r="S312" s="41" t="n">
        <f aca="false">IF(ISNUMBER(S310),IF(ISNUMBER(S311),S311-S310,999999),0)</f>
        <v>0</v>
      </c>
      <c r="T312" s="41" t="n">
        <f aca="false">IF(ISNUMBER(T310),IF(ISNUMBER(T311),T311-T310,999999),0)</f>
        <v>0</v>
      </c>
      <c r="U312" s="41" t="n">
        <f aca="false">IF(ISNUMBER(U310),IF(ISNUMBER(U311),U311-U310,999999),0)</f>
        <v>0</v>
      </c>
      <c r="V312" s="41" t="n">
        <f aca="false">IF(ISNUMBER(V310),IF(ISNUMBER(V311),V311-V310,999999),0)</f>
        <v>0</v>
      </c>
      <c r="W312" s="41" t="n">
        <f aca="false">IF(ISNUMBER(W310),IF(ISNUMBER(W311),W311-W310,999999),0)</f>
        <v>0</v>
      </c>
      <c r="X312" s="41" t="n">
        <f aca="false">IF(ISNUMBER(X310),IF(ISNUMBER(X311),X311-X310,999999),0)</f>
        <v>0</v>
      </c>
      <c r="Y312" s="41" t="n">
        <f aca="false">IF(ISNUMBER(Y310),IF(ISNUMBER(Y311),Y311-Y310,999999),0)</f>
        <v>0</v>
      </c>
      <c r="Z312" s="41" t="n">
        <f aca="false">IF(ISNUMBER(Z310),IF(ISNUMBER(Z311),Z311-Z310,999999),0)</f>
        <v>0</v>
      </c>
      <c r="AA312" s="41" t="n">
        <f aca="false">IF(ISNUMBER(AA310),IF(ISNUMBER(AA311),AA311-AA310,999999),0)</f>
        <v>0</v>
      </c>
      <c r="AB312" s="41" t="n">
        <f aca="false">IF(ISNUMBER(AB310),IF(ISNUMBER(AB311),AB311-AB310,999999),0)</f>
        <v>0</v>
      </c>
      <c r="AC312" s="41" t="n">
        <f aca="false">IF(ISNUMBER(AC310),IF(ISNUMBER(AC311),AC311-AC310,999999),0)</f>
        <v>0</v>
      </c>
      <c r="AD312" s="41" t="n">
        <f aca="false">IF(ISNUMBER(AD310),IF(ISNUMBER(AD311),AD311-AD310,999999),0)</f>
        <v>0</v>
      </c>
      <c r="AE312" s="41" t="n">
        <f aca="false">IF(ISNUMBER(AE310),IF(ISNUMBER(AE311),AE311-AE310,999999),0)</f>
        <v>0</v>
      </c>
    </row>
    <row r="314" customFormat="false" ht="15" hidden="false" customHeight="false" outlineLevel="0" collapsed="false">
      <c r="A314" s="35" t="s">
        <v>1244</v>
      </c>
      <c r="B314" s="6" t="s">
        <v>66</v>
      </c>
      <c r="C314" s="6" t="s">
        <v>47</v>
      </c>
      <c r="D314" s="6" t="n">
        <v>1</v>
      </c>
      <c r="E314" s="6" t="s">
        <v>1165</v>
      </c>
      <c r="K314" s="22"/>
      <c r="L314" s="22" t="n">
        <v>0.456428170500128</v>
      </c>
      <c r="M314" s="22" t="n">
        <v>0.431689201955995</v>
      </c>
      <c r="N314" s="22" t="n">
        <v>0.42507558395597</v>
      </c>
      <c r="O314" s="22" t="n">
        <v>0.42507558395597</v>
      </c>
      <c r="P314" s="22" t="n">
        <v>0.42507558395597</v>
      </c>
      <c r="Q314" s="22" t="n">
        <v>0.42507558395597</v>
      </c>
      <c r="R314" s="22" t="n">
        <v>0.42507558395597</v>
      </c>
      <c r="S314" s="22" t="n">
        <v>0.42507558395597</v>
      </c>
      <c r="T314" s="22" t="n">
        <v>0.42507558395597</v>
      </c>
      <c r="U314" s="22" t="n">
        <v>0.42507558395597</v>
      </c>
      <c r="V314" s="22" t="n">
        <v>0.42507558395597</v>
      </c>
      <c r="W314" s="22" t="n">
        <v>0.42507558395597</v>
      </c>
      <c r="X314" s="22" t="n">
        <v>0.42507558395597</v>
      </c>
      <c r="Y314" s="22" t="n">
        <v>0.42507558395597</v>
      </c>
      <c r="Z314" s="22" t="n">
        <v>0.42507558395597</v>
      </c>
      <c r="AA314" s="22" t="n">
        <v>0.42507558395597</v>
      </c>
      <c r="AB314" s="22" t="n">
        <v>0.42507558395597</v>
      </c>
      <c r="AC314" s="22" t="n">
        <v>0.42507558395597</v>
      </c>
      <c r="AD314" s="22" t="n">
        <v>0.42507558395597</v>
      </c>
      <c r="AE314" s="22" t="n">
        <v>0.42507558395597</v>
      </c>
    </row>
    <row r="315" customFormat="false" ht="15" hidden="false" customHeight="false" outlineLevel="0" collapsed="false">
      <c r="A315" s="35" t="s">
        <v>1244</v>
      </c>
      <c r="B315" s="6" t="s">
        <v>66</v>
      </c>
      <c r="C315" s="6" t="s">
        <v>47</v>
      </c>
      <c r="D315" s="6" t="n">
        <v>1</v>
      </c>
      <c r="E315" s="6" t="s">
        <v>1166</v>
      </c>
      <c r="K315" s="22" t="n">
        <f aca="false">INDEX(Mitigation_Industry!K:K,MATCH($A315,Mitigation_Industry!$H:$H,0))</f>
        <v>0.484294240973435</v>
      </c>
      <c r="L315" s="22" t="n">
        <f aca="false">INDEX(Mitigation_Industry!L:L,MATCH($A315,Mitigation_Industry!$H:$H,0))</f>
        <v>0.456428170500128</v>
      </c>
      <c r="M315" s="22" t="n">
        <f aca="false">INDEX(Mitigation_Industry!M:M,MATCH($A315,Mitigation_Industry!$H:$H,0))</f>
        <v>0.431689201955995</v>
      </c>
      <c r="N315" s="22" t="n">
        <f aca="false">INDEX(Mitigation_Industry!N:N,MATCH($A315,Mitigation_Industry!$H:$H,0))</f>
        <v>0.42507558395597</v>
      </c>
      <c r="O315" s="22" t="n">
        <f aca="false">INDEX(Mitigation_Industry!O:O,MATCH($A315,Mitigation_Industry!$H:$H,0))</f>
        <v>0.42507558395597</v>
      </c>
      <c r="P315" s="22" t="n">
        <f aca="false">INDEX(Mitigation_Industry!P:P,MATCH($A315,Mitigation_Industry!$H:$H,0))</f>
        <v>0.42507558395597</v>
      </c>
      <c r="Q315" s="22" t="n">
        <f aca="false">INDEX(Mitigation_Industry!Q:Q,MATCH($A315,Mitigation_Industry!$H:$H,0))</f>
        <v>0.42507558395597</v>
      </c>
      <c r="R315" s="22" t="n">
        <f aca="false">INDEX(Mitigation_Industry!R:R,MATCH($A315,Mitigation_Industry!$H:$H,0))</f>
        <v>0.42507558395597</v>
      </c>
      <c r="S315" s="22" t="n">
        <f aca="false">INDEX(Mitigation_Industry!S:S,MATCH($A315,Mitigation_Industry!$H:$H,0))</f>
        <v>0.42507558395597</v>
      </c>
      <c r="T315" s="22" t="n">
        <f aca="false">INDEX(Mitigation_Industry!T:T,MATCH($A315,Mitigation_Industry!$H:$H,0))</f>
        <v>0.42507558395597</v>
      </c>
      <c r="U315" s="22" t="n">
        <f aca="false">INDEX(Mitigation_Industry!U:U,MATCH($A315,Mitigation_Industry!$H:$H,0))</f>
        <v>0.42507558395597</v>
      </c>
      <c r="V315" s="22" t="n">
        <f aca="false">INDEX(Mitigation_Industry!V:V,MATCH($A315,Mitigation_Industry!$H:$H,0))</f>
        <v>0.42507558395597</v>
      </c>
      <c r="W315" s="22" t="n">
        <f aca="false">INDEX(Mitigation_Industry!W:W,MATCH($A315,Mitigation_Industry!$H:$H,0))</f>
        <v>0.42507558395597</v>
      </c>
      <c r="X315" s="22" t="n">
        <f aca="false">INDEX(Mitigation_Industry!X:X,MATCH($A315,Mitigation_Industry!$H:$H,0))</f>
        <v>0.42507558395597</v>
      </c>
      <c r="Y315" s="22" t="n">
        <f aca="false">INDEX(Mitigation_Industry!Y:Y,MATCH($A315,Mitigation_Industry!$H:$H,0))</f>
        <v>0.42507558395597</v>
      </c>
      <c r="Z315" s="22" t="n">
        <f aca="false">INDEX(Mitigation_Industry!Z:Z,MATCH($A315,Mitigation_Industry!$H:$H,0))</f>
        <v>0.42507558395597</v>
      </c>
      <c r="AA315" s="22" t="n">
        <f aca="false">INDEX(Mitigation_Industry!AA:AA,MATCH($A315,Mitigation_Industry!$H:$H,0))</f>
        <v>0.42507558395597</v>
      </c>
      <c r="AB315" s="22" t="n">
        <f aca="false">INDEX(Mitigation_Industry!AB:AB,MATCH($A315,Mitigation_Industry!$H:$H,0))</f>
        <v>0.42507558395597</v>
      </c>
      <c r="AC315" s="22" t="n">
        <f aca="false">INDEX(Mitigation_Industry!AC:AC,MATCH($A315,Mitigation_Industry!$H:$H,0))</f>
        <v>0.42507558395597</v>
      </c>
      <c r="AD315" s="22" t="n">
        <f aca="false">INDEX(Mitigation_Industry!AD:AD,MATCH($A315,Mitigation_Industry!$H:$H,0))</f>
        <v>0.42507558395597</v>
      </c>
      <c r="AE315" s="22" t="n">
        <f aca="false">INDEX(Mitigation_Industry!AE:AE,MATCH($A315,Mitigation_Industry!$H:$H,0))</f>
        <v>0.42507558395597</v>
      </c>
    </row>
    <row r="316" customFormat="false" ht="15" hidden="false" customHeight="false" outlineLevel="0" collapsed="false">
      <c r="A316" s="35" t="s">
        <v>1244</v>
      </c>
      <c r="B316" s="6" t="s">
        <v>66</v>
      </c>
      <c r="C316" s="6" t="s">
        <v>47</v>
      </c>
      <c r="D316" s="6" t="n">
        <v>1</v>
      </c>
      <c r="E316" s="2" t="s">
        <v>1167</v>
      </c>
      <c r="F316" s="40" t="n">
        <f aca="false">MAX(MAX(L316:AE316),-MIN(L316:AE316))</f>
        <v>-0</v>
      </c>
      <c r="K316" s="41" t="n">
        <f aca="false">IF(ISNUMBER(K314),IF(ISNUMBER(K315),K315-K314,999999),0)</f>
        <v>0</v>
      </c>
      <c r="L316" s="41" t="n">
        <f aca="false">IF(ISNUMBER(L314),IF(ISNUMBER(L315),L315-L314,999999),0)</f>
        <v>0</v>
      </c>
      <c r="M316" s="41" t="n">
        <f aca="false">IF(ISNUMBER(M314),IF(ISNUMBER(M315),M315-M314,999999),0)</f>
        <v>0</v>
      </c>
      <c r="N316" s="41" t="n">
        <f aca="false">IF(ISNUMBER(N314),IF(ISNUMBER(N315),N315-N314,999999),0)</f>
        <v>0</v>
      </c>
      <c r="O316" s="41" t="n">
        <f aca="false">IF(ISNUMBER(O314),IF(ISNUMBER(O315),O315-O314,999999),0)</f>
        <v>0</v>
      </c>
      <c r="P316" s="41" t="n">
        <f aca="false">IF(ISNUMBER(P314),IF(ISNUMBER(P315),P315-P314,999999),0)</f>
        <v>0</v>
      </c>
      <c r="Q316" s="41" t="n">
        <f aca="false">IF(ISNUMBER(Q314),IF(ISNUMBER(Q315),Q315-Q314,999999),0)</f>
        <v>0</v>
      </c>
      <c r="R316" s="41" t="n">
        <f aca="false">IF(ISNUMBER(R314),IF(ISNUMBER(R315),R315-R314,999999),0)</f>
        <v>0</v>
      </c>
      <c r="S316" s="41" t="n">
        <f aca="false">IF(ISNUMBER(S314),IF(ISNUMBER(S315),S315-S314,999999),0)</f>
        <v>0</v>
      </c>
      <c r="T316" s="41" t="n">
        <f aca="false">IF(ISNUMBER(T314),IF(ISNUMBER(T315),T315-T314,999999),0)</f>
        <v>0</v>
      </c>
      <c r="U316" s="41" t="n">
        <f aca="false">IF(ISNUMBER(U314),IF(ISNUMBER(U315),U315-U314,999999),0)</f>
        <v>0</v>
      </c>
      <c r="V316" s="41" t="n">
        <f aca="false">IF(ISNUMBER(V314),IF(ISNUMBER(V315),V315-V314,999999),0)</f>
        <v>0</v>
      </c>
      <c r="W316" s="41" t="n">
        <f aca="false">IF(ISNUMBER(W314),IF(ISNUMBER(W315),W315-W314,999999),0)</f>
        <v>0</v>
      </c>
      <c r="X316" s="41" t="n">
        <f aca="false">IF(ISNUMBER(X314),IF(ISNUMBER(X315),X315-X314,999999),0)</f>
        <v>0</v>
      </c>
      <c r="Y316" s="41" t="n">
        <f aca="false">IF(ISNUMBER(Y314),IF(ISNUMBER(Y315),Y315-Y314,999999),0)</f>
        <v>0</v>
      </c>
      <c r="Z316" s="41" t="n">
        <f aca="false">IF(ISNUMBER(Z314),IF(ISNUMBER(Z315),Z315-Z314,999999),0)</f>
        <v>0</v>
      </c>
      <c r="AA316" s="41" t="n">
        <f aca="false">IF(ISNUMBER(AA314),IF(ISNUMBER(AA315),AA315-AA314,999999),0)</f>
        <v>0</v>
      </c>
      <c r="AB316" s="41" t="n">
        <f aca="false">IF(ISNUMBER(AB314),IF(ISNUMBER(AB315),AB315-AB314,999999),0)</f>
        <v>0</v>
      </c>
      <c r="AC316" s="41" t="n">
        <f aca="false">IF(ISNUMBER(AC314),IF(ISNUMBER(AC315),AC315-AC314,999999),0)</f>
        <v>0</v>
      </c>
      <c r="AD316" s="41" t="n">
        <f aca="false">IF(ISNUMBER(AD314),IF(ISNUMBER(AD315),AD315-AD314,999999),0)</f>
        <v>0</v>
      </c>
      <c r="AE316" s="41" t="n">
        <f aca="false">IF(ISNUMBER(AE314),IF(ISNUMBER(AE315),AE315-AE314,999999),0)</f>
        <v>0</v>
      </c>
    </row>
    <row r="318" customFormat="false" ht="15" hidden="false" customHeight="false" outlineLevel="0" collapsed="false">
      <c r="A318" s="35" t="s">
        <v>1245</v>
      </c>
      <c r="B318" s="6" t="s">
        <v>68</v>
      </c>
      <c r="C318" s="6" t="s">
        <v>47</v>
      </c>
      <c r="D318" s="6" t="n">
        <v>1</v>
      </c>
      <c r="E318" s="6" t="s">
        <v>1165</v>
      </c>
      <c r="K318" s="22"/>
      <c r="L318" s="22" t="n">
        <v>34.4153703043132</v>
      </c>
      <c r="M318" s="22" t="n">
        <v>37.368960690432</v>
      </c>
      <c r="N318" s="22" t="n">
        <v>28.9827611014773</v>
      </c>
      <c r="O318" s="22" t="n">
        <v>15</v>
      </c>
      <c r="P318" s="22" t="n">
        <v>24.2586300842555</v>
      </c>
      <c r="Q318" s="22" t="n">
        <v>15</v>
      </c>
      <c r="R318" s="22" t="n">
        <v>15</v>
      </c>
      <c r="S318" s="22" t="n">
        <v>15</v>
      </c>
      <c r="T318" s="22" t="n">
        <v>15</v>
      </c>
      <c r="U318" s="22" t="n">
        <v>15</v>
      </c>
      <c r="V318" s="22" t="n">
        <v>15</v>
      </c>
      <c r="W318" s="22" t="n">
        <v>15</v>
      </c>
      <c r="X318" s="22" t="n">
        <v>15</v>
      </c>
      <c r="Y318" s="22" t="n">
        <v>15</v>
      </c>
      <c r="Z318" s="22" t="n">
        <v>15</v>
      </c>
      <c r="AA318" s="22" t="n">
        <v>15</v>
      </c>
      <c r="AB318" s="22" t="n">
        <v>15</v>
      </c>
      <c r="AC318" s="22" t="n">
        <v>15</v>
      </c>
      <c r="AD318" s="22" t="n">
        <v>15</v>
      </c>
      <c r="AE318" s="22" t="n">
        <v>15</v>
      </c>
    </row>
    <row r="319" customFormat="false" ht="15" hidden="false" customHeight="false" outlineLevel="0" collapsed="false">
      <c r="A319" s="35" t="s">
        <v>1245</v>
      </c>
      <c r="B319" s="6" t="s">
        <v>68</v>
      </c>
      <c r="C319" s="6" t="s">
        <v>47</v>
      </c>
      <c r="D319" s="6" t="n">
        <v>1</v>
      </c>
      <c r="E319" s="6" t="s">
        <v>1166</v>
      </c>
      <c r="K319" s="22" t="n">
        <f aca="false">INDEX(Mitigation_Industry!K:K,MATCH($A319,Mitigation_Industry!$H:$H,0))</f>
        <v>41.5003384988684</v>
      </c>
      <c r="L319" s="22" t="n">
        <f aca="false">INDEX(Mitigation_Industry!L:L,MATCH($A319,Mitigation_Industry!$H:$H,0))</f>
        <v>34.4153703043132</v>
      </c>
      <c r="M319" s="22" t="n">
        <f aca="false">INDEX(Mitigation_Industry!M:M,MATCH($A319,Mitigation_Industry!$H:$H,0))</f>
        <v>37.368960690432</v>
      </c>
      <c r="N319" s="22" t="n">
        <f aca="false">INDEX(Mitigation_Industry!N:N,MATCH($A319,Mitigation_Industry!$H:$H,0))</f>
        <v>28.9827611014773</v>
      </c>
      <c r="O319" s="22" t="n">
        <f aca="false">INDEX(Mitigation_Industry!O:O,MATCH($A319,Mitigation_Industry!$H:$H,0))</f>
        <v>15</v>
      </c>
      <c r="P319" s="22" t="n">
        <f aca="false">INDEX(Mitigation_Industry!P:P,MATCH($A319,Mitigation_Industry!$H:$H,0))</f>
        <v>24.2586300842555</v>
      </c>
      <c r="Q319" s="22" t="n">
        <f aca="false">INDEX(Mitigation_Industry!Q:Q,MATCH($A319,Mitigation_Industry!$H:$H,0))</f>
        <v>15</v>
      </c>
      <c r="R319" s="22" t="n">
        <f aca="false">INDEX(Mitigation_Industry!R:R,MATCH($A319,Mitigation_Industry!$H:$H,0))</f>
        <v>15</v>
      </c>
      <c r="S319" s="22" t="n">
        <f aca="false">INDEX(Mitigation_Industry!S:S,MATCH($A319,Mitigation_Industry!$H:$H,0))</f>
        <v>15</v>
      </c>
      <c r="T319" s="22" t="n">
        <f aca="false">INDEX(Mitigation_Industry!T:T,MATCH($A319,Mitigation_Industry!$H:$H,0))</f>
        <v>15</v>
      </c>
      <c r="U319" s="22" t="n">
        <f aca="false">INDEX(Mitigation_Industry!U:U,MATCH($A319,Mitigation_Industry!$H:$H,0))</f>
        <v>15</v>
      </c>
      <c r="V319" s="22" t="n">
        <f aca="false">INDEX(Mitigation_Industry!V:V,MATCH($A319,Mitigation_Industry!$H:$H,0))</f>
        <v>15</v>
      </c>
      <c r="W319" s="22" t="n">
        <f aca="false">INDEX(Mitigation_Industry!W:W,MATCH($A319,Mitigation_Industry!$H:$H,0))</f>
        <v>15</v>
      </c>
      <c r="X319" s="22" t="n">
        <f aca="false">INDEX(Mitigation_Industry!X:X,MATCH($A319,Mitigation_Industry!$H:$H,0))</f>
        <v>15</v>
      </c>
      <c r="Y319" s="22" t="n">
        <f aca="false">INDEX(Mitigation_Industry!Y:Y,MATCH($A319,Mitigation_Industry!$H:$H,0))</f>
        <v>15</v>
      </c>
      <c r="Z319" s="22" t="n">
        <f aca="false">INDEX(Mitigation_Industry!Z:Z,MATCH($A319,Mitigation_Industry!$H:$H,0))</f>
        <v>15</v>
      </c>
      <c r="AA319" s="22" t="n">
        <f aca="false">INDEX(Mitigation_Industry!AA:AA,MATCH($A319,Mitigation_Industry!$H:$H,0))</f>
        <v>15</v>
      </c>
      <c r="AB319" s="22" t="n">
        <f aca="false">INDEX(Mitigation_Industry!AB:AB,MATCH($A319,Mitigation_Industry!$H:$H,0))</f>
        <v>15</v>
      </c>
      <c r="AC319" s="22" t="n">
        <f aca="false">INDEX(Mitigation_Industry!AC:AC,MATCH($A319,Mitigation_Industry!$H:$H,0))</f>
        <v>15</v>
      </c>
      <c r="AD319" s="22" t="n">
        <f aca="false">INDEX(Mitigation_Industry!AD:AD,MATCH($A319,Mitigation_Industry!$H:$H,0))</f>
        <v>15</v>
      </c>
      <c r="AE319" s="22" t="n">
        <f aca="false">INDEX(Mitigation_Industry!AE:AE,MATCH($A319,Mitigation_Industry!$H:$H,0))</f>
        <v>15</v>
      </c>
    </row>
    <row r="320" customFormat="false" ht="15" hidden="false" customHeight="false" outlineLevel="0" collapsed="false">
      <c r="A320" s="35" t="s">
        <v>1245</v>
      </c>
      <c r="B320" s="6" t="s">
        <v>68</v>
      </c>
      <c r="C320" s="6" t="s">
        <v>47</v>
      </c>
      <c r="D320" s="6" t="n">
        <v>1</v>
      </c>
      <c r="E320" s="2" t="s">
        <v>1167</v>
      </c>
      <c r="F320" s="40" t="n">
        <f aca="false">MAX(MAX(L320:AE320),-MIN(L320:AE320))</f>
        <v>-0</v>
      </c>
      <c r="K320" s="41" t="n">
        <f aca="false">IF(ISNUMBER(K318),IF(ISNUMBER(K319),K319-K318,999999),0)</f>
        <v>0</v>
      </c>
      <c r="L320" s="41" t="n">
        <f aca="false">IF(ISNUMBER(L318),IF(ISNUMBER(L319),L319-L318,999999),0)</f>
        <v>0</v>
      </c>
      <c r="M320" s="41" t="n">
        <f aca="false">IF(ISNUMBER(M318),IF(ISNUMBER(M319),M319-M318,999999),0)</f>
        <v>0</v>
      </c>
      <c r="N320" s="41" t="n">
        <f aca="false">IF(ISNUMBER(N318),IF(ISNUMBER(N319),N319-N318,999999),0)</f>
        <v>0</v>
      </c>
      <c r="O320" s="41" t="n">
        <f aca="false">IF(ISNUMBER(O318),IF(ISNUMBER(O319),O319-O318,999999),0)</f>
        <v>0</v>
      </c>
      <c r="P320" s="41" t="n">
        <f aca="false">IF(ISNUMBER(P318),IF(ISNUMBER(P319),P319-P318,999999),0)</f>
        <v>0</v>
      </c>
      <c r="Q320" s="41" t="n">
        <f aca="false">IF(ISNUMBER(Q318),IF(ISNUMBER(Q319),Q319-Q318,999999),0)</f>
        <v>0</v>
      </c>
      <c r="R320" s="41" t="n">
        <f aca="false">IF(ISNUMBER(R318),IF(ISNUMBER(R319),R319-R318,999999),0)</f>
        <v>0</v>
      </c>
      <c r="S320" s="41" t="n">
        <f aca="false">IF(ISNUMBER(S318),IF(ISNUMBER(S319),S319-S318,999999),0)</f>
        <v>0</v>
      </c>
      <c r="T320" s="41" t="n">
        <f aca="false">IF(ISNUMBER(T318),IF(ISNUMBER(T319),T319-T318,999999),0)</f>
        <v>0</v>
      </c>
      <c r="U320" s="41" t="n">
        <f aca="false">IF(ISNUMBER(U318),IF(ISNUMBER(U319),U319-U318,999999),0)</f>
        <v>0</v>
      </c>
      <c r="V320" s="41" t="n">
        <f aca="false">IF(ISNUMBER(V318),IF(ISNUMBER(V319),V319-V318,999999),0)</f>
        <v>0</v>
      </c>
      <c r="W320" s="41" t="n">
        <f aca="false">IF(ISNUMBER(W318),IF(ISNUMBER(W319),W319-W318,999999),0)</f>
        <v>0</v>
      </c>
      <c r="X320" s="41" t="n">
        <f aca="false">IF(ISNUMBER(X318),IF(ISNUMBER(X319),X319-X318,999999),0)</f>
        <v>0</v>
      </c>
      <c r="Y320" s="41" t="n">
        <f aca="false">IF(ISNUMBER(Y318),IF(ISNUMBER(Y319),Y319-Y318,999999),0)</f>
        <v>0</v>
      </c>
      <c r="Z320" s="41" t="n">
        <f aca="false">IF(ISNUMBER(Z318),IF(ISNUMBER(Z319),Z319-Z318,999999),0)</f>
        <v>0</v>
      </c>
      <c r="AA320" s="41" t="n">
        <f aca="false">IF(ISNUMBER(AA318),IF(ISNUMBER(AA319),AA319-AA318,999999),0)</f>
        <v>0</v>
      </c>
      <c r="AB320" s="41" t="n">
        <f aca="false">IF(ISNUMBER(AB318),IF(ISNUMBER(AB319),AB319-AB318,999999),0)</f>
        <v>0</v>
      </c>
      <c r="AC320" s="41" t="n">
        <f aca="false">IF(ISNUMBER(AC318),IF(ISNUMBER(AC319),AC319-AC318,999999),0)</f>
        <v>0</v>
      </c>
      <c r="AD320" s="41" t="n">
        <f aca="false">IF(ISNUMBER(AD318),IF(ISNUMBER(AD319),AD319-AD318,999999),0)</f>
        <v>0</v>
      </c>
      <c r="AE320" s="41" t="n">
        <f aca="false">IF(ISNUMBER(AE318),IF(ISNUMBER(AE319),AE319-AE318,999999),0)</f>
        <v>0</v>
      </c>
    </row>
    <row r="322" customFormat="false" ht="15" hidden="false" customHeight="false" outlineLevel="0" collapsed="false">
      <c r="A322" s="35" t="s">
        <v>1246</v>
      </c>
      <c r="B322" s="6" t="s">
        <v>71</v>
      </c>
      <c r="C322" s="6" t="s">
        <v>47</v>
      </c>
      <c r="D322" s="6" t="n">
        <v>1</v>
      </c>
      <c r="E322" s="6" t="s">
        <v>1165</v>
      </c>
      <c r="K322" s="22"/>
      <c r="L322" s="22" t="n">
        <v>14.1995283906349</v>
      </c>
      <c r="M322" s="22" t="n">
        <v>13.8404416133152</v>
      </c>
      <c r="N322" s="22" t="n">
        <v>13.5677269404465</v>
      </c>
      <c r="O322" s="22" t="n">
        <v>13.5677269404465</v>
      </c>
      <c r="P322" s="22" t="n">
        <v>13.5677269404465</v>
      </c>
      <c r="Q322" s="22" t="n">
        <v>13.5677269404465</v>
      </c>
      <c r="R322" s="22" t="n">
        <v>13.5677269404465</v>
      </c>
      <c r="S322" s="22" t="n">
        <v>13.5677269404465</v>
      </c>
      <c r="T322" s="22" t="n">
        <v>13.5677269404465</v>
      </c>
      <c r="U322" s="22" t="n">
        <v>13.5677269404465</v>
      </c>
      <c r="V322" s="22" t="n">
        <v>13.5677269404465</v>
      </c>
      <c r="W322" s="22" t="n">
        <v>13.5677269404465</v>
      </c>
      <c r="X322" s="22" t="n">
        <v>13.5677269404465</v>
      </c>
      <c r="Y322" s="22" t="n">
        <v>13.5677269404465</v>
      </c>
      <c r="Z322" s="22" t="n">
        <v>13.5677269404465</v>
      </c>
      <c r="AA322" s="22" t="n">
        <v>13.5677269404465</v>
      </c>
      <c r="AB322" s="22" t="n">
        <v>13.5677269404465</v>
      </c>
      <c r="AC322" s="22" t="n">
        <v>13.5677269404465</v>
      </c>
      <c r="AD322" s="22" t="n">
        <v>13.5677269404465</v>
      </c>
      <c r="AE322" s="22" t="n">
        <v>13.5677269404465</v>
      </c>
    </row>
    <row r="323" customFormat="false" ht="15" hidden="false" customHeight="false" outlineLevel="0" collapsed="false">
      <c r="A323" s="35" t="s">
        <v>1246</v>
      </c>
      <c r="B323" s="6" t="s">
        <v>71</v>
      </c>
      <c r="C323" s="6" t="s">
        <v>47</v>
      </c>
      <c r="D323" s="6" t="n">
        <v>1</v>
      </c>
      <c r="E323" s="6" t="s">
        <v>1166</v>
      </c>
      <c r="K323" s="22" t="n">
        <f aca="false">INDEX(Mitigation_Industry!K:K,MATCH($A323,Mitigation_Industry!$H:$H,0))</f>
        <v>15.3345505293169</v>
      </c>
      <c r="L323" s="22" t="n">
        <f aca="false">INDEX(Mitigation_Industry!L:L,MATCH($A323,Mitigation_Industry!$H:$H,0))</f>
        <v>14.1995283906349</v>
      </c>
      <c r="M323" s="22" t="n">
        <f aca="false">INDEX(Mitigation_Industry!M:M,MATCH($A323,Mitigation_Industry!$H:$H,0))</f>
        <v>13.8404416133152</v>
      </c>
      <c r="N323" s="22" t="n">
        <f aca="false">INDEX(Mitigation_Industry!N:N,MATCH($A323,Mitigation_Industry!$H:$H,0))</f>
        <v>13.5677269404465</v>
      </c>
      <c r="O323" s="22" t="n">
        <f aca="false">INDEX(Mitigation_Industry!O:O,MATCH($A323,Mitigation_Industry!$H:$H,0))</f>
        <v>13.5677269404465</v>
      </c>
      <c r="P323" s="22" t="n">
        <f aca="false">INDEX(Mitigation_Industry!P:P,MATCH($A323,Mitigation_Industry!$H:$H,0))</f>
        <v>13.5677269404465</v>
      </c>
      <c r="Q323" s="22" t="n">
        <f aca="false">INDEX(Mitigation_Industry!Q:Q,MATCH($A323,Mitigation_Industry!$H:$H,0))</f>
        <v>13.5677269404465</v>
      </c>
      <c r="R323" s="22" t="n">
        <f aca="false">INDEX(Mitigation_Industry!R:R,MATCH($A323,Mitigation_Industry!$H:$H,0))</f>
        <v>13.5677269404465</v>
      </c>
      <c r="S323" s="22" t="n">
        <f aca="false">INDEX(Mitigation_Industry!S:S,MATCH($A323,Mitigation_Industry!$H:$H,0))</f>
        <v>13.5677269404465</v>
      </c>
      <c r="T323" s="22" t="n">
        <f aca="false">INDEX(Mitigation_Industry!T:T,MATCH($A323,Mitigation_Industry!$H:$H,0))</f>
        <v>13.5677269404465</v>
      </c>
      <c r="U323" s="22" t="n">
        <f aca="false">INDEX(Mitigation_Industry!U:U,MATCH($A323,Mitigation_Industry!$H:$H,0))</f>
        <v>13.5677269404465</v>
      </c>
      <c r="V323" s="22" t="n">
        <f aca="false">INDEX(Mitigation_Industry!V:V,MATCH($A323,Mitigation_Industry!$H:$H,0))</f>
        <v>13.5677269404465</v>
      </c>
      <c r="W323" s="22" t="n">
        <f aca="false">INDEX(Mitigation_Industry!W:W,MATCH($A323,Mitigation_Industry!$H:$H,0))</f>
        <v>13.5677269404465</v>
      </c>
      <c r="X323" s="22" t="n">
        <f aca="false">INDEX(Mitigation_Industry!X:X,MATCH($A323,Mitigation_Industry!$H:$H,0))</f>
        <v>13.5677269404465</v>
      </c>
      <c r="Y323" s="22" t="n">
        <f aca="false">INDEX(Mitigation_Industry!Y:Y,MATCH($A323,Mitigation_Industry!$H:$H,0))</f>
        <v>13.5677269404465</v>
      </c>
      <c r="Z323" s="22" t="n">
        <f aca="false">INDEX(Mitigation_Industry!Z:Z,MATCH($A323,Mitigation_Industry!$H:$H,0))</f>
        <v>13.5677269404465</v>
      </c>
      <c r="AA323" s="22" t="n">
        <f aca="false">INDEX(Mitigation_Industry!AA:AA,MATCH($A323,Mitigation_Industry!$H:$H,0))</f>
        <v>13.5677269404465</v>
      </c>
      <c r="AB323" s="22" t="n">
        <f aca="false">INDEX(Mitigation_Industry!AB:AB,MATCH($A323,Mitigation_Industry!$H:$H,0))</f>
        <v>13.5677269404465</v>
      </c>
      <c r="AC323" s="22" t="n">
        <f aca="false">INDEX(Mitigation_Industry!AC:AC,MATCH($A323,Mitigation_Industry!$H:$H,0))</f>
        <v>13.5677269404465</v>
      </c>
      <c r="AD323" s="22" t="n">
        <f aca="false">INDEX(Mitigation_Industry!AD:AD,MATCH($A323,Mitigation_Industry!$H:$H,0))</f>
        <v>13.5677269404465</v>
      </c>
      <c r="AE323" s="22" t="n">
        <f aca="false">INDEX(Mitigation_Industry!AE:AE,MATCH($A323,Mitigation_Industry!$H:$H,0))</f>
        <v>13.5677269404465</v>
      </c>
    </row>
    <row r="324" customFormat="false" ht="15" hidden="false" customHeight="false" outlineLevel="0" collapsed="false">
      <c r="A324" s="35" t="s">
        <v>1246</v>
      </c>
      <c r="B324" s="6" t="s">
        <v>71</v>
      </c>
      <c r="C324" s="6" t="s">
        <v>47</v>
      </c>
      <c r="D324" s="6" t="n">
        <v>1</v>
      </c>
      <c r="E324" s="2" t="s">
        <v>1167</v>
      </c>
      <c r="F324" s="40" t="n">
        <f aca="false">MAX(MAX(L324:AE324),-MIN(L324:AE324))</f>
        <v>-0</v>
      </c>
      <c r="K324" s="41" t="n">
        <f aca="false">IF(ISNUMBER(K322),IF(ISNUMBER(K323),K323-K322,999999),0)</f>
        <v>0</v>
      </c>
      <c r="L324" s="41" t="n">
        <f aca="false">IF(ISNUMBER(L322),IF(ISNUMBER(L323),L323-L322,999999),0)</f>
        <v>0</v>
      </c>
      <c r="M324" s="41" t="n">
        <f aca="false">IF(ISNUMBER(M322),IF(ISNUMBER(M323),M323-M322,999999),0)</f>
        <v>0</v>
      </c>
      <c r="N324" s="41" t="n">
        <f aca="false">IF(ISNUMBER(N322),IF(ISNUMBER(N323),N323-N322,999999),0)</f>
        <v>0</v>
      </c>
      <c r="O324" s="41" t="n">
        <f aca="false">IF(ISNUMBER(O322),IF(ISNUMBER(O323),O323-O322,999999),0)</f>
        <v>0</v>
      </c>
      <c r="P324" s="41" t="n">
        <f aca="false">IF(ISNUMBER(P322),IF(ISNUMBER(P323),P323-P322,999999),0)</f>
        <v>0</v>
      </c>
      <c r="Q324" s="41" t="n">
        <f aca="false">IF(ISNUMBER(Q322),IF(ISNUMBER(Q323),Q323-Q322,999999),0)</f>
        <v>0</v>
      </c>
      <c r="R324" s="41" t="n">
        <f aca="false">IF(ISNUMBER(R322),IF(ISNUMBER(R323),R323-R322,999999),0)</f>
        <v>0</v>
      </c>
      <c r="S324" s="41" t="n">
        <f aca="false">IF(ISNUMBER(S322),IF(ISNUMBER(S323),S323-S322,999999),0)</f>
        <v>0</v>
      </c>
      <c r="T324" s="41" t="n">
        <f aca="false">IF(ISNUMBER(T322),IF(ISNUMBER(T323),T323-T322,999999),0)</f>
        <v>0</v>
      </c>
      <c r="U324" s="41" t="n">
        <f aca="false">IF(ISNUMBER(U322),IF(ISNUMBER(U323),U323-U322,999999),0)</f>
        <v>0</v>
      </c>
      <c r="V324" s="41" t="n">
        <f aca="false">IF(ISNUMBER(V322),IF(ISNUMBER(V323),V323-V322,999999),0)</f>
        <v>0</v>
      </c>
      <c r="W324" s="41" t="n">
        <f aca="false">IF(ISNUMBER(W322),IF(ISNUMBER(W323),W323-W322,999999),0)</f>
        <v>0</v>
      </c>
      <c r="X324" s="41" t="n">
        <f aca="false">IF(ISNUMBER(X322),IF(ISNUMBER(X323),X323-X322,999999),0)</f>
        <v>0</v>
      </c>
      <c r="Y324" s="41" t="n">
        <f aca="false">IF(ISNUMBER(Y322),IF(ISNUMBER(Y323),Y323-Y322,999999),0)</f>
        <v>0</v>
      </c>
      <c r="Z324" s="41" t="n">
        <f aca="false">IF(ISNUMBER(Z322),IF(ISNUMBER(Z323),Z323-Z322,999999),0)</f>
        <v>0</v>
      </c>
      <c r="AA324" s="41" t="n">
        <f aca="false">IF(ISNUMBER(AA322),IF(ISNUMBER(AA323),AA323-AA322,999999),0)</f>
        <v>0</v>
      </c>
      <c r="AB324" s="41" t="n">
        <f aca="false">IF(ISNUMBER(AB322),IF(ISNUMBER(AB323),AB323-AB322,999999),0)</f>
        <v>0</v>
      </c>
      <c r="AC324" s="41" t="n">
        <f aca="false">IF(ISNUMBER(AC322),IF(ISNUMBER(AC323),AC323-AC322,999999),0)</f>
        <v>0</v>
      </c>
      <c r="AD324" s="41" t="n">
        <f aca="false">IF(ISNUMBER(AD322),IF(ISNUMBER(AD323),AD323-AD322,999999),0)</f>
        <v>0</v>
      </c>
      <c r="AE324" s="41" t="n">
        <f aca="false">IF(ISNUMBER(AE322),IF(ISNUMBER(AE323),AE323-AE322,999999),0)</f>
        <v>0</v>
      </c>
    </row>
    <row r="326" customFormat="false" ht="15" hidden="false" customHeight="false" outlineLevel="0" collapsed="false">
      <c r="A326" s="35" t="s">
        <v>1247</v>
      </c>
      <c r="B326" s="6" t="s">
        <v>73</v>
      </c>
      <c r="C326" s="6" t="s">
        <v>47</v>
      </c>
      <c r="D326" s="6" t="n">
        <v>1</v>
      </c>
      <c r="E326" s="6" t="s">
        <v>1165</v>
      </c>
      <c r="K326" s="22"/>
      <c r="L326" s="22" t="n">
        <v>0.144044986793198</v>
      </c>
      <c r="M326" s="22" t="n">
        <v>0.141020409657004</v>
      </c>
      <c r="N326" s="22" t="n">
        <v>0.135116359594476</v>
      </c>
      <c r="O326" s="22" t="n">
        <v>0.130988256985856</v>
      </c>
      <c r="P326" s="22" t="n">
        <v>0.127908416086318</v>
      </c>
      <c r="Q326" s="22" t="n">
        <v>0.124814310557813</v>
      </c>
      <c r="R326" s="22" t="n">
        <v>0.121460257122878</v>
      </c>
      <c r="S326" s="22" t="n">
        <v>0.117950744135786</v>
      </c>
      <c r="T326" s="22" t="n">
        <v>0.114199161044597</v>
      </c>
      <c r="U326" s="22" t="n">
        <v>0.113665100059665</v>
      </c>
      <c r="V326" s="22" t="n">
        <v>0.113016929625957</v>
      </c>
      <c r="W326" s="22" t="n">
        <v>0.112314070507636</v>
      </c>
      <c r="X326" s="22" t="n">
        <v>0.111422042732843</v>
      </c>
      <c r="Y326" s="22" t="n">
        <v>0.110434123675809</v>
      </c>
      <c r="Z326" s="22" t="n">
        <v>0.109483973304471</v>
      </c>
      <c r="AA326" s="22" t="n">
        <v>0.10839192105294</v>
      </c>
      <c r="AB326" s="22" t="n">
        <v>0.107354433626704</v>
      </c>
      <c r="AC326" s="22" t="n">
        <v>0.105168675441661</v>
      </c>
      <c r="AD326" s="22" t="n">
        <v>0.103057983256008</v>
      </c>
      <c r="AE326" s="22" t="n">
        <v>0.100931838990114</v>
      </c>
    </row>
    <row r="327" customFormat="false" ht="15" hidden="false" customHeight="false" outlineLevel="0" collapsed="false">
      <c r="A327" s="35" t="s">
        <v>1247</v>
      </c>
      <c r="B327" s="6" t="s">
        <v>73</v>
      </c>
      <c r="C327" s="6" t="s">
        <v>47</v>
      </c>
      <c r="D327" s="6" t="n">
        <v>1</v>
      </c>
      <c r="E327" s="6" t="s">
        <v>1166</v>
      </c>
      <c r="K327" s="22" t="n">
        <f aca="false">INDEX(Mitigation_Industry!K:K,MATCH($A327,Mitigation_Industry!$H:$H,0))</f>
        <v>0</v>
      </c>
      <c r="L327" s="22" t="n">
        <f aca="false">INDEX(Mitigation_Industry!L:L,MATCH($A327,Mitigation_Industry!$H:$H,0))</f>
        <v>0.144044986793198</v>
      </c>
      <c r="M327" s="22" t="n">
        <f aca="false">INDEX(Mitigation_Industry!M:M,MATCH($A327,Mitigation_Industry!$H:$H,0))</f>
        <v>0.141020409657004</v>
      </c>
      <c r="N327" s="22" t="n">
        <f aca="false">INDEX(Mitigation_Industry!N:N,MATCH($A327,Mitigation_Industry!$H:$H,0))</f>
        <v>0.135116359594476</v>
      </c>
      <c r="O327" s="22" t="n">
        <f aca="false">INDEX(Mitigation_Industry!O:O,MATCH($A327,Mitigation_Industry!$H:$H,0))</f>
        <v>0.130988256985856</v>
      </c>
      <c r="P327" s="22" t="n">
        <f aca="false">INDEX(Mitigation_Industry!P:P,MATCH($A327,Mitigation_Industry!$H:$H,0))</f>
        <v>0.127908416086318</v>
      </c>
      <c r="Q327" s="22" t="n">
        <f aca="false">INDEX(Mitigation_Industry!Q:Q,MATCH($A327,Mitigation_Industry!$H:$H,0))</f>
        <v>0.124814310557813</v>
      </c>
      <c r="R327" s="22" t="n">
        <f aca="false">INDEX(Mitigation_Industry!R:R,MATCH($A327,Mitigation_Industry!$H:$H,0))</f>
        <v>0.121460257122878</v>
      </c>
      <c r="S327" s="22" t="n">
        <f aca="false">INDEX(Mitigation_Industry!S:S,MATCH($A327,Mitigation_Industry!$H:$H,0))</f>
        <v>0.117950744135786</v>
      </c>
      <c r="T327" s="22" t="n">
        <f aca="false">INDEX(Mitigation_Industry!T:T,MATCH($A327,Mitigation_Industry!$H:$H,0))</f>
        <v>0.114199161044597</v>
      </c>
      <c r="U327" s="22" t="n">
        <f aca="false">INDEX(Mitigation_Industry!U:U,MATCH($A327,Mitigation_Industry!$H:$H,0))</f>
        <v>0.113665100059665</v>
      </c>
      <c r="V327" s="22" t="n">
        <f aca="false">INDEX(Mitigation_Industry!V:V,MATCH($A327,Mitigation_Industry!$H:$H,0))</f>
        <v>0.113016929625957</v>
      </c>
      <c r="W327" s="22" t="n">
        <f aca="false">INDEX(Mitigation_Industry!W:W,MATCH($A327,Mitigation_Industry!$H:$H,0))</f>
        <v>0.112314070507636</v>
      </c>
      <c r="X327" s="22" t="n">
        <f aca="false">INDEX(Mitigation_Industry!X:X,MATCH($A327,Mitigation_Industry!$H:$H,0))</f>
        <v>0.111422042732843</v>
      </c>
      <c r="Y327" s="22" t="n">
        <f aca="false">INDEX(Mitigation_Industry!Y:Y,MATCH($A327,Mitigation_Industry!$H:$H,0))</f>
        <v>0.110434123675809</v>
      </c>
      <c r="Z327" s="22" t="n">
        <f aca="false">INDEX(Mitigation_Industry!Z:Z,MATCH($A327,Mitigation_Industry!$H:$H,0))</f>
        <v>0.109483973304471</v>
      </c>
      <c r="AA327" s="22" t="n">
        <f aca="false">INDEX(Mitigation_Industry!AA:AA,MATCH($A327,Mitigation_Industry!$H:$H,0))</f>
        <v>0.10839192105294</v>
      </c>
      <c r="AB327" s="22" t="n">
        <f aca="false">INDEX(Mitigation_Industry!AB:AB,MATCH($A327,Mitigation_Industry!$H:$H,0))</f>
        <v>0.107354433626704</v>
      </c>
      <c r="AC327" s="22" t="n">
        <f aca="false">INDEX(Mitigation_Industry!AC:AC,MATCH($A327,Mitigation_Industry!$H:$H,0))</f>
        <v>0.105168675441661</v>
      </c>
      <c r="AD327" s="22" t="n">
        <f aca="false">INDEX(Mitigation_Industry!AD:AD,MATCH($A327,Mitigation_Industry!$H:$H,0))</f>
        <v>0.103057983256008</v>
      </c>
      <c r="AE327" s="22" t="n">
        <f aca="false">INDEX(Mitigation_Industry!AE:AE,MATCH($A327,Mitigation_Industry!$H:$H,0))</f>
        <v>0.100931838990114</v>
      </c>
    </row>
    <row r="328" customFormat="false" ht="15" hidden="false" customHeight="false" outlineLevel="0" collapsed="false">
      <c r="A328" s="35" t="s">
        <v>1247</v>
      </c>
      <c r="B328" s="6" t="s">
        <v>73</v>
      </c>
      <c r="C328" s="6" t="s">
        <v>47</v>
      </c>
      <c r="D328" s="6" t="n">
        <v>1</v>
      </c>
      <c r="E328" s="2" t="s">
        <v>1167</v>
      </c>
      <c r="F328" s="40" t="n">
        <f aca="false">MAX(MAX(L328:AE328),-MIN(L328:AE328))</f>
        <v>-0</v>
      </c>
      <c r="K328" s="41" t="n">
        <f aca="false">IF(ISNUMBER(K326),IF(ISNUMBER(K327),K327-K326,999999),0)</f>
        <v>0</v>
      </c>
      <c r="L328" s="41" t="n">
        <f aca="false">IF(ISNUMBER(L326),IF(ISNUMBER(L327),L327-L326,999999),0)</f>
        <v>0</v>
      </c>
      <c r="M328" s="41" t="n">
        <f aca="false">IF(ISNUMBER(M326),IF(ISNUMBER(M327),M327-M326,999999),0)</f>
        <v>0</v>
      </c>
      <c r="N328" s="41" t="n">
        <f aca="false">IF(ISNUMBER(N326),IF(ISNUMBER(N327),N327-N326,999999),0)</f>
        <v>0</v>
      </c>
      <c r="O328" s="41" t="n">
        <f aca="false">IF(ISNUMBER(O326),IF(ISNUMBER(O327),O327-O326,999999),0)</f>
        <v>0</v>
      </c>
      <c r="P328" s="41" t="n">
        <f aca="false">IF(ISNUMBER(P326),IF(ISNUMBER(P327),P327-P326,999999),0)</f>
        <v>0</v>
      </c>
      <c r="Q328" s="41" t="n">
        <f aca="false">IF(ISNUMBER(Q326),IF(ISNUMBER(Q327),Q327-Q326,999999),0)</f>
        <v>0</v>
      </c>
      <c r="R328" s="41" t="n">
        <f aca="false">IF(ISNUMBER(R326),IF(ISNUMBER(R327),R327-R326,999999),0)</f>
        <v>0</v>
      </c>
      <c r="S328" s="41" t="n">
        <f aca="false">IF(ISNUMBER(S326),IF(ISNUMBER(S327),S327-S326,999999),0)</f>
        <v>0</v>
      </c>
      <c r="T328" s="41" t="n">
        <f aca="false">IF(ISNUMBER(T326),IF(ISNUMBER(T327),T327-T326,999999),0)</f>
        <v>0</v>
      </c>
      <c r="U328" s="41" t="n">
        <f aca="false">IF(ISNUMBER(U326),IF(ISNUMBER(U327),U327-U326,999999),0)</f>
        <v>0</v>
      </c>
      <c r="V328" s="41" t="n">
        <f aca="false">IF(ISNUMBER(V326),IF(ISNUMBER(V327),V327-V326,999999),0)</f>
        <v>0</v>
      </c>
      <c r="W328" s="41" t="n">
        <f aca="false">IF(ISNUMBER(W326),IF(ISNUMBER(W327),W327-W326,999999),0)</f>
        <v>0</v>
      </c>
      <c r="X328" s="41" t="n">
        <f aca="false">IF(ISNUMBER(X326),IF(ISNUMBER(X327),X327-X326,999999),0)</f>
        <v>0</v>
      </c>
      <c r="Y328" s="41" t="n">
        <f aca="false">IF(ISNUMBER(Y326),IF(ISNUMBER(Y327),Y327-Y326,999999),0)</f>
        <v>0</v>
      </c>
      <c r="Z328" s="41" t="n">
        <f aca="false">IF(ISNUMBER(Z326),IF(ISNUMBER(Z327),Z327-Z326,999999),0)</f>
        <v>0</v>
      </c>
      <c r="AA328" s="41" t="n">
        <f aca="false">IF(ISNUMBER(AA326),IF(ISNUMBER(AA327),AA327-AA326,999999),0)</f>
        <v>0</v>
      </c>
      <c r="AB328" s="41" t="n">
        <f aca="false">IF(ISNUMBER(AB326),IF(ISNUMBER(AB327),AB327-AB326,999999),0)</f>
        <v>0</v>
      </c>
      <c r="AC328" s="41" t="n">
        <f aca="false">IF(ISNUMBER(AC326),IF(ISNUMBER(AC327),AC327-AC326,999999),0)</f>
        <v>0</v>
      </c>
      <c r="AD328" s="41" t="n">
        <f aca="false">IF(ISNUMBER(AD326),IF(ISNUMBER(AD327),AD327-AD326,999999),0)</f>
        <v>0</v>
      </c>
      <c r="AE328" s="41" t="n">
        <f aca="false">IF(ISNUMBER(AE326),IF(ISNUMBER(AE327),AE327-AE326,999999),0)</f>
        <v>0</v>
      </c>
    </row>
    <row r="330" customFormat="false" ht="15" hidden="false" customHeight="false" outlineLevel="0" collapsed="false">
      <c r="A330" s="35" t="s">
        <v>1248</v>
      </c>
      <c r="B330" s="6" t="s">
        <v>53</v>
      </c>
      <c r="C330" s="6" t="s">
        <v>117</v>
      </c>
      <c r="D330" s="6" t="n">
        <v>1</v>
      </c>
      <c r="E330" s="6" t="s">
        <v>1165</v>
      </c>
      <c r="K330" s="22"/>
      <c r="L330" s="22" t="n">
        <v>10.5233613454312</v>
      </c>
      <c r="M330" s="22" t="n">
        <v>10.2995608274442</v>
      </c>
      <c r="N330" s="22" t="n">
        <v>9.57752835953826</v>
      </c>
      <c r="O330" s="22" t="n">
        <v>8.48547828695805</v>
      </c>
      <c r="P330" s="22" t="n">
        <v>9.08719223524986</v>
      </c>
      <c r="Q330" s="22" t="n">
        <v>9.22292372893268</v>
      </c>
      <c r="R330" s="22" t="n">
        <v>9.15856495550969</v>
      </c>
      <c r="S330" s="22" t="n">
        <v>9.08954787739738</v>
      </c>
      <c r="T330" s="22" t="n">
        <v>9.01568166602283</v>
      </c>
      <c r="U330" s="22" t="n">
        <v>8.94439776555711</v>
      </c>
      <c r="V330" s="22" t="n">
        <v>8.94439776555711</v>
      </c>
      <c r="W330" s="22" t="n">
        <v>8.94439776555711</v>
      </c>
      <c r="X330" s="22" t="n">
        <v>8.94439776555711</v>
      </c>
      <c r="Y330" s="22" t="n">
        <v>8.94439776555711</v>
      </c>
      <c r="Z330" s="22" t="n">
        <v>8.94439776555711</v>
      </c>
      <c r="AA330" s="22" t="n">
        <v>8.94439776555711</v>
      </c>
      <c r="AB330" s="22" t="n">
        <v>8.94439776555711</v>
      </c>
      <c r="AC330" s="22" t="n">
        <v>8.94439776555711</v>
      </c>
      <c r="AD330" s="22" t="n">
        <v>8.94439776555711</v>
      </c>
      <c r="AE330" s="22" t="n">
        <v>8.94439776555711</v>
      </c>
    </row>
    <row r="331" customFormat="false" ht="15" hidden="false" customHeight="false" outlineLevel="0" collapsed="false">
      <c r="A331" s="35" t="s">
        <v>1248</v>
      </c>
      <c r="B331" s="6" t="s">
        <v>53</v>
      </c>
      <c r="C331" s="6" t="s">
        <v>117</v>
      </c>
      <c r="D331" s="6" t="n">
        <v>1</v>
      </c>
      <c r="E331" s="6" t="s">
        <v>1166</v>
      </c>
      <c r="K331" s="22" t="n">
        <f aca="false">INDEX(Mitigation_Industry!K:K,MATCH($A331,Mitigation_Industry!$H:$H,0))</f>
        <v>11.1829015892439</v>
      </c>
      <c r="L331" s="22" t="n">
        <f aca="false">INDEX(Mitigation_Industry!L:L,MATCH($A331,Mitigation_Industry!$H:$H,0))</f>
        <v>10.5233613454312</v>
      </c>
      <c r="M331" s="22" t="n">
        <f aca="false">INDEX(Mitigation_Industry!M:M,MATCH($A331,Mitigation_Industry!$H:$H,0))</f>
        <v>10.2995608274442</v>
      </c>
      <c r="N331" s="22" t="n">
        <f aca="false">INDEX(Mitigation_Industry!N:N,MATCH($A331,Mitigation_Industry!$H:$H,0))</f>
        <v>9.57752835953826</v>
      </c>
      <c r="O331" s="22" t="n">
        <f aca="false">INDEX(Mitigation_Industry!O:O,MATCH($A331,Mitigation_Industry!$H:$H,0))</f>
        <v>8.48547828695805</v>
      </c>
      <c r="P331" s="22" t="n">
        <f aca="false">INDEX(Mitigation_Industry!P:P,MATCH($A331,Mitigation_Industry!$H:$H,0))</f>
        <v>9.08719223524986</v>
      </c>
      <c r="Q331" s="22" t="n">
        <f aca="false">INDEX(Mitigation_Industry!Q:Q,MATCH($A331,Mitigation_Industry!$H:$H,0))</f>
        <v>9.22292372893268</v>
      </c>
      <c r="R331" s="22" t="n">
        <f aca="false">INDEX(Mitigation_Industry!R:R,MATCH($A331,Mitigation_Industry!$H:$H,0))</f>
        <v>9.15856495550969</v>
      </c>
      <c r="S331" s="22" t="n">
        <f aca="false">INDEX(Mitigation_Industry!S:S,MATCH($A331,Mitigation_Industry!$H:$H,0))</f>
        <v>9.08954787739738</v>
      </c>
      <c r="T331" s="22" t="n">
        <f aca="false">INDEX(Mitigation_Industry!T:T,MATCH($A331,Mitigation_Industry!$H:$H,0))</f>
        <v>9.01568166602283</v>
      </c>
      <c r="U331" s="22" t="n">
        <f aca="false">INDEX(Mitigation_Industry!U:U,MATCH($A331,Mitigation_Industry!$H:$H,0))</f>
        <v>8.94439776555711</v>
      </c>
      <c r="V331" s="22" t="n">
        <f aca="false">INDEX(Mitigation_Industry!V:V,MATCH($A331,Mitigation_Industry!$H:$H,0))</f>
        <v>8.94439776555711</v>
      </c>
      <c r="W331" s="22" t="n">
        <f aca="false">INDEX(Mitigation_Industry!W:W,MATCH($A331,Mitigation_Industry!$H:$H,0))</f>
        <v>8.94439776555711</v>
      </c>
      <c r="X331" s="22" t="n">
        <f aca="false">INDEX(Mitigation_Industry!X:X,MATCH($A331,Mitigation_Industry!$H:$H,0))</f>
        <v>8.94439776555711</v>
      </c>
      <c r="Y331" s="22" t="n">
        <f aca="false">INDEX(Mitigation_Industry!Y:Y,MATCH($A331,Mitigation_Industry!$H:$H,0))</f>
        <v>8.94439776555711</v>
      </c>
      <c r="Z331" s="22" t="n">
        <f aca="false">INDEX(Mitigation_Industry!Z:Z,MATCH($A331,Mitigation_Industry!$H:$H,0))</f>
        <v>8.94439776555711</v>
      </c>
      <c r="AA331" s="22" t="n">
        <f aca="false">INDEX(Mitigation_Industry!AA:AA,MATCH($A331,Mitigation_Industry!$H:$H,0))</f>
        <v>8.94439776555711</v>
      </c>
      <c r="AB331" s="22" t="n">
        <f aca="false">INDEX(Mitigation_Industry!AB:AB,MATCH($A331,Mitigation_Industry!$H:$H,0))</f>
        <v>8.94439776555711</v>
      </c>
      <c r="AC331" s="22" t="n">
        <f aca="false">INDEX(Mitigation_Industry!AC:AC,MATCH($A331,Mitigation_Industry!$H:$H,0))</f>
        <v>8.94439776555711</v>
      </c>
      <c r="AD331" s="22" t="n">
        <f aca="false">INDEX(Mitigation_Industry!AD:AD,MATCH($A331,Mitigation_Industry!$H:$H,0))</f>
        <v>8.94439776555711</v>
      </c>
      <c r="AE331" s="22" t="n">
        <f aca="false">INDEX(Mitigation_Industry!AE:AE,MATCH($A331,Mitigation_Industry!$H:$H,0))</f>
        <v>8.94439776555711</v>
      </c>
    </row>
    <row r="332" customFormat="false" ht="15" hidden="false" customHeight="false" outlineLevel="0" collapsed="false">
      <c r="A332" s="35" t="s">
        <v>1248</v>
      </c>
      <c r="B332" s="6" t="s">
        <v>53</v>
      </c>
      <c r="C332" s="6" t="s">
        <v>117</v>
      </c>
      <c r="D332" s="6" t="n">
        <v>1</v>
      </c>
      <c r="E332" s="2" t="s">
        <v>1167</v>
      </c>
      <c r="F332" s="40" t="n">
        <f aca="false">MAX(MAX(L332:AE332),-MIN(L332:AE332))</f>
        <v>-0</v>
      </c>
      <c r="K332" s="41" t="n">
        <f aca="false">IF(ISNUMBER(K330),IF(ISNUMBER(K331),K331-K330,999999),0)</f>
        <v>0</v>
      </c>
      <c r="L332" s="41" t="n">
        <f aca="false">IF(ISNUMBER(L330),IF(ISNUMBER(L331),L331-L330,999999),0)</f>
        <v>0</v>
      </c>
      <c r="M332" s="41" t="n">
        <f aca="false">IF(ISNUMBER(M330),IF(ISNUMBER(M331),M331-M330,999999),0)</f>
        <v>0</v>
      </c>
      <c r="N332" s="41" t="n">
        <f aca="false">IF(ISNUMBER(N330),IF(ISNUMBER(N331),N331-N330,999999),0)</f>
        <v>0</v>
      </c>
      <c r="O332" s="41" t="n">
        <f aca="false">IF(ISNUMBER(O330),IF(ISNUMBER(O331),O331-O330,999999),0)</f>
        <v>0</v>
      </c>
      <c r="P332" s="41" t="n">
        <f aca="false">IF(ISNUMBER(P330),IF(ISNUMBER(P331),P331-P330,999999),0)</f>
        <v>0</v>
      </c>
      <c r="Q332" s="41" t="n">
        <f aca="false">IF(ISNUMBER(Q330),IF(ISNUMBER(Q331),Q331-Q330,999999),0)</f>
        <v>0</v>
      </c>
      <c r="R332" s="41" t="n">
        <f aca="false">IF(ISNUMBER(R330),IF(ISNUMBER(R331),R331-R330,999999),0)</f>
        <v>0</v>
      </c>
      <c r="S332" s="41" t="n">
        <f aca="false">IF(ISNUMBER(S330),IF(ISNUMBER(S331),S331-S330,999999),0)</f>
        <v>0</v>
      </c>
      <c r="T332" s="41" t="n">
        <f aca="false">IF(ISNUMBER(T330),IF(ISNUMBER(T331),T331-T330,999999),0)</f>
        <v>0</v>
      </c>
      <c r="U332" s="41" t="n">
        <f aca="false">IF(ISNUMBER(U330),IF(ISNUMBER(U331),U331-U330,999999),0)</f>
        <v>0</v>
      </c>
      <c r="V332" s="41" t="n">
        <f aca="false">IF(ISNUMBER(V330),IF(ISNUMBER(V331),V331-V330,999999),0)</f>
        <v>0</v>
      </c>
      <c r="W332" s="41" t="n">
        <f aca="false">IF(ISNUMBER(W330),IF(ISNUMBER(W331),W331-W330,999999),0)</f>
        <v>0</v>
      </c>
      <c r="X332" s="41" t="n">
        <f aca="false">IF(ISNUMBER(X330),IF(ISNUMBER(X331),X331-X330,999999),0)</f>
        <v>0</v>
      </c>
      <c r="Y332" s="41" t="n">
        <f aca="false">IF(ISNUMBER(Y330),IF(ISNUMBER(Y331),Y331-Y330,999999),0)</f>
        <v>0</v>
      </c>
      <c r="Z332" s="41" t="n">
        <f aca="false">IF(ISNUMBER(Z330),IF(ISNUMBER(Z331),Z331-Z330,999999),0)</f>
        <v>0</v>
      </c>
      <c r="AA332" s="41" t="n">
        <f aca="false">IF(ISNUMBER(AA330),IF(ISNUMBER(AA331),AA331-AA330,999999),0)</f>
        <v>0</v>
      </c>
      <c r="AB332" s="41" t="n">
        <f aca="false">IF(ISNUMBER(AB330),IF(ISNUMBER(AB331),AB331-AB330,999999),0)</f>
        <v>0</v>
      </c>
      <c r="AC332" s="41" t="n">
        <f aca="false">IF(ISNUMBER(AC330),IF(ISNUMBER(AC331),AC331-AC330,999999),0)</f>
        <v>0</v>
      </c>
      <c r="AD332" s="41" t="n">
        <f aca="false">IF(ISNUMBER(AD330),IF(ISNUMBER(AD331),AD331-AD330,999999),0)</f>
        <v>0</v>
      </c>
      <c r="AE332" s="41" t="n">
        <f aca="false">IF(ISNUMBER(AE330),IF(ISNUMBER(AE331),AE331-AE330,999999),0)</f>
        <v>0</v>
      </c>
    </row>
    <row r="334" customFormat="false" ht="15" hidden="false" customHeight="false" outlineLevel="0" collapsed="false">
      <c r="A334" s="35" t="s">
        <v>1249</v>
      </c>
      <c r="B334" s="6" t="s">
        <v>57</v>
      </c>
      <c r="C334" s="6" t="s">
        <v>117</v>
      </c>
      <c r="D334" s="6" t="n">
        <v>1</v>
      </c>
      <c r="E334" s="6" t="s">
        <v>1165</v>
      </c>
      <c r="K334" s="22"/>
      <c r="L334" s="22" t="n">
        <v>5.45101508161919</v>
      </c>
      <c r="M334" s="22" t="n">
        <v>5.11935630626248</v>
      </c>
      <c r="N334" s="22" t="n">
        <v>5.08218458640407</v>
      </c>
      <c r="O334" s="22" t="n">
        <v>5.08218458640407</v>
      </c>
      <c r="P334" s="22" t="n">
        <v>5.08218458640407</v>
      </c>
      <c r="Q334" s="22" t="n">
        <v>5.08218458640407</v>
      </c>
      <c r="R334" s="22" t="n">
        <v>5.08218458640407</v>
      </c>
      <c r="S334" s="22" t="n">
        <v>5.08218458640407</v>
      </c>
      <c r="T334" s="22" t="n">
        <v>5.08218458640407</v>
      </c>
      <c r="U334" s="22" t="n">
        <v>5.08218458640407</v>
      </c>
      <c r="V334" s="22" t="n">
        <v>5.08218458640407</v>
      </c>
      <c r="W334" s="22" t="n">
        <v>5.08218458640407</v>
      </c>
      <c r="X334" s="22" t="n">
        <v>5.08218458640407</v>
      </c>
      <c r="Y334" s="22" t="n">
        <v>5.08218458640407</v>
      </c>
      <c r="Z334" s="22" t="n">
        <v>5.08218458640407</v>
      </c>
      <c r="AA334" s="22" t="n">
        <v>5.08218458640407</v>
      </c>
      <c r="AB334" s="22" t="n">
        <v>5.08218458640407</v>
      </c>
      <c r="AC334" s="22" t="n">
        <v>5.08218458640407</v>
      </c>
      <c r="AD334" s="22" t="n">
        <v>5.08218458640407</v>
      </c>
      <c r="AE334" s="22" t="n">
        <v>5.08218458640407</v>
      </c>
    </row>
    <row r="335" customFormat="false" ht="15" hidden="false" customHeight="false" outlineLevel="0" collapsed="false">
      <c r="A335" s="35" t="s">
        <v>1249</v>
      </c>
      <c r="B335" s="6" t="s">
        <v>57</v>
      </c>
      <c r="C335" s="6" t="s">
        <v>117</v>
      </c>
      <c r="D335" s="6" t="n">
        <v>1</v>
      </c>
      <c r="E335" s="6" t="s">
        <v>1166</v>
      </c>
      <c r="K335" s="22" t="n">
        <f aca="false">INDEX(Mitigation_Industry!K:K,MATCH($A335,Mitigation_Industry!$H:$H,0))</f>
        <v>6.06346361567291</v>
      </c>
      <c r="L335" s="22" t="n">
        <f aca="false">INDEX(Mitigation_Industry!L:L,MATCH($A335,Mitigation_Industry!$H:$H,0))</f>
        <v>5.45101508161919</v>
      </c>
      <c r="M335" s="22" t="n">
        <f aca="false">INDEX(Mitigation_Industry!M:M,MATCH($A335,Mitigation_Industry!$H:$H,0))</f>
        <v>5.11935630626248</v>
      </c>
      <c r="N335" s="22" t="n">
        <f aca="false">INDEX(Mitigation_Industry!N:N,MATCH($A335,Mitigation_Industry!$H:$H,0))</f>
        <v>5.08218458640407</v>
      </c>
      <c r="O335" s="22" t="n">
        <f aca="false">INDEX(Mitigation_Industry!O:O,MATCH($A335,Mitigation_Industry!$H:$H,0))</f>
        <v>5.08218458640407</v>
      </c>
      <c r="P335" s="22" t="n">
        <f aca="false">INDEX(Mitigation_Industry!P:P,MATCH($A335,Mitigation_Industry!$H:$H,0))</f>
        <v>5.08218458640407</v>
      </c>
      <c r="Q335" s="22" t="n">
        <f aca="false">INDEX(Mitigation_Industry!Q:Q,MATCH($A335,Mitigation_Industry!$H:$H,0))</f>
        <v>5.08218458640407</v>
      </c>
      <c r="R335" s="22" t="n">
        <f aca="false">INDEX(Mitigation_Industry!R:R,MATCH($A335,Mitigation_Industry!$H:$H,0))</f>
        <v>5.08218458640407</v>
      </c>
      <c r="S335" s="22" t="n">
        <f aca="false">INDEX(Mitigation_Industry!S:S,MATCH($A335,Mitigation_Industry!$H:$H,0))</f>
        <v>5.08218458640407</v>
      </c>
      <c r="T335" s="22" t="n">
        <f aca="false">INDEX(Mitigation_Industry!T:T,MATCH($A335,Mitigation_Industry!$H:$H,0))</f>
        <v>5.08218458640407</v>
      </c>
      <c r="U335" s="22" t="n">
        <f aca="false">INDEX(Mitigation_Industry!U:U,MATCH($A335,Mitigation_Industry!$H:$H,0))</f>
        <v>5.08218458640407</v>
      </c>
      <c r="V335" s="22" t="n">
        <f aca="false">INDEX(Mitigation_Industry!V:V,MATCH($A335,Mitigation_Industry!$H:$H,0))</f>
        <v>5.08218458640407</v>
      </c>
      <c r="W335" s="22" t="n">
        <f aca="false">INDEX(Mitigation_Industry!W:W,MATCH($A335,Mitigation_Industry!$H:$H,0))</f>
        <v>5.08218458640407</v>
      </c>
      <c r="X335" s="22" t="n">
        <f aca="false">INDEX(Mitigation_Industry!X:X,MATCH($A335,Mitigation_Industry!$H:$H,0))</f>
        <v>5.08218458640407</v>
      </c>
      <c r="Y335" s="22" t="n">
        <f aca="false">INDEX(Mitigation_Industry!Y:Y,MATCH($A335,Mitigation_Industry!$H:$H,0))</f>
        <v>5.08218458640407</v>
      </c>
      <c r="Z335" s="22" t="n">
        <f aca="false">INDEX(Mitigation_Industry!Z:Z,MATCH($A335,Mitigation_Industry!$H:$H,0))</f>
        <v>5.08218458640407</v>
      </c>
      <c r="AA335" s="22" t="n">
        <f aca="false">INDEX(Mitigation_Industry!AA:AA,MATCH($A335,Mitigation_Industry!$H:$H,0))</f>
        <v>5.08218458640407</v>
      </c>
      <c r="AB335" s="22" t="n">
        <f aca="false">INDEX(Mitigation_Industry!AB:AB,MATCH($A335,Mitigation_Industry!$H:$H,0))</f>
        <v>5.08218458640407</v>
      </c>
      <c r="AC335" s="22" t="n">
        <f aca="false">INDEX(Mitigation_Industry!AC:AC,MATCH($A335,Mitigation_Industry!$H:$H,0))</f>
        <v>5.08218458640407</v>
      </c>
      <c r="AD335" s="22" t="n">
        <f aca="false">INDEX(Mitigation_Industry!AD:AD,MATCH($A335,Mitigation_Industry!$H:$H,0))</f>
        <v>5.08218458640407</v>
      </c>
      <c r="AE335" s="22" t="n">
        <f aca="false">INDEX(Mitigation_Industry!AE:AE,MATCH($A335,Mitigation_Industry!$H:$H,0))</f>
        <v>5.08218458640407</v>
      </c>
    </row>
    <row r="336" customFormat="false" ht="15" hidden="false" customHeight="false" outlineLevel="0" collapsed="false">
      <c r="A336" s="35" t="s">
        <v>1249</v>
      </c>
      <c r="B336" s="6" t="s">
        <v>57</v>
      </c>
      <c r="C336" s="6" t="s">
        <v>117</v>
      </c>
      <c r="D336" s="6" t="n">
        <v>1</v>
      </c>
      <c r="E336" s="2" t="s">
        <v>1167</v>
      </c>
      <c r="F336" s="40" t="n">
        <f aca="false">MAX(MAX(L336:AE336),-MIN(L336:AE336))</f>
        <v>-0</v>
      </c>
      <c r="K336" s="41" t="n">
        <f aca="false">IF(ISNUMBER(K334),IF(ISNUMBER(K335),K335-K334,999999),0)</f>
        <v>0</v>
      </c>
      <c r="L336" s="41" t="n">
        <f aca="false">IF(ISNUMBER(L334),IF(ISNUMBER(L335),L335-L334,999999),0)</f>
        <v>0</v>
      </c>
      <c r="M336" s="41" t="n">
        <f aca="false">IF(ISNUMBER(M334),IF(ISNUMBER(M335),M335-M334,999999),0)</f>
        <v>0</v>
      </c>
      <c r="N336" s="41" t="n">
        <f aca="false">IF(ISNUMBER(N334),IF(ISNUMBER(N335),N335-N334,999999),0)</f>
        <v>0</v>
      </c>
      <c r="O336" s="41" t="n">
        <f aca="false">IF(ISNUMBER(O334),IF(ISNUMBER(O335),O335-O334,999999),0)</f>
        <v>0</v>
      </c>
      <c r="P336" s="41" t="n">
        <f aca="false">IF(ISNUMBER(P334),IF(ISNUMBER(P335),P335-P334,999999),0)</f>
        <v>0</v>
      </c>
      <c r="Q336" s="41" t="n">
        <f aca="false">IF(ISNUMBER(Q334),IF(ISNUMBER(Q335),Q335-Q334,999999),0)</f>
        <v>0</v>
      </c>
      <c r="R336" s="41" t="n">
        <f aca="false">IF(ISNUMBER(R334),IF(ISNUMBER(R335),R335-R334,999999),0)</f>
        <v>0</v>
      </c>
      <c r="S336" s="41" t="n">
        <f aca="false">IF(ISNUMBER(S334),IF(ISNUMBER(S335),S335-S334,999999),0)</f>
        <v>0</v>
      </c>
      <c r="T336" s="41" t="n">
        <f aca="false">IF(ISNUMBER(T334),IF(ISNUMBER(T335),T335-T334,999999),0)</f>
        <v>0</v>
      </c>
      <c r="U336" s="41" t="n">
        <f aca="false">IF(ISNUMBER(U334),IF(ISNUMBER(U335),U335-U334,999999),0)</f>
        <v>0</v>
      </c>
      <c r="V336" s="41" t="n">
        <f aca="false">IF(ISNUMBER(V334),IF(ISNUMBER(V335),V335-V334,999999),0)</f>
        <v>0</v>
      </c>
      <c r="W336" s="41" t="n">
        <f aca="false">IF(ISNUMBER(W334),IF(ISNUMBER(W335),W335-W334,999999),0)</f>
        <v>0</v>
      </c>
      <c r="X336" s="41" t="n">
        <f aca="false">IF(ISNUMBER(X334),IF(ISNUMBER(X335),X335-X334,999999),0)</f>
        <v>0</v>
      </c>
      <c r="Y336" s="41" t="n">
        <f aca="false">IF(ISNUMBER(Y334),IF(ISNUMBER(Y335),Y335-Y334,999999),0)</f>
        <v>0</v>
      </c>
      <c r="Z336" s="41" t="n">
        <f aca="false">IF(ISNUMBER(Z334),IF(ISNUMBER(Z335),Z335-Z334,999999),0)</f>
        <v>0</v>
      </c>
      <c r="AA336" s="41" t="n">
        <f aca="false">IF(ISNUMBER(AA334),IF(ISNUMBER(AA335),AA335-AA334,999999),0)</f>
        <v>0</v>
      </c>
      <c r="AB336" s="41" t="n">
        <f aca="false">IF(ISNUMBER(AB334),IF(ISNUMBER(AB335),AB335-AB334,999999),0)</f>
        <v>0</v>
      </c>
      <c r="AC336" s="41" t="n">
        <f aca="false">IF(ISNUMBER(AC334),IF(ISNUMBER(AC335),AC335-AC334,999999),0)</f>
        <v>0</v>
      </c>
      <c r="AD336" s="41" t="n">
        <f aca="false">IF(ISNUMBER(AD334),IF(ISNUMBER(AD335),AD335-AD334,999999),0)</f>
        <v>0</v>
      </c>
      <c r="AE336" s="41" t="n">
        <f aca="false">IF(ISNUMBER(AE334),IF(ISNUMBER(AE335),AE335-AE334,999999),0)</f>
        <v>0</v>
      </c>
    </row>
    <row r="338" customFormat="false" ht="15" hidden="false" customHeight="false" outlineLevel="0" collapsed="false">
      <c r="A338" s="35" t="s">
        <v>1250</v>
      </c>
      <c r="B338" s="6" t="s">
        <v>59</v>
      </c>
      <c r="C338" s="6" t="s">
        <v>117</v>
      </c>
      <c r="D338" s="6" t="n">
        <v>1</v>
      </c>
      <c r="E338" s="6" t="s">
        <v>1165</v>
      </c>
      <c r="K338" s="22"/>
      <c r="L338" s="22" t="n">
        <v>0.611977976791406</v>
      </c>
      <c r="M338" s="22" t="n">
        <v>0.611809749641876</v>
      </c>
      <c r="N338" s="22" t="n">
        <v>0.603583100177906</v>
      </c>
      <c r="O338" s="22" t="n">
        <v>0.603583100177906</v>
      </c>
      <c r="P338" s="22" t="n">
        <v>0.603583100177906</v>
      </c>
      <c r="Q338" s="22" t="n">
        <v>0.603583100177906</v>
      </c>
      <c r="R338" s="22" t="n">
        <v>0.603583100177906</v>
      </c>
      <c r="S338" s="22" t="n">
        <v>0.603583100177906</v>
      </c>
      <c r="T338" s="22" t="n">
        <v>0.603583100177906</v>
      </c>
      <c r="U338" s="22" t="n">
        <v>0.603583100177906</v>
      </c>
      <c r="V338" s="22" t="n">
        <v>0.603583100177906</v>
      </c>
      <c r="W338" s="22" t="n">
        <v>0.603583100177906</v>
      </c>
      <c r="X338" s="22" t="n">
        <v>0.603583100177906</v>
      </c>
      <c r="Y338" s="22" t="n">
        <v>0.603583100177906</v>
      </c>
      <c r="Z338" s="22" t="n">
        <v>0.603583100177906</v>
      </c>
      <c r="AA338" s="22" t="n">
        <v>0.603583100177906</v>
      </c>
      <c r="AB338" s="22" t="n">
        <v>0.603583100177906</v>
      </c>
      <c r="AC338" s="22" t="n">
        <v>0.603583100177906</v>
      </c>
      <c r="AD338" s="22" t="n">
        <v>0.603583100177906</v>
      </c>
      <c r="AE338" s="22" t="n">
        <v>0.603583100177906</v>
      </c>
    </row>
    <row r="339" customFormat="false" ht="15" hidden="false" customHeight="false" outlineLevel="0" collapsed="false">
      <c r="A339" s="35" t="s">
        <v>1250</v>
      </c>
      <c r="B339" s="6" t="s">
        <v>59</v>
      </c>
      <c r="C339" s="6" t="s">
        <v>117</v>
      </c>
      <c r="D339" s="6" t="n">
        <v>1</v>
      </c>
      <c r="E339" s="6" t="s">
        <v>1166</v>
      </c>
      <c r="K339" s="22" t="n">
        <f aca="false">INDEX(Mitigation_Industry!K:K,MATCH($A339,Mitigation_Industry!$H:$H,0))</f>
        <v>0.671146533321816</v>
      </c>
      <c r="L339" s="22" t="n">
        <f aca="false">INDEX(Mitigation_Industry!L:L,MATCH($A339,Mitigation_Industry!$H:$H,0))</f>
        <v>0.611977976791406</v>
      </c>
      <c r="M339" s="22" t="n">
        <f aca="false">INDEX(Mitigation_Industry!M:M,MATCH($A339,Mitigation_Industry!$H:$H,0))</f>
        <v>0.611809749641876</v>
      </c>
      <c r="N339" s="22" t="n">
        <f aca="false">INDEX(Mitigation_Industry!N:N,MATCH($A339,Mitigation_Industry!$H:$H,0))</f>
        <v>0.603583100177906</v>
      </c>
      <c r="O339" s="22" t="n">
        <f aca="false">INDEX(Mitigation_Industry!O:O,MATCH($A339,Mitigation_Industry!$H:$H,0))</f>
        <v>0.603583100177906</v>
      </c>
      <c r="P339" s="22" t="n">
        <f aca="false">INDEX(Mitigation_Industry!P:P,MATCH($A339,Mitigation_Industry!$H:$H,0))</f>
        <v>0.603583100177906</v>
      </c>
      <c r="Q339" s="22" t="n">
        <f aca="false">INDEX(Mitigation_Industry!Q:Q,MATCH($A339,Mitigation_Industry!$H:$H,0))</f>
        <v>0.603583100177906</v>
      </c>
      <c r="R339" s="22" t="n">
        <f aca="false">INDEX(Mitigation_Industry!R:R,MATCH($A339,Mitigation_Industry!$H:$H,0))</f>
        <v>0.603583100177906</v>
      </c>
      <c r="S339" s="22" t="n">
        <f aca="false">INDEX(Mitigation_Industry!S:S,MATCH($A339,Mitigation_Industry!$H:$H,0))</f>
        <v>0.603583100177906</v>
      </c>
      <c r="T339" s="22" t="n">
        <f aca="false">INDEX(Mitigation_Industry!T:T,MATCH($A339,Mitigation_Industry!$H:$H,0))</f>
        <v>0.603583100177906</v>
      </c>
      <c r="U339" s="22" t="n">
        <f aca="false">INDEX(Mitigation_Industry!U:U,MATCH($A339,Mitigation_Industry!$H:$H,0))</f>
        <v>0.603583100177906</v>
      </c>
      <c r="V339" s="22" t="n">
        <f aca="false">INDEX(Mitigation_Industry!V:V,MATCH($A339,Mitigation_Industry!$H:$H,0))</f>
        <v>0.603583100177906</v>
      </c>
      <c r="W339" s="22" t="n">
        <f aca="false">INDEX(Mitigation_Industry!W:W,MATCH($A339,Mitigation_Industry!$H:$H,0))</f>
        <v>0.603583100177906</v>
      </c>
      <c r="X339" s="22" t="n">
        <f aca="false">INDEX(Mitigation_Industry!X:X,MATCH($A339,Mitigation_Industry!$H:$H,0))</f>
        <v>0.603583100177906</v>
      </c>
      <c r="Y339" s="22" t="n">
        <f aca="false">INDEX(Mitigation_Industry!Y:Y,MATCH($A339,Mitigation_Industry!$H:$H,0))</f>
        <v>0.603583100177906</v>
      </c>
      <c r="Z339" s="22" t="n">
        <f aca="false">INDEX(Mitigation_Industry!Z:Z,MATCH($A339,Mitigation_Industry!$H:$H,0))</f>
        <v>0.603583100177906</v>
      </c>
      <c r="AA339" s="22" t="n">
        <f aca="false">INDEX(Mitigation_Industry!AA:AA,MATCH($A339,Mitigation_Industry!$H:$H,0))</f>
        <v>0.603583100177906</v>
      </c>
      <c r="AB339" s="22" t="n">
        <f aca="false">INDEX(Mitigation_Industry!AB:AB,MATCH($A339,Mitigation_Industry!$H:$H,0))</f>
        <v>0.603583100177906</v>
      </c>
      <c r="AC339" s="22" t="n">
        <f aca="false">INDEX(Mitigation_Industry!AC:AC,MATCH($A339,Mitigation_Industry!$H:$H,0))</f>
        <v>0.603583100177906</v>
      </c>
      <c r="AD339" s="22" t="n">
        <f aca="false">INDEX(Mitigation_Industry!AD:AD,MATCH($A339,Mitigation_Industry!$H:$H,0))</f>
        <v>0.603583100177906</v>
      </c>
      <c r="AE339" s="22" t="n">
        <f aca="false">INDEX(Mitigation_Industry!AE:AE,MATCH($A339,Mitigation_Industry!$H:$H,0))</f>
        <v>0.603583100177906</v>
      </c>
    </row>
    <row r="340" customFormat="false" ht="15" hidden="false" customHeight="false" outlineLevel="0" collapsed="false">
      <c r="A340" s="35" t="s">
        <v>1250</v>
      </c>
      <c r="B340" s="6" t="s">
        <v>59</v>
      </c>
      <c r="C340" s="6" t="s">
        <v>117</v>
      </c>
      <c r="D340" s="6" t="n">
        <v>1</v>
      </c>
      <c r="E340" s="2" t="s">
        <v>1167</v>
      </c>
      <c r="F340" s="40" t="n">
        <f aca="false">MAX(MAX(L340:AE340),-MIN(L340:AE340))</f>
        <v>-0</v>
      </c>
      <c r="K340" s="41" t="n">
        <f aca="false">IF(ISNUMBER(K338),IF(ISNUMBER(K339),K339-K338,999999),0)</f>
        <v>0</v>
      </c>
      <c r="L340" s="41" t="n">
        <f aca="false">IF(ISNUMBER(L338),IF(ISNUMBER(L339),L339-L338,999999),0)</f>
        <v>0</v>
      </c>
      <c r="M340" s="41" t="n">
        <f aca="false">IF(ISNUMBER(M338),IF(ISNUMBER(M339),M339-M338,999999),0)</f>
        <v>0</v>
      </c>
      <c r="N340" s="41" t="n">
        <f aca="false">IF(ISNUMBER(N338),IF(ISNUMBER(N339),N339-N338,999999),0)</f>
        <v>0</v>
      </c>
      <c r="O340" s="41" t="n">
        <f aca="false">IF(ISNUMBER(O338),IF(ISNUMBER(O339),O339-O338,999999),0)</f>
        <v>0</v>
      </c>
      <c r="P340" s="41" t="n">
        <f aca="false">IF(ISNUMBER(P338),IF(ISNUMBER(P339),P339-P338,999999),0)</f>
        <v>0</v>
      </c>
      <c r="Q340" s="41" t="n">
        <f aca="false">IF(ISNUMBER(Q338),IF(ISNUMBER(Q339),Q339-Q338,999999),0)</f>
        <v>0</v>
      </c>
      <c r="R340" s="41" t="n">
        <f aca="false">IF(ISNUMBER(R338),IF(ISNUMBER(R339),R339-R338,999999),0)</f>
        <v>0</v>
      </c>
      <c r="S340" s="41" t="n">
        <f aca="false">IF(ISNUMBER(S338),IF(ISNUMBER(S339),S339-S338,999999),0)</f>
        <v>0</v>
      </c>
      <c r="T340" s="41" t="n">
        <f aca="false">IF(ISNUMBER(T338),IF(ISNUMBER(T339),T339-T338,999999),0)</f>
        <v>0</v>
      </c>
      <c r="U340" s="41" t="n">
        <f aca="false">IF(ISNUMBER(U338),IF(ISNUMBER(U339),U339-U338,999999),0)</f>
        <v>0</v>
      </c>
      <c r="V340" s="41" t="n">
        <f aca="false">IF(ISNUMBER(V338),IF(ISNUMBER(V339),V339-V338,999999),0)</f>
        <v>0</v>
      </c>
      <c r="W340" s="41" t="n">
        <f aca="false">IF(ISNUMBER(W338),IF(ISNUMBER(W339),W339-W338,999999),0)</f>
        <v>0</v>
      </c>
      <c r="X340" s="41" t="n">
        <f aca="false">IF(ISNUMBER(X338),IF(ISNUMBER(X339),X339-X338,999999),0)</f>
        <v>0</v>
      </c>
      <c r="Y340" s="41" t="n">
        <f aca="false">IF(ISNUMBER(Y338),IF(ISNUMBER(Y339),Y339-Y338,999999),0)</f>
        <v>0</v>
      </c>
      <c r="Z340" s="41" t="n">
        <f aca="false">IF(ISNUMBER(Z338),IF(ISNUMBER(Z339),Z339-Z338,999999),0)</f>
        <v>0</v>
      </c>
      <c r="AA340" s="41" t="n">
        <f aca="false">IF(ISNUMBER(AA338),IF(ISNUMBER(AA339),AA339-AA338,999999),0)</f>
        <v>0</v>
      </c>
      <c r="AB340" s="41" t="n">
        <f aca="false">IF(ISNUMBER(AB338),IF(ISNUMBER(AB339),AB339-AB338,999999),0)</f>
        <v>0</v>
      </c>
      <c r="AC340" s="41" t="n">
        <f aca="false">IF(ISNUMBER(AC338),IF(ISNUMBER(AC339),AC339-AC338,999999),0)</f>
        <v>0</v>
      </c>
      <c r="AD340" s="41" t="n">
        <f aca="false">IF(ISNUMBER(AD338),IF(ISNUMBER(AD339),AD339-AD338,999999),0)</f>
        <v>0</v>
      </c>
      <c r="AE340" s="41" t="n">
        <f aca="false">IF(ISNUMBER(AE338),IF(ISNUMBER(AE339),AE339-AE338,999999),0)</f>
        <v>0</v>
      </c>
    </row>
    <row r="342" customFormat="false" ht="15" hidden="false" customHeight="false" outlineLevel="0" collapsed="false">
      <c r="A342" s="35" t="s">
        <v>1251</v>
      </c>
      <c r="B342" s="6" t="s">
        <v>62</v>
      </c>
      <c r="C342" s="6" t="s">
        <v>117</v>
      </c>
      <c r="D342" s="6" t="n">
        <v>1</v>
      </c>
      <c r="E342" s="6" t="s">
        <v>1165</v>
      </c>
      <c r="K342" s="22"/>
      <c r="L342" s="22" t="n">
        <v>0.494588730841068</v>
      </c>
      <c r="M342" s="22" t="n">
        <v>0.507786547202501</v>
      </c>
      <c r="N342" s="22" t="n">
        <v>0.470436426795617</v>
      </c>
      <c r="O342" s="22" t="n">
        <v>0.470436426795617</v>
      </c>
      <c r="P342" s="22" t="n">
        <v>0.470436426795617</v>
      </c>
      <c r="Q342" s="22" t="n">
        <v>0.470436426795617</v>
      </c>
      <c r="R342" s="22" t="n">
        <v>0.470436426795617</v>
      </c>
      <c r="S342" s="22" t="n">
        <v>0.470436426795617</v>
      </c>
      <c r="T342" s="22" t="n">
        <v>0.470436426795617</v>
      </c>
      <c r="U342" s="22" t="n">
        <v>0.470436426795617</v>
      </c>
      <c r="V342" s="22" t="n">
        <v>0.470436426795617</v>
      </c>
      <c r="W342" s="22" t="n">
        <v>0.470436426795617</v>
      </c>
      <c r="X342" s="22" t="n">
        <v>0.470436426795617</v>
      </c>
      <c r="Y342" s="22" t="n">
        <v>0.470436426795617</v>
      </c>
      <c r="Z342" s="22" t="n">
        <v>0.470436426795617</v>
      </c>
      <c r="AA342" s="22" t="n">
        <v>0.470436426795617</v>
      </c>
      <c r="AB342" s="22" t="n">
        <v>0.470436426795617</v>
      </c>
      <c r="AC342" s="22" t="n">
        <v>0.470436426795617</v>
      </c>
      <c r="AD342" s="22" t="n">
        <v>0.470436426795617</v>
      </c>
      <c r="AE342" s="22" t="n">
        <v>0.470436426795617</v>
      </c>
    </row>
    <row r="343" customFormat="false" ht="15" hidden="false" customHeight="false" outlineLevel="0" collapsed="false">
      <c r="A343" s="35" t="s">
        <v>1251</v>
      </c>
      <c r="B343" s="6" t="s">
        <v>62</v>
      </c>
      <c r="C343" s="6" t="s">
        <v>117</v>
      </c>
      <c r="D343" s="6" t="n">
        <v>1</v>
      </c>
      <c r="E343" s="6" t="s">
        <v>1166</v>
      </c>
      <c r="K343" s="22" t="n">
        <f aca="false">INDEX(Mitigation_Industry!K:K,MATCH($A343,Mitigation_Industry!$H:$H,0))</f>
        <v>0.559711213155688</v>
      </c>
      <c r="L343" s="22" t="n">
        <f aca="false">INDEX(Mitigation_Industry!L:L,MATCH($A343,Mitigation_Industry!$H:$H,0))</f>
        <v>0.494588730841068</v>
      </c>
      <c r="M343" s="22" t="n">
        <f aca="false">INDEX(Mitigation_Industry!M:M,MATCH($A343,Mitigation_Industry!$H:$H,0))</f>
        <v>0.507786547202501</v>
      </c>
      <c r="N343" s="22" t="n">
        <f aca="false">INDEX(Mitigation_Industry!N:N,MATCH($A343,Mitigation_Industry!$H:$H,0))</f>
        <v>0.470436426795617</v>
      </c>
      <c r="O343" s="22" t="n">
        <f aca="false">INDEX(Mitigation_Industry!O:O,MATCH($A343,Mitigation_Industry!$H:$H,0))</f>
        <v>0.470436426795617</v>
      </c>
      <c r="P343" s="22" t="n">
        <f aca="false">INDEX(Mitigation_Industry!P:P,MATCH($A343,Mitigation_Industry!$H:$H,0))</f>
        <v>0.470436426795617</v>
      </c>
      <c r="Q343" s="22" t="n">
        <f aca="false">INDEX(Mitigation_Industry!Q:Q,MATCH($A343,Mitigation_Industry!$H:$H,0))</f>
        <v>0.470436426795617</v>
      </c>
      <c r="R343" s="22" t="n">
        <f aca="false">INDEX(Mitigation_Industry!R:R,MATCH($A343,Mitigation_Industry!$H:$H,0))</f>
        <v>0.470436426795617</v>
      </c>
      <c r="S343" s="22" t="n">
        <f aca="false">INDEX(Mitigation_Industry!S:S,MATCH($A343,Mitigation_Industry!$H:$H,0))</f>
        <v>0.470436426795617</v>
      </c>
      <c r="T343" s="22" t="n">
        <f aca="false">INDEX(Mitigation_Industry!T:T,MATCH($A343,Mitigation_Industry!$H:$H,0))</f>
        <v>0.470436426795617</v>
      </c>
      <c r="U343" s="22" t="n">
        <f aca="false">INDEX(Mitigation_Industry!U:U,MATCH($A343,Mitigation_Industry!$H:$H,0))</f>
        <v>0.470436426795617</v>
      </c>
      <c r="V343" s="22" t="n">
        <f aca="false">INDEX(Mitigation_Industry!V:V,MATCH($A343,Mitigation_Industry!$H:$H,0))</f>
        <v>0.470436426795617</v>
      </c>
      <c r="W343" s="22" t="n">
        <f aca="false">INDEX(Mitigation_Industry!W:W,MATCH($A343,Mitigation_Industry!$H:$H,0))</f>
        <v>0.470436426795617</v>
      </c>
      <c r="X343" s="22" t="n">
        <f aca="false">INDEX(Mitigation_Industry!X:X,MATCH($A343,Mitigation_Industry!$H:$H,0))</f>
        <v>0.470436426795617</v>
      </c>
      <c r="Y343" s="22" t="n">
        <f aca="false">INDEX(Mitigation_Industry!Y:Y,MATCH($A343,Mitigation_Industry!$H:$H,0))</f>
        <v>0.470436426795617</v>
      </c>
      <c r="Z343" s="22" t="n">
        <f aca="false">INDEX(Mitigation_Industry!Z:Z,MATCH($A343,Mitigation_Industry!$H:$H,0))</f>
        <v>0.470436426795617</v>
      </c>
      <c r="AA343" s="22" t="n">
        <f aca="false">INDEX(Mitigation_Industry!AA:AA,MATCH($A343,Mitigation_Industry!$H:$H,0))</f>
        <v>0.470436426795617</v>
      </c>
      <c r="AB343" s="22" t="n">
        <f aca="false">INDEX(Mitigation_Industry!AB:AB,MATCH($A343,Mitigation_Industry!$H:$H,0))</f>
        <v>0.470436426795617</v>
      </c>
      <c r="AC343" s="22" t="n">
        <f aca="false">INDEX(Mitigation_Industry!AC:AC,MATCH($A343,Mitigation_Industry!$H:$H,0))</f>
        <v>0.470436426795617</v>
      </c>
      <c r="AD343" s="22" t="n">
        <f aca="false">INDEX(Mitigation_Industry!AD:AD,MATCH($A343,Mitigation_Industry!$H:$H,0))</f>
        <v>0.470436426795617</v>
      </c>
      <c r="AE343" s="22" t="n">
        <f aca="false">INDEX(Mitigation_Industry!AE:AE,MATCH($A343,Mitigation_Industry!$H:$H,0))</f>
        <v>0.470436426795617</v>
      </c>
    </row>
    <row r="344" customFormat="false" ht="15" hidden="false" customHeight="false" outlineLevel="0" collapsed="false">
      <c r="A344" s="35" t="s">
        <v>1251</v>
      </c>
      <c r="B344" s="6" t="s">
        <v>62</v>
      </c>
      <c r="C344" s="6" t="s">
        <v>117</v>
      </c>
      <c r="D344" s="6" t="n">
        <v>1</v>
      </c>
      <c r="E344" s="2" t="s">
        <v>1167</v>
      </c>
      <c r="F344" s="40" t="n">
        <f aca="false">MAX(MAX(L344:AE344),-MIN(L344:AE344))</f>
        <v>-0</v>
      </c>
      <c r="K344" s="41" t="n">
        <f aca="false">IF(ISNUMBER(K342),IF(ISNUMBER(K343),K343-K342,999999),0)</f>
        <v>0</v>
      </c>
      <c r="L344" s="41" t="n">
        <f aca="false">IF(ISNUMBER(L342),IF(ISNUMBER(L343),L343-L342,999999),0)</f>
        <v>0</v>
      </c>
      <c r="M344" s="41" t="n">
        <f aca="false">IF(ISNUMBER(M342),IF(ISNUMBER(M343),M343-M342,999999),0)</f>
        <v>0</v>
      </c>
      <c r="N344" s="41" t="n">
        <f aca="false">IF(ISNUMBER(N342),IF(ISNUMBER(N343),N343-N342,999999),0)</f>
        <v>0</v>
      </c>
      <c r="O344" s="41" t="n">
        <f aca="false">IF(ISNUMBER(O342),IF(ISNUMBER(O343),O343-O342,999999),0)</f>
        <v>0</v>
      </c>
      <c r="P344" s="41" t="n">
        <f aca="false">IF(ISNUMBER(P342),IF(ISNUMBER(P343),P343-P342,999999),0)</f>
        <v>0</v>
      </c>
      <c r="Q344" s="41" t="n">
        <f aca="false">IF(ISNUMBER(Q342),IF(ISNUMBER(Q343),Q343-Q342,999999),0)</f>
        <v>0</v>
      </c>
      <c r="R344" s="41" t="n">
        <f aca="false">IF(ISNUMBER(R342),IF(ISNUMBER(R343),R343-R342,999999),0)</f>
        <v>0</v>
      </c>
      <c r="S344" s="41" t="n">
        <f aca="false">IF(ISNUMBER(S342),IF(ISNUMBER(S343),S343-S342,999999),0)</f>
        <v>0</v>
      </c>
      <c r="T344" s="41" t="n">
        <f aca="false">IF(ISNUMBER(T342),IF(ISNUMBER(T343),T343-T342,999999),0)</f>
        <v>0</v>
      </c>
      <c r="U344" s="41" t="n">
        <f aca="false">IF(ISNUMBER(U342),IF(ISNUMBER(U343),U343-U342,999999),0)</f>
        <v>0</v>
      </c>
      <c r="V344" s="41" t="n">
        <f aca="false">IF(ISNUMBER(V342),IF(ISNUMBER(V343),V343-V342,999999),0)</f>
        <v>0</v>
      </c>
      <c r="W344" s="41" t="n">
        <f aca="false">IF(ISNUMBER(W342),IF(ISNUMBER(W343),W343-W342,999999),0)</f>
        <v>0</v>
      </c>
      <c r="X344" s="41" t="n">
        <f aca="false">IF(ISNUMBER(X342),IF(ISNUMBER(X343),X343-X342,999999),0)</f>
        <v>0</v>
      </c>
      <c r="Y344" s="41" t="n">
        <f aca="false">IF(ISNUMBER(Y342),IF(ISNUMBER(Y343),Y343-Y342,999999),0)</f>
        <v>0</v>
      </c>
      <c r="Z344" s="41" t="n">
        <f aca="false">IF(ISNUMBER(Z342),IF(ISNUMBER(Z343),Z343-Z342,999999),0)</f>
        <v>0</v>
      </c>
      <c r="AA344" s="41" t="n">
        <f aca="false">IF(ISNUMBER(AA342),IF(ISNUMBER(AA343),AA343-AA342,999999),0)</f>
        <v>0</v>
      </c>
      <c r="AB344" s="41" t="n">
        <f aca="false">IF(ISNUMBER(AB342),IF(ISNUMBER(AB343),AB343-AB342,999999),0)</f>
        <v>0</v>
      </c>
      <c r="AC344" s="41" t="n">
        <f aca="false">IF(ISNUMBER(AC342),IF(ISNUMBER(AC343),AC343-AC342,999999),0)</f>
        <v>0</v>
      </c>
      <c r="AD344" s="41" t="n">
        <f aca="false">IF(ISNUMBER(AD342),IF(ISNUMBER(AD343),AD343-AD342,999999),0)</f>
        <v>0</v>
      </c>
      <c r="AE344" s="41" t="n">
        <f aca="false">IF(ISNUMBER(AE342),IF(ISNUMBER(AE343),AE343-AE342,999999),0)</f>
        <v>0</v>
      </c>
    </row>
    <row r="346" customFormat="false" ht="15" hidden="false" customHeight="false" outlineLevel="0" collapsed="false">
      <c r="A346" s="35" t="s">
        <v>1252</v>
      </c>
      <c r="B346" s="6" t="s">
        <v>64</v>
      </c>
      <c r="C346" s="6" t="s">
        <v>117</v>
      </c>
      <c r="D346" s="6" t="n">
        <v>1</v>
      </c>
      <c r="E346" s="6" t="s">
        <v>1165</v>
      </c>
      <c r="K346" s="22"/>
      <c r="L346" s="22" t="n">
        <v>0.157344736252274</v>
      </c>
      <c r="M346" s="22" t="n">
        <v>0.164484037759277</v>
      </c>
      <c r="N346" s="22" t="n">
        <v>0.150709077807049</v>
      </c>
      <c r="O346" s="22" t="n">
        <v>0.150709077807049</v>
      </c>
      <c r="P346" s="22" t="n">
        <v>0.150709077807049</v>
      </c>
      <c r="Q346" s="22" t="n">
        <v>0.150709077807049</v>
      </c>
      <c r="R346" s="22" t="n">
        <v>0.150709077807049</v>
      </c>
      <c r="S346" s="22" t="n">
        <v>0.150709077807049</v>
      </c>
      <c r="T346" s="22" t="n">
        <v>0.150709077807049</v>
      </c>
      <c r="U346" s="22" t="n">
        <v>0.150709077807049</v>
      </c>
      <c r="V346" s="22" t="n">
        <v>0.150709077807049</v>
      </c>
      <c r="W346" s="22" t="n">
        <v>0.150709077807049</v>
      </c>
      <c r="X346" s="22" t="n">
        <v>0.150709077807049</v>
      </c>
      <c r="Y346" s="22" t="n">
        <v>0.150709077807049</v>
      </c>
      <c r="Z346" s="22" t="n">
        <v>0.150709077807049</v>
      </c>
      <c r="AA346" s="22" t="n">
        <v>0.150709077807049</v>
      </c>
      <c r="AB346" s="22" t="n">
        <v>0.150709077807049</v>
      </c>
      <c r="AC346" s="22" t="n">
        <v>0.150709077807049</v>
      </c>
      <c r="AD346" s="22" t="n">
        <v>0.150709077807049</v>
      </c>
      <c r="AE346" s="22" t="n">
        <v>0.150709077807049</v>
      </c>
    </row>
    <row r="347" customFormat="false" ht="15" hidden="false" customHeight="false" outlineLevel="0" collapsed="false">
      <c r="A347" s="35" t="s">
        <v>1252</v>
      </c>
      <c r="B347" s="6" t="s">
        <v>64</v>
      </c>
      <c r="C347" s="6" t="s">
        <v>117</v>
      </c>
      <c r="D347" s="6" t="n">
        <v>1</v>
      </c>
      <c r="E347" s="6" t="s">
        <v>1166</v>
      </c>
      <c r="K347" s="22" t="n">
        <f aca="false">INDEX(Mitigation_Industry!K:K,MATCH($A347,Mitigation_Industry!$H:$H,0))</f>
        <v>0.200366691126738</v>
      </c>
      <c r="L347" s="22" t="n">
        <f aca="false">INDEX(Mitigation_Industry!L:L,MATCH($A347,Mitigation_Industry!$H:$H,0))</f>
        <v>0.157344736252274</v>
      </c>
      <c r="M347" s="22" t="n">
        <f aca="false">INDEX(Mitigation_Industry!M:M,MATCH($A347,Mitigation_Industry!$H:$H,0))</f>
        <v>0.164484037759277</v>
      </c>
      <c r="N347" s="22" t="n">
        <f aca="false">INDEX(Mitigation_Industry!N:N,MATCH($A347,Mitigation_Industry!$H:$H,0))</f>
        <v>0.150709077807049</v>
      </c>
      <c r="O347" s="22" t="n">
        <f aca="false">INDEX(Mitigation_Industry!O:O,MATCH($A347,Mitigation_Industry!$H:$H,0))</f>
        <v>0.150709077807049</v>
      </c>
      <c r="P347" s="22" t="n">
        <f aca="false">INDEX(Mitigation_Industry!P:P,MATCH($A347,Mitigation_Industry!$H:$H,0))</f>
        <v>0.150709077807049</v>
      </c>
      <c r="Q347" s="22" t="n">
        <f aca="false">INDEX(Mitigation_Industry!Q:Q,MATCH($A347,Mitigation_Industry!$H:$H,0))</f>
        <v>0.150709077807049</v>
      </c>
      <c r="R347" s="22" t="n">
        <f aca="false">INDEX(Mitigation_Industry!R:R,MATCH($A347,Mitigation_Industry!$H:$H,0))</f>
        <v>0.150709077807049</v>
      </c>
      <c r="S347" s="22" t="n">
        <f aca="false">INDEX(Mitigation_Industry!S:S,MATCH($A347,Mitigation_Industry!$H:$H,0))</f>
        <v>0.150709077807049</v>
      </c>
      <c r="T347" s="22" t="n">
        <f aca="false">INDEX(Mitigation_Industry!T:T,MATCH($A347,Mitigation_Industry!$H:$H,0))</f>
        <v>0.150709077807049</v>
      </c>
      <c r="U347" s="22" t="n">
        <f aca="false">INDEX(Mitigation_Industry!U:U,MATCH($A347,Mitigation_Industry!$H:$H,0))</f>
        <v>0.150709077807049</v>
      </c>
      <c r="V347" s="22" t="n">
        <f aca="false">INDEX(Mitigation_Industry!V:V,MATCH($A347,Mitigation_Industry!$H:$H,0))</f>
        <v>0.150709077807049</v>
      </c>
      <c r="W347" s="22" t="n">
        <f aca="false">INDEX(Mitigation_Industry!W:W,MATCH($A347,Mitigation_Industry!$H:$H,0))</f>
        <v>0.150709077807049</v>
      </c>
      <c r="X347" s="22" t="n">
        <f aca="false">INDEX(Mitigation_Industry!X:X,MATCH($A347,Mitigation_Industry!$H:$H,0))</f>
        <v>0.150709077807049</v>
      </c>
      <c r="Y347" s="22" t="n">
        <f aca="false">INDEX(Mitigation_Industry!Y:Y,MATCH($A347,Mitigation_Industry!$H:$H,0))</f>
        <v>0.150709077807049</v>
      </c>
      <c r="Z347" s="22" t="n">
        <f aca="false">INDEX(Mitigation_Industry!Z:Z,MATCH($A347,Mitigation_Industry!$H:$H,0))</f>
        <v>0.150709077807049</v>
      </c>
      <c r="AA347" s="22" t="n">
        <f aca="false">INDEX(Mitigation_Industry!AA:AA,MATCH($A347,Mitigation_Industry!$H:$H,0))</f>
        <v>0.150709077807049</v>
      </c>
      <c r="AB347" s="22" t="n">
        <f aca="false">INDEX(Mitigation_Industry!AB:AB,MATCH($A347,Mitigation_Industry!$H:$H,0))</f>
        <v>0.150709077807049</v>
      </c>
      <c r="AC347" s="22" t="n">
        <f aca="false">INDEX(Mitigation_Industry!AC:AC,MATCH($A347,Mitigation_Industry!$H:$H,0))</f>
        <v>0.150709077807049</v>
      </c>
      <c r="AD347" s="22" t="n">
        <f aca="false">INDEX(Mitigation_Industry!AD:AD,MATCH($A347,Mitigation_Industry!$H:$H,0))</f>
        <v>0.150709077807049</v>
      </c>
      <c r="AE347" s="22" t="n">
        <f aca="false">INDEX(Mitigation_Industry!AE:AE,MATCH($A347,Mitigation_Industry!$H:$H,0))</f>
        <v>0.150709077807049</v>
      </c>
    </row>
    <row r="348" customFormat="false" ht="15" hidden="false" customHeight="false" outlineLevel="0" collapsed="false">
      <c r="A348" s="35" t="s">
        <v>1252</v>
      </c>
      <c r="B348" s="6" t="s">
        <v>64</v>
      </c>
      <c r="C348" s="6" t="s">
        <v>117</v>
      </c>
      <c r="D348" s="6" t="n">
        <v>1</v>
      </c>
      <c r="E348" s="2" t="s">
        <v>1167</v>
      </c>
      <c r="F348" s="40" t="n">
        <f aca="false">MAX(MAX(L348:AE348),-MIN(L348:AE348))</f>
        <v>-0</v>
      </c>
      <c r="K348" s="41" t="n">
        <f aca="false">IF(ISNUMBER(K346),IF(ISNUMBER(K347),K347-K346,999999),0)</f>
        <v>0</v>
      </c>
      <c r="L348" s="41" t="n">
        <f aca="false">IF(ISNUMBER(L346),IF(ISNUMBER(L347),L347-L346,999999),0)</f>
        <v>0</v>
      </c>
      <c r="M348" s="41" t="n">
        <f aca="false">IF(ISNUMBER(M346),IF(ISNUMBER(M347),M347-M346,999999),0)</f>
        <v>0</v>
      </c>
      <c r="N348" s="41" t="n">
        <f aca="false">IF(ISNUMBER(N346),IF(ISNUMBER(N347),N347-N346,999999),0)</f>
        <v>0</v>
      </c>
      <c r="O348" s="41" t="n">
        <f aca="false">IF(ISNUMBER(O346),IF(ISNUMBER(O347),O347-O346,999999),0)</f>
        <v>0</v>
      </c>
      <c r="P348" s="41" t="n">
        <f aca="false">IF(ISNUMBER(P346),IF(ISNUMBER(P347),P347-P346,999999),0)</f>
        <v>0</v>
      </c>
      <c r="Q348" s="41" t="n">
        <f aca="false">IF(ISNUMBER(Q346),IF(ISNUMBER(Q347),Q347-Q346,999999),0)</f>
        <v>0</v>
      </c>
      <c r="R348" s="41" t="n">
        <f aca="false">IF(ISNUMBER(R346),IF(ISNUMBER(R347),R347-R346,999999),0)</f>
        <v>0</v>
      </c>
      <c r="S348" s="41" t="n">
        <f aca="false">IF(ISNUMBER(S346),IF(ISNUMBER(S347),S347-S346,999999),0)</f>
        <v>0</v>
      </c>
      <c r="T348" s="41" t="n">
        <f aca="false">IF(ISNUMBER(T346),IF(ISNUMBER(T347),T347-T346,999999),0)</f>
        <v>0</v>
      </c>
      <c r="U348" s="41" t="n">
        <f aca="false">IF(ISNUMBER(U346),IF(ISNUMBER(U347),U347-U346,999999),0)</f>
        <v>0</v>
      </c>
      <c r="V348" s="41" t="n">
        <f aca="false">IF(ISNUMBER(V346),IF(ISNUMBER(V347),V347-V346,999999),0)</f>
        <v>0</v>
      </c>
      <c r="W348" s="41" t="n">
        <f aca="false">IF(ISNUMBER(W346),IF(ISNUMBER(W347),W347-W346,999999),0)</f>
        <v>0</v>
      </c>
      <c r="X348" s="41" t="n">
        <f aca="false">IF(ISNUMBER(X346),IF(ISNUMBER(X347),X347-X346,999999),0)</f>
        <v>0</v>
      </c>
      <c r="Y348" s="41" t="n">
        <f aca="false">IF(ISNUMBER(Y346),IF(ISNUMBER(Y347),Y347-Y346,999999),0)</f>
        <v>0</v>
      </c>
      <c r="Z348" s="41" t="n">
        <f aca="false">IF(ISNUMBER(Z346),IF(ISNUMBER(Z347),Z347-Z346,999999),0)</f>
        <v>0</v>
      </c>
      <c r="AA348" s="41" t="n">
        <f aca="false">IF(ISNUMBER(AA346),IF(ISNUMBER(AA347),AA347-AA346,999999),0)</f>
        <v>0</v>
      </c>
      <c r="AB348" s="41" t="n">
        <f aca="false">IF(ISNUMBER(AB346),IF(ISNUMBER(AB347),AB347-AB346,999999),0)</f>
        <v>0</v>
      </c>
      <c r="AC348" s="41" t="n">
        <f aca="false">IF(ISNUMBER(AC346),IF(ISNUMBER(AC347),AC347-AC346,999999),0)</f>
        <v>0</v>
      </c>
      <c r="AD348" s="41" t="n">
        <f aca="false">IF(ISNUMBER(AD346),IF(ISNUMBER(AD347),AD347-AD346,999999),0)</f>
        <v>0</v>
      </c>
      <c r="AE348" s="41" t="n">
        <f aca="false">IF(ISNUMBER(AE346),IF(ISNUMBER(AE347),AE347-AE346,999999),0)</f>
        <v>0</v>
      </c>
    </row>
    <row r="350" customFormat="false" ht="15" hidden="false" customHeight="false" outlineLevel="0" collapsed="false">
      <c r="A350" s="35" t="s">
        <v>1253</v>
      </c>
      <c r="B350" s="6" t="s">
        <v>66</v>
      </c>
      <c r="C350" s="6" t="s">
        <v>117</v>
      </c>
      <c r="D350" s="6" t="n">
        <v>1</v>
      </c>
      <c r="E350" s="6" t="s">
        <v>1165</v>
      </c>
      <c r="K350" s="22"/>
      <c r="L350" s="22" t="n">
        <v>0.456428170500128</v>
      </c>
      <c r="M350" s="22" t="n">
        <v>0.431689201955995</v>
      </c>
      <c r="N350" s="22" t="n">
        <v>0.42507558395597</v>
      </c>
      <c r="O350" s="22" t="n">
        <v>0.42507558395597</v>
      </c>
      <c r="P350" s="22" t="n">
        <v>0.42507558395597</v>
      </c>
      <c r="Q350" s="22" t="n">
        <v>0.42507558395597</v>
      </c>
      <c r="R350" s="22" t="n">
        <v>0.42507558395597</v>
      </c>
      <c r="S350" s="22" t="n">
        <v>0.42507558395597</v>
      </c>
      <c r="T350" s="22" t="n">
        <v>0.42507558395597</v>
      </c>
      <c r="U350" s="22" t="n">
        <v>0.42507558395597</v>
      </c>
      <c r="V350" s="22" t="n">
        <v>0.42507558395597</v>
      </c>
      <c r="W350" s="22" t="n">
        <v>0.42507558395597</v>
      </c>
      <c r="X350" s="22" t="n">
        <v>0.42507558395597</v>
      </c>
      <c r="Y350" s="22" t="n">
        <v>0.42507558395597</v>
      </c>
      <c r="Z350" s="22" t="n">
        <v>0.42507558395597</v>
      </c>
      <c r="AA350" s="22" t="n">
        <v>0.42507558395597</v>
      </c>
      <c r="AB350" s="22" t="n">
        <v>0.42507558395597</v>
      </c>
      <c r="AC350" s="22" t="n">
        <v>0.42507558395597</v>
      </c>
      <c r="AD350" s="22" t="n">
        <v>0.42507558395597</v>
      </c>
      <c r="AE350" s="22" t="n">
        <v>0.42507558395597</v>
      </c>
    </row>
    <row r="351" customFormat="false" ht="15" hidden="false" customHeight="false" outlineLevel="0" collapsed="false">
      <c r="A351" s="35" t="s">
        <v>1253</v>
      </c>
      <c r="B351" s="6" t="s">
        <v>66</v>
      </c>
      <c r="C351" s="6" t="s">
        <v>117</v>
      </c>
      <c r="D351" s="6" t="n">
        <v>1</v>
      </c>
      <c r="E351" s="6" t="s">
        <v>1166</v>
      </c>
      <c r="K351" s="22" t="n">
        <f aca="false">INDEX(Mitigation_Industry!K:K,MATCH($A351,Mitigation_Industry!$H:$H,0))</f>
        <v>0.484294240973435</v>
      </c>
      <c r="L351" s="22" t="n">
        <f aca="false">INDEX(Mitigation_Industry!L:L,MATCH($A351,Mitigation_Industry!$H:$H,0))</f>
        <v>0.456428170500128</v>
      </c>
      <c r="M351" s="22" t="n">
        <f aca="false">INDEX(Mitigation_Industry!M:M,MATCH($A351,Mitigation_Industry!$H:$H,0))</f>
        <v>0.431689201955995</v>
      </c>
      <c r="N351" s="22" t="n">
        <f aca="false">INDEX(Mitigation_Industry!N:N,MATCH($A351,Mitigation_Industry!$H:$H,0))</f>
        <v>0.42507558395597</v>
      </c>
      <c r="O351" s="22" t="n">
        <f aca="false">INDEX(Mitigation_Industry!O:O,MATCH($A351,Mitigation_Industry!$H:$H,0))</f>
        <v>0.42507558395597</v>
      </c>
      <c r="P351" s="22" t="n">
        <f aca="false">INDEX(Mitigation_Industry!P:P,MATCH($A351,Mitigation_Industry!$H:$H,0))</f>
        <v>0.42507558395597</v>
      </c>
      <c r="Q351" s="22" t="n">
        <f aca="false">INDEX(Mitigation_Industry!Q:Q,MATCH($A351,Mitigation_Industry!$H:$H,0))</f>
        <v>0.42507558395597</v>
      </c>
      <c r="R351" s="22" t="n">
        <f aca="false">INDEX(Mitigation_Industry!R:R,MATCH($A351,Mitigation_Industry!$H:$H,0))</f>
        <v>0.42507558395597</v>
      </c>
      <c r="S351" s="22" t="n">
        <f aca="false">INDEX(Mitigation_Industry!S:S,MATCH($A351,Mitigation_Industry!$H:$H,0))</f>
        <v>0.42507558395597</v>
      </c>
      <c r="T351" s="22" t="n">
        <f aca="false">INDEX(Mitigation_Industry!T:T,MATCH($A351,Mitigation_Industry!$H:$H,0))</f>
        <v>0.42507558395597</v>
      </c>
      <c r="U351" s="22" t="n">
        <f aca="false">INDEX(Mitigation_Industry!U:U,MATCH($A351,Mitigation_Industry!$H:$H,0))</f>
        <v>0.42507558395597</v>
      </c>
      <c r="V351" s="22" t="n">
        <f aca="false">INDEX(Mitigation_Industry!V:V,MATCH($A351,Mitigation_Industry!$H:$H,0))</f>
        <v>0.42507558395597</v>
      </c>
      <c r="W351" s="22" t="n">
        <f aca="false">INDEX(Mitigation_Industry!W:W,MATCH($A351,Mitigation_Industry!$H:$H,0))</f>
        <v>0.42507558395597</v>
      </c>
      <c r="X351" s="22" t="n">
        <f aca="false">INDEX(Mitigation_Industry!X:X,MATCH($A351,Mitigation_Industry!$H:$H,0))</f>
        <v>0.42507558395597</v>
      </c>
      <c r="Y351" s="22" t="n">
        <f aca="false">INDEX(Mitigation_Industry!Y:Y,MATCH($A351,Mitigation_Industry!$H:$H,0))</f>
        <v>0.42507558395597</v>
      </c>
      <c r="Z351" s="22" t="n">
        <f aca="false">INDEX(Mitigation_Industry!Z:Z,MATCH($A351,Mitigation_Industry!$H:$H,0))</f>
        <v>0.42507558395597</v>
      </c>
      <c r="AA351" s="22" t="n">
        <f aca="false">INDEX(Mitigation_Industry!AA:AA,MATCH($A351,Mitigation_Industry!$H:$H,0))</f>
        <v>0.42507558395597</v>
      </c>
      <c r="AB351" s="22" t="n">
        <f aca="false">INDEX(Mitigation_Industry!AB:AB,MATCH($A351,Mitigation_Industry!$H:$H,0))</f>
        <v>0.42507558395597</v>
      </c>
      <c r="AC351" s="22" t="n">
        <f aca="false">INDEX(Mitigation_Industry!AC:AC,MATCH($A351,Mitigation_Industry!$H:$H,0))</f>
        <v>0.42507558395597</v>
      </c>
      <c r="AD351" s="22" t="n">
        <f aca="false">INDEX(Mitigation_Industry!AD:AD,MATCH($A351,Mitigation_Industry!$H:$H,0))</f>
        <v>0.42507558395597</v>
      </c>
      <c r="AE351" s="22" t="n">
        <f aca="false">INDEX(Mitigation_Industry!AE:AE,MATCH($A351,Mitigation_Industry!$H:$H,0))</f>
        <v>0.42507558395597</v>
      </c>
    </row>
    <row r="352" customFormat="false" ht="15" hidden="false" customHeight="false" outlineLevel="0" collapsed="false">
      <c r="A352" s="35" t="s">
        <v>1253</v>
      </c>
      <c r="B352" s="6" t="s">
        <v>66</v>
      </c>
      <c r="C352" s="6" t="s">
        <v>117</v>
      </c>
      <c r="D352" s="6" t="n">
        <v>1</v>
      </c>
      <c r="E352" s="2" t="s">
        <v>1167</v>
      </c>
      <c r="F352" s="40" t="n">
        <f aca="false">MAX(MAX(L352:AE352),-MIN(L352:AE352))</f>
        <v>-0</v>
      </c>
      <c r="K352" s="41" t="n">
        <f aca="false">IF(ISNUMBER(K350),IF(ISNUMBER(K351),K351-K350,999999),0)</f>
        <v>0</v>
      </c>
      <c r="L352" s="41" t="n">
        <f aca="false">IF(ISNUMBER(L350),IF(ISNUMBER(L351),L351-L350,999999),0)</f>
        <v>0</v>
      </c>
      <c r="M352" s="41" t="n">
        <f aca="false">IF(ISNUMBER(M350),IF(ISNUMBER(M351),M351-M350,999999),0)</f>
        <v>0</v>
      </c>
      <c r="N352" s="41" t="n">
        <f aca="false">IF(ISNUMBER(N350),IF(ISNUMBER(N351),N351-N350,999999),0)</f>
        <v>0</v>
      </c>
      <c r="O352" s="41" t="n">
        <f aca="false">IF(ISNUMBER(O350),IF(ISNUMBER(O351),O351-O350,999999),0)</f>
        <v>0</v>
      </c>
      <c r="P352" s="41" t="n">
        <f aca="false">IF(ISNUMBER(P350),IF(ISNUMBER(P351),P351-P350,999999),0)</f>
        <v>0</v>
      </c>
      <c r="Q352" s="41" t="n">
        <f aca="false">IF(ISNUMBER(Q350),IF(ISNUMBER(Q351),Q351-Q350,999999),0)</f>
        <v>0</v>
      </c>
      <c r="R352" s="41" t="n">
        <f aca="false">IF(ISNUMBER(R350),IF(ISNUMBER(R351),R351-R350,999999),0)</f>
        <v>0</v>
      </c>
      <c r="S352" s="41" t="n">
        <f aca="false">IF(ISNUMBER(S350),IF(ISNUMBER(S351),S351-S350,999999),0)</f>
        <v>0</v>
      </c>
      <c r="T352" s="41" t="n">
        <f aca="false">IF(ISNUMBER(T350),IF(ISNUMBER(T351),T351-T350,999999),0)</f>
        <v>0</v>
      </c>
      <c r="U352" s="41" t="n">
        <f aca="false">IF(ISNUMBER(U350),IF(ISNUMBER(U351),U351-U350,999999),0)</f>
        <v>0</v>
      </c>
      <c r="V352" s="41" t="n">
        <f aca="false">IF(ISNUMBER(V350),IF(ISNUMBER(V351),V351-V350,999999),0)</f>
        <v>0</v>
      </c>
      <c r="W352" s="41" t="n">
        <f aca="false">IF(ISNUMBER(W350),IF(ISNUMBER(W351),W351-W350,999999),0)</f>
        <v>0</v>
      </c>
      <c r="X352" s="41" t="n">
        <f aca="false">IF(ISNUMBER(X350),IF(ISNUMBER(X351),X351-X350,999999),0)</f>
        <v>0</v>
      </c>
      <c r="Y352" s="41" t="n">
        <f aca="false">IF(ISNUMBER(Y350),IF(ISNUMBER(Y351),Y351-Y350,999999),0)</f>
        <v>0</v>
      </c>
      <c r="Z352" s="41" t="n">
        <f aca="false">IF(ISNUMBER(Z350),IF(ISNUMBER(Z351),Z351-Z350,999999),0)</f>
        <v>0</v>
      </c>
      <c r="AA352" s="41" t="n">
        <f aca="false">IF(ISNUMBER(AA350),IF(ISNUMBER(AA351),AA351-AA350,999999),0)</f>
        <v>0</v>
      </c>
      <c r="AB352" s="41" t="n">
        <f aca="false">IF(ISNUMBER(AB350),IF(ISNUMBER(AB351),AB351-AB350,999999),0)</f>
        <v>0</v>
      </c>
      <c r="AC352" s="41" t="n">
        <f aca="false">IF(ISNUMBER(AC350),IF(ISNUMBER(AC351),AC351-AC350,999999),0)</f>
        <v>0</v>
      </c>
      <c r="AD352" s="41" t="n">
        <f aca="false">IF(ISNUMBER(AD350),IF(ISNUMBER(AD351),AD351-AD350,999999),0)</f>
        <v>0</v>
      </c>
      <c r="AE352" s="41" t="n">
        <f aca="false">IF(ISNUMBER(AE350),IF(ISNUMBER(AE351),AE351-AE350,999999),0)</f>
        <v>0</v>
      </c>
    </row>
    <row r="354" customFormat="false" ht="15" hidden="false" customHeight="false" outlineLevel="0" collapsed="false">
      <c r="A354" s="35" t="s">
        <v>1254</v>
      </c>
      <c r="B354" s="6" t="s">
        <v>68</v>
      </c>
      <c r="C354" s="6" t="s">
        <v>117</v>
      </c>
      <c r="D354" s="6" t="n">
        <v>1</v>
      </c>
      <c r="E354" s="6" t="s">
        <v>1165</v>
      </c>
      <c r="K354" s="22"/>
      <c r="L354" s="22" t="n">
        <v>34.4153703043132</v>
      </c>
      <c r="M354" s="22" t="n">
        <v>37.368960690432</v>
      </c>
      <c r="N354" s="22" t="n">
        <v>28.9827611014773</v>
      </c>
      <c r="O354" s="22" t="n">
        <v>15</v>
      </c>
      <c r="P354" s="22" t="n">
        <v>24.2586300842555</v>
      </c>
      <c r="Q354" s="22" t="n">
        <v>15</v>
      </c>
      <c r="R354" s="22" t="n">
        <v>15</v>
      </c>
      <c r="S354" s="22" t="n">
        <v>15</v>
      </c>
      <c r="T354" s="22" t="n">
        <v>15</v>
      </c>
      <c r="U354" s="22" t="n">
        <v>15</v>
      </c>
      <c r="V354" s="22" t="n">
        <v>15</v>
      </c>
      <c r="W354" s="22" t="n">
        <v>15</v>
      </c>
      <c r="X354" s="22" t="n">
        <v>15</v>
      </c>
      <c r="Y354" s="22" t="n">
        <v>15</v>
      </c>
      <c r="Z354" s="22" t="n">
        <v>15</v>
      </c>
      <c r="AA354" s="22" t="n">
        <v>15</v>
      </c>
      <c r="AB354" s="22" t="n">
        <v>15</v>
      </c>
      <c r="AC354" s="22" t="n">
        <v>15</v>
      </c>
      <c r="AD354" s="22" t="n">
        <v>15</v>
      </c>
      <c r="AE354" s="22" t="n">
        <v>15</v>
      </c>
    </row>
    <row r="355" customFormat="false" ht="15" hidden="false" customHeight="false" outlineLevel="0" collapsed="false">
      <c r="A355" s="35" t="s">
        <v>1254</v>
      </c>
      <c r="B355" s="6" t="s">
        <v>68</v>
      </c>
      <c r="C355" s="6" t="s">
        <v>117</v>
      </c>
      <c r="D355" s="6" t="n">
        <v>1</v>
      </c>
      <c r="E355" s="6" t="s">
        <v>1166</v>
      </c>
      <c r="K355" s="22" t="n">
        <f aca="false">INDEX(Mitigation_Industry!K:K,MATCH($A355,Mitigation_Industry!$H:$H,0))</f>
        <v>41.5003384988684</v>
      </c>
      <c r="L355" s="22" t="n">
        <f aca="false">INDEX(Mitigation_Industry!L:L,MATCH($A355,Mitigation_Industry!$H:$H,0))</f>
        <v>34.4153703043132</v>
      </c>
      <c r="M355" s="22" t="n">
        <f aca="false">INDEX(Mitigation_Industry!M:M,MATCH($A355,Mitigation_Industry!$H:$H,0))</f>
        <v>37.368960690432</v>
      </c>
      <c r="N355" s="22" t="n">
        <f aca="false">INDEX(Mitigation_Industry!N:N,MATCH($A355,Mitigation_Industry!$H:$H,0))</f>
        <v>28.9827611014773</v>
      </c>
      <c r="O355" s="22" t="n">
        <f aca="false">INDEX(Mitigation_Industry!O:O,MATCH($A355,Mitigation_Industry!$H:$H,0))</f>
        <v>15</v>
      </c>
      <c r="P355" s="22" t="n">
        <f aca="false">INDEX(Mitigation_Industry!P:P,MATCH($A355,Mitigation_Industry!$H:$H,0))</f>
        <v>24.2586300842555</v>
      </c>
      <c r="Q355" s="22" t="n">
        <f aca="false">INDEX(Mitigation_Industry!Q:Q,MATCH($A355,Mitigation_Industry!$H:$H,0))</f>
        <v>15</v>
      </c>
      <c r="R355" s="22" t="n">
        <f aca="false">INDEX(Mitigation_Industry!R:R,MATCH($A355,Mitigation_Industry!$H:$H,0))</f>
        <v>15</v>
      </c>
      <c r="S355" s="22" t="n">
        <f aca="false">INDEX(Mitigation_Industry!S:S,MATCH($A355,Mitigation_Industry!$H:$H,0))</f>
        <v>15</v>
      </c>
      <c r="T355" s="22" t="n">
        <f aca="false">INDEX(Mitigation_Industry!T:T,MATCH($A355,Mitigation_Industry!$H:$H,0))</f>
        <v>15</v>
      </c>
      <c r="U355" s="22" t="n">
        <f aca="false">INDEX(Mitigation_Industry!U:U,MATCH($A355,Mitigation_Industry!$H:$H,0))</f>
        <v>15</v>
      </c>
      <c r="V355" s="22" t="n">
        <f aca="false">INDEX(Mitigation_Industry!V:V,MATCH($A355,Mitigation_Industry!$H:$H,0))</f>
        <v>15</v>
      </c>
      <c r="W355" s="22" t="n">
        <f aca="false">INDEX(Mitigation_Industry!W:W,MATCH($A355,Mitigation_Industry!$H:$H,0))</f>
        <v>15</v>
      </c>
      <c r="X355" s="22" t="n">
        <f aca="false">INDEX(Mitigation_Industry!X:X,MATCH($A355,Mitigation_Industry!$H:$H,0))</f>
        <v>15</v>
      </c>
      <c r="Y355" s="22" t="n">
        <f aca="false">INDEX(Mitigation_Industry!Y:Y,MATCH($A355,Mitigation_Industry!$H:$H,0))</f>
        <v>15</v>
      </c>
      <c r="Z355" s="22" t="n">
        <f aca="false">INDEX(Mitigation_Industry!Z:Z,MATCH($A355,Mitigation_Industry!$H:$H,0))</f>
        <v>15</v>
      </c>
      <c r="AA355" s="22" t="n">
        <f aca="false">INDEX(Mitigation_Industry!AA:AA,MATCH($A355,Mitigation_Industry!$H:$H,0))</f>
        <v>15</v>
      </c>
      <c r="AB355" s="22" t="n">
        <f aca="false">INDEX(Mitigation_Industry!AB:AB,MATCH($A355,Mitigation_Industry!$H:$H,0))</f>
        <v>15</v>
      </c>
      <c r="AC355" s="22" t="n">
        <f aca="false">INDEX(Mitigation_Industry!AC:AC,MATCH($A355,Mitigation_Industry!$H:$H,0))</f>
        <v>15</v>
      </c>
      <c r="AD355" s="22" t="n">
        <f aca="false">INDEX(Mitigation_Industry!AD:AD,MATCH($A355,Mitigation_Industry!$H:$H,0))</f>
        <v>15</v>
      </c>
      <c r="AE355" s="22" t="n">
        <f aca="false">INDEX(Mitigation_Industry!AE:AE,MATCH($A355,Mitigation_Industry!$H:$H,0))</f>
        <v>15</v>
      </c>
    </row>
    <row r="356" customFormat="false" ht="15" hidden="false" customHeight="false" outlineLevel="0" collapsed="false">
      <c r="A356" s="35" t="s">
        <v>1254</v>
      </c>
      <c r="B356" s="6" t="s">
        <v>68</v>
      </c>
      <c r="C356" s="6" t="s">
        <v>117</v>
      </c>
      <c r="D356" s="6" t="n">
        <v>1</v>
      </c>
      <c r="E356" s="2" t="s">
        <v>1167</v>
      </c>
      <c r="F356" s="40" t="n">
        <f aca="false">MAX(MAX(L356:AE356),-MIN(L356:AE356))</f>
        <v>-0</v>
      </c>
      <c r="K356" s="41" t="n">
        <f aca="false">IF(ISNUMBER(K354),IF(ISNUMBER(K355),K355-K354,999999),0)</f>
        <v>0</v>
      </c>
      <c r="L356" s="41" t="n">
        <f aca="false">IF(ISNUMBER(L354),IF(ISNUMBER(L355),L355-L354,999999),0)</f>
        <v>0</v>
      </c>
      <c r="M356" s="41" t="n">
        <f aca="false">IF(ISNUMBER(M354),IF(ISNUMBER(M355),M355-M354,999999),0)</f>
        <v>0</v>
      </c>
      <c r="N356" s="41" t="n">
        <f aca="false">IF(ISNUMBER(N354),IF(ISNUMBER(N355),N355-N354,999999),0)</f>
        <v>0</v>
      </c>
      <c r="O356" s="41" t="n">
        <f aca="false">IF(ISNUMBER(O354),IF(ISNUMBER(O355),O355-O354,999999),0)</f>
        <v>0</v>
      </c>
      <c r="P356" s="41" t="n">
        <f aca="false">IF(ISNUMBER(P354),IF(ISNUMBER(P355),P355-P354,999999),0)</f>
        <v>0</v>
      </c>
      <c r="Q356" s="41" t="n">
        <f aca="false">IF(ISNUMBER(Q354),IF(ISNUMBER(Q355),Q355-Q354,999999),0)</f>
        <v>0</v>
      </c>
      <c r="R356" s="41" t="n">
        <f aca="false">IF(ISNUMBER(R354),IF(ISNUMBER(R355),R355-R354,999999),0)</f>
        <v>0</v>
      </c>
      <c r="S356" s="41" t="n">
        <f aca="false">IF(ISNUMBER(S354),IF(ISNUMBER(S355),S355-S354,999999),0)</f>
        <v>0</v>
      </c>
      <c r="T356" s="41" t="n">
        <f aca="false">IF(ISNUMBER(T354),IF(ISNUMBER(T355),T355-T354,999999),0)</f>
        <v>0</v>
      </c>
      <c r="U356" s="41" t="n">
        <f aca="false">IF(ISNUMBER(U354),IF(ISNUMBER(U355),U355-U354,999999),0)</f>
        <v>0</v>
      </c>
      <c r="V356" s="41" t="n">
        <f aca="false">IF(ISNUMBER(V354),IF(ISNUMBER(V355),V355-V354,999999),0)</f>
        <v>0</v>
      </c>
      <c r="W356" s="41" t="n">
        <f aca="false">IF(ISNUMBER(W354),IF(ISNUMBER(W355),W355-W354,999999),0)</f>
        <v>0</v>
      </c>
      <c r="X356" s="41" t="n">
        <f aca="false">IF(ISNUMBER(X354),IF(ISNUMBER(X355),X355-X354,999999),0)</f>
        <v>0</v>
      </c>
      <c r="Y356" s="41" t="n">
        <f aca="false">IF(ISNUMBER(Y354),IF(ISNUMBER(Y355),Y355-Y354,999999),0)</f>
        <v>0</v>
      </c>
      <c r="Z356" s="41" t="n">
        <f aca="false">IF(ISNUMBER(Z354),IF(ISNUMBER(Z355),Z355-Z354,999999),0)</f>
        <v>0</v>
      </c>
      <c r="AA356" s="41" t="n">
        <f aca="false">IF(ISNUMBER(AA354),IF(ISNUMBER(AA355),AA355-AA354,999999),0)</f>
        <v>0</v>
      </c>
      <c r="AB356" s="41" t="n">
        <f aca="false">IF(ISNUMBER(AB354),IF(ISNUMBER(AB355),AB355-AB354,999999),0)</f>
        <v>0</v>
      </c>
      <c r="AC356" s="41" t="n">
        <f aca="false">IF(ISNUMBER(AC354),IF(ISNUMBER(AC355),AC355-AC354,999999),0)</f>
        <v>0</v>
      </c>
      <c r="AD356" s="41" t="n">
        <f aca="false">IF(ISNUMBER(AD354),IF(ISNUMBER(AD355),AD355-AD354,999999),0)</f>
        <v>0</v>
      </c>
      <c r="AE356" s="41" t="n">
        <f aca="false">IF(ISNUMBER(AE354),IF(ISNUMBER(AE355),AE355-AE354,999999),0)</f>
        <v>0</v>
      </c>
    </row>
    <row r="358" customFormat="false" ht="15" hidden="false" customHeight="false" outlineLevel="0" collapsed="false">
      <c r="A358" s="35" t="s">
        <v>1255</v>
      </c>
      <c r="B358" s="6" t="s">
        <v>71</v>
      </c>
      <c r="C358" s="6" t="s">
        <v>117</v>
      </c>
      <c r="D358" s="6" t="n">
        <v>1</v>
      </c>
      <c r="E358" s="6" t="s">
        <v>1165</v>
      </c>
      <c r="K358" s="22"/>
      <c r="L358" s="22" t="n">
        <v>14.1995283906349</v>
      </c>
      <c r="M358" s="22" t="n">
        <v>13.8404416133152</v>
      </c>
      <c r="N358" s="22" t="n">
        <v>13.5677269404465</v>
      </c>
      <c r="O358" s="22" t="n">
        <v>13.5677269404465</v>
      </c>
      <c r="P358" s="22" t="n">
        <v>13.5677269404465</v>
      </c>
      <c r="Q358" s="22" t="n">
        <v>13.5677269404465</v>
      </c>
      <c r="R358" s="22" t="n">
        <v>13.5677269404465</v>
      </c>
      <c r="S358" s="22" t="n">
        <v>13.5677269404465</v>
      </c>
      <c r="T358" s="22" t="n">
        <v>13.5677269404465</v>
      </c>
      <c r="U358" s="22" t="n">
        <v>13.5677269404465</v>
      </c>
      <c r="V358" s="22" t="n">
        <v>13.5677269404465</v>
      </c>
      <c r="W358" s="22" t="n">
        <v>13.5677269404465</v>
      </c>
      <c r="X358" s="22" t="n">
        <v>13.5677269404465</v>
      </c>
      <c r="Y358" s="22" t="n">
        <v>13.5677269404465</v>
      </c>
      <c r="Z358" s="22" t="n">
        <v>13.5677269404465</v>
      </c>
      <c r="AA358" s="22" t="n">
        <v>13.5677269404465</v>
      </c>
      <c r="AB358" s="22" t="n">
        <v>13.5677269404465</v>
      </c>
      <c r="AC358" s="22" t="n">
        <v>13.5677269404465</v>
      </c>
      <c r="AD358" s="22" t="n">
        <v>13.5677269404465</v>
      </c>
      <c r="AE358" s="22" t="n">
        <v>13.5677269404465</v>
      </c>
    </row>
    <row r="359" customFormat="false" ht="15" hidden="false" customHeight="false" outlineLevel="0" collapsed="false">
      <c r="A359" s="35" t="s">
        <v>1255</v>
      </c>
      <c r="B359" s="6" t="s">
        <v>71</v>
      </c>
      <c r="C359" s="6" t="s">
        <v>117</v>
      </c>
      <c r="D359" s="6" t="n">
        <v>1</v>
      </c>
      <c r="E359" s="6" t="s">
        <v>1166</v>
      </c>
      <c r="K359" s="22" t="n">
        <f aca="false">INDEX(Mitigation_Industry!K:K,MATCH($A359,Mitigation_Industry!$H:$H,0))</f>
        <v>15.3345505293169</v>
      </c>
      <c r="L359" s="22" t="n">
        <f aca="false">INDEX(Mitigation_Industry!L:L,MATCH($A359,Mitigation_Industry!$H:$H,0))</f>
        <v>14.1995283906349</v>
      </c>
      <c r="M359" s="22" t="n">
        <f aca="false">INDEX(Mitigation_Industry!M:M,MATCH($A359,Mitigation_Industry!$H:$H,0))</f>
        <v>13.8404416133152</v>
      </c>
      <c r="N359" s="22" t="n">
        <f aca="false">INDEX(Mitigation_Industry!N:N,MATCH($A359,Mitigation_Industry!$H:$H,0))</f>
        <v>13.5677269404465</v>
      </c>
      <c r="O359" s="22" t="n">
        <f aca="false">INDEX(Mitigation_Industry!O:O,MATCH($A359,Mitigation_Industry!$H:$H,0))</f>
        <v>13.5677269404465</v>
      </c>
      <c r="P359" s="22" t="n">
        <f aca="false">INDEX(Mitigation_Industry!P:P,MATCH($A359,Mitigation_Industry!$H:$H,0))</f>
        <v>13.5677269404465</v>
      </c>
      <c r="Q359" s="22" t="n">
        <f aca="false">INDEX(Mitigation_Industry!Q:Q,MATCH($A359,Mitigation_Industry!$H:$H,0))</f>
        <v>13.5677269404465</v>
      </c>
      <c r="R359" s="22" t="n">
        <f aca="false">INDEX(Mitigation_Industry!R:R,MATCH($A359,Mitigation_Industry!$H:$H,0))</f>
        <v>13.5677269404465</v>
      </c>
      <c r="S359" s="22" t="n">
        <f aca="false">INDEX(Mitigation_Industry!S:S,MATCH($A359,Mitigation_Industry!$H:$H,0))</f>
        <v>13.5677269404465</v>
      </c>
      <c r="T359" s="22" t="n">
        <f aca="false">INDEX(Mitigation_Industry!T:T,MATCH($A359,Mitigation_Industry!$H:$H,0))</f>
        <v>13.5677269404465</v>
      </c>
      <c r="U359" s="22" t="n">
        <f aca="false">INDEX(Mitigation_Industry!U:U,MATCH($A359,Mitigation_Industry!$H:$H,0))</f>
        <v>13.5677269404465</v>
      </c>
      <c r="V359" s="22" t="n">
        <f aca="false">INDEX(Mitigation_Industry!V:V,MATCH($A359,Mitigation_Industry!$H:$H,0))</f>
        <v>13.5677269404465</v>
      </c>
      <c r="W359" s="22" t="n">
        <f aca="false">INDEX(Mitigation_Industry!W:W,MATCH($A359,Mitigation_Industry!$H:$H,0))</f>
        <v>13.5677269404465</v>
      </c>
      <c r="X359" s="22" t="n">
        <f aca="false">INDEX(Mitigation_Industry!X:X,MATCH($A359,Mitigation_Industry!$H:$H,0))</f>
        <v>13.5677269404465</v>
      </c>
      <c r="Y359" s="22" t="n">
        <f aca="false">INDEX(Mitigation_Industry!Y:Y,MATCH($A359,Mitigation_Industry!$H:$H,0))</f>
        <v>13.5677269404465</v>
      </c>
      <c r="Z359" s="22" t="n">
        <f aca="false">INDEX(Mitigation_Industry!Z:Z,MATCH($A359,Mitigation_Industry!$H:$H,0))</f>
        <v>13.5677269404465</v>
      </c>
      <c r="AA359" s="22" t="n">
        <f aca="false">INDEX(Mitigation_Industry!AA:AA,MATCH($A359,Mitigation_Industry!$H:$H,0))</f>
        <v>13.5677269404465</v>
      </c>
      <c r="AB359" s="22" t="n">
        <f aca="false">INDEX(Mitigation_Industry!AB:AB,MATCH($A359,Mitigation_Industry!$H:$H,0))</f>
        <v>13.5677269404465</v>
      </c>
      <c r="AC359" s="22" t="n">
        <f aca="false">INDEX(Mitigation_Industry!AC:AC,MATCH($A359,Mitigation_Industry!$H:$H,0))</f>
        <v>13.5677269404465</v>
      </c>
      <c r="AD359" s="22" t="n">
        <f aca="false">INDEX(Mitigation_Industry!AD:AD,MATCH($A359,Mitigation_Industry!$H:$H,0))</f>
        <v>13.5677269404465</v>
      </c>
      <c r="AE359" s="22" t="n">
        <f aca="false">INDEX(Mitigation_Industry!AE:AE,MATCH($A359,Mitigation_Industry!$H:$H,0))</f>
        <v>13.5677269404465</v>
      </c>
    </row>
    <row r="360" customFormat="false" ht="15" hidden="false" customHeight="false" outlineLevel="0" collapsed="false">
      <c r="A360" s="35" t="s">
        <v>1255</v>
      </c>
      <c r="B360" s="6" t="s">
        <v>71</v>
      </c>
      <c r="C360" s="6" t="s">
        <v>117</v>
      </c>
      <c r="D360" s="6" t="n">
        <v>1</v>
      </c>
      <c r="E360" s="2" t="s">
        <v>1167</v>
      </c>
      <c r="F360" s="40" t="n">
        <f aca="false">MAX(MAX(L360:AE360),-MIN(L360:AE360))</f>
        <v>-0</v>
      </c>
      <c r="K360" s="41" t="n">
        <f aca="false">IF(ISNUMBER(K358),IF(ISNUMBER(K359),K359-K358,999999),0)</f>
        <v>0</v>
      </c>
      <c r="L360" s="41" t="n">
        <f aca="false">IF(ISNUMBER(L358),IF(ISNUMBER(L359),L359-L358,999999),0)</f>
        <v>0</v>
      </c>
      <c r="M360" s="41" t="n">
        <f aca="false">IF(ISNUMBER(M358),IF(ISNUMBER(M359),M359-M358,999999),0)</f>
        <v>0</v>
      </c>
      <c r="N360" s="41" t="n">
        <f aca="false">IF(ISNUMBER(N358),IF(ISNUMBER(N359),N359-N358,999999),0)</f>
        <v>0</v>
      </c>
      <c r="O360" s="41" t="n">
        <f aca="false">IF(ISNUMBER(O358),IF(ISNUMBER(O359),O359-O358,999999),0)</f>
        <v>0</v>
      </c>
      <c r="P360" s="41" t="n">
        <f aca="false">IF(ISNUMBER(P358),IF(ISNUMBER(P359),P359-P358,999999),0)</f>
        <v>0</v>
      </c>
      <c r="Q360" s="41" t="n">
        <f aca="false">IF(ISNUMBER(Q358),IF(ISNUMBER(Q359),Q359-Q358,999999),0)</f>
        <v>0</v>
      </c>
      <c r="R360" s="41" t="n">
        <f aca="false">IF(ISNUMBER(R358),IF(ISNUMBER(R359),R359-R358,999999),0)</f>
        <v>0</v>
      </c>
      <c r="S360" s="41" t="n">
        <f aca="false">IF(ISNUMBER(S358),IF(ISNUMBER(S359),S359-S358,999999),0)</f>
        <v>0</v>
      </c>
      <c r="T360" s="41" t="n">
        <f aca="false">IF(ISNUMBER(T358),IF(ISNUMBER(T359),T359-T358,999999),0)</f>
        <v>0</v>
      </c>
      <c r="U360" s="41" t="n">
        <f aca="false">IF(ISNUMBER(U358),IF(ISNUMBER(U359),U359-U358,999999),0)</f>
        <v>0</v>
      </c>
      <c r="V360" s="41" t="n">
        <f aca="false">IF(ISNUMBER(V358),IF(ISNUMBER(V359),V359-V358,999999),0)</f>
        <v>0</v>
      </c>
      <c r="W360" s="41" t="n">
        <f aca="false">IF(ISNUMBER(W358),IF(ISNUMBER(W359),W359-W358,999999),0)</f>
        <v>0</v>
      </c>
      <c r="X360" s="41" t="n">
        <f aca="false">IF(ISNUMBER(X358),IF(ISNUMBER(X359),X359-X358,999999),0)</f>
        <v>0</v>
      </c>
      <c r="Y360" s="41" t="n">
        <f aca="false">IF(ISNUMBER(Y358),IF(ISNUMBER(Y359),Y359-Y358,999999),0)</f>
        <v>0</v>
      </c>
      <c r="Z360" s="41" t="n">
        <f aca="false">IF(ISNUMBER(Z358),IF(ISNUMBER(Z359),Z359-Z358,999999),0)</f>
        <v>0</v>
      </c>
      <c r="AA360" s="41" t="n">
        <f aca="false">IF(ISNUMBER(AA358),IF(ISNUMBER(AA359),AA359-AA358,999999),0)</f>
        <v>0</v>
      </c>
      <c r="AB360" s="41" t="n">
        <f aca="false">IF(ISNUMBER(AB358),IF(ISNUMBER(AB359),AB359-AB358,999999),0)</f>
        <v>0</v>
      </c>
      <c r="AC360" s="41" t="n">
        <f aca="false">IF(ISNUMBER(AC358),IF(ISNUMBER(AC359),AC359-AC358,999999),0)</f>
        <v>0</v>
      </c>
      <c r="AD360" s="41" t="n">
        <f aca="false">IF(ISNUMBER(AD358),IF(ISNUMBER(AD359),AD359-AD358,999999),0)</f>
        <v>0</v>
      </c>
      <c r="AE360" s="41" t="n">
        <f aca="false">IF(ISNUMBER(AE358),IF(ISNUMBER(AE359),AE359-AE358,999999),0)</f>
        <v>0</v>
      </c>
    </row>
    <row r="362" customFormat="false" ht="15" hidden="false" customHeight="false" outlineLevel="0" collapsed="false">
      <c r="A362" s="35" t="s">
        <v>1256</v>
      </c>
      <c r="B362" s="6" t="s">
        <v>73</v>
      </c>
      <c r="C362" s="6" t="s">
        <v>117</v>
      </c>
      <c r="D362" s="6" t="n">
        <v>1</v>
      </c>
      <c r="E362" s="6" t="s">
        <v>1165</v>
      </c>
      <c r="K362" s="22"/>
      <c r="L362" s="22" t="n">
        <v>0.144044986793198</v>
      </c>
      <c r="M362" s="22" t="n">
        <v>0.141020409657004</v>
      </c>
      <c r="N362" s="22" t="n">
        <v>0.135116359594476</v>
      </c>
      <c r="O362" s="22" t="n">
        <v>0.130988256985856</v>
      </c>
      <c r="P362" s="22" t="n">
        <v>0.127908416086318</v>
      </c>
      <c r="Q362" s="22" t="n">
        <v>0.124814310557813</v>
      </c>
      <c r="R362" s="22" t="n">
        <v>0.121460257122878</v>
      </c>
      <c r="S362" s="22" t="n">
        <v>0.117950744135786</v>
      </c>
      <c r="T362" s="22" t="n">
        <v>0.114199161044597</v>
      </c>
      <c r="U362" s="22" t="n">
        <v>0.113665100059665</v>
      </c>
      <c r="V362" s="22" t="n">
        <v>0.113016929625957</v>
      </c>
      <c r="W362" s="22" t="n">
        <v>0.112314070507636</v>
      </c>
      <c r="X362" s="22" t="n">
        <v>0.111422042732843</v>
      </c>
      <c r="Y362" s="22" t="n">
        <v>0.110434123675809</v>
      </c>
      <c r="Z362" s="22" t="n">
        <v>0.109483973304471</v>
      </c>
      <c r="AA362" s="22" t="n">
        <v>0.10839192105294</v>
      </c>
      <c r="AB362" s="22" t="n">
        <v>0.107354433626704</v>
      </c>
      <c r="AC362" s="22" t="n">
        <v>0.105168675441661</v>
      </c>
      <c r="AD362" s="22" t="n">
        <v>0.103057983256008</v>
      </c>
      <c r="AE362" s="22" t="n">
        <v>0.100931838990114</v>
      </c>
    </row>
    <row r="363" customFormat="false" ht="15" hidden="false" customHeight="false" outlineLevel="0" collapsed="false">
      <c r="A363" s="35" t="s">
        <v>1256</v>
      </c>
      <c r="B363" s="6" t="s">
        <v>73</v>
      </c>
      <c r="C363" s="6" t="s">
        <v>117</v>
      </c>
      <c r="D363" s="6" t="n">
        <v>1</v>
      </c>
      <c r="E363" s="6" t="s">
        <v>1166</v>
      </c>
      <c r="K363" s="22" t="n">
        <f aca="false">INDEX(Mitigation_Industry!K:K,MATCH($A363,Mitigation_Industry!$H:$H,0))</f>
        <v>0</v>
      </c>
      <c r="L363" s="22" t="n">
        <f aca="false">INDEX(Mitigation_Industry!L:L,MATCH($A363,Mitigation_Industry!$H:$H,0))</f>
        <v>0.144044986793198</v>
      </c>
      <c r="M363" s="22" t="n">
        <f aca="false">INDEX(Mitigation_Industry!M:M,MATCH($A363,Mitigation_Industry!$H:$H,0))</f>
        <v>0.141020409657004</v>
      </c>
      <c r="N363" s="22" t="n">
        <f aca="false">INDEX(Mitigation_Industry!N:N,MATCH($A363,Mitigation_Industry!$H:$H,0))</f>
        <v>0.135116359594476</v>
      </c>
      <c r="O363" s="22" t="n">
        <f aca="false">INDEX(Mitigation_Industry!O:O,MATCH($A363,Mitigation_Industry!$H:$H,0))</f>
        <v>0.130988256985856</v>
      </c>
      <c r="P363" s="22" t="n">
        <f aca="false">INDEX(Mitigation_Industry!P:P,MATCH($A363,Mitigation_Industry!$H:$H,0))</f>
        <v>0.127908416086318</v>
      </c>
      <c r="Q363" s="22" t="n">
        <f aca="false">INDEX(Mitigation_Industry!Q:Q,MATCH($A363,Mitigation_Industry!$H:$H,0))</f>
        <v>0.124814310557813</v>
      </c>
      <c r="R363" s="22" t="n">
        <f aca="false">INDEX(Mitigation_Industry!R:R,MATCH($A363,Mitigation_Industry!$H:$H,0))</f>
        <v>0.121460257122878</v>
      </c>
      <c r="S363" s="22" t="n">
        <f aca="false">INDEX(Mitigation_Industry!S:S,MATCH($A363,Mitigation_Industry!$H:$H,0))</f>
        <v>0.117950744135786</v>
      </c>
      <c r="T363" s="22" t="n">
        <f aca="false">INDEX(Mitigation_Industry!T:T,MATCH($A363,Mitigation_Industry!$H:$H,0))</f>
        <v>0.114199161044597</v>
      </c>
      <c r="U363" s="22" t="n">
        <f aca="false">INDEX(Mitigation_Industry!U:U,MATCH($A363,Mitigation_Industry!$H:$H,0))</f>
        <v>0.113665100059665</v>
      </c>
      <c r="V363" s="22" t="n">
        <f aca="false">INDEX(Mitigation_Industry!V:V,MATCH($A363,Mitigation_Industry!$H:$H,0))</f>
        <v>0.113016929625957</v>
      </c>
      <c r="W363" s="22" t="n">
        <f aca="false">INDEX(Mitigation_Industry!W:W,MATCH($A363,Mitigation_Industry!$H:$H,0))</f>
        <v>0.112314070507636</v>
      </c>
      <c r="X363" s="22" t="n">
        <f aca="false">INDEX(Mitigation_Industry!X:X,MATCH($A363,Mitigation_Industry!$H:$H,0))</f>
        <v>0.111422042732843</v>
      </c>
      <c r="Y363" s="22" t="n">
        <f aca="false">INDEX(Mitigation_Industry!Y:Y,MATCH($A363,Mitigation_Industry!$H:$H,0))</f>
        <v>0.110434123675809</v>
      </c>
      <c r="Z363" s="22" t="n">
        <f aca="false">INDEX(Mitigation_Industry!Z:Z,MATCH($A363,Mitigation_Industry!$H:$H,0))</f>
        <v>0.109483973304471</v>
      </c>
      <c r="AA363" s="22" t="n">
        <f aca="false">INDEX(Mitigation_Industry!AA:AA,MATCH($A363,Mitigation_Industry!$H:$H,0))</f>
        <v>0.10839192105294</v>
      </c>
      <c r="AB363" s="22" t="n">
        <f aca="false">INDEX(Mitigation_Industry!AB:AB,MATCH($A363,Mitigation_Industry!$H:$H,0))</f>
        <v>0.107354433626704</v>
      </c>
      <c r="AC363" s="22" t="n">
        <f aca="false">INDEX(Mitigation_Industry!AC:AC,MATCH($A363,Mitigation_Industry!$H:$H,0))</f>
        <v>0.105168675441661</v>
      </c>
      <c r="AD363" s="22" t="n">
        <f aca="false">INDEX(Mitigation_Industry!AD:AD,MATCH($A363,Mitigation_Industry!$H:$H,0))</f>
        <v>0.103057983256008</v>
      </c>
      <c r="AE363" s="22" t="n">
        <f aca="false">INDEX(Mitigation_Industry!AE:AE,MATCH($A363,Mitigation_Industry!$H:$H,0))</f>
        <v>0.100931838990114</v>
      </c>
    </row>
    <row r="364" customFormat="false" ht="15" hidden="false" customHeight="false" outlineLevel="0" collapsed="false">
      <c r="A364" s="35" t="s">
        <v>1256</v>
      </c>
      <c r="B364" s="6" t="s">
        <v>73</v>
      </c>
      <c r="C364" s="6" t="s">
        <v>117</v>
      </c>
      <c r="D364" s="6" t="n">
        <v>1</v>
      </c>
      <c r="E364" s="2" t="s">
        <v>1167</v>
      </c>
      <c r="F364" s="40" t="n">
        <f aca="false">MAX(MAX(L364:AE364),-MIN(L364:AE364))</f>
        <v>-0</v>
      </c>
      <c r="K364" s="41" t="n">
        <f aca="false">IF(ISNUMBER(K362),IF(ISNUMBER(K363),K363-K362,999999),0)</f>
        <v>0</v>
      </c>
      <c r="L364" s="41" t="n">
        <f aca="false">IF(ISNUMBER(L362),IF(ISNUMBER(L363),L363-L362,999999),0)</f>
        <v>0</v>
      </c>
      <c r="M364" s="41" t="n">
        <f aca="false">IF(ISNUMBER(M362),IF(ISNUMBER(M363),M363-M362,999999),0)</f>
        <v>0</v>
      </c>
      <c r="N364" s="41" t="n">
        <f aca="false">IF(ISNUMBER(N362),IF(ISNUMBER(N363),N363-N362,999999),0)</f>
        <v>0</v>
      </c>
      <c r="O364" s="41" t="n">
        <f aca="false">IF(ISNUMBER(O362),IF(ISNUMBER(O363),O363-O362,999999),0)</f>
        <v>0</v>
      </c>
      <c r="P364" s="41" t="n">
        <f aca="false">IF(ISNUMBER(P362),IF(ISNUMBER(P363),P363-P362,999999),0)</f>
        <v>0</v>
      </c>
      <c r="Q364" s="41" t="n">
        <f aca="false">IF(ISNUMBER(Q362),IF(ISNUMBER(Q363),Q363-Q362,999999),0)</f>
        <v>0</v>
      </c>
      <c r="R364" s="41" t="n">
        <f aca="false">IF(ISNUMBER(R362),IF(ISNUMBER(R363),R363-R362,999999),0)</f>
        <v>0</v>
      </c>
      <c r="S364" s="41" t="n">
        <f aca="false">IF(ISNUMBER(S362),IF(ISNUMBER(S363),S363-S362,999999),0)</f>
        <v>0</v>
      </c>
      <c r="T364" s="41" t="n">
        <f aca="false">IF(ISNUMBER(T362),IF(ISNUMBER(T363),T363-T362,999999),0)</f>
        <v>0</v>
      </c>
      <c r="U364" s="41" t="n">
        <f aca="false">IF(ISNUMBER(U362),IF(ISNUMBER(U363),U363-U362,999999),0)</f>
        <v>0</v>
      </c>
      <c r="V364" s="41" t="n">
        <f aca="false">IF(ISNUMBER(V362),IF(ISNUMBER(V363),V363-V362,999999),0)</f>
        <v>0</v>
      </c>
      <c r="W364" s="41" t="n">
        <f aca="false">IF(ISNUMBER(W362),IF(ISNUMBER(W363),W363-W362,999999),0)</f>
        <v>0</v>
      </c>
      <c r="X364" s="41" t="n">
        <f aca="false">IF(ISNUMBER(X362),IF(ISNUMBER(X363),X363-X362,999999),0)</f>
        <v>0</v>
      </c>
      <c r="Y364" s="41" t="n">
        <f aca="false">IF(ISNUMBER(Y362),IF(ISNUMBER(Y363),Y363-Y362,999999),0)</f>
        <v>0</v>
      </c>
      <c r="Z364" s="41" t="n">
        <f aca="false">IF(ISNUMBER(Z362),IF(ISNUMBER(Z363),Z363-Z362,999999),0)</f>
        <v>0</v>
      </c>
      <c r="AA364" s="41" t="n">
        <f aca="false">IF(ISNUMBER(AA362),IF(ISNUMBER(AA363),AA363-AA362,999999),0)</f>
        <v>0</v>
      </c>
      <c r="AB364" s="41" t="n">
        <f aca="false">IF(ISNUMBER(AB362),IF(ISNUMBER(AB363),AB363-AB362,999999),0)</f>
        <v>0</v>
      </c>
      <c r="AC364" s="41" t="n">
        <f aca="false">IF(ISNUMBER(AC362),IF(ISNUMBER(AC363),AC363-AC362,999999),0)</f>
        <v>0</v>
      </c>
      <c r="AD364" s="41" t="n">
        <f aca="false">IF(ISNUMBER(AD362),IF(ISNUMBER(AD363),AD363-AD362,999999),0)</f>
        <v>0</v>
      </c>
      <c r="AE364" s="41" t="n">
        <f aca="false">IF(ISNUMBER(AE362),IF(ISNUMBER(AE363),AE363-AE362,999999),0)</f>
        <v>0</v>
      </c>
    </row>
    <row r="366" customFormat="false" ht="15" hidden="false" customHeight="false" outlineLevel="0" collapsed="false">
      <c r="A366" s="35" t="s">
        <v>1257</v>
      </c>
      <c r="B366" s="6" t="s">
        <v>53</v>
      </c>
      <c r="C366" s="6" t="s">
        <v>119</v>
      </c>
      <c r="D366" s="6" t="n">
        <v>1</v>
      </c>
      <c r="E366" s="6" t="s">
        <v>1165</v>
      </c>
      <c r="K366" s="22"/>
      <c r="L366" s="22" t="n">
        <v>10.5233613454312</v>
      </c>
      <c r="M366" s="22" t="n">
        <v>10.2995608274442</v>
      </c>
      <c r="N366" s="22" t="n">
        <v>9.57752835953826</v>
      </c>
      <c r="O366" s="22" t="n">
        <v>8.48547828695805</v>
      </c>
      <c r="P366" s="22" t="n">
        <v>9.08719223524986</v>
      </c>
      <c r="Q366" s="22" t="n">
        <v>9.22292372893268</v>
      </c>
      <c r="R366" s="22" t="n">
        <v>9.15856495550969</v>
      </c>
      <c r="S366" s="22" t="n">
        <v>9.08954787739738</v>
      </c>
      <c r="T366" s="22" t="n">
        <v>9.01568166602283</v>
      </c>
      <c r="U366" s="22" t="n">
        <v>8.94439776555711</v>
      </c>
      <c r="V366" s="22" t="n">
        <v>8.94439776555711</v>
      </c>
      <c r="W366" s="22" t="n">
        <v>8.94439776555711</v>
      </c>
      <c r="X366" s="22" t="n">
        <v>8.94439776555711</v>
      </c>
      <c r="Y366" s="22" t="n">
        <v>8.94439776555711</v>
      </c>
      <c r="Z366" s="22" t="n">
        <v>8.94439776555711</v>
      </c>
      <c r="AA366" s="22" t="n">
        <v>8.94439776555711</v>
      </c>
      <c r="AB366" s="22" t="n">
        <v>8.94439776555711</v>
      </c>
      <c r="AC366" s="22" t="n">
        <v>8.94439776555711</v>
      </c>
      <c r="AD366" s="22" t="n">
        <v>8.94439776555711</v>
      </c>
      <c r="AE366" s="22" t="n">
        <v>8.94439776555711</v>
      </c>
    </row>
    <row r="367" customFormat="false" ht="15" hidden="false" customHeight="false" outlineLevel="0" collapsed="false">
      <c r="A367" s="35" t="s">
        <v>1257</v>
      </c>
      <c r="B367" s="6" t="s">
        <v>53</v>
      </c>
      <c r="C367" s="6" t="s">
        <v>119</v>
      </c>
      <c r="D367" s="6" t="n">
        <v>1</v>
      </c>
      <c r="E367" s="6" t="s">
        <v>1166</v>
      </c>
      <c r="K367" s="22" t="n">
        <f aca="false">INDEX(Mitigation_Industry!K:K,MATCH($A367,Mitigation_Industry!$H:$H,0))</f>
        <v>11.1829015892439</v>
      </c>
      <c r="L367" s="22" t="n">
        <f aca="false">INDEX(Mitigation_Industry!L:L,MATCH($A367,Mitigation_Industry!$H:$H,0))</f>
        <v>10.5233613454312</v>
      </c>
      <c r="M367" s="22" t="n">
        <f aca="false">INDEX(Mitigation_Industry!M:M,MATCH($A367,Mitigation_Industry!$H:$H,0))</f>
        <v>10.2995608274442</v>
      </c>
      <c r="N367" s="22" t="n">
        <f aca="false">INDEX(Mitigation_Industry!N:N,MATCH($A367,Mitigation_Industry!$H:$H,0))</f>
        <v>9.57752835953826</v>
      </c>
      <c r="O367" s="22" t="n">
        <f aca="false">INDEX(Mitigation_Industry!O:O,MATCH($A367,Mitigation_Industry!$H:$H,0))</f>
        <v>8.48547828695805</v>
      </c>
      <c r="P367" s="22" t="n">
        <f aca="false">INDEX(Mitigation_Industry!P:P,MATCH($A367,Mitigation_Industry!$H:$H,0))</f>
        <v>9.08719223524986</v>
      </c>
      <c r="Q367" s="22" t="n">
        <f aca="false">INDEX(Mitigation_Industry!Q:Q,MATCH($A367,Mitigation_Industry!$H:$H,0))</f>
        <v>9.22292372893268</v>
      </c>
      <c r="R367" s="22" t="n">
        <f aca="false">INDEX(Mitigation_Industry!R:R,MATCH($A367,Mitigation_Industry!$H:$H,0))</f>
        <v>9.15856495550969</v>
      </c>
      <c r="S367" s="22" t="n">
        <f aca="false">INDEX(Mitigation_Industry!S:S,MATCH($A367,Mitigation_Industry!$H:$H,0))</f>
        <v>9.08954787739738</v>
      </c>
      <c r="T367" s="22" t="n">
        <f aca="false">INDEX(Mitigation_Industry!T:T,MATCH($A367,Mitigation_Industry!$H:$H,0))</f>
        <v>9.01568166602283</v>
      </c>
      <c r="U367" s="22" t="n">
        <f aca="false">INDEX(Mitigation_Industry!U:U,MATCH($A367,Mitigation_Industry!$H:$H,0))</f>
        <v>8.94439776555711</v>
      </c>
      <c r="V367" s="22" t="n">
        <f aca="false">INDEX(Mitigation_Industry!V:V,MATCH($A367,Mitigation_Industry!$H:$H,0))</f>
        <v>8.94439776555711</v>
      </c>
      <c r="W367" s="22" t="n">
        <f aca="false">INDEX(Mitigation_Industry!W:W,MATCH($A367,Mitigation_Industry!$H:$H,0))</f>
        <v>8.94439776555711</v>
      </c>
      <c r="X367" s="22" t="n">
        <f aca="false">INDEX(Mitigation_Industry!X:X,MATCH($A367,Mitigation_Industry!$H:$H,0))</f>
        <v>8.94439776555711</v>
      </c>
      <c r="Y367" s="22" t="n">
        <f aca="false">INDEX(Mitigation_Industry!Y:Y,MATCH($A367,Mitigation_Industry!$H:$H,0))</f>
        <v>8.94439776555711</v>
      </c>
      <c r="Z367" s="22" t="n">
        <f aca="false">INDEX(Mitigation_Industry!Z:Z,MATCH($A367,Mitigation_Industry!$H:$H,0))</f>
        <v>8.94439776555711</v>
      </c>
      <c r="AA367" s="22" t="n">
        <f aca="false">INDEX(Mitigation_Industry!AA:AA,MATCH($A367,Mitigation_Industry!$H:$H,0))</f>
        <v>8.94439776555711</v>
      </c>
      <c r="AB367" s="22" t="n">
        <f aca="false">INDEX(Mitigation_Industry!AB:AB,MATCH($A367,Mitigation_Industry!$H:$H,0))</f>
        <v>8.94439776555711</v>
      </c>
      <c r="AC367" s="22" t="n">
        <f aca="false">INDEX(Mitigation_Industry!AC:AC,MATCH($A367,Mitigation_Industry!$H:$H,0))</f>
        <v>8.94439776555711</v>
      </c>
      <c r="AD367" s="22" t="n">
        <f aca="false">INDEX(Mitigation_Industry!AD:AD,MATCH($A367,Mitigation_Industry!$H:$H,0))</f>
        <v>8.94439776555711</v>
      </c>
      <c r="AE367" s="22" t="n">
        <f aca="false">INDEX(Mitigation_Industry!AE:AE,MATCH($A367,Mitigation_Industry!$H:$H,0))</f>
        <v>8.94439776555711</v>
      </c>
    </row>
    <row r="368" customFormat="false" ht="15" hidden="false" customHeight="false" outlineLevel="0" collapsed="false">
      <c r="A368" s="35" t="s">
        <v>1257</v>
      </c>
      <c r="B368" s="6" t="s">
        <v>53</v>
      </c>
      <c r="C368" s="6" t="s">
        <v>119</v>
      </c>
      <c r="D368" s="6" t="n">
        <v>1</v>
      </c>
      <c r="E368" s="2" t="s">
        <v>1167</v>
      </c>
      <c r="F368" s="40" t="n">
        <f aca="false">MAX(MAX(L368:AE368),-MIN(L368:AE368))</f>
        <v>-0</v>
      </c>
      <c r="K368" s="41" t="n">
        <f aca="false">IF(ISNUMBER(K366),IF(ISNUMBER(K367),K367-K366,999999),0)</f>
        <v>0</v>
      </c>
      <c r="L368" s="41" t="n">
        <f aca="false">IF(ISNUMBER(L366),IF(ISNUMBER(L367),L367-L366,999999),0)</f>
        <v>0</v>
      </c>
      <c r="M368" s="41" t="n">
        <f aca="false">IF(ISNUMBER(M366),IF(ISNUMBER(M367),M367-M366,999999),0)</f>
        <v>0</v>
      </c>
      <c r="N368" s="41" t="n">
        <f aca="false">IF(ISNUMBER(N366),IF(ISNUMBER(N367),N367-N366,999999),0)</f>
        <v>0</v>
      </c>
      <c r="O368" s="41" t="n">
        <f aca="false">IF(ISNUMBER(O366),IF(ISNUMBER(O367),O367-O366,999999),0)</f>
        <v>0</v>
      </c>
      <c r="P368" s="41" t="n">
        <f aca="false">IF(ISNUMBER(P366),IF(ISNUMBER(P367),P367-P366,999999),0)</f>
        <v>0</v>
      </c>
      <c r="Q368" s="41" t="n">
        <f aca="false">IF(ISNUMBER(Q366),IF(ISNUMBER(Q367),Q367-Q366,999999),0)</f>
        <v>0</v>
      </c>
      <c r="R368" s="41" t="n">
        <f aca="false">IF(ISNUMBER(R366),IF(ISNUMBER(R367),R367-R366,999999),0)</f>
        <v>0</v>
      </c>
      <c r="S368" s="41" t="n">
        <f aca="false">IF(ISNUMBER(S366),IF(ISNUMBER(S367),S367-S366,999999),0)</f>
        <v>0</v>
      </c>
      <c r="T368" s="41" t="n">
        <f aca="false">IF(ISNUMBER(T366),IF(ISNUMBER(T367),T367-T366,999999),0)</f>
        <v>0</v>
      </c>
      <c r="U368" s="41" t="n">
        <f aca="false">IF(ISNUMBER(U366),IF(ISNUMBER(U367),U367-U366,999999),0)</f>
        <v>0</v>
      </c>
      <c r="V368" s="41" t="n">
        <f aca="false">IF(ISNUMBER(V366),IF(ISNUMBER(V367),V367-V366,999999),0)</f>
        <v>0</v>
      </c>
      <c r="W368" s="41" t="n">
        <f aca="false">IF(ISNUMBER(W366),IF(ISNUMBER(W367),W367-W366,999999),0)</f>
        <v>0</v>
      </c>
      <c r="X368" s="41" t="n">
        <f aca="false">IF(ISNUMBER(X366),IF(ISNUMBER(X367),X367-X366,999999),0)</f>
        <v>0</v>
      </c>
      <c r="Y368" s="41" t="n">
        <f aca="false">IF(ISNUMBER(Y366),IF(ISNUMBER(Y367),Y367-Y366,999999),0)</f>
        <v>0</v>
      </c>
      <c r="Z368" s="41" t="n">
        <f aca="false">IF(ISNUMBER(Z366),IF(ISNUMBER(Z367),Z367-Z366,999999),0)</f>
        <v>0</v>
      </c>
      <c r="AA368" s="41" t="n">
        <f aca="false">IF(ISNUMBER(AA366),IF(ISNUMBER(AA367),AA367-AA366,999999),0)</f>
        <v>0</v>
      </c>
      <c r="AB368" s="41" t="n">
        <f aca="false">IF(ISNUMBER(AB366),IF(ISNUMBER(AB367),AB367-AB366,999999),0)</f>
        <v>0</v>
      </c>
      <c r="AC368" s="41" t="n">
        <f aca="false">IF(ISNUMBER(AC366),IF(ISNUMBER(AC367),AC367-AC366,999999),0)</f>
        <v>0</v>
      </c>
      <c r="AD368" s="41" t="n">
        <f aca="false">IF(ISNUMBER(AD366),IF(ISNUMBER(AD367),AD367-AD366,999999),0)</f>
        <v>0</v>
      </c>
      <c r="AE368" s="41" t="n">
        <f aca="false">IF(ISNUMBER(AE366),IF(ISNUMBER(AE367),AE367-AE366,999999),0)</f>
        <v>0</v>
      </c>
    </row>
    <row r="370" customFormat="false" ht="15" hidden="false" customHeight="false" outlineLevel="0" collapsed="false">
      <c r="A370" s="35" t="s">
        <v>1258</v>
      </c>
      <c r="B370" s="6" t="s">
        <v>57</v>
      </c>
      <c r="C370" s="6" t="s">
        <v>119</v>
      </c>
      <c r="D370" s="6" t="n">
        <v>1</v>
      </c>
      <c r="E370" s="6" t="s">
        <v>1165</v>
      </c>
      <c r="K370" s="22"/>
      <c r="L370" s="22" t="n">
        <v>5.45101508161919</v>
      </c>
      <c r="M370" s="22" t="n">
        <v>5.11935630626248</v>
      </c>
      <c r="N370" s="22" t="n">
        <v>5.08218458640407</v>
      </c>
      <c r="O370" s="22" t="n">
        <v>5.08218458640407</v>
      </c>
      <c r="P370" s="22" t="n">
        <v>5.08218458640407</v>
      </c>
      <c r="Q370" s="22" t="n">
        <v>5.08218458640407</v>
      </c>
      <c r="R370" s="22" t="n">
        <v>5.08218458640407</v>
      </c>
      <c r="S370" s="22" t="n">
        <v>5.08218458640407</v>
      </c>
      <c r="T370" s="22" t="n">
        <v>5.08218458640407</v>
      </c>
      <c r="U370" s="22" t="n">
        <v>5.08218458640407</v>
      </c>
      <c r="V370" s="22" t="n">
        <v>5.08218458640407</v>
      </c>
      <c r="W370" s="22" t="n">
        <v>5.08218458640407</v>
      </c>
      <c r="X370" s="22" t="n">
        <v>5.08218458640407</v>
      </c>
      <c r="Y370" s="22" t="n">
        <v>5.08218458640407</v>
      </c>
      <c r="Z370" s="22" t="n">
        <v>5.08218458640407</v>
      </c>
      <c r="AA370" s="22" t="n">
        <v>5.08218458640407</v>
      </c>
      <c r="AB370" s="22" t="n">
        <v>5.08218458640407</v>
      </c>
      <c r="AC370" s="22" t="n">
        <v>5.08218458640407</v>
      </c>
      <c r="AD370" s="22" t="n">
        <v>5.08218458640407</v>
      </c>
      <c r="AE370" s="22" t="n">
        <v>5.08218458640407</v>
      </c>
    </row>
    <row r="371" customFormat="false" ht="15" hidden="false" customHeight="false" outlineLevel="0" collapsed="false">
      <c r="A371" s="35" t="s">
        <v>1258</v>
      </c>
      <c r="B371" s="6" t="s">
        <v>57</v>
      </c>
      <c r="C371" s="6" t="s">
        <v>119</v>
      </c>
      <c r="D371" s="6" t="n">
        <v>1</v>
      </c>
      <c r="E371" s="6" t="s">
        <v>1166</v>
      </c>
      <c r="K371" s="22" t="n">
        <f aca="false">INDEX(Mitigation_Industry!K:K,MATCH($A371,Mitigation_Industry!$H:$H,0))</f>
        <v>6.06346361567291</v>
      </c>
      <c r="L371" s="22" t="n">
        <f aca="false">INDEX(Mitigation_Industry!L:L,MATCH($A371,Mitigation_Industry!$H:$H,0))</f>
        <v>5.45101508161919</v>
      </c>
      <c r="M371" s="22" t="n">
        <f aca="false">INDEX(Mitigation_Industry!M:M,MATCH($A371,Mitigation_Industry!$H:$H,0))</f>
        <v>5.11935630626248</v>
      </c>
      <c r="N371" s="22" t="n">
        <f aca="false">INDEX(Mitigation_Industry!N:N,MATCH($A371,Mitigation_Industry!$H:$H,0))</f>
        <v>5.08218458640407</v>
      </c>
      <c r="O371" s="22" t="n">
        <f aca="false">INDEX(Mitigation_Industry!O:O,MATCH($A371,Mitigation_Industry!$H:$H,0))</f>
        <v>5.08218458640407</v>
      </c>
      <c r="P371" s="22" t="n">
        <f aca="false">INDEX(Mitigation_Industry!P:P,MATCH($A371,Mitigation_Industry!$H:$H,0))</f>
        <v>5.08218458640407</v>
      </c>
      <c r="Q371" s="22" t="n">
        <f aca="false">INDEX(Mitigation_Industry!Q:Q,MATCH($A371,Mitigation_Industry!$H:$H,0))</f>
        <v>5.08218458640407</v>
      </c>
      <c r="R371" s="22" t="n">
        <f aca="false">INDEX(Mitigation_Industry!R:R,MATCH($A371,Mitigation_Industry!$H:$H,0))</f>
        <v>5.08218458640407</v>
      </c>
      <c r="S371" s="22" t="n">
        <f aca="false">INDEX(Mitigation_Industry!S:S,MATCH($A371,Mitigation_Industry!$H:$H,0))</f>
        <v>5.08218458640407</v>
      </c>
      <c r="T371" s="22" t="n">
        <f aca="false">INDEX(Mitigation_Industry!T:T,MATCH($A371,Mitigation_Industry!$H:$H,0))</f>
        <v>5.08218458640407</v>
      </c>
      <c r="U371" s="22" t="n">
        <f aca="false">INDEX(Mitigation_Industry!U:U,MATCH($A371,Mitigation_Industry!$H:$H,0))</f>
        <v>5.08218458640407</v>
      </c>
      <c r="V371" s="22" t="n">
        <f aca="false">INDEX(Mitigation_Industry!V:V,MATCH($A371,Mitigation_Industry!$H:$H,0))</f>
        <v>5.08218458640407</v>
      </c>
      <c r="W371" s="22" t="n">
        <f aca="false">INDEX(Mitigation_Industry!W:W,MATCH($A371,Mitigation_Industry!$H:$H,0))</f>
        <v>5.08218458640407</v>
      </c>
      <c r="X371" s="22" t="n">
        <f aca="false">INDEX(Mitigation_Industry!X:X,MATCH($A371,Mitigation_Industry!$H:$H,0))</f>
        <v>5.08218458640407</v>
      </c>
      <c r="Y371" s="22" t="n">
        <f aca="false">INDEX(Mitigation_Industry!Y:Y,MATCH($A371,Mitigation_Industry!$H:$H,0))</f>
        <v>5.08218458640407</v>
      </c>
      <c r="Z371" s="22" t="n">
        <f aca="false">INDEX(Mitigation_Industry!Z:Z,MATCH($A371,Mitigation_Industry!$H:$H,0))</f>
        <v>5.08218458640407</v>
      </c>
      <c r="AA371" s="22" t="n">
        <f aca="false">INDEX(Mitigation_Industry!AA:AA,MATCH($A371,Mitigation_Industry!$H:$H,0))</f>
        <v>5.08218458640407</v>
      </c>
      <c r="AB371" s="22" t="n">
        <f aca="false">INDEX(Mitigation_Industry!AB:AB,MATCH($A371,Mitigation_Industry!$H:$H,0))</f>
        <v>5.08218458640407</v>
      </c>
      <c r="AC371" s="22" t="n">
        <f aca="false">INDEX(Mitigation_Industry!AC:AC,MATCH($A371,Mitigation_Industry!$H:$H,0))</f>
        <v>5.08218458640407</v>
      </c>
      <c r="AD371" s="22" t="n">
        <f aca="false">INDEX(Mitigation_Industry!AD:AD,MATCH($A371,Mitigation_Industry!$H:$H,0))</f>
        <v>5.08218458640407</v>
      </c>
      <c r="AE371" s="22" t="n">
        <f aca="false">INDEX(Mitigation_Industry!AE:AE,MATCH($A371,Mitigation_Industry!$H:$H,0))</f>
        <v>5.08218458640407</v>
      </c>
    </row>
    <row r="372" customFormat="false" ht="15" hidden="false" customHeight="false" outlineLevel="0" collapsed="false">
      <c r="A372" s="35" t="s">
        <v>1258</v>
      </c>
      <c r="B372" s="6" t="s">
        <v>57</v>
      </c>
      <c r="C372" s="6" t="s">
        <v>119</v>
      </c>
      <c r="D372" s="6" t="n">
        <v>1</v>
      </c>
      <c r="E372" s="2" t="s">
        <v>1167</v>
      </c>
      <c r="F372" s="40" t="n">
        <f aca="false">MAX(MAX(L372:AE372),-MIN(L372:AE372))</f>
        <v>-0</v>
      </c>
      <c r="K372" s="41" t="n">
        <f aca="false">IF(ISNUMBER(K370),IF(ISNUMBER(K371),K371-K370,999999),0)</f>
        <v>0</v>
      </c>
      <c r="L372" s="41" t="n">
        <f aca="false">IF(ISNUMBER(L370),IF(ISNUMBER(L371),L371-L370,999999),0)</f>
        <v>0</v>
      </c>
      <c r="M372" s="41" t="n">
        <f aca="false">IF(ISNUMBER(M370),IF(ISNUMBER(M371),M371-M370,999999),0)</f>
        <v>0</v>
      </c>
      <c r="N372" s="41" t="n">
        <f aca="false">IF(ISNUMBER(N370),IF(ISNUMBER(N371),N371-N370,999999),0)</f>
        <v>0</v>
      </c>
      <c r="O372" s="41" t="n">
        <f aca="false">IF(ISNUMBER(O370),IF(ISNUMBER(O371),O371-O370,999999),0)</f>
        <v>0</v>
      </c>
      <c r="P372" s="41" t="n">
        <f aca="false">IF(ISNUMBER(P370),IF(ISNUMBER(P371),P371-P370,999999),0)</f>
        <v>0</v>
      </c>
      <c r="Q372" s="41" t="n">
        <f aca="false">IF(ISNUMBER(Q370),IF(ISNUMBER(Q371),Q371-Q370,999999),0)</f>
        <v>0</v>
      </c>
      <c r="R372" s="41" t="n">
        <f aca="false">IF(ISNUMBER(R370),IF(ISNUMBER(R371),R371-R370,999999),0)</f>
        <v>0</v>
      </c>
      <c r="S372" s="41" t="n">
        <f aca="false">IF(ISNUMBER(S370),IF(ISNUMBER(S371),S371-S370,999999),0)</f>
        <v>0</v>
      </c>
      <c r="T372" s="41" t="n">
        <f aca="false">IF(ISNUMBER(T370),IF(ISNUMBER(T371),T371-T370,999999),0)</f>
        <v>0</v>
      </c>
      <c r="U372" s="41" t="n">
        <f aca="false">IF(ISNUMBER(U370),IF(ISNUMBER(U371),U371-U370,999999),0)</f>
        <v>0</v>
      </c>
      <c r="V372" s="41" t="n">
        <f aca="false">IF(ISNUMBER(V370),IF(ISNUMBER(V371),V371-V370,999999),0)</f>
        <v>0</v>
      </c>
      <c r="W372" s="41" t="n">
        <f aca="false">IF(ISNUMBER(W370),IF(ISNUMBER(W371),W371-W370,999999),0)</f>
        <v>0</v>
      </c>
      <c r="X372" s="41" t="n">
        <f aca="false">IF(ISNUMBER(X370),IF(ISNUMBER(X371),X371-X370,999999),0)</f>
        <v>0</v>
      </c>
      <c r="Y372" s="41" t="n">
        <f aca="false">IF(ISNUMBER(Y370),IF(ISNUMBER(Y371),Y371-Y370,999999),0)</f>
        <v>0</v>
      </c>
      <c r="Z372" s="41" t="n">
        <f aca="false">IF(ISNUMBER(Z370),IF(ISNUMBER(Z371),Z371-Z370,999999),0)</f>
        <v>0</v>
      </c>
      <c r="AA372" s="41" t="n">
        <f aca="false">IF(ISNUMBER(AA370),IF(ISNUMBER(AA371),AA371-AA370,999999),0)</f>
        <v>0</v>
      </c>
      <c r="AB372" s="41" t="n">
        <f aca="false">IF(ISNUMBER(AB370),IF(ISNUMBER(AB371),AB371-AB370,999999),0)</f>
        <v>0</v>
      </c>
      <c r="AC372" s="41" t="n">
        <f aca="false">IF(ISNUMBER(AC370),IF(ISNUMBER(AC371),AC371-AC370,999999),0)</f>
        <v>0</v>
      </c>
      <c r="AD372" s="41" t="n">
        <f aca="false">IF(ISNUMBER(AD370),IF(ISNUMBER(AD371),AD371-AD370,999999),0)</f>
        <v>0</v>
      </c>
      <c r="AE372" s="41" t="n">
        <f aca="false">IF(ISNUMBER(AE370),IF(ISNUMBER(AE371),AE371-AE370,999999),0)</f>
        <v>0</v>
      </c>
    </row>
    <row r="374" customFormat="false" ht="15" hidden="false" customHeight="false" outlineLevel="0" collapsed="false">
      <c r="A374" s="35" t="s">
        <v>1259</v>
      </c>
      <c r="B374" s="6" t="s">
        <v>59</v>
      </c>
      <c r="C374" s="6" t="s">
        <v>119</v>
      </c>
      <c r="D374" s="6" t="n">
        <v>1</v>
      </c>
      <c r="E374" s="6" t="s">
        <v>1165</v>
      </c>
      <c r="K374" s="22"/>
      <c r="L374" s="22" t="n">
        <v>0.611977976791406</v>
      </c>
      <c r="M374" s="22" t="n">
        <v>0.611809749641876</v>
      </c>
      <c r="N374" s="22" t="n">
        <v>0.603583100177906</v>
      </c>
      <c r="O374" s="22" t="n">
        <v>0.603583100177906</v>
      </c>
      <c r="P374" s="22" t="n">
        <v>0.603583100177906</v>
      </c>
      <c r="Q374" s="22" t="n">
        <v>0.603583100177906</v>
      </c>
      <c r="R374" s="22" t="n">
        <v>0.603583100177906</v>
      </c>
      <c r="S374" s="22" t="n">
        <v>0.603583100177906</v>
      </c>
      <c r="T374" s="22" t="n">
        <v>0.603583100177906</v>
      </c>
      <c r="U374" s="22" t="n">
        <v>0.603583100177906</v>
      </c>
      <c r="V374" s="22" t="n">
        <v>0.603583100177906</v>
      </c>
      <c r="W374" s="22" t="n">
        <v>0.603583100177906</v>
      </c>
      <c r="X374" s="22" t="n">
        <v>0.603583100177906</v>
      </c>
      <c r="Y374" s="22" t="n">
        <v>0.603583100177906</v>
      </c>
      <c r="Z374" s="22" t="n">
        <v>0.603583100177906</v>
      </c>
      <c r="AA374" s="22" t="n">
        <v>0.603583100177906</v>
      </c>
      <c r="AB374" s="22" t="n">
        <v>0.603583100177906</v>
      </c>
      <c r="AC374" s="22" t="n">
        <v>0.603583100177906</v>
      </c>
      <c r="AD374" s="22" t="n">
        <v>0.603583100177906</v>
      </c>
      <c r="AE374" s="22" t="n">
        <v>0.603583100177906</v>
      </c>
    </row>
    <row r="375" customFormat="false" ht="15" hidden="false" customHeight="false" outlineLevel="0" collapsed="false">
      <c r="A375" s="35" t="s">
        <v>1259</v>
      </c>
      <c r="B375" s="6" t="s">
        <v>59</v>
      </c>
      <c r="C375" s="6" t="s">
        <v>119</v>
      </c>
      <c r="D375" s="6" t="n">
        <v>1</v>
      </c>
      <c r="E375" s="6" t="s">
        <v>1166</v>
      </c>
      <c r="K375" s="22" t="n">
        <f aca="false">INDEX(Mitigation_Industry!K:K,MATCH($A375,Mitigation_Industry!$H:$H,0))</f>
        <v>0.671146533321816</v>
      </c>
      <c r="L375" s="22" t="n">
        <f aca="false">INDEX(Mitigation_Industry!L:L,MATCH($A375,Mitigation_Industry!$H:$H,0))</f>
        <v>0.611977976791406</v>
      </c>
      <c r="M375" s="22" t="n">
        <f aca="false">INDEX(Mitigation_Industry!M:M,MATCH($A375,Mitigation_Industry!$H:$H,0))</f>
        <v>0.611809749641876</v>
      </c>
      <c r="N375" s="22" t="n">
        <f aca="false">INDEX(Mitigation_Industry!N:N,MATCH($A375,Mitigation_Industry!$H:$H,0))</f>
        <v>0.603583100177906</v>
      </c>
      <c r="O375" s="22" t="n">
        <f aca="false">INDEX(Mitigation_Industry!O:O,MATCH($A375,Mitigation_Industry!$H:$H,0))</f>
        <v>0.603583100177906</v>
      </c>
      <c r="P375" s="22" t="n">
        <f aca="false">INDEX(Mitigation_Industry!P:P,MATCH($A375,Mitigation_Industry!$H:$H,0))</f>
        <v>0.603583100177906</v>
      </c>
      <c r="Q375" s="22" t="n">
        <f aca="false">INDEX(Mitigation_Industry!Q:Q,MATCH($A375,Mitigation_Industry!$H:$H,0))</f>
        <v>0.603583100177906</v>
      </c>
      <c r="R375" s="22" t="n">
        <f aca="false">INDEX(Mitigation_Industry!R:R,MATCH($A375,Mitigation_Industry!$H:$H,0))</f>
        <v>0.603583100177906</v>
      </c>
      <c r="S375" s="22" t="n">
        <f aca="false">INDEX(Mitigation_Industry!S:S,MATCH($A375,Mitigation_Industry!$H:$H,0))</f>
        <v>0.603583100177906</v>
      </c>
      <c r="T375" s="22" t="n">
        <f aca="false">INDEX(Mitigation_Industry!T:T,MATCH($A375,Mitigation_Industry!$H:$H,0))</f>
        <v>0.603583100177906</v>
      </c>
      <c r="U375" s="22" t="n">
        <f aca="false">INDEX(Mitigation_Industry!U:U,MATCH($A375,Mitigation_Industry!$H:$H,0))</f>
        <v>0.603583100177906</v>
      </c>
      <c r="V375" s="22" t="n">
        <f aca="false">INDEX(Mitigation_Industry!V:V,MATCH($A375,Mitigation_Industry!$H:$H,0))</f>
        <v>0.603583100177906</v>
      </c>
      <c r="W375" s="22" t="n">
        <f aca="false">INDEX(Mitigation_Industry!W:W,MATCH($A375,Mitigation_Industry!$H:$H,0))</f>
        <v>0.603583100177906</v>
      </c>
      <c r="X375" s="22" t="n">
        <f aca="false">INDEX(Mitigation_Industry!X:X,MATCH($A375,Mitigation_Industry!$H:$H,0))</f>
        <v>0.603583100177906</v>
      </c>
      <c r="Y375" s="22" t="n">
        <f aca="false">INDEX(Mitigation_Industry!Y:Y,MATCH($A375,Mitigation_Industry!$H:$H,0))</f>
        <v>0.603583100177906</v>
      </c>
      <c r="Z375" s="22" t="n">
        <f aca="false">INDEX(Mitigation_Industry!Z:Z,MATCH($A375,Mitigation_Industry!$H:$H,0))</f>
        <v>0.603583100177906</v>
      </c>
      <c r="AA375" s="22" t="n">
        <f aca="false">INDEX(Mitigation_Industry!AA:AA,MATCH($A375,Mitigation_Industry!$H:$H,0))</f>
        <v>0.603583100177906</v>
      </c>
      <c r="AB375" s="22" t="n">
        <f aca="false">INDEX(Mitigation_Industry!AB:AB,MATCH($A375,Mitigation_Industry!$H:$H,0))</f>
        <v>0.603583100177906</v>
      </c>
      <c r="AC375" s="22" t="n">
        <f aca="false">INDEX(Mitigation_Industry!AC:AC,MATCH($A375,Mitigation_Industry!$H:$H,0))</f>
        <v>0.603583100177906</v>
      </c>
      <c r="AD375" s="22" t="n">
        <f aca="false">INDEX(Mitigation_Industry!AD:AD,MATCH($A375,Mitigation_Industry!$H:$H,0))</f>
        <v>0.603583100177906</v>
      </c>
      <c r="AE375" s="22" t="n">
        <f aca="false">INDEX(Mitigation_Industry!AE:AE,MATCH($A375,Mitigation_Industry!$H:$H,0))</f>
        <v>0.603583100177906</v>
      </c>
    </row>
    <row r="376" customFormat="false" ht="15" hidden="false" customHeight="false" outlineLevel="0" collapsed="false">
      <c r="A376" s="35" t="s">
        <v>1259</v>
      </c>
      <c r="B376" s="6" t="s">
        <v>59</v>
      </c>
      <c r="C376" s="6" t="s">
        <v>119</v>
      </c>
      <c r="D376" s="6" t="n">
        <v>1</v>
      </c>
      <c r="E376" s="2" t="s">
        <v>1167</v>
      </c>
      <c r="F376" s="40" t="n">
        <f aca="false">MAX(MAX(L376:AE376),-MIN(L376:AE376))</f>
        <v>-0</v>
      </c>
      <c r="K376" s="41" t="n">
        <f aca="false">IF(ISNUMBER(K374),IF(ISNUMBER(K375),K375-K374,999999),0)</f>
        <v>0</v>
      </c>
      <c r="L376" s="41" t="n">
        <f aca="false">IF(ISNUMBER(L374),IF(ISNUMBER(L375),L375-L374,999999),0)</f>
        <v>0</v>
      </c>
      <c r="M376" s="41" t="n">
        <f aca="false">IF(ISNUMBER(M374),IF(ISNUMBER(M375),M375-M374,999999),0)</f>
        <v>0</v>
      </c>
      <c r="N376" s="41" t="n">
        <f aca="false">IF(ISNUMBER(N374),IF(ISNUMBER(N375),N375-N374,999999),0)</f>
        <v>0</v>
      </c>
      <c r="O376" s="41" t="n">
        <f aca="false">IF(ISNUMBER(O374),IF(ISNUMBER(O375),O375-O374,999999),0)</f>
        <v>0</v>
      </c>
      <c r="P376" s="41" t="n">
        <f aca="false">IF(ISNUMBER(P374),IF(ISNUMBER(P375),P375-P374,999999),0)</f>
        <v>0</v>
      </c>
      <c r="Q376" s="41" t="n">
        <f aca="false">IF(ISNUMBER(Q374),IF(ISNUMBER(Q375),Q375-Q374,999999),0)</f>
        <v>0</v>
      </c>
      <c r="R376" s="41" t="n">
        <f aca="false">IF(ISNUMBER(R374),IF(ISNUMBER(R375),R375-R374,999999),0)</f>
        <v>0</v>
      </c>
      <c r="S376" s="41" t="n">
        <f aca="false">IF(ISNUMBER(S374),IF(ISNUMBER(S375),S375-S374,999999),0)</f>
        <v>0</v>
      </c>
      <c r="T376" s="41" t="n">
        <f aca="false">IF(ISNUMBER(T374),IF(ISNUMBER(T375),T375-T374,999999),0)</f>
        <v>0</v>
      </c>
      <c r="U376" s="41" t="n">
        <f aca="false">IF(ISNUMBER(U374),IF(ISNUMBER(U375),U375-U374,999999),0)</f>
        <v>0</v>
      </c>
      <c r="V376" s="41" t="n">
        <f aca="false">IF(ISNUMBER(V374),IF(ISNUMBER(V375),V375-V374,999999),0)</f>
        <v>0</v>
      </c>
      <c r="W376" s="41" t="n">
        <f aca="false">IF(ISNUMBER(W374),IF(ISNUMBER(W375),W375-W374,999999),0)</f>
        <v>0</v>
      </c>
      <c r="X376" s="41" t="n">
        <f aca="false">IF(ISNUMBER(X374),IF(ISNUMBER(X375),X375-X374,999999),0)</f>
        <v>0</v>
      </c>
      <c r="Y376" s="41" t="n">
        <f aca="false">IF(ISNUMBER(Y374),IF(ISNUMBER(Y375),Y375-Y374,999999),0)</f>
        <v>0</v>
      </c>
      <c r="Z376" s="41" t="n">
        <f aca="false">IF(ISNUMBER(Z374),IF(ISNUMBER(Z375),Z375-Z374,999999),0)</f>
        <v>0</v>
      </c>
      <c r="AA376" s="41" t="n">
        <f aca="false">IF(ISNUMBER(AA374),IF(ISNUMBER(AA375),AA375-AA374,999999),0)</f>
        <v>0</v>
      </c>
      <c r="AB376" s="41" t="n">
        <f aca="false">IF(ISNUMBER(AB374),IF(ISNUMBER(AB375),AB375-AB374,999999),0)</f>
        <v>0</v>
      </c>
      <c r="AC376" s="41" t="n">
        <f aca="false">IF(ISNUMBER(AC374),IF(ISNUMBER(AC375),AC375-AC374,999999),0)</f>
        <v>0</v>
      </c>
      <c r="AD376" s="41" t="n">
        <f aca="false">IF(ISNUMBER(AD374),IF(ISNUMBER(AD375),AD375-AD374,999999),0)</f>
        <v>0</v>
      </c>
      <c r="AE376" s="41" t="n">
        <f aca="false">IF(ISNUMBER(AE374),IF(ISNUMBER(AE375),AE375-AE374,999999),0)</f>
        <v>0</v>
      </c>
    </row>
    <row r="378" customFormat="false" ht="15" hidden="false" customHeight="false" outlineLevel="0" collapsed="false">
      <c r="A378" s="35" t="s">
        <v>1260</v>
      </c>
      <c r="B378" s="6" t="s">
        <v>62</v>
      </c>
      <c r="C378" s="6" t="s">
        <v>119</v>
      </c>
      <c r="D378" s="6" t="n">
        <v>1</v>
      </c>
      <c r="E378" s="6" t="s">
        <v>1165</v>
      </c>
      <c r="K378" s="22"/>
      <c r="L378" s="22" t="n">
        <v>0.494588730841068</v>
      </c>
      <c r="M378" s="22" t="n">
        <v>0.507786547202501</v>
      </c>
      <c r="N378" s="22" t="n">
        <v>0.470436426795617</v>
      </c>
      <c r="O378" s="22" t="n">
        <v>0.470436426795617</v>
      </c>
      <c r="P378" s="22" t="n">
        <v>0.470436426795617</v>
      </c>
      <c r="Q378" s="22" t="n">
        <v>0.470436426795617</v>
      </c>
      <c r="R378" s="22" t="n">
        <v>0.470436426795617</v>
      </c>
      <c r="S378" s="22" t="n">
        <v>0.470436426795617</v>
      </c>
      <c r="T378" s="22" t="n">
        <v>0.470436426795617</v>
      </c>
      <c r="U378" s="22" t="n">
        <v>0.470436426795617</v>
      </c>
      <c r="V378" s="22" t="n">
        <v>0.470436426795617</v>
      </c>
      <c r="W378" s="22" t="n">
        <v>0.470436426795617</v>
      </c>
      <c r="X378" s="22" t="n">
        <v>0.470436426795617</v>
      </c>
      <c r="Y378" s="22" t="n">
        <v>0.470436426795617</v>
      </c>
      <c r="Z378" s="22" t="n">
        <v>0.470436426795617</v>
      </c>
      <c r="AA378" s="22" t="n">
        <v>0.470436426795617</v>
      </c>
      <c r="AB378" s="22" t="n">
        <v>0.470436426795617</v>
      </c>
      <c r="AC378" s="22" t="n">
        <v>0.470436426795617</v>
      </c>
      <c r="AD378" s="22" t="n">
        <v>0.470436426795617</v>
      </c>
      <c r="AE378" s="22" t="n">
        <v>0.470436426795617</v>
      </c>
    </row>
    <row r="379" customFormat="false" ht="15" hidden="false" customHeight="false" outlineLevel="0" collapsed="false">
      <c r="A379" s="35" t="s">
        <v>1260</v>
      </c>
      <c r="B379" s="6" t="s">
        <v>62</v>
      </c>
      <c r="C379" s="6" t="s">
        <v>119</v>
      </c>
      <c r="D379" s="6" t="n">
        <v>1</v>
      </c>
      <c r="E379" s="6" t="s">
        <v>1166</v>
      </c>
      <c r="K379" s="22" t="n">
        <f aca="false">INDEX(Mitigation_Industry!K:K,MATCH($A379,Mitigation_Industry!$H:$H,0))</f>
        <v>0.559711213155688</v>
      </c>
      <c r="L379" s="22" t="n">
        <f aca="false">INDEX(Mitigation_Industry!L:L,MATCH($A379,Mitigation_Industry!$H:$H,0))</f>
        <v>0.494588730841068</v>
      </c>
      <c r="M379" s="22" t="n">
        <f aca="false">INDEX(Mitigation_Industry!M:M,MATCH($A379,Mitigation_Industry!$H:$H,0))</f>
        <v>0.507786547202501</v>
      </c>
      <c r="N379" s="22" t="n">
        <f aca="false">INDEX(Mitigation_Industry!N:N,MATCH($A379,Mitigation_Industry!$H:$H,0))</f>
        <v>0.470436426795617</v>
      </c>
      <c r="O379" s="22" t="n">
        <f aca="false">INDEX(Mitigation_Industry!O:O,MATCH($A379,Mitigation_Industry!$H:$H,0))</f>
        <v>0.470436426795617</v>
      </c>
      <c r="P379" s="22" t="n">
        <f aca="false">INDEX(Mitigation_Industry!P:P,MATCH($A379,Mitigation_Industry!$H:$H,0))</f>
        <v>0.470436426795617</v>
      </c>
      <c r="Q379" s="22" t="n">
        <f aca="false">INDEX(Mitigation_Industry!Q:Q,MATCH($A379,Mitigation_Industry!$H:$H,0))</f>
        <v>0.470436426795617</v>
      </c>
      <c r="R379" s="22" t="n">
        <f aca="false">INDEX(Mitigation_Industry!R:R,MATCH($A379,Mitigation_Industry!$H:$H,0))</f>
        <v>0.470436426795617</v>
      </c>
      <c r="S379" s="22" t="n">
        <f aca="false">INDEX(Mitigation_Industry!S:S,MATCH($A379,Mitigation_Industry!$H:$H,0))</f>
        <v>0.470436426795617</v>
      </c>
      <c r="T379" s="22" t="n">
        <f aca="false">INDEX(Mitigation_Industry!T:T,MATCH($A379,Mitigation_Industry!$H:$H,0))</f>
        <v>0.470436426795617</v>
      </c>
      <c r="U379" s="22" t="n">
        <f aca="false">INDEX(Mitigation_Industry!U:U,MATCH($A379,Mitigation_Industry!$H:$H,0))</f>
        <v>0.470436426795617</v>
      </c>
      <c r="V379" s="22" t="n">
        <f aca="false">INDEX(Mitigation_Industry!V:V,MATCH($A379,Mitigation_Industry!$H:$H,0))</f>
        <v>0.470436426795617</v>
      </c>
      <c r="W379" s="22" t="n">
        <f aca="false">INDEX(Mitigation_Industry!W:W,MATCH($A379,Mitigation_Industry!$H:$H,0))</f>
        <v>0.470436426795617</v>
      </c>
      <c r="X379" s="22" t="n">
        <f aca="false">INDEX(Mitigation_Industry!X:X,MATCH($A379,Mitigation_Industry!$H:$H,0))</f>
        <v>0.470436426795617</v>
      </c>
      <c r="Y379" s="22" t="n">
        <f aca="false">INDEX(Mitigation_Industry!Y:Y,MATCH($A379,Mitigation_Industry!$H:$H,0))</f>
        <v>0.470436426795617</v>
      </c>
      <c r="Z379" s="22" t="n">
        <f aca="false">INDEX(Mitigation_Industry!Z:Z,MATCH($A379,Mitigation_Industry!$H:$H,0))</f>
        <v>0.470436426795617</v>
      </c>
      <c r="AA379" s="22" t="n">
        <f aca="false">INDEX(Mitigation_Industry!AA:AA,MATCH($A379,Mitigation_Industry!$H:$H,0))</f>
        <v>0.470436426795617</v>
      </c>
      <c r="AB379" s="22" t="n">
        <f aca="false">INDEX(Mitigation_Industry!AB:AB,MATCH($A379,Mitigation_Industry!$H:$H,0))</f>
        <v>0.470436426795617</v>
      </c>
      <c r="AC379" s="22" t="n">
        <f aca="false">INDEX(Mitigation_Industry!AC:AC,MATCH($A379,Mitigation_Industry!$H:$H,0))</f>
        <v>0.470436426795617</v>
      </c>
      <c r="AD379" s="22" t="n">
        <f aca="false">INDEX(Mitigation_Industry!AD:AD,MATCH($A379,Mitigation_Industry!$H:$H,0))</f>
        <v>0.470436426795617</v>
      </c>
      <c r="AE379" s="22" t="n">
        <f aca="false">INDEX(Mitigation_Industry!AE:AE,MATCH($A379,Mitigation_Industry!$H:$H,0))</f>
        <v>0.470436426795617</v>
      </c>
    </row>
    <row r="380" customFormat="false" ht="15" hidden="false" customHeight="false" outlineLevel="0" collapsed="false">
      <c r="A380" s="35" t="s">
        <v>1260</v>
      </c>
      <c r="B380" s="6" t="s">
        <v>62</v>
      </c>
      <c r="C380" s="6" t="s">
        <v>119</v>
      </c>
      <c r="D380" s="6" t="n">
        <v>1</v>
      </c>
      <c r="E380" s="2" t="s">
        <v>1167</v>
      </c>
      <c r="F380" s="40" t="n">
        <f aca="false">MAX(MAX(L380:AE380),-MIN(L380:AE380))</f>
        <v>-0</v>
      </c>
      <c r="K380" s="41" t="n">
        <f aca="false">IF(ISNUMBER(K378),IF(ISNUMBER(K379),K379-K378,999999),0)</f>
        <v>0</v>
      </c>
      <c r="L380" s="41" t="n">
        <f aca="false">IF(ISNUMBER(L378),IF(ISNUMBER(L379),L379-L378,999999),0)</f>
        <v>0</v>
      </c>
      <c r="M380" s="41" t="n">
        <f aca="false">IF(ISNUMBER(M378),IF(ISNUMBER(M379),M379-M378,999999),0)</f>
        <v>0</v>
      </c>
      <c r="N380" s="41" t="n">
        <f aca="false">IF(ISNUMBER(N378),IF(ISNUMBER(N379),N379-N378,999999),0)</f>
        <v>0</v>
      </c>
      <c r="O380" s="41" t="n">
        <f aca="false">IF(ISNUMBER(O378),IF(ISNUMBER(O379),O379-O378,999999),0)</f>
        <v>0</v>
      </c>
      <c r="P380" s="41" t="n">
        <f aca="false">IF(ISNUMBER(P378),IF(ISNUMBER(P379),P379-P378,999999),0)</f>
        <v>0</v>
      </c>
      <c r="Q380" s="41" t="n">
        <f aca="false">IF(ISNUMBER(Q378),IF(ISNUMBER(Q379),Q379-Q378,999999),0)</f>
        <v>0</v>
      </c>
      <c r="R380" s="41" t="n">
        <f aca="false">IF(ISNUMBER(R378),IF(ISNUMBER(R379),R379-R378,999999),0)</f>
        <v>0</v>
      </c>
      <c r="S380" s="41" t="n">
        <f aca="false">IF(ISNUMBER(S378),IF(ISNUMBER(S379),S379-S378,999999),0)</f>
        <v>0</v>
      </c>
      <c r="T380" s="41" t="n">
        <f aca="false">IF(ISNUMBER(T378),IF(ISNUMBER(T379),T379-T378,999999),0)</f>
        <v>0</v>
      </c>
      <c r="U380" s="41" t="n">
        <f aca="false">IF(ISNUMBER(U378),IF(ISNUMBER(U379),U379-U378,999999),0)</f>
        <v>0</v>
      </c>
      <c r="V380" s="41" t="n">
        <f aca="false">IF(ISNUMBER(V378),IF(ISNUMBER(V379),V379-V378,999999),0)</f>
        <v>0</v>
      </c>
      <c r="W380" s="41" t="n">
        <f aca="false">IF(ISNUMBER(W378),IF(ISNUMBER(W379),W379-W378,999999),0)</f>
        <v>0</v>
      </c>
      <c r="X380" s="41" t="n">
        <f aca="false">IF(ISNUMBER(X378),IF(ISNUMBER(X379),X379-X378,999999),0)</f>
        <v>0</v>
      </c>
      <c r="Y380" s="41" t="n">
        <f aca="false">IF(ISNUMBER(Y378),IF(ISNUMBER(Y379),Y379-Y378,999999),0)</f>
        <v>0</v>
      </c>
      <c r="Z380" s="41" t="n">
        <f aca="false">IF(ISNUMBER(Z378),IF(ISNUMBER(Z379),Z379-Z378,999999),0)</f>
        <v>0</v>
      </c>
      <c r="AA380" s="41" t="n">
        <f aca="false">IF(ISNUMBER(AA378),IF(ISNUMBER(AA379),AA379-AA378,999999),0)</f>
        <v>0</v>
      </c>
      <c r="AB380" s="41" t="n">
        <f aca="false">IF(ISNUMBER(AB378),IF(ISNUMBER(AB379),AB379-AB378,999999),0)</f>
        <v>0</v>
      </c>
      <c r="AC380" s="41" t="n">
        <f aca="false">IF(ISNUMBER(AC378),IF(ISNUMBER(AC379),AC379-AC378,999999),0)</f>
        <v>0</v>
      </c>
      <c r="AD380" s="41" t="n">
        <f aca="false">IF(ISNUMBER(AD378),IF(ISNUMBER(AD379),AD379-AD378,999999),0)</f>
        <v>0</v>
      </c>
      <c r="AE380" s="41" t="n">
        <f aca="false">IF(ISNUMBER(AE378),IF(ISNUMBER(AE379),AE379-AE378,999999),0)</f>
        <v>0</v>
      </c>
    </row>
    <row r="382" customFormat="false" ht="15" hidden="false" customHeight="false" outlineLevel="0" collapsed="false">
      <c r="A382" s="35" t="s">
        <v>1261</v>
      </c>
      <c r="B382" s="6" t="s">
        <v>64</v>
      </c>
      <c r="C382" s="6" t="s">
        <v>119</v>
      </c>
      <c r="D382" s="6" t="n">
        <v>1</v>
      </c>
      <c r="E382" s="6" t="s">
        <v>1165</v>
      </c>
      <c r="K382" s="22"/>
      <c r="L382" s="22" t="n">
        <v>0.157344736252274</v>
      </c>
      <c r="M382" s="22" t="n">
        <v>0.164484037759277</v>
      </c>
      <c r="N382" s="22" t="n">
        <v>0.150709077807049</v>
      </c>
      <c r="O382" s="22" t="n">
        <v>0.150709077807049</v>
      </c>
      <c r="P382" s="22" t="n">
        <v>0.150709077807049</v>
      </c>
      <c r="Q382" s="22" t="n">
        <v>0.150709077807049</v>
      </c>
      <c r="R382" s="22" t="n">
        <v>0.150709077807049</v>
      </c>
      <c r="S382" s="22" t="n">
        <v>0.150709077807049</v>
      </c>
      <c r="T382" s="22" t="n">
        <v>0.150709077807049</v>
      </c>
      <c r="U382" s="22" t="n">
        <v>0.150709077807049</v>
      </c>
      <c r="V382" s="22" t="n">
        <v>0.150709077807049</v>
      </c>
      <c r="W382" s="22" t="n">
        <v>0.150709077807049</v>
      </c>
      <c r="X382" s="22" t="n">
        <v>0.150709077807049</v>
      </c>
      <c r="Y382" s="22" t="n">
        <v>0.150709077807049</v>
      </c>
      <c r="Z382" s="22" t="n">
        <v>0.150709077807049</v>
      </c>
      <c r="AA382" s="22" t="n">
        <v>0.150709077807049</v>
      </c>
      <c r="AB382" s="22" t="n">
        <v>0.150709077807049</v>
      </c>
      <c r="AC382" s="22" t="n">
        <v>0.150709077807049</v>
      </c>
      <c r="AD382" s="22" t="n">
        <v>0.150709077807049</v>
      </c>
      <c r="AE382" s="22" t="n">
        <v>0.150709077807049</v>
      </c>
    </row>
    <row r="383" customFormat="false" ht="15" hidden="false" customHeight="false" outlineLevel="0" collapsed="false">
      <c r="A383" s="35" t="s">
        <v>1261</v>
      </c>
      <c r="B383" s="6" t="s">
        <v>64</v>
      </c>
      <c r="C383" s="6" t="s">
        <v>119</v>
      </c>
      <c r="D383" s="6" t="n">
        <v>1</v>
      </c>
      <c r="E383" s="6" t="s">
        <v>1166</v>
      </c>
      <c r="K383" s="22" t="n">
        <f aca="false">INDEX(Mitigation_Industry!K:K,MATCH($A383,Mitigation_Industry!$H:$H,0))</f>
        <v>0.200366691126738</v>
      </c>
      <c r="L383" s="22" t="n">
        <f aca="false">INDEX(Mitigation_Industry!L:L,MATCH($A383,Mitigation_Industry!$H:$H,0))</f>
        <v>0.157344736252274</v>
      </c>
      <c r="M383" s="22" t="n">
        <f aca="false">INDEX(Mitigation_Industry!M:M,MATCH($A383,Mitigation_Industry!$H:$H,0))</f>
        <v>0.164484037759277</v>
      </c>
      <c r="N383" s="22" t="n">
        <f aca="false">INDEX(Mitigation_Industry!N:N,MATCH($A383,Mitigation_Industry!$H:$H,0))</f>
        <v>0.150709077807049</v>
      </c>
      <c r="O383" s="22" t="n">
        <f aca="false">INDEX(Mitigation_Industry!O:O,MATCH($A383,Mitigation_Industry!$H:$H,0))</f>
        <v>0.150709077807049</v>
      </c>
      <c r="P383" s="22" t="n">
        <f aca="false">INDEX(Mitigation_Industry!P:P,MATCH($A383,Mitigation_Industry!$H:$H,0))</f>
        <v>0.150709077807049</v>
      </c>
      <c r="Q383" s="22" t="n">
        <f aca="false">INDEX(Mitigation_Industry!Q:Q,MATCH($A383,Mitigation_Industry!$H:$H,0))</f>
        <v>0.150709077807049</v>
      </c>
      <c r="R383" s="22" t="n">
        <f aca="false">INDEX(Mitigation_Industry!R:R,MATCH($A383,Mitigation_Industry!$H:$H,0))</f>
        <v>0.150709077807049</v>
      </c>
      <c r="S383" s="22" t="n">
        <f aca="false">INDEX(Mitigation_Industry!S:S,MATCH($A383,Mitigation_Industry!$H:$H,0))</f>
        <v>0.150709077807049</v>
      </c>
      <c r="T383" s="22" t="n">
        <f aca="false">INDEX(Mitigation_Industry!T:T,MATCH($A383,Mitigation_Industry!$H:$H,0))</f>
        <v>0.150709077807049</v>
      </c>
      <c r="U383" s="22" t="n">
        <f aca="false">INDEX(Mitigation_Industry!U:U,MATCH($A383,Mitigation_Industry!$H:$H,0))</f>
        <v>0.150709077807049</v>
      </c>
      <c r="V383" s="22" t="n">
        <f aca="false">INDEX(Mitigation_Industry!V:V,MATCH($A383,Mitigation_Industry!$H:$H,0))</f>
        <v>0.150709077807049</v>
      </c>
      <c r="W383" s="22" t="n">
        <f aca="false">INDEX(Mitigation_Industry!W:W,MATCH($A383,Mitigation_Industry!$H:$H,0))</f>
        <v>0.150709077807049</v>
      </c>
      <c r="X383" s="22" t="n">
        <f aca="false">INDEX(Mitigation_Industry!X:X,MATCH($A383,Mitigation_Industry!$H:$H,0))</f>
        <v>0.150709077807049</v>
      </c>
      <c r="Y383" s="22" t="n">
        <f aca="false">INDEX(Mitigation_Industry!Y:Y,MATCH($A383,Mitigation_Industry!$H:$H,0))</f>
        <v>0.150709077807049</v>
      </c>
      <c r="Z383" s="22" t="n">
        <f aca="false">INDEX(Mitigation_Industry!Z:Z,MATCH($A383,Mitigation_Industry!$H:$H,0))</f>
        <v>0.150709077807049</v>
      </c>
      <c r="AA383" s="22" t="n">
        <f aca="false">INDEX(Mitigation_Industry!AA:AA,MATCH($A383,Mitigation_Industry!$H:$H,0))</f>
        <v>0.150709077807049</v>
      </c>
      <c r="AB383" s="22" t="n">
        <f aca="false">INDEX(Mitigation_Industry!AB:AB,MATCH($A383,Mitigation_Industry!$H:$H,0))</f>
        <v>0.150709077807049</v>
      </c>
      <c r="AC383" s="22" t="n">
        <f aca="false">INDEX(Mitigation_Industry!AC:AC,MATCH($A383,Mitigation_Industry!$H:$H,0))</f>
        <v>0.150709077807049</v>
      </c>
      <c r="AD383" s="22" t="n">
        <f aca="false">INDEX(Mitigation_Industry!AD:AD,MATCH($A383,Mitigation_Industry!$H:$H,0))</f>
        <v>0.150709077807049</v>
      </c>
      <c r="AE383" s="22" t="n">
        <f aca="false">INDEX(Mitigation_Industry!AE:AE,MATCH($A383,Mitigation_Industry!$H:$H,0))</f>
        <v>0.150709077807049</v>
      </c>
    </row>
    <row r="384" customFormat="false" ht="15" hidden="false" customHeight="false" outlineLevel="0" collapsed="false">
      <c r="A384" s="35" t="s">
        <v>1261</v>
      </c>
      <c r="B384" s="6" t="s">
        <v>64</v>
      </c>
      <c r="C384" s="6" t="s">
        <v>119</v>
      </c>
      <c r="D384" s="6" t="n">
        <v>1</v>
      </c>
      <c r="E384" s="2" t="s">
        <v>1167</v>
      </c>
      <c r="F384" s="40" t="n">
        <f aca="false">MAX(MAX(L384:AE384),-MIN(L384:AE384))</f>
        <v>-0</v>
      </c>
      <c r="K384" s="41" t="n">
        <f aca="false">IF(ISNUMBER(K382),IF(ISNUMBER(K383),K383-K382,999999),0)</f>
        <v>0</v>
      </c>
      <c r="L384" s="41" t="n">
        <f aca="false">IF(ISNUMBER(L382),IF(ISNUMBER(L383),L383-L382,999999),0)</f>
        <v>0</v>
      </c>
      <c r="M384" s="41" t="n">
        <f aca="false">IF(ISNUMBER(M382),IF(ISNUMBER(M383),M383-M382,999999),0)</f>
        <v>0</v>
      </c>
      <c r="N384" s="41" t="n">
        <f aca="false">IF(ISNUMBER(N382),IF(ISNUMBER(N383),N383-N382,999999),0)</f>
        <v>0</v>
      </c>
      <c r="O384" s="41" t="n">
        <f aca="false">IF(ISNUMBER(O382),IF(ISNUMBER(O383),O383-O382,999999),0)</f>
        <v>0</v>
      </c>
      <c r="P384" s="41" t="n">
        <f aca="false">IF(ISNUMBER(P382),IF(ISNUMBER(P383),P383-P382,999999),0)</f>
        <v>0</v>
      </c>
      <c r="Q384" s="41" t="n">
        <f aca="false">IF(ISNUMBER(Q382),IF(ISNUMBER(Q383),Q383-Q382,999999),0)</f>
        <v>0</v>
      </c>
      <c r="R384" s="41" t="n">
        <f aca="false">IF(ISNUMBER(R382),IF(ISNUMBER(R383),R383-R382,999999),0)</f>
        <v>0</v>
      </c>
      <c r="S384" s="41" t="n">
        <f aca="false">IF(ISNUMBER(S382),IF(ISNUMBER(S383),S383-S382,999999),0)</f>
        <v>0</v>
      </c>
      <c r="T384" s="41" t="n">
        <f aca="false">IF(ISNUMBER(T382),IF(ISNUMBER(T383),T383-T382,999999),0)</f>
        <v>0</v>
      </c>
      <c r="U384" s="41" t="n">
        <f aca="false">IF(ISNUMBER(U382),IF(ISNUMBER(U383),U383-U382,999999),0)</f>
        <v>0</v>
      </c>
      <c r="V384" s="41" t="n">
        <f aca="false">IF(ISNUMBER(V382),IF(ISNUMBER(V383),V383-V382,999999),0)</f>
        <v>0</v>
      </c>
      <c r="W384" s="41" t="n">
        <f aca="false">IF(ISNUMBER(W382),IF(ISNUMBER(W383),W383-W382,999999),0)</f>
        <v>0</v>
      </c>
      <c r="X384" s="41" t="n">
        <f aca="false">IF(ISNUMBER(X382),IF(ISNUMBER(X383),X383-X382,999999),0)</f>
        <v>0</v>
      </c>
      <c r="Y384" s="41" t="n">
        <f aca="false">IF(ISNUMBER(Y382),IF(ISNUMBER(Y383),Y383-Y382,999999),0)</f>
        <v>0</v>
      </c>
      <c r="Z384" s="41" t="n">
        <f aca="false">IF(ISNUMBER(Z382),IF(ISNUMBER(Z383),Z383-Z382,999999),0)</f>
        <v>0</v>
      </c>
      <c r="AA384" s="41" t="n">
        <f aca="false">IF(ISNUMBER(AA382),IF(ISNUMBER(AA383),AA383-AA382,999999),0)</f>
        <v>0</v>
      </c>
      <c r="AB384" s="41" t="n">
        <f aca="false">IF(ISNUMBER(AB382),IF(ISNUMBER(AB383),AB383-AB382,999999),0)</f>
        <v>0</v>
      </c>
      <c r="AC384" s="41" t="n">
        <f aca="false">IF(ISNUMBER(AC382),IF(ISNUMBER(AC383),AC383-AC382,999999),0)</f>
        <v>0</v>
      </c>
      <c r="AD384" s="41" t="n">
        <f aca="false">IF(ISNUMBER(AD382),IF(ISNUMBER(AD383),AD383-AD382,999999),0)</f>
        <v>0</v>
      </c>
      <c r="AE384" s="41" t="n">
        <f aca="false">IF(ISNUMBER(AE382),IF(ISNUMBER(AE383),AE383-AE382,999999),0)</f>
        <v>0</v>
      </c>
    </row>
    <row r="386" customFormat="false" ht="15" hidden="false" customHeight="false" outlineLevel="0" collapsed="false">
      <c r="A386" s="35" t="s">
        <v>1262</v>
      </c>
      <c r="B386" s="6" t="s">
        <v>66</v>
      </c>
      <c r="C386" s="6" t="s">
        <v>119</v>
      </c>
      <c r="D386" s="6" t="n">
        <v>1</v>
      </c>
      <c r="E386" s="6" t="s">
        <v>1165</v>
      </c>
      <c r="K386" s="22"/>
      <c r="L386" s="22" t="n">
        <v>0.456428170500128</v>
      </c>
      <c r="M386" s="22" t="n">
        <v>0.431689201955995</v>
      </c>
      <c r="N386" s="22" t="n">
        <v>0.42507558395597</v>
      </c>
      <c r="O386" s="22" t="n">
        <v>0.42507558395597</v>
      </c>
      <c r="P386" s="22" t="n">
        <v>0.42507558395597</v>
      </c>
      <c r="Q386" s="22" t="n">
        <v>0.42507558395597</v>
      </c>
      <c r="R386" s="22" t="n">
        <v>0.42507558395597</v>
      </c>
      <c r="S386" s="22" t="n">
        <v>0.42507558395597</v>
      </c>
      <c r="T386" s="22" t="n">
        <v>0.42507558395597</v>
      </c>
      <c r="U386" s="22" t="n">
        <v>0.42507558395597</v>
      </c>
      <c r="V386" s="22" t="n">
        <v>0.42507558395597</v>
      </c>
      <c r="W386" s="22" t="n">
        <v>0.42507558395597</v>
      </c>
      <c r="X386" s="22" t="n">
        <v>0.42507558395597</v>
      </c>
      <c r="Y386" s="22" t="n">
        <v>0.42507558395597</v>
      </c>
      <c r="Z386" s="22" t="n">
        <v>0.42507558395597</v>
      </c>
      <c r="AA386" s="22" t="n">
        <v>0.42507558395597</v>
      </c>
      <c r="AB386" s="22" t="n">
        <v>0.42507558395597</v>
      </c>
      <c r="AC386" s="22" t="n">
        <v>0.42507558395597</v>
      </c>
      <c r="AD386" s="22" t="n">
        <v>0.42507558395597</v>
      </c>
      <c r="AE386" s="22" t="n">
        <v>0.42507558395597</v>
      </c>
    </row>
    <row r="387" customFormat="false" ht="15" hidden="false" customHeight="false" outlineLevel="0" collapsed="false">
      <c r="A387" s="35" t="s">
        <v>1262</v>
      </c>
      <c r="B387" s="6" t="s">
        <v>66</v>
      </c>
      <c r="C387" s="6" t="s">
        <v>119</v>
      </c>
      <c r="D387" s="6" t="n">
        <v>1</v>
      </c>
      <c r="E387" s="6" t="s">
        <v>1166</v>
      </c>
      <c r="K387" s="22" t="n">
        <f aca="false">INDEX(Mitigation_Industry!K:K,MATCH($A387,Mitigation_Industry!$H:$H,0))</f>
        <v>0.484294240973435</v>
      </c>
      <c r="L387" s="22" t="n">
        <f aca="false">INDEX(Mitigation_Industry!L:L,MATCH($A387,Mitigation_Industry!$H:$H,0))</f>
        <v>0.456428170500128</v>
      </c>
      <c r="M387" s="22" t="n">
        <f aca="false">INDEX(Mitigation_Industry!M:M,MATCH($A387,Mitigation_Industry!$H:$H,0))</f>
        <v>0.431689201955995</v>
      </c>
      <c r="N387" s="22" t="n">
        <f aca="false">INDEX(Mitigation_Industry!N:N,MATCH($A387,Mitigation_Industry!$H:$H,0))</f>
        <v>0.42507558395597</v>
      </c>
      <c r="O387" s="22" t="n">
        <f aca="false">INDEX(Mitigation_Industry!O:O,MATCH($A387,Mitigation_Industry!$H:$H,0))</f>
        <v>0.42507558395597</v>
      </c>
      <c r="P387" s="22" t="n">
        <f aca="false">INDEX(Mitigation_Industry!P:P,MATCH($A387,Mitigation_Industry!$H:$H,0))</f>
        <v>0.42507558395597</v>
      </c>
      <c r="Q387" s="22" t="n">
        <f aca="false">INDEX(Mitigation_Industry!Q:Q,MATCH($A387,Mitigation_Industry!$H:$H,0))</f>
        <v>0.42507558395597</v>
      </c>
      <c r="R387" s="22" t="n">
        <f aca="false">INDEX(Mitigation_Industry!R:R,MATCH($A387,Mitigation_Industry!$H:$H,0))</f>
        <v>0.42507558395597</v>
      </c>
      <c r="S387" s="22" t="n">
        <f aca="false">INDEX(Mitigation_Industry!S:S,MATCH($A387,Mitigation_Industry!$H:$H,0))</f>
        <v>0.42507558395597</v>
      </c>
      <c r="T387" s="22" t="n">
        <f aca="false">INDEX(Mitigation_Industry!T:T,MATCH($A387,Mitigation_Industry!$H:$H,0))</f>
        <v>0.42507558395597</v>
      </c>
      <c r="U387" s="22" t="n">
        <f aca="false">INDEX(Mitigation_Industry!U:U,MATCH($A387,Mitigation_Industry!$H:$H,0))</f>
        <v>0.42507558395597</v>
      </c>
      <c r="V387" s="22" t="n">
        <f aca="false">INDEX(Mitigation_Industry!V:V,MATCH($A387,Mitigation_Industry!$H:$H,0))</f>
        <v>0.42507558395597</v>
      </c>
      <c r="W387" s="22" t="n">
        <f aca="false">INDEX(Mitigation_Industry!W:W,MATCH($A387,Mitigation_Industry!$H:$H,0))</f>
        <v>0.42507558395597</v>
      </c>
      <c r="X387" s="22" t="n">
        <f aca="false">INDEX(Mitigation_Industry!X:X,MATCH($A387,Mitigation_Industry!$H:$H,0))</f>
        <v>0.42507558395597</v>
      </c>
      <c r="Y387" s="22" t="n">
        <f aca="false">INDEX(Mitigation_Industry!Y:Y,MATCH($A387,Mitigation_Industry!$H:$H,0))</f>
        <v>0.42507558395597</v>
      </c>
      <c r="Z387" s="22" t="n">
        <f aca="false">INDEX(Mitigation_Industry!Z:Z,MATCH($A387,Mitigation_Industry!$H:$H,0))</f>
        <v>0.42507558395597</v>
      </c>
      <c r="AA387" s="22" t="n">
        <f aca="false">INDEX(Mitigation_Industry!AA:AA,MATCH($A387,Mitigation_Industry!$H:$H,0))</f>
        <v>0.42507558395597</v>
      </c>
      <c r="AB387" s="22" t="n">
        <f aca="false">INDEX(Mitigation_Industry!AB:AB,MATCH($A387,Mitigation_Industry!$H:$H,0))</f>
        <v>0.42507558395597</v>
      </c>
      <c r="AC387" s="22" t="n">
        <f aca="false">INDEX(Mitigation_Industry!AC:AC,MATCH($A387,Mitigation_Industry!$H:$H,0))</f>
        <v>0.42507558395597</v>
      </c>
      <c r="AD387" s="22" t="n">
        <f aca="false">INDEX(Mitigation_Industry!AD:AD,MATCH($A387,Mitigation_Industry!$H:$H,0))</f>
        <v>0.42507558395597</v>
      </c>
      <c r="AE387" s="22" t="n">
        <f aca="false">INDEX(Mitigation_Industry!AE:AE,MATCH($A387,Mitigation_Industry!$H:$H,0))</f>
        <v>0.42507558395597</v>
      </c>
    </row>
    <row r="388" customFormat="false" ht="15" hidden="false" customHeight="false" outlineLevel="0" collapsed="false">
      <c r="A388" s="35" t="s">
        <v>1262</v>
      </c>
      <c r="B388" s="6" t="s">
        <v>66</v>
      </c>
      <c r="C388" s="6" t="s">
        <v>119</v>
      </c>
      <c r="D388" s="6" t="n">
        <v>1</v>
      </c>
      <c r="E388" s="2" t="s">
        <v>1167</v>
      </c>
      <c r="F388" s="40" t="n">
        <f aca="false">MAX(MAX(L388:AE388),-MIN(L388:AE388))</f>
        <v>-0</v>
      </c>
      <c r="K388" s="41" t="n">
        <f aca="false">IF(ISNUMBER(K386),IF(ISNUMBER(K387),K387-K386,999999),0)</f>
        <v>0</v>
      </c>
      <c r="L388" s="41" t="n">
        <f aca="false">IF(ISNUMBER(L386),IF(ISNUMBER(L387),L387-L386,999999),0)</f>
        <v>0</v>
      </c>
      <c r="M388" s="41" t="n">
        <f aca="false">IF(ISNUMBER(M386),IF(ISNUMBER(M387),M387-M386,999999),0)</f>
        <v>0</v>
      </c>
      <c r="N388" s="41" t="n">
        <f aca="false">IF(ISNUMBER(N386),IF(ISNUMBER(N387),N387-N386,999999),0)</f>
        <v>0</v>
      </c>
      <c r="O388" s="41" t="n">
        <f aca="false">IF(ISNUMBER(O386),IF(ISNUMBER(O387),O387-O386,999999),0)</f>
        <v>0</v>
      </c>
      <c r="P388" s="41" t="n">
        <f aca="false">IF(ISNUMBER(P386),IF(ISNUMBER(P387),P387-P386,999999),0)</f>
        <v>0</v>
      </c>
      <c r="Q388" s="41" t="n">
        <f aca="false">IF(ISNUMBER(Q386),IF(ISNUMBER(Q387),Q387-Q386,999999),0)</f>
        <v>0</v>
      </c>
      <c r="R388" s="41" t="n">
        <f aca="false">IF(ISNUMBER(R386),IF(ISNUMBER(R387),R387-R386,999999),0)</f>
        <v>0</v>
      </c>
      <c r="S388" s="41" t="n">
        <f aca="false">IF(ISNUMBER(S386),IF(ISNUMBER(S387),S387-S386,999999),0)</f>
        <v>0</v>
      </c>
      <c r="T388" s="41" t="n">
        <f aca="false">IF(ISNUMBER(T386),IF(ISNUMBER(T387),T387-T386,999999),0)</f>
        <v>0</v>
      </c>
      <c r="U388" s="41" t="n">
        <f aca="false">IF(ISNUMBER(U386),IF(ISNUMBER(U387),U387-U386,999999),0)</f>
        <v>0</v>
      </c>
      <c r="V388" s="41" t="n">
        <f aca="false">IF(ISNUMBER(V386),IF(ISNUMBER(V387),V387-V386,999999),0)</f>
        <v>0</v>
      </c>
      <c r="W388" s="41" t="n">
        <f aca="false">IF(ISNUMBER(W386),IF(ISNUMBER(W387),W387-W386,999999),0)</f>
        <v>0</v>
      </c>
      <c r="X388" s="41" t="n">
        <f aca="false">IF(ISNUMBER(X386),IF(ISNUMBER(X387),X387-X386,999999),0)</f>
        <v>0</v>
      </c>
      <c r="Y388" s="41" t="n">
        <f aca="false">IF(ISNUMBER(Y386),IF(ISNUMBER(Y387),Y387-Y386,999999),0)</f>
        <v>0</v>
      </c>
      <c r="Z388" s="41" t="n">
        <f aca="false">IF(ISNUMBER(Z386),IF(ISNUMBER(Z387),Z387-Z386,999999),0)</f>
        <v>0</v>
      </c>
      <c r="AA388" s="41" t="n">
        <f aca="false">IF(ISNUMBER(AA386),IF(ISNUMBER(AA387),AA387-AA386,999999),0)</f>
        <v>0</v>
      </c>
      <c r="AB388" s="41" t="n">
        <f aca="false">IF(ISNUMBER(AB386),IF(ISNUMBER(AB387),AB387-AB386,999999),0)</f>
        <v>0</v>
      </c>
      <c r="AC388" s="41" t="n">
        <f aca="false">IF(ISNUMBER(AC386),IF(ISNUMBER(AC387),AC387-AC386,999999),0)</f>
        <v>0</v>
      </c>
      <c r="AD388" s="41" t="n">
        <f aca="false">IF(ISNUMBER(AD386),IF(ISNUMBER(AD387),AD387-AD386,999999),0)</f>
        <v>0</v>
      </c>
      <c r="AE388" s="41" t="n">
        <f aca="false">IF(ISNUMBER(AE386),IF(ISNUMBER(AE387),AE387-AE386,999999),0)</f>
        <v>0</v>
      </c>
    </row>
    <row r="390" customFormat="false" ht="15" hidden="false" customHeight="false" outlineLevel="0" collapsed="false">
      <c r="A390" s="35" t="s">
        <v>1263</v>
      </c>
      <c r="B390" s="6" t="s">
        <v>68</v>
      </c>
      <c r="C390" s="6" t="s">
        <v>119</v>
      </c>
      <c r="D390" s="6" t="n">
        <v>1</v>
      </c>
      <c r="E390" s="6" t="s">
        <v>1165</v>
      </c>
      <c r="K390" s="22"/>
      <c r="L390" s="22" t="n">
        <v>34.4153703043132</v>
      </c>
      <c r="M390" s="22" t="n">
        <v>37.368960690432</v>
      </c>
      <c r="N390" s="22" t="n">
        <v>28.9827611014773</v>
      </c>
      <c r="O390" s="22" t="n">
        <v>15</v>
      </c>
      <c r="P390" s="22" t="n">
        <v>24.2586300842555</v>
      </c>
      <c r="Q390" s="22" t="n">
        <v>15</v>
      </c>
      <c r="R390" s="22" t="n">
        <v>15</v>
      </c>
      <c r="S390" s="22" t="n">
        <v>15</v>
      </c>
      <c r="T390" s="22" t="n">
        <v>15</v>
      </c>
      <c r="U390" s="22" t="n">
        <v>15</v>
      </c>
      <c r="V390" s="22" t="n">
        <v>15</v>
      </c>
      <c r="W390" s="22" t="n">
        <v>15</v>
      </c>
      <c r="X390" s="22" t="n">
        <v>15</v>
      </c>
      <c r="Y390" s="22" t="n">
        <v>15</v>
      </c>
      <c r="Z390" s="22" t="n">
        <v>15</v>
      </c>
      <c r="AA390" s="22" t="n">
        <v>15</v>
      </c>
      <c r="AB390" s="22" t="n">
        <v>15</v>
      </c>
      <c r="AC390" s="22" t="n">
        <v>15</v>
      </c>
      <c r="AD390" s="22" t="n">
        <v>15</v>
      </c>
      <c r="AE390" s="22" t="n">
        <v>15</v>
      </c>
    </row>
    <row r="391" customFormat="false" ht="15" hidden="false" customHeight="false" outlineLevel="0" collapsed="false">
      <c r="A391" s="35" t="s">
        <v>1263</v>
      </c>
      <c r="B391" s="6" t="s">
        <v>68</v>
      </c>
      <c r="C391" s="6" t="s">
        <v>119</v>
      </c>
      <c r="D391" s="6" t="n">
        <v>1</v>
      </c>
      <c r="E391" s="6" t="s">
        <v>1166</v>
      </c>
      <c r="K391" s="22" t="n">
        <f aca="false">INDEX(Mitigation_Industry!K:K,MATCH($A391,Mitigation_Industry!$H:$H,0))</f>
        <v>41.5003384988684</v>
      </c>
      <c r="L391" s="22" t="n">
        <f aca="false">INDEX(Mitigation_Industry!L:L,MATCH($A391,Mitigation_Industry!$H:$H,0))</f>
        <v>34.4153703043132</v>
      </c>
      <c r="M391" s="22" t="n">
        <f aca="false">INDEX(Mitigation_Industry!M:M,MATCH($A391,Mitigation_Industry!$H:$H,0))</f>
        <v>37.368960690432</v>
      </c>
      <c r="N391" s="22" t="n">
        <f aca="false">INDEX(Mitigation_Industry!N:N,MATCH($A391,Mitigation_Industry!$H:$H,0))</f>
        <v>28.9827611014773</v>
      </c>
      <c r="O391" s="22" t="n">
        <f aca="false">INDEX(Mitigation_Industry!O:O,MATCH($A391,Mitigation_Industry!$H:$H,0))</f>
        <v>15</v>
      </c>
      <c r="P391" s="22" t="n">
        <f aca="false">INDEX(Mitigation_Industry!P:P,MATCH($A391,Mitigation_Industry!$H:$H,0))</f>
        <v>24.2586300842555</v>
      </c>
      <c r="Q391" s="22" t="n">
        <f aca="false">INDEX(Mitigation_Industry!Q:Q,MATCH($A391,Mitigation_Industry!$H:$H,0))</f>
        <v>15</v>
      </c>
      <c r="R391" s="22" t="n">
        <f aca="false">INDEX(Mitigation_Industry!R:R,MATCH($A391,Mitigation_Industry!$H:$H,0))</f>
        <v>15</v>
      </c>
      <c r="S391" s="22" t="n">
        <f aca="false">INDEX(Mitigation_Industry!S:S,MATCH($A391,Mitigation_Industry!$H:$H,0))</f>
        <v>15</v>
      </c>
      <c r="T391" s="22" t="n">
        <f aca="false">INDEX(Mitigation_Industry!T:T,MATCH($A391,Mitigation_Industry!$H:$H,0))</f>
        <v>15</v>
      </c>
      <c r="U391" s="22" t="n">
        <f aca="false">INDEX(Mitigation_Industry!U:U,MATCH($A391,Mitigation_Industry!$H:$H,0))</f>
        <v>15</v>
      </c>
      <c r="V391" s="22" t="n">
        <f aca="false">INDEX(Mitigation_Industry!V:V,MATCH($A391,Mitigation_Industry!$H:$H,0))</f>
        <v>15</v>
      </c>
      <c r="W391" s="22" t="n">
        <f aca="false">INDEX(Mitigation_Industry!W:W,MATCH($A391,Mitigation_Industry!$H:$H,0))</f>
        <v>15</v>
      </c>
      <c r="X391" s="22" t="n">
        <f aca="false">INDEX(Mitigation_Industry!X:X,MATCH($A391,Mitigation_Industry!$H:$H,0))</f>
        <v>15</v>
      </c>
      <c r="Y391" s="22" t="n">
        <f aca="false">INDEX(Mitigation_Industry!Y:Y,MATCH($A391,Mitigation_Industry!$H:$H,0))</f>
        <v>15</v>
      </c>
      <c r="Z391" s="22" t="n">
        <f aca="false">INDEX(Mitigation_Industry!Z:Z,MATCH($A391,Mitigation_Industry!$H:$H,0))</f>
        <v>15</v>
      </c>
      <c r="AA391" s="22" t="n">
        <f aca="false">INDEX(Mitigation_Industry!AA:AA,MATCH($A391,Mitigation_Industry!$H:$H,0))</f>
        <v>15</v>
      </c>
      <c r="AB391" s="22" t="n">
        <f aca="false">INDEX(Mitigation_Industry!AB:AB,MATCH($A391,Mitigation_Industry!$H:$H,0))</f>
        <v>15</v>
      </c>
      <c r="AC391" s="22" t="n">
        <f aca="false">INDEX(Mitigation_Industry!AC:AC,MATCH($A391,Mitigation_Industry!$H:$H,0))</f>
        <v>15</v>
      </c>
      <c r="AD391" s="22" t="n">
        <f aca="false">INDEX(Mitigation_Industry!AD:AD,MATCH($A391,Mitigation_Industry!$H:$H,0))</f>
        <v>15</v>
      </c>
      <c r="AE391" s="22" t="n">
        <f aca="false">INDEX(Mitigation_Industry!AE:AE,MATCH($A391,Mitigation_Industry!$H:$H,0))</f>
        <v>15</v>
      </c>
    </row>
    <row r="392" customFormat="false" ht="15" hidden="false" customHeight="false" outlineLevel="0" collapsed="false">
      <c r="A392" s="35" t="s">
        <v>1263</v>
      </c>
      <c r="B392" s="6" t="s">
        <v>68</v>
      </c>
      <c r="C392" s="6" t="s">
        <v>119</v>
      </c>
      <c r="D392" s="6" t="n">
        <v>1</v>
      </c>
      <c r="E392" s="2" t="s">
        <v>1167</v>
      </c>
      <c r="F392" s="40" t="n">
        <f aca="false">MAX(MAX(L392:AE392),-MIN(L392:AE392))</f>
        <v>-0</v>
      </c>
      <c r="K392" s="41" t="n">
        <f aca="false">IF(ISNUMBER(K390),IF(ISNUMBER(K391),K391-K390,999999),0)</f>
        <v>0</v>
      </c>
      <c r="L392" s="41" t="n">
        <f aca="false">IF(ISNUMBER(L390),IF(ISNUMBER(L391),L391-L390,999999),0)</f>
        <v>0</v>
      </c>
      <c r="M392" s="41" t="n">
        <f aca="false">IF(ISNUMBER(M390),IF(ISNUMBER(M391),M391-M390,999999),0)</f>
        <v>0</v>
      </c>
      <c r="N392" s="41" t="n">
        <f aca="false">IF(ISNUMBER(N390),IF(ISNUMBER(N391),N391-N390,999999),0)</f>
        <v>0</v>
      </c>
      <c r="O392" s="41" t="n">
        <f aca="false">IF(ISNUMBER(O390),IF(ISNUMBER(O391),O391-O390,999999),0)</f>
        <v>0</v>
      </c>
      <c r="P392" s="41" t="n">
        <f aca="false">IF(ISNUMBER(P390),IF(ISNUMBER(P391),P391-P390,999999),0)</f>
        <v>0</v>
      </c>
      <c r="Q392" s="41" t="n">
        <f aca="false">IF(ISNUMBER(Q390),IF(ISNUMBER(Q391),Q391-Q390,999999),0)</f>
        <v>0</v>
      </c>
      <c r="R392" s="41" t="n">
        <f aca="false">IF(ISNUMBER(R390),IF(ISNUMBER(R391),R391-R390,999999),0)</f>
        <v>0</v>
      </c>
      <c r="S392" s="41" t="n">
        <f aca="false">IF(ISNUMBER(S390),IF(ISNUMBER(S391),S391-S390,999999),0)</f>
        <v>0</v>
      </c>
      <c r="T392" s="41" t="n">
        <f aca="false">IF(ISNUMBER(T390),IF(ISNUMBER(T391),T391-T390,999999),0)</f>
        <v>0</v>
      </c>
      <c r="U392" s="41" t="n">
        <f aca="false">IF(ISNUMBER(U390),IF(ISNUMBER(U391),U391-U390,999999),0)</f>
        <v>0</v>
      </c>
      <c r="V392" s="41" t="n">
        <f aca="false">IF(ISNUMBER(V390),IF(ISNUMBER(V391),V391-V390,999999),0)</f>
        <v>0</v>
      </c>
      <c r="W392" s="41" t="n">
        <f aca="false">IF(ISNUMBER(W390),IF(ISNUMBER(W391),W391-W390,999999),0)</f>
        <v>0</v>
      </c>
      <c r="X392" s="41" t="n">
        <f aca="false">IF(ISNUMBER(X390),IF(ISNUMBER(X391),X391-X390,999999),0)</f>
        <v>0</v>
      </c>
      <c r="Y392" s="41" t="n">
        <f aca="false">IF(ISNUMBER(Y390),IF(ISNUMBER(Y391),Y391-Y390,999999),0)</f>
        <v>0</v>
      </c>
      <c r="Z392" s="41" t="n">
        <f aca="false">IF(ISNUMBER(Z390),IF(ISNUMBER(Z391),Z391-Z390,999999),0)</f>
        <v>0</v>
      </c>
      <c r="AA392" s="41" t="n">
        <f aca="false">IF(ISNUMBER(AA390),IF(ISNUMBER(AA391),AA391-AA390,999999),0)</f>
        <v>0</v>
      </c>
      <c r="AB392" s="41" t="n">
        <f aca="false">IF(ISNUMBER(AB390),IF(ISNUMBER(AB391),AB391-AB390,999999),0)</f>
        <v>0</v>
      </c>
      <c r="AC392" s="41" t="n">
        <f aca="false">IF(ISNUMBER(AC390),IF(ISNUMBER(AC391),AC391-AC390,999999),0)</f>
        <v>0</v>
      </c>
      <c r="AD392" s="41" t="n">
        <f aca="false">IF(ISNUMBER(AD390),IF(ISNUMBER(AD391),AD391-AD390,999999),0)</f>
        <v>0</v>
      </c>
      <c r="AE392" s="41" t="n">
        <f aca="false">IF(ISNUMBER(AE390),IF(ISNUMBER(AE391),AE391-AE390,999999),0)</f>
        <v>0</v>
      </c>
    </row>
    <row r="394" customFormat="false" ht="15" hidden="false" customHeight="false" outlineLevel="0" collapsed="false">
      <c r="A394" s="35" t="s">
        <v>1264</v>
      </c>
      <c r="B394" s="6" t="s">
        <v>71</v>
      </c>
      <c r="C394" s="6" t="s">
        <v>119</v>
      </c>
      <c r="D394" s="6" t="n">
        <v>1</v>
      </c>
      <c r="E394" s="6" t="s">
        <v>1165</v>
      </c>
      <c r="K394" s="22"/>
      <c r="L394" s="22" t="n">
        <v>14.1995283906349</v>
      </c>
      <c r="M394" s="22" t="n">
        <v>13.8404416133152</v>
      </c>
      <c r="N394" s="22" t="n">
        <v>13.5677269404465</v>
      </c>
      <c r="O394" s="22" t="n">
        <v>13.5677269404465</v>
      </c>
      <c r="P394" s="22" t="n">
        <v>13.5677269404465</v>
      </c>
      <c r="Q394" s="22" t="n">
        <v>13.5677269404465</v>
      </c>
      <c r="R394" s="22" t="n">
        <v>13.5677269404465</v>
      </c>
      <c r="S394" s="22" t="n">
        <v>13.5677269404465</v>
      </c>
      <c r="T394" s="22" t="n">
        <v>13.5677269404465</v>
      </c>
      <c r="U394" s="22" t="n">
        <v>13.5677269404465</v>
      </c>
      <c r="V394" s="22" t="n">
        <v>13.5677269404465</v>
      </c>
      <c r="W394" s="22" t="n">
        <v>13.5677269404465</v>
      </c>
      <c r="X394" s="22" t="n">
        <v>13.5677269404465</v>
      </c>
      <c r="Y394" s="22" t="n">
        <v>13.5677269404465</v>
      </c>
      <c r="Z394" s="22" t="n">
        <v>13.5677269404465</v>
      </c>
      <c r="AA394" s="22" t="n">
        <v>13.5677269404465</v>
      </c>
      <c r="AB394" s="22" t="n">
        <v>13.5677269404465</v>
      </c>
      <c r="AC394" s="22" t="n">
        <v>13.5677269404465</v>
      </c>
      <c r="AD394" s="22" t="n">
        <v>13.5677269404465</v>
      </c>
      <c r="AE394" s="22" t="n">
        <v>13.5677269404465</v>
      </c>
    </row>
    <row r="395" customFormat="false" ht="15" hidden="false" customHeight="false" outlineLevel="0" collapsed="false">
      <c r="A395" s="35" t="s">
        <v>1264</v>
      </c>
      <c r="B395" s="6" t="s">
        <v>71</v>
      </c>
      <c r="C395" s="6" t="s">
        <v>119</v>
      </c>
      <c r="D395" s="6" t="n">
        <v>1</v>
      </c>
      <c r="E395" s="6" t="s">
        <v>1166</v>
      </c>
      <c r="K395" s="22" t="n">
        <f aca="false">INDEX(Mitigation_Industry!K:K,MATCH($A395,Mitigation_Industry!$H:$H,0))</f>
        <v>15.3345505293169</v>
      </c>
      <c r="L395" s="22" t="n">
        <f aca="false">INDEX(Mitigation_Industry!L:L,MATCH($A395,Mitigation_Industry!$H:$H,0))</f>
        <v>14.1995283906349</v>
      </c>
      <c r="M395" s="22" t="n">
        <f aca="false">INDEX(Mitigation_Industry!M:M,MATCH($A395,Mitigation_Industry!$H:$H,0))</f>
        <v>13.8404416133152</v>
      </c>
      <c r="N395" s="22" t="n">
        <f aca="false">INDEX(Mitigation_Industry!N:N,MATCH($A395,Mitigation_Industry!$H:$H,0))</f>
        <v>13.5677269404465</v>
      </c>
      <c r="O395" s="22" t="n">
        <f aca="false">INDEX(Mitigation_Industry!O:O,MATCH($A395,Mitigation_Industry!$H:$H,0))</f>
        <v>13.5677269404465</v>
      </c>
      <c r="P395" s="22" t="n">
        <f aca="false">INDEX(Mitigation_Industry!P:P,MATCH($A395,Mitigation_Industry!$H:$H,0))</f>
        <v>13.5677269404465</v>
      </c>
      <c r="Q395" s="22" t="n">
        <f aca="false">INDEX(Mitigation_Industry!Q:Q,MATCH($A395,Mitigation_Industry!$H:$H,0))</f>
        <v>13.5677269404465</v>
      </c>
      <c r="R395" s="22" t="n">
        <f aca="false">INDEX(Mitigation_Industry!R:R,MATCH($A395,Mitigation_Industry!$H:$H,0))</f>
        <v>13.5677269404465</v>
      </c>
      <c r="S395" s="22" t="n">
        <f aca="false">INDEX(Mitigation_Industry!S:S,MATCH($A395,Mitigation_Industry!$H:$H,0))</f>
        <v>13.5677269404465</v>
      </c>
      <c r="T395" s="22" t="n">
        <f aca="false">INDEX(Mitigation_Industry!T:T,MATCH($A395,Mitigation_Industry!$H:$H,0))</f>
        <v>13.5677269404465</v>
      </c>
      <c r="U395" s="22" t="n">
        <f aca="false">INDEX(Mitigation_Industry!U:U,MATCH($A395,Mitigation_Industry!$H:$H,0))</f>
        <v>13.5677269404465</v>
      </c>
      <c r="V395" s="22" t="n">
        <f aca="false">INDEX(Mitigation_Industry!V:V,MATCH($A395,Mitigation_Industry!$H:$H,0))</f>
        <v>13.5677269404465</v>
      </c>
      <c r="W395" s="22" t="n">
        <f aca="false">INDEX(Mitigation_Industry!W:W,MATCH($A395,Mitigation_Industry!$H:$H,0))</f>
        <v>13.5677269404465</v>
      </c>
      <c r="X395" s="22" t="n">
        <f aca="false">INDEX(Mitigation_Industry!X:X,MATCH($A395,Mitigation_Industry!$H:$H,0))</f>
        <v>13.5677269404465</v>
      </c>
      <c r="Y395" s="22" t="n">
        <f aca="false">INDEX(Mitigation_Industry!Y:Y,MATCH($A395,Mitigation_Industry!$H:$H,0))</f>
        <v>13.5677269404465</v>
      </c>
      <c r="Z395" s="22" t="n">
        <f aca="false">INDEX(Mitigation_Industry!Z:Z,MATCH($A395,Mitigation_Industry!$H:$H,0))</f>
        <v>13.5677269404465</v>
      </c>
      <c r="AA395" s="22" t="n">
        <f aca="false">INDEX(Mitigation_Industry!AA:AA,MATCH($A395,Mitigation_Industry!$H:$H,0))</f>
        <v>13.5677269404465</v>
      </c>
      <c r="AB395" s="22" t="n">
        <f aca="false">INDEX(Mitigation_Industry!AB:AB,MATCH($A395,Mitigation_Industry!$H:$H,0))</f>
        <v>13.5677269404465</v>
      </c>
      <c r="AC395" s="22" t="n">
        <f aca="false">INDEX(Mitigation_Industry!AC:AC,MATCH($A395,Mitigation_Industry!$H:$H,0))</f>
        <v>13.5677269404465</v>
      </c>
      <c r="AD395" s="22" t="n">
        <f aca="false">INDEX(Mitigation_Industry!AD:AD,MATCH($A395,Mitigation_Industry!$H:$H,0))</f>
        <v>13.5677269404465</v>
      </c>
      <c r="AE395" s="22" t="n">
        <f aca="false">INDEX(Mitigation_Industry!AE:AE,MATCH($A395,Mitigation_Industry!$H:$H,0))</f>
        <v>13.5677269404465</v>
      </c>
    </row>
    <row r="396" customFormat="false" ht="15" hidden="false" customHeight="false" outlineLevel="0" collapsed="false">
      <c r="A396" s="35" t="s">
        <v>1264</v>
      </c>
      <c r="B396" s="6" t="s">
        <v>71</v>
      </c>
      <c r="C396" s="6" t="s">
        <v>119</v>
      </c>
      <c r="D396" s="6" t="n">
        <v>1</v>
      </c>
      <c r="E396" s="2" t="s">
        <v>1167</v>
      </c>
      <c r="F396" s="40" t="n">
        <f aca="false">MAX(MAX(L396:AE396),-MIN(L396:AE396))</f>
        <v>-0</v>
      </c>
      <c r="K396" s="41" t="n">
        <f aca="false">IF(ISNUMBER(K394),IF(ISNUMBER(K395),K395-K394,999999),0)</f>
        <v>0</v>
      </c>
      <c r="L396" s="41" t="n">
        <f aca="false">IF(ISNUMBER(L394),IF(ISNUMBER(L395),L395-L394,999999),0)</f>
        <v>0</v>
      </c>
      <c r="M396" s="41" t="n">
        <f aca="false">IF(ISNUMBER(M394),IF(ISNUMBER(M395),M395-M394,999999),0)</f>
        <v>0</v>
      </c>
      <c r="N396" s="41" t="n">
        <f aca="false">IF(ISNUMBER(N394),IF(ISNUMBER(N395),N395-N394,999999),0)</f>
        <v>0</v>
      </c>
      <c r="O396" s="41" t="n">
        <f aca="false">IF(ISNUMBER(O394),IF(ISNUMBER(O395),O395-O394,999999),0)</f>
        <v>0</v>
      </c>
      <c r="P396" s="41" t="n">
        <f aca="false">IF(ISNUMBER(P394),IF(ISNUMBER(P395),P395-P394,999999),0)</f>
        <v>0</v>
      </c>
      <c r="Q396" s="41" t="n">
        <f aca="false">IF(ISNUMBER(Q394),IF(ISNUMBER(Q395),Q395-Q394,999999),0)</f>
        <v>0</v>
      </c>
      <c r="R396" s="41" t="n">
        <f aca="false">IF(ISNUMBER(R394),IF(ISNUMBER(R395),R395-R394,999999),0)</f>
        <v>0</v>
      </c>
      <c r="S396" s="41" t="n">
        <f aca="false">IF(ISNUMBER(S394),IF(ISNUMBER(S395),S395-S394,999999),0)</f>
        <v>0</v>
      </c>
      <c r="T396" s="41" t="n">
        <f aca="false">IF(ISNUMBER(T394),IF(ISNUMBER(T395),T395-T394,999999),0)</f>
        <v>0</v>
      </c>
      <c r="U396" s="41" t="n">
        <f aca="false">IF(ISNUMBER(U394),IF(ISNUMBER(U395),U395-U394,999999),0)</f>
        <v>0</v>
      </c>
      <c r="V396" s="41" t="n">
        <f aca="false">IF(ISNUMBER(V394),IF(ISNUMBER(V395),V395-V394,999999),0)</f>
        <v>0</v>
      </c>
      <c r="W396" s="41" t="n">
        <f aca="false">IF(ISNUMBER(W394),IF(ISNUMBER(W395),W395-W394,999999),0)</f>
        <v>0</v>
      </c>
      <c r="X396" s="41" t="n">
        <f aca="false">IF(ISNUMBER(X394),IF(ISNUMBER(X395),X395-X394,999999),0)</f>
        <v>0</v>
      </c>
      <c r="Y396" s="41" t="n">
        <f aca="false">IF(ISNUMBER(Y394),IF(ISNUMBER(Y395),Y395-Y394,999999),0)</f>
        <v>0</v>
      </c>
      <c r="Z396" s="41" t="n">
        <f aca="false">IF(ISNUMBER(Z394),IF(ISNUMBER(Z395),Z395-Z394,999999),0)</f>
        <v>0</v>
      </c>
      <c r="AA396" s="41" t="n">
        <f aca="false">IF(ISNUMBER(AA394),IF(ISNUMBER(AA395),AA395-AA394,999999),0)</f>
        <v>0</v>
      </c>
      <c r="AB396" s="41" t="n">
        <f aca="false">IF(ISNUMBER(AB394),IF(ISNUMBER(AB395),AB395-AB394,999999),0)</f>
        <v>0</v>
      </c>
      <c r="AC396" s="41" t="n">
        <f aca="false">IF(ISNUMBER(AC394),IF(ISNUMBER(AC395),AC395-AC394,999999),0)</f>
        <v>0</v>
      </c>
      <c r="AD396" s="41" t="n">
        <f aca="false">IF(ISNUMBER(AD394),IF(ISNUMBER(AD395),AD395-AD394,999999),0)</f>
        <v>0</v>
      </c>
      <c r="AE396" s="41" t="n">
        <f aca="false">IF(ISNUMBER(AE394),IF(ISNUMBER(AE395),AE395-AE394,999999),0)</f>
        <v>0</v>
      </c>
    </row>
    <row r="398" customFormat="false" ht="15" hidden="false" customHeight="false" outlineLevel="0" collapsed="false">
      <c r="A398" s="35" t="s">
        <v>1265</v>
      </c>
      <c r="B398" s="6" t="s">
        <v>73</v>
      </c>
      <c r="C398" s="6" t="s">
        <v>119</v>
      </c>
      <c r="D398" s="6" t="n">
        <v>1</v>
      </c>
      <c r="E398" s="6" t="s">
        <v>1165</v>
      </c>
      <c r="K398" s="22"/>
      <c r="L398" s="22" t="n">
        <v>0.144044986793198</v>
      </c>
      <c r="M398" s="22" t="n">
        <v>0.141020409657004</v>
      </c>
      <c r="N398" s="22" t="n">
        <v>0.135116359594476</v>
      </c>
      <c r="O398" s="22" t="n">
        <v>0.130988256985856</v>
      </c>
      <c r="P398" s="22" t="n">
        <v>0.127908416086318</v>
      </c>
      <c r="Q398" s="22" t="n">
        <v>0.124814310557813</v>
      </c>
      <c r="R398" s="22" t="n">
        <v>0.121460257122878</v>
      </c>
      <c r="S398" s="22" t="n">
        <v>0.117950744135786</v>
      </c>
      <c r="T398" s="22" t="n">
        <v>0.114199161044597</v>
      </c>
      <c r="U398" s="22" t="n">
        <v>0.113665100059665</v>
      </c>
      <c r="V398" s="22" t="n">
        <v>0.113016929625957</v>
      </c>
      <c r="W398" s="22" t="n">
        <v>0.112314070507636</v>
      </c>
      <c r="X398" s="22" t="n">
        <v>0.111422042732843</v>
      </c>
      <c r="Y398" s="22" t="n">
        <v>0.110434123675809</v>
      </c>
      <c r="Z398" s="22" t="n">
        <v>0.109483973304471</v>
      </c>
      <c r="AA398" s="22" t="n">
        <v>0.10839192105294</v>
      </c>
      <c r="AB398" s="22" t="n">
        <v>0.107354433626704</v>
      </c>
      <c r="AC398" s="22" t="n">
        <v>0.105168675441661</v>
      </c>
      <c r="AD398" s="22" t="n">
        <v>0.103057983256008</v>
      </c>
      <c r="AE398" s="22" t="n">
        <v>0.100931838990114</v>
      </c>
    </row>
    <row r="399" customFormat="false" ht="15" hidden="false" customHeight="false" outlineLevel="0" collapsed="false">
      <c r="A399" s="35" t="s">
        <v>1265</v>
      </c>
      <c r="B399" s="6" t="s">
        <v>73</v>
      </c>
      <c r="C399" s="6" t="s">
        <v>119</v>
      </c>
      <c r="D399" s="6" t="n">
        <v>1</v>
      </c>
      <c r="E399" s="6" t="s">
        <v>1166</v>
      </c>
      <c r="K399" s="22" t="n">
        <f aca="false">INDEX(Mitigation_Industry!K:K,MATCH($A399,Mitigation_Industry!$H:$H,0))</f>
        <v>0</v>
      </c>
      <c r="L399" s="22" t="n">
        <f aca="false">INDEX(Mitigation_Industry!L:L,MATCH($A399,Mitigation_Industry!$H:$H,0))</f>
        <v>0.144044986793198</v>
      </c>
      <c r="M399" s="22" t="n">
        <f aca="false">INDEX(Mitigation_Industry!M:M,MATCH($A399,Mitigation_Industry!$H:$H,0))</f>
        <v>0.141020409657004</v>
      </c>
      <c r="N399" s="22" t="n">
        <f aca="false">INDEX(Mitigation_Industry!N:N,MATCH($A399,Mitigation_Industry!$H:$H,0))</f>
        <v>0.135116359594476</v>
      </c>
      <c r="O399" s="22" t="n">
        <f aca="false">INDEX(Mitigation_Industry!O:O,MATCH($A399,Mitigation_Industry!$H:$H,0))</f>
        <v>0.130988256985856</v>
      </c>
      <c r="P399" s="22" t="n">
        <f aca="false">INDEX(Mitigation_Industry!P:P,MATCH($A399,Mitigation_Industry!$H:$H,0))</f>
        <v>0.127908416086318</v>
      </c>
      <c r="Q399" s="22" t="n">
        <f aca="false">INDEX(Mitigation_Industry!Q:Q,MATCH($A399,Mitigation_Industry!$H:$H,0))</f>
        <v>0.124814310557813</v>
      </c>
      <c r="R399" s="22" t="n">
        <f aca="false">INDEX(Mitigation_Industry!R:R,MATCH($A399,Mitigation_Industry!$H:$H,0))</f>
        <v>0.121460257122878</v>
      </c>
      <c r="S399" s="22" t="n">
        <f aca="false">INDEX(Mitigation_Industry!S:S,MATCH($A399,Mitigation_Industry!$H:$H,0))</f>
        <v>0.117950744135786</v>
      </c>
      <c r="T399" s="22" t="n">
        <f aca="false">INDEX(Mitigation_Industry!T:T,MATCH($A399,Mitigation_Industry!$H:$H,0))</f>
        <v>0.114199161044597</v>
      </c>
      <c r="U399" s="22" t="n">
        <f aca="false">INDEX(Mitigation_Industry!U:U,MATCH($A399,Mitigation_Industry!$H:$H,0))</f>
        <v>0.113665100059665</v>
      </c>
      <c r="V399" s="22" t="n">
        <f aca="false">INDEX(Mitigation_Industry!V:V,MATCH($A399,Mitigation_Industry!$H:$H,0))</f>
        <v>0.113016929625957</v>
      </c>
      <c r="W399" s="22" t="n">
        <f aca="false">INDEX(Mitigation_Industry!W:W,MATCH($A399,Mitigation_Industry!$H:$H,0))</f>
        <v>0.112314070507636</v>
      </c>
      <c r="X399" s="22" t="n">
        <f aca="false">INDEX(Mitigation_Industry!X:X,MATCH($A399,Mitigation_Industry!$H:$H,0))</f>
        <v>0.111422042732843</v>
      </c>
      <c r="Y399" s="22" t="n">
        <f aca="false">INDEX(Mitigation_Industry!Y:Y,MATCH($A399,Mitigation_Industry!$H:$H,0))</f>
        <v>0.110434123675809</v>
      </c>
      <c r="Z399" s="22" t="n">
        <f aca="false">INDEX(Mitigation_Industry!Z:Z,MATCH($A399,Mitigation_Industry!$H:$H,0))</f>
        <v>0.109483973304471</v>
      </c>
      <c r="AA399" s="22" t="n">
        <f aca="false">INDEX(Mitigation_Industry!AA:AA,MATCH($A399,Mitigation_Industry!$H:$H,0))</f>
        <v>0.10839192105294</v>
      </c>
      <c r="AB399" s="22" t="n">
        <f aca="false">INDEX(Mitigation_Industry!AB:AB,MATCH($A399,Mitigation_Industry!$H:$H,0))</f>
        <v>0.107354433626704</v>
      </c>
      <c r="AC399" s="22" t="n">
        <f aca="false">INDEX(Mitigation_Industry!AC:AC,MATCH($A399,Mitigation_Industry!$H:$H,0))</f>
        <v>0.105168675441661</v>
      </c>
      <c r="AD399" s="22" t="n">
        <f aca="false">INDEX(Mitigation_Industry!AD:AD,MATCH($A399,Mitigation_Industry!$H:$H,0))</f>
        <v>0.103057983256008</v>
      </c>
      <c r="AE399" s="22" t="n">
        <f aca="false">INDEX(Mitigation_Industry!AE:AE,MATCH($A399,Mitigation_Industry!$H:$H,0))</f>
        <v>0.100931838990114</v>
      </c>
    </row>
    <row r="400" customFormat="false" ht="15" hidden="false" customHeight="false" outlineLevel="0" collapsed="false">
      <c r="A400" s="35" t="s">
        <v>1265</v>
      </c>
      <c r="B400" s="6" t="s">
        <v>73</v>
      </c>
      <c r="C400" s="6" t="s">
        <v>119</v>
      </c>
      <c r="D400" s="6" t="n">
        <v>1</v>
      </c>
      <c r="E400" s="2" t="s">
        <v>1167</v>
      </c>
      <c r="F400" s="40" t="n">
        <f aca="false">MAX(MAX(L400:AE400),-MIN(L400:AE400))</f>
        <v>-0</v>
      </c>
      <c r="K400" s="41" t="n">
        <f aca="false">IF(ISNUMBER(K398),IF(ISNUMBER(K399),K399-K398,999999),0)</f>
        <v>0</v>
      </c>
      <c r="L400" s="41" t="n">
        <f aca="false">IF(ISNUMBER(L398),IF(ISNUMBER(L399),L399-L398,999999),0)</f>
        <v>0</v>
      </c>
      <c r="M400" s="41" t="n">
        <f aca="false">IF(ISNUMBER(M398),IF(ISNUMBER(M399),M399-M398,999999),0)</f>
        <v>0</v>
      </c>
      <c r="N400" s="41" t="n">
        <f aca="false">IF(ISNUMBER(N398),IF(ISNUMBER(N399),N399-N398,999999),0)</f>
        <v>0</v>
      </c>
      <c r="O400" s="41" t="n">
        <f aca="false">IF(ISNUMBER(O398),IF(ISNUMBER(O399),O399-O398,999999),0)</f>
        <v>0</v>
      </c>
      <c r="P400" s="41" t="n">
        <f aca="false">IF(ISNUMBER(P398),IF(ISNUMBER(P399),P399-P398,999999),0)</f>
        <v>0</v>
      </c>
      <c r="Q400" s="41" t="n">
        <f aca="false">IF(ISNUMBER(Q398),IF(ISNUMBER(Q399),Q399-Q398,999999),0)</f>
        <v>0</v>
      </c>
      <c r="R400" s="41" t="n">
        <f aca="false">IF(ISNUMBER(R398),IF(ISNUMBER(R399),R399-R398,999999),0)</f>
        <v>0</v>
      </c>
      <c r="S400" s="41" t="n">
        <f aca="false">IF(ISNUMBER(S398),IF(ISNUMBER(S399),S399-S398,999999),0)</f>
        <v>0</v>
      </c>
      <c r="T400" s="41" t="n">
        <f aca="false">IF(ISNUMBER(T398),IF(ISNUMBER(T399),T399-T398,999999),0)</f>
        <v>0</v>
      </c>
      <c r="U400" s="41" t="n">
        <f aca="false">IF(ISNUMBER(U398),IF(ISNUMBER(U399),U399-U398,999999),0)</f>
        <v>0</v>
      </c>
      <c r="V400" s="41" t="n">
        <f aca="false">IF(ISNUMBER(V398),IF(ISNUMBER(V399),V399-V398,999999),0)</f>
        <v>0</v>
      </c>
      <c r="W400" s="41" t="n">
        <f aca="false">IF(ISNUMBER(W398),IF(ISNUMBER(W399),W399-W398,999999),0)</f>
        <v>0</v>
      </c>
      <c r="X400" s="41" t="n">
        <f aca="false">IF(ISNUMBER(X398),IF(ISNUMBER(X399),X399-X398,999999),0)</f>
        <v>0</v>
      </c>
      <c r="Y400" s="41" t="n">
        <f aca="false">IF(ISNUMBER(Y398),IF(ISNUMBER(Y399),Y399-Y398,999999),0)</f>
        <v>0</v>
      </c>
      <c r="Z400" s="41" t="n">
        <f aca="false">IF(ISNUMBER(Z398),IF(ISNUMBER(Z399),Z399-Z398,999999),0)</f>
        <v>0</v>
      </c>
      <c r="AA400" s="41" t="n">
        <f aca="false">IF(ISNUMBER(AA398),IF(ISNUMBER(AA399),AA399-AA398,999999),0)</f>
        <v>0</v>
      </c>
      <c r="AB400" s="41" t="n">
        <f aca="false">IF(ISNUMBER(AB398),IF(ISNUMBER(AB399),AB399-AB398,999999),0)</f>
        <v>0</v>
      </c>
      <c r="AC400" s="41" t="n">
        <f aca="false">IF(ISNUMBER(AC398),IF(ISNUMBER(AC399),AC399-AC398,999999),0)</f>
        <v>0</v>
      </c>
      <c r="AD400" s="41" t="n">
        <f aca="false">IF(ISNUMBER(AD398),IF(ISNUMBER(AD399),AD399-AD398,999999),0)</f>
        <v>0</v>
      </c>
      <c r="AE400" s="41" t="n">
        <f aca="false">IF(ISNUMBER(AE398),IF(ISNUMBER(AE399),AE399-AE398,999999),0)</f>
        <v>0</v>
      </c>
    </row>
    <row r="402" customFormat="false" ht="15" hidden="false" customHeight="false" outlineLevel="0" collapsed="false">
      <c r="A402" s="35" t="s">
        <v>1266</v>
      </c>
      <c r="B402" s="6" t="s">
        <v>53</v>
      </c>
      <c r="C402" s="6" t="s">
        <v>121</v>
      </c>
      <c r="D402" s="6" t="n">
        <v>1</v>
      </c>
      <c r="E402" s="6" t="s">
        <v>1165</v>
      </c>
      <c r="K402" s="22"/>
      <c r="L402" s="22" t="n">
        <v>10.5233613454312</v>
      </c>
      <c r="M402" s="22" t="n">
        <v>10.2995608274442</v>
      </c>
      <c r="N402" s="22" t="n">
        <v>9.57752835953826</v>
      </c>
      <c r="O402" s="22" t="n">
        <v>8.48547828695805</v>
      </c>
      <c r="P402" s="22" t="n">
        <v>9.08719223524986</v>
      </c>
      <c r="Q402" s="22" t="n">
        <v>9.22292372893268</v>
      </c>
      <c r="R402" s="22" t="n">
        <v>9.15856495550969</v>
      </c>
      <c r="S402" s="22" t="n">
        <v>9.08954787739738</v>
      </c>
      <c r="T402" s="22" t="n">
        <v>9.01568166602283</v>
      </c>
      <c r="U402" s="22" t="n">
        <v>8.94439776555711</v>
      </c>
      <c r="V402" s="22" t="n">
        <v>8.94439776555711</v>
      </c>
      <c r="W402" s="22" t="n">
        <v>8.94439776555711</v>
      </c>
      <c r="X402" s="22" t="n">
        <v>8.94439776555711</v>
      </c>
      <c r="Y402" s="22" t="n">
        <v>8.94439776555711</v>
      </c>
      <c r="Z402" s="22" t="n">
        <v>8.94439776555711</v>
      </c>
      <c r="AA402" s="22" t="n">
        <v>8.94439776555711</v>
      </c>
      <c r="AB402" s="22" t="n">
        <v>8.94439776555711</v>
      </c>
      <c r="AC402" s="22" t="n">
        <v>8.94439776555711</v>
      </c>
      <c r="AD402" s="22" t="n">
        <v>8.94439776555711</v>
      </c>
      <c r="AE402" s="22" t="n">
        <v>8.94439776555711</v>
      </c>
    </row>
    <row r="403" customFormat="false" ht="15" hidden="false" customHeight="false" outlineLevel="0" collapsed="false">
      <c r="A403" s="35" t="s">
        <v>1266</v>
      </c>
      <c r="B403" s="6" t="s">
        <v>53</v>
      </c>
      <c r="C403" s="6" t="s">
        <v>121</v>
      </c>
      <c r="D403" s="6" t="n">
        <v>1</v>
      </c>
      <c r="E403" s="6" t="s">
        <v>1166</v>
      </c>
      <c r="K403" s="22" t="n">
        <f aca="false">INDEX(Mitigation_Industry!K:K,MATCH($A403,Mitigation_Industry!$H:$H,0))</f>
        <v>11.1829015892439</v>
      </c>
      <c r="L403" s="22" t="n">
        <f aca="false">INDEX(Mitigation_Industry!L:L,MATCH($A403,Mitigation_Industry!$H:$H,0))</f>
        <v>10.5233613454312</v>
      </c>
      <c r="M403" s="22" t="n">
        <f aca="false">INDEX(Mitigation_Industry!M:M,MATCH($A403,Mitigation_Industry!$H:$H,0))</f>
        <v>10.2995608274442</v>
      </c>
      <c r="N403" s="22" t="n">
        <f aca="false">INDEX(Mitigation_Industry!N:N,MATCH($A403,Mitigation_Industry!$H:$H,0))</f>
        <v>9.57752835953826</v>
      </c>
      <c r="O403" s="22" t="n">
        <f aca="false">INDEX(Mitigation_Industry!O:O,MATCH($A403,Mitigation_Industry!$H:$H,0))</f>
        <v>8.48547828695805</v>
      </c>
      <c r="P403" s="22" t="n">
        <f aca="false">INDEX(Mitigation_Industry!P:P,MATCH($A403,Mitigation_Industry!$H:$H,0))</f>
        <v>9.08719223524986</v>
      </c>
      <c r="Q403" s="22" t="n">
        <f aca="false">INDEX(Mitigation_Industry!Q:Q,MATCH($A403,Mitigation_Industry!$H:$H,0))</f>
        <v>9.22292372893268</v>
      </c>
      <c r="R403" s="22" t="n">
        <f aca="false">INDEX(Mitigation_Industry!R:R,MATCH($A403,Mitigation_Industry!$H:$H,0))</f>
        <v>9.15856495550969</v>
      </c>
      <c r="S403" s="22" t="n">
        <f aca="false">INDEX(Mitigation_Industry!S:S,MATCH($A403,Mitigation_Industry!$H:$H,0))</f>
        <v>9.08954787739738</v>
      </c>
      <c r="T403" s="22" t="n">
        <f aca="false">INDEX(Mitigation_Industry!T:T,MATCH($A403,Mitigation_Industry!$H:$H,0))</f>
        <v>9.01568166602283</v>
      </c>
      <c r="U403" s="22" t="n">
        <f aca="false">INDEX(Mitigation_Industry!U:U,MATCH($A403,Mitigation_Industry!$H:$H,0))</f>
        <v>8.94439776555711</v>
      </c>
      <c r="V403" s="22" t="n">
        <f aca="false">INDEX(Mitigation_Industry!V:V,MATCH($A403,Mitigation_Industry!$H:$H,0))</f>
        <v>8.94439776555711</v>
      </c>
      <c r="W403" s="22" t="n">
        <f aca="false">INDEX(Mitigation_Industry!W:W,MATCH($A403,Mitigation_Industry!$H:$H,0))</f>
        <v>8.94439776555711</v>
      </c>
      <c r="X403" s="22" t="n">
        <f aca="false">INDEX(Mitigation_Industry!X:X,MATCH($A403,Mitigation_Industry!$H:$H,0))</f>
        <v>8.94439776555711</v>
      </c>
      <c r="Y403" s="22" t="n">
        <f aca="false">INDEX(Mitigation_Industry!Y:Y,MATCH($A403,Mitigation_Industry!$H:$H,0))</f>
        <v>8.94439776555711</v>
      </c>
      <c r="Z403" s="22" t="n">
        <f aca="false">INDEX(Mitigation_Industry!Z:Z,MATCH($A403,Mitigation_Industry!$H:$H,0))</f>
        <v>8.94439776555711</v>
      </c>
      <c r="AA403" s="22" t="n">
        <f aca="false">INDEX(Mitigation_Industry!AA:AA,MATCH($A403,Mitigation_Industry!$H:$H,0))</f>
        <v>8.94439776555711</v>
      </c>
      <c r="AB403" s="22" t="n">
        <f aca="false">INDEX(Mitigation_Industry!AB:AB,MATCH($A403,Mitigation_Industry!$H:$H,0))</f>
        <v>8.94439776555711</v>
      </c>
      <c r="AC403" s="22" t="n">
        <f aca="false">INDEX(Mitigation_Industry!AC:AC,MATCH($A403,Mitigation_Industry!$H:$H,0))</f>
        <v>8.94439776555711</v>
      </c>
      <c r="AD403" s="22" t="n">
        <f aca="false">INDEX(Mitigation_Industry!AD:AD,MATCH($A403,Mitigation_Industry!$H:$H,0))</f>
        <v>8.94439776555711</v>
      </c>
      <c r="AE403" s="22" t="n">
        <f aca="false">INDEX(Mitigation_Industry!AE:AE,MATCH($A403,Mitigation_Industry!$H:$H,0))</f>
        <v>8.94439776555711</v>
      </c>
    </row>
    <row r="404" customFormat="false" ht="15" hidden="false" customHeight="false" outlineLevel="0" collapsed="false">
      <c r="A404" s="35" t="s">
        <v>1266</v>
      </c>
      <c r="B404" s="6" t="s">
        <v>53</v>
      </c>
      <c r="C404" s="6" t="s">
        <v>121</v>
      </c>
      <c r="D404" s="6" t="n">
        <v>1</v>
      </c>
      <c r="E404" s="2" t="s">
        <v>1167</v>
      </c>
      <c r="F404" s="40" t="n">
        <f aca="false">MAX(MAX(L404:AE404),-MIN(L404:AE404))</f>
        <v>-0</v>
      </c>
      <c r="K404" s="41" t="n">
        <f aca="false">IF(ISNUMBER(K402),IF(ISNUMBER(K403),K403-K402,999999),0)</f>
        <v>0</v>
      </c>
      <c r="L404" s="41" t="n">
        <f aca="false">IF(ISNUMBER(L402),IF(ISNUMBER(L403),L403-L402,999999),0)</f>
        <v>0</v>
      </c>
      <c r="M404" s="41" t="n">
        <f aca="false">IF(ISNUMBER(M402),IF(ISNUMBER(M403),M403-M402,999999),0)</f>
        <v>0</v>
      </c>
      <c r="N404" s="41" t="n">
        <f aca="false">IF(ISNUMBER(N402),IF(ISNUMBER(N403),N403-N402,999999),0)</f>
        <v>0</v>
      </c>
      <c r="O404" s="41" t="n">
        <f aca="false">IF(ISNUMBER(O402),IF(ISNUMBER(O403),O403-O402,999999),0)</f>
        <v>0</v>
      </c>
      <c r="P404" s="41" t="n">
        <f aca="false">IF(ISNUMBER(P402),IF(ISNUMBER(P403),P403-P402,999999),0)</f>
        <v>0</v>
      </c>
      <c r="Q404" s="41" t="n">
        <f aca="false">IF(ISNUMBER(Q402),IF(ISNUMBER(Q403),Q403-Q402,999999),0)</f>
        <v>0</v>
      </c>
      <c r="R404" s="41" t="n">
        <f aca="false">IF(ISNUMBER(R402),IF(ISNUMBER(R403),R403-R402,999999),0)</f>
        <v>0</v>
      </c>
      <c r="S404" s="41" t="n">
        <f aca="false">IF(ISNUMBER(S402),IF(ISNUMBER(S403),S403-S402,999999),0)</f>
        <v>0</v>
      </c>
      <c r="T404" s="41" t="n">
        <f aca="false">IF(ISNUMBER(T402),IF(ISNUMBER(T403),T403-T402,999999),0)</f>
        <v>0</v>
      </c>
      <c r="U404" s="41" t="n">
        <f aca="false">IF(ISNUMBER(U402),IF(ISNUMBER(U403),U403-U402,999999),0)</f>
        <v>0</v>
      </c>
      <c r="V404" s="41" t="n">
        <f aca="false">IF(ISNUMBER(V402),IF(ISNUMBER(V403),V403-V402,999999),0)</f>
        <v>0</v>
      </c>
      <c r="W404" s="41" t="n">
        <f aca="false">IF(ISNUMBER(W402),IF(ISNUMBER(W403),W403-W402,999999),0)</f>
        <v>0</v>
      </c>
      <c r="X404" s="41" t="n">
        <f aca="false">IF(ISNUMBER(X402),IF(ISNUMBER(X403),X403-X402,999999),0)</f>
        <v>0</v>
      </c>
      <c r="Y404" s="41" t="n">
        <f aca="false">IF(ISNUMBER(Y402),IF(ISNUMBER(Y403),Y403-Y402,999999),0)</f>
        <v>0</v>
      </c>
      <c r="Z404" s="41" t="n">
        <f aca="false">IF(ISNUMBER(Z402),IF(ISNUMBER(Z403),Z403-Z402,999999),0)</f>
        <v>0</v>
      </c>
      <c r="AA404" s="41" t="n">
        <f aca="false">IF(ISNUMBER(AA402),IF(ISNUMBER(AA403),AA403-AA402,999999),0)</f>
        <v>0</v>
      </c>
      <c r="AB404" s="41" t="n">
        <f aca="false">IF(ISNUMBER(AB402),IF(ISNUMBER(AB403),AB403-AB402,999999),0)</f>
        <v>0</v>
      </c>
      <c r="AC404" s="41" t="n">
        <f aca="false">IF(ISNUMBER(AC402),IF(ISNUMBER(AC403),AC403-AC402,999999),0)</f>
        <v>0</v>
      </c>
      <c r="AD404" s="41" t="n">
        <f aca="false">IF(ISNUMBER(AD402),IF(ISNUMBER(AD403),AD403-AD402,999999),0)</f>
        <v>0</v>
      </c>
      <c r="AE404" s="41" t="n">
        <f aca="false">IF(ISNUMBER(AE402),IF(ISNUMBER(AE403),AE403-AE402,999999),0)</f>
        <v>0</v>
      </c>
    </row>
    <row r="406" customFormat="false" ht="15" hidden="false" customHeight="false" outlineLevel="0" collapsed="false">
      <c r="A406" s="35" t="s">
        <v>1267</v>
      </c>
      <c r="B406" s="6" t="s">
        <v>57</v>
      </c>
      <c r="C406" s="6" t="s">
        <v>121</v>
      </c>
      <c r="D406" s="6" t="n">
        <v>1</v>
      </c>
      <c r="E406" s="6" t="s">
        <v>1165</v>
      </c>
      <c r="K406" s="22"/>
      <c r="L406" s="22" t="n">
        <v>5.45101508161919</v>
      </c>
      <c r="M406" s="22" t="n">
        <v>5.11935630626248</v>
      </c>
      <c r="N406" s="22" t="n">
        <v>5.08218458640407</v>
      </c>
      <c r="O406" s="22" t="n">
        <v>5.08218458640407</v>
      </c>
      <c r="P406" s="22" t="n">
        <v>5.08218458640407</v>
      </c>
      <c r="Q406" s="22" t="n">
        <v>5.08218458640407</v>
      </c>
      <c r="R406" s="22" t="n">
        <v>5.08218458640407</v>
      </c>
      <c r="S406" s="22" t="n">
        <v>5.08218458640407</v>
      </c>
      <c r="T406" s="22" t="n">
        <v>5.08218458640407</v>
      </c>
      <c r="U406" s="22" t="n">
        <v>5.08218458640407</v>
      </c>
      <c r="V406" s="22" t="n">
        <v>5.08218458640407</v>
      </c>
      <c r="W406" s="22" t="n">
        <v>5.08218458640407</v>
      </c>
      <c r="X406" s="22" t="n">
        <v>5.08218458640407</v>
      </c>
      <c r="Y406" s="22" t="n">
        <v>5.08218458640407</v>
      </c>
      <c r="Z406" s="22" t="n">
        <v>5.08218458640407</v>
      </c>
      <c r="AA406" s="22" t="n">
        <v>5.08218458640407</v>
      </c>
      <c r="AB406" s="22" t="n">
        <v>5.08218458640407</v>
      </c>
      <c r="AC406" s="22" t="n">
        <v>5.08218458640407</v>
      </c>
      <c r="AD406" s="22" t="n">
        <v>5.08218458640407</v>
      </c>
      <c r="AE406" s="22" t="n">
        <v>5.08218458640407</v>
      </c>
    </row>
    <row r="407" customFormat="false" ht="15" hidden="false" customHeight="false" outlineLevel="0" collapsed="false">
      <c r="A407" s="35" t="s">
        <v>1267</v>
      </c>
      <c r="B407" s="6" t="s">
        <v>57</v>
      </c>
      <c r="C407" s="6" t="s">
        <v>121</v>
      </c>
      <c r="D407" s="6" t="n">
        <v>1</v>
      </c>
      <c r="E407" s="6" t="s">
        <v>1166</v>
      </c>
      <c r="K407" s="22" t="n">
        <f aca="false">INDEX(Mitigation_Industry!K:K,MATCH($A407,Mitigation_Industry!$H:$H,0))</f>
        <v>6.06346361567291</v>
      </c>
      <c r="L407" s="22" t="n">
        <f aca="false">INDEX(Mitigation_Industry!L:L,MATCH($A407,Mitigation_Industry!$H:$H,0))</f>
        <v>5.45101508161919</v>
      </c>
      <c r="M407" s="22" t="n">
        <f aca="false">INDEX(Mitigation_Industry!M:M,MATCH($A407,Mitigation_Industry!$H:$H,0))</f>
        <v>5.11935630626248</v>
      </c>
      <c r="N407" s="22" t="n">
        <f aca="false">INDEX(Mitigation_Industry!N:N,MATCH($A407,Mitigation_Industry!$H:$H,0))</f>
        <v>5.08218458640407</v>
      </c>
      <c r="O407" s="22" t="n">
        <f aca="false">INDEX(Mitigation_Industry!O:O,MATCH($A407,Mitigation_Industry!$H:$H,0))</f>
        <v>5.08218458640407</v>
      </c>
      <c r="P407" s="22" t="n">
        <f aca="false">INDEX(Mitigation_Industry!P:P,MATCH($A407,Mitigation_Industry!$H:$H,0))</f>
        <v>5.08218458640407</v>
      </c>
      <c r="Q407" s="22" t="n">
        <f aca="false">INDEX(Mitigation_Industry!Q:Q,MATCH($A407,Mitigation_Industry!$H:$H,0))</f>
        <v>5.08218458640407</v>
      </c>
      <c r="R407" s="22" t="n">
        <f aca="false">INDEX(Mitigation_Industry!R:R,MATCH($A407,Mitigation_Industry!$H:$H,0))</f>
        <v>5.08218458640407</v>
      </c>
      <c r="S407" s="22" t="n">
        <f aca="false">INDEX(Mitigation_Industry!S:S,MATCH($A407,Mitigation_Industry!$H:$H,0))</f>
        <v>5.08218458640407</v>
      </c>
      <c r="T407" s="22" t="n">
        <f aca="false">INDEX(Mitigation_Industry!T:T,MATCH($A407,Mitigation_Industry!$H:$H,0))</f>
        <v>5.08218458640407</v>
      </c>
      <c r="U407" s="22" t="n">
        <f aca="false">INDEX(Mitigation_Industry!U:U,MATCH($A407,Mitigation_Industry!$H:$H,0))</f>
        <v>5.08218458640407</v>
      </c>
      <c r="V407" s="22" t="n">
        <f aca="false">INDEX(Mitigation_Industry!V:V,MATCH($A407,Mitigation_Industry!$H:$H,0))</f>
        <v>5.08218458640407</v>
      </c>
      <c r="W407" s="22" t="n">
        <f aca="false">INDEX(Mitigation_Industry!W:W,MATCH($A407,Mitigation_Industry!$H:$H,0))</f>
        <v>5.08218458640407</v>
      </c>
      <c r="X407" s="22" t="n">
        <f aca="false">INDEX(Mitigation_Industry!X:X,MATCH($A407,Mitigation_Industry!$H:$H,0))</f>
        <v>5.08218458640407</v>
      </c>
      <c r="Y407" s="22" t="n">
        <f aca="false">INDEX(Mitigation_Industry!Y:Y,MATCH($A407,Mitigation_Industry!$H:$H,0))</f>
        <v>5.08218458640407</v>
      </c>
      <c r="Z407" s="22" t="n">
        <f aca="false">INDEX(Mitigation_Industry!Z:Z,MATCH($A407,Mitigation_Industry!$H:$H,0))</f>
        <v>5.08218458640407</v>
      </c>
      <c r="AA407" s="22" t="n">
        <f aca="false">INDEX(Mitigation_Industry!AA:AA,MATCH($A407,Mitigation_Industry!$H:$H,0))</f>
        <v>5.08218458640407</v>
      </c>
      <c r="AB407" s="22" t="n">
        <f aca="false">INDEX(Mitigation_Industry!AB:AB,MATCH($A407,Mitigation_Industry!$H:$H,0))</f>
        <v>5.08218458640407</v>
      </c>
      <c r="AC407" s="22" t="n">
        <f aca="false">INDEX(Mitigation_Industry!AC:AC,MATCH($A407,Mitigation_Industry!$H:$H,0))</f>
        <v>5.08218458640407</v>
      </c>
      <c r="AD407" s="22" t="n">
        <f aca="false">INDEX(Mitigation_Industry!AD:AD,MATCH($A407,Mitigation_Industry!$H:$H,0))</f>
        <v>5.08218458640407</v>
      </c>
      <c r="AE407" s="22" t="n">
        <f aca="false">INDEX(Mitigation_Industry!AE:AE,MATCH($A407,Mitigation_Industry!$H:$H,0))</f>
        <v>5.08218458640407</v>
      </c>
    </row>
    <row r="408" customFormat="false" ht="15" hidden="false" customHeight="false" outlineLevel="0" collapsed="false">
      <c r="A408" s="35" t="s">
        <v>1267</v>
      </c>
      <c r="B408" s="6" t="s">
        <v>57</v>
      </c>
      <c r="C408" s="6" t="s">
        <v>121</v>
      </c>
      <c r="D408" s="6" t="n">
        <v>1</v>
      </c>
      <c r="E408" s="2" t="s">
        <v>1167</v>
      </c>
      <c r="F408" s="40" t="n">
        <f aca="false">MAX(MAX(L408:AE408),-MIN(L408:AE408))</f>
        <v>-0</v>
      </c>
      <c r="K408" s="41" t="n">
        <f aca="false">IF(ISNUMBER(K406),IF(ISNUMBER(K407),K407-K406,999999),0)</f>
        <v>0</v>
      </c>
      <c r="L408" s="41" t="n">
        <f aca="false">IF(ISNUMBER(L406),IF(ISNUMBER(L407),L407-L406,999999),0)</f>
        <v>0</v>
      </c>
      <c r="M408" s="41" t="n">
        <f aca="false">IF(ISNUMBER(M406),IF(ISNUMBER(M407),M407-M406,999999),0)</f>
        <v>0</v>
      </c>
      <c r="N408" s="41" t="n">
        <f aca="false">IF(ISNUMBER(N406),IF(ISNUMBER(N407),N407-N406,999999),0)</f>
        <v>0</v>
      </c>
      <c r="O408" s="41" t="n">
        <f aca="false">IF(ISNUMBER(O406),IF(ISNUMBER(O407),O407-O406,999999),0)</f>
        <v>0</v>
      </c>
      <c r="P408" s="41" t="n">
        <f aca="false">IF(ISNUMBER(P406),IF(ISNUMBER(P407),P407-P406,999999),0)</f>
        <v>0</v>
      </c>
      <c r="Q408" s="41" t="n">
        <f aca="false">IF(ISNUMBER(Q406),IF(ISNUMBER(Q407),Q407-Q406,999999),0)</f>
        <v>0</v>
      </c>
      <c r="R408" s="41" t="n">
        <f aca="false">IF(ISNUMBER(R406),IF(ISNUMBER(R407),R407-R406,999999),0)</f>
        <v>0</v>
      </c>
      <c r="S408" s="41" t="n">
        <f aca="false">IF(ISNUMBER(S406),IF(ISNUMBER(S407),S407-S406,999999),0)</f>
        <v>0</v>
      </c>
      <c r="T408" s="41" t="n">
        <f aca="false">IF(ISNUMBER(T406),IF(ISNUMBER(T407),T407-T406,999999),0)</f>
        <v>0</v>
      </c>
      <c r="U408" s="41" t="n">
        <f aca="false">IF(ISNUMBER(U406),IF(ISNUMBER(U407),U407-U406,999999),0)</f>
        <v>0</v>
      </c>
      <c r="V408" s="41" t="n">
        <f aca="false">IF(ISNUMBER(V406),IF(ISNUMBER(V407),V407-V406,999999),0)</f>
        <v>0</v>
      </c>
      <c r="W408" s="41" t="n">
        <f aca="false">IF(ISNUMBER(W406),IF(ISNUMBER(W407),W407-W406,999999),0)</f>
        <v>0</v>
      </c>
      <c r="X408" s="41" t="n">
        <f aca="false">IF(ISNUMBER(X406),IF(ISNUMBER(X407),X407-X406,999999),0)</f>
        <v>0</v>
      </c>
      <c r="Y408" s="41" t="n">
        <f aca="false">IF(ISNUMBER(Y406),IF(ISNUMBER(Y407),Y407-Y406,999999),0)</f>
        <v>0</v>
      </c>
      <c r="Z408" s="41" t="n">
        <f aca="false">IF(ISNUMBER(Z406),IF(ISNUMBER(Z407),Z407-Z406,999999),0)</f>
        <v>0</v>
      </c>
      <c r="AA408" s="41" t="n">
        <f aca="false">IF(ISNUMBER(AA406),IF(ISNUMBER(AA407),AA407-AA406,999999),0)</f>
        <v>0</v>
      </c>
      <c r="AB408" s="41" t="n">
        <f aca="false">IF(ISNUMBER(AB406),IF(ISNUMBER(AB407),AB407-AB406,999999),0)</f>
        <v>0</v>
      </c>
      <c r="AC408" s="41" t="n">
        <f aca="false">IF(ISNUMBER(AC406),IF(ISNUMBER(AC407),AC407-AC406,999999),0)</f>
        <v>0</v>
      </c>
      <c r="AD408" s="41" t="n">
        <f aca="false">IF(ISNUMBER(AD406),IF(ISNUMBER(AD407),AD407-AD406,999999),0)</f>
        <v>0</v>
      </c>
      <c r="AE408" s="41" t="n">
        <f aca="false">IF(ISNUMBER(AE406),IF(ISNUMBER(AE407),AE407-AE406,999999),0)</f>
        <v>0</v>
      </c>
    </row>
    <row r="410" customFormat="false" ht="15" hidden="false" customHeight="false" outlineLevel="0" collapsed="false">
      <c r="A410" s="35" t="s">
        <v>1268</v>
      </c>
      <c r="B410" s="6" t="s">
        <v>59</v>
      </c>
      <c r="C410" s="6" t="s">
        <v>121</v>
      </c>
      <c r="D410" s="6" t="n">
        <v>1</v>
      </c>
      <c r="E410" s="6" t="s">
        <v>1165</v>
      </c>
      <c r="K410" s="22"/>
      <c r="L410" s="22" t="n">
        <v>0.611977976791406</v>
      </c>
      <c r="M410" s="22" t="n">
        <v>0.611809749641876</v>
      </c>
      <c r="N410" s="22" t="n">
        <v>0.603583100177906</v>
      </c>
      <c r="O410" s="22" t="n">
        <v>0.603583100177906</v>
      </c>
      <c r="P410" s="22" t="n">
        <v>0.603583100177906</v>
      </c>
      <c r="Q410" s="22" t="n">
        <v>0.603583100177906</v>
      </c>
      <c r="R410" s="22" t="n">
        <v>0.603583100177906</v>
      </c>
      <c r="S410" s="22" t="n">
        <v>0.603583100177906</v>
      </c>
      <c r="T410" s="22" t="n">
        <v>0.603583100177906</v>
      </c>
      <c r="U410" s="22" t="n">
        <v>0.603583100177906</v>
      </c>
      <c r="V410" s="22" t="n">
        <v>0.603583100177906</v>
      </c>
      <c r="W410" s="22" t="n">
        <v>0.603583100177906</v>
      </c>
      <c r="X410" s="22" t="n">
        <v>0.603583100177906</v>
      </c>
      <c r="Y410" s="22" t="n">
        <v>0.603583100177906</v>
      </c>
      <c r="Z410" s="22" t="n">
        <v>0.603583100177906</v>
      </c>
      <c r="AA410" s="22" t="n">
        <v>0.603583100177906</v>
      </c>
      <c r="AB410" s="22" t="n">
        <v>0.603583100177906</v>
      </c>
      <c r="AC410" s="22" t="n">
        <v>0.603583100177906</v>
      </c>
      <c r="AD410" s="22" t="n">
        <v>0.603583100177906</v>
      </c>
      <c r="AE410" s="22" t="n">
        <v>0.603583100177906</v>
      </c>
    </row>
    <row r="411" customFormat="false" ht="15" hidden="false" customHeight="false" outlineLevel="0" collapsed="false">
      <c r="A411" s="35" t="s">
        <v>1268</v>
      </c>
      <c r="B411" s="6" t="s">
        <v>59</v>
      </c>
      <c r="C411" s="6" t="s">
        <v>121</v>
      </c>
      <c r="D411" s="6" t="n">
        <v>1</v>
      </c>
      <c r="E411" s="6" t="s">
        <v>1166</v>
      </c>
      <c r="K411" s="22" t="n">
        <f aca="false">INDEX(Mitigation_Industry!K:K,MATCH($A411,Mitigation_Industry!$H:$H,0))</f>
        <v>0.671146533321816</v>
      </c>
      <c r="L411" s="22" t="n">
        <f aca="false">INDEX(Mitigation_Industry!L:L,MATCH($A411,Mitigation_Industry!$H:$H,0))</f>
        <v>0.611977976791406</v>
      </c>
      <c r="M411" s="22" t="n">
        <f aca="false">INDEX(Mitigation_Industry!M:M,MATCH($A411,Mitigation_Industry!$H:$H,0))</f>
        <v>0.611809749641876</v>
      </c>
      <c r="N411" s="22" t="n">
        <f aca="false">INDEX(Mitigation_Industry!N:N,MATCH($A411,Mitigation_Industry!$H:$H,0))</f>
        <v>0.603583100177906</v>
      </c>
      <c r="O411" s="22" t="n">
        <f aca="false">INDEX(Mitigation_Industry!O:O,MATCH($A411,Mitigation_Industry!$H:$H,0))</f>
        <v>0.603583100177906</v>
      </c>
      <c r="P411" s="22" t="n">
        <f aca="false">INDEX(Mitigation_Industry!P:P,MATCH($A411,Mitigation_Industry!$H:$H,0))</f>
        <v>0.603583100177906</v>
      </c>
      <c r="Q411" s="22" t="n">
        <f aca="false">INDEX(Mitigation_Industry!Q:Q,MATCH($A411,Mitigation_Industry!$H:$H,0))</f>
        <v>0.603583100177906</v>
      </c>
      <c r="R411" s="22" t="n">
        <f aca="false">INDEX(Mitigation_Industry!R:R,MATCH($A411,Mitigation_Industry!$H:$H,0))</f>
        <v>0.603583100177906</v>
      </c>
      <c r="S411" s="22" t="n">
        <f aca="false">INDEX(Mitigation_Industry!S:S,MATCH($A411,Mitigation_Industry!$H:$H,0))</f>
        <v>0.603583100177906</v>
      </c>
      <c r="T411" s="22" t="n">
        <f aca="false">INDEX(Mitigation_Industry!T:T,MATCH($A411,Mitigation_Industry!$H:$H,0))</f>
        <v>0.603583100177906</v>
      </c>
      <c r="U411" s="22" t="n">
        <f aca="false">INDEX(Mitigation_Industry!U:U,MATCH($A411,Mitigation_Industry!$H:$H,0))</f>
        <v>0.603583100177906</v>
      </c>
      <c r="V411" s="22" t="n">
        <f aca="false">INDEX(Mitigation_Industry!V:V,MATCH($A411,Mitigation_Industry!$H:$H,0))</f>
        <v>0.603583100177906</v>
      </c>
      <c r="W411" s="22" t="n">
        <f aca="false">INDEX(Mitigation_Industry!W:W,MATCH($A411,Mitigation_Industry!$H:$H,0))</f>
        <v>0.603583100177906</v>
      </c>
      <c r="X411" s="22" t="n">
        <f aca="false">INDEX(Mitigation_Industry!X:X,MATCH($A411,Mitigation_Industry!$H:$H,0))</f>
        <v>0.603583100177906</v>
      </c>
      <c r="Y411" s="22" t="n">
        <f aca="false">INDEX(Mitigation_Industry!Y:Y,MATCH($A411,Mitigation_Industry!$H:$H,0))</f>
        <v>0.603583100177906</v>
      </c>
      <c r="Z411" s="22" t="n">
        <f aca="false">INDEX(Mitigation_Industry!Z:Z,MATCH($A411,Mitigation_Industry!$H:$H,0))</f>
        <v>0.603583100177906</v>
      </c>
      <c r="AA411" s="22" t="n">
        <f aca="false">INDEX(Mitigation_Industry!AA:AA,MATCH($A411,Mitigation_Industry!$H:$H,0))</f>
        <v>0.603583100177906</v>
      </c>
      <c r="AB411" s="22" t="n">
        <f aca="false">INDEX(Mitigation_Industry!AB:AB,MATCH($A411,Mitigation_Industry!$H:$H,0))</f>
        <v>0.603583100177906</v>
      </c>
      <c r="AC411" s="22" t="n">
        <f aca="false">INDEX(Mitigation_Industry!AC:AC,MATCH($A411,Mitigation_Industry!$H:$H,0))</f>
        <v>0.603583100177906</v>
      </c>
      <c r="AD411" s="22" t="n">
        <f aca="false">INDEX(Mitigation_Industry!AD:AD,MATCH($A411,Mitigation_Industry!$H:$H,0))</f>
        <v>0.603583100177906</v>
      </c>
      <c r="AE411" s="22" t="n">
        <f aca="false">INDEX(Mitigation_Industry!AE:AE,MATCH($A411,Mitigation_Industry!$H:$H,0))</f>
        <v>0.603583100177906</v>
      </c>
    </row>
    <row r="412" customFormat="false" ht="15" hidden="false" customHeight="false" outlineLevel="0" collapsed="false">
      <c r="A412" s="35" t="s">
        <v>1268</v>
      </c>
      <c r="B412" s="6" t="s">
        <v>59</v>
      </c>
      <c r="C412" s="6" t="s">
        <v>121</v>
      </c>
      <c r="D412" s="6" t="n">
        <v>1</v>
      </c>
      <c r="E412" s="2" t="s">
        <v>1167</v>
      </c>
      <c r="F412" s="40" t="n">
        <f aca="false">MAX(MAX(L412:AE412),-MIN(L412:AE412))</f>
        <v>-0</v>
      </c>
      <c r="K412" s="41" t="n">
        <f aca="false">IF(ISNUMBER(K410),IF(ISNUMBER(K411),K411-K410,999999),0)</f>
        <v>0</v>
      </c>
      <c r="L412" s="41" t="n">
        <f aca="false">IF(ISNUMBER(L410),IF(ISNUMBER(L411),L411-L410,999999),0)</f>
        <v>0</v>
      </c>
      <c r="M412" s="41" t="n">
        <f aca="false">IF(ISNUMBER(M410),IF(ISNUMBER(M411),M411-M410,999999),0)</f>
        <v>0</v>
      </c>
      <c r="N412" s="41" t="n">
        <f aca="false">IF(ISNUMBER(N410),IF(ISNUMBER(N411),N411-N410,999999),0)</f>
        <v>0</v>
      </c>
      <c r="O412" s="41" t="n">
        <f aca="false">IF(ISNUMBER(O410),IF(ISNUMBER(O411),O411-O410,999999),0)</f>
        <v>0</v>
      </c>
      <c r="P412" s="41" t="n">
        <f aca="false">IF(ISNUMBER(P410),IF(ISNUMBER(P411),P411-P410,999999),0)</f>
        <v>0</v>
      </c>
      <c r="Q412" s="41" t="n">
        <f aca="false">IF(ISNUMBER(Q410),IF(ISNUMBER(Q411),Q411-Q410,999999),0)</f>
        <v>0</v>
      </c>
      <c r="R412" s="41" t="n">
        <f aca="false">IF(ISNUMBER(R410),IF(ISNUMBER(R411),R411-R410,999999),0)</f>
        <v>0</v>
      </c>
      <c r="S412" s="41" t="n">
        <f aca="false">IF(ISNUMBER(S410),IF(ISNUMBER(S411),S411-S410,999999),0)</f>
        <v>0</v>
      </c>
      <c r="T412" s="41" t="n">
        <f aca="false">IF(ISNUMBER(T410),IF(ISNUMBER(T411),T411-T410,999999),0)</f>
        <v>0</v>
      </c>
      <c r="U412" s="41" t="n">
        <f aca="false">IF(ISNUMBER(U410),IF(ISNUMBER(U411),U411-U410,999999),0)</f>
        <v>0</v>
      </c>
      <c r="V412" s="41" t="n">
        <f aca="false">IF(ISNUMBER(V410),IF(ISNUMBER(V411),V411-V410,999999),0)</f>
        <v>0</v>
      </c>
      <c r="W412" s="41" t="n">
        <f aca="false">IF(ISNUMBER(W410),IF(ISNUMBER(W411),W411-W410,999999),0)</f>
        <v>0</v>
      </c>
      <c r="X412" s="41" t="n">
        <f aca="false">IF(ISNUMBER(X410),IF(ISNUMBER(X411),X411-X410,999999),0)</f>
        <v>0</v>
      </c>
      <c r="Y412" s="41" t="n">
        <f aca="false">IF(ISNUMBER(Y410),IF(ISNUMBER(Y411),Y411-Y410,999999),0)</f>
        <v>0</v>
      </c>
      <c r="Z412" s="41" t="n">
        <f aca="false">IF(ISNUMBER(Z410),IF(ISNUMBER(Z411),Z411-Z410,999999),0)</f>
        <v>0</v>
      </c>
      <c r="AA412" s="41" t="n">
        <f aca="false">IF(ISNUMBER(AA410),IF(ISNUMBER(AA411),AA411-AA410,999999),0)</f>
        <v>0</v>
      </c>
      <c r="AB412" s="41" t="n">
        <f aca="false">IF(ISNUMBER(AB410),IF(ISNUMBER(AB411),AB411-AB410,999999),0)</f>
        <v>0</v>
      </c>
      <c r="AC412" s="41" t="n">
        <f aca="false">IF(ISNUMBER(AC410),IF(ISNUMBER(AC411),AC411-AC410,999999),0)</f>
        <v>0</v>
      </c>
      <c r="AD412" s="41" t="n">
        <f aca="false">IF(ISNUMBER(AD410),IF(ISNUMBER(AD411),AD411-AD410,999999),0)</f>
        <v>0</v>
      </c>
      <c r="AE412" s="41" t="n">
        <f aca="false">IF(ISNUMBER(AE410),IF(ISNUMBER(AE411),AE411-AE410,999999),0)</f>
        <v>0</v>
      </c>
    </row>
    <row r="414" customFormat="false" ht="15" hidden="false" customHeight="false" outlineLevel="0" collapsed="false">
      <c r="A414" s="35" t="s">
        <v>1269</v>
      </c>
      <c r="B414" s="6" t="s">
        <v>62</v>
      </c>
      <c r="C414" s="6" t="s">
        <v>121</v>
      </c>
      <c r="D414" s="6" t="n">
        <v>1</v>
      </c>
      <c r="E414" s="6" t="s">
        <v>1165</v>
      </c>
      <c r="K414" s="22"/>
      <c r="L414" s="22" t="n">
        <v>0.494588730841068</v>
      </c>
      <c r="M414" s="22" t="n">
        <v>0.507786547202501</v>
      </c>
      <c r="N414" s="22" t="n">
        <v>0.470436426795617</v>
      </c>
      <c r="O414" s="22" t="n">
        <v>0.470436426795617</v>
      </c>
      <c r="P414" s="22" t="n">
        <v>0.470436426795617</v>
      </c>
      <c r="Q414" s="22" t="n">
        <v>0.470436426795617</v>
      </c>
      <c r="R414" s="22" t="n">
        <v>0.470436426795617</v>
      </c>
      <c r="S414" s="22" t="n">
        <v>0.470436426795617</v>
      </c>
      <c r="T414" s="22" t="n">
        <v>0.470436426795617</v>
      </c>
      <c r="U414" s="22" t="n">
        <v>0.470436426795617</v>
      </c>
      <c r="V414" s="22" t="n">
        <v>0.470436426795617</v>
      </c>
      <c r="W414" s="22" t="n">
        <v>0.470436426795617</v>
      </c>
      <c r="X414" s="22" t="n">
        <v>0.470436426795617</v>
      </c>
      <c r="Y414" s="22" t="n">
        <v>0.470436426795617</v>
      </c>
      <c r="Z414" s="22" t="n">
        <v>0.470436426795617</v>
      </c>
      <c r="AA414" s="22" t="n">
        <v>0.470436426795617</v>
      </c>
      <c r="AB414" s="22" t="n">
        <v>0.470436426795617</v>
      </c>
      <c r="AC414" s="22" t="n">
        <v>0.470436426795617</v>
      </c>
      <c r="AD414" s="22" t="n">
        <v>0.470436426795617</v>
      </c>
      <c r="AE414" s="22" t="n">
        <v>0.470436426795617</v>
      </c>
    </row>
    <row r="415" customFormat="false" ht="15" hidden="false" customHeight="false" outlineLevel="0" collapsed="false">
      <c r="A415" s="35" t="s">
        <v>1269</v>
      </c>
      <c r="B415" s="6" t="s">
        <v>62</v>
      </c>
      <c r="C415" s="6" t="s">
        <v>121</v>
      </c>
      <c r="D415" s="6" t="n">
        <v>1</v>
      </c>
      <c r="E415" s="6" t="s">
        <v>1166</v>
      </c>
      <c r="K415" s="22" t="n">
        <f aca="false">INDEX(Mitigation_Industry!K:K,MATCH($A415,Mitigation_Industry!$H:$H,0))</f>
        <v>0.559711213155688</v>
      </c>
      <c r="L415" s="22" t="n">
        <f aca="false">INDEX(Mitigation_Industry!L:L,MATCH($A415,Mitigation_Industry!$H:$H,0))</f>
        <v>0.494588730841068</v>
      </c>
      <c r="M415" s="22" t="n">
        <f aca="false">INDEX(Mitigation_Industry!M:M,MATCH($A415,Mitigation_Industry!$H:$H,0))</f>
        <v>0.507786547202501</v>
      </c>
      <c r="N415" s="22" t="n">
        <f aca="false">INDEX(Mitigation_Industry!N:N,MATCH($A415,Mitigation_Industry!$H:$H,0))</f>
        <v>0.470436426795617</v>
      </c>
      <c r="O415" s="22" t="n">
        <f aca="false">INDEX(Mitigation_Industry!O:O,MATCH($A415,Mitigation_Industry!$H:$H,0))</f>
        <v>0.470436426795617</v>
      </c>
      <c r="P415" s="22" t="n">
        <f aca="false">INDEX(Mitigation_Industry!P:P,MATCH($A415,Mitigation_Industry!$H:$H,0))</f>
        <v>0.470436426795617</v>
      </c>
      <c r="Q415" s="22" t="n">
        <f aca="false">INDEX(Mitigation_Industry!Q:Q,MATCH($A415,Mitigation_Industry!$H:$H,0))</f>
        <v>0.470436426795617</v>
      </c>
      <c r="R415" s="22" t="n">
        <f aca="false">INDEX(Mitigation_Industry!R:R,MATCH($A415,Mitigation_Industry!$H:$H,0))</f>
        <v>0.470436426795617</v>
      </c>
      <c r="S415" s="22" t="n">
        <f aca="false">INDEX(Mitigation_Industry!S:S,MATCH($A415,Mitigation_Industry!$H:$H,0))</f>
        <v>0.470436426795617</v>
      </c>
      <c r="T415" s="22" t="n">
        <f aca="false">INDEX(Mitigation_Industry!T:T,MATCH($A415,Mitigation_Industry!$H:$H,0))</f>
        <v>0.470436426795617</v>
      </c>
      <c r="U415" s="22" t="n">
        <f aca="false">INDEX(Mitigation_Industry!U:U,MATCH($A415,Mitigation_Industry!$H:$H,0))</f>
        <v>0.470436426795617</v>
      </c>
      <c r="V415" s="22" t="n">
        <f aca="false">INDEX(Mitigation_Industry!V:V,MATCH($A415,Mitigation_Industry!$H:$H,0))</f>
        <v>0.470436426795617</v>
      </c>
      <c r="W415" s="22" t="n">
        <f aca="false">INDEX(Mitigation_Industry!W:W,MATCH($A415,Mitigation_Industry!$H:$H,0))</f>
        <v>0.470436426795617</v>
      </c>
      <c r="X415" s="22" t="n">
        <f aca="false">INDEX(Mitigation_Industry!X:X,MATCH($A415,Mitigation_Industry!$H:$H,0))</f>
        <v>0.470436426795617</v>
      </c>
      <c r="Y415" s="22" t="n">
        <f aca="false">INDEX(Mitigation_Industry!Y:Y,MATCH($A415,Mitigation_Industry!$H:$H,0))</f>
        <v>0.470436426795617</v>
      </c>
      <c r="Z415" s="22" t="n">
        <f aca="false">INDEX(Mitigation_Industry!Z:Z,MATCH($A415,Mitigation_Industry!$H:$H,0))</f>
        <v>0.470436426795617</v>
      </c>
      <c r="AA415" s="22" t="n">
        <f aca="false">INDEX(Mitigation_Industry!AA:AA,MATCH($A415,Mitigation_Industry!$H:$H,0))</f>
        <v>0.470436426795617</v>
      </c>
      <c r="AB415" s="22" t="n">
        <f aca="false">INDEX(Mitigation_Industry!AB:AB,MATCH($A415,Mitigation_Industry!$H:$H,0))</f>
        <v>0.470436426795617</v>
      </c>
      <c r="AC415" s="22" t="n">
        <f aca="false">INDEX(Mitigation_Industry!AC:AC,MATCH($A415,Mitigation_Industry!$H:$H,0))</f>
        <v>0.470436426795617</v>
      </c>
      <c r="AD415" s="22" t="n">
        <f aca="false">INDEX(Mitigation_Industry!AD:AD,MATCH($A415,Mitigation_Industry!$H:$H,0))</f>
        <v>0.470436426795617</v>
      </c>
      <c r="AE415" s="22" t="n">
        <f aca="false">INDEX(Mitigation_Industry!AE:AE,MATCH($A415,Mitigation_Industry!$H:$H,0))</f>
        <v>0.470436426795617</v>
      </c>
    </row>
    <row r="416" customFormat="false" ht="15" hidden="false" customHeight="false" outlineLevel="0" collapsed="false">
      <c r="A416" s="35" t="s">
        <v>1269</v>
      </c>
      <c r="B416" s="6" t="s">
        <v>62</v>
      </c>
      <c r="C416" s="6" t="s">
        <v>121</v>
      </c>
      <c r="D416" s="6" t="n">
        <v>1</v>
      </c>
      <c r="E416" s="2" t="s">
        <v>1167</v>
      </c>
      <c r="F416" s="40" t="n">
        <f aca="false">MAX(MAX(L416:AE416),-MIN(L416:AE416))</f>
        <v>-0</v>
      </c>
      <c r="K416" s="41" t="n">
        <f aca="false">IF(ISNUMBER(K414),IF(ISNUMBER(K415),K415-K414,999999),0)</f>
        <v>0</v>
      </c>
      <c r="L416" s="41" t="n">
        <f aca="false">IF(ISNUMBER(L414),IF(ISNUMBER(L415),L415-L414,999999),0)</f>
        <v>0</v>
      </c>
      <c r="M416" s="41" t="n">
        <f aca="false">IF(ISNUMBER(M414),IF(ISNUMBER(M415),M415-M414,999999),0)</f>
        <v>0</v>
      </c>
      <c r="N416" s="41" t="n">
        <f aca="false">IF(ISNUMBER(N414),IF(ISNUMBER(N415),N415-N414,999999),0)</f>
        <v>0</v>
      </c>
      <c r="O416" s="41" t="n">
        <f aca="false">IF(ISNUMBER(O414),IF(ISNUMBER(O415),O415-O414,999999),0)</f>
        <v>0</v>
      </c>
      <c r="P416" s="41" t="n">
        <f aca="false">IF(ISNUMBER(P414),IF(ISNUMBER(P415),P415-P414,999999),0)</f>
        <v>0</v>
      </c>
      <c r="Q416" s="41" t="n">
        <f aca="false">IF(ISNUMBER(Q414),IF(ISNUMBER(Q415),Q415-Q414,999999),0)</f>
        <v>0</v>
      </c>
      <c r="R416" s="41" t="n">
        <f aca="false">IF(ISNUMBER(R414),IF(ISNUMBER(R415),R415-R414,999999),0)</f>
        <v>0</v>
      </c>
      <c r="S416" s="41" t="n">
        <f aca="false">IF(ISNUMBER(S414),IF(ISNUMBER(S415),S415-S414,999999),0)</f>
        <v>0</v>
      </c>
      <c r="T416" s="41" t="n">
        <f aca="false">IF(ISNUMBER(T414),IF(ISNUMBER(T415),T415-T414,999999),0)</f>
        <v>0</v>
      </c>
      <c r="U416" s="41" t="n">
        <f aca="false">IF(ISNUMBER(U414),IF(ISNUMBER(U415),U415-U414,999999),0)</f>
        <v>0</v>
      </c>
      <c r="V416" s="41" t="n">
        <f aca="false">IF(ISNUMBER(V414),IF(ISNUMBER(V415),V415-V414,999999),0)</f>
        <v>0</v>
      </c>
      <c r="W416" s="41" t="n">
        <f aca="false">IF(ISNUMBER(W414),IF(ISNUMBER(W415),W415-W414,999999),0)</f>
        <v>0</v>
      </c>
      <c r="X416" s="41" t="n">
        <f aca="false">IF(ISNUMBER(X414),IF(ISNUMBER(X415),X415-X414,999999),0)</f>
        <v>0</v>
      </c>
      <c r="Y416" s="41" t="n">
        <f aca="false">IF(ISNUMBER(Y414),IF(ISNUMBER(Y415),Y415-Y414,999999),0)</f>
        <v>0</v>
      </c>
      <c r="Z416" s="41" t="n">
        <f aca="false">IF(ISNUMBER(Z414),IF(ISNUMBER(Z415),Z415-Z414,999999),0)</f>
        <v>0</v>
      </c>
      <c r="AA416" s="41" t="n">
        <f aca="false">IF(ISNUMBER(AA414),IF(ISNUMBER(AA415),AA415-AA414,999999),0)</f>
        <v>0</v>
      </c>
      <c r="AB416" s="41" t="n">
        <f aca="false">IF(ISNUMBER(AB414),IF(ISNUMBER(AB415),AB415-AB414,999999),0)</f>
        <v>0</v>
      </c>
      <c r="AC416" s="41" t="n">
        <f aca="false">IF(ISNUMBER(AC414),IF(ISNUMBER(AC415),AC415-AC414,999999),0)</f>
        <v>0</v>
      </c>
      <c r="AD416" s="41" t="n">
        <f aca="false">IF(ISNUMBER(AD414),IF(ISNUMBER(AD415),AD415-AD414,999999),0)</f>
        <v>0</v>
      </c>
      <c r="AE416" s="41" t="n">
        <f aca="false">IF(ISNUMBER(AE414),IF(ISNUMBER(AE415),AE415-AE414,999999),0)</f>
        <v>0</v>
      </c>
    </row>
    <row r="418" customFormat="false" ht="15" hidden="false" customHeight="false" outlineLevel="0" collapsed="false">
      <c r="A418" s="35" t="s">
        <v>1270</v>
      </c>
      <c r="B418" s="6" t="s">
        <v>64</v>
      </c>
      <c r="C418" s="6" t="s">
        <v>121</v>
      </c>
      <c r="D418" s="6" t="n">
        <v>1</v>
      </c>
      <c r="E418" s="6" t="s">
        <v>1165</v>
      </c>
      <c r="K418" s="22"/>
      <c r="L418" s="22" t="n">
        <v>0.157344736252274</v>
      </c>
      <c r="M418" s="22" t="n">
        <v>0.164484037759277</v>
      </c>
      <c r="N418" s="22" t="n">
        <v>0.150709077807049</v>
      </c>
      <c r="O418" s="22" t="n">
        <v>0.150709077807049</v>
      </c>
      <c r="P418" s="22" t="n">
        <v>0.150709077807049</v>
      </c>
      <c r="Q418" s="22" t="n">
        <v>0.150709077807049</v>
      </c>
      <c r="R418" s="22" t="n">
        <v>0.150709077807049</v>
      </c>
      <c r="S418" s="22" t="n">
        <v>0.150709077807049</v>
      </c>
      <c r="T418" s="22" t="n">
        <v>0.150709077807049</v>
      </c>
      <c r="U418" s="22" t="n">
        <v>0.150709077807049</v>
      </c>
      <c r="V418" s="22" t="n">
        <v>0.150709077807049</v>
      </c>
      <c r="W418" s="22" t="n">
        <v>0.150709077807049</v>
      </c>
      <c r="X418" s="22" t="n">
        <v>0.150709077807049</v>
      </c>
      <c r="Y418" s="22" t="n">
        <v>0.150709077807049</v>
      </c>
      <c r="Z418" s="22" t="n">
        <v>0.150709077807049</v>
      </c>
      <c r="AA418" s="22" t="n">
        <v>0.150709077807049</v>
      </c>
      <c r="AB418" s="22" t="n">
        <v>0.150709077807049</v>
      </c>
      <c r="AC418" s="22" t="n">
        <v>0.150709077807049</v>
      </c>
      <c r="AD418" s="22" t="n">
        <v>0.150709077807049</v>
      </c>
      <c r="AE418" s="22" t="n">
        <v>0.150709077807049</v>
      </c>
    </row>
    <row r="419" customFormat="false" ht="15" hidden="false" customHeight="false" outlineLevel="0" collapsed="false">
      <c r="A419" s="35" t="s">
        <v>1270</v>
      </c>
      <c r="B419" s="6" t="s">
        <v>64</v>
      </c>
      <c r="C419" s="6" t="s">
        <v>121</v>
      </c>
      <c r="D419" s="6" t="n">
        <v>1</v>
      </c>
      <c r="E419" s="6" t="s">
        <v>1166</v>
      </c>
      <c r="K419" s="22" t="n">
        <f aca="false">INDEX(Mitigation_Industry!K:K,MATCH($A419,Mitigation_Industry!$H:$H,0))</f>
        <v>0.200366691126738</v>
      </c>
      <c r="L419" s="22" t="n">
        <f aca="false">INDEX(Mitigation_Industry!L:L,MATCH($A419,Mitigation_Industry!$H:$H,0))</f>
        <v>0.157344736252274</v>
      </c>
      <c r="M419" s="22" t="n">
        <f aca="false">INDEX(Mitigation_Industry!M:M,MATCH($A419,Mitigation_Industry!$H:$H,0))</f>
        <v>0.164484037759277</v>
      </c>
      <c r="N419" s="22" t="n">
        <f aca="false">INDEX(Mitigation_Industry!N:N,MATCH($A419,Mitigation_Industry!$H:$H,0))</f>
        <v>0.150709077807049</v>
      </c>
      <c r="O419" s="22" t="n">
        <f aca="false">INDEX(Mitigation_Industry!O:O,MATCH($A419,Mitigation_Industry!$H:$H,0))</f>
        <v>0.150709077807049</v>
      </c>
      <c r="P419" s="22" t="n">
        <f aca="false">INDEX(Mitigation_Industry!P:P,MATCH($A419,Mitigation_Industry!$H:$H,0))</f>
        <v>0.150709077807049</v>
      </c>
      <c r="Q419" s="22" t="n">
        <f aca="false">INDEX(Mitigation_Industry!Q:Q,MATCH($A419,Mitigation_Industry!$H:$H,0))</f>
        <v>0.150709077807049</v>
      </c>
      <c r="R419" s="22" t="n">
        <f aca="false">INDEX(Mitigation_Industry!R:R,MATCH($A419,Mitigation_Industry!$H:$H,0))</f>
        <v>0.150709077807049</v>
      </c>
      <c r="S419" s="22" t="n">
        <f aca="false">INDEX(Mitigation_Industry!S:S,MATCH($A419,Mitigation_Industry!$H:$H,0))</f>
        <v>0.150709077807049</v>
      </c>
      <c r="T419" s="22" t="n">
        <f aca="false">INDEX(Mitigation_Industry!T:T,MATCH($A419,Mitigation_Industry!$H:$H,0))</f>
        <v>0.150709077807049</v>
      </c>
      <c r="U419" s="22" t="n">
        <f aca="false">INDEX(Mitigation_Industry!U:U,MATCH($A419,Mitigation_Industry!$H:$H,0))</f>
        <v>0.150709077807049</v>
      </c>
      <c r="V419" s="22" t="n">
        <f aca="false">INDEX(Mitigation_Industry!V:V,MATCH($A419,Mitigation_Industry!$H:$H,0))</f>
        <v>0.150709077807049</v>
      </c>
      <c r="W419" s="22" t="n">
        <f aca="false">INDEX(Mitigation_Industry!W:W,MATCH($A419,Mitigation_Industry!$H:$H,0))</f>
        <v>0.150709077807049</v>
      </c>
      <c r="X419" s="22" t="n">
        <f aca="false">INDEX(Mitigation_Industry!X:X,MATCH($A419,Mitigation_Industry!$H:$H,0))</f>
        <v>0.150709077807049</v>
      </c>
      <c r="Y419" s="22" t="n">
        <f aca="false">INDEX(Mitigation_Industry!Y:Y,MATCH($A419,Mitigation_Industry!$H:$H,0))</f>
        <v>0.150709077807049</v>
      </c>
      <c r="Z419" s="22" t="n">
        <f aca="false">INDEX(Mitigation_Industry!Z:Z,MATCH($A419,Mitigation_Industry!$H:$H,0))</f>
        <v>0.150709077807049</v>
      </c>
      <c r="AA419" s="22" t="n">
        <f aca="false">INDEX(Mitigation_Industry!AA:AA,MATCH($A419,Mitigation_Industry!$H:$H,0))</f>
        <v>0.150709077807049</v>
      </c>
      <c r="AB419" s="22" t="n">
        <f aca="false">INDEX(Mitigation_Industry!AB:AB,MATCH($A419,Mitigation_Industry!$H:$H,0))</f>
        <v>0.150709077807049</v>
      </c>
      <c r="AC419" s="22" t="n">
        <f aca="false">INDEX(Mitigation_Industry!AC:AC,MATCH($A419,Mitigation_Industry!$H:$H,0))</f>
        <v>0.150709077807049</v>
      </c>
      <c r="AD419" s="22" t="n">
        <f aca="false">INDEX(Mitigation_Industry!AD:AD,MATCH($A419,Mitigation_Industry!$H:$H,0))</f>
        <v>0.150709077807049</v>
      </c>
      <c r="AE419" s="22" t="n">
        <f aca="false">INDEX(Mitigation_Industry!AE:AE,MATCH($A419,Mitigation_Industry!$H:$H,0))</f>
        <v>0.150709077807049</v>
      </c>
    </row>
    <row r="420" customFormat="false" ht="15" hidden="false" customHeight="false" outlineLevel="0" collapsed="false">
      <c r="A420" s="35" t="s">
        <v>1270</v>
      </c>
      <c r="B420" s="6" t="s">
        <v>64</v>
      </c>
      <c r="C420" s="6" t="s">
        <v>121</v>
      </c>
      <c r="D420" s="6" t="n">
        <v>1</v>
      </c>
      <c r="E420" s="2" t="s">
        <v>1167</v>
      </c>
      <c r="F420" s="40" t="n">
        <f aca="false">MAX(MAX(L420:AE420),-MIN(L420:AE420))</f>
        <v>-0</v>
      </c>
      <c r="K420" s="41" t="n">
        <f aca="false">IF(ISNUMBER(K418),IF(ISNUMBER(K419),K419-K418,999999),0)</f>
        <v>0</v>
      </c>
      <c r="L420" s="41" t="n">
        <f aca="false">IF(ISNUMBER(L418),IF(ISNUMBER(L419),L419-L418,999999),0)</f>
        <v>0</v>
      </c>
      <c r="M420" s="41" t="n">
        <f aca="false">IF(ISNUMBER(M418),IF(ISNUMBER(M419),M419-M418,999999),0)</f>
        <v>0</v>
      </c>
      <c r="N420" s="41" t="n">
        <f aca="false">IF(ISNUMBER(N418),IF(ISNUMBER(N419),N419-N418,999999),0)</f>
        <v>0</v>
      </c>
      <c r="O420" s="41" t="n">
        <f aca="false">IF(ISNUMBER(O418),IF(ISNUMBER(O419),O419-O418,999999),0)</f>
        <v>0</v>
      </c>
      <c r="P420" s="41" t="n">
        <f aca="false">IF(ISNUMBER(P418),IF(ISNUMBER(P419),P419-P418,999999),0)</f>
        <v>0</v>
      </c>
      <c r="Q420" s="41" t="n">
        <f aca="false">IF(ISNUMBER(Q418),IF(ISNUMBER(Q419),Q419-Q418,999999),0)</f>
        <v>0</v>
      </c>
      <c r="R420" s="41" t="n">
        <f aca="false">IF(ISNUMBER(R418),IF(ISNUMBER(R419),R419-R418,999999),0)</f>
        <v>0</v>
      </c>
      <c r="S420" s="41" t="n">
        <f aca="false">IF(ISNUMBER(S418),IF(ISNUMBER(S419),S419-S418,999999),0)</f>
        <v>0</v>
      </c>
      <c r="T420" s="41" t="n">
        <f aca="false">IF(ISNUMBER(T418),IF(ISNUMBER(T419),T419-T418,999999),0)</f>
        <v>0</v>
      </c>
      <c r="U420" s="41" t="n">
        <f aca="false">IF(ISNUMBER(U418),IF(ISNUMBER(U419),U419-U418,999999),0)</f>
        <v>0</v>
      </c>
      <c r="V420" s="41" t="n">
        <f aca="false">IF(ISNUMBER(V418),IF(ISNUMBER(V419),V419-V418,999999),0)</f>
        <v>0</v>
      </c>
      <c r="W420" s="41" t="n">
        <f aca="false">IF(ISNUMBER(W418),IF(ISNUMBER(W419),W419-W418,999999),0)</f>
        <v>0</v>
      </c>
      <c r="X420" s="41" t="n">
        <f aca="false">IF(ISNUMBER(X418),IF(ISNUMBER(X419),X419-X418,999999),0)</f>
        <v>0</v>
      </c>
      <c r="Y420" s="41" t="n">
        <f aca="false">IF(ISNUMBER(Y418),IF(ISNUMBER(Y419),Y419-Y418,999999),0)</f>
        <v>0</v>
      </c>
      <c r="Z420" s="41" t="n">
        <f aca="false">IF(ISNUMBER(Z418),IF(ISNUMBER(Z419),Z419-Z418,999999),0)</f>
        <v>0</v>
      </c>
      <c r="AA420" s="41" t="n">
        <f aca="false">IF(ISNUMBER(AA418),IF(ISNUMBER(AA419),AA419-AA418,999999),0)</f>
        <v>0</v>
      </c>
      <c r="AB420" s="41" t="n">
        <f aca="false">IF(ISNUMBER(AB418),IF(ISNUMBER(AB419),AB419-AB418,999999),0)</f>
        <v>0</v>
      </c>
      <c r="AC420" s="41" t="n">
        <f aca="false">IF(ISNUMBER(AC418),IF(ISNUMBER(AC419),AC419-AC418,999999),0)</f>
        <v>0</v>
      </c>
      <c r="AD420" s="41" t="n">
        <f aca="false">IF(ISNUMBER(AD418),IF(ISNUMBER(AD419),AD419-AD418,999999),0)</f>
        <v>0</v>
      </c>
      <c r="AE420" s="41" t="n">
        <f aca="false">IF(ISNUMBER(AE418),IF(ISNUMBER(AE419),AE419-AE418,999999),0)</f>
        <v>0</v>
      </c>
    </row>
    <row r="422" customFormat="false" ht="15" hidden="false" customHeight="false" outlineLevel="0" collapsed="false">
      <c r="A422" s="35" t="s">
        <v>1271</v>
      </c>
      <c r="B422" s="6" t="s">
        <v>66</v>
      </c>
      <c r="C422" s="6" t="s">
        <v>121</v>
      </c>
      <c r="D422" s="6" t="n">
        <v>1</v>
      </c>
      <c r="E422" s="6" t="s">
        <v>1165</v>
      </c>
      <c r="K422" s="22"/>
      <c r="L422" s="22" t="n">
        <v>0.456428170500128</v>
      </c>
      <c r="M422" s="22" t="n">
        <v>0.431689201955995</v>
      </c>
      <c r="N422" s="22" t="n">
        <v>0.42507558395597</v>
      </c>
      <c r="O422" s="22" t="n">
        <v>0.42507558395597</v>
      </c>
      <c r="P422" s="22" t="n">
        <v>0.42507558395597</v>
      </c>
      <c r="Q422" s="22" t="n">
        <v>0.42507558395597</v>
      </c>
      <c r="R422" s="22" t="n">
        <v>0.42507558395597</v>
      </c>
      <c r="S422" s="22" t="n">
        <v>0.42507558395597</v>
      </c>
      <c r="T422" s="22" t="n">
        <v>0.42507558395597</v>
      </c>
      <c r="U422" s="22" t="n">
        <v>0.42507558395597</v>
      </c>
      <c r="V422" s="22" t="n">
        <v>0.42507558395597</v>
      </c>
      <c r="W422" s="22" t="n">
        <v>0.42507558395597</v>
      </c>
      <c r="X422" s="22" t="n">
        <v>0.42507558395597</v>
      </c>
      <c r="Y422" s="22" t="n">
        <v>0.42507558395597</v>
      </c>
      <c r="Z422" s="22" t="n">
        <v>0.42507558395597</v>
      </c>
      <c r="AA422" s="22" t="n">
        <v>0.42507558395597</v>
      </c>
      <c r="AB422" s="22" t="n">
        <v>0.42507558395597</v>
      </c>
      <c r="AC422" s="22" t="n">
        <v>0.42507558395597</v>
      </c>
      <c r="AD422" s="22" t="n">
        <v>0.42507558395597</v>
      </c>
      <c r="AE422" s="22" t="n">
        <v>0.42507558395597</v>
      </c>
    </row>
    <row r="423" customFormat="false" ht="15" hidden="false" customHeight="false" outlineLevel="0" collapsed="false">
      <c r="A423" s="35" t="s">
        <v>1271</v>
      </c>
      <c r="B423" s="6" t="s">
        <v>66</v>
      </c>
      <c r="C423" s="6" t="s">
        <v>121</v>
      </c>
      <c r="D423" s="6" t="n">
        <v>1</v>
      </c>
      <c r="E423" s="6" t="s">
        <v>1166</v>
      </c>
      <c r="K423" s="22" t="n">
        <f aca="false">INDEX(Mitigation_Industry!K:K,MATCH($A423,Mitigation_Industry!$H:$H,0))</f>
        <v>0.484294240973435</v>
      </c>
      <c r="L423" s="22" t="n">
        <f aca="false">INDEX(Mitigation_Industry!L:L,MATCH($A423,Mitigation_Industry!$H:$H,0))</f>
        <v>0.456428170500128</v>
      </c>
      <c r="M423" s="22" t="n">
        <f aca="false">INDEX(Mitigation_Industry!M:M,MATCH($A423,Mitigation_Industry!$H:$H,0))</f>
        <v>0.431689201955995</v>
      </c>
      <c r="N423" s="22" t="n">
        <f aca="false">INDEX(Mitigation_Industry!N:N,MATCH($A423,Mitigation_Industry!$H:$H,0))</f>
        <v>0.42507558395597</v>
      </c>
      <c r="O423" s="22" t="n">
        <f aca="false">INDEX(Mitigation_Industry!O:O,MATCH($A423,Mitigation_Industry!$H:$H,0))</f>
        <v>0.42507558395597</v>
      </c>
      <c r="P423" s="22" t="n">
        <f aca="false">INDEX(Mitigation_Industry!P:P,MATCH($A423,Mitigation_Industry!$H:$H,0))</f>
        <v>0.42507558395597</v>
      </c>
      <c r="Q423" s="22" t="n">
        <f aca="false">INDEX(Mitigation_Industry!Q:Q,MATCH($A423,Mitigation_Industry!$H:$H,0))</f>
        <v>0.42507558395597</v>
      </c>
      <c r="R423" s="22" t="n">
        <f aca="false">INDEX(Mitigation_Industry!R:R,MATCH($A423,Mitigation_Industry!$H:$H,0))</f>
        <v>0.42507558395597</v>
      </c>
      <c r="S423" s="22" t="n">
        <f aca="false">INDEX(Mitigation_Industry!S:S,MATCH($A423,Mitigation_Industry!$H:$H,0))</f>
        <v>0.42507558395597</v>
      </c>
      <c r="T423" s="22" t="n">
        <f aca="false">INDEX(Mitigation_Industry!T:T,MATCH($A423,Mitigation_Industry!$H:$H,0))</f>
        <v>0.42507558395597</v>
      </c>
      <c r="U423" s="22" t="n">
        <f aca="false">INDEX(Mitigation_Industry!U:U,MATCH($A423,Mitigation_Industry!$H:$H,0))</f>
        <v>0.42507558395597</v>
      </c>
      <c r="V423" s="22" t="n">
        <f aca="false">INDEX(Mitigation_Industry!V:V,MATCH($A423,Mitigation_Industry!$H:$H,0))</f>
        <v>0.42507558395597</v>
      </c>
      <c r="W423" s="22" t="n">
        <f aca="false">INDEX(Mitigation_Industry!W:W,MATCH($A423,Mitigation_Industry!$H:$H,0))</f>
        <v>0.42507558395597</v>
      </c>
      <c r="X423" s="22" t="n">
        <f aca="false">INDEX(Mitigation_Industry!X:X,MATCH($A423,Mitigation_Industry!$H:$H,0))</f>
        <v>0.42507558395597</v>
      </c>
      <c r="Y423" s="22" t="n">
        <f aca="false">INDEX(Mitigation_Industry!Y:Y,MATCH($A423,Mitigation_Industry!$H:$H,0))</f>
        <v>0.42507558395597</v>
      </c>
      <c r="Z423" s="22" t="n">
        <f aca="false">INDEX(Mitigation_Industry!Z:Z,MATCH($A423,Mitigation_Industry!$H:$H,0))</f>
        <v>0.42507558395597</v>
      </c>
      <c r="AA423" s="22" t="n">
        <f aca="false">INDEX(Mitigation_Industry!AA:AA,MATCH($A423,Mitigation_Industry!$H:$H,0))</f>
        <v>0.42507558395597</v>
      </c>
      <c r="AB423" s="22" t="n">
        <f aca="false">INDEX(Mitigation_Industry!AB:AB,MATCH($A423,Mitigation_Industry!$H:$H,0))</f>
        <v>0.42507558395597</v>
      </c>
      <c r="AC423" s="22" t="n">
        <f aca="false">INDEX(Mitigation_Industry!AC:AC,MATCH($A423,Mitigation_Industry!$H:$H,0))</f>
        <v>0.42507558395597</v>
      </c>
      <c r="AD423" s="22" t="n">
        <f aca="false">INDEX(Mitigation_Industry!AD:AD,MATCH($A423,Mitigation_Industry!$H:$H,0))</f>
        <v>0.42507558395597</v>
      </c>
      <c r="AE423" s="22" t="n">
        <f aca="false">INDEX(Mitigation_Industry!AE:AE,MATCH($A423,Mitigation_Industry!$H:$H,0))</f>
        <v>0.42507558395597</v>
      </c>
    </row>
    <row r="424" customFormat="false" ht="15" hidden="false" customHeight="false" outlineLevel="0" collapsed="false">
      <c r="A424" s="35" t="s">
        <v>1271</v>
      </c>
      <c r="B424" s="6" t="s">
        <v>66</v>
      </c>
      <c r="C424" s="6" t="s">
        <v>121</v>
      </c>
      <c r="D424" s="6" t="n">
        <v>1</v>
      </c>
      <c r="E424" s="2" t="s">
        <v>1167</v>
      </c>
      <c r="F424" s="40" t="n">
        <f aca="false">MAX(MAX(L424:AE424),-MIN(L424:AE424))</f>
        <v>-0</v>
      </c>
      <c r="K424" s="41" t="n">
        <f aca="false">IF(ISNUMBER(K422),IF(ISNUMBER(K423),K423-K422,999999),0)</f>
        <v>0</v>
      </c>
      <c r="L424" s="41" t="n">
        <f aca="false">IF(ISNUMBER(L422),IF(ISNUMBER(L423),L423-L422,999999),0)</f>
        <v>0</v>
      </c>
      <c r="M424" s="41" t="n">
        <f aca="false">IF(ISNUMBER(M422),IF(ISNUMBER(M423),M423-M422,999999),0)</f>
        <v>0</v>
      </c>
      <c r="N424" s="41" t="n">
        <f aca="false">IF(ISNUMBER(N422),IF(ISNUMBER(N423),N423-N422,999999),0)</f>
        <v>0</v>
      </c>
      <c r="O424" s="41" t="n">
        <f aca="false">IF(ISNUMBER(O422),IF(ISNUMBER(O423),O423-O422,999999),0)</f>
        <v>0</v>
      </c>
      <c r="P424" s="41" t="n">
        <f aca="false">IF(ISNUMBER(P422),IF(ISNUMBER(P423),P423-P422,999999),0)</f>
        <v>0</v>
      </c>
      <c r="Q424" s="41" t="n">
        <f aca="false">IF(ISNUMBER(Q422),IF(ISNUMBER(Q423),Q423-Q422,999999),0)</f>
        <v>0</v>
      </c>
      <c r="R424" s="41" t="n">
        <f aca="false">IF(ISNUMBER(R422),IF(ISNUMBER(R423),R423-R422,999999),0)</f>
        <v>0</v>
      </c>
      <c r="S424" s="41" t="n">
        <f aca="false">IF(ISNUMBER(S422),IF(ISNUMBER(S423),S423-S422,999999),0)</f>
        <v>0</v>
      </c>
      <c r="T424" s="41" t="n">
        <f aca="false">IF(ISNUMBER(T422),IF(ISNUMBER(T423),T423-T422,999999),0)</f>
        <v>0</v>
      </c>
      <c r="U424" s="41" t="n">
        <f aca="false">IF(ISNUMBER(U422),IF(ISNUMBER(U423),U423-U422,999999),0)</f>
        <v>0</v>
      </c>
      <c r="V424" s="41" t="n">
        <f aca="false">IF(ISNUMBER(V422),IF(ISNUMBER(V423),V423-V422,999999),0)</f>
        <v>0</v>
      </c>
      <c r="W424" s="41" t="n">
        <f aca="false">IF(ISNUMBER(W422),IF(ISNUMBER(W423),W423-W422,999999),0)</f>
        <v>0</v>
      </c>
      <c r="X424" s="41" t="n">
        <f aca="false">IF(ISNUMBER(X422),IF(ISNUMBER(X423),X423-X422,999999),0)</f>
        <v>0</v>
      </c>
      <c r="Y424" s="41" t="n">
        <f aca="false">IF(ISNUMBER(Y422),IF(ISNUMBER(Y423),Y423-Y422,999999),0)</f>
        <v>0</v>
      </c>
      <c r="Z424" s="41" t="n">
        <f aca="false">IF(ISNUMBER(Z422),IF(ISNUMBER(Z423),Z423-Z422,999999),0)</f>
        <v>0</v>
      </c>
      <c r="AA424" s="41" t="n">
        <f aca="false">IF(ISNUMBER(AA422),IF(ISNUMBER(AA423),AA423-AA422,999999),0)</f>
        <v>0</v>
      </c>
      <c r="AB424" s="41" t="n">
        <f aca="false">IF(ISNUMBER(AB422),IF(ISNUMBER(AB423),AB423-AB422,999999),0)</f>
        <v>0</v>
      </c>
      <c r="AC424" s="41" t="n">
        <f aca="false">IF(ISNUMBER(AC422),IF(ISNUMBER(AC423),AC423-AC422,999999),0)</f>
        <v>0</v>
      </c>
      <c r="AD424" s="41" t="n">
        <f aca="false">IF(ISNUMBER(AD422),IF(ISNUMBER(AD423),AD423-AD422,999999),0)</f>
        <v>0</v>
      </c>
      <c r="AE424" s="41" t="n">
        <f aca="false">IF(ISNUMBER(AE422),IF(ISNUMBER(AE423),AE423-AE422,999999),0)</f>
        <v>0</v>
      </c>
    </row>
    <row r="426" customFormat="false" ht="15" hidden="false" customHeight="false" outlineLevel="0" collapsed="false">
      <c r="A426" s="35" t="s">
        <v>1272</v>
      </c>
      <c r="B426" s="6" t="s">
        <v>68</v>
      </c>
      <c r="C426" s="6" t="s">
        <v>121</v>
      </c>
      <c r="D426" s="6" t="n">
        <v>1</v>
      </c>
      <c r="E426" s="6" t="s">
        <v>1165</v>
      </c>
      <c r="K426" s="22"/>
      <c r="L426" s="22" t="n">
        <v>34.4153703043132</v>
      </c>
      <c r="M426" s="22" t="n">
        <v>37.368960690432</v>
      </c>
      <c r="N426" s="22" t="n">
        <v>28.9827611014773</v>
      </c>
      <c r="O426" s="22" t="n">
        <v>15</v>
      </c>
      <c r="P426" s="22" t="n">
        <v>24.2586300842555</v>
      </c>
      <c r="Q426" s="22" t="n">
        <v>15</v>
      </c>
      <c r="R426" s="22" t="n">
        <v>15</v>
      </c>
      <c r="S426" s="22" t="n">
        <v>15</v>
      </c>
      <c r="T426" s="22" t="n">
        <v>15</v>
      </c>
      <c r="U426" s="22" t="n">
        <v>15</v>
      </c>
      <c r="V426" s="22" t="n">
        <v>15</v>
      </c>
      <c r="W426" s="22" t="n">
        <v>15</v>
      </c>
      <c r="X426" s="22" t="n">
        <v>15</v>
      </c>
      <c r="Y426" s="22" t="n">
        <v>15</v>
      </c>
      <c r="Z426" s="22" t="n">
        <v>15</v>
      </c>
      <c r="AA426" s="22" t="n">
        <v>15</v>
      </c>
      <c r="AB426" s="22" t="n">
        <v>15</v>
      </c>
      <c r="AC426" s="22" t="n">
        <v>15</v>
      </c>
      <c r="AD426" s="22" t="n">
        <v>15</v>
      </c>
      <c r="AE426" s="22" t="n">
        <v>15</v>
      </c>
    </row>
    <row r="427" customFormat="false" ht="15" hidden="false" customHeight="false" outlineLevel="0" collapsed="false">
      <c r="A427" s="35" t="s">
        <v>1272</v>
      </c>
      <c r="B427" s="6" t="s">
        <v>68</v>
      </c>
      <c r="C427" s="6" t="s">
        <v>121</v>
      </c>
      <c r="D427" s="6" t="n">
        <v>1</v>
      </c>
      <c r="E427" s="6" t="s">
        <v>1166</v>
      </c>
      <c r="K427" s="22" t="n">
        <f aca="false">INDEX(Mitigation_Industry!K:K,MATCH($A427,Mitigation_Industry!$H:$H,0))</f>
        <v>41.5003384988684</v>
      </c>
      <c r="L427" s="22" t="n">
        <f aca="false">INDEX(Mitigation_Industry!L:L,MATCH($A427,Mitigation_Industry!$H:$H,0))</f>
        <v>34.4153703043132</v>
      </c>
      <c r="M427" s="22" t="n">
        <f aca="false">INDEX(Mitigation_Industry!M:M,MATCH($A427,Mitigation_Industry!$H:$H,0))</f>
        <v>37.368960690432</v>
      </c>
      <c r="N427" s="22" t="n">
        <f aca="false">INDEX(Mitigation_Industry!N:N,MATCH($A427,Mitigation_Industry!$H:$H,0))</f>
        <v>28.9827611014773</v>
      </c>
      <c r="O427" s="22" t="n">
        <f aca="false">INDEX(Mitigation_Industry!O:O,MATCH($A427,Mitigation_Industry!$H:$H,0))</f>
        <v>15</v>
      </c>
      <c r="P427" s="22" t="n">
        <f aca="false">INDEX(Mitigation_Industry!P:P,MATCH($A427,Mitigation_Industry!$H:$H,0))</f>
        <v>24.2586300842555</v>
      </c>
      <c r="Q427" s="22" t="n">
        <f aca="false">INDEX(Mitigation_Industry!Q:Q,MATCH($A427,Mitigation_Industry!$H:$H,0))</f>
        <v>15</v>
      </c>
      <c r="R427" s="22" t="n">
        <f aca="false">INDEX(Mitigation_Industry!R:R,MATCH($A427,Mitigation_Industry!$H:$H,0))</f>
        <v>15</v>
      </c>
      <c r="S427" s="22" t="n">
        <f aca="false">INDEX(Mitigation_Industry!S:S,MATCH($A427,Mitigation_Industry!$H:$H,0))</f>
        <v>15</v>
      </c>
      <c r="T427" s="22" t="n">
        <f aca="false">INDEX(Mitigation_Industry!T:T,MATCH($A427,Mitigation_Industry!$H:$H,0))</f>
        <v>15</v>
      </c>
      <c r="U427" s="22" t="n">
        <f aca="false">INDEX(Mitigation_Industry!U:U,MATCH($A427,Mitigation_Industry!$H:$H,0))</f>
        <v>15</v>
      </c>
      <c r="V427" s="22" t="n">
        <f aca="false">INDEX(Mitigation_Industry!V:V,MATCH($A427,Mitigation_Industry!$H:$H,0))</f>
        <v>15</v>
      </c>
      <c r="W427" s="22" t="n">
        <f aca="false">INDEX(Mitigation_Industry!W:W,MATCH($A427,Mitigation_Industry!$H:$H,0))</f>
        <v>15</v>
      </c>
      <c r="X427" s="22" t="n">
        <f aca="false">INDEX(Mitigation_Industry!X:X,MATCH($A427,Mitigation_Industry!$H:$H,0))</f>
        <v>15</v>
      </c>
      <c r="Y427" s="22" t="n">
        <f aca="false">INDEX(Mitigation_Industry!Y:Y,MATCH($A427,Mitigation_Industry!$H:$H,0))</f>
        <v>15</v>
      </c>
      <c r="Z427" s="22" t="n">
        <f aca="false">INDEX(Mitigation_Industry!Z:Z,MATCH($A427,Mitigation_Industry!$H:$H,0))</f>
        <v>15</v>
      </c>
      <c r="AA427" s="22" t="n">
        <f aca="false">INDEX(Mitigation_Industry!AA:AA,MATCH($A427,Mitigation_Industry!$H:$H,0))</f>
        <v>15</v>
      </c>
      <c r="AB427" s="22" t="n">
        <f aca="false">INDEX(Mitigation_Industry!AB:AB,MATCH($A427,Mitigation_Industry!$H:$H,0))</f>
        <v>15</v>
      </c>
      <c r="AC427" s="22" t="n">
        <f aca="false">INDEX(Mitigation_Industry!AC:AC,MATCH($A427,Mitigation_Industry!$H:$H,0))</f>
        <v>15</v>
      </c>
      <c r="AD427" s="22" t="n">
        <f aca="false">INDEX(Mitigation_Industry!AD:AD,MATCH($A427,Mitigation_Industry!$H:$H,0))</f>
        <v>15</v>
      </c>
      <c r="AE427" s="22" t="n">
        <f aca="false">INDEX(Mitigation_Industry!AE:AE,MATCH($A427,Mitigation_Industry!$H:$H,0))</f>
        <v>15</v>
      </c>
    </row>
    <row r="428" customFormat="false" ht="15" hidden="false" customHeight="false" outlineLevel="0" collapsed="false">
      <c r="A428" s="35" t="s">
        <v>1272</v>
      </c>
      <c r="B428" s="6" t="s">
        <v>68</v>
      </c>
      <c r="C428" s="6" t="s">
        <v>121</v>
      </c>
      <c r="D428" s="6" t="n">
        <v>1</v>
      </c>
      <c r="E428" s="2" t="s">
        <v>1167</v>
      </c>
      <c r="F428" s="40" t="n">
        <f aca="false">MAX(MAX(L428:AE428),-MIN(L428:AE428))</f>
        <v>-0</v>
      </c>
      <c r="K428" s="41" t="n">
        <f aca="false">IF(ISNUMBER(K426),IF(ISNUMBER(K427),K427-K426,999999),0)</f>
        <v>0</v>
      </c>
      <c r="L428" s="41" t="n">
        <f aca="false">IF(ISNUMBER(L426),IF(ISNUMBER(L427),L427-L426,999999),0)</f>
        <v>0</v>
      </c>
      <c r="M428" s="41" t="n">
        <f aca="false">IF(ISNUMBER(M426),IF(ISNUMBER(M427),M427-M426,999999),0)</f>
        <v>0</v>
      </c>
      <c r="N428" s="41" t="n">
        <f aca="false">IF(ISNUMBER(N426),IF(ISNUMBER(N427),N427-N426,999999),0)</f>
        <v>0</v>
      </c>
      <c r="O428" s="41" t="n">
        <f aca="false">IF(ISNUMBER(O426),IF(ISNUMBER(O427),O427-O426,999999),0)</f>
        <v>0</v>
      </c>
      <c r="P428" s="41" t="n">
        <f aca="false">IF(ISNUMBER(P426),IF(ISNUMBER(P427),P427-P426,999999),0)</f>
        <v>0</v>
      </c>
      <c r="Q428" s="41" t="n">
        <f aca="false">IF(ISNUMBER(Q426),IF(ISNUMBER(Q427),Q427-Q426,999999),0)</f>
        <v>0</v>
      </c>
      <c r="R428" s="41" t="n">
        <f aca="false">IF(ISNUMBER(R426),IF(ISNUMBER(R427),R427-R426,999999),0)</f>
        <v>0</v>
      </c>
      <c r="S428" s="41" t="n">
        <f aca="false">IF(ISNUMBER(S426),IF(ISNUMBER(S427),S427-S426,999999),0)</f>
        <v>0</v>
      </c>
      <c r="T428" s="41" t="n">
        <f aca="false">IF(ISNUMBER(T426),IF(ISNUMBER(T427),T427-T426,999999),0)</f>
        <v>0</v>
      </c>
      <c r="U428" s="41" t="n">
        <f aca="false">IF(ISNUMBER(U426),IF(ISNUMBER(U427),U427-U426,999999),0)</f>
        <v>0</v>
      </c>
      <c r="V428" s="41" t="n">
        <f aca="false">IF(ISNUMBER(V426),IF(ISNUMBER(V427),V427-V426,999999),0)</f>
        <v>0</v>
      </c>
      <c r="W428" s="41" t="n">
        <f aca="false">IF(ISNUMBER(W426),IF(ISNUMBER(W427),W427-W426,999999),0)</f>
        <v>0</v>
      </c>
      <c r="X428" s="41" t="n">
        <f aca="false">IF(ISNUMBER(X426),IF(ISNUMBER(X427),X427-X426,999999),0)</f>
        <v>0</v>
      </c>
      <c r="Y428" s="41" t="n">
        <f aca="false">IF(ISNUMBER(Y426),IF(ISNUMBER(Y427),Y427-Y426,999999),0)</f>
        <v>0</v>
      </c>
      <c r="Z428" s="41" t="n">
        <f aca="false">IF(ISNUMBER(Z426),IF(ISNUMBER(Z427),Z427-Z426,999999),0)</f>
        <v>0</v>
      </c>
      <c r="AA428" s="41" t="n">
        <f aca="false">IF(ISNUMBER(AA426),IF(ISNUMBER(AA427),AA427-AA426,999999),0)</f>
        <v>0</v>
      </c>
      <c r="AB428" s="41" t="n">
        <f aca="false">IF(ISNUMBER(AB426),IF(ISNUMBER(AB427),AB427-AB426,999999),0)</f>
        <v>0</v>
      </c>
      <c r="AC428" s="41" t="n">
        <f aca="false">IF(ISNUMBER(AC426),IF(ISNUMBER(AC427),AC427-AC426,999999),0)</f>
        <v>0</v>
      </c>
      <c r="AD428" s="41" t="n">
        <f aca="false">IF(ISNUMBER(AD426),IF(ISNUMBER(AD427),AD427-AD426,999999),0)</f>
        <v>0</v>
      </c>
      <c r="AE428" s="41" t="n">
        <f aca="false">IF(ISNUMBER(AE426),IF(ISNUMBER(AE427),AE427-AE426,999999),0)</f>
        <v>0</v>
      </c>
    </row>
    <row r="430" customFormat="false" ht="15" hidden="false" customHeight="false" outlineLevel="0" collapsed="false">
      <c r="A430" s="35" t="s">
        <v>1273</v>
      </c>
      <c r="B430" s="6" t="s">
        <v>71</v>
      </c>
      <c r="C430" s="6" t="s">
        <v>121</v>
      </c>
      <c r="D430" s="6" t="n">
        <v>1</v>
      </c>
      <c r="E430" s="6" t="s">
        <v>1165</v>
      </c>
      <c r="K430" s="22"/>
      <c r="L430" s="22" t="n">
        <v>14.1995283906349</v>
      </c>
      <c r="M430" s="22" t="n">
        <v>13.8404416133152</v>
      </c>
      <c r="N430" s="22" t="n">
        <v>13.5677269404465</v>
      </c>
      <c r="O430" s="22" t="n">
        <v>13.5677269404465</v>
      </c>
      <c r="P430" s="22" t="n">
        <v>13.5677269404465</v>
      </c>
      <c r="Q430" s="22" t="n">
        <v>13.5677269404465</v>
      </c>
      <c r="R430" s="22" t="n">
        <v>13.5677269404465</v>
      </c>
      <c r="S430" s="22" t="n">
        <v>13.5677269404465</v>
      </c>
      <c r="T430" s="22" t="n">
        <v>13.5677269404465</v>
      </c>
      <c r="U430" s="22" t="n">
        <v>13.5677269404465</v>
      </c>
      <c r="V430" s="22" t="n">
        <v>13.5677269404465</v>
      </c>
      <c r="W430" s="22" t="n">
        <v>13.5677269404465</v>
      </c>
      <c r="X430" s="22" t="n">
        <v>13.5677269404465</v>
      </c>
      <c r="Y430" s="22" t="n">
        <v>13.5677269404465</v>
      </c>
      <c r="Z430" s="22" t="n">
        <v>13.5677269404465</v>
      </c>
      <c r="AA430" s="22" t="n">
        <v>13.5677269404465</v>
      </c>
      <c r="AB430" s="22" t="n">
        <v>13.5677269404465</v>
      </c>
      <c r="AC430" s="22" t="n">
        <v>13.5677269404465</v>
      </c>
      <c r="AD430" s="22" t="n">
        <v>13.5677269404465</v>
      </c>
      <c r="AE430" s="22" t="n">
        <v>13.5677269404465</v>
      </c>
    </row>
    <row r="431" customFormat="false" ht="15" hidden="false" customHeight="false" outlineLevel="0" collapsed="false">
      <c r="A431" s="35" t="s">
        <v>1273</v>
      </c>
      <c r="B431" s="6" t="s">
        <v>71</v>
      </c>
      <c r="C431" s="6" t="s">
        <v>121</v>
      </c>
      <c r="D431" s="6" t="n">
        <v>1</v>
      </c>
      <c r="E431" s="6" t="s">
        <v>1166</v>
      </c>
      <c r="K431" s="22" t="n">
        <f aca="false">INDEX(Mitigation_Industry!K:K,MATCH($A431,Mitigation_Industry!$H:$H,0))</f>
        <v>15.3345505293169</v>
      </c>
      <c r="L431" s="22" t="n">
        <f aca="false">INDEX(Mitigation_Industry!L:L,MATCH($A431,Mitigation_Industry!$H:$H,0))</f>
        <v>14.1995283906349</v>
      </c>
      <c r="M431" s="22" t="n">
        <f aca="false">INDEX(Mitigation_Industry!M:M,MATCH($A431,Mitigation_Industry!$H:$H,0))</f>
        <v>13.8404416133152</v>
      </c>
      <c r="N431" s="22" t="n">
        <f aca="false">INDEX(Mitigation_Industry!N:N,MATCH($A431,Mitigation_Industry!$H:$H,0))</f>
        <v>13.5677269404465</v>
      </c>
      <c r="O431" s="22" t="n">
        <f aca="false">INDEX(Mitigation_Industry!O:O,MATCH($A431,Mitigation_Industry!$H:$H,0))</f>
        <v>13.5677269404465</v>
      </c>
      <c r="P431" s="22" t="n">
        <f aca="false">INDEX(Mitigation_Industry!P:P,MATCH($A431,Mitigation_Industry!$H:$H,0))</f>
        <v>13.5677269404465</v>
      </c>
      <c r="Q431" s="22" t="n">
        <f aca="false">INDEX(Mitigation_Industry!Q:Q,MATCH($A431,Mitigation_Industry!$H:$H,0))</f>
        <v>13.5677269404465</v>
      </c>
      <c r="R431" s="22" t="n">
        <f aca="false">INDEX(Mitigation_Industry!R:R,MATCH($A431,Mitigation_Industry!$H:$H,0))</f>
        <v>13.5677269404465</v>
      </c>
      <c r="S431" s="22" t="n">
        <f aca="false">INDEX(Mitigation_Industry!S:S,MATCH($A431,Mitigation_Industry!$H:$H,0))</f>
        <v>13.5677269404465</v>
      </c>
      <c r="T431" s="22" t="n">
        <f aca="false">INDEX(Mitigation_Industry!T:T,MATCH($A431,Mitigation_Industry!$H:$H,0))</f>
        <v>13.5677269404465</v>
      </c>
      <c r="U431" s="22" t="n">
        <f aca="false">INDEX(Mitigation_Industry!U:U,MATCH($A431,Mitigation_Industry!$H:$H,0))</f>
        <v>13.5677269404465</v>
      </c>
      <c r="V431" s="22" t="n">
        <f aca="false">INDEX(Mitigation_Industry!V:V,MATCH($A431,Mitigation_Industry!$H:$H,0))</f>
        <v>13.5677269404465</v>
      </c>
      <c r="W431" s="22" t="n">
        <f aca="false">INDEX(Mitigation_Industry!W:W,MATCH($A431,Mitigation_Industry!$H:$H,0))</f>
        <v>13.5677269404465</v>
      </c>
      <c r="X431" s="22" t="n">
        <f aca="false">INDEX(Mitigation_Industry!X:X,MATCH($A431,Mitigation_Industry!$H:$H,0))</f>
        <v>13.5677269404465</v>
      </c>
      <c r="Y431" s="22" t="n">
        <f aca="false">INDEX(Mitigation_Industry!Y:Y,MATCH($A431,Mitigation_Industry!$H:$H,0))</f>
        <v>13.5677269404465</v>
      </c>
      <c r="Z431" s="22" t="n">
        <f aca="false">INDEX(Mitigation_Industry!Z:Z,MATCH($A431,Mitigation_Industry!$H:$H,0))</f>
        <v>13.5677269404465</v>
      </c>
      <c r="AA431" s="22" t="n">
        <f aca="false">INDEX(Mitigation_Industry!AA:AA,MATCH($A431,Mitigation_Industry!$H:$H,0))</f>
        <v>13.5677269404465</v>
      </c>
      <c r="AB431" s="22" t="n">
        <f aca="false">INDEX(Mitigation_Industry!AB:AB,MATCH($A431,Mitigation_Industry!$H:$H,0))</f>
        <v>13.5677269404465</v>
      </c>
      <c r="AC431" s="22" t="n">
        <f aca="false">INDEX(Mitigation_Industry!AC:AC,MATCH($A431,Mitigation_Industry!$H:$H,0))</f>
        <v>13.5677269404465</v>
      </c>
      <c r="AD431" s="22" t="n">
        <f aca="false">INDEX(Mitigation_Industry!AD:AD,MATCH($A431,Mitigation_Industry!$H:$H,0))</f>
        <v>13.5677269404465</v>
      </c>
      <c r="AE431" s="22" t="n">
        <f aca="false">INDEX(Mitigation_Industry!AE:AE,MATCH($A431,Mitigation_Industry!$H:$H,0))</f>
        <v>13.5677269404465</v>
      </c>
    </row>
    <row r="432" customFormat="false" ht="15" hidden="false" customHeight="false" outlineLevel="0" collapsed="false">
      <c r="A432" s="35" t="s">
        <v>1273</v>
      </c>
      <c r="B432" s="6" t="s">
        <v>71</v>
      </c>
      <c r="C432" s="6" t="s">
        <v>121</v>
      </c>
      <c r="D432" s="6" t="n">
        <v>1</v>
      </c>
      <c r="E432" s="2" t="s">
        <v>1167</v>
      </c>
      <c r="F432" s="40" t="n">
        <f aca="false">MAX(MAX(L432:AE432),-MIN(L432:AE432))</f>
        <v>-0</v>
      </c>
      <c r="K432" s="41" t="n">
        <f aca="false">IF(ISNUMBER(K430),IF(ISNUMBER(K431),K431-K430,999999),0)</f>
        <v>0</v>
      </c>
      <c r="L432" s="41" t="n">
        <f aca="false">IF(ISNUMBER(L430),IF(ISNUMBER(L431),L431-L430,999999),0)</f>
        <v>0</v>
      </c>
      <c r="M432" s="41" t="n">
        <f aca="false">IF(ISNUMBER(M430),IF(ISNUMBER(M431),M431-M430,999999),0)</f>
        <v>0</v>
      </c>
      <c r="N432" s="41" t="n">
        <f aca="false">IF(ISNUMBER(N430),IF(ISNUMBER(N431),N431-N430,999999),0)</f>
        <v>0</v>
      </c>
      <c r="O432" s="41" t="n">
        <f aca="false">IF(ISNUMBER(O430),IF(ISNUMBER(O431),O431-O430,999999),0)</f>
        <v>0</v>
      </c>
      <c r="P432" s="41" t="n">
        <f aca="false">IF(ISNUMBER(P430),IF(ISNUMBER(P431),P431-P430,999999),0)</f>
        <v>0</v>
      </c>
      <c r="Q432" s="41" t="n">
        <f aca="false">IF(ISNUMBER(Q430),IF(ISNUMBER(Q431),Q431-Q430,999999),0)</f>
        <v>0</v>
      </c>
      <c r="R432" s="41" t="n">
        <f aca="false">IF(ISNUMBER(R430),IF(ISNUMBER(R431),R431-R430,999999),0)</f>
        <v>0</v>
      </c>
      <c r="S432" s="41" t="n">
        <f aca="false">IF(ISNUMBER(S430),IF(ISNUMBER(S431),S431-S430,999999),0)</f>
        <v>0</v>
      </c>
      <c r="T432" s="41" t="n">
        <f aca="false">IF(ISNUMBER(T430),IF(ISNUMBER(T431),T431-T430,999999),0)</f>
        <v>0</v>
      </c>
      <c r="U432" s="41" t="n">
        <f aca="false">IF(ISNUMBER(U430),IF(ISNUMBER(U431),U431-U430,999999),0)</f>
        <v>0</v>
      </c>
      <c r="V432" s="41" t="n">
        <f aca="false">IF(ISNUMBER(V430),IF(ISNUMBER(V431),V431-V430,999999),0)</f>
        <v>0</v>
      </c>
      <c r="W432" s="41" t="n">
        <f aca="false">IF(ISNUMBER(W430),IF(ISNUMBER(W431),W431-W430,999999),0)</f>
        <v>0</v>
      </c>
      <c r="X432" s="41" t="n">
        <f aca="false">IF(ISNUMBER(X430),IF(ISNUMBER(X431),X431-X430,999999),0)</f>
        <v>0</v>
      </c>
      <c r="Y432" s="41" t="n">
        <f aca="false">IF(ISNUMBER(Y430),IF(ISNUMBER(Y431),Y431-Y430,999999),0)</f>
        <v>0</v>
      </c>
      <c r="Z432" s="41" t="n">
        <f aca="false">IF(ISNUMBER(Z430),IF(ISNUMBER(Z431),Z431-Z430,999999),0)</f>
        <v>0</v>
      </c>
      <c r="AA432" s="41" t="n">
        <f aca="false">IF(ISNUMBER(AA430),IF(ISNUMBER(AA431),AA431-AA430,999999),0)</f>
        <v>0</v>
      </c>
      <c r="AB432" s="41" t="n">
        <f aca="false">IF(ISNUMBER(AB430),IF(ISNUMBER(AB431),AB431-AB430,999999),0)</f>
        <v>0</v>
      </c>
      <c r="AC432" s="41" t="n">
        <f aca="false">IF(ISNUMBER(AC430),IF(ISNUMBER(AC431),AC431-AC430,999999),0)</f>
        <v>0</v>
      </c>
      <c r="AD432" s="41" t="n">
        <f aca="false">IF(ISNUMBER(AD430),IF(ISNUMBER(AD431),AD431-AD430,999999),0)</f>
        <v>0</v>
      </c>
      <c r="AE432" s="41" t="n">
        <f aca="false">IF(ISNUMBER(AE430),IF(ISNUMBER(AE431),AE431-AE430,999999),0)</f>
        <v>0</v>
      </c>
    </row>
    <row r="434" customFormat="false" ht="15" hidden="false" customHeight="false" outlineLevel="0" collapsed="false">
      <c r="A434" s="35" t="s">
        <v>1274</v>
      </c>
      <c r="B434" s="6" t="s">
        <v>73</v>
      </c>
      <c r="C434" s="6" t="s">
        <v>121</v>
      </c>
      <c r="D434" s="6" t="n">
        <v>1</v>
      </c>
      <c r="E434" s="6" t="s">
        <v>1165</v>
      </c>
      <c r="K434" s="22"/>
      <c r="L434" s="22" t="n">
        <v>0.144044986793198</v>
      </c>
      <c r="M434" s="22" t="n">
        <v>0.141020409657004</v>
      </c>
      <c r="N434" s="22" t="n">
        <v>0.135116359594476</v>
      </c>
      <c r="O434" s="22" t="n">
        <v>0.130988256985856</v>
      </c>
      <c r="P434" s="22" t="n">
        <v>0.127908416086318</v>
      </c>
      <c r="Q434" s="22" t="n">
        <v>0.124814310557813</v>
      </c>
      <c r="R434" s="22" t="n">
        <v>0.121460257122878</v>
      </c>
      <c r="S434" s="22" t="n">
        <v>0.117950744135786</v>
      </c>
      <c r="T434" s="22" t="n">
        <v>0.114199161044597</v>
      </c>
      <c r="U434" s="22" t="n">
        <v>0.113665100059665</v>
      </c>
      <c r="V434" s="22" t="n">
        <v>0.113016929625957</v>
      </c>
      <c r="W434" s="22" t="n">
        <v>0.112314070507636</v>
      </c>
      <c r="X434" s="22" t="n">
        <v>0.111422042732843</v>
      </c>
      <c r="Y434" s="22" t="n">
        <v>0.110434123675809</v>
      </c>
      <c r="Z434" s="22" t="n">
        <v>0.109483973304471</v>
      </c>
      <c r="AA434" s="22" t="n">
        <v>0.10839192105294</v>
      </c>
      <c r="AB434" s="22" t="n">
        <v>0.107354433626704</v>
      </c>
      <c r="AC434" s="22" t="n">
        <v>0.105168675441661</v>
      </c>
      <c r="AD434" s="22" t="n">
        <v>0.103057983256008</v>
      </c>
      <c r="AE434" s="22" t="n">
        <v>0.100931838990114</v>
      </c>
    </row>
    <row r="435" customFormat="false" ht="15" hidden="false" customHeight="false" outlineLevel="0" collapsed="false">
      <c r="A435" s="35" t="s">
        <v>1274</v>
      </c>
      <c r="B435" s="6" t="s">
        <v>73</v>
      </c>
      <c r="C435" s="6" t="s">
        <v>121</v>
      </c>
      <c r="D435" s="6" t="n">
        <v>1</v>
      </c>
      <c r="E435" s="6" t="s">
        <v>1166</v>
      </c>
      <c r="K435" s="22" t="n">
        <f aca="false">INDEX(Mitigation_Industry!K:K,MATCH($A435,Mitigation_Industry!$H:$H,0))</f>
        <v>0</v>
      </c>
      <c r="L435" s="22" t="n">
        <f aca="false">INDEX(Mitigation_Industry!L:L,MATCH($A435,Mitigation_Industry!$H:$H,0))</f>
        <v>0.144044986793198</v>
      </c>
      <c r="M435" s="22" t="n">
        <f aca="false">INDEX(Mitigation_Industry!M:M,MATCH($A435,Mitigation_Industry!$H:$H,0))</f>
        <v>0.141020409657004</v>
      </c>
      <c r="N435" s="22" t="n">
        <f aca="false">INDEX(Mitigation_Industry!N:N,MATCH($A435,Mitigation_Industry!$H:$H,0))</f>
        <v>0.135116359594476</v>
      </c>
      <c r="O435" s="22" t="n">
        <f aca="false">INDEX(Mitigation_Industry!O:O,MATCH($A435,Mitigation_Industry!$H:$H,0))</f>
        <v>0.130988256985856</v>
      </c>
      <c r="P435" s="22" t="n">
        <f aca="false">INDEX(Mitigation_Industry!P:P,MATCH($A435,Mitigation_Industry!$H:$H,0))</f>
        <v>0.127908416086318</v>
      </c>
      <c r="Q435" s="22" t="n">
        <f aca="false">INDEX(Mitigation_Industry!Q:Q,MATCH($A435,Mitigation_Industry!$H:$H,0))</f>
        <v>0.124814310557813</v>
      </c>
      <c r="R435" s="22" t="n">
        <f aca="false">INDEX(Mitigation_Industry!R:R,MATCH($A435,Mitigation_Industry!$H:$H,0))</f>
        <v>0.121460257122878</v>
      </c>
      <c r="S435" s="22" t="n">
        <f aca="false">INDEX(Mitigation_Industry!S:S,MATCH($A435,Mitigation_Industry!$H:$H,0))</f>
        <v>0.117950744135786</v>
      </c>
      <c r="T435" s="22" t="n">
        <f aca="false">INDEX(Mitigation_Industry!T:T,MATCH($A435,Mitigation_Industry!$H:$H,0))</f>
        <v>0.114199161044597</v>
      </c>
      <c r="U435" s="22" t="n">
        <f aca="false">INDEX(Mitigation_Industry!U:U,MATCH($A435,Mitigation_Industry!$H:$H,0))</f>
        <v>0.113665100059665</v>
      </c>
      <c r="V435" s="22" t="n">
        <f aca="false">INDEX(Mitigation_Industry!V:V,MATCH($A435,Mitigation_Industry!$H:$H,0))</f>
        <v>0.113016929625957</v>
      </c>
      <c r="W435" s="22" t="n">
        <f aca="false">INDEX(Mitigation_Industry!W:W,MATCH($A435,Mitigation_Industry!$H:$H,0))</f>
        <v>0.112314070507636</v>
      </c>
      <c r="X435" s="22" t="n">
        <f aca="false">INDEX(Mitigation_Industry!X:X,MATCH($A435,Mitigation_Industry!$H:$H,0))</f>
        <v>0.111422042732843</v>
      </c>
      <c r="Y435" s="22" t="n">
        <f aca="false">INDEX(Mitigation_Industry!Y:Y,MATCH($A435,Mitigation_Industry!$H:$H,0))</f>
        <v>0.110434123675809</v>
      </c>
      <c r="Z435" s="22" t="n">
        <f aca="false">INDEX(Mitigation_Industry!Z:Z,MATCH($A435,Mitigation_Industry!$H:$H,0))</f>
        <v>0.109483973304471</v>
      </c>
      <c r="AA435" s="22" t="n">
        <f aca="false">INDEX(Mitigation_Industry!AA:AA,MATCH($A435,Mitigation_Industry!$H:$H,0))</f>
        <v>0.10839192105294</v>
      </c>
      <c r="AB435" s="22" t="n">
        <f aca="false">INDEX(Mitigation_Industry!AB:AB,MATCH($A435,Mitigation_Industry!$H:$H,0))</f>
        <v>0.107354433626704</v>
      </c>
      <c r="AC435" s="22" t="n">
        <f aca="false">INDEX(Mitigation_Industry!AC:AC,MATCH($A435,Mitigation_Industry!$H:$H,0))</f>
        <v>0.105168675441661</v>
      </c>
      <c r="AD435" s="22" t="n">
        <f aca="false">INDEX(Mitigation_Industry!AD:AD,MATCH($A435,Mitigation_Industry!$H:$H,0))</f>
        <v>0.103057983256008</v>
      </c>
      <c r="AE435" s="22" t="n">
        <f aca="false">INDEX(Mitigation_Industry!AE:AE,MATCH($A435,Mitigation_Industry!$H:$H,0))</f>
        <v>0.100931838990114</v>
      </c>
    </row>
    <row r="436" customFormat="false" ht="15" hidden="false" customHeight="false" outlineLevel="0" collapsed="false">
      <c r="A436" s="35" t="s">
        <v>1274</v>
      </c>
      <c r="B436" s="6" t="s">
        <v>73</v>
      </c>
      <c r="C436" s="6" t="s">
        <v>121</v>
      </c>
      <c r="D436" s="6" t="n">
        <v>1</v>
      </c>
      <c r="E436" s="2" t="s">
        <v>1167</v>
      </c>
      <c r="F436" s="40" t="n">
        <f aca="false">MAX(MAX(L436:AE436),-MIN(L436:AE436))</f>
        <v>-0</v>
      </c>
      <c r="K436" s="41" t="n">
        <f aca="false">IF(ISNUMBER(K434),IF(ISNUMBER(K435),K435-K434,999999),0)</f>
        <v>0</v>
      </c>
      <c r="L436" s="41" t="n">
        <f aca="false">IF(ISNUMBER(L434),IF(ISNUMBER(L435),L435-L434,999999),0)</f>
        <v>0</v>
      </c>
      <c r="M436" s="41" t="n">
        <f aca="false">IF(ISNUMBER(M434),IF(ISNUMBER(M435),M435-M434,999999),0)</f>
        <v>0</v>
      </c>
      <c r="N436" s="41" t="n">
        <f aca="false">IF(ISNUMBER(N434),IF(ISNUMBER(N435),N435-N434,999999),0)</f>
        <v>0</v>
      </c>
      <c r="O436" s="41" t="n">
        <f aca="false">IF(ISNUMBER(O434),IF(ISNUMBER(O435),O435-O434,999999),0)</f>
        <v>0</v>
      </c>
      <c r="P436" s="41" t="n">
        <f aca="false">IF(ISNUMBER(P434),IF(ISNUMBER(P435),P435-P434,999999),0)</f>
        <v>0</v>
      </c>
      <c r="Q436" s="41" t="n">
        <f aca="false">IF(ISNUMBER(Q434),IF(ISNUMBER(Q435),Q435-Q434,999999),0)</f>
        <v>0</v>
      </c>
      <c r="R436" s="41" t="n">
        <f aca="false">IF(ISNUMBER(R434),IF(ISNUMBER(R435),R435-R434,999999),0)</f>
        <v>0</v>
      </c>
      <c r="S436" s="41" t="n">
        <f aca="false">IF(ISNUMBER(S434),IF(ISNUMBER(S435),S435-S434,999999),0)</f>
        <v>0</v>
      </c>
      <c r="T436" s="41" t="n">
        <f aca="false">IF(ISNUMBER(T434),IF(ISNUMBER(T435),T435-T434,999999),0)</f>
        <v>0</v>
      </c>
      <c r="U436" s="41" t="n">
        <f aca="false">IF(ISNUMBER(U434),IF(ISNUMBER(U435),U435-U434,999999),0)</f>
        <v>0</v>
      </c>
      <c r="V436" s="41" t="n">
        <f aca="false">IF(ISNUMBER(V434),IF(ISNUMBER(V435),V435-V434,999999),0)</f>
        <v>0</v>
      </c>
      <c r="W436" s="41" t="n">
        <f aca="false">IF(ISNUMBER(W434),IF(ISNUMBER(W435),W435-W434,999999),0)</f>
        <v>0</v>
      </c>
      <c r="X436" s="41" t="n">
        <f aca="false">IF(ISNUMBER(X434),IF(ISNUMBER(X435),X435-X434,999999),0)</f>
        <v>0</v>
      </c>
      <c r="Y436" s="41" t="n">
        <f aca="false">IF(ISNUMBER(Y434),IF(ISNUMBER(Y435),Y435-Y434,999999),0)</f>
        <v>0</v>
      </c>
      <c r="Z436" s="41" t="n">
        <f aca="false">IF(ISNUMBER(Z434),IF(ISNUMBER(Z435),Z435-Z434,999999),0)</f>
        <v>0</v>
      </c>
      <c r="AA436" s="41" t="n">
        <f aca="false">IF(ISNUMBER(AA434),IF(ISNUMBER(AA435),AA435-AA434,999999),0)</f>
        <v>0</v>
      </c>
      <c r="AB436" s="41" t="n">
        <f aca="false">IF(ISNUMBER(AB434),IF(ISNUMBER(AB435),AB435-AB434,999999),0)</f>
        <v>0</v>
      </c>
      <c r="AC436" s="41" t="n">
        <f aca="false">IF(ISNUMBER(AC434),IF(ISNUMBER(AC435),AC435-AC434,999999),0)</f>
        <v>0</v>
      </c>
      <c r="AD436" s="41" t="n">
        <f aca="false">IF(ISNUMBER(AD434),IF(ISNUMBER(AD435),AD435-AD434,999999),0)</f>
        <v>0</v>
      </c>
      <c r="AE436" s="41" t="n">
        <f aca="false">IF(ISNUMBER(AE434),IF(ISNUMBER(AE435),AE435-AE434,999999),0)</f>
        <v>0</v>
      </c>
    </row>
    <row r="438" customFormat="false" ht="15" hidden="false" customHeight="false" outlineLevel="0" collapsed="false">
      <c r="A438" s="35" t="s">
        <v>1275</v>
      </c>
      <c r="B438" s="6" t="s">
        <v>53</v>
      </c>
      <c r="C438" s="6" t="s">
        <v>47</v>
      </c>
      <c r="D438" s="6" t="n">
        <v>2</v>
      </c>
      <c r="E438" s="6" t="s">
        <v>1165</v>
      </c>
      <c r="K438" s="22"/>
      <c r="L438" s="22" t="n">
        <v>10.5233613454312</v>
      </c>
      <c r="M438" s="22" t="n">
        <v>10.2995608274442</v>
      </c>
      <c r="N438" s="22" t="n">
        <v>9.57752835953826</v>
      </c>
      <c r="O438" s="22" t="n">
        <v>8.48547828695805</v>
      </c>
      <c r="P438" s="22" t="n">
        <v>9.08719223524986</v>
      </c>
      <c r="Q438" s="22" t="n">
        <v>10.4729237289327</v>
      </c>
      <c r="R438" s="22" t="n">
        <v>11.6585649555097</v>
      </c>
      <c r="S438" s="22" t="n">
        <v>12.8395478773974</v>
      </c>
      <c r="T438" s="22" t="n">
        <v>14.0156816660228</v>
      </c>
      <c r="U438" s="22" t="n">
        <v>15.1943977655571</v>
      </c>
      <c r="V438" s="22" t="n">
        <v>16.4443977655571</v>
      </c>
      <c r="W438" s="22" t="n">
        <v>17.6943977655571</v>
      </c>
      <c r="X438" s="22" t="n">
        <v>18.9443977655571</v>
      </c>
      <c r="Y438" s="22" t="n">
        <v>20.1943977655571</v>
      </c>
      <c r="Z438" s="22" t="n">
        <v>21.4443977655571</v>
      </c>
      <c r="AA438" s="22" t="n">
        <v>22.6943977655571</v>
      </c>
      <c r="AB438" s="22" t="n">
        <v>23.9443977655571</v>
      </c>
      <c r="AC438" s="22" t="n">
        <v>25.1943977655571</v>
      </c>
      <c r="AD438" s="22" t="n">
        <v>26.4443977655571</v>
      </c>
      <c r="AE438" s="22" t="n">
        <v>27.6943977655571</v>
      </c>
    </row>
    <row r="439" customFormat="false" ht="15" hidden="false" customHeight="false" outlineLevel="0" collapsed="false">
      <c r="A439" s="35" t="s">
        <v>1275</v>
      </c>
      <c r="B439" s="6" t="s">
        <v>53</v>
      </c>
      <c r="C439" s="6" t="s">
        <v>47</v>
      </c>
      <c r="D439" s="6" t="n">
        <v>2</v>
      </c>
      <c r="E439" s="6" t="s">
        <v>1166</v>
      </c>
      <c r="K439" s="22" t="n">
        <f aca="false">INDEX(Mitigation_Industry!K:K,MATCH($A439,Mitigation_Industry!$H:$H,0))</f>
        <v>11.1829015892439</v>
      </c>
      <c r="L439" s="22" t="n">
        <f aca="false">INDEX(Mitigation_Industry!L:L,MATCH($A439,Mitigation_Industry!$H:$H,0))</f>
        <v>10.5233613454312</v>
      </c>
      <c r="M439" s="22" t="n">
        <f aca="false">INDEX(Mitigation_Industry!M:M,MATCH($A439,Mitigation_Industry!$H:$H,0))</f>
        <v>10.2995608274442</v>
      </c>
      <c r="N439" s="22" t="n">
        <f aca="false">INDEX(Mitigation_Industry!N:N,MATCH($A439,Mitigation_Industry!$H:$H,0))</f>
        <v>9.57752835953826</v>
      </c>
      <c r="O439" s="22" t="n">
        <f aca="false">INDEX(Mitigation_Industry!O:O,MATCH($A439,Mitigation_Industry!$H:$H,0))</f>
        <v>8.48547828695805</v>
      </c>
      <c r="P439" s="22" t="n">
        <f aca="false">INDEX(Mitigation_Industry!P:P,MATCH($A439,Mitigation_Industry!$H:$H,0))</f>
        <v>9.08719223524986</v>
      </c>
      <c r="Q439" s="22" t="n">
        <f aca="false">INDEX(Mitigation_Industry!Q:Q,MATCH($A439,Mitigation_Industry!$H:$H,0))</f>
        <v>10.4729237289327</v>
      </c>
      <c r="R439" s="22" t="n">
        <f aca="false">INDEX(Mitigation_Industry!R:R,MATCH($A439,Mitigation_Industry!$H:$H,0))</f>
        <v>11.6585649555097</v>
      </c>
      <c r="S439" s="22" t="n">
        <f aca="false">INDEX(Mitigation_Industry!S:S,MATCH($A439,Mitigation_Industry!$H:$H,0))</f>
        <v>12.8395478773974</v>
      </c>
      <c r="T439" s="22" t="n">
        <f aca="false">INDEX(Mitigation_Industry!T:T,MATCH($A439,Mitigation_Industry!$H:$H,0))</f>
        <v>14.0156816660228</v>
      </c>
      <c r="U439" s="22" t="n">
        <f aca="false">INDEX(Mitigation_Industry!U:U,MATCH($A439,Mitigation_Industry!$H:$H,0))</f>
        <v>15.1943977655571</v>
      </c>
      <c r="V439" s="22" t="n">
        <f aca="false">INDEX(Mitigation_Industry!V:V,MATCH($A439,Mitigation_Industry!$H:$H,0))</f>
        <v>16.4443977655571</v>
      </c>
      <c r="W439" s="22" t="n">
        <f aca="false">INDEX(Mitigation_Industry!W:W,MATCH($A439,Mitigation_Industry!$H:$H,0))</f>
        <v>17.6943977655571</v>
      </c>
      <c r="X439" s="22" t="n">
        <f aca="false">INDEX(Mitigation_Industry!X:X,MATCH($A439,Mitigation_Industry!$H:$H,0))</f>
        <v>18.9443977655571</v>
      </c>
      <c r="Y439" s="22" t="n">
        <f aca="false">INDEX(Mitigation_Industry!Y:Y,MATCH($A439,Mitigation_Industry!$H:$H,0))</f>
        <v>20.1943977655571</v>
      </c>
      <c r="Z439" s="22" t="n">
        <f aca="false">INDEX(Mitigation_Industry!Z:Z,MATCH($A439,Mitigation_Industry!$H:$H,0))</f>
        <v>21.4443977655571</v>
      </c>
      <c r="AA439" s="22" t="n">
        <f aca="false">INDEX(Mitigation_Industry!AA:AA,MATCH($A439,Mitigation_Industry!$H:$H,0))</f>
        <v>22.6943977655571</v>
      </c>
      <c r="AB439" s="22" t="n">
        <f aca="false">INDEX(Mitigation_Industry!AB:AB,MATCH($A439,Mitigation_Industry!$H:$H,0))</f>
        <v>23.9443977655571</v>
      </c>
      <c r="AC439" s="22" t="n">
        <f aca="false">INDEX(Mitigation_Industry!AC:AC,MATCH($A439,Mitigation_Industry!$H:$H,0))</f>
        <v>25.1943977655571</v>
      </c>
      <c r="AD439" s="22" t="n">
        <f aca="false">INDEX(Mitigation_Industry!AD:AD,MATCH($A439,Mitigation_Industry!$H:$H,0))</f>
        <v>26.4443977655571</v>
      </c>
      <c r="AE439" s="22" t="n">
        <f aca="false">INDEX(Mitigation_Industry!AE:AE,MATCH($A439,Mitigation_Industry!$H:$H,0))</f>
        <v>27.6943977655571</v>
      </c>
    </row>
    <row r="440" customFormat="false" ht="15" hidden="false" customHeight="false" outlineLevel="0" collapsed="false">
      <c r="A440" s="35" t="s">
        <v>1275</v>
      </c>
      <c r="B440" s="6" t="s">
        <v>53</v>
      </c>
      <c r="C440" s="6" t="s">
        <v>47</v>
      </c>
      <c r="D440" s="6" t="n">
        <v>2</v>
      </c>
      <c r="E440" s="2" t="s">
        <v>1167</v>
      </c>
      <c r="F440" s="40" t="n">
        <f aca="false">MAX(MAX(L440:AE440),-MIN(L440:AE440))</f>
        <v>-0</v>
      </c>
      <c r="K440" s="41" t="n">
        <f aca="false">IF(ISNUMBER(K438),IF(ISNUMBER(K439),K439-K438,999999),0)</f>
        <v>0</v>
      </c>
      <c r="L440" s="41" t="n">
        <f aca="false">IF(ISNUMBER(L438),IF(ISNUMBER(L439),L439-L438,999999),0)</f>
        <v>0</v>
      </c>
      <c r="M440" s="41" t="n">
        <f aca="false">IF(ISNUMBER(M438),IF(ISNUMBER(M439),M439-M438,999999),0)</f>
        <v>0</v>
      </c>
      <c r="N440" s="41" t="n">
        <f aca="false">IF(ISNUMBER(N438),IF(ISNUMBER(N439),N439-N438,999999),0)</f>
        <v>0</v>
      </c>
      <c r="O440" s="41" t="n">
        <f aca="false">IF(ISNUMBER(O438),IF(ISNUMBER(O439),O439-O438,999999),0)</f>
        <v>0</v>
      </c>
      <c r="P440" s="41" t="n">
        <f aca="false">IF(ISNUMBER(P438),IF(ISNUMBER(P439),P439-P438,999999),0)</f>
        <v>0</v>
      </c>
      <c r="Q440" s="41" t="n">
        <f aca="false">IF(ISNUMBER(Q438),IF(ISNUMBER(Q439),Q439-Q438,999999),0)</f>
        <v>0</v>
      </c>
      <c r="R440" s="41" t="n">
        <f aca="false">IF(ISNUMBER(R438),IF(ISNUMBER(R439),R439-R438,999999),0)</f>
        <v>0</v>
      </c>
      <c r="S440" s="41" t="n">
        <f aca="false">IF(ISNUMBER(S438),IF(ISNUMBER(S439),S439-S438,999999),0)</f>
        <v>0</v>
      </c>
      <c r="T440" s="41" t="n">
        <f aca="false">IF(ISNUMBER(T438),IF(ISNUMBER(T439),T439-T438,999999),0)</f>
        <v>0</v>
      </c>
      <c r="U440" s="41" t="n">
        <f aca="false">IF(ISNUMBER(U438),IF(ISNUMBER(U439),U439-U438,999999),0)</f>
        <v>0</v>
      </c>
      <c r="V440" s="41" t="n">
        <f aca="false">IF(ISNUMBER(V438),IF(ISNUMBER(V439),V439-V438,999999),0)</f>
        <v>0</v>
      </c>
      <c r="W440" s="41" t="n">
        <f aca="false">IF(ISNUMBER(W438),IF(ISNUMBER(W439),W439-W438,999999),0)</f>
        <v>0</v>
      </c>
      <c r="X440" s="41" t="n">
        <f aca="false">IF(ISNUMBER(X438),IF(ISNUMBER(X439),X439-X438,999999),0)</f>
        <v>0</v>
      </c>
      <c r="Y440" s="41" t="n">
        <f aca="false">IF(ISNUMBER(Y438),IF(ISNUMBER(Y439),Y439-Y438,999999),0)</f>
        <v>0</v>
      </c>
      <c r="Z440" s="41" t="n">
        <f aca="false">IF(ISNUMBER(Z438),IF(ISNUMBER(Z439),Z439-Z438,999999),0)</f>
        <v>0</v>
      </c>
      <c r="AA440" s="41" t="n">
        <f aca="false">IF(ISNUMBER(AA438),IF(ISNUMBER(AA439),AA439-AA438,999999),0)</f>
        <v>0</v>
      </c>
      <c r="AB440" s="41" t="n">
        <f aca="false">IF(ISNUMBER(AB438),IF(ISNUMBER(AB439),AB439-AB438,999999),0)</f>
        <v>0</v>
      </c>
      <c r="AC440" s="41" t="n">
        <f aca="false">IF(ISNUMBER(AC438),IF(ISNUMBER(AC439),AC439-AC438,999999),0)</f>
        <v>0</v>
      </c>
      <c r="AD440" s="41" t="n">
        <f aca="false">IF(ISNUMBER(AD438),IF(ISNUMBER(AD439),AD439-AD438,999999),0)</f>
        <v>0</v>
      </c>
      <c r="AE440" s="41" t="n">
        <f aca="false">IF(ISNUMBER(AE438),IF(ISNUMBER(AE439),AE439-AE438,999999),0)</f>
        <v>0</v>
      </c>
    </row>
    <row r="442" customFormat="false" ht="15" hidden="false" customHeight="false" outlineLevel="0" collapsed="false">
      <c r="A442" s="35" t="s">
        <v>1276</v>
      </c>
      <c r="B442" s="6" t="s">
        <v>57</v>
      </c>
      <c r="C442" s="6" t="s">
        <v>47</v>
      </c>
      <c r="D442" s="6" t="n">
        <v>2</v>
      </c>
      <c r="E442" s="6" t="s">
        <v>1165</v>
      </c>
      <c r="K442" s="22"/>
      <c r="L442" s="22" t="n">
        <v>5.45101508161919</v>
      </c>
      <c r="M442" s="22" t="n">
        <v>5.11935630626248</v>
      </c>
      <c r="N442" s="22" t="n">
        <v>5.08218458640407</v>
      </c>
      <c r="O442" s="22" t="n">
        <v>5.08218458640407</v>
      </c>
      <c r="P442" s="22" t="n">
        <v>5.08218458640407</v>
      </c>
      <c r="Q442" s="22" t="n">
        <v>5.77968458640407</v>
      </c>
      <c r="R442" s="22" t="n">
        <v>6.47718458640407</v>
      </c>
      <c r="S442" s="22" t="n">
        <v>7.17468458640407</v>
      </c>
      <c r="T442" s="22" t="n">
        <v>7.87218458640407</v>
      </c>
      <c r="U442" s="22" t="n">
        <v>8.56968458640407</v>
      </c>
      <c r="V442" s="22" t="n">
        <v>9.26718458640407</v>
      </c>
      <c r="W442" s="22" t="n">
        <v>9.96468458640407</v>
      </c>
      <c r="X442" s="22" t="n">
        <v>10.6621845864041</v>
      </c>
      <c r="Y442" s="22" t="n">
        <v>11.3596845864041</v>
      </c>
      <c r="Z442" s="22" t="n">
        <v>12.0571845864041</v>
      </c>
      <c r="AA442" s="22" t="n">
        <v>12.7546845864041</v>
      </c>
      <c r="AB442" s="22" t="n">
        <v>13.4521845864041</v>
      </c>
      <c r="AC442" s="22" t="n">
        <v>14.1496845864041</v>
      </c>
      <c r="AD442" s="22" t="n">
        <v>14.8471845864041</v>
      </c>
      <c r="AE442" s="22" t="n">
        <v>15.5446845864041</v>
      </c>
    </row>
    <row r="443" customFormat="false" ht="15" hidden="false" customHeight="false" outlineLevel="0" collapsed="false">
      <c r="A443" s="35" t="s">
        <v>1276</v>
      </c>
      <c r="B443" s="6" t="s">
        <v>57</v>
      </c>
      <c r="C443" s="6" t="s">
        <v>47</v>
      </c>
      <c r="D443" s="6" t="n">
        <v>2</v>
      </c>
      <c r="E443" s="6" t="s">
        <v>1166</v>
      </c>
      <c r="K443" s="22" t="n">
        <f aca="false">INDEX(Mitigation_Industry!K:K,MATCH($A443,Mitigation_Industry!$H:$H,0))</f>
        <v>6.06346361567291</v>
      </c>
      <c r="L443" s="22" t="n">
        <f aca="false">INDEX(Mitigation_Industry!L:L,MATCH($A443,Mitigation_Industry!$H:$H,0))</f>
        <v>5.45101508161919</v>
      </c>
      <c r="M443" s="22" t="n">
        <f aca="false">INDEX(Mitigation_Industry!M:M,MATCH($A443,Mitigation_Industry!$H:$H,0))</f>
        <v>5.11935630626248</v>
      </c>
      <c r="N443" s="22" t="n">
        <f aca="false">INDEX(Mitigation_Industry!N:N,MATCH($A443,Mitigation_Industry!$H:$H,0))</f>
        <v>5.08218458640407</v>
      </c>
      <c r="O443" s="22" t="n">
        <f aca="false">INDEX(Mitigation_Industry!O:O,MATCH($A443,Mitigation_Industry!$H:$H,0))</f>
        <v>5.08218458640407</v>
      </c>
      <c r="P443" s="22" t="n">
        <f aca="false">INDEX(Mitigation_Industry!P:P,MATCH($A443,Mitigation_Industry!$H:$H,0))</f>
        <v>5.08218458640407</v>
      </c>
      <c r="Q443" s="22" t="n">
        <f aca="false">INDEX(Mitigation_Industry!Q:Q,MATCH($A443,Mitigation_Industry!$H:$H,0))</f>
        <v>5.77968458640407</v>
      </c>
      <c r="R443" s="22" t="n">
        <f aca="false">INDEX(Mitigation_Industry!R:R,MATCH($A443,Mitigation_Industry!$H:$H,0))</f>
        <v>6.47718458640407</v>
      </c>
      <c r="S443" s="22" t="n">
        <f aca="false">INDEX(Mitigation_Industry!S:S,MATCH($A443,Mitigation_Industry!$H:$H,0))</f>
        <v>7.17468458640407</v>
      </c>
      <c r="T443" s="22" t="n">
        <f aca="false">INDEX(Mitigation_Industry!T:T,MATCH($A443,Mitigation_Industry!$H:$H,0))</f>
        <v>7.87218458640407</v>
      </c>
      <c r="U443" s="22" t="n">
        <f aca="false">INDEX(Mitigation_Industry!U:U,MATCH($A443,Mitigation_Industry!$H:$H,0))</f>
        <v>8.56968458640407</v>
      </c>
      <c r="V443" s="22" t="n">
        <f aca="false">INDEX(Mitigation_Industry!V:V,MATCH($A443,Mitigation_Industry!$H:$H,0))</f>
        <v>9.26718458640407</v>
      </c>
      <c r="W443" s="22" t="n">
        <f aca="false">INDEX(Mitigation_Industry!W:W,MATCH($A443,Mitigation_Industry!$H:$H,0))</f>
        <v>9.96468458640407</v>
      </c>
      <c r="X443" s="22" t="n">
        <f aca="false">INDEX(Mitigation_Industry!X:X,MATCH($A443,Mitigation_Industry!$H:$H,0))</f>
        <v>10.6621845864041</v>
      </c>
      <c r="Y443" s="22" t="n">
        <f aca="false">INDEX(Mitigation_Industry!Y:Y,MATCH($A443,Mitigation_Industry!$H:$H,0))</f>
        <v>11.3596845864041</v>
      </c>
      <c r="Z443" s="22" t="n">
        <f aca="false">INDEX(Mitigation_Industry!Z:Z,MATCH($A443,Mitigation_Industry!$H:$H,0))</f>
        <v>12.0571845864041</v>
      </c>
      <c r="AA443" s="22" t="n">
        <f aca="false">INDEX(Mitigation_Industry!AA:AA,MATCH($A443,Mitigation_Industry!$H:$H,0))</f>
        <v>12.7546845864041</v>
      </c>
      <c r="AB443" s="22" t="n">
        <f aca="false">INDEX(Mitigation_Industry!AB:AB,MATCH($A443,Mitigation_Industry!$H:$H,0))</f>
        <v>13.4521845864041</v>
      </c>
      <c r="AC443" s="22" t="n">
        <f aca="false">INDEX(Mitigation_Industry!AC:AC,MATCH($A443,Mitigation_Industry!$H:$H,0))</f>
        <v>14.1496845864041</v>
      </c>
      <c r="AD443" s="22" t="n">
        <f aca="false">INDEX(Mitigation_Industry!AD:AD,MATCH($A443,Mitigation_Industry!$H:$H,0))</f>
        <v>14.8471845864041</v>
      </c>
      <c r="AE443" s="22" t="n">
        <f aca="false">INDEX(Mitigation_Industry!AE:AE,MATCH($A443,Mitigation_Industry!$H:$H,0))</f>
        <v>15.5446845864041</v>
      </c>
    </row>
    <row r="444" customFormat="false" ht="15" hidden="false" customHeight="false" outlineLevel="0" collapsed="false">
      <c r="A444" s="35" t="s">
        <v>1276</v>
      </c>
      <c r="B444" s="6" t="s">
        <v>57</v>
      </c>
      <c r="C444" s="6" t="s">
        <v>47</v>
      </c>
      <c r="D444" s="6" t="n">
        <v>2</v>
      </c>
      <c r="E444" s="2" t="s">
        <v>1167</v>
      </c>
      <c r="F444" s="40" t="n">
        <f aca="false">MAX(MAX(L444:AE444),-MIN(L444:AE444))</f>
        <v>-0</v>
      </c>
      <c r="K444" s="41" t="n">
        <f aca="false">IF(ISNUMBER(K442),IF(ISNUMBER(K443),K443-K442,999999),0)</f>
        <v>0</v>
      </c>
      <c r="L444" s="41" t="n">
        <f aca="false">IF(ISNUMBER(L442),IF(ISNUMBER(L443),L443-L442,999999),0)</f>
        <v>0</v>
      </c>
      <c r="M444" s="41" t="n">
        <f aca="false">IF(ISNUMBER(M442),IF(ISNUMBER(M443),M443-M442,999999),0)</f>
        <v>0</v>
      </c>
      <c r="N444" s="41" t="n">
        <f aca="false">IF(ISNUMBER(N442),IF(ISNUMBER(N443),N443-N442,999999),0)</f>
        <v>0</v>
      </c>
      <c r="O444" s="41" t="n">
        <f aca="false">IF(ISNUMBER(O442),IF(ISNUMBER(O443),O443-O442,999999),0)</f>
        <v>0</v>
      </c>
      <c r="P444" s="41" t="n">
        <f aca="false">IF(ISNUMBER(P442),IF(ISNUMBER(P443),P443-P442,999999),0)</f>
        <v>0</v>
      </c>
      <c r="Q444" s="41" t="n">
        <f aca="false">IF(ISNUMBER(Q442),IF(ISNUMBER(Q443),Q443-Q442,999999),0)</f>
        <v>0</v>
      </c>
      <c r="R444" s="41" t="n">
        <f aca="false">IF(ISNUMBER(R442),IF(ISNUMBER(R443),R443-R442,999999),0)</f>
        <v>0</v>
      </c>
      <c r="S444" s="41" t="n">
        <f aca="false">IF(ISNUMBER(S442),IF(ISNUMBER(S443),S443-S442,999999),0)</f>
        <v>0</v>
      </c>
      <c r="T444" s="41" t="n">
        <f aca="false">IF(ISNUMBER(T442),IF(ISNUMBER(T443),T443-T442,999999),0)</f>
        <v>0</v>
      </c>
      <c r="U444" s="41" t="n">
        <f aca="false">IF(ISNUMBER(U442),IF(ISNUMBER(U443),U443-U442,999999),0)</f>
        <v>0</v>
      </c>
      <c r="V444" s="41" t="n">
        <f aca="false">IF(ISNUMBER(V442),IF(ISNUMBER(V443),V443-V442,999999),0)</f>
        <v>0</v>
      </c>
      <c r="W444" s="41" t="n">
        <f aca="false">IF(ISNUMBER(W442),IF(ISNUMBER(W443),W443-W442,999999),0)</f>
        <v>0</v>
      </c>
      <c r="X444" s="41" t="n">
        <f aca="false">IF(ISNUMBER(X442),IF(ISNUMBER(X443),X443-X442,999999),0)</f>
        <v>0</v>
      </c>
      <c r="Y444" s="41" t="n">
        <f aca="false">IF(ISNUMBER(Y442),IF(ISNUMBER(Y443),Y443-Y442,999999),0)</f>
        <v>0</v>
      </c>
      <c r="Z444" s="41" t="n">
        <f aca="false">IF(ISNUMBER(Z442),IF(ISNUMBER(Z443),Z443-Z442,999999),0)</f>
        <v>0</v>
      </c>
      <c r="AA444" s="41" t="n">
        <f aca="false">IF(ISNUMBER(AA442),IF(ISNUMBER(AA443),AA443-AA442,999999),0)</f>
        <v>0</v>
      </c>
      <c r="AB444" s="41" t="n">
        <f aca="false">IF(ISNUMBER(AB442),IF(ISNUMBER(AB443),AB443-AB442,999999),0)</f>
        <v>0</v>
      </c>
      <c r="AC444" s="41" t="n">
        <f aca="false">IF(ISNUMBER(AC442),IF(ISNUMBER(AC443),AC443-AC442,999999),0)</f>
        <v>0</v>
      </c>
      <c r="AD444" s="41" t="n">
        <f aca="false">IF(ISNUMBER(AD442),IF(ISNUMBER(AD443),AD443-AD442,999999),0)</f>
        <v>0</v>
      </c>
      <c r="AE444" s="41" t="n">
        <f aca="false">IF(ISNUMBER(AE442),IF(ISNUMBER(AE443),AE443-AE442,999999),0)</f>
        <v>0</v>
      </c>
    </row>
    <row r="446" customFormat="false" ht="15" hidden="false" customHeight="false" outlineLevel="0" collapsed="false">
      <c r="A446" s="35" t="s">
        <v>1277</v>
      </c>
      <c r="B446" s="6" t="s">
        <v>59</v>
      </c>
      <c r="C446" s="6" t="s">
        <v>47</v>
      </c>
      <c r="D446" s="6" t="n">
        <v>2</v>
      </c>
      <c r="E446" s="6" t="s">
        <v>1165</v>
      </c>
      <c r="K446" s="22"/>
      <c r="L446" s="22" t="n">
        <v>0.611977976791406</v>
      </c>
      <c r="M446" s="22" t="n">
        <v>0.611809749641876</v>
      </c>
      <c r="N446" s="22" t="n">
        <v>0.603583100177906</v>
      </c>
      <c r="O446" s="22" t="n">
        <v>0.603583100177906</v>
      </c>
      <c r="P446" s="22" t="n">
        <v>0.603583100177906</v>
      </c>
      <c r="Q446" s="22" t="n">
        <v>0.632510943349406</v>
      </c>
      <c r="R446" s="22" t="n">
        <v>0.661438786520906</v>
      </c>
      <c r="S446" s="22" t="n">
        <v>0.690366629692406</v>
      </c>
      <c r="T446" s="22" t="n">
        <v>0.719294472863906</v>
      </c>
      <c r="U446" s="22" t="n">
        <v>0.748222316035406</v>
      </c>
      <c r="V446" s="22" t="n">
        <v>0.777150159206906</v>
      </c>
      <c r="W446" s="22" t="n">
        <v>0.806078002378406</v>
      </c>
      <c r="X446" s="22" t="n">
        <v>0.835005845549906</v>
      </c>
      <c r="Y446" s="22" t="n">
        <v>0.863933688721406</v>
      </c>
      <c r="Z446" s="22" t="n">
        <v>0.892861531892906</v>
      </c>
      <c r="AA446" s="22" t="n">
        <v>0.921789375064406</v>
      </c>
      <c r="AB446" s="22" t="n">
        <v>0.950717218235906</v>
      </c>
      <c r="AC446" s="22" t="n">
        <v>0.979645061407406</v>
      </c>
      <c r="AD446" s="22" t="n">
        <v>1.00857290457891</v>
      </c>
      <c r="AE446" s="22" t="n">
        <v>1.03750074775041</v>
      </c>
    </row>
    <row r="447" customFormat="false" ht="15" hidden="false" customHeight="false" outlineLevel="0" collapsed="false">
      <c r="A447" s="35" t="s">
        <v>1277</v>
      </c>
      <c r="B447" s="6" t="s">
        <v>59</v>
      </c>
      <c r="C447" s="6" t="s">
        <v>47</v>
      </c>
      <c r="D447" s="6" t="n">
        <v>2</v>
      </c>
      <c r="E447" s="6" t="s">
        <v>1166</v>
      </c>
      <c r="K447" s="22" t="n">
        <f aca="false">INDEX(Mitigation_Industry!K:K,MATCH($A447,Mitigation_Industry!$H:$H,0))</f>
        <v>0.671146533321816</v>
      </c>
      <c r="L447" s="22" t="n">
        <f aca="false">INDEX(Mitigation_Industry!L:L,MATCH($A447,Mitigation_Industry!$H:$H,0))</f>
        <v>0.611977976791406</v>
      </c>
      <c r="M447" s="22" t="n">
        <f aca="false">INDEX(Mitigation_Industry!M:M,MATCH($A447,Mitigation_Industry!$H:$H,0))</f>
        <v>0.611809749641876</v>
      </c>
      <c r="N447" s="22" t="n">
        <f aca="false">INDEX(Mitigation_Industry!N:N,MATCH($A447,Mitigation_Industry!$H:$H,0))</f>
        <v>0.603583100177906</v>
      </c>
      <c r="O447" s="22" t="n">
        <f aca="false">INDEX(Mitigation_Industry!O:O,MATCH($A447,Mitigation_Industry!$H:$H,0))</f>
        <v>0.603583100177906</v>
      </c>
      <c r="P447" s="22" t="n">
        <f aca="false">INDEX(Mitigation_Industry!P:P,MATCH($A447,Mitigation_Industry!$H:$H,0))</f>
        <v>0.603583100177906</v>
      </c>
      <c r="Q447" s="22" t="n">
        <f aca="false">INDEX(Mitigation_Industry!Q:Q,MATCH($A447,Mitigation_Industry!$H:$H,0))</f>
        <v>0.632510943349406</v>
      </c>
      <c r="R447" s="22" t="n">
        <f aca="false">INDEX(Mitigation_Industry!R:R,MATCH($A447,Mitigation_Industry!$H:$H,0))</f>
        <v>0.661438786520906</v>
      </c>
      <c r="S447" s="22" t="n">
        <f aca="false">INDEX(Mitigation_Industry!S:S,MATCH($A447,Mitigation_Industry!$H:$H,0))</f>
        <v>0.690366629692406</v>
      </c>
      <c r="T447" s="22" t="n">
        <f aca="false">INDEX(Mitigation_Industry!T:T,MATCH($A447,Mitigation_Industry!$H:$H,0))</f>
        <v>0.719294472863906</v>
      </c>
      <c r="U447" s="22" t="n">
        <f aca="false">INDEX(Mitigation_Industry!U:U,MATCH($A447,Mitigation_Industry!$H:$H,0))</f>
        <v>0.748222316035406</v>
      </c>
      <c r="V447" s="22" t="n">
        <f aca="false">INDEX(Mitigation_Industry!V:V,MATCH($A447,Mitigation_Industry!$H:$H,0))</f>
        <v>0.777150159206905</v>
      </c>
      <c r="W447" s="22" t="n">
        <f aca="false">INDEX(Mitigation_Industry!W:W,MATCH($A447,Mitigation_Industry!$H:$H,0))</f>
        <v>0.806078002378406</v>
      </c>
      <c r="X447" s="22" t="n">
        <f aca="false">INDEX(Mitigation_Industry!X:X,MATCH($A447,Mitigation_Industry!$H:$H,0))</f>
        <v>0.835005845549906</v>
      </c>
      <c r="Y447" s="22" t="n">
        <f aca="false">INDEX(Mitigation_Industry!Y:Y,MATCH($A447,Mitigation_Industry!$H:$H,0))</f>
        <v>0.863933688721406</v>
      </c>
      <c r="Z447" s="22" t="n">
        <f aca="false">INDEX(Mitigation_Industry!Z:Z,MATCH($A447,Mitigation_Industry!$H:$H,0))</f>
        <v>0.892861531892906</v>
      </c>
      <c r="AA447" s="22" t="n">
        <f aca="false">INDEX(Mitigation_Industry!AA:AA,MATCH($A447,Mitigation_Industry!$H:$H,0))</f>
        <v>0.921789375064406</v>
      </c>
      <c r="AB447" s="22" t="n">
        <f aca="false">INDEX(Mitigation_Industry!AB:AB,MATCH($A447,Mitigation_Industry!$H:$H,0))</f>
        <v>0.950717218235906</v>
      </c>
      <c r="AC447" s="22" t="n">
        <f aca="false">INDEX(Mitigation_Industry!AC:AC,MATCH($A447,Mitigation_Industry!$H:$H,0))</f>
        <v>0.979645061407406</v>
      </c>
      <c r="AD447" s="22" t="n">
        <f aca="false">INDEX(Mitigation_Industry!AD:AD,MATCH($A447,Mitigation_Industry!$H:$H,0))</f>
        <v>1.00857290457891</v>
      </c>
      <c r="AE447" s="22" t="n">
        <f aca="false">INDEX(Mitigation_Industry!AE:AE,MATCH($A447,Mitigation_Industry!$H:$H,0))</f>
        <v>1.03750074775041</v>
      </c>
    </row>
    <row r="448" customFormat="false" ht="15" hidden="false" customHeight="false" outlineLevel="0" collapsed="false">
      <c r="A448" s="35" t="s">
        <v>1277</v>
      </c>
      <c r="B448" s="6" t="s">
        <v>59</v>
      </c>
      <c r="C448" s="6" t="s">
        <v>47</v>
      </c>
      <c r="D448" s="6" t="n">
        <v>2</v>
      </c>
      <c r="E448" s="2" t="s">
        <v>1167</v>
      </c>
      <c r="F448" s="40" t="n">
        <f aca="false">MAX(MAX(L448:AE448),-MIN(L448:AE448))</f>
        <v>-0</v>
      </c>
      <c r="K448" s="41" t="n">
        <f aca="false">IF(ISNUMBER(K446),IF(ISNUMBER(K447),K447-K446,999999),0)</f>
        <v>0</v>
      </c>
      <c r="L448" s="41" t="n">
        <f aca="false">IF(ISNUMBER(L446),IF(ISNUMBER(L447),L447-L446,999999),0)</f>
        <v>0</v>
      </c>
      <c r="M448" s="41" t="n">
        <f aca="false">IF(ISNUMBER(M446),IF(ISNUMBER(M447),M447-M446,999999),0)</f>
        <v>0</v>
      </c>
      <c r="N448" s="41" t="n">
        <f aca="false">IF(ISNUMBER(N446),IF(ISNUMBER(N447),N447-N446,999999),0)</f>
        <v>0</v>
      </c>
      <c r="O448" s="41" t="n">
        <f aca="false">IF(ISNUMBER(O446),IF(ISNUMBER(O447),O447-O446,999999),0)</f>
        <v>0</v>
      </c>
      <c r="P448" s="41" t="n">
        <f aca="false">IF(ISNUMBER(P446),IF(ISNUMBER(P447),P447-P446,999999),0)</f>
        <v>0</v>
      </c>
      <c r="Q448" s="41" t="n">
        <f aca="false">IF(ISNUMBER(Q446),IF(ISNUMBER(Q447),Q447-Q446,999999),0)</f>
        <v>0</v>
      </c>
      <c r="R448" s="41" t="n">
        <f aca="false">IF(ISNUMBER(R446),IF(ISNUMBER(R447),R447-R446,999999),0)</f>
        <v>0</v>
      </c>
      <c r="S448" s="41" t="n">
        <f aca="false">IF(ISNUMBER(S446),IF(ISNUMBER(S447),S447-S446,999999),0)</f>
        <v>0</v>
      </c>
      <c r="T448" s="41" t="n">
        <f aca="false">IF(ISNUMBER(T446),IF(ISNUMBER(T447),T447-T446,999999),0)</f>
        <v>0</v>
      </c>
      <c r="U448" s="41" t="n">
        <f aca="false">IF(ISNUMBER(U446),IF(ISNUMBER(U447),U447-U446,999999),0)</f>
        <v>0</v>
      </c>
      <c r="V448" s="41" t="n">
        <f aca="false">IF(ISNUMBER(V446),IF(ISNUMBER(V447),V447-V446,999999),0)</f>
        <v>0</v>
      </c>
      <c r="W448" s="41" t="n">
        <f aca="false">IF(ISNUMBER(W446),IF(ISNUMBER(W447),W447-W446,999999),0)</f>
        <v>0</v>
      </c>
      <c r="X448" s="41" t="n">
        <f aca="false">IF(ISNUMBER(X446),IF(ISNUMBER(X447),X447-X446,999999),0)</f>
        <v>0</v>
      </c>
      <c r="Y448" s="41" t="n">
        <f aca="false">IF(ISNUMBER(Y446),IF(ISNUMBER(Y447),Y447-Y446,999999),0)</f>
        <v>0</v>
      </c>
      <c r="Z448" s="41" t="n">
        <f aca="false">IF(ISNUMBER(Z446),IF(ISNUMBER(Z447),Z447-Z446,999999),0)</f>
        <v>0</v>
      </c>
      <c r="AA448" s="41" t="n">
        <f aca="false">IF(ISNUMBER(AA446),IF(ISNUMBER(AA447),AA447-AA446,999999),0)</f>
        <v>0</v>
      </c>
      <c r="AB448" s="41" t="n">
        <f aca="false">IF(ISNUMBER(AB446),IF(ISNUMBER(AB447),AB447-AB446,999999),0)</f>
        <v>0</v>
      </c>
      <c r="AC448" s="41" t="n">
        <f aca="false">IF(ISNUMBER(AC446),IF(ISNUMBER(AC447),AC447-AC446,999999),0)</f>
        <v>0</v>
      </c>
      <c r="AD448" s="41" t="n">
        <f aca="false">IF(ISNUMBER(AD446),IF(ISNUMBER(AD447),AD447-AD446,999999),0)</f>
        <v>0</v>
      </c>
      <c r="AE448" s="41" t="n">
        <f aca="false">IF(ISNUMBER(AE446),IF(ISNUMBER(AE447),AE447-AE446,999999),0)</f>
        <v>0</v>
      </c>
    </row>
    <row r="450" customFormat="false" ht="15" hidden="false" customHeight="false" outlineLevel="0" collapsed="false">
      <c r="A450" s="35" t="s">
        <v>1278</v>
      </c>
      <c r="B450" s="6" t="s">
        <v>62</v>
      </c>
      <c r="C450" s="6" t="s">
        <v>47</v>
      </c>
      <c r="D450" s="6" t="n">
        <v>2</v>
      </c>
      <c r="E450" s="6" t="s">
        <v>1165</v>
      </c>
      <c r="K450" s="22"/>
      <c r="L450" s="22" t="n">
        <v>0.494588730841068</v>
      </c>
      <c r="M450" s="22" t="n">
        <v>0.507786547202501</v>
      </c>
      <c r="N450" s="22" t="n">
        <v>0.470436426795617</v>
      </c>
      <c r="O450" s="22" t="n">
        <v>0.470436426795617</v>
      </c>
      <c r="P450" s="22" t="n">
        <v>0.470436426795617</v>
      </c>
      <c r="Q450" s="22" t="n">
        <v>0.503446865654492</v>
      </c>
      <c r="R450" s="22" t="n">
        <v>0.536457304513367</v>
      </c>
      <c r="S450" s="22" t="n">
        <v>0.569467743372242</v>
      </c>
      <c r="T450" s="22" t="n">
        <v>0.602478182231117</v>
      </c>
      <c r="U450" s="22" t="n">
        <v>0.635488621089992</v>
      </c>
      <c r="V450" s="22" t="n">
        <v>0.668499059948867</v>
      </c>
      <c r="W450" s="22" t="n">
        <v>0.701509498807742</v>
      </c>
      <c r="X450" s="22" t="n">
        <v>0.734519937666617</v>
      </c>
      <c r="Y450" s="22" t="n">
        <v>0.767530376525492</v>
      </c>
      <c r="Z450" s="22" t="n">
        <v>0.800540815384367</v>
      </c>
      <c r="AA450" s="22" t="n">
        <v>0.833551254243242</v>
      </c>
      <c r="AB450" s="22" t="n">
        <v>0.866561693102117</v>
      </c>
      <c r="AC450" s="22" t="n">
        <v>0.899572131960992</v>
      </c>
      <c r="AD450" s="22" t="n">
        <v>0.932582570819867</v>
      </c>
      <c r="AE450" s="22" t="n">
        <v>0.965593009678742</v>
      </c>
    </row>
    <row r="451" customFormat="false" ht="15" hidden="false" customHeight="false" outlineLevel="0" collapsed="false">
      <c r="A451" s="35" t="s">
        <v>1278</v>
      </c>
      <c r="B451" s="6" t="s">
        <v>62</v>
      </c>
      <c r="C451" s="6" t="s">
        <v>47</v>
      </c>
      <c r="D451" s="6" t="n">
        <v>2</v>
      </c>
      <c r="E451" s="6" t="s">
        <v>1166</v>
      </c>
      <c r="K451" s="22" t="n">
        <f aca="false">INDEX(Mitigation_Industry!K:K,MATCH($A451,Mitigation_Industry!$H:$H,0))</f>
        <v>0.559711213155688</v>
      </c>
      <c r="L451" s="22" t="n">
        <f aca="false">INDEX(Mitigation_Industry!L:L,MATCH($A451,Mitigation_Industry!$H:$H,0))</f>
        <v>0.494588730841068</v>
      </c>
      <c r="M451" s="22" t="n">
        <f aca="false">INDEX(Mitigation_Industry!M:M,MATCH($A451,Mitigation_Industry!$H:$H,0))</f>
        <v>0.507786547202501</v>
      </c>
      <c r="N451" s="22" t="n">
        <f aca="false">INDEX(Mitigation_Industry!N:N,MATCH($A451,Mitigation_Industry!$H:$H,0))</f>
        <v>0.470436426795617</v>
      </c>
      <c r="O451" s="22" t="n">
        <f aca="false">INDEX(Mitigation_Industry!O:O,MATCH($A451,Mitigation_Industry!$H:$H,0))</f>
        <v>0.470436426795617</v>
      </c>
      <c r="P451" s="22" t="n">
        <f aca="false">INDEX(Mitigation_Industry!P:P,MATCH($A451,Mitigation_Industry!$H:$H,0))</f>
        <v>0.470436426795617</v>
      </c>
      <c r="Q451" s="22" t="n">
        <f aca="false">INDEX(Mitigation_Industry!Q:Q,MATCH($A451,Mitigation_Industry!$H:$H,0))</f>
        <v>0.503446865654492</v>
      </c>
      <c r="R451" s="22" t="n">
        <f aca="false">INDEX(Mitigation_Industry!R:R,MATCH($A451,Mitigation_Industry!$H:$H,0))</f>
        <v>0.536457304513367</v>
      </c>
      <c r="S451" s="22" t="n">
        <f aca="false">INDEX(Mitigation_Industry!S:S,MATCH($A451,Mitigation_Industry!$H:$H,0))</f>
        <v>0.569467743372243</v>
      </c>
      <c r="T451" s="22" t="n">
        <f aca="false">INDEX(Mitigation_Industry!T:T,MATCH($A451,Mitigation_Industry!$H:$H,0))</f>
        <v>0.602478182231117</v>
      </c>
      <c r="U451" s="22" t="n">
        <f aca="false">INDEX(Mitigation_Industry!U:U,MATCH($A451,Mitigation_Industry!$H:$H,0))</f>
        <v>0.635488621089992</v>
      </c>
      <c r="V451" s="22" t="n">
        <f aca="false">INDEX(Mitigation_Industry!V:V,MATCH($A451,Mitigation_Industry!$H:$H,0))</f>
        <v>0.668499059948867</v>
      </c>
      <c r="W451" s="22" t="n">
        <f aca="false">INDEX(Mitigation_Industry!W:W,MATCH($A451,Mitigation_Industry!$H:$H,0))</f>
        <v>0.701509498807742</v>
      </c>
      <c r="X451" s="22" t="n">
        <f aca="false">INDEX(Mitigation_Industry!X:X,MATCH($A451,Mitigation_Industry!$H:$H,0))</f>
        <v>0.734519937666617</v>
      </c>
      <c r="Y451" s="22" t="n">
        <f aca="false">INDEX(Mitigation_Industry!Y:Y,MATCH($A451,Mitigation_Industry!$H:$H,0))</f>
        <v>0.767530376525492</v>
      </c>
      <c r="Z451" s="22" t="n">
        <f aca="false">INDEX(Mitigation_Industry!Z:Z,MATCH($A451,Mitigation_Industry!$H:$H,0))</f>
        <v>0.800540815384367</v>
      </c>
      <c r="AA451" s="22" t="n">
        <f aca="false">INDEX(Mitigation_Industry!AA:AA,MATCH($A451,Mitigation_Industry!$H:$H,0))</f>
        <v>0.833551254243242</v>
      </c>
      <c r="AB451" s="22" t="n">
        <f aca="false">INDEX(Mitigation_Industry!AB:AB,MATCH($A451,Mitigation_Industry!$H:$H,0))</f>
        <v>0.866561693102117</v>
      </c>
      <c r="AC451" s="22" t="n">
        <f aca="false">INDEX(Mitigation_Industry!AC:AC,MATCH($A451,Mitigation_Industry!$H:$H,0))</f>
        <v>0.899572131960992</v>
      </c>
      <c r="AD451" s="22" t="n">
        <f aca="false">INDEX(Mitigation_Industry!AD:AD,MATCH($A451,Mitigation_Industry!$H:$H,0))</f>
        <v>0.932582570819867</v>
      </c>
      <c r="AE451" s="22" t="n">
        <f aca="false">INDEX(Mitigation_Industry!AE:AE,MATCH($A451,Mitigation_Industry!$H:$H,0))</f>
        <v>0.965593009678742</v>
      </c>
    </row>
    <row r="452" customFormat="false" ht="15" hidden="false" customHeight="false" outlineLevel="0" collapsed="false">
      <c r="A452" s="35" t="s">
        <v>1278</v>
      </c>
      <c r="B452" s="6" t="s">
        <v>62</v>
      </c>
      <c r="C452" s="6" t="s">
        <v>47</v>
      </c>
      <c r="D452" s="6" t="n">
        <v>2</v>
      </c>
      <c r="E452" s="2" t="s">
        <v>1167</v>
      </c>
      <c r="F452" s="40" t="n">
        <f aca="false">MAX(MAX(L452:AE452),-MIN(L452:AE452))</f>
        <v>-0</v>
      </c>
      <c r="K452" s="41" t="n">
        <f aca="false">IF(ISNUMBER(K450),IF(ISNUMBER(K451),K451-K450,999999),0)</f>
        <v>0</v>
      </c>
      <c r="L452" s="41" t="n">
        <f aca="false">IF(ISNUMBER(L450),IF(ISNUMBER(L451),L451-L450,999999),0)</f>
        <v>0</v>
      </c>
      <c r="M452" s="41" t="n">
        <f aca="false">IF(ISNUMBER(M450),IF(ISNUMBER(M451),M451-M450,999999),0)</f>
        <v>0</v>
      </c>
      <c r="N452" s="41" t="n">
        <f aca="false">IF(ISNUMBER(N450),IF(ISNUMBER(N451),N451-N450,999999),0)</f>
        <v>0</v>
      </c>
      <c r="O452" s="41" t="n">
        <f aca="false">IF(ISNUMBER(O450),IF(ISNUMBER(O451),O451-O450,999999),0)</f>
        <v>0</v>
      </c>
      <c r="P452" s="41" t="n">
        <f aca="false">IF(ISNUMBER(P450),IF(ISNUMBER(P451),P451-P450,999999),0)</f>
        <v>0</v>
      </c>
      <c r="Q452" s="41" t="n">
        <f aca="false">IF(ISNUMBER(Q450),IF(ISNUMBER(Q451),Q451-Q450,999999),0)</f>
        <v>0</v>
      </c>
      <c r="R452" s="41" t="n">
        <f aca="false">IF(ISNUMBER(R450),IF(ISNUMBER(R451),R451-R450,999999),0)</f>
        <v>0</v>
      </c>
      <c r="S452" s="41" t="n">
        <f aca="false">IF(ISNUMBER(S450),IF(ISNUMBER(S451),S451-S450,999999),0)</f>
        <v>0</v>
      </c>
      <c r="T452" s="41" t="n">
        <f aca="false">IF(ISNUMBER(T450),IF(ISNUMBER(T451),T451-T450,999999),0)</f>
        <v>0</v>
      </c>
      <c r="U452" s="41" t="n">
        <f aca="false">IF(ISNUMBER(U450),IF(ISNUMBER(U451),U451-U450,999999),0)</f>
        <v>0</v>
      </c>
      <c r="V452" s="41" t="n">
        <f aca="false">IF(ISNUMBER(V450),IF(ISNUMBER(V451),V451-V450,999999),0)</f>
        <v>0</v>
      </c>
      <c r="W452" s="41" t="n">
        <f aca="false">IF(ISNUMBER(W450),IF(ISNUMBER(W451),W451-W450,999999),0)</f>
        <v>0</v>
      </c>
      <c r="X452" s="41" t="n">
        <f aca="false">IF(ISNUMBER(X450),IF(ISNUMBER(X451),X451-X450,999999),0)</f>
        <v>0</v>
      </c>
      <c r="Y452" s="41" t="n">
        <f aca="false">IF(ISNUMBER(Y450),IF(ISNUMBER(Y451),Y451-Y450,999999),0)</f>
        <v>0</v>
      </c>
      <c r="Z452" s="41" t="n">
        <f aca="false">IF(ISNUMBER(Z450),IF(ISNUMBER(Z451),Z451-Z450,999999),0)</f>
        <v>0</v>
      </c>
      <c r="AA452" s="41" t="n">
        <f aca="false">IF(ISNUMBER(AA450),IF(ISNUMBER(AA451),AA451-AA450,999999),0)</f>
        <v>0</v>
      </c>
      <c r="AB452" s="41" t="n">
        <f aca="false">IF(ISNUMBER(AB450),IF(ISNUMBER(AB451),AB451-AB450,999999),0)</f>
        <v>0</v>
      </c>
      <c r="AC452" s="41" t="n">
        <f aca="false">IF(ISNUMBER(AC450),IF(ISNUMBER(AC451),AC451-AC450,999999),0)</f>
        <v>0</v>
      </c>
      <c r="AD452" s="41" t="n">
        <f aca="false">IF(ISNUMBER(AD450),IF(ISNUMBER(AD451),AD451-AD450,999999),0)</f>
        <v>0</v>
      </c>
      <c r="AE452" s="41" t="n">
        <f aca="false">IF(ISNUMBER(AE450),IF(ISNUMBER(AE451),AE451-AE450,999999),0)</f>
        <v>0</v>
      </c>
    </row>
    <row r="454" customFormat="false" ht="15" hidden="false" customHeight="false" outlineLevel="0" collapsed="false">
      <c r="A454" s="35" t="s">
        <v>1279</v>
      </c>
      <c r="B454" s="6" t="s">
        <v>64</v>
      </c>
      <c r="C454" s="6" t="s">
        <v>47</v>
      </c>
      <c r="D454" s="6" t="n">
        <v>2</v>
      </c>
      <c r="E454" s="6" t="s">
        <v>1165</v>
      </c>
      <c r="K454" s="22"/>
      <c r="L454" s="22" t="n">
        <v>0.157344736252274</v>
      </c>
      <c r="M454" s="22" t="n">
        <v>0.164484037759277</v>
      </c>
      <c r="N454" s="22" t="n">
        <v>0.150709077807049</v>
      </c>
      <c r="O454" s="22" t="n">
        <v>0.150709077807049</v>
      </c>
      <c r="P454" s="22" t="n">
        <v>0.150709077807049</v>
      </c>
      <c r="Q454" s="22" t="n">
        <v>0.172815160734345</v>
      </c>
      <c r="R454" s="22" t="n">
        <v>0.19492124366164</v>
      </c>
      <c r="S454" s="22" t="n">
        <v>0.217027326588936</v>
      </c>
      <c r="T454" s="22" t="n">
        <v>0.239133409516232</v>
      </c>
      <c r="U454" s="22" t="n">
        <v>0.261239492443527</v>
      </c>
      <c r="V454" s="22" t="n">
        <v>0.283345575370823</v>
      </c>
      <c r="W454" s="22" t="n">
        <v>0.305451658298119</v>
      </c>
      <c r="X454" s="22" t="n">
        <v>0.327557741225415</v>
      </c>
      <c r="Y454" s="22" t="n">
        <v>0.34966382415271</v>
      </c>
      <c r="Z454" s="22" t="n">
        <v>0.371769907080006</v>
      </c>
      <c r="AA454" s="22" t="n">
        <v>0.393875990007302</v>
      </c>
      <c r="AB454" s="22" t="n">
        <v>0.415982072934597</v>
      </c>
      <c r="AC454" s="22" t="n">
        <v>0.438088155861893</v>
      </c>
      <c r="AD454" s="22" t="n">
        <v>0.460194238789189</v>
      </c>
      <c r="AE454" s="22" t="n">
        <v>0.482300321716484</v>
      </c>
    </row>
    <row r="455" customFormat="false" ht="15" hidden="false" customHeight="false" outlineLevel="0" collapsed="false">
      <c r="A455" s="35" t="s">
        <v>1279</v>
      </c>
      <c r="B455" s="6" t="s">
        <v>64</v>
      </c>
      <c r="C455" s="6" t="s">
        <v>47</v>
      </c>
      <c r="D455" s="6" t="n">
        <v>2</v>
      </c>
      <c r="E455" s="6" t="s">
        <v>1166</v>
      </c>
      <c r="K455" s="22" t="n">
        <f aca="false">INDEX(Mitigation_Industry!K:K,MATCH($A455,Mitigation_Industry!$H:$H,0))</f>
        <v>0.200366691126738</v>
      </c>
      <c r="L455" s="22" t="n">
        <f aca="false">INDEX(Mitigation_Industry!L:L,MATCH($A455,Mitigation_Industry!$H:$H,0))</f>
        <v>0.157344736252274</v>
      </c>
      <c r="M455" s="22" t="n">
        <f aca="false">INDEX(Mitigation_Industry!M:M,MATCH($A455,Mitigation_Industry!$H:$H,0))</f>
        <v>0.164484037759277</v>
      </c>
      <c r="N455" s="22" t="n">
        <f aca="false">INDEX(Mitigation_Industry!N:N,MATCH($A455,Mitigation_Industry!$H:$H,0))</f>
        <v>0.150709077807049</v>
      </c>
      <c r="O455" s="22" t="n">
        <f aca="false">INDEX(Mitigation_Industry!O:O,MATCH($A455,Mitigation_Industry!$H:$H,0))</f>
        <v>0.150709077807049</v>
      </c>
      <c r="P455" s="22" t="n">
        <f aca="false">INDEX(Mitigation_Industry!P:P,MATCH($A455,Mitigation_Industry!$H:$H,0))</f>
        <v>0.150709077807049</v>
      </c>
      <c r="Q455" s="22" t="n">
        <f aca="false">INDEX(Mitigation_Industry!Q:Q,MATCH($A455,Mitigation_Industry!$H:$H,0))</f>
        <v>0.172815160734345</v>
      </c>
      <c r="R455" s="22" t="n">
        <f aca="false">INDEX(Mitigation_Industry!R:R,MATCH($A455,Mitigation_Industry!$H:$H,0))</f>
        <v>0.19492124366164</v>
      </c>
      <c r="S455" s="22" t="n">
        <f aca="false">INDEX(Mitigation_Industry!S:S,MATCH($A455,Mitigation_Industry!$H:$H,0))</f>
        <v>0.217027326588936</v>
      </c>
      <c r="T455" s="22" t="n">
        <f aca="false">INDEX(Mitigation_Industry!T:T,MATCH($A455,Mitigation_Industry!$H:$H,0))</f>
        <v>0.239133409516232</v>
      </c>
      <c r="U455" s="22" t="n">
        <f aca="false">INDEX(Mitigation_Industry!U:U,MATCH($A455,Mitigation_Industry!$H:$H,0))</f>
        <v>0.261239492443527</v>
      </c>
      <c r="V455" s="22" t="n">
        <f aca="false">INDEX(Mitigation_Industry!V:V,MATCH($A455,Mitigation_Industry!$H:$H,0))</f>
        <v>0.283345575370823</v>
      </c>
      <c r="W455" s="22" t="n">
        <f aca="false">INDEX(Mitigation_Industry!W:W,MATCH($A455,Mitigation_Industry!$H:$H,0))</f>
        <v>0.305451658298119</v>
      </c>
      <c r="X455" s="22" t="n">
        <f aca="false">INDEX(Mitigation_Industry!X:X,MATCH($A455,Mitigation_Industry!$H:$H,0))</f>
        <v>0.327557741225415</v>
      </c>
      <c r="Y455" s="22" t="n">
        <f aca="false">INDEX(Mitigation_Industry!Y:Y,MATCH($A455,Mitigation_Industry!$H:$H,0))</f>
        <v>0.34966382415271</v>
      </c>
      <c r="Z455" s="22" t="n">
        <f aca="false">INDEX(Mitigation_Industry!Z:Z,MATCH($A455,Mitigation_Industry!$H:$H,0))</f>
        <v>0.371769907080006</v>
      </c>
      <c r="AA455" s="22" t="n">
        <f aca="false">INDEX(Mitigation_Industry!AA:AA,MATCH($A455,Mitigation_Industry!$H:$H,0))</f>
        <v>0.393875990007302</v>
      </c>
      <c r="AB455" s="22" t="n">
        <f aca="false">INDEX(Mitigation_Industry!AB:AB,MATCH($A455,Mitigation_Industry!$H:$H,0))</f>
        <v>0.415982072934597</v>
      </c>
      <c r="AC455" s="22" t="n">
        <f aca="false">INDEX(Mitigation_Industry!AC:AC,MATCH($A455,Mitigation_Industry!$H:$H,0))</f>
        <v>0.438088155861893</v>
      </c>
      <c r="AD455" s="22" t="n">
        <f aca="false">INDEX(Mitigation_Industry!AD:AD,MATCH($A455,Mitigation_Industry!$H:$H,0))</f>
        <v>0.460194238789189</v>
      </c>
      <c r="AE455" s="22" t="n">
        <f aca="false">INDEX(Mitigation_Industry!AE:AE,MATCH($A455,Mitigation_Industry!$H:$H,0))</f>
        <v>0.482300321716484</v>
      </c>
    </row>
    <row r="456" customFormat="false" ht="15" hidden="false" customHeight="false" outlineLevel="0" collapsed="false">
      <c r="A456" s="35" t="s">
        <v>1279</v>
      </c>
      <c r="B456" s="6" t="s">
        <v>64</v>
      </c>
      <c r="C456" s="6" t="s">
        <v>47</v>
      </c>
      <c r="D456" s="6" t="n">
        <v>2</v>
      </c>
      <c r="E456" s="2" t="s">
        <v>1167</v>
      </c>
      <c r="F456" s="40" t="n">
        <f aca="false">MAX(MAX(L456:AE456),-MIN(L456:AE456))</f>
        <v>-0</v>
      </c>
      <c r="K456" s="41" t="n">
        <f aca="false">IF(ISNUMBER(K454),IF(ISNUMBER(K455),K455-K454,999999),0)</f>
        <v>0</v>
      </c>
      <c r="L456" s="41" t="n">
        <f aca="false">IF(ISNUMBER(L454),IF(ISNUMBER(L455),L455-L454,999999),0)</f>
        <v>0</v>
      </c>
      <c r="M456" s="41" t="n">
        <f aca="false">IF(ISNUMBER(M454),IF(ISNUMBER(M455),M455-M454,999999),0)</f>
        <v>0</v>
      </c>
      <c r="N456" s="41" t="n">
        <f aca="false">IF(ISNUMBER(N454),IF(ISNUMBER(N455),N455-N454,999999),0)</f>
        <v>0</v>
      </c>
      <c r="O456" s="41" t="n">
        <f aca="false">IF(ISNUMBER(O454),IF(ISNUMBER(O455),O455-O454,999999),0)</f>
        <v>0</v>
      </c>
      <c r="P456" s="41" t="n">
        <f aca="false">IF(ISNUMBER(P454),IF(ISNUMBER(P455),P455-P454,999999),0)</f>
        <v>0</v>
      </c>
      <c r="Q456" s="41" t="n">
        <f aca="false">IF(ISNUMBER(Q454),IF(ISNUMBER(Q455),Q455-Q454,999999),0)</f>
        <v>0</v>
      </c>
      <c r="R456" s="41" t="n">
        <f aca="false">IF(ISNUMBER(R454),IF(ISNUMBER(R455),R455-R454,999999),0)</f>
        <v>0</v>
      </c>
      <c r="S456" s="41" t="n">
        <f aca="false">IF(ISNUMBER(S454),IF(ISNUMBER(S455),S455-S454,999999),0)</f>
        <v>0</v>
      </c>
      <c r="T456" s="41" t="n">
        <f aca="false">IF(ISNUMBER(T454),IF(ISNUMBER(T455),T455-T454,999999),0)</f>
        <v>0</v>
      </c>
      <c r="U456" s="41" t="n">
        <f aca="false">IF(ISNUMBER(U454),IF(ISNUMBER(U455),U455-U454,999999),0)</f>
        <v>0</v>
      </c>
      <c r="V456" s="41" t="n">
        <f aca="false">IF(ISNUMBER(V454),IF(ISNUMBER(V455),V455-V454,999999),0)</f>
        <v>0</v>
      </c>
      <c r="W456" s="41" t="n">
        <f aca="false">IF(ISNUMBER(W454),IF(ISNUMBER(W455),W455-W454,999999),0)</f>
        <v>0</v>
      </c>
      <c r="X456" s="41" t="n">
        <f aca="false">IF(ISNUMBER(X454),IF(ISNUMBER(X455),X455-X454,999999),0)</f>
        <v>0</v>
      </c>
      <c r="Y456" s="41" t="n">
        <f aca="false">IF(ISNUMBER(Y454),IF(ISNUMBER(Y455),Y455-Y454,999999),0)</f>
        <v>0</v>
      </c>
      <c r="Z456" s="41" t="n">
        <f aca="false">IF(ISNUMBER(Z454),IF(ISNUMBER(Z455),Z455-Z454,999999),0)</f>
        <v>0</v>
      </c>
      <c r="AA456" s="41" t="n">
        <f aca="false">IF(ISNUMBER(AA454),IF(ISNUMBER(AA455),AA455-AA454,999999),0)</f>
        <v>0</v>
      </c>
      <c r="AB456" s="41" t="n">
        <f aca="false">IF(ISNUMBER(AB454),IF(ISNUMBER(AB455),AB455-AB454,999999),0)</f>
        <v>0</v>
      </c>
      <c r="AC456" s="41" t="n">
        <f aca="false">IF(ISNUMBER(AC454),IF(ISNUMBER(AC455),AC455-AC454,999999),0)</f>
        <v>0</v>
      </c>
      <c r="AD456" s="41" t="n">
        <f aca="false">IF(ISNUMBER(AD454),IF(ISNUMBER(AD455),AD455-AD454,999999),0)</f>
        <v>0</v>
      </c>
      <c r="AE456" s="41" t="n">
        <f aca="false">IF(ISNUMBER(AE454),IF(ISNUMBER(AE455),AE455-AE454,999999),0)</f>
        <v>0</v>
      </c>
    </row>
    <row r="458" customFormat="false" ht="15" hidden="false" customHeight="false" outlineLevel="0" collapsed="false">
      <c r="A458" s="35" t="s">
        <v>1280</v>
      </c>
      <c r="B458" s="6" t="s">
        <v>66</v>
      </c>
      <c r="C458" s="6" t="s">
        <v>47</v>
      </c>
      <c r="D458" s="6" t="n">
        <v>2</v>
      </c>
      <c r="E458" s="6" t="s">
        <v>1165</v>
      </c>
      <c r="K458" s="22"/>
      <c r="L458" s="22" t="n">
        <v>0.456428170500128</v>
      </c>
      <c r="M458" s="22" t="n">
        <v>0.431689201955995</v>
      </c>
      <c r="N458" s="22" t="n">
        <v>0.42507558395597</v>
      </c>
      <c r="O458" s="22" t="n">
        <v>0.42507558395597</v>
      </c>
      <c r="P458" s="22" t="n">
        <v>0.42507558395597</v>
      </c>
      <c r="Q458" s="22" t="n">
        <v>0.457064414066079</v>
      </c>
      <c r="R458" s="22" t="n">
        <v>0.489053244176187</v>
      </c>
      <c r="S458" s="22" t="n">
        <v>0.521042074286296</v>
      </c>
      <c r="T458" s="22" t="n">
        <v>0.553030904396404</v>
      </c>
      <c r="U458" s="22" t="n">
        <v>0.585019734506513</v>
      </c>
      <c r="V458" s="22" t="n">
        <v>0.617008564616621</v>
      </c>
      <c r="W458" s="22" t="n">
        <v>0.648997394726729</v>
      </c>
      <c r="X458" s="22" t="n">
        <v>0.680986224836838</v>
      </c>
      <c r="Y458" s="22" t="n">
        <v>0.712975054946947</v>
      </c>
      <c r="Z458" s="22" t="n">
        <v>0.744963885057055</v>
      </c>
      <c r="AA458" s="22" t="n">
        <v>0.776952715167163</v>
      </c>
      <c r="AB458" s="22" t="n">
        <v>0.808941545277272</v>
      </c>
      <c r="AC458" s="22" t="n">
        <v>0.84093037538738</v>
      </c>
      <c r="AD458" s="22" t="n">
        <v>0.872919205497489</v>
      </c>
      <c r="AE458" s="22" t="n">
        <v>0.904908035607597</v>
      </c>
    </row>
    <row r="459" customFormat="false" ht="15" hidden="false" customHeight="false" outlineLevel="0" collapsed="false">
      <c r="A459" s="35" t="s">
        <v>1280</v>
      </c>
      <c r="B459" s="6" t="s">
        <v>66</v>
      </c>
      <c r="C459" s="6" t="s">
        <v>47</v>
      </c>
      <c r="D459" s="6" t="n">
        <v>2</v>
      </c>
      <c r="E459" s="6" t="s">
        <v>1166</v>
      </c>
      <c r="K459" s="22" t="n">
        <f aca="false">INDEX(Mitigation_Industry!K:K,MATCH($A459,Mitigation_Industry!$H:$H,0))</f>
        <v>0.484294240973435</v>
      </c>
      <c r="L459" s="22" t="n">
        <f aca="false">INDEX(Mitigation_Industry!L:L,MATCH($A459,Mitigation_Industry!$H:$H,0))</f>
        <v>0.456428170500128</v>
      </c>
      <c r="M459" s="22" t="n">
        <f aca="false">INDEX(Mitigation_Industry!M:M,MATCH($A459,Mitigation_Industry!$H:$H,0))</f>
        <v>0.431689201955995</v>
      </c>
      <c r="N459" s="22" t="n">
        <f aca="false">INDEX(Mitigation_Industry!N:N,MATCH($A459,Mitigation_Industry!$H:$H,0))</f>
        <v>0.42507558395597</v>
      </c>
      <c r="O459" s="22" t="n">
        <f aca="false">INDEX(Mitigation_Industry!O:O,MATCH($A459,Mitigation_Industry!$H:$H,0))</f>
        <v>0.42507558395597</v>
      </c>
      <c r="P459" s="22" t="n">
        <f aca="false">INDEX(Mitigation_Industry!P:P,MATCH($A459,Mitigation_Industry!$H:$H,0))</f>
        <v>0.42507558395597</v>
      </c>
      <c r="Q459" s="22" t="n">
        <f aca="false">INDEX(Mitigation_Industry!Q:Q,MATCH($A459,Mitigation_Industry!$H:$H,0))</f>
        <v>0.457064414066078</v>
      </c>
      <c r="R459" s="22" t="n">
        <f aca="false">INDEX(Mitigation_Industry!R:R,MATCH($A459,Mitigation_Industry!$H:$H,0))</f>
        <v>0.489053244176187</v>
      </c>
      <c r="S459" s="22" t="n">
        <f aca="false">INDEX(Mitigation_Industry!S:S,MATCH($A459,Mitigation_Industry!$H:$H,0))</f>
        <v>0.521042074286296</v>
      </c>
      <c r="T459" s="22" t="n">
        <f aca="false">INDEX(Mitigation_Industry!T:T,MATCH($A459,Mitigation_Industry!$H:$H,0))</f>
        <v>0.553030904396404</v>
      </c>
      <c r="U459" s="22" t="n">
        <f aca="false">INDEX(Mitigation_Industry!U:U,MATCH($A459,Mitigation_Industry!$H:$H,0))</f>
        <v>0.585019734506513</v>
      </c>
      <c r="V459" s="22" t="n">
        <f aca="false">INDEX(Mitigation_Industry!V:V,MATCH($A459,Mitigation_Industry!$H:$H,0))</f>
        <v>0.617008564616621</v>
      </c>
      <c r="W459" s="22" t="n">
        <f aca="false">INDEX(Mitigation_Industry!W:W,MATCH($A459,Mitigation_Industry!$H:$H,0))</f>
        <v>0.648997394726729</v>
      </c>
      <c r="X459" s="22" t="n">
        <f aca="false">INDEX(Mitigation_Industry!X:X,MATCH($A459,Mitigation_Industry!$H:$H,0))</f>
        <v>0.680986224836838</v>
      </c>
      <c r="Y459" s="22" t="n">
        <f aca="false">INDEX(Mitigation_Industry!Y:Y,MATCH($A459,Mitigation_Industry!$H:$H,0))</f>
        <v>0.712975054946947</v>
      </c>
      <c r="Z459" s="22" t="n">
        <f aca="false">INDEX(Mitigation_Industry!Z:Z,MATCH($A459,Mitigation_Industry!$H:$H,0))</f>
        <v>0.744963885057055</v>
      </c>
      <c r="AA459" s="22" t="n">
        <f aca="false">INDEX(Mitigation_Industry!AA:AA,MATCH($A459,Mitigation_Industry!$H:$H,0))</f>
        <v>0.776952715167163</v>
      </c>
      <c r="AB459" s="22" t="n">
        <f aca="false">INDEX(Mitigation_Industry!AB:AB,MATCH($A459,Mitigation_Industry!$H:$H,0))</f>
        <v>0.808941545277272</v>
      </c>
      <c r="AC459" s="22" t="n">
        <f aca="false">INDEX(Mitigation_Industry!AC:AC,MATCH($A459,Mitigation_Industry!$H:$H,0))</f>
        <v>0.84093037538738</v>
      </c>
      <c r="AD459" s="22" t="n">
        <f aca="false">INDEX(Mitigation_Industry!AD:AD,MATCH($A459,Mitigation_Industry!$H:$H,0))</f>
        <v>0.872919205497489</v>
      </c>
      <c r="AE459" s="22" t="n">
        <f aca="false">INDEX(Mitigation_Industry!AE:AE,MATCH($A459,Mitigation_Industry!$H:$H,0))</f>
        <v>0.904908035607597</v>
      </c>
    </row>
    <row r="460" customFormat="false" ht="15" hidden="false" customHeight="false" outlineLevel="0" collapsed="false">
      <c r="A460" s="35" t="s">
        <v>1280</v>
      </c>
      <c r="B460" s="6" t="s">
        <v>66</v>
      </c>
      <c r="C460" s="6" t="s">
        <v>47</v>
      </c>
      <c r="D460" s="6" t="n">
        <v>2</v>
      </c>
      <c r="E460" s="2" t="s">
        <v>1167</v>
      </c>
      <c r="F460" s="40" t="n">
        <f aca="false">MAX(MAX(L460:AE460),-MIN(L460:AE460))</f>
        <v>-0</v>
      </c>
      <c r="K460" s="41" t="n">
        <f aca="false">IF(ISNUMBER(K458),IF(ISNUMBER(K459),K459-K458,999999),0)</f>
        <v>0</v>
      </c>
      <c r="L460" s="41" t="n">
        <f aca="false">IF(ISNUMBER(L458),IF(ISNUMBER(L459),L459-L458,999999),0)</f>
        <v>0</v>
      </c>
      <c r="M460" s="41" t="n">
        <f aca="false">IF(ISNUMBER(M458),IF(ISNUMBER(M459),M459-M458,999999),0)</f>
        <v>0</v>
      </c>
      <c r="N460" s="41" t="n">
        <f aca="false">IF(ISNUMBER(N458),IF(ISNUMBER(N459),N459-N458,999999),0)</f>
        <v>0</v>
      </c>
      <c r="O460" s="41" t="n">
        <f aca="false">IF(ISNUMBER(O458),IF(ISNUMBER(O459),O459-O458,999999),0)</f>
        <v>0</v>
      </c>
      <c r="P460" s="41" t="n">
        <f aca="false">IF(ISNUMBER(P458),IF(ISNUMBER(P459),P459-P458,999999),0)</f>
        <v>0</v>
      </c>
      <c r="Q460" s="41" t="n">
        <f aca="false">IF(ISNUMBER(Q458),IF(ISNUMBER(Q459),Q459-Q458,999999),0)</f>
        <v>0</v>
      </c>
      <c r="R460" s="41" t="n">
        <f aca="false">IF(ISNUMBER(R458),IF(ISNUMBER(R459),R459-R458,999999),0)</f>
        <v>0</v>
      </c>
      <c r="S460" s="41" t="n">
        <f aca="false">IF(ISNUMBER(S458),IF(ISNUMBER(S459),S459-S458,999999),0)</f>
        <v>0</v>
      </c>
      <c r="T460" s="41" t="n">
        <f aca="false">IF(ISNUMBER(T458),IF(ISNUMBER(T459),T459-T458,999999),0)</f>
        <v>0</v>
      </c>
      <c r="U460" s="41" t="n">
        <f aca="false">IF(ISNUMBER(U458),IF(ISNUMBER(U459),U459-U458,999999),0)</f>
        <v>0</v>
      </c>
      <c r="V460" s="41" t="n">
        <f aca="false">IF(ISNUMBER(V458),IF(ISNUMBER(V459),V459-V458,999999),0)</f>
        <v>0</v>
      </c>
      <c r="W460" s="41" t="n">
        <f aca="false">IF(ISNUMBER(W458),IF(ISNUMBER(W459),W459-W458,999999),0)</f>
        <v>0</v>
      </c>
      <c r="X460" s="41" t="n">
        <f aca="false">IF(ISNUMBER(X458),IF(ISNUMBER(X459),X459-X458,999999),0)</f>
        <v>0</v>
      </c>
      <c r="Y460" s="41" t="n">
        <f aca="false">IF(ISNUMBER(Y458),IF(ISNUMBER(Y459),Y459-Y458,999999),0)</f>
        <v>0</v>
      </c>
      <c r="Z460" s="41" t="n">
        <f aca="false">IF(ISNUMBER(Z458),IF(ISNUMBER(Z459),Z459-Z458,999999),0)</f>
        <v>0</v>
      </c>
      <c r="AA460" s="41" t="n">
        <f aca="false">IF(ISNUMBER(AA458),IF(ISNUMBER(AA459),AA459-AA458,999999),0)</f>
        <v>0</v>
      </c>
      <c r="AB460" s="41" t="n">
        <f aca="false">IF(ISNUMBER(AB458),IF(ISNUMBER(AB459),AB459-AB458,999999),0)</f>
        <v>0</v>
      </c>
      <c r="AC460" s="41" t="n">
        <f aca="false">IF(ISNUMBER(AC458),IF(ISNUMBER(AC459),AC459-AC458,999999),0)</f>
        <v>0</v>
      </c>
      <c r="AD460" s="41" t="n">
        <f aca="false">IF(ISNUMBER(AD458),IF(ISNUMBER(AD459),AD459-AD458,999999),0)</f>
        <v>0</v>
      </c>
      <c r="AE460" s="41" t="n">
        <f aca="false">IF(ISNUMBER(AE458),IF(ISNUMBER(AE459),AE459-AE458,999999),0)</f>
        <v>0</v>
      </c>
    </row>
    <row r="462" customFormat="false" ht="15" hidden="false" customHeight="false" outlineLevel="0" collapsed="false">
      <c r="A462" s="35" t="s">
        <v>1281</v>
      </c>
      <c r="B462" s="6" t="s">
        <v>68</v>
      </c>
      <c r="C462" s="6" t="s">
        <v>47</v>
      </c>
      <c r="D462" s="6" t="n">
        <v>2</v>
      </c>
      <c r="E462" s="6" t="s">
        <v>1165</v>
      </c>
      <c r="K462" s="22"/>
      <c r="L462" s="22" t="n">
        <v>34.4153703043132</v>
      </c>
      <c r="M462" s="22" t="n">
        <v>37.368960690432</v>
      </c>
      <c r="N462" s="22" t="n">
        <v>28.9827611014773</v>
      </c>
      <c r="O462" s="22" t="n">
        <v>15</v>
      </c>
      <c r="P462" s="22" t="n">
        <v>24.2586300842555</v>
      </c>
      <c r="Q462" s="22" t="n">
        <v>18.9637581961325</v>
      </c>
      <c r="R462" s="22" t="n">
        <v>21.7603451140106</v>
      </c>
      <c r="S462" s="22" t="n">
        <v>26.0798806913736</v>
      </c>
      <c r="T462" s="22" t="n">
        <v>30.5936824452092</v>
      </c>
      <c r="U462" s="22" t="n">
        <v>34.9905097394101</v>
      </c>
      <c r="V462" s="22" t="n">
        <v>40.8580597394101</v>
      </c>
      <c r="W462" s="22" t="n">
        <v>46.7256097394101</v>
      </c>
      <c r="X462" s="22" t="n">
        <v>52.5931597394101</v>
      </c>
      <c r="Y462" s="22" t="n">
        <v>58.4607097394101</v>
      </c>
      <c r="Z462" s="22" t="n">
        <v>64.3282597394101</v>
      </c>
      <c r="AA462" s="22" t="n">
        <v>70.1958097394101</v>
      </c>
      <c r="AB462" s="22" t="n">
        <v>76.0633597394101</v>
      </c>
      <c r="AC462" s="22" t="n">
        <v>81.9309097394101</v>
      </c>
      <c r="AD462" s="22" t="n">
        <v>87.7984597394101</v>
      </c>
      <c r="AE462" s="22" t="n">
        <v>93.6660097394101</v>
      </c>
    </row>
    <row r="463" customFormat="false" ht="15" hidden="false" customHeight="false" outlineLevel="0" collapsed="false">
      <c r="A463" s="35" t="s">
        <v>1281</v>
      </c>
      <c r="B463" s="6" t="s">
        <v>68</v>
      </c>
      <c r="C463" s="6" t="s">
        <v>47</v>
      </c>
      <c r="D463" s="6" t="n">
        <v>2</v>
      </c>
      <c r="E463" s="6" t="s">
        <v>1166</v>
      </c>
      <c r="K463" s="22" t="n">
        <f aca="false">INDEX(Mitigation_Industry!K:K,MATCH($A463,Mitigation_Industry!$H:$H,0))</f>
        <v>41.5003384988684</v>
      </c>
      <c r="L463" s="22" t="n">
        <f aca="false">INDEX(Mitigation_Industry!L:L,MATCH($A463,Mitigation_Industry!$H:$H,0))</f>
        <v>34.4153703043132</v>
      </c>
      <c r="M463" s="22" t="n">
        <f aca="false">INDEX(Mitigation_Industry!M:M,MATCH($A463,Mitigation_Industry!$H:$H,0))</f>
        <v>37.368960690432</v>
      </c>
      <c r="N463" s="22" t="n">
        <f aca="false">INDEX(Mitigation_Industry!N:N,MATCH($A463,Mitigation_Industry!$H:$H,0))</f>
        <v>28.9827611014773</v>
      </c>
      <c r="O463" s="22" t="n">
        <f aca="false">INDEX(Mitigation_Industry!O:O,MATCH($A463,Mitigation_Industry!$H:$H,0))</f>
        <v>15</v>
      </c>
      <c r="P463" s="22" t="n">
        <f aca="false">INDEX(Mitigation_Industry!P:P,MATCH($A463,Mitigation_Industry!$H:$H,0))</f>
        <v>24.2586300842555</v>
      </c>
      <c r="Q463" s="22" t="n">
        <f aca="false">INDEX(Mitigation_Industry!Q:Q,MATCH($A463,Mitigation_Industry!$H:$H,0))</f>
        <v>18.9637581961325</v>
      </c>
      <c r="R463" s="22" t="n">
        <f aca="false">INDEX(Mitigation_Industry!R:R,MATCH($A463,Mitigation_Industry!$H:$H,0))</f>
        <v>21.7603451140106</v>
      </c>
      <c r="S463" s="22" t="n">
        <f aca="false">INDEX(Mitigation_Industry!S:S,MATCH($A463,Mitigation_Industry!$H:$H,0))</f>
        <v>26.0798806913736</v>
      </c>
      <c r="T463" s="22" t="n">
        <f aca="false">INDEX(Mitigation_Industry!T:T,MATCH($A463,Mitigation_Industry!$H:$H,0))</f>
        <v>30.5936824452092</v>
      </c>
      <c r="U463" s="22" t="n">
        <f aca="false">INDEX(Mitigation_Industry!U:U,MATCH($A463,Mitigation_Industry!$H:$H,0))</f>
        <v>34.9905097394101</v>
      </c>
      <c r="V463" s="22" t="n">
        <f aca="false">INDEX(Mitigation_Industry!V:V,MATCH($A463,Mitigation_Industry!$H:$H,0))</f>
        <v>40.8580597394101</v>
      </c>
      <c r="W463" s="22" t="n">
        <f aca="false">INDEX(Mitigation_Industry!W:W,MATCH($A463,Mitigation_Industry!$H:$H,0))</f>
        <v>46.7256097394101</v>
      </c>
      <c r="X463" s="22" t="n">
        <f aca="false">INDEX(Mitigation_Industry!X:X,MATCH($A463,Mitigation_Industry!$H:$H,0))</f>
        <v>52.5931597394101</v>
      </c>
      <c r="Y463" s="22" t="n">
        <f aca="false">INDEX(Mitigation_Industry!Y:Y,MATCH($A463,Mitigation_Industry!$H:$H,0))</f>
        <v>58.4607097394101</v>
      </c>
      <c r="Z463" s="22" t="n">
        <f aca="false">INDEX(Mitigation_Industry!Z:Z,MATCH($A463,Mitigation_Industry!$H:$H,0))</f>
        <v>64.3282597394101</v>
      </c>
      <c r="AA463" s="22" t="n">
        <f aca="false">INDEX(Mitigation_Industry!AA:AA,MATCH($A463,Mitigation_Industry!$H:$H,0))</f>
        <v>70.1958097394101</v>
      </c>
      <c r="AB463" s="22" t="n">
        <f aca="false">INDEX(Mitigation_Industry!AB:AB,MATCH($A463,Mitigation_Industry!$H:$H,0))</f>
        <v>76.0633597394101</v>
      </c>
      <c r="AC463" s="22" t="n">
        <f aca="false">INDEX(Mitigation_Industry!AC:AC,MATCH($A463,Mitigation_Industry!$H:$H,0))</f>
        <v>81.9309097394101</v>
      </c>
      <c r="AD463" s="22" t="n">
        <f aca="false">INDEX(Mitigation_Industry!AD:AD,MATCH($A463,Mitigation_Industry!$H:$H,0))</f>
        <v>87.7984597394101</v>
      </c>
      <c r="AE463" s="22" t="n">
        <f aca="false">INDEX(Mitigation_Industry!AE:AE,MATCH($A463,Mitigation_Industry!$H:$H,0))</f>
        <v>93.6660097394101</v>
      </c>
    </row>
    <row r="464" customFormat="false" ht="15" hidden="false" customHeight="false" outlineLevel="0" collapsed="false">
      <c r="A464" s="35" t="s">
        <v>1281</v>
      </c>
      <c r="B464" s="6" t="s">
        <v>68</v>
      </c>
      <c r="C464" s="6" t="s">
        <v>47</v>
      </c>
      <c r="D464" s="6" t="n">
        <v>2</v>
      </c>
      <c r="E464" s="2" t="s">
        <v>1167</v>
      </c>
      <c r="F464" s="40" t="n">
        <f aca="false">MAX(MAX(L464:AE464),-MIN(L464:AE464))</f>
        <v>-0</v>
      </c>
      <c r="K464" s="41" t="n">
        <f aca="false">IF(ISNUMBER(K462),IF(ISNUMBER(K463),K463-K462,999999),0)</f>
        <v>0</v>
      </c>
      <c r="L464" s="41" t="n">
        <f aca="false">IF(ISNUMBER(L462),IF(ISNUMBER(L463),L463-L462,999999),0)</f>
        <v>0</v>
      </c>
      <c r="M464" s="41" t="n">
        <f aca="false">IF(ISNUMBER(M462),IF(ISNUMBER(M463),M463-M462,999999),0)</f>
        <v>0</v>
      </c>
      <c r="N464" s="41" t="n">
        <f aca="false">IF(ISNUMBER(N462),IF(ISNUMBER(N463),N463-N462,999999),0)</f>
        <v>0</v>
      </c>
      <c r="O464" s="41" t="n">
        <f aca="false">IF(ISNUMBER(O462),IF(ISNUMBER(O463),O463-O462,999999),0)</f>
        <v>0</v>
      </c>
      <c r="P464" s="41" t="n">
        <f aca="false">IF(ISNUMBER(P462),IF(ISNUMBER(P463),P463-P462,999999),0)</f>
        <v>0</v>
      </c>
      <c r="Q464" s="41" t="n">
        <f aca="false">IF(ISNUMBER(Q462),IF(ISNUMBER(Q463),Q463-Q462,999999),0)</f>
        <v>0</v>
      </c>
      <c r="R464" s="41" t="n">
        <f aca="false">IF(ISNUMBER(R462),IF(ISNUMBER(R463),R463-R462,999999),0)</f>
        <v>0</v>
      </c>
      <c r="S464" s="41" t="n">
        <f aca="false">IF(ISNUMBER(S462),IF(ISNUMBER(S463),S463-S462,999999),0)</f>
        <v>0</v>
      </c>
      <c r="T464" s="41" t="n">
        <f aca="false">IF(ISNUMBER(T462),IF(ISNUMBER(T463),T463-T462,999999),0)</f>
        <v>0</v>
      </c>
      <c r="U464" s="41" t="n">
        <f aca="false">IF(ISNUMBER(U462),IF(ISNUMBER(U463),U463-U462,999999),0)</f>
        <v>0</v>
      </c>
      <c r="V464" s="41" t="n">
        <f aca="false">IF(ISNUMBER(V462),IF(ISNUMBER(V463),V463-V462,999999),0)</f>
        <v>0</v>
      </c>
      <c r="W464" s="41" t="n">
        <f aca="false">IF(ISNUMBER(W462),IF(ISNUMBER(W463),W463-W462,999999),0)</f>
        <v>0</v>
      </c>
      <c r="X464" s="41" t="n">
        <f aca="false">IF(ISNUMBER(X462),IF(ISNUMBER(X463),X463-X462,999999),0)</f>
        <v>0</v>
      </c>
      <c r="Y464" s="41" t="n">
        <f aca="false">IF(ISNUMBER(Y462),IF(ISNUMBER(Y463),Y463-Y462,999999),0)</f>
        <v>0</v>
      </c>
      <c r="Z464" s="41" t="n">
        <f aca="false">IF(ISNUMBER(Z462),IF(ISNUMBER(Z463),Z463-Z462,999999),0)</f>
        <v>0</v>
      </c>
      <c r="AA464" s="41" t="n">
        <f aca="false">IF(ISNUMBER(AA462),IF(ISNUMBER(AA463),AA463-AA462,999999),0)</f>
        <v>0</v>
      </c>
      <c r="AB464" s="41" t="n">
        <f aca="false">IF(ISNUMBER(AB462),IF(ISNUMBER(AB463),AB463-AB462,999999),0)</f>
        <v>0</v>
      </c>
      <c r="AC464" s="41" t="n">
        <f aca="false">IF(ISNUMBER(AC462),IF(ISNUMBER(AC463),AC463-AC462,999999),0)</f>
        <v>0</v>
      </c>
      <c r="AD464" s="41" t="n">
        <f aca="false">IF(ISNUMBER(AD462),IF(ISNUMBER(AD463),AD463-AD462,999999),0)</f>
        <v>0</v>
      </c>
      <c r="AE464" s="41" t="n">
        <f aca="false">IF(ISNUMBER(AE462),IF(ISNUMBER(AE463),AE463-AE462,999999),0)</f>
        <v>0</v>
      </c>
    </row>
    <row r="466" customFormat="false" ht="15" hidden="false" customHeight="false" outlineLevel="0" collapsed="false">
      <c r="A466" s="35" t="s">
        <v>1282</v>
      </c>
      <c r="B466" s="6" t="s">
        <v>71</v>
      </c>
      <c r="C466" s="6" t="s">
        <v>47</v>
      </c>
      <c r="D466" s="6" t="n">
        <v>2</v>
      </c>
      <c r="E466" s="6" t="s">
        <v>1165</v>
      </c>
      <c r="K466" s="22"/>
      <c r="L466" s="22" t="n">
        <v>14.1995283906349</v>
      </c>
      <c r="M466" s="22" t="n">
        <v>13.8404416133152</v>
      </c>
      <c r="N466" s="22" t="n">
        <v>13.5677269404465</v>
      </c>
      <c r="O466" s="22" t="n">
        <v>13.5677269404465</v>
      </c>
      <c r="P466" s="22" t="n">
        <v>13.5677269404465</v>
      </c>
      <c r="Q466" s="22" t="n">
        <v>13.5677269404465</v>
      </c>
      <c r="R466" s="22" t="n">
        <v>13.5677269404465</v>
      </c>
      <c r="S466" s="22" t="n">
        <v>13.5677269404465</v>
      </c>
      <c r="T466" s="22" t="n">
        <v>13.5677269404465</v>
      </c>
      <c r="U466" s="22" t="n">
        <v>13.5677269404465</v>
      </c>
      <c r="V466" s="22" t="n">
        <v>13.5677269404465</v>
      </c>
      <c r="W466" s="22" t="n">
        <v>13.5677269404465</v>
      </c>
      <c r="X466" s="22" t="n">
        <v>13.5677269404465</v>
      </c>
      <c r="Y466" s="22" t="n">
        <v>13.5677269404465</v>
      </c>
      <c r="Z466" s="22" t="n">
        <v>13.5677269404465</v>
      </c>
      <c r="AA466" s="22" t="n">
        <v>13.5677269404465</v>
      </c>
      <c r="AB466" s="22" t="n">
        <v>13.5677269404465</v>
      </c>
      <c r="AC466" s="22" t="n">
        <v>13.5677269404465</v>
      </c>
      <c r="AD466" s="22" t="n">
        <v>13.5677269404465</v>
      </c>
      <c r="AE466" s="22" t="n">
        <v>13.5677269404465</v>
      </c>
    </row>
    <row r="467" customFormat="false" ht="15" hidden="false" customHeight="false" outlineLevel="0" collapsed="false">
      <c r="A467" s="35" t="s">
        <v>1282</v>
      </c>
      <c r="B467" s="6" t="s">
        <v>71</v>
      </c>
      <c r="C467" s="6" t="s">
        <v>47</v>
      </c>
      <c r="D467" s="6" t="n">
        <v>2</v>
      </c>
      <c r="E467" s="6" t="s">
        <v>1166</v>
      </c>
      <c r="K467" s="22" t="n">
        <f aca="false">INDEX(Mitigation_Industry!K:K,MATCH($A467,Mitigation_Industry!$H:$H,0))</f>
        <v>15.3345505293169</v>
      </c>
      <c r="L467" s="22" t="n">
        <f aca="false">INDEX(Mitigation_Industry!L:L,MATCH($A467,Mitigation_Industry!$H:$H,0))</f>
        <v>14.1995283906349</v>
      </c>
      <c r="M467" s="22" t="n">
        <f aca="false">INDEX(Mitigation_Industry!M:M,MATCH($A467,Mitigation_Industry!$H:$H,0))</f>
        <v>13.8404416133152</v>
      </c>
      <c r="N467" s="22" t="n">
        <f aca="false">INDEX(Mitigation_Industry!N:N,MATCH($A467,Mitigation_Industry!$H:$H,0))</f>
        <v>13.5677269404465</v>
      </c>
      <c r="O467" s="22" t="n">
        <f aca="false">INDEX(Mitigation_Industry!O:O,MATCH($A467,Mitigation_Industry!$H:$H,0))</f>
        <v>13.5677269404465</v>
      </c>
      <c r="P467" s="22" t="n">
        <f aca="false">INDEX(Mitigation_Industry!P:P,MATCH($A467,Mitigation_Industry!$H:$H,0))</f>
        <v>13.5677269404465</v>
      </c>
      <c r="Q467" s="22" t="n">
        <f aca="false">INDEX(Mitigation_Industry!Q:Q,MATCH($A467,Mitigation_Industry!$H:$H,0))</f>
        <v>13.5677269404465</v>
      </c>
      <c r="R467" s="22" t="n">
        <f aca="false">INDEX(Mitigation_Industry!R:R,MATCH($A467,Mitigation_Industry!$H:$H,0))</f>
        <v>13.5677269404465</v>
      </c>
      <c r="S467" s="22" t="n">
        <f aca="false">INDEX(Mitigation_Industry!S:S,MATCH($A467,Mitigation_Industry!$H:$H,0))</f>
        <v>13.5677269404465</v>
      </c>
      <c r="T467" s="22" t="n">
        <f aca="false">INDEX(Mitigation_Industry!T:T,MATCH($A467,Mitigation_Industry!$H:$H,0))</f>
        <v>13.5677269404465</v>
      </c>
      <c r="U467" s="22" t="n">
        <f aca="false">INDEX(Mitigation_Industry!U:U,MATCH($A467,Mitigation_Industry!$H:$H,0))</f>
        <v>13.5677269404465</v>
      </c>
      <c r="V467" s="22" t="n">
        <f aca="false">INDEX(Mitigation_Industry!V:V,MATCH($A467,Mitigation_Industry!$H:$H,0))</f>
        <v>13.5677269404465</v>
      </c>
      <c r="W467" s="22" t="n">
        <f aca="false">INDEX(Mitigation_Industry!W:W,MATCH($A467,Mitigation_Industry!$H:$H,0))</f>
        <v>13.5677269404465</v>
      </c>
      <c r="X467" s="22" t="n">
        <f aca="false">INDEX(Mitigation_Industry!X:X,MATCH($A467,Mitigation_Industry!$H:$H,0))</f>
        <v>13.5677269404465</v>
      </c>
      <c r="Y467" s="22" t="n">
        <f aca="false">INDEX(Mitigation_Industry!Y:Y,MATCH($A467,Mitigation_Industry!$H:$H,0))</f>
        <v>13.5677269404465</v>
      </c>
      <c r="Z467" s="22" t="n">
        <f aca="false">INDEX(Mitigation_Industry!Z:Z,MATCH($A467,Mitigation_Industry!$H:$H,0))</f>
        <v>13.5677269404465</v>
      </c>
      <c r="AA467" s="22" t="n">
        <f aca="false">INDEX(Mitigation_Industry!AA:AA,MATCH($A467,Mitigation_Industry!$H:$H,0))</f>
        <v>13.5677269404465</v>
      </c>
      <c r="AB467" s="22" t="n">
        <f aca="false">INDEX(Mitigation_Industry!AB:AB,MATCH($A467,Mitigation_Industry!$H:$H,0))</f>
        <v>13.5677269404465</v>
      </c>
      <c r="AC467" s="22" t="n">
        <f aca="false">INDEX(Mitigation_Industry!AC:AC,MATCH($A467,Mitigation_Industry!$H:$H,0))</f>
        <v>13.5677269404465</v>
      </c>
      <c r="AD467" s="22" t="n">
        <f aca="false">INDEX(Mitigation_Industry!AD:AD,MATCH($A467,Mitigation_Industry!$H:$H,0))</f>
        <v>13.5677269404465</v>
      </c>
      <c r="AE467" s="22" t="n">
        <f aca="false">INDEX(Mitigation_Industry!AE:AE,MATCH($A467,Mitigation_Industry!$H:$H,0))</f>
        <v>13.5677269404465</v>
      </c>
    </row>
    <row r="468" customFormat="false" ht="15" hidden="false" customHeight="false" outlineLevel="0" collapsed="false">
      <c r="A468" s="35" t="s">
        <v>1282</v>
      </c>
      <c r="B468" s="6" t="s">
        <v>71</v>
      </c>
      <c r="C468" s="6" t="s">
        <v>47</v>
      </c>
      <c r="D468" s="6" t="n">
        <v>2</v>
      </c>
      <c r="E468" s="2" t="s">
        <v>1167</v>
      </c>
      <c r="F468" s="40" t="n">
        <f aca="false">MAX(MAX(L468:AE468),-MIN(L468:AE468))</f>
        <v>-0</v>
      </c>
      <c r="K468" s="41" t="n">
        <f aca="false">IF(ISNUMBER(K466),IF(ISNUMBER(K467),K467-K466,999999),0)</f>
        <v>0</v>
      </c>
      <c r="L468" s="41" t="n">
        <f aca="false">IF(ISNUMBER(L466),IF(ISNUMBER(L467),L467-L466,999999),0)</f>
        <v>0</v>
      </c>
      <c r="M468" s="41" t="n">
        <f aca="false">IF(ISNUMBER(M466),IF(ISNUMBER(M467),M467-M466,999999),0)</f>
        <v>0</v>
      </c>
      <c r="N468" s="41" t="n">
        <f aca="false">IF(ISNUMBER(N466),IF(ISNUMBER(N467),N467-N466,999999),0)</f>
        <v>0</v>
      </c>
      <c r="O468" s="41" t="n">
        <f aca="false">IF(ISNUMBER(O466),IF(ISNUMBER(O467),O467-O466,999999),0)</f>
        <v>0</v>
      </c>
      <c r="P468" s="41" t="n">
        <f aca="false">IF(ISNUMBER(P466),IF(ISNUMBER(P467),P467-P466,999999),0)</f>
        <v>0</v>
      </c>
      <c r="Q468" s="41" t="n">
        <f aca="false">IF(ISNUMBER(Q466),IF(ISNUMBER(Q467),Q467-Q466,999999),0)</f>
        <v>0</v>
      </c>
      <c r="R468" s="41" t="n">
        <f aca="false">IF(ISNUMBER(R466),IF(ISNUMBER(R467),R467-R466,999999),0)</f>
        <v>0</v>
      </c>
      <c r="S468" s="41" t="n">
        <f aca="false">IF(ISNUMBER(S466),IF(ISNUMBER(S467),S467-S466,999999),0)</f>
        <v>0</v>
      </c>
      <c r="T468" s="41" t="n">
        <f aca="false">IF(ISNUMBER(T466),IF(ISNUMBER(T467),T467-T466,999999),0)</f>
        <v>0</v>
      </c>
      <c r="U468" s="41" t="n">
        <f aca="false">IF(ISNUMBER(U466),IF(ISNUMBER(U467),U467-U466,999999),0)</f>
        <v>0</v>
      </c>
      <c r="V468" s="41" t="n">
        <f aca="false">IF(ISNUMBER(V466),IF(ISNUMBER(V467),V467-V466,999999),0)</f>
        <v>0</v>
      </c>
      <c r="W468" s="41" t="n">
        <f aca="false">IF(ISNUMBER(W466),IF(ISNUMBER(W467),W467-W466,999999),0)</f>
        <v>0</v>
      </c>
      <c r="X468" s="41" t="n">
        <f aca="false">IF(ISNUMBER(X466),IF(ISNUMBER(X467),X467-X466,999999),0)</f>
        <v>0</v>
      </c>
      <c r="Y468" s="41" t="n">
        <f aca="false">IF(ISNUMBER(Y466),IF(ISNUMBER(Y467),Y467-Y466,999999),0)</f>
        <v>0</v>
      </c>
      <c r="Z468" s="41" t="n">
        <f aca="false">IF(ISNUMBER(Z466),IF(ISNUMBER(Z467),Z467-Z466,999999),0)</f>
        <v>0</v>
      </c>
      <c r="AA468" s="41" t="n">
        <f aca="false">IF(ISNUMBER(AA466),IF(ISNUMBER(AA467),AA467-AA466,999999),0)</f>
        <v>0</v>
      </c>
      <c r="AB468" s="41" t="n">
        <f aca="false">IF(ISNUMBER(AB466),IF(ISNUMBER(AB467),AB467-AB466,999999),0)</f>
        <v>0</v>
      </c>
      <c r="AC468" s="41" t="n">
        <f aca="false">IF(ISNUMBER(AC466),IF(ISNUMBER(AC467),AC467-AC466,999999),0)</f>
        <v>0</v>
      </c>
      <c r="AD468" s="41" t="n">
        <f aca="false">IF(ISNUMBER(AD466),IF(ISNUMBER(AD467),AD467-AD466,999999),0)</f>
        <v>0</v>
      </c>
      <c r="AE468" s="41" t="n">
        <f aca="false">IF(ISNUMBER(AE466),IF(ISNUMBER(AE467),AE467-AE466,999999),0)</f>
        <v>0</v>
      </c>
    </row>
    <row r="470" customFormat="false" ht="15" hidden="false" customHeight="false" outlineLevel="0" collapsed="false">
      <c r="A470" s="35" t="s">
        <v>1283</v>
      </c>
      <c r="B470" s="6" t="s">
        <v>73</v>
      </c>
      <c r="C470" s="6" t="s">
        <v>47</v>
      </c>
      <c r="D470" s="6" t="n">
        <v>2</v>
      </c>
      <c r="E470" s="6" t="s">
        <v>1165</v>
      </c>
      <c r="K470" s="22"/>
      <c r="L470" s="22" t="n">
        <v>0.144044986793198</v>
      </c>
      <c r="M470" s="22" t="n">
        <v>0.141386241751359</v>
      </c>
      <c r="N470" s="22" t="n">
        <v>0.135397565443731</v>
      </c>
      <c r="O470" s="22" t="n">
        <v>0.131522885420651</v>
      </c>
      <c r="P470" s="22" t="n">
        <v>0.128826108485231</v>
      </c>
      <c r="Q470" s="22" t="n">
        <v>0.12594200976474</v>
      </c>
      <c r="R470" s="22" t="n">
        <v>0.123113265701861</v>
      </c>
      <c r="S470" s="22" t="n">
        <v>0.119391738089068</v>
      </c>
      <c r="T470" s="22" t="n">
        <v>0.11554419046792</v>
      </c>
      <c r="U470" s="22" t="n">
        <v>0.114924230654159</v>
      </c>
      <c r="V470" s="22" t="n">
        <v>0.114346912116736</v>
      </c>
      <c r="W470" s="22" t="n">
        <v>0.113738711172664</v>
      </c>
      <c r="X470" s="22" t="n">
        <v>0.112999900487521</v>
      </c>
      <c r="Y470" s="22" t="n">
        <v>0.112177685835534</v>
      </c>
      <c r="Z470" s="22" t="n">
        <v>0.111417903250404</v>
      </c>
      <c r="AA470" s="22" t="n">
        <v>0.110525819985454</v>
      </c>
      <c r="AB470" s="22" t="n">
        <v>0.109699565234896</v>
      </c>
      <c r="AC470" s="22" t="n">
        <v>0.107726788963949</v>
      </c>
      <c r="AD470" s="22" t="n">
        <v>0.105820924450935</v>
      </c>
      <c r="AE470" s="22" t="n">
        <v>0.103855595705721</v>
      </c>
    </row>
    <row r="471" customFormat="false" ht="15" hidden="false" customHeight="false" outlineLevel="0" collapsed="false">
      <c r="A471" s="35" t="s">
        <v>1283</v>
      </c>
      <c r="B471" s="6" t="s">
        <v>73</v>
      </c>
      <c r="C471" s="6" t="s">
        <v>47</v>
      </c>
      <c r="D471" s="6" t="n">
        <v>2</v>
      </c>
      <c r="E471" s="6" t="s">
        <v>1166</v>
      </c>
      <c r="K471" s="22" t="n">
        <f aca="false">INDEX(Mitigation_Industry!K:K,MATCH($A471,Mitigation_Industry!$H:$H,0))</f>
        <v>0</v>
      </c>
      <c r="L471" s="22" t="n">
        <f aca="false">INDEX(Mitigation_Industry!L:L,MATCH($A471,Mitigation_Industry!$H:$H,0))</f>
        <v>0.144044986793198</v>
      </c>
      <c r="M471" s="22" t="n">
        <f aca="false">INDEX(Mitigation_Industry!M:M,MATCH($A471,Mitigation_Industry!$H:$H,0))</f>
        <v>0.141386241751359</v>
      </c>
      <c r="N471" s="22" t="n">
        <f aca="false">INDEX(Mitigation_Industry!N:N,MATCH($A471,Mitigation_Industry!$H:$H,0))</f>
        <v>0.135397565443731</v>
      </c>
      <c r="O471" s="22" t="n">
        <f aca="false">INDEX(Mitigation_Industry!O:O,MATCH($A471,Mitigation_Industry!$H:$H,0))</f>
        <v>0.131522885420651</v>
      </c>
      <c r="P471" s="22" t="n">
        <f aca="false">INDEX(Mitigation_Industry!P:P,MATCH($A471,Mitigation_Industry!$H:$H,0))</f>
        <v>0.128826108485231</v>
      </c>
      <c r="Q471" s="22" t="n">
        <f aca="false">INDEX(Mitigation_Industry!Q:Q,MATCH($A471,Mitigation_Industry!$H:$H,0))</f>
        <v>0.12594200976474</v>
      </c>
      <c r="R471" s="22" t="n">
        <f aca="false">INDEX(Mitigation_Industry!R:R,MATCH($A471,Mitigation_Industry!$H:$H,0))</f>
        <v>0.123113265701861</v>
      </c>
      <c r="S471" s="22" t="n">
        <f aca="false">INDEX(Mitigation_Industry!S:S,MATCH($A471,Mitigation_Industry!$H:$H,0))</f>
        <v>0.119391738089068</v>
      </c>
      <c r="T471" s="22" t="n">
        <f aca="false">INDEX(Mitigation_Industry!T:T,MATCH($A471,Mitigation_Industry!$H:$H,0))</f>
        <v>0.11554419046792</v>
      </c>
      <c r="U471" s="22" t="n">
        <f aca="false">INDEX(Mitigation_Industry!U:U,MATCH($A471,Mitigation_Industry!$H:$H,0))</f>
        <v>0.114924230654159</v>
      </c>
      <c r="V471" s="22" t="n">
        <f aca="false">INDEX(Mitigation_Industry!V:V,MATCH($A471,Mitigation_Industry!$H:$H,0))</f>
        <v>0.114346912116736</v>
      </c>
      <c r="W471" s="22" t="n">
        <f aca="false">INDEX(Mitigation_Industry!W:W,MATCH($A471,Mitigation_Industry!$H:$H,0))</f>
        <v>0.113738711172664</v>
      </c>
      <c r="X471" s="22" t="n">
        <f aca="false">INDEX(Mitigation_Industry!X:X,MATCH($A471,Mitigation_Industry!$H:$H,0))</f>
        <v>0.112999900487521</v>
      </c>
      <c r="Y471" s="22" t="n">
        <f aca="false">INDEX(Mitigation_Industry!Y:Y,MATCH($A471,Mitigation_Industry!$H:$H,0))</f>
        <v>0.112177685835534</v>
      </c>
      <c r="Z471" s="22" t="n">
        <f aca="false">INDEX(Mitigation_Industry!Z:Z,MATCH($A471,Mitigation_Industry!$H:$H,0))</f>
        <v>0.111417903250404</v>
      </c>
      <c r="AA471" s="22" t="n">
        <f aca="false">INDEX(Mitigation_Industry!AA:AA,MATCH($A471,Mitigation_Industry!$H:$H,0))</f>
        <v>0.110525819985454</v>
      </c>
      <c r="AB471" s="22" t="n">
        <f aca="false">INDEX(Mitigation_Industry!AB:AB,MATCH($A471,Mitigation_Industry!$H:$H,0))</f>
        <v>0.109699565234896</v>
      </c>
      <c r="AC471" s="22" t="n">
        <f aca="false">INDEX(Mitigation_Industry!AC:AC,MATCH($A471,Mitigation_Industry!$H:$H,0))</f>
        <v>0.107726788963949</v>
      </c>
      <c r="AD471" s="22" t="n">
        <f aca="false">INDEX(Mitigation_Industry!AD:AD,MATCH($A471,Mitigation_Industry!$H:$H,0))</f>
        <v>0.105820924450935</v>
      </c>
      <c r="AE471" s="22" t="n">
        <f aca="false">INDEX(Mitigation_Industry!AE:AE,MATCH($A471,Mitigation_Industry!$H:$H,0))</f>
        <v>0.103855595705721</v>
      </c>
    </row>
    <row r="472" customFormat="false" ht="15" hidden="false" customHeight="false" outlineLevel="0" collapsed="false">
      <c r="A472" s="35" t="s">
        <v>1283</v>
      </c>
      <c r="B472" s="6" t="s">
        <v>73</v>
      </c>
      <c r="C472" s="6" t="s">
        <v>47</v>
      </c>
      <c r="D472" s="6" t="n">
        <v>2</v>
      </c>
      <c r="E472" s="2" t="s">
        <v>1167</v>
      </c>
      <c r="F472" s="40" t="n">
        <f aca="false">MAX(MAX(L472:AE472),-MIN(L472:AE472))</f>
        <v>-0</v>
      </c>
      <c r="K472" s="41" t="n">
        <f aca="false">IF(ISNUMBER(K470),IF(ISNUMBER(K471),K471-K470,999999),0)</f>
        <v>0</v>
      </c>
      <c r="L472" s="41" t="n">
        <f aca="false">IF(ISNUMBER(L470),IF(ISNUMBER(L471),L471-L470,999999),0)</f>
        <v>0</v>
      </c>
      <c r="M472" s="41" t="n">
        <f aca="false">IF(ISNUMBER(M470),IF(ISNUMBER(M471),M471-M470,999999),0)</f>
        <v>0</v>
      </c>
      <c r="N472" s="41" t="n">
        <f aca="false">IF(ISNUMBER(N470),IF(ISNUMBER(N471),N471-N470,999999),0)</f>
        <v>0</v>
      </c>
      <c r="O472" s="41" t="n">
        <f aca="false">IF(ISNUMBER(O470),IF(ISNUMBER(O471),O471-O470,999999),0)</f>
        <v>0</v>
      </c>
      <c r="P472" s="41" t="n">
        <f aca="false">IF(ISNUMBER(P470),IF(ISNUMBER(P471),P471-P470,999999),0)</f>
        <v>0</v>
      </c>
      <c r="Q472" s="41" t="n">
        <f aca="false">IF(ISNUMBER(Q470),IF(ISNUMBER(Q471),Q471-Q470,999999),0)</f>
        <v>0</v>
      </c>
      <c r="R472" s="41" t="n">
        <f aca="false">IF(ISNUMBER(R470),IF(ISNUMBER(R471),R471-R470,999999),0)</f>
        <v>0</v>
      </c>
      <c r="S472" s="41" t="n">
        <f aca="false">IF(ISNUMBER(S470),IF(ISNUMBER(S471),S471-S470,999999),0)</f>
        <v>0</v>
      </c>
      <c r="T472" s="41" t="n">
        <f aca="false">IF(ISNUMBER(T470),IF(ISNUMBER(T471),T471-T470,999999),0)</f>
        <v>0</v>
      </c>
      <c r="U472" s="41" t="n">
        <f aca="false">IF(ISNUMBER(U470),IF(ISNUMBER(U471),U471-U470,999999),0)</f>
        <v>0</v>
      </c>
      <c r="V472" s="41" t="n">
        <f aca="false">IF(ISNUMBER(V470),IF(ISNUMBER(V471),V471-V470,999999),0)</f>
        <v>0</v>
      </c>
      <c r="W472" s="41" t="n">
        <f aca="false">IF(ISNUMBER(W470),IF(ISNUMBER(W471),W471-W470,999999),0)</f>
        <v>0</v>
      </c>
      <c r="X472" s="41" t="n">
        <f aca="false">IF(ISNUMBER(X470),IF(ISNUMBER(X471),X471-X470,999999),0)</f>
        <v>0</v>
      </c>
      <c r="Y472" s="41" t="n">
        <f aca="false">IF(ISNUMBER(Y470),IF(ISNUMBER(Y471),Y471-Y470,999999),0)</f>
        <v>0</v>
      </c>
      <c r="Z472" s="41" t="n">
        <f aca="false">IF(ISNUMBER(Z470),IF(ISNUMBER(Z471),Z471-Z470,999999),0)</f>
        <v>0</v>
      </c>
      <c r="AA472" s="41" t="n">
        <f aca="false">IF(ISNUMBER(AA470),IF(ISNUMBER(AA471),AA471-AA470,999999),0)</f>
        <v>0</v>
      </c>
      <c r="AB472" s="41" t="n">
        <f aca="false">IF(ISNUMBER(AB470),IF(ISNUMBER(AB471),AB471-AB470,999999),0)</f>
        <v>0</v>
      </c>
      <c r="AC472" s="41" t="n">
        <f aca="false">IF(ISNUMBER(AC470),IF(ISNUMBER(AC471),AC471-AC470,999999),0)</f>
        <v>0</v>
      </c>
      <c r="AD472" s="41" t="n">
        <f aca="false">IF(ISNUMBER(AD470),IF(ISNUMBER(AD471),AD471-AD470,999999),0)</f>
        <v>0</v>
      </c>
      <c r="AE472" s="41" t="n">
        <f aca="false">IF(ISNUMBER(AE470),IF(ISNUMBER(AE471),AE471-AE470,999999),0)</f>
        <v>0</v>
      </c>
    </row>
    <row r="474" customFormat="false" ht="15" hidden="false" customHeight="false" outlineLevel="0" collapsed="false">
      <c r="A474" s="35" t="s">
        <v>1284</v>
      </c>
      <c r="B474" s="6" t="s">
        <v>53</v>
      </c>
      <c r="C474" s="6" t="s">
        <v>117</v>
      </c>
      <c r="D474" s="6" t="n">
        <v>2</v>
      </c>
      <c r="E474" s="6" t="s">
        <v>1165</v>
      </c>
      <c r="K474" s="22"/>
      <c r="L474" s="22" t="n">
        <v>10.5233613454312</v>
      </c>
      <c r="M474" s="22" t="n">
        <v>10.2995608274442</v>
      </c>
      <c r="N474" s="22" t="n">
        <v>9.57752835953826</v>
      </c>
      <c r="O474" s="22" t="n">
        <v>8.48547828695805</v>
      </c>
      <c r="P474" s="22" t="n">
        <v>9.08719223524986</v>
      </c>
      <c r="Q474" s="22" t="n">
        <v>10.4729237289327</v>
      </c>
      <c r="R474" s="22" t="n">
        <v>11.6585649555097</v>
      </c>
      <c r="S474" s="22" t="n">
        <v>12.8395478773974</v>
      </c>
      <c r="T474" s="22" t="n">
        <v>14.0156816660228</v>
      </c>
      <c r="U474" s="22" t="n">
        <v>15.1943977655571</v>
      </c>
      <c r="V474" s="22" t="n">
        <v>16.4443977655571</v>
      </c>
      <c r="W474" s="22" t="n">
        <v>17.6943977655571</v>
      </c>
      <c r="X474" s="22" t="n">
        <v>18.9443977655571</v>
      </c>
      <c r="Y474" s="22" t="n">
        <v>20.1943977655571</v>
      </c>
      <c r="Z474" s="22" t="n">
        <v>21.4443977655571</v>
      </c>
      <c r="AA474" s="22" t="n">
        <v>22.6943977655571</v>
      </c>
      <c r="AB474" s="22" t="n">
        <v>23.9443977655571</v>
      </c>
      <c r="AC474" s="22" t="n">
        <v>25.1943977655571</v>
      </c>
      <c r="AD474" s="22" t="n">
        <v>26.4443977655571</v>
      </c>
      <c r="AE474" s="22" t="n">
        <v>27.6943977655571</v>
      </c>
    </row>
    <row r="475" customFormat="false" ht="15" hidden="false" customHeight="false" outlineLevel="0" collapsed="false">
      <c r="A475" s="35" t="s">
        <v>1284</v>
      </c>
      <c r="B475" s="6" t="s">
        <v>53</v>
      </c>
      <c r="C475" s="6" t="s">
        <v>117</v>
      </c>
      <c r="D475" s="6" t="n">
        <v>2</v>
      </c>
      <c r="E475" s="6" t="s">
        <v>1166</v>
      </c>
      <c r="K475" s="22" t="n">
        <f aca="false">INDEX(Mitigation_Industry!K:K,MATCH($A475,Mitigation_Industry!$H:$H,0))</f>
        <v>11.1829015892439</v>
      </c>
      <c r="L475" s="22" t="n">
        <f aca="false">INDEX(Mitigation_Industry!L:L,MATCH($A475,Mitigation_Industry!$H:$H,0))</f>
        <v>10.5233613454312</v>
      </c>
      <c r="M475" s="22" t="n">
        <f aca="false">INDEX(Mitigation_Industry!M:M,MATCH($A475,Mitigation_Industry!$H:$H,0))</f>
        <v>10.2995608274442</v>
      </c>
      <c r="N475" s="22" t="n">
        <f aca="false">INDEX(Mitigation_Industry!N:N,MATCH($A475,Mitigation_Industry!$H:$H,0))</f>
        <v>9.57752835953826</v>
      </c>
      <c r="O475" s="22" t="n">
        <f aca="false">INDEX(Mitigation_Industry!O:O,MATCH($A475,Mitigation_Industry!$H:$H,0))</f>
        <v>8.48547828695805</v>
      </c>
      <c r="P475" s="22" t="n">
        <f aca="false">INDEX(Mitigation_Industry!P:P,MATCH($A475,Mitigation_Industry!$H:$H,0))</f>
        <v>9.08719223524986</v>
      </c>
      <c r="Q475" s="22" t="n">
        <f aca="false">INDEX(Mitigation_Industry!Q:Q,MATCH($A475,Mitigation_Industry!$H:$H,0))</f>
        <v>10.4729237289327</v>
      </c>
      <c r="R475" s="22" t="n">
        <f aca="false">INDEX(Mitigation_Industry!R:R,MATCH($A475,Mitigation_Industry!$H:$H,0))</f>
        <v>11.6585649555097</v>
      </c>
      <c r="S475" s="22" t="n">
        <f aca="false">INDEX(Mitigation_Industry!S:S,MATCH($A475,Mitigation_Industry!$H:$H,0))</f>
        <v>12.8395478773974</v>
      </c>
      <c r="T475" s="22" t="n">
        <f aca="false">INDEX(Mitigation_Industry!T:T,MATCH($A475,Mitigation_Industry!$H:$H,0))</f>
        <v>14.0156816660228</v>
      </c>
      <c r="U475" s="22" t="n">
        <f aca="false">INDEX(Mitigation_Industry!U:U,MATCH($A475,Mitigation_Industry!$H:$H,0))</f>
        <v>15.1943977655571</v>
      </c>
      <c r="V475" s="22" t="n">
        <f aca="false">INDEX(Mitigation_Industry!V:V,MATCH($A475,Mitigation_Industry!$H:$H,0))</f>
        <v>16.4443977655571</v>
      </c>
      <c r="W475" s="22" t="n">
        <f aca="false">INDEX(Mitigation_Industry!W:W,MATCH($A475,Mitigation_Industry!$H:$H,0))</f>
        <v>17.6943977655571</v>
      </c>
      <c r="X475" s="22" t="n">
        <f aca="false">INDEX(Mitigation_Industry!X:X,MATCH($A475,Mitigation_Industry!$H:$H,0))</f>
        <v>18.9443977655571</v>
      </c>
      <c r="Y475" s="22" t="n">
        <f aca="false">INDEX(Mitigation_Industry!Y:Y,MATCH($A475,Mitigation_Industry!$H:$H,0))</f>
        <v>20.1943977655571</v>
      </c>
      <c r="Z475" s="22" t="n">
        <f aca="false">INDEX(Mitigation_Industry!Z:Z,MATCH($A475,Mitigation_Industry!$H:$H,0))</f>
        <v>21.4443977655571</v>
      </c>
      <c r="AA475" s="22" t="n">
        <f aca="false">INDEX(Mitigation_Industry!AA:AA,MATCH($A475,Mitigation_Industry!$H:$H,0))</f>
        <v>22.6943977655571</v>
      </c>
      <c r="AB475" s="22" t="n">
        <f aca="false">INDEX(Mitigation_Industry!AB:AB,MATCH($A475,Mitigation_Industry!$H:$H,0))</f>
        <v>23.9443977655571</v>
      </c>
      <c r="AC475" s="22" t="n">
        <f aca="false">INDEX(Mitigation_Industry!AC:AC,MATCH($A475,Mitigation_Industry!$H:$H,0))</f>
        <v>25.1943977655571</v>
      </c>
      <c r="AD475" s="22" t="n">
        <f aca="false">INDEX(Mitigation_Industry!AD:AD,MATCH($A475,Mitigation_Industry!$H:$H,0))</f>
        <v>26.4443977655571</v>
      </c>
      <c r="AE475" s="22" t="n">
        <f aca="false">INDEX(Mitigation_Industry!AE:AE,MATCH($A475,Mitigation_Industry!$H:$H,0))</f>
        <v>27.6943977655571</v>
      </c>
    </row>
    <row r="476" customFormat="false" ht="15" hidden="false" customHeight="false" outlineLevel="0" collapsed="false">
      <c r="A476" s="35" t="s">
        <v>1284</v>
      </c>
      <c r="B476" s="6" t="s">
        <v>53</v>
      </c>
      <c r="C476" s="6" t="s">
        <v>117</v>
      </c>
      <c r="D476" s="6" t="n">
        <v>2</v>
      </c>
      <c r="E476" s="2" t="s">
        <v>1167</v>
      </c>
      <c r="F476" s="40" t="n">
        <f aca="false">MAX(MAX(L476:AE476),-MIN(L476:AE476))</f>
        <v>-0</v>
      </c>
      <c r="K476" s="41" t="n">
        <f aca="false">IF(ISNUMBER(K474),IF(ISNUMBER(K475),K475-K474,999999),0)</f>
        <v>0</v>
      </c>
      <c r="L476" s="41" t="n">
        <f aca="false">IF(ISNUMBER(L474),IF(ISNUMBER(L475),L475-L474,999999),0)</f>
        <v>0</v>
      </c>
      <c r="M476" s="41" t="n">
        <f aca="false">IF(ISNUMBER(M474),IF(ISNUMBER(M475),M475-M474,999999),0)</f>
        <v>0</v>
      </c>
      <c r="N476" s="41" t="n">
        <f aca="false">IF(ISNUMBER(N474),IF(ISNUMBER(N475),N475-N474,999999),0)</f>
        <v>0</v>
      </c>
      <c r="O476" s="41" t="n">
        <f aca="false">IF(ISNUMBER(O474),IF(ISNUMBER(O475),O475-O474,999999),0)</f>
        <v>0</v>
      </c>
      <c r="P476" s="41" t="n">
        <f aca="false">IF(ISNUMBER(P474),IF(ISNUMBER(P475),P475-P474,999999),0)</f>
        <v>0</v>
      </c>
      <c r="Q476" s="41" t="n">
        <f aca="false">IF(ISNUMBER(Q474),IF(ISNUMBER(Q475),Q475-Q474,999999),0)</f>
        <v>0</v>
      </c>
      <c r="R476" s="41" t="n">
        <f aca="false">IF(ISNUMBER(R474),IF(ISNUMBER(R475),R475-R474,999999),0)</f>
        <v>0</v>
      </c>
      <c r="S476" s="41" t="n">
        <f aca="false">IF(ISNUMBER(S474),IF(ISNUMBER(S475),S475-S474,999999),0)</f>
        <v>0</v>
      </c>
      <c r="T476" s="41" t="n">
        <f aca="false">IF(ISNUMBER(T474),IF(ISNUMBER(T475),T475-T474,999999),0)</f>
        <v>0</v>
      </c>
      <c r="U476" s="41" t="n">
        <f aca="false">IF(ISNUMBER(U474),IF(ISNUMBER(U475),U475-U474,999999),0)</f>
        <v>0</v>
      </c>
      <c r="V476" s="41" t="n">
        <f aca="false">IF(ISNUMBER(V474),IF(ISNUMBER(V475),V475-V474,999999),0)</f>
        <v>0</v>
      </c>
      <c r="W476" s="41" t="n">
        <f aca="false">IF(ISNUMBER(W474),IF(ISNUMBER(W475),W475-W474,999999),0)</f>
        <v>0</v>
      </c>
      <c r="X476" s="41" t="n">
        <f aca="false">IF(ISNUMBER(X474),IF(ISNUMBER(X475),X475-X474,999999),0)</f>
        <v>0</v>
      </c>
      <c r="Y476" s="41" t="n">
        <f aca="false">IF(ISNUMBER(Y474),IF(ISNUMBER(Y475),Y475-Y474,999999),0)</f>
        <v>0</v>
      </c>
      <c r="Z476" s="41" t="n">
        <f aca="false">IF(ISNUMBER(Z474),IF(ISNUMBER(Z475),Z475-Z474,999999),0)</f>
        <v>0</v>
      </c>
      <c r="AA476" s="41" t="n">
        <f aca="false">IF(ISNUMBER(AA474),IF(ISNUMBER(AA475),AA475-AA474,999999),0)</f>
        <v>0</v>
      </c>
      <c r="AB476" s="41" t="n">
        <f aca="false">IF(ISNUMBER(AB474),IF(ISNUMBER(AB475),AB475-AB474,999999),0)</f>
        <v>0</v>
      </c>
      <c r="AC476" s="41" t="n">
        <f aca="false">IF(ISNUMBER(AC474),IF(ISNUMBER(AC475),AC475-AC474,999999),0)</f>
        <v>0</v>
      </c>
      <c r="AD476" s="41" t="n">
        <f aca="false">IF(ISNUMBER(AD474),IF(ISNUMBER(AD475),AD475-AD474,999999),0)</f>
        <v>0</v>
      </c>
      <c r="AE476" s="41" t="n">
        <f aca="false">IF(ISNUMBER(AE474),IF(ISNUMBER(AE475),AE475-AE474,999999),0)</f>
        <v>0</v>
      </c>
    </row>
    <row r="478" customFormat="false" ht="15" hidden="false" customHeight="false" outlineLevel="0" collapsed="false">
      <c r="A478" s="35" t="s">
        <v>1285</v>
      </c>
      <c r="B478" s="6" t="s">
        <v>57</v>
      </c>
      <c r="C478" s="6" t="s">
        <v>117</v>
      </c>
      <c r="D478" s="6" t="n">
        <v>2</v>
      </c>
      <c r="E478" s="6" t="s">
        <v>1165</v>
      </c>
      <c r="K478" s="22"/>
      <c r="L478" s="22" t="n">
        <v>5.45101508161919</v>
      </c>
      <c r="M478" s="22" t="n">
        <v>5.11935630626248</v>
      </c>
      <c r="N478" s="22" t="n">
        <v>5.08218458640407</v>
      </c>
      <c r="O478" s="22" t="n">
        <v>5.08218458640407</v>
      </c>
      <c r="P478" s="22" t="n">
        <v>5.08218458640407</v>
      </c>
      <c r="Q478" s="22" t="n">
        <v>5.77968458640407</v>
      </c>
      <c r="R478" s="22" t="n">
        <v>6.47718458640407</v>
      </c>
      <c r="S478" s="22" t="n">
        <v>7.17468458640407</v>
      </c>
      <c r="T478" s="22" t="n">
        <v>7.87218458640407</v>
      </c>
      <c r="U478" s="22" t="n">
        <v>8.56968458640407</v>
      </c>
      <c r="V478" s="22" t="n">
        <v>9.26718458640407</v>
      </c>
      <c r="W478" s="22" t="n">
        <v>9.96468458640407</v>
      </c>
      <c r="X478" s="22" t="n">
        <v>10.6621845864041</v>
      </c>
      <c r="Y478" s="22" t="n">
        <v>11.3596845864041</v>
      </c>
      <c r="Z478" s="22" t="n">
        <v>12.0571845864041</v>
      </c>
      <c r="AA478" s="22" t="n">
        <v>12.7546845864041</v>
      </c>
      <c r="AB478" s="22" t="n">
        <v>13.4521845864041</v>
      </c>
      <c r="AC478" s="22" t="n">
        <v>14.1496845864041</v>
      </c>
      <c r="AD478" s="22" t="n">
        <v>14.8471845864041</v>
      </c>
      <c r="AE478" s="22" t="n">
        <v>15.5446845864041</v>
      </c>
    </row>
    <row r="479" customFormat="false" ht="15" hidden="false" customHeight="false" outlineLevel="0" collapsed="false">
      <c r="A479" s="35" t="s">
        <v>1285</v>
      </c>
      <c r="B479" s="6" t="s">
        <v>57</v>
      </c>
      <c r="C479" s="6" t="s">
        <v>117</v>
      </c>
      <c r="D479" s="6" t="n">
        <v>2</v>
      </c>
      <c r="E479" s="6" t="s">
        <v>1166</v>
      </c>
      <c r="K479" s="22" t="n">
        <f aca="false">INDEX(Mitigation_Industry!K:K,MATCH($A479,Mitigation_Industry!$H:$H,0))</f>
        <v>6.06346361567291</v>
      </c>
      <c r="L479" s="22" t="n">
        <f aca="false">INDEX(Mitigation_Industry!L:L,MATCH($A479,Mitigation_Industry!$H:$H,0))</f>
        <v>5.45101508161919</v>
      </c>
      <c r="M479" s="22" t="n">
        <f aca="false">INDEX(Mitigation_Industry!M:M,MATCH($A479,Mitigation_Industry!$H:$H,0))</f>
        <v>5.11935630626248</v>
      </c>
      <c r="N479" s="22" t="n">
        <f aca="false">INDEX(Mitigation_Industry!N:N,MATCH($A479,Mitigation_Industry!$H:$H,0))</f>
        <v>5.08218458640407</v>
      </c>
      <c r="O479" s="22" t="n">
        <f aca="false">INDEX(Mitigation_Industry!O:O,MATCH($A479,Mitigation_Industry!$H:$H,0))</f>
        <v>5.08218458640407</v>
      </c>
      <c r="P479" s="22" t="n">
        <f aca="false">INDEX(Mitigation_Industry!P:P,MATCH($A479,Mitigation_Industry!$H:$H,0))</f>
        <v>5.08218458640407</v>
      </c>
      <c r="Q479" s="22" t="n">
        <f aca="false">INDEX(Mitigation_Industry!Q:Q,MATCH($A479,Mitigation_Industry!$H:$H,0))</f>
        <v>5.77968458640407</v>
      </c>
      <c r="R479" s="22" t="n">
        <f aca="false">INDEX(Mitigation_Industry!R:R,MATCH($A479,Mitigation_Industry!$H:$H,0))</f>
        <v>6.47718458640407</v>
      </c>
      <c r="S479" s="22" t="n">
        <f aca="false">INDEX(Mitigation_Industry!S:S,MATCH($A479,Mitigation_Industry!$H:$H,0))</f>
        <v>7.17468458640407</v>
      </c>
      <c r="T479" s="22" t="n">
        <f aca="false">INDEX(Mitigation_Industry!T:T,MATCH($A479,Mitigation_Industry!$H:$H,0))</f>
        <v>7.87218458640407</v>
      </c>
      <c r="U479" s="22" t="n">
        <f aca="false">INDEX(Mitigation_Industry!U:U,MATCH($A479,Mitigation_Industry!$H:$H,0))</f>
        <v>8.56968458640407</v>
      </c>
      <c r="V479" s="22" t="n">
        <f aca="false">INDEX(Mitigation_Industry!V:V,MATCH($A479,Mitigation_Industry!$H:$H,0))</f>
        <v>9.26718458640407</v>
      </c>
      <c r="W479" s="22" t="n">
        <f aca="false">INDEX(Mitigation_Industry!W:W,MATCH($A479,Mitigation_Industry!$H:$H,0))</f>
        <v>9.96468458640407</v>
      </c>
      <c r="X479" s="22" t="n">
        <f aca="false">INDEX(Mitigation_Industry!X:X,MATCH($A479,Mitigation_Industry!$H:$H,0))</f>
        <v>10.6621845864041</v>
      </c>
      <c r="Y479" s="22" t="n">
        <f aca="false">INDEX(Mitigation_Industry!Y:Y,MATCH($A479,Mitigation_Industry!$H:$H,0))</f>
        <v>11.3596845864041</v>
      </c>
      <c r="Z479" s="22" t="n">
        <f aca="false">INDEX(Mitigation_Industry!Z:Z,MATCH($A479,Mitigation_Industry!$H:$H,0))</f>
        <v>12.0571845864041</v>
      </c>
      <c r="AA479" s="22" t="n">
        <f aca="false">INDEX(Mitigation_Industry!AA:AA,MATCH($A479,Mitigation_Industry!$H:$H,0))</f>
        <v>12.7546845864041</v>
      </c>
      <c r="AB479" s="22" t="n">
        <f aca="false">INDEX(Mitigation_Industry!AB:AB,MATCH($A479,Mitigation_Industry!$H:$H,0))</f>
        <v>13.4521845864041</v>
      </c>
      <c r="AC479" s="22" t="n">
        <f aca="false">INDEX(Mitigation_Industry!AC:AC,MATCH($A479,Mitigation_Industry!$H:$H,0))</f>
        <v>14.1496845864041</v>
      </c>
      <c r="AD479" s="22" t="n">
        <f aca="false">INDEX(Mitigation_Industry!AD:AD,MATCH($A479,Mitigation_Industry!$H:$H,0))</f>
        <v>14.8471845864041</v>
      </c>
      <c r="AE479" s="22" t="n">
        <f aca="false">INDEX(Mitigation_Industry!AE:AE,MATCH($A479,Mitigation_Industry!$H:$H,0))</f>
        <v>15.5446845864041</v>
      </c>
    </row>
    <row r="480" customFormat="false" ht="15" hidden="false" customHeight="false" outlineLevel="0" collapsed="false">
      <c r="A480" s="35" t="s">
        <v>1285</v>
      </c>
      <c r="B480" s="6" t="s">
        <v>57</v>
      </c>
      <c r="C480" s="6" t="s">
        <v>117</v>
      </c>
      <c r="D480" s="6" t="n">
        <v>2</v>
      </c>
      <c r="E480" s="2" t="s">
        <v>1167</v>
      </c>
      <c r="F480" s="40" t="n">
        <f aca="false">MAX(MAX(L480:AE480),-MIN(L480:AE480))</f>
        <v>-0</v>
      </c>
      <c r="K480" s="41" t="n">
        <f aca="false">IF(ISNUMBER(K478),IF(ISNUMBER(K479),K479-K478,999999),0)</f>
        <v>0</v>
      </c>
      <c r="L480" s="41" t="n">
        <f aca="false">IF(ISNUMBER(L478),IF(ISNUMBER(L479),L479-L478,999999),0)</f>
        <v>0</v>
      </c>
      <c r="M480" s="41" t="n">
        <f aca="false">IF(ISNUMBER(M478),IF(ISNUMBER(M479),M479-M478,999999),0)</f>
        <v>0</v>
      </c>
      <c r="N480" s="41" t="n">
        <f aca="false">IF(ISNUMBER(N478),IF(ISNUMBER(N479),N479-N478,999999),0)</f>
        <v>0</v>
      </c>
      <c r="O480" s="41" t="n">
        <f aca="false">IF(ISNUMBER(O478),IF(ISNUMBER(O479),O479-O478,999999),0)</f>
        <v>0</v>
      </c>
      <c r="P480" s="41" t="n">
        <f aca="false">IF(ISNUMBER(P478),IF(ISNUMBER(P479),P479-P478,999999),0)</f>
        <v>0</v>
      </c>
      <c r="Q480" s="41" t="n">
        <f aca="false">IF(ISNUMBER(Q478),IF(ISNUMBER(Q479),Q479-Q478,999999),0)</f>
        <v>0</v>
      </c>
      <c r="R480" s="41" t="n">
        <f aca="false">IF(ISNUMBER(R478),IF(ISNUMBER(R479),R479-R478,999999),0)</f>
        <v>0</v>
      </c>
      <c r="S480" s="41" t="n">
        <f aca="false">IF(ISNUMBER(S478),IF(ISNUMBER(S479),S479-S478,999999),0)</f>
        <v>0</v>
      </c>
      <c r="T480" s="41" t="n">
        <f aca="false">IF(ISNUMBER(T478),IF(ISNUMBER(T479),T479-T478,999999),0)</f>
        <v>0</v>
      </c>
      <c r="U480" s="41" t="n">
        <f aca="false">IF(ISNUMBER(U478),IF(ISNUMBER(U479),U479-U478,999999),0)</f>
        <v>0</v>
      </c>
      <c r="V480" s="41" t="n">
        <f aca="false">IF(ISNUMBER(V478),IF(ISNUMBER(V479),V479-V478,999999),0)</f>
        <v>0</v>
      </c>
      <c r="W480" s="41" t="n">
        <f aca="false">IF(ISNUMBER(W478),IF(ISNUMBER(W479),W479-W478,999999),0)</f>
        <v>0</v>
      </c>
      <c r="X480" s="41" t="n">
        <f aca="false">IF(ISNUMBER(X478),IF(ISNUMBER(X479),X479-X478,999999),0)</f>
        <v>0</v>
      </c>
      <c r="Y480" s="41" t="n">
        <f aca="false">IF(ISNUMBER(Y478),IF(ISNUMBER(Y479),Y479-Y478,999999),0)</f>
        <v>0</v>
      </c>
      <c r="Z480" s="41" t="n">
        <f aca="false">IF(ISNUMBER(Z478),IF(ISNUMBER(Z479),Z479-Z478,999999),0)</f>
        <v>0</v>
      </c>
      <c r="AA480" s="41" t="n">
        <f aca="false">IF(ISNUMBER(AA478),IF(ISNUMBER(AA479),AA479-AA478,999999),0)</f>
        <v>0</v>
      </c>
      <c r="AB480" s="41" t="n">
        <f aca="false">IF(ISNUMBER(AB478),IF(ISNUMBER(AB479),AB479-AB478,999999),0)</f>
        <v>0</v>
      </c>
      <c r="AC480" s="41" t="n">
        <f aca="false">IF(ISNUMBER(AC478),IF(ISNUMBER(AC479),AC479-AC478,999999),0)</f>
        <v>0</v>
      </c>
      <c r="AD480" s="41" t="n">
        <f aca="false">IF(ISNUMBER(AD478),IF(ISNUMBER(AD479),AD479-AD478,999999),0)</f>
        <v>0</v>
      </c>
      <c r="AE480" s="41" t="n">
        <f aca="false">IF(ISNUMBER(AE478),IF(ISNUMBER(AE479),AE479-AE478,999999),0)</f>
        <v>0</v>
      </c>
    </row>
    <row r="482" customFormat="false" ht="15" hidden="false" customHeight="false" outlineLevel="0" collapsed="false">
      <c r="A482" s="35" t="s">
        <v>1286</v>
      </c>
      <c r="B482" s="6" t="s">
        <v>59</v>
      </c>
      <c r="C482" s="6" t="s">
        <v>117</v>
      </c>
      <c r="D482" s="6" t="n">
        <v>2</v>
      </c>
      <c r="E482" s="6" t="s">
        <v>1165</v>
      </c>
      <c r="K482" s="22"/>
      <c r="L482" s="22" t="n">
        <v>0.611977976791406</v>
      </c>
      <c r="M482" s="22" t="n">
        <v>0.611809749641876</v>
      </c>
      <c r="N482" s="22" t="n">
        <v>0.603583100177906</v>
      </c>
      <c r="O482" s="22" t="n">
        <v>0.603583100177906</v>
      </c>
      <c r="P482" s="22" t="n">
        <v>0.603583100177906</v>
      </c>
      <c r="Q482" s="22" t="n">
        <v>0.632510943349406</v>
      </c>
      <c r="R482" s="22" t="n">
        <v>0.661438786520906</v>
      </c>
      <c r="S482" s="22" t="n">
        <v>0.690366629692406</v>
      </c>
      <c r="T482" s="22" t="n">
        <v>0.719294472863906</v>
      </c>
      <c r="U482" s="22" t="n">
        <v>0.748222316035406</v>
      </c>
      <c r="V482" s="22" t="n">
        <v>0.777150159206906</v>
      </c>
      <c r="W482" s="22" t="n">
        <v>0.806078002378406</v>
      </c>
      <c r="X482" s="22" t="n">
        <v>0.835005845549906</v>
      </c>
      <c r="Y482" s="22" t="n">
        <v>0.863933688721406</v>
      </c>
      <c r="Z482" s="22" t="n">
        <v>0.892861531892906</v>
      </c>
      <c r="AA482" s="22" t="n">
        <v>0.921789375064406</v>
      </c>
      <c r="AB482" s="22" t="n">
        <v>0.950717218235906</v>
      </c>
      <c r="AC482" s="22" t="n">
        <v>0.979645061407406</v>
      </c>
      <c r="AD482" s="22" t="n">
        <v>1.00857290457891</v>
      </c>
      <c r="AE482" s="22" t="n">
        <v>1.03750074775041</v>
      </c>
    </row>
    <row r="483" customFormat="false" ht="15" hidden="false" customHeight="false" outlineLevel="0" collapsed="false">
      <c r="A483" s="35" t="s">
        <v>1286</v>
      </c>
      <c r="B483" s="6" t="s">
        <v>59</v>
      </c>
      <c r="C483" s="6" t="s">
        <v>117</v>
      </c>
      <c r="D483" s="6" t="n">
        <v>2</v>
      </c>
      <c r="E483" s="6" t="s">
        <v>1166</v>
      </c>
      <c r="K483" s="22" t="n">
        <f aca="false">INDEX(Mitigation_Industry!K:K,MATCH($A483,Mitigation_Industry!$H:$H,0))</f>
        <v>0.671146533321816</v>
      </c>
      <c r="L483" s="22" t="n">
        <f aca="false">INDEX(Mitigation_Industry!L:L,MATCH($A483,Mitigation_Industry!$H:$H,0))</f>
        <v>0.611977976791406</v>
      </c>
      <c r="M483" s="22" t="n">
        <f aca="false">INDEX(Mitigation_Industry!M:M,MATCH($A483,Mitigation_Industry!$H:$H,0))</f>
        <v>0.611809749641876</v>
      </c>
      <c r="N483" s="22" t="n">
        <f aca="false">INDEX(Mitigation_Industry!N:N,MATCH($A483,Mitigation_Industry!$H:$H,0))</f>
        <v>0.603583100177906</v>
      </c>
      <c r="O483" s="22" t="n">
        <f aca="false">INDEX(Mitigation_Industry!O:O,MATCH($A483,Mitigation_Industry!$H:$H,0))</f>
        <v>0.603583100177906</v>
      </c>
      <c r="P483" s="22" t="n">
        <f aca="false">INDEX(Mitigation_Industry!P:P,MATCH($A483,Mitigation_Industry!$H:$H,0))</f>
        <v>0.603583100177906</v>
      </c>
      <c r="Q483" s="22" t="n">
        <f aca="false">INDEX(Mitigation_Industry!Q:Q,MATCH($A483,Mitigation_Industry!$H:$H,0))</f>
        <v>0.632510943349406</v>
      </c>
      <c r="R483" s="22" t="n">
        <f aca="false">INDEX(Mitigation_Industry!R:R,MATCH($A483,Mitigation_Industry!$H:$H,0))</f>
        <v>0.661438786520906</v>
      </c>
      <c r="S483" s="22" t="n">
        <f aca="false">INDEX(Mitigation_Industry!S:S,MATCH($A483,Mitigation_Industry!$H:$H,0))</f>
        <v>0.690366629692406</v>
      </c>
      <c r="T483" s="22" t="n">
        <f aca="false">INDEX(Mitigation_Industry!T:T,MATCH($A483,Mitigation_Industry!$H:$H,0))</f>
        <v>0.719294472863906</v>
      </c>
      <c r="U483" s="22" t="n">
        <f aca="false">INDEX(Mitigation_Industry!U:U,MATCH($A483,Mitigation_Industry!$H:$H,0))</f>
        <v>0.748222316035406</v>
      </c>
      <c r="V483" s="22" t="n">
        <f aca="false">INDEX(Mitigation_Industry!V:V,MATCH($A483,Mitigation_Industry!$H:$H,0))</f>
        <v>0.777150159206905</v>
      </c>
      <c r="W483" s="22" t="n">
        <f aca="false">INDEX(Mitigation_Industry!W:W,MATCH($A483,Mitigation_Industry!$H:$H,0))</f>
        <v>0.806078002378406</v>
      </c>
      <c r="X483" s="22" t="n">
        <f aca="false">INDEX(Mitigation_Industry!X:X,MATCH($A483,Mitigation_Industry!$H:$H,0))</f>
        <v>0.835005845549906</v>
      </c>
      <c r="Y483" s="22" t="n">
        <f aca="false">INDEX(Mitigation_Industry!Y:Y,MATCH($A483,Mitigation_Industry!$H:$H,0))</f>
        <v>0.863933688721406</v>
      </c>
      <c r="Z483" s="22" t="n">
        <f aca="false">INDEX(Mitigation_Industry!Z:Z,MATCH($A483,Mitigation_Industry!$H:$H,0))</f>
        <v>0.892861531892906</v>
      </c>
      <c r="AA483" s="22" t="n">
        <f aca="false">INDEX(Mitigation_Industry!AA:AA,MATCH($A483,Mitigation_Industry!$H:$H,0))</f>
        <v>0.921789375064406</v>
      </c>
      <c r="AB483" s="22" t="n">
        <f aca="false">INDEX(Mitigation_Industry!AB:AB,MATCH($A483,Mitigation_Industry!$H:$H,0))</f>
        <v>0.950717218235906</v>
      </c>
      <c r="AC483" s="22" t="n">
        <f aca="false">INDEX(Mitigation_Industry!AC:AC,MATCH($A483,Mitigation_Industry!$H:$H,0))</f>
        <v>0.979645061407406</v>
      </c>
      <c r="AD483" s="22" t="n">
        <f aca="false">INDEX(Mitigation_Industry!AD:AD,MATCH($A483,Mitigation_Industry!$H:$H,0))</f>
        <v>1.00857290457891</v>
      </c>
      <c r="AE483" s="22" t="n">
        <f aca="false">INDEX(Mitigation_Industry!AE:AE,MATCH($A483,Mitigation_Industry!$H:$H,0))</f>
        <v>1.03750074775041</v>
      </c>
    </row>
    <row r="484" customFormat="false" ht="15" hidden="false" customHeight="false" outlineLevel="0" collapsed="false">
      <c r="A484" s="35" t="s">
        <v>1286</v>
      </c>
      <c r="B484" s="6" t="s">
        <v>59</v>
      </c>
      <c r="C484" s="6" t="s">
        <v>117</v>
      </c>
      <c r="D484" s="6" t="n">
        <v>2</v>
      </c>
      <c r="E484" s="2" t="s">
        <v>1167</v>
      </c>
      <c r="F484" s="40" t="n">
        <f aca="false">MAX(MAX(L484:AE484),-MIN(L484:AE484))</f>
        <v>-0</v>
      </c>
      <c r="K484" s="41" t="n">
        <f aca="false">IF(ISNUMBER(K482),IF(ISNUMBER(K483),K483-K482,999999),0)</f>
        <v>0</v>
      </c>
      <c r="L484" s="41" t="n">
        <f aca="false">IF(ISNUMBER(L482),IF(ISNUMBER(L483),L483-L482,999999),0)</f>
        <v>0</v>
      </c>
      <c r="M484" s="41" t="n">
        <f aca="false">IF(ISNUMBER(M482),IF(ISNUMBER(M483),M483-M482,999999),0)</f>
        <v>0</v>
      </c>
      <c r="N484" s="41" t="n">
        <f aca="false">IF(ISNUMBER(N482),IF(ISNUMBER(N483),N483-N482,999999),0)</f>
        <v>0</v>
      </c>
      <c r="O484" s="41" t="n">
        <f aca="false">IF(ISNUMBER(O482),IF(ISNUMBER(O483),O483-O482,999999),0)</f>
        <v>0</v>
      </c>
      <c r="P484" s="41" t="n">
        <f aca="false">IF(ISNUMBER(P482),IF(ISNUMBER(P483),P483-P482,999999),0)</f>
        <v>0</v>
      </c>
      <c r="Q484" s="41" t="n">
        <f aca="false">IF(ISNUMBER(Q482),IF(ISNUMBER(Q483),Q483-Q482,999999),0)</f>
        <v>0</v>
      </c>
      <c r="R484" s="41" t="n">
        <f aca="false">IF(ISNUMBER(R482),IF(ISNUMBER(R483),R483-R482,999999),0)</f>
        <v>0</v>
      </c>
      <c r="S484" s="41" t="n">
        <f aca="false">IF(ISNUMBER(S482),IF(ISNUMBER(S483),S483-S482,999999),0)</f>
        <v>0</v>
      </c>
      <c r="T484" s="41" t="n">
        <f aca="false">IF(ISNUMBER(T482),IF(ISNUMBER(T483),T483-T482,999999),0)</f>
        <v>0</v>
      </c>
      <c r="U484" s="41" t="n">
        <f aca="false">IF(ISNUMBER(U482),IF(ISNUMBER(U483),U483-U482,999999),0)</f>
        <v>0</v>
      </c>
      <c r="V484" s="41" t="n">
        <f aca="false">IF(ISNUMBER(V482),IF(ISNUMBER(V483),V483-V482,999999),0)</f>
        <v>0</v>
      </c>
      <c r="W484" s="41" t="n">
        <f aca="false">IF(ISNUMBER(W482),IF(ISNUMBER(W483),W483-W482,999999),0)</f>
        <v>0</v>
      </c>
      <c r="X484" s="41" t="n">
        <f aca="false">IF(ISNUMBER(X482),IF(ISNUMBER(X483),X483-X482,999999),0)</f>
        <v>0</v>
      </c>
      <c r="Y484" s="41" t="n">
        <f aca="false">IF(ISNUMBER(Y482),IF(ISNUMBER(Y483),Y483-Y482,999999),0)</f>
        <v>0</v>
      </c>
      <c r="Z484" s="41" t="n">
        <f aca="false">IF(ISNUMBER(Z482),IF(ISNUMBER(Z483),Z483-Z482,999999),0)</f>
        <v>0</v>
      </c>
      <c r="AA484" s="41" t="n">
        <f aca="false">IF(ISNUMBER(AA482),IF(ISNUMBER(AA483),AA483-AA482,999999),0)</f>
        <v>0</v>
      </c>
      <c r="AB484" s="41" t="n">
        <f aca="false">IF(ISNUMBER(AB482),IF(ISNUMBER(AB483),AB483-AB482,999999),0)</f>
        <v>0</v>
      </c>
      <c r="AC484" s="41" t="n">
        <f aca="false">IF(ISNUMBER(AC482),IF(ISNUMBER(AC483),AC483-AC482,999999),0)</f>
        <v>0</v>
      </c>
      <c r="AD484" s="41" t="n">
        <f aca="false">IF(ISNUMBER(AD482),IF(ISNUMBER(AD483),AD483-AD482,999999),0)</f>
        <v>0</v>
      </c>
      <c r="AE484" s="41" t="n">
        <f aca="false">IF(ISNUMBER(AE482),IF(ISNUMBER(AE483),AE483-AE482,999999),0)</f>
        <v>0</v>
      </c>
    </row>
    <row r="486" customFormat="false" ht="15" hidden="false" customHeight="false" outlineLevel="0" collapsed="false">
      <c r="A486" s="35" t="s">
        <v>1287</v>
      </c>
      <c r="B486" s="6" t="s">
        <v>62</v>
      </c>
      <c r="C486" s="6" t="s">
        <v>117</v>
      </c>
      <c r="D486" s="6" t="n">
        <v>2</v>
      </c>
      <c r="E486" s="6" t="s">
        <v>1165</v>
      </c>
      <c r="K486" s="22"/>
      <c r="L486" s="22" t="n">
        <v>0.494588730841068</v>
      </c>
      <c r="M486" s="22" t="n">
        <v>0.507786547202501</v>
      </c>
      <c r="N486" s="22" t="n">
        <v>0.470436426795617</v>
      </c>
      <c r="O486" s="22" t="n">
        <v>0.470436426795617</v>
      </c>
      <c r="P486" s="22" t="n">
        <v>0.470436426795617</v>
      </c>
      <c r="Q486" s="22" t="n">
        <v>0.503446865654492</v>
      </c>
      <c r="R486" s="22" t="n">
        <v>0.536457304513367</v>
      </c>
      <c r="S486" s="22" t="n">
        <v>0.569467743372242</v>
      </c>
      <c r="T486" s="22" t="n">
        <v>0.602478182231117</v>
      </c>
      <c r="U486" s="22" t="n">
        <v>0.635488621089992</v>
      </c>
      <c r="V486" s="22" t="n">
        <v>0.668499059948867</v>
      </c>
      <c r="W486" s="22" t="n">
        <v>0.701509498807742</v>
      </c>
      <c r="X486" s="22" t="n">
        <v>0.734519937666617</v>
      </c>
      <c r="Y486" s="22" t="n">
        <v>0.767530376525492</v>
      </c>
      <c r="Z486" s="22" t="n">
        <v>0.800540815384367</v>
      </c>
      <c r="AA486" s="22" t="n">
        <v>0.833551254243242</v>
      </c>
      <c r="AB486" s="22" t="n">
        <v>0.866561693102117</v>
      </c>
      <c r="AC486" s="22" t="n">
        <v>0.899572131960992</v>
      </c>
      <c r="AD486" s="22" t="n">
        <v>0.932582570819867</v>
      </c>
      <c r="AE486" s="22" t="n">
        <v>0.965593009678742</v>
      </c>
    </row>
    <row r="487" customFormat="false" ht="15" hidden="false" customHeight="false" outlineLevel="0" collapsed="false">
      <c r="A487" s="35" t="s">
        <v>1287</v>
      </c>
      <c r="B487" s="6" t="s">
        <v>62</v>
      </c>
      <c r="C487" s="6" t="s">
        <v>117</v>
      </c>
      <c r="D487" s="6" t="n">
        <v>2</v>
      </c>
      <c r="E487" s="6" t="s">
        <v>1166</v>
      </c>
      <c r="K487" s="22" t="n">
        <f aca="false">INDEX(Mitigation_Industry!K:K,MATCH($A487,Mitigation_Industry!$H:$H,0))</f>
        <v>0.559711213155688</v>
      </c>
      <c r="L487" s="22" t="n">
        <f aca="false">INDEX(Mitigation_Industry!L:L,MATCH($A487,Mitigation_Industry!$H:$H,0))</f>
        <v>0.494588730841068</v>
      </c>
      <c r="M487" s="22" t="n">
        <f aca="false">INDEX(Mitigation_Industry!M:M,MATCH($A487,Mitigation_Industry!$H:$H,0))</f>
        <v>0.507786547202501</v>
      </c>
      <c r="N487" s="22" t="n">
        <f aca="false">INDEX(Mitigation_Industry!N:N,MATCH($A487,Mitigation_Industry!$H:$H,0))</f>
        <v>0.470436426795617</v>
      </c>
      <c r="O487" s="22" t="n">
        <f aca="false">INDEX(Mitigation_Industry!O:O,MATCH($A487,Mitigation_Industry!$H:$H,0))</f>
        <v>0.470436426795617</v>
      </c>
      <c r="P487" s="22" t="n">
        <f aca="false">INDEX(Mitigation_Industry!P:P,MATCH($A487,Mitigation_Industry!$H:$H,0))</f>
        <v>0.470436426795617</v>
      </c>
      <c r="Q487" s="22" t="n">
        <f aca="false">INDEX(Mitigation_Industry!Q:Q,MATCH($A487,Mitigation_Industry!$H:$H,0))</f>
        <v>0.503446865654492</v>
      </c>
      <c r="R487" s="22" t="n">
        <f aca="false">INDEX(Mitigation_Industry!R:R,MATCH($A487,Mitigation_Industry!$H:$H,0))</f>
        <v>0.536457304513367</v>
      </c>
      <c r="S487" s="22" t="n">
        <f aca="false">INDEX(Mitigation_Industry!S:S,MATCH($A487,Mitigation_Industry!$H:$H,0))</f>
        <v>0.569467743372243</v>
      </c>
      <c r="T487" s="22" t="n">
        <f aca="false">INDEX(Mitigation_Industry!T:T,MATCH($A487,Mitigation_Industry!$H:$H,0))</f>
        <v>0.602478182231117</v>
      </c>
      <c r="U487" s="22" t="n">
        <f aca="false">INDEX(Mitigation_Industry!U:U,MATCH($A487,Mitigation_Industry!$H:$H,0))</f>
        <v>0.635488621089992</v>
      </c>
      <c r="V487" s="22" t="n">
        <f aca="false">INDEX(Mitigation_Industry!V:V,MATCH($A487,Mitigation_Industry!$H:$H,0))</f>
        <v>0.668499059948867</v>
      </c>
      <c r="W487" s="22" t="n">
        <f aca="false">INDEX(Mitigation_Industry!W:W,MATCH($A487,Mitigation_Industry!$H:$H,0))</f>
        <v>0.701509498807742</v>
      </c>
      <c r="X487" s="22" t="n">
        <f aca="false">INDEX(Mitigation_Industry!X:X,MATCH($A487,Mitigation_Industry!$H:$H,0))</f>
        <v>0.734519937666617</v>
      </c>
      <c r="Y487" s="22" t="n">
        <f aca="false">INDEX(Mitigation_Industry!Y:Y,MATCH($A487,Mitigation_Industry!$H:$H,0))</f>
        <v>0.767530376525492</v>
      </c>
      <c r="Z487" s="22" t="n">
        <f aca="false">INDEX(Mitigation_Industry!Z:Z,MATCH($A487,Mitigation_Industry!$H:$H,0))</f>
        <v>0.800540815384367</v>
      </c>
      <c r="AA487" s="22" t="n">
        <f aca="false">INDEX(Mitigation_Industry!AA:AA,MATCH($A487,Mitigation_Industry!$H:$H,0))</f>
        <v>0.833551254243242</v>
      </c>
      <c r="AB487" s="22" t="n">
        <f aca="false">INDEX(Mitigation_Industry!AB:AB,MATCH($A487,Mitigation_Industry!$H:$H,0))</f>
        <v>0.866561693102117</v>
      </c>
      <c r="AC487" s="22" t="n">
        <f aca="false">INDEX(Mitigation_Industry!AC:AC,MATCH($A487,Mitigation_Industry!$H:$H,0))</f>
        <v>0.899572131960992</v>
      </c>
      <c r="AD487" s="22" t="n">
        <f aca="false">INDEX(Mitigation_Industry!AD:AD,MATCH($A487,Mitigation_Industry!$H:$H,0))</f>
        <v>0.932582570819867</v>
      </c>
      <c r="AE487" s="22" t="n">
        <f aca="false">INDEX(Mitigation_Industry!AE:AE,MATCH($A487,Mitigation_Industry!$H:$H,0))</f>
        <v>0.965593009678742</v>
      </c>
    </row>
    <row r="488" customFormat="false" ht="15" hidden="false" customHeight="false" outlineLevel="0" collapsed="false">
      <c r="A488" s="35" t="s">
        <v>1287</v>
      </c>
      <c r="B488" s="6" t="s">
        <v>62</v>
      </c>
      <c r="C488" s="6" t="s">
        <v>117</v>
      </c>
      <c r="D488" s="6" t="n">
        <v>2</v>
      </c>
      <c r="E488" s="2" t="s">
        <v>1167</v>
      </c>
      <c r="F488" s="40" t="n">
        <f aca="false">MAX(MAX(L488:AE488),-MIN(L488:AE488))</f>
        <v>-0</v>
      </c>
      <c r="K488" s="41" t="n">
        <f aca="false">IF(ISNUMBER(K486),IF(ISNUMBER(K487),K487-K486,999999),0)</f>
        <v>0</v>
      </c>
      <c r="L488" s="41" t="n">
        <f aca="false">IF(ISNUMBER(L486),IF(ISNUMBER(L487),L487-L486,999999),0)</f>
        <v>0</v>
      </c>
      <c r="M488" s="41" t="n">
        <f aca="false">IF(ISNUMBER(M486),IF(ISNUMBER(M487),M487-M486,999999),0)</f>
        <v>0</v>
      </c>
      <c r="N488" s="41" t="n">
        <f aca="false">IF(ISNUMBER(N486),IF(ISNUMBER(N487),N487-N486,999999),0)</f>
        <v>0</v>
      </c>
      <c r="O488" s="41" t="n">
        <f aca="false">IF(ISNUMBER(O486),IF(ISNUMBER(O487),O487-O486,999999),0)</f>
        <v>0</v>
      </c>
      <c r="P488" s="41" t="n">
        <f aca="false">IF(ISNUMBER(P486),IF(ISNUMBER(P487),P487-P486,999999),0)</f>
        <v>0</v>
      </c>
      <c r="Q488" s="41" t="n">
        <f aca="false">IF(ISNUMBER(Q486),IF(ISNUMBER(Q487),Q487-Q486,999999),0)</f>
        <v>0</v>
      </c>
      <c r="R488" s="41" t="n">
        <f aca="false">IF(ISNUMBER(R486),IF(ISNUMBER(R487),R487-R486,999999),0)</f>
        <v>0</v>
      </c>
      <c r="S488" s="41" t="n">
        <f aca="false">IF(ISNUMBER(S486),IF(ISNUMBER(S487),S487-S486,999999),0)</f>
        <v>0</v>
      </c>
      <c r="T488" s="41" t="n">
        <f aca="false">IF(ISNUMBER(T486),IF(ISNUMBER(T487),T487-T486,999999),0)</f>
        <v>0</v>
      </c>
      <c r="U488" s="41" t="n">
        <f aca="false">IF(ISNUMBER(U486),IF(ISNUMBER(U487),U487-U486,999999),0)</f>
        <v>0</v>
      </c>
      <c r="V488" s="41" t="n">
        <f aca="false">IF(ISNUMBER(V486),IF(ISNUMBER(V487),V487-V486,999999),0)</f>
        <v>0</v>
      </c>
      <c r="W488" s="41" t="n">
        <f aca="false">IF(ISNUMBER(W486),IF(ISNUMBER(W487),W487-W486,999999),0)</f>
        <v>0</v>
      </c>
      <c r="X488" s="41" t="n">
        <f aca="false">IF(ISNUMBER(X486),IF(ISNUMBER(X487),X487-X486,999999),0)</f>
        <v>0</v>
      </c>
      <c r="Y488" s="41" t="n">
        <f aca="false">IF(ISNUMBER(Y486),IF(ISNUMBER(Y487),Y487-Y486,999999),0)</f>
        <v>0</v>
      </c>
      <c r="Z488" s="41" t="n">
        <f aca="false">IF(ISNUMBER(Z486),IF(ISNUMBER(Z487),Z487-Z486,999999),0)</f>
        <v>0</v>
      </c>
      <c r="AA488" s="41" t="n">
        <f aca="false">IF(ISNUMBER(AA486),IF(ISNUMBER(AA487),AA487-AA486,999999),0)</f>
        <v>0</v>
      </c>
      <c r="AB488" s="41" t="n">
        <f aca="false">IF(ISNUMBER(AB486),IF(ISNUMBER(AB487),AB487-AB486,999999),0)</f>
        <v>0</v>
      </c>
      <c r="AC488" s="41" t="n">
        <f aca="false">IF(ISNUMBER(AC486),IF(ISNUMBER(AC487),AC487-AC486,999999),0)</f>
        <v>0</v>
      </c>
      <c r="AD488" s="41" t="n">
        <f aca="false">IF(ISNUMBER(AD486),IF(ISNUMBER(AD487),AD487-AD486,999999),0)</f>
        <v>0</v>
      </c>
      <c r="AE488" s="41" t="n">
        <f aca="false">IF(ISNUMBER(AE486),IF(ISNUMBER(AE487),AE487-AE486,999999),0)</f>
        <v>0</v>
      </c>
    </row>
    <row r="490" customFormat="false" ht="15" hidden="false" customHeight="false" outlineLevel="0" collapsed="false">
      <c r="A490" s="35" t="s">
        <v>1288</v>
      </c>
      <c r="B490" s="6" t="s">
        <v>64</v>
      </c>
      <c r="C490" s="6" t="s">
        <v>117</v>
      </c>
      <c r="D490" s="6" t="n">
        <v>2</v>
      </c>
      <c r="E490" s="6" t="s">
        <v>1165</v>
      </c>
      <c r="K490" s="22"/>
      <c r="L490" s="22" t="n">
        <v>0.157344736252274</v>
      </c>
      <c r="M490" s="22" t="n">
        <v>0.164484037759277</v>
      </c>
      <c r="N490" s="22" t="n">
        <v>0.150709077807049</v>
      </c>
      <c r="O490" s="22" t="n">
        <v>0.150709077807049</v>
      </c>
      <c r="P490" s="22" t="n">
        <v>0.150709077807049</v>
      </c>
      <c r="Q490" s="22" t="n">
        <v>0.172815160734345</v>
      </c>
      <c r="R490" s="22" t="n">
        <v>0.19492124366164</v>
      </c>
      <c r="S490" s="22" t="n">
        <v>0.217027326588936</v>
      </c>
      <c r="T490" s="22" t="n">
        <v>0.239133409516232</v>
      </c>
      <c r="U490" s="22" t="n">
        <v>0.261239492443527</v>
      </c>
      <c r="V490" s="22" t="n">
        <v>0.283345575370823</v>
      </c>
      <c r="W490" s="22" t="n">
        <v>0.305451658298119</v>
      </c>
      <c r="X490" s="22" t="n">
        <v>0.327557741225415</v>
      </c>
      <c r="Y490" s="22" t="n">
        <v>0.34966382415271</v>
      </c>
      <c r="Z490" s="22" t="n">
        <v>0.371769907080006</v>
      </c>
      <c r="AA490" s="22" t="n">
        <v>0.393875990007302</v>
      </c>
      <c r="AB490" s="22" t="n">
        <v>0.415982072934597</v>
      </c>
      <c r="AC490" s="22" t="n">
        <v>0.438088155861893</v>
      </c>
      <c r="AD490" s="22" t="n">
        <v>0.460194238789189</v>
      </c>
      <c r="AE490" s="22" t="n">
        <v>0.482300321716484</v>
      </c>
    </row>
    <row r="491" customFormat="false" ht="15" hidden="false" customHeight="false" outlineLevel="0" collapsed="false">
      <c r="A491" s="35" t="s">
        <v>1288</v>
      </c>
      <c r="B491" s="6" t="s">
        <v>64</v>
      </c>
      <c r="C491" s="6" t="s">
        <v>117</v>
      </c>
      <c r="D491" s="6" t="n">
        <v>2</v>
      </c>
      <c r="E491" s="6" t="s">
        <v>1166</v>
      </c>
      <c r="K491" s="22" t="n">
        <f aca="false">INDEX(Mitigation_Industry!K:K,MATCH($A491,Mitigation_Industry!$H:$H,0))</f>
        <v>0.200366691126738</v>
      </c>
      <c r="L491" s="22" t="n">
        <f aca="false">INDEX(Mitigation_Industry!L:L,MATCH($A491,Mitigation_Industry!$H:$H,0))</f>
        <v>0.157344736252274</v>
      </c>
      <c r="M491" s="22" t="n">
        <f aca="false">INDEX(Mitigation_Industry!M:M,MATCH($A491,Mitigation_Industry!$H:$H,0))</f>
        <v>0.164484037759277</v>
      </c>
      <c r="N491" s="22" t="n">
        <f aca="false">INDEX(Mitigation_Industry!N:N,MATCH($A491,Mitigation_Industry!$H:$H,0))</f>
        <v>0.150709077807049</v>
      </c>
      <c r="O491" s="22" t="n">
        <f aca="false">INDEX(Mitigation_Industry!O:O,MATCH($A491,Mitigation_Industry!$H:$H,0))</f>
        <v>0.150709077807049</v>
      </c>
      <c r="P491" s="22" t="n">
        <f aca="false">INDEX(Mitigation_Industry!P:P,MATCH($A491,Mitigation_Industry!$H:$H,0))</f>
        <v>0.150709077807049</v>
      </c>
      <c r="Q491" s="22" t="n">
        <f aca="false">INDEX(Mitigation_Industry!Q:Q,MATCH($A491,Mitigation_Industry!$H:$H,0))</f>
        <v>0.172815160734345</v>
      </c>
      <c r="R491" s="22" t="n">
        <f aca="false">INDEX(Mitigation_Industry!R:R,MATCH($A491,Mitigation_Industry!$H:$H,0))</f>
        <v>0.19492124366164</v>
      </c>
      <c r="S491" s="22" t="n">
        <f aca="false">INDEX(Mitigation_Industry!S:S,MATCH($A491,Mitigation_Industry!$H:$H,0))</f>
        <v>0.217027326588936</v>
      </c>
      <c r="T491" s="22" t="n">
        <f aca="false">INDEX(Mitigation_Industry!T:T,MATCH($A491,Mitigation_Industry!$H:$H,0))</f>
        <v>0.239133409516232</v>
      </c>
      <c r="U491" s="22" t="n">
        <f aca="false">INDEX(Mitigation_Industry!U:U,MATCH($A491,Mitigation_Industry!$H:$H,0))</f>
        <v>0.261239492443527</v>
      </c>
      <c r="V491" s="22" t="n">
        <f aca="false">INDEX(Mitigation_Industry!V:V,MATCH($A491,Mitigation_Industry!$H:$H,0))</f>
        <v>0.283345575370823</v>
      </c>
      <c r="W491" s="22" t="n">
        <f aca="false">INDEX(Mitigation_Industry!W:W,MATCH($A491,Mitigation_Industry!$H:$H,0))</f>
        <v>0.305451658298119</v>
      </c>
      <c r="X491" s="22" t="n">
        <f aca="false">INDEX(Mitigation_Industry!X:X,MATCH($A491,Mitigation_Industry!$H:$H,0))</f>
        <v>0.327557741225415</v>
      </c>
      <c r="Y491" s="22" t="n">
        <f aca="false">INDEX(Mitigation_Industry!Y:Y,MATCH($A491,Mitigation_Industry!$H:$H,0))</f>
        <v>0.34966382415271</v>
      </c>
      <c r="Z491" s="22" t="n">
        <f aca="false">INDEX(Mitigation_Industry!Z:Z,MATCH($A491,Mitigation_Industry!$H:$H,0))</f>
        <v>0.371769907080006</v>
      </c>
      <c r="AA491" s="22" t="n">
        <f aca="false">INDEX(Mitigation_Industry!AA:AA,MATCH($A491,Mitigation_Industry!$H:$H,0))</f>
        <v>0.393875990007302</v>
      </c>
      <c r="AB491" s="22" t="n">
        <f aca="false">INDEX(Mitigation_Industry!AB:AB,MATCH($A491,Mitigation_Industry!$H:$H,0))</f>
        <v>0.415982072934597</v>
      </c>
      <c r="AC491" s="22" t="n">
        <f aca="false">INDEX(Mitigation_Industry!AC:AC,MATCH($A491,Mitigation_Industry!$H:$H,0))</f>
        <v>0.438088155861893</v>
      </c>
      <c r="AD491" s="22" t="n">
        <f aca="false">INDEX(Mitigation_Industry!AD:AD,MATCH($A491,Mitigation_Industry!$H:$H,0))</f>
        <v>0.460194238789189</v>
      </c>
      <c r="AE491" s="22" t="n">
        <f aca="false">INDEX(Mitigation_Industry!AE:AE,MATCH($A491,Mitigation_Industry!$H:$H,0))</f>
        <v>0.482300321716484</v>
      </c>
    </row>
    <row r="492" customFormat="false" ht="15" hidden="false" customHeight="false" outlineLevel="0" collapsed="false">
      <c r="A492" s="35" t="s">
        <v>1288</v>
      </c>
      <c r="B492" s="6" t="s">
        <v>64</v>
      </c>
      <c r="C492" s="6" t="s">
        <v>117</v>
      </c>
      <c r="D492" s="6" t="n">
        <v>2</v>
      </c>
      <c r="E492" s="2" t="s">
        <v>1167</v>
      </c>
      <c r="F492" s="40" t="n">
        <f aca="false">MAX(MAX(L492:AE492),-MIN(L492:AE492))</f>
        <v>-0</v>
      </c>
      <c r="K492" s="41" t="n">
        <f aca="false">IF(ISNUMBER(K490),IF(ISNUMBER(K491),K491-K490,999999),0)</f>
        <v>0</v>
      </c>
      <c r="L492" s="41" t="n">
        <f aca="false">IF(ISNUMBER(L490),IF(ISNUMBER(L491),L491-L490,999999),0)</f>
        <v>0</v>
      </c>
      <c r="M492" s="41" t="n">
        <f aca="false">IF(ISNUMBER(M490),IF(ISNUMBER(M491),M491-M490,999999),0)</f>
        <v>0</v>
      </c>
      <c r="N492" s="41" t="n">
        <f aca="false">IF(ISNUMBER(N490),IF(ISNUMBER(N491),N491-N490,999999),0)</f>
        <v>0</v>
      </c>
      <c r="O492" s="41" t="n">
        <f aca="false">IF(ISNUMBER(O490),IF(ISNUMBER(O491),O491-O490,999999),0)</f>
        <v>0</v>
      </c>
      <c r="P492" s="41" t="n">
        <f aca="false">IF(ISNUMBER(P490),IF(ISNUMBER(P491),P491-P490,999999),0)</f>
        <v>0</v>
      </c>
      <c r="Q492" s="41" t="n">
        <f aca="false">IF(ISNUMBER(Q490),IF(ISNUMBER(Q491),Q491-Q490,999999),0)</f>
        <v>0</v>
      </c>
      <c r="R492" s="41" t="n">
        <f aca="false">IF(ISNUMBER(R490),IF(ISNUMBER(R491),R491-R490,999999),0)</f>
        <v>0</v>
      </c>
      <c r="S492" s="41" t="n">
        <f aca="false">IF(ISNUMBER(S490),IF(ISNUMBER(S491),S491-S490,999999),0)</f>
        <v>0</v>
      </c>
      <c r="T492" s="41" t="n">
        <f aca="false">IF(ISNUMBER(T490),IF(ISNUMBER(T491),T491-T490,999999),0)</f>
        <v>0</v>
      </c>
      <c r="U492" s="41" t="n">
        <f aca="false">IF(ISNUMBER(U490),IF(ISNUMBER(U491),U491-U490,999999),0)</f>
        <v>0</v>
      </c>
      <c r="V492" s="41" t="n">
        <f aca="false">IF(ISNUMBER(V490),IF(ISNUMBER(V491),V491-V490,999999),0)</f>
        <v>0</v>
      </c>
      <c r="W492" s="41" t="n">
        <f aca="false">IF(ISNUMBER(W490),IF(ISNUMBER(W491),W491-W490,999999),0)</f>
        <v>0</v>
      </c>
      <c r="X492" s="41" t="n">
        <f aca="false">IF(ISNUMBER(X490),IF(ISNUMBER(X491),X491-X490,999999),0)</f>
        <v>0</v>
      </c>
      <c r="Y492" s="41" t="n">
        <f aca="false">IF(ISNUMBER(Y490),IF(ISNUMBER(Y491),Y491-Y490,999999),0)</f>
        <v>0</v>
      </c>
      <c r="Z492" s="41" t="n">
        <f aca="false">IF(ISNUMBER(Z490),IF(ISNUMBER(Z491),Z491-Z490,999999),0)</f>
        <v>0</v>
      </c>
      <c r="AA492" s="41" t="n">
        <f aca="false">IF(ISNUMBER(AA490),IF(ISNUMBER(AA491),AA491-AA490,999999),0)</f>
        <v>0</v>
      </c>
      <c r="AB492" s="41" t="n">
        <f aca="false">IF(ISNUMBER(AB490),IF(ISNUMBER(AB491),AB491-AB490,999999),0)</f>
        <v>0</v>
      </c>
      <c r="AC492" s="41" t="n">
        <f aca="false">IF(ISNUMBER(AC490),IF(ISNUMBER(AC491),AC491-AC490,999999),0)</f>
        <v>0</v>
      </c>
      <c r="AD492" s="41" t="n">
        <f aca="false">IF(ISNUMBER(AD490),IF(ISNUMBER(AD491),AD491-AD490,999999),0)</f>
        <v>0</v>
      </c>
      <c r="AE492" s="41" t="n">
        <f aca="false">IF(ISNUMBER(AE490),IF(ISNUMBER(AE491),AE491-AE490,999999),0)</f>
        <v>0</v>
      </c>
    </row>
    <row r="494" customFormat="false" ht="15" hidden="false" customHeight="false" outlineLevel="0" collapsed="false">
      <c r="A494" s="35" t="s">
        <v>1289</v>
      </c>
      <c r="B494" s="6" t="s">
        <v>66</v>
      </c>
      <c r="C494" s="6" t="s">
        <v>117</v>
      </c>
      <c r="D494" s="6" t="n">
        <v>2</v>
      </c>
      <c r="E494" s="6" t="s">
        <v>1165</v>
      </c>
      <c r="K494" s="22"/>
      <c r="L494" s="22" t="n">
        <v>0.456428170500128</v>
      </c>
      <c r="M494" s="22" t="n">
        <v>0.431689201955995</v>
      </c>
      <c r="N494" s="22" t="n">
        <v>0.42507558395597</v>
      </c>
      <c r="O494" s="22" t="n">
        <v>0.42507558395597</v>
      </c>
      <c r="P494" s="22" t="n">
        <v>0.42507558395597</v>
      </c>
      <c r="Q494" s="22" t="n">
        <v>0.457064414066079</v>
      </c>
      <c r="R494" s="22" t="n">
        <v>0.489053244176187</v>
      </c>
      <c r="S494" s="22" t="n">
        <v>0.521042074286296</v>
      </c>
      <c r="T494" s="22" t="n">
        <v>0.553030904396404</v>
      </c>
      <c r="U494" s="22" t="n">
        <v>0.585019734506513</v>
      </c>
      <c r="V494" s="22" t="n">
        <v>0.617008564616621</v>
      </c>
      <c r="W494" s="22" t="n">
        <v>0.648997394726729</v>
      </c>
      <c r="X494" s="22" t="n">
        <v>0.680986224836838</v>
      </c>
      <c r="Y494" s="22" t="n">
        <v>0.712975054946947</v>
      </c>
      <c r="Z494" s="22" t="n">
        <v>0.744963885057055</v>
      </c>
      <c r="AA494" s="22" t="n">
        <v>0.776952715167163</v>
      </c>
      <c r="AB494" s="22" t="n">
        <v>0.808941545277272</v>
      </c>
      <c r="AC494" s="22" t="n">
        <v>0.84093037538738</v>
      </c>
      <c r="AD494" s="22" t="n">
        <v>0.872919205497489</v>
      </c>
      <c r="AE494" s="22" t="n">
        <v>0.904908035607597</v>
      </c>
    </row>
    <row r="495" customFormat="false" ht="15" hidden="false" customHeight="false" outlineLevel="0" collapsed="false">
      <c r="A495" s="35" t="s">
        <v>1289</v>
      </c>
      <c r="B495" s="6" t="s">
        <v>66</v>
      </c>
      <c r="C495" s="6" t="s">
        <v>117</v>
      </c>
      <c r="D495" s="6" t="n">
        <v>2</v>
      </c>
      <c r="E495" s="6" t="s">
        <v>1166</v>
      </c>
      <c r="K495" s="22" t="n">
        <f aca="false">INDEX(Mitigation_Industry!K:K,MATCH($A495,Mitigation_Industry!$H:$H,0))</f>
        <v>0.484294240973435</v>
      </c>
      <c r="L495" s="22" t="n">
        <f aca="false">INDEX(Mitigation_Industry!L:L,MATCH($A495,Mitigation_Industry!$H:$H,0))</f>
        <v>0.456428170500128</v>
      </c>
      <c r="M495" s="22" t="n">
        <f aca="false">INDEX(Mitigation_Industry!M:M,MATCH($A495,Mitigation_Industry!$H:$H,0))</f>
        <v>0.431689201955995</v>
      </c>
      <c r="N495" s="22" t="n">
        <f aca="false">INDEX(Mitigation_Industry!N:N,MATCH($A495,Mitigation_Industry!$H:$H,0))</f>
        <v>0.42507558395597</v>
      </c>
      <c r="O495" s="22" t="n">
        <f aca="false">INDEX(Mitigation_Industry!O:O,MATCH($A495,Mitigation_Industry!$H:$H,0))</f>
        <v>0.42507558395597</v>
      </c>
      <c r="P495" s="22" t="n">
        <f aca="false">INDEX(Mitigation_Industry!P:P,MATCH($A495,Mitigation_Industry!$H:$H,0))</f>
        <v>0.42507558395597</v>
      </c>
      <c r="Q495" s="22" t="n">
        <f aca="false">INDEX(Mitigation_Industry!Q:Q,MATCH($A495,Mitigation_Industry!$H:$H,0))</f>
        <v>0.457064414066078</v>
      </c>
      <c r="R495" s="22" t="n">
        <f aca="false">INDEX(Mitigation_Industry!R:R,MATCH($A495,Mitigation_Industry!$H:$H,0))</f>
        <v>0.489053244176187</v>
      </c>
      <c r="S495" s="22" t="n">
        <f aca="false">INDEX(Mitigation_Industry!S:S,MATCH($A495,Mitigation_Industry!$H:$H,0))</f>
        <v>0.521042074286296</v>
      </c>
      <c r="T495" s="22" t="n">
        <f aca="false">INDEX(Mitigation_Industry!T:T,MATCH($A495,Mitigation_Industry!$H:$H,0))</f>
        <v>0.553030904396404</v>
      </c>
      <c r="U495" s="22" t="n">
        <f aca="false">INDEX(Mitigation_Industry!U:U,MATCH($A495,Mitigation_Industry!$H:$H,0))</f>
        <v>0.585019734506513</v>
      </c>
      <c r="V495" s="22" t="n">
        <f aca="false">INDEX(Mitigation_Industry!V:V,MATCH($A495,Mitigation_Industry!$H:$H,0))</f>
        <v>0.617008564616621</v>
      </c>
      <c r="W495" s="22" t="n">
        <f aca="false">INDEX(Mitigation_Industry!W:W,MATCH($A495,Mitigation_Industry!$H:$H,0))</f>
        <v>0.648997394726729</v>
      </c>
      <c r="X495" s="22" t="n">
        <f aca="false">INDEX(Mitigation_Industry!X:X,MATCH($A495,Mitigation_Industry!$H:$H,0))</f>
        <v>0.680986224836838</v>
      </c>
      <c r="Y495" s="22" t="n">
        <f aca="false">INDEX(Mitigation_Industry!Y:Y,MATCH($A495,Mitigation_Industry!$H:$H,0))</f>
        <v>0.712975054946947</v>
      </c>
      <c r="Z495" s="22" t="n">
        <f aca="false">INDEX(Mitigation_Industry!Z:Z,MATCH($A495,Mitigation_Industry!$H:$H,0))</f>
        <v>0.744963885057055</v>
      </c>
      <c r="AA495" s="22" t="n">
        <f aca="false">INDEX(Mitigation_Industry!AA:AA,MATCH($A495,Mitigation_Industry!$H:$H,0))</f>
        <v>0.776952715167163</v>
      </c>
      <c r="AB495" s="22" t="n">
        <f aca="false">INDEX(Mitigation_Industry!AB:AB,MATCH($A495,Mitigation_Industry!$H:$H,0))</f>
        <v>0.808941545277272</v>
      </c>
      <c r="AC495" s="22" t="n">
        <f aca="false">INDEX(Mitigation_Industry!AC:AC,MATCH($A495,Mitigation_Industry!$H:$H,0))</f>
        <v>0.84093037538738</v>
      </c>
      <c r="AD495" s="22" t="n">
        <f aca="false">INDEX(Mitigation_Industry!AD:AD,MATCH($A495,Mitigation_Industry!$H:$H,0))</f>
        <v>0.872919205497489</v>
      </c>
      <c r="AE495" s="22" t="n">
        <f aca="false">INDEX(Mitigation_Industry!AE:AE,MATCH($A495,Mitigation_Industry!$H:$H,0))</f>
        <v>0.904908035607597</v>
      </c>
    </row>
    <row r="496" customFormat="false" ht="15" hidden="false" customHeight="false" outlineLevel="0" collapsed="false">
      <c r="A496" s="35" t="s">
        <v>1289</v>
      </c>
      <c r="B496" s="6" t="s">
        <v>66</v>
      </c>
      <c r="C496" s="6" t="s">
        <v>117</v>
      </c>
      <c r="D496" s="6" t="n">
        <v>2</v>
      </c>
      <c r="E496" s="2" t="s">
        <v>1167</v>
      </c>
      <c r="F496" s="40" t="n">
        <f aca="false">MAX(MAX(L496:AE496),-MIN(L496:AE496))</f>
        <v>-0</v>
      </c>
      <c r="K496" s="41" t="n">
        <f aca="false">IF(ISNUMBER(K494),IF(ISNUMBER(K495),K495-K494,999999),0)</f>
        <v>0</v>
      </c>
      <c r="L496" s="41" t="n">
        <f aca="false">IF(ISNUMBER(L494),IF(ISNUMBER(L495),L495-L494,999999),0)</f>
        <v>0</v>
      </c>
      <c r="M496" s="41" t="n">
        <f aca="false">IF(ISNUMBER(M494),IF(ISNUMBER(M495),M495-M494,999999),0)</f>
        <v>0</v>
      </c>
      <c r="N496" s="41" t="n">
        <f aca="false">IF(ISNUMBER(N494),IF(ISNUMBER(N495),N495-N494,999999),0)</f>
        <v>0</v>
      </c>
      <c r="O496" s="41" t="n">
        <f aca="false">IF(ISNUMBER(O494),IF(ISNUMBER(O495),O495-O494,999999),0)</f>
        <v>0</v>
      </c>
      <c r="P496" s="41" t="n">
        <f aca="false">IF(ISNUMBER(P494),IF(ISNUMBER(P495),P495-P494,999999),0)</f>
        <v>0</v>
      </c>
      <c r="Q496" s="41" t="n">
        <f aca="false">IF(ISNUMBER(Q494),IF(ISNUMBER(Q495),Q495-Q494,999999),0)</f>
        <v>0</v>
      </c>
      <c r="R496" s="41" t="n">
        <f aca="false">IF(ISNUMBER(R494),IF(ISNUMBER(R495),R495-R494,999999),0)</f>
        <v>0</v>
      </c>
      <c r="S496" s="41" t="n">
        <f aca="false">IF(ISNUMBER(S494),IF(ISNUMBER(S495),S495-S494,999999),0)</f>
        <v>0</v>
      </c>
      <c r="T496" s="41" t="n">
        <f aca="false">IF(ISNUMBER(T494),IF(ISNUMBER(T495),T495-T494,999999),0)</f>
        <v>0</v>
      </c>
      <c r="U496" s="41" t="n">
        <f aca="false">IF(ISNUMBER(U494),IF(ISNUMBER(U495),U495-U494,999999),0)</f>
        <v>0</v>
      </c>
      <c r="V496" s="41" t="n">
        <f aca="false">IF(ISNUMBER(V494),IF(ISNUMBER(V495),V495-V494,999999),0)</f>
        <v>0</v>
      </c>
      <c r="W496" s="41" t="n">
        <f aca="false">IF(ISNUMBER(W494),IF(ISNUMBER(W495),W495-W494,999999),0)</f>
        <v>0</v>
      </c>
      <c r="X496" s="41" t="n">
        <f aca="false">IF(ISNUMBER(X494),IF(ISNUMBER(X495),X495-X494,999999),0)</f>
        <v>0</v>
      </c>
      <c r="Y496" s="41" t="n">
        <f aca="false">IF(ISNUMBER(Y494),IF(ISNUMBER(Y495),Y495-Y494,999999),0)</f>
        <v>0</v>
      </c>
      <c r="Z496" s="41" t="n">
        <f aca="false">IF(ISNUMBER(Z494),IF(ISNUMBER(Z495),Z495-Z494,999999),0)</f>
        <v>0</v>
      </c>
      <c r="AA496" s="41" t="n">
        <f aca="false">IF(ISNUMBER(AA494),IF(ISNUMBER(AA495),AA495-AA494,999999),0)</f>
        <v>0</v>
      </c>
      <c r="AB496" s="41" t="n">
        <f aca="false">IF(ISNUMBER(AB494),IF(ISNUMBER(AB495),AB495-AB494,999999),0)</f>
        <v>0</v>
      </c>
      <c r="AC496" s="41" t="n">
        <f aca="false">IF(ISNUMBER(AC494),IF(ISNUMBER(AC495),AC495-AC494,999999),0)</f>
        <v>0</v>
      </c>
      <c r="AD496" s="41" t="n">
        <f aca="false">IF(ISNUMBER(AD494),IF(ISNUMBER(AD495),AD495-AD494,999999),0)</f>
        <v>0</v>
      </c>
      <c r="AE496" s="41" t="n">
        <f aca="false">IF(ISNUMBER(AE494),IF(ISNUMBER(AE495),AE495-AE494,999999),0)</f>
        <v>0</v>
      </c>
    </row>
    <row r="498" customFormat="false" ht="15" hidden="false" customHeight="false" outlineLevel="0" collapsed="false">
      <c r="A498" s="35" t="s">
        <v>1290</v>
      </c>
      <c r="B498" s="6" t="s">
        <v>68</v>
      </c>
      <c r="C498" s="6" t="s">
        <v>117</v>
      </c>
      <c r="D498" s="6" t="n">
        <v>2</v>
      </c>
      <c r="E498" s="6" t="s">
        <v>1165</v>
      </c>
      <c r="K498" s="22"/>
      <c r="L498" s="22" t="n">
        <v>34.4153703043132</v>
      </c>
      <c r="M498" s="22" t="n">
        <v>37.368960690432</v>
      </c>
      <c r="N498" s="22" t="n">
        <v>28.9827611014773</v>
      </c>
      <c r="O498" s="22" t="n">
        <v>15</v>
      </c>
      <c r="P498" s="22" t="n">
        <v>24.2586300842555</v>
      </c>
      <c r="Q498" s="22" t="n">
        <v>18.9637581961325</v>
      </c>
      <c r="R498" s="22" t="n">
        <v>21.7603451140106</v>
      </c>
      <c r="S498" s="22" t="n">
        <v>26.0798806913736</v>
      </c>
      <c r="T498" s="22" t="n">
        <v>30.5936824452092</v>
      </c>
      <c r="U498" s="22" t="n">
        <v>34.9905097394101</v>
      </c>
      <c r="V498" s="22" t="n">
        <v>40.8580597394101</v>
      </c>
      <c r="W498" s="22" t="n">
        <v>46.7256097394101</v>
      </c>
      <c r="X498" s="22" t="n">
        <v>52.5931597394101</v>
      </c>
      <c r="Y498" s="22" t="n">
        <v>58.4607097394101</v>
      </c>
      <c r="Z498" s="22" t="n">
        <v>64.3282597394101</v>
      </c>
      <c r="AA498" s="22" t="n">
        <v>70.1958097394101</v>
      </c>
      <c r="AB498" s="22" t="n">
        <v>76.0633597394101</v>
      </c>
      <c r="AC498" s="22" t="n">
        <v>81.9309097394101</v>
      </c>
      <c r="AD498" s="22" t="n">
        <v>87.7984597394101</v>
      </c>
      <c r="AE498" s="22" t="n">
        <v>93.6660097394101</v>
      </c>
    </row>
    <row r="499" customFormat="false" ht="15" hidden="false" customHeight="false" outlineLevel="0" collapsed="false">
      <c r="A499" s="35" t="s">
        <v>1290</v>
      </c>
      <c r="B499" s="6" t="s">
        <v>68</v>
      </c>
      <c r="C499" s="6" t="s">
        <v>117</v>
      </c>
      <c r="D499" s="6" t="n">
        <v>2</v>
      </c>
      <c r="E499" s="6" t="s">
        <v>1166</v>
      </c>
      <c r="K499" s="22" t="n">
        <f aca="false">INDEX(Mitigation_Industry!K:K,MATCH($A499,Mitigation_Industry!$H:$H,0))</f>
        <v>41.5003384988684</v>
      </c>
      <c r="L499" s="22" t="n">
        <f aca="false">INDEX(Mitigation_Industry!L:L,MATCH($A499,Mitigation_Industry!$H:$H,0))</f>
        <v>34.4153703043132</v>
      </c>
      <c r="M499" s="22" t="n">
        <f aca="false">INDEX(Mitigation_Industry!M:M,MATCH($A499,Mitigation_Industry!$H:$H,0))</f>
        <v>37.368960690432</v>
      </c>
      <c r="N499" s="22" t="n">
        <f aca="false">INDEX(Mitigation_Industry!N:N,MATCH($A499,Mitigation_Industry!$H:$H,0))</f>
        <v>28.9827611014773</v>
      </c>
      <c r="O499" s="22" t="n">
        <f aca="false">INDEX(Mitigation_Industry!O:O,MATCH($A499,Mitigation_Industry!$H:$H,0))</f>
        <v>15</v>
      </c>
      <c r="P499" s="22" t="n">
        <f aca="false">INDEX(Mitigation_Industry!P:P,MATCH($A499,Mitigation_Industry!$H:$H,0))</f>
        <v>24.2586300842555</v>
      </c>
      <c r="Q499" s="22" t="n">
        <f aca="false">INDEX(Mitigation_Industry!Q:Q,MATCH($A499,Mitigation_Industry!$H:$H,0))</f>
        <v>18.9637581961325</v>
      </c>
      <c r="R499" s="22" t="n">
        <f aca="false">INDEX(Mitigation_Industry!R:R,MATCH($A499,Mitigation_Industry!$H:$H,0))</f>
        <v>21.7603451140106</v>
      </c>
      <c r="S499" s="22" t="n">
        <f aca="false">INDEX(Mitigation_Industry!S:S,MATCH($A499,Mitigation_Industry!$H:$H,0))</f>
        <v>26.0798806913736</v>
      </c>
      <c r="T499" s="22" t="n">
        <f aca="false">INDEX(Mitigation_Industry!T:T,MATCH($A499,Mitigation_Industry!$H:$H,0))</f>
        <v>30.5936824452092</v>
      </c>
      <c r="U499" s="22" t="n">
        <f aca="false">INDEX(Mitigation_Industry!U:U,MATCH($A499,Mitigation_Industry!$H:$H,0))</f>
        <v>34.9905097394101</v>
      </c>
      <c r="V499" s="22" t="n">
        <f aca="false">INDEX(Mitigation_Industry!V:V,MATCH($A499,Mitigation_Industry!$H:$H,0))</f>
        <v>40.8580597394101</v>
      </c>
      <c r="W499" s="22" t="n">
        <f aca="false">INDEX(Mitigation_Industry!W:W,MATCH($A499,Mitigation_Industry!$H:$H,0))</f>
        <v>46.7256097394101</v>
      </c>
      <c r="X499" s="22" t="n">
        <f aca="false">INDEX(Mitigation_Industry!X:X,MATCH($A499,Mitigation_Industry!$H:$H,0))</f>
        <v>52.5931597394101</v>
      </c>
      <c r="Y499" s="22" t="n">
        <f aca="false">INDEX(Mitigation_Industry!Y:Y,MATCH($A499,Mitigation_Industry!$H:$H,0))</f>
        <v>58.4607097394101</v>
      </c>
      <c r="Z499" s="22" t="n">
        <f aca="false">INDEX(Mitigation_Industry!Z:Z,MATCH($A499,Mitigation_Industry!$H:$H,0))</f>
        <v>64.3282597394101</v>
      </c>
      <c r="AA499" s="22" t="n">
        <f aca="false">INDEX(Mitigation_Industry!AA:AA,MATCH($A499,Mitigation_Industry!$H:$H,0))</f>
        <v>70.1958097394101</v>
      </c>
      <c r="AB499" s="22" t="n">
        <f aca="false">INDEX(Mitigation_Industry!AB:AB,MATCH($A499,Mitigation_Industry!$H:$H,0))</f>
        <v>76.0633597394101</v>
      </c>
      <c r="AC499" s="22" t="n">
        <f aca="false">INDEX(Mitigation_Industry!AC:AC,MATCH($A499,Mitigation_Industry!$H:$H,0))</f>
        <v>81.9309097394101</v>
      </c>
      <c r="AD499" s="22" t="n">
        <f aca="false">INDEX(Mitigation_Industry!AD:AD,MATCH($A499,Mitigation_Industry!$H:$H,0))</f>
        <v>87.7984597394101</v>
      </c>
      <c r="AE499" s="22" t="n">
        <f aca="false">INDEX(Mitigation_Industry!AE:AE,MATCH($A499,Mitigation_Industry!$H:$H,0))</f>
        <v>93.6660097394101</v>
      </c>
    </row>
    <row r="500" customFormat="false" ht="15" hidden="false" customHeight="false" outlineLevel="0" collapsed="false">
      <c r="A500" s="35" t="s">
        <v>1290</v>
      </c>
      <c r="B500" s="6" t="s">
        <v>68</v>
      </c>
      <c r="C500" s="6" t="s">
        <v>117</v>
      </c>
      <c r="D500" s="6" t="n">
        <v>2</v>
      </c>
      <c r="E500" s="2" t="s">
        <v>1167</v>
      </c>
      <c r="F500" s="40" t="n">
        <f aca="false">MAX(MAX(L500:AE500),-MIN(L500:AE500))</f>
        <v>-0</v>
      </c>
      <c r="K500" s="41" t="n">
        <f aca="false">IF(ISNUMBER(K498),IF(ISNUMBER(K499),K499-K498,999999),0)</f>
        <v>0</v>
      </c>
      <c r="L500" s="41" t="n">
        <f aca="false">IF(ISNUMBER(L498),IF(ISNUMBER(L499),L499-L498,999999),0)</f>
        <v>0</v>
      </c>
      <c r="M500" s="41" t="n">
        <f aca="false">IF(ISNUMBER(M498),IF(ISNUMBER(M499),M499-M498,999999),0)</f>
        <v>0</v>
      </c>
      <c r="N500" s="41" t="n">
        <f aca="false">IF(ISNUMBER(N498),IF(ISNUMBER(N499),N499-N498,999999),0)</f>
        <v>0</v>
      </c>
      <c r="O500" s="41" t="n">
        <f aca="false">IF(ISNUMBER(O498),IF(ISNUMBER(O499),O499-O498,999999),0)</f>
        <v>0</v>
      </c>
      <c r="P500" s="41" t="n">
        <f aca="false">IF(ISNUMBER(P498),IF(ISNUMBER(P499),P499-P498,999999),0)</f>
        <v>0</v>
      </c>
      <c r="Q500" s="41" t="n">
        <f aca="false">IF(ISNUMBER(Q498),IF(ISNUMBER(Q499),Q499-Q498,999999),0)</f>
        <v>0</v>
      </c>
      <c r="R500" s="41" t="n">
        <f aca="false">IF(ISNUMBER(R498),IF(ISNUMBER(R499),R499-R498,999999),0)</f>
        <v>0</v>
      </c>
      <c r="S500" s="41" t="n">
        <f aca="false">IF(ISNUMBER(S498),IF(ISNUMBER(S499),S499-S498,999999),0)</f>
        <v>0</v>
      </c>
      <c r="T500" s="41" t="n">
        <f aca="false">IF(ISNUMBER(T498),IF(ISNUMBER(T499),T499-T498,999999),0)</f>
        <v>0</v>
      </c>
      <c r="U500" s="41" t="n">
        <f aca="false">IF(ISNUMBER(U498),IF(ISNUMBER(U499),U499-U498,999999),0)</f>
        <v>0</v>
      </c>
      <c r="V500" s="41" t="n">
        <f aca="false">IF(ISNUMBER(V498),IF(ISNUMBER(V499),V499-V498,999999),0)</f>
        <v>0</v>
      </c>
      <c r="W500" s="41" t="n">
        <f aca="false">IF(ISNUMBER(W498),IF(ISNUMBER(W499),W499-W498,999999),0)</f>
        <v>0</v>
      </c>
      <c r="X500" s="41" t="n">
        <f aca="false">IF(ISNUMBER(X498),IF(ISNUMBER(X499),X499-X498,999999),0)</f>
        <v>0</v>
      </c>
      <c r="Y500" s="41" t="n">
        <f aca="false">IF(ISNUMBER(Y498),IF(ISNUMBER(Y499),Y499-Y498,999999),0)</f>
        <v>0</v>
      </c>
      <c r="Z500" s="41" t="n">
        <f aca="false">IF(ISNUMBER(Z498),IF(ISNUMBER(Z499),Z499-Z498,999999),0)</f>
        <v>0</v>
      </c>
      <c r="AA500" s="41" t="n">
        <f aca="false">IF(ISNUMBER(AA498),IF(ISNUMBER(AA499),AA499-AA498,999999),0)</f>
        <v>0</v>
      </c>
      <c r="AB500" s="41" t="n">
        <f aca="false">IF(ISNUMBER(AB498),IF(ISNUMBER(AB499),AB499-AB498,999999),0)</f>
        <v>0</v>
      </c>
      <c r="AC500" s="41" t="n">
        <f aca="false">IF(ISNUMBER(AC498),IF(ISNUMBER(AC499),AC499-AC498,999999),0)</f>
        <v>0</v>
      </c>
      <c r="AD500" s="41" t="n">
        <f aca="false">IF(ISNUMBER(AD498),IF(ISNUMBER(AD499),AD499-AD498,999999),0)</f>
        <v>0</v>
      </c>
      <c r="AE500" s="41" t="n">
        <f aca="false">IF(ISNUMBER(AE498),IF(ISNUMBER(AE499),AE499-AE498,999999),0)</f>
        <v>0</v>
      </c>
    </row>
    <row r="502" customFormat="false" ht="15" hidden="false" customHeight="false" outlineLevel="0" collapsed="false">
      <c r="A502" s="35" t="s">
        <v>1291</v>
      </c>
      <c r="B502" s="6" t="s">
        <v>71</v>
      </c>
      <c r="C502" s="6" t="s">
        <v>117</v>
      </c>
      <c r="D502" s="6" t="n">
        <v>2</v>
      </c>
      <c r="E502" s="6" t="s">
        <v>1165</v>
      </c>
      <c r="K502" s="22"/>
      <c r="L502" s="22" t="n">
        <v>14.1995283906349</v>
      </c>
      <c r="M502" s="22" t="n">
        <v>13.8404416133152</v>
      </c>
      <c r="N502" s="22" t="n">
        <v>13.5677269404465</v>
      </c>
      <c r="O502" s="22" t="n">
        <v>13.5677269404465</v>
      </c>
      <c r="P502" s="22" t="n">
        <v>13.5677269404465</v>
      </c>
      <c r="Q502" s="22" t="n">
        <v>13.5677269404465</v>
      </c>
      <c r="R502" s="22" t="n">
        <v>13.5677269404465</v>
      </c>
      <c r="S502" s="22" t="n">
        <v>13.5677269404465</v>
      </c>
      <c r="T502" s="22" t="n">
        <v>13.5677269404465</v>
      </c>
      <c r="U502" s="22" t="n">
        <v>13.5677269404465</v>
      </c>
      <c r="V502" s="22" t="n">
        <v>13.5677269404465</v>
      </c>
      <c r="W502" s="22" t="n">
        <v>13.5677269404465</v>
      </c>
      <c r="X502" s="22" t="n">
        <v>13.5677269404465</v>
      </c>
      <c r="Y502" s="22" t="n">
        <v>13.5677269404465</v>
      </c>
      <c r="Z502" s="22" t="n">
        <v>13.5677269404465</v>
      </c>
      <c r="AA502" s="22" t="n">
        <v>13.5677269404465</v>
      </c>
      <c r="AB502" s="22" t="n">
        <v>13.5677269404465</v>
      </c>
      <c r="AC502" s="22" t="n">
        <v>13.5677269404465</v>
      </c>
      <c r="AD502" s="22" t="n">
        <v>13.5677269404465</v>
      </c>
      <c r="AE502" s="22" t="n">
        <v>13.5677269404465</v>
      </c>
    </row>
    <row r="503" customFormat="false" ht="15" hidden="false" customHeight="false" outlineLevel="0" collapsed="false">
      <c r="A503" s="35" t="s">
        <v>1291</v>
      </c>
      <c r="B503" s="6" t="s">
        <v>71</v>
      </c>
      <c r="C503" s="6" t="s">
        <v>117</v>
      </c>
      <c r="D503" s="6" t="n">
        <v>2</v>
      </c>
      <c r="E503" s="6" t="s">
        <v>1166</v>
      </c>
      <c r="K503" s="22" t="n">
        <f aca="false">INDEX(Mitigation_Industry!K:K,MATCH($A503,Mitigation_Industry!$H:$H,0))</f>
        <v>15.3345505293169</v>
      </c>
      <c r="L503" s="22" t="n">
        <f aca="false">INDEX(Mitigation_Industry!L:L,MATCH($A503,Mitigation_Industry!$H:$H,0))</f>
        <v>14.1995283906349</v>
      </c>
      <c r="M503" s="22" t="n">
        <f aca="false">INDEX(Mitigation_Industry!M:M,MATCH($A503,Mitigation_Industry!$H:$H,0))</f>
        <v>13.8404416133152</v>
      </c>
      <c r="N503" s="22" t="n">
        <f aca="false">INDEX(Mitigation_Industry!N:N,MATCH($A503,Mitigation_Industry!$H:$H,0))</f>
        <v>13.5677269404465</v>
      </c>
      <c r="O503" s="22" t="n">
        <f aca="false">INDEX(Mitigation_Industry!O:O,MATCH($A503,Mitigation_Industry!$H:$H,0))</f>
        <v>13.5677269404465</v>
      </c>
      <c r="P503" s="22" t="n">
        <f aca="false">INDEX(Mitigation_Industry!P:P,MATCH($A503,Mitigation_Industry!$H:$H,0))</f>
        <v>13.5677269404465</v>
      </c>
      <c r="Q503" s="22" t="n">
        <f aca="false">INDEX(Mitigation_Industry!Q:Q,MATCH($A503,Mitigation_Industry!$H:$H,0))</f>
        <v>13.5677269404465</v>
      </c>
      <c r="R503" s="22" t="n">
        <f aca="false">INDEX(Mitigation_Industry!R:R,MATCH($A503,Mitigation_Industry!$H:$H,0))</f>
        <v>13.5677269404465</v>
      </c>
      <c r="S503" s="22" t="n">
        <f aca="false">INDEX(Mitigation_Industry!S:S,MATCH($A503,Mitigation_Industry!$H:$H,0))</f>
        <v>13.5677269404465</v>
      </c>
      <c r="T503" s="22" t="n">
        <f aca="false">INDEX(Mitigation_Industry!T:T,MATCH($A503,Mitigation_Industry!$H:$H,0))</f>
        <v>13.5677269404465</v>
      </c>
      <c r="U503" s="22" t="n">
        <f aca="false">INDEX(Mitigation_Industry!U:U,MATCH($A503,Mitigation_Industry!$H:$H,0))</f>
        <v>13.5677269404465</v>
      </c>
      <c r="V503" s="22" t="n">
        <f aca="false">INDEX(Mitigation_Industry!V:V,MATCH($A503,Mitigation_Industry!$H:$H,0))</f>
        <v>13.5677269404465</v>
      </c>
      <c r="W503" s="22" t="n">
        <f aca="false">INDEX(Mitigation_Industry!W:W,MATCH($A503,Mitigation_Industry!$H:$H,0))</f>
        <v>13.5677269404465</v>
      </c>
      <c r="X503" s="22" t="n">
        <f aca="false">INDEX(Mitigation_Industry!X:X,MATCH($A503,Mitigation_Industry!$H:$H,0))</f>
        <v>13.5677269404465</v>
      </c>
      <c r="Y503" s="22" t="n">
        <f aca="false">INDEX(Mitigation_Industry!Y:Y,MATCH($A503,Mitigation_Industry!$H:$H,0))</f>
        <v>13.5677269404465</v>
      </c>
      <c r="Z503" s="22" t="n">
        <f aca="false">INDEX(Mitigation_Industry!Z:Z,MATCH($A503,Mitigation_Industry!$H:$H,0))</f>
        <v>13.5677269404465</v>
      </c>
      <c r="AA503" s="22" t="n">
        <f aca="false">INDEX(Mitigation_Industry!AA:AA,MATCH($A503,Mitigation_Industry!$H:$H,0))</f>
        <v>13.5677269404465</v>
      </c>
      <c r="AB503" s="22" t="n">
        <f aca="false">INDEX(Mitigation_Industry!AB:AB,MATCH($A503,Mitigation_Industry!$H:$H,0))</f>
        <v>13.5677269404465</v>
      </c>
      <c r="AC503" s="22" t="n">
        <f aca="false">INDEX(Mitigation_Industry!AC:AC,MATCH($A503,Mitigation_Industry!$H:$H,0))</f>
        <v>13.5677269404465</v>
      </c>
      <c r="AD503" s="22" t="n">
        <f aca="false">INDEX(Mitigation_Industry!AD:AD,MATCH($A503,Mitigation_Industry!$H:$H,0))</f>
        <v>13.5677269404465</v>
      </c>
      <c r="AE503" s="22" t="n">
        <f aca="false">INDEX(Mitigation_Industry!AE:AE,MATCH($A503,Mitigation_Industry!$H:$H,0))</f>
        <v>13.5677269404465</v>
      </c>
    </row>
    <row r="504" customFormat="false" ht="15" hidden="false" customHeight="false" outlineLevel="0" collapsed="false">
      <c r="A504" s="35" t="s">
        <v>1291</v>
      </c>
      <c r="B504" s="6" t="s">
        <v>71</v>
      </c>
      <c r="C504" s="6" t="s">
        <v>117</v>
      </c>
      <c r="D504" s="6" t="n">
        <v>2</v>
      </c>
      <c r="E504" s="2" t="s">
        <v>1167</v>
      </c>
      <c r="F504" s="40" t="n">
        <f aca="false">MAX(MAX(L504:AE504),-MIN(L504:AE504))</f>
        <v>-0</v>
      </c>
      <c r="K504" s="41" t="n">
        <f aca="false">IF(ISNUMBER(K502),IF(ISNUMBER(K503),K503-K502,999999),0)</f>
        <v>0</v>
      </c>
      <c r="L504" s="41" t="n">
        <f aca="false">IF(ISNUMBER(L502),IF(ISNUMBER(L503),L503-L502,999999),0)</f>
        <v>0</v>
      </c>
      <c r="M504" s="41" t="n">
        <f aca="false">IF(ISNUMBER(M502),IF(ISNUMBER(M503),M503-M502,999999),0)</f>
        <v>0</v>
      </c>
      <c r="N504" s="41" t="n">
        <f aca="false">IF(ISNUMBER(N502),IF(ISNUMBER(N503),N503-N502,999999),0)</f>
        <v>0</v>
      </c>
      <c r="O504" s="41" t="n">
        <f aca="false">IF(ISNUMBER(O502),IF(ISNUMBER(O503),O503-O502,999999),0)</f>
        <v>0</v>
      </c>
      <c r="P504" s="41" t="n">
        <f aca="false">IF(ISNUMBER(P502),IF(ISNUMBER(P503),P503-P502,999999),0)</f>
        <v>0</v>
      </c>
      <c r="Q504" s="41" t="n">
        <f aca="false">IF(ISNUMBER(Q502),IF(ISNUMBER(Q503),Q503-Q502,999999),0)</f>
        <v>0</v>
      </c>
      <c r="R504" s="41" t="n">
        <f aca="false">IF(ISNUMBER(R502),IF(ISNUMBER(R503),R503-R502,999999),0)</f>
        <v>0</v>
      </c>
      <c r="S504" s="41" t="n">
        <f aca="false">IF(ISNUMBER(S502),IF(ISNUMBER(S503),S503-S502,999999),0)</f>
        <v>0</v>
      </c>
      <c r="T504" s="41" t="n">
        <f aca="false">IF(ISNUMBER(T502),IF(ISNUMBER(T503),T503-T502,999999),0)</f>
        <v>0</v>
      </c>
      <c r="U504" s="41" t="n">
        <f aca="false">IF(ISNUMBER(U502),IF(ISNUMBER(U503),U503-U502,999999),0)</f>
        <v>0</v>
      </c>
      <c r="V504" s="41" t="n">
        <f aca="false">IF(ISNUMBER(V502),IF(ISNUMBER(V503),V503-V502,999999),0)</f>
        <v>0</v>
      </c>
      <c r="W504" s="41" t="n">
        <f aca="false">IF(ISNUMBER(W502),IF(ISNUMBER(W503),W503-W502,999999),0)</f>
        <v>0</v>
      </c>
      <c r="X504" s="41" t="n">
        <f aca="false">IF(ISNUMBER(X502),IF(ISNUMBER(X503),X503-X502,999999),0)</f>
        <v>0</v>
      </c>
      <c r="Y504" s="41" t="n">
        <f aca="false">IF(ISNUMBER(Y502),IF(ISNUMBER(Y503),Y503-Y502,999999),0)</f>
        <v>0</v>
      </c>
      <c r="Z504" s="41" t="n">
        <f aca="false">IF(ISNUMBER(Z502),IF(ISNUMBER(Z503),Z503-Z502,999999),0)</f>
        <v>0</v>
      </c>
      <c r="AA504" s="41" t="n">
        <f aca="false">IF(ISNUMBER(AA502),IF(ISNUMBER(AA503),AA503-AA502,999999),0)</f>
        <v>0</v>
      </c>
      <c r="AB504" s="41" t="n">
        <f aca="false">IF(ISNUMBER(AB502),IF(ISNUMBER(AB503),AB503-AB502,999999),0)</f>
        <v>0</v>
      </c>
      <c r="AC504" s="41" t="n">
        <f aca="false">IF(ISNUMBER(AC502),IF(ISNUMBER(AC503),AC503-AC502,999999),0)</f>
        <v>0</v>
      </c>
      <c r="AD504" s="41" t="n">
        <f aca="false">IF(ISNUMBER(AD502),IF(ISNUMBER(AD503),AD503-AD502,999999),0)</f>
        <v>0</v>
      </c>
      <c r="AE504" s="41" t="n">
        <f aca="false">IF(ISNUMBER(AE502),IF(ISNUMBER(AE503),AE503-AE502,999999),0)</f>
        <v>0</v>
      </c>
    </row>
    <row r="506" customFormat="false" ht="15" hidden="false" customHeight="false" outlineLevel="0" collapsed="false">
      <c r="A506" s="35" t="s">
        <v>1292</v>
      </c>
      <c r="B506" s="6" t="s">
        <v>73</v>
      </c>
      <c r="C506" s="6" t="s">
        <v>117</v>
      </c>
      <c r="D506" s="6" t="n">
        <v>2</v>
      </c>
      <c r="E506" s="6" t="s">
        <v>1165</v>
      </c>
      <c r="K506" s="22"/>
      <c r="L506" s="22" t="n">
        <v>0.144044986793198</v>
      </c>
      <c r="M506" s="22" t="n">
        <v>0.141386241751359</v>
      </c>
      <c r="N506" s="22" t="n">
        <v>0.135397565443731</v>
      </c>
      <c r="O506" s="22" t="n">
        <v>0.131522885420651</v>
      </c>
      <c r="P506" s="22" t="n">
        <v>0.128826108485231</v>
      </c>
      <c r="Q506" s="22" t="n">
        <v>0.12594200976474</v>
      </c>
      <c r="R506" s="22" t="n">
        <v>0.123113265701861</v>
      </c>
      <c r="S506" s="22" t="n">
        <v>0.119391738089068</v>
      </c>
      <c r="T506" s="22" t="n">
        <v>0.11554419046792</v>
      </c>
      <c r="U506" s="22" t="n">
        <v>0.114924230654159</v>
      </c>
      <c r="V506" s="22" t="n">
        <v>0.114346912116736</v>
      </c>
      <c r="W506" s="22" t="n">
        <v>0.113738711172664</v>
      </c>
      <c r="X506" s="22" t="n">
        <v>0.112999900487521</v>
      </c>
      <c r="Y506" s="22" t="n">
        <v>0.112177685835534</v>
      </c>
      <c r="Z506" s="22" t="n">
        <v>0.111417903250404</v>
      </c>
      <c r="AA506" s="22" t="n">
        <v>0.110525819985454</v>
      </c>
      <c r="AB506" s="22" t="n">
        <v>0.109699565234896</v>
      </c>
      <c r="AC506" s="22" t="n">
        <v>0.107726788963949</v>
      </c>
      <c r="AD506" s="22" t="n">
        <v>0.105820924450935</v>
      </c>
      <c r="AE506" s="22" t="n">
        <v>0.103855595705721</v>
      </c>
    </row>
    <row r="507" customFormat="false" ht="15" hidden="false" customHeight="false" outlineLevel="0" collapsed="false">
      <c r="A507" s="35" t="s">
        <v>1292</v>
      </c>
      <c r="B507" s="6" t="s">
        <v>73</v>
      </c>
      <c r="C507" s="6" t="s">
        <v>117</v>
      </c>
      <c r="D507" s="6" t="n">
        <v>2</v>
      </c>
      <c r="E507" s="6" t="s">
        <v>1166</v>
      </c>
      <c r="K507" s="22" t="n">
        <f aca="false">INDEX(Mitigation_Industry!K:K,MATCH($A507,Mitigation_Industry!$H:$H,0))</f>
        <v>0</v>
      </c>
      <c r="L507" s="22" t="n">
        <f aca="false">INDEX(Mitigation_Industry!L:L,MATCH($A507,Mitigation_Industry!$H:$H,0))</f>
        <v>0.144044986793198</v>
      </c>
      <c r="M507" s="22" t="n">
        <f aca="false">INDEX(Mitigation_Industry!M:M,MATCH($A507,Mitigation_Industry!$H:$H,0))</f>
        <v>0.141386241751359</v>
      </c>
      <c r="N507" s="22" t="n">
        <f aca="false">INDEX(Mitigation_Industry!N:N,MATCH($A507,Mitigation_Industry!$H:$H,0))</f>
        <v>0.135397565443731</v>
      </c>
      <c r="O507" s="22" t="n">
        <f aca="false">INDEX(Mitigation_Industry!O:O,MATCH($A507,Mitigation_Industry!$H:$H,0))</f>
        <v>0.131522885420651</v>
      </c>
      <c r="P507" s="22" t="n">
        <f aca="false">INDEX(Mitigation_Industry!P:P,MATCH($A507,Mitigation_Industry!$H:$H,0))</f>
        <v>0.128826108485231</v>
      </c>
      <c r="Q507" s="22" t="n">
        <f aca="false">INDEX(Mitigation_Industry!Q:Q,MATCH($A507,Mitigation_Industry!$H:$H,0))</f>
        <v>0.12594200976474</v>
      </c>
      <c r="R507" s="22" t="n">
        <f aca="false">INDEX(Mitigation_Industry!R:R,MATCH($A507,Mitigation_Industry!$H:$H,0))</f>
        <v>0.123113265701861</v>
      </c>
      <c r="S507" s="22" t="n">
        <f aca="false">INDEX(Mitigation_Industry!S:S,MATCH($A507,Mitigation_Industry!$H:$H,0))</f>
        <v>0.119391738089068</v>
      </c>
      <c r="T507" s="22" t="n">
        <f aca="false">INDEX(Mitigation_Industry!T:T,MATCH($A507,Mitigation_Industry!$H:$H,0))</f>
        <v>0.11554419046792</v>
      </c>
      <c r="U507" s="22" t="n">
        <f aca="false">INDEX(Mitigation_Industry!U:U,MATCH($A507,Mitigation_Industry!$H:$H,0))</f>
        <v>0.114924230654159</v>
      </c>
      <c r="V507" s="22" t="n">
        <f aca="false">INDEX(Mitigation_Industry!V:V,MATCH($A507,Mitigation_Industry!$H:$H,0))</f>
        <v>0.114346912116736</v>
      </c>
      <c r="W507" s="22" t="n">
        <f aca="false">INDEX(Mitigation_Industry!W:W,MATCH($A507,Mitigation_Industry!$H:$H,0))</f>
        <v>0.113738711172664</v>
      </c>
      <c r="X507" s="22" t="n">
        <f aca="false">INDEX(Mitigation_Industry!X:X,MATCH($A507,Mitigation_Industry!$H:$H,0))</f>
        <v>0.112999900487521</v>
      </c>
      <c r="Y507" s="22" t="n">
        <f aca="false">INDEX(Mitigation_Industry!Y:Y,MATCH($A507,Mitigation_Industry!$H:$H,0))</f>
        <v>0.112177685835534</v>
      </c>
      <c r="Z507" s="22" t="n">
        <f aca="false">INDEX(Mitigation_Industry!Z:Z,MATCH($A507,Mitigation_Industry!$H:$H,0))</f>
        <v>0.111417903250404</v>
      </c>
      <c r="AA507" s="22" t="n">
        <f aca="false">INDEX(Mitigation_Industry!AA:AA,MATCH($A507,Mitigation_Industry!$H:$H,0))</f>
        <v>0.110525819985454</v>
      </c>
      <c r="AB507" s="22" t="n">
        <f aca="false">INDEX(Mitigation_Industry!AB:AB,MATCH($A507,Mitigation_Industry!$H:$H,0))</f>
        <v>0.109699565234896</v>
      </c>
      <c r="AC507" s="22" t="n">
        <f aca="false">INDEX(Mitigation_Industry!AC:AC,MATCH($A507,Mitigation_Industry!$H:$H,0))</f>
        <v>0.107726788963949</v>
      </c>
      <c r="AD507" s="22" t="n">
        <f aca="false">INDEX(Mitigation_Industry!AD:AD,MATCH($A507,Mitigation_Industry!$H:$H,0))</f>
        <v>0.105820924450935</v>
      </c>
      <c r="AE507" s="22" t="n">
        <f aca="false">INDEX(Mitigation_Industry!AE:AE,MATCH($A507,Mitigation_Industry!$H:$H,0))</f>
        <v>0.103855595705721</v>
      </c>
    </row>
    <row r="508" customFormat="false" ht="15" hidden="false" customHeight="false" outlineLevel="0" collapsed="false">
      <c r="A508" s="35" t="s">
        <v>1292</v>
      </c>
      <c r="B508" s="6" t="s">
        <v>73</v>
      </c>
      <c r="C508" s="6" t="s">
        <v>117</v>
      </c>
      <c r="D508" s="6" t="n">
        <v>2</v>
      </c>
      <c r="E508" s="2" t="s">
        <v>1167</v>
      </c>
      <c r="F508" s="40" t="n">
        <f aca="false">MAX(MAX(L508:AE508),-MIN(L508:AE508))</f>
        <v>-0</v>
      </c>
      <c r="K508" s="41" t="n">
        <f aca="false">IF(ISNUMBER(K506),IF(ISNUMBER(K507),K507-K506,999999),0)</f>
        <v>0</v>
      </c>
      <c r="L508" s="41" t="n">
        <f aca="false">IF(ISNUMBER(L506),IF(ISNUMBER(L507),L507-L506,999999),0)</f>
        <v>0</v>
      </c>
      <c r="M508" s="41" t="n">
        <f aca="false">IF(ISNUMBER(M506),IF(ISNUMBER(M507),M507-M506,999999),0)</f>
        <v>0</v>
      </c>
      <c r="N508" s="41" t="n">
        <f aca="false">IF(ISNUMBER(N506),IF(ISNUMBER(N507),N507-N506,999999),0)</f>
        <v>0</v>
      </c>
      <c r="O508" s="41" t="n">
        <f aca="false">IF(ISNUMBER(O506),IF(ISNUMBER(O507),O507-O506,999999),0)</f>
        <v>0</v>
      </c>
      <c r="P508" s="41" t="n">
        <f aca="false">IF(ISNUMBER(P506),IF(ISNUMBER(P507),P507-P506,999999),0)</f>
        <v>0</v>
      </c>
      <c r="Q508" s="41" t="n">
        <f aca="false">IF(ISNUMBER(Q506),IF(ISNUMBER(Q507),Q507-Q506,999999),0)</f>
        <v>0</v>
      </c>
      <c r="R508" s="41" t="n">
        <f aca="false">IF(ISNUMBER(R506),IF(ISNUMBER(R507),R507-R506,999999),0)</f>
        <v>0</v>
      </c>
      <c r="S508" s="41" t="n">
        <f aca="false">IF(ISNUMBER(S506),IF(ISNUMBER(S507),S507-S506,999999),0)</f>
        <v>0</v>
      </c>
      <c r="T508" s="41" t="n">
        <f aca="false">IF(ISNUMBER(T506),IF(ISNUMBER(T507),T507-T506,999999),0)</f>
        <v>0</v>
      </c>
      <c r="U508" s="41" t="n">
        <f aca="false">IF(ISNUMBER(U506),IF(ISNUMBER(U507),U507-U506,999999),0)</f>
        <v>0</v>
      </c>
      <c r="V508" s="41" t="n">
        <f aca="false">IF(ISNUMBER(V506),IF(ISNUMBER(V507),V507-V506,999999),0)</f>
        <v>0</v>
      </c>
      <c r="W508" s="41" t="n">
        <f aca="false">IF(ISNUMBER(W506),IF(ISNUMBER(W507),W507-W506,999999),0)</f>
        <v>0</v>
      </c>
      <c r="X508" s="41" t="n">
        <f aca="false">IF(ISNUMBER(X506),IF(ISNUMBER(X507),X507-X506,999999),0)</f>
        <v>0</v>
      </c>
      <c r="Y508" s="41" t="n">
        <f aca="false">IF(ISNUMBER(Y506),IF(ISNUMBER(Y507),Y507-Y506,999999),0)</f>
        <v>0</v>
      </c>
      <c r="Z508" s="41" t="n">
        <f aca="false">IF(ISNUMBER(Z506),IF(ISNUMBER(Z507),Z507-Z506,999999),0)</f>
        <v>0</v>
      </c>
      <c r="AA508" s="41" t="n">
        <f aca="false">IF(ISNUMBER(AA506),IF(ISNUMBER(AA507),AA507-AA506,999999),0)</f>
        <v>0</v>
      </c>
      <c r="AB508" s="41" t="n">
        <f aca="false">IF(ISNUMBER(AB506),IF(ISNUMBER(AB507),AB507-AB506,999999),0)</f>
        <v>0</v>
      </c>
      <c r="AC508" s="41" t="n">
        <f aca="false">IF(ISNUMBER(AC506),IF(ISNUMBER(AC507),AC507-AC506,999999),0)</f>
        <v>0</v>
      </c>
      <c r="AD508" s="41" t="n">
        <f aca="false">IF(ISNUMBER(AD506),IF(ISNUMBER(AD507),AD507-AD506,999999),0)</f>
        <v>0</v>
      </c>
      <c r="AE508" s="41" t="n">
        <f aca="false">IF(ISNUMBER(AE506),IF(ISNUMBER(AE507),AE507-AE506,999999),0)</f>
        <v>0</v>
      </c>
    </row>
    <row r="510" customFormat="false" ht="15" hidden="false" customHeight="false" outlineLevel="0" collapsed="false">
      <c r="A510" s="35" t="s">
        <v>1293</v>
      </c>
      <c r="B510" s="6" t="s">
        <v>53</v>
      </c>
      <c r="C510" s="6" t="s">
        <v>119</v>
      </c>
      <c r="D510" s="6" t="n">
        <v>2</v>
      </c>
      <c r="E510" s="6" t="s">
        <v>1165</v>
      </c>
      <c r="K510" s="22"/>
      <c r="L510" s="22" t="n">
        <v>10.5233613454312</v>
      </c>
      <c r="M510" s="22" t="n">
        <v>10.2995608274442</v>
      </c>
      <c r="N510" s="22" t="n">
        <v>9.57752835953826</v>
      </c>
      <c r="O510" s="22" t="n">
        <v>8.48547828695805</v>
      </c>
      <c r="P510" s="22" t="n">
        <v>9.08719223524986</v>
      </c>
      <c r="Q510" s="22" t="n">
        <v>10.4729237289327</v>
      </c>
      <c r="R510" s="22" t="n">
        <v>11.6585649555097</v>
      </c>
      <c r="S510" s="22" t="n">
        <v>12.8395478773974</v>
      </c>
      <c r="T510" s="22" t="n">
        <v>14.0156816660228</v>
      </c>
      <c r="U510" s="22" t="n">
        <v>15.1943977655571</v>
      </c>
      <c r="V510" s="22" t="n">
        <v>16.4443977655571</v>
      </c>
      <c r="W510" s="22" t="n">
        <v>17.6943977655571</v>
      </c>
      <c r="X510" s="22" t="n">
        <v>18.9443977655571</v>
      </c>
      <c r="Y510" s="22" t="n">
        <v>20.1943977655571</v>
      </c>
      <c r="Z510" s="22" t="n">
        <v>21.4443977655571</v>
      </c>
      <c r="AA510" s="22" t="n">
        <v>22.6943977655571</v>
      </c>
      <c r="AB510" s="22" t="n">
        <v>23.9443977655571</v>
      </c>
      <c r="AC510" s="22" t="n">
        <v>25.1943977655571</v>
      </c>
      <c r="AD510" s="22" t="n">
        <v>26.4443977655571</v>
      </c>
      <c r="AE510" s="22" t="n">
        <v>27.6943977655571</v>
      </c>
    </row>
    <row r="511" customFormat="false" ht="15" hidden="false" customHeight="false" outlineLevel="0" collapsed="false">
      <c r="A511" s="35" t="s">
        <v>1293</v>
      </c>
      <c r="B511" s="6" t="s">
        <v>53</v>
      </c>
      <c r="C511" s="6" t="s">
        <v>119</v>
      </c>
      <c r="D511" s="6" t="n">
        <v>2</v>
      </c>
      <c r="E511" s="6" t="s">
        <v>1166</v>
      </c>
      <c r="K511" s="22" t="n">
        <f aca="false">INDEX(Mitigation_Industry!K:K,MATCH($A511,Mitigation_Industry!$H:$H,0))</f>
        <v>11.1829015892439</v>
      </c>
      <c r="L511" s="22" t="n">
        <f aca="false">INDEX(Mitigation_Industry!L:L,MATCH($A511,Mitigation_Industry!$H:$H,0))</f>
        <v>10.5233613454312</v>
      </c>
      <c r="M511" s="22" t="n">
        <f aca="false">INDEX(Mitigation_Industry!M:M,MATCH($A511,Mitigation_Industry!$H:$H,0))</f>
        <v>10.2995608274442</v>
      </c>
      <c r="N511" s="22" t="n">
        <f aca="false">INDEX(Mitigation_Industry!N:N,MATCH($A511,Mitigation_Industry!$H:$H,0))</f>
        <v>9.57752835953826</v>
      </c>
      <c r="O511" s="22" t="n">
        <f aca="false">INDEX(Mitigation_Industry!O:O,MATCH($A511,Mitigation_Industry!$H:$H,0))</f>
        <v>8.48547828695805</v>
      </c>
      <c r="P511" s="22" t="n">
        <f aca="false">INDEX(Mitigation_Industry!P:P,MATCH($A511,Mitigation_Industry!$H:$H,0))</f>
        <v>9.08719223524986</v>
      </c>
      <c r="Q511" s="22" t="n">
        <f aca="false">INDEX(Mitigation_Industry!Q:Q,MATCH($A511,Mitigation_Industry!$H:$H,0))</f>
        <v>10.4729237289327</v>
      </c>
      <c r="R511" s="22" t="n">
        <f aca="false">INDEX(Mitigation_Industry!R:R,MATCH($A511,Mitigation_Industry!$H:$H,0))</f>
        <v>11.6585649555097</v>
      </c>
      <c r="S511" s="22" t="n">
        <f aca="false">INDEX(Mitigation_Industry!S:S,MATCH($A511,Mitigation_Industry!$H:$H,0))</f>
        <v>12.8395478773974</v>
      </c>
      <c r="T511" s="22" t="n">
        <f aca="false">INDEX(Mitigation_Industry!T:T,MATCH($A511,Mitigation_Industry!$H:$H,0))</f>
        <v>14.0156816660228</v>
      </c>
      <c r="U511" s="22" t="n">
        <f aca="false">INDEX(Mitigation_Industry!U:U,MATCH($A511,Mitigation_Industry!$H:$H,0))</f>
        <v>15.1943977655571</v>
      </c>
      <c r="V511" s="22" t="n">
        <f aca="false">INDEX(Mitigation_Industry!V:V,MATCH($A511,Mitigation_Industry!$H:$H,0))</f>
        <v>16.4443977655571</v>
      </c>
      <c r="W511" s="22" t="n">
        <f aca="false">INDEX(Mitigation_Industry!W:W,MATCH($A511,Mitigation_Industry!$H:$H,0))</f>
        <v>17.6943977655571</v>
      </c>
      <c r="X511" s="22" t="n">
        <f aca="false">INDEX(Mitigation_Industry!X:X,MATCH($A511,Mitigation_Industry!$H:$H,0))</f>
        <v>18.9443977655571</v>
      </c>
      <c r="Y511" s="22" t="n">
        <f aca="false">INDEX(Mitigation_Industry!Y:Y,MATCH($A511,Mitigation_Industry!$H:$H,0))</f>
        <v>20.1943977655571</v>
      </c>
      <c r="Z511" s="22" t="n">
        <f aca="false">INDEX(Mitigation_Industry!Z:Z,MATCH($A511,Mitigation_Industry!$H:$H,0))</f>
        <v>21.4443977655571</v>
      </c>
      <c r="AA511" s="22" t="n">
        <f aca="false">INDEX(Mitigation_Industry!AA:AA,MATCH($A511,Mitigation_Industry!$H:$H,0))</f>
        <v>22.6943977655571</v>
      </c>
      <c r="AB511" s="22" t="n">
        <f aca="false">INDEX(Mitigation_Industry!AB:AB,MATCH($A511,Mitigation_Industry!$H:$H,0))</f>
        <v>23.9443977655571</v>
      </c>
      <c r="AC511" s="22" t="n">
        <f aca="false">INDEX(Mitigation_Industry!AC:AC,MATCH($A511,Mitigation_Industry!$H:$H,0))</f>
        <v>25.1943977655571</v>
      </c>
      <c r="AD511" s="22" t="n">
        <f aca="false">INDEX(Mitigation_Industry!AD:AD,MATCH($A511,Mitigation_Industry!$H:$H,0))</f>
        <v>26.4443977655571</v>
      </c>
      <c r="AE511" s="22" t="n">
        <f aca="false">INDEX(Mitigation_Industry!AE:AE,MATCH($A511,Mitigation_Industry!$H:$H,0))</f>
        <v>27.6943977655571</v>
      </c>
    </row>
    <row r="512" customFormat="false" ht="15" hidden="false" customHeight="false" outlineLevel="0" collapsed="false">
      <c r="A512" s="35" t="s">
        <v>1293</v>
      </c>
      <c r="B512" s="6" t="s">
        <v>53</v>
      </c>
      <c r="C512" s="6" t="s">
        <v>119</v>
      </c>
      <c r="D512" s="6" t="n">
        <v>2</v>
      </c>
      <c r="E512" s="2" t="s">
        <v>1167</v>
      </c>
      <c r="F512" s="40" t="n">
        <f aca="false">MAX(MAX(L512:AE512),-MIN(L512:AE512))</f>
        <v>-0</v>
      </c>
      <c r="K512" s="41" t="n">
        <f aca="false">IF(ISNUMBER(K510),IF(ISNUMBER(K511),K511-K510,999999),0)</f>
        <v>0</v>
      </c>
      <c r="L512" s="41" t="n">
        <f aca="false">IF(ISNUMBER(L510),IF(ISNUMBER(L511),L511-L510,999999),0)</f>
        <v>0</v>
      </c>
      <c r="M512" s="41" t="n">
        <f aca="false">IF(ISNUMBER(M510),IF(ISNUMBER(M511),M511-M510,999999),0)</f>
        <v>0</v>
      </c>
      <c r="N512" s="41" t="n">
        <f aca="false">IF(ISNUMBER(N510),IF(ISNUMBER(N511),N511-N510,999999),0)</f>
        <v>0</v>
      </c>
      <c r="O512" s="41" t="n">
        <f aca="false">IF(ISNUMBER(O510),IF(ISNUMBER(O511),O511-O510,999999),0)</f>
        <v>0</v>
      </c>
      <c r="P512" s="41" t="n">
        <f aca="false">IF(ISNUMBER(P510),IF(ISNUMBER(P511),P511-P510,999999),0)</f>
        <v>0</v>
      </c>
      <c r="Q512" s="41" t="n">
        <f aca="false">IF(ISNUMBER(Q510),IF(ISNUMBER(Q511),Q511-Q510,999999),0)</f>
        <v>0</v>
      </c>
      <c r="R512" s="41" t="n">
        <f aca="false">IF(ISNUMBER(R510),IF(ISNUMBER(R511),R511-R510,999999),0)</f>
        <v>0</v>
      </c>
      <c r="S512" s="41" t="n">
        <f aca="false">IF(ISNUMBER(S510),IF(ISNUMBER(S511),S511-S510,999999),0)</f>
        <v>0</v>
      </c>
      <c r="T512" s="41" t="n">
        <f aca="false">IF(ISNUMBER(T510),IF(ISNUMBER(T511),T511-T510,999999),0)</f>
        <v>0</v>
      </c>
      <c r="U512" s="41" t="n">
        <f aca="false">IF(ISNUMBER(U510),IF(ISNUMBER(U511),U511-U510,999999),0)</f>
        <v>0</v>
      </c>
      <c r="V512" s="41" t="n">
        <f aca="false">IF(ISNUMBER(V510),IF(ISNUMBER(V511),V511-V510,999999),0)</f>
        <v>0</v>
      </c>
      <c r="W512" s="41" t="n">
        <f aca="false">IF(ISNUMBER(W510),IF(ISNUMBER(W511),W511-W510,999999),0)</f>
        <v>0</v>
      </c>
      <c r="X512" s="41" t="n">
        <f aca="false">IF(ISNUMBER(X510),IF(ISNUMBER(X511),X511-X510,999999),0)</f>
        <v>0</v>
      </c>
      <c r="Y512" s="41" t="n">
        <f aca="false">IF(ISNUMBER(Y510),IF(ISNUMBER(Y511),Y511-Y510,999999),0)</f>
        <v>0</v>
      </c>
      <c r="Z512" s="41" t="n">
        <f aca="false">IF(ISNUMBER(Z510),IF(ISNUMBER(Z511),Z511-Z510,999999),0)</f>
        <v>0</v>
      </c>
      <c r="AA512" s="41" t="n">
        <f aca="false">IF(ISNUMBER(AA510),IF(ISNUMBER(AA511),AA511-AA510,999999),0)</f>
        <v>0</v>
      </c>
      <c r="AB512" s="41" t="n">
        <f aca="false">IF(ISNUMBER(AB510),IF(ISNUMBER(AB511),AB511-AB510,999999),0)</f>
        <v>0</v>
      </c>
      <c r="AC512" s="41" t="n">
        <f aca="false">IF(ISNUMBER(AC510),IF(ISNUMBER(AC511),AC511-AC510,999999),0)</f>
        <v>0</v>
      </c>
      <c r="AD512" s="41" t="n">
        <f aca="false">IF(ISNUMBER(AD510),IF(ISNUMBER(AD511),AD511-AD510,999999),0)</f>
        <v>0</v>
      </c>
      <c r="AE512" s="41" t="n">
        <f aca="false">IF(ISNUMBER(AE510),IF(ISNUMBER(AE511),AE511-AE510,999999),0)</f>
        <v>0</v>
      </c>
    </row>
    <row r="514" customFormat="false" ht="15" hidden="false" customHeight="false" outlineLevel="0" collapsed="false">
      <c r="A514" s="35" t="s">
        <v>1294</v>
      </c>
      <c r="B514" s="6" t="s">
        <v>57</v>
      </c>
      <c r="C514" s="6" t="s">
        <v>119</v>
      </c>
      <c r="D514" s="6" t="n">
        <v>2</v>
      </c>
      <c r="E514" s="6" t="s">
        <v>1165</v>
      </c>
      <c r="K514" s="22"/>
      <c r="L514" s="22" t="n">
        <v>5.45101508161919</v>
      </c>
      <c r="M514" s="22" t="n">
        <v>5.11935630626248</v>
      </c>
      <c r="N514" s="22" t="n">
        <v>5.08218458640407</v>
      </c>
      <c r="O514" s="22" t="n">
        <v>5.08218458640407</v>
      </c>
      <c r="P514" s="22" t="n">
        <v>5.08218458640407</v>
      </c>
      <c r="Q514" s="22" t="n">
        <v>5.77968458640407</v>
      </c>
      <c r="R514" s="22" t="n">
        <v>6.47718458640407</v>
      </c>
      <c r="S514" s="22" t="n">
        <v>7.17468458640407</v>
      </c>
      <c r="T514" s="22" t="n">
        <v>7.87218458640407</v>
      </c>
      <c r="U514" s="22" t="n">
        <v>8.56968458640407</v>
      </c>
      <c r="V514" s="22" t="n">
        <v>9.26718458640407</v>
      </c>
      <c r="W514" s="22" t="n">
        <v>9.96468458640407</v>
      </c>
      <c r="X514" s="22" t="n">
        <v>10.6621845864041</v>
      </c>
      <c r="Y514" s="22" t="n">
        <v>11.3596845864041</v>
      </c>
      <c r="Z514" s="22" t="n">
        <v>12.0571845864041</v>
      </c>
      <c r="AA514" s="22" t="n">
        <v>12.7546845864041</v>
      </c>
      <c r="AB514" s="22" t="n">
        <v>13.4521845864041</v>
      </c>
      <c r="AC514" s="22" t="n">
        <v>14.1496845864041</v>
      </c>
      <c r="AD514" s="22" t="n">
        <v>14.8471845864041</v>
      </c>
      <c r="AE514" s="22" t="n">
        <v>15.5446845864041</v>
      </c>
    </row>
    <row r="515" customFormat="false" ht="15" hidden="false" customHeight="false" outlineLevel="0" collapsed="false">
      <c r="A515" s="35" t="s">
        <v>1294</v>
      </c>
      <c r="B515" s="6" t="s">
        <v>57</v>
      </c>
      <c r="C515" s="6" t="s">
        <v>119</v>
      </c>
      <c r="D515" s="6" t="n">
        <v>2</v>
      </c>
      <c r="E515" s="6" t="s">
        <v>1166</v>
      </c>
      <c r="K515" s="22" t="n">
        <f aca="false">INDEX(Mitigation_Industry!K:K,MATCH($A515,Mitigation_Industry!$H:$H,0))</f>
        <v>6.06346361567291</v>
      </c>
      <c r="L515" s="22" t="n">
        <f aca="false">INDEX(Mitigation_Industry!L:L,MATCH($A515,Mitigation_Industry!$H:$H,0))</f>
        <v>5.45101508161919</v>
      </c>
      <c r="M515" s="22" t="n">
        <f aca="false">INDEX(Mitigation_Industry!M:M,MATCH($A515,Mitigation_Industry!$H:$H,0))</f>
        <v>5.11935630626248</v>
      </c>
      <c r="N515" s="22" t="n">
        <f aca="false">INDEX(Mitigation_Industry!N:N,MATCH($A515,Mitigation_Industry!$H:$H,0))</f>
        <v>5.08218458640407</v>
      </c>
      <c r="O515" s="22" t="n">
        <f aca="false">INDEX(Mitigation_Industry!O:O,MATCH($A515,Mitigation_Industry!$H:$H,0))</f>
        <v>5.08218458640407</v>
      </c>
      <c r="P515" s="22" t="n">
        <f aca="false">INDEX(Mitigation_Industry!P:P,MATCH($A515,Mitigation_Industry!$H:$H,0))</f>
        <v>5.08218458640407</v>
      </c>
      <c r="Q515" s="22" t="n">
        <f aca="false">INDEX(Mitigation_Industry!Q:Q,MATCH($A515,Mitigation_Industry!$H:$H,0))</f>
        <v>5.77968458640407</v>
      </c>
      <c r="R515" s="22" t="n">
        <f aca="false">INDEX(Mitigation_Industry!R:R,MATCH($A515,Mitigation_Industry!$H:$H,0))</f>
        <v>6.47718458640407</v>
      </c>
      <c r="S515" s="22" t="n">
        <f aca="false">INDEX(Mitigation_Industry!S:S,MATCH($A515,Mitigation_Industry!$H:$H,0))</f>
        <v>7.17468458640407</v>
      </c>
      <c r="T515" s="22" t="n">
        <f aca="false">INDEX(Mitigation_Industry!T:T,MATCH($A515,Mitigation_Industry!$H:$H,0))</f>
        <v>7.87218458640407</v>
      </c>
      <c r="U515" s="22" t="n">
        <f aca="false">INDEX(Mitigation_Industry!U:U,MATCH($A515,Mitigation_Industry!$H:$H,0))</f>
        <v>8.56968458640407</v>
      </c>
      <c r="V515" s="22" t="n">
        <f aca="false">INDEX(Mitigation_Industry!V:V,MATCH($A515,Mitigation_Industry!$H:$H,0))</f>
        <v>9.26718458640407</v>
      </c>
      <c r="W515" s="22" t="n">
        <f aca="false">INDEX(Mitigation_Industry!W:W,MATCH($A515,Mitigation_Industry!$H:$H,0))</f>
        <v>9.96468458640407</v>
      </c>
      <c r="X515" s="22" t="n">
        <f aca="false">INDEX(Mitigation_Industry!X:X,MATCH($A515,Mitigation_Industry!$H:$H,0))</f>
        <v>10.6621845864041</v>
      </c>
      <c r="Y515" s="22" t="n">
        <f aca="false">INDEX(Mitigation_Industry!Y:Y,MATCH($A515,Mitigation_Industry!$H:$H,0))</f>
        <v>11.3596845864041</v>
      </c>
      <c r="Z515" s="22" t="n">
        <f aca="false">INDEX(Mitigation_Industry!Z:Z,MATCH($A515,Mitigation_Industry!$H:$H,0))</f>
        <v>12.0571845864041</v>
      </c>
      <c r="AA515" s="22" t="n">
        <f aca="false">INDEX(Mitigation_Industry!AA:AA,MATCH($A515,Mitigation_Industry!$H:$H,0))</f>
        <v>12.7546845864041</v>
      </c>
      <c r="AB515" s="22" t="n">
        <f aca="false">INDEX(Mitigation_Industry!AB:AB,MATCH($A515,Mitigation_Industry!$H:$H,0))</f>
        <v>13.4521845864041</v>
      </c>
      <c r="AC515" s="22" t="n">
        <f aca="false">INDEX(Mitigation_Industry!AC:AC,MATCH($A515,Mitigation_Industry!$H:$H,0))</f>
        <v>14.1496845864041</v>
      </c>
      <c r="AD515" s="22" t="n">
        <f aca="false">INDEX(Mitigation_Industry!AD:AD,MATCH($A515,Mitigation_Industry!$H:$H,0))</f>
        <v>14.8471845864041</v>
      </c>
      <c r="AE515" s="22" t="n">
        <f aca="false">INDEX(Mitigation_Industry!AE:AE,MATCH($A515,Mitigation_Industry!$H:$H,0))</f>
        <v>15.5446845864041</v>
      </c>
    </row>
    <row r="516" customFormat="false" ht="15" hidden="false" customHeight="false" outlineLevel="0" collapsed="false">
      <c r="A516" s="35" t="s">
        <v>1294</v>
      </c>
      <c r="B516" s="6" t="s">
        <v>57</v>
      </c>
      <c r="C516" s="6" t="s">
        <v>119</v>
      </c>
      <c r="D516" s="6" t="n">
        <v>2</v>
      </c>
      <c r="E516" s="2" t="s">
        <v>1167</v>
      </c>
      <c r="F516" s="40" t="n">
        <f aca="false">MAX(MAX(L516:AE516),-MIN(L516:AE516))</f>
        <v>-0</v>
      </c>
      <c r="K516" s="41" t="n">
        <f aca="false">IF(ISNUMBER(K514),IF(ISNUMBER(K515),K515-K514,999999),0)</f>
        <v>0</v>
      </c>
      <c r="L516" s="41" t="n">
        <f aca="false">IF(ISNUMBER(L514),IF(ISNUMBER(L515),L515-L514,999999),0)</f>
        <v>0</v>
      </c>
      <c r="M516" s="41" t="n">
        <f aca="false">IF(ISNUMBER(M514),IF(ISNUMBER(M515),M515-M514,999999),0)</f>
        <v>0</v>
      </c>
      <c r="N516" s="41" t="n">
        <f aca="false">IF(ISNUMBER(N514),IF(ISNUMBER(N515),N515-N514,999999),0)</f>
        <v>0</v>
      </c>
      <c r="O516" s="41" t="n">
        <f aca="false">IF(ISNUMBER(O514),IF(ISNUMBER(O515),O515-O514,999999),0)</f>
        <v>0</v>
      </c>
      <c r="P516" s="41" t="n">
        <f aca="false">IF(ISNUMBER(P514),IF(ISNUMBER(P515),P515-P514,999999),0)</f>
        <v>0</v>
      </c>
      <c r="Q516" s="41" t="n">
        <f aca="false">IF(ISNUMBER(Q514),IF(ISNUMBER(Q515),Q515-Q514,999999),0)</f>
        <v>0</v>
      </c>
      <c r="R516" s="41" t="n">
        <f aca="false">IF(ISNUMBER(R514),IF(ISNUMBER(R515),R515-R514,999999),0)</f>
        <v>0</v>
      </c>
      <c r="S516" s="41" t="n">
        <f aca="false">IF(ISNUMBER(S514),IF(ISNUMBER(S515),S515-S514,999999),0)</f>
        <v>0</v>
      </c>
      <c r="T516" s="41" t="n">
        <f aca="false">IF(ISNUMBER(T514),IF(ISNUMBER(T515),T515-T514,999999),0)</f>
        <v>0</v>
      </c>
      <c r="U516" s="41" t="n">
        <f aca="false">IF(ISNUMBER(U514),IF(ISNUMBER(U515),U515-U514,999999),0)</f>
        <v>0</v>
      </c>
      <c r="V516" s="41" t="n">
        <f aca="false">IF(ISNUMBER(V514),IF(ISNUMBER(V515),V515-V514,999999),0)</f>
        <v>0</v>
      </c>
      <c r="W516" s="41" t="n">
        <f aca="false">IF(ISNUMBER(W514),IF(ISNUMBER(W515),W515-W514,999999),0)</f>
        <v>0</v>
      </c>
      <c r="X516" s="41" t="n">
        <f aca="false">IF(ISNUMBER(X514),IF(ISNUMBER(X515),X515-X514,999999),0)</f>
        <v>0</v>
      </c>
      <c r="Y516" s="41" t="n">
        <f aca="false">IF(ISNUMBER(Y514),IF(ISNUMBER(Y515),Y515-Y514,999999),0)</f>
        <v>0</v>
      </c>
      <c r="Z516" s="41" t="n">
        <f aca="false">IF(ISNUMBER(Z514),IF(ISNUMBER(Z515),Z515-Z514,999999),0)</f>
        <v>0</v>
      </c>
      <c r="AA516" s="41" t="n">
        <f aca="false">IF(ISNUMBER(AA514),IF(ISNUMBER(AA515),AA515-AA514,999999),0)</f>
        <v>0</v>
      </c>
      <c r="AB516" s="41" t="n">
        <f aca="false">IF(ISNUMBER(AB514),IF(ISNUMBER(AB515),AB515-AB514,999999),0)</f>
        <v>0</v>
      </c>
      <c r="AC516" s="41" t="n">
        <f aca="false">IF(ISNUMBER(AC514),IF(ISNUMBER(AC515),AC515-AC514,999999),0)</f>
        <v>0</v>
      </c>
      <c r="AD516" s="41" t="n">
        <f aca="false">IF(ISNUMBER(AD514),IF(ISNUMBER(AD515),AD515-AD514,999999),0)</f>
        <v>0</v>
      </c>
      <c r="AE516" s="41" t="n">
        <f aca="false">IF(ISNUMBER(AE514),IF(ISNUMBER(AE515),AE515-AE514,999999),0)</f>
        <v>0</v>
      </c>
    </row>
    <row r="518" customFormat="false" ht="15" hidden="false" customHeight="false" outlineLevel="0" collapsed="false">
      <c r="A518" s="35" t="s">
        <v>1295</v>
      </c>
      <c r="B518" s="6" t="s">
        <v>59</v>
      </c>
      <c r="C518" s="6" t="s">
        <v>119</v>
      </c>
      <c r="D518" s="6" t="n">
        <v>2</v>
      </c>
      <c r="E518" s="6" t="s">
        <v>1165</v>
      </c>
      <c r="K518" s="22"/>
      <c r="L518" s="22" t="n">
        <v>0.611977976791406</v>
      </c>
      <c r="M518" s="22" t="n">
        <v>0.611809749641876</v>
      </c>
      <c r="N518" s="22" t="n">
        <v>0.603583100177906</v>
      </c>
      <c r="O518" s="22" t="n">
        <v>0.603583100177906</v>
      </c>
      <c r="P518" s="22" t="n">
        <v>0.603583100177906</v>
      </c>
      <c r="Q518" s="22" t="n">
        <v>0.632510943349406</v>
      </c>
      <c r="R518" s="22" t="n">
        <v>0.661438786520906</v>
      </c>
      <c r="S518" s="22" t="n">
        <v>0.690366629692406</v>
      </c>
      <c r="T518" s="22" t="n">
        <v>0.719294472863906</v>
      </c>
      <c r="U518" s="22" t="n">
        <v>0.748222316035406</v>
      </c>
      <c r="V518" s="22" t="n">
        <v>0.777150159206906</v>
      </c>
      <c r="W518" s="22" t="n">
        <v>0.806078002378406</v>
      </c>
      <c r="X518" s="22" t="n">
        <v>0.835005845549906</v>
      </c>
      <c r="Y518" s="22" t="n">
        <v>0.863933688721406</v>
      </c>
      <c r="Z518" s="22" t="n">
        <v>0.892861531892906</v>
      </c>
      <c r="AA518" s="22" t="n">
        <v>0.921789375064406</v>
      </c>
      <c r="AB518" s="22" t="n">
        <v>0.950717218235906</v>
      </c>
      <c r="AC518" s="22" t="n">
        <v>0.979645061407406</v>
      </c>
      <c r="AD518" s="22" t="n">
        <v>1.00857290457891</v>
      </c>
      <c r="AE518" s="22" t="n">
        <v>1.03750074775041</v>
      </c>
    </row>
    <row r="519" customFormat="false" ht="15" hidden="false" customHeight="false" outlineLevel="0" collapsed="false">
      <c r="A519" s="35" t="s">
        <v>1295</v>
      </c>
      <c r="B519" s="6" t="s">
        <v>59</v>
      </c>
      <c r="C519" s="6" t="s">
        <v>119</v>
      </c>
      <c r="D519" s="6" t="n">
        <v>2</v>
      </c>
      <c r="E519" s="6" t="s">
        <v>1166</v>
      </c>
      <c r="K519" s="22" t="n">
        <f aca="false">INDEX(Mitigation_Industry!K:K,MATCH($A519,Mitigation_Industry!$H:$H,0))</f>
        <v>0.671146533321816</v>
      </c>
      <c r="L519" s="22" t="n">
        <f aca="false">INDEX(Mitigation_Industry!L:L,MATCH($A519,Mitigation_Industry!$H:$H,0))</f>
        <v>0.611977976791406</v>
      </c>
      <c r="M519" s="22" t="n">
        <f aca="false">INDEX(Mitigation_Industry!M:M,MATCH($A519,Mitigation_Industry!$H:$H,0))</f>
        <v>0.611809749641876</v>
      </c>
      <c r="N519" s="22" t="n">
        <f aca="false">INDEX(Mitigation_Industry!N:N,MATCH($A519,Mitigation_Industry!$H:$H,0))</f>
        <v>0.603583100177906</v>
      </c>
      <c r="O519" s="22" t="n">
        <f aca="false">INDEX(Mitigation_Industry!O:O,MATCH($A519,Mitigation_Industry!$H:$H,0))</f>
        <v>0.603583100177906</v>
      </c>
      <c r="P519" s="22" t="n">
        <f aca="false">INDEX(Mitigation_Industry!P:P,MATCH($A519,Mitigation_Industry!$H:$H,0))</f>
        <v>0.603583100177906</v>
      </c>
      <c r="Q519" s="22" t="n">
        <f aca="false">INDEX(Mitigation_Industry!Q:Q,MATCH($A519,Mitigation_Industry!$H:$H,0))</f>
        <v>0.632510943349406</v>
      </c>
      <c r="R519" s="22" t="n">
        <f aca="false">INDEX(Mitigation_Industry!R:R,MATCH($A519,Mitigation_Industry!$H:$H,0))</f>
        <v>0.661438786520906</v>
      </c>
      <c r="S519" s="22" t="n">
        <f aca="false">INDEX(Mitigation_Industry!S:S,MATCH($A519,Mitigation_Industry!$H:$H,0))</f>
        <v>0.690366629692406</v>
      </c>
      <c r="T519" s="22" t="n">
        <f aca="false">INDEX(Mitigation_Industry!T:T,MATCH($A519,Mitigation_Industry!$H:$H,0))</f>
        <v>0.719294472863906</v>
      </c>
      <c r="U519" s="22" t="n">
        <f aca="false">INDEX(Mitigation_Industry!U:U,MATCH($A519,Mitigation_Industry!$H:$H,0))</f>
        <v>0.748222316035406</v>
      </c>
      <c r="V519" s="22" t="n">
        <f aca="false">INDEX(Mitigation_Industry!V:V,MATCH($A519,Mitigation_Industry!$H:$H,0))</f>
        <v>0.777150159206905</v>
      </c>
      <c r="W519" s="22" t="n">
        <f aca="false">INDEX(Mitigation_Industry!W:W,MATCH($A519,Mitigation_Industry!$H:$H,0))</f>
        <v>0.806078002378406</v>
      </c>
      <c r="X519" s="22" t="n">
        <f aca="false">INDEX(Mitigation_Industry!X:X,MATCH($A519,Mitigation_Industry!$H:$H,0))</f>
        <v>0.835005845549906</v>
      </c>
      <c r="Y519" s="22" t="n">
        <f aca="false">INDEX(Mitigation_Industry!Y:Y,MATCH($A519,Mitigation_Industry!$H:$H,0))</f>
        <v>0.863933688721406</v>
      </c>
      <c r="Z519" s="22" t="n">
        <f aca="false">INDEX(Mitigation_Industry!Z:Z,MATCH($A519,Mitigation_Industry!$H:$H,0))</f>
        <v>0.892861531892906</v>
      </c>
      <c r="AA519" s="22" t="n">
        <f aca="false">INDEX(Mitigation_Industry!AA:AA,MATCH($A519,Mitigation_Industry!$H:$H,0))</f>
        <v>0.921789375064406</v>
      </c>
      <c r="AB519" s="22" t="n">
        <f aca="false">INDEX(Mitigation_Industry!AB:AB,MATCH($A519,Mitigation_Industry!$H:$H,0))</f>
        <v>0.950717218235906</v>
      </c>
      <c r="AC519" s="22" t="n">
        <f aca="false">INDEX(Mitigation_Industry!AC:AC,MATCH($A519,Mitigation_Industry!$H:$H,0))</f>
        <v>0.979645061407406</v>
      </c>
      <c r="AD519" s="22" t="n">
        <f aca="false">INDEX(Mitigation_Industry!AD:AD,MATCH($A519,Mitigation_Industry!$H:$H,0))</f>
        <v>1.00857290457891</v>
      </c>
      <c r="AE519" s="22" t="n">
        <f aca="false">INDEX(Mitigation_Industry!AE:AE,MATCH($A519,Mitigation_Industry!$H:$H,0))</f>
        <v>1.03750074775041</v>
      </c>
    </row>
    <row r="520" customFormat="false" ht="15" hidden="false" customHeight="false" outlineLevel="0" collapsed="false">
      <c r="A520" s="35" t="s">
        <v>1295</v>
      </c>
      <c r="B520" s="6" t="s">
        <v>59</v>
      </c>
      <c r="C520" s="6" t="s">
        <v>119</v>
      </c>
      <c r="D520" s="6" t="n">
        <v>2</v>
      </c>
      <c r="E520" s="2" t="s">
        <v>1167</v>
      </c>
      <c r="F520" s="40" t="n">
        <f aca="false">MAX(MAX(L520:AE520),-MIN(L520:AE520))</f>
        <v>-0</v>
      </c>
      <c r="K520" s="41" t="n">
        <f aca="false">IF(ISNUMBER(K518),IF(ISNUMBER(K519),K519-K518,999999),0)</f>
        <v>0</v>
      </c>
      <c r="L520" s="41" t="n">
        <f aca="false">IF(ISNUMBER(L518),IF(ISNUMBER(L519),L519-L518,999999),0)</f>
        <v>0</v>
      </c>
      <c r="M520" s="41" t="n">
        <f aca="false">IF(ISNUMBER(M518),IF(ISNUMBER(M519),M519-M518,999999),0)</f>
        <v>0</v>
      </c>
      <c r="N520" s="41" t="n">
        <f aca="false">IF(ISNUMBER(N518),IF(ISNUMBER(N519),N519-N518,999999),0)</f>
        <v>0</v>
      </c>
      <c r="O520" s="41" t="n">
        <f aca="false">IF(ISNUMBER(O518),IF(ISNUMBER(O519),O519-O518,999999),0)</f>
        <v>0</v>
      </c>
      <c r="P520" s="41" t="n">
        <f aca="false">IF(ISNUMBER(P518),IF(ISNUMBER(P519),P519-P518,999999),0)</f>
        <v>0</v>
      </c>
      <c r="Q520" s="41" t="n">
        <f aca="false">IF(ISNUMBER(Q518),IF(ISNUMBER(Q519),Q519-Q518,999999),0)</f>
        <v>0</v>
      </c>
      <c r="R520" s="41" t="n">
        <f aca="false">IF(ISNUMBER(R518),IF(ISNUMBER(R519),R519-R518,999999),0)</f>
        <v>0</v>
      </c>
      <c r="S520" s="41" t="n">
        <f aca="false">IF(ISNUMBER(S518),IF(ISNUMBER(S519),S519-S518,999999),0)</f>
        <v>0</v>
      </c>
      <c r="T520" s="41" t="n">
        <f aca="false">IF(ISNUMBER(T518),IF(ISNUMBER(T519),T519-T518,999999),0)</f>
        <v>0</v>
      </c>
      <c r="U520" s="41" t="n">
        <f aca="false">IF(ISNUMBER(U518),IF(ISNUMBER(U519),U519-U518,999999),0)</f>
        <v>0</v>
      </c>
      <c r="V520" s="41" t="n">
        <f aca="false">IF(ISNUMBER(V518),IF(ISNUMBER(V519),V519-V518,999999),0)</f>
        <v>0</v>
      </c>
      <c r="W520" s="41" t="n">
        <f aca="false">IF(ISNUMBER(W518),IF(ISNUMBER(W519),W519-W518,999999),0)</f>
        <v>0</v>
      </c>
      <c r="X520" s="41" t="n">
        <f aca="false">IF(ISNUMBER(X518),IF(ISNUMBER(X519),X519-X518,999999),0)</f>
        <v>0</v>
      </c>
      <c r="Y520" s="41" t="n">
        <f aca="false">IF(ISNUMBER(Y518),IF(ISNUMBER(Y519),Y519-Y518,999999),0)</f>
        <v>0</v>
      </c>
      <c r="Z520" s="41" t="n">
        <f aca="false">IF(ISNUMBER(Z518),IF(ISNUMBER(Z519),Z519-Z518,999999),0)</f>
        <v>0</v>
      </c>
      <c r="AA520" s="41" t="n">
        <f aca="false">IF(ISNUMBER(AA518),IF(ISNUMBER(AA519),AA519-AA518,999999),0)</f>
        <v>0</v>
      </c>
      <c r="AB520" s="41" t="n">
        <f aca="false">IF(ISNUMBER(AB518),IF(ISNUMBER(AB519),AB519-AB518,999999),0)</f>
        <v>0</v>
      </c>
      <c r="AC520" s="41" t="n">
        <f aca="false">IF(ISNUMBER(AC518),IF(ISNUMBER(AC519),AC519-AC518,999999),0)</f>
        <v>0</v>
      </c>
      <c r="AD520" s="41" t="n">
        <f aca="false">IF(ISNUMBER(AD518),IF(ISNUMBER(AD519),AD519-AD518,999999),0)</f>
        <v>0</v>
      </c>
      <c r="AE520" s="41" t="n">
        <f aca="false">IF(ISNUMBER(AE518),IF(ISNUMBER(AE519),AE519-AE518,999999),0)</f>
        <v>0</v>
      </c>
    </row>
    <row r="522" customFormat="false" ht="15" hidden="false" customHeight="false" outlineLevel="0" collapsed="false">
      <c r="A522" s="35" t="s">
        <v>1296</v>
      </c>
      <c r="B522" s="6" t="s">
        <v>62</v>
      </c>
      <c r="C522" s="6" t="s">
        <v>119</v>
      </c>
      <c r="D522" s="6" t="n">
        <v>2</v>
      </c>
      <c r="E522" s="6" t="s">
        <v>1165</v>
      </c>
      <c r="K522" s="22"/>
      <c r="L522" s="22" t="n">
        <v>0.494588730841068</v>
      </c>
      <c r="M522" s="22" t="n">
        <v>0.507786547202501</v>
      </c>
      <c r="N522" s="22" t="n">
        <v>0.470436426795617</v>
      </c>
      <c r="O522" s="22" t="n">
        <v>0.470436426795617</v>
      </c>
      <c r="P522" s="22" t="n">
        <v>0.470436426795617</v>
      </c>
      <c r="Q522" s="22" t="n">
        <v>0.503446865654492</v>
      </c>
      <c r="R522" s="22" t="n">
        <v>0.536457304513367</v>
      </c>
      <c r="S522" s="22" t="n">
        <v>0.569467743372242</v>
      </c>
      <c r="T522" s="22" t="n">
        <v>0.602478182231117</v>
      </c>
      <c r="U522" s="22" t="n">
        <v>0.635488621089992</v>
      </c>
      <c r="V522" s="22" t="n">
        <v>0.668499059948867</v>
      </c>
      <c r="W522" s="22" t="n">
        <v>0.701509498807742</v>
      </c>
      <c r="X522" s="22" t="n">
        <v>0.734519937666617</v>
      </c>
      <c r="Y522" s="22" t="n">
        <v>0.767530376525492</v>
      </c>
      <c r="Z522" s="22" t="n">
        <v>0.800540815384367</v>
      </c>
      <c r="AA522" s="22" t="n">
        <v>0.833551254243242</v>
      </c>
      <c r="AB522" s="22" t="n">
        <v>0.866561693102117</v>
      </c>
      <c r="AC522" s="22" t="n">
        <v>0.899572131960992</v>
      </c>
      <c r="AD522" s="22" t="n">
        <v>0.932582570819867</v>
      </c>
      <c r="AE522" s="22" t="n">
        <v>0.965593009678742</v>
      </c>
    </row>
    <row r="523" customFormat="false" ht="15" hidden="false" customHeight="false" outlineLevel="0" collapsed="false">
      <c r="A523" s="35" t="s">
        <v>1296</v>
      </c>
      <c r="B523" s="6" t="s">
        <v>62</v>
      </c>
      <c r="C523" s="6" t="s">
        <v>119</v>
      </c>
      <c r="D523" s="6" t="n">
        <v>2</v>
      </c>
      <c r="E523" s="6" t="s">
        <v>1166</v>
      </c>
      <c r="K523" s="22" t="n">
        <f aca="false">INDEX(Mitigation_Industry!K:K,MATCH($A523,Mitigation_Industry!$H:$H,0))</f>
        <v>0.559711213155688</v>
      </c>
      <c r="L523" s="22" t="n">
        <f aca="false">INDEX(Mitigation_Industry!L:L,MATCH($A523,Mitigation_Industry!$H:$H,0))</f>
        <v>0.494588730841068</v>
      </c>
      <c r="M523" s="22" t="n">
        <f aca="false">INDEX(Mitigation_Industry!M:M,MATCH($A523,Mitigation_Industry!$H:$H,0))</f>
        <v>0.507786547202501</v>
      </c>
      <c r="N523" s="22" t="n">
        <f aca="false">INDEX(Mitigation_Industry!N:N,MATCH($A523,Mitigation_Industry!$H:$H,0))</f>
        <v>0.470436426795617</v>
      </c>
      <c r="O523" s="22" t="n">
        <f aca="false">INDEX(Mitigation_Industry!O:O,MATCH($A523,Mitigation_Industry!$H:$H,0))</f>
        <v>0.470436426795617</v>
      </c>
      <c r="P523" s="22" t="n">
        <f aca="false">INDEX(Mitigation_Industry!P:P,MATCH($A523,Mitigation_Industry!$H:$H,0))</f>
        <v>0.470436426795617</v>
      </c>
      <c r="Q523" s="22" t="n">
        <f aca="false">INDEX(Mitigation_Industry!Q:Q,MATCH($A523,Mitigation_Industry!$H:$H,0))</f>
        <v>0.503446865654492</v>
      </c>
      <c r="R523" s="22" t="n">
        <f aca="false">INDEX(Mitigation_Industry!R:R,MATCH($A523,Mitigation_Industry!$H:$H,0))</f>
        <v>0.536457304513367</v>
      </c>
      <c r="S523" s="22" t="n">
        <f aca="false">INDEX(Mitigation_Industry!S:S,MATCH($A523,Mitigation_Industry!$H:$H,0))</f>
        <v>0.569467743372243</v>
      </c>
      <c r="T523" s="22" t="n">
        <f aca="false">INDEX(Mitigation_Industry!T:T,MATCH($A523,Mitigation_Industry!$H:$H,0))</f>
        <v>0.602478182231117</v>
      </c>
      <c r="U523" s="22" t="n">
        <f aca="false">INDEX(Mitigation_Industry!U:U,MATCH($A523,Mitigation_Industry!$H:$H,0))</f>
        <v>0.635488621089992</v>
      </c>
      <c r="V523" s="22" t="n">
        <f aca="false">INDEX(Mitigation_Industry!V:V,MATCH($A523,Mitigation_Industry!$H:$H,0))</f>
        <v>0.668499059948867</v>
      </c>
      <c r="W523" s="22" t="n">
        <f aca="false">INDEX(Mitigation_Industry!W:W,MATCH($A523,Mitigation_Industry!$H:$H,0))</f>
        <v>0.701509498807742</v>
      </c>
      <c r="X523" s="22" t="n">
        <f aca="false">INDEX(Mitigation_Industry!X:X,MATCH($A523,Mitigation_Industry!$H:$H,0))</f>
        <v>0.734519937666617</v>
      </c>
      <c r="Y523" s="22" t="n">
        <f aca="false">INDEX(Mitigation_Industry!Y:Y,MATCH($A523,Mitigation_Industry!$H:$H,0))</f>
        <v>0.767530376525492</v>
      </c>
      <c r="Z523" s="22" t="n">
        <f aca="false">INDEX(Mitigation_Industry!Z:Z,MATCH($A523,Mitigation_Industry!$H:$H,0))</f>
        <v>0.800540815384367</v>
      </c>
      <c r="AA523" s="22" t="n">
        <f aca="false">INDEX(Mitigation_Industry!AA:AA,MATCH($A523,Mitigation_Industry!$H:$H,0))</f>
        <v>0.833551254243242</v>
      </c>
      <c r="AB523" s="22" t="n">
        <f aca="false">INDEX(Mitigation_Industry!AB:AB,MATCH($A523,Mitigation_Industry!$H:$H,0))</f>
        <v>0.866561693102117</v>
      </c>
      <c r="AC523" s="22" t="n">
        <f aca="false">INDEX(Mitigation_Industry!AC:AC,MATCH($A523,Mitigation_Industry!$H:$H,0))</f>
        <v>0.899572131960992</v>
      </c>
      <c r="AD523" s="22" t="n">
        <f aca="false">INDEX(Mitigation_Industry!AD:AD,MATCH($A523,Mitigation_Industry!$H:$H,0))</f>
        <v>0.932582570819867</v>
      </c>
      <c r="AE523" s="22" t="n">
        <f aca="false">INDEX(Mitigation_Industry!AE:AE,MATCH($A523,Mitigation_Industry!$H:$H,0))</f>
        <v>0.965593009678742</v>
      </c>
    </row>
    <row r="524" customFormat="false" ht="15" hidden="false" customHeight="false" outlineLevel="0" collapsed="false">
      <c r="A524" s="35" t="s">
        <v>1296</v>
      </c>
      <c r="B524" s="6" t="s">
        <v>62</v>
      </c>
      <c r="C524" s="6" t="s">
        <v>119</v>
      </c>
      <c r="D524" s="6" t="n">
        <v>2</v>
      </c>
      <c r="E524" s="2" t="s">
        <v>1167</v>
      </c>
      <c r="F524" s="40" t="n">
        <f aca="false">MAX(MAX(L524:AE524),-MIN(L524:AE524))</f>
        <v>-0</v>
      </c>
      <c r="K524" s="41" t="n">
        <f aca="false">IF(ISNUMBER(K522),IF(ISNUMBER(K523),K523-K522,999999),0)</f>
        <v>0</v>
      </c>
      <c r="L524" s="41" t="n">
        <f aca="false">IF(ISNUMBER(L522),IF(ISNUMBER(L523),L523-L522,999999),0)</f>
        <v>0</v>
      </c>
      <c r="M524" s="41" t="n">
        <f aca="false">IF(ISNUMBER(M522),IF(ISNUMBER(M523),M523-M522,999999),0)</f>
        <v>0</v>
      </c>
      <c r="N524" s="41" t="n">
        <f aca="false">IF(ISNUMBER(N522),IF(ISNUMBER(N523),N523-N522,999999),0)</f>
        <v>0</v>
      </c>
      <c r="O524" s="41" t="n">
        <f aca="false">IF(ISNUMBER(O522),IF(ISNUMBER(O523),O523-O522,999999),0)</f>
        <v>0</v>
      </c>
      <c r="P524" s="41" t="n">
        <f aca="false">IF(ISNUMBER(P522),IF(ISNUMBER(P523),P523-P522,999999),0)</f>
        <v>0</v>
      </c>
      <c r="Q524" s="41" t="n">
        <f aca="false">IF(ISNUMBER(Q522),IF(ISNUMBER(Q523),Q523-Q522,999999),0)</f>
        <v>0</v>
      </c>
      <c r="R524" s="41" t="n">
        <f aca="false">IF(ISNUMBER(R522),IF(ISNUMBER(R523),R523-R522,999999),0)</f>
        <v>0</v>
      </c>
      <c r="S524" s="41" t="n">
        <f aca="false">IF(ISNUMBER(S522),IF(ISNUMBER(S523),S523-S522,999999),0)</f>
        <v>0</v>
      </c>
      <c r="T524" s="41" t="n">
        <f aca="false">IF(ISNUMBER(T522),IF(ISNUMBER(T523),T523-T522,999999),0)</f>
        <v>0</v>
      </c>
      <c r="U524" s="41" t="n">
        <f aca="false">IF(ISNUMBER(U522),IF(ISNUMBER(U523),U523-U522,999999),0)</f>
        <v>0</v>
      </c>
      <c r="V524" s="41" t="n">
        <f aca="false">IF(ISNUMBER(V522),IF(ISNUMBER(V523),V523-V522,999999),0)</f>
        <v>0</v>
      </c>
      <c r="W524" s="41" t="n">
        <f aca="false">IF(ISNUMBER(W522),IF(ISNUMBER(W523),W523-W522,999999),0)</f>
        <v>0</v>
      </c>
      <c r="X524" s="41" t="n">
        <f aca="false">IF(ISNUMBER(X522),IF(ISNUMBER(X523),X523-X522,999999),0)</f>
        <v>0</v>
      </c>
      <c r="Y524" s="41" t="n">
        <f aca="false">IF(ISNUMBER(Y522),IF(ISNUMBER(Y523),Y523-Y522,999999),0)</f>
        <v>0</v>
      </c>
      <c r="Z524" s="41" t="n">
        <f aca="false">IF(ISNUMBER(Z522),IF(ISNUMBER(Z523),Z523-Z522,999999),0)</f>
        <v>0</v>
      </c>
      <c r="AA524" s="41" t="n">
        <f aca="false">IF(ISNUMBER(AA522),IF(ISNUMBER(AA523),AA523-AA522,999999),0)</f>
        <v>0</v>
      </c>
      <c r="AB524" s="41" t="n">
        <f aca="false">IF(ISNUMBER(AB522),IF(ISNUMBER(AB523),AB523-AB522,999999),0)</f>
        <v>0</v>
      </c>
      <c r="AC524" s="41" t="n">
        <f aca="false">IF(ISNUMBER(AC522),IF(ISNUMBER(AC523),AC523-AC522,999999),0)</f>
        <v>0</v>
      </c>
      <c r="AD524" s="41" t="n">
        <f aca="false">IF(ISNUMBER(AD522),IF(ISNUMBER(AD523),AD523-AD522,999999),0)</f>
        <v>0</v>
      </c>
      <c r="AE524" s="41" t="n">
        <f aca="false">IF(ISNUMBER(AE522),IF(ISNUMBER(AE523),AE523-AE522,999999),0)</f>
        <v>0</v>
      </c>
    </row>
    <row r="526" customFormat="false" ht="15" hidden="false" customHeight="false" outlineLevel="0" collapsed="false">
      <c r="A526" s="35" t="s">
        <v>1297</v>
      </c>
      <c r="B526" s="6" t="s">
        <v>64</v>
      </c>
      <c r="C526" s="6" t="s">
        <v>119</v>
      </c>
      <c r="D526" s="6" t="n">
        <v>2</v>
      </c>
      <c r="E526" s="6" t="s">
        <v>1165</v>
      </c>
      <c r="K526" s="22"/>
      <c r="L526" s="22" t="n">
        <v>0.157344736252274</v>
      </c>
      <c r="M526" s="22" t="n">
        <v>0.164484037759277</v>
      </c>
      <c r="N526" s="22" t="n">
        <v>0.150709077807049</v>
      </c>
      <c r="O526" s="22" t="n">
        <v>0.150709077807049</v>
      </c>
      <c r="P526" s="22" t="n">
        <v>0.150709077807049</v>
      </c>
      <c r="Q526" s="22" t="n">
        <v>0.172815160734345</v>
      </c>
      <c r="R526" s="22" t="n">
        <v>0.19492124366164</v>
      </c>
      <c r="S526" s="22" t="n">
        <v>0.217027326588936</v>
      </c>
      <c r="T526" s="22" t="n">
        <v>0.239133409516232</v>
      </c>
      <c r="U526" s="22" t="n">
        <v>0.261239492443527</v>
      </c>
      <c r="V526" s="22" t="n">
        <v>0.283345575370823</v>
      </c>
      <c r="W526" s="22" t="n">
        <v>0.305451658298119</v>
      </c>
      <c r="X526" s="22" t="n">
        <v>0.327557741225415</v>
      </c>
      <c r="Y526" s="22" t="n">
        <v>0.34966382415271</v>
      </c>
      <c r="Z526" s="22" t="n">
        <v>0.371769907080006</v>
      </c>
      <c r="AA526" s="22" t="n">
        <v>0.393875990007302</v>
      </c>
      <c r="AB526" s="22" t="n">
        <v>0.415982072934597</v>
      </c>
      <c r="AC526" s="22" t="n">
        <v>0.438088155861893</v>
      </c>
      <c r="AD526" s="22" t="n">
        <v>0.460194238789189</v>
      </c>
      <c r="AE526" s="22" t="n">
        <v>0.482300321716484</v>
      </c>
    </row>
    <row r="527" customFormat="false" ht="15" hidden="false" customHeight="false" outlineLevel="0" collapsed="false">
      <c r="A527" s="35" t="s">
        <v>1297</v>
      </c>
      <c r="B527" s="6" t="s">
        <v>64</v>
      </c>
      <c r="C527" s="6" t="s">
        <v>119</v>
      </c>
      <c r="D527" s="6" t="n">
        <v>2</v>
      </c>
      <c r="E527" s="6" t="s">
        <v>1166</v>
      </c>
      <c r="K527" s="22" t="n">
        <f aca="false">INDEX(Mitigation_Industry!K:K,MATCH($A527,Mitigation_Industry!$H:$H,0))</f>
        <v>0.200366691126738</v>
      </c>
      <c r="L527" s="22" t="n">
        <f aca="false">INDEX(Mitigation_Industry!L:L,MATCH($A527,Mitigation_Industry!$H:$H,0))</f>
        <v>0.157344736252274</v>
      </c>
      <c r="M527" s="22" t="n">
        <f aca="false">INDEX(Mitigation_Industry!M:M,MATCH($A527,Mitigation_Industry!$H:$H,0))</f>
        <v>0.164484037759277</v>
      </c>
      <c r="N527" s="22" t="n">
        <f aca="false">INDEX(Mitigation_Industry!N:N,MATCH($A527,Mitigation_Industry!$H:$H,0))</f>
        <v>0.150709077807049</v>
      </c>
      <c r="O527" s="22" t="n">
        <f aca="false">INDEX(Mitigation_Industry!O:O,MATCH($A527,Mitigation_Industry!$H:$H,0))</f>
        <v>0.150709077807049</v>
      </c>
      <c r="P527" s="22" t="n">
        <f aca="false">INDEX(Mitigation_Industry!P:P,MATCH($A527,Mitigation_Industry!$H:$H,0))</f>
        <v>0.150709077807049</v>
      </c>
      <c r="Q527" s="22" t="n">
        <f aca="false">INDEX(Mitigation_Industry!Q:Q,MATCH($A527,Mitigation_Industry!$H:$H,0))</f>
        <v>0.172815160734345</v>
      </c>
      <c r="R527" s="22" t="n">
        <f aca="false">INDEX(Mitigation_Industry!R:R,MATCH($A527,Mitigation_Industry!$H:$H,0))</f>
        <v>0.19492124366164</v>
      </c>
      <c r="S527" s="22" t="n">
        <f aca="false">INDEX(Mitigation_Industry!S:S,MATCH($A527,Mitigation_Industry!$H:$H,0))</f>
        <v>0.217027326588936</v>
      </c>
      <c r="T527" s="22" t="n">
        <f aca="false">INDEX(Mitigation_Industry!T:T,MATCH($A527,Mitigation_Industry!$H:$H,0))</f>
        <v>0.239133409516232</v>
      </c>
      <c r="U527" s="22" t="n">
        <f aca="false">INDEX(Mitigation_Industry!U:U,MATCH($A527,Mitigation_Industry!$H:$H,0))</f>
        <v>0.261239492443527</v>
      </c>
      <c r="V527" s="22" t="n">
        <f aca="false">INDEX(Mitigation_Industry!V:V,MATCH($A527,Mitigation_Industry!$H:$H,0))</f>
        <v>0.283345575370823</v>
      </c>
      <c r="W527" s="22" t="n">
        <f aca="false">INDEX(Mitigation_Industry!W:W,MATCH($A527,Mitigation_Industry!$H:$H,0))</f>
        <v>0.305451658298119</v>
      </c>
      <c r="X527" s="22" t="n">
        <f aca="false">INDEX(Mitigation_Industry!X:X,MATCH($A527,Mitigation_Industry!$H:$H,0))</f>
        <v>0.327557741225415</v>
      </c>
      <c r="Y527" s="22" t="n">
        <f aca="false">INDEX(Mitigation_Industry!Y:Y,MATCH($A527,Mitigation_Industry!$H:$H,0))</f>
        <v>0.34966382415271</v>
      </c>
      <c r="Z527" s="22" t="n">
        <f aca="false">INDEX(Mitigation_Industry!Z:Z,MATCH($A527,Mitigation_Industry!$H:$H,0))</f>
        <v>0.371769907080006</v>
      </c>
      <c r="AA527" s="22" t="n">
        <f aca="false">INDEX(Mitigation_Industry!AA:AA,MATCH($A527,Mitigation_Industry!$H:$H,0))</f>
        <v>0.393875990007302</v>
      </c>
      <c r="AB527" s="22" t="n">
        <f aca="false">INDEX(Mitigation_Industry!AB:AB,MATCH($A527,Mitigation_Industry!$H:$H,0))</f>
        <v>0.415982072934597</v>
      </c>
      <c r="AC527" s="22" t="n">
        <f aca="false">INDEX(Mitigation_Industry!AC:AC,MATCH($A527,Mitigation_Industry!$H:$H,0))</f>
        <v>0.438088155861893</v>
      </c>
      <c r="AD527" s="22" t="n">
        <f aca="false">INDEX(Mitigation_Industry!AD:AD,MATCH($A527,Mitigation_Industry!$H:$H,0))</f>
        <v>0.460194238789189</v>
      </c>
      <c r="AE527" s="22" t="n">
        <f aca="false">INDEX(Mitigation_Industry!AE:AE,MATCH($A527,Mitigation_Industry!$H:$H,0))</f>
        <v>0.482300321716484</v>
      </c>
    </row>
    <row r="528" customFormat="false" ht="15" hidden="false" customHeight="false" outlineLevel="0" collapsed="false">
      <c r="A528" s="35" t="s">
        <v>1297</v>
      </c>
      <c r="B528" s="6" t="s">
        <v>64</v>
      </c>
      <c r="C528" s="6" t="s">
        <v>119</v>
      </c>
      <c r="D528" s="6" t="n">
        <v>2</v>
      </c>
      <c r="E528" s="2" t="s">
        <v>1167</v>
      </c>
      <c r="F528" s="40" t="n">
        <f aca="false">MAX(MAX(L528:AE528),-MIN(L528:AE528))</f>
        <v>-0</v>
      </c>
      <c r="K528" s="41" t="n">
        <f aca="false">IF(ISNUMBER(K526),IF(ISNUMBER(K527),K527-K526,999999),0)</f>
        <v>0</v>
      </c>
      <c r="L528" s="41" t="n">
        <f aca="false">IF(ISNUMBER(L526),IF(ISNUMBER(L527),L527-L526,999999),0)</f>
        <v>0</v>
      </c>
      <c r="M528" s="41" t="n">
        <f aca="false">IF(ISNUMBER(M526),IF(ISNUMBER(M527),M527-M526,999999),0)</f>
        <v>0</v>
      </c>
      <c r="N528" s="41" t="n">
        <f aca="false">IF(ISNUMBER(N526),IF(ISNUMBER(N527),N527-N526,999999),0)</f>
        <v>0</v>
      </c>
      <c r="O528" s="41" t="n">
        <f aca="false">IF(ISNUMBER(O526),IF(ISNUMBER(O527),O527-O526,999999),0)</f>
        <v>0</v>
      </c>
      <c r="P528" s="41" t="n">
        <f aca="false">IF(ISNUMBER(P526),IF(ISNUMBER(P527),P527-P526,999999),0)</f>
        <v>0</v>
      </c>
      <c r="Q528" s="41" t="n">
        <f aca="false">IF(ISNUMBER(Q526),IF(ISNUMBER(Q527),Q527-Q526,999999),0)</f>
        <v>0</v>
      </c>
      <c r="R528" s="41" t="n">
        <f aca="false">IF(ISNUMBER(R526),IF(ISNUMBER(R527),R527-R526,999999),0)</f>
        <v>0</v>
      </c>
      <c r="S528" s="41" t="n">
        <f aca="false">IF(ISNUMBER(S526),IF(ISNUMBER(S527),S527-S526,999999),0)</f>
        <v>0</v>
      </c>
      <c r="T528" s="41" t="n">
        <f aca="false">IF(ISNUMBER(T526),IF(ISNUMBER(T527),T527-T526,999999),0)</f>
        <v>0</v>
      </c>
      <c r="U528" s="41" t="n">
        <f aca="false">IF(ISNUMBER(U526),IF(ISNUMBER(U527),U527-U526,999999),0)</f>
        <v>0</v>
      </c>
      <c r="V528" s="41" t="n">
        <f aca="false">IF(ISNUMBER(V526),IF(ISNUMBER(V527),V527-V526,999999),0)</f>
        <v>0</v>
      </c>
      <c r="W528" s="41" t="n">
        <f aca="false">IF(ISNUMBER(W526),IF(ISNUMBER(W527),W527-W526,999999),0)</f>
        <v>0</v>
      </c>
      <c r="X528" s="41" t="n">
        <f aca="false">IF(ISNUMBER(X526),IF(ISNUMBER(X527),X527-X526,999999),0)</f>
        <v>0</v>
      </c>
      <c r="Y528" s="41" t="n">
        <f aca="false">IF(ISNUMBER(Y526),IF(ISNUMBER(Y527),Y527-Y526,999999),0)</f>
        <v>0</v>
      </c>
      <c r="Z528" s="41" t="n">
        <f aca="false">IF(ISNUMBER(Z526),IF(ISNUMBER(Z527),Z527-Z526,999999),0)</f>
        <v>0</v>
      </c>
      <c r="AA528" s="41" t="n">
        <f aca="false">IF(ISNUMBER(AA526),IF(ISNUMBER(AA527),AA527-AA526,999999),0)</f>
        <v>0</v>
      </c>
      <c r="AB528" s="41" t="n">
        <f aca="false">IF(ISNUMBER(AB526),IF(ISNUMBER(AB527),AB527-AB526,999999),0)</f>
        <v>0</v>
      </c>
      <c r="AC528" s="41" t="n">
        <f aca="false">IF(ISNUMBER(AC526),IF(ISNUMBER(AC527),AC527-AC526,999999),0)</f>
        <v>0</v>
      </c>
      <c r="AD528" s="41" t="n">
        <f aca="false">IF(ISNUMBER(AD526),IF(ISNUMBER(AD527),AD527-AD526,999999),0)</f>
        <v>0</v>
      </c>
      <c r="AE528" s="41" t="n">
        <f aca="false">IF(ISNUMBER(AE526),IF(ISNUMBER(AE527),AE527-AE526,999999),0)</f>
        <v>0</v>
      </c>
    </row>
    <row r="530" customFormat="false" ht="15" hidden="false" customHeight="false" outlineLevel="0" collapsed="false">
      <c r="A530" s="35" t="s">
        <v>1298</v>
      </c>
      <c r="B530" s="6" t="s">
        <v>66</v>
      </c>
      <c r="C530" s="6" t="s">
        <v>119</v>
      </c>
      <c r="D530" s="6" t="n">
        <v>2</v>
      </c>
      <c r="E530" s="6" t="s">
        <v>1165</v>
      </c>
      <c r="K530" s="22"/>
      <c r="L530" s="22" t="n">
        <v>0.456428170500128</v>
      </c>
      <c r="M530" s="22" t="n">
        <v>0.431689201955995</v>
      </c>
      <c r="N530" s="22" t="n">
        <v>0.42507558395597</v>
      </c>
      <c r="O530" s="22" t="n">
        <v>0.42507558395597</v>
      </c>
      <c r="P530" s="22" t="n">
        <v>0.42507558395597</v>
      </c>
      <c r="Q530" s="22" t="n">
        <v>0.457064414066079</v>
      </c>
      <c r="R530" s="22" t="n">
        <v>0.489053244176187</v>
      </c>
      <c r="S530" s="22" t="n">
        <v>0.521042074286296</v>
      </c>
      <c r="T530" s="22" t="n">
        <v>0.553030904396404</v>
      </c>
      <c r="U530" s="22" t="n">
        <v>0.585019734506513</v>
      </c>
      <c r="V530" s="22" t="n">
        <v>0.617008564616621</v>
      </c>
      <c r="W530" s="22" t="n">
        <v>0.648997394726729</v>
      </c>
      <c r="X530" s="22" t="n">
        <v>0.680986224836838</v>
      </c>
      <c r="Y530" s="22" t="n">
        <v>0.712975054946947</v>
      </c>
      <c r="Z530" s="22" t="n">
        <v>0.744963885057055</v>
      </c>
      <c r="AA530" s="22" t="n">
        <v>0.776952715167163</v>
      </c>
      <c r="AB530" s="22" t="n">
        <v>0.808941545277272</v>
      </c>
      <c r="AC530" s="22" t="n">
        <v>0.84093037538738</v>
      </c>
      <c r="AD530" s="22" t="n">
        <v>0.872919205497489</v>
      </c>
      <c r="AE530" s="22" t="n">
        <v>0.904908035607597</v>
      </c>
    </row>
    <row r="531" customFormat="false" ht="15" hidden="false" customHeight="false" outlineLevel="0" collapsed="false">
      <c r="A531" s="35" t="s">
        <v>1298</v>
      </c>
      <c r="B531" s="6" t="s">
        <v>66</v>
      </c>
      <c r="C531" s="6" t="s">
        <v>119</v>
      </c>
      <c r="D531" s="6" t="n">
        <v>2</v>
      </c>
      <c r="E531" s="6" t="s">
        <v>1166</v>
      </c>
      <c r="K531" s="22" t="n">
        <f aca="false">INDEX(Mitigation_Industry!K:K,MATCH($A531,Mitigation_Industry!$H:$H,0))</f>
        <v>0.484294240973435</v>
      </c>
      <c r="L531" s="22" t="n">
        <f aca="false">INDEX(Mitigation_Industry!L:L,MATCH($A531,Mitigation_Industry!$H:$H,0))</f>
        <v>0.456428170500128</v>
      </c>
      <c r="M531" s="22" t="n">
        <f aca="false">INDEX(Mitigation_Industry!M:M,MATCH($A531,Mitigation_Industry!$H:$H,0))</f>
        <v>0.431689201955995</v>
      </c>
      <c r="N531" s="22" t="n">
        <f aca="false">INDEX(Mitigation_Industry!N:N,MATCH($A531,Mitigation_Industry!$H:$H,0))</f>
        <v>0.42507558395597</v>
      </c>
      <c r="O531" s="22" t="n">
        <f aca="false">INDEX(Mitigation_Industry!O:O,MATCH($A531,Mitigation_Industry!$H:$H,0))</f>
        <v>0.42507558395597</v>
      </c>
      <c r="P531" s="22" t="n">
        <f aca="false">INDEX(Mitigation_Industry!P:P,MATCH($A531,Mitigation_Industry!$H:$H,0))</f>
        <v>0.42507558395597</v>
      </c>
      <c r="Q531" s="22" t="n">
        <f aca="false">INDEX(Mitigation_Industry!Q:Q,MATCH($A531,Mitigation_Industry!$H:$H,0))</f>
        <v>0.457064414066078</v>
      </c>
      <c r="R531" s="22" t="n">
        <f aca="false">INDEX(Mitigation_Industry!R:R,MATCH($A531,Mitigation_Industry!$H:$H,0))</f>
        <v>0.489053244176187</v>
      </c>
      <c r="S531" s="22" t="n">
        <f aca="false">INDEX(Mitigation_Industry!S:S,MATCH($A531,Mitigation_Industry!$H:$H,0))</f>
        <v>0.521042074286296</v>
      </c>
      <c r="T531" s="22" t="n">
        <f aca="false">INDEX(Mitigation_Industry!T:T,MATCH($A531,Mitigation_Industry!$H:$H,0))</f>
        <v>0.553030904396404</v>
      </c>
      <c r="U531" s="22" t="n">
        <f aca="false">INDEX(Mitigation_Industry!U:U,MATCH($A531,Mitigation_Industry!$H:$H,0))</f>
        <v>0.585019734506513</v>
      </c>
      <c r="V531" s="22" t="n">
        <f aca="false">INDEX(Mitigation_Industry!V:V,MATCH($A531,Mitigation_Industry!$H:$H,0))</f>
        <v>0.617008564616621</v>
      </c>
      <c r="W531" s="22" t="n">
        <f aca="false">INDEX(Mitigation_Industry!W:W,MATCH($A531,Mitigation_Industry!$H:$H,0))</f>
        <v>0.648997394726729</v>
      </c>
      <c r="X531" s="22" t="n">
        <f aca="false">INDEX(Mitigation_Industry!X:X,MATCH($A531,Mitigation_Industry!$H:$H,0))</f>
        <v>0.680986224836838</v>
      </c>
      <c r="Y531" s="22" t="n">
        <f aca="false">INDEX(Mitigation_Industry!Y:Y,MATCH($A531,Mitigation_Industry!$H:$H,0))</f>
        <v>0.712975054946947</v>
      </c>
      <c r="Z531" s="22" t="n">
        <f aca="false">INDEX(Mitigation_Industry!Z:Z,MATCH($A531,Mitigation_Industry!$H:$H,0))</f>
        <v>0.744963885057055</v>
      </c>
      <c r="AA531" s="22" t="n">
        <f aca="false">INDEX(Mitigation_Industry!AA:AA,MATCH($A531,Mitigation_Industry!$H:$H,0))</f>
        <v>0.776952715167163</v>
      </c>
      <c r="AB531" s="22" t="n">
        <f aca="false">INDEX(Mitigation_Industry!AB:AB,MATCH($A531,Mitigation_Industry!$H:$H,0))</f>
        <v>0.808941545277272</v>
      </c>
      <c r="AC531" s="22" t="n">
        <f aca="false">INDEX(Mitigation_Industry!AC:AC,MATCH($A531,Mitigation_Industry!$H:$H,0))</f>
        <v>0.84093037538738</v>
      </c>
      <c r="AD531" s="22" t="n">
        <f aca="false">INDEX(Mitigation_Industry!AD:AD,MATCH($A531,Mitigation_Industry!$H:$H,0))</f>
        <v>0.872919205497489</v>
      </c>
      <c r="AE531" s="22" t="n">
        <f aca="false">INDEX(Mitigation_Industry!AE:AE,MATCH($A531,Mitigation_Industry!$H:$H,0))</f>
        <v>0.904908035607597</v>
      </c>
    </row>
    <row r="532" customFormat="false" ht="15" hidden="false" customHeight="false" outlineLevel="0" collapsed="false">
      <c r="A532" s="35" t="s">
        <v>1298</v>
      </c>
      <c r="B532" s="6" t="s">
        <v>66</v>
      </c>
      <c r="C532" s="6" t="s">
        <v>119</v>
      </c>
      <c r="D532" s="6" t="n">
        <v>2</v>
      </c>
      <c r="E532" s="2" t="s">
        <v>1167</v>
      </c>
      <c r="F532" s="40" t="n">
        <f aca="false">MAX(MAX(L532:AE532),-MIN(L532:AE532))</f>
        <v>-0</v>
      </c>
      <c r="K532" s="41" t="n">
        <f aca="false">IF(ISNUMBER(K530),IF(ISNUMBER(K531),K531-K530,999999),0)</f>
        <v>0</v>
      </c>
      <c r="L532" s="41" t="n">
        <f aca="false">IF(ISNUMBER(L530),IF(ISNUMBER(L531),L531-L530,999999),0)</f>
        <v>0</v>
      </c>
      <c r="M532" s="41" t="n">
        <f aca="false">IF(ISNUMBER(M530),IF(ISNUMBER(M531),M531-M530,999999),0)</f>
        <v>0</v>
      </c>
      <c r="N532" s="41" t="n">
        <f aca="false">IF(ISNUMBER(N530),IF(ISNUMBER(N531),N531-N530,999999),0)</f>
        <v>0</v>
      </c>
      <c r="O532" s="41" t="n">
        <f aca="false">IF(ISNUMBER(O530),IF(ISNUMBER(O531),O531-O530,999999),0)</f>
        <v>0</v>
      </c>
      <c r="P532" s="41" t="n">
        <f aca="false">IF(ISNUMBER(P530),IF(ISNUMBER(P531),P531-P530,999999),0)</f>
        <v>0</v>
      </c>
      <c r="Q532" s="41" t="n">
        <f aca="false">IF(ISNUMBER(Q530),IF(ISNUMBER(Q531),Q531-Q530,999999),0)</f>
        <v>0</v>
      </c>
      <c r="R532" s="41" t="n">
        <f aca="false">IF(ISNUMBER(R530),IF(ISNUMBER(R531),R531-R530,999999),0)</f>
        <v>0</v>
      </c>
      <c r="S532" s="41" t="n">
        <f aca="false">IF(ISNUMBER(S530),IF(ISNUMBER(S531),S531-S530,999999),0)</f>
        <v>0</v>
      </c>
      <c r="T532" s="41" t="n">
        <f aca="false">IF(ISNUMBER(T530),IF(ISNUMBER(T531),T531-T530,999999),0)</f>
        <v>0</v>
      </c>
      <c r="U532" s="41" t="n">
        <f aca="false">IF(ISNUMBER(U530),IF(ISNUMBER(U531),U531-U530,999999),0)</f>
        <v>0</v>
      </c>
      <c r="V532" s="41" t="n">
        <f aca="false">IF(ISNUMBER(V530),IF(ISNUMBER(V531),V531-V530,999999),0)</f>
        <v>0</v>
      </c>
      <c r="W532" s="41" t="n">
        <f aca="false">IF(ISNUMBER(W530),IF(ISNUMBER(W531),W531-W530,999999),0)</f>
        <v>0</v>
      </c>
      <c r="X532" s="41" t="n">
        <f aca="false">IF(ISNUMBER(X530),IF(ISNUMBER(X531),X531-X530,999999),0)</f>
        <v>0</v>
      </c>
      <c r="Y532" s="41" t="n">
        <f aca="false">IF(ISNUMBER(Y530),IF(ISNUMBER(Y531),Y531-Y530,999999),0)</f>
        <v>0</v>
      </c>
      <c r="Z532" s="41" t="n">
        <f aca="false">IF(ISNUMBER(Z530),IF(ISNUMBER(Z531),Z531-Z530,999999),0)</f>
        <v>0</v>
      </c>
      <c r="AA532" s="41" t="n">
        <f aca="false">IF(ISNUMBER(AA530),IF(ISNUMBER(AA531),AA531-AA530,999999),0)</f>
        <v>0</v>
      </c>
      <c r="AB532" s="41" t="n">
        <f aca="false">IF(ISNUMBER(AB530),IF(ISNUMBER(AB531),AB531-AB530,999999),0)</f>
        <v>0</v>
      </c>
      <c r="AC532" s="41" t="n">
        <f aca="false">IF(ISNUMBER(AC530),IF(ISNUMBER(AC531),AC531-AC530,999999),0)</f>
        <v>0</v>
      </c>
      <c r="AD532" s="41" t="n">
        <f aca="false">IF(ISNUMBER(AD530),IF(ISNUMBER(AD531),AD531-AD530,999999),0)</f>
        <v>0</v>
      </c>
      <c r="AE532" s="41" t="n">
        <f aca="false">IF(ISNUMBER(AE530),IF(ISNUMBER(AE531),AE531-AE530,999999),0)</f>
        <v>0</v>
      </c>
    </row>
    <row r="534" customFormat="false" ht="15" hidden="false" customHeight="false" outlineLevel="0" collapsed="false">
      <c r="A534" s="35" t="s">
        <v>1299</v>
      </c>
      <c r="B534" s="6" t="s">
        <v>68</v>
      </c>
      <c r="C534" s="6" t="s">
        <v>119</v>
      </c>
      <c r="D534" s="6" t="n">
        <v>2</v>
      </c>
      <c r="E534" s="6" t="s">
        <v>1165</v>
      </c>
      <c r="K534" s="22"/>
      <c r="L534" s="22" t="n">
        <v>34.4153703043132</v>
      </c>
      <c r="M534" s="22" t="n">
        <v>37.368960690432</v>
      </c>
      <c r="N534" s="22" t="n">
        <v>28.9827611014773</v>
      </c>
      <c r="O534" s="22" t="n">
        <v>15</v>
      </c>
      <c r="P534" s="22" t="n">
        <v>24.2586300842555</v>
      </c>
      <c r="Q534" s="22" t="n">
        <v>18.9637581961325</v>
      </c>
      <c r="R534" s="22" t="n">
        <v>21.7603451140106</v>
      </c>
      <c r="S534" s="22" t="n">
        <v>26.0798806913736</v>
      </c>
      <c r="T534" s="22" t="n">
        <v>30.5936824452092</v>
      </c>
      <c r="U534" s="22" t="n">
        <v>34.9905097394101</v>
      </c>
      <c r="V534" s="22" t="n">
        <v>40.8580597394101</v>
      </c>
      <c r="W534" s="22" t="n">
        <v>46.7256097394101</v>
      </c>
      <c r="X534" s="22" t="n">
        <v>52.5931597394101</v>
      </c>
      <c r="Y534" s="22" t="n">
        <v>58.4607097394101</v>
      </c>
      <c r="Z534" s="22" t="n">
        <v>64.3282597394101</v>
      </c>
      <c r="AA534" s="22" t="n">
        <v>70.1958097394101</v>
      </c>
      <c r="AB534" s="22" t="n">
        <v>76.0633597394101</v>
      </c>
      <c r="AC534" s="22" t="n">
        <v>81.9309097394101</v>
      </c>
      <c r="AD534" s="22" t="n">
        <v>87.7984597394101</v>
      </c>
      <c r="AE534" s="22" t="n">
        <v>93.6660097394101</v>
      </c>
    </row>
    <row r="535" customFormat="false" ht="15" hidden="false" customHeight="false" outlineLevel="0" collapsed="false">
      <c r="A535" s="35" t="s">
        <v>1299</v>
      </c>
      <c r="B535" s="6" t="s">
        <v>68</v>
      </c>
      <c r="C535" s="6" t="s">
        <v>119</v>
      </c>
      <c r="D535" s="6" t="n">
        <v>2</v>
      </c>
      <c r="E535" s="6" t="s">
        <v>1166</v>
      </c>
      <c r="K535" s="22" t="n">
        <f aca="false">INDEX(Mitigation_Industry!K:K,MATCH($A535,Mitigation_Industry!$H:$H,0))</f>
        <v>41.5003384988684</v>
      </c>
      <c r="L535" s="22" t="n">
        <f aca="false">INDEX(Mitigation_Industry!L:L,MATCH($A535,Mitigation_Industry!$H:$H,0))</f>
        <v>34.4153703043132</v>
      </c>
      <c r="M535" s="22" t="n">
        <f aca="false">INDEX(Mitigation_Industry!M:M,MATCH($A535,Mitigation_Industry!$H:$H,0))</f>
        <v>37.368960690432</v>
      </c>
      <c r="N535" s="22" t="n">
        <f aca="false">INDEX(Mitigation_Industry!N:N,MATCH($A535,Mitigation_Industry!$H:$H,0))</f>
        <v>28.9827611014773</v>
      </c>
      <c r="O535" s="22" t="n">
        <f aca="false">INDEX(Mitigation_Industry!O:O,MATCH($A535,Mitigation_Industry!$H:$H,0))</f>
        <v>15</v>
      </c>
      <c r="P535" s="22" t="n">
        <f aca="false">INDEX(Mitigation_Industry!P:P,MATCH($A535,Mitigation_Industry!$H:$H,0))</f>
        <v>24.2586300842555</v>
      </c>
      <c r="Q535" s="22" t="n">
        <f aca="false">INDEX(Mitigation_Industry!Q:Q,MATCH($A535,Mitigation_Industry!$H:$H,0))</f>
        <v>18.9637581961325</v>
      </c>
      <c r="R535" s="22" t="n">
        <f aca="false">INDEX(Mitigation_Industry!R:R,MATCH($A535,Mitigation_Industry!$H:$H,0))</f>
        <v>21.7603451140106</v>
      </c>
      <c r="S535" s="22" t="n">
        <f aca="false">INDEX(Mitigation_Industry!S:S,MATCH($A535,Mitigation_Industry!$H:$H,0))</f>
        <v>26.0798806913736</v>
      </c>
      <c r="T535" s="22" t="n">
        <f aca="false">INDEX(Mitigation_Industry!T:T,MATCH($A535,Mitigation_Industry!$H:$H,0))</f>
        <v>30.5936824452092</v>
      </c>
      <c r="U535" s="22" t="n">
        <f aca="false">INDEX(Mitigation_Industry!U:U,MATCH($A535,Mitigation_Industry!$H:$H,0))</f>
        <v>34.9905097394101</v>
      </c>
      <c r="V535" s="22" t="n">
        <f aca="false">INDEX(Mitigation_Industry!V:V,MATCH($A535,Mitigation_Industry!$H:$H,0))</f>
        <v>40.8580597394101</v>
      </c>
      <c r="W535" s="22" t="n">
        <f aca="false">INDEX(Mitigation_Industry!W:W,MATCH($A535,Mitigation_Industry!$H:$H,0))</f>
        <v>46.7256097394101</v>
      </c>
      <c r="X535" s="22" t="n">
        <f aca="false">INDEX(Mitigation_Industry!X:X,MATCH($A535,Mitigation_Industry!$H:$H,0))</f>
        <v>52.5931597394101</v>
      </c>
      <c r="Y535" s="22" t="n">
        <f aca="false">INDEX(Mitigation_Industry!Y:Y,MATCH($A535,Mitigation_Industry!$H:$H,0))</f>
        <v>58.4607097394101</v>
      </c>
      <c r="Z535" s="22" t="n">
        <f aca="false">INDEX(Mitigation_Industry!Z:Z,MATCH($A535,Mitigation_Industry!$H:$H,0))</f>
        <v>64.3282597394101</v>
      </c>
      <c r="AA535" s="22" t="n">
        <f aca="false">INDEX(Mitigation_Industry!AA:AA,MATCH($A535,Mitigation_Industry!$H:$H,0))</f>
        <v>70.1958097394101</v>
      </c>
      <c r="AB535" s="22" t="n">
        <f aca="false">INDEX(Mitigation_Industry!AB:AB,MATCH($A535,Mitigation_Industry!$H:$H,0))</f>
        <v>76.0633597394101</v>
      </c>
      <c r="AC535" s="22" t="n">
        <f aca="false">INDEX(Mitigation_Industry!AC:AC,MATCH($A535,Mitigation_Industry!$H:$H,0))</f>
        <v>81.9309097394101</v>
      </c>
      <c r="AD535" s="22" t="n">
        <f aca="false">INDEX(Mitigation_Industry!AD:AD,MATCH($A535,Mitigation_Industry!$H:$H,0))</f>
        <v>87.7984597394101</v>
      </c>
      <c r="AE535" s="22" t="n">
        <f aca="false">INDEX(Mitigation_Industry!AE:AE,MATCH($A535,Mitigation_Industry!$H:$H,0))</f>
        <v>93.6660097394101</v>
      </c>
    </row>
    <row r="536" customFormat="false" ht="15" hidden="false" customHeight="false" outlineLevel="0" collapsed="false">
      <c r="A536" s="35" t="s">
        <v>1299</v>
      </c>
      <c r="B536" s="6" t="s">
        <v>68</v>
      </c>
      <c r="C536" s="6" t="s">
        <v>119</v>
      </c>
      <c r="D536" s="6" t="n">
        <v>2</v>
      </c>
      <c r="E536" s="2" t="s">
        <v>1167</v>
      </c>
      <c r="F536" s="40" t="n">
        <f aca="false">MAX(MAX(L536:AE536),-MIN(L536:AE536))</f>
        <v>-0</v>
      </c>
      <c r="K536" s="41" t="n">
        <f aca="false">IF(ISNUMBER(K534),IF(ISNUMBER(K535),K535-K534,999999),0)</f>
        <v>0</v>
      </c>
      <c r="L536" s="41" t="n">
        <f aca="false">IF(ISNUMBER(L534),IF(ISNUMBER(L535),L535-L534,999999),0)</f>
        <v>0</v>
      </c>
      <c r="M536" s="41" t="n">
        <f aca="false">IF(ISNUMBER(M534),IF(ISNUMBER(M535),M535-M534,999999),0)</f>
        <v>0</v>
      </c>
      <c r="N536" s="41" t="n">
        <f aca="false">IF(ISNUMBER(N534),IF(ISNUMBER(N535),N535-N534,999999),0)</f>
        <v>0</v>
      </c>
      <c r="O536" s="41" t="n">
        <f aca="false">IF(ISNUMBER(O534),IF(ISNUMBER(O535),O535-O534,999999),0)</f>
        <v>0</v>
      </c>
      <c r="P536" s="41" t="n">
        <f aca="false">IF(ISNUMBER(P534),IF(ISNUMBER(P535),P535-P534,999999),0)</f>
        <v>0</v>
      </c>
      <c r="Q536" s="41" t="n">
        <f aca="false">IF(ISNUMBER(Q534),IF(ISNUMBER(Q535),Q535-Q534,999999),0)</f>
        <v>0</v>
      </c>
      <c r="R536" s="41" t="n">
        <f aca="false">IF(ISNUMBER(R534),IF(ISNUMBER(R535),R535-R534,999999),0)</f>
        <v>0</v>
      </c>
      <c r="S536" s="41" t="n">
        <f aca="false">IF(ISNUMBER(S534),IF(ISNUMBER(S535),S535-S534,999999),0)</f>
        <v>0</v>
      </c>
      <c r="T536" s="41" t="n">
        <f aca="false">IF(ISNUMBER(T534),IF(ISNUMBER(T535),T535-T534,999999),0)</f>
        <v>0</v>
      </c>
      <c r="U536" s="41" t="n">
        <f aca="false">IF(ISNUMBER(U534),IF(ISNUMBER(U535),U535-U534,999999),0)</f>
        <v>0</v>
      </c>
      <c r="V536" s="41" t="n">
        <f aca="false">IF(ISNUMBER(V534),IF(ISNUMBER(V535),V535-V534,999999),0)</f>
        <v>0</v>
      </c>
      <c r="W536" s="41" t="n">
        <f aca="false">IF(ISNUMBER(W534),IF(ISNUMBER(W535),W535-W534,999999),0)</f>
        <v>0</v>
      </c>
      <c r="X536" s="41" t="n">
        <f aca="false">IF(ISNUMBER(X534),IF(ISNUMBER(X535),X535-X534,999999),0)</f>
        <v>0</v>
      </c>
      <c r="Y536" s="41" t="n">
        <f aca="false">IF(ISNUMBER(Y534),IF(ISNUMBER(Y535),Y535-Y534,999999),0)</f>
        <v>0</v>
      </c>
      <c r="Z536" s="41" t="n">
        <f aca="false">IF(ISNUMBER(Z534),IF(ISNUMBER(Z535),Z535-Z534,999999),0)</f>
        <v>0</v>
      </c>
      <c r="AA536" s="41" t="n">
        <f aca="false">IF(ISNUMBER(AA534),IF(ISNUMBER(AA535),AA535-AA534,999999),0)</f>
        <v>0</v>
      </c>
      <c r="AB536" s="41" t="n">
        <f aca="false">IF(ISNUMBER(AB534),IF(ISNUMBER(AB535),AB535-AB534,999999),0)</f>
        <v>0</v>
      </c>
      <c r="AC536" s="41" t="n">
        <f aca="false">IF(ISNUMBER(AC534),IF(ISNUMBER(AC535),AC535-AC534,999999),0)</f>
        <v>0</v>
      </c>
      <c r="AD536" s="41" t="n">
        <f aca="false">IF(ISNUMBER(AD534),IF(ISNUMBER(AD535),AD535-AD534,999999),0)</f>
        <v>0</v>
      </c>
      <c r="AE536" s="41" t="n">
        <f aca="false">IF(ISNUMBER(AE534),IF(ISNUMBER(AE535),AE535-AE534,999999),0)</f>
        <v>0</v>
      </c>
    </row>
    <row r="538" customFormat="false" ht="15" hidden="false" customHeight="false" outlineLevel="0" collapsed="false">
      <c r="A538" s="35" t="s">
        <v>1300</v>
      </c>
      <c r="B538" s="6" t="s">
        <v>71</v>
      </c>
      <c r="C538" s="6" t="s">
        <v>119</v>
      </c>
      <c r="D538" s="6" t="n">
        <v>2</v>
      </c>
      <c r="E538" s="6" t="s">
        <v>1165</v>
      </c>
      <c r="K538" s="22"/>
      <c r="L538" s="22" t="n">
        <v>14.1995283906349</v>
      </c>
      <c r="M538" s="22" t="n">
        <v>13.8404416133152</v>
      </c>
      <c r="N538" s="22" t="n">
        <v>13.5677269404465</v>
      </c>
      <c r="O538" s="22" t="n">
        <v>13.5677269404465</v>
      </c>
      <c r="P538" s="22" t="n">
        <v>13.5677269404465</v>
      </c>
      <c r="Q538" s="22" t="n">
        <v>13.5677269404465</v>
      </c>
      <c r="R538" s="22" t="n">
        <v>13.5677269404465</v>
      </c>
      <c r="S538" s="22" t="n">
        <v>13.5677269404465</v>
      </c>
      <c r="T538" s="22" t="n">
        <v>13.5677269404465</v>
      </c>
      <c r="U538" s="22" t="n">
        <v>13.5677269404465</v>
      </c>
      <c r="V538" s="22" t="n">
        <v>13.5677269404465</v>
      </c>
      <c r="W538" s="22" t="n">
        <v>13.5677269404465</v>
      </c>
      <c r="X538" s="22" t="n">
        <v>13.5677269404465</v>
      </c>
      <c r="Y538" s="22" t="n">
        <v>13.5677269404465</v>
      </c>
      <c r="Z538" s="22" t="n">
        <v>13.5677269404465</v>
      </c>
      <c r="AA538" s="22" t="n">
        <v>13.5677269404465</v>
      </c>
      <c r="AB538" s="22" t="n">
        <v>13.5677269404465</v>
      </c>
      <c r="AC538" s="22" t="n">
        <v>13.5677269404465</v>
      </c>
      <c r="AD538" s="22" t="n">
        <v>13.5677269404465</v>
      </c>
      <c r="AE538" s="22" t="n">
        <v>13.5677269404465</v>
      </c>
    </row>
    <row r="539" customFormat="false" ht="15" hidden="false" customHeight="false" outlineLevel="0" collapsed="false">
      <c r="A539" s="35" t="s">
        <v>1300</v>
      </c>
      <c r="B539" s="6" t="s">
        <v>71</v>
      </c>
      <c r="C539" s="6" t="s">
        <v>119</v>
      </c>
      <c r="D539" s="6" t="n">
        <v>2</v>
      </c>
      <c r="E539" s="6" t="s">
        <v>1166</v>
      </c>
      <c r="K539" s="22" t="n">
        <f aca="false">INDEX(Mitigation_Industry!K:K,MATCH($A539,Mitigation_Industry!$H:$H,0))</f>
        <v>15.3345505293169</v>
      </c>
      <c r="L539" s="22" t="n">
        <f aca="false">INDEX(Mitigation_Industry!L:L,MATCH($A539,Mitigation_Industry!$H:$H,0))</f>
        <v>14.1995283906349</v>
      </c>
      <c r="M539" s="22" t="n">
        <f aca="false">INDEX(Mitigation_Industry!M:M,MATCH($A539,Mitigation_Industry!$H:$H,0))</f>
        <v>13.8404416133152</v>
      </c>
      <c r="N539" s="22" t="n">
        <f aca="false">INDEX(Mitigation_Industry!N:N,MATCH($A539,Mitigation_Industry!$H:$H,0))</f>
        <v>13.5677269404465</v>
      </c>
      <c r="O539" s="22" t="n">
        <f aca="false">INDEX(Mitigation_Industry!O:O,MATCH($A539,Mitigation_Industry!$H:$H,0))</f>
        <v>13.5677269404465</v>
      </c>
      <c r="P539" s="22" t="n">
        <f aca="false">INDEX(Mitigation_Industry!P:P,MATCH($A539,Mitigation_Industry!$H:$H,0))</f>
        <v>13.5677269404465</v>
      </c>
      <c r="Q539" s="22" t="n">
        <f aca="false">INDEX(Mitigation_Industry!Q:Q,MATCH($A539,Mitigation_Industry!$H:$H,0))</f>
        <v>13.5677269404465</v>
      </c>
      <c r="R539" s="22" t="n">
        <f aca="false">INDEX(Mitigation_Industry!R:R,MATCH($A539,Mitigation_Industry!$H:$H,0))</f>
        <v>13.5677269404465</v>
      </c>
      <c r="S539" s="22" t="n">
        <f aca="false">INDEX(Mitigation_Industry!S:S,MATCH($A539,Mitigation_Industry!$H:$H,0))</f>
        <v>13.5677269404465</v>
      </c>
      <c r="T539" s="22" t="n">
        <f aca="false">INDEX(Mitigation_Industry!T:T,MATCH($A539,Mitigation_Industry!$H:$H,0))</f>
        <v>13.5677269404465</v>
      </c>
      <c r="U539" s="22" t="n">
        <f aca="false">INDEX(Mitigation_Industry!U:U,MATCH($A539,Mitigation_Industry!$H:$H,0))</f>
        <v>13.5677269404465</v>
      </c>
      <c r="V539" s="22" t="n">
        <f aca="false">INDEX(Mitigation_Industry!V:V,MATCH($A539,Mitigation_Industry!$H:$H,0))</f>
        <v>13.5677269404465</v>
      </c>
      <c r="W539" s="22" t="n">
        <f aca="false">INDEX(Mitigation_Industry!W:W,MATCH($A539,Mitigation_Industry!$H:$H,0))</f>
        <v>13.5677269404465</v>
      </c>
      <c r="X539" s="22" t="n">
        <f aca="false">INDEX(Mitigation_Industry!X:X,MATCH($A539,Mitigation_Industry!$H:$H,0))</f>
        <v>13.5677269404465</v>
      </c>
      <c r="Y539" s="22" t="n">
        <f aca="false">INDEX(Mitigation_Industry!Y:Y,MATCH($A539,Mitigation_Industry!$H:$H,0))</f>
        <v>13.5677269404465</v>
      </c>
      <c r="Z539" s="22" t="n">
        <f aca="false">INDEX(Mitigation_Industry!Z:Z,MATCH($A539,Mitigation_Industry!$H:$H,0))</f>
        <v>13.5677269404465</v>
      </c>
      <c r="AA539" s="22" t="n">
        <f aca="false">INDEX(Mitigation_Industry!AA:AA,MATCH($A539,Mitigation_Industry!$H:$H,0))</f>
        <v>13.5677269404465</v>
      </c>
      <c r="AB539" s="22" t="n">
        <f aca="false">INDEX(Mitigation_Industry!AB:AB,MATCH($A539,Mitigation_Industry!$H:$H,0))</f>
        <v>13.5677269404465</v>
      </c>
      <c r="AC539" s="22" t="n">
        <f aca="false">INDEX(Mitigation_Industry!AC:AC,MATCH($A539,Mitigation_Industry!$H:$H,0))</f>
        <v>13.5677269404465</v>
      </c>
      <c r="AD539" s="22" t="n">
        <f aca="false">INDEX(Mitigation_Industry!AD:AD,MATCH($A539,Mitigation_Industry!$H:$H,0))</f>
        <v>13.5677269404465</v>
      </c>
      <c r="AE539" s="22" t="n">
        <f aca="false">INDEX(Mitigation_Industry!AE:AE,MATCH($A539,Mitigation_Industry!$H:$H,0))</f>
        <v>13.5677269404465</v>
      </c>
    </row>
    <row r="540" customFormat="false" ht="15" hidden="false" customHeight="false" outlineLevel="0" collapsed="false">
      <c r="A540" s="35" t="s">
        <v>1300</v>
      </c>
      <c r="B540" s="6" t="s">
        <v>71</v>
      </c>
      <c r="C540" s="6" t="s">
        <v>119</v>
      </c>
      <c r="D540" s="6" t="n">
        <v>2</v>
      </c>
      <c r="E540" s="2" t="s">
        <v>1167</v>
      </c>
      <c r="F540" s="40" t="n">
        <f aca="false">MAX(MAX(L540:AE540),-MIN(L540:AE540))</f>
        <v>-0</v>
      </c>
      <c r="K540" s="41" t="n">
        <f aca="false">IF(ISNUMBER(K538),IF(ISNUMBER(K539),K539-K538,999999),0)</f>
        <v>0</v>
      </c>
      <c r="L540" s="41" t="n">
        <f aca="false">IF(ISNUMBER(L538),IF(ISNUMBER(L539),L539-L538,999999),0)</f>
        <v>0</v>
      </c>
      <c r="M540" s="41" t="n">
        <f aca="false">IF(ISNUMBER(M538),IF(ISNUMBER(M539),M539-M538,999999),0)</f>
        <v>0</v>
      </c>
      <c r="N540" s="41" t="n">
        <f aca="false">IF(ISNUMBER(N538),IF(ISNUMBER(N539),N539-N538,999999),0)</f>
        <v>0</v>
      </c>
      <c r="O540" s="41" t="n">
        <f aca="false">IF(ISNUMBER(O538),IF(ISNUMBER(O539),O539-O538,999999),0)</f>
        <v>0</v>
      </c>
      <c r="P540" s="41" t="n">
        <f aca="false">IF(ISNUMBER(P538),IF(ISNUMBER(P539),P539-P538,999999),0)</f>
        <v>0</v>
      </c>
      <c r="Q540" s="41" t="n">
        <f aca="false">IF(ISNUMBER(Q538),IF(ISNUMBER(Q539),Q539-Q538,999999),0)</f>
        <v>0</v>
      </c>
      <c r="R540" s="41" t="n">
        <f aca="false">IF(ISNUMBER(R538),IF(ISNUMBER(R539),R539-R538,999999),0)</f>
        <v>0</v>
      </c>
      <c r="S540" s="41" t="n">
        <f aca="false">IF(ISNUMBER(S538),IF(ISNUMBER(S539),S539-S538,999999),0)</f>
        <v>0</v>
      </c>
      <c r="T540" s="41" t="n">
        <f aca="false">IF(ISNUMBER(T538),IF(ISNUMBER(T539),T539-T538,999999),0)</f>
        <v>0</v>
      </c>
      <c r="U540" s="41" t="n">
        <f aca="false">IF(ISNUMBER(U538),IF(ISNUMBER(U539),U539-U538,999999),0)</f>
        <v>0</v>
      </c>
      <c r="V540" s="41" t="n">
        <f aca="false">IF(ISNUMBER(V538),IF(ISNUMBER(V539),V539-V538,999999),0)</f>
        <v>0</v>
      </c>
      <c r="W540" s="41" t="n">
        <f aca="false">IF(ISNUMBER(W538),IF(ISNUMBER(W539),W539-W538,999999),0)</f>
        <v>0</v>
      </c>
      <c r="X540" s="41" t="n">
        <f aca="false">IF(ISNUMBER(X538),IF(ISNUMBER(X539),X539-X538,999999),0)</f>
        <v>0</v>
      </c>
      <c r="Y540" s="41" t="n">
        <f aca="false">IF(ISNUMBER(Y538),IF(ISNUMBER(Y539),Y539-Y538,999999),0)</f>
        <v>0</v>
      </c>
      <c r="Z540" s="41" t="n">
        <f aca="false">IF(ISNUMBER(Z538),IF(ISNUMBER(Z539),Z539-Z538,999999),0)</f>
        <v>0</v>
      </c>
      <c r="AA540" s="41" t="n">
        <f aca="false">IF(ISNUMBER(AA538),IF(ISNUMBER(AA539),AA539-AA538,999999),0)</f>
        <v>0</v>
      </c>
      <c r="AB540" s="41" t="n">
        <f aca="false">IF(ISNUMBER(AB538),IF(ISNUMBER(AB539),AB539-AB538,999999),0)</f>
        <v>0</v>
      </c>
      <c r="AC540" s="41" t="n">
        <f aca="false">IF(ISNUMBER(AC538),IF(ISNUMBER(AC539),AC539-AC538,999999),0)</f>
        <v>0</v>
      </c>
      <c r="AD540" s="41" t="n">
        <f aca="false">IF(ISNUMBER(AD538),IF(ISNUMBER(AD539),AD539-AD538,999999),0)</f>
        <v>0</v>
      </c>
      <c r="AE540" s="41" t="n">
        <f aca="false">IF(ISNUMBER(AE538),IF(ISNUMBER(AE539),AE539-AE538,999999),0)</f>
        <v>0</v>
      </c>
    </row>
    <row r="542" customFormat="false" ht="15" hidden="false" customHeight="false" outlineLevel="0" collapsed="false">
      <c r="A542" s="35" t="s">
        <v>1301</v>
      </c>
      <c r="B542" s="6" t="s">
        <v>73</v>
      </c>
      <c r="C542" s="6" t="s">
        <v>119</v>
      </c>
      <c r="D542" s="6" t="n">
        <v>2</v>
      </c>
      <c r="E542" s="6" t="s">
        <v>1165</v>
      </c>
      <c r="K542" s="22"/>
      <c r="L542" s="22" t="n">
        <v>0.144044986793198</v>
      </c>
      <c r="M542" s="22" t="n">
        <v>0.141386241751359</v>
      </c>
      <c r="N542" s="22" t="n">
        <v>0.135397565443731</v>
      </c>
      <c r="O542" s="22" t="n">
        <v>0.131522885420651</v>
      </c>
      <c r="P542" s="22" t="n">
        <v>0.128826108485231</v>
      </c>
      <c r="Q542" s="22" t="n">
        <v>0.12594200976474</v>
      </c>
      <c r="R542" s="22" t="n">
        <v>0.123113265701861</v>
      </c>
      <c r="S542" s="22" t="n">
        <v>0.119391738089068</v>
      </c>
      <c r="T542" s="22" t="n">
        <v>0.11554419046792</v>
      </c>
      <c r="U542" s="22" t="n">
        <v>0.114924230654159</v>
      </c>
      <c r="V542" s="22" t="n">
        <v>0.114346912116736</v>
      </c>
      <c r="W542" s="22" t="n">
        <v>0.113738711172664</v>
      </c>
      <c r="X542" s="22" t="n">
        <v>0.112999900487521</v>
      </c>
      <c r="Y542" s="22" t="n">
        <v>0.112177685835534</v>
      </c>
      <c r="Z542" s="22" t="n">
        <v>0.111417903250404</v>
      </c>
      <c r="AA542" s="22" t="n">
        <v>0.110525819985454</v>
      </c>
      <c r="AB542" s="22" t="n">
        <v>0.109699565234896</v>
      </c>
      <c r="AC542" s="22" t="n">
        <v>0.107726788963949</v>
      </c>
      <c r="AD542" s="22" t="n">
        <v>0.105820924450935</v>
      </c>
      <c r="AE542" s="22" t="n">
        <v>0.103855595705721</v>
      </c>
    </row>
    <row r="543" customFormat="false" ht="15" hidden="false" customHeight="false" outlineLevel="0" collapsed="false">
      <c r="A543" s="35" t="s">
        <v>1301</v>
      </c>
      <c r="B543" s="6" t="s">
        <v>73</v>
      </c>
      <c r="C543" s="6" t="s">
        <v>119</v>
      </c>
      <c r="D543" s="6" t="n">
        <v>2</v>
      </c>
      <c r="E543" s="6" t="s">
        <v>1166</v>
      </c>
      <c r="K543" s="22" t="n">
        <f aca="false">INDEX(Mitigation_Industry!K:K,MATCH($A543,Mitigation_Industry!$H:$H,0))</f>
        <v>0</v>
      </c>
      <c r="L543" s="22" t="n">
        <f aca="false">INDEX(Mitigation_Industry!L:L,MATCH($A543,Mitigation_Industry!$H:$H,0))</f>
        <v>0.144044986793198</v>
      </c>
      <c r="M543" s="22" t="n">
        <f aca="false">INDEX(Mitigation_Industry!M:M,MATCH($A543,Mitigation_Industry!$H:$H,0))</f>
        <v>0.141386241751359</v>
      </c>
      <c r="N543" s="22" t="n">
        <f aca="false">INDEX(Mitigation_Industry!N:N,MATCH($A543,Mitigation_Industry!$H:$H,0))</f>
        <v>0.135397565443731</v>
      </c>
      <c r="O543" s="22" t="n">
        <f aca="false">INDEX(Mitigation_Industry!O:O,MATCH($A543,Mitigation_Industry!$H:$H,0))</f>
        <v>0.131522885420651</v>
      </c>
      <c r="P543" s="22" t="n">
        <f aca="false">INDEX(Mitigation_Industry!P:P,MATCH($A543,Mitigation_Industry!$H:$H,0))</f>
        <v>0.128826108485231</v>
      </c>
      <c r="Q543" s="22" t="n">
        <f aca="false">INDEX(Mitigation_Industry!Q:Q,MATCH($A543,Mitigation_Industry!$H:$H,0))</f>
        <v>0.12594200976474</v>
      </c>
      <c r="R543" s="22" t="n">
        <f aca="false">INDEX(Mitigation_Industry!R:R,MATCH($A543,Mitigation_Industry!$H:$H,0))</f>
        <v>0.123113265701861</v>
      </c>
      <c r="S543" s="22" t="n">
        <f aca="false">INDEX(Mitigation_Industry!S:S,MATCH($A543,Mitigation_Industry!$H:$H,0))</f>
        <v>0.119391738089068</v>
      </c>
      <c r="T543" s="22" t="n">
        <f aca="false">INDEX(Mitigation_Industry!T:T,MATCH($A543,Mitigation_Industry!$H:$H,0))</f>
        <v>0.11554419046792</v>
      </c>
      <c r="U543" s="22" t="n">
        <f aca="false">INDEX(Mitigation_Industry!U:U,MATCH($A543,Mitigation_Industry!$H:$H,0))</f>
        <v>0.114924230654159</v>
      </c>
      <c r="V543" s="22" t="n">
        <f aca="false">INDEX(Mitigation_Industry!V:V,MATCH($A543,Mitigation_Industry!$H:$H,0))</f>
        <v>0.114346912116736</v>
      </c>
      <c r="W543" s="22" t="n">
        <f aca="false">INDEX(Mitigation_Industry!W:W,MATCH($A543,Mitigation_Industry!$H:$H,0))</f>
        <v>0.113738711172664</v>
      </c>
      <c r="X543" s="22" t="n">
        <f aca="false">INDEX(Mitigation_Industry!X:X,MATCH($A543,Mitigation_Industry!$H:$H,0))</f>
        <v>0.112999900487521</v>
      </c>
      <c r="Y543" s="22" t="n">
        <f aca="false">INDEX(Mitigation_Industry!Y:Y,MATCH($A543,Mitigation_Industry!$H:$H,0))</f>
        <v>0.112177685835534</v>
      </c>
      <c r="Z543" s="22" t="n">
        <f aca="false">INDEX(Mitigation_Industry!Z:Z,MATCH($A543,Mitigation_Industry!$H:$H,0))</f>
        <v>0.111417903250404</v>
      </c>
      <c r="AA543" s="22" t="n">
        <f aca="false">INDEX(Mitigation_Industry!AA:AA,MATCH($A543,Mitigation_Industry!$H:$H,0))</f>
        <v>0.110525819985454</v>
      </c>
      <c r="AB543" s="22" t="n">
        <f aca="false">INDEX(Mitigation_Industry!AB:AB,MATCH($A543,Mitigation_Industry!$H:$H,0))</f>
        <v>0.109699565234896</v>
      </c>
      <c r="AC543" s="22" t="n">
        <f aca="false">INDEX(Mitigation_Industry!AC:AC,MATCH($A543,Mitigation_Industry!$H:$H,0))</f>
        <v>0.107726788963949</v>
      </c>
      <c r="AD543" s="22" t="n">
        <f aca="false">INDEX(Mitigation_Industry!AD:AD,MATCH($A543,Mitigation_Industry!$H:$H,0))</f>
        <v>0.105820924450935</v>
      </c>
      <c r="AE543" s="22" t="n">
        <f aca="false">INDEX(Mitigation_Industry!AE:AE,MATCH($A543,Mitigation_Industry!$H:$H,0))</f>
        <v>0.103855595705721</v>
      </c>
    </row>
    <row r="544" customFormat="false" ht="15" hidden="false" customHeight="false" outlineLevel="0" collapsed="false">
      <c r="A544" s="35" t="s">
        <v>1301</v>
      </c>
      <c r="B544" s="6" t="s">
        <v>73</v>
      </c>
      <c r="C544" s="6" t="s">
        <v>119</v>
      </c>
      <c r="D544" s="6" t="n">
        <v>2</v>
      </c>
      <c r="E544" s="2" t="s">
        <v>1167</v>
      </c>
      <c r="F544" s="40" t="n">
        <f aca="false">MAX(MAX(L544:AE544),-MIN(L544:AE544))</f>
        <v>-0</v>
      </c>
      <c r="K544" s="41" t="n">
        <f aca="false">IF(ISNUMBER(K542),IF(ISNUMBER(K543),K543-K542,999999),0)</f>
        <v>0</v>
      </c>
      <c r="L544" s="41" t="n">
        <f aca="false">IF(ISNUMBER(L542),IF(ISNUMBER(L543),L543-L542,999999),0)</f>
        <v>0</v>
      </c>
      <c r="M544" s="41" t="n">
        <f aca="false">IF(ISNUMBER(M542),IF(ISNUMBER(M543),M543-M542,999999),0)</f>
        <v>0</v>
      </c>
      <c r="N544" s="41" t="n">
        <f aca="false">IF(ISNUMBER(N542),IF(ISNUMBER(N543),N543-N542,999999),0)</f>
        <v>0</v>
      </c>
      <c r="O544" s="41" t="n">
        <f aca="false">IF(ISNUMBER(O542),IF(ISNUMBER(O543),O543-O542,999999),0)</f>
        <v>0</v>
      </c>
      <c r="P544" s="41" t="n">
        <f aca="false">IF(ISNUMBER(P542),IF(ISNUMBER(P543),P543-P542,999999),0)</f>
        <v>0</v>
      </c>
      <c r="Q544" s="41" t="n">
        <f aca="false">IF(ISNUMBER(Q542),IF(ISNUMBER(Q543),Q543-Q542,999999),0)</f>
        <v>0</v>
      </c>
      <c r="R544" s="41" t="n">
        <f aca="false">IF(ISNUMBER(R542),IF(ISNUMBER(R543),R543-R542,999999),0)</f>
        <v>0</v>
      </c>
      <c r="S544" s="41" t="n">
        <f aca="false">IF(ISNUMBER(S542),IF(ISNUMBER(S543),S543-S542,999999),0)</f>
        <v>0</v>
      </c>
      <c r="T544" s="41" t="n">
        <f aca="false">IF(ISNUMBER(T542),IF(ISNUMBER(T543),T543-T542,999999),0)</f>
        <v>0</v>
      </c>
      <c r="U544" s="41" t="n">
        <f aca="false">IF(ISNUMBER(U542),IF(ISNUMBER(U543),U543-U542,999999),0)</f>
        <v>0</v>
      </c>
      <c r="V544" s="41" t="n">
        <f aca="false">IF(ISNUMBER(V542),IF(ISNUMBER(V543),V543-V542,999999),0)</f>
        <v>0</v>
      </c>
      <c r="W544" s="41" t="n">
        <f aca="false">IF(ISNUMBER(W542),IF(ISNUMBER(W543),W543-W542,999999),0)</f>
        <v>0</v>
      </c>
      <c r="X544" s="41" t="n">
        <f aca="false">IF(ISNUMBER(X542),IF(ISNUMBER(X543),X543-X542,999999),0)</f>
        <v>0</v>
      </c>
      <c r="Y544" s="41" t="n">
        <f aca="false">IF(ISNUMBER(Y542),IF(ISNUMBER(Y543),Y543-Y542,999999),0)</f>
        <v>0</v>
      </c>
      <c r="Z544" s="41" t="n">
        <f aca="false">IF(ISNUMBER(Z542),IF(ISNUMBER(Z543),Z543-Z542,999999),0)</f>
        <v>0</v>
      </c>
      <c r="AA544" s="41" t="n">
        <f aca="false">IF(ISNUMBER(AA542),IF(ISNUMBER(AA543),AA543-AA542,999999),0)</f>
        <v>0</v>
      </c>
      <c r="AB544" s="41" t="n">
        <f aca="false">IF(ISNUMBER(AB542),IF(ISNUMBER(AB543),AB543-AB542,999999),0)</f>
        <v>0</v>
      </c>
      <c r="AC544" s="41" t="n">
        <f aca="false">IF(ISNUMBER(AC542),IF(ISNUMBER(AC543),AC543-AC542,999999),0)</f>
        <v>0</v>
      </c>
      <c r="AD544" s="41" t="n">
        <f aca="false">IF(ISNUMBER(AD542),IF(ISNUMBER(AD543),AD543-AD542,999999),0)</f>
        <v>0</v>
      </c>
      <c r="AE544" s="41" t="n">
        <f aca="false">IF(ISNUMBER(AE542),IF(ISNUMBER(AE543),AE543-AE542,999999),0)</f>
        <v>0</v>
      </c>
    </row>
    <row r="546" customFormat="false" ht="15" hidden="false" customHeight="false" outlineLevel="0" collapsed="false">
      <c r="A546" s="35" t="s">
        <v>1302</v>
      </c>
      <c r="B546" s="6" t="s">
        <v>53</v>
      </c>
      <c r="C546" s="6" t="s">
        <v>121</v>
      </c>
      <c r="D546" s="6" t="n">
        <v>2</v>
      </c>
      <c r="E546" s="6" t="s">
        <v>1165</v>
      </c>
      <c r="K546" s="22"/>
      <c r="L546" s="22" t="n">
        <v>10.5233613454312</v>
      </c>
      <c r="M546" s="22" t="n">
        <v>10.2995608274442</v>
      </c>
      <c r="N546" s="22" t="n">
        <v>9.57752835953826</v>
      </c>
      <c r="O546" s="22" t="n">
        <v>8.48547828695805</v>
      </c>
      <c r="P546" s="22" t="n">
        <v>9.08719223524986</v>
      </c>
      <c r="Q546" s="22" t="n">
        <v>10.4729237289327</v>
      </c>
      <c r="R546" s="22" t="n">
        <v>11.6585649555097</v>
      </c>
      <c r="S546" s="22" t="n">
        <v>12.8395478773974</v>
      </c>
      <c r="T546" s="22" t="n">
        <v>14.0156816660228</v>
      </c>
      <c r="U546" s="22" t="n">
        <v>15.1943977655571</v>
      </c>
      <c r="V546" s="22" t="n">
        <v>16.4443977655571</v>
      </c>
      <c r="W546" s="22" t="n">
        <v>17.6943977655571</v>
      </c>
      <c r="X546" s="22" t="n">
        <v>18.9443977655571</v>
      </c>
      <c r="Y546" s="22" t="n">
        <v>20.1943977655571</v>
      </c>
      <c r="Z546" s="22" t="n">
        <v>21.4443977655571</v>
      </c>
      <c r="AA546" s="22" t="n">
        <v>22.6943977655571</v>
      </c>
      <c r="AB546" s="22" t="n">
        <v>23.9443977655571</v>
      </c>
      <c r="AC546" s="22" t="n">
        <v>25.1943977655571</v>
      </c>
      <c r="AD546" s="22" t="n">
        <v>26.4443977655571</v>
      </c>
      <c r="AE546" s="22" t="n">
        <v>27.6943977655571</v>
      </c>
    </row>
    <row r="547" customFormat="false" ht="15" hidden="false" customHeight="false" outlineLevel="0" collapsed="false">
      <c r="A547" s="35" t="s">
        <v>1302</v>
      </c>
      <c r="B547" s="6" t="s">
        <v>53</v>
      </c>
      <c r="C547" s="6" t="s">
        <v>121</v>
      </c>
      <c r="D547" s="6" t="n">
        <v>2</v>
      </c>
      <c r="E547" s="6" t="s">
        <v>1166</v>
      </c>
      <c r="K547" s="22" t="n">
        <f aca="false">INDEX(Mitigation_Industry!K:K,MATCH($A547,Mitigation_Industry!$H:$H,0))</f>
        <v>11.1829015892439</v>
      </c>
      <c r="L547" s="22" t="n">
        <f aca="false">INDEX(Mitigation_Industry!L:L,MATCH($A547,Mitigation_Industry!$H:$H,0))</f>
        <v>10.5233613454312</v>
      </c>
      <c r="M547" s="22" t="n">
        <f aca="false">INDEX(Mitigation_Industry!M:M,MATCH($A547,Mitigation_Industry!$H:$H,0))</f>
        <v>10.2995608274442</v>
      </c>
      <c r="N547" s="22" t="n">
        <f aca="false">INDEX(Mitigation_Industry!N:N,MATCH($A547,Mitigation_Industry!$H:$H,0))</f>
        <v>9.57752835953826</v>
      </c>
      <c r="O547" s="22" t="n">
        <f aca="false">INDEX(Mitigation_Industry!O:O,MATCH($A547,Mitigation_Industry!$H:$H,0))</f>
        <v>8.48547828695805</v>
      </c>
      <c r="P547" s="22" t="n">
        <f aca="false">INDEX(Mitigation_Industry!P:P,MATCH($A547,Mitigation_Industry!$H:$H,0))</f>
        <v>9.08719223524986</v>
      </c>
      <c r="Q547" s="22" t="n">
        <f aca="false">INDEX(Mitigation_Industry!Q:Q,MATCH($A547,Mitigation_Industry!$H:$H,0))</f>
        <v>10.4729237289327</v>
      </c>
      <c r="R547" s="22" t="n">
        <f aca="false">INDEX(Mitigation_Industry!R:R,MATCH($A547,Mitigation_Industry!$H:$H,0))</f>
        <v>11.6585649555097</v>
      </c>
      <c r="S547" s="22" t="n">
        <f aca="false">INDEX(Mitigation_Industry!S:S,MATCH($A547,Mitigation_Industry!$H:$H,0))</f>
        <v>12.8395478773974</v>
      </c>
      <c r="T547" s="22" t="n">
        <f aca="false">INDEX(Mitigation_Industry!T:T,MATCH($A547,Mitigation_Industry!$H:$H,0))</f>
        <v>14.0156816660228</v>
      </c>
      <c r="U547" s="22" t="n">
        <f aca="false">INDEX(Mitigation_Industry!U:U,MATCH($A547,Mitigation_Industry!$H:$H,0))</f>
        <v>15.1943977655571</v>
      </c>
      <c r="V547" s="22" t="n">
        <f aca="false">INDEX(Mitigation_Industry!V:V,MATCH($A547,Mitigation_Industry!$H:$H,0))</f>
        <v>16.4443977655571</v>
      </c>
      <c r="W547" s="22" t="n">
        <f aca="false">INDEX(Mitigation_Industry!W:W,MATCH($A547,Mitigation_Industry!$H:$H,0))</f>
        <v>17.6943977655571</v>
      </c>
      <c r="X547" s="22" t="n">
        <f aca="false">INDEX(Mitigation_Industry!X:X,MATCH($A547,Mitigation_Industry!$H:$H,0))</f>
        <v>18.9443977655571</v>
      </c>
      <c r="Y547" s="22" t="n">
        <f aca="false">INDEX(Mitigation_Industry!Y:Y,MATCH($A547,Mitigation_Industry!$H:$H,0))</f>
        <v>20.1943977655571</v>
      </c>
      <c r="Z547" s="22" t="n">
        <f aca="false">INDEX(Mitigation_Industry!Z:Z,MATCH($A547,Mitigation_Industry!$H:$H,0))</f>
        <v>21.4443977655571</v>
      </c>
      <c r="AA547" s="22" t="n">
        <f aca="false">INDEX(Mitigation_Industry!AA:AA,MATCH($A547,Mitigation_Industry!$H:$H,0))</f>
        <v>22.6943977655571</v>
      </c>
      <c r="AB547" s="22" t="n">
        <f aca="false">INDEX(Mitigation_Industry!AB:AB,MATCH($A547,Mitigation_Industry!$H:$H,0))</f>
        <v>23.9443977655571</v>
      </c>
      <c r="AC547" s="22" t="n">
        <f aca="false">INDEX(Mitigation_Industry!AC:AC,MATCH($A547,Mitigation_Industry!$H:$H,0))</f>
        <v>25.1943977655571</v>
      </c>
      <c r="AD547" s="22" t="n">
        <f aca="false">INDEX(Mitigation_Industry!AD:AD,MATCH($A547,Mitigation_Industry!$H:$H,0))</f>
        <v>26.4443977655571</v>
      </c>
      <c r="AE547" s="22" t="n">
        <f aca="false">INDEX(Mitigation_Industry!AE:AE,MATCH($A547,Mitigation_Industry!$H:$H,0))</f>
        <v>27.6943977655571</v>
      </c>
    </row>
    <row r="548" customFormat="false" ht="15" hidden="false" customHeight="false" outlineLevel="0" collapsed="false">
      <c r="A548" s="35" t="s">
        <v>1302</v>
      </c>
      <c r="B548" s="6" t="s">
        <v>53</v>
      </c>
      <c r="C548" s="6" t="s">
        <v>121</v>
      </c>
      <c r="D548" s="6" t="n">
        <v>2</v>
      </c>
      <c r="E548" s="2" t="s">
        <v>1167</v>
      </c>
      <c r="F548" s="40" t="n">
        <f aca="false">MAX(MAX(L548:AE548),-MIN(L548:AE548))</f>
        <v>-0</v>
      </c>
      <c r="K548" s="41" t="n">
        <f aca="false">IF(ISNUMBER(K546),IF(ISNUMBER(K547),K547-K546,999999),0)</f>
        <v>0</v>
      </c>
      <c r="L548" s="41" t="n">
        <f aca="false">IF(ISNUMBER(L546),IF(ISNUMBER(L547),L547-L546,999999),0)</f>
        <v>0</v>
      </c>
      <c r="M548" s="41" t="n">
        <f aca="false">IF(ISNUMBER(M546),IF(ISNUMBER(M547),M547-M546,999999),0)</f>
        <v>0</v>
      </c>
      <c r="N548" s="41" t="n">
        <f aca="false">IF(ISNUMBER(N546),IF(ISNUMBER(N547),N547-N546,999999),0)</f>
        <v>0</v>
      </c>
      <c r="O548" s="41" t="n">
        <f aca="false">IF(ISNUMBER(O546),IF(ISNUMBER(O547),O547-O546,999999),0)</f>
        <v>0</v>
      </c>
      <c r="P548" s="41" t="n">
        <f aca="false">IF(ISNUMBER(P546),IF(ISNUMBER(P547),P547-P546,999999),0)</f>
        <v>0</v>
      </c>
      <c r="Q548" s="41" t="n">
        <f aca="false">IF(ISNUMBER(Q546),IF(ISNUMBER(Q547),Q547-Q546,999999),0)</f>
        <v>0</v>
      </c>
      <c r="R548" s="41" t="n">
        <f aca="false">IF(ISNUMBER(R546),IF(ISNUMBER(R547),R547-R546,999999),0)</f>
        <v>0</v>
      </c>
      <c r="S548" s="41" t="n">
        <f aca="false">IF(ISNUMBER(S546),IF(ISNUMBER(S547),S547-S546,999999),0)</f>
        <v>0</v>
      </c>
      <c r="T548" s="41" t="n">
        <f aca="false">IF(ISNUMBER(T546),IF(ISNUMBER(T547),T547-T546,999999),0)</f>
        <v>0</v>
      </c>
      <c r="U548" s="41" t="n">
        <f aca="false">IF(ISNUMBER(U546),IF(ISNUMBER(U547),U547-U546,999999),0)</f>
        <v>0</v>
      </c>
      <c r="V548" s="41" t="n">
        <f aca="false">IF(ISNUMBER(V546),IF(ISNUMBER(V547),V547-V546,999999),0)</f>
        <v>0</v>
      </c>
      <c r="W548" s="41" t="n">
        <f aca="false">IF(ISNUMBER(W546),IF(ISNUMBER(W547),W547-W546,999999),0)</f>
        <v>0</v>
      </c>
      <c r="X548" s="41" t="n">
        <f aca="false">IF(ISNUMBER(X546),IF(ISNUMBER(X547),X547-X546,999999),0)</f>
        <v>0</v>
      </c>
      <c r="Y548" s="41" t="n">
        <f aca="false">IF(ISNUMBER(Y546),IF(ISNUMBER(Y547),Y547-Y546,999999),0)</f>
        <v>0</v>
      </c>
      <c r="Z548" s="41" t="n">
        <f aca="false">IF(ISNUMBER(Z546),IF(ISNUMBER(Z547),Z547-Z546,999999),0)</f>
        <v>0</v>
      </c>
      <c r="AA548" s="41" t="n">
        <f aca="false">IF(ISNUMBER(AA546),IF(ISNUMBER(AA547),AA547-AA546,999999),0)</f>
        <v>0</v>
      </c>
      <c r="AB548" s="41" t="n">
        <f aca="false">IF(ISNUMBER(AB546),IF(ISNUMBER(AB547),AB547-AB546,999999),0)</f>
        <v>0</v>
      </c>
      <c r="AC548" s="41" t="n">
        <f aca="false">IF(ISNUMBER(AC546),IF(ISNUMBER(AC547),AC547-AC546,999999),0)</f>
        <v>0</v>
      </c>
      <c r="AD548" s="41" t="n">
        <f aca="false">IF(ISNUMBER(AD546),IF(ISNUMBER(AD547),AD547-AD546,999999),0)</f>
        <v>0</v>
      </c>
      <c r="AE548" s="41" t="n">
        <f aca="false">IF(ISNUMBER(AE546),IF(ISNUMBER(AE547),AE547-AE546,999999),0)</f>
        <v>0</v>
      </c>
    </row>
    <row r="550" customFormat="false" ht="15" hidden="false" customHeight="false" outlineLevel="0" collapsed="false">
      <c r="A550" s="35" t="s">
        <v>1303</v>
      </c>
      <c r="B550" s="6" t="s">
        <v>57</v>
      </c>
      <c r="C550" s="6" t="s">
        <v>121</v>
      </c>
      <c r="D550" s="6" t="n">
        <v>2</v>
      </c>
      <c r="E550" s="6" t="s">
        <v>1165</v>
      </c>
      <c r="K550" s="22"/>
      <c r="L550" s="22" t="n">
        <v>5.45101508161919</v>
      </c>
      <c r="M550" s="22" t="n">
        <v>5.11935630626248</v>
      </c>
      <c r="N550" s="22" t="n">
        <v>5.08218458640407</v>
      </c>
      <c r="O550" s="22" t="n">
        <v>5.08218458640407</v>
      </c>
      <c r="P550" s="22" t="n">
        <v>5.08218458640407</v>
      </c>
      <c r="Q550" s="22" t="n">
        <v>5.77968458640407</v>
      </c>
      <c r="R550" s="22" t="n">
        <v>6.47718458640407</v>
      </c>
      <c r="S550" s="22" t="n">
        <v>7.17468458640407</v>
      </c>
      <c r="T550" s="22" t="n">
        <v>7.87218458640407</v>
      </c>
      <c r="U550" s="22" t="n">
        <v>8.56968458640407</v>
      </c>
      <c r="V550" s="22" t="n">
        <v>9.26718458640407</v>
      </c>
      <c r="W550" s="22" t="n">
        <v>9.96468458640407</v>
      </c>
      <c r="X550" s="22" t="n">
        <v>10.6621845864041</v>
      </c>
      <c r="Y550" s="22" t="n">
        <v>11.3596845864041</v>
      </c>
      <c r="Z550" s="22" t="n">
        <v>12.0571845864041</v>
      </c>
      <c r="AA550" s="22" t="n">
        <v>12.7546845864041</v>
      </c>
      <c r="AB550" s="22" t="n">
        <v>13.4521845864041</v>
      </c>
      <c r="AC550" s="22" t="n">
        <v>14.1496845864041</v>
      </c>
      <c r="AD550" s="22" t="n">
        <v>14.8471845864041</v>
      </c>
      <c r="AE550" s="22" t="n">
        <v>15.5446845864041</v>
      </c>
    </row>
    <row r="551" customFormat="false" ht="15" hidden="false" customHeight="false" outlineLevel="0" collapsed="false">
      <c r="A551" s="35" t="s">
        <v>1303</v>
      </c>
      <c r="B551" s="6" t="s">
        <v>57</v>
      </c>
      <c r="C551" s="6" t="s">
        <v>121</v>
      </c>
      <c r="D551" s="6" t="n">
        <v>2</v>
      </c>
      <c r="E551" s="6" t="s">
        <v>1166</v>
      </c>
      <c r="K551" s="22" t="n">
        <f aca="false">INDEX(Mitigation_Industry!K:K,MATCH($A551,Mitigation_Industry!$H:$H,0))</f>
        <v>6.06346361567291</v>
      </c>
      <c r="L551" s="22" t="n">
        <f aca="false">INDEX(Mitigation_Industry!L:L,MATCH($A551,Mitigation_Industry!$H:$H,0))</f>
        <v>5.45101508161919</v>
      </c>
      <c r="M551" s="22" t="n">
        <f aca="false">INDEX(Mitigation_Industry!M:M,MATCH($A551,Mitigation_Industry!$H:$H,0))</f>
        <v>5.11935630626248</v>
      </c>
      <c r="N551" s="22" t="n">
        <f aca="false">INDEX(Mitigation_Industry!N:N,MATCH($A551,Mitigation_Industry!$H:$H,0))</f>
        <v>5.08218458640407</v>
      </c>
      <c r="O551" s="22" t="n">
        <f aca="false">INDEX(Mitigation_Industry!O:O,MATCH($A551,Mitigation_Industry!$H:$H,0))</f>
        <v>5.08218458640407</v>
      </c>
      <c r="P551" s="22" t="n">
        <f aca="false">INDEX(Mitigation_Industry!P:P,MATCH($A551,Mitigation_Industry!$H:$H,0))</f>
        <v>5.08218458640407</v>
      </c>
      <c r="Q551" s="22" t="n">
        <f aca="false">INDEX(Mitigation_Industry!Q:Q,MATCH($A551,Mitigation_Industry!$H:$H,0))</f>
        <v>5.77968458640407</v>
      </c>
      <c r="R551" s="22" t="n">
        <f aca="false">INDEX(Mitigation_Industry!R:R,MATCH($A551,Mitigation_Industry!$H:$H,0))</f>
        <v>6.47718458640407</v>
      </c>
      <c r="S551" s="22" t="n">
        <f aca="false">INDEX(Mitigation_Industry!S:S,MATCH($A551,Mitigation_Industry!$H:$H,0))</f>
        <v>7.17468458640407</v>
      </c>
      <c r="T551" s="22" t="n">
        <f aca="false">INDEX(Mitigation_Industry!T:T,MATCH($A551,Mitigation_Industry!$H:$H,0))</f>
        <v>7.87218458640407</v>
      </c>
      <c r="U551" s="22" t="n">
        <f aca="false">INDEX(Mitigation_Industry!U:U,MATCH($A551,Mitigation_Industry!$H:$H,0))</f>
        <v>8.56968458640407</v>
      </c>
      <c r="V551" s="22" t="n">
        <f aca="false">INDEX(Mitigation_Industry!V:V,MATCH($A551,Mitigation_Industry!$H:$H,0))</f>
        <v>9.26718458640407</v>
      </c>
      <c r="W551" s="22" t="n">
        <f aca="false">INDEX(Mitigation_Industry!W:W,MATCH($A551,Mitigation_Industry!$H:$H,0))</f>
        <v>9.96468458640407</v>
      </c>
      <c r="X551" s="22" t="n">
        <f aca="false">INDEX(Mitigation_Industry!X:X,MATCH($A551,Mitigation_Industry!$H:$H,0))</f>
        <v>10.6621845864041</v>
      </c>
      <c r="Y551" s="22" t="n">
        <f aca="false">INDEX(Mitigation_Industry!Y:Y,MATCH($A551,Mitigation_Industry!$H:$H,0))</f>
        <v>11.3596845864041</v>
      </c>
      <c r="Z551" s="22" t="n">
        <f aca="false">INDEX(Mitigation_Industry!Z:Z,MATCH($A551,Mitigation_Industry!$H:$H,0))</f>
        <v>12.0571845864041</v>
      </c>
      <c r="AA551" s="22" t="n">
        <f aca="false">INDEX(Mitigation_Industry!AA:AA,MATCH($A551,Mitigation_Industry!$H:$H,0))</f>
        <v>12.7546845864041</v>
      </c>
      <c r="AB551" s="22" t="n">
        <f aca="false">INDEX(Mitigation_Industry!AB:AB,MATCH($A551,Mitigation_Industry!$H:$H,0))</f>
        <v>13.4521845864041</v>
      </c>
      <c r="AC551" s="22" t="n">
        <f aca="false">INDEX(Mitigation_Industry!AC:AC,MATCH($A551,Mitigation_Industry!$H:$H,0))</f>
        <v>14.1496845864041</v>
      </c>
      <c r="AD551" s="22" t="n">
        <f aca="false">INDEX(Mitigation_Industry!AD:AD,MATCH($A551,Mitigation_Industry!$H:$H,0))</f>
        <v>14.8471845864041</v>
      </c>
      <c r="AE551" s="22" t="n">
        <f aca="false">INDEX(Mitigation_Industry!AE:AE,MATCH($A551,Mitigation_Industry!$H:$H,0))</f>
        <v>15.5446845864041</v>
      </c>
    </row>
    <row r="552" customFormat="false" ht="15" hidden="false" customHeight="false" outlineLevel="0" collapsed="false">
      <c r="A552" s="35" t="s">
        <v>1303</v>
      </c>
      <c r="B552" s="6" t="s">
        <v>57</v>
      </c>
      <c r="C552" s="6" t="s">
        <v>121</v>
      </c>
      <c r="D552" s="6" t="n">
        <v>2</v>
      </c>
      <c r="E552" s="2" t="s">
        <v>1167</v>
      </c>
      <c r="F552" s="40" t="n">
        <f aca="false">MAX(MAX(L552:AE552),-MIN(L552:AE552))</f>
        <v>-0</v>
      </c>
      <c r="K552" s="41" t="n">
        <f aca="false">IF(ISNUMBER(K550),IF(ISNUMBER(K551),K551-K550,999999),0)</f>
        <v>0</v>
      </c>
      <c r="L552" s="41" t="n">
        <f aca="false">IF(ISNUMBER(L550),IF(ISNUMBER(L551),L551-L550,999999),0)</f>
        <v>0</v>
      </c>
      <c r="M552" s="41" t="n">
        <f aca="false">IF(ISNUMBER(M550),IF(ISNUMBER(M551),M551-M550,999999),0)</f>
        <v>0</v>
      </c>
      <c r="N552" s="41" t="n">
        <f aca="false">IF(ISNUMBER(N550),IF(ISNUMBER(N551),N551-N550,999999),0)</f>
        <v>0</v>
      </c>
      <c r="O552" s="41" t="n">
        <f aca="false">IF(ISNUMBER(O550),IF(ISNUMBER(O551),O551-O550,999999),0)</f>
        <v>0</v>
      </c>
      <c r="P552" s="41" t="n">
        <f aca="false">IF(ISNUMBER(P550),IF(ISNUMBER(P551),P551-P550,999999),0)</f>
        <v>0</v>
      </c>
      <c r="Q552" s="41" t="n">
        <f aca="false">IF(ISNUMBER(Q550),IF(ISNUMBER(Q551),Q551-Q550,999999),0)</f>
        <v>0</v>
      </c>
      <c r="R552" s="41" t="n">
        <f aca="false">IF(ISNUMBER(R550),IF(ISNUMBER(R551),R551-R550,999999),0)</f>
        <v>0</v>
      </c>
      <c r="S552" s="41" t="n">
        <f aca="false">IF(ISNUMBER(S550),IF(ISNUMBER(S551),S551-S550,999999),0)</f>
        <v>0</v>
      </c>
      <c r="T552" s="41" t="n">
        <f aca="false">IF(ISNUMBER(T550),IF(ISNUMBER(T551),T551-T550,999999),0)</f>
        <v>0</v>
      </c>
      <c r="U552" s="41" t="n">
        <f aca="false">IF(ISNUMBER(U550),IF(ISNUMBER(U551),U551-U550,999999),0)</f>
        <v>0</v>
      </c>
      <c r="V552" s="41" t="n">
        <f aca="false">IF(ISNUMBER(V550),IF(ISNUMBER(V551),V551-V550,999999),0)</f>
        <v>0</v>
      </c>
      <c r="W552" s="41" t="n">
        <f aca="false">IF(ISNUMBER(W550),IF(ISNUMBER(W551),W551-W550,999999),0)</f>
        <v>0</v>
      </c>
      <c r="X552" s="41" t="n">
        <f aca="false">IF(ISNUMBER(X550),IF(ISNUMBER(X551),X551-X550,999999),0)</f>
        <v>0</v>
      </c>
      <c r="Y552" s="41" t="n">
        <f aca="false">IF(ISNUMBER(Y550),IF(ISNUMBER(Y551),Y551-Y550,999999),0)</f>
        <v>0</v>
      </c>
      <c r="Z552" s="41" t="n">
        <f aca="false">IF(ISNUMBER(Z550),IF(ISNUMBER(Z551),Z551-Z550,999999),0)</f>
        <v>0</v>
      </c>
      <c r="AA552" s="41" t="n">
        <f aca="false">IF(ISNUMBER(AA550),IF(ISNUMBER(AA551),AA551-AA550,999999),0)</f>
        <v>0</v>
      </c>
      <c r="AB552" s="41" t="n">
        <f aca="false">IF(ISNUMBER(AB550),IF(ISNUMBER(AB551),AB551-AB550,999999),0)</f>
        <v>0</v>
      </c>
      <c r="AC552" s="41" t="n">
        <f aca="false">IF(ISNUMBER(AC550),IF(ISNUMBER(AC551),AC551-AC550,999999),0)</f>
        <v>0</v>
      </c>
      <c r="AD552" s="41" t="n">
        <f aca="false">IF(ISNUMBER(AD550),IF(ISNUMBER(AD551),AD551-AD550,999999),0)</f>
        <v>0</v>
      </c>
      <c r="AE552" s="41" t="n">
        <f aca="false">IF(ISNUMBER(AE550),IF(ISNUMBER(AE551),AE551-AE550,999999),0)</f>
        <v>0</v>
      </c>
    </row>
    <row r="554" customFormat="false" ht="15" hidden="false" customHeight="false" outlineLevel="0" collapsed="false">
      <c r="A554" s="35" t="s">
        <v>1304</v>
      </c>
      <c r="B554" s="6" t="s">
        <v>59</v>
      </c>
      <c r="C554" s="6" t="s">
        <v>121</v>
      </c>
      <c r="D554" s="6" t="n">
        <v>2</v>
      </c>
      <c r="E554" s="6" t="s">
        <v>1165</v>
      </c>
      <c r="K554" s="22"/>
      <c r="L554" s="22" t="n">
        <v>0.611977976791406</v>
      </c>
      <c r="M554" s="22" t="n">
        <v>0.611809749641876</v>
      </c>
      <c r="N554" s="22" t="n">
        <v>0.603583100177906</v>
      </c>
      <c r="O554" s="22" t="n">
        <v>0.603583100177906</v>
      </c>
      <c r="P554" s="22" t="n">
        <v>0.603583100177906</v>
      </c>
      <c r="Q554" s="22" t="n">
        <v>0.632510943349406</v>
      </c>
      <c r="R554" s="22" t="n">
        <v>0.661438786520906</v>
      </c>
      <c r="S554" s="22" t="n">
        <v>0.690366629692406</v>
      </c>
      <c r="T554" s="22" t="n">
        <v>0.719294472863906</v>
      </c>
      <c r="U554" s="22" t="n">
        <v>0.748222316035406</v>
      </c>
      <c r="V554" s="22" t="n">
        <v>0.777150159206906</v>
      </c>
      <c r="W554" s="22" t="n">
        <v>0.806078002378406</v>
      </c>
      <c r="X554" s="22" t="n">
        <v>0.835005845549906</v>
      </c>
      <c r="Y554" s="22" t="n">
        <v>0.863933688721406</v>
      </c>
      <c r="Z554" s="22" t="n">
        <v>0.892861531892906</v>
      </c>
      <c r="AA554" s="22" t="n">
        <v>0.921789375064406</v>
      </c>
      <c r="AB554" s="22" t="n">
        <v>0.950717218235906</v>
      </c>
      <c r="AC554" s="22" t="n">
        <v>0.979645061407406</v>
      </c>
      <c r="AD554" s="22" t="n">
        <v>1.00857290457891</v>
      </c>
      <c r="AE554" s="22" t="n">
        <v>1.03750074775041</v>
      </c>
    </row>
    <row r="555" customFormat="false" ht="15" hidden="false" customHeight="false" outlineLevel="0" collapsed="false">
      <c r="A555" s="35" t="s">
        <v>1304</v>
      </c>
      <c r="B555" s="6" t="s">
        <v>59</v>
      </c>
      <c r="C555" s="6" t="s">
        <v>121</v>
      </c>
      <c r="D555" s="6" t="n">
        <v>2</v>
      </c>
      <c r="E555" s="6" t="s">
        <v>1166</v>
      </c>
      <c r="K555" s="22" t="n">
        <f aca="false">INDEX(Mitigation_Industry!K:K,MATCH($A555,Mitigation_Industry!$H:$H,0))</f>
        <v>0.671146533321816</v>
      </c>
      <c r="L555" s="22" t="n">
        <f aca="false">INDEX(Mitigation_Industry!L:L,MATCH($A555,Mitigation_Industry!$H:$H,0))</f>
        <v>0.611977976791406</v>
      </c>
      <c r="M555" s="22" t="n">
        <f aca="false">INDEX(Mitigation_Industry!M:M,MATCH($A555,Mitigation_Industry!$H:$H,0))</f>
        <v>0.611809749641876</v>
      </c>
      <c r="N555" s="22" t="n">
        <f aca="false">INDEX(Mitigation_Industry!N:N,MATCH($A555,Mitigation_Industry!$H:$H,0))</f>
        <v>0.603583100177906</v>
      </c>
      <c r="O555" s="22" t="n">
        <f aca="false">INDEX(Mitigation_Industry!O:O,MATCH($A555,Mitigation_Industry!$H:$H,0))</f>
        <v>0.603583100177906</v>
      </c>
      <c r="P555" s="22" t="n">
        <f aca="false">INDEX(Mitigation_Industry!P:P,MATCH($A555,Mitigation_Industry!$H:$H,0))</f>
        <v>0.603583100177906</v>
      </c>
      <c r="Q555" s="22" t="n">
        <f aca="false">INDEX(Mitigation_Industry!Q:Q,MATCH($A555,Mitigation_Industry!$H:$H,0))</f>
        <v>0.632510943349406</v>
      </c>
      <c r="R555" s="22" t="n">
        <f aca="false">INDEX(Mitigation_Industry!R:R,MATCH($A555,Mitigation_Industry!$H:$H,0))</f>
        <v>0.661438786520906</v>
      </c>
      <c r="S555" s="22" t="n">
        <f aca="false">INDEX(Mitigation_Industry!S:S,MATCH($A555,Mitigation_Industry!$H:$H,0))</f>
        <v>0.690366629692406</v>
      </c>
      <c r="T555" s="22" t="n">
        <f aca="false">INDEX(Mitigation_Industry!T:T,MATCH($A555,Mitigation_Industry!$H:$H,0))</f>
        <v>0.719294472863906</v>
      </c>
      <c r="U555" s="22" t="n">
        <f aca="false">INDEX(Mitigation_Industry!U:U,MATCH($A555,Mitigation_Industry!$H:$H,0))</f>
        <v>0.748222316035406</v>
      </c>
      <c r="V555" s="22" t="n">
        <f aca="false">INDEX(Mitigation_Industry!V:V,MATCH($A555,Mitigation_Industry!$H:$H,0))</f>
        <v>0.777150159206905</v>
      </c>
      <c r="W555" s="22" t="n">
        <f aca="false">INDEX(Mitigation_Industry!W:W,MATCH($A555,Mitigation_Industry!$H:$H,0))</f>
        <v>0.806078002378406</v>
      </c>
      <c r="X555" s="22" t="n">
        <f aca="false">INDEX(Mitigation_Industry!X:X,MATCH($A555,Mitigation_Industry!$H:$H,0))</f>
        <v>0.835005845549906</v>
      </c>
      <c r="Y555" s="22" t="n">
        <f aca="false">INDEX(Mitigation_Industry!Y:Y,MATCH($A555,Mitigation_Industry!$H:$H,0))</f>
        <v>0.863933688721406</v>
      </c>
      <c r="Z555" s="22" t="n">
        <f aca="false">INDEX(Mitigation_Industry!Z:Z,MATCH($A555,Mitigation_Industry!$H:$H,0))</f>
        <v>0.892861531892906</v>
      </c>
      <c r="AA555" s="22" t="n">
        <f aca="false">INDEX(Mitigation_Industry!AA:AA,MATCH($A555,Mitigation_Industry!$H:$H,0))</f>
        <v>0.921789375064406</v>
      </c>
      <c r="AB555" s="22" t="n">
        <f aca="false">INDEX(Mitigation_Industry!AB:AB,MATCH($A555,Mitigation_Industry!$H:$H,0))</f>
        <v>0.950717218235906</v>
      </c>
      <c r="AC555" s="22" t="n">
        <f aca="false">INDEX(Mitigation_Industry!AC:AC,MATCH($A555,Mitigation_Industry!$H:$H,0))</f>
        <v>0.979645061407406</v>
      </c>
      <c r="AD555" s="22" t="n">
        <f aca="false">INDEX(Mitigation_Industry!AD:AD,MATCH($A555,Mitigation_Industry!$H:$H,0))</f>
        <v>1.00857290457891</v>
      </c>
      <c r="AE555" s="22" t="n">
        <f aca="false">INDEX(Mitigation_Industry!AE:AE,MATCH($A555,Mitigation_Industry!$H:$H,0))</f>
        <v>1.03750074775041</v>
      </c>
    </row>
    <row r="556" customFormat="false" ht="15" hidden="false" customHeight="false" outlineLevel="0" collapsed="false">
      <c r="A556" s="35" t="s">
        <v>1304</v>
      </c>
      <c r="B556" s="6" t="s">
        <v>59</v>
      </c>
      <c r="C556" s="6" t="s">
        <v>121</v>
      </c>
      <c r="D556" s="6" t="n">
        <v>2</v>
      </c>
      <c r="E556" s="2" t="s">
        <v>1167</v>
      </c>
      <c r="F556" s="40" t="n">
        <f aca="false">MAX(MAX(L556:AE556),-MIN(L556:AE556))</f>
        <v>-0</v>
      </c>
      <c r="K556" s="41" t="n">
        <f aca="false">IF(ISNUMBER(K554),IF(ISNUMBER(K555),K555-K554,999999),0)</f>
        <v>0</v>
      </c>
      <c r="L556" s="41" t="n">
        <f aca="false">IF(ISNUMBER(L554),IF(ISNUMBER(L555),L555-L554,999999),0)</f>
        <v>0</v>
      </c>
      <c r="M556" s="41" t="n">
        <f aca="false">IF(ISNUMBER(M554),IF(ISNUMBER(M555),M555-M554,999999),0)</f>
        <v>0</v>
      </c>
      <c r="N556" s="41" t="n">
        <f aca="false">IF(ISNUMBER(N554),IF(ISNUMBER(N555),N555-N554,999999),0)</f>
        <v>0</v>
      </c>
      <c r="O556" s="41" t="n">
        <f aca="false">IF(ISNUMBER(O554),IF(ISNUMBER(O555),O555-O554,999999),0)</f>
        <v>0</v>
      </c>
      <c r="P556" s="41" t="n">
        <f aca="false">IF(ISNUMBER(P554),IF(ISNUMBER(P555),P555-P554,999999),0)</f>
        <v>0</v>
      </c>
      <c r="Q556" s="41" t="n">
        <f aca="false">IF(ISNUMBER(Q554),IF(ISNUMBER(Q555),Q555-Q554,999999),0)</f>
        <v>0</v>
      </c>
      <c r="R556" s="41" t="n">
        <f aca="false">IF(ISNUMBER(R554),IF(ISNUMBER(R555),R555-R554,999999),0)</f>
        <v>0</v>
      </c>
      <c r="S556" s="41" t="n">
        <f aca="false">IF(ISNUMBER(S554),IF(ISNUMBER(S555),S555-S554,999999),0)</f>
        <v>0</v>
      </c>
      <c r="T556" s="41" t="n">
        <f aca="false">IF(ISNUMBER(T554),IF(ISNUMBER(T555),T555-T554,999999),0)</f>
        <v>0</v>
      </c>
      <c r="U556" s="41" t="n">
        <f aca="false">IF(ISNUMBER(U554),IF(ISNUMBER(U555),U555-U554,999999),0)</f>
        <v>0</v>
      </c>
      <c r="V556" s="41" t="n">
        <f aca="false">IF(ISNUMBER(V554),IF(ISNUMBER(V555),V555-V554,999999),0)</f>
        <v>0</v>
      </c>
      <c r="W556" s="41" t="n">
        <f aca="false">IF(ISNUMBER(W554),IF(ISNUMBER(W555),W555-W554,999999),0)</f>
        <v>0</v>
      </c>
      <c r="X556" s="41" t="n">
        <f aca="false">IF(ISNUMBER(X554),IF(ISNUMBER(X555),X555-X554,999999),0)</f>
        <v>0</v>
      </c>
      <c r="Y556" s="41" t="n">
        <f aca="false">IF(ISNUMBER(Y554),IF(ISNUMBER(Y555),Y555-Y554,999999),0)</f>
        <v>0</v>
      </c>
      <c r="Z556" s="41" t="n">
        <f aca="false">IF(ISNUMBER(Z554),IF(ISNUMBER(Z555),Z555-Z554,999999),0)</f>
        <v>0</v>
      </c>
      <c r="AA556" s="41" t="n">
        <f aca="false">IF(ISNUMBER(AA554),IF(ISNUMBER(AA555),AA555-AA554,999999),0)</f>
        <v>0</v>
      </c>
      <c r="AB556" s="41" t="n">
        <f aca="false">IF(ISNUMBER(AB554),IF(ISNUMBER(AB555),AB555-AB554,999999),0)</f>
        <v>0</v>
      </c>
      <c r="AC556" s="41" t="n">
        <f aca="false">IF(ISNUMBER(AC554),IF(ISNUMBER(AC555),AC555-AC554,999999),0)</f>
        <v>0</v>
      </c>
      <c r="AD556" s="41" t="n">
        <f aca="false">IF(ISNUMBER(AD554),IF(ISNUMBER(AD555),AD555-AD554,999999),0)</f>
        <v>0</v>
      </c>
      <c r="AE556" s="41" t="n">
        <f aca="false">IF(ISNUMBER(AE554),IF(ISNUMBER(AE555),AE555-AE554,999999),0)</f>
        <v>0</v>
      </c>
    </row>
    <row r="558" customFormat="false" ht="15" hidden="false" customHeight="false" outlineLevel="0" collapsed="false">
      <c r="A558" s="35" t="s">
        <v>1305</v>
      </c>
      <c r="B558" s="6" t="s">
        <v>62</v>
      </c>
      <c r="C558" s="6" t="s">
        <v>121</v>
      </c>
      <c r="D558" s="6" t="n">
        <v>2</v>
      </c>
      <c r="E558" s="6" t="s">
        <v>1165</v>
      </c>
      <c r="K558" s="22"/>
      <c r="L558" s="22" t="n">
        <v>0.494588730841068</v>
      </c>
      <c r="M558" s="22" t="n">
        <v>0.507786547202501</v>
      </c>
      <c r="N558" s="22" t="n">
        <v>0.470436426795617</v>
      </c>
      <c r="O558" s="22" t="n">
        <v>0.470436426795617</v>
      </c>
      <c r="P558" s="22" t="n">
        <v>0.470436426795617</v>
      </c>
      <c r="Q558" s="22" t="n">
        <v>0.503446865654492</v>
      </c>
      <c r="R558" s="22" t="n">
        <v>0.536457304513367</v>
      </c>
      <c r="S558" s="22" t="n">
        <v>0.569467743372242</v>
      </c>
      <c r="T558" s="22" t="n">
        <v>0.602478182231117</v>
      </c>
      <c r="U558" s="22" t="n">
        <v>0.635488621089992</v>
      </c>
      <c r="V558" s="22" t="n">
        <v>0.668499059948867</v>
      </c>
      <c r="W558" s="22" t="n">
        <v>0.701509498807742</v>
      </c>
      <c r="X558" s="22" t="n">
        <v>0.734519937666617</v>
      </c>
      <c r="Y558" s="22" t="n">
        <v>0.767530376525492</v>
      </c>
      <c r="Z558" s="22" t="n">
        <v>0.800540815384367</v>
      </c>
      <c r="AA558" s="22" t="n">
        <v>0.833551254243242</v>
      </c>
      <c r="AB558" s="22" t="n">
        <v>0.866561693102117</v>
      </c>
      <c r="AC558" s="22" t="n">
        <v>0.899572131960992</v>
      </c>
      <c r="AD558" s="22" t="n">
        <v>0.932582570819867</v>
      </c>
      <c r="AE558" s="22" t="n">
        <v>0.965593009678742</v>
      </c>
    </row>
    <row r="559" customFormat="false" ht="15" hidden="false" customHeight="false" outlineLevel="0" collapsed="false">
      <c r="A559" s="35" t="s">
        <v>1305</v>
      </c>
      <c r="B559" s="6" t="s">
        <v>62</v>
      </c>
      <c r="C559" s="6" t="s">
        <v>121</v>
      </c>
      <c r="D559" s="6" t="n">
        <v>2</v>
      </c>
      <c r="E559" s="6" t="s">
        <v>1166</v>
      </c>
      <c r="K559" s="22" t="n">
        <f aca="false">INDEX(Mitigation_Industry!K:K,MATCH($A559,Mitigation_Industry!$H:$H,0))</f>
        <v>0.559711213155688</v>
      </c>
      <c r="L559" s="22" t="n">
        <f aca="false">INDEX(Mitigation_Industry!L:L,MATCH($A559,Mitigation_Industry!$H:$H,0))</f>
        <v>0.494588730841068</v>
      </c>
      <c r="M559" s="22" t="n">
        <f aca="false">INDEX(Mitigation_Industry!M:M,MATCH($A559,Mitigation_Industry!$H:$H,0))</f>
        <v>0.507786547202501</v>
      </c>
      <c r="N559" s="22" t="n">
        <f aca="false">INDEX(Mitigation_Industry!N:N,MATCH($A559,Mitigation_Industry!$H:$H,0))</f>
        <v>0.470436426795617</v>
      </c>
      <c r="O559" s="22" t="n">
        <f aca="false">INDEX(Mitigation_Industry!O:O,MATCH($A559,Mitigation_Industry!$H:$H,0))</f>
        <v>0.470436426795617</v>
      </c>
      <c r="P559" s="22" t="n">
        <f aca="false">INDEX(Mitigation_Industry!P:P,MATCH($A559,Mitigation_Industry!$H:$H,0))</f>
        <v>0.470436426795617</v>
      </c>
      <c r="Q559" s="22" t="n">
        <f aca="false">INDEX(Mitigation_Industry!Q:Q,MATCH($A559,Mitigation_Industry!$H:$H,0))</f>
        <v>0.503446865654492</v>
      </c>
      <c r="R559" s="22" t="n">
        <f aca="false">INDEX(Mitigation_Industry!R:R,MATCH($A559,Mitigation_Industry!$H:$H,0))</f>
        <v>0.536457304513367</v>
      </c>
      <c r="S559" s="22" t="n">
        <f aca="false">INDEX(Mitigation_Industry!S:S,MATCH($A559,Mitigation_Industry!$H:$H,0))</f>
        <v>0.569467743372243</v>
      </c>
      <c r="T559" s="22" t="n">
        <f aca="false">INDEX(Mitigation_Industry!T:T,MATCH($A559,Mitigation_Industry!$H:$H,0))</f>
        <v>0.602478182231117</v>
      </c>
      <c r="U559" s="22" t="n">
        <f aca="false">INDEX(Mitigation_Industry!U:U,MATCH($A559,Mitigation_Industry!$H:$H,0))</f>
        <v>0.635488621089992</v>
      </c>
      <c r="V559" s="22" t="n">
        <f aca="false">INDEX(Mitigation_Industry!V:V,MATCH($A559,Mitigation_Industry!$H:$H,0))</f>
        <v>0.668499059948867</v>
      </c>
      <c r="W559" s="22" t="n">
        <f aca="false">INDEX(Mitigation_Industry!W:W,MATCH($A559,Mitigation_Industry!$H:$H,0))</f>
        <v>0.701509498807742</v>
      </c>
      <c r="X559" s="22" t="n">
        <f aca="false">INDEX(Mitigation_Industry!X:X,MATCH($A559,Mitigation_Industry!$H:$H,0))</f>
        <v>0.734519937666617</v>
      </c>
      <c r="Y559" s="22" t="n">
        <f aca="false">INDEX(Mitigation_Industry!Y:Y,MATCH($A559,Mitigation_Industry!$H:$H,0))</f>
        <v>0.767530376525492</v>
      </c>
      <c r="Z559" s="22" t="n">
        <f aca="false">INDEX(Mitigation_Industry!Z:Z,MATCH($A559,Mitigation_Industry!$H:$H,0))</f>
        <v>0.800540815384367</v>
      </c>
      <c r="AA559" s="22" t="n">
        <f aca="false">INDEX(Mitigation_Industry!AA:AA,MATCH($A559,Mitigation_Industry!$H:$H,0))</f>
        <v>0.833551254243242</v>
      </c>
      <c r="AB559" s="22" t="n">
        <f aca="false">INDEX(Mitigation_Industry!AB:AB,MATCH($A559,Mitigation_Industry!$H:$H,0))</f>
        <v>0.866561693102117</v>
      </c>
      <c r="AC559" s="22" t="n">
        <f aca="false">INDEX(Mitigation_Industry!AC:AC,MATCH($A559,Mitigation_Industry!$H:$H,0))</f>
        <v>0.899572131960992</v>
      </c>
      <c r="AD559" s="22" t="n">
        <f aca="false">INDEX(Mitigation_Industry!AD:AD,MATCH($A559,Mitigation_Industry!$H:$H,0))</f>
        <v>0.932582570819867</v>
      </c>
      <c r="AE559" s="22" t="n">
        <f aca="false">INDEX(Mitigation_Industry!AE:AE,MATCH($A559,Mitigation_Industry!$H:$H,0))</f>
        <v>0.965593009678742</v>
      </c>
    </row>
    <row r="560" customFormat="false" ht="15" hidden="false" customHeight="false" outlineLevel="0" collapsed="false">
      <c r="A560" s="35" t="s">
        <v>1305</v>
      </c>
      <c r="B560" s="6" t="s">
        <v>62</v>
      </c>
      <c r="C560" s="6" t="s">
        <v>121</v>
      </c>
      <c r="D560" s="6" t="n">
        <v>2</v>
      </c>
      <c r="E560" s="2" t="s">
        <v>1167</v>
      </c>
      <c r="F560" s="40" t="n">
        <f aca="false">MAX(MAX(L560:AE560),-MIN(L560:AE560))</f>
        <v>-0</v>
      </c>
      <c r="K560" s="41" t="n">
        <f aca="false">IF(ISNUMBER(K558),IF(ISNUMBER(K559),K559-K558,999999),0)</f>
        <v>0</v>
      </c>
      <c r="L560" s="41" t="n">
        <f aca="false">IF(ISNUMBER(L558),IF(ISNUMBER(L559),L559-L558,999999),0)</f>
        <v>0</v>
      </c>
      <c r="M560" s="41" t="n">
        <f aca="false">IF(ISNUMBER(M558),IF(ISNUMBER(M559),M559-M558,999999),0)</f>
        <v>0</v>
      </c>
      <c r="N560" s="41" t="n">
        <f aca="false">IF(ISNUMBER(N558),IF(ISNUMBER(N559),N559-N558,999999),0)</f>
        <v>0</v>
      </c>
      <c r="O560" s="41" t="n">
        <f aca="false">IF(ISNUMBER(O558),IF(ISNUMBER(O559),O559-O558,999999),0)</f>
        <v>0</v>
      </c>
      <c r="P560" s="41" t="n">
        <f aca="false">IF(ISNUMBER(P558),IF(ISNUMBER(P559),P559-P558,999999),0)</f>
        <v>0</v>
      </c>
      <c r="Q560" s="41" t="n">
        <f aca="false">IF(ISNUMBER(Q558),IF(ISNUMBER(Q559),Q559-Q558,999999),0)</f>
        <v>0</v>
      </c>
      <c r="R560" s="41" t="n">
        <f aca="false">IF(ISNUMBER(R558),IF(ISNUMBER(R559),R559-R558,999999),0)</f>
        <v>0</v>
      </c>
      <c r="S560" s="41" t="n">
        <f aca="false">IF(ISNUMBER(S558),IF(ISNUMBER(S559),S559-S558,999999),0)</f>
        <v>0</v>
      </c>
      <c r="T560" s="41" t="n">
        <f aca="false">IF(ISNUMBER(T558),IF(ISNUMBER(T559),T559-T558,999999),0)</f>
        <v>0</v>
      </c>
      <c r="U560" s="41" t="n">
        <f aca="false">IF(ISNUMBER(U558),IF(ISNUMBER(U559),U559-U558,999999),0)</f>
        <v>0</v>
      </c>
      <c r="V560" s="41" t="n">
        <f aca="false">IF(ISNUMBER(V558),IF(ISNUMBER(V559),V559-V558,999999),0)</f>
        <v>0</v>
      </c>
      <c r="W560" s="41" t="n">
        <f aca="false">IF(ISNUMBER(W558),IF(ISNUMBER(W559),W559-W558,999999),0)</f>
        <v>0</v>
      </c>
      <c r="X560" s="41" t="n">
        <f aca="false">IF(ISNUMBER(X558),IF(ISNUMBER(X559),X559-X558,999999),0)</f>
        <v>0</v>
      </c>
      <c r="Y560" s="41" t="n">
        <f aca="false">IF(ISNUMBER(Y558),IF(ISNUMBER(Y559),Y559-Y558,999999),0)</f>
        <v>0</v>
      </c>
      <c r="Z560" s="41" t="n">
        <f aca="false">IF(ISNUMBER(Z558),IF(ISNUMBER(Z559),Z559-Z558,999999),0)</f>
        <v>0</v>
      </c>
      <c r="AA560" s="41" t="n">
        <f aca="false">IF(ISNUMBER(AA558),IF(ISNUMBER(AA559),AA559-AA558,999999),0)</f>
        <v>0</v>
      </c>
      <c r="AB560" s="41" t="n">
        <f aca="false">IF(ISNUMBER(AB558),IF(ISNUMBER(AB559),AB559-AB558,999999),0)</f>
        <v>0</v>
      </c>
      <c r="AC560" s="41" t="n">
        <f aca="false">IF(ISNUMBER(AC558),IF(ISNUMBER(AC559),AC559-AC558,999999),0)</f>
        <v>0</v>
      </c>
      <c r="AD560" s="41" t="n">
        <f aca="false">IF(ISNUMBER(AD558),IF(ISNUMBER(AD559),AD559-AD558,999999),0)</f>
        <v>0</v>
      </c>
      <c r="AE560" s="41" t="n">
        <f aca="false">IF(ISNUMBER(AE558),IF(ISNUMBER(AE559),AE559-AE558,999999),0)</f>
        <v>0</v>
      </c>
    </row>
    <row r="562" customFormat="false" ht="15" hidden="false" customHeight="false" outlineLevel="0" collapsed="false">
      <c r="A562" s="35" t="s">
        <v>1306</v>
      </c>
      <c r="B562" s="6" t="s">
        <v>64</v>
      </c>
      <c r="C562" s="6" t="s">
        <v>121</v>
      </c>
      <c r="D562" s="6" t="n">
        <v>2</v>
      </c>
      <c r="E562" s="6" t="s">
        <v>1165</v>
      </c>
      <c r="K562" s="22"/>
      <c r="L562" s="22" t="n">
        <v>0.157344736252274</v>
      </c>
      <c r="M562" s="22" t="n">
        <v>0.164484037759277</v>
      </c>
      <c r="N562" s="22" t="n">
        <v>0.150709077807049</v>
      </c>
      <c r="O562" s="22" t="n">
        <v>0.150709077807049</v>
      </c>
      <c r="P562" s="22" t="n">
        <v>0.150709077807049</v>
      </c>
      <c r="Q562" s="22" t="n">
        <v>0.172815160734345</v>
      </c>
      <c r="R562" s="22" t="n">
        <v>0.19492124366164</v>
      </c>
      <c r="S562" s="22" t="n">
        <v>0.217027326588936</v>
      </c>
      <c r="T562" s="22" t="n">
        <v>0.239133409516232</v>
      </c>
      <c r="U562" s="22" t="n">
        <v>0.261239492443527</v>
      </c>
      <c r="V562" s="22" t="n">
        <v>0.283345575370823</v>
      </c>
      <c r="W562" s="22" t="n">
        <v>0.305451658298119</v>
      </c>
      <c r="X562" s="22" t="n">
        <v>0.327557741225415</v>
      </c>
      <c r="Y562" s="22" t="n">
        <v>0.34966382415271</v>
      </c>
      <c r="Z562" s="22" t="n">
        <v>0.371769907080006</v>
      </c>
      <c r="AA562" s="22" t="n">
        <v>0.393875990007302</v>
      </c>
      <c r="AB562" s="22" t="n">
        <v>0.415982072934597</v>
      </c>
      <c r="AC562" s="22" t="n">
        <v>0.438088155861893</v>
      </c>
      <c r="AD562" s="22" t="n">
        <v>0.460194238789189</v>
      </c>
      <c r="AE562" s="22" t="n">
        <v>0.482300321716484</v>
      </c>
    </row>
    <row r="563" customFormat="false" ht="15" hidden="false" customHeight="false" outlineLevel="0" collapsed="false">
      <c r="A563" s="35" t="s">
        <v>1306</v>
      </c>
      <c r="B563" s="6" t="s">
        <v>64</v>
      </c>
      <c r="C563" s="6" t="s">
        <v>121</v>
      </c>
      <c r="D563" s="6" t="n">
        <v>2</v>
      </c>
      <c r="E563" s="6" t="s">
        <v>1166</v>
      </c>
      <c r="K563" s="22" t="n">
        <f aca="false">INDEX(Mitigation_Industry!K:K,MATCH($A563,Mitigation_Industry!$H:$H,0))</f>
        <v>0.200366691126738</v>
      </c>
      <c r="L563" s="22" t="n">
        <f aca="false">INDEX(Mitigation_Industry!L:L,MATCH($A563,Mitigation_Industry!$H:$H,0))</f>
        <v>0.157344736252274</v>
      </c>
      <c r="M563" s="22" t="n">
        <f aca="false">INDEX(Mitigation_Industry!M:M,MATCH($A563,Mitigation_Industry!$H:$H,0))</f>
        <v>0.164484037759277</v>
      </c>
      <c r="N563" s="22" t="n">
        <f aca="false">INDEX(Mitigation_Industry!N:N,MATCH($A563,Mitigation_Industry!$H:$H,0))</f>
        <v>0.150709077807049</v>
      </c>
      <c r="O563" s="22" t="n">
        <f aca="false">INDEX(Mitigation_Industry!O:O,MATCH($A563,Mitigation_Industry!$H:$H,0))</f>
        <v>0.150709077807049</v>
      </c>
      <c r="P563" s="22" t="n">
        <f aca="false">INDEX(Mitigation_Industry!P:P,MATCH($A563,Mitigation_Industry!$H:$H,0))</f>
        <v>0.150709077807049</v>
      </c>
      <c r="Q563" s="22" t="n">
        <f aca="false">INDEX(Mitigation_Industry!Q:Q,MATCH($A563,Mitigation_Industry!$H:$H,0))</f>
        <v>0.172815160734345</v>
      </c>
      <c r="R563" s="22" t="n">
        <f aca="false">INDEX(Mitigation_Industry!R:R,MATCH($A563,Mitigation_Industry!$H:$H,0))</f>
        <v>0.19492124366164</v>
      </c>
      <c r="S563" s="22" t="n">
        <f aca="false">INDEX(Mitigation_Industry!S:S,MATCH($A563,Mitigation_Industry!$H:$H,0))</f>
        <v>0.217027326588936</v>
      </c>
      <c r="T563" s="22" t="n">
        <f aca="false">INDEX(Mitigation_Industry!T:T,MATCH($A563,Mitigation_Industry!$H:$H,0))</f>
        <v>0.239133409516232</v>
      </c>
      <c r="U563" s="22" t="n">
        <f aca="false">INDEX(Mitigation_Industry!U:U,MATCH($A563,Mitigation_Industry!$H:$H,0))</f>
        <v>0.261239492443527</v>
      </c>
      <c r="V563" s="22" t="n">
        <f aca="false">INDEX(Mitigation_Industry!V:V,MATCH($A563,Mitigation_Industry!$H:$H,0))</f>
        <v>0.283345575370823</v>
      </c>
      <c r="W563" s="22" t="n">
        <f aca="false">INDEX(Mitigation_Industry!W:W,MATCH($A563,Mitigation_Industry!$H:$H,0))</f>
        <v>0.305451658298119</v>
      </c>
      <c r="X563" s="22" t="n">
        <f aca="false">INDEX(Mitigation_Industry!X:X,MATCH($A563,Mitigation_Industry!$H:$H,0))</f>
        <v>0.327557741225415</v>
      </c>
      <c r="Y563" s="22" t="n">
        <f aca="false">INDEX(Mitigation_Industry!Y:Y,MATCH($A563,Mitigation_Industry!$H:$H,0))</f>
        <v>0.34966382415271</v>
      </c>
      <c r="Z563" s="22" t="n">
        <f aca="false">INDEX(Mitigation_Industry!Z:Z,MATCH($A563,Mitigation_Industry!$H:$H,0))</f>
        <v>0.371769907080006</v>
      </c>
      <c r="AA563" s="22" t="n">
        <f aca="false">INDEX(Mitigation_Industry!AA:AA,MATCH($A563,Mitigation_Industry!$H:$H,0))</f>
        <v>0.393875990007302</v>
      </c>
      <c r="AB563" s="22" t="n">
        <f aca="false">INDEX(Mitigation_Industry!AB:AB,MATCH($A563,Mitigation_Industry!$H:$H,0))</f>
        <v>0.415982072934597</v>
      </c>
      <c r="AC563" s="22" t="n">
        <f aca="false">INDEX(Mitigation_Industry!AC:AC,MATCH($A563,Mitigation_Industry!$H:$H,0))</f>
        <v>0.438088155861893</v>
      </c>
      <c r="AD563" s="22" t="n">
        <f aca="false">INDEX(Mitigation_Industry!AD:AD,MATCH($A563,Mitigation_Industry!$H:$H,0))</f>
        <v>0.460194238789189</v>
      </c>
      <c r="AE563" s="22" t="n">
        <f aca="false">INDEX(Mitigation_Industry!AE:AE,MATCH($A563,Mitigation_Industry!$H:$H,0))</f>
        <v>0.482300321716484</v>
      </c>
    </row>
    <row r="564" customFormat="false" ht="15" hidden="false" customHeight="false" outlineLevel="0" collapsed="false">
      <c r="A564" s="35" t="s">
        <v>1306</v>
      </c>
      <c r="B564" s="6" t="s">
        <v>64</v>
      </c>
      <c r="C564" s="6" t="s">
        <v>121</v>
      </c>
      <c r="D564" s="6" t="n">
        <v>2</v>
      </c>
      <c r="E564" s="2" t="s">
        <v>1167</v>
      </c>
      <c r="F564" s="40" t="n">
        <f aca="false">MAX(MAX(L564:AE564),-MIN(L564:AE564))</f>
        <v>-0</v>
      </c>
      <c r="K564" s="41" t="n">
        <f aca="false">IF(ISNUMBER(K562),IF(ISNUMBER(K563),K563-K562,999999),0)</f>
        <v>0</v>
      </c>
      <c r="L564" s="41" t="n">
        <f aca="false">IF(ISNUMBER(L562),IF(ISNUMBER(L563),L563-L562,999999),0)</f>
        <v>0</v>
      </c>
      <c r="M564" s="41" t="n">
        <f aca="false">IF(ISNUMBER(M562),IF(ISNUMBER(M563),M563-M562,999999),0)</f>
        <v>0</v>
      </c>
      <c r="N564" s="41" t="n">
        <f aca="false">IF(ISNUMBER(N562),IF(ISNUMBER(N563),N563-N562,999999),0)</f>
        <v>0</v>
      </c>
      <c r="O564" s="41" t="n">
        <f aca="false">IF(ISNUMBER(O562),IF(ISNUMBER(O563),O563-O562,999999),0)</f>
        <v>0</v>
      </c>
      <c r="P564" s="41" t="n">
        <f aca="false">IF(ISNUMBER(P562),IF(ISNUMBER(P563),P563-P562,999999),0)</f>
        <v>0</v>
      </c>
      <c r="Q564" s="41" t="n">
        <f aca="false">IF(ISNUMBER(Q562),IF(ISNUMBER(Q563),Q563-Q562,999999),0)</f>
        <v>0</v>
      </c>
      <c r="R564" s="41" t="n">
        <f aca="false">IF(ISNUMBER(R562),IF(ISNUMBER(R563),R563-R562,999999),0)</f>
        <v>0</v>
      </c>
      <c r="S564" s="41" t="n">
        <f aca="false">IF(ISNUMBER(S562),IF(ISNUMBER(S563),S563-S562,999999),0)</f>
        <v>0</v>
      </c>
      <c r="T564" s="41" t="n">
        <f aca="false">IF(ISNUMBER(T562),IF(ISNUMBER(T563),T563-T562,999999),0)</f>
        <v>0</v>
      </c>
      <c r="U564" s="41" t="n">
        <f aca="false">IF(ISNUMBER(U562),IF(ISNUMBER(U563),U563-U562,999999),0)</f>
        <v>0</v>
      </c>
      <c r="V564" s="41" t="n">
        <f aca="false">IF(ISNUMBER(V562),IF(ISNUMBER(V563),V563-V562,999999),0)</f>
        <v>0</v>
      </c>
      <c r="W564" s="41" t="n">
        <f aca="false">IF(ISNUMBER(W562),IF(ISNUMBER(W563),W563-W562,999999),0)</f>
        <v>0</v>
      </c>
      <c r="X564" s="41" t="n">
        <f aca="false">IF(ISNUMBER(X562),IF(ISNUMBER(X563),X563-X562,999999),0)</f>
        <v>0</v>
      </c>
      <c r="Y564" s="41" t="n">
        <f aca="false">IF(ISNUMBER(Y562),IF(ISNUMBER(Y563),Y563-Y562,999999),0)</f>
        <v>0</v>
      </c>
      <c r="Z564" s="41" t="n">
        <f aca="false">IF(ISNUMBER(Z562),IF(ISNUMBER(Z563),Z563-Z562,999999),0)</f>
        <v>0</v>
      </c>
      <c r="AA564" s="41" t="n">
        <f aca="false">IF(ISNUMBER(AA562),IF(ISNUMBER(AA563),AA563-AA562,999999),0)</f>
        <v>0</v>
      </c>
      <c r="AB564" s="41" t="n">
        <f aca="false">IF(ISNUMBER(AB562),IF(ISNUMBER(AB563),AB563-AB562,999999),0)</f>
        <v>0</v>
      </c>
      <c r="AC564" s="41" t="n">
        <f aca="false">IF(ISNUMBER(AC562),IF(ISNUMBER(AC563),AC563-AC562,999999),0)</f>
        <v>0</v>
      </c>
      <c r="AD564" s="41" t="n">
        <f aca="false">IF(ISNUMBER(AD562),IF(ISNUMBER(AD563),AD563-AD562,999999),0)</f>
        <v>0</v>
      </c>
      <c r="AE564" s="41" t="n">
        <f aca="false">IF(ISNUMBER(AE562),IF(ISNUMBER(AE563),AE563-AE562,999999),0)</f>
        <v>0</v>
      </c>
    </row>
    <row r="566" customFormat="false" ht="15" hidden="false" customHeight="false" outlineLevel="0" collapsed="false">
      <c r="A566" s="35" t="s">
        <v>1307</v>
      </c>
      <c r="B566" s="6" t="s">
        <v>66</v>
      </c>
      <c r="C566" s="6" t="s">
        <v>121</v>
      </c>
      <c r="D566" s="6" t="n">
        <v>2</v>
      </c>
      <c r="E566" s="6" t="s">
        <v>1165</v>
      </c>
      <c r="K566" s="22"/>
      <c r="L566" s="22" t="n">
        <v>0.456428170500128</v>
      </c>
      <c r="M566" s="22" t="n">
        <v>0.431689201955995</v>
      </c>
      <c r="N566" s="22" t="n">
        <v>0.42507558395597</v>
      </c>
      <c r="O566" s="22" t="n">
        <v>0.42507558395597</v>
      </c>
      <c r="P566" s="22" t="n">
        <v>0.42507558395597</v>
      </c>
      <c r="Q566" s="22" t="n">
        <v>0.457064414066079</v>
      </c>
      <c r="R566" s="22" t="n">
        <v>0.489053244176187</v>
      </c>
      <c r="S566" s="22" t="n">
        <v>0.521042074286296</v>
      </c>
      <c r="T566" s="22" t="n">
        <v>0.553030904396404</v>
      </c>
      <c r="U566" s="22" t="n">
        <v>0.585019734506513</v>
      </c>
      <c r="V566" s="22" t="n">
        <v>0.617008564616621</v>
      </c>
      <c r="W566" s="22" t="n">
        <v>0.648997394726729</v>
      </c>
      <c r="X566" s="22" t="n">
        <v>0.680986224836838</v>
      </c>
      <c r="Y566" s="22" t="n">
        <v>0.712975054946947</v>
      </c>
      <c r="Z566" s="22" t="n">
        <v>0.744963885057055</v>
      </c>
      <c r="AA566" s="22" t="n">
        <v>0.776952715167163</v>
      </c>
      <c r="AB566" s="22" t="n">
        <v>0.808941545277272</v>
      </c>
      <c r="AC566" s="22" t="n">
        <v>0.84093037538738</v>
      </c>
      <c r="AD566" s="22" t="n">
        <v>0.872919205497489</v>
      </c>
      <c r="AE566" s="22" t="n">
        <v>0.904908035607597</v>
      </c>
    </row>
    <row r="567" customFormat="false" ht="15" hidden="false" customHeight="false" outlineLevel="0" collapsed="false">
      <c r="A567" s="35" t="s">
        <v>1307</v>
      </c>
      <c r="B567" s="6" t="s">
        <v>66</v>
      </c>
      <c r="C567" s="6" t="s">
        <v>121</v>
      </c>
      <c r="D567" s="6" t="n">
        <v>2</v>
      </c>
      <c r="E567" s="6" t="s">
        <v>1166</v>
      </c>
      <c r="K567" s="22" t="n">
        <f aca="false">INDEX(Mitigation_Industry!K:K,MATCH($A567,Mitigation_Industry!$H:$H,0))</f>
        <v>0.484294240973435</v>
      </c>
      <c r="L567" s="22" t="n">
        <f aca="false">INDEX(Mitigation_Industry!L:L,MATCH($A567,Mitigation_Industry!$H:$H,0))</f>
        <v>0.456428170500128</v>
      </c>
      <c r="M567" s="22" t="n">
        <f aca="false">INDEX(Mitigation_Industry!M:M,MATCH($A567,Mitigation_Industry!$H:$H,0))</f>
        <v>0.431689201955995</v>
      </c>
      <c r="N567" s="22" t="n">
        <f aca="false">INDEX(Mitigation_Industry!N:N,MATCH($A567,Mitigation_Industry!$H:$H,0))</f>
        <v>0.42507558395597</v>
      </c>
      <c r="O567" s="22" t="n">
        <f aca="false">INDEX(Mitigation_Industry!O:O,MATCH($A567,Mitigation_Industry!$H:$H,0))</f>
        <v>0.42507558395597</v>
      </c>
      <c r="P567" s="22" t="n">
        <f aca="false">INDEX(Mitigation_Industry!P:P,MATCH($A567,Mitigation_Industry!$H:$H,0))</f>
        <v>0.42507558395597</v>
      </c>
      <c r="Q567" s="22" t="n">
        <f aca="false">INDEX(Mitigation_Industry!Q:Q,MATCH($A567,Mitigation_Industry!$H:$H,0))</f>
        <v>0.457064414066078</v>
      </c>
      <c r="R567" s="22" t="n">
        <f aca="false">INDEX(Mitigation_Industry!R:R,MATCH($A567,Mitigation_Industry!$H:$H,0))</f>
        <v>0.489053244176187</v>
      </c>
      <c r="S567" s="22" t="n">
        <f aca="false">INDEX(Mitigation_Industry!S:S,MATCH($A567,Mitigation_Industry!$H:$H,0))</f>
        <v>0.521042074286296</v>
      </c>
      <c r="T567" s="22" t="n">
        <f aca="false">INDEX(Mitigation_Industry!T:T,MATCH($A567,Mitigation_Industry!$H:$H,0))</f>
        <v>0.553030904396404</v>
      </c>
      <c r="U567" s="22" t="n">
        <f aca="false">INDEX(Mitigation_Industry!U:U,MATCH($A567,Mitigation_Industry!$H:$H,0))</f>
        <v>0.585019734506513</v>
      </c>
      <c r="V567" s="22" t="n">
        <f aca="false">INDEX(Mitigation_Industry!V:V,MATCH($A567,Mitigation_Industry!$H:$H,0))</f>
        <v>0.617008564616621</v>
      </c>
      <c r="W567" s="22" t="n">
        <f aca="false">INDEX(Mitigation_Industry!W:W,MATCH($A567,Mitigation_Industry!$H:$H,0))</f>
        <v>0.648997394726729</v>
      </c>
      <c r="X567" s="22" t="n">
        <f aca="false">INDEX(Mitigation_Industry!X:X,MATCH($A567,Mitigation_Industry!$H:$H,0))</f>
        <v>0.680986224836838</v>
      </c>
      <c r="Y567" s="22" t="n">
        <f aca="false">INDEX(Mitigation_Industry!Y:Y,MATCH($A567,Mitigation_Industry!$H:$H,0))</f>
        <v>0.712975054946947</v>
      </c>
      <c r="Z567" s="22" t="n">
        <f aca="false">INDEX(Mitigation_Industry!Z:Z,MATCH($A567,Mitigation_Industry!$H:$H,0))</f>
        <v>0.744963885057055</v>
      </c>
      <c r="AA567" s="22" t="n">
        <f aca="false">INDEX(Mitigation_Industry!AA:AA,MATCH($A567,Mitigation_Industry!$H:$H,0))</f>
        <v>0.776952715167163</v>
      </c>
      <c r="AB567" s="22" t="n">
        <f aca="false">INDEX(Mitigation_Industry!AB:AB,MATCH($A567,Mitigation_Industry!$H:$H,0))</f>
        <v>0.808941545277272</v>
      </c>
      <c r="AC567" s="22" t="n">
        <f aca="false">INDEX(Mitigation_Industry!AC:AC,MATCH($A567,Mitigation_Industry!$H:$H,0))</f>
        <v>0.84093037538738</v>
      </c>
      <c r="AD567" s="22" t="n">
        <f aca="false">INDEX(Mitigation_Industry!AD:AD,MATCH($A567,Mitigation_Industry!$H:$H,0))</f>
        <v>0.872919205497489</v>
      </c>
      <c r="AE567" s="22" t="n">
        <f aca="false">INDEX(Mitigation_Industry!AE:AE,MATCH($A567,Mitigation_Industry!$H:$H,0))</f>
        <v>0.904908035607597</v>
      </c>
    </row>
    <row r="568" customFormat="false" ht="15" hidden="false" customHeight="false" outlineLevel="0" collapsed="false">
      <c r="A568" s="35" t="s">
        <v>1307</v>
      </c>
      <c r="B568" s="6" t="s">
        <v>66</v>
      </c>
      <c r="C568" s="6" t="s">
        <v>121</v>
      </c>
      <c r="D568" s="6" t="n">
        <v>2</v>
      </c>
      <c r="E568" s="2" t="s">
        <v>1167</v>
      </c>
      <c r="F568" s="40" t="n">
        <f aca="false">MAX(MAX(L568:AE568),-MIN(L568:AE568))</f>
        <v>-0</v>
      </c>
      <c r="K568" s="41" t="n">
        <f aca="false">IF(ISNUMBER(K566),IF(ISNUMBER(K567),K567-K566,999999),0)</f>
        <v>0</v>
      </c>
      <c r="L568" s="41" t="n">
        <f aca="false">IF(ISNUMBER(L566),IF(ISNUMBER(L567),L567-L566,999999),0)</f>
        <v>0</v>
      </c>
      <c r="M568" s="41" t="n">
        <f aca="false">IF(ISNUMBER(M566),IF(ISNUMBER(M567),M567-M566,999999),0)</f>
        <v>0</v>
      </c>
      <c r="N568" s="41" t="n">
        <f aca="false">IF(ISNUMBER(N566),IF(ISNUMBER(N567),N567-N566,999999),0)</f>
        <v>0</v>
      </c>
      <c r="O568" s="41" t="n">
        <f aca="false">IF(ISNUMBER(O566),IF(ISNUMBER(O567),O567-O566,999999),0)</f>
        <v>0</v>
      </c>
      <c r="P568" s="41" t="n">
        <f aca="false">IF(ISNUMBER(P566),IF(ISNUMBER(P567),P567-P566,999999),0)</f>
        <v>0</v>
      </c>
      <c r="Q568" s="41" t="n">
        <f aca="false">IF(ISNUMBER(Q566),IF(ISNUMBER(Q567),Q567-Q566,999999),0)</f>
        <v>0</v>
      </c>
      <c r="R568" s="41" t="n">
        <f aca="false">IF(ISNUMBER(R566),IF(ISNUMBER(R567),R567-R566,999999),0)</f>
        <v>0</v>
      </c>
      <c r="S568" s="41" t="n">
        <f aca="false">IF(ISNUMBER(S566),IF(ISNUMBER(S567),S567-S566,999999),0)</f>
        <v>0</v>
      </c>
      <c r="T568" s="41" t="n">
        <f aca="false">IF(ISNUMBER(T566),IF(ISNUMBER(T567),T567-T566,999999),0)</f>
        <v>0</v>
      </c>
      <c r="U568" s="41" t="n">
        <f aca="false">IF(ISNUMBER(U566),IF(ISNUMBER(U567),U567-U566,999999),0)</f>
        <v>0</v>
      </c>
      <c r="V568" s="41" t="n">
        <f aca="false">IF(ISNUMBER(V566),IF(ISNUMBER(V567),V567-V566,999999),0)</f>
        <v>0</v>
      </c>
      <c r="W568" s="41" t="n">
        <f aca="false">IF(ISNUMBER(W566),IF(ISNUMBER(W567),W567-W566,999999),0)</f>
        <v>0</v>
      </c>
      <c r="X568" s="41" t="n">
        <f aca="false">IF(ISNUMBER(X566),IF(ISNUMBER(X567),X567-X566,999999),0)</f>
        <v>0</v>
      </c>
      <c r="Y568" s="41" t="n">
        <f aca="false">IF(ISNUMBER(Y566),IF(ISNUMBER(Y567),Y567-Y566,999999),0)</f>
        <v>0</v>
      </c>
      <c r="Z568" s="41" t="n">
        <f aca="false">IF(ISNUMBER(Z566),IF(ISNUMBER(Z567),Z567-Z566,999999),0)</f>
        <v>0</v>
      </c>
      <c r="AA568" s="41" t="n">
        <f aca="false">IF(ISNUMBER(AA566),IF(ISNUMBER(AA567),AA567-AA566,999999),0)</f>
        <v>0</v>
      </c>
      <c r="AB568" s="41" t="n">
        <f aca="false">IF(ISNUMBER(AB566),IF(ISNUMBER(AB567),AB567-AB566,999999),0)</f>
        <v>0</v>
      </c>
      <c r="AC568" s="41" t="n">
        <f aca="false">IF(ISNUMBER(AC566),IF(ISNUMBER(AC567),AC567-AC566,999999),0)</f>
        <v>0</v>
      </c>
      <c r="AD568" s="41" t="n">
        <f aca="false">IF(ISNUMBER(AD566),IF(ISNUMBER(AD567),AD567-AD566,999999),0)</f>
        <v>0</v>
      </c>
      <c r="AE568" s="41" t="n">
        <f aca="false">IF(ISNUMBER(AE566),IF(ISNUMBER(AE567),AE567-AE566,999999),0)</f>
        <v>0</v>
      </c>
    </row>
    <row r="570" customFormat="false" ht="15" hidden="false" customHeight="false" outlineLevel="0" collapsed="false">
      <c r="A570" s="35" t="s">
        <v>1308</v>
      </c>
      <c r="B570" s="6" t="s">
        <v>68</v>
      </c>
      <c r="C570" s="6" t="s">
        <v>121</v>
      </c>
      <c r="D570" s="6" t="n">
        <v>2</v>
      </c>
      <c r="E570" s="6" t="s">
        <v>1165</v>
      </c>
      <c r="K570" s="22"/>
      <c r="L570" s="22" t="n">
        <v>34.4153703043132</v>
      </c>
      <c r="M570" s="22" t="n">
        <v>37.368960690432</v>
      </c>
      <c r="N570" s="22" t="n">
        <v>28.9827611014773</v>
      </c>
      <c r="O570" s="22" t="n">
        <v>15</v>
      </c>
      <c r="P570" s="22" t="n">
        <v>24.2586300842555</v>
      </c>
      <c r="Q570" s="22" t="n">
        <v>18.9637581961325</v>
      </c>
      <c r="R570" s="22" t="n">
        <v>21.7603451140106</v>
      </c>
      <c r="S570" s="22" t="n">
        <v>26.0798806913736</v>
      </c>
      <c r="T570" s="22" t="n">
        <v>30.5936824452092</v>
      </c>
      <c r="U570" s="22" t="n">
        <v>34.9905097394101</v>
      </c>
      <c r="V570" s="22" t="n">
        <v>40.8580597394101</v>
      </c>
      <c r="W570" s="22" t="n">
        <v>46.7256097394101</v>
      </c>
      <c r="X570" s="22" t="n">
        <v>52.5931597394101</v>
      </c>
      <c r="Y570" s="22" t="n">
        <v>58.4607097394101</v>
      </c>
      <c r="Z570" s="22" t="n">
        <v>64.3282597394101</v>
      </c>
      <c r="AA570" s="22" t="n">
        <v>70.1958097394101</v>
      </c>
      <c r="AB570" s="22" t="n">
        <v>76.0633597394101</v>
      </c>
      <c r="AC570" s="22" t="n">
        <v>81.9309097394101</v>
      </c>
      <c r="AD570" s="22" t="n">
        <v>87.7984597394101</v>
      </c>
      <c r="AE570" s="22" t="n">
        <v>93.6660097394101</v>
      </c>
    </row>
    <row r="571" customFormat="false" ht="15" hidden="false" customHeight="false" outlineLevel="0" collapsed="false">
      <c r="A571" s="35" t="s">
        <v>1308</v>
      </c>
      <c r="B571" s="6" t="s">
        <v>68</v>
      </c>
      <c r="C571" s="6" t="s">
        <v>121</v>
      </c>
      <c r="D571" s="6" t="n">
        <v>2</v>
      </c>
      <c r="E571" s="6" t="s">
        <v>1166</v>
      </c>
      <c r="K571" s="22" t="n">
        <f aca="false">INDEX(Mitigation_Industry!K:K,MATCH($A571,Mitigation_Industry!$H:$H,0))</f>
        <v>41.5003384988684</v>
      </c>
      <c r="L571" s="22" t="n">
        <f aca="false">INDEX(Mitigation_Industry!L:L,MATCH($A571,Mitigation_Industry!$H:$H,0))</f>
        <v>34.4153703043132</v>
      </c>
      <c r="M571" s="22" t="n">
        <f aca="false">INDEX(Mitigation_Industry!M:M,MATCH($A571,Mitigation_Industry!$H:$H,0))</f>
        <v>37.368960690432</v>
      </c>
      <c r="N571" s="22" t="n">
        <f aca="false">INDEX(Mitigation_Industry!N:N,MATCH($A571,Mitigation_Industry!$H:$H,0))</f>
        <v>28.9827611014773</v>
      </c>
      <c r="O571" s="22" t="n">
        <f aca="false">INDEX(Mitigation_Industry!O:O,MATCH($A571,Mitigation_Industry!$H:$H,0))</f>
        <v>15</v>
      </c>
      <c r="P571" s="22" t="n">
        <f aca="false">INDEX(Mitigation_Industry!P:P,MATCH($A571,Mitigation_Industry!$H:$H,0))</f>
        <v>24.2586300842555</v>
      </c>
      <c r="Q571" s="22" t="n">
        <f aca="false">INDEX(Mitigation_Industry!Q:Q,MATCH($A571,Mitigation_Industry!$H:$H,0))</f>
        <v>18.9637581961325</v>
      </c>
      <c r="R571" s="22" t="n">
        <f aca="false">INDEX(Mitigation_Industry!R:R,MATCH($A571,Mitigation_Industry!$H:$H,0))</f>
        <v>21.7603451140106</v>
      </c>
      <c r="S571" s="22" t="n">
        <f aca="false">INDEX(Mitigation_Industry!S:S,MATCH($A571,Mitigation_Industry!$H:$H,0))</f>
        <v>26.0798806913736</v>
      </c>
      <c r="T571" s="22" t="n">
        <f aca="false">INDEX(Mitigation_Industry!T:T,MATCH($A571,Mitigation_Industry!$H:$H,0))</f>
        <v>30.5936824452092</v>
      </c>
      <c r="U571" s="22" t="n">
        <f aca="false">INDEX(Mitigation_Industry!U:U,MATCH($A571,Mitigation_Industry!$H:$H,0))</f>
        <v>34.9905097394101</v>
      </c>
      <c r="V571" s="22" t="n">
        <f aca="false">INDEX(Mitigation_Industry!V:V,MATCH($A571,Mitigation_Industry!$H:$H,0))</f>
        <v>40.8580597394101</v>
      </c>
      <c r="W571" s="22" t="n">
        <f aca="false">INDEX(Mitigation_Industry!W:W,MATCH($A571,Mitigation_Industry!$H:$H,0))</f>
        <v>46.7256097394101</v>
      </c>
      <c r="X571" s="22" t="n">
        <f aca="false">INDEX(Mitigation_Industry!X:X,MATCH($A571,Mitigation_Industry!$H:$H,0))</f>
        <v>52.5931597394101</v>
      </c>
      <c r="Y571" s="22" t="n">
        <f aca="false">INDEX(Mitigation_Industry!Y:Y,MATCH($A571,Mitigation_Industry!$H:$H,0))</f>
        <v>58.4607097394101</v>
      </c>
      <c r="Z571" s="22" t="n">
        <f aca="false">INDEX(Mitigation_Industry!Z:Z,MATCH($A571,Mitigation_Industry!$H:$H,0))</f>
        <v>64.3282597394101</v>
      </c>
      <c r="AA571" s="22" t="n">
        <f aca="false">INDEX(Mitigation_Industry!AA:AA,MATCH($A571,Mitigation_Industry!$H:$H,0))</f>
        <v>70.1958097394101</v>
      </c>
      <c r="AB571" s="22" t="n">
        <f aca="false">INDEX(Mitigation_Industry!AB:AB,MATCH($A571,Mitigation_Industry!$H:$H,0))</f>
        <v>76.0633597394101</v>
      </c>
      <c r="AC571" s="22" t="n">
        <f aca="false">INDEX(Mitigation_Industry!AC:AC,MATCH($A571,Mitigation_Industry!$H:$H,0))</f>
        <v>81.9309097394101</v>
      </c>
      <c r="AD571" s="22" t="n">
        <f aca="false">INDEX(Mitigation_Industry!AD:AD,MATCH($A571,Mitigation_Industry!$H:$H,0))</f>
        <v>87.7984597394101</v>
      </c>
      <c r="AE571" s="22" t="n">
        <f aca="false">INDEX(Mitigation_Industry!AE:AE,MATCH($A571,Mitigation_Industry!$H:$H,0))</f>
        <v>93.6660097394101</v>
      </c>
    </row>
    <row r="572" customFormat="false" ht="15" hidden="false" customHeight="false" outlineLevel="0" collapsed="false">
      <c r="A572" s="35" t="s">
        <v>1308</v>
      </c>
      <c r="B572" s="6" t="s">
        <v>68</v>
      </c>
      <c r="C572" s="6" t="s">
        <v>121</v>
      </c>
      <c r="D572" s="6" t="n">
        <v>2</v>
      </c>
      <c r="E572" s="2" t="s">
        <v>1167</v>
      </c>
      <c r="F572" s="40" t="n">
        <f aca="false">MAX(MAX(L572:AE572),-MIN(L572:AE572))</f>
        <v>-0</v>
      </c>
      <c r="K572" s="41" t="n">
        <f aca="false">IF(ISNUMBER(K570),IF(ISNUMBER(K571),K571-K570,999999),0)</f>
        <v>0</v>
      </c>
      <c r="L572" s="41" t="n">
        <f aca="false">IF(ISNUMBER(L570),IF(ISNUMBER(L571),L571-L570,999999),0)</f>
        <v>0</v>
      </c>
      <c r="M572" s="41" t="n">
        <f aca="false">IF(ISNUMBER(M570),IF(ISNUMBER(M571),M571-M570,999999),0)</f>
        <v>0</v>
      </c>
      <c r="N572" s="41" t="n">
        <f aca="false">IF(ISNUMBER(N570),IF(ISNUMBER(N571),N571-N570,999999),0)</f>
        <v>0</v>
      </c>
      <c r="O572" s="41" t="n">
        <f aca="false">IF(ISNUMBER(O570),IF(ISNUMBER(O571),O571-O570,999999),0)</f>
        <v>0</v>
      </c>
      <c r="P572" s="41" t="n">
        <f aca="false">IF(ISNUMBER(P570),IF(ISNUMBER(P571),P571-P570,999999),0)</f>
        <v>0</v>
      </c>
      <c r="Q572" s="41" t="n">
        <f aca="false">IF(ISNUMBER(Q570),IF(ISNUMBER(Q571),Q571-Q570,999999),0)</f>
        <v>0</v>
      </c>
      <c r="R572" s="41" t="n">
        <f aca="false">IF(ISNUMBER(R570),IF(ISNUMBER(R571),R571-R570,999999),0)</f>
        <v>0</v>
      </c>
      <c r="S572" s="41" t="n">
        <f aca="false">IF(ISNUMBER(S570),IF(ISNUMBER(S571),S571-S570,999999),0)</f>
        <v>0</v>
      </c>
      <c r="T572" s="41" t="n">
        <f aca="false">IF(ISNUMBER(T570),IF(ISNUMBER(T571),T571-T570,999999),0)</f>
        <v>0</v>
      </c>
      <c r="U572" s="41" t="n">
        <f aca="false">IF(ISNUMBER(U570),IF(ISNUMBER(U571),U571-U570,999999),0)</f>
        <v>0</v>
      </c>
      <c r="V572" s="41" t="n">
        <f aca="false">IF(ISNUMBER(V570),IF(ISNUMBER(V571),V571-V570,999999),0)</f>
        <v>0</v>
      </c>
      <c r="W572" s="41" t="n">
        <f aca="false">IF(ISNUMBER(W570),IF(ISNUMBER(W571),W571-W570,999999),0)</f>
        <v>0</v>
      </c>
      <c r="X572" s="41" t="n">
        <f aca="false">IF(ISNUMBER(X570),IF(ISNUMBER(X571),X571-X570,999999),0)</f>
        <v>0</v>
      </c>
      <c r="Y572" s="41" t="n">
        <f aca="false">IF(ISNUMBER(Y570),IF(ISNUMBER(Y571),Y571-Y570,999999),0)</f>
        <v>0</v>
      </c>
      <c r="Z572" s="41" t="n">
        <f aca="false">IF(ISNUMBER(Z570),IF(ISNUMBER(Z571),Z571-Z570,999999),0)</f>
        <v>0</v>
      </c>
      <c r="AA572" s="41" t="n">
        <f aca="false">IF(ISNUMBER(AA570),IF(ISNUMBER(AA571),AA571-AA570,999999),0)</f>
        <v>0</v>
      </c>
      <c r="AB572" s="41" t="n">
        <f aca="false">IF(ISNUMBER(AB570),IF(ISNUMBER(AB571),AB571-AB570,999999),0)</f>
        <v>0</v>
      </c>
      <c r="AC572" s="41" t="n">
        <f aca="false">IF(ISNUMBER(AC570),IF(ISNUMBER(AC571),AC571-AC570,999999),0)</f>
        <v>0</v>
      </c>
      <c r="AD572" s="41" t="n">
        <f aca="false">IF(ISNUMBER(AD570),IF(ISNUMBER(AD571),AD571-AD570,999999),0)</f>
        <v>0</v>
      </c>
      <c r="AE572" s="41" t="n">
        <f aca="false">IF(ISNUMBER(AE570),IF(ISNUMBER(AE571),AE571-AE570,999999),0)</f>
        <v>0</v>
      </c>
    </row>
    <row r="574" customFormat="false" ht="15" hidden="false" customHeight="false" outlineLevel="0" collapsed="false">
      <c r="A574" s="35" t="s">
        <v>1309</v>
      </c>
      <c r="B574" s="6" t="s">
        <v>71</v>
      </c>
      <c r="C574" s="6" t="s">
        <v>121</v>
      </c>
      <c r="D574" s="6" t="n">
        <v>2</v>
      </c>
      <c r="E574" s="6" t="s">
        <v>1165</v>
      </c>
      <c r="K574" s="22"/>
      <c r="L574" s="22" t="n">
        <v>14.1995283906349</v>
      </c>
      <c r="M574" s="22" t="n">
        <v>13.8404416133152</v>
      </c>
      <c r="N574" s="22" t="n">
        <v>13.5677269404465</v>
      </c>
      <c r="O574" s="22" t="n">
        <v>13.5677269404465</v>
      </c>
      <c r="P574" s="22" t="n">
        <v>13.5677269404465</v>
      </c>
      <c r="Q574" s="22" t="n">
        <v>13.5677269404465</v>
      </c>
      <c r="R574" s="22" t="n">
        <v>13.5677269404465</v>
      </c>
      <c r="S574" s="22" t="n">
        <v>13.5677269404465</v>
      </c>
      <c r="T574" s="22" t="n">
        <v>13.5677269404465</v>
      </c>
      <c r="U574" s="22" t="n">
        <v>13.5677269404465</v>
      </c>
      <c r="V574" s="22" t="n">
        <v>13.5677269404465</v>
      </c>
      <c r="W574" s="22" t="n">
        <v>13.5677269404465</v>
      </c>
      <c r="X574" s="22" t="n">
        <v>13.5677269404465</v>
      </c>
      <c r="Y574" s="22" t="n">
        <v>13.5677269404465</v>
      </c>
      <c r="Z574" s="22" t="n">
        <v>13.5677269404465</v>
      </c>
      <c r="AA574" s="22" t="n">
        <v>13.5677269404465</v>
      </c>
      <c r="AB574" s="22" t="n">
        <v>13.5677269404465</v>
      </c>
      <c r="AC574" s="22" t="n">
        <v>13.5677269404465</v>
      </c>
      <c r="AD574" s="22" t="n">
        <v>13.5677269404465</v>
      </c>
      <c r="AE574" s="22" t="n">
        <v>13.5677269404465</v>
      </c>
    </row>
    <row r="575" customFormat="false" ht="15" hidden="false" customHeight="false" outlineLevel="0" collapsed="false">
      <c r="A575" s="35" t="s">
        <v>1309</v>
      </c>
      <c r="B575" s="6" t="s">
        <v>71</v>
      </c>
      <c r="C575" s="6" t="s">
        <v>121</v>
      </c>
      <c r="D575" s="6" t="n">
        <v>2</v>
      </c>
      <c r="E575" s="6" t="s">
        <v>1166</v>
      </c>
      <c r="K575" s="22" t="n">
        <f aca="false">INDEX(Mitigation_Industry!K:K,MATCH($A575,Mitigation_Industry!$H:$H,0))</f>
        <v>15.3345505293169</v>
      </c>
      <c r="L575" s="22" t="n">
        <f aca="false">INDEX(Mitigation_Industry!L:L,MATCH($A575,Mitigation_Industry!$H:$H,0))</f>
        <v>14.1995283906349</v>
      </c>
      <c r="M575" s="22" t="n">
        <f aca="false">INDEX(Mitigation_Industry!M:M,MATCH($A575,Mitigation_Industry!$H:$H,0))</f>
        <v>13.8404416133152</v>
      </c>
      <c r="N575" s="22" t="n">
        <f aca="false">INDEX(Mitigation_Industry!N:N,MATCH($A575,Mitigation_Industry!$H:$H,0))</f>
        <v>13.5677269404465</v>
      </c>
      <c r="O575" s="22" t="n">
        <f aca="false">INDEX(Mitigation_Industry!O:O,MATCH($A575,Mitigation_Industry!$H:$H,0))</f>
        <v>13.5677269404465</v>
      </c>
      <c r="P575" s="22" t="n">
        <f aca="false">INDEX(Mitigation_Industry!P:P,MATCH($A575,Mitigation_Industry!$H:$H,0))</f>
        <v>13.5677269404465</v>
      </c>
      <c r="Q575" s="22" t="n">
        <f aca="false">INDEX(Mitigation_Industry!Q:Q,MATCH($A575,Mitigation_Industry!$H:$H,0))</f>
        <v>13.5677269404465</v>
      </c>
      <c r="R575" s="22" t="n">
        <f aca="false">INDEX(Mitigation_Industry!R:R,MATCH($A575,Mitigation_Industry!$H:$H,0))</f>
        <v>13.5677269404465</v>
      </c>
      <c r="S575" s="22" t="n">
        <f aca="false">INDEX(Mitigation_Industry!S:S,MATCH($A575,Mitigation_Industry!$H:$H,0))</f>
        <v>13.5677269404465</v>
      </c>
      <c r="T575" s="22" t="n">
        <f aca="false">INDEX(Mitigation_Industry!T:T,MATCH($A575,Mitigation_Industry!$H:$H,0))</f>
        <v>13.5677269404465</v>
      </c>
      <c r="U575" s="22" t="n">
        <f aca="false">INDEX(Mitigation_Industry!U:U,MATCH($A575,Mitigation_Industry!$H:$H,0))</f>
        <v>13.5677269404465</v>
      </c>
      <c r="V575" s="22" t="n">
        <f aca="false">INDEX(Mitigation_Industry!V:V,MATCH($A575,Mitigation_Industry!$H:$H,0))</f>
        <v>13.5677269404465</v>
      </c>
      <c r="W575" s="22" t="n">
        <f aca="false">INDEX(Mitigation_Industry!W:W,MATCH($A575,Mitigation_Industry!$H:$H,0))</f>
        <v>13.5677269404465</v>
      </c>
      <c r="X575" s="22" t="n">
        <f aca="false">INDEX(Mitigation_Industry!X:X,MATCH($A575,Mitigation_Industry!$H:$H,0))</f>
        <v>13.5677269404465</v>
      </c>
      <c r="Y575" s="22" t="n">
        <f aca="false">INDEX(Mitigation_Industry!Y:Y,MATCH($A575,Mitigation_Industry!$H:$H,0))</f>
        <v>13.5677269404465</v>
      </c>
      <c r="Z575" s="22" t="n">
        <f aca="false">INDEX(Mitigation_Industry!Z:Z,MATCH($A575,Mitigation_Industry!$H:$H,0))</f>
        <v>13.5677269404465</v>
      </c>
      <c r="AA575" s="22" t="n">
        <f aca="false">INDEX(Mitigation_Industry!AA:AA,MATCH($A575,Mitigation_Industry!$H:$H,0))</f>
        <v>13.5677269404465</v>
      </c>
      <c r="AB575" s="22" t="n">
        <f aca="false">INDEX(Mitigation_Industry!AB:AB,MATCH($A575,Mitigation_Industry!$H:$H,0))</f>
        <v>13.5677269404465</v>
      </c>
      <c r="AC575" s="22" t="n">
        <f aca="false">INDEX(Mitigation_Industry!AC:AC,MATCH($A575,Mitigation_Industry!$H:$H,0))</f>
        <v>13.5677269404465</v>
      </c>
      <c r="AD575" s="22" t="n">
        <f aca="false">INDEX(Mitigation_Industry!AD:AD,MATCH($A575,Mitigation_Industry!$H:$H,0))</f>
        <v>13.5677269404465</v>
      </c>
      <c r="AE575" s="22" t="n">
        <f aca="false">INDEX(Mitigation_Industry!AE:AE,MATCH($A575,Mitigation_Industry!$H:$H,0))</f>
        <v>13.5677269404465</v>
      </c>
    </row>
    <row r="576" customFormat="false" ht="15" hidden="false" customHeight="false" outlineLevel="0" collapsed="false">
      <c r="A576" s="35" t="s">
        <v>1309</v>
      </c>
      <c r="B576" s="6" t="s">
        <v>71</v>
      </c>
      <c r="C576" s="6" t="s">
        <v>121</v>
      </c>
      <c r="D576" s="6" t="n">
        <v>2</v>
      </c>
      <c r="E576" s="2" t="s">
        <v>1167</v>
      </c>
      <c r="F576" s="40" t="n">
        <f aca="false">MAX(MAX(L576:AE576),-MIN(L576:AE576))</f>
        <v>-0</v>
      </c>
      <c r="K576" s="41" t="n">
        <f aca="false">IF(ISNUMBER(K574),IF(ISNUMBER(K575),K575-K574,999999),0)</f>
        <v>0</v>
      </c>
      <c r="L576" s="41" t="n">
        <f aca="false">IF(ISNUMBER(L574),IF(ISNUMBER(L575),L575-L574,999999),0)</f>
        <v>0</v>
      </c>
      <c r="M576" s="41" t="n">
        <f aca="false">IF(ISNUMBER(M574),IF(ISNUMBER(M575),M575-M574,999999),0)</f>
        <v>0</v>
      </c>
      <c r="N576" s="41" t="n">
        <f aca="false">IF(ISNUMBER(N574),IF(ISNUMBER(N575),N575-N574,999999),0)</f>
        <v>0</v>
      </c>
      <c r="O576" s="41" t="n">
        <f aca="false">IF(ISNUMBER(O574),IF(ISNUMBER(O575),O575-O574,999999),0)</f>
        <v>0</v>
      </c>
      <c r="P576" s="41" t="n">
        <f aca="false">IF(ISNUMBER(P574),IF(ISNUMBER(P575),P575-P574,999999),0)</f>
        <v>0</v>
      </c>
      <c r="Q576" s="41" t="n">
        <f aca="false">IF(ISNUMBER(Q574),IF(ISNUMBER(Q575),Q575-Q574,999999),0)</f>
        <v>0</v>
      </c>
      <c r="R576" s="41" t="n">
        <f aca="false">IF(ISNUMBER(R574),IF(ISNUMBER(R575),R575-R574,999999),0)</f>
        <v>0</v>
      </c>
      <c r="S576" s="41" t="n">
        <f aca="false">IF(ISNUMBER(S574),IF(ISNUMBER(S575),S575-S574,999999),0)</f>
        <v>0</v>
      </c>
      <c r="T576" s="41" t="n">
        <f aca="false">IF(ISNUMBER(T574),IF(ISNUMBER(T575),T575-T574,999999),0)</f>
        <v>0</v>
      </c>
      <c r="U576" s="41" t="n">
        <f aca="false">IF(ISNUMBER(U574),IF(ISNUMBER(U575),U575-U574,999999),0)</f>
        <v>0</v>
      </c>
      <c r="V576" s="41" t="n">
        <f aca="false">IF(ISNUMBER(V574),IF(ISNUMBER(V575),V575-V574,999999),0)</f>
        <v>0</v>
      </c>
      <c r="W576" s="41" t="n">
        <f aca="false">IF(ISNUMBER(W574),IF(ISNUMBER(W575),W575-W574,999999),0)</f>
        <v>0</v>
      </c>
      <c r="X576" s="41" t="n">
        <f aca="false">IF(ISNUMBER(X574),IF(ISNUMBER(X575),X575-X574,999999),0)</f>
        <v>0</v>
      </c>
      <c r="Y576" s="41" t="n">
        <f aca="false">IF(ISNUMBER(Y574),IF(ISNUMBER(Y575),Y575-Y574,999999),0)</f>
        <v>0</v>
      </c>
      <c r="Z576" s="41" t="n">
        <f aca="false">IF(ISNUMBER(Z574),IF(ISNUMBER(Z575),Z575-Z574,999999),0)</f>
        <v>0</v>
      </c>
      <c r="AA576" s="41" t="n">
        <f aca="false">IF(ISNUMBER(AA574),IF(ISNUMBER(AA575),AA575-AA574,999999),0)</f>
        <v>0</v>
      </c>
      <c r="AB576" s="41" t="n">
        <f aca="false">IF(ISNUMBER(AB574),IF(ISNUMBER(AB575),AB575-AB574,999999),0)</f>
        <v>0</v>
      </c>
      <c r="AC576" s="41" t="n">
        <f aca="false">IF(ISNUMBER(AC574),IF(ISNUMBER(AC575),AC575-AC574,999999),0)</f>
        <v>0</v>
      </c>
      <c r="AD576" s="41" t="n">
        <f aca="false">IF(ISNUMBER(AD574),IF(ISNUMBER(AD575),AD575-AD574,999999),0)</f>
        <v>0</v>
      </c>
      <c r="AE576" s="41" t="n">
        <f aca="false">IF(ISNUMBER(AE574),IF(ISNUMBER(AE575),AE575-AE574,999999),0)</f>
        <v>0</v>
      </c>
    </row>
    <row r="578" customFormat="false" ht="15" hidden="false" customHeight="false" outlineLevel="0" collapsed="false">
      <c r="A578" s="35" t="s">
        <v>1310</v>
      </c>
      <c r="B578" s="6" t="s">
        <v>73</v>
      </c>
      <c r="C578" s="6" t="s">
        <v>121</v>
      </c>
      <c r="D578" s="6" t="n">
        <v>2</v>
      </c>
      <c r="E578" s="6" t="s">
        <v>1165</v>
      </c>
      <c r="K578" s="22"/>
      <c r="L578" s="22" t="n">
        <v>0.144044986793198</v>
      </c>
      <c r="M578" s="22" t="n">
        <v>0.141386241751359</v>
      </c>
      <c r="N578" s="22" t="n">
        <v>0.135397565443731</v>
      </c>
      <c r="O578" s="22" t="n">
        <v>0.131522885420651</v>
      </c>
      <c r="P578" s="22" t="n">
        <v>0.128826108485231</v>
      </c>
      <c r="Q578" s="22" t="n">
        <v>0.12594200976474</v>
      </c>
      <c r="R578" s="22" t="n">
        <v>0.123113265701861</v>
      </c>
      <c r="S578" s="22" t="n">
        <v>0.119391738089068</v>
      </c>
      <c r="T578" s="22" t="n">
        <v>0.11554419046792</v>
      </c>
      <c r="U578" s="22" t="n">
        <v>0.114924230654159</v>
      </c>
      <c r="V578" s="22" t="n">
        <v>0.114346912116736</v>
      </c>
      <c r="W578" s="22" t="n">
        <v>0.113738711172664</v>
      </c>
      <c r="X578" s="22" t="n">
        <v>0.112999900487521</v>
      </c>
      <c r="Y578" s="22" t="n">
        <v>0.112177685835534</v>
      </c>
      <c r="Z578" s="22" t="n">
        <v>0.111417903250404</v>
      </c>
      <c r="AA578" s="22" t="n">
        <v>0.110525819985454</v>
      </c>
      <c r="AB578" s="22" t="n">
        <v>0.109699565234896</v>
      </c>
      <c r="AC578" s="22" t="n">
        <v>0.107726788963949</v>
      </c>
      <c r="AD578" s="22" t="n">
        <v>0.105820924450935</v>
      </c>
      <c r="AE578" s="22" t="n">
        <v>0.103855595705721</v>
      </c>
    </row>
    <row r="579" customFormat="false" ht="15" hidden="false" customHeight="false" outlineLevel="0" collapsed="false">
      <c r="A579" s="35" t="s">
        <v>1310</v>
      </c>
      <c r="B579" s="6" t="s">
        <v>73</v>
      </c>
      <c r="C579" s="6" t="s">
        <v>121</v>
      </c>
      <c r="D579" s="6" t="n">
        <v>2</v>
      </c>
      <c r="E579" s="6" t="s">
        <v>1166</v>
      </c>
      <c r="K579" s="22" t="n">
        <f aca="false">INDEX(Mitigation_Industry!K:K,MATCH($A579,Mitigation_Industry!$H:$H,0))</f>
        <v>0</v>
      </c>
      <c r="L579" s="22" t="n">
        <f aca="false">INDEX(Mitigation_Industry!L:L,MATCH($A579,Mitigation_Industry!$H:$H,0))</f>
        <v>0.144044986793198</v>
      </c>
      <c r="M579" s="22" t="n">
        <f aca="false">INDEX(Mitigation_Industry!M:M,MATCH($A579,Mitigation_Industry!$H:$H,0))</f>
        <v>0.141386241751359</v>
      </c>
      <c r="N579" s="22" t="n">
        <f aca="false">INDEX(Mitigation_Industry!N:N,MATCH($A579,Mitigation_Industry!$H:$H,0))</f>
        <v>0.135397565443731</v>
      </c>
      <c r="O579" s="22" t="n">
        <f aca="false">INDEX(Mitigation_Industry!O:O,MATCH($A579,Mitigation_Industry!$H:$H,0))</f>
        <v>0.131522885420651</v>
      </c>
      <c r="P579" s="22" t="n">
        <f aca="false">INDEX(Mitigation_Industry!P:P,MATCH($A579,Mitigation_Industry!$H:$H,0))</f>
        <v>0.128826108485231</v>
      </c>
      <c r="Q579" s="22" t="n">
        <f aca="false">INDEX(Mitigation_Industry!Q:Q,MATCH($A579,Mitigation_Industry!$H:$H,0))</f>
        <v>0.12594200976474</v>
      </c>
      <c r="R579" s="22" t="n">
        <f aca="false">INDEX(Mitigation_Industry!R:R,MATCH($A579,Mitigation_Industry!$H:$H,0))</f>
        <v>0.123113265701861</v>
      </c>
      <c r="S579" s="22" t="n">
        <f aca="false">INDEX(Mitigation_Industry!S:S,MATCH($A579,Mitigation_Industry!$H:$H,0))</f>
        <v>0.119391738089068</v>
      </c>
      <c r="T579" s="22" t="n">
        <f aca="false">INDEX(Mitigation_Industry!T:T,MATCH($A579,Mitigation_Industry!$H:$H,0))</f>
        <v>0.11554419046792</v>
      </c>
      <c r="U579" s="22" t="n">
        <f aca="false">INDEX(Mitigation_Industry!U:U,MATCH($A579,Mitigation_Industry!$H:$H,0))</f>
        <v>0.114924230654159</v>
      </c>
      <c r="V579" s="22" t="n">
        <f aca="false">INDEX(Mitigation_Industry!V:V,MATCH($A579,Mitigation_Industry!$H:$H,0))</f>
        <v>0.114346912116736</v>
      </c>
      <c r="W579" s="22" t="n">
        <f aca="false">INDEX(Mitigation_Industry!W:W,MATCH($A579,Mitigation_Industry!$H:$H,0))</f>
        <v>0.113738711172664</v>
      </c>
      <c r="X579" s="22" t="n">
        <f aca="false">INDEX(Mitigation_Industry!X:X,MATCH($A579,Mitigation_Industry!$H:$H,0))</f>
        <v>0.112999900487521</v>
      </c>
      <c r="Y579" s="22" t="n">
        <f aca="false">INDEX(Mitigation_Industry!Y:Y,MATCH($A579,Mitigation_Industry!$H:$H,0))</f>
        <v>0.112177685835534</v>
      </c>
      <c r="Z579" s="22" t="n">
        <f aca="false">INDEX(Mitigation_Industry!Z:Z,MATCH($A579,Mitigation_Industry!$H:$H,0))</f>
        <v>0.111417903250404</v>
      </c>
      <c r="AA579" s="22" t="n">
        <f aca="false">INDEX(Mitigation_Industry!AA:AA,MATCH($A579,Mitigation_Industry!$H:$H,0))</f>
        <v>0.110525819985454</v>
      </c>
      <c r="AB579" s="22" t="n">
        <f aca="false">INDEX(Mitigation_Industry!AB:AB,MATCH($A579,Mitigation_Industry!$H:$H,0))</f>
        <v>0.109699565234896</v>
      </c>
      <c r="AC579" s="22" t="n">
        <f aca="false">INDEX(Mitigation_Industry!AC:AC,MATCH($A579,Mitigation_Industry!$H:$H,0))</f>
        <v>0.107726788963949</v>
      </c>
      <c r="AD579" s="22" t="n">
        <f aca="false">INDEX(Mitigation_Industry!AD:AD,MATCH($A579,Mitigation_Industry!$H:$H,0))</f>
        <v>0.105820924450935</v>
      </c>
      <c r="AE579" s="22" t="n">
        <f aca="false">INDEX(Mitigation_Industry!AE:AE,MATCH($A579,Mitigation_Industry!$H:$H,0))</f>
        <v>0.103855595705721</v>
      </c>
    </row>
    <row r="580" customFormat="false" ht="15" hidden="false" customHeight="false" outlineLevel="0" collapsed="false">
      <c r="A580" s="35" t="s">
        <v>1310</v>
      </c>
      <c r="B580" s="6" t="s">
        <v>73</v>
      </c>
      <c r="C580" s="6" t="s">
        <v>121</v>
      </c>
      <c r="D580" s="6" t="n">
        <v>2</v>
      </c>
      <c r="E580" s="2" t="s">
        <v>1167</v>
      </c>
      <c r="F580" s="40" t="n">
        <f aca="false">MAX(MAX(L580:AE580),-MIN(L580:AE580))</f>
        <v>-0</v>
      </c>
      <c r="K580" s="41" t="n">
        <f aca="false">IF(ISNUMBER(K578),IF(ISNUMBER(K579),K579-K578,999999),0)</f>
        <v>0</v>
      </c>
      <c r="L580" s="41" t="n">
        <f aca="false">IF(ISNUMBER(L578),IF(ISNUMBER(L579),L579-L578,999999),0)</f>
        <v>0</v>
      </c>
      <c r="M580" s="41" t="n">
        <f aca="false">IF(ISNUMBER(M578),IF(ISNUMBER(M579),M579-M578,999999),0)</f>
        <v>0</v>
      </c>
      <c r="N580" s="41" t="n">
        <f aca="false">IF(ISNUMBER(N578),IF(ISNUMBER(N579),N579-N578,999999),0)</f>
        <v>0</v>
      </c>
      <c r="O580" s="41" t="n">
        <f aca="false">IF(ISNUMBER(O578),IF(ISNUMBER(O579),O579-O578,999999),0)</f>
        <v>0</v>
      </c>
      <c r="P580" s="41" t="n">
        <f aca="false">IF(ISNUMBER(P578),IF(ISNUMBER(P579),P579-P578,999999),0)</f>
        <v>0</v>
      </c>
      <c r="Q580" s="41" t="n">
        <f aca="false">IF(ISNUMBER(Q578),IF(ISNUMBER(Q579),Q579-Q578,999999),0)</f>
        <v>0</v>
      </c>
      <c r="R580" s="41" t="n">
        <f aca="false">IF(ISNUMBER(R578),IF(ISNUMBER(R579),R579-R578,999999),0)</f>
        <v>0</v>
      </c>
      <c r="S580" s="41" t="n">
        <f aca="false">IF(ISNUMBER(S578),IF(ISNUMBER(S579),S579-S578,999999),0)</f>
        <v>0</v>
      </c>
      <c r="T580" s="41" t="n">
        <f aca="false">IF(ISNUMBER(T578),IF(ISNUMBER(T579),T579-T578,999999),0)</f>
        <v>0</v>
      </c>
      <c r="U580" s="41" t="n">
        <f aca="false">IF(ISNUMBER(U578),IF(ISNUMBER(U579),U579-U578,999999),0)</f>
        <v>0</v>
      </c>
      <c r="V580" s="41" t="n">
        <f aca="false">IF(ISNUMBER(V578),IF(ISNUMBER(V579),V579-V578,999999),0)</f>
        <v>0</v>
      </c>
      <c r="W580" s="41" t="n">
        <f aca="false">IF(ISNUMBER(W578),IF(ISNUMBER(W579),W579-W578,999999),0)</f>
        <v>0</v>
      </c>
      <c r="X580" s="41" t="n">
        <f aca="false">IF(ISNUMBER(X578),IF(ISNUMBER(X579),X579-X578,999999),0)</f>
        <v>0</v>
      </c>
      <c r="Y580" s="41" t="n">
        <f aca="false">IF(ISNUMBER(Y578),IF(ISNUMBER(Y579),Y579-Y578,999999),0)</f>
        <v>0</v>
      </c>
      <c r="Z580" s="41" t="n">
        <f aca="false">IF(ISNUMBER(Z578),IF(ISNUMBER(Z579),Z579-Z578,999999),0)</f>
        <v>0</v>
      </c>
      <c r="AA580" s="41" t="n">
        <f aca="false">IF(ISNUMBER(AA578),IF(ISNUMBER(AA579),AA579-AA578,999999),0)</f>
        <v>0</v>
      </c>
      <c r="AB580" s="41" t="n">
        <f aca="false">IF(ISNUMBER(AB578),IF(ISNUMBER(AB579),AB579-AB578,999999),0)</f>
        <v>0</v>
      </c>
      <c r="AC580" s="41" t="n">
        <f aca="false">IF(ISNUMBER(AC578),IF(ISNUMBER(AC579),AC579-AC578,999999),0)</f>
        <v>0</v>
      </c>
      <c r="AD580" s="41" t="n">
        <f aca="false">IF(ISNUMBER(AD578),IF(ISNUMBER(AD579),AD579-AD578,999999),0)</f>
        <v>0</v>
      </c>
      <c r="AE580" s="41" t="n">
        <f aca="false">IF(ISNUMBER(AE578),IF(ISNUMBER(AE579),AE579-AE578,999999),0)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2026-10-01T19:36:19Z</dcterms:created>
  <dc:creator>openpyxl</dc:creator>
  <dc:description/>
  <dc:language>en-US</dc:language>
  <cp:lastModifiedBy/>
  <dcterms:modified xsi:type="dcterms:W3CDTF">2026-10-01T19:36:20Z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