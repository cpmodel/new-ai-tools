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sstretton_worldbankgroup_org/Documents/Main/Current Projects/C. Excel-AI/Coded Excel Components/"/>
    </mc:Choice>
  </mc:AlternateContent>
  <xr:revisionPtr revIDLastSave="11" documentId="11_CDB7FA777DC61C08D65B944D263AB8DC68DA6B80" xr6:coauthVersionLast="47" xr6:coauthVersionMax="47" xr10:uidLastSave="{990FAC98-A8C8-407E-BE3D-67F707B7806A}"/>
  <bookViews>
    <workbookView xWindow="-120" yWindow="-120" windowWidth="29040" windowHeight="15720" activeTab="2" xr2:uid="{00000000-000D-0000-FFFF-FFFF00000000}"/>
  </bookViews>
  <sheets>
    <sheet name="Settings" sheetId="1" r:id="rId1"/>
    <sheet name="Mitigation_Industry" sheetId="2" r:id="rId2"/>
    <sheet name="_Lambdas" sheetId="3" r:id="rId3"/>
    <sheet name="MTInputs" sheetId="4" r:id="rId4"/>
    <sheet name="Data_Energy" sheetId="5" r:id="rId5"/>
    <sheet name="Data_Prices" sheetId="6" r:id="rId6"/>
    <sheet name="Data_Macro" sheetId="7" r:id="rId7"/>
    <sheet name="Data_Elast" sheetId="8" r:id="rId8"/>
    <sheet name="Check" sheetId="9" r:id="rId9"/>
  </sheets>
  <definedNames>
    <definedName name="ELAST">_xlfn.LAMBDA(_xlpm.kind,_xlpm.fuel,_xlpm.group,INDEX(Data_Elast!$D:$G, MATCH(_xlpm.kind&amp;"_"&amp;_xlpm.fuel, Data_Elast!$A:$A, 0), MATCH(_xlpm.group, Data_Elast!$D$1:$G$1, 0)))</definedName>
    <definedName name="FUELUSE">_xlfn.LAMBDA(_xlpm.F_prev,_xlpm.p_prev,_xlpm.p_now,_xlpm.s_prev,_xlpm.s_now,_xlpm.g,_xlpm.dlt,_xlpm.psi,_xlpm.eY,_xlpm.eU,_xlpm.eF,_xlpm.a,_xlpm.a_add,_xlfn.LET(_xlpm.pr, IF(_xlpm.p_prev&lt;=0,1,_xlpm.p_now/_xlpm.p_prev), _xlpm.sr, IF(_xlpm.s_prev&lt;=0,1,_xlpm.s_now/_xlpm.s_prev), _xlpm.F_prev*(1+_xlpm.g)^(_xlpm.eY*_xlpm.dlt)*(1+_xlpm.psi)*_xlpm.pr^_xlpm.eU*((_xlpm.sr^_xlpm.eF)/(1+_xlpm.a+_xlpm.a_add))^(1+_xlpm.eU)))</definedName>
    <definedName name="OUTCODE">_xlfn.LAMBDA(_xlpm.country,_xlpm.vname,_xlpm.sector,_xlpm.fuel,_xlpm.scen,_xlpm.country&amp;".mit."&amp;_xlpm.vname&amp;"."&amp;_xlpm.sector&amp;"."&amp;_xlpm.fuel&amp;".e."&amp;_xlpm.scen)</definedName>
    <definedName name="POSTTAX">_xlfn.LAMBDA(_xlpm.ptp,_xlpm.nce,_xlpm.tcf,_xlpm.ptp+_xlpm.nce*_xlpm.tcf)</definedName>
    <definedName name="SHADOW">_xlfn.LAMBDA(_xlpm.atp,_xlpm.sigma,_xlpm.ssc,_xlpm.atp+_xlpm.sigma*_xlpm.ssc)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80" i="9" l="1"/>
  <c r="K576" i="9"/>
  <c r="K572" i="9"/>
  <c r="K568" i="9"/>
  <c r="K564" i="9"/>
  <c r="K560" i="9"/>
  <c r="K556" i="9"/>
  <c r="K552" i="9"/>
  <c r="K548" i="9"/>
  <c r="K544" i="9"/>
  <c r="K540" i="9"/>
  <c r="K536" i="9"/>
  <c r="K532" i="9"/>
  <c r="K528" i="9"/>
  <c r="K524" i="9"/>
  <c r="K520" i="9"/>
  <c r="K516" i="9"/>
  <c r="K512" i="9"/>
  <c r="K508" i="9"/>
  <c r="K504" i="9"/>
  <c r="K500" i="9"/>
  <c r="K496" i="9"/>
  <c r="K492" i="9"/>
  <c r="K488" i="9"/>
  <c r="K484" i="9"/>
  <c r="K480" i="9"/>
  <c r="K476" i="9"/>
  <c r="K472" i="9"/>
  <c r="K468" i="9"/>
  <c r="K464" i="9"/>
  <c r="K460" i="9"/>
  <c r="K456" i="9"/>
  <c r="K452" i="9"/>
  <c r="K448" i="9"/>
  <c r="K444" i="9"/>
  <c r="K440" i="9"/>
  <c r="K436" i="9"/>
  <c r="K432" i="9"/>
  <c r="K428" i="9"/>
  <c r="K424" i="9"/>
  <c r="K420" i="9"/>
  <c r="K416" i="9"/>
  <c r="K412" i="9"/>
  <c r="K408" i="9"/>
  <c r="K404" i="9"/>
  <c r="K400" i="9"/>
  <c r="K396" i="9"/>
  <c r="K392" i="9"/>
  <c r="K388" i="9"/>
  <c r="K384" i="9"/>
  <c r="K380" i="9"/>
  <c r="K376" i="9"/>
  <c r="K372" i="9"/>
  <c r="K368" i="9"/>
  <c r="K364" i="9"/>
  <c r="K360" i="9"/>
  <c r="K356" i="9"/>
  <c r="K352" i="9"/>
  <c r="K348" i="9"/>
  <c r="K344" i="9"/>
  <c r="K340" i="9"/>
  <c r="K336" i="9"/>
  <c r="K332" i="9"/>
  <c r="K328" i="9"/>
  <c r="K324" i="9"/>
  <c r="K320" i="9"/>
  <c r="K316" i="9"/>
  <c r="K312" i="9"/>
  <c r="K308" i="9"/>
  <c r="K304" i="9"/>
  <c r="K300" i="9"/>
  <c r="K296" i="9"/>
  <c r="K292" i="9"/>
  <c r="K288" i="9"/>
  <c r="K284" i="9"/>
  <c r="K280" i="9"/>
  <c r="K276" i="9"/>
  <c r="K272" i="9"/>
  <c r="K268" i="9"/>
  <c r="K264" i="9"/>
  <c r="K260" i="9"/>
  <c r="K256" i="9"/>
  <c r="K252" i="9"/>
  <c r="K248" i="9"/>
  <c r="K244" i="9"/>
  <c r="K240" i="9"/>
  <c r="K236" i="9"/>
  <c r="K232" i="9"/>
  <c r="K228" i="9"/>
  <c r="K224" i="9"/>
  <c r="K220" i="9"/>
  <c r="K216" i="9"/>
  <c r="K212" i="9"/>
  <c r="K208" i="9"/>
  <c r="K204" i="9"/>
  <c r="K200" i="9"/>
  <c r="K196" i="9"/>
  <c r="K192" i="9"/>
  <c r="K188" i="9"/>
  <c r="K184" i="9"/>
  <c r="K180" i="9"/>
  <c r="K176" i="9"/>
  <c r="K172" i="9"/>
  <c r="K168" i="9"/>
  <c r="K164" i="9"/>
  <c r="K160" i="9"/>
  <c r="K156" i="9"/>
  <c r="K152" i="9"/>
  <c r="K148" i="9"/>
  <c r="K144" i="9"/>
  <c r="K140" i="9"/>
  <c r="K136" i="9"/>
  <c r="K132" i="9"/>
  <c r="K128" i="9"/>
  <c r="K124" i="9"/>
  <c r="K120" i="9"/>
  <c r="K116" i="9"/>
  <c r="K112" i="9"/>
  <c r="K108" i="9"/>
  <c r="K104" i="9"/>
  <c r="K100" i="9"/>
  <c r="K96" i="9"/>
  <c r="K92" i="9"/>
  <c r="K88" i="9"/>
  <c r="K84" i="9"/>
  <c r="K80" i="9"/>
  <c r="K76" i="9"/>
  <c r="K72" i="9"/>
  <c r="K68" i="9"/>
  <c r="K64" i="9"/>
  <c r="K60" i="9"/>
  <c r="K56" i="9"/>
  <c r="K52" i="9"/>
  <c r="K48" i="9"/>
  <c r="K44" i="9"/>
  <c r="B18" i="3"/>
  <c r="C9" i="3"/>
  <c r="C8" i="3"/>
  <c r="C7" i="3"/>
  <c r="C6" i="3"/>
  <c r="C5" i="3"/>
  <c r="H485" i="2"/>
  <c r="C485" i="2"/>
  <c r="H484" i="2"/>
  <c r="G484" i="2"/>
  <c r="C484" i="2"/>
  <c r="L484" i="2" s="1"/>
  <c r="L483" i="2"/>
  <c r="H483" i="2"/>
  <c r="G483" i="2"/>
  <c r="C483" i="2"/>
  <c r="H482" i="2"/>
  <c r="G482" i="2"/>
  <c r="C482" i="2"/>
  <c r="L482" i="2" s="1"/>
  <c r="H481" i="2"/>
  <c r="G481" i="2"/>
  <c r="C481" i="2"/>
  <c r="L481" i="2" s="1"/>
  <c r="L480" i="2"/>
  <c r="H480" i="2"/>
  <c r="G480" i="2"/>
  <c r="C480" i="2"/>
  <c r="H479" i="2"/>
  <c r="G479" i="2"/>
  <c r="C479" i="2"/>
  <c r="L479" i="2" s="1"/>
  <c r="H478" i="2"/>
  <c r="G478" i="2"/>
  <c r="C478" i="2"/>
  <c r="L478" i="2" s="1"/>
  <c r="L477" i="2"/>
  <c r="H477" i="2"/>
  <c r="G477" i="2"/>
  <c r="C477" i="2"/>
  <c r="L476" i="2"/>
  <c r="H476" i="2"/>
  <c r="G476" i="2"/>
  <c r="C476" i="2"/>
  <c r="J474" i="2"/>
  <c r="G474" i="2" s="1"/>
  <c r="H474" i="2"/>
  <c r="E474" i="2"/>
  <c r="C474" i="2"/>
  <c r="J473" i="2"/>
  <c r="H473" i="2"/>
  <c r="G473" i="2"/>
  <c r="F473" i="2"/>
  <c r="E473" i="2"/>
  <c r="C473" i="2"/>
  <c r="J472" i="2"/>
  <c r="F472" i="2" s="1"/>
  <c r="H472" i="2"/>
  <c r="G472" i="2"/>
  <c r="E472" i="2"/>
  <c r="C472" i="2"/>
  <c r="J471" i="2"/>
  <c r="H471" i="2"/>
  <c r="C471" i="2"/>
  <c r="J470" i="2"/>
  <c r="H470" i="2"/>
  <c r="G470" i="2"/>
  <c r="F470" i="2"/>
  <c r="E470" i="2"/>
  <c r="C470" i="2"/>
  <c r="J469" i="2"/>
  <c r="H469" i="2"/>
  <c r="G469" i="2"/>
  <c r="F469" i="2"/>
  <c r="E469" i="2"/>
  <c r="C469" i="2"/>
  <c r="J468" i="2"/>
  <c r="H468" i="2"/>
  <c r="C468" i="2"/>
  <c r="J467" i="2"/>
  <c r="H467" i="2"/>
  <c r="G467" i="2"/>
  <c r="F467" i="2"/>
  <c r="E467" i="2"/>
  <c r="C467" i="2"/>
  <c r="J466" i="2"/>
  <c r="G466" i="2" s="1"/>
  <c r="H466" i="2"/>
  <c r="C466" i="2"/>
  <c r="AA463" i="2"/>
  <c r="Y463" i="2"/>
  <c r="X463" i="2"/>
  <c r="W463" i="2"/>
  <c r="V463" i="2"/>
  <c r="K463" i="2"/>
  <c r="G463" i="2"/>
  <c r="C463" i="2"/>
  <c r="AE462" i="2"/>
  <c r="AD462" i="2"/>
  <c r="AC462" i="2"/>
  <c r="X462" i="2"/>
  <c r="W462" i="2"/>
  <c r="V462" i="2"/>
  <c r="T462" i="2"/>
  <c r="S462" i="2"/>
  <c r="R462" i="2"/>
  <c r="Q462" i="2"/>
  <c r="P462" i="2"/>
  <c r="O462" i="2"/>
  <c r="N462" i="2"/>
  <c r="L462" i="2"/>
  <c r="G462" i="2"/>
  <c r="Z462" i="2" s="1"/>
  <c r="C462" i="2"/>
  <c r="Y461" i="2"/>
  <c r="X461" i="2"/>
  <c r="W461" i="2"/>
  <c r="U461" i="2"/>
  <c r="S461" i="2"/>
  <c r="R461" i="2"/>
  <c r="G461" i="2"/>
  <c r="C461" i="2"/>
  <c r="AB460" i="2"/>
  <c r="AA460" i="2"/>
  <c r="Y460" i="2"/>
  <c r="N460" i="2"/>
  <c r="L460" i="2"/>
  <c r="K460" i="2"/>
  <c r="G460" i="2"/>
  <c r="C460" i="2"/>
  <c r="AE459" i="2"/>
  <c r="AD459" i="2"/>
  <c r="AC459" i="2"/>
  <c r="AB459" i="2"/>
  <c r="AA459" i="2"/>
  <c r="Y459" i="2"/>
  <c r="W459" i="2"/>
  <c r="V459" i="2"/>
  <c r="U459" i="2"/>
  <c r="T459" i="2"/>
  <c r="S459" i="2"/>
  <c r="R459" i="2"/>
  <c r="Q459" i="2"/>
  <c r="P459" i="2"/>
  <c r="O459" i="2"/>
  <c r="N459" i="2"/>
  <c r="M459" i="2"/>
  <c r="K459" i="2"/>
  <c r="G459" i="2"/>
  <c r="Z459" i="2" s="1"/>
  <c r="C459" i="2"/>
  <c r="H457" i="2"/>
  <c r="G457" i="2"/>
  <c r="C457" i="2"/>
  <c r="H456" i="2"/>
  <c r="G456" i="2"/>
  <c r="C456" i="2"/>
  <c r="H455" i="2"/>
  <c r="G455" i="2"/>
  <c r="C455" i="2"/>
  <c r="H454" i="2"/>
  <c r="G454" i="2"/>
  <c r="C454" i="2"/>
  <c r="H453" i="2"/>
  <c r="G453" i="2"/>
  <c r="C453" i="2"/>
  <c r="H452" i="2"/>
  <c r="G452" i="2"/>
  <c r="C452" i="2"/>
  <c r="H451" i="2"/>
  <c r="G451" i="2"/>
  <c r="C451" i="2"/>
  <c r="H450" i="2"/>
  <c r="G450" i="2"/>
  <c r="C450" i="2"/>
  <c r="H449" i="2"/>
  <c r="G449" i="2"/>
  <c r="C449" i="2"/>
  <c r="S447" i="2"/>
  <c r="H447" i="2"/>
  <c r="G447" i="2"/>
  <c r="C447" i="2"/>
  <c r="AE446" i="2"/>
  <c r="R446" i="2"/>
  <c r="Q446" i="2"/>
  <c r="P446" i="2"/>
  <c r="H446" i="2"/>
  <c r="G446" i="2"/>
  <c r="V446" i="2" s="1"/>
  <c r="C446" i="2"/>
  <c r="H445" i="2"/>
  <c r="G445" i="2"/>
  <c r="C445" i="2"/>
  <c r="S444" i="2"/>
  <c r="H444" i="2"/>
  <c r="G444" i="2"/>
  <c r="C444" i="2"/>
  <c r="AD443" i="2"/>
  <c r="AC443" i="2"/>
  <c r="AB443" i="2"/>
  <c r="N443" i="2"/>
  <c r="H443" i="2"/>
  <c r="G443" i="2"/>
  <c r="C443" i="2"/>
  <c r="H442" i="2"/>
  <c r="G442" i="2"/>
  <c r="C442" i="2"/>
  <c r="AB441" i="2"/>
  <c r="AB451" i="2" s="1"/>
  <c r="P441" i="2"/>
  <c r="H441" i="2"/>
  <c r="G441" i="2"/>
  <c r="C441" i="2"/>
  <c r="AA440" i="2"/>
  <c r="Z440" i="2"/>
  <c r="Y440" i="2"/>
  <c r="M440" i="2"/>
  <c r="K440" i="2"/>
  <c r="K450" i="2" s="1"/>
  <c r="H440" i="2"/>
  <c r="G440" i="2"/>
  <c r="C440" i="2"/>
  <c r="H439" i="2"/>
  <c r="G439" i="2"/>
  <c r="C439" i="2"/>
  <c r="AE437" i="2"/>
  <c r="AD437" i="2"/>
  <c r="AC437" i="2"/>
  <c r="AB437" i="2"/>
  <c r="AA437" i="2"/>
  <c r="Z437" i="2"/>
  <c r="Y437" i="2"/>
  <c r="X437" i="2"/>
  <c r="V437" i="2"/>
  <c r="U437" i="2"/>
  <c r="T437" i="2"/>
  <c r="S437" i="2"/>
  <c r="R437" i="2"/>
  <c r="Q437" i="2"/>
  <c r="P437" i="2"/>
  <c r="O437" i="2"/>
  <c r="N437" i="2"/>
  <c r="M437" i="2"/>
  <c r="L437" i="2"/>
  <c r="K437" i="2"/>
  <c r="H437" i="2"/>
  <c r="G437" i="2"/>
  <c r="W437" i="2" s="1"/>
  <c r="C437" i="2"/>
  <c r="AE436" i="2"/>
  <c r="AD436" i="2"/>
  <c r="AD446" i="2" s="1"/>
  <c r="AC436" i="2"/>
  <c r="AC446" i="2" s="1"/>
  <c r="AB436" i="2"/>
  <c r="AB446" i="2" s="1"/>
  <c r="AA436" i="2"/>
  <c r="Z436" i="2"/>
  <c r="Y436" i="2"/>
  <c r="Y446" i="2" s="1"/>
  <c r="X436" i="2"/>
  <c r="V436" i="2"/>
  <c r="U436" i="2"/>
  <c r="T436" i="2"/>
  <c r="R436" i="2"/>
  <c r="Q436" i="2"/>
  <c r="P436" i="2"/>
  <c r="O436" i="2"/>
  <c r="O446" i="2" s="1"/>
  <c r="N436" i="2"/>
  <c r="N446" i="2" s="1"/>
  <c r="M436" i="2"/>
  <c r="M446" i="2" s="1"/>
  <c r="L436" i="2"/>
  <c r="K436" i="2"/>
  <c r="H436" i="2"/>
  <c r="G436" i="2"/>
  <c r="W436" i="2" s="1"/>
  <c r="W446" i="2" s="1"/>
  <c r="C436" i="2"/>
  <c r="U435" i="2"/>
  <c r="K435" i="2"/>
  <c r="H435" i="2"/>
  <c r="G435" i="2"/>
  <c r="C435" i="2"/>
  <c r="AE434" i="2"/>
  <c r="AE444" i="2" s="1"/>
  <c r="AD434" i="2"/>
  <c r="AD444" i="2" s="1"/>
  <c r="AB434" i="2"/>
  <c r="AB444" i="2" s="1"/>
  <c r="Z434" i="2"/>
  <c r="Z444" i="2" s="1"/>
  <c r="V434" i="2"/>
  <c r="V444" i="2" s="1"/>
  <c r="U434" i="2"/>
  <c r="U444" i="2" s="1"/>
  <c r="T434" i="2"/>
  <c r="T444" i="2" s="1"/>
  <c r="S434" i="2"/>
  <c r="R434" i="2"/>
  <c r="R444" i="2" s="1"/>
  <c r="Q434" i="2"/>
  <c r="Q444" i="2" s="1"/>
  <c r="P434" i="2"/>
  <c r="P444" i="2" s="1"/>
  <c r="N434" i="2"/>
  <c r="N444" i="2" s="1"/>
  <c r="L434" i="2"/>
  <c r="H434" i="2"/>
  <c r="G434" i="2"/>
  <c r="AC434" i="2" s="1"/>
  <c r="AC444" i="2" s="1"/>
  <c r="C434" i="2"/>
  <c r="AE433" i="2"/>
  <c r="AE443" i="2" s="1"/>
  <c r="AD433" i="2"/>
  <c r="AC433" i="2"/>
  <c r="AB433" i="2"/>
  <c r="AA433" i="2"/>
  <c r="AA443" i="2" s="1"/>
  <c r="Z433" i="2"/>
  <c r="Z443" i="2" s="1"/>
  <c r="X433" i="2"/>
  <c r="V433" i="2"/>
  <c r="V443" i="2" s="1"/>
  <c r="S433" i="2"/>
  <c r="S443" i="2" s="1"/>
  <c r="R433" i="2"/>
  <c r="R443" i="2" s="1"/>
  <c r="Q433" i="2"/>
  <c r="Q443" i="2" s="1"/>
  <c r="P433" i="2"/>
  <c r="O433" i="2"/>
  <c r="O443" i="2" s="1"/>
  <c r="N433" i="2"/>
  <c r="M433" i="2"/>
  <c r="M443" i="2" s="1"/>
  <c r="L433" i="2"/>
  <c r="H433" i="2"/>
  <c r="G433" i="2"/>
  <c r="Y433" i="2" s="1"/>
  <c r="Y443" i="2" s="1"/>
  <c r="C433" i="2"/>
  <c r="Z432" i="2"/>
  <c r="Y432" i="2"/>
  <c r="X432" i="2"/>
  <c r="W432" i="2"/>
  <c r="N432" i="2"/>
  <c r="L432" i="2"/>
  <c r="H432" i="2"/>
  <c r="G432" i="2"/>
  <c r="AA432" i="2" s="1"/>
  <c r="C432" i="2"/>
  <c r="AD431" i="2"/>
  <c r="AD441" i="2" s="1"/>
  <c r="AB431" i="2"/>
  <c r="X431" i="2"/>
  <c r="W431" i="2"/>
  <c r="W441" i="2" s="1"/>
  <c r="S431" i="2"/>
  <c r="S441" i="2" s="1"/>
  <c r="P431" i="2"/>
  <c r="H431" i="2"/>
  <c r="G431" i="2"/>
  <c r="C431" i="2"/>
  <c r="AE430" i="2"/>
  <c r="AD430" i="2"/>
  <c r="AC430" i="2"/>
  <c r="AB430" i="2"/>
  <c r="AB440" i="2" s="1"/>
  <c r="AA430" i="2"/>
  <c r="Z430" i="2"/>
  <c r="Y430" i="2"/>
  <c r="X430" i="2"/>
  <c r="V430" i="2"/>
  <c r="U430" i="2"/>
  <c r="T430" i="2"/>
  <c r="S430" i="2"/>
  <c r="R430" i="2"/>
  <c r="Q430" i="2"/>
  <c r="P430" i="2"/>
  <c r="O430" i="2"/>
  <c r="N430" i="2"/>
  <c r="N440" i="2" s="1"/>
  <c r="M430" i="2"/>
  <c r="L430" i="2"/>
  <c r="K430" i="2"/>
  <c r="H430" i="2"/>
  <c r="G430" i="2"/>
  <c r="W430" i="2" s="1"/>
  <c r="W440" i="2" s="1"/>
  <c r="C430" i="2"/>
  <c r="AE429" i="2"/>
  <c r="AD429" i="2"/>
  <c r="AC429" i="2"/>
  <c r="AB429" i="2"/>
  <c r="AA429" i="2"/>
  <c r="Z429" i="2"/>
  <c r="Y429" i="2"/>
  <c r="X429" i="2"/>
  <c r="V429" i="2"/>
  <c r="U429" i="2"/>
  <c r="T429" i="2"/>
  <c r="R429" i="2"/>
  <c r="Q429" i="2"/>
  <c r="P429" i="2"/>
  <c r="O429" i="2"/>
  <c r="N429" i="2"/>
  <c r="M429" i="2"/>
  <c r="L429" i="2"/>
  <c r="K429" i="2"/>
  <c r="H429" i="2"/>
  <c r="G429" i="2"/>
  <c r="W429" i="2" s="1"/>
  <c r="C429" i="2"/>
  <c r="H425" i="2"/>
  <c r="C425" i="2"/>
  <c r="L424" i="2"/>
  <c r="H424" i="2"/>
  <c r="G424" i="2"/>
  <c r="C424" i="2"/>
  <c r="H423" i="2"/>
  <c r="G423" i="2"/>
  <c r="C423" i="2"/>
  <c r="L423" i="2" s="1"/>
  <c r="H422" i="2"/>
  <c r="G422" i="2"/>
  <c r="C422" i="2"/>
  <c r="L422" i="2" s="1"/>
  <c r="H421" i="2"/>
  <c r="G421" i="2"/>
  <c r="C421" i="2"/>
  <c r="L421" i="2" s="1"/>
  <c r="L420" i="2"/>
  <c r="H420" i="2"/>
  <c r="G420" i="2"/>
  <c r="C420" i="2"/>
  <c r="H419" i="2"/>
  <c r="G419" i="2"/>
  <c r="C419" i="2"/>
  <c r="L419" i="2" s="1"/>
  <c r="H418" i="2"/>
  <c r="G418" i="2"/>
  <c r="C418" i="2"/>
  <c r="L418" i="2" s="1"/>
  <c r="H417" i="2"/>
  <c r="G417" i="2"/>
  <c r="C417" i="2"/>
  <c r="L417" i="2" s="1"/>
  <c r="H416" i="2"/>
  <c r="G416" i="2"/>
  <c r="C416" i="2"/>
  <c r="L416" i="2" s="1"/>
  <c r="J414" i="2"/>
  <c r="G414" i="2" s="1"/>
  <c r="H414" i="2"/>
  <c r="E414" i="2"/>
  <c r="C414" i="2"/>
  <c r="J413" i="2"/>
  <c r="F413" i="2" s="1"/>
  <c r="H413" i="2"/>
  <c r="G413" i="2"/>
  <c r="E413" i="2"/>
  <c r="C413" i="2"/>
  <c r="J412" i="2"/>
  <c r="H412" i="2"/>
  <c r="C412" i="2"/>
  <c r="J411" i="2"/>
  <c r="F411" i="2" s="1"/>
  <c r="H411" i="2"/>
  <c r="G411" i="2"/>
  <c r="E411" i="2"/>
  <c r="C411" i="2"/>
  <c r="J410" i="2"/>
  <c r="H410" i="2"/>
  <c r="G410" i="2"/>
  <c r="C410" i="2"/>
  <c r="J409" i="2"/>
  <c r="F409" i="2" s="1"/>
  <c r="H409" i="2"/>
  <c r="G409" i="2"/>
  <c r="E409" i="2"/>
  <c r="C409" i="2"/>
  <c r="J408" i="2"/>
  <c r="E408" i="2" s="1"/>
  <c r="H408" i="2"/>
  <c r="G408" i="2"/>
  <c r="F408" i="2"/>
  <c r="C408" i="2"/>
  <c r="J407" i="2"/>
  <c r="F407" i="2" s="1"/>
  <c r="H407" i="2"/>
  <c r="G407" i="2"/>
  <c r="E407" i="2"/>
  <c r="C407" i="2"/>
  <c r="J406" i="2"/>
  <c r="H406" i="2"/>
  <c r="G406" i="2"/>
  <c r="F406" i="2"/>
  <c r="E406" i="2"/>
  <c r="C406" i="2"/>
  <c r="AC403" i="2"/>
  <c r="AB403" i="2"/>
  <c r="Y403" i="2"/>
  <c r="X403" i="2"/>
  <c r="W403" i="2"/>
  <c r="V403" i="2"/>
  <c r="T403" i="2"/>
  <c r="S403" i="2"/>
  <c r="R403" i="2"/>
  <c r="P403" i="2"/>
  <c r="L403" i="2"/>
  <c r="K403" i="2"/>
  <c r="G403" i="2"/>
  <c r="U403" i="2" s="1"/>
  <c r="C403" i="2"/>
  <c r="W402" i="2"/>
  <c r="N402" i="2"/>
  <c r="G402" i="2"/>
  <c r="C402" i="2"/>
  <c r="AD401" i="2"/>
  <c r="AC401" i="2"/>
  <c r="Y401" i="2"/>
  <c r="W401" i="2"/>
  <c r="V401" i="2"/>
  <c r="T401" i="2"/>
  <c r="S401" i="2"/>
  <c r="P401" i="2"/>
  <c r="O401" i="2"/>
  <c r="N401" i="2"/>
  <c r="M401" i="2"/>
  <c r="G401" i="2"/>
  <c r="X401" i="2" s="1"/>
  <c r="C401" i="2"/>
  <c r="V400" i="2"/>
  <c r="G400" i="2"/>
  <c r="C400" i="2"/>
  <c r="G399" i="2"/>
  <c r="C399" i="2"/>
  <c r="H397" i="2"/>
  <c r="G397" i="2"/>
  <c r="C397" i="2"/>
  <c r="H396" i="2"/>
  <c r="G396" i="2"/>
  <c r="C396" i="2"/>
  <c r="H395" i="2"/>
  <c r="G395" i="2"/>
  <c r="C395" i="2"/>
  <c r="H394" i="2"/>
  <c r="G394" i="2"/>
  <c r="C394" i="2"/>
  <c r="H393" i="2"/>
  <c r="G393" i="2"/>
  <c r="C393" i="2"/>
  <c r="H392" i="2"/>
  <c r="G392" i="2"/>
  <c r="C392" i="2"/>
  <c r="H391" i="2"/>
  <c r="G391" i="2"/>
  <c r="C391" i="2"/>
  <c r="H390" i="2"/>
  <c r="G390" i="2"/>
  <c r="C390" i="2"/>
  <c r="H389" i="2"/>
  <c r="G389" i="2"/>
  <c r="C389" i="2"/>
  <c r="H387" i="2"/>
  <c r="G387" i="2"/>
  <c r="C387" i="2"/>
  <c r="H386" i="2"/>
  <c r="G386" i="2"/>
  <c r="C386" i="2"/>
  <c r="H385" i="2"/>
  <c r="G385" i="2"/>
  <c r="C385" i="2"/>
  <c r="H384" i="2"/>
  <c r="G384" i="2"/>
  <c r="C384" i="2"/>
  <c r="H383" i="2"/>
  <c r="G383" i="2"/>
  <c r="C383" i="2"/>
  <c r="H382" i="2"/>
  <c r="G382" i="2"/>
  <c r="C382" i="2"/>
  <c r="H381" i="2"/>
  <c r="G381" i="2"/>
  <c r="C381" i="2"/>
  <c r="H380" i="2"/>
  <c r="G380" i="2"/>
  <c r="C380" i="2"/>
  <c r="H379" i="2"/>
  <c r="G379" i="2"/>
  <c r="C379" i="2"/>
  <c r="AE377" i="2"/>
  <c r="AC377" i="2"/>
  <c r="Z377" i="2"/>
  <c r="W377" i="2"/>
  <c r="V377" i="2"/>
  <c r="U377" i="2"/>
  <c r="T377" i="2"/>
  <c r="O377" i="2"/>
  <c r="L377" i="2"/>
  <c r="H377" i="2"/>
  <c r="G377" i="2"/>
  <c r="X377" i="2" s="1"/>
  <c r="C377" i="2"/>
  <c r="AE376" i="2"/>
  <c r="AD376" i="2"/>
  <c r="AC376" i="2"/>
  <c r="AA376" i="2"/>
  <c r="W376" i="2"/>
  <c r="V376" i="2"/>
  <c r="U376" i="2"/>
  <c r="T376" i="2"/>
  <c r="S376" i="2"/>
  <c r="R376" i="2"/>
  <c r="Q376" i="2"/>
  <c r="O376" i="2"/>
  <c r="M376" i="2"/>
  <c r="L376" i="2"/>
  <c r="K376" i="2"/>
  <c r="H376" i="2"/>
  <c r="G376" i="2"/>
  <c r="P376" i="2" s="1"/>
  <c r="C376" i="2"/>
  <c r="AE375" i="2"/>
  <c r="AD375" i="2"/>
  <c r="AC375" i="2"/>
  <c r="AB375" i="2"/>
  <c r="AA375" i="2"/>
  <c r="Z375" i="2"/>
  <c r="W375" i="2"/>
  <c r="V375" i="2"/>
  <c r="U375" i="2"/>
  <c r="S375" i="2"/>
  <c r="R375" i="2"/>
  <c r="Q375" i="2"/>
  <c r="P375" i="2"/>
  <c r="O375" i="2"/>
  <c r="N375" i="2"/>
  <c r="M375" i="2"/>
  <c r="L375" i="2"/>
  <c r="K375" i="2"/>
  <c r="H375" i="2"/>
  <c r="G375" i="2"/>
  <c r="C375" i="2"/>
  <c r="AE374" i="2"/>
  <c r="AC374" i="2"/>
  <c r="AB374" i="2"/>
  <c r="X374" i="2"/>
  <c r="V374" i="2"/>
  <c r="U374" i="2"/>
  <c r="S374" i="2"/>
  <c r="R374" i="2"/>
  <c r="O374" i="2"/>
  <c r="N374" i="2"/>
  <c r="M374" i="2"/>
  <c r="L374" i="2"/>
  <c r="H374" i="2"/>
  <c r="G374" i="2"/>
  <c r="W374" i="2" s="1"/>
  <c r="C374" i="2"/>
  <c r="AC373" i="2"/>
  <c r="AA373" i="2"/>
  <c r="W373" i="2"/>
  <c r="V373" i="2"/>
  <c r="U373" i="2"/>
  <c r="T373" i="2"/>
  <c r="O373" i="2"/>
  <c r="M373" i="2"/>
  <c r="H373" i="2"/>
  <c r="G373" i="2"/>
  <c r="X373" i="2" s="1"/>
  <c r="C373" i="2"/>
  <c r="AE372" i="2"/>
  <c r="AD372" i="2"/>
  <c r="AC372" i="2"/>
  <c r="AB372" i="2"/>
  <c r="X372" i="2"/>
  <c r="W372" i="2"/>
  <c r="U372" i="2"/>
  <c r="T372" i="2"/>
  <c r="S372" i="2"/>
  <c r="R372" i="2"/>
  <c r="Q372" i="2"/>
  <c r="O372" i="2"/>
  <c r="N372" i="2"/>
  <c r="M372" i="2"/>
  <c r="K372" i="2"/>
  <c r="H372" i="2"/>
  <c r="G372" i="2"/>
  <c r="P372" i="2" s="1"/>
  <c r="C372" i="2"/>
  <c r="AE371" i="2"/>
  <c r="AD371" i="2"/>
  <c r="AC371" i="2"/>
  <c r="AB371" i="2"/>
  <c r="AA371" i="2"/>
  <c r="Z371" i="2"/>
  <c r="X371" i="2"/>
  <c r="W371" i="2"/>
  <c r="U371" i="2"/>
  <c r="T371" i="2"/>
  <c r="S371" i="2"/>
  <c r="Q371" i="2"/>
  <c r="P371" i="2"/>
  <c r="O371" i="2"/>
  <c r="N371" i="2"/>
  <c r="M371" i="2"/>
  <c r="L371" i="2"/>
  <c r="K371" i="2"/>
  <c r="H371" i="2"/>
  <c r="G371" i="2"/>
  <c r="C371" i="2"/>
  <c r="AE370" i="2"/>
  <c r="AD370" i="2"/>
  <c r="AC370" i="2"/>
  <c r="X370" i="2"/>
  <c r="V370" i="2"/>
  <c r="U370" i="2"/>
  <c r="T370" i="2"/>
  <c r="S370" i="2"/>
  <c r="P370" i="2"/>
  <c r="O370" i="2"/>
  <c r="M370" i="2"/>
  <c r="L370" i="2"/>
  <c r="H370" i="2"/>
  <c r="G370" i="2"/>
  <c r="W370" i="2" s="1"/>
  <c r="C370" i="2"/>
  <c r="AE369" i="2"/>
  <c r="AD369" i="2"/>
  <c r="AC369" i="2"/>
  <c r="AA369" i="2"/>
  <c r="Z369" i="2"/>
  <c r="W369" i="2"/>
  <c r="V369" i="2"/>
  <c r="U369" i="2"/>
  <c r="T369" i="2"/>
  <c r="S369" i="2"/>
  <c r="R369" i="2"/>
  <c r="Q369" i="2"/>
  <c r="P369" i="2"/>
  <c r="O369" i="2"/>
  <c r="M369" i="2"/>
  <c r="L369" i="2"/>
  <c r="K369" i="2"/>
  <c r="H369" i="2"/>
  <c r="G369" i="2"/>
  <c r="C369" i="2"/>
  <c r="H365" i="2"/>
  <c r="C365" i="2"/>
  <c r="H364" i="2"/>
  <c r="G364" i="2"/>
  <c r="C364" i="2"/>
  <c r="L364" i="2" s="1"/>
  <c r="L363" i="2"/>
  <c r="H363" i="2"/>
  <c r="G363" i="2"/>
  <c r="C363" i="2"/>
  <c r="H362" i="2"/>
  <c r="G362" i="2"/>
  <c r="C362" i="2"/>
  <c r="L362" i="2" s="1"/>
  <c r="H361" i="2"/>
  <c r="G361" i="2"/>
  <c r="C361" i="2"/>
  <c r="L361" i="2" s="1"/>
  <c r="H360" i="2"/>
  <c r="G360" i="2"/>
  <c r="C360" i="2"/>
  <c r="L360" i="2" s="1"/>
  <c r="L359" i="2"/>
  <c r="H359" i="2"/>
  <c r="G359" i="2"/>
  <c r="C359" i="2"/>
  <c r="H358" i="2"/>
  <c r="G358" i="2"/>
  <c r="C358" i="2"/>
  <c r="L358" i="2" s="1"/>
  <c r="H357" i="2"/>
  <c r="G357" i="2"/>
  <c r="C357" i="2"/>
  <c r="L357" i="2" s="1"/>
  <c r="L356" i="2"/>
  <c r="H356" i="2"/>
  <c r="G356" i="2"/>
  <c r="C356" i="2"/>
  <c r="J354" i="2"/>
  <c r="H354" i="2"/>
  <c r="G354" i="2"/>
  <c r="F354" i="2"/>
  <c r="E354" i="2"/>
  <c r="C354" i="2"/>
  <c r="J353" i="2"/>
  <c r="H353" i="2"/>
  <c r="G353" i="2"/>
  <c r="F353" i="2"/>
  <c r="E353" i="2"/>
  <c r="C353" i="2"/>
  <c r="J352" i="2"/>
  <c r="H352" i="2"/>
  <c r="G352" i="2"/>
  <c r="F352" i="2"/>
  <c r="E352" i="2"/>
  <c r="C352" i="2"/>
  <c r="J351" i="2"/>
  <c r="G351" i="2" s="1"/>
  <c r="H351" i="2"/>
  <c r="E351" i="2"/>
  <c r="C351" i="2"/>
  <c r="J350" i="2"/>
  <c r="H350" i="2"/>
  <c r="G350" i="2"/>
  <c r="F350" i="2"/>
  <c r="E350" i="2"/>
  <c r="C350" i="2"/>
  <c r="J349" i="2"/>
  <c r="H349" i="2"/>
  <c r="C349" i="2"/>
  <c r="J348" i="2"/>
  <c r="H348" i="2"/>
  <c r="G348" i="2"/>
  <c r="F348" i="2"/>
  <c r="E348" i="2"/>
  <c r="C348" i="2"/>
  <c r="J347" i="2"/>
  <c r="H347" i="2"/>
  <c r="G347" i="2"/>
  <c r="F347" i="2"/>
  <c r="E347" i="2"/>
  <c r="C347" i="2"/>
  <c r="J346" i="2"/>
  <c r="H346" i="2"/>
  <c r="G346" i="2"/>
  <c r="F346" i="2"/>
  <c r="E346" i="2"/>
  <c r="C346" i="2"/>
  <c r="AE343" i="2"/>
  <c r="AC343" i="2"/>
  <c r="AB343" i="2"/>
  <c r="AA343" i="2"/>
  <c r="Z343" i="2"/>
  <c r="X343" i="2"/>
  <c r="W343" i="2"/>
  <c r="V343" i="2"/>
  <c r="U343" i="2"/>
  <c r="T343" i="2"/>
  <c r="S343" i="2"/>
  <c r="Q343" i="2"/>
  <c r="P343" i="2"/>
  <c r="N343" i="2"/>
  <c r="M343" i="2"/>
  <c r="L343" i="2"/>
  <c r="K343" i="2"/>
  <c r="G343" i="2"/>
  <c r="R343" i="2" s="1"/>
  <c r="C343" i="2"/>
  <c r="AE342" i="2"/>
  <c r="AD342" i="2"/>
  <c r="AB342" i="2"/>
  <c r="Y342" i="2"/>
  <c r="V342" i="2"/>
  <c r="U342" i="2"/>
  <c r="T342" i="2"/>
  <c r="S342" i="2"/>
  <c r="P342" i="2"/>
  <c r="O342" i="2"/>
  <c r="G342" i="2"/>
  <c r="X342" i="2" s="1"/>
  <c r="C342" i="2"/>
  <c r="AD341" i="2"/>
  <c r="AC341" i="2"/>
  <c r="AB341" i="2"/>
  <c r="AA341" i="2"/>
  <c r="X341" i="2"/>
  <c r="W341" i="2"/>
  <c r="U341" i="2"/>
  <c r="T341" i="2"/>
  <c r="S341" i="2"/>
  <c r="R341" i="2"/>
  <c r="Q341" i="2"/>
  <c r="O341" i="2"/>
  <c r="N341" i="2"/>
  <c r="M341" i="2"/>
  <c r="L341" i="2"/>
  <c r="G341" i="2"/>
  <c r="V341" i="2" s="1"/>
  <c r="C341" i="2"/>
  <c r="Z340" i="2"/>
  <c r="W340" i="2"/>
  <c r="V340" i="2"/>
  <c r="U340" i="2"/>
  <c r="T340" i="2"/>
  <c r="M340" i="2"/>
  <c r="G340" i="2"/>
  <c r="AD340" i="2" s="1"/>
  <c r="C340" i="2"/>
  <c r="AE339" i="2"/>
  <c r="AD339" i="2"/>
  <c r="AC339" i="2"/>
  <c r="AB339" i="2"/>
  <c r="X339" i="2"/>
  <c r="W339" i="2"/>
  <c r="W327" i="2" s="1"/>
  <c r="V339" i="2"/>
  <c r="U339" i="2"/>
  <c r="T339" i="2"/>
  <c r="S339" i="2"/>
  <c r="R339" i="2"/>
  <c r="P339" i="2"/>
  <c r="O339" i="2"/>
  <c r="N339" i="2"/>
  <c r="M339" i="2"/>
  <c r="G339" i="2"/>
  <c r="Q339" i="2" s="1"/>
  <c r="C339" i="2"/>
  <c r="H337" i="2"/>
  <c r="G337" i="2"/>
  <c r="C337" i="2"/>
  <c r="H336" i="2"/>
  <c r="G336" i="2"/>
  <c r="C336" i="2"/>
  <c r="H335" i="2"/>
  <c r="G335" i="2"/>
  <c r="C335" i="2"/>
  <c r="H334" i="2"/>
  <c r="G334" i="2"/>
  <c r="C334" i="2"/>
  <c r="H333" i="2"/>
  <c r="G333" i="2"/>
  <c r="C333" i="2"/>
  <c r="H332" i="2"/>
  <c r="G332" i="2"/>
  <c r="C332" i="2"/>
  <c r="H331" i="2"/>
  <c r="G331" i="2"/>
  <c r="C331" i="2"/>
  <c r="H330" i="2"/>
  <c r="G330" i="2"/>
  <c r="C330" i="2"/>
  <c r="H329" i="2"/>
  <c r="G329" i="2"/>
  <c r="C329" i="2"/>
  <c r="H327" i="2"/>
  <c r="G327" i="2"/>
  <c r="C327" i="2"/>
  <c r="AE326" i="2"/>
  <c r="X326" i="2"/>
  <c r="N326" i="2"/>
  <c r="H326" i="2"/>
  <c r="G326" i="2"/>
  <c r="C326" i="2"/>
  <c r="H325" i="2"/>
  <c r="G325" i="2"/>
  <c r="C325" i="2"/>
  <c r="H324" i="2"/>
  <c r="G324" i="2"/>
  <c r="C324" i="2"/>
  <c r="P323" i="2"/>
  <c r="H323" i="2"/>
  <c r="G323" i="2"/>
  <c r="C323" i="2"/>
  <c r="H322" i="2"/>
  <c r="G322" i="2"/>
  <c r="C322" i="2"/>
  <c r="AD321" i="2"/>
  <c r="AC321" i="2"/>
  <c r="AB321" i="2"/>
  <c r="X321" i="2"/>
  <c r="V321" i="2"/>
  <c r="V331" i="2" s="1"/>
  <c r="U321" i="2"/>
  <c r="P321" i="2"/>
  <c r="N321" i="2"/>
  <c r="M321" i="2"/>
  <c r="H321" i="2"/>
  <c r="G321" i="2"/>
  <c r="W321" i="2" s="1"/>
  <c r="C321" i="2"/>
  <c r="H320" i="2"/>
  <c r="G320" i="2"/>
  <c r="C320" i="2"/>
  <c r="H319" i="2"/>
  <c r="G319" i="2"/>
  <c r="C319" i="2"/>
  <c r="AD317" i="2"/>
  <c r="AB317" i="2"/>
  <c r="AA317" i="2"/>
  <c r="Z317" i="2"/>
  <c r="W317" i="2"/>
  <c r="U317" i="2"/>
  <c r="U327" i="2" s="1"/>
  <c r="T317" i="2"/>
  <c r="T327" i="2" s="1"/>
  <c r="R317" i="2"/>
  <c r="Q317" i="2"/>
  <c r="Q327" i="2" s="1"/>
  <c r="N317" i="2"/>
  <c r="L317" i="2"/>
  <c r="K317" i="2"/>
  <c r="H317" i="2"/>
  <c r="G317" i="2"/>
  <c r="V317" i="2" s="1"/>
  <c r="V327" i="2" s="1"/>
  <c r="C317" i="2"/>
  <c r="AE316" i="2"/>
  <c r="AD316" i="2"/>
  <c r="AD326" i="2" s="1"/>
  <c r="AB316" i="2"/>
  <c r="AB326" i="2" s="1"/>
  <c r="AA316" i="2"/>
  <c r="Z316" i="2"/>
  <c r="X316" i="2"/>
  <c r="W316" i="2"/>
  <c r="V316" i="2"/>
  <c r="V326" i="2" s="1"/>
  <c r="U316" i="2"/>
  <c r="U326" i="2" s="1"/>
  <c r="S316" i="2"/>
  <c r="S326" i="2" s="1"/>
  <c r="R316" i="2"/>
  <c r="R326" i="2" s="1"/>
  <c r="Q316" i="2"/>
  <c r="Q326" i="2" s="1"/>
  <c r="P316" i="2"/>
  <c r="P326" i="2" s="1"/>
  <c r="N316" i="2"/>
  <c r="M316" i="2"/>
  <c r="M326" i="2" s="1"/>
  <c r="L316" i="2"/>
  <c r="K316" i="2"/>
  <c r="H316" i="2"/>
  <c r="G316" i="2"/>
  <c r="C316" i="2"/>
  <c r="H315" i="2"/>
  <c r="G315" i="2"/>
  <c r="C315" i="2"/>
  <c r="AC314" i="2"/>
  <c r="AB314" i="2"/>
  <c r="V314" i="2"/>
  <c r="Q314" i="2"/>
  <c r="H314" i="2"/>
  <c r="G314" i="2"/>
  <c r="C314" i="2"/>
  <c r="AC313" i="2"/>
  <c r="AC323" i="2" s="1"/>
  <c r="Z313" i="2"/>
  <c r="Y313" i="2"/>
  <c r="T313" i="2"/>
  <c r="S313" i="2"/>
  <c r="S323" i="2" s="1"/>
  <c r="R313" i="2"/>
  <c r="R323" i="2" s="1"/>
  <c r="P313" i="2"/>
  <c r="M313" i="2"/>
  <c r="H313" i="2"/>
  <c r="G313" i="2"/>
  <c r="C313" i="2"/>
  <c r="AC312" i="2"/>
  <c r="AC322" i="2" s="1"/>
  <c r="AB312" i="2"/>
  <c r="AB322" i="2" s="1"/>
  <c r="Y312" i="2"/>
  <c r="V312" i="2"/>
  <c r="V322" i="2" s="1"/>
  <c r="S312" i="2"/>
  <c r="S322" i="2" s="1"/>
  <c r="Q312" i="2"/>
  <c r="Q322" i="2" s="1"/>
  <c r="H312" i="2"/>
  <c r="G312" i="2"/>
  <c r="Z312" i="2" s="1"/>
  <c r="C312" i="2"/>
  <c r="AE311" i="2"/>
  <c r="AD311" i="2"/>
  <c r="AC311" i="2"/>
  <c r="AB311" i="2"/>
  <c r="AA311" i="2"/>
  <c r="Z311" i="2"/>
  <c r="Y311" i="2"/>
  <c r="X311" i="2"/>
  <c r="V311" i="2"/>
  <c r="U311" i="2"/>
  <c r="T311" i="2"/>
  <c r="S311" i="2"/>
  <c r="S321" i="2" s="1"/>
  <c r="R311" i="2"/>
  <c r="R321" i="2" s="1"/>
  <c r="Q311" i="2"/>
  <c r="P311" i="2"/>
  <c r="O311" i="2"/>
  <c r="N311" i="2"/>
  <c r="M311" i="2"/>
  <c r="L311" i="2"/>
  <c r="K311" i="2"/>
  <c r="H311" i="2"/>
  <c r="G311" i="2"/>
  <c r="W311" i="2" s="1"/>
  <c r="C311" i="2"/>
  <c r="AE310" i="2"/>
  <c r="AD310" i="2"/>
  <c r="AC310" i="2"/>
  <c r="AB310" i="2"/>
  <c r="Z310" i="2"/>
  <c r="Y310" i="2"/>
  <c r="W310" i="2"/>
  <c r="V310" i="2"/>
  <c r="V320" i="2" s="1"/>
  <c r="U310" i="2"/>
  <c r="T310" i="2"/>
  <c r="R310" i="2"/>
  <c r="Q310" i="2"/>
  <c r="P310" i="2"/>
  <c r="O310" i="2"/>
  <c r="N310" i="2"/>
  <c r="M310" i="2"/>
  <c r="K310" i="2"/>
  <c r="H310" i="2"/>
  <c r="G310" i="2"/>
  <c r="S310" i="2" s="1"/>
  <c r="C310" i="2"/>
  <c r="W309" i="2"/>
  <c r="V309" i="2"/>
  <c r="V319" i="2" s="1"/>
  <c r="S309" i="2"/>
  <c r="S319" i="2" s="1"/>
  <c r="P309" i="2"/>
  <c r="P319" i="2" s="1"/>
  <c r="H309" i="2"/>
  <c r="G309" i="2"/>
  <c r="AE309" i="2" s="1"/>
  <c r="AE319" i="2" s="1"/>
  <c r="C309" i="2"/>
  <c r="H305" i="2"/>
  <c r="C305" i="2"/>
  <c r="H304" i="2"/>
  <c r="G304" i="2"/>
  <c r="C304" i="2"/>
  <c r="L304" i="2" s="1"/>
  <c r="H303" i="2"/>
  <c r="G303" i="2"/>
  <c r="C303" i="2"/>
  <c r="L303" i="2" s="1"/>
  <c r="L302" i="2"/>
  <c r="H302" i="2"/>
  <c r="G302" i="2"/>
  <c r="C302" i="2"/>
  <c r="L301" i="2"/>
  <c r="H301" i="2"/>
  <c r="G301" i="2"/>
  <c r="C301" i="2"/>
  <c r="L300" i="2"/>
  <c r="H300" i="2"/>
  <c r="G300" i="2"/>
  <c r="C300" i="2"/>
  <c r="L299" i="2"/>
  <c r="H299" i="2"/>
  <c r="G299" i="2"/>
  <c r="C299" i="2"/>
  <c r="L298" i="2"/>
  <c r="H298" i="2"/>
  <c r="G298" i="2"/>
  <c r="C298" i="2"/>
  <c r="H297" i="2"/>
  <c r="G297" i="2"/>
  <c r="C297" i="2"/>
  <c r="L297" i="2" s="1"/>
  <c r="L296" i="2"/>
  <c r="H296" i="2"/>
  <c r="G296" i="2"/>
  <c r="C296" i="2"/>
  <c r="J294" i="2"/>
  <c r="F294" i="2" s="1"/>
  <c r="H294" i="2"/>
  <c r="G294" i="2"/>
  <c r="E294" i="2"/>
  <c r="C294" i="2"/>
  <c r="J293" i="2"/>
  <c r="E293" i="2" s="1"/>
  <c r="H293" i="2"/>
  <c r="G293" i="2"/>
  <c r="C293" i="2"/>
  <c r="J292" i="2"/>
  <c r="H292" i="2"/>
  <c r="G292" i="2"/>
  <c r="F292" i="2"/>
  <c r="E292" i="2"/>
  <c r="C292" i="2"/>
  <c r="J291" i="2"/>
  <c r="H291" i="2"/>
  <c r="G291" i="2"/>
  <c r="F291" i="2"/>
  <c r="E291" i="2"/>
  <c r="C291" i="2"/>
  <c r="J290" i="2"/>
  <c r="F290" i="2" s="1"/>
  <c r="H290" i="2"/>
  <c r="G290" i="2"/>
  <c r="E290" i="2"/>
  <c r="C290" i="2"/>
  <c r="J289" i="2"/>
  <c r="H289" i="2"/>
  <c r="F289" i="2"/>
  <c r="C289" i="2"/>
  <c r="J288" i="2"/>
  <c r="G288" i="2" s="1"/>
  <c r="H288" i="2"/>
  <c r="F288" i="2"/>
  <c r="E288" i="2"/>
  <c r="C288" i="2"/>
  <c r="J287" i="2"/>
  <c r="H287" i="2"/>
  <c r="G287" i="2"/>
  <c r="F287" i="2"/>
  <c r="E287" i="2"/>
  <c r="C287" i="2"/>
  <c r="J286" i="2"/>
  <c r="F286" i="2" s="1"/>
  <c r="H286" i="2"/>
  <c r="C286" i="2"/>
  <c r="Z283" i="2"/>
  <c r="Y283" i="2"/>
  <c r="X283" i="2"/>
  <c r="V283" i="2"/>
  <c r="R283" i="2"/>
  <c r="Q283" i="2"/>
  <c r="N283" i="2"/>
  <c r="G283" i="2"/>
  <c r="AC283" i="2" s="1"/>
  <c r="C283" i="2"/>
  <c r="AC282" i="2"/>
  <c r="AA282" i="2"/>
  <c r="Z282" i="2"/>
  <c r="Y282" i="2"/>
  <c r="W282" i="2"/>
  <c r="U282" i="2"/>
  <c r="T282" i="2"/>
  <c r="S282" i="2"/>
  <c r="Q282" i="2"/>
  <c r="N282" i="2"/>
  <c r="L282" i="2"/>
  <c r="K282" i="2"/>
  <c r="G282" i="2"/>
  <c r="C282" i="2"/>
  <c r="K281" i="2"/>
  <c r="G281" i="2"/>
  <c r="C281" i="2"/>
  <c r="AD280" i="2"/>
  <c r="AB280" i="2"/>
  <c r="AA280" i="2"/>
  <c r="Z280" i="2"/>
  <c r="X280" i="2"/>
  <c r="W280" i="2"/>
  <c r="U280" i="2"/>
  <c r="T280" i="2"/>
  <c r="S280" i="2"/>
  <c r="R280" i="2"/>
  <c r="Q280" i="2"/>
  <c r="O280" i="2"/>
  <c r="M280" i="2"/>
  <c r="L280" i="2"/>
  <c r="K280" i="2"/>
  <c r="G280" i="2"/>
  <c r="V280" i="2" s="1"/>
  <c r="C280" i="2"/>
  <c r="S279" i="2"/>
  <c r="P279" i="2"/>
  <c r="N279" i="2"/>
  <c r="M279" i="2"/>
  <c r="K279" i="2"/>
  <c r="G279" i="2"/>
  <c r="AB279" i="2" s="1"/>
  <c r="C279" i="2"/>
  <c r="H277" i="2"/>
  <c r="G277" i="2"/>
  <c r="C277" i="2"/>
  <c r="H276" i="2"/>
  <c r="G276" i="2"/>
  <c r="C276" i="2"/>
  <c r="H275" i="2"/>
  <c r="G275" i="2"/>
  <c r="C275" i="2"/>
  <c r="H274" i="2"/>
  <c r="G274" i="2"/>
  <c r="C274" i="2"/>
  <c r="H273" i="2"/>
  <c r="G273" i="2"/>
  <c r="C273" i="2"/>
  <c r="H272" i="2"/>
  <c r="G272" i="2"/>
  <c r="C272" i="2"/>
  <c r="H271" i="2"/>
  <c r="G271" i="2"/>
  <c r="C271" i="2"/>
  <c r="H270" i="2"/>
  <c r="G270" i="2"/>
  <c r="C270" i="2"/>
  <c r="H269" i="2"/>
  <c r="G269" i="2"/>
  <c r="C269" i="2"/>
  <c r="H267" i="2"/>
  <c r="G267" i="2"/>
  <c r="C267" i="2"/>
  <c r="H266" i="2"/>
  <c r="G266" i="2"/>
  <c r="C266" i="2"/>
  <c r="H265" i="2"/>
  <c r="G265" i="2"/>
  <c r="C265" i="2"/>
  <c r="K264" i="2"/>
  <c r="K274" i="2" s="1"/>
  <c r="H264" i="2"/>
  <c r="G264" i="2"/>
  <c r="C264" i="2"/>
  <c r="M263" i="2"/>
  <c r="H263" i="2"/>
  <c r="G263" i="2"/>
  <c r="C263" i="2"/>
  <c r="H262" i="2"/>
  <c r="G262" i="2"/>
  <c r="AB262" i="2" s="1"/>
  <c r="C262" i="2"/>
  <c r="H261" i="2"/>
  <c r="G261" i="2"/>
  <c r="C261" i="2"/>
  <c r="H260" i="2"/>
  <c r="G260" i="2"/>
  <c r="C260" i="2"/>
  <c r="N259" i="2"/>
  <c r="H259" i="2"/>
  <c r="G259" i="2"/>
  <c r="C259" i="2"/>
  <c r="W257" i="2"/>
  <c r="V257" i="2"/>
  <c r="H257" i="2"/>
  <c r="G257" i="2"/>
  <c r="C257" i="2"/>
  <c r="AB256" i="2"/>
  <c r="AA256" i="2"/>
  <c r="R256" i="2"/>
  <c r="P256" i="2"/>
  <c r="N256" i="2"/>
  <c r="H256" i="2"/>
  <c r="G256" i="2"/>
  <c r="C256" i="2"/>
  <c r="AE255" i="2"/>
  <c r="W255" i="2"/>
  <c r="V255" i="2"/>
  <c r="T255" i="2"/>
  <c r="S255" i="2"/>
  <c r="Q255" i="2"/>
  <c r="P255" i="2"/>
  <c r="O255" i="2"/>
  <c r="N255" i="2"/>
  <c r="H255" i="2"/>
  <c r="G255" i="2"/>
  <c r="Z255" i="2" s="1"/>
  <c r="C255" i="2"/>
  <c r="AE254" i="2"/>
  <c r="AD254" i="2"/>
  <c r="AC254" i="2"/>
  <c r="AB254" i="2"/>
  <c r="AA254" i="2"/>
  <c r="Z254" i="2"/>
  <c r="Y254" i="2"/>
  <c r="X254" i="2"/>
  <c r="V254" i="2"/>
  <c r="T254" i="2"/>
  <c r="S254" i="2"/>
  <c r="R254" i="2"/>
  <c r="Q254" i="2"/>
  <c r="P254" i="2"/>
  <c r="O254" i="2"/>
  <c r="N254" i="2"/>
  <c r="M254" i="2"/>
  <c r="M264" i="2" s="1"/>
  <c r="L254" i="2"/>
  <c r="K254" i="2"/>
  <c r="H254" i="2"/>
  <c r="G254" i="2"/>
  <c r="W254" i="2" s="1"/>
  <c r="C254" i="2"/>
  <c r="AD253" i="2"/>
  <c r="AC253" i="2"/>
  <c r="Z253" i="2"/>
  <c r="W253" i="2"/>
  <c r="V253" i="2"/>
  <c r="U253" i="2"/>
  <c r="T253" i="2"/>
  <c r="P253" i="2"/>
  <c r="O253" i="2"/>
  <c r="N253" i="2"/>
  <c r="M253" i="2"/>
  <c r="H253" i="2"/>
  <c r="G253" i="2"/>
  <c r="X253" i="2" s="1"/>
  <c r="C253" i="2"/>
  <c r="AE252" i="2"/>
  <c r="AD252" i="2"/>
  <c r="AB252" i="2"/>
  <c r="Z252" i="2"/>
  <c r="X252" i="2"/>
  <c r="W252" i="2"/>
  <c r="V252" i="2"/>
  <c r="U252" i="2"/>
  <c r="R252" i="2"/>
  <c r="Q252" i="2"/>
  <c r="N252" i="2"/>
  <c r="L252" i="2"/>
  <c r="K252" i="2"/>
  <c r="H252" i="2"/>
  <c r="G252" i="2"/>
  <c r="T252" i="2" s="1"/>
  <c r="C252" i="2"/>
  <c r="AE251" i="2"/>
  <c r="AD251" i="2"/>
  <c r="AC251" i="2"/>
  <c r="AB251" i="2"/>
  <c r="AA251" i="2"/>
  <c r="Z251" i="2"/>
  <c r="Y251" i="2"/>
  <c r="X251" i="2"/>
  <c r="V251" i="2"/>
  <c r="U251" i="2"/>
  <c r="T251" i="2"/>
  <c r="S251" i="2"/>
  <c r="R251" i="2"/>
  <c r="Q251" i="2"/>
  <c r="P251" i="2"/>
  <c r="O251" i="2"/>
  <c r="N251" i="2"/>
  <c r="M251" i="2"/>
  <c r="L251" i="2"/>
  <c r="K251" i="2"/>
  <c r="H251" i="2"/>
  <c r="G251" i="2"/>
  <c r="W251" i="2" s="1"/>
  <c r="C251" i="2"/>
  <c r="AE250" i="2"/>
  <c r="AC250" i="2"/>
  <c r="AA250" i="2"/>
  <c r="Z250" i="2"/>
  <c r="Y250" i="2"/>
  <c r="O250" i="2"/>
  <c r="K250" i="2"/>
  <c r="K260" i="2" s="1"/>
  <c r="K270" i="2" s="1"/>
  <c r="H250" i="2"/>
  <c r="G250" i="2"/>
  <c r="AD250" i="2" s="1"/>
  <c r="C250" i="2"/>
  <c r="AB249" i="2"/>
  <c r="AB259" i="2" s="1"/>
  <c r="AA249" i="2"/>
  <c r="Z249" i="2"/>
  <c r="X249" i="2"/>
  <c r="W249" i="2"/>
  <c r="V249" i="2"/>
  <c r="U249" i="2"/>
  <c r="T249" i="2"/>
  <c r="S249" i="2"/>
  <c r="R249" i="2"/>
  <c r="P249" i="2"/>
  <c r="N249" i="2"/>
  <c r="L249" i="2"/>
  <c r="K249" i="2"/>
  <c r="H249" i="2"/>
  <c r="G249" i="2"/>
  <c r="C249" i="2"/>
  <c r="H243" i="2"/>
  <c r="C243" i="2"/>
  <c r="H242" i="2"/>
  <c r="G242" i="2"/>
  <c r="C242" i="2"/>
  <c r="L242" i="2" s="1"/>
  <c r="L241" i="2"/>
  <c r="H241" i="2"/>
  <c r="G241" i="2"/>
  <c r="C241" i="2"/>
  <c r="L240" i="2"/>
  <c r="H240" i="2"/>
  <c r="G240" i="2"/>
  <c r="C240" i="2"/>
  <c r="H239" i="2"/>
  <c r="G239" i="2"/>
  <c r="C239" i="2"/>
  <c r="L239" i="2" s="1"/>
  <c r="L238" i="2"/>
  <c r="H238" i="2"/>
  <c r="G238" i="2"/>
  <c r="C238" i="2"/>
  <c r="H237" i="2"/>
  <c r="G237" i="2"/>
  <c r="C237" i="2"/>
  <c r="L237" i="2" s="1"/>
  <c r="H236" i="2"/>
  <c r="G236" i="2"/>
  <c r="C236" i="2"/>
  <c r="L236" i="2" s="1"/>
  <c r="H235" i="2"/>
  <c r="G235" i="2"/>
  <c r="C235" i="2"/>
  <c r="L235" i="2" s="1"/>
  <c r="L234" i="2"/>
  <c r="H234" i="2"/>
  <c r="G234" i="2"/>
  <c r="C234" i="2"/>
  <c r="J232" i="2"/>
  <c r="H232" i="2"/>
  <c r="E232" i="2"/>
  <c r="C232" i="2"/>
  <c r="J231" i="2"/>
  <c r="H231" i="2"/>
  <c r="G231" i="2"/>
  <c r="F231" i="2"/>
  <c r="E231" i="2"/>
  <c r="C231" i="2"/>
  <c r="J230" i="2"/>
  <c r="H230" i="2"/>
  <c r="E230" i="2"/>
  <c r="C230" i="2"/>
  <c r="J229" i="2"/>
  <c r="H229" i="2"/>
  <c r="G229" i="2"/>
  <c r="F229" i="2"/>
  <c r="E229" i="2"/>
  <c r="C229" i="2"/>
  <c r="J228" i="2"/>
  <c r="H228" i="2"/>
  <c r="C228" i="2"/>
  <c r="J227" i="2"/>
  <c r="H227" i="2"/>
  <c r="G227" i="2"/>
  <c r="F227" i="2"/>
  <c r="E227" i="2"/>
  <c r="C227" i="2"/>
  <c r="J226" i="2"/>
  <c r="H226" i="2"/>
  <c r="C226" i="2"/>
  <c r="J225" i="2"/>
  <c r="H225" i="2"/>
  <c r="G225" i="2"/>
  <c r="F225" i="2"/>
  <c r="E225" i="2"/>
  <c r="C225" i="2"/>
  <c r="J224" i="2"/>
  <c r="H224" i="2"/>
  <c r="C224" i="2"/>
  <c r="AB221" i="2"/>
  <c r="Z221" i="2"/>
  <c r="U221" i="2"/>
  <c r="R221" i="2"/>
  <c r="Q221" i="2"/>
  <c r="O221" i="2"/>
  <c r="N221" i="2"/>
  <c r="M221" i="2"/>
  <c r="G221" i="2"/>
  <c r="AA221" i="2" s="1"/>
  <c r="C221" i="2"/>
  <c r="W220" i="2"/>
  <c r="V220" i="2"/>
  <c r="U220" i="2"/>
  <c r="S220" i="2"/>
  <c r="R220" i="2"/>
  <c r="G220" i="2"/>
  <c r="AC220" i="2" s="1"/>
  <c r="C220" i="2"/>
  <c r="AA219" i="2"/>
  <c r="G219" i="2"/>
  <c r="C219" i="2"/>
  <c r="AE218" i="2"/>
  <c r="AD218" i="2"/>
  <c r="AC218" i="2"/>
  <c r="AB218" i="2"/>
  <c r="AA218" i="2"/>
  <c r="Z218" i="2"/>
  <c r="Y218" i="2"/>
  <c r="W218" i="2"/>
  <c r="V218" i="2"/>
  <c r="U218" i="2"/>
  <c r="T218" i="2"/>
  <c r="S218" i="2"/>
  <c r="R218" i="2"/>
  <c r="Q218" i="2"/>
  <c r="P218" i="2"/>
  <c r="O218" i="2"/>
  <c r="N218" i="2"/>
  <c r="M218" i="2"/>
  <c r="L218" i="2"/>
  <c r="K218" i="2"/>
  <c r="G218" i="2"/>
  <c r="X218" i="2" s="1"/>
  <c r="C218" i="2"/>
  <c r="AE217" i="2"/>
  <c r="AD217" i="2"/>
  <c r="AC217" i="2"/>
  <c r="AA217" i="2"/>
  <c r="Z217" i="2"/>
  <c r="Y217" i="2"/>
  <c r="Y205" i="2" s="1"/>
  <c r="X217" i="2"/>
  <c r="U217" i="2"/>
  <c r="T217" i="2"/>
  <c r="Q217" i="2"/>
  <c r="P217" i="2"/>
  <c r="O217" i="2"/>
  <c r="N217" i="2"/>
  <c r="M217" i="2"/>
  <c r="L217" i="2"/>
  <c r="K217" i="2"/>
  <c r="G217" i="2"/>
  <c r="C217" i="2"/>
  <c r="H215" i="2"/>
  <c r="G215" i="2"/>
  <c r="C215" i="2"/>
  <c r="H214" i="2"/>
  <c r="G214" i="2"/>
  <c r="C214" i="2"/>
  <c r="H213" i="2"/>
  <c r="G213" i="2"/>
  <c r="C213" i="2"/>
  <c r="Y212" i="2"/>
  <c r="H212" i="2"/>
  <c r="G212" i="2"/>
  <c r="C212" i="2"/>
  <c r="H211" i="2"/>
  <c r="G211" i="2"/>
  <c r="C211" i="2"/>
  <c r="H210" i="2"/>
  <c r="G210" i="2"/>
  <c r="C210" i="2"/>
  <c r="H209" i="2"/>
  <c r="G209" i="2"/>
  <c r="C209" i="2"/>
  <c r="H208" i="2"/>
  <c r="G208" i="2"/>
  <c r="C208" i="2"/>
  <c r="H207" i="2"/>
  <c r="G207" i="2"/>
  <c r="C207" i="2"/>
  <c r="U205" i="2"/>
  <c r="M205" i="2"/>
  <c r="H205" i="2"/>
  <c r="G205" i="2"/>
  <c r="C205" i="2"/>
  <c r="AE204" i="2"/>
  <c r="AE214" i="2" s="1"/>
  <c r="AC204" i="2"/>
  <c r="N204" i="2"/>
  <c r="L204" i="2"/>
  <c r="L214" i="2" s="1"/>
  <c r="K204" i="2"/>
  <c r="K214" i="2" s="1"/>
  <c r="H204" i="2"/>
  <c r="G204" i="2"/>
  <c r="C204" i="2"/>
  <c r="H203" i="2"/>
  <c r="G203" i="2"/>
  <c r="C203" i="2"/>
  <c r="AD202" i="2"/>
  <c r="Z202" i="2"/>
  <c r="Y202" i="2"/>
  <c r="L202" i="2"/>
  <c r="K202" i="2"/>
  <c r="K212" i="2" s="1"/>
  <c r="H202" i="2"/>
  <c r="G202" i="2"/>
  <c r="C202" i="2"/>
  <c r="H201" i="2"/>
  <c r="G201" i="2"/>
  <c r="C201" i="2"/>
  <c r="L200" i="2"/>
  <c r="H200" i="2"/>
  <c r="G200" i="2"/>
  <c r="C200" i="2"/>
  <c r="U199" i="2"/>
  <c r="T199" i="2"/>
  <c r="O199" i="2"/>
  <c r="K199" i="2"/>
  <c r="H199" i="2"/>
  <c r="G199" i="2"/>
  <c r="Z199" i="2" s="1"/>
  <c r="C199" i="2"/>
  <c r="AD198" i="2"/>
  <c r="AC198" i="2"/>
  <c r="Z198" i="2"/>
  <c r="Y198" i="2"/>
  <c r="K198" i="2"/>
  <c r="H198" i="2"/>
  <c r="G198" i="2"/>
  <c r="C198" i="2"/>
  <c r="H197" i="2"/>
  <c r="G197" i="2"/>
  <c r="C197" i="2"/>
  <c r="AB195" i="2"/>
  <c r="Y195" i="2"/>
  <c r="X195" i="2"/>
  <c r="V195" i="2"/>
  <c r="U195" i="2"/>
  <c r="T195" i="2"/>
  <c r="S195" i="2"/>
  <c r="R195" i="2"/>
  <c r="Q195" i="2"/>
  <c r="Q205" i="2" s="1"/>
  <c r="N195" i="2"/>
  <c r="N205" i="2" s="1"/>
  <c r="M195" i="2"/>
  <c r="H195" i="2"/>
  <c r="G195" i="2"/>
  <c r="W195" i="2" s="1"/>
  <c r="C195" i="2"/>
  <c r="AE194" i="2"/>
  <c r="AD194" i="2"/>
  <c r="AC194" i="2"/>
  <c r="AB194" i="2"/>
  <c r="AA194" i="2"/>
  <c r="AA204" i="2" s="1"/>
  <c r="Z194" i="2"/>
  <c r="W194" i="2"/>
  <c r="U194" i="2"/>
  <c r="S194" i="2"/>
  <c r="R194" i="2"/>
  <c r="Q194" i="2"/>
  <c r="P194" i="2"/>
  <c r="O194" i="2"/>
  <c r="N194" i="2"/>
  <c r="M194" i="2"/>
  <c r="L194" i="2"/>
  <c r="K194" i="2"/>
  <c r="H194" i="2"/>
  <c r="G194" i="2"/>
  <c r="V194" i="2" s="1"/>
  <c r="C194" i="2"/>
  <c r="AE193" i="2"/>
  <c r="AC193" i="2"/>
  <c r="AB193" i="2"/>
  <c r="Y193" i="2"/>
  <c r="W193" i="2"/>
  <c r="V193" i="2"/>
  <c r="P193" i="2"/>
  <c r="P203" i="2" s="1"/>
  <c r="N193" i="2"/>
  <c r="N203" i="2" s="1"/>
  <c r="M193" i="2"/>
  <c r="L193" i="2"/>
  <c r="K193" i="2"/>
  <c r="H193" i="2"/>
  <c r="G193" i="2"/>
  <c r="Z193" i="2" s="1"/>
  <c r="C193" i="2"/>
  <c r="AE192" i="2"/>
  <c r="AD192" i="2"/>
  <c r="AA192" i="2"/>
  <c r="Z192" i="2"/>
  <c r="Y192" i="2"/>
  <c r="W192" i="2"/>
  <c r="V192" i="2"/>
  <c r="U192" i="2"/>
  <c r="U202" i="2" s="1"/>
  <c r="T192" i="2"/>
  <c r="S192" i="2"/>
  <c r="R192" i="2"/>
  <c r="Q192" i="2"/>
  <c r="Q202" i="2" s="1"/>
  <c r="P192" i="2"/>
  <c r="O192" i="2"/>
  <c r="O202" i="2" s="1"/>
  <c r="L192" i="2"/>
  <c r="K192" i="2"/>
  <c r="H192" i="2"/>
  <c r="G192" i="2"/>
  <c r="C192" i="2"/>
  <c r="AA191" i="2"/>
  <c r="AA201" i="2" s="1"/>
  <c r="Z191" i="2"/>
  <c r="Y191" i="2"/>
  <c r="Y201" i="2" s="1"/>
  <c r="K191" i="2"/>
  <c r="H191" i="2"/>
  <c r="G191" i="2"/>
  <c r="C191" i="2"/>
  <c r="AD190" i="2"/>
  <c r="AD200" i="2" s="1"/>
  <c r="AC190" i="2"/>
  <c r="AC200" i="2" s="1"/>
  <c r="Z190" i="2"/>
  <c r="Z200" i="2" s="1"/>
  <c r="X190" i="2"/>
  <c r="W190" i="2"/>
  <c r="S190" i="2"/>
  <c r="R190" i="2"/>
  <c r="O190" i="2"/>
  <c r="O200" i="2" s="1"/>
  <c r="N190" i="2"/>
  <c r="L190" i="2"/>
  <c r="K190" i="2"/>
  <c r="K200" i="2" s="1"/>
  <c r="K210" i="2" s="1"/>
  <c r="H190" i="2"/>
  <c r="G190" i="2"/>
  <c r="Y190" i="2" s="1"/>
  <c r="Y200" i="2" s="1"/>
  <c r="Y210" i="2" s="1"/>
  <c r="C190" i="2"/>
  <c r="AE189" i="2"/>
  <c r="AD189" i="2"/>
  <c r="AD199" i="2" s="1"/>
  <c r="AC189" i="2"/>
  <c r="AB189" i="2"/>
  <c r="Z189" i="2"/>
  <c r="Y189" i="2"/>
  <c r="Y199" i="2" s="1"/>
  <c r="X189" i="2"/>
  <c r="V189" i="2"/>
  <c r="U189" i="2"/>
  <c r="T189" i="2"/>
  <c r="S189" i="2"/>
  <c r="R189" i="2"/>
  <c r="Q189" i="2"/>
  <c r="P189" i="2"/>
  <c r="P199" i="2" s="1"/>
  <c r="O189" i="2"/>
  <c r="N189" i="2"/>
  <c r="L189" i="2"/>
  <c r="K189" i="2"/>
  <c r="H189" i="2"/>
  <c r="G189" i="2"/>
  <c r="AA189" i="2" s="1"/>
  <c r="C189" i="2"/>
  <c r="AE188" i="2"/>
  <c r="AE198" i="2" s="1"/>
  <c r="AD188" i="2"/>
  <c r="AC188" i="2"/>
  <c r="AB188" i="2"/>
  <c r="AA188" i="2"/>
  <c r="Z188" i="2"/>
  <c r="Y188" i="2"/>
  <c r="X188" i="2"/>
  <c r="V188" i="2"/>
  <c r="U188" i="2"/>
  <c r="U198" i="2" s="1"/>
  <c r="T188" i="2"/>
  <c r="S188" i="2"/>
  <c r="R188" i="2"/>
  <c r="Q188" i="2"/>
  <c r="Q198" i="2" s="1"/>
  <c r="P188" i="2"/>
  <c r="P198" i="2" s="1"/>
  <c r="O188" i="2"/>
  <c r="O198" i="2" s="1"/>
  <c r="N188" i="2"/>
  <c r="N198" i="2" s="1"/>
  <c r="M188" i="2"/>
  <c r="L188" i="2"/>
  <c r="L198" i="2" s="1"/>
  <c r="K188" i="2"/>
  <c r="H188" i="2"/>
  <c r="G188" i="2"/>
  <c r="W188" i="2" s="1"/>
  <c r="C188" i="2"/>
  <c r="X187" i="2"/>
  <c r="X197" i="2" s="1"/>
  <c r="V187" i="2"/>
  <c r="H187" i="2"/>
  <c r="G187" i="2"/>
  <c r="C187" i="2"/>
  <c r="L183" i="2"/>
  <c r="H183" i="2"/>
  <c r="C183" i="2"/>
  <c r="L182" i="2"/>
  <c r="H182" i="2"/>
  <c r="G182" i="2"/>
  <c r="C182" i="2"/>
  <c r="H181" i="2"/>
  <c r="G181" i="2"/>
  <c r="C181" i="2"/>
  <c r="L181" i="2" s="1"/>
  <c r="L180" i="2"/>
  <c r="H180" i="2"/>
  <c r="G180" i="2"/>
  <c r="C180" i="2"/>
  <c r="H179" i="2"/>
  <c r="G179" i="2"/>
  <c r="C179" i="2"/>
  <c r="L179" i="2" s="1"/>
  <c r="H178" i="2"/>
  <c r="G178" i="2"/>
  <c r="C178" i="2"/>
  <c r="L178" i="2" s="1"/>
  <c r="H177" i="2"/>
  <c r="G177" i="2"/>
  <c r="C177" i="2"/>
  <c r="L177" i="2" s="1"/>
  <c r="L176" i="2"/>
  <c r="H176" i="2"/>
  <c r="G176" i="2"/>
  <c r="C176" i="2"/>
  <c r="H175" i="2"/>
  <c r="G175" i="2"/>
  <c r="C175" i="2"/>
  <c r="L175" i="2" s="1"/>
  <c r="L174" i="2"/>
  <c r="H174" i="2"/>
  <c r="G174" i="2"/>
  <c r="C174" i="2"/>
  <c r="J172" i="2"/>
  <c r="H172" i="2"/>
  <c r="E172" i="2"/>
  <c r="C172" i="2"/>
  <c r="J171" i="2"/>
  <c r="G171" i="2" s="1"/>
  <c r="H171" i="2"/>
  <c r="C171" i="2"/>
  <c r="J170" i="2"/>
  <c r="E170" i="2" s="1"/>
  <c r="H170" i="2"/>
  <c r="G170" i="2"/>
  <c r="F170" i="2"/>
  <c r="C170" i="2"/>
  <c r="J169" i="2"/>
  <c r="G169" i="2" s="1"/>
  <c r="H169" i="2"/>
  <c r="C169" i="2"/>
  <c r="J168" i="2"/>
  <c r="E168" i="2" s="1"/>
  <c r="H168" i="2"/>
  <c r="G168" i="2"/>
  <c r="F168" i="2"/>
  <c r="C168" i="2"/>
  <c r="J167" i="2"/>
  <c r="H167" i="2"/>
  <c r="G167" i="2"/>
  <c r="C167" i="2"/>
  <c r="J166" i="2"/>
  <c r="H166" i="2"/>
  <c r="C166" i="2"/>
  <c r="J165" i="2"/>
  <c r="H165" i="2"/>
  <c r="C165" i="2"/>
  <c r="J164" i="2"/>
  <c r="E164" i="2" s="1"/>
  <c r="H164" i="2"/>
  <c r="F164" i="2"/>
  <c r="C164" i="2"/>
  <c r="AE161" i="2"/>
  <c r="AD161" i="2"/>
  <c r="AC161" i="2"/>
  <c r="W161" i="2"/>
  <c r="V161" i="2"/>
  <c r="U161" i="2"/>
  <c r="T161" i="2"/>
  <c r="S161" i="2"/>
  <c r="R161" i="2"/>
  <c r="Q161" i="2"/>
  <c r="O161" i="2"/>
  <c r="N161" i="2"/>
  <c r="K161" i="2"/>
  <c r="G161" i="2"/>
  <c r="Y161" i="2" s="1"/>
  <c r="C161" i="2"/>
  <c r="L160" i="2"/>
  <c r="G160" i="2"/>
  <c r="C160" i="2"/>
  <c r="T159" i="2"/>
  <c r="G159" i="2"/>
  <c r="C159" i="2"/>
  <c r="AB158" i="2"/>
  <c r="AA158" i="2"/>
  <c r="X158" i="2"/>
  <c r="W158" i="2"/>
  <c r="V158" i="2"/>
  <c r="R158" i="2"/>
  <c r="Q158" i="2"/>
  <c r="P158" i="2"/>
  <c r="G158" i="2"/>
  <c r="U158" i="2" s="1"/>
  <c r="C158" i="2"/>
  <c r="AE157" i="2"/>
  <c r="AD157" i="2"/>
  <c r="AC157" i="2"/>
  <c r="AB157" i="2"/>
  <c r="AA157" i="2"/>
  <c r="Y157" i="2"/>
  <c r="X157" i="2"/>
  <c r="W157" i="2"/>
  <c r="V157" i="2"/>
  <c r="Q157" i="2"/>
  <c r="P157" i="2"/>
  <c r="O157" i="2"/>
  <c r="N157" i="2"/>
  <c r="M157" i="2"/>
  <c r="L157" i="2"/>
  <c r="K157" i="2"/>
  <c r="G157" i="2"/>
  <c r="S157" i="2" s="1"/>
  <c r="C157" i="2"/>
  <c r="H155" i="2"/>
  <c r="G155" i="2"/>
  <c r="C155" i="2"/>
  <c r="P154" i="2"/>
  <c r="H154" i="2"/>
  <c r="G154" i="2"/>
  <c r="C154" i="2"/>
  <c r="H153" i="2"/>
  <c r="G153" i="2"/>
  <c r="C153" i="2"/>
  <c r="H152" i="2"/>
  <c r="G152" i="2"/>
  <c r="C152" i="2"/>
  <c r="H151" i="2"/>
  <c r="G151" i="2"/>
  <c r="C151" i="2"/>
  <c r="H150" i="2"/>
  <c r="G150" i="2"/>
  <c r="C150" i="2"/>
  <c r="H149" i="2"/>
  <c r="G149" i="2"/>
  <c r="C149" i="2"/>
  <c r="H148" i="2"/>
  <c r="G148" i="2"/>
  <c r="C148" i="2"/>
  <c r="H147" i="2"/>
  <c r="G147" i="2"/>
  <c r="C147" i="2"/>
  <c r="H145" i="2"/>
  <c r="G145" i="2"/>
  <c r="C145" i="2"/>
  <c r="X144" i="2"/>
  <c r="S144" i="2"/>
  <c r="P144" i="2"/>
  <c r="M144" i="2"/>
  <c r="L144" i="2"/>
  <c r="H144" i="2"/>
  <c r="G144" i="2"/>
  <c r="C144" i="2"/>
  <c r="H143" i="2"/>
  <c r="G143" i="2"/>
  <c r="C143" i="2"/>
  <c r="H142" i="2"/>
  <c r="G142" i="2"/>
  <c r="C142" i="2"/>
  <c r="H141" i="2"/>
  <c r="G141" i="2"/>
  <c r="C141" i="2"/>
  <c r="H140" i="2"/>
  <c r="G140" i="2"/>
  <c r="C140" i="2"/>
  <c r="AC139" i="2"/>
  <c r="S139" i="2"/>
  <c r="H139" i="2"/>
  <c r="G139" i="2"/>
  <c r="AA139" i="2" s="1"/>
  <c r="C139" i="2"/>
  <c r="H138" i="2"/>
  <c r="G138" i="2"/>
  <c r="C138" i="2"/>
  <c r="H137" i="2"/>
  <c r="G137" i="2"/>
  <c r="C137" i="2"/>
  <c r="AE135" i="2"/>
  <c r="AC135" i="2"/>
  <c r="Y135" i="2"/>
  <c r="W135" i="2"/>
  <c r="V135" i="2"/>
  <c r="T135" i="2"/>
  <c r="S135" i="2"/>
  <c r="R135" i="2"/>
  <c r="P135" i="2"/>
  <c r="O135" i="2"/>
  <c r="L135" i="2"/>
  <c r="H135" i="2"/>
  <c r="G135" i="2"/>
  <c r="U135" i="2" s="1"/>
  <c r="C135" i="2"/>
  <c r="AE134" i="2"/>
  <c r="AD134" i="2"/>
  <c r="AD144" i="2" s="1"/>
  <c r="AC134" i="2"/>
  <c r="AC144" i="2" s="1"/>
  <c r="AB134" i="2"/>
  <c r="AA134" i="2"/>
  <c r="AA144" i="2" s="1"/>
  <c r="Z134" i="2"/>
  <c r="Y134" i="2"/>
  <c r="V134" i="2"/>
  <c r="V144" i="2" s="1"/>
  <c r="U134" i="2"/>
  <c r="T134" i="2"/>
  <c r="S134" i="2"/>
  <c r="R134" i="2"/>
  <c r="Q134" i="2"/>
  <c r="P134" i="2"/>
  <c r="O134" i="2"/>
  <c r="O144" i="2" s="1"/>
  <c r="N134" i="2"/>
  <c r="N144" i="2" s="1"/>
  <c r="M134" i="2"/>
  <c r="L134" i="2"/>
  <c r="K134" i="2"/>
  <c r="K144" i="2" s="1"/>
  <c r="H134" i="2"/>
  <c r="G134" i="2"/>
  <c r="X134" i="2" s="1"/>
  <c r="C134" i="2"/>
  <c r="H133" i="2"/>
  <c r="G133" i="2"/>
  <c r="C133" i="2"/>
  <c r="AE132" i="2"/>
  <c r="AE142" i="2" s="1"/>
  <c r="W132" i="2"/>
  <c r="N132" i="2"/>
  <c r="N142" i="2" s="1"/>
  <c r="L132" i="2"/>
  <c r="L142" i="2" s="1"/>
  <c r="H132" i="2"/>
  <c r="G132" i="2"/>
  <c r="Y132" i="2" s="1"/>
  <c r="Y142" i="2" s="1"/>
  <c r="C132" i="2"/>
  <c r="AE131" i="2"/>
  <c r="AD131" i="2"/>
  <c r="AC131" i="2"/>
  <c r="AB131" i="2"/>
  <c r="AA131" i="2"/>
  <c r="W131" i="2"/>
  <c r="V131" i="2"/>
  <c r="U131" i="2"/>
  <c r="T131" i="2"/>
  <c r="S131" i="2"/>
  <c r="R131" i="2"/>
  <c r="Q131" i="2"/>
  <c r="P131" i="2"/>
  <c r="O131" i="2"/>
  <c r="N131" i="2"/>
  <c r="M131" i="2"/>
  <c r="K131" i="2"/>
  <c r="H131" i="2"/>
  <c r="G131" i="2"/>
  <c r="C131" i="2"/>
  <c r="AD130" i="2"/>
  <c r="AB130" i="2"/>
  <c r="AB140" i="2" s="1"/>
  <c r="U130" i="2"/>
  <c r="N130" i="2"/>
  <c r="N140" i="2" s="1"/>
  <c r="L130" i="2"/>
  <c r="L140" i="2" s="1"/>
  <c r="H130" i="2"/>
  <c r="G130" i="2"/>
  <c r="X130" i="2" s="1"/>
  <c r="X140" i="2" s="1"/>
  <c r="C130" i="2"/>
  <c r="AD129" i="2"/>
  <c r="AC129" i="2"/>
  <c r="AA129" i="2"/>
  <c r="W129" i="2"/>
  <c r="V129" i="2"/>
  <c r="U129" i="2"/>
  <c r="S129" i="2"/>
  <c r="Q129" i="2"/>
  <c r="P129" i="2"/>
  <c r="N129" i="2"/>
  <c r="N139" i="2" s="1"/>
  <c r="L129" i="2"/>
  <c r="K129" i="2"/>
  <c r="H129" i="2"/>
  <c r="G129" i="2"/>
  <c r="X129" i="2" s="1"/>
  <c r="C129" i="2"/>
  <c r="AE128" i="2"/>
  <c r="AE138" i="2" s="1"/>
  <c r="AC128" i="2"/>
  <c r="AC138" i="2" s="1"/>
  <c r="U128" i="2"/>
  <c r="O128" i="2"/>
  <c r="O138" i="2" s="1"/>
  <c r="L128" i="2"/>
  <c r="L138" i="2" s="1"/>
  <c r="H128" i="2"/>
  <c r="G128" i="2"/>
  <c r="X128" i="2" s="1"/>
  <c r="X138" i="2" s="1"/>
  <c r="C128" i="2"/>
  <c r="AC127" i="2"/>
  <c r="AB127" i="2"/>
  <c r="AA127" i="2"/>
  <c r="V127" i="2"/>
  <c r="U127" i="2"/>
  <c r="T127" i="2"/>
  <c r="R127" i="2"/>
  <c r="Q127" i="2"/>
  <c r="O127" i="2"/>
  <c r="M127" i="2"/>
  <c r="L127" i="2"/>
  <c r="K127" i="2"/>
  <c r="H127" i="2"/>
  <c r="G127" i="2"/>
  <c r="W127" i="2" s="1"/>
  <c r="C127" i="2"/>
  <c r="H123" i="2"/>
  <c r="C123" i="2"/>
  <c r="L122" i="2"/>
  <c r="H122" i="2"/>
  <c r="G122" i="2"/>
  <c r="C122" i="2"/>
  <c r="L121" i="2"/>
  <c r="H121" i="2"/>
  <c r="G121" i="2"/>
  <c r="C121" i="2"/>
  <c r="L120" i="2"/>
  <c r="H120" i="2"/>
  <c r="G120" i="2"/>
  <c r="C120" i="2"/>
  <c r="H119" i="2"/>
  <c r="G119" i="2"/>
  <c r="C119" i="2"/>
  <c r="L119" i="2" s="1"/>
  <c r="H118" i="2"/>
  <c r="G118" i="2"/>
  <c r="C118" i="2"/>
  <c r="L118" i="2" s="1"/>
  <c r="H117" i="2"/>
  <c r="G117" i="2"/>
  <c r="C117" i="2"/>
  <c r="L117" i="2" s="1"/>
  <c r="H116" i="2"/>
  <c r="G116" i="2"/>
  <c r="C116" i="2"/>
  <c r="L116" i="2" s="1"/>
  <c r="L115" i="2"/>
  <c r="H115" i="2"/>
  <c r="G115" i="2"/>
  <c r="C115" i="2"/>
  <c r="L114" i="2"/>
  <c r="H114" i="2"/>
  <c r="G114" i="2"/>
  <c r="C114" i="2"/>
  <c r="J112" i="2"/>
  <c r="H112" i="2"/>
  <c r="F112" i="2"/>
  <c r="C112" i="2"/>
  <c r="J111" i="2"/>
  <c r="H111" i="2"/>
  <c r="G111" i="2"/>
  <c r="F111" i="2"/>
  <c r="E111" i="2"/>
  <c r="C111" i="2"/>
  <c r="J110" i="2"/>
  <c r="F110" i="2" s="1"/>
  <c r="H110" i="2"/>
  <c r="G110" i="2"/>
  <c r="E110" i="2"/>
  <c r="C110" i="2"/>
  <c r="J109" i="2"/>
  <c r="G109" i="2" s="1"/>
  <c r="H109" i="2"/>
  <c r="F109" i="2"/>
  <c r="E109" i="2"/>
  <c r="C109" i="2"/>
  <c r="J108" i="2"/>
  <c r="H108" i="2"/>
  <c r="G108" i="2"/>
  <c r="F108" i="2"/>
  <c r="E108" i="2"/>
  <c r="C108" i="2"/>
  <c r="J107" i="2"/>
  <c r="G107" i="2" s="1"/>
  <c r="H107" i="2"/>
  <c r="E107" i="2"/>
  <c r="C107" i="2"/>
  <c r="J106" i="2"/>
  <c r="F106" i="2" s="1"/>
  <c r="H106" i="2"/>
  <c r="C106" i="2"/>
  <c r="J105" i="2"/>
  <c r="H105" i="2"/>
  <c r="C105" i="2"/>
  <c r="J104" i="2"/>
  <c r="H104" i="2"/>
  <c r="E104" i="2"/>
  <c r="C104" i="2"/>
  <c r="AE101" i="2"/>
  <c r="AD101" i="2"/>
  <c r="AC101" i="2"/>
  <c r="AB101" i="2"/>
  <c r="Y101" i="2"/>
  <c r="X101" i="2"/>
  <c r="V101" i="2"/>
  <c r="U101" i="2"/>
  <c r="S101" i="2"/>
  <c r="Q101" i="2"/>
  <c r="P101" i="2"/>
  <c r="O101" i="2"/>
  <c r="N101" i="2"/>
  <c r="M101" i="2"/>
  <c r="L101" i="2"/>
  <c r="G101" i="2"/>
  <c r="T101" i="2" s="1"/>
  <c r="C101" i="2"/>
  <c r="AD100" i="2"/>
  <c r="AC100" i="2"/>
  <c r="AB100" i="2"/>
  <c r="Y100" i="2"/>
  <c r="X100" i="2"/>
  <c r="W100" i="2"/>
  <c r="V100" i="2"/>
  <c r="U100" i="2"/>
  <c r="T100" i="2"/>
  <c r="S100" i="2"/>
  <c r="Q100" i="2"/>
  <c r="O100" i="2"/>
  <c r="N100" i="2"/>
  <c r="L100" i="2"/>
  <c r="K100" i="2"/>
  <c r="G100" i="2"/>
  <c r="C100" i="2"/>
  <c r="AE99" i="2"/>
  <c r="AD99" i="2"/>
  <c r="AB99" i="2"/>
  <c r="AA99" i="2"/>
  <c r="T99" i="2"/>
  <c r="S99" i="2"/>
  <c r="R99" i="2"/>
  <c r="P99" i="2"/>
  <c r="O99" i="2"/>
  <c r="N99" i="2"/>
  <c r="L99" i="2"/>
  <c r="K99" i="2"/>
  <c r="G99" i="2"/>
  <c r="Y99" i="2" s="1"/>
  <c r="C99" i="2"/>
  <c r="AB98" i="2"/>
  <c r="AA98" i="2"/>
  <c r="Z98" i="2"/>
  <c r="W98" i="2"/>
  <c r="T98" i="2"/>
  <c r="L98" i="2"/>
  <c r="K98" i="2"/>
  <c r="G98" i="2"/>
  <c r="C98" i="2"/>
  <c r="AA97" i="2"/>
  <c r="AA79" i="2" s="1"/>
  <c r="S97" i="2"/>
  <c r="R97" i="2"/>
  <c r="Q97" i="2"/>
  <c r="N97" i="2"/>
  <c r="G97" i="2"/>
  <c r="AD97" i="2" s="1"/>
  <c r="C97" i="2"/>
  <c r="H95" i="2"/>
  <c r="G95" i="2"/>
  <c r="C95" i="2"/>
  <c r="H94" i="2"/>
  <c r="G94" i="2"/>
  <c r="C94" i="2"/>
  <c r="H93" i="2"/>
  <c r="G93" i="2"/>
  <c r="C93" i="2"/>
  <c r="H92" i="2"/>
  <c r="G92" i="2"/>
  <c r="C92" i="2"/>
  <c r="H91" i="2"/>
  <c r="G91" i="2"/>
  <c r="C91" i="2"/>
  <c r="H90" i="2"/>
  <c r="G90" i="2"/>
  <c r="C90" i="2"/>
  <c r="H89" i="2"/>
  <c r="G89" i="2"/>
  <c r="C89" i="2"/>
  <c r="H88" i="2"/>
  <c r="G88" i="2"/>
  <c r="C88" i="2"/>
  <c r="H87" i="2"/>
  <c r="G87" i="2"/>
  <c r="C87" i="2"/>
  <c r="Q85" i="2"/>
  <c r="H85" i="2"/>
  <c r="G85" i="2"/>
  <c r="C85" i="2"/>
  <c r="H84" i="2"/>
  <c r="G84" i="2"/>
  <c r="C84" i="2"/>
  <c r="H83" i="2"/>
  <c r="G83" i="2"/>
  <c r="C83" i="2"/>
  <c r="H82" i="2"/>
  <c r="G82" i="2"/>
  <c r="C82" i="2"/>
  <c r="H81" i="2"/>
  <c r="G81" i="2"/>
  <c r="C81" i="2"/>
  <c r="H80" i="2"/>
  <c r="G80" i="2"/>
  <c r="C80" i="2"/>
  <c r="S79" i="2"/>
  <c r="H79" i="2"/>
  <c r="G79" i="2"/>
  <c r="C79" i="2"/>
  <c r="H78" i="2"/>
  <c r="G78" i="2"/>
  <c r="C78" i="2"/>
  <c r="H77" i="2"/>
  <c r="G77" i="2"/>
  <c r="C77" i="2"/>
  <c r="AA75" i="2"/>
  <c r="Z75" i="2"/>
  <c r="Y75" i="2"/>
  <c r="W75" i="2"/>
  <c r="V75" i="2"/>
  <c r="U75" i="2"/>
  <c r="T75" i="2"/>
  <c r="R75" i="2"/>
  <c r="Q75" i="2"/>
  <c r="P75" i="2"/>
  <c r="H75" i="2"/>
  <c r="G75" i="2"/>
  <c r="C75" i="2"/>
  <c r="Z74" i="2"/>
  <c r="W74" i="2"/>
  <c r="Q74" i="2"/>
  <c r="Q84" i="2" s="1"/>
  <c r="H74" i="2"/>
  <c r="G74" i="2"/>
  <c r="AE74" i="2" s="1"/>
  <c r="C74" i="2"/>
  <c r="AA73" i="2"/>
  <c r="H73" i="2"/>
  <c r="G73" i="2"/>
  <c r="AC73" i="2" s="1"/>
  <c r="C73" i="2"/>
  <c r="AE72" i="2"/>
  <c r="AC72" i="2"/>
  <c r="AB72" i="2"/>
  <c r="AA72" i="2"/>
  <c r="Y72" i="2"/>
  <c r="W72" i="2"/>
  <c r="V72" i="2"/>
  <c r="U72" i="2"/>
  <c r="S72" i="2"/>
  <c r="R72" i="2"/>
  <c r="Q72" i="2"/>
  <c r="O72" i="2"/>
  <c r="N72" i="2"/>
  <c r="M72" i="2"/>
  <c r="L72" i="2"/>
  <c r="H72" i="2"/>
  <c r="G72" i="2"/>
  <c r="T72" i="2" s="1"/>
  <c r="C72" i="2"/>
  <c r="AD71" i="2"/>
  <c r="Y71" i="2"/>
  <c r="X71" i="2"/>
  <c r="W71" i="2"/>
  <c r="V71" i="2"/>
  <c r="U71" i="2"/>
  <c r="S71" i="2"/>
  <c r="Q71" i="2"/>
  <c r="P71" i="2"/>
  <c r="O71" i="2"/>
  <c r="M71" i="2"/>
  <c r="H71" i="2"/>
  <c r="G71" i="2"/>
  <c r="AA71" i="2" s="1"/>
  <c r="C71" i="2"/>
  <c r="Y70" i="2"/>
  <c r="U70" i="2"/>
  <c r="R70" i="2"/>
  <c r="R80" i="2" s="1"/>
  <c r="H70" i="2"/>
  <c r="G70" i="2"/>
  <c r="AE70" i="2" s="1"/>
  <c r="C70" i="2"/>
  <c r="AE69" i="2"/>
  <c r="AD69" i="2"/>
  <c r="AC69" i="2"/>
  <c r="AB69" i="2"/>
  <c r="AA69" i="2"/>
  <c r="Z69" i="2"/>
  <c r="Y69" i="2"/>
  <c r="W69" i="2"/>
  <c r="V69" i="2"/>
  <c r="U69" i="2"/>
  <c r="T69" i="2"/>
  <c r="S69" i="2"/>
  <c r="Q69" i="2"/>
  <c r="P69" i="2"/>
  <c r="O69" i="2"/>
  <c r="N69" i="2"/>
  <c r="M69" i="2"/>
  <c r="L69" i="2"/>
  <c r="K69" i="2"/>
  <c r="H69" i="2"/>
  <c r="G69" i="2"/>
  <c r="R69" i="2" s="1"/>
  <c r="C69" i="2"/>
  <c r="AD68" i="2"/>
  <c r="AA68" i="2"/>
  <c r="Y68" i="2"/>
  <c r="X68" i="2"/>
  <c r="W68" i="2"/>
  <c r="V68" i="2"/>
  <c r="U68" i="2"/>
  <c r="T68" i="2"/>
  <c r="S68" i="2"/>
  <c r="S78" i="2" s="1"/>
  <c r="Q68" i="2"/>
  <c r="O68" i="2"/>
  <c r="M68" i="2"/>
  <c r="L68" i="2"/>
  <c r="H68" i="2"/>
  <c r="G68" i="2"/>
  <c r="C68" i="2"/>
  <c r="W67" i="2"/>
  <c r="S67" i="2"/>
  <c r="S77" i="2" s="1"/>
  <c r="H67" i="2"/>
  <c r="G67" i="2"/>
  <c r="AD67" i="2" s="1"/>
  <c r="AD77" i="2" s="1"/>
  <c r="C67" i="2"/>
  <c r="H63" i="2"/>
  <c r="C63" i="2"/>
  <c r="H62" i="2"/>
  <c r="G62" i="2"/>
  <c r="C62" i="2"/>
  <c r="L62" i="2" s="1"/>
  <c r="L61" i="2"/>
  <c r="H61" i="2"/>
  <c r="G61" i="2"/>
  <c r="C61" i="2"/>
  <c r="L60" i="2"/>
  <c r="H60" i="2"/>
  <c r="G60" i="2"/>
  <c r="C60" i="2"/>
  <c r="L59" i="2"/>
  <c r="H59" i="2"/>
  <c r="G59" i="2"/>
  <c r="C59" i="2"/>
  <c r="H58" i="2"/>
  <c r="G58" i="2"/>
  <c r="C58" i="2"/>
  <c r="L58" i="2" s="1"/>
  <c r="L57" i="2"/>
  <c r="H57" i="2"/>
  <c r="G57" i="2"/>
  <c r="C57" i="2"/>
  <c r="L56" i="2"/>
  <c r="H56" i="2"/>
  <c r="G56" i="2"/>
  <c r="C56" i="2"/>
  <c r="H55" i="2"/>
  <c r="G55" i="2"/>
  <c r="C55" i="2"/>
  <c r="L55" i="2" s="1"/>
  <c r="H54" i="2"/>
  <c r="G54" i="2"/>
  <c r="C54" i="2"/>
  <c r="L54" i="2" s="1"/>
  <c r="J52" i="2"/>
  <c r="H52" i="2"/>
  <c r="G52" i="2"/>
  <c r="F52" i="2"/>
  <c r="E52" i="2"/>
  <c r="C52" i="2"/>
  <c r="J51" i="2"/>
  <c r="G51" i="2" s="1"/>
  <c r="H51" i="2"/>
  <c r="C51" i="2"/>
  <c r="J50" i="2"/>
  <c r="F50" i="2" s="1"/>
  <c r="H50" i="2"/>
  <c r="C50" i="2"/>
  <c r="J49" i="2"/>
  <c r="G49" i="2" s="1"/>
  <c r="I49" i="2"/>
  <c r="H49" i="2"/>
  <c r="C49" i="2"/>
  <c r="J48" i="2"/>
  <c r="G48" i="2" s="1"/>
  <c r="I48" i="2"/>
  <c r="H48" i="2"/>
  <c r="E48" i="2"/>
  <c r="C48" i="2"/>
  <c r="J47" i="2"/>
  <c r="G47" i="2" s="1"/>
  <c r="I47" i="2"/>
  <c r="H47" i="2"/>
  <c r="C47" i="2"/>
  <c r="J46" i="2"/>
  <c r="G46" i="2" s="1"/>
  <c r="I46" i="2"/>
  <c r="H46" i="2"/>
  <c r="C46" i="2"/>
  <c r="J45" i="2"/>
  <c r="G45" i="2" s="1"/>
  <c r="I45" i="2"/>
  <c r="H45" i="2"/>
  <c r="F45" i="2"/>
  <c r="C45" i="2"/>
  <c r="J44" i="2"/>
  <c r="G44" i="2" s="1"/>
  <c r="I44" i="2"/>
  <c r="H44" i="2"/>
  <c r="C44" i="2"/>
  <c r="AE41" i="2"/>
  <c r="AD41" i="2"/>
  <c r="AC41" i="2"/>
  <c r="AA41" i="2"/>
  <c r="Z41" i="2"/>
  <c r="W41" i="2"/>
  <c r="V41" i="2"/>
  <c r="U41" i="2"/>
  <c r="T41" i="2"/>
  <c r="P41" i="2"/>
  <c r="O41" i="2"/>
  <c r="M41" i="2"/>
  <c r="L41" i="2"/>
  <c r="K41" i="2"/>
  <c r="G41" i="2"/>
  <c r="X41" i="2" s="1"/>
  <c r="C41" i="2"/>
  <c r="AE40" i="2"/>
  <c r="AD40" i="2"/>
  <c r="AC40" i="2"/>
  <c r="AB40" i="2"/>
  <c r="X40" i="2"/>
  <c r="V40" i="2"/>
  <c r="U40" i="2"/>
  <c r="T40" i="2"/>
  <c r="S40" i="2"/>
  <c r="R40" i="2"/>
  <c r="Q40" i="2"/>
  <c r="P40" i="2"/>
  <c r="O40" i="2"/>
  <c r="N40" i="2"/>
  <c r="M40" i="2"/>
  <c r="G40" i="2"/>
  <c r="W40" i="2" s="1"/>
  <c r="C40" i="2"/>
  <c r="AB39" i="2"/>
  <c r="M39" i="2"/>
  <c r="G39" i="2"/>
  <c r="R39" i="2" s="1"/>
  <c r="C39" i="2"/>
  <c r="AD38" i="2"/>
  <c r="X38" i="2"/>
  <c r="W38" i="2"/>
  <c r="V38" i="2"/>
  <c r="U38" i="2"/>
  <c r="R38" i="2"/>
  <c r="O38" i="2"/>
  <c r="G38" i="2"/>
  <c r="AB38" i="2" s="1"/>
  <c r="C38" i="2"/>
  <c r="AE37" i="2"/>
  <c r="AD37" i="2"/>
  <c r="AD25" i="2" s="1"/>
  <c r="AC37" i="2"/>
  <c r="Z37" i="2"/>
  <c r="W37" i="2"/>
  <c r="R37" i="2"/>
  <c r="Q37" i="2"/>
  <c r="P37" i="2"/>
  <c r="O37" i="2"/>
  <c r="O21" i="2" s="1"/>
  <c r="N37" i="2"/>
  <c r="N25" i="2" s="1"/>
  <c r="K37" i="2"/>
  <c r="G37" i="2"/>
  <c r="V37" i="2" s="1"/>
  <c r="C37" i="2"/>
  <c r="W35" i="2"/>
  <c r="H35" i="2"/>
  <c r="G35" i="2"/>
  <c r="C35" i="2"/>
  <c r="H34" i="2"/>
  <c r="G34" i="2"/>
  <c r="C34" i="2"/>
  <c r="H33" i="2"/>
  <c r="G33" i="2"/>
  <c r="C33" i="2"/>
  <c r="H32" i="2"/>
  <c r="G32" i="2"/>
  <c r="C32" i="2"/>
  <c r="H31" i="2"/>
  <c r="G31" i="2"/>
  <c r="C31" i="2"/>
  <c r="H30" i="2"/>
  <c r="G30" i="2"/>
  <c r="C30" i="2"/>
  <c r="H29" i="2"/>
  <c r="G29" i="2"/>
  <c r="C29" i="2"/>
  <c r="H28" i="2"/>
  <c r="G28" i="2"/>
  <c r="C28" i="2"/>
  <c r="H27" i="2"/>
  <c r="G27" i="2"/>
  <c r="C27" i="2"/>
  <c r="H25" i="2"/>
  <c r="G25" i="2"/>
  <c r="W25" i="2" s="1"/>
  <c r="C25" i="2"/>
  <c r="H24" i="2"/>
  <c r="G24" i="2"/>
  <c r="Z24" i="2" s="1"/>
  <c r="C24" i="2"/>
  <c r="H23" i="2"/>
  <c r="G23" i="2"/>
  <c r="C23" i="2"/>
  <c r="V22" i="2"/>
  <c r="V32" i="2" s="1"/>
  <c r="H22" i="2"/>
  <c r="G22" i="2"/>
  <c r="C22" i="2"/>
  <c r="AE21" i="2"/>
  <c r="V21" i="2"/>
  <c r="V31" i="2" s="1"/>
  <c r="H21" i="2"/>
  <c r="G21" i="2"/>
  <c r="C21" i="2"/>
  <c r="H20" i="2"/>
  <c r="G20" i="2"/>
  <c r="C20" i="2"/>
  <c r="H19" i="2"/>
  <c r="G19" i="2"/>
  <c r="C19" i="2"/>
  <c r="AE18" i="2"/>
  <c r="Q18" i="2"/>
  <c r="P18" i="2"/>
  <c r="H18" i="2"/>
  <c r="G18" i="2"/>
  <c r="C18" i="2"/>
  <c r="V17" i="2"/>
  <c r="H17" i="2"/>
  <c r="G17" i="2"/>
  <c r="C17" i="2"/>
  <c r="AE15" i="2"/>
  <c r="AE25" i="2" s="1"/>
  <c r="AD15" i="2"/>
  <c r="AB15" i="2"/>
  <c r="W15" i="2"/>
  <c r="V15" i="2"/>
  <c r="V25" i="2" s="1"/>
  <c r="U15" i="2"/>
  <c r="T15" i="2"/>
  <c r="Q15" i="2"/>
  <c r="Q25" i="2" s="1"/>
  <c r="P15" i="2"/>
  <c r="P25" i="2" s="1"/>
  <c r="N15" i="2"/>
  <c r="M15" i="2"/>
  <c r="H15" i="2"/>
  <c r="G15" i="2"/>
  <c r="Z15" i="2" s="1"/>
  <c r="Z25" i="2" s="1"/>
  <c r="C15" i="2"/>
  <c r="AE14" i="2"/>
  <c r="AD14" i="2"/>
  <c r="AC14" i="2"/>
  <c r="Z14" i="2"/>
  <c r="X14" i="2"/>
  <c r="V14" i="2"/>
  <c r="Q14" i="2"/>
  <c r="P14" i="2"/>
  <c r="O14" i="2"/>
  <c r="N14" i="2"/>
  <c r="K14" i="2"/>
  <c r="H14" i="2"/>
  <c r="G14" i="2"/>
  <c r="Y14" i="2" s="1"/>
  <c r="C14" i="2"/>
  <c r="AB13" i="2"/>
  <c r="AA13" i="2"/>
  <c r="Z13" i="2"/>
  <c r="Z23" i="2" s="1"/>
  <c r="Y13" i="2"/>
  <c r="X13" i="2"/>
  <c r="U13" i="2"/>
  <c r="T13" i="2"/>
  <c r="S13" i="2"/>
  <c r="R13" i="2"/>
  <c r="R23" i="2" s="1"/>
  <c r="N13" i="2"/>
  <c r="N23" i="2" s="1"/>
  <c r="M13" i="2"/>
  <c r="L13" i="2"/>
  <c r="K13" i="2"/>
  <c r="K23" i="2" s="1"/>
  <c r="H13" i="2"/>
  <c r="G13" i="2"/>
  <c r="W13" i="2" s="1"/>
  <c r="W23" i="2" s="1"/>
  <c r="C13" i="2"/>
  <c r="AE12" i="2"/>
  <c r="AD12" i="2"/>
  <c r="AD22" i="2" s="1"/>
  <c r="AB12" i="2"/>
  <c r="V12" i="2"/>
  <c r="U12" i="2"/>
  <c r="T12" i="2"/>
  <c r="Q12" i="2"/>
  <c r="P12" i="2"/>
  <c r="N12" i="2"/>
  <c r="N22" i="2" s="1"/>
  <c r="H12" i="2"/>
  <c r="G12" i="2"/>
  <c r="S12" i="2" s="1"/>
  <c r="C12" i="2"/>
  <c r="AE11" i="2"/>
  <c r="AD11" i="2"/>
  <c r="AD21" i="2" s="1"/>
  <c r="AC11" i="2"/>
  <c r="AB11" i="2"/>
  <c r="AA11" i="2"/>
  <c r="Z11" i="2"/>
  <c r="Y11" i="2"/>
  <c r="X11" i="2"/>
  <c r="V11" i="2"/>
  <c r="U11" i="2"/>
  <c r="T11" i="2"/>
  <c r="S11" i="2"/>
  <c r="R11" i="2"/>
  <c r="Q11" i="2"/>
  <c r="P11" i="2"/>
  <c r="P21" i="2" s="1"/>
  <c r="O11" i="2"/>
  <c r="N11" i="2"/>
  <c r="M11" i="2"/>
  <c r="L11" i="2"/>
  <c r="K11" i="2"/>
  <c r="H11" i="2"/>
  <c r="G11" i="2"/>
  <c r="W11" i="2" s="1"/>
  <c r="W21" i="2" s="1"/>
  <c r="C11" i="2"/>
  <c r="H10" i="2"/>
  <c r="G10" i="2"/>
  <c r="Y10" i="2" s="1"/>
  <c r="C10" i="2"/>
  <c r="AD9" i="2"/>
  <c r="V9" i="2"/>
  <c r="V19" i="2" s="1"/>
  <c r="S9" i="2"/>
  <c r="R9" i="2"/>
  <c r="R19" i="2" s="1"/>
  <c r="P9" i="2"/>
  <c r="P19" i="2" s="1"/>
  <c r="H9" i="2"/>
  <c r="G9" i="2"/>
  <c r="U9" i="2" s="1"/>
  <c r="C9" i="2"/>
  <c r="AE8" i="2"/>
  <c r="AD8" i="2"/>
  <c r="AD18" i="2" s="1"/>
  <c r="AC8" i="2"/>
  <c r="AC18" i="2" s="1"/>
  <c r="AB8" i="2"/>
  <c r="AA8" i="2"/>
  <c r="Z8" i="2"/>
  <c r="Z18" i="2" s="1"/>
  <c r="V8" i="2"/>
  <c r="V18" i="2" s="1"/>
  <c r="U8" i="2"/>
  <c r="T8" i="2"/>
  <c r="S8" i="2"/>
  <c r="R8" i="2"/>
  <c r="R18" i="2" s="1"/>
  <c r="Q8" i="2"/>
  <c r="P8" i="2"/>
  <c r="O8" i="2"/>
  <c r="O18" i="2" s="1"/>
  <c r="N8" i="2"/>
  <c r="N18" i="2" s="1"/>
  <c r="M8" i="2"/>
  <c r="L8" i="2"/>
  <c r="H8" i="2"/>
  <c r="G8" i="2"/>
  <c r="Y8" i="2" s="1"/>
  <c r="C8" i="2"/>
  <c r="AE7" i="2"/>
  <c r="AD7" i="2"/>
  <c r="AD17" i="2" s="1"/>
  <c r="AC7" i="2"/>
  <c r="AC17" i="2" s="1"/>
  <c r="AB7" i="2"/>
  <c r="Y7" i="2"/>
  <c r="X7" i="2"/>
  <c r="V7" i="2"/>
  <c r="Q7" i="2"/>
  <c r="P7" i="2"/>
  <c r="O7" i="2"/>
  <c r="O17" i="2" s="1"/>
  <c r="N7" i="2"/>
  <c r="N17" i="2" s="1"/>
  <c r="K7" i="2"/>
  <c r="K17" i="2" s="1"/>
  <c r="H7" i="2"/>
  <c r="G7" i="2"/>
  <c r="AA7" i="2" s="1"/>
  <c r="C7" i="2"/>
  <c r="B9" i="1"/>
  <c r="B8" i="1"/>
  <c r="B7" i="1"/>
  <c r="I52" i="2" s="1"/>
  <c r="AD31" i="2" l="1"/>
  <c r="V29" i="2"/>
  <c r="V28" i="2"/>
  <c r="S22" i="2"/>
  <c r="R17" i="2"/>
  <c r="R29" i="2"/>
  <c r="Z28" i="2"/>
  <c r="AD27" i="2"/>
  <c r="R33" i="2"/>
  <c r="W31" i="2"/>
  <c r="O27" i="2"/>
  <c r="L63" i="2"/>
  <c r="Y211" i="2"/>
  <c r="V35" i="2"/>
  <c r="AD32" i="2"/>
  <c r="W10" i="2"/>
  <c r="W20" i="2" s="1"/>
  <c r="AA10" i="2"/>
  <c r="N39" i="2"/>
  <c r="Z67" i="2"/>
  <c r="X70" i="2"/>
  <c r="AB73" i="2"/>
  <c r="Y74" i="2"/>
  <c r="AA211" i="2"/>
  <c r="Z10" i="2"/>
  <c r="X19" i="2"/>
  <c r="AB150" i="2"/>
  <c r="S141" i="2"/>
  <c r="Q141" i="2"/>
  <c r="N141" i="2"/>
  <c r="AE141" i="2"/>
  <c r="M141" i="2"/>
  <c r="AD141" i="2"/>
  <c r="AC141" i="2"/>
  <c r="K141" i="2"/>
  <c r="AB141" i="2"/>
  <c r="X141" i="2"/>
  <c r="W141" i="2"/>
  <c r="V141" i="2"/>
  <c r="P141" i="2"/>
  <c r="V145" i="2"/>
  <c r="P145" i="2"/>
  <c r="Y145" i="2"/>
  <c r="W145" i="2"/>
  <c r="AE145" i="2"/>
  <c r="L145" i="2"/>
  <c r="AC145" i="2"/>
  <c r="L10" i="2"/>
  <c r="L20" i="2" s="1"/>
  <c r="P213" i="2"/>
  <c r="M10" i="2"/>
  <c r="N10" i="2"/>
  <c r="N20" i="2" s="1"/>
  <c r="O39" i="2"/>
  <c r="AD39" i="2"/>
  <c r="N82" i="2"/>
  <c r="K9" i="2"/>
  <c r="W12" i="2"/>
  <c r="W22" i="2" s="1"/>
  <c r="K24" i="2"/>
  <c r="AC67" i="2"/>
  <c r="Z70" i="2"/>
  <c r="AA74" i="2"/>
  <c r="AA84" i="2" s="1"/>
  <c r="AD81" i="2"/>
  <c r="R85" i="2"/>
  <c r="AA89" i="2"/>
  <c r="AD89" i="2"/>
  <c r="G106" i="2"/>
  <c r="E106" i="2"/>
  <c r="N208" i="2"/>
  <c r="AE208" i="2"/>
  <c r="P208" i="2"/>
  <c r="Y208" i="2"/>
  <c r="U208" i="2"/>
  <c r="Q208" i="2"/>
  <c r="O208" i="2"/>
  <c r="Z208" i="2"/>
  <c r="AC208" i="2"/>
  <c r="L208" i="2"/>
  <c r="K208" i="2"/>
  <c r="AD208" i="2"/>
  <c r="AB143" i="2"/>
  <c r="Q143" i="2"/>
  <c r="AD143" i="2"/>
  <c r="Y143" i="2"/>
  <c r="V143" i="2"/>
  <c r="AB10" i="2"/>
  <c r="AB67" i="2"/>
  <c r="T73" i="2"/>
  <c r="Q73" i="2"/>
  <c r="AE73" i="2"/>
  <c r="P73" i="2"/>
  <c r="AD73" i="2"/>
  <c r="AD83" i="2" s="1"/>
  <c r="O73" i="2"/>
  <c r="Z73" i="2"/>
  <c r="K73" i="2"/>
  <c r="P39" i="2"/>
  <c r="Z9" i="2"/>
  <c r="Z19" i="2" s="1"/>
  <c r="AD10" i="2"/>
  <c r="AD20" i="2" s="1"/>
  <c r="R14" i="2"/>
  <c r="K19" i="2"/>
  <c r="R20" i="2"/>
  <c r="AB70" i="2"/>
  <c r="T133" i="2"/>
  <c r="S133" i="2"/>
  <c r="S143" i="2" s="1"/>
  <c r="Z133" i="2"/>
  <c r="AE133" i="2"/>
  <c r="AE143" i="2" s="1"/>
  <c r="N133" i="2"/>
  <c r="N143" i="2" s="1"/>
  <c r="AD133" i="2"/>
  <c r="M133" i="2"/>
  <c r="M143" i="2" s="1"/>
  <c r="AC133" i="2"/>
  <c r="L133" i="2"/>
  <c r="L143" i="2" s="1"/>
  <c r="AB133" i="2"/>
  <c r="K133" i="2"/>
  <c r="K143" i="2" s="1"/>
  <c r="AA133" i="2"/>
  <c r="AA143" i="2" s="1"/>
  <c r="X133" i="2"/>
  <c r="X143" i="2" s="1"/>
  <c r="V133" i="2"/>
  <c r="U133" i="2"/>
  <c r="R133" i="2"/>
  <c r="Q133" i="2"/>
  <c r="P133" i="2"/>
  <c r="P143" i="2" s="1"/>
  <c r="Q137" i="2"/>
  <c r="W137" i="2"/>
  <c r="V137" i="2"/>
  <c r="M137" i="2"/>
  <c r="AC137" i="2"/>
  <c r="L137" i="2"/>
  <c r="AB137" i="2"/>
  <c r="K137" i="2"/>
  <c r="AA137" i="2"/>
  <c r="O141" i="2"/>
  <c r="AC143" i="2"/>
  <c r="O145" i="2"/>
  <c r="I172" i="2"/>
  <c r="L212" i="2"/>
  <c r="S83" i="2"/>
  <c r="AA83" i="2"/>
  <c r="X67" i="2"/>
  <c r="AA67" i="2"/>
  <c r="AA77" i="2" s="1"/>
  <c r="L67" i="2"/>
  <c r="Y67" i="2"/>
  <c r="Y77" i="2" s="1"/>
  <c r="T67" i="2"/>
  <c r="O10" i="2"/>
  <c r="O20" i="2" s="1"/>
  <c r="E50" i="2"/>
  <c r="X12" i="2"/>
  <c r="L73" i="2"/>
  <c r="P17" i="2"/>
  <c r="O28" i="2"/>
  <c r="S37" i="2"/>
  <c r="K38" i="2"/>
  <c r="Z38" i="2"/>
  <c r="Z33" i="2" s="1"/>
  <c r="S39" i="2"/>
  <c r="Y40" i="2"/>
  <c r="Q41" i="2"/>
  <c r="E46" i="2"/>
  <c r="F48" i="2"/>
  <c r="G50" i="2"/>
  <c r="M67" i="2"/>
  <c r="AE67" i="2"/>
  <c r="AD70" i="2"/>
  <c r="AD80" i="2" s="1"/>
  <c r="M73" i="2"/>
  <c r="AD74" i="2"/>
  <c r="AD84" i="2" s="1"/>
  <c r="Q79" i="2"/>
  <c r="R79" i="2"/>
  <c r="AD79" i="2"/>
  <c r="N79" i="2"/>
  <c r="Q82" i="2"/>
  <c r="Q83" i="2"/>
  <c r="E112" i="2"/>
  <c r="G112" i="2"/>
  <c r="S145" i="2"/>
  <c r="AE159" i="2"/>
  <c r="Q159" i="2"/>
  <c r="AD159" i="2"/>
  <c r="P159" i="2"/>
  <c r="AC159" i="2"/>
  <c r="M159" i="2"/>
  <c r="AB159" i="2"/>
  <c r="L159" i="2"/>
  <c r="X159" i="2"/>
  <c r="W159" i="2"/>
  <c r="V159" i="2"/>
  <c r="S159" i="2"/>
  <c r="R159" i="2"/>
  <c r="O159" i="2"/>
  <c r="N159" i="2"/>
  <c r="K159" i="2"/>
  <c r="AA159" i="2"/>
  <c r="Z159" i="2"/>
  <c r="Y159" i="2"/>
  <c r="U159" i="2"/>
  <c r="I169" i="2"/>
  <c r="V27" i="2"/>
  <c r="AE39" i="2"/>
  <c r="R7" i="2"/>
  <c r="L9" i="2"/>
  <c r="P10" i="2"/>
  <c r="P20" i="2" s="1"/>
  <c r="Z35" i="2"/>
  <c r="K67" i="2"/>
  <c r="K77" i="2" s="1"/>
  <c r="S20" i="2"/>
  <c r="P22" i="2"/>
  <c r="AE22" i="2"/>
  <c r="T7" i="2"/>
  <c r="N9" i="2"/>
  <c r="L12" i="2"/>
  <c r="Z12" i="2"/>
  <c r="Z22" i="2" s="1"/>
  <c r="P13" i="2"/>
  <c r="P23" i="2" s="1"/>
  <c r="AD13" i="2"/>
  <c r="AD23" i="2" s="1"/>
  <c r="T14" i="2"/>
  <c r="T24" i="2" s="1"/>
  <c r="K15" i="2"/>
  <c r="K25" i="2" s="1"/>
  <c r="Q17" i="2"/>
  <c r="N19" i="2"/>
  <c r="Z21" i="2"/>
  <c r="Z32" i="2"/>
  <c r="T37" i="2"/>
  <c r="L38" i="2"/>
  <c r="T39" i="2"/>
  <c r="K40" i="2"/>
  <c r="Z40" i="2"/>
  <c r="R41" i="2"/>
  <c r="E44" i="2"/>
  <c r="K70" i="2"/>
  <c r="N73" i="2"/>
  <c r="N83" i="2" s="1"/>
  <c r="K74" i="2"/>
  <c r="R82" i="2"/>
  <c r="R83" i="2"/>
  <c r="R89" i="2"/>
  <c r="O133" i="2"/>
  <c r="O143" i="2" s="1"/>
  <c r="O137" i="2"/>
  <c r="AA141" i="2"/>
  <c r="W9" i="2"/>
  <c r="W19" i="2" s="1"/>
  <c r="AC39" i="2"/>
  <c r="X9" i="2"/>
  <c r="AE35" i="2"/>
  <c r="Y9" i="2"/>
  <c r="Y19" i="2" s="1"/>
  <c r="AC10" i="2"/>
  <c r="AC20" i="2" s="1"/>
  <c r="AC15" i="2"/>
  <c r="AC25" i="2" s="1"/>
  <c r="O15" i="2"/>
  <c r="O25" i="2" s="1"/>
  <c r="X15" i="2"/>
  <c r="AA38" i="2"/>
  <c r="M38" i="2"/>
  <c r="Y38" i="2"/>
  <c r="Q39" i="2"/>
  <c r="V70" i="2"/>
  <c r="AC70" i="2"/>
  <c r="N70" i="2"/>
  <c r="N80" i="2" s="1"/>
  <c r="AA70" i="2"/>
  <c r="AA80" i="2" s="1"/>
  <c r="L70" i="2"/>
  <c r="L80" i="2" s="1"/>
  <c r="W70" i="2"/>
  <c r="AC74" i="2"/>
  <c r="X74" i="2"/>
  <c r="V74" i="2"/>
  <c r="U74" i="2"/>
  <c r="T74" i="2"/>
  <c r="P74" i="2"/>
  <c r="AB74" i="2"/>
  <c r="I473" i="2"/>
  <c r="I471" i="2"/>
  <c r="I469" i="2"/>
  <c r="I467" i="2"/>
  <c r="I468" i="2"/>
  <c r="I470" i="2"/>
  <c r="I472" i="2"/>
  <c r="I474" i="2"/>
  <c r="I294" i="2"/>
  <c r="I292" i="2"/>
  <c r="I290" i="2"/>
  <c r="I288" i="2"/>
  <c r="I286" i="2"/>
  <c r="I354" i="2"/>
  <c r="I352" i="2"/>
  <c r="I350" i="2"/>
  <c r="I348" i="2"/>
  <c r="I346" i="2"/>
  <c r="I407" i="2"/>
  <c r="I409" i="2"/>
  <c r="I411" i="2"/>
  <c r="I413" i="2"/>
  <c r="I406" i="2"/>
  <c r="I353" i="2"/>
  <c r="I351" i="2"/>
  <c r="I349" i="2"/>
  <c r="I347" i="2"/>
  <c r="I466" i="2"/>
  <c r="I412" i="2"/>
  <c r="I414" i="2"/>
  <c r="I408" i="2"/>
  <c r="I289" i="2"/>
  <c r="I410" i="2"/>
  <c r="I291" i="2"/>
  <c r="I293" i="2"/>
  <c r="I228" i="2"/>
  <c r="I168" i="2"/>
  <c r="I230" i="2"/>
  <c r="I225" i="2"/>
  <c r="I232" i="2"/>
  <c r="I227" i="2"/>
  <c r="I165" i="2"/>
  <c r="I229" i="2"/>
  <c r="I167" i="2"/>
  <c r="I112" i="2"/>
  <c r="I110" i="2"/>
  <c r="I108" i="2"/>
  <c r="I106" i="2"/>
  <c r="I104" i="2"/>
  <c r="I105" i="2"/>
  <c r="I226" i="2"/>
  <c r="I170" i="2"/>
  <c r="I107" i="2"/>
  <c r="I164" i="2"/>
  <c r="I109" i="2"/>
  <c r="I231" i="2"/>
  <c r="I111" i="2"/>
  <c r="I287" i="2"/>
  <c r="I166" i="2"/>
  <c r="I171" i="2"/>
  <c r="I224" i="2"/>
  <c r="S7" i="2"/>
  <c r="W8" i="2"/>
  <c r="M9" i="2"/>
  <c r="AA9" i="2"/>
  <c r="Q10" i="2"/>
  <c r="AE10" i="2"/>
  <c r="K12" i="2"/>
  <c r="Y12" i="2"/>
  <c r="O13" i="2"/>
  <c r="O23" i="2" s="1"/>
  <c r="AC13" i="2"/>
  <c r="AC23" i="2" s="1"/>
  <c r="S14" i="2"/>
  <c r="S24" i="2" s="1"/>
  <c r="Y15" i="2"/>
  <c r="AE17" i="2"/>
  <c r="AD28" i="2"/>
  <c r="X8" i="2"/>
  <c r="AB9" i="2"/>
  <c r="R10" i="2"/>
  <c r="K21" i="2"/>
  <c r="Q22" i="2"/>
  <c r="N24" i="2"/>
  <c r="AC24" i="2"/>
  <c r="F46" i="2"/>
  <c r="N67" i="2"/>
  <c r="N77" i="2" s="1"/>
  <c r="U7" i="2"/>
  <c r="K8" i="2"/>
  <c r="K18" i="2" s="1"/>
  <c r="O9" i="2"/>
  <c r="O19" i="2" s="1"/>
  <c r="AC9" i="2"/>
  <c r="AC19" i="2" s="1"/>
  <c r="S10" i="2"/>
  <c r="M12" i="2"/>
  <c r="AA12" i="2"/>
  <c r="Q13" i="2"/>
  <c r="Q23" i="2" s="1"/>
  <c r="AE13" i="2"/>
  <c r="AE23" i="2" s="1"/>
  <c r="U14" i="2"/>
  <c r="L15" i="2"/>
  <c r="AA15" i="2"/>
  <c r="W18" i="2"/>
  <c r="W28" i="2" s="1"/>
  <c r="AD19" i="2"/>
  <c r="X23" i="2"/>
  <c r="O24" i="2"/>
  <c r="AD24" i="2"/>
  <c r="R28" i="2"/>
  <c r="AD30" i="2"/>
  <c r="AC35" i="2"/>
  <c r="U37" i="2"/>
  <c r="U22" i="2" s="1"/>
  <c r="N38" i="2"/>
  <c r="N33" i="2" s="1"/>
  <c r="AC38" i="2"/>
  <c r="AC27" i="2" s="1"/>
  <c r="U39" i="2"/>
  <c r="L40" i="2"/>
  <c r="AA40" i="2"/>
  <c r="S41" i="2"/>
  <c r="F44" i="2"/>
  <c r="I50" i="2"/>
  <c r="O67" i="2"/>
  <c r="AB68" i="2"/>
  <c r="N68" i="2"/>
  <c r="R68" i="2"/>
  <c r="R78" i="2" s="1"/>
  <c r="AE68" i="2"/>
  <c r="P68" i="2"/>
  <c r="Z68" i="2"/>
  <c r="K68" i="2"/>
  <c r="AC68" i="2"/>
  <c r="M70" i="2"/>
  <c r="R73" i="2"/>
  <c r="L74" i="2"/>
  <c r="Q81" i="2"/>
  <c r="S82" i="2"/>
  <c r="R95" i="2"/>
  <c r="AE98" i="2"/>
  <c r="Q98" i="2"/>
  <c r="Q95" i="2" s="1"/>
  <c r="P98" i="2"/>
  <c r="S98" i="2"/>
  <c r="S88" i="2" s="1"/>
  <c r="R98" i="2"/>
  <c r="O98" i="2"/>
  <c r="AD98" i="2"/>
  <c r="N98" i="2"/>
  <c r="N87" i="2" s="1"/>
  <c r="AC98" i="2"/>
  <c r="M98" i="2"/>
  <c r="Y98" i="2"/>
  <c r="X98" i="2"/>
  <c r="V98" i="2"/>
  <c r="U98" i="2"/>
  <c r="W133" i="2"/>
  <c r="W143" i="2" s="1"/>
  <c r="G166" i="2"/>
  <c r="F166" i="2"/>
  <c r="E166" i="2"/>
  <c r="P67" i="2"/>
  <c r="O70" i="2"/>
  <c r="Z71" i="2"/>
  <c r="L71" i="2"/>
  <c r="T71" i="2"/>
  <c r="T81" i="2" s="1"/>
  <c r="R71" i="2"/>
  <c r="R81" i="2" s="1"/>
  <c r="AC71" i="2"/>
  <c r="AC81" i="2" s="1"/>
  <c r="N71" i="2"/>
  <c r="N81" i="2" s="1"/>
  <c r="AB71" i="2"/>
  <c r="S73" i="2"/>
  <c r="M74" i="2"/>
  <c r="S75" i="2"/>
  <c r="AD75" i="2"/>
  <c r="O75" i="2"/>
  <c r="AE75" i="2"/>
  <c r="N75" i="2"/>
  <c r="AC75" i="2"/>
  <c r="M75" i="2"/>
  <c r="AB75" i="2"/>
  <c r="L75" i="2"/>
  <c r="X75" i="2"/>
  <c r="AA78" i="2"/>
  <c r="AA88" i="2" s="1"/>
  <c r="AD78" i="2"/>
  <c r="N78" i="2"/>
  <c r="Y133" i="2"/>
  <c r="V160" i="2"/>
  <c r="U160" i="2"/>
  <c r="X160" i="2"/>
  <c r="W160" i="2"/>
  <c r="Q160" i="2"/>
  <c r="P160" i="2"/>
  <c r="AE160" i="2"/>
  <c r="O160" i="2"/>
  <c r="T160" i="2"/>
  <c r="S160" i="2"/>
  <c r="R160" i="2"/>
  <c r="N160" i="2"/>
  <c r="M160" i="2"/>
  <c r="K160" i="2"/>
  <c r="AD160" i="2"/>
  <c r="AC160" i="2"/>
  <c r="AB160" i="2"/>
  <c r="AA160" i="2"/>
  <c r="Z160" i="2"/>
  <c r="AA214" i="2"/>
  <c r="X148" i="2"/>
  <c r="T10" i="2"/>
  <c r="T20" i="2" s="1"/>
  <c r="P24" i="2"/>
  <c r="AE24" i="2"/>
  <c r="AE34" i="2" s="1"/>
  <c r="AE30" i="2"/>
  <c r="AD35" i="2"/>
  <c r="V39" i="2"/>
  <c r="W7" i="2"/>
  <c r="W17" i="2" s="1"/>
  <c r="Q9" i="2"/>
  <c r="AE9" i="2"/>
  <c r="AE19" i="2" s="1"/>
  <c r="U10" i="2"/>
  <c r="U20" i="2" s="1"/>
  <c r="O12" i="2"/>
  <c r="O22" i="2" s="1"/>
  <c r="AC12" i="2"/>
  <c r="AC22" i="2" s="1"/>
  <c r="W14" i="2"/>
  <c r="W24" i="2" s="1"/>
  <c r="Q19" i="2"/>
  <c r="N21" i="2"/>
  <c r="AC21" i="2"/>
  <c r="Q24" i="2"/>
  <c r="N32" i="2"/>
  <c r="X37" i="2"/>
  <c r="X24" i="2" s="1"/>
  <c r="P38" i="2"/>
  <c r="AE38" i="2"/>
  <c r="AE31" i="2" s="1"/>
  <c r="W39" i="2"/>
  <c r="Q67" i="2"/>
  <c r="Q77" i="2" s="1"/>
  <c r="P70" i="2"/>
  <c r="U73" i="2"/>
  <c r="N74" i="2"/>
  <c r="N84" i="2" s="1"/>
  <c r="N94" i="2" s="1"/>
  <c r="S81" i="2"/>
  <c r="AD87" i="2"/>
  <c r="AA87" i="2"/>
  <c r="S87" i="2"/>
  <c r="L123" i="2"/>
  <c r="Y575" i="9"/>
  <c r="Y576" i="9" s="1"/>
  <c r="AB563" i="9"/>
  <c r="AB564" i="9" s="1"/>
  <c r="N563" i="9"/>
  <c r="N564" i="9" s="1"/>
  <c r="AD555" i="9"/>
  <c r="AD556" i="9" s="1"/>
  <c r="P555" i="9"/>
  <c r="P556" i="9" s="1"/>
  <c r="Z567" i="9"/>
  <c r="Z568" i="9" s="1"/>
  <c r="AA563" i="9"/>
  <c r="AA564" i="9" s="1"/>
  <c r="M563" i="9"/>
  <c r="M564" i="9" s="1"/>
  <c r="AB503" i="9"/>
  <c r="AB504" i="9" s="1"/>
  <c r="N503" i="9"/>
  <c r="N504" i="9" s="1"/>
  <c r="S483" i="9"/>
  <c r="S484" i="9" s="1"/>
  <c r="V575" i="9"/>
  <c r="V576" i="9" s="1"/>
  <c r="Y563" i="9"/>
  <c r="Y564" i="9" s="1"/>
  <c r="AB551" i="9"/>
  <c r="AB552" i="9" s="1"/>
  <c r="N551" i="9"/>
  <c r="N552" i="9" s="1"/>
  <c r="AC491" i="9"/>
  <c r="AC492" i="9" s="1"/>
  <c r="S475" i="9"/>
  <c r="S476" i="9" s="1"/>
  <c r="AA551" i="9"/>
  <c r="AA552" i="9" s="1"/>
  <c r="M551" i="9"/>
  <c r="M552" i="9" s="1"/>
  <c r="AC487" i="9"/>
  <c r="AC488" i="9" s="1"/>
  <c r="AD483" i="9"/>
  <c r="AD484" i="9" s="1"/>
  <c r="P483" i="9"/>
  <c r="P484" i="9" s="1"/>
  <c r="S579" i="9"/>
  <c r="S580" i="9" s="1"/>
  <c r="V567" i="9"/>
  <c r="V568" i="9" s="1"/>
  <c r="Z551" i="9"/>
  <c r="Z552" i="9" s="1"/>
  <c r="W507" i="9"/>
  <c r="W508" i="9" s="1"/>
  <c r="X503" i="9"/>
  <c r="X504" i="9" s="1"/>
  <c r="AB487" i="9"/>
  <c r="AB488" i="9" s="1"/>
  <c r="AC483" i="9"/>
  <c r="AC484" i="9" s="1"/>
  <c r="AE475" i="9"/>
  <c r="AE476" i="9" s="1"/>
  <c r="R575" i="9"/>
  <c r="R576" i="9" s="1"/>
  <c r="T567" i="9"/>
  <c r="T568" i="9" s="1"/>
  <c r="W555" i="9"/>
  <c r="W556" i="9" s="1"/>
  <c r="U507" i="9"/>
  <c r="U508" i="9" s="1"/>
  <c r="V503" i="9"/>
  <c r="V504" i="9" s="1"/>
  <c r="M483" i="9"/>
  <c r="M484" i="9" s="1"/>
  <c r="AC575" i="9"/>
  <c r="AC576" i="9" s="1"/>
  <c r="O575" i="9"/>
  <c r="O576" i="9" s="1"/>
  <c r="AE567" i="9"/>
  <c r="AE568" i="9" s="1"/>
  <c r="Q567" i="9"/>
  <c r="Q568" i="9" s="1"/>
  <c r="R563" i="9"/>
  <c r="R564" i="9" s="1"/>
  <c r="S503" i="9"/>
  <c r="S504" i="9" s="1"/>
  <c r="X483" i="9"/>
  <c r="X484" i="9" s="1"/>
  <c r="M575" i="9"/>
  <c r="M576" i="9" s="1"/>
  <c r="AC567" i="9"/>
  <c r="AC568" i="9" s="1"/>
  <c r="AD563" i="9"/>
  <c r="AD564" i="9" s="1"/>
  <c r="AE503" i="9"/>
  <c r="AE504" i="9" s="1"/>
  <c r="Q503" i="9"/>
  <c r="Q504" i="9" s="1"/>
  <c r="V483" i="9"/>
  <c r="V484" i="9" s="1"/>
  <c r="AD575" i="9"/>
  <c r="AD576" i="9" s="1"/>
  <c r="S567" i="9"/>
  <c r="S568" i="9" s="1"/>
  <c r="AE563" i="9"/>
  <c r="AE564" i="9" s="1"/>
  <c r="P491" i="9"/>
  <c r="P492" i="9" s="1"/>
  <c r="AB575" i="9"/>
  <c r="AB576" i="9" s="1"/>
  <c r="R567" i="9"/>
  <c r="R568" i="9" s="1"/>
  <c r="AC563" i="9"/>
  <c r="AC564" i="9" s="1"/>
  <c r="S555" i="9"/>
  <c r="S556" i="9" s="1"/>
  <c r="U503" i="9"/>
  <c r="U504" i="9" s="1"/>
  <c r="R483" i="9"/>
  <c r="R484" i="9" s="1"/>
  <c r="V475" i="9"/>
  <c r="V476" i="9" s="1"/>
  <c r="AB439" i="9"/>
  <c r="AB440" i="9" s="1"/>
  <c r="N439" i="9"/>
  <c r="N440" i="9" s="1"/>
  <c r="P567" i="9"/>
  <c r="P568" i="9" s="1"/>
  <c r="Z563" i="9"/>
  <c r="Z564" i="9" s="1"/>
  <c r="N483" i="9"/>
  <c r="N484" i="9" s="1"/>
  <c r="W575" i="9"/>
  <c r="W576" i="9" s="1"/>
  <c r="N567" i="9"/>
  <c r="N568" i="9" s="1"/>
  <c r="V563" i="9"/>
  <c r="V564" i="9" s="1"/>
  <c r="Y551" i="9"/>
  <c r="Y552" i="9" s="1"/>
  <c r="R503" i="9"/>
  <c r="R504" i="9" s="1"/>
  <c r="P475" i="9"/>
  <c r="P476" i="9" s="1"/>
  <c r="K443" i="9"/>
  <c r="M435" i="9"/>
  <c r="M436" i="9" s="1"/>
  <c r="N431" i="9"/>
  <c r="N432" i="9" s="1"/>
  <c r="AD423" i="9"/>
  <c r="AD424" i="9" s="1"/>
  <c r="W551" i="9"/>
  <c r="W552" i="9" s="1"/>
  <c r="P503" i="9"/>
  <c r="P504" i="9" s="1"/>
  <c r="V487" i="9"/>
  <c r="V488" i="9" s="1"/>
  <c r="AA431" i="9"/>
  <c r="AA432" i="9" s="1"/>
  <c r="N427" i="9"/>
  <c r="N428" i="9" s="1"/>
  <c r="Q575" i="9"/>
  <c r="Q576" i="9" s="1"/>
  <c r="S563" i="9"/>
  <c r="S564" i="9" s="1"/>
  <c r="Y435" i="9"/>
  <c r="Y436" i="9" s="1"/>
  <c r="L431" i="9"/>
  <c r="L432" i="9" s="1"/>
  <c r="AB567" i="9"/>
  <c r="AB568" i="9" s="1"/>
  <c r="K551" i="9"/>
  <c r="S487" i="9"/>
  <c r="S488" i="9" s="1"/>
  <c r="W483" i="9"/>
  <c r="W484" i="9" s="1"/>
  <c r="Y423" i="9"/>
  <c r="Y424" i="9" s="1"/>
  <c r="T411" i="9"/>
  <c r="T412" i="9" s="1"/>
  <c r="Q407" i="9"/>
  <c r="Q408" i="9" s="1"/>
  <c r="P399" i="9"/>
  <c r="P400" i="9" s="1"/>
  <c r="AB555" i="9"/>
  <c r="AB556" i="9" s="1"/>
  <c r="Q487" i="9"/>
  <c r="Q488" i="9" s="1"/>
  <c r="U483" i="9"/>
  <c r="U484" i="9" s="1"/>
  <c r="M455" i="9"/>
  <c r="M456" i="9" s="1"/>
  <c r="P427" i="9"/>
  <c r="P428" i="9" s="1"/>
  <c r="U567" i="9"/>
  <c r="U568" i="9" s="1"/>
  <c r="Q435" i="9"/>
  <c r="Q436" i="9" s="1"/>
  <c r="AD407" i="9"/>
  <c r="AD408" i="9" s="1"/>
  <c r="O407" i="9"/>
  <c r="O408" i="9" s="1"/>
  <c r="AB451" i="9"/>
  <c r="AB452" i="9" s="1"/>
  <c r="S491" i="9"/>
  <c r="S492" i="9" s="1"/>
  <c r="M459" i="9"/>
  <c r="M460" i="9" s="1"/>
  <c r="U423" i="9"/>
  <c r="U424" i="9" s="1"/>
  <c r="AD411" i="9"/>
  <c r="AD412" i="9" s="1"/>
  <c r="O411" i="9"/>
  <c r="O412" i="9" s="1"/>
  <c r="L399" i="9"/>
  <c r="L400" i="9" s="1"/>
  <c r="AA395" i="9"/>
  <c r="AA396" i="9" s="1"/>
  <c r="M395" i="9"/>
  <c r="M396" i="9" s="1"/>
  <c r="AD383" i="9"/>
  <c r="AD384" i="9" s="1"/>
  <c r="R491" i="9"/>
  <c r="R492" i="9" s="1"/>
  <c r="N435" i="9"/>
  <c r="N436" i="9" s="1"/>
  <c r="AD415" i="9"/>
  <c r="AD416" i="9" s="1"/>
  <c r="O415" i="9"/>
  <c r="O416" i="9" s="1"/>
  <c r="L407" i="9"/>
  <c r="L408" i="9" s="1"/>
  <c r="Y399" i="9"/>
  <c r="Y400" i="9" s="1"/>
  <c r="L395" i="9"/>
  <c r="L396" i="9" s="1"/>
  <c r="AA391" i="9"/>
  <c r="AA392" i="9" s="1"/>
  <c r="M391" i="9"/>
  <c r="M392" i="9" s="1"/>
  <c r="AE575" i="9"/>
  <c r="AE576" i="9" s="1"/>
  <c r="P575" i="9"/>
  <c r="P576" i="9" s="1"/>
  <c r="AD503" i="9"/>
  <c r="AD504" i="9" s="1"/>
  <c r="Q563" i="9"/>
  <c r="Q564" i="9" s="1"/>
  <c r="Q507" i="9"/>
  <c r="Q508" i="9" s="1"/>
  <c r="Z423" i="9"/>
  <c r="Z424" i="9" s="1"/>
  <c r="U411" i="9"/>
  <c r="U412" i="9" s="1"/>
  <c r="U407" i="9"/>
  <c r="U408" i="9" s="1"/>
  <c r="AA399" i="9"/>
  <c r="AA400" i="9" s="1"/>
  <c r="P395" i="9"/>
  <c r="P396" i="9" s="1"/>
  <c r="W391" i="9"/>
  <c r="W392" i="9" s="1"/>
  <c r="N387" i="9"/>
  <c r="N388" i="9" s="1"/>
  <c r="S375" i="9"/>
  <c r="S376" i="9" s="1"/>
  <c r="O367" i="9"/>
  <c r="O368" i="9" s="1"/>
  <c r="Q355" i="9"/>
  <c r="Q356" i="9" s="1"/>
  <c r="R351" i="9"/>
  <c r="R352" i="9" s="1"/>
  <c r="S347" i="9"/>
  <c r="S348" i="9" s="1"/>
  <c r="K323" i="9"/>
  <c r="Z319" i="9"/>
  <c r="Z320" i="9" s="1"/>
  <c r="N311" i="9"/>
  <c r="N312" i="9" s="1"/>
  <c r="O563" i="9"/>
  <c r="O564" i="9" s="1"/>
  <c r="K459" i="9"/>
  <c r="O395" i="9"/>
  <c r="O396" i="9" s="1"/>
  <c r="V391" i="9"/>
  <c r="V392" i="9" s="1"/>
  <c r="AE387" i="9"/>
  <c r="AE388" i="9" s="1"/>
  <c r="AE371" i="9"/>
  <c r="AE372" i="9" s="1"/>
  <c r="AC367" i="9"/>
  <c r="AC368" i="9" s="1"/>
  <c r="N575" i="9"/>
  <c r="N576" i="9" s="1"/>
  <c r="AB483" i="9"/>
  <c r="AB484" i="9" s="1"/>
  <c r="Q423" i="9"/>
  <c r="Q424" i="9" s="1"/>
  <c r="P411" i="9"/>
  <c r="P412" i="9" s="1"/>
  <c r="N395" i="9"/>
  <c r="N396" i="9" s="1"/>
  <c r="L387" i="9"/>
  <c r="L388" i="9" s="1"/>
  <c r="W383" i="9"/>
  <c r="W384" i="9" s="1"/>
  <c r="O371" i="9"/>
  <c r="O372" i="9" s="1"/>
  <c r="AB367" i="9"/>
  <c r="AB368" i="9" s="1"/>
  <c r="M367" i="9"/>
  <c r="M368" i="9" s="1"/>
  <c r="N359" i="9"/>
  <c r="N360" i="9" s="1"/>
  <c r="O423" i="9"/>
  <c r="O424" i="9" s="1"/>
  <c r="L415" i="9"/>
  <c r="L416" i="9" s="1"/>
  <c r="P407" i="9"/>
  <c r="P408" i="9" s="1"/>
  <c r="V399" i="9"/>
  <c r="V400" i="9" s="1"/>
  <c r="AD395" i="9"/>
  <c r="AD396" i="9" s="1"/>
  <c r="K395" i="9"/>
  <c r="AC371" i="9"/>
  <c r="AC372" i="9" s="1"/>
  <c r="AA367" i="9"/>
  <c r="AA368" i="9" s="1"/>
  <c r="L367" i="9"/>
  <c r="L368" i="9" s="1"/>
  <c r="M503" i="9"/>
  <c r="M504" i="9" s="1"/>
  <c r="AE431" i="9"/>
  <c r="AE432" i="9" s="1"/>
  <c r="K415" i="9"/>
  <c r="N407" i="9"/>
  <c r="N408" i="9" s="1"/>
  <c r="AC395" i="9"/>
  <c r="AC396" i="9" s="1"/>
  <c r="S391" i="9"/>
  <c r="S392" i="9" s="1"/>
  <c r="AB371" i="9"/>
  <c r="AB372" i="9" s="1"/>
  <c r="K367" i="9"/>
  <c r="U435" i="9"/>
  <c r="U436" i="9" s="1"/>
  <c r="AC415" i="9"/>
  <c r="AC416" i="9" s="1"/>
  <c r="K411" i="9"/>
  <c r="K407" i="9"/>
  <c r="Q391" i="9"/>
  <c r="Q392" i="9" s="1"/>
  <c r="Y387" i="9"/>
  <c r="Y388" i="9" s="1"/>
  <c r="AC375" i="9"/>
  <c r="AC376" i="9" s="1"/>
  <c r="N375" i="9"/>
  <c r="N376" i="9" s="1"/>
  <c r="L371" i="9"/>
  <c r="L372" i="9" s="1"/>
  <c r="N347" i="9"/>
  <c r="N348" i="9" s="1"/>
  <c r="AD339" i="9"/>
  <c r="AD340" i="9" s="1"/>
  <c r="AC431" i="9"/>
  <c r="AC432" i="9" s="1"/>
  <c r="L423" i="9"/>
  <c r="L424" i="9" s="1"/>
  <c r="S399" i="9"/>
  <c r="S400" i="9" s="1"/>
  <c r="W367" i="9"/>
  <c r="W368" i="9" s="1"/>
  <c r="K423" i="9"/>
  <c r="AE407" i="9"/>
  <c r="AE408" i="9" s="1"/>
  <c r="X395" i="9"/>
  <c r="X396" i="9" s="1"/>
  <c r="Q383" i="9"/>
  <c r="Q384" i="9" s="1"/>
  <c r="N379" i="9"/>
  <c r="N380" i="9" s="1"/>
  <c r="AA375" i="9"/>
  <c r="AA376" i="9" s="1"/>
  <c r="V367" i="9"/>
  <c r="V368" i="9" s="1"/>
  <c r="V479" i="9"/>
  <c r="V480" i="9" s="1"/>
  <c r="Z415" i="9"/>
  <c r="Z416" i="9" s="1"/>
  <c r="AC407" i="9"/>
  <c r="AC408" i="9" s="1"/>
  <c r="AE391" i="9"/>
  <c r="AE392" i="9" s="1"/>
  <c r="X403" i="9"/>
  <c r="X404" i="9" s="1"/>
  <c r="AB379" i="9"/>
  <c r="AB380" i="9" s="1"/>
  <c r="Q359" i="9"/>
  <c r="Q360" i="9" s="1"/>
  <c r="S339" i="9"/>
  <c r="S340" i="9" s="1"/>
  <c r="AC323" i="9"/>
  <c r="AC324" i="9" s="1"/>
  <c r="V315" i="9"/>
  <c r="V316" i="9" s="1"/>
  <c r="S307" i="9"/>
  <c r="S308" i="9" s="1"/>
  <c r="V295" i="9"/>
  <c r="V296" i="9" s="1"/>
  <c r="K283" i="9"/>
  <c r="L279" i="9"/>
  <c r="L280" i="9" s="1"/>
  <c r="Z407" i="9"/>
  <c r="Z408" i="9" s="1"/>
  <c r="O383" i="9"/>
  <c r="O384" i="9" s="1"/>
  <c r="S367" i="9"/>
  <c r="S368" i="9" s="1"/>
  <c r="AA355" i="9"/>
  <c r="AA356" i="9" s="1"/>
  <c r="R339" i="9"/>
  <c r="R340" i="9" s="1"/>
  <c r="Q327" i="9"/>
  <c r="Q328" i="9" s="1"/>
  <c r="W319" i="9"/>
  <c r="W320" i="9" s="1"/>
  <c r="U315" i="9"/>
  <c r="U316" i="9" s="1"/>
  <c r="K279" i="9"/>
  <c r="L275" i="9"/>
  <c r="L276" i="9" s="1"/>
  <c r="Y407" i="9"/>
  <c r="Y408" i="9" s="1"/>
  <c r="N383" i="9"/>
  <c r="N384" i="9" s="1"/>
  <c r="AA335" i="9"/>
  <c r="AA336" i="9" s="1"/>
  <c r="P327" i="9"/>
  <c r="P328" i="9" s="1"/>
  <c r="R311" i="9"/>
  <c r="R312" i="9" s="1"/>
  <c r="R303" i="9"/>
  <c r="R304" i="9" s="1"/>
  <c r="M383" i="9"/>
  <c r="M384" i="9" s="1"/>
  <c r="Q367" i="9"/>
  <c r="Q368" i="9" s="1"/>
  <c r="AD347" i="9"/>
  <c r="AD348" i="9" s="1"/>
  <c r="AE327" i="9"/>
  <c r="AE328" i="9" s="1"/>
  <c r="O327" i="9"/>
  <c r="O328" i="9" s="1"/>
  <c r="Z323" i="9"/>
  <c r="Z324" i="9" s="1"/>
  <c r="S315" i="9"/>
  <c r="S316" i="9" s="1"/>
  <c r="P307" i="9"/>
  <c r="P308" i="9" s="1"/>
  <c r="AE303" i="9"/>
  <c r="AE304" i="9" s="1"/>
  <c r="Q303" i="9"/>
  <c r="Q304" i="9" s="1"/>
  <c r="R299" i="9"/>
  <c r="R300" i="9" s="1"/>
  <c r="K271" i="9"/>
  <c r="L267" i="9"/>
  <c r="L268" i="9" s="1"/>
  <c r="K431" i="9"/>
  <c r="Z411" i="9"/>
  <c r="Z412" i="9" s="1"/>
  <c r="X379" i="9"/>
  <c r="X380" i="9" s="1"/>
  <c r="N339" i="9"/>
  <c r="N340" i="9" s="1"/>
  <c r="S331" i="9"/>
  <c r="S332" i="9" s="1"/>
  <c r="AD327" i="9"/>
  <c r="AD328" i="9" s="1"/>
  <c r="N327" i="9"/>
  <c r="N328" i="9" s="1"/>
  <c r="X323" i="9"/>
  <c r="X324" i="9" s="1"/>
  <c r="AE311" i="9"/>
  <c r="AE312" i="9" s="1"/>
  <c r="P311" i="9"/>
  <c r="P312" i="9" s="1"/>
  <c r="AC307" i="9"/>
  <c r="AC308" i="9" s="1"/>
  <c r="AD303" i="9"/>
  <c r="AD304" i="9" s="1"/>
  <c r="P303" i="9"/>
  <c r="P304" i="9" s="1"/>
  <c r="AE299" i="9"/>
  <c r="AE300" i="9" s="1"/>
  <c r="Q299" i="9"/>
  <c r="Q300" i="9" s="1"/>
  <c r="R295" i="9"/>
  <c r="R296" i="9" s="1"/>
  <c r="AD567" i="9"/>
  <c r="AD568" i="9" s="1"/>
  <c r="Y411" i="9"/>
  <c r="Y412" i="9" s="1"/>
  <c r="K383" i="9"/>
  <c r="Q331" i="9"/>
  <c r="Q332" i="9" s="1"/>
  <c r="W323" i="9"/>
  <c r="W324" i="9" s="1"/>
  <c r="Q315" i="9"/>
  <c r="Q316" i="9" s="1"/>
  <c r="AD311" i="9"/>
  <c r="AD312" i="9" s="1"/>
  <c r="O311" i="9"/>
  <c r="O312" i="9" s="1"/>
  <c r="N307" i="9"/>
  <c r="N308" i="9" s="1"/>
  <c r="AD299" i="9"/>
  <c r="AD300" i="9" s="1"/>
  <c r="P299" i="9"/>
  <c r="P300" i="9" s="1"/>
  <c r="AE295" i="9"/>
  <c r="AE296" i="9" s="1"/>
  <c r="K263" i="9"/>
  <c r="R363" i="9"/>
  <c r="R364" i="9" s="1"/>
  <c r="S351" i="9"/>
  <c r="S352" i="9" s="1"/>
  <c r="R343" i="9"/>
  <c r="R344" i="9" s="1"/>
  <c r="R319" i="9"/>
  <c r="R320" i="9" s="1"/>
  <c r="AE315" i="9"/>
  <c r="AE316" i="9" s="1"/>
  <c r="P315" i="9"/>
  <c r="P316" i="9" s="1"/>
  <c r="AC311" i="9"/>
  <c r="AC312" i="9" s="1"/>
  <c r="N303" i="9"/>
  <c r="N304" i="9" s="1"/>
  <c r="AC299" i="9"/>
  <c r="AC300" i="9" s="1"/>
  <c r="O299" i="9"/>
  <c r="O300" i="9" s="1"/>
  <c r="AD295" i="9"/>
  <c r="AD296" i="9" s="1"/>
  <c r="P295" i="9"/>
  <c r="P296" i="9" s="1"/>
  <c r="AC391" i="9"/>
  <c r="AC392" i="9" s="1"/>
  <c r="R355" i="9"/>
  <c r="R356" i="9" s="1"/>
  <c r="AD331" i="9"/>
  <c r="AD332" i="9" s="1"/>
  <c r="N331" i="9"/>
  <c r="N332" i="9" s="1"/>
  <c r="Z327" i="9"/>
  <c r="Z328" i="9" s="1"/>
  <c r="S323" i="9"/>
  <c r="S324" i="9" s="1"/>
  <c r="AE319" i="9"/>
  <c r="AE320" i="9" s="1"/>
  <c r="N315" i="9"/>
  <c r="N316" i="9" s="1"/>
  <c r="Z311" i="9"/>
  <c r="Z312" i="9" s="1"/>
  <c r="K311" i="9"/>
  <c r="Z303" i="9"/>
  <c r="Z304" i="9" s="1"/>
  <c r="N295" i="9"/>
  <c r="N296" i="9" s="1"/>
  <c r="X371" i="9"/>
  <c r="X372" i="9" s="1"/>
  <c r="N351" i="9"/>
  <c r="N352" i="9" s="1"/>
  <c r="N343" i="9"/>
  <c r="N344" i="9" s="1"/>
  <c r="S335" i="9"/>
  <c r="S336" i="9" s="1"/>
  <c r="AD319" i="9"/>
  <c r="AD320" i="9" s="1"/>
  <c r="O319" i="9"/>
  <c r="O320" i="9" s="1"/>
  <c r="K303" i="9"/>
  <c r="Z299" i="9"/>
  <c r="Z300" i="9" s="1"/>
  <c r="AC399" i="9"/>
  <c r="AC400" i="9" s="1"/>
  <c r="K391" i="9"/>
  <c r="O323" i="9"/>
  <c r="O324" i="9" s="1"/>
  <c r="N319" i="9"/>
  <c r="N320" i="9" s="1"/>
  <c r="W311" i="9"/>
  <c r="W312" i="9" s="1"/>
  <c r="K255" i="9"/>
  <c r="L251" i="9"/>
  <c r="L252" i="9" s="1"/>
  <c r="K199" i="9"/>
  <c r="Q351" i="9"/>
  <c r="Q352" i="9" s="1"/>
  <c r="R347" i="9"/>
  <c r="R348" i="9" s="1"/>
  <c r="N335" i="9"/>
  <c r="N336" i="9" s="1"/>
  <c r="K327" i="9"/>
  <c r="N323" i="9"/>
  <c r="N324" i="9" s="1"/>
  <c r="O315" i="9"/>
  <c r="O316" i="9" s="1"/>
  <c r="V311" i="9"/>
  <c r="V312" i="9" s="1"/>
  <c r="L291" i="9"/>
  <c r="L292" i="9" s="1"/>
  <c r="K251" i="9"/>
  <c r="L247" i="9"/>
  <c r="L248" i="9" s="1"/>
  <c r="O399" i="9"/>
  <c r="O400" i="9" s="1"/>
  <c r="K319" i="9"/>
  <c r="K291" i="9"/>
  <c r="K247" i="9"/>
  <c r="L243" i="9"/>
  <c r="L244" i="9" s="1"/>
  <c r="AA419" i="9"/>
  <c r="AA420" i="9" s="1"/>
  <c r="Q363" i="9"/>
  <c r="Q364" i="9" s="1"/>
  <c r="U307" i="9"/>
  <c r="U308" i="9" s="1"/>
  <c r="K243" i="9"/>
  <c r="L239" i="9"/>
  <c r="L240" i="9" s="1"/>
  <c r="L379" i="9"/>
  <c r="L380" i="9" s="1"/>
  <c r="T307" i="9"/>
  <c r="T308" i="9" s="1"/>
  <c r="W303" i="9"/>
  <c r="W304" i="9" s="1"/>
  <c r="L287" i="9"/>
  <c r="L288" i="9" s="1"/>
  <c r="K239" i="9"/>
  <c r="L235" i="9"/>
  <c r="L236" i="9" s="1"/>
  <c r="Y419" i="9"/>
  <c r="Y420" i="9" s="1"/>
  <c r="V395" i="9"/>
  <c r="V396" i="9" s="1"/>
  <c r="S355" i="9"/>
  <c r="S356" i="9" s="1"/>
  <c r="V303" i="9"/>
  <c r="V304" i="9" s="1"/>
  <c r="K287" i="9"/>
  <c r="K267" i="9"/>
  <c r="K235" i="9"/>
  <c r="L231" i="9"/>
  <c r="L232" i="9" s="1"/>
  <c r="W299" i="9"/>
  <c r="W300" i="9" s="1"/>
  <c r="L271" i="9"/>
  <c r="L272" i="9" s="1"/>
  <c r="Y415" i="9"/>
  <c r="Y416" i="9" s="1"/>
  <c r="S395" i="9"/>
  <c r="S396" i="9" s="1"/>
  <c r="V299" i="9"/>
  <c r="V300" i="9" s="1"/>
  <c r="O295" i="9"/>
  <c r="O296" i="9" s="1"/>
  <c r="L263" i="9"/>
  <c r="L264" i="9" s="1"/>
  <c r="L207" i="9"/>
  <c r="L208" i="9" s="1"/>
  <c r="K155" i="9"/>
  <c r="L151" i="9"/>
  <c r="L152" i="9" s="1"/>
  <c r="K275" i="9"/>
  <c r="K207" i="9"/>
  <c r="K151" i="9"/>
  <c r="L147" i="9"/>
  <c r="L148" i="9" s="1"/>
  <c r="AE323" i="9"/>
  <c r="AE324" i="9" s="1"/>
  <c r="AD315" i="9"/>
  <c r="AD316" i="9" s="1"/>
  <c r="K295" i="9"/>
  <c r="L255" i="9"/>
  <c r="L256" i="9" s="1"/>
  <c r="AD391" i="9"/>
  <c r="AD392" i="9" s="1"/>
  <c r="Z315" i="9"/>
  <c r="Z316" i="9" s="1"/>
  <c r="L195" i="9"/>
  <c r="L196" i="9" s="1"/>
  <c r="Y391" i="9"/>
  <c r="Y392" i="9" s="1"/>
  <c r="AA339" i="9"/>
  <c r="AA340" i="9" s="1"/>
  <c r="AA331" i="9"/>
  <c r="AA332" i="9" s="1"/>
  <c r="L211" i="9"/>
  <c r="L212" i="9" s="1"/>
  <c r="L199" i="9"/>
  <c r="L200" i="9" s="1"/>
  <c r="K195" i="9"/>
  <c r="L191" i="9"/>
  <c r="L192" i="9" s="1"/>
  <c r="Q323" i="9"/>
  <c r="Q324" i="9" s="1"/>
  <c r="N299" i="9"/>
  <c r="N300" i="9" s="1"/>
  <c r="K211" i="9"/>
  <c r="K191" i="9"/>
  <c r="L187" i="9"/>
  <c r="L188" i="9" s="1"/>
  <c r="P323" i="9"/>
  <c r="P324" i="9" s="1"/>
  <c r="K299" i="9"/>
  <c r="L223" i="9"/>
  <c r="L224" i="9" s="1"/>
  <c r="K187" i="9"/>
  <c r="L183" i="9"/>
  <c r="L184" i="9" s="1"/>
  <c r="V507" i="9"/>
  <c r="V508" i="9" s="1"/>
  <c r="K223" i="9"/>
  <c r="L219" i="9"/>
  <c r="L220" i="9" s="1"/>
  <c r="T507" i="9"/>
  <c r="T508" i="9" s="1"/>
  <c r="L259" i="9"/>
  <c r="L260" i="9" s="1"/>
  <c r="L227" i="9"/>
  <c r="L228" i="9" s="1"/>
  <c r="K219" i="9"/>
  <c r="AA343" i="9"/>
  <c r="AA344" i="9" s="1"/>
  <c r="L215" i="9"/>
  <c r="L216" i="9" s="1"/>
  <c r="K203" i="9"/>
  <c r="L175" i="9"/>
  <c r="L176" i="9" s="1"/>
  <c r="K167" i="9"/>
  <c r="K147" i="9"/>
  <c r="K135" i="9"/>
  <c r="L131" i="9"/>
  <c r="L132" i="9" s="1"/>
  <c r="AC319" i="9"/>
  <c r="AC320" i="9" s="1"/>
  <c r="K215" i="9"/>
  <c r="K175" i="9"/>
  <c r="K131" i="9"/>
  <c r="L127" i="9"/>
  <c r="L128" i="9" s="1"/>
  <c r="K231" i="9"/>
  <c r="L159" i="9"/>
  <c r="L160" i="9" s="1"/>
  <c r="K127" i="9"/>
  <c r="L123" i="9"/>
  <c r="L124" i="9" s="1"/>
  <c r="AE383" i="9"/>
  <c r="AE384" i="9" s="1"/>
  <c r="K159" i="9"/>
  <c r="K123" i="9"/>
  <c r="L119" i="9"/>
  <c r="L120" i="9" s="1"/>
  <c r="AC383" i="9"/>
  <c r="AC384" i="9" s="1"/>
  <c r="AD335" i="9"/>
  <c r="AD336" i="9" s="1"/>
  <c r="L283" i="9"/>
  <c r="L284" i="9" s="1"/>
  <c r="AB383" i="9"/>
  <c r="AB384" i="9" s="1"/>
  <c r="Q319" i="9"/>
  <c r="Q320" i="9" s="1"/>
  <c r="K115" i="9"/>
  <c r="L111" i="9"/>
  <c r="L112" i="9" s="1"/>
  <c r="AA383" i="9"/>
  <c r="AA384" i="9" s="1"/>
  <c r="R335" i="9"/>
  <c r="R336" i="9" s="1"/>
  <c r="L171" i="9"/>
  <c r="L172" i="9" s="1"/>
  <c r="K111" i="9"/>
  <c r="L107" i="9"/>
  <c r="L108" i="9" s="1"/>
  <c r="AC295" i="9"/>
  <c r="AC296" i="9" s="1"/>
  <c r="K171" i="9"/>
  <c r="L163" i="9"/>
  <c r="L164" i="9" s="1"/>
  <c r="K107" i="9"/>
  <c r="L103" i="9"/>
  <c r="L104" i="9" s="1"/>
  <c r="K163" i="9"/>
  <c r="W295" i="9"/>
  <c r="W296" i="9" s="1"/>
  <c r="K259" i="9"/>
  <c r="K227" i="9"/>
  <c r="K119" i="9"/>
  <c r="K83" i="9"/>
  <c r="K75" i="9"/>
  <c r="L71" i="9"/>
  <c r="L72" i="9" s="1"/>
  <c r="K19" i="9"/>
  <c r="K20" i="9" s="1"/>
  <c r="L15" i="9"/>
  <c r="L16" i="9" s="1"/>
  <c r="L87" i="9"/>
  <c r="L88" i="9" s="1"/>
  <c r="K71" i="9"/>
  <c r="L67" i="9"/>
  <c r="L68" i="9" s="1"/>
  <c r="K87" i="9"/>
  <c r="K67" i="9"/>
  <c r="L63" i="9"/>
  <c r="L64" i="9" s="1"/>
  <c r="W327" i="9"/>
  <c r="W328" i="9" s="1"/>
  <c r="L179" i="9"/>
  <c r="L180" i="9" s="1"/>
  <c r="L143" i="9"/>
  <c r="L144" i="9" s="1"/>
  <c r="L139" i="9"/>
  <c r="L140" i="9" s="1"/>
  <c r="L135" i="9"/>
  <c r="L136" i="9" s="1"/>
  <c r="K63" i="9"/>
  <c r="L59" i="9"/>
  <c r="L60" i="9" s="1"/>
  <c r="V327" i="9"/>
  <c r="V328" i="9" s="1"/>
  <c r="L203" i="9"/>
  <c r="L204" i="9" s="1"/>
  <c r="K179" i="9"/>
  <c r="K143" i="9"/>
  <c r="K139" i="9"/>
  <c r="L115" i="9"/>
  <c r="L116" i="9" s="1"/>
  <c r="K59" i="9"/>
  <c r="L55" i="9"/>
  <c r="L56" i="9" s="1"/>
  <c r="K55" i="9"/>
  <c r="L51" i="9"/>
  <c r="L52" i="9" s="1"/>
  <c r="AE399" i="9"/>
  <c r="AE400" i="9" s="1"/>
  <c r="L91" i="9"/>
  <c r="L92" i="9" s="1"/>
  <c r="K51" i="9"/>
  <c r="L47" i="9"/>
  <c r="L48" i="9" s="1"/>
  <c r="L167" i="9"/>
  <c r="L168" i="9" s="1"/>
  <c r="K91" i="9"/>
  <c r="K47" i="9"/>
  <c r="L43" i="9"/>
  <c r="L44" i="9" s="1"/>
  <c r="L99" i="9"/>
  <c r="L100" i="9" s="1"/>
  <c r="K183" i="9"/>
  <c r="K99" i="9"/>
  <c r="K39" i="9"/>
  <c r="K40" i="9" s="1"/>
  <c r="L35" i="9"/>
  <c r="L36" i="9" s="1"/>
  <c r="L95" i="9"/>
  <c r="L96" i="9" s="1"/>
  <c r="L39" i="9"/>
  <c r="L40" i="9" s="1"/>
  <c r="L27" i="9"/>
  <c r="L28" i="9" s="1"/>
  <c r="L19" i="9"/>
  <c r="L20" i="9" s="1"/>
  <c r="K11" i="9"/>
  <c r="K12" i="9" s="1"/>
  <c r="L7" i="9"/>
  <c r="L8" i="9" s="1"/>
  <c r="K95" i="9"/>
  <c r="K27" i="9"/>
  <c r="K28" i="9" s="1"/>
  <c r="K7" i="9"/>
  <c r="K8" i="9" s="1"/>
  <c r="K35" i="9"/>
  <c r="K36" i="9" s="1"/>
  <c r="L31" i="9"/>
  <c r="L32" i="9" s="1"/>
  <c r="AD343" i="9"/>
  <c r="AD344" i="9" s="1"/>
  <c r="L79" i="9"/>
  <c r="L80" i="9" s="1"/>
  <c r="L75" i="9"/>
  <c r="L76" i="9" s="1"/>
  <c r="K31" i="9"/>
  <c r="K32" i="9" s="1"/>
  <c r="K79" i="9"/>
  <c r="K15" i="9"/>
  <c r="K16" i="9" s="1"/>
  <c r="L83" i="9"/>
  <c r="L84" i="9" s="1"/>
  <c r="K103" i="9"/>
  <c r="L23" i="9"/>
  <c r="L24" i="9" s="1"/>
  <c r="L155" i="9"/>
  <c r="L156" i="9" s="1"/>
  <c r="K23" i="9"/>
  <c r="K24" i="9" s="1"/>
  <c r="K43" i="9"/>
  <c r="L11" i="9"/>
  <c r="L12" i="9" s="1"/>
  <c r="V10" i="2"/>
  <c r="V20" i="2" s="1"/>
  <c r="AE20" i="2"/>
  <c r="AE307" i="9" s="1"/>
  <c r="AE308" i="9" s="1"/>
  <c r="Q20" i="2"/>
  <c r="R24" i="2"/>
  <c r="R30" i="2"/>
  <c r="AC31" i="2"/>
  <c r="O31" i="2"/>
  <c r="K34" i="2"/>
  <c r="Z34" i="2"/>
  <c r="Y37" i="2"/>
  <c r="Y22" i="2" s="1"/>
  <c r="Q38" i="2"/>
  <c r="Q35" i="2" s="1"/>
  <c r="X39" i="2"/>
  <c r="E51" i="2"/>
  <c r="R67" i="2"/>
  <c r="R77" i="2" s="1"/>
  <c r="Q70" i="2"/>
  <c r="Q80" i="2" s="1"/>
  <c r="K71" i="2"/>
  <c r="K81" i="2" s="1"/>
  <c r="AE71" i="2"/>
  <c r="V73" i="2"/>
  <c r="V83" i="2" s="1"/>
  <c r="O74" i="2"/>
  <c r="K75" i="2"/>
  <c r="Q78" i="2"/>
  <c r="P79" i="2"/>
  <c r="G104" i="2"/>
  <c r="F104" i="2"/>
  <c r="Y160" i="2"/>
  <c r="Y39" i="2"/>
  <c r="L7" i="2"/>
  <c r="Z7" i="2"/>
  <c r="Z17" i="2" s="1"/>
  <c r="T9" i="2"/>
  <c r="T19" i="2" s="1"/>
  <c r="X10" i="2"/>
  <c r="X20" i="2" s="1"/>
  <c r="R12" i="2"/>
  <c r="R22" i="2" s="1"/>
  <c r="V13" i="2"/>
  <c r="V23" i="2" s="1"/>
  <c r="V319" i="9" s="1"/>
  <c r="V320" i="9" s="1"/>
  <c r="L14" i="2"/>
  <c r="L24" i="2" s="1"/>
  <c r="L323" i="9" s="1"/>
  <c r="L324" i="9" s="1"/>
  <c r="AA14" i="2"/>
  <c r="AA24" i="2" s="1"/>
  <c r="R15" i="2"/>
  <c r="R25" i="2" s="1"/>
  <c r="R327" i="9" s="1"/>
  <c r="R328" i="9" s="1"/>
  <c r="S17" i="2"/>
  <c r="X17" i="2"/>
  <c r="X295" i="9" s="1"/>
  <c r="X296" i="9" s="1"/>
  <c r="Z20" i="2"/>
  <c r="Q21" i="2"/>
  <c r="U24" i="2"/>
  <c r="U323" i="9" s="1"/>
  <c r="U324" i="9" s="1"/>
  <c r="Z31" i="2"/>
  <c r="Q32" i="2"/>
  <c r="N34" i="2"/>
  <c r="AC34" i="2"/>
  <c r="L37" i="2"/>
  <c r="L18" i="2" s="1"/>
  <c r="L299" i="9" s="1"/>
  <c r="L300" i="9" s="1"/>
  <c r="AA37" i="2"/>
  <c r="AA20" i="2" s="1"/>
  <c r="S38" i="2"/>
  <c r="K39" i="2"/>
  <c r="Z39" i="2"/>
  <c r="E47" i="2"/>
  <c r="F49" i="2"/>
  <c r="U67" i="2"/>
  <c r="U77" i="2" s="1"/>
  <c r="S70" i="2"/>
  <c r="S80" i="2" s="1"/>
  <c r="X73" i="2"/>
  <c r="X83" i="2" s="1"/>
  <c r="R74" i="2"/>
  <c r="R84" i="2" s="1"/>
  <c r="R94" i="2" s="1"/>
  <c r="AA81" i="2"/>
  <c r="AA347" i="9" s="1"/>
  <c r="AA348" i="9" s="1"/>
  <c r="AA82" i="2"/>
  <c r="R87" i="2"/>
  <c r="AA154" i="2"/>
  <c r="E49" i="2"/>
  <c r="F51" i="2"/>
  <c r="W73" i="2"/>
  <c r="AC83" i="2"/>
  <c r="AA85" i="2"/>
  <c r="W85" i="2"/>
  <c r="V85" i="2"/>
  <c r="S85" i="2"/>
  <c r="AD85" i="2"/>
  <c r="N85" i="2"/>
  <c r="M7" i="2"/>
  <c r="M17" i="2" s="1"/>
  <c r="K10" i="2"/>
  <c r="K20" i="2" s="1"/>
  <c r="M14" i="2"/>
  <c r="M24" i="2" s="1"/>
  <c r="M323" i="9" s="1"/>
  <c r="M324" i="9" s="1"/>
  <c r="AB14" i="2"/>
  <c r="S15" i="2"/>
  <c r="S25" i="2" s="1"/>
  <c r="U19" i="2"/>
  <c r="U303" i="9" s="1"/>
  <c r="U304" i="9" s="1"/>
  <c r="R21" i="2"/>
  <c r="K22" i="2"/>
  <c r="K315" i="9" s="1"/>
  <c r="X22" i="2"/>
  <c r="V24" i="2"/>
  <c r="AE28" i="2"/>
  <c r="Q28" i="2"/>
  <c r="U30" i="2"/>
  <c r="W33" i="2"/>
  <c r="O34" i="2"/>
  <c r="M37" i="2"/>
  <c r="AB37" i="2"/>
  <c r="T38" i="2"/>
  <c r="T30" i="2" s="1"/>
  <c r="L39" i="2"/>
  <c r="AA39" i="2"/>
  <c r="AB41" i="2"/>
  <c r="N41" i="2"/>
  <c r="Y41" i="2"/>
  <c r="E45" i="2"/>
  <c r="F47" i="2"/>
  <c r="I51" i="2"/>
  <c r="V67" i="2"/>
  <c r="T70" i="2"/>
  <c r="T80" i="2" s="1"/>
  <c r="T343" i="9" s="1"/>
  <c r="T344" i="9" s="1"/>
  <c r="Y73" i="2"/>
  <c r="S74" i="2"/>
  <c r="S84" i="2" s="1"/>
  <c r="AB81" i="2"/>
  <c r="AB347" i="9" s="1"/>
  <c r="AB348" i="9" s="1"/>
  <c r="K85" i="2"/>
  <c r="Z97" i="2"/>
  <c r="Z83" i="2" s="1"/>
  <c r="Z93" i="2" s="1"/>
  <c r="L97" i="2"/>
  <c r="L78" i="2" s="1"/>
  <c r="X97" i="2"/>
  <c r="Y97" i="2"/>
  <c r="Y85" i="2" s="1"/>
  <c r="W97" i="2"/>
  <c r="V97" i="2"/>
  <c r="U97" i="2"/>
  <c r="T97" i="2"/>
  <c r="P97" i="2"/>
  <c r="P81" i="2" s="1"/>
  <c r="AE97" i="2"/>
  <c r="O97" i="2"/>
  <c r="AC97" i="2"/>
  <c r="AC82" i="2" s="1"/>
  <c r="M97" i="2"/>
  <c r="AB97" i="2"/>
  <c r="K97" i="2"/>
  <c r="K79" i="2" s="1"/>
  <c r="G105" i="2"/>
  <c r="F105" i="2"/>
  <c r="E105" i="2"/>
  <c r="AB144" i="2"/>
  <c r="U212" i="2"/>
  <c r="AA90" i="2"/>
  <c r="M99" i="2"/>
  <c r="AC99" i="2"/>
  <c r="N127" i="2"/>
  <c r="N137" i="2" s="1"/>
  <c r="N367" i="9" s="1"/>
  <c r="N368" i="9" s="1"/>
  <c r="AD127" i="2"/>
  <c r="AD137" i="2" s="1"/>
  <c r="W128" i="2"/>
  <c r="W138" i="2" s="1"/>
  <c r="O129" i="2"/>
  <c r="O139" i="2" s="1"/>
  <c r="O375" i="9" s="1"/>
  <c r="O376" i="9" s="1"/>
  <c r="AE129" i="2"/>
  <c r="AE139" i="2" s="1"/>
  <c r="W130" i="2"/>
  <c r="W140" i="2" s="1"/>
  <c r="X132" i="2"/>
  <c r="Q135" i="2"/>
  <c r="Q145" i="2" s="1"/>
  <c r="AD139" i="2"/>
  <c r="X150" i="2"/>
  <c r="AB154" i="2"/>
  <c r="F165" i="2"/>
  <c r="E165" i="2"/>
  <c r="G165" i="2"/>
  <c r="X191" i="2"/>
  <c r="V191" i="2"/>
  <c r="U191" i="2"/>
  <c r="R191" i="2"/>
  <c r="W191" i="2"/>
  <c r="T191" i="2"/>
  <c r="S191" i="2"/>
  <c r="Q191" i="2"/>
  <c r="Q201" i="2" s="1"/>
  <c r="O191" i="2"/>
  <c r="N191" i="2"/>
  <c r="AE191" i="2"/>
  <c r="AE201" i="2" s="1"/>
  <c r="M191" i="2"/>
  <c r="M201" i="2" s="1"/>
  <c r="AC214" i="2"/>
  <c r="Y215" i="2"/>
  <c r="AB128" i="2"/>
  <c r="AB138" i="2" s="1"/>
  <c r="N128" i="2"/>
  <c r="N138" i="2" s="1"/>
  <c r="V128" i="2"/>
  <c r="Y128" i="2"/>
  <c r="V130" i="2"/>
  <c r="V140" i="2" s="1"/>
  <c r="R130" i="2"/>
  <c r="Y130" i="2"/>
  <c r="AD132" i="2"/>
  <c r="AD142" i="2" s="1"/>
  <c r="P132" i="2"/>
  <c r="P142" i="2" s="1"/>
  <c r="AC132" i="2"/>
  <c r="AC142" i="2" s="1"/>
  <c r="O132" i="2"/>
  <c r="O142" i="2" s="1"/>
  <c r="R132" i="2"/>
  <c r="Z132" i="2"/>
  <c r="S187" i="2"/>
  <c r="R187" i="2"/>
  <c r="AC187" i="2"/>
  <c r="AC197" i="2" s="1"/>
  <c r="O187" i="2"/>
  <c r="O197" i="2" s="1"/>
  <c r="U187" i="2"/>
  <c r="U197" i="2" s="1"/>
  <c r="T187" i="2"/>
  <c r="Q187" i="2"/>
  <c r="Q197" i="2" s="1"/>
  <c r="P187" i="2"/>
  <c r="AE187" i="2"/>
  <c r="AE197" i="2" s="1"/>
  <c r="AE403" i="9" s="1"/>
  <c r="AE404" i="9" s="1"/>
  <c r="M187" i="2"/>
  <c r="M197" i="2" s="1"/>
  <c r="AD187" i="2"/>
  <c r="L187" i="2"/>
  <c r="L197" i="2" s="1"/>
  <c r="AB187" i="2"/>
  <c r="K187" i="2"/>
  <c r="K197" i="2" s="1"/>
  <c r="K403" i="9" s="1"/>
  <c r="O212" i="2"/>
  <c r="R209" i="2"/>
  <c r="Z209" i="2"/>
  <c r="K209" i="2"/>
  <c r="Y209" i="2"/>
  <c r="P209" i="2"/>
  <c r="O209" i="2"/>
  <c r="AD209" i="2"/>
  <c r="T209" i="2"/>
  <c r="G224" i="2"/>
  <c r="F224" i="2"/>
  <c r="N90" i="2"/>
  <c r="Z128" i="2"/>
  <c r="Z130" i="2"/>
  <c r="AA132" i="2"/>
  <c r="AA142" i="2" s="1"/>
  <c r="P139" i="2"/>
  <c r="F171" i="2"/>
  <c r="E171" i="2"/>
  <c r="L191" i="2"/>
  <c r="L201" i="2" s="1"/>
  <c r="AC219" i="2"/>
  <c r="O219" i="2"/>
  <c r="U219" i="2"/>
  <c r="T219" i="2"/>
  <c r="Q219" i="2"/>
  <c r="V219" i="2"/>
  <c r="S219" i="2"/>
  <c r="R219" i="2"/>
  <c r="P219" i="2"/>
  <c r="N219" i="2"/>
  <c r="M219" i="2"/>
  <c r="AE219" i="2"/>
  <c r="L219" i="2"/>
  <c r="AD219" i="2"/>
  <c r="K219" i="2"/>
  <c r="W219" i="2"/>
  <c r="Q99" i="2"/>
  <c r="AA100" i="2"/>
  <c r="M100" i="2"/>
  <c r="AE100" i="2"/>
  <c r="P100" i="2"/>
  <c r="Z100" i="2"/>
  <c r="S127" i="2"/>
  <c r="S137" i="2" s="1"/>
  <c r="K128" i="2"/>
  <c r="K138" i="2" s="1"/>
  <c r="AA128" i="2"/>
  <c r="AA138" i="2" s="1"/>
  <c r="T129" i="2"/>
  <c r="T139" i="2" s="1"/>
  <c r="K130" i="2"/>
  <c r="K140" i="2" s="1"/>
  <c r="AA130" i="2"/>
  <c r="AA140" i="2" s="1"/>
  <c r="K132" i="2"/>
  <c r="K142" i="2" s="1"/>
  <c r="AB132" i="2"/>
  <c r="AB142" i="2" s="1"/>
  <c r="N187" i="2"/>
  <c r="N197" i="2" s="1"/>
  <c r="N403" i="9" s="1"/>
  <c r="N404" i="9" s="1"/>
  <c r="P191" i="2"/>
  <c r="Q212" i="2"/>
  <c r="U209" i="2"/>
  <c r="Z212" i="2"/>
  <c r="X219" i="2"/>
  <c r="L243" i="2"/>
  <c r="Y219" i="2"/>
  <c r="M128" i="2"/>
  <c r="M138" i="2" s="1"/>
  <c r="AD128" i="2"/>
  <c r="AD138" i="2" s="1"/>
  <c r="M130" i="2"/>
  <c r="M140" i="2" s="1"/>
  <c r="AC130" i="2"/>
  <c r="M132" i="2"/>
  <c r="M142" i="2" s="1"/>
  <c r="F169" i="2"/>
  <c r="E169" i="2"/>
  <c r="W187" i="2"/>
  <c r="W197" i="2" s="1"/>
  <c r="N214" i="2"/>
  <c r="Z219" i="2"/>
  <c r="AD72" i="2"/>
  <c r="AD82" i="2" s="1"/>
  <c r="P72" i="2"/>
  <c r="P82" i="2" s="1"/>
  <c r="X72" i="2"/>
  <c r="X82" i="2" s="1"/>
  <c r="U99" i="2"/>
  <c r="F107" i="2"/>
  <c r="P128" i="2"/>
  <c r="P138" i="2" s="1"/>
  <c r="O130" i="2"/>
  <c r="AE130" i="2"/>
  <c r="AE140" i="2" s="1"/>
  <c r="Q132" i="2"/>
  <c r="Q142" i="2" s="1"/>
  <c r="AB135" i="2"/>
  <c r="AB145" i="2" s="1"/>
  <c r="N135" i="2"/>
  <c r="N145" i="2" s="1"/>
  <c r="AA135" i="2"/>
  <c r="AA145" i="2" s="1"/>
  <c r="M135" i="2"/>
  <c r="M145" i="2" s="1"/>
  <c r="X135" i="2"/>
  <c r="X145" i="2" s="1"/>
  <c r="Z135" i="2"/>
  <c r="V139" i="2"/>
  <c r="AE152" i="2"/>
  <c r="Q152" i="2"/>
  <c r="AB152" i="2"/>
  <c r="G164" i="2"/>
  <c r="G172" i="2"/>
  <c r="F172" i="2"/>
  <c r="Y187" i="2"/>
  <c r="AB191" i="2"/>
  <c r="N213" i="2"/>
  <c r="AB219" i="2"/>
  <c r="W99" i="2"/>
  <c r="R101" i="2"/>
  <c r="W101" i="2"/>
  <c r="Z101" i="2"/>
  <c r="X127" i="2"/>
  <c r="X137" i="2" s="1"/>
  <c r="AE127" i="2"/>
  <c r="AE137" i="2" s="1"/>
  <c r="P127" i="2"/>
  <c r="P137" i="2" s="1"/>
  <c r="Y127" i="2"/>
  <c r="Y137" i="2" s="1"/>
  <c r="Q128" i="2"/>
  <c r="Q138" i="2" s="1"/>
  <c r="R129" i="2"/>
  <c r="R139" i="2" s="1"/>
  <c r="AB129" i="2"/>
  <c r="M129" i="2"/>
  <c r="M139" i="2" s="1"/>
  <c r="Y129" i="2"/>
  <c r="Y139" i="2" s="1"/>
  <c r="P130" i="2"/>
  <c r="S132" i="2"/>
  <c r="S142" i="2" s="1"/>
  <c r="W139" i="2"/>
  <c r="Z187" i="2"/>
  <c r="Z197" i="2" s="1"/>
  <c r="Z207" i="2" s="1"/>
  <c r="AC191" i="2"/>
  <c r="Y197" i="2"/>
  <c r="O201" i="2"/>
  <c r="AC201" i="2"/>
  <c r="N201" i="2"/>
  <c r="Z201" i="2"/>
  <c r="K201" i="2"/>
  <c r="U201" i="2"/>
  <c r="T201" i="2"/>
  <c r="P201" i="2"/>
  <c r="X201" i="2"/>
  <c r="X211" i="2" s="1"/>
  <c r="AD204" i="2"/>
  <c r="P204" i="2"/>
  <c r="Q204" i="2"/>
  <c r="M204" i="2"/>
  <c r="U204" i="2"/>
  <c r="U431" i="9" s="1"/>
  <c r="U432" i="9" s="1"/>
  <c r="S204" i="2"/>
  <c r="O204" i="2"/>
  <c r="Z204" i="2"/>
  <c r="X69" i="2"/>
  <c r="X79" i="2" s="1"/>
  <c r="K72" i="2"/>
  <c r="K82" i="2" s="1"/>
  <c r="Z72" i="2"/>
  <c r="Z82" i="2" s="1"/>
  <c r="R100" i="2"/>
  <c r="K101" i="2"/>
  <c r="AA101" i="2"/>
  <c r="Z127" i="2"/>
  <c r="R128" i="2"/>
  <c r="Z129" i="2"/>
  <c r="Q130" i="2"/>
  <c r="Q140" i="2" s="1"/>
  <c r="T132" i="2"/>
  <c r="K135" i="2"/>
  <c r="K145" i="2" s="1"/>
  <c r="AD135" i="2"/>
  <c r="AD145" i="2" s="1"/>
  <c r="X139" i="2"/>
  <c r="S149" i="2"/>
  <c r="P149" i="2"/>
  <c r="AA149" i="2"/>
  <c r="AC149" i="2"/>
  <c r="Z158" i="2"/>
  <c r="L158" i="2"/>
  <c r="L154" i="2" s="1"/>
  <c r="M181" i="2" s="1"/>
  <c r="M107" i="9" s="1"/>
  <c r="M108" i="9" s="1"/>
  <c r="Y158" i="2"/>
  <c r="Y152" i="2" s="1"/>
  <c r="K158" i="2"/>
  <c r="K154" i="2" s="1"/>
  <c r="T158" i="2"/>
  <c r="S158" i="2"/>
  <c r="S154" i="2" s="1"/>
  <c r="AE158" i="2"/>
  <c r="AE148" i="2" s="1"/>
  <c r="O158" i="2"/>
  <c r="O148" i="2" s="1"/>
  <c r="AD158" i="2"/>
  <c r="AD154" i="2" s="1"/>
  <c r="N158" i="2"/>
  <c r="N154" i="2" s="1"/>
  <c r="AC158" i="2"/>
  <c r="M158" i="2"/>
  <c r="M154" i="2" s="1"/>
  <c r="AA187" i="2"/>
  <c r="Z210" i="2"/>
  <c r="AD191" i="2"/>
  <c r="AD201" i="2" s="1"/>
  <c r="V99" i="2"/>
  <c r="X99" i="2"/>
  <c r="Z99" i="2"/>
  <c r="S128" i="2"/>
  <c r="S138" i="2" s="1"/>
  <c r="S130" i="2"/>
  <c r="S140" i="2" s="1"/>
  <c r="U132" i="2"/>
  <c r="V154" i="2"/>
  <c r="AC210" i="2"/>
  <c r="R90" i="2"/>
  <c r="T128" i="2"/>
  <c r="T130" i="2"/>
  <c r="T140" i="2" s="1"/>
  <c r="V132" i="2"/>
  <c r="V142" i="2" s="1"/>
  <c r="Z139" i="2"/>
  <c r="L139" i="2"/>
  <c r="K139" i="2"/>
  <c r="K375" i="9" s="1"/>
  <c r="Q139" i="2"/>
  <c r="AB139" i="2"/>
  <c r="X154" i="2"/>
  <c r="N215" i="2"/>
  <c r="AE215" i="2"/>
  <c r="P215" i="2"/>
  <c r="Z215" i="2"/>
  <c r="U215" i="2"/>
  <c r="Q215" i="2"/>
  <c r="M215" i="2"/>
  <c r="G226" i="2"/>
  <c r="F226" i="2"/>
  <c r="E226" i="2"/>
  <c r="M274" i="2"/>
  <c r="K265" i="2"/>
  <c r="K463" i="9" s="1"/>
  <c r="S265" i="2"/>
  <c r="Y265" i="2"/>
  <c r="Q265" i="2"/>
  <c r="Q275" i="2" s="1"/>
  <c r="P265" i="2"/>
  <c r="P275" i="2" s="1"/>
  <c r="N265" i="2"/>
  <c r="N275" i="2" s="1"/>
  <c r="L265" i="2"/>
  <c r="L275" i="2" s="1"/>
  <c r="W265" i="2"/>
  <c r="W275" i="2" s="1"/>
  <c r="E224" i="2"/>
  <c r="Q220" i="2"/>
  <c r="G228" i="2"/>
  <c r="F228" i="2"/>
  <c r="P266" i="2"/>
  <c r="M273" i="2"/>
  <c r="AD331" i="2"/>
  <c r="U257" i="2"/>
  <c r="U267" i="2" s="1"/>
  <c r="S257" i="2"/>
  <c r="AC257" i="2"/>
  <c r="O257" i="2"/>
  <c r="X257" i="2"/>
  <c r="T257" i="2"/>
  <c r="R257" i="2"/>
  <c r="Q257" i="2"/>
  <c r="P257" i="2"/>
  <c r="P267" i="2" s="1"/>
  <c r="N257" i="2"/>
  <c r="N267" i="2" s="1"/>
  <c r="AE257" i="2"/>
  <c r="M257" i="2"/>
  <c r="M267" i="2" s="1"/>
  <c r="AD257" i="2"/>
  <c r="L257" i="2"/>
  <c r="L267" i="2" s="1"/>
  <c r="U80" i="2"/>
  <c r="U90" i="2" s="1"/>
  <c r="X80" i="2"/>
  <c r="X90" i="2" s="1"/>
  <c r="S91" i="2"/>
  <c r="Z131" i="2"/>
  <c r="L131" i="2"/>
  <c r="L141" i="2" s="1"/>
  <c r="Y131" i="2"/>
  <c r="Y141" i="2" s="1"/>
  <c r="X131" i="2"/>
  <c r="V138" i="2"/>
  <c r="U138" i="2"/>
  <c r="Y138" i="2"/>
  <c r="AD140" i="2"/>
  <c r="P140" i="2"/>
  <c r="AC140" i="2"/>
  <c r="O140" i="2"/>
  <c r="Y140" i="2"/>
  <c r="X142" i="2"/>
  <c r="X152" i="2" s="1"/>
  <c r="R144" i="2"/>
  <c r="R154" i="2" s="1"/>
  <c r="AE144" i="2"/>
  <c r="AE154" i="2" s="1"/>
  <c r="Q144" i="2"/>
  <c r="Y144" i="2"/>
  <c r="V153" i="2"/>
  <c r="Y153" i="2"/>
  <c r="AD155" i="2"/>
  <c r="P155" i="2"/>
  <c r="AC155" i="2"/>
  <c r="Y155" i="2"/>
  <c r="R157" i="2"/>
  <c r="X161" i="2"/>
  <c r="U190" i="2"/>
  <c r="U200" i="2" s="1"/>
  <c r="Q193" i="2"/>
  <c r="Q203" i="2" s="1"/>
  <c r="S197" i="2"/>
  <c r="T202" i="2"/>
  <c r="S202" i="2"/>
  <c r="AE202" i="2"/>
  <c r="P202" i="2"/>
  <c r="AA202" i="2"/>
  <c r="T207" i="2"/>
  <c r="Q211" i="2"/>
  <c r="S217" i="2"/>
  <c r="S199" i="2" s="1"/>
  <c r="W217" i="2"/>
  <c r="W205" i="2" s="1"/>
  <c r="V217" i="2"/>
  <c r="V202" i="2" s="1"/>
  <c r="R217" i="2"/>
  <c r="R204" i="2" s="1"/>
  <c r="AB217" i="2"/>
  <c r="AB204" i="2" s="1"/>
  <c r="Y220" i="2"/>
  <c r="V221" i="2"/>
  <c r="L270" i="2"/>
  <c r="U270" i="2"/>
  <c r="S270" i="2"/>
  <c r="Q332" i="2"/>
  <c r="L147" i="2"/>
  <c r="Y147" i="2"/>
  <c r="K147" i="2"/>
  <c r="AA147" i="2"/>
  <c r="AB151" i="2"/>
  <c r="AA151" i="2"/>
  <c r="M151" i="2"/>
  <c r="Y151" i="2"/>
  <c r="F167" i="2"/>
  <c r="E167" i="2"/>
  <c r="V190" i="2"/>
  <c r="V200" i="2" s="1"/>
  <c r="U193" i="2"/>
  <c r="U203" i="2" s="1"/>
  <c r="T197" i="2"/>
  <c r="X199" i="2"/>
  <c r="R199" i="2"/>
  <c r="R411" i="9" s="1"/>
  <c r="R412" i="9" s="1"/>
  <c r="Q199" i="2"/>
  <c r="AC199" i="2"/>
  <c r="AC209" i="2" s="1"/>
  <c r="N199" i="2"/>
  <c r="N209" i="2" s="1"/>
  <c r="AA199" i="2"/>
  <c r="Z220" i="2"/>
  <c r="W221" i="2"/>
  <c r="U250" i="2"/>
  <c r="U260" i="2" s="1"/>
  <c r="S250" i="2"/>
  <c r="S260" i="2" s="1"/>
  <c r="S443" i="9" s="1"/>
  <c r="S444" i="9" s="1"/>
  <c r="AB250" i="2"/>
  <c r="AB260" i="2" s="1"/>
  <c r="L250" i="2"/>
  <c r="L260" i="2" s="1"/>
  <c r="X250" i="2"/>
  <c r="W250" i="2"/>
  <c r="V250" i="2"/>
  <c r="V260" i="2" s="1"/>
  <c r="T250" i="2"/>
  <c r="R250" i="2"/>
  <c r="Q250" i="2"/>
  <c r="Q260" i="2" s="1"/>
  <c r="Q270" i="2" s="1"/>
  <c r="K257" i="2"/>
  <c r="K267" i="2" s="1"/>
  <c r="S261" i="2"/>
  <c r="AB261" i="2"/>
  <c r="M261" i="2"/>
  <c r="K261" i="2"/>
  <c r="K447" i="9" s="1"/>
  <c r="R261" i="2"/>
  <c r="P261" i="2"/>
  <c r="N261" i="2"/>
  <c r="AB272" i="2"/>
  <c r="AA326" i="2"/>
  <c r="X382" i="2"/>
  <c r="AA161" i="2"/>
  <c r="M161" i="2"/>
  <c r="Z161" i="2"/>
  <c r="L161" i="2"/>
  <c r="AB161" i="2"/>
  <c r="W203" i="2"/>
  <c r="X221" i="2"/>
  <c r="V267" i="2"/>
  <c r="AA281" i="2"/>
  <c r="M281" i="2"/>
  <c r="W281" i="2"/>
  <c r="U281" i="2"/>
  <c r="Q281" i="2"/>
  <c r="AD281" i="2"/>
  <c r="O281" i="2"/>
  <c r="Z281" i="2"/>
  <c r="X281" i="2"/>
  <c r="V281" i="2"/>
  <c r="T281" i="2"/>
  <c r="S281" i="2"/>
  <c r="R281" i="2"/>
  <c r="P281" i="2"/>
  <c r="N281" i="2"/>
  <c r="L281" i="2"/>
  <c r="V332" i="2"/>
  <c r="W331" i="2"/>
  <c r="T220" i="2"/>
  <c r="AB220" i="2"/>
  <c r="M220" i="2"/>
  <c r="AA220" i="2"/>
  <c r="L220" i="2"/>
  <c r="X220" i="2"/>
  <c r="AD220" i="2"/>
  <c r="P259" i="2"/>
  <c r="Y322" i="2"/>
  <c r="Y332" i="2" s="1"/>
  <c r="X193" i="2"/>
  <c r="X203" i="2" s="1"/>
  <c r="Z195" i="2"/>
  <c r="Z205" i="2" s="1"/>
  <c r="L195" i="2"/>
  <c r="L205" i="2" s="1"/>
  <c r="L215" i="2" s="1"/>
  <c r="AE195" i="2"/>
  <c r="AE205" i="2" s="1"/>
  <c r="AE435" i="9" s="1"/>
  <c r="AE436" i="9" s="1"/>
  <c r="P195" i="2"/>
  <c r="P205" i="2" s="1"/>
  <c r="AD195" i="2"/>
  <c r="AD205" i="2" s="1"/>
  <c r="O195" i="2"/>
  <c r="O205" i="2" s="1"/>
  <c r="O215" i="2" s="1"/>
  <c r="AA195" i="2"/>
  <c r="AA205" i="2" s="1"/>
  <c r="K195" i="2"/>
  <c r="K205" i="2" s="1"/>
  <c r="K435" i="9" s="1"/>
  <c r="AC195" i="2"/>
  <c r="AC205" i="2" s="1"/>
  <c r="L199" i="2"/>
  <c r="AE199" i="2"/>
  <c r="V210" i="2"/>
  <c r="P210" i="2"/>
  <c r="AD210" i="2"/>
  <c r="O210" i="2"/>
  <c r="L210" i="2"/>
  <c r="AE213" i="2"/>
  <c r="K220" i="2"/>
  <c r="AE220" i="2"/>
  <c r="G232" i="2"/>
  <c r="F232" i="2"/>
  <c r="M250" i="2"/>
  <c r="AE256" i="2"/>
  <c r="Q256" i="2"/>
  <c r="Q266" i="2" s="1"/>
  <c r="AC256" i="2"/>
  <c r="O256" i="2"/>
  <c r="Y256" i="2"/>
  <c r="K256" i="2"/>
  <c r="AD256" i="2"/>
  <c r="L256" i="2"/>
  <c r="Z256" i="2"/>
  <c r="X256" i="2"/>
  <c r="W256" i="2"/>
  <c r="V256" i="2"/>
  <c r="U256" i="2"/>
  <c r="U266" i="2" s="1"/>
  <c r="T256" i="2"/>
  <c r="S256" i="2"/>
  <c r="Y257" i="2"/>
  <c r="Y281" i="2"/>
  <c r="Z203" i="2"/>
  <c r="Z213" i="2" s="1"/>
  <c r="L203" i="2"/>
  <c r="AA203" i="2"/>
  <c r="K203" i="2"/>
  <c r="Y203" i="2"/>
  <c r="V203" i="2"/>
  <c r="AC203" i="2"/>
  <c r="X207" i="2"/>
  <c r="N207" i="2"/>
  <c r="M207" i="2"/>
  <c r="Y207" i="2"/>
  <c r="N220" i="2"/>
  <c r="E228" i="2"/>
  <c r="S259" i="2"/>
  <c r="N250" i="2"/>
  <c r="N260" i="2" s="1"/>
  <c r="N270" i="2" s="1"/>
  <c r="Z257" i="2"/>
  <c r="Y261" i="2"/>
  <c r="AB281" i="2"/>
  <c r="U157" i="2"/>
  <c r="T157" i="2"/>
  <c r="Z157" i="2"/>
  <c r="P161" i="2"/>
  <c r="T190" i="2"/>
  <c r="T200" i="2" s="1"/>
  <c r="Q190" i="2"/>
  <c r="Q200" i="2" s="1"/>
  <c r="AE190" i="2"/>
  <c r="AE200" i="2" s="1"/>
  <c r="AE415" i="9" s="1"/>
  <c r="AE416" i="9" s="1"/>
  <c r="P190" i="2"/>
  <c r="P200" i="2" s="1"/>
  <c r="AB190" i="2"/>
  <c r="M190" i="2"/>
  <c r="M200" i="2" s="1"/>
  <c r="AA190" i="2"/>
  <c r="AA200" i="2" s="1"/>
  <c r="AD197" i="2"/>
  <c r="P197" i="2"/>
  <c r="V197" i="2"/>
  <c r="V207" i="2" s="1"/>
  <c r="R197" i="2"/>
  <c r="AA197" i="2"/>
  <c r="AA207" i="2" s="1"/>
  <c r="AD207" i="2"/>
  <c r="O220" i="2"/>
  <c r="Y221" i="2"/>
  <c r="K221" i="2"/>
  <c r="T221" i="2"/>
  <c r="S221" i="2"/>
  <c r="AE221" i="2"/>
  <c r="P221" i="2"/>
  <c r="AC221" i="2"/>
  <c r="G230" i="2"/>
  <c r="F230" i="2"/>
  <c r="M256" i="2"/>
  <c r="AA257" i="2"/>
  <c r="AA261" i="2"/>
  <c r="AA271" i="2" s="1"/>
  <c r="AC281" i="2"/>
  <c r="V337" i="2"/>
  <c r="AA198" i="2"/>
  <c r="R193" i="2"/>
  <c r="T193" i="2"/>
  <c r="T203" i="2" s="1"/>
  <c r="S193" i="2"/>
  <c r="S203" i="2" s="1"/>
  <c r="S213" i="2" s="1"/>
  <c r="AD193" i="2"/>
  <c r="AD203" i="2" s="1"/>
  <c r="O193" i="2"/>
  <c r="O203" i="2" s="1"/>
  <c r="AA193" i="2"/>
  <c r="M203" i="2"/>
  <c r="AE203" i="2"/>
  <c r="AE427" i="9" s="1"/>
  <c r="AE428" i="9" s="1"/>
  <c r="K207" i="2"/>
  <c r="AE207" i="2"/>
  <c r="Z211" i="2"/>
  <c r="U211" i="2"/>
  <c r="P220" i="2"/>
  <c r="L221" i="2"/>
  <c r="AD221" i="2"/>
  <c r="P250" i="2"/>
  <c r="P260" i="2" s="1"/>
  <c r="AB257" i="2"/>
  <c r="AC261" i="2"/>
  <c r="P271" i="2"/>
  <c r="N271" i="2"/>
  <c r="M271" i="2"/>
  <c r="K271" i="2"/>
  <c r="AE281" i="2"/>
  <c r="G289" i="2"/>
  <c r="E289" i="2"/>
  <c r="Y315" i="2"/>
  <c r="K315" i="2"/>
  <c r="AD315" i="2"/>
  <c r="AD325" i="2" s="1"/>
  <c r="P315" i="2"/>
  <c r="P325" i="2" s="1"/>
  <c r="Q315" i="2"/>
  <c r="Q325" i="2" s="1"/>
  <c r="O315" i="2"/>
  <c r="O325" i="2" s="1"/>
  <c r="AC315" i="2"/>
  <c r="M315" i="2"/>
  <c r="AB315" i="2"/>
  <c r="AB325" i="2" s="1"/>
  <c r="AB335" i="2" s="1"/>
  <c r="L315" i="2"/>
  <c r="X315" i="2"/>
  <c r="W315" i="2"/>
  <c r="W325" i="2" s="1"/>
  <c r="V315" i="2"/>
  <c r="V325" i="2" s="1"/>
  <c r="U330" i="2"/>
  <c r="V330" i="2"/>
  <c r="T330" i="2"/>
  <c r="R330" i="2"/>
  <c r="O330" i="2"/>
  <c r="AC330" i="2"/>
  <c r="V385" i="2"/>
  <c r="Y399" i="2"/>
  <c r="K399" i="2"/>
  <c r="K385" i="2" s="1"/>
  <c r="U399" i="2"/>
  <c r="U382" i="2" s="1"/>
  <c r="Z399" i="2"/>
  <c r="Z385" i="2" s="1"/>
  <c r="X399" i="2"/>
  <c r="W399" i="2"/>
  <c r="W381" i="2" s="1"/>
  <c r="V399" i="2"/>
  <c r="T399" i="2"/>
  <c r="S399" i="2"/>
  <c r="R399" i="2"/>
  <c r="P399" i="2"/>
  <c r="P385" i="2" s="1"/>
  <c r="AE399" i="2"/>
  <c r="AE381" i="2" s="1"/>
  <c r="AE519" i="9" s="1"/>
  <c r="AE520" i="9" s="1"/>
  <c r="O399" i="2"/>
  <c r="O381" i="2" s="1"/>
  <c r="AB399" i="2"/>
  <c r="L399" i="2"/>
  <c r="AD399" i="2"/>
  <c r="AC399" i="2"/>
  <c r="AA399" i="2"/>
  <c r="Q399" i="2"/>
  <c r="N399" i="2"/>
  <c r="W189" i="2"/>
  <c r="AB192" i="2"/>
  <c r="N192" i="2"/>
  <c r="N202" i="2" s="1"/>
  <c r="X192" i="2"/>
  <c r="X202" i="2" s="1"/>
  <c r="T194" i="2"/>
  <c r="T204" i="2" s="1"/>
  <c r="T198" i="2"/>
  <c r="X198" i="2"/>
  <c r="AD212" i="2"/>
  <c r="P212" i="2"/>
  <c r="X212" i="2"/>
  <c r="AE249" i="2"/>
  <c r="AE259" i="2" s="1"/>
  <c r="Q249" i="2"/>
  <c r="AC249" i="2"/>
  <c r="O249" i="2"/>
  <c r="Y249" i="2"/>
  <c r="P252" i="2"/>
  <c r="P262" i="2" s="1"/>
  <c r="X255" i="2"/>
  <c r="X265" i="2" s="1"/>
  <c r="T263" i="2"/>
  <c r="T279" i="2"/>
  <c r="T259" i="2" s="1"/>
  <c r="R282" i="2"/>
  <c r="AD282" i="2"/>
  <c r="O282" i="2"/>
  <c r="AB282" i="2"/>
  <c r="M282" i="2"/>
  <c r="X282" i="2"/>
  <c r="V282" i="2"/>
  <c r="AE282" i="2"/>
  <c r="AA283" i="2"/>
  <c r="X309" i="2"/>
  <c r="X319" i="2" s="1"/>
  <c r="M399" i="2"/>
  <c r="S253" i="2"/>
  <c r="S263" i="2" s="1"/>
  <c r="AE253" i="2"/>
  <c r="Q253" i="2"/>
  <c r="Y253" i="2"/>
  <c r="U263" i="2"/>
  <c r="AB266" i="2"/>
  <c r="N266" i="2"/>
  <c r="S266" i="2"/>
  <c r="U279" i="2"/>
  <c r="Y309" i="2"/>
  <c r="Y319" i="2" s="1"/>
  <c r="U314" i="2"/>
  <c r="U324" i="2" s="1"/>
  <c r="Z314" i="2"/>
  <c r="Z324" i="2" s="1"/>
  <c r="L314" i="2"/>
  <c r="L324" i="2" s="1"/>
  <c r="X314" i="2"/>
  <c r="W314" i="2"/>
  <c r="T314" i="2"/>
  <c r="T324" i="2" s="1"/>
  <c r="S314" i="2"/>
  <c r="P314" i="2"/>
  <c r="AE314" i="2"/>
  <c r="O314" i="2"/>
  <c r="AD314" i="2"/>
  <c r="AD324" i="2" s="1"/>
  <c r="N314" i="2"/>
  <c r="N315" i="2"/>
  <c r="M320" i="2"/>
  <c r="AC320" i="2"/>
  <c r="N320" i="2"/>
  <c r="S320" i="2"/>
  <c r="Q320" i="2"/>
  <c r="Q330" i="2" s="1"/>
  <c r="P320" i="2"/>
  <c r="AE320" i="2"/>
  <c r="AE479" i="9" s="1"/>
  <c r="AE480" i="9" s="1"/>
  <c r="AD320" i="2"/>
  <c r="Y320" i="2"/>
  <c r="Y330" i="2" s="1"/>
  <c r="W320" i="2"/>
  <c r="K379" i="2"/>
  <c r="K511" i="9" s="1"/>
  <c r="AE382" i="2"/>
  <c r="AE523" i="9" s="1"/>
  <c r="AE524" i="9" s="1"/>
  <c r="K259" i="2"/>
  <c r="AA255" i="2"/>
  <c r="AA265" i="2" s="1"/>
  <c r="M255" i="2"/>
  <c r="M265" i="2" s="1"/>
  <c r="Y255" i="2"/>
  <c r="K255" i="2"/>
  <c r="U255" i="2"/>
  <c r="U265" i="2" s="1"/>
  <c r="AB255" i="2"/>
  <c r="AB265" i="2" s="1"/>
  <c r="L262" i="2"/>
  <c r="Y262" i="2"/>
  <c r="W262" i="2"/>
  <c r="S262" i="2"/>
  <c r="L272" i="2"/>
  <c r="W279" i="2"/>
  <c r="W264" i="2" s="1"/>
  <c r="W283" i="2"/>
  <c r="U283" i="2"/>
  <c r="S283" i="2"/>
  <c r="AD283" i="2"/>
  <c r="O283" i="2"/>
  <c r="AB283" i="2"/>
  <c r="M283" i="2"/>
  <c r="AE283" i="2"/>
  <c r="AD309" i="2"/>
  <c r="AD319" i="2" s="1"/>
  <c r="R315" i="2"/>
  <c r="R325" i="2" s="1"/>
  <c r="AE336" i="2"/>
  <c r="Q336" i="2"/>
  <c r="M336" i="2"/>
  <c r="AA336" i="2"/>
  <c r="V336" i="2"/>
  <c r="U336" i="2"/>
  <c r="R336" i="2"/>
  <c r="P336" i="2"/>
  <c r="N336" i="2"/>
  <c r="AD379" i="2"/>
  <c r="T381" i="2"/>
  <c r="AA385" i="2"/>
  <c r="W134" i="2"/>
  <c r="W144" i="2" s="1"/>
  <c r="W142" i="2"/>
  <c r="W150" i="2"/>
  <c r="X194" i="2"/>
  <c r="X204" i="2" s="1"/>
  <c r="S252" i="2"/>
  <c r="K253" i="2"/>
  <c r="K263" i="2" s="1"/>
  <c r="AA253" i="2"/>
  <c r="AC255" i="2"/>
  <c r="AC265" i="2" s="1"/>
  <c r="W259" i="2"/>
  <c r="S264" i="2"/>
  <c r="K266" i="2"/>
  <c r="Y279" i="2"/>
  <c r="Y266" i="2" s="1"/>
  <c r="K283" i="2"/>
  <c r="L305" i="2"/>
  <c r="K314" i="2"/>
  <c r="S315" i="2"/>
  <c r="S325" i="2" s="1"/>
  <c r="W319" i="2"/>
  <c r="O320" i="2"/>
  <c r="X325" i="2"/>
  <c r="M189" i="2"/>
  <c r="M199" i="2" s="1"/>
  <c r="M209" i="2" s="1"/>
  <c r="M192" i="2"/>
  <c r="M202" i="2" s="1"/>
  <c r="AC192" i="2"/>
  <c r="AC202" i="2" s="1"/>
  <c r="AC423" i="9" s="1"/>
  <c r="AC424" i="9" s="1"/>
  <c r="Y194" i="2"/>
  <c r="Y204" i="2" s="1"/>
  <c r="M198" i="2"/>
  <c r="AB200" i="2"/>
  <c r="N200" i="2"/>
  <c r="X200" i="2"/>
  <c r="T205" i="2"/>
  <c r="X205" i="2"/>
  <c r="M212" i="2"/>
  <c r="M249" i="2"/>
  <c r="M259" i="2" s="1"/>
  <c r="AD249" i="2"/>
  <c r="L253" i="2"/>
  <c r="AB253" i="2"/>
  <c r="L255" i="2"/>
  <c r="AD255" i="2"/>
  <c r="AD265" i="2" s="1"/>
  <c r="K262" i="2"/>
  <c r="K451" i="9" s="1"/>
  <c r="M266" i="2"/>
  <c r="Y267" i="2"/>
  <c r="W267" i="2"/>
  <c r="W277" i="2" s="1"/>
  <c r="S267" i="2"/>
  <c r="AB267" i="2"/>
  <c r="Y277" i="2"/>
  <c r="Z279" i="2"/>
  <c r="Z262" i="2" s="1"/>
  <c r="P282" i="2"/>
  <c r="L283" i="2"/>
  <c r="E286" i="2"/>
  <c r="F293" i="2"/>
  <c r="AE313" i="2"/>
  <c r="Q313" i="2"/>
  <c r="V313" i="2"/>
  <c r="O313" i="2"/>
  <c r="O323" i="2" s="1"/>
  <c r="AD313" i="2"/>
  <c r="AD323" i="2" s="1"/>
  <c r="N313" i="2"/>
  <c r="AB313" i="2"/>
  <c r="AB323" i="2" s="1"/>
  <c r="L313" i="2"/>
  <c r="L323" i="2" s="1"/>
  <c r="AA313" i="2"/>
  <c r="K313" i="2"/>
  <c r="K323" i="2" s="1"/>
  <c r="X313" i="2"/>
  <c r="X323" i="2" s="1"/>
  <c r="W313" i="2"/>
  <c r="U313" i="2"/>
  <c r="U323" i="2" s="1"/>
  <c r="M314" i="2"/>
  <c r="M324" i="2" s="1"/>
  <c r="T315" i="2"/>
  <c r="R320" i="2"/>
  <c r="Z402" i="2"/>
  <c r="L402" i="2"/>
  <c r="V402" i="2"/>
  <c r="U402" i="2"/>
  <c r="T402" i="2"/>
  <c r="S402" i="2"/>
  <c r="R402" i="2"/>
  <c r="Q402" i="2"/>
  <c r="P402" i="2"/>
  <c r="AE402" i="2"/>
  <c r="O402" i="2"/>
  <c r="AC402" i="2"/>
  <c r="M402" i="2"/>
  <c r="AB402" i="2"/>
  <c r="K402" i="2"/>
  <c r="X402" i="2"/>
  <c r="AD402" i="2"/>
  <c r="AA402" i="2"/>
  <c r="Y402" i="2"/>
  <c r="U273" i="2"/>
  <c r="AA279" i="2"/>
  <c r="AA264" i="2" s="1"/>
  <c r="AA274" i="2" s="1"/>
  <c r="G286" i="2"/>
  <c r="U315" i="2"/>
  <c r="U325" i="2" s="1"/>
  <c r="T320" i="2"/>
  <c r="U331" i="2"/>
  <c r="X329" i="2"/>
  <c r="P379" i="2"/>
  <c r="X381" i="2"/>
  <c r="M383" i="2"/>
  <c r="AB384" i="2"/>
  <c r="N384" i="2"/>
  <c r="N394" i="2" s="1"/>
  <c r="X384" i="2"/>
  <c r="P384" i="2"/>
  <c r="Z384" i="2"/>
  <c r="V384" i="2"/>
  <c r="AD384" i="2"/>
  <c r="AA384" i="2"/>
  <c r="Y384" i="2"/>
  <c r="U384" i="2"/>
  <c r="S384" i="2"/>
  <c r="R384" i="2"/>
  <c r="R394" i="2" s="1"/>
  <c r="N262" i="2"/>
  <c r="P263" i="2"/>
  <c r="Q263" i="2"/>
  <c r="N263" i="2"/>
  <c r="Y263" i="2"/>
  <c r="W263" i="2"/>
  <c r="AB263" i="2"/>
  <c r="N272" i="2"/>
  <c r="P283" i="2"/>
  <c r="AA312" i="2"/>
  <c r="AA322" i="2" s="1"/>
  <c r="M312" i="2"/>
  <c r="M322" i="2" s="1"/>
  <c r="R312" i="2"/>
  <c r="R322" i="2" s="1"/>
  <c r="X312" i="2"/>
  <c r="X322" i="2" s="1"/>
  <c r="W312" i="2"/>
  <c r="W322" i="2" s="1"/>
  <c r="U312" i="2"/>
  <c r="U322" i="2" s="1"/>
  <c r="T312" i="2"/>
  <c r="P312" i="2"/>
  <c r="P322" i="2" s="1"/>
  <c r="AE312" i="2"/>
  <c r="AE322" i="2" s="1"/>
  <c r="O312" i="2"/>
  <c r="O322" i="2" s="1"/>
  <c r="AD312" i="2"/>
  <c r="AD322" i="2" s="1"/>
  <c r="N312" i="2"/>
  <c r="N322" i="2" s="1"/>
  <c r="R314" i="2"/>
  <c r="R324" i="2" s="1"/>
  <c r="Z315" i="2"/>
  <c r="U320" i="2"/>
  <c r="AC324" i="2"/>
  <c r="O324" i="2"/>
  <c r="W324" i="2"/>
  <c r="AB324" i="2"/>
  <c r="X324" i="2"/>
  <c r="V324" i="2"/>
  <c r="S324" i="2"/>
  <c r="P324" i="2"/>
  <c r="N324" i="2"/>
  <c r="AE324" i="2"/>
  <c r="AD336" i="2"/>
  <c r="AE279" i="2"/>
  <c r="AE265" i="2" s="1"/>
  <c r="Q279" i="2"/>
  <c r="Q261" i="2" s="1"/>
  <c r="X279" i="2"/>
  <c r="X262" i="2" s="1"/>
  <c r="V279" i="2"/>
  <c r="R279" i="2"/>
  <c r="R259" i="2" s="1"/>
  <c r="AD279" i="2"/>
  <c r="AD261" i="2" s="1"/>
  <c r="AD271" i="2" s="1"/>
  <c r="O279" i="2"/>
  <c r="O263" i="2" s="1"/>
  <c r="AC279" i="2"/>
  <c r="AC266" i="2" s="1"/>
  <c r="AC309" i="2"/>
  <c r="AC319" i="2" s="1"/>
  <c r="O309" i="2"/>
  <c r="O319" i="2" s="1"/>
  <c r="U309" i="2"/>
  <c r="U319" i="2" s="1"/>
  <c r="T309" i="2"/>
  <c r="T319" i="2" s="1"/>
  <c r="R309" i="2"/>
  <c r="R319" i="2" s="1"/>
  <c r="Q309" i="2"/>
  <c r="Q319" i="2" s="1"/>
  <c r="AB309" i="2"/>
  <c r="AB319" i="2" s="1"/>
  <c r="M309" i="2"/>
  <c r="M319" i="2" s="1"/>
  <c r="AA309" i="2"/>
  <c r="AA319" i="2" s="1"/>
  <c r="L309" i="2"/>
  <c r="L319" i="2" s="1"/>
  <c r="Z309" i="2"/>
  <c r="Z319" i="2" s="1"/>
  <c r="K309" i="2"/>
  <c r="K319" i="2" s="1"/>
  <c r="K475" i="9" s="1"/>
  <c r="AA315" i="2"/>
  <c r="AA325" i="2" s="1"/>
  <c r="X331" i="2"/>
  <c r="L425" i="2"/>
  <c r="K312" i="2"/>
  <c r="Y314" i="2"/>
  <c r="Y324" i="2" s="1"/>
  <c r="AE315" i="2"/>
  <c r="Z320" i="2"/>
  <c r="K324" i="2"/>
  <c r="M331" i="2"/>
  <c r="U337" i="2"/>
  <c r="R337" i="2"/>
  <c r="W337" i="2"/>
  <c r="T337" i="2"/>
  <c r="Q337" i="2"/>
  <c r="N337" i="2"/>
  <c r="AC252" i="2"/>
  <c r="AC262" i="2" s="1"/>
  <c r="O252" i="2"/>
  <c r="AA252" i="2"/>
  <c r="AA262" i="2" s="1"/>
  <c r="M252" i="2"/>
  <c r="M262" i="2" s="1"/>
  <c r="Y252" i="2"/>
  <c r="R253" i="2"/>
  <c r="R263" i="2" s="1"/>
  <c r="R255" i="2"/>
  <c r="R265" i="2" s="1"/>
  <c r="AC260" i="2"/>
  <c r="R262" i="2"/>
  <c r="R272" i="2" s="1"/>
  <c r="L263" i="2"/>
  <c r="P264" i="2"/>
  <c r="AC264" i="2"/>
  <c r="N264" i="2"/>
  <c r="AB264" i="2"/>
  <c r="AB274" i="2"/>
  <c r="N274" i="2"/>
  <c r="L279" i="2"/>
  <c r="T283" i="2"/>
  <c r="N309" i="2"/>
  <c r="N319" i="2" s="1"/>
  <c r="L312" i="2"/>
  <c r="AA314" i="2"/>
  <c r="AA324" i="2" s="1"/>
  <c r="AB320" i="2"/>
  <c r="AB330" i="2" s="1"/>
  <c r="W323" i="2"/>
  <c r="Q324" i="2"/>
  <c r="G349" i="2"/>
  <c r="F349" i="2"/>
  <c r="E349" i="2"/>
  <c r="T379" i="2"/>
  <c r="V383" i="2"/>
  <c r="V393" i="2" s="1"/>
  <c r="T391" i="2"/>
  <c r="AE391" i="2"/>
  <c r="AD391" i="2"/>
  <c r="AE445" i="2"/>
  <c r="AE571" i="9" s="1"/>
  <c r="AE572" i="9" s="1"/>
  <c r="U445" i="2"/>
  <c r="T445" i="2"/>
  <c r="R445" i="2"/>
  <c r="P445" i="2"/>
  <c r="AC445" i="2"/>
  <c r="AC455" i="2" s="1"/>
  <c r="K445" i="2"/>
  <c r="K571" i="9" s="1"/>
  <c r="V445" i="2"/>
  <c r="E471" i="2"/>
  <c r="G471" i="2"/>
  <c r="F471" i="2"/>
  <c r="L365" i="2"/>
  <c r="T386" i="2"/>
  <c r="R454" i="2"/>
  <c r="K455" i="2"/>
  <c r="U455" i="2"/>
  <c r="T455" i="2"/>
  <c r="V455" i="2"/>
  <c r="O321" i="2"/>
  <c r="T323" i="2"/>
  <c r="Y340" i="2"/>
  <c r="U386" i="2"/>
  <c r="AB387" i="2"/>
  <c r="F410" i="2"/>
  <c r="E410" i="2"/>
  <c r="M327" i="2"/>
  <c r="AE327" i="2"/>
  <c r="AE507" i="9" s="1"/>
  <c r="AE508" i="9" s="1"/>
  <c r="P327" i="2"/>
  <c r="P337" i="2" s="1"/>
  <c r="Z327" i="2"/>
  <c r="S333" i="2"/>
  <c r="AE333" i="2"/>
  <c r="AE379" i="2"/>
  <c r="AE511" i="9" s="1"/>
  <c r="AE512" i="9" s="1"/>
  <c r="L380" i="2"/>
  <c r="V380" i="2"/>
  <c r="P380" i="2"/>
  <c r="AE380" i="2"/>
  <c r="AE515" i="9" s="1"/>
  <c r="AE516" i="9" s="1"/>
  <c r="M380" i="2"/>
  <c r="M515" i="9" s="1"/>
  <c r="M516" i="9" s="1"/>
  <c r="X380" i="2"/>
  <c r="X515" i="9" s="1"/>
  <c r="X516" i="9" s="1"/>
  <c r="W449" i="2"/>
  <c r="W260" i="2"/>
  <c r="W270" i="2" s="1"/>
  <c r="Y280" i="2"/>
  <c r="S317" i="2"/>
  <c r="X317" i="2"/>
  <c r="X327" i="2" s="1"/>
  <c r="Y317" i="2"/>
  <c r="Y327" i="2" s="1"/>
  <c r="AC325" i="2"/>
  <c r="N325" i="2"/>
  <c r="T325" i="2"/>
  <c r="Z325" i="2"/>
  <c r="AB327" i="2"/>
  <c r="AC333" i="2"/>
  <c r="AB340" i="2"/>
  <c r="AB332" i="2" s="1"/>
  <c r="F351" i="2"/>
  <c r="S385" i="2"/>
  <c r="AA386" i="2"/>
  <c r="W329" i="2"/>
  <c r="L333" i="2"/>
  <c r="U385" i="2"/>
  <c r="K380" i="2"/>
  <c r="AD327" i="2"/>
  <c r="AC331" i="2"/>
  <c r="N331" i="2"/>
  <c r="S331" i="2"/>
  <c r="AA331" i="2"/>
  <c r="Q323" i="2"/>
  <c r="V323" i="2"/>
  <c r="AA323" i="2"/>
  <c r="AA333" i="2" s="1"/>
  <c r="N327" i="2"/>
  <c r="N333" i="2"/>
  <c r="W334" i="2"/>
  <c r="AE340" i="2"/>
  <c r="Q340" i="2"/>
  <c r="S340" i="2"/>
  <c r="S336" i="2" s="1"/>
  <c r="R340" i="2"/>
  <c r="R331" i="2" s="1"/>
  <c r="AC340" i="2"/>
  <c r="N340" i="2"/>
  <c r="AA340" i="2"/>
  <c r="L340" i="2"/>
  <c r="X340" i="2"/>
  <c r="X336" i="2" s="1"/>
  <c r="W385" i="2"/>
  <c r="Z387" i="2"/>
  <c r="L387" i="2"/>
  <c r="V387" i="2"/>
  <c r="X387" i="2"/>
  <c r="S387" i="2"/>
  <c r="AE387" i="2"/>
  <c r="AE543" i="9" s="1"/>
  <c r="AE544" i="9" s="1"/>
  <c r="AD400" i="2"/>
  <c r="P400" i="2"/>
  <c r="Z400" i="2"/>
  <c r="Z395" i="2" s="1"/>
  <c r="L400" i="2"/>
  <c r="S400" i="2"/>
  <c r="S394" i="2" s="1"/>
  <c r="R400" i="2"/>
  <c r="Q400" i="2"/>
  <c r="O400" i="2"/>
  <c r="AE400" i="2"/>
  <c r="N400" i="2"/>
  <c r="AC400" i="2"/>
  <c r="M400" i="2"/>
  <c r="AB400" i="2"/>
  <c r="K400" i="2"/>
  <c r="Y400" i="2"/>
  <c r="X400" i="2"/>
  <c r="X394" i="2" s="1"/>
  <c r="U400" i="2"/>
  <c r="AD451" i="2"/>
  <c r="N456" i="2"/>
  <c r="U254" i="2"/>
  <c r="U264" i="2" s="1"/>
  <c r="M260" i="2"/>
  <c r="M269" i="2"/>
  <c r="AB269" i="2"/>
  <c r="N280" i="2"/>
  <c r="N269" i="2" s="1"/>
  <c r="AC280" i="2"/>
  <c r="X310" i="2"/>
  <c r="X320" i="2" s="1"/>
  <c r="M317" i="2"/>
  <c r="AC317" i="2"/>
  <c r="AC327" i="2" s="1"/>
  <c r="M325" i="2"/>
  <c r="AE325" i="2"/>
  <c r="AE499" i="9" s="1"/>
  <c r="AE500" i="9" s="1"/>
  <c r="AE329" i="2"/>
  <c r="Q329" i="2"/>
  <c r="P329" i="2"/>
  <c r="V329" i="2"/>
  <c r="Z329" i="2"/>
  <c r="O333" i="2"/>
  <c r="K340" i="2"/>
  <c r="S380" i="2"/>
  <c r="T400" i="2"/>
  <c r="V386" i="2"/>
  <c r="R386" i="2"/>
  <c r="P386" i="2"/>
  <c r="AE386" i="2"/>
  <c r="AE539" i="9" s="1"/>
  <c r="AE540" i="9" s="1"/>
  <c r="O386" i="2"/>
  <c r="AD386" i="2"/>
  <c r="L386" i="2"/>
  <c r="X386" i="2"/>
  <c r="AB450" i="2"/>
  <c r="R456" i="2"/>
  <c r="O260" i="2"/>
  <c r="P280" i="2"/>
  <c r="P272" i="2" s="1"/>
  <c r="AE280" i="2"/>
  <c r="O317" i="2"/>
  <c r="O327" i="2" s="1"/>
  <c r="AE317" i="2"/>
  <c r="AE321" i="2"/>
  <c r="Q321" i="2"/>
  <c r="T321" i="2"/>
  <c r="Y321" i="2"/>
  <c r="Z321" i="2"/>
  <c r="Z331" i="2" s="1"/>
  <c r="M323" i="2"/>
  <c r="M333" i="2" s="1"/>
  <c r="W326" i="2"/>
  <c r="R327" i="2"/>
  <c r="R333" i="2"/>
  <c r="M335" i="2"/>
  <c r="V335" i="2"/>
  <c r="U335" i="2"/>
  <c r="AE335" i="2"/>
  <c r="AD335" i="2"/>
  <c r="O340" i="2"/>
  <c r="AA342" i="2"/>
  <c r="M342" i="2"/>
  <c r="R342" i="2"/>
  <c r="Q342" i="2"/>
  <c r="AC342" i="2"/>
  <c r="N342" i="2"/>
  <c r="Z342" i="2"/>
  <c r="K342" i="2"/>
  <c r="W342" i="2"/>
  <c r="U381" i="2"/>
  <c r="AE385" i="2"/>
  <c r="AE535" i="9" s="1"/>
  <c r="AE536" i="9" s="1"/>
  <c r="Q392" i="2"/>
  <c r="AE392" i="2"/>
  <c r="W400" i="2"/>
  <c r="G412" i="2"/>
  <c r="F412" i="2"/>
  <c r="E412" i="2"/>
  <c r="Y453" i="2"/>
  <c r="L310" i="2"/>
  <c r="L320" i="2" s="1"/>
  <c r="AA310" i="2"/>
  <c r="AA320" i="2" s="1"/>
  <c r="AC316" i="2"/>
  <c r="AC326" i="2" s="1"/>
  <c r="O316" i="2"/>
  <c r="O326" i="2" s="1"/>
  <c r="T316" i="2"/>
  <c r="T326" i="2" s="1"/>
  <c r="Y316" i="2"/>
  <c r="P317" i="2"/>
  <c r="AA321" i="2"/>
  <c r="T322" i="2"/>
  <c r="N323" i="2"/>
  <c r="AE323" i="2"/>
  <c r="AE491" i="9" s="1"/>
  <c r="AE492" i="9" s="1"/>
  <c r="S327" i="2"/>
  <c r="AC329" i="2"/>
  <c r="P331" i="2"/>
  <c r="AC332" i="2"/>
  <c r="O332" i="2"/>
  <c r="T332" i="2"/>
  <c r="T333" i="2"/>
  <c r="P340" i="2"/>
  <c r="P333" i="2" s="1"/>
  <c r="L342" i="2"/>
  <c r="K386" i="2"/>
  <c r="AA400" i="2"/>
  <c r="AA395" i="2" s="1"/>
  <c r="L444" i="2"/>
  <c r="S435" i="2"/>
  <c r="S445" i="2" s="1"/>
  <c r="R435" i="2"/>
  <c r="AE435" i="2"/>
  <c r="Q435" i="2"/>
  <c r="Q445" i="2" s="1"/>
  <c r="AC435" i="2"/>
  <c r="O435" i="2"/>
  <c r="O445" i="2" s="1"/>
  <c r="AB435" i="2"/>
  <c r="AB445" i="2" s="1"/>
  <c r="N435" i="2"/>
  <c r="N445" i="2" s="1"/>
  <c r="AA435" i="2"/>
  <c r="AA445" i="2" s="1"/>
  <c r="M435" i="2"/>
  <c r="M445" i="2" s="1"/>
  <c r="AD435" i="2"/>
  <c r="AD445" i="2" s="1"/>
  <c r="Z435" i="2"/>
  <c r="Z445" i="2" s="1"/>
  <c r="Y435" i="2"/>
  <c r="Y445" i="2" s="1"/>
  <c r="X435" i="2"/>
  <c r="X445" i="2" s="1"/>
  <c r="W435" i="2"/>
  <c r="W445" i="2" s="1"/>
  <c r="V435" i="2"/>
  <c r="T435" i="2"/>
  <c r="P435" i="2"/>
  <c r="L435" i="2"/>
  <c r="Y442" i="2"/>
  <c r="W442" i="2"/>
  <c r="W559" i="9" s="1"/>
  <c r="W560" i="9" s="1"/>
  <c r="AE439" i="2"/>
  <c r="Q439" i="2"/>
  <c r="AD439" i="2"/>
  <c r="P439" i="2"/>
  <c r="P547" i="9" s="1"/>
  <c r="P548" i="9" s="1"/>
  <c r="AC439" i="2"/>
  <c r="O439" i="2"/>
  <c r="O547" i="9" s="1"/>
  <c r="O548" i="9" s="1"/>
  <c r="AB439" i="2"/>
  <c r="N439" i="2"/>
  <c r="AA439" i="2"/>
  <c r="M439" i="2"/>
  <c r="Z439" i="2"/>
  <c r="L439" i="2"/>
  <c r="Y439" i="2"/>
  <c r="K439" i="2"/>
  <c r="M450" i="2"/>
  <c r="P341" i="2"/>
  <c r="AE341" i="2"/>
  <c r="O343" i="2"/>
  <c r="AD343" i="2"/>
  <c r="AB369" i="2"/>
  <c r="AB379" i="2" s="1"/>
  <c r="N369" i="2"/>
  <c r="X369" i="2"/>
  <c r="X379" i="2" s="1"/>
  <c r="Y369" i="2"/>
  <c r="Y379" i="2" s="1"/>
  <c r="Q370" i="2"/>
  <c r="Q380" i="2" s="1"/>
  <c r="V371" i="2"/>
  <c r="V381" i="2" s="1"/>
  <c r="V391" i="2" s="1"/>
  <c r="R371" i="2"/>
  <c r="R381" i="2" s="1"/>
  <c r="Y371" i="2"/>
  <c r="Q374" i="2"/>
  <c r="Q384" i="2" s="1"/>
  <c r="X375" i="2"/>
  <c r="X385" i="2" s="1"/>
  <c r="X395" i="2" s="1"/>
  <c r="T375" i="2"/>
  <c r="T385" i="2" s="1"/>
  <c r="Y375" i="2"/>
  <c r="Y385" i="2" s="1"/>
  <c r="O385" i="2"/>
  <c r="O535" i="9" s="1"/>
  <c r="O536" i="9" s="1"/>
  <c r="T395" i="2"/>
  <c r="R401" i="2"/>
  <c r="X443" i="2"/>
  <c r="X453" i="2" s="1"/>
  <c r="AB453" i="2"/>
  <c r="AD373" i="2"/>
  <c r="AD383" i="2" s="1"/>
  <c r="P373" i="2"/>
  <c r="Z373" i="2"/>
  <c r="L373" i="2"/>
  <c r="L383" i="2" s="1"/>
  <c r="Y373" i="2"/>
  <c r="R377" i="2"/>
  <c r="R387" i="2" s="1"/>
  <c r="AB377" i="2"/>
  <c r="N377" i="2"/>
  <c r="N387" i="2" s="1"/>
  <c r="Y377" i="2"/>
  <c r="Y387" i="2" s="1"/>
  <c r="T382" i="2"/>
  <c r="AD382" i="2"/>
  <c r="AD392" i="2" s="1"/>
  <c r="P382" i="2"/>
  <c r="AE431" i="2"/>
  <c r="AE441" i="2" s="1"/>
  <c r="Q431" i="2"/>
  <c r="Q441" i="2" s="1"/>
  <c r="AC431" i="2"/>
  <c r="O431" i="2"/>
  <c r="AA431" i="2"/>
  <c r="AA441" i="2" s="1"/>
  <c r="M431" i="2"/>
  <c r="M441" i="2" s="1"/>
  <c r="Z431" i="2"/>
  <c r="Z441" i="2" s="1"/>
  <c r="L431" i="2"/>
  <c r="L441" i="2" s="1"/>
  <c r="Y431" i="2"/>
  <c r="Y441" i="2" s="1"/>
  <c r="K431" i="2"/>
  <c r="K441" i="2" s="1"/>
  <c r="U432" i="2"/>
  <c r="U442" i="2" s="1"/>
  <c r="S432" i="2"/>
  <c r="AE432" i="2"/>
  <c r="Q432" i="2"/>
  <c r="AD432" i="2"/>
  <c r="P432" i="2"/>
  <c r="AC432" i="2"/>
  <c r="O432" i="2"/>
  <c r="O442" i="2" s="1"/>
  <c r="AB432" i="2"/>
  <c r="AB442" i="2" s="1"/>
  <c r="R439" i="2"/>
  <c r="K373" i="2"/>
  <c r="K383" i="2" s="1"/>
  <c r="K527" i="9" s="1"/>
  <c r="AB373" i="2"/>
  <c r="AB383" i="2" s="1"/>
  <c r="AB393" i="2" s="1"/>
  <c r="K377" i="2"/>
  <c r="K387" i="2" s="1"/>
  <c r="K543" i="9" s="1"/>
  <c r="AA377" i="2"/>
  <c r="AA387" i="2" s="1"/>
  <c r="N431" i="2"/>
  <c r="N441" i="2" s="1"/>
  <c r="K432" i="2"/>
  <c r="T439" i="2"/>
  <c r="V395" i="2"/>
  <c r="R396" i="2"/>
  <c r="V454" i="2"/>
  <c r="U439" i="2"/>
  <c r="Y447" i="2"/>
  <c r="K447" i="2"/>
  <c r="R447" i="2"/>
  <c r="Q447" i="2"/>
  <c r="AE447" i="2"/>
  <c r="AE579" i="9" s="1"/>
  <c r="AE580" i="9" s="1"/>
  <c r="P447" i="2"/>
  <c r="AD447" i="2"/>
  <c r="O447" i="2"/>
  <c r="AC447" i="2"/>
  <c r="N447" i="2"/>
  <c r="AB447" i="2"/>
  <c r="M447" i="2"/>
  <c r="AA447" i="2"/>
  <c r="L447" i="2"/>
  <c r="Z447" i="2"/>
  <c r="W447" i="2"/>
  <c r="N454" i="2"/>
  <c r="N373" i="2"/>
  <c r="AE373" i="2"/>
  <c r="AE383" i="2" s="1"/>
  <c r="M377" i="2"/>
  <c r="M387" i="2" s="1"/>
  <c r="AD377" i="2"/>
  <c r="AD387" i="2" s="1"/>
  <c r="M382" i="2"/>
  <c r="AC382" i="2"/>
  <c r="AC392" i="2" s="1"/>
  <c r="K389" i="2"/>
  <c r="AB389" i="2"/>
  <c r="K393" i="2"/>
  <c r="AE403" i="2"/>
  <c r="Q403" i="2"/>
  <c r="AA403" i="2"/>
  <c r="M403" i="2"/>
  <c r="Z403" i="2"/>
  <c r="R431" i="2"/>
  <c r="R441" i="2" s="1"/>
  <c r="M432" i="2"/>
  <c r="M442" i="2" s="1"/>
  <c r="V439" i="2"/>
  <c r="AA450" i="2"/>
  <c r="AB454" i="2"/>
  <c r="W439" i="2"/>
  <c r="S442" i="2"/>
  <c r="R442" i="2"/>
  <c r="Q442" i="2"/>
  <c r="AE442" i="2"/>
  <c r="P442" i="2"/>
  <c r="AD442" i="2"/>
  <c r="AC442" i="2"/>
  <c r="N442" i="2"/>
  <c r="AA442" i="2"/>
  <c r="L442" i="2"/>
  <c r="Z442" i="2"/>
  <c r="K442" i="2"/>
  <c r="K559" i="9" s="1"/>
  <c r="R370" i="2"/>
  <c r="R380" i="2" s="1"/>
  <c r="AB370" i="2"/>
  <c r="AB380" i="2" s="1"/>
  <c r="N370" i="2"/>
  <c r="N380" i="2" s="1"/>
  <c r="Y370" i="2"/>
  <c r="Y380" i="2" s="1"/>
  <c r="Q373" i="2"/>
  <c r="Q383" i="2" s="1"/>
  <c r="T374" i="2"/>
  <c r="T384" i="2" s="1"/>
  <c r="AD374" i="2"/>
  <c r="P374" i="2"/>
  <c r="Y374" i="2"/>
  <c r="P377" i="2"/>
  <c r="P387" i="2" s="1"/>
  <c r="AE389" i="2"/>
  <c r="M393" i="2"/>
  <c r="AD393" i="2"/>
  <c r="U401" i="2"/>
  <c r="AE401" i="2"/>
  <c r="Q401" i="2"/>
  <c r="Z401" i="2"/>
  <c r="F414" i="2"/>
  <c r="T431" i="2"/>
  <c r="T441" i="2" s="1"/>
  <c r="R432" i="2"/>
  <c r="X439" i="2"/>
  <c r="T447" i="2"/>
  <c r="T457" i="2" s="1"/>
  <c r="S454" i="2"/>
  <c r="G468" i="2"/>
  <c r="F468" i="2"/>
  <c r="E468" i="2"/>
  <c r="Z339" i="2"/>
  <c r="Z326" i="2" s="1"/>
  <c r="L339" i="2"/>
  <c r="L327" i="2" s="1"/>
  <c r="Y339" i="2"/>
  <c r="Y323" i="2" s="1"/>
  <c r="Y341" i="2"/>
  <c r="Z370" i="2"/>
  <c r="Z380" i="2" s="1"/>
  <c r="Z372" i="2"/>
  <c r="Z382" i="2" s="1"/>
  <c r="L372" i="2"/>
  <c r="L382" i="2" s="1"/>
  <c r="V372" i="2"/>
  <c r="V382" i="2" s="1"/>
  <c r="Y372" i="2"/>
  <c r="Y382" i="2" s="1"/>
  <c r="R373" i="2"/>
  <c r="R383" i="2" s="1"/>
  <c r="R393" i="2" s="1"/>
  <c r="Z374" i="2"/>
  <c r="AB376" i="2"/>
  <c r="AB386" i="2" s="1"/>
  <c r="N376" i="2"/>
  <c r="N386" i="2" s="1"/>
  <c r="X376" i="2"/>
  <c r="Y376" i="2"/>
  <c r="Y386" i="2" s="1"/>
  <c r="Q377" i="2"/>
  <c r="Q387" i="2" s="1"/>
  <c r="V379" i="2"/>
  <c r="V389" i="2" s="1"/>
  <c r="R379" i="2"/>
  <c r="Q382" i="2"/>
  <c r="X383" i="2"/>
  <c r="T383" i="2"/>
  <c r="T527" i="9" s="1"/>
  <c r="T528" i="9" s="1"/>
  <c r="Y383" i="2"/>
  <c r="V396" i="2"/>
  <c r="AE397" i="2"/>
  <c r="K401" i="2"/>
  <c r="AA401" i="2"/>
  <c r="N403" i="2"/>
  <c r="AD403" i="2"/>
  <c r="U431" i="2"/>
  <c r="U441" i="2" s="1"/>
  <c r="T432" i="2"/>
  <c r="T442" i="2" s="1"/>
  <c r="V441" i="2"/>
  <c r="U447" i="2"/>
  <c r="S453" i="2"/>
  <c r="V453" i="2"/>
  <c r="T453" i="2"/>
  <c r="R453" i="2"/>
  <c r="O453" i="2"/>
  <c r="AD453" i="2"/>
  <c r="N453" i="2"/>
  <c r="M453" i="2"/>
  <c r="AA453" i="2"/>
  <c r="AD454" i="2"/>
  <c r="K339" i="2"/>
  <c r="K321" i="2" s="1"/>
  <c r="AA339" i="2"/>
  <c r="AA327" i="2" s="1"/>
  <c r="K341" i="2"/>
  <c r="Z341" i="2"/>
  <c r="Y343" i="2"/>
  <c r="K370" i="2"/>
  <c r="AA370" i="2"/>
  <c r="AA380" i="2" s="1"/>
  <c r="AA372" i="2"/>
  <c r="AA382" i="2" s="1"/>
  <c r="S373" i="2"/>
  <c r="S383" i="2" s="1"/>
  <c r="K374" i="2"/>
  <c r="K384" i="2" s="1"/>
  <c r="K531" i="9" s="1"/>
  <c r="AA374" i="2"/>
  <c r="Z376" i="2"/>
  <c r="Z386" i="2" s="1"/>
  <c r="S377" i="2"/>
  <c r="Z379" i="2"/>
  <c r="AD381" i="2"/>
  <c r="Z381" i="2"/>
  <c r="L381" i="2"/>
  <c r="Y381" i="2"/>
  <c r="R382" i="2"/>
  <c r="Z383" i="2"/>
  <c r="R385" i="2"/>
  <c r="AB385" i="2"/>
  <c r="N385" i="2"/>
  <c r="O395" i="2"/>
  <c r="AE395" i="2"/>
  <c r="L401" i="2"/>
  <c r="AB401" i="2"/>
  <c r="O403" i="2"/>
  <c r="V431" i="2"/>
  <c r="V432" i="2"/>
  <c r="V442" i="2" s="1"/>
  <c r="P443" i="2"/>
  <c r="V440" i="2"/>
  <c r="U440" i="2"/>
  <c r="T440" i="2"/>
  <c r="S440" i="2"/>
  <c r="S450" i="2" s="1"/>
  <c r="R440" i="2"/>
  <c r="AE440" i="2"/>
  <c r="AE450" i="2" s="1"/>
  <c r="Q440" i="2"/>
  <c r="AD440" i="2"/>
  <c r="P440" i="2"/>
  <c r="AC440" i="2"/>
  <c r="O440" i="2"/>
  <c r="V447" i="2"/>
  <c r="S457" i="2"/>
  <c r="Y457" i="2"/>
  <c r="AE460" i="2"/>
  <c r="AE453" i="2" s="1"/>
  <c r="Q460" i="2"/>
  <c r="Q457" i="2" s="1"/>
  <c r="AC460" i="2"/>
  <c r="AC453" i="2" s="1"/>
  <c r="O460" i="2"/>
  <c r="Z460" i="2"/>
  <c r="Z453" i="2" s="1"/>
  <c r="L485" i="2"/>
  <c r="L457" i="2"/>
  <c r="M460" i="2"/>
  <c r="AD460" i="2"/>
  <c r="R463" i="2"/>
  <c r="AD463" i="2"/>
  <c r="P463" i="2"/>
  <c r="Z463" i="2"/>
  <c r="W434" i="2"/>
  <c r="W444" i="2" s="1"/>
  <c r="N457" i="2"/>
  <c r="AD457" i="2"/>
  <c r="P460" i="2"/>
  <c r="P454" i="2" s="1"/>
  <c r="V461" i="2"/>
  <c r="T461" i="2"/>
  <c r="Z461" i="2"/>
  <c r="L463" i="2"/>
  <c r="AB463" i="2"/>
  <c r="T433" i="2"/>
  <c r="T443" i="2" s="1"/>
  <c r="X434" i="2"/>
  <c r="T446" i="2"/>
  <c r="T575" i="9" s="1"/>
  <c r="T576" i="9" s="1"/>
  <c r="V452" i="2"/>
  <c r="W456" i="2"/>
  <c r="O457" i="2"/>
  <c r="AE457" i="2"/>
  <c r="R460" i="2"/>
  <c r="K461" i="2"/>
  <c r="AA461" i="2"/>
  <c r="M463" i="2"/>
  <c r="AC463" i="2"/>
  <c r="F474" i="2"/>
  <c r="S429" i="2"/>
  <c r="S439" i="2" s="1"/>
  <c r="S449" i="2" s="1"/>
  <c r="U433" i="2"/>
  <c r="U443" i="2" s="1"/>
  <c r="U453" i="2" s="1"/>
  <c r="K434" i="2"/>
  <c r="K444" i="2" s="1"/>
  <c r="K454" i="2" s="1"/>
  <c r="Y434" i="2"/>
  <c r="Y444" i="2" s="1"/>
  <c r="S436" i="2"/>
  <c r="S446" i="2" s="1"/>
  <c r="AA444" i="2"/>
  <c r="M444" i="2"/>
  <c r="X444" i="2"/>
  <c r="Y450" i="2"/>
  <c r="S460" i="2"/>
  <c r="S451" i="2" s="1"/>
  <c r="L461" i="2"/>
  <c r="AB461" i="2"/>
  <c r="U462" i="2"/>
  <c r="N463" i="2"/>
  <c r="AE463" i="2"/>
  <c r="AE456" i="2"/>
  <c r="Q456" i="2"/>
  <c r="AC456" i="2"/>
  <c r="O456" i="2"/>
  <c r="Y456" i="2"/>
  <c r="T460" i="2"/>
  <c r="T454" i="2" s="1"/>
  <c r="M461" i="2"/>
  <c r="AC461" i="2"/>
  <c r="O463" i="2"/>
  <c r="W433" i="2"/>
  <c r="W443" i="2" s="1"/>
  <c r="M434" i="2"/>
  <c r="AA434" i="2"/>
  <c r="AC441" i="2"/>
  <c r="O441" i="2"/>
  <c r="X441" i="2"/>
  <c r="U446" i="2"/>
  <c r="X446" i="2"/>
  <c r="AA452" i="2"/>
  <c r="Y452" i="2"/>
  <c r="R457" i="2"/>
  <c r="U460" i="2"/>
  <c r="U454" i="2" s="1"/>
  <c r="N461" i="2"/>
  <c r="AD461" i="2"/>
  <c r="Q463" i="2"/>
  <c r="E466" i="2"/>
  <c r="K456" i="2"/>
  <c r="AA456" i="2"/>
  <c r="V460" i="2"/>
  <c r="V456" i="2" s="1"/>
  <c r="O461" i="2"/>
  <c r="AE461" i="2"/>
  <c r="S463" i="2"/>
  <c r="F466" i="2"/>
  <c r="K433" i="2"/>
  <c r="K443" i="2" s="1"/>
  <c r="K563" i="9" s="1"/>
  <c r="O434" i="2"/>
  <c r="O444" i="2" s="1"/>
  <c r="K446" i="2"/>
  <c r="K575" i="9" s="1"/>
  <c r="Z446" i="2"/>
  <c r="N450" i="2"/>
  <c r="AC450" i="2"/>
  <c r="AB456" i="2"/>
  <c r="W460" i="2"/>
  <c r="W451" i="2" s="1"/>
  <c r="P461" i="2"/>
  <c r="T463" i="2"/>
  <c r="L446" i="2"/>
  <c r="AA446" i="2"/>
  <c r="AC449" i="2"/>
  <c r="O449" i="2"/>
  <c r="X449" i="2"/>
  <c r="L452" i="2"/>
  <c r="M456" i="2"/>
  <c r="AD456" i="2"/>
  <c r="W457" i="2"/>
  <c r="X460" i="2"/>
  <c r="Q461" i="2"/>
  <c r="AA462" i="2"/>
  <c r="M462" i="2"/>
  <c r="Y462" i="2"/>
  <c r="K462" i="2"/>
  <c r="AB462" i="2"/>
  <c r="U463" i="2"/>
  <c r="X459" i="2"/>
  <c r="L459" i="2"/>
  <c r="L445" i="2" s="1"/>
  <c r="W519" i="9" l="1"/>
  <c r="W520" i="9" s="1"/>
  <c r="W391" i="2"/>
  <c r="T394" i="2"/>
  <c r="T531" i="9"/>
  <c r="T532" i="9" s="1"/>
  <c r="AE332" i="2"/>
  <c r="AE487" i="9"/>
  <c r="AE488" i="9" s="1"/>
  <c r="AB214" i="2"/>
  <c r="AB431" i="9"/>
  <c r="AB432" i="9" s="1"/>
  <c r="P332" i="2"/>
  <c r="P487" i="9"/>
  <c r="P488" i="9" s="1"/>
  <c r="Z390" i="2"/>
  <c r="Z515" i="9"/>
  <c r="Z516" i="9" s="1"/>
  <c r="N515" i="9"/>
  <c r="N516" i="9" s="1"/>
  <c r="N390" i="2"/>
  <c r="Z571" i="9"/>
  <c r="Z572" i="9" s="1"/>
  <c r="Z455" i="2"/>
  <c r="AC451" i="9"/>
  <c r="AC452" i="9" s="1"/>
  <c r="AC272" i="2"/>
  <c r="AC276" i="2"/>
  <c r="AC467" i="9"/>
  <c r="AC468" i="9" s="1"/>
  <c r="U332" i="2"/>
  <c r="U487" i="9"/>
  <c r="U488" i="9" s="1"/>
  <c r="AD463" i="9"/>
  <c r="AD464" i="9" s="1"/>
  <c r="AD275" i="2"/>
  <c r="AC463" i="9"/>
  <c r="AC464" i="9" s="1"/>
  <c r="AC275" i="2"/>
  <c r="W435" i="9"/>
  <c r="W436" i="9" s="1"/>
  <c r="W215" i="2"/>
  <c r="AD211" i="2"/>
  <c r="AD419" i="9"/>
  <c r="AD420" i="9" s="1"/>
  <c r="AC337" i="2"/>
  <c r="AC507" i="9"/>
  <c r="AC508" i="9" s="1"/>
  <c r="X479" i="9"/>
  <c r="X480" i="9" s="1"/>
  <c r="X330" i="2"/>
  <c r="AA463" i="9"/>
  <c r="AA464" i="9" s="1"/>
  <c r="AA275" i="2"/>
  <c r="V212" i="2"/>
  <c r="V423" i="9"/>
  <c r="V424" i="9" s="1"/>
  <c r="AD571" i="9"/>
  <c r="AD572" i="9" s="1"/>
  <c r="AD455" i="2"/>
  <c r="AD427" i="9"/>
  <c r="AD428" i="9" s="1"/>
  <c r="AD213" i="2"/>
  <c r="Q276" i="2"/>
  <c r="Q467" i="9"/>
  <c r="Q468" i="9" s="1"/>
  <c r="S411" i="9"/>
  <c r="S412" i="9" s="1"/>
  <c r="S209" i="2"/>
  <c r="Y511" i="9"/>
  <c r="Y512" i="9" s="1"/>
  <c r="Y389" i="2"/>
  <c r="Y276" i="2"/>
  <c r="Y467" i="9"/>
  <c r="Y468" i="9" s="1"/>
  <c r="AA392" i="2"/>
  <c r="AA523" i="9"/>
  <c r="AA524" i="9" s="1"/>
  <c r="AD491" i="9"/>
  <c r="AD492" i="9" s="1"/>
  <c r="AD333" i="2"/>
  <c r="W453" i="2"/>
  <c r="W563" i="9"/>
  <c r="W564" i="9" s="1"/>
  <c r="AA390" i="2"/>
  <c r="AA515" i="9"/>
  <c r="AA516" i="9" s="1"/>
  <c r="M463" i="9"/>
  <c r="M464" i="9" s="1"/>
  <c r="M275" i="2"/>
  <c r="N302" i="2" s="1"/>
  <c r="N175" i="9" s="1"/>
  <c r="N176" i="9" s="1"/>
  <c r="R214" i="2"/>
  <c r="R431" i="9"/>
  <c r="R432" i="9" s="1"/>
  <c r="Y431" i="9"/>
  <c r="Y432" i="9" s="1"/>
  <c r="Y214" i="2"/>
  <c r="Y491" i="9"/>
  <c r="Y492" i="9" s="1"/>
  <c r="Y333" i="2"/>
  <c r="U452" i="2"/>
  <c r="U559" i="9"/>
  <c r="U560" i="9" s="1"/>
  <c r="Y535" i="9"/>
  <c r="Y536" i="9" s="1"/>
  <c r="Y395" i="2"/>
  <c r="M571" i="9"/>
  <c r="M572" i="9" s="1"/>
  <c r="M455" i="2"/>
  <c r="M334" i="2"/>
  <c r="N361" i="2" s="1"/>
  <c r="N207" i="9" s="1"/>
  <c r="N208" i="9" s="1"/>
  <c r="M495" i="9"/>
  <c r="M496" i="9" s="1"/>
  <c r="W459" i="9"/>
  <c r="W460" i="9" s="1"/>
  <c r="W274" i="2"/>
  <c r="Z92" i="2"/>
  <c r="Z351" i="9"/>
  <c r="Z352" i="9" s="1"/>
  <c r="Y515" i="9"/>
  <c r="Y516" i="9" s="1"/>
  <c r="Y390" i="2"/>
  <c r="T452" i="2"/>
  <c r="T559" i="9"/>
  <c r="T560" i="9" s="1"/>
  <c r="K451" i="2"/>
  <c r="K555" i="9"/>
  <c r="AA571" i="9"/>
  <c r="AA572" i="9" s="1"/>
  <c r="AA455" i="2"/>
  <c r="R269" i="2"/>
  <c r="R439" i="9"/>
  <c r="R440" i="9" s="1"/>
  <c r="O519" i="9"/>
  <c r="O520" i="9" s="1"/>
  <c r="O391" i="2"/>
  <c r="Q335" i="2"/>
  <c r="Q499" i="9"/>
  <c r="Q500" i="9" s="1"/>
  <c r="T427" i="9"/>
  <c r="T428" i="9" s="1"/>
  <c r="T213" i="2"/>
  <c r="P277" i="2"/>
  <c r="P471" i="9"/>
  <c r="P472" i="9" s="1"/>
  <c r="R149" i="2"/>
  <c r="R375" i="9"/>
  <c r="R376" i="9" s="1"/>
  <c r="L419" i="9"/>
  <c r="L420" i="9" s="1"/>
  <c r="L211" i="2"/>
  <c r="U403" i="9"/>
  <c r="U404" i="9" s="1"/>
  <c r="U207" i="2"/>
  <c r="X507" i="9"/>
  <c r="X508" i="9" s="1"/>
  <c r="X337" i="2"/>
  <c r="AA337" i="2"/>
  <c r="AA507" i="9"/>
  <c r="AA508" i="9" s="1"/>
  <c r="AD543" i="9"/>
  <c r="AD544" i="9" s="1"/>
  <c r="AD397" i="2"/>
  <c r="N543" i="9"/>
  <c r="N544" i="9" s="1"/>
  <c r="N397" i="2"/>
  <c r="K483" i="9"/>
  <c r="K331" i="2"/>
  <c r="U451" i="2"/>
  <c r="U555" i="9"/>
  <c r="U556" i="9" s="1"/>
  <c r="Y539" i="9"/>
  <c r="Y540" i="9" s="1"/>
  <c r="Y396" i="2"/>
  <c r="Z503" i="9"/>
  <c r="Z504" i="9" s="1"/>
  <c r="Z336" i="2"/>
  <c r="M543" i="9"/>
  <c r="M544" i="9" s="1"/>
  <c r="M397" i="2"/>
  <c r="N571" i="9"/>
  <c r="N572" i="9" s="1"/>
  <c r="N455" i="2"/>
  <c r="U459" i="9"/>
  <c r="U460" i="9" s="1"/>
  <c r="U274" i="2"/>
  <c r="X431" i="9"/>
  <c r="X432" i="9" s="1"/>
  <c r="X214" i="2"/>
  <c r="P499" i="9"/>
  <c r="P500" i="9" s="1"/>
  <c r="P335" i="2"/>
  <c r="U276" i="2"/>
  <c r="U467" i="9"/>
  <c r="U468" i="9" s="1"/>
  <c r="AB571" i="9"/>
  <c r="AB572" i="9" s="1"/>
  <c r="AB455" i="2"/>
  <c r="AA332" i="2"/>
  <c r="AA487" i="9"/>
  <c r="AA488" i="9" s="1"/>
  <c r="T431" i="9"/>
  <c r="T432" i="9" s="1"/>
  <c r="T214" i="2"/>
  <c r="T375" i="9"/>
  <c r="T376" i="9" s="1"/>
  <c r="T149" i="2"/>
  <c r="S571" i="9"/>
  <c r="S572" i="9" s="1"/>
  <c r="S455" i="2"/>
  <c r="AA451" i="9"/>
  <c r="AA452" i="9" s="1"/>
  <c r="AA272" i="2"/>
  <c r="Y571" i="9"/>
  <c r="Y572" i="9" s="1"/>
  <c r="Y455" i="2"/>
  <c r="Q397" i="2"/>
  <c r="Q543" i="9"/>
  <c r="Q544" i="9" s="1"/>
  <c r="N539" i="9"/>
  <c r="N540" i="9" s="1"/>
  <c r="N396" i="2"/>
  <c r="Z451" i="2"/>
  <c r="Z555" i="9"/>
  <c r="Z556" i="9" s="1"/>
  <c r="O571" i="9"/>
  <c r="O572" i="9" s="1"/>
  <c r="O455" i="2"/>
  <c r="L479" i="9"/>
  <c r="L480" i="9" s="1"/>
  <c r="L330" i="2"/>
  <c r="Q447" i="9"/>
  <c r="Q448" i="9" s="1"/>
  <c r="Q271" i="2"/>
  <c r="K491" i="9"/>
  <c r="K333" i="2"/>
  <c r="Z451" i="9"/>
  <c r="Z452" i="9" s="1"/>
  <c r="Z272" i="2"/>
  <c r="S335" i="2"/>
  <c r="S499" i="9"/>
  <c r="S500" i="9" s="1"/>
  <c r="T334" i="2"/>
  <c r="T495" i="9"/>
  <c r="T496" i="9" s="1"/>
  <c r="X571" i="9"/>
  <c r="X572" i="9" s="1"/>
  <c r="X455" i="2"/>
  <c r="M482" i="2"/>
  <c r="M283" i="9" s="1"/>
  <c r="M284" i="9" s="1"/>
  <c r="L571" i="9"/>
  <c r="L572" i="9" s="1"/>
  <c r="L455" i="2"/>
  <c r="L507" i="9"/>
  <c r="L508" i="9" s="1"/>
  <c r="L337" i="2"/>
  <c r="M364" i="2" s="1"/>
  <c r="M219" i="9" s="1"/>
  <c r="M220" i="9" s="1"/>
  <c r="M559" i="9"/>
  <c r="M560" i="9" s="1"/>
  <c r="M452" i="2"/>
  <c r="Q531" i="9"/>
  <c r="Q532" i="9" s="1"/>
  <c r="Q394" i="2"/>
  <c r="AA479" i="9"/>
  <c r="AA480" i="9" s="1"/>
  <c r="AA330" i="2"/>
  <c r="Z539" i="9"/>
  <c r="Z540" i="9" s="1"/>
  <c r="Z396" i="2"/>
  <c r="AB396" i="2"/>
  <c r="AB539" i="9"/>
  <c r="AB540" i="9" s="1"/>
  <c r="P543" i="9"/>
  <c r="P544" i="9" s="1"/>
  <c r="P397" i="2"/>
  <c r="AE463" i="9"/>
  <c r="AE464" i="9" s="1"/>
  <c r="AE275" i="2"/>
  <c r="X463" i="9"/>
  <c r="X464" i="9" s="1"/>
  <c r="X275" i="2"/>
  <c r="U213" i="2"/>
  <c r="U427" i="9"/>
  <c r="U428" i="9" s="1"/>
  <c r="W571" i="9"/>
  <c r="W572" i="9" s="1"/>
  <c r="W455" i="2"/>
  <c r="O507" i="9"/>
  <c r="O508" i="9" s="1"/>
  <c r="O337" i="2"/>
  <c r="AE527" i="9"/>
  <c r="AE528" i="9" s="1"/>
  <c r="AE393" i="2"/>
  <c r="AB559" i="9"/>
  <c r="AB560" i="9" s="1"/>
  <c r="AB452" i="2"/>
  <c r="Q571" i="9"/>
  <c r="Q572" i="9" s="1"/>
  <c r="Q455" i="2"/>
  <c r="AA334" i="2"/>
  <c r="AA495" i="9"/>
  <c r="AA496" i="9" s="1"/>
  <c r="AB463" i="9"/>
  <c r="AB464" i="9" s="1"/>
  <c r="AB275" i="2"/>
  <c r="Y392" i="2"/>
  <c r="Y523" i="9"/>
  <c r="Y524" i="9" s="1"/>
  <c r="O559" i="9"/>
  <c r="O560" i="9" s="1"/>
  <c r="O452" i="2"/>
  <c r="Q390" i="2"/>
  <c r="Q515" i="9"/>
  <c r="Q516" i="9" s="1"/>
  <c r="Y507" i="9"/>
  <c r="Y508" i="9" s="1"/>
  <c r="Y337" i="2"/>
  <c r="AB491" i="9"/>
  <c r="AB492" i="9" s="1"/>
  <c r="AB333" i="2"/>
  <c r="U463" i="9"/>
  <c r="U464" i="9" s="1"/>
  <c r="U275" i="2"/>
  <c r="M361" i="2"/>
  <c r="M207" i="9" s="1"/>
  <c r="M208" i="9" s="1"/>
  <c r="L334" i="2"/>
  <c r="L495" i="9"/>
  <c r="L496" i="9" s="1"/>
  <c r="M211" i="2"/>
  <c r="M419" i="9"/>
  <c r="M420" i="9" s="1"/>
  <c r="AD551" i="9"/>
  <c r="AD552" i="9" s="1"/>
  <c r="AA543" i="9"/>
  <c r="AA544" i="9" s="1"/>
  <c r="O483" i="9"/>
  <c r="O484" i="9" s="1"/>
  <c r="Y527" i="9"/>
  <c r="Y528" i="9" s="1"/>
  <c r="N484" i="2"/>
  <c r="N291" i="9" s="1"/>
  <c r="N292" i="9" s="1"/>
  <c r="M457" i="2"/>
  <c r="M579" i="9"/>
  <c r="M580" i="9" s="1"/>
  <c r="O503" i="9"/>
  <c r="O504" i="9" s="1"/>
  <c r="V543" i="9"/>
  <c r="V544" i="9" s="1"/>
  <c r="R571" i="9"/>
  <c r="R572" i="9" s="1"/>
  <c r="AB273" i="2"/>
  <c r="AB455" i="9"/>
  <c r="AB456" i="9" s="1"/>
  <c r="Z575" i="9"/>
  <c r="Z576" i="9" s="1"/>
  <c r="AA575" i="9"/>
  <c r="AA576" i="9" s="1"/>
  <c r="Y543" i="9"/>
  <c r="Y544" i="9" s="1"/>
  <c r="P539" i="9"/>
  <c r="P540" i="9" s="1"/>
  <c r="P457" i="2"/>
  <c r="O551" i="9"/>
  <c r="O552" i="9" s="1"/>
  <c r="AC559" i="9"/>
  <c r="AC560" i="9" s="1"/>
  <c r="N451" i="2"/>
  <c r="N555" i="9"/>
  <c r="N556" i="9" s="1"/>
  <c r="AD527" i="9"/>
  <c r="AD528" i="9" s="1"/>
  <c r="Z394" i="2"/>
  <c r="W503" i="9"/>
  <c r="W504" i="9" s="1"/>
  <c r="L539" i="9"/>
  <c r="L540" i="9" s="1"/>
  <c r="U383" i="2"/>
  <c r="P531" i="9"/>
  <c r="P532" i="9" s="1"/>
  <c r="AB277" i="2"/>
  <c r="AB471" i="9"/>
  <c r="AB472" i="9" s="1"/>
  <c r="AD450" i="2"/>
  <c r="O450" i="2"/>
  <c r="K452" i="2"/>
  <c r="AC452" i="2"/>
  <c r="P450" i="2"/>
  <c r="P551" i="9"/>
  <c r="P552" i="9" s="1"/>
  <c r="R395" i="2"/>
  <c r="R535" i="9"/>
  <c r="R536" i="9" s="1"/>
  <c r="AC454" i="2"/>
  <c r="AD559" i="9"/>
  <c r="AD560" i="9" s="1"/>
  <c r="V449" i="2"/>
  <c r="V547" i="9"/>
  <c r="V548" i="9" s="1"/>
  <c r="M484" i="2"/>
  <c r="M291" i="9" s="1"/>
  <c r="M292" i="9" s="1"/>
  <c r="L579" i="9"/>
  <c r="L580" i="9" s="1"/>
  <c r="Z450" i="2"/>
  <c r="K382" i="2"/>
  <c r="W452" i="2"/>
  <c r="K449" i="2"/>
  <c r="K547" i="9"/>
  <c r="Y326" i="2"/>
  <c r="U380" i="2"/>
  <c r="W387" i="2"/>
  <c r="S395" i="2"/>
  <c r="S535" i="9"/>
  <c r="S536" i="9" s="1"/>
  <c r="P394" i="2"/>
  <c r="O380" i="2"/>
  <c r="T264" i="2"/>
  <c r="AE337" i="2"/>
  <c r="N334" i="2"/>
  <c r="N495" i="9"/>
  <c r="N496" i="9" s="1"/>
  <c r="R334" i="2"/>
  <c r="R495" i="9"/>
  <c r="R496" i="9" s="1"/>
  <c r="X531" i="9"/>
  <c r="X532" i="9" s="1"/>
  <c r="AE267" i="2"/>
  <c r="X263" i="2"/>
  <c r="T519" i="9"/>
  <c r="T520" i="9" s="1"/>
  <c r="Q262" i="2"/>
  <c r="S479" i="9"/>
  <c r="S480" i="9" s="1"/>
  <c r="AB276" i="2"/>
  <c r="Q259" i="2"/>
  <c r="AA383" i="2"/>
  <c r="AA379" i="2"/>
  <c r="Z535" i="9"/>
  <c r="Z536" i="9" s="1"/>
  <c r="T266" i="2"/>
  <c r="L326" i="2"/>
  <c r="P447" i="9"/>
  <c r="P448" i="9" s="1"/>
  <c r="T260" i="2"/>
  <c r="P150" i="2"/>
  <c r="P379" i="9"/>
  <c r="P380" i="9" s="1"/>
  <c r="O265" i="2"/>
  <c r="N181" i="2"/>
  <c r="N107" i="9" s="1"/>
  <c r="N108" i="9" s="1"/>
  <c r="K149" i="2"/>
  <c r="W201" i="2"/>
  <c r="S152" i="2"/>
  <c r="T262" i="2"/>
  <c r="AC152" i="2"/>
  <c r="AC387" i="9"/>
  <c r="AC388" i="9" s="1"/>
  <c r="AB79" i="2"/>
  <c r="AB83" i="2"/>
  <c r="AB82" i="2"/>
  <c r="AC355" i="9"/>
  <c r="AC356" i="9" s="1"/>
  <c r="AC93" i="2"/>
  <c r="K567" i="9"/>
  <c r="Y87" i="2"/>
  <c r="Y331" i="9"/>
  <c r="Y332" i="9" s="1"/>
  <c r="R519" i="9"/>
  <c r="R520" i="9" s="1"/>
  <c r="Q334" i="2"/>
  <c r="Q495" i="9"/>
  <c r="Q496" i="9" s="1"/>
  <c r="L273" i="2"/>
  <c r="M300" i="2" s="1"/>
  <c r="L455" i="9"/>
  <c r="L456" i="9" s="1"/>
  <c r="AA499" i="9"/>
  <c r="AA500" i="9" s="1"/>
  <c r="O273" i="2"/>
  <c r="O455" i="9"/>
  <c r="O456" i="9" s="1"/>
  <c r="P334" i="2"/>
  <c r="P495" i="9"/>
  <c r="P496" i="9" s="1"/>
  <c r="N332" i="2"/>
  <c r="N487" i="9"/>
  <c r="N488" i="9" s="1"/>
  <c r="U531" i="9"/>
  <c r="U532" i="9" s="1"/>
  <c r="N531" i="9"/>
  <c r="N532" i="9" s="1"/>
  <c r="AA459" i="9"/>
  <c r="AA460" i="9" s="1"/>
  <c r="X333" i="2"/>
  <c r="X491" i="9"/>
  <c r="X492" i="9" s="1"/>
  <c r="S277" i="2"/>
  <c r="S471" i="9"/>
  <c r="S472" i="9" s="1"/>
  <c r="X335" i="2"/>
  <c r="X499" i="9"/>
  <c r="X500" i="9" s="1"/>
  <c r="AD262" i="2"/>
  <c r="AD511" i="9"/>
  <c r="AD512" i="9" s="1"/>
  <c r="S451" i="9"/>
  <c r="S452" i="9" s="1"/>
  <c r="N479" i="9"/>
  <c r="N480" i="9" s="1"/>
  <c r="U455" i="9"/>
  <c r="U456" i="9" s="1"/>
  <c r="AE269" i="2"/>
  <c r="AE439" i="9"/>
  <c r="AE440" i="9" s="1"/>
  <c r="AC383" i="2"/>
  <c r="AC385" i="2"/>
  <c r="AC379" i="2"/>
  <c r="U523" i="9"/>
  <c r="U524" i="9" s="1"/>
  <c r="O335" i="2"/>
  <c r="O499" i="9"/>
  <c r="O500" i="9" s="1"/>
  <c r="AA415" i="9"/>
  <c r="AA416" i="9" s="1"/>
  <c r="Z263" i="2"/>
  <c r="AC213" i="2"/>
  <c r="AC427" i="9"/>
  <c r="AC428" i="9" s="1"/>
  <c r="Y487" i="9"/>
  <c r="Y488" i="9" s="1"/>
  <c r="K326" i="2"/>
  <c r="R447" i="9"/>
  <c r="R448" i="9" s="1"/>
  <c r="V443" i="9"/>
  <c r="V444" i="9" s="1"/>
  <c r="AA212" i="2"/>
  <c r="AA423" i="9"/>
  <c r="AA424" i="9" s="1"/>
  <c r="AD150" i="2"/>
  <c r="AD379" i="9"/>
  <c r="AD380" i="9" s="1"/>
  <c r="U277" i="2"/>
  <c r="U471" i="9"/>
  <c r="U472" i="9" s="1"/>
  <c r="M176" i="2"/>
  <c r="M87" i="9" s="1"/>
  <c r="M88" i="9" s="1"/>
  <c r="L149" i="2"/>
  <c r="L375" i="9"/>
  <c r="L376" i="9" s="1"/>
  <c r="U142" i="2"/>
  <c r="AC148" i="2"/>
  <c r="AC154" i="2"/>
  <c r="K211" i="2"/>
  <c r="K419" i="9"/>
  <c r="Y149" i="2"/>
  <c r="Y375" i="9"/>
  <c r="Y376" i="9" s="1"/>
  <c r="P148" i="2"/>
  <c r="P371" i="9"/>
  <c r="P372" i="9" s="1"/>
  <c r="AB387" i="9"/>
  <c r="AB388" i="9" s="1"/>
  <c r="P387" i="9"/>
  <c r="P388" i="9" s="1"/>
  <c r="AB203" i="2"/>
  <c r="M79" i="2"/>
  <c r="M78" i="2"/>
  <c r="M81" i="2"/>
  <c r="M82" i="2"/>
  <c r="M85" i="2"/>
  <c r="M83" i="2"/>
  <c r="N355" i="9"/>
  <c r="N356" i="9" s="1"/>
  <c r="N93" i="2"/>
  <c r="T34" i="2"/>
  <c r="T323" i="9"/>
  <c r="T324" i="9" s="1"/>
  <c r="L153" i="2"/>
  <c r="M180" i="2" s="1"/>
  <c r="M103" i="9" s="1"/>
  <c r="M104" i="9" s="1"/>
  <c r="L391" i="9"/>
  <c r="L392" i="9" s="1"/>
  <c r="X29" i="2"/>
  <c r="X303" i="9"/>
  <c r="X304" i="9" s="1"/>
  <c r="O479" i="9"/>
  <c r="O480" i="9" s="1"/>
  <c r="W269" i="2"/>
  <c r="W439" i="9"/>
  <c r="W440" i="9" s="1"/>
  <c r="W272" i="2"/>
  <c r="W451" i="9"/>
  <c r="W452" i="9" s="1"/>
  <c r="AC479" i="9"/>
  <c r="AC480" i="9" s="1"/>
  <c r="Z334" i="2"/>
  <c r="Z495" i="9"/>
  <c r="Z496" i="9" s="1"/>
  <c r="AD385" i="2"/>
  <c r="AD380" i="2"/>
  <c r="K395" i="2"/>
  <c r="K535" i="9"/>
  <c r="L321" i="2"/>
  <c r="N237" i="2"/>
  <c r="N127" i="9" s="1"/>
  <c r="N128" i="9" s="1"/>
  <c r="M210" i="2"/>
  <c r="M415" i="9"/>
  <c r="M416" i="9" s="1"/>
  <c r="M237" i="2"/>
  <c r="M127" i="9" s="1"/>
  <c r="M128" i="9" s="1"/>
  <c r="Y447" i="9"/>
  <c r="Y448" i="9" s="1"/>
  <c r="V213" i="2"/>
  <c r="V427" i="9"/>
  <c r="V428" i="9" s="1"/>
  <c r="V266" i="2"/>
  <c r="L411" i="9"/>
  <c r="L412" i="9" s="1"/>
  <c r="T261" i="2"/>
  <c r="P423" i="9"/>
  <c r="P424" i="9" s="1"/>
  <c r="Y148" i="2"/>
  <c r="Y371" i="9"/>
  <c r="Y372" i="9" s="1"/>
  <c r="M304" i="2"/>
  <c r="M183" i="9" s="1"/>
  <c r="M184" i="9" s="1"/>
  <c r="L471" i="9"/>
  <c r="L472" i="9" s="1"/>
  <c r="Q463" i="9"/>
  <c r="Q464" i="9" s="1"/>
  <c r="Z375" i="9"/>
  <c r="Z376" i="9" s="1"/>
  <c r="S150" i="2"/>
  <c r="S379" i="9"/>
  <c r="S380" i="9" s="1"/>
  <c r="N150" i="2"/>
  <c r="N152" i="2"/>
  <c r="M214" i="2"/>
  <c r="N241" i="2" s="1"/>
  <c r="M431" i="9"/>
  <c r="M432" i="9" s="1"/>
  <c r="Z419" i="9"/>
  <c r="Z420" i="9" s="1"/>
  <c r="M149" i="2"/>
  <c r="N176" i="2" s="1"/>
  <c r="N87" i="9" s="1"/>
  <c r="N88" i="9" s="1"/>
  <c r="M375" i="9"/>
  <c r="M376" i="9" s="1"/>
  <c r="K152" i="2"/>
  <c r="K387" i="9"/>
  <c r="K95" i="2"/>
  <c r="K363" i="9"/>
  <c r="Y32" i="2"/>
  <c r="V151" i="2"/>
  <c r="V383" i="9"/>
  <c r="V384" i="9" s="1"/>
  <c r="AB390" i="2"/>
  <c r="AB515" i="9"/>
  <c r="AB516" i="9" s="1"/>
  <c r="P392" i="2"/>
  <c r="P523" i="9"/>
  <c r="P524" i="9" s="1"/>
  <c r="U519" i="9"/>
  <c r="U520" i="9" s="1"/>
  <c r="Y451" i="2"/>
  <c r="O396" i="2"/>
  <c r="O539" i="9"/>
  <c r="O540" i="9" s="1"/>
  <c r="U535" i="9"/>
  <c r="U536" i="9" s="1"/>
  <c r="Y394" i="2"/>
  <c r="Y519" i="9"/>
  <c r="Y520" i="9" s="1"/>
  <c r="Q452" i="2"/>
  <c r="T392" i="2"/>
  <c r="T523" i="9"/>
  <c r="T524" i="9" s="1"/>
  <c r="Z449" i="2"/>
  <c r="Z547" i="9"/>
  <c r="Z548" i="9" s="1"/>
  <c r="AC503" i="9"/>
  <c r="AC504" i="9" s="1"/>
  <c r="Y483" i="9"/>
  <c r="Y484" i="9" s="1"/>
  <c r="L397" i="2"/>
  <c r="M424" i="2" s="1"/>
  <c r="L543" i="9"/>
  <c r="L544" i="9" s="1"/>
  <c r="N507" i="9"/>
  <c r="N508" i="9" s="1"/>
  <c r="U394" i="2"/>
  <c r="Z337" i="2"/>
  <c r="Z507" i="9"/>
  <c r="Z508" i="9" s="1"/>
  <c r="AE390" i="2"/>
  <c r="V571" i="9"/>
  <c r="V572" i="9" s="1"/>
  <c r="AC270" i="2"/>
  <c r="AC443" i="9"/>
  <c r="AC444" i="9" s="1"/>
  <c r="AB331" i="2"/>
  <c r="Z475" i="9"/>
  <c r="Z476" i="9" s="1"/>
  <c r="R264" i="2"/>
  <c r="R266" i="2"/>
  <c r="O487" i="9"/>
  <c r="O488" i="9" s="1"/>
  <c r="W455" i="9"/>
  <c r="W456" i="9" s="1"/>
  <c r="AA531" i="9"/>
  <c r="AA532" i="9" s="1"/>
  <c r="M527" i="9"/>
  <c r="M528" i="9" s="1"/>
  <c r="Y471" i="9"/>
  <c r="Y472" i="9" s="1"/>
  <c r="X435" i="9"/>
  <c r="X436" i="9" s="1"/>
  <c r="X215" i="2"/>
  <c r="W475" i="9"/>
  <c r="W476" i="9" s="1"/>
  <c r="O336" i="2"/>
  <c r="AB336" i="2"/>
  <c r="Y451" i="9"/>
  <c r="Y452" i="9" s="1"/>
  <c r="S330" i="2"/>
  <c r="M479" i="9"/>
  <c r="M480" i="9" s="1"/>
  <c r="U334" i="2"/>
  <c r="U495" i="9"/>
  <c r="U496" i="9" s="1"/>
  <c r="T269" i="2"/>
  <c r="T439" i="9"/>
  <c r="T440" i="9" s="1"/>
  <c r="L379" i="2"/>
  <c r="L385" i="2"/>
  <c r="Z267" i="2"/>
  <c r="Y213" i="2"/>
  <c r="W266" i="2"/>
  <c r="AC435" i="9"/>
  <c r="AC436" i="9" s="1"/>
  <c r="AC215" i="2"/>
  <c r="P269" i="2"/>
  <c r="P439" i="9"/>
  <c r="P440" i="9" s="1"/>
  <c r="X261" i="2"/>
  <c r="X260" i="2"/>
  <c r="P270" i="2"/>
  <c r="AE212" i="2"/>
  <c r="AE423" i="9"/>
  <c r="AE424" i="9" s="1"/>
  <c r="U148" i="2"/>
  <c r="U371" i="9"/>
  <c r="U372" i="9" s="1"/>
  <c r="AD267" i="2"/>
  <c r="AD264" i="2"/>
  <c r="T265" i="2"/>
  <c r="V152" i="2"/>
  <c r="V387" i="9"/>
  <c r="V388" i="9" s="1"/>
  <c r="S148" i="2"/>
  <c r="S371" i="9"/>
  <c r="S372" i="9" s="1"/>
  <c r="N211" i="2"/>
  <c r="N419" i="9"/>
  <c r="N420" i="9" s="1"/>
  <c r="AA150" i="2"/>
  <c r="AA379" i="9"/>
  <c r="AA380" i="9" s="1"/>
  <c r="O207" i="2"/>
  <c r="O403" i="9"/>
  <c r="O404" i="9" s="1"/>
  <c r="AE211" i="2"/>
  <c r="AE419" i="9"/>
  <c r="AE420" i="9" s="1"/>
  <c r="O81" i="2"/>
  <c r="O79" i="2"/>
  <c r="O82" i="2"/>
  <c r="O78" i="2"/>
  <c r="O83" i="2"/>
  <c r="O85" i="2"/>
  <c r="AB91" i="2"/>
  <c r="AB23" i="2"/>
  <c r="AB18" i="2"/>
  <c r="AB21" i="2"/>
  <c r="AB25" i="2"/>
  <c r="AB17" i="2"/>
  <c r="AB22" i="2"/>
  <c r="AB19" i="2"/>
  <c r="S35" i="2"/>
  <c r="S327" i="9"/>
  <c r="S328" i="9" s="1"/>
  <c r="AA34" i="2"/>
  <c r="AA323" i="9"/>
  <c r="AA324" i="9" s="1"/>
  <c r="AE551" i="9"/>
  <c r="AE552" i="9" s="1"/>
  <c r="Y29" i="2"/>
  <c r="Y303" i="9"/>
  <c r="Y304" i="9" s="1"/>
  <c r="AB153" i="2"/>
  <c r="AB391" i="9"/>
  <c r="AB392" i="9" s="1"/>
  <c r="R463" i="9"/>
  <c r="R464" i="9" s="1"/>
  <c r="L475" i="9"/>
  <c r="L476" i="9" s="1"/>
  <c r="V262" i="2"/>
  <c r="V265" i="2"/>
  <c r="V334" i="2"/>
  <c r="V495" i="9"/>
  <c r="V496" i="9" s="1"/>
  <c r="Y273" i="2"/>
  <c r="Y455" i="9"/>
  <c r="Y456" i="9" s="1"/>
  <c r="AD531" i="9"/>
  <c r="AD532" i="9" s="1"/>
  <c r="X519" i="9"/>
  <c r="X520" i="9" s="1"/>
  <c r="M360" i="2"/>
  <c r="M203" i="9" s="1"/>
  <c r="M204" i="9" s="1"/>
  <c r="L491" i="9"/>
  <c r="L492" i="9" s="1"/>
  <c r="R267" i="2"/>
  <c r="T435" i="9"/>
  <c r="T436" i="9" s="1"/>
  <c r="AA263" i="2"/>
  <c r="L451" i="9"/>
  <c r="L452" i="9" s="1"/>
  <c r="AE263" i="2"/>
  <c r="AB381" i="2"/>
  <c r="AB382" i="2"/>
  <c r="V535" i="9"/>
  <c r="V536" i="9" s="1"/>
  <c r="M330" i="2"/>
  <c r="AD499" i="9"/>
  <c r="AD500" i="9" s="1"/>
  <c r="AC271" i="2"/>
  <c r="AC447" i="9"/>
  <c r="AC448" i="9" s="1"/>
  <c r="O297" i="2"/>
  <c r="O155" i="9" s="1"/>
  <c r="O156" i="9" s="1"/>
  <c r="N443" i="9"/>
  <c r="N444" i="9" s="1"/>
  <c r="K213" i="2"/>
  <c r="K427" i="9"/>
  <c r="X266" i="2"/>
  <c r="X523" i="9"/>
  <c r="X524" i="9" s="1"/>
  <c r="M297" i="2"/>
  <c r="M155" i="9" s="1"/>
  <c r="M156" i="9" s="1"/>
  <c r="L443" i="9"/>
  <c r="L444" i="9" s="1"/>
  <c r="V264" i="2"/>
  <c r="S212" i="2"/>
  <c r="S423" i="9"/>
  <c r="S424" i="9" s="1"/>
  <c r="V148" i="2"/>
  <c r="V371" i="9"/>
  <c r="V372" i="9" s="1"/>
  <c r="M277" i="2"/>
  <c r="M471" i="9"/>
  <c r="M472" i="9" s="1"/>
  <c r="Y463" i="9"/>
  <c r="Y464" i="9" s="1"/>
  <c r="Y275" i="2"/>
  <c r="T150" i="2"/>
  <c r="T379" i="9"/>
  <c r="T380" i="9" s="1"/>
  <c r="K92" i="2"/>
  <c r="K351" i="9"/>
  <c r="Q214" i="2"/>
  <c r="Q431" i="9"/>
  <c r="Q432" i="9" s="1"/>
  <c r="AC211" i="2"/>
  <c r="AC419" i="9"/>
  <c r="AC420" i="9" s="1"/>
  <c r="W207" i="2"/>
  <c r="W403" i="9"/>
  <c r="W404" i="9" s="1"/>
  <c r="K150" i="2"/>
  <c r="K379" i="9"/>
  <c r="AC403" i="9"/>
  <c r="AC404" i="9" s="1"/>
  <c r="AE80" i="2"/>
  <c r="AE84" i="2"/>
  <c r="AE79" i="2"/>
  <c r="AE82" i="2"/>
  <c r="AE85" i="2"/>
  <c r="AA30" i="2"/>
  <c r="AA307" i="9"/>
  <c r="AA308" i="9" s="1"/>
  <c r="Y315" i="9"/>
  <c r="Y316" i="9" s="1"/>
  <c r="L90" i="2"/>
  <c r="L343" i="9"/>
  <c r="L344" i="9" s="1"/>
  <c r="K33" i="2"/>
  <c r="K27" i="2"/>
  <c r="K35" i="2"/>
  <c r="K31" i="2"/>
  <c r="X383" i="9"/>
  <c r="X384" i="9" s="1"/>
  <c r="X151" i="2"/>
  <c r="AA447" i="9"/>
  <c r="AA448" i="9" s="1"/>
  <c r="S269" i="2"/>
  <c r="S439" i="9"/>
  <c r="S440" i="9" s="1"/>
  <c r="Z266" i="2"/>
  <c r="AA435" i="9"/>
  <c r="AA436" i="9" s="1"/>
  <c r="AA215" i="2"/>
  <c r="AA503" i="9"/>
  <c r="AA504" i="9" s="1"/>
  <c r="Z261" i="2"/>
  <c r="AB443" i="9"/>
  <c r="AB444" i="9" s="1"/>
  <c r="AA209" i="2"/>
  <c r="AA411" i="9"/>
  <c r="AA412" i="9" s="1"/>
  <c r="N151" i="2"/>
  <c r="AA259" i="2"/>
  <c r="S463" i="9"/>
  <c r="S464" i="9" s="1"/>
  <c r="T138" i="2"/>
  <c r="X149" i="2"/>
  <c r="X375" i="9"/>
  <c r="X376" i="9" s="1"/>
  <c r="X89" i="2"/>
  <c r="X339" i="9"/>
  <c r="X340" i="9" s="1"/>
  <c r="O211" i="2"/>
  <c r="O419" i="9"/>
  <c r="O420" i="9" s="1"/>
  <c r="Q148" i="2"/>
  <c r="Q371" i="9"/>
  <c r="Q372" i="9" s="1"/>
  <c r="V149" i="2"/>
  <c r="V375" i="9"/>
  <c r="V376" i="9" s="1"/>
  <c r="X92" i="2"/>
  <c r="X351" i="9"/>
  <c r="X352" i="9" s="1"/>
  <c r="L209" i="2"/>
  <c r="M236" i="2" s="1"/>
  <c r="N149" i="2"/>
  <c r="V33" i="2"/>
  <c r="Q335" i="9"/>
  <c r="Q336" i="9" s="1"/>
  <c r="Q88" i="2"/>
  <c r="V403" i="9"/>
  <c r="V404" i="9" s="1"/>
  <c r="P415" i="9"/>
  <c r="P416" i="9" s="1"/>
  <c r="Y555" i="9"/>
  <c r="Y556" i="9" s="1"/>
  <c r="Y449" i="2"/>
  <c r="Y547" i="9"/>
  <c r="Y548" i="9" s="1"/>
  <c r="K390" i="2"/>
  <c r="K515" i="9"/>
  <c r="AE452" i="2"/>
  <c r="AE559" i="9"/>
  <c r="AE560" i="9" s="1"/>
  <c r="P515" i="9"/>
  <c r="P516" i="9" s="1"/>
  <c r="W333" i="2"/>
  <c r="W491" i="9"/>
  <c r="W492" i="9" s="1"/>
  <c r="S334" i="2"/>
  <c r="S495" i="9"/>
  <c r="S496" i="9" s="1"/>
  <c r="AB579" i="9"/>
  <c r="AB580" i="9" s="1"/>
  <c r="Y393" i="2"/>
  <c r="T571" i="9"/>
  <c r="T572" i="9" s="1"/>
  <c r="AC451" i="2"/>
  <c r="AC555" i="9"/>
  <c r="AC556" i="9" s="1"/>
  <c r="Z519" i="9"/>
  <c r="Z520" i="9" s="1"/>
  <c r="S452" i="2"/>
  <c r="S559" i="9"/>
  <c r="S560" i="9" s="1"/>
  <c r="X389" i="2"/>
  <c r="X511" i="9"/>
  <c r="X512" i="9" s="1"/>
  <c r="V333" i="2"/>
  <c r="V491" i="9"/>
  <c r="V492" i="9" s="1"/>
  <c r="X334" i="2"/>
  <c r="X495" i="9"/>
  <c r="X496" i="9" s="1"/>
  <c r="N273" i="2"/>
  <c r="N455" i="9"/>
  <c r="N456" i="9" s="1"/>
  <c r="V531" i="9"/>
  <c r="V532" i="9" s="1"/>
  <c r="P511" i="9"/>
  <c r="P512" i="9" s="1"/>
  <c r="M276" i="2"/>
  <c r="M467" i="9"/>
  <c r="M468" i="9" s="1"/>
  <c r="X210" i="2"/>
  <c r="X415" i="9"/>
  <c r="X416" i="9" s="1"/>
  <c r="K273" i="2"/>
  <c r="K455" i="9"/>
  <c r="W479" i="9"/>
  <c r="W480" i="9" s="1"/>
  <c r="Y329" i="2"/>
  <c r="Y475" i="9"/>
  <c r="Y476" i="9" s="1"/>
  <c r="S273" i="2"/>
  <c r="S455" i="9"/>
  <c r="S456" i="9" s="1"/>
  <c r="X407" i="9"/>
  <c r="X408" i="9" s="1"/>
  <c r="X208" i="2"/>
  <c r="K325" i="2"/>
  <c r="M213" i="2"/>
  <c r="M427" i="9"/>
  <c r="M428" i="9" s="1"/>
  <c r="AA427" i="9"/>
  <c r="AA428" i="9" s="1"/>
  <c r="T450" i="2"/>
  <c r="T551" i="9"/>
  <c r="T552" i="9" s="1"/>
  <c r="P381" i="2"/>
  <c r="O382" i="2"/>
  <c r="Z452" i="2"/>
  <c r="Z559" i="9"/>
  <c r="Z560" i="9" s="1"/>
  <c r="W547" i="9"/>
  <c r="W548" i="9" s="1"/>
  <c r="O579" i="9"/>
  <c r="O580" i="9" s="1"/>
  <c r="AA451" i="2"/>
  <c r="AA555" i="9"/>
  <c r="AA556" i="9" s="1"/>
  <c r="N379" i="2"/>
  <c r="N449" i="2"/>
  <c r="N547" i="9"/>
  <c r="N548" i="9" s="1"/>
  <c r="L396" i="2"/>
  <c r="L329" i="2"/>
  <c r="M356" i="2" s="1"/>
  <c r="U392" i="2"/>
  <c r="AA335" i="2"/>
  <c r="AE331" i="2"/>
  <c r="AE483" i="9"/>
  <c r="AE484" i="9" s="1"/>
  <c r="V539" i="9"/>
  <c r="V540" i="9" s="1"/>
  <c r="N297" i="2"/>
  <c r="N155" i="9" s="1"/>
  <c r="N156" i="9" s="1"/>
  <c r="M443" i="9"/>
  <c r="M444" i="9" s="1"/>
  <c r="Q333" i="2"/>
  <c r="Q491" i="9"/>
  <c r="Q492" i="9" s="1"/>
  <c r="Y331" i="2"/>
  <c r="T499" i="9"/>
  <c r="T500" i="9" s="1"/>
  <c r="X391" i="2"/>
  <c r="L322" i="2"/>
  <c r="M329" i="2"/>
  <c r="M475" i="9"/>
  <c r="M476" i="9" s="1"/>
  <c r="AC263" i="2"/>
  <c r="W384" i="2"/>
  <c r="AE262" i="2"/>
  <c r="O237" i="2"/>
  <c r="O127" i="9" s="1"/>
  <c r="O128" i="9" s="1"/>
  <c r="N210" i="2"/>
  <c r="N415" i="9"/>
  <c r="N416" i="9" s="1"/>
  <c r="T336" i="2"/>
  <c r="Y272" i="2"/>
  <c r="U261" i="2"/>
  <c r="U259" i="2"/>
  <c r="U262" i="2"/>
  <c r="M379" i="2"/>
  <c r="M386" i="2"/>
  <c r="M385" i="2"/>
  <c r="O264" i="2"/>
  <c r="T407" i="9"/>
  <c r="T408" i="9" s="1"/>
  <c r="T208" i="2"/>
  <c r="W330" i="2"/>
  <c r="Y325" i="2"/>
  <c r="P443" i="9"/>
  <c r="P444" i="9" s="1"/>
  <c r="AA267" i="2"/>
  <c r="Q210" i="2"/>
  <c r="Q415" i="9"/>
  <c r="Q416" i="9" s="1"/>
  <c r="L427" i="9"/>
  <c r="L428" i="9" s="1"/>
  <c r="L213" i="2"/>
  <c r="M240" i="2" s="1"/>
  <c r="M139" i="9" s="1"/>
  <c r="M140" i="9" s="1"/>
  <c r="O435" i="9"/>
  <c r="O436" i="9" s="1"/>
  <c r="Z323" i="2"/>
  <c r="V270" i="2"/>
  <c r="Y395" i="9"/>
  <c r="Y396" i="9" s="1"/>
  <c r="Y154" i="2"/>
  <c r="Y383" i="9"/>
  <c r="Y384" i="9" s="1"/>
  <c r="N277" i="2"/>
  <c r="N471" i="9"/>
  <c r="N472" i="9" s="1"/>
  <c r="N242" i="2"/>
  <c r="N147" i="9" s="1"/>
  <c r="N148" i="9" s="1"/>
  <c r="M241" i="2"/>
  <c r="M143" i="9" s="1"/>
  <c r="M144" i="9" s="1"/>
  <c r="AD399" i="9"/>
  <c r="AD400" i="9" s="1"/>
  <c r="AE260" i="2"/>
  <c r="P214" i="2"/>
  <c r="P431" i="9"/>
  <c r="P432" i="9" s="1"/>
  <c r="Y367" i="9"/>
  <c r="Y368" i="9" s="1"/>
  <c r="AA148" i="2"/>
  <c r="AA371" i="9"/>
  <c r="AA372" i="9" s="1"/>
  <c r="Q419" i="9"/>
  <c r="Q420" i="9" s="1"/>
  <c r="AD149" i="2"/>
  <c r="AD375" i="9"/>
  <c r="AD376" i="9" s="1"/>
  <c r="K30" i="2"/>
  <c r="K307" i="9"/>
  <c r="R315" i="9"/>
  <c r="R316" i="9" s="1"/>
  <c r="R32" i="2"/>
  <c r="Q559" i="9"/>
  <c r="Q560" i="9" s="1"/>
  <c r="AC29" i="2"/>
  <c r="AC303" i="9"/>
  <c r="AC304" i="9" s="1"/>
  <c r="AD94" i="2"/>
  <c r="AD359" i="9"/>
  <c r="AD360" i="9" s="1"/>
  <c r="AD93" i="2"/>
  <c r="AD355" i="9"/>
  <c r="AD356" i="9" s="1"/>
  <c r="Z454" i="2"/>
  <c r="AD539" i="9"/>
  <c r="AD540" i="9" s="1"/>
  <c r="M481" i="2"/>
  <c r="M279" i="9" s="1"/>
  <c r="M280" i="9" s="1"/>
  <c r="L454" i="2"/>
  <c r="L567" i="9"/>
  <c r="L568" i="9" s="1"/>
  <c r="AB394" i="2"/>
  <c r="AB531" i="9"/>
  <c r="AB532" i="9" s="1"/>
  <c r="X451" i="2"/>
  <c r="X555" i="9"/>
  <c r="X556" i="9" s="1"/>
  <c r="T393" i="2"/>
  <c r="W567" i="9"/>
  <c r="W568" i="9" s="1"/>
  <c r="Q523" i="9"/>
  <c r="Q524" i="9" s="1"/>
  <c r="R539" i="9"/>
  <c r="R540" i="9" s="1"/>
  <c r="U539" i="9"/>
  <c r="U540" i="9" s="1"/>
  <c r="Z479" i="9"/>
  <c r="Z480" i="9" s="1"/>
  <c r="U563" i="9"/>
  <c r="U564" i="9" s="1"/>
  <c r="U450" i="2"/>
  <c r="U551" i="9"/>
  <c r="U552" i="9" s="1"/>
  <c r="R397" i="2"/>
  <c r="R543" i="9"/>
  <c r="R544" i="9" s="1"/>
  <c r="K327" i="2"/>
  <c r="M272" i="2"/>
  <c r="M299" i="2" s="1"/>
  <c r="M163" i="9" s="1"/>
  <c r="M164" i="9" s="1"/>
  <c r="M451" i="9"/>
  <c r="M452" i="9" s="1"/>
  <c r="AB475" i="9"/>
  <c r="AB476" i="9" s="1"/>
  <c r="Q273" i="2"/>
  <c r="Q455" i="9"/>
  <c r="Q456" i="9" s="1"/>
  <c r="R335" i="2"/>
  <c r="R499" i="9"/>
  <c r="R500" i="9" s="1"/>
  <c r="X475" i="9"/>
  <c r="X476" i="9" s="1"/>
  <c r="U443" i="9"/>
  <c r="U444" i="9" s="1"/>
  <c r="S207" i="2"/>
  <c r="S403" i="9"/>
  <c r="S404" i="9" s="1"/>
  <c r="Q395" i="9"/>
  <c r="Q396" i="9" s="1"/>
  <c r="Q154" i="2"/>
  <c r="L151" i="2"/>
  <c r="M178" i="2" s="1"/>
  <c r="L383" i="9"/>
  <c r="L384" i="9" s="1"/>
  <c r="W463" i="9"/>
  <c r="W464" i="9" s="1"/>
  <c r="X259" i="2"/>
  <c r="K155" i="2"/>
  <c r="K399" i="9"/>
  <c r="Z214" i="2"/>
  <c r="Z431" i="9"/>
  <c r="Z432" i="9" s="1"/>
  <c r="AD214" i="2"/>
  <c r="AD431" i="9"/>
  <c r="AD432" i="9" s="1"/>
  <c r="AD92" i="2"/>
  <c r="AD351" i="9"/>
  <c r="AD352" i="9" s="1"/>
  <c r="O154" i="2"/>
  <c r="K148" i="2"/>
  <c r="K371" i="9"/>
  <c r="Q155" i="2"/>
  <c r="Q399" i="9"/>
  <c r="Q400" i="9" s="1"/>
  <c r="M27" i="2"/>
  <c r="M295" i="9"/>
  <c r="M296" i="9" s="1"/>
  <c r="X307" i="9"/>
  <c r="X308" i="9" s="1"/>
  <c r="X30" i="2"/>
  <c r="Y531" i="9"/>
  <c r="Y532" i="9" s="1"/>
  <c r="P31" i="2"/>
  <c r="P29" i="2"/>
  <c r="P35" i="2"/>
  <c r="P28" i="2"/>
  <c r="AD323" i="9"/>
  <c r="AD324" i="9" s="1"/>
  <c r="AD34" i="2"/>
  <c r="L30" i="2"/>
  <c r="L307" i="9"/>
  <c r="L308" i="9" s="1"/>
  <c r="X575" i="9"/>
  <c r="X576" i="9" s="1"/>
  <c r="Z393" i="2"/>
  <c r="Z527" i="9"/>
  <c r="Z528" i="9" s="1"/>
  <c r="U449" i="2"/>
  <c r="U547" i="9"/>
  <c r="U548" i="9" s="1"/>
  <c r="N360" i="2"/>
  <c r="N203" i="9" s="1"/>
  <c r="N204" i="9" s="1"/>
  <c r="M491" i="9"/>
  <c r="M492" i="9" s="1"/>
  <c r="U456" i="2"/>
  <c r="U575" i="9"/>
  <c r="U576" i="9" s="1"/>
  <c r="X547" i="9"/>
  <c r="X548" i="9" s="1"/>
  <c r="AD523" i="9"/>
  <c r="AD524" i="9" s="1"/>
  <c r="R391" i="2"/>
  <c r="AD447" i="9"/>
  <c r="AD448" i="9" s="1"/>
  <c r="Z264" i="2"/>
  <c r="Z260" i="2"/>
  <c r="V523" i="9"/>
  <c r="V524" i="9" s="1"/>
  <c r="AB527" i="9"/>
  <c r="AB528" i="9" s="1"/>
  <c r="S456" i="2"/>
  <c r="S575" i="9"/>
  <c r="S576" i="9" s="1"/>
  <c r="X393" i="2"/>
  <c r="X527" i="9"/>
  <c r="X528" i="9" s="1"/>
  <c r="O484" i="2"/>
  <c r="O291" i="9" s="1"/>
  <c r="O292" i="9" s="1"/>
  <c r="N579" i="9"/>
  <c r="N580" i="9" s="1"/>
  <c r="M449" i="2"/>
  <c r="N476" i="2" s="1"/>
  <c r="M547" i="9"/>
  <c r="M548" i="9" s="1"/>
  <c r="R392" i="2"/>
  <c r="U391" i="2"/>
  <c r="R449" i="2"/>
  <c r="R547" i="9"/>
  <c r="R548" i="9" s="1"/>
  <c r="AE454" i="2"/>
  <c r="W395" i="2"/>
  <c r="W535" i="9"/>
  <c r="W536" i="9" s="1"/>
  <c r="Z335" i="2"/>
  <c r="Z499" i="9"/>
  <c r="Z500" i="9" s="1"/>
  <c r="L390" i="2"/>
  <c r="M417" i="2" s="1"/>
  <c r="M227" i="9" s="1"/>
  <c r="M228" i="9" s="1"/>
  <c r="L515" i="9"/>
  <c r="L516" i="9" s="1"/>
  <c r="Y391" i="2"/>
  <c r="O454" i="2"/>
  <c r="O567" i="9"/>
  <c r="O568" i="9" s="1"/>
  <c r="M479" i="2"/>
  <c r="M271" i="9" s="1"/>
  <c r="M272" i="9" s="1"/>
  <c r="L559" i="9"/>
  <c r="L560" i="9" s="1"/>
  <c r="AB511" i="9"/>
  <c r="AB512" i="9" s="1"/>
  <c r="K396" i="2"/>
  <c r="K539" i="9"/>
  <c r="P451" i="2"/>
  <c r="N335" i="2"/>
  <c r="N499" i="9"/>
  <c r="N500" i="9" s="1"/>
  <c r="AB415" i="9"/>
  <c r="AB416" i="9" s="1"/>
  <c r="Y479" i="9"/>
  <c r="Y480" i="9" s="1"/>
  <c r="AD266" i="2"/>
  <c r="P395" i="2"/>
  <c r="P535" i="9"/>
  <c r="P536" i="9" s="1"/>
  <c r="T210" i="2"/>
  <c r="T415" i="9"/>
  <c r="T416" i="9" s="1"/>
  <c r="AD435" i="9"/>
  <c r="AD436" i="9" s="1"/>
  <c r="AD215" i="2"/>
  <c r="V277" i="2"/>
  <c r="V471" i="9"/>
  <c r="V472" i="9" s="1"/>
  <c r="AB447" i="9"/>
  <c r="AB448" i="9" s="1"/>
  <c r="AB271" i="2"/>
  <c r="AB199" i="2"/>
  <c r="AB205" i="2"/>
  <c r="P579" i="9"/>
  <c r="P580" i="9" s="1"/>
  <c r="O383" i="2"/>
  <c r="P396" i="2"/>
  <c r="O331" i="2"/>
  <c r="M499" i="9"/>
  <c r="M500" i="9" s="1"/>
  <c r="P456" i="2"/>
  <c r="AC335" i="2"/>
  <c r="AC499" i="9"/>
  <c r="AC500" i="9" s="1"/>
  <c r="W383" i="2"/>
  <c r="T491" i="9"/>
  <c r="T492" i="9" s="1"/>
  <c r="Q454" i="2"/>
  <c r="AC381" i="2"/>
  <c r="N459" i="9"/>
  <c r="N460" i="9" s="1"/>
  <c r="Q475" i="9"/>
  <c r="Q476" i="9" s="1"/>
  <c r="W495" i="9"/>
  <c r="W496" i="9" s="1"/>
  <c r="W332" i="2"/>
  <c r="W487" i="9"/>
  <c r="W488" i="9" s="1"/>
  <c r="P273" i="2"/>
  <c r="P455" i="9"/>
  <c r="P456" i="9" s="1"/>
  <c r="L384" i="2"/>
  <c r="O491" i="9"/>
  <c r="O492" i="9" s="1"/>
  <c r="AB198" i="2"/>
  <c r="W336" i="2"/>
  <c r="K320" i="2"/>
  <c r="X423" i="9"/>
  <c r="X424" i="9" s="1"/>
  <c r="V499" i="9"/>
  <c r="V500" i="9" s="1"/>
  <c r="W382" i="2"/>
  <c r="R271" i="2"/>
  <c r="Q264" i="2"/>
  <c r="P435" i="9"/>
  <c r="P436" i="9" s="1"/>
  <c r="S332" i="2"/>
  <c r="Q209" i="2"/>
  <c r="Q411" i="9"/>
  <c r="Q412" i="9" s="1"/>
  <c r="R198" i="2"/>
  <c r="R205" i="2"/>
  <c r="R200" i="2"/>
  <c r="R201" i="2"/>
  <c r="Q213" i="2"/>
  <c r="Q427" i="9"/>
  <c r="Q428" i="9" s="1"/>
  <c r="AE395" i="9"/>
  <c r="AE396" i="9" s="1"/>
  <c r="Z141" i="2"/>
  <c r="Q267" i="2"/>
  <c r="Z265" i="2"/>
  <c r="O242" i="2"/>
  <c r="O147" i="9" s="1"/>
  <c r="O148" i="9" s="1"/>
  <c r="T142" i="2"/>
  <c r="O214" i="2"/>
  <c r="O431" i="9"/>
  <c r="O432" i="9" s="1"/>
  <c r="X419" i="9"/>
  <c r="X420" i="9" s="1"/>
  <c r="AE147" i="2"/>
  <c r="AE367" i="9"/>
  <c r="AE368" i="9" s="1"/>
  <c r="M155" i="2"/>
  <c r="M399" i="9"/>
  <c r="M400" i="9" s="1"/>
  <c r="K275" i="2"/>
  <c r="S275" i="2"/>
  <c r="S147" i="2"/>
  <c r="P375" i="9"/>
  <c r="P376" i="9" s="1"/>
  <c r="AE209" i="2"/>
  <c r="N148" i="2"/>
  <c r="N371" i="9"/>
  <c r="N372" i="9" s="1"/>
  <c r="N95" i="2"/>
  <c r="N363" i="9"/>
  <c r="N364" i="9" s="1"/>
  <c r="T29" i="2"/>
  <c r="T303" i="9"/>
  <c r="T304" i="9" s="1"/>
  <c r="V355" i="9"/>
  <c r="V356" i="9" s="1"/>
  <c r="V93" i="2"/>
  <c r="Y427" i="9"/>
  <c r="Y428" i="9" s="1"/>
  <c r="AE411" i="9"/>
  <c r="AE412" i="9" s="1"/>
  <c r="AE83" i="2"/>
  <c r="R527" i="9"/>
  <c r="R528" i="9" s="1"/>
  <c r="P571" i="9"/>
  <c r="P572" i="9" s="1"/>
  <c r="Q450" i="2"/>
  <c r="Q551" i="9"/>
  <c r="Q552" i="9" s="1"/>
  <c r="V519" i="9"/>
  <c r="V520" i="9" s="1"/>
  <c r="W471" i="9"/>
  <c r="W472" i="9" s="1"/>
  <c r="L451" i="2"/>
  <c r="L555" i="9"/>
  <c r="L556" i="9" s="1"/>
  <c r="R451" i="2"/>
  <c r="R555" i="9"/>
  <c r="R556" i="9" s="1"/>
  <c r="T331" i="2"/>
  <c r="T483" i="9"/>
  <c r="T484" i="9" s="1"/>
  <c r="AB507" i="9"/>
  <c r="AB508" i="9" s="1"/>
  <c r="AB397" i="2"/>
  <c r="AB543" i="9"/>
  <c r="AB544" i="9" s="1"/>
  <c r="W454" i="2"/>
  <c r="S551" i="9"/>
  <c r="S552" i="9" s="1"/>
  <c r="T451" i="2"/>
  <c r="T555" i="9"/>
  <c r="T556" i="9" s="1"/>
  <c r="AC457" i="2"/>
  <c r="AC579" i="9"/>
  <c r="AC580" i="9" s="1"/>
  <c r="AA260" i="2"/>
  <c r="R273" i="2"/>
  <c r="R455" i="9"/>
  <c r="R456" i="9" s="1"/>
  <c r="X272" i="2"/>
  <c r="X451" i="9"/>
  <c r="X452" i="9" s="1"/>
  <c r="P390" i="2"/>
  <c r="R389" i="2"/>
  <c r="R511" i="9"/>
  <c r="R512" i="9" s="1"/>
  <c r="AD579" i="9"/>
  <c r="AD580" i="9" s="1"/>
  <c r="S507" i="9"/>
  <c r="S508" i="9" s="1"/>
  <c r="V392" i="2"/>
  <c r="AD507" i="9"/>
  <c r="AD508" i="9" s="1"/>
  <c r="V394" i="2"/>
  <c r="N329" i="2"/>
  <c r="N356" i="2" s="1"/>
  <c r="N475" i="9"/>
  <c r="N476" i="9" s="1"/>
  <c r="Y334" i="2"/>
  <c r="Y495" i="9"/>
  <c r="Y496" i="9" s="1"/>
  <c r="AD334" i="2"/>
  <c r="AD495" i="9"/>
  <c r="AD496" i="9" s="1"/>
  <c r="T273" i="2"/>
  <c r="T455" i="9"/>
  <c r="T456" i="9" s="1"/>
  <c r="O427" i="9"/>
  <c r="O428" i="9" s="1"/>
  <c r="Z427" i="9"/>
  <c r="Z428" i="9" s="1"/>
  <c r="AB210" i="2"/>
  <c r="AC411" i="9"/>
  <c r="AC412" i="9" s="1"/>
  <c r="M420" i="2"/>
  <c r="M239" i="9" s="1"/>
  <c r="M240" i="9" s="1"/>
  <c r="L393" i="2"/>
  <c r="L527" i="9"/>
  <c r="L528" i="9" s="1"/>
  <c r="X392" i="2"/>
  <c r="AB329" i="2"/>
  <c r="W386" i="2"/>
  <c r="O387" i="2"/>
  <c r="W380" i="2"/>
  <c r="U379" i="2"/>
  <c r="Z391" i="2"/>
  <c r="T389" i="2"/>
  <c r="T511" i="9"/>
  <c r="T512" i="9" s="1"/>
  <c r="L259" i="2"/>
  <c r="L264" i="2"/>
  <c r="AC274" i="2"/>
  <c r="AC459" i="9"/>
  <c r="AC460" i="9" s="1"/>
  <c r="O262" i="2"/>
  <c r="R329" i="2"/>
  <c r="R475" i="9"/>
  <c r="R476" i="9" s="1"/>
  <c r="O334" i="2"/>
  <c r="O361" i="2" s="1"/>
  <c r="O495" i="9"/>
  <c r="O496" i="9" s="1"/>
  <c r="X332" i="2"/>
  <c r="X487" i="9"/>
  <c r="X488" i="9" s="1"/>
  <c r="AD263" i="2"/>
  <c r="AC384" i="2"/>
  <c r="Z330" i="2"/>
  <c r="L277" i="2"/>
  <c r="M208" i="2"/>
  <c r="M407" i="9"/>
  <c r="M408" i="9" s="1"/>
  <c r="Y260" i="2"/>
  <c r="Y264" i="2"/>
  <c r="AD329" i="2"/>
  <c r="AD475" i="9"/>
  <c r="AD476" i="9" s="1"/>
  <c r="AD479" i="9"/>
  <c r="AD480" i="9" s="1"/>
  <c r="L266" i="2"/>
  <c r="N212" i="2"/>
  <c r="N423" i="9"/>
  <c r="N424" i="9" s="1"/>
  <c r="S381" i="2"/>
  <c r="S379" i="2"/>
  <c r="S382" i="2"/>
  <c r="S386" i="2"/>
  <c r="AD330" i="2"/>
  <c r="W335" i="2"/>
  <c r="W499" i="9"/>
  <c r="W500" i="9" s="1"/>
  <c r="M381" i="2"/>
  <c r="S427" i="9"/>
  <c r="S428" i="9" s="1"/>
  <c r="V263" i="2"/>
  <c r="Z143" i="2"/>
  <c r="Z144" i="2"/>
  <c r="AA210" i="2"/>
  <c r="S447" i="9"/>
  <c r="S448" i="9" s="1"/>
  <c r="V198" i="2"/>
  <c r="V199" i="2"/>
  <c r="V205" i="2"/>
  <c r="U210" i="2"/>
  <c r="U415" i="9"/>
  <c r="U416" i="9" s="1"/>
  <c r="R395" i="9"/>
  <c r="R396" i="9" s="1"/>
  <c r="Q150" i="2"/>
  <c r="Q379" i="9"/>
  <c r="Q380" i="9" s="1"/>
  <c r="S214" i="2"/>
  <c r="S431" i="9"/>
  <c r="S432" i="9" s="1"/>
  <c r="AA152" i="2"/>
  <c r="AA387" i="9"/>
  <c r="AA388" i="9" s="1"/>
  <c r="L207" i="2"/>
  <c r="M234" i="2" s="1"/>
  <c r="L403" i="9"/>
  <c r="L404" i="9" s="1"/>
  <c r="R359" i="9"/>
  <c r="R360" i="9" s="1"/>
  <c r="AA403" i="9"/>
  <c r="AA404" i="9" s="1"/>
  <c r="AD403" i="9"/>
  <c r="AD404" i="9" s="1"/>
  <c r="X33" i="2"/>
  <c r="X319" i="9"/>
  <c r="X320" i="9" s="1"/>
  <c r="T143" i="2"/>
  <c r="S547" i="9"/>
  <c r="S548" i="9" s="1"/>
  <c r="U457" i="2"/>
  <c r="Z511" i="9"/>
  <c r="Z512" i="9" s="1"/>
  <c r="Q453" i="2"/>
  <c r="AC547" i="9"/>
  <c r="AC548" i="9" s="1"/>
  <c r="V559" i="9"/>
  <c r="V560" i="9" s="1"/>
  <c r="Z389" i="2"/>
  <c r="P449" i="2"/>
  <c r="N491" i="9"/>
  <c r="N492" i="9" s="1"/>
  <c r="X396" i="2"/>
  <c r="X539" i="9"/>
  <c r="X540" i="9" s="1"/>
  <c r="W450" i="2"/>
  <c r="X390" i="2"/>
  <c r="AE455" i="2"/>
  <c r="T396" i="2"/>
  <c r="T539" i="9"/>
  <c r="T540" i="9" s="1"/>
  <c r="P274" i="2"/>
  <c r="P459" i="9"/>
  <c r="P460" i="9" s="1"/>
  <c r="M337" i="2"/>
  <c r="N364" i="2" s="1"/>
  <c r="AC387" i="2"/>
  <c r="T329" i="2"/>
  <c r="T475" i="9"/>
  <c r="T476" i="9" s="1"/>
  <c r="AC334" i="2"/>
  <c r="AC495" i="9"/>
  <c r="AC496" i="9" s="1"/>
  <c r="R332" i="2"/>
  <c r="R487" i="9"/>
  <c r="R488" i="9" s="1"/>
  <c r="N451" i="9"/>
  <c r="N452" i="9" s="1"/>
  <c r="O384" i="2"/>
  <c r="R479" i="9"/>
  <c r="R480" i="9" s="1"/>
  <c r="AA266" i="2"/>
  <c r="P451" i="9"/>
  <c r="P452" i="9" s="1"/>
  <c r="AB202" i="2"/>
  <c r="T380" i="2"/>
  <c r="T387" i="2"/>
  <c r="N330" i="2"/>
  <c r="W379" i="2"/>
  <c r="R207" i="2"/>
  <c r="R403" i="9"/>
  <c r="R404" i="9" s="1"/>
  <c r="T137" i="2"/>
  <c r="T141" i="2"/>
  <c r="T145" i="2"/>
  <c r="T144" i="2"/>
  <c r="O266" i="2"/>
  <c r="M242" i="2"/>
  <c r="M147" i="9" s="1"/>
  <c r="M148" i="9" s="1"/>
  <c r="L435" i="9"/>
  <c r="L436" i="9" s="1"/>
  <c r="W213" i="2"/>
  <c r="W427" i="9"/>
  <c r="W428" i="9" s="1"/>
  <c r="AE261" i="2"/>
  <c r="V261" i="2"/>
  <c r="AA213" i="2"/>
  <c r="X209" i="2"/>
  <c r="X411" i="9"/>
  <c r="X412" i="9" s="1"/>
  <c r="M270" i="2"/>
  <c r="W198" i="2"/>
  <c r="W202" i="2"/>
  <c r="X387" i="9"/>
  <c r="X388" i="9" s="1"/>
  <c r="T267" i="2"/>
  <c r="T215" i="2"/>
  <c r="Z259" i="2"/>
  <c r="L148" i="2"/>
  <c r="M175" i="2" s="1"/>
  <c r="M83" i="9" s="1"/>
  <c r="M84" i="9" s="1"/>
  <c r="L150" i="2"/>
  <c r="M177" i="2" s="1"/>
  <c r="L152" i="2"/>
  <c r="M179" i="2" s="1"/>
  <c r="M99" i="9" s="1"/>
  <c r="M100" i="9" s="1"/>
  <c r="P211" i="2"/>
  <c r="P419" i="9"/>
  <c r="P420" i="9" s="1"/>
  <c r="Z403" i="9"/>
  <c r="Z404" i="9" s="1"/>
  <c r="N155" i="2"/>
  <c r="N399" i="9"/>
  <c r="N400" i="9" s="1"/>
  <c r="R275" i="2"/>
  <c r="M152" i="2"/>
  <c r="N179" i="2" s="1"/>
  <c r="M387" i="9"/>
  <c r="M388" i="9" s="1"/>
  <c r="Y95" i="2"/>
  <c r="X355" i="9"/>
  <c r="X356" i="9" s="1"/>
  <c r="X93" i="2"/>
  <c r="K91" i="2"/>
  <c r="K347" i="9"/>
  <c r="P463" i="9"/>
  <c r="P464" i="9" s="1"/>
  <c r="X85" i="2"/>
  <c r="AC91" i="2"/>
  <c r="AC347" i="9"/>
  <c r="AC348" i="9" s="1"/>
  <c r="Q91" i="2"/>
  <c r="Q347" i="9"/>
  <c r="Q348" i="9" s="1"/>
  <c r="T579" i="9"/>
  <c r="T580" i="9" s="1"/>
  <c r="P297" i="2"/>
  <c r="P155" i="9" s="1"/>
  <c r="P156" i="9" s="1"/>
  <c r="O443" i="9"/>
  <c r="O444" i="9" s="1"/>
  <c r="X397" i="2"/>
  <c r="X543" i="9"/>
  <c r="X544" i="9" s="1"/>
  <c r="R390" i="2"/>
  <c r="R515" i="9"/>
  <c r="R516" i="9" s="1"/>
  <c r="P453" i="2"/>
  <c r="R450" i="2"/>
  <c r="R551" i="9"/>
  <c r="R552" i="9" s="1"/>
  <c r="AC523" i="9"/>
  <c r="AC524" i="9" s="1"/>
  <c r="L575" i="9"/>
  <c r="L576" i="9" s="1"/>
  <c r="Z392" i="2"/>
  <c r="Z523" i="9"/>
  <c r="Z524" i="9" s="1"/>
  <c r="M523" i="9"/>
  <c r="M524" i="9" s="1"/>
  <c r="AA449" i="2"/>
  <c r="AA547" i="9"/>
  <c r="AA548" i="9" s="1"/>
  <c r="Q331" i="2"/>
  <c r="Q483" i="9"/>
  <c r="Q484" i="9" s="1"/>
  <c r="U571" i="9"/>
  <c r="U572" i="9" s="1"/>
  <c r="S272" i="2"/>
  <c r="AA329" i="2"/>
  <c r="AA475" i="9"/>
  <c r="AA476" i="9" s="1"/>
  <c r="T456" i="2"/>
  <c r="AD519" i="9"/>
  <c r="AD520" i="9" s="1"/>
  <c r="AB449" i="2"/>
  <c r="AB547" i="9"/>
  <c r="AB548" i="9" s="1"/>
  <c r="S329" i="2"/>
  <c r="V527" i="9"/>
  <c r="V528" i="9" s="1"/>
  <c r="AB459" i="9"/>
  <c r="AB460" i="9" s="1"/>
  <c r="AB334" i="2"/>
  <c r="AB495" i="9"/>
  <c r="AB496" i="9" s="1"/>
  <c r="V450" i="2"/>
  <c r="V551" i="9"/>
  <c r="V552" i="9" s="1"/>
  <c r="V511" i="9"/>
  <c r="V512" i="9" s="1"/>
  <c r="AA559" i="9"/>
  <c r="AA560" i="9" s="1"/>
  <c r="Z456" i="2"/>
  <c r="P563" i="9"/>
  <c r="P564" i="9" s="1"/>
  <c r="N383" i="2"/>
  <c r="Q451" i="2"/>
  <c r="Q555" i="9"/>
  <c r="Q556" i="9" s="1"/>
  <c r="O379" i="2"/>
  <c r="AD396" i="2"/>
  <c r="V457" i="2"/>
  <c r="T563" i="9"/>
  <c r="T564" i="9" s="1"/>
  <c r="V579" i="9"/>
  <c r="V580" i="9" s="1"/>
  <c r="K453" i="2"/>
  <c r="AA397" i="2"/>
  <c r="X456" i="2"/>
  <c r="Q579" i="9"/>
  <c r="Q580" i="9" s="1"/>
  <c r="T449" i="2"/>
  <c r="T547" i="9"/>
  <c r="T548" i="9" s="1"/>
  <c r="AE451" i="2"/>
  <c r="AE555" i="9"/>
  <c r="AE556" i="9" s="1"/>
  <c r="Y559" i="9"/>
  <c r="Y560" i="9" s="1"/>
  <c r="K329" i="2"/>
  <c r="L443" i="2"/>
  <c r="L440" i="2"/>
  <c r="AD452" i="2"/>
  <c r="U579" i="9"/>
  <c r="U580" i="9" s="1"/>
  <c r="N452" i="2"/>
  <c r="N479" i="2" s="1"/>
  <c r="N271" i="9" s="1"/>
  <c r="N272" i="9" s="1"/>
  <c r="N559" i="9"/>
  <c r="N560" i="9" s="1"/>
  <c r="K397" i="2"/>
  <c r="R579" i="9"/>
  <c r="R580" i="9" s="1"/>
  <c r="P389" i="2"/>
  <c r="AE396" i="2"/>
  <c r="P383" i="2"/>
  <c r="T535" i="9"/>
  <c r="T536" i="9" s="1"/>
  <c r="AD449" i="2"/>
  <c r="AD547" i="9"/>
  <c r="AD548" i="9" s="1"/>
  <c r="T487" i="9"/>
  <c r="T488" i="9" s="1"/>
  <c r="R507" i="9"/>
  <c r="R508" i="9" s="1"/>
  <c r="W273" i="2"/>
  <c r="P455" i="2"/>
  <c r="AE264" i="2"/>
  <c r="K381" i="2"/>
  <c r="AB337" i="2"/>
  <c r="AA381" i="2"/>
  <c r="U329" i="2"/>
  <c r="U475" i="9"/>
  <c r="U476" i="9" s="1"/>
  <c r="U479" i="9"/>
  <c r="U480" i="9" s="1"/>
  <c r="M332" i="2"/>
  <c r="M487" i="9"/>
  <c r="M488" i="9" s="1"/>
  <c r="M384" i="2"/>
  <c r="AE384" i="2"/>
  <c r="T479" i="9"/>
  <c r="T480" i="9" s="1"/>
  <c r="K272" i="2"/>
  <c r="AC212" i="2"/>
  <c r="W152" i="2"/>
  <c r="W387" i="9"/>
  <c r="W388" i="9" s="1"/>
  <c r="AC336" i="2"/>
  <c r="Y259" i="2"/>
  <c r="W199" i="2"/>
  <c r="AE330" i="2"/>
  <c r="L325" i="2"/>
  <c r="S271" i="2"/>
  <c r="R203" i="2"/>
  <c r="U140" i="2"/>
  <c r="U139" i="2"/>
  <c r="U145" i="2"/>
  <c r="U144" i="2"/>
  <c r="U141" i="2"/>
  <c r="U143" i="2"/>
  <c r="U137" i="2"/>
  <c r="W261" i="2"/>
  <c r="Z435" i="9"/>
  <c r="Z436" i="9" s="1"/>
  <c r="W200" i="2"/>
  <c r="L261" i="2"/>
  <c r="K277" i="2"/>
  <c r="K471" i="9"/>
  <c r="O213" i="2"/>
  <c r="T403" i="9"/>
  <c r="T404" i="9" s="1"/>
  <c r="AB270" i="2"/>
  <c r="S198" i="2"/>
  <c r="S200" i="2"/>
  <c r="S205" i="2"/>
  <c r="R137" i="2"/>
  <c r="R141" i="2"/>
  <c r="R145" i="2"/>
  <c r="Y150" i="2"/>
  <c r="X343" i="9"/>
  <c r="X344" i="9" s="1"/>
  <c r="X267" i="2"/>
  <c r="P276" i="2"/>
  <c r="P467" i="9"/>
  <c r="P468" i="9" s="1"/>
  <c r="T211" i="2"/>
  <c r="T419" i="9"/>
  <c r="T420" i="9" s="1"/>
  <c r="AB155" i="2"/>
  <c r="AB399" i="9"/>
  <c r="AB400" i="9" s="1"/>
  <c r="X264" i="2"/>
  <c r="M403" i="9"/>
  <c r="M404" i="9" s="1"/>
  <c r="Z142" i="2"/>
  <c r="AD260" i="2"/>
  <c r="X78" i="2"/>
  <c r="X81" i="2"/>
  <c r="Y379" i="9"/>
  <c r="Y380" i="9" s="1"/>
  <c r="Y363" i="9"/>
  <c r="Y364" i="9" s="1"/>
  <c r="AB467" i="9"/>
  <c r="AB468" i="9" s="1"/>
  <c r="K87" i="2"/>
  <c r="K331" i="9"/>
  <c r="X153" i="2"/>
  <c r="X391" i="9"/>
  <c r="X392" i="9" s="1"/>
  <c r="W30" i="2"/>
  <c r="W307" i="9"/>
  <c r="W308" i="9" s="1"/>
  <c r="P452" i="2"/>
  <c r="P559" i="9"/>
  <c r="P560" i="9" s="1"/>
  <c r="X563" i="9"/>
  <c r="X564" i="9" s="1"/>
  <c r="N481" i="2"/>
  <c r="N279" i="9" s="1"/>
  <c r="N280" i="9" s="1"/>
  <c r="M454" i="2"/>
  <c r="M567" i="9"/>
  <c r="M568" i="9" s="1"/>
  <c r="M476" i="2"/>
  <c r="L449" i="2"/>
  <c r="L547" i="9"/>
  <c r="L548" i="9" s="1"/>
  <c r="F548" i="9" s="1"/>
  <c r="Z483" i="9"/>
  <c r="Z484" i="9" s="1"/>
  <c r="K334" i="2"/>
  <c r="K495" i="9"/>
  <c r="AD332" i="2"/>
  <c r="AD487" i="9"/>
  <c r="AD488" i="9" s="1"/>
  <c r="AA454" i="2"/>
  <c r="AA567" i="9"/>
  <c r="AA568" i="9" s="1"/>
  <c r="L392" i="2"/>
  <c r="M419" i="2" s="1"/>
  <c r="M235" i="9" s="1"/>
  <c r="M236" i="9" s="1"/>
  <c r="L523" i="9"/>
  <c r="L524" i="9" s="1"/>
  <c r="Z397" i="2"/>
  <c r="Z543" i="9"/>
  <c r="Z544" i="9" s="1"/>
  <c r="P507" i="9"/>
  <c r="P508" i="9" s="1"/>
  <c r="Y454" i="2"/>
  <c r="Y567" i="9"/>
  <c r="Y568" i="9" s="1"/>
  <c r="AA394" i="2"/>
  <c r="L456" i="2"/>
  <c r="M483" i="2" s="1"/>
  <c r="AB457" i="2"/>
  <c r="N535" i="9"/>
  <c r="N536" i="9" s="1"/>
  <c r="N395" i="2"/>
  <c r="W579" i="9"/>
  <c r="W580" i="9" s="1"/>
  <c r="AD389" i="2"/>
  <c r="X535" i="9"/>
  <c r="X536" i="9" s="1"/>
  <c r="Q449" i="2"/>
  <c r="Q547" i="9"/>
  <c r="Q548" i="9" s="1"/>
  <c r="S397" i="2"/>
  <c r="S543" i="9"/>
  <c r="S544" i="9" s="1"/>
  <c r="V397" i="2"/>
  <c r="K322" i="2"/>
  <c r="AC571" i="9"/>
  <c r="AC572" i="9" s="1"/>
  <c r="AD259" i="2"/>
  <c r="K276" i="2"/>
  <c r="K467" i="9"/>
  <c r="W395" i="9"/>
  <c r="W396" i="9" s="1"/>
  <c r="W154" i="2"/>
  <c r="K269" i="2"/>
  <c r="K439" i="9"/>
  <c r="P479" i="9"/>
  <c r="P480" i="9" s="1"/>
  <c r="S276" i="2"/>
  <c r="S467" i="9"/>
  <c r="S468" i="9" s="1"/>
  <c r="O259" i="2"/>
  <c r="N381" i="2"/>
  <c r="N382" i="2"/>
  <c r="AB499" i="9"/>
  <c r="AB500" i="9" s="1"/>
  <c r="AA407" i="9"/>
  <c r="AA408" i="9" s="1"/>
  <c r="AA208" i="2"/>
  <c r="X213" i="2"/>
  <c r="X427" i="9"/>
  <c r="X428" i="9" s="1"/>
  <c r="N447" i="9"/>
  <c r="N448" i="9" s="1"/>
  <c r="Q443" i="9"/>
  <c r="Q444" i="9" s="1"/>
  <c r="O270" i="2"/>
  <c r="O150" i="2"/>
  <c r="O379" i="9"/>
  <c r="O380" i="9" s="1"/>
  <c r="U343" i="9"/>
  <c r="U344" i="9" s="1"/>
  <c r="O267" i="2"/>
  <c r="V259" i="2"/>
  <c r="M302" i="2"/>
  <c r="M175" i="9" s="1"/>
  <c r="M176" i="9" s="1"/>
  <c r="L463" i="9"/>
  <c r="L464" i="9" s="1"/>
  <c r="AB149" i="2"/>
  <c r="AB375" i="9"/>
  <c r="AB376" i="9" s="1"/>
  <c r="Z137" i="2"/>
  <c r="V204" i="2"/>
  <c r="U419" i="9"/>
  <c r="U420" i="9" s="1"/>
  <c r="W149" i="2"/>
  <c r="W375" i="9"/>
  <c r="W376" i="9" s="1"/>
  <c r="Q387" i="9"/>
  <c r="Q388" i="9" s="1"/>
  <c r="M150" i="2"/>
  <c r="M379" i="9"/>
  <c r="M380" i="9" s="1"/>
  <c r="R142" i="2"/>
  <c r="L88" i="2"/>
  <c r="L335" i="9"/>
  <c r="L336" i="9" s="1"/>
  <c r="V323" i="9"/>
  <c r="V324" i="9" s="1"/>
  <c r="V34" i="2"/>
  <c r="W95" i="2"/>
  <c r="W363" i="9"/>
  <c r="W364" i="9" s="1"/>
  <c r="U87" i="2"/>
  <c r="U331" i="9"/>
  <c r="U332" i="9" s="1"/>
  <c r="V30" i="2"/>
  <c r="V307" i="9"/>
  <c r="V308" i="9" s="1"/>
  <c r="M507" i="9"/>
  <c r="M508" i="9" s="1"/>
  <c r="AB85" i="2"/>
  <c r="T91" i="2"/>
  <c r="T347" i="9"/>
  <c r="T348" i="9" s="1"/>
  <c r="O30" i="2"/>
  <c r="O307" i="9"/>
  <c r="O308" i="9" s="1"/>
  <c r="X454" i="2"/>
  <c r="X567" i="9"/>
  <c r="X568" i="9" s="1"/>
  <c r="AA457" i="2"/>
  <c r="AA579" i="9"/>
  <c r="AA580" i="9" s="1"/>
  <c r="T503" i="9"/>
  <c r="T504" i="9" s="1"/>
  <c r="W443" i="9"/>
  <c r="W444" i="9" s="1"/>
  <c r="R451" i="9"/>
  <c r="R452" i="9" s="1"/>
  <c r="O451" i="2"/>
  <c r="O555" i="9"/>
  <c r="O556" i="9" s="1"/>
  <c r="L519" i="9"/>
  <c r="L520" i="9" s="1"/>
  <c r="R452" i="2"/>
  <c r="R559" i="9"/>
  <c r="R560" i="9" s="1"/>
  <c r="AA491" i="9"/>
  <c r="AA492" i="9" s="1"/>
  <c r="V390" i="2"/>
  <c r="V515" i="9"/>
  <c r="V516" i="9" s="1"/>
  <c r="AB479" i="9"/>
  <c r="AB480" i="9" s="1"/>
  <c r="M451" i="2"/>
  <c r="M478" i="2" s="1"/>
  <c r="M267" i="9" s="1"/>
  <c r="M268" i="9" s="1"/>
  <c r="M555" i="9"/>
  <c r="M556" i="9" s="1"/>
  <c r="X447" i="2"/>
  <c r="X442" i="2"/>
  <c r="X440" i="2"/>
  <c r="Q393" i="2"/>
  <c r="Q527" i="9"/>
  <c r="Q528" i="9" s="1"/>
  <c r="K457" i="2"/>
  <c r="K579" i="9"/>
  <c r="AA483" i="9"/>
  <c r="AA484" i="9" s="1"/>
  <c r="S390" i="2"/>
  <c r="S515" i="9"/>
  <c r="S516" i="9" s="1"/>
  <c r="M390" i="2"/>
  <c r="N417" i="2" s="1"/>
  <c r="N227" i="9" s="1"/>
  <c r="N228" i="9" s="1"/>
  <c r="L391" i="2"/>
  <c r="AD337" i="2"/>
  <c r="O329" i="2"/>
  <c r="O475" i="9"/>
  <c r="O476" i="9" s="1"/>
  <c r="R531" i="9"/>
  <c r="R532" i="9" s="1"/>
  <c r="M239" i="2"/>
  <c r="M135" i="9" s="1"/>
  <c r="M136" i="9" s="1"/>
  <c r="M423" i="9"/>
  <c r="M424" i="9" s="1"/>
  <c r="AC551" i="9"/>
  <c r="AC552" i="9" s="1"/>
  <c r="AB395" i="2"/>
  <c r="AB535" i="9"/>
  <c r="AB536" i="9" s="1"/>
  <c r="S393" i="2"/>
  <c r="S527" i="9"/>
  <c r="S528" i="9" s="1"/>
  <c r="V451" i="2"/>
  <c r="V555" i="9"/>
  <c r="V556" i="9" s="1"/>
  <c r="U396" i="2"/>
  <c r="Z457" i="2"/>
  <c r="Z579" i="9"/>
  <c r="Z580" i="9" s="1"/>
  <c r="Y579" i="9"/>
  <c r="Y580" i="9" s="1"/>
  <c r="Y397" i="2"/>
  <c r="U395" i="2"/>
  <c r="AE449" i="2"/>
  <c r="AE547" i="9"/>
  <c r="AE548" i="9" s="1"/>
  <c r="M392" i="2"/>
  <c r="U387" i="2"/>
  <c r="K394" i="2"/>
  <c r="AA396" i="2"/>
  <c r="AA539" i="9"/>
  <c r="AA540" i="9" s="1"/>
  <c r="AD394" i="2"/>
  <c r="AC380" i="2"/>
  <c r="Z322" i="2"/>
  <c r="R455" i="2"/>
  <c r="T335" i="2"/>
  <c r="S337" i="2"/>
  <c r="AC475" i="9"/>
  <c r="AC476" i="9" s="1"/>
  <c r="AE334" i="2"/>
  <c r="AE495" i="9"/>
  <c r="AE496" i="9" s="1"/>
  <c r="S531" i="9"/>
  <c r="S532" i="9" s="1"/>
  <c r="U499" i="9"/>
  <c r="U500" i="9" s="1"/>
  <c r="U333" i="2"/>
  <c r="U491" i="9"/>
  <c r="U492" i="9" s="1"/>
  <c r="M439" i="9"/>
  <c r="M440" i="9" s="1"/>
  <c r="M411" i="9"/>
  <c r="M412" i="9" s="1"/>
  <c r="S274" i="2"/>
  <c r="S459" i="9"/>
  <c r="S460" i="9" s="1"/>
  <c r="AA535" i="9"/>
  <c r="AA536" i="9" s="1"/>
  <c r="AC386" i="2"/>
  <c r="Q479" i="9"/>
  <c r="Q480" i="9" s="1"/>
  <c r="N276" i="2"/>
  <c r="N467" i="9"/>
  <c r="N468" i="9" s="1"/>
  <c r="AC259" i="2"/>
  <c r="Q381" i="2"/>
  <c r="Q385" i="2"/>
  <c r="Q386" i="2"/>
  <c r="Q379" i="2"/>
  <c r="P330" i="2"/>
  <c r="Y271" i="2"/>
  <c r="M235" i="2"/>
  <c r="M119" i="9" s="1"/>
  <c r="M120" i="9" s="1"/>
  <c r="P207" i="2"/>
  <c r="P403" i="9"/>
  <c r="P404" i="9" s="1"/>
  <c r="AC207" i="2"/>
  <c r="AE266" i="2"/>
  <c r="AE210" i="2"/>
  <c r="O261" i="2"/>
  <c r="R260" i="2"/>
  <c r="V415" i="9"/>
  <c r="V416" i="9" s="1"/>
  <c r="O155" i="2"/>
  <c r="AC150" i="2"/>
  <c r="AC267" i="2"/>
  <c r="N463" i="9"/>
  <c r="N464" i="9" s="1"/>
  <c r="K215" i="2"/>
  <c r="Q149" i="2"/>
  <c r="Q375" i="9"/>
  <c r="Q376" i="9" s="1"/>
  <c r="Z149" i="2"/>
  <c r="W204" i="2"/>
  <c r="V201" i="2"/>
  <c r="S387" i="9"/>
  <c r="S388" i="9" s="1"/>
  <c r="P152" i="2"/>
  <c r="AE150" i="2"/>
  <c r="AE379" i="9"/>
  <c r="AE380" i="9" s="1"/>
  <c r="AD148" i="2"/>
  <c r="AD371" i="9"/>
  <c r="AD372" i="9" s="1"/>
  <c r="O152" i="2"/>
  <c r="O387" i="9"/>
  <c r="O388" i="9" s="1"/>
  <c r="Z355" i="9"/>
  <c r="Z356" i="9" s="1"/>
  <c r="R202" i="2"/>
  <c r="AC379" i="9"/>
  <c r="AC380" i="9" s="1"/>
  <c r="R523" i="9"/>
  <c r="R524" i="9" s="1"/>
  <c r="Z531" i="9"/>
  <c r="Z532" i="9" s="1"/>
  <c r="Q27" i="2"/>
  <c r="Q295" i="9"/>
  <c r="Q296" i="9" s="1"/>
  <c r="P30" i="2"/>
  <c r="W32" i="2"/>
  <c r="W315" i="9"/>
  <c r="W316" i="9" s="1"/>
  <c r="S201" i="2"/>
  <c r="AC92" i="2"/>
  <c r="AC351" i="9"/>
  <c r="AC352" i="9" s="1"/>
  <c r="Z85" i="2"/>
  <c r="W83" i="2"/>
  <c r="S90" i="2"/>
  <c r="O84" i="2"/>
  <c r="X34" i="2"/>
  <c r="R91" i="2"/>
  <c r="O29" i="2"/>
  <c r="O303" i="9"/>
  <c r="O304" i="9" s="1"/>
  <c r="K80" i="2"/>
  <c r="S155" i="2"/>
  <c r="Q339" i="9"/>
  <c r="Q340" i="9" s="1"/>
  <c r="Q89" i="2"/>
  <c r="O151" i="2"/>
  <c r="R143" i="2"/>
  <c r="S153" i="2"/>
  <c r="AC77" i="2"/>
  <c r="X32" i="2"/>
  <c r="AD95" i="2"/>
  <c r="AE81" i="2"/>
  <c r="L81" i="2"/>
  <c r="L21" i="2"/>
  <c r="S34" i="2"/>
  <c r="U34" i="2"/>
  <c r="AB80" i="2"/>
  <c r="Y17" i="2"/>
  <c r="AB201" i="2"/>
  <c r="Z145" i="2"/>
  <c r="P92" i="2"/>
  <c r="M371" i="9"/>
  <c r="M372" i="9" s="1"/>
  <c r="M148" i="2"/>
  <c r="Z140" i="2"/>
  <c r="AD152" i="2"/>
  <c r="AB395" i="9"/>
  <c r="AB396" i="9" s="1"/>
  <c r="P91" i="2"/>
  <c r="P347" i="9"/>
  <c r="P348" i="9" s="1"/>
  <c r="S94" i="2"/>
  <c r="M23" i="2"/>
  <c r="M18" i="2"/>
  <c r="M25" i="2"/>
  <c r="M21" i="2"/>
  <c r="K32" i="2"/>
  <c r="Q31" i="2"/>
  <c r="Q311" i="9"/>
  <c r="Q312" i="9" s="1"/>
  <c r="L17" i="2"/>
  <c r="R34" i="2"/>
  <c r="S343" i="9"/>
  <c r="S344" i="9" s="1"/>
  <c r="AC85" i="2"/>
  <c r="Z81" i="2"/>
  <c r="AC33" i="2"/>
  <c r="W29" i="2"/>
  <c r="P33" i="2"/>
  <c r="P319" i="9"/>
  <c r="P320" i="9" s="1"/>
  <c r="AD90" i="2"/>
  <c r="Y403" i="9"/>
  <c r="Y404" i="9" s="1"/>
  <c r="P147" i="2"/>
  <c r="X155" i="2"/>
  <c r="X399" i="9"/>
  <c r="X400" i="9" s="1"/>
  <c r="Z138" i="2"/>
  <c r="AB197" i="2"/>
  <c r="AE149" i="2"/>
  <c r="T79" i="2"/>
  <c r="T82" i="2"/>
  <c r="T83" i="2"/>
  <c r="T78" i="2"/>
  <c r="Y83" i="2"/>
  <c r="Z30" i="2"/>
  <c r="Q90" i="2"/>
  <c r="S359" i="9"/>
  <c r="S360" i="9" s="1"/>
  <c r="Z307" i="9"/>
  <c r="Z308" i="9" s="1"/>
  <c r="O33" i="2"/>
  <c r="AA153" i="2"/>
  <c r="R307" i="9"/>
  <c r="R308" i="9" s="1"/>
  <c r="AC79" i="2"/>
  <c r="R140" i="2"/>
  <c r="O149" i="2"/>
  <c r="U78" i="2"/>
  <c r="U82" i="2"/>
  <c r="T90" i="2"/>
  <c r="S95" i="2"/>
  <c r="Q30" i="2"/>
  <c r="Q307" i="9"/>
  <c r="Q308" i="9" s="1"/>
  <c r="Z295" i="9"/>
  <c r="Z296" i="9" s="1"/>
  <c r="AD387" i="9"/>
  <c r="AD388" i="9" s="1"/>
  <c r="Q29" i="2"/>
  <c r="AC78" i="2"/>
  <c r="AA25" i="2"/>
  <c r="AC147" i="2"/>
  <c r="K153" i="2"/>
  <c r="AB20" i="2"/>
  <c r="L23" i="2"/>
  <c r="T212" i="2"/>
  <c r="R138" i="2"/>
  <c r="U214" i="2"/>
  <c r="X367" i="9"/>
  <c r="X368" i="9" s="1"/>
  <c r="AA155" i="2"/>
  <c r="X147" i="2"/>
  <c r="V150" i="2"/>
  <c r="V379" i="9"/>
  <c r="V380" i="9" s="1"/>
  <c r="W371" i="9"/>
  <c r="W372" i="9" s="1"/>
  <c r="V81" i="2"/>
  <c r="V79" i="2"/>
  <c r="V82" i="2"/>
  <c r="V77" i="2"/>
  <c r="T85" i="2"/>
  <c r="N411" i="9"/>
  <c r="N412" i="9" s="1"/>
  <c r="M447" i="9"/>
  <c r="M448" i="9" s="1"/>
  <c r="W148" i="2"/>
  <c r="P84" i="2"/>
  <c r="P83" i="2"/>
  <c r="AD147" i="2"/>
  <c r="AD367" i="9"/>
  <c r="AD368" i="9" s="1"/>
  <c r="W77" i="2"/>
  <c r="W82" i="2"/>
  <c r="W81" i="2"/>
  <c r="W79" i="2"/>
  <c r="W84" i="2"/>
  <c r="W78" i="2"/>
  <c r="U85" i="2"/>
  <c r="AA23" i="2"/>
  <c r="AA18" i="2"/>
  <c r="AA21" i="2"/>
  <c r="AA17" i="2"/>
  <c r="X27" i="2"/>
  <c r="Q343" i="9"/>
  <c r="Q344" i="9" s="1"/>
  <c r="S363" i="9"/>
  <c r="S364" i="9" s="1"/>
  <c r="AC32" i="2"/>
  <c r="AC315" i="9"/>
  <c r="AC316" i="9" s="1"/>
  <c r="V78" i="2"/>
  <c r="Z78" i="2"/>
  <c r="N28" i="2"/>
  <c r="N35" i="2"/>
  <c r="N27" i="2"/>
  <c r="O153" i="2"/>
  <c r="O391" i="9"/>
  <c r="O392" i="9" s="1"/>
  <c r="T21" i="2"/>
  <c r="T23" i="2"/>
  <c r="T25" i="2"/>
  <c r="T22" i="2"/>
  <c r="AD307" i="9"/>
  <c r="AD308" i="9" s="1"/>
  <c r="W155" i="2"/>
  <c r="W399" i="9"/>
  <c r="W400" i="9" s="1"/>
  <c r="N147" i="2"/>
  <c r="Y79" i="2"/>
  <c r="Y78" i="2"/>
  <c r="Y80" i="2"/>
  <c r="Y81" i="2"/>
  <c r="U29" i="2"/>
  <c r="V363" i="9"/>
  <c r="V364" i="9" s="1"/>
  <c r="V95" i="2"/>
  <c r="L28" i="2"/>
  <c r="S27" i="2"/>
  <c r="P351" i="9"/>
  <c r="P352" i="9" s="1"/>
  <c r="U83" i="2"/>
  <c r="P78" i="2"/>
  <c r="U32" i="2"/>
  <c r="U84" i="2"/>
  <c r="Z29" i="2"/>
  <c r="P85" i="2"/>
  <c r="Y82" i="2"/>
  <c r="Y21" i="2"/>
  <c r="Y18" i="2"/>
  <c r="Y23" i="2"/>
  <c r="Y24" i="2"/>
  <c r="Y20" i="2"/>
  <c r="W379" i="9"/>
  <c r="W380" i="9" s="1"/>
  <c r="P367" i="9"/>
  <c r="P368" i="9" s="1"/>
  <c r="AD363" i="9"/>
  <c r="AD364" i="9" s="1"/>
  <c r="R331" i="9"/>
  <c r="R332" i="9" s="1"/>
  <c r="T423" i="9"/>
  <c r="T424" i="9" s="1"/>
  <c r="P80" i="2"/>
  <c r="N88" i="2"/>
  <c r="AE78" i="2"/>
  <c r="Q33" i="2"/>
  <c r="AA19" i="2"/>
  <c r="Q92" i="2"/>
  <c r="L83" i="2"/>
  <c r="S93" i="2"/>
  <c r="W147" i="2"/>
  <c r="M153" i="2"/>
  <c r="N180" i="2" s="1"/>
  <c r="U81" i="2"/>
  <c r="S32" i="2"/>
  <c r="Q207" i="2"/>
  <c r="Q403" i="9"/>
  <c r="Q404" i="9" s="1"/>
  <c r="AB148" i="2"/>
  <c r="L82" i="2"/>
  <c r="L79" i="2"/>
  <c r="AB24" i="2"/>
  <c r="AA92" i="2"/>
  <c r="AA351" i="9"/>
  <c r="AA352" i="9" s="1"/>
  <c r="R35" i="2"/>
  <c r="R323" i="9"/>
  <c r="R324" i="9" s="1"/>
  <c r="AE375" i="9"/>
  <c r="AE376" i="9" s="1"/>
  <c r="W153" i="2"/>
  <c r="M19" i="2"/>
  <c r="R93" i="2"/>
  <c r="N30" i="2"/>
  <c r="R31" i="2"/>
  <c r="K83" i="2"/>
  <c r="Q151" i="2"/>
  <c r="T18" i="2"/>
  <c r="K339" i="9"/>
  <c r="K89" i="2"/>
  <c r="Z79" i="2"/>
  <c r="Z84" i="2"/>
  <c r="M34" i="2"/>
  <c r="N61" i="2" s="1"/>
  <c r="AA95" i="2"/>
  <c r="AA363" i="9"/>
  <c r="AA364" i="9" s="1"/>
  <c r="AA91" i="2"/>
  <c r="L34" i="2"/>
  <c r="M61" i="2"/>
  <c r="M35" i="9" s="1"/>
  <c r="M36" i="9" s="1"/>
  <c r="P89" i="2"/>
  <c r="X315" i="9"/>
  <c r="X316" i="9" s="1"/>
  <c r="S295" i="9"/>
  <c r="S296" i="9" s="1"/>
  <c r="K78" i="2"/>
  <c r="AC327" i="9"/>
  <c r="AC328" i="9" s="1"/>
  <c r="S30" i="2"/>
  <c r="N153" i="2"/>
  <c r="N391" i="9"/>
  <c r="N392" i="9" s="1"/>
  <c r="S151" i="2"/>
  <c r="S383" i="9"/>
  <c r="S384" i="9" s="1"/>
  <c r="P339" i="9"/>
  <c r="P340" i="9" s="1"/>
  <c r="N91" i="2"/>
  <c r="Z27" i="2"/>
  <c r="L19" i="2"/>
  <c r="U79" i="2"/>
  <c r="P153" i="2"/>
  <c r="P391" i="9"/>
  <c r="P392" i="9" s="1"/>
  <c r="AE153" i="2"/>
  <c r="Q153" i="2"/>
  <c r="AA359" i="9"/>
  <c r="AA360" i="9" s="1"/>
  <c r="AA94" i="2"/>
  <c r="P151" i="2"/>
  <c r="P383" i="9"/>
  <c r="P384" i="9" s="1"/>
  <c r="R27" i="2"/>
  <c r="L85" i="2"/>
  <c r="L25" i="2"/>
  <c r="AB84" i="2"/>
  <c r="S21" i="2"/>
  <c r="S23" i="2"/>
  <c r="V147" i="2"/>
  <c r="O32" i="2"/>
  <c r="P34" i="2"/>
  <c r="AE33" i="2"/>
  <c r="T84" i="2"/>
  <c r="AD33" i="2"/>
  <c r="Q93" i="2"/>
  <c r="AC153" i="2"/>
  <c r="AD153" i="2"/>
  <c r="S89" i="2"/>
  <c r="Z80" i="2"/>
  <c r="N92" i="2"/>
  <c r="W151" i="2"/>
  <c r="AC28" i="2"/>
  <c r="U25" i="2"/>
  <c r="S19" i="2"/>
  <c r="AE29" i="2"/>
  <c r="O80" i="2"/>
  <c r="R88" i="2"/>
  <c r="AA22" i="2"/>
  <c r="V84" i="2"/>
  <c r="R92" i="2"/>
  <c r="AE77" i="2"/>
  <c r="U23" i="2"/>
  <c r="Q94" i="2"/>
  <c r="P77" i="2"/>
  <c r="M22" i="2"/>
  <c r="X84" i="2"/>
  <c r="L22" i="2"/>
  <c r="X21" i="2"/>
  <c r="M77" i="2"/>
  <c r="Q147" i="2"/>
  <c r="K29" i="2"/>
  <c r="Q87" i="2"/>
  <c r="W27" i="2"/>
  <c r="AB78" i="2"/>
  <c r="AC84" i="2"/>
  <c r="X25" i="2"/>
  <c r="K84" i="2"/>
  <c r="U21" i="2"/>
  <c r="AD88" i="2"/>
  <c r="AB147" i="2"/>
  <c r="AB77" i="2"/>
  <c r="K151" i="2"/>
  <c r="S92" i="2"/>
  <c r="O77" i="2"/>
  <c r="X18" i="2"/>
  <c r="W80" i="2"/>
  <c r="AC30" i="2"/>
  <c r="T17" i="2"/>
  <c r="T77" i="2"/>
  <c r="N89" i="2"/>
  <c r="AC151" i="2"/>
  <c r="AA93" i="2"/>
  <c r="U18" i="2"/>
  <c r="O35" i="2"/>
  <c r="M84" i="2"/>
  <c r="K28" i="2"/>
  <c r="AE27" i="2"/>
  <c r="L77" i="2"/>
  <c r="M147" i="2"/>
  <c r="M174" i="2" s="1"/>
  <c r="AD151" i="2"/>
  <c r="Y84" i="2"/>
  <c r="Q34" i="2"/>
  <c r="L84" i="2"/>
  <c r="AD29" i="2"/>
  <c r="U17" i="2"/>
  <c r="Y25" i="2"/>
  <c r="O147" i="2"/>
  <c r="AE32" i="2"/>
  <c r="W34" i="2"/>
  <c r="AC80" i="2"/>
  <c r="P32" i="2"/>
  <c r="P27" i="2"/>
  <c r="X77" i="2"/>
  <c r="L155" i="2"/>
  <c r="M182" i="2" s="1"/>
  <c r="M111" i="9" s="1"/>
  <c r="M112" i="9" s="1"/>
  <c r="V155" i="2"/>
  <c r="AE151" i="2"/>
  <c r="S18" i="2"/>
  <c r="N31" i="2"/>
  <c r="M80" i="2"/>
  <c r="V80" i="2"/>
  <c r="N29" i="2"/>
  <c r="AD91" i="2"/>
  <c r="M20" i="2"/>
  <c r="AE155" i="2"/>
  <c r="Z77" i="2"/>
  <c r="M95" i="9" l="1"/>
  <c r="M96" i="9" s="1"/>
  <c r="N178" i="2"/>
  <c r="N35" i="9"/>
  <c r="N36" i="9" s="1"/>
  <c r="O61" i="2"/>
  <c r="O35" i="9" s="1"/>
  <c r="O36" i="9" s="1"/>
  <c r="P179" i="2"/>
  <c r="P99" i="9" s="1"/>
  <c r="P100" i="9" s="1"/>
  <c r="M167" i="9"/>
  <c r="M168" i="9" s="1"/>
  <c r="N300" i="2"/>
  <c r="P356" i="2"/>
  <c r="N99" i="9"/>
  <c r="N100" i="9" s="1"/>
  <c r="O179" i="2"/>
  <c r="O99" i="9" s="1"/>
  <c r="O100" i="9" s="1"/>
  <c r="M123" i="9"/>
  <c r="M124" i="9" s="1"/>
  <c r="N236" i="2"/>
  <c r="M255" i="9"/>
  <c r="M256" i="9" s="1"/>
  <c r="N424" i="2"/>
  <c r="N255" i="9" s="1"/>
  <c r="N256" i="9" s="1"/>
  <c r="M287" i="9"/>
  <c r="M288" i="9" s="1"/>
  <c r="N483" i="2"/>
  <c r="M187" i="9"/>
  <c r="M188" i="9" s="1"/>
  <c r="N143" i="9"/>
  <c r="N144" i="9" s="1"/>
  <c r="O241" i="2"/>
  <c r="O240" i="2"/>
  <c r="O139" i="9" s="1"/>
  <c r="O140" i="9" s="1"/>
  <c r="N187" i="9"/>
  <c r="N188" i="9" s="1"/>
  <c r="M183" i="2"/>
  <c r="M79" i="9"/>
  <c r="M80" i="9" s="1"/>
  <c r="N174" i="2"/>
  <c r="M115" i="9"/>
  <c r="M116" i="9" s="1"/>
  <c r="N234" i="2"/>
  <c r="N240" i="2"/>
  <c r="N139" i="9" s="1"/>
  <c r="N140" i="9" s="1"/>
  <c r="N182" i="2"/>
  <c r="N111" i="9" s="1"/>
  <c r="N112" i="9" s="1"/>
  <c r="N478" i="2"/>
  <c r="N267" i="9" s="1"/>
  <c r="N268" i="9" s="1"/>
  <c r="N259" i="9"/>
  <c r="N260" i="9" s="1"/>
  <c r="O476" i="2"/>
  <c r="N54" i="2"/>
  <c r="N175" i="2"/>
  <c r="N83" i="9" s="1"/>
  <c r="N84" i="9" s="1"/>
  <c r="N103" i="9"/>
  <c r="N104" i="9" s="1"/>
  <c r="O180" i="2"/>
  <c r="N419" i="2"/>
  <c r="N235" i="9" s="1"/>
  <c r="N236" i="9" s="1"/>
  <c r="M91" i="9"/>
  <c r="M92" i="9" s="1"/>
  <c r="N177" i="2"/>
  <c r="N219" i="9"/>
  <c r="N220" i="9" s="1"/>
  <c r="O364" i="2"/>
  <c r="O207" i="9"/>
  <c r="O208" i="9" s="1"/>
  <c r="P361" i="2"/>
  <c r="P207" i="9" s="1"/>
  <c r="P208" i="9" s="1"/>
  <c r="AA276" i="2"/>
  <c r="AA467" i="9"/>
  <c r="AA468" i="9" s="1"/>
  <c r="R210" i="2"/>
  <c r="R415" i="9"/>
  <c r="R416" i="9" s="1"/>
  <c r="M327" i="9"/>
  <c r="M328" i="9" s="1"/>
  <c r="M35" i="2"/>
  <c r="Q471" i="9"/>
  <c r="Q472" i="9" s="1"/>
  <c r="Q277" i="2"/>
  <c r="Z491" i="9"/>
  <c r="Z492" i="9" s="1"/>
  <c r="F492" i="9" s="1"/>
  <c r="Z333" i="2"/>
  <c r="N511" i="9"/>
  <c r="N512" i="9" s="1"/>
  <c r="N389" i="2"/>
  <c r="V459" i="9"/>
  <c r="V460" i="9" s="1"/>
  <c r="V274" i="2"/>
  <c r="V463" i="9"/>
  <c r="V464" i="9" s="1"/>
  <c r="V275" i="2"/>
  <c r="M335" i="9"/>
  <c r="M336" i="9" s="1"/>
  <c r="F336" i="9" s="1"/>
  <c r="M88" i="2"/>
  <c r="M115" i="2" s="1"/>
  <c r="M47" i="9" s="1"/>
  <c r="M48" i="9" s="1"/>
  <c r="T276" i="2"/>
  <c r="T467" i="9"/>
  <c r="T468" i="9" s="1"/>
  <c r="X455" i="9"/>
  <c r="X456" i="9" s="1"/>
  <c r="X273" i="2"/>
  <c r="N482" i="2"/>
  <c r="N283" i="9" s="1"/>
  <c r="N284" i="9" s="1"/>
  <c r="V343" i="9"/>
  <c r="V344" i="9" s="1"/>
  <c r="V90" i="2"/>
  <c r="L93" i="2"/>
  <c r="M120" i="2" s="1"/>
  <c r="M67" i="9" s="1"/>
  <c r="M68" i="9" s="1"/>
  <c r="L355" i="9"/>
  <c r="L356" i="9" s="1"/>
  <c r="T93" i="2"/>
  <c r="T355" i="9"/>
  <c r="T356" i="9" s="1"/>
  <c r="W407" i="9"/>
  <c r="W408" i="9" s="1"/>
  <c r="W208" i="2"/>
  <c r="X87" i="2"/>
  <c r="X331" i="9"/>
  <c r="X332" i="9" s="1"/>
  <c r="T363" i="9"/>
  <c r="T364" i="9" s="1"/>
  <c r="T95" i="2"/>
  <c r="U33" i="2"/>
  <c r="U319" i="9"/>
  <c r="U320" i="9" s="1"/>
  <c r="AC269" i="2"/>
  <c r="AC439" i="9"/>
  <c r="AC440" i="9" s="1"/>
  <c r="AB87" i="2"/>
  <c r="AB331" i="9"/>
  <c r="AB332" i="9" s="1"/>
  <c r="S29" i="2"/>
  <c r="S303" i="9"/>
  <c r="S304" i="9" s="1"/>
  <c r="AE335" i="9"/>
  <c r="AE336" i="9" s="1"/>
  <c r="AE88" i="2"/>
  <c r="Y34" i="2"/>
  <c r="Y323" i="9"/>
  <c r="Y324" i="9" s="1"/>
  <c r="T32" i="2"/>
  <c r="T315" i="9"/>
  <c r="T316" i="9" s="1"/>
  <c r="AA28" i="2"/>
  <c r="AA299" i="9"/>
  <c r="AA300" i="9" s="1"/>
  <c r="V91" i="2"/>
  <c r="V347" i="9"/>
  <c r="V348" i="9" s="1"/>
  <c r="Z148" i="2"/>
  <c r="Z371" i="9"/>
  <c r="Z372" i="9" s="1"/>
  <c r="M28" i="2"/>
  <c r="M55" i="2" s="1"/>
  <c r="M11" i="9" s="1"/>
  <c r="M12" i="9" s="1"/>
  <c r="M299" i="9"/>
  <c r="M300" i="9" s="1"/>
  <c r="L31" i="2"/>
  <c r="M58" i="2" s="1"/>
  <c r="M23" i="9" s="1"/>
  <c r="M24" i="9" s="1"/>
  <c r="L311" i="9"/>
  <c r="L312" i="9" s="1"/>
  <c r="X551" i="9"/>
  <c r="X552" i="9" s="1"/>
  <c r="X450" i="2"/>
  <c r="V214" i="2"/>
  <c r="V431" i="9"/>
  <c r="V432" i="9" s="1"/>
  <c r="S435" i="9"/>
  <c r="S436" i="9" s="1"/>
  <c r="S215" i="2"/>
  <c r="W209" i="2"/>
  <c r="W411" i="9"/>
  <c r="W412" i="9" s="1"/>
  <c r="O511" i="9"/>
  <c r="O512" i="9" s="1"/>
  <c r="O389" i="2"/>
  <c r="V271" i="2"/>
  <c r="V447" i="9"/>
  <c r="V448" i="9" s="1"/>
  <c r="V209" i="2"/>
  <c r="V411" i="9"/>
  <c r="V412" i="9" s="1"/>
  <c r="Z151" i="2"/>
  <c r="Z383" i="9"/>
  <c r="Z384" i="9" s="1"/>
  <c r="AE451" i="9"/>
  <c r="AE452" i="9" s="1"/>
  <c r="AE272" i="2"/>
  <c r="R277" i="2"/>
  <c r="R471" i="9"/>
  <c r="R472" i="9" s="1"/>
  <c r="V272" i="2"/>
  <c r="V451" i="9"/>
  <c r="V452" i="9" s="1"/>
  <c r="O363" i="9"/>
  <c r="O364" i="9" s="1"/>
  <c r="O95" i="2"/>
  <c r="M89" i="2"/>
  <c r="M339" i="9"/>
  <c r="M340" i="9" s="1"/>
  <c r="T451" i="9"/>
  <c r="T452" i="9" s="1"/>
  <c r="T272" i="2"/>
  <c r="AE277" i="2"/>
  <c r="AE471" i="9"/>
  <c r="AE472" i="9" s="1"/>
  <c r="T89" i="2"/>
  <c r="T339" i="9"/>
  <c r="T340" i="9" s="1"/>
  <c r="S28" i="2"/>
  <c r="S299" i="9"/>
  <c r="S300" i="9" s="1"/>
  <c r="U35" i="2"/>
  <c r="U327" i="9"/>
  <c r="U328" i="9" s="1"/>
  <c r="S210" i="2"/>
  <c r="S415" i="9"/>
  <c r="S416" i="9" s="1"/>
  <c r="V208" i="2"/>
  <c r="V407" i="9"/>
  <c r="V408" i="9" s="1"/>
  <c r="P242" i="2"/>
  <c r="Z471" i="9"/>
  <c r="Z472" i="9" s="1"/>
  <c r="Z277" i="2"/>
  <c r="Z94" i="2"/>
  <c r="Z359" i="9"/>
  <c r="Z360" i="9" s="1"/>
  <c r="W87" i="2"/>
  <c r="W331" i="9"/>
  <c r="W332" i="9" s="1"/>
  <c r="U447" i="9"/>
  <c r="U448" i="9" s="1"/>
  <c r="U271" i="2"/>
  <c r="AA327" i="9"/>
  <c r="AA328" i="9" s="1"/>
  <c r="AA35" i="2"/>
  <c r="Z87" i="2"/>
  <c r="Z331" i="9"/>
  <c r="Z332" i="9" s="1"/>
  <c r="U93" i="2"/>
  <c r="U355" i="9"/>
  <c r="U356" i="9" s="1"/>
  <c r="P359" i="9"/>
  <c r="P360" i="9" s="1"/>
  <c r="P94" i="2"/>
  <c r="O447" i="9"/>
  <c r="O448" i="9" s="1"/>
  <c r="O271" i="2"/>
  <c r="V435" i="9"/>
  <c r="V436" i="9" s="1"/>
  <c r="V215" i="2"/>
  <c r="AB208" i="2"/>
  <c r="AB407" i="9"/>
  <c r="AB408" i="9" s="1"/>
  <c r="Y35" i="2"/>
  <c r="Y327" i="9"/>
  <c r="Y328" i="9" s="1"/>
  <c r="M33" i="2"/>
  <c r="N60" i="2" s="1"/>
  <c r="M319" i="9"/>
  <c r="M320" i="9" s="1"/>
  <c r="R387" i="9"/>
  <c r="R388" i="9" s="1"/>
  <c r="R152" i="2"/>
  <c r="W447" i="9"/>
  <c r="W448" i="9" s="1"/>
  <c r="W271" i="2"/>
  <c r="Y269" i="2"/>
  <c r="Y439" i="9"/>
  <c r="Y440" i="9" s="1"/>
  <c r="W389" i="2"/>
  <c r="W511" i="9"/>
  <c r="W512" i="9" s="1"/>
  <c r="O93" i="2"/>
  <c r="O355" i="9"/>
  <c r="O356" i="9" s="1"/>
  <c r="AB213" i="2"/>
  <c r="AB427" i="9"/>
  <c r="AB428" i="9" s="1"/>
  <c r="U95" i="2"/>
  <c r="U363" i="9"/>
  <c r="U364" i="9" s="1"/>
  <c r="X457" i="2"/>
  <c r="X579" i="9"/>
  <c r="X580" i="9" s="1"/>
  <c r="S407" i="9"/>
  <c r="S408" i="9" s="1"/>
  <c r="S208" i="2"/>
  <c r="U147" i="2"/>
  <c r="U367" i="9"/>
  <c r="U368" i="9" s="1"/>
  <c r="Z269" i="2"/>
  <c r="Z439" i="9"/>
  <c r="Z440" i="9" s="1"/>
  <c r="Y274" i="2"/>
  <c r="Y459" i="9"/>
  <c r="Y460" i="9" s="1"/>
  <c r="U389" i="2"/>
  <c r="U511" i="9"/>
  <c r="U512" i="9" s="1"/>
  <c r="AC519" i="9"/>
  <c r="AC520" i="9" s="1"/>
  <c r="AC391" i="2"/>
  <c r="O527" i="9"/>
  <c r="O528" i="9" s="1"/>
  <c r="F528" i="9" s="1"/>
  <c r="O393" i="2"/>
  <c r="Z443" i="9"/>
  <c r="Z444" i="9" s="1"/>
  <c r="Z270" i="2"/>
  <c r="O459" i="9"/>
  <c r="O460" i="9" s="1"/>
  <c r="O274" i="2"/>
  <c r="AC273" i="2"/>
  <c r="AC455" i="9"/>
  <c r="AC456" i="9" s="1"/>
  <c r="O88" i="2"/>
  <c r="O335" i="9"/>
  <c r="O336" i="9" s="1"/>
  <c r="M422" i="2"/>
  <c r="M247" i="9" s="1"/>
  <c r="M248" i="9" s="1"/>
  <c r="L535" i="9"/>
  <c r="L536" i="9" s="1"/>
  <c r="L395" i="2"/>
  <c r="W211" i="2"/>
  <c r="W419" i="9"/>
  <c r="W420" i="9" s="1"/>
  <c r="L92" i="2"/>
  <c r="M119" i="2" s="1"/>
  <c r="L351" i="9"/>
  <c r="L352" i="9" s="1"/>
  <c r="U150" i="2"/>
  <c r="U379" i="9"/>
  <c r="U380" i="9" s="1"/>
  <c r="AD276" i="2"/>
  <c r="AD467" i="9"/>
  <c r="AD468" i="9" s="1"/>
  <c r="L29" i="2"/>
  <c r="M56" i="2" s="1"/>
  <c r="L303" i="9"/>
  <c r="L304" i="9" s="1"/>
  <c r="R371" i="9"/>
  <c r="R372" i="9" s="1"/>
  <c r="F372" i="9" s="1"/>
  <c r="R148" i="2"/>
  <c r="AC343" i="9"/>
  <c r="AC344" i="9" s="1"/>
  <c r="AC90" i="2"/>
  <c r="L331" i="9"/>
  <c r="L332" i="9" s="1"/>
  <c r="L87" i="2"/>
  <c r="M114" i="2" s="1"/>
  <c r="K93" i="2"/>
  <c r="K355" i="9"/>
  <c r="U91" i="2"/>
  <c r="U347" i="9"/>
  <c r="U348" i="9" s="1"/>
  <c r="Y33" i="2"/>
  <c r="Y319" i="9"/>
  <c r="Y320" i="9" s="1"/>
  <c r="T327" i="9"/>
  <c r="T328" i="9" s="1"/>
  <c r="T35" i="2"/>
  <c r="L91" i="2"/>
  <c r="L347" i="9"/>
  <c r="L348" i="9" s="1"/>
  <c r="X452" i="2"/>
  <c r="X559" i="9"/>
  <c r="X560" i="9" s="1"/>
  <c r="F560" i="9" s="1"/>
  <c r="W531" i="9"/>
  <c r="W532" i="9" s="1"/>
  <c r="W394" i="2"/>
  <c r="Z273" i="2"/>
  <c r="Z455" i="9"/>
  <c r="Z456" i="9" s="1"/>
  <c r="S33" i="2"/>
  <c r="S319" i="9"/>
  <c r="S320" i="9" s="1"/>
  <c r="T33" i="2"/>
  <c r="T319" i="9"/>
  <c r="T320" i="9" s="1"/>
  <c r="AC87" i="2"/>
  <c r="AC331" i="9"/>
  <c r="AC332" i="9" s="1"/>
  <c r="W93" i="2"/>
  <c r="W355" i="9"/>
  <c r="W356" i="9" s="1"/>
  <c r="T31" i="2"/>
  <c r="T311" i="9"/>
  <c r="T312" i="9" s="1"/>
  <c r="Z363" i="9"/>
  <c r="Z364" i="9" s="1"/>
  <c r="Z95" i="2"/>
  <c r="Z487" i="9"/>
  <c r="Z488" i="9" s="1"/>
  <c r="Z332" i="2"/>
  <c r="X91" i="2"/>
  <c r="X347" i="9"/>
  <c r="X348" i="9" s="1"/>
  <c r="U391" i="9"/>
  <c r="U392" i="9" s="1"/>
  <c r="U153" i="2"/>
  <c r="O479" i="2"/>
  <c r="O271" i="9" s="1"/>
  <c r="O272" i="9" s="1"/>
  <c r="X95" i="2"/>
  <c r="X363" i="9"/>
  <c r="X364" i="9" s="1"/>
  <c r="T543" i="9"/>
  <c r="T544" i="9" s="1"/>
  <c r="T397" i="2"/>
  <c r="S539" i="9"/>
  <c r="S540" i="9" s="1"/>
  <c r="S396" i="2"/>
  <c r="Y270" i="2"/>
  <c r="Y443" i="9"/>
  <c r="Y444" i="9" s="1"/>
  <c r="W390" i="2"/>
  <c r="W515" i="9"/>
  <c r="W516" i="9" s="1"/>
  <c r="F556" i="9"/>
  <c r="AE93" i="2"/>
  <c r="AE355" i="9"/>
  <c r="AE356" i="9" s="1"/>
  <c r="L531" i="9"/>
  <c r="L532" i="9" s="1"/>
  <c r="L394" i="2"/>
  <c r="Z274" i="2"/>
  <c r="Z459" i="9"/>
  <c r="Z460" i="9" s="1"/>
  <c r="X439" i="9"/>
  <c r="X440" i="9" s="1"/>
  <c r="X269" i="2"/>
  <c r="N299" i="2"/>
  <c r="N163" i="9" s="1"/>
  <c r="N164" i="9" s="1"/>
  <c r="N422" i="2"/>
  <c r="N247" i="9" s="1"/>
  <c r="N248" i="9" s="1"/>
  <c r="M535" i="9"/>
  <c r="M536" i="9" s="1"/>
  <c r="M395" i="2"/>
  <c r="Z271" i="2"/>
  <c r="Z447" i="9"/>
  <c r="Z448" i="9" s="1"/>
  <c r="O92" i="2"/>
  <c r="O351" i="9"/>
  <c r="O352" i="9" s="1"/>
  <c r="M416" i="2"/>
  <c r="L511" i="9"/>
  <c r="L512" i="9" s="1"/>
  <c r="L389" i="2"/>
  <c r="Q179" i="2"/>
  <c r="Q99" i="9" s="1"/>
  <c r="Q100" i="9" s="1"/>
  <c r="U152" i="2"/>
  <c r="U387" i="9"/>
  <c r="U388" i="9" s="1"/>
  <c r="AA389" i="2"/>
  <c r="AA511" i="9"/>
  <c r="AA512" i="9" s="1"/>
  <c r="W397" i="2"/>
  <c r="W543" i="9"/>
  <c r="W544" i="9" s="1"/>
  <c r="AA31" i="2"/>
  <c r="AA311" i="9"/>
  <c r="AA312" i="9" s="1"/>
  <c r="K343" i="9"/>
  <c r="K90" i="2"/>
  <c r="AA33" i="2"/>
  <c r="AA319" i="9"/>
  <c r="AA320" i="9" s="1"/>
  <c r="AE276" i="2"/>
  <c r="AE467" i="9"/>
  <c r="AE468" i="9" s="1"/>
  <c r="Z367" i="9"/>
  <c r="Z368" i="9" s="1"/>
  <c r="Z147" i="2"/>
  <c r="AE447" i="9"/>
  <c r="AE448" i="9" s="1"/>
  <c r="AE271" i="2"/>
  <c r="F476" i="9"/>
  <c r="M30" i="2"/>
  <c r="M57" i="2" s="1"/>
  <c r="M19" i="9" s="1"/>
  <c r="M20" i="9" s="1"/>
  <c r="M307" i="9"/>
  <c r="M308" i="9" s="1"/>
  <c r="F308" i="9" s="1"/>
  <c r="U27" i="2"/>
  <c r="U295" i="9"/>
  <c r="U296" i="9" s="1"/>
  <c r="AE87" i="2"/>
  <c r="AE331" i="9"/>
  <c r="AE332" i="9" s="1"/>
  <c r="Y28" i="2"/>
  <c r="Y299" i="9"/>
  <c r="Y300" i="9" s="1"/>
  <c r="T331" i="9"/>
  <c r="T332" i="9" s="1"/>
  <c r="T87" i="2"/>
  <c r="S311" i="9"/>
  <c r="S312" i="9" s="1"/>
  <c r="S31" i="2"/>
  <c r="Y31" i="2"/>
  <c r="Y311" i="9"/>
  <c r="Y312" i="9" s="1"/>
  <c r="Y91" i="2"/>
  <c r="Y347" i="9"/>
  <c r="Y348" i="9" s="1"/>
  <c r="W88" i="2"/>
  <c r="W335" i="9"/>
  <c r="W336" i="9" s="1"/>
  <c r="T27" i="2"/>
  <c r="T295" i="9"/>
  <c r="T296" i="9" s="1"/>
  <c r="M331" i="9"/>
  <c r="M332" i="9" s="1"/>
  <c r="M87" i="2"/>
  <c r="T94" i="2"/>
  <c r="T359" i="9"/>
  <c r="T360" i="9" s="1"/>
  <c r="AB359" i="9"/>
  <c r="AB360" i="9" s="1"/>
  <c r="AB94" i="2"/>
  <c r="P343" i="9"/>
  <c r="P344" i="9" s="1"/>
  <c r="P90" i="2"/>
  <c r="Y92" i="2"/>
  <c r="Y351" i="9"/>
  <c r="Y352" i="9" s="1"/>
  <c r="Y90" i="2"/>
  <c r="Y343" i="9"/>
  <c r="Y344" i="9" s="1"/>
  <c r="W94" i="2"/>
  <c r="W359" i="9"/>
  <c r="W360" i="9" s="1"/>
  <c r="L33" i="2"/>
  <c r="M60" i="2" s="1"/>
  <c r="M31" i="9" s="1"/>
  <c r="M32" i="9" s="1"/>
  <c r="L319" i="9"/>
  <c r="L320" i="9" s="1"/>
  <c r="U92" i="2"/>
  <c r="U351" i="9"/>
  <c r="U352" i="9" s="1"/>
  <c r="AC390" i="2"/>
  <c r="AC515" i="9"/>
  <c r="AC516" i="9" s="1"/>
  <c r="X88" i="2"/>
  <c r="X335" i="9"/>
  <c r="X336" i="9" s="1"/>
  <c r="U151" i="2"/>
  <c r="U383" i="9"/>
  <c r="U384" i="9" s="1"/>
  <c r="N527" i="9"/>
  <c r="N528" i="9" s="1"/>
  <c r="N393" i="2"/>
  <c r="T277" i="2"/>
  <c r="T471" i="9"/>
  <c r="T472" i="9" s="1"/>
  <c r="T515" i="9"/>
  <c r="T516" i="9" s="1"/>
  <c r="F516" i="9" s="1"/>
  <c r="T390" i="2"/>
  <c r="S523" i="9"/>
  <c r="S524" i="9" s="1"/>
  <c r="S392" i="2"/>
  <c r="O356" i="2"/>
  <c r="Q459" i="9"/>
  <c r="Q460" i="9" s="1"/>
  <c r="Q274" i="2"/>
  <c r="F568" i="9"/>
  <c r="N423" i="2"/>
  <c r="N251" i="9" s="1"/>
  <c r="N252" i="9" s="1"/>
  <c r="M539" i="9"/>
  <c r="M540" i="9" s="1"/>
  <c r="M396" i="2"/>
  <c r="P484" i="2"/>
  <c r="X467" i="9"/>
  <c r="X468" i="9" s="1"/>
  <c r="X276" i="2"/>
  <c r="O89" i="2"/>
  <c r="O339" i="9"/>
  <c r="O340" i="9" s="1"/>
  <c r="X443" i="9"/>
  <c r="X444" i="9" s="1"/>
  <c r="X270" i="2"/>
  <c r="R276" i="2"/>
  <c r="R467" i="9"/>
  <c r="R468" i="9" s="1"/>
  <c r="AA527" i="9"/>
  <c r="AA528" i="9" s="1"/>
  <c r="AA393" i="2"/>
  <c r="U390" i="2"/>
  <c r="U515" i="9"/>
  <c r="U516" i="9" s="1"/>
  <c r="M90" i="2"/>
  <c r="M117" i="2" s="1"/>
  <c r="M55" i="9" s="1"/>
  <c r="M56" i="9" s="1"/>
  <c r="M343" i="9"/>
  <c r="M344" i="9" s="1"/>
  <c r="P87" i="2"/>
  <c r="P331" i="9"/>
  <c r="P332" i="9" s="1"/>
  <c r="V89" i="2"/>
  <c r="V339" i="9"/>
  <c r="V340" i="9" s="1"/>
  <c r="R147" i="2"/>
  <c r="R367" i="9"/>
  <c r="R368" i="9" s="1"/>
  <c r="F368" i="9" s="1"/>
  <c r="U31" i="2"/>
  <c r="U311" i="9"/>
  <c r="U312" i="9" s="1"/>
  <c r="K335" i="9"/>
  <c r="K88" i="2"/>
  <c r="U88" i="2"/>
  <c r="U335" i="9"/>
  <c r="U336" i="9" s="1"/>
  <c r="R153" i="2"/>
  <c r="R391" i="9"/>
  <c r="R392" i="9" s="1"/>
  <c r="F392" i="9" s="1"/>
  <c r="AC471" i="9"/>
  <c r="AC472" i="9" s="1"/>
  <c r="AC277" i="2"/>
  <c r="AC539" i="9"/>
  <c r="AC540" i="9" s="1"/>
  <c r="F540" i="9" s="1"/>
  <c r="AC396" i="2"/>
  <c r="N523" i="9"/>
  <c r="N524" i="9" s="1"/>
  <c r="N392" i="2"/>
  <c r="AD443" i="9"/>
  <c r="AD444" i="9" s="1"/>
  <c r="AD270" i="2"/>
  <c r="X277" i="2"/>
  <c r="X471" i="9"/>
  <c r="X472" i="9" s="1"/>
  <c r="U395" i="9"/>
  <c r="U396" i="9" s="1"/>
  <c r="F396" i="9" s="1"/>
  <c r="U154" i="2"/>
  <c r="F436" i="9"/>
  <c r="AB423" i="9"/>
  <c r="AB424" i="9" s="1"/>
  <c r="AB212" i="2"/>
  <c r="S389" i="2"/>
  <c r="S511" i="9"/>
  <c r="S512" i="9" s="1"/>
  <c r="AB435" i="9"/>
  <c r="AB436" i="9" s="1"/>
  <c r="AB215" i="2"/>
  <c r="P181" i="2"/>
  <c r="P107" i="9" s="1"/>
  <c r="P108" i="9" s="1"/>
  <c r="K507" i="9"/>
  <c r="K337" i="2"/>
  <c r="M389" i="2"/>
  <c r="M511" i="9"/>
  <c r="M512" i="9" s="1"/>
  <c r="AB523" i="9"/>
  <c r="AB524" i="9" s="1"/>
  <c r="AB392" i="2"/>
  <c r="AB29" i="2"/>
  <c r="AB303" i="9"/>
  <c r="AB304" i="9" s="1"/>
  <c r="O91" i="2"/>
  <c r="O347" i="9"/>
  <c r="O348" i="9" s="1"/>
  <c r="X271" i="2"/>
  <c r="X447" i="9"/>
  <c r="X448" i="9" s="1"/>
  <c r="R274" i="2"/>
  <c r="R459" i="9"/>
  <c r="R460" i="9" s="1"/>
  <c r="O463" i="9"/>
  <c r="O464" i="9" s="1"/>
  <c r="F464" i="9" s="1"/>
  <c r="O275" i="2"/>
  <c r="O302" i="2" s="1"/>
  <c r="O175" i="9" s="1"/>
  <c r="O176" i="9" s="1"/>
  <c r="Q269" i="2"/>
  <c r="Q439" i="9"/>
  <c r="Q440" i="9" s="1"/>
  <c r="Y503" i="9"/>
  <c r="Y504" i="9" s="1"/>
  <c r="Y336" i="2"/>
  <c r="AC94" i="2"/>
  <c r="AC359" i="9"/>
  <c r="AC360" i="9" s="1"/>
  <c r="AA277" i="2"/>
  <c r="AA471" i="9"/>
  <c r="AA472" i="9" s="1"/>
  <c r="Y30" i="2"/>
  <c r="Y307" i="9"/>
  <c r="Y308" i="9" s="1"/>
  <c r="L94" i="2"/>
  <c r="L359" i="9"/>
  <c r="L360" i="9" s="1"/>
  <c r="Y88" i="2"/>
  <c r="Y335" i="9"/>
  <c r="Y336" i="9" s="1"/>
  <c r="W89" i="2"/>
  <c r="W339" i="9"/>
  <c r="W340" i="9" s="1"/>
  <c r="AB34" i="2"/>
  <c r="AB323" i="9"/>
  <c r="AB324" i="9" s="1"/>
  <c r="F324" i="9" s="1"/>
  <c r="P95" i="2"/>
  <c r="P363" i="9"/>
  <c r="P364" i="9" s="1"/>
  <c r="Y89" i="2"/>
  <c r="Y339" i="9"/>
  <c r="Y340" i="9" s="1"/>
  <c r="AB30" i="2"/>
  <c r="AB307" i="9"/>
  <c r="AB308" i="9" s="1"/>
  <c r="Y93" i="2"/>
  <c r="Y355" i="9"/>
  <c r="Y356" i="9" s="1"/>
  <c r="Z91" i="2"/>
  <c r="Z347" i="9"/>
  <c r="Z348" i="9" s="1"/>
  <c r="Z155" i="2"/>
  <c r="Z399" i="9"/>
  <c r="Z400" i="9" s="1"/>
  <c r="N519" i="9"/>
  <c r="N520" i="9" s="1"/>
  <c r="N391" i="2"/>
  <c r="Z395" i="9"/>
  <c r="Z396" i="9" s="1"/>
  <c r="Z154" i="2"/>
  <c r="S519" i="9"/>
  <c r="S520" i="9" s="1"/>
  <c r="S391" i="2"/>
  <c r="N235" i="2"/>
  <c r="O272" i="2"/>
  <c r="O299" i="2" s="1"/>
  <c r="O163" i="9" s="1"/>
  <c r="O164" i="9" s="1"/>
  <c r="O451" i="9"/>
  <c r="O452" i="9" s="1"/>
  <c r="P240" i="2"/>
  <c r="W523" i="9"/>
  <c r="W524" i="9" s="1"/>
  <c r="W392" i="2"/>
  <c r="W393" i="2"/>
  <c r="W527" i="9"/>
  <c r="W528" i="9" s="1"/>
  <c r="AB411" i="9"/>
  <c r="AB412" i="9" s="1"/>
  <c r="F412" i="9" s="1"/>
  <c r="AB209" i="2"/>
  <c r="U272" i="2"/>
  <c r="U451" i="9"/>
  <c r="U452" i="9" s="1"/>
  <c r="M359" i="2"/>
  <c r="L332" i="2"/>
  <c r="L487" i="9"/>
  <c r="L488" i="9" s="1"/>
  <c r="K335" i="2"/>
  <c r="K499" i="9"/>
  <c r="AE363" i="9"/>
  <c r="AE364" i="9" s="1"/>
  <c r="AE95" i="2"/>
  <c r="N304" i="2"/>
  <c r="N183" i="9" s="1"/>
  <c r="N184" i="9" s="1"/>
  <c r="AB519" i="9"/>
  <c r="AB520" i="9" s="1"/>
  <c r="AB391" i="2"/>
  <c r="AB32" i="2"/>
  <c r="AB315" i="9"/>
  <c r="AB316" i="9" s="1"/>
  <c r="U393" i="2"/>
  <c r="U527" i="9"/>
  <c r="U528" i="9" s="1"/>
  <c r="F480" i="9"/>
  <c r="M238" i="2"/>
  <c r="M131" i="9" s="1"/>
  <c r="M132" i="9" s="1"/>
  <c r="K94" i="2"/>
  <c r="K359" i="9"/>
  <c r="X311" i="9"/>
  <c r="X312" i="9" s="1"/>
  <c r="X31" i="2"/>
  <c r="V94" i="2"/>
  <c r="V359" i="9"/>
  <c r="V360" i="9" s="1"/>
  <c r="L35" i="2"/>
  <c r="M62" i="2" s="1"/>
  <c r="L327" i="9"/>
  <c r="L328" i="9" s="1"/>
  <c r="M29" i="2"/>
  <c r="M303" i="9"/>
  <c r="M304" i="9" s="1"/>
  <c r="W91" i="2"/>
  <c r="W347" i="9"/>
  <c r="W348" i="9" s="1"/>
  <c r="O176" i="2"/>
  <c r="O87" i="9" s="1"/>
  <c r="O88" i="9" s="1"/>
  <c r="M54" i="2"/>
  <c r="L27" i="2"/>
  <c r="L295" i="9"/>
  <c r="L296" i="9" s="1"/>
  <c r="R212" i="2"/>
  <c r="R423" i="9"/>
  <c r="R424" i="9" s="1"/>
  <c r="F424" i="9" s="1"/>
  <c r="Z152" i="2"/>
  <c r="Z387" i="9"/>
  <c r="Z388" i="9" s="1"/>
  <c r="U155" i="2"/>
  <c r="U399" i="9"/>
  <c r="U400" i="9" s="1"/>
  <c r="F576" i="9"/>
  <c r="M94" i="2"/>
  <c r="M121" i="2" s="1"/>
  <c r="M71" i="9" s="1"/>
  <c r="M72" i="9" s="1"/>
  <c r="M359" i="9"/>
  <c r="M360" i="9" s="1"/>
  <c r="W343" i="9"/>
  <c r="W344" i="9" s="1"/>
  <c r="W90" i="2"/>
  <c r="X35" i="2"/>
  <c r="X327" i="9"/>
  <c r="X328" i="9" s="1"/>
  <c r="L32" i="2"/>
  <c r="L315" i="9"/>
  <c r="L316" i="9" s="1"/>
  <c r="AA32" i="2"/>
  <c r="AA315" i="9"/>
  <c r="AA316" i="9" s="1"/>
  <c r="Z90" i="2"/>
  <c r="Z343" i="9"/>
  <c r="Z344" i="9" s="1"/>
  <c r="P61" i="2"/>
  <c r="P35" i="9" s="1"/>
  <c r="P36" i="9" s="1"/>
  <c r="M122" i="2"/>
  <c r="M75" i="9" s="1"/>
  <c r="M76" i="9" s="1"/>
  <c r="L363" i="9"/>
  <c r="L364" i="9" s="1"/>
  <c r="L95" i="2"/>
  <c r="M116" i="2"/>
  <c r="M51" i="9" s="1"/>
  <c r="M52" i="9" s="1"/>
  <c r="L89" i="2"/>
  <c r="L339" i="9"/>
  <c r="L340" i="9" s="1"/>
  <c r="W351" i="9"/>
  <c r="W352" i="9" s="1"/>
  <c r="W92" i="2"/>
  <c r="T88" i="2"/>
  <c r="T335" i="9"/>
  <c r="T336" i="9" s="1"/>
  <c r="AC95" i="2"/>
  <c r="AC363" i="9"/>
  <c r="AC364" i="9" s="1"/>
  <c r="AB419" i="9"/>
  <c r="AB420" i="9" s="1"/>
  <c r="AB211" i="2"/>
  <c r="S419" i="9"/>
  <c r="S420" i="9" s="1"/>
  <c r="S211" i="2"/>
  <c r="N239" i="2"/>
  <c r="N135" i="9" s="1"/>
  <c r="N136" i="9" s="1"/>
  <c r="O439" i="9"/>
  <c r="O440" i="9" s="1"/>
  <c r="O269" i="2"/>
  <c r="AD269" i="2"/>
  <c r="AD439" i="9"/>
  <c r="AD440" i="9" s="1"/>
  <c r="U375" i="9"/>
  <c r="U376" i="9" s="1"/>
  <c r="F376" i="9" s="1"/>
  <c r="U149" i="2"/>
  <c r="AA519" i="9"/>
  <c r="AA520" i="9" s="1"/>
  <c r="AA391" i="2"/>
  <c r="L450" i="2"/>
  <c r="M477" i="2"/>
  <c r="L551" i="9"/>
  <c r="L552" i="9" s="1"/>
  <c r="F552" i="9" s="1"/>
  <c r="W212" i="2"/>
  <c r="W423" i="9"/>
  <c r="W424" i="9" s="1"/>
  <c r="O276" i="2"/>
  <c r="O467" i="9"/>
  <c r="O468" i="9" s="1"/>
  <c r="Z153" i="2"/>
  <c r="Z391" i="9"/>
  <c r="Z392" i="9" s="1"/>
  <c r="O543" i="9"/>
  <c r="O544" i="9" s="1"/>
  <c r="F544" i="9" s="1"/>
  <c r="O397" i="2"/>
  <c r="O424" i="2" s="1"/>
  <c r="O255" i="9" s="1"/>
  <c r="O256" i="9" s="1"/>
  <c r="R419" i="9"/>
  <c r="R420" i="9" s="1"/>
  <c r="F420" i="9" s="1"/>
  <c r="R211" i="2"/>
  <c r="U269" i="2"/>
  <c r="U439" i="9"/>
  <c r="U440" i="9" s="1"/>
  <c r="T148" i="2"/>
  <c r="T371" i="9"/>
  <c r="T372" i="9" s="1"/>
  <c r="AE92" i="2"/>
  <c r="AE351" i="9"/>
  <c r="AE352" i="9" s="1"/>
  <c r="AE273" i="2"/>
  <c r="AE455" i="9"/>
  <c r="AE456" i="9" s="1"/>
  <c r="AB27" i="2"/>
  <c r="AB295" i="9"/>
  <c r="AB296" i="9" s="1"/>
  <c r="L331" i="2"/>
  <c r="M358" i="2"/>
  <c r="L483" i="9"/>
  <c r="L484" i="9" s="1"/>
  <c r="F484" i="9" s="1"/>
  <c r="M357" i="2"/>
  <c r="M191" i="9" s="1"/>
  <c r="M192" i="9" s="1"/>
  <c r="T447" i="9"/>
  <c r="T448" i="9" s="1"/>
  <c r="T271" i="2"/>
  <c r="K503" i="9"/>
  <c r="K336" i="2"/>
  <c r="AD451" i="9"/>
  <c r="AD452" i="9" s="1"/>
  <c r="AD272" i="2"/>
  <c r="AB92" i="2"/>
  <c r="AB351" i="9"/>
  <c r="AB352" i="9" s="1"/>
  <c r="M423" i="2"/>
  <c r="M251" i="9" s="1"/>
  <c r="M252" i="9" s="1"/>
  <c r="X94" i="2"/>
  <c r="X359" i="9"/>
  <c r="X360" i="9" s="1"/>
  <c r="Y27" i="2"/>
  <c r="Y295" i="9"/>
  <c r="Y296" i="9" s="1"/>
  <c r="L453" i="2"/>
  <c r="M480" i="2" s="1"/>
  <c r="L563" i="9"/>
  <c r="L564" i="9" s="1"/>
  <c r="F564" i="9" s="1"/>
  <c r="AE89" i="2"/>
  <c r="AE339" i="9"/>
  <c r="AE340" i="9" s="1"/>
  <c r="AB327" i="9"/>
  <c r="AB328" i="9" s="1"/>
  <c r="AB35" i="2"/>
  <c r="U28" i="2"/>
  <c r="U299" i="9"/>
  <c r="U300" i="9" s="1"/>
  <c r="O87" i="2"/>
  <c r="O331" i="9"/>
  <c r="O332" i="9" s="1"/>
  <c r="AB88" i="2"/>
  <c r="AB335" i="9"/>
  <c r="AB336" i="9" s="1"/>
  <c r="M32" i="2"/>
  <c r="M59" i="2" s="1"/>
  <c r="M315" i="9"/>
  <c r="M316" i="9" s="1"/>
  <c r="Z89" i="2"/>
  <c r="Z339" i="9"/>
  <c r="Z340" i="9" s="1"/>
  <c r="U94" i="2"/>
  <c r="U359" i="9"/>
  <c r="U360" i="9" s="1"/>
  <c r="R150" i="2"/>
  <c r="R379" i="9"/>
  <c r="R380" i="9" s="1"/>
  <c r="T92" i="2"/>
  <c r="T351" i="9"/>
  <c r="T352" i="9" s="1"/>
  <c r="AE91" i="2"/>
  <c r="AE347" i="9"/>
  <c r="AE348" i="9" s="1"/>
  <c r="V419" i="9"/>
  <c r="V420" i="9" s="1"/>
  <c r="V211" i="2"/>
  <c r="Q511" i="9"/>
  <c r="Q512" i="9" s="1"/>
  <c r="Q389" i="2"/>
  <c r="X274" i="2"/>
  <c r="X459" i="9"/>
  <c r="X460" i="9" s="1"/>
  <c r="M298" i="2"/>
  <c r="L447" i="9"/>
  <c r="L448" i="9" s="1"/>
  <c r="L271" i="2"/>
  <c r="R427" i="9"/>
  <c r="R428" i="9" s="1"/>
  <c r="F428" i="9" s="1"/>
  <c r="R213" i="2"/>
  <c r="K519" i="9"/>
  <c r="K391" i="2"/>
  <c r="P527" i="9"/>
  <c r="P528" i="9" s="1"/>
  <c r="P393" i="2"/>
  <c r="T155" i="2"/>
  <c r="T399" i="9"/>
  <c r="T400" i="9" s="1"/>
  <c r="AC543" i="9"/>
  <c r="AC544" i="9" s="1"/>
  <c r="AC397" i="2"/>
  <c r="V273" i="2"/>
  <c r="V455" i="9"/>
  <c r="V456" i="9" s="1"/>
  <c r="AC531" i="9"/>
  <c r="AC532" i="9" s="1"/>
  <c r="AC394" i="2"/>
  <c r="T152" i="2"/>
  <c r="T387" i="9"/>
  <c r="T388" i="9" s="1"/>
  <c r="R215" i="2"/>
  <c r="R435" i="9"/>
  <c r="R436" i="9" s="1"/>
  <c r="Z276" i="2"/>
  <c r="Z467" i="9"/>
  <c r="Z468" i="9" s="1"/>
  <c r="AE94" i="2"/>
  <c r="AE359" i="9"/>
  <c r="AE360" i="9" s="1"/>
  <c r="P237" i="2"/>
  <c r="AB31" i="2"/>
  <c r="AB311" i="9"/>
  <c r="AB312" i="9" s="1"/>
  <c r="T463" i="9"/>
  <c r="T464" i="9" s="1"/>
  <c r="T275" i="2"/>
  <c r="M93" i="2"/>
  <c r="M355" i="9"/>
  <c r="M356" i="9" s="1"/>
  <c r="AC389" i="2"/>
  <c r="AC511" i="9"/>
  <c r="AC512" i="9" s="1"/>
  <c r="AB93" i="2"/>
  <c r="AB355" i="9"/>
  <c r="AB356" i="9" s="1"/>
  <c r="T443" i="9"/>
  <c r="T444" i="9" s="1"/>
  <c r="T270" i="2"/>
  <c r="K392" i="2"/>
  <c r="K523" i="9"/>
  <c r="F508" i="9"/>
  <c r="O181" i="2"/>
  <c r="O107" i="9" s="1"/>
  <c r="O108" i="9" s="1"/>
  <c r="T395" i="9"/>
  <c r="T396" i="9" s="1"/>
  <c r="T154" i="2"/>
  <c r="W539" i="9"/>
  <c r="W540" i="9" s="1"/>
  <c r="W396" i="2"/>
  <c r="Y94" i="2"/>
  <c r="Y359" i="9"/>
  <c r="Y360" i="9" s="1"/>
  <c r="U397" i="2"/>
  <c r="U543" i="9"/>
  <c r="U544" i="9" s="1"/>
  <c r="K332" i="2"/>
  <c r="K487" i="9"/>
  <c r="M259" i="9"/>
  <c r="M260" i="9" s="1"/>
  <c r="W415" i="9"/>
  <c r="W416" i="9" s="1"/>
  <c r="W210" i="2"/>
  <c r="T151" i="2"/>
  <c r="T383" i="9"/>
  <c r="T384" i="9" s="1"/>
  <c r="M301" i="2"/>
  <c r="L459" i="9"/>
  <c r="L460" i="9" s="1"/>
  <c r="F460" i="9" s="1"/>
  <c r="L274" i="2"/>
  <c r="R208" i="2"/>
  <c r="R407" i="9"/>
  <c r="R408" i="9" s="1"/>
  <c r="Q297" i="2"/>
  <c r="Q155" i="9" s="1"/>
  <c r="Q156" i="9" s="1"/>
  <c r="O523" i="9"/>
  <c r="O524" i="9" s="1"/>
  <c r="F524" i="9" s="1"/>
  <c r="O392" i="2"/>
  <c r="O419" i="2" s="1"/>
  <c r="AA269" i="2"/>
  <c r="AA439" i="9"/>
  <c r="AA440" i="9" s="1"/>
  <c r="AE343" i="9"/>
  <c r="AE344" i="9" s="1"/>
  <c r="AE90" i="2"/>
  <c r="AB28" i="2"/>
  <c r="AB299" i="9"/>
  <c r="AB300" i="9" s="1"/>
  <c r="AD459" i="9"/>
  <c r="AD460" i="9" s="1"/>
  <c r="AD274" i="2"/>
  <c r="AD515" i="9"/>
  <c r="AD516" i="9" s="1"/>
  <c r="AD390" i="2"/>
  <c r="M95" i="2"/>
  <c r="M363" i="9"/>
  <c r="M364" i="9" s="1"/>
  <c r="AC535" i="9"/>
  <c r="AC536" i="9" s="1"/>
  <c r="AC395" i="2"/>
  <c r="AB89" i="2"/>
  <c r="AB339" i="9"/>
  <c r="AB340" i="9" s="1"/>
  <c r="Q272" i="2"/>
  <c r="Q451" i="9"/>
  <c r="Q452" i="9" s="1"/>
  <c r="F452" i="9" s="1"/>
  <c r="X299" i="9"/>
  <c r="X300" i="9" s="1"/>
  <c r="X28" i="2"/>
  <c r="F404" i="9"/>
  <c r="O343" i="9"/>
  <c r="O344" i="9" s="1"/>
  <c r="F344" i="9" s="1"/>
  <c r="O90" i="2"/>
  <c r="AC339" i="9"/>
  <c r="AC340" i="9" s="1"/>
  <c r="AC89" i="2"/>
  <c r="AB90" i="2"/>
  <c r="AB343" i="9"/>
  <c r="AB344" i="9" s="1"/>
  <c r="W431" i="9"/>
  <c r="W432" i="9" s="1"/>
  <c r="W214" i="2"/>
  <c r="Q539" i="9"/>
  <c r="Q540" i="9" s="1"/>
  <c r="Q396" i="2"/>
  <c r="V439" i="9"/>
  <c r="V440" i="9" s="1"/>
  <c r="V269" i="2"/>
  <c r="AE459" i="9"/>
  <c r="AE460" i="9" s="1"/>
  <c r="AE274" i="2"/>
  <c r="M303" i="2"/>
  <c r="M179" i="9" s="1"/>
  <c r="M180" i="9" s="1"/>
  <c r="L276" i="2"/>
  <c r="L467" i="9"/>
  <c r="L468" i="9" s="1"/>
  <c r="AA443" i="9"/>
  <c r="AA444" i="9" s="1"/>
  <c r="AA270" i="2"/>
  <c r="T147" i="2"/>
  <c r="T367" i="9"/>
  <c r="T368" i="9" s="1"/>
  <c r="O394" i="2"/>
  <c r="O531" i="9"/>
  <c r="O532" i="9" s="1"/>
  <c r="O360" i="2"/>
  <c r="T153" i="2"/>
  <c r="T391" i="9"/>
  <c r="T392" i="9" s="1"/>
  <c r="L269" i="2"/>
  <c r="M296" i="2" s="1"/>
  <c r="L439" i="9"/>
  <c r="L440" i="9" s="1"/>
  <c r="Z463" i="9"/>
  <c r="Z464" i="9" s="1"/>
  <c r="Z275" i="2"/>
  <c r="K479" i="9"/>
  <c r="K330" i="2"/>
  <c r="O481" i="2"/>
  <c r="O279" i="9" s="1"/>
  <c r="O280" i="9" s="1"/>
  <c r="AE270" i="2"/>
  <c r="AE443" i="9"/>
  <c r="AE444" i="9" s="1"/>
  <c r="Y335" i="2"/>
  <c r="Y499" i="9"/>
  <c r="Y500" i="9" s="1"/>
  <c r="P519" i="9"/>
  <c r="P520" i="9" s="1"/>
  <c r="F520" i="9" s="1"/>
  <c r="P391" i="2"/>
  <c r="AA273" i="2"/>
  <c r="AA455" i="9"/>
  <c r="AA456" i="9" s="1"/>
  <c r="F456" i="9" s="1"/>
  <c r="AB33" i="2"/>
  <c r="AB319" i="9"/>
  <c r="AB320" i="9" s="1"/>
  <c r="AD471" i="9"/>
  <c r="AD472" i="9" s="1"/>
  <c r="AD277" i="2"/>
  <c r="V467" i="9"/>
  <c r="V468" i="9" s="1"/>
  <c r="V276" i="2"/>
  <c r="AD535" i="9"/>
  <c r="AD536" i="9" s="1"/>
  <c r="AD395" i="2"/>
  <c r="M92" i="2"/>
  <c r="M351" i="9"/>
  <c r="M352" i="9" s="1"/>
  <c r="AC393" i="2"/>
  <c r="AC527" i="9"/>
  <c r="AC528" i="9" s="1"/>
  <c r="T459" i="9"/>
  <c r="T460" i="9" s="1"/>
  <c r="T274" i="2"/>
  <c r="F580" i="9"/>
  <c r="F496" i="9"/>
  <c r="AD273" i="2"/>
  <c r="AD455" i="9"/>
  <c r="AD456" i="9" s="1"/>
  <c r="AA29" i="2"/>
  <c r="AA303" i="9"/>
  <c r="AA304" i="9" s="1"/>
  <c r="Z88" i="2"/>
  <c r="Z335" i="9"/>
  <c r="Z336" i="9" s="1"/>
  <c r="V87" i="2"/>
  <c r="V331" i="9"/>
  <c r="V332" i="9" s="1"/>
  <c r="AC88" i="2"/>
  <c r="AC335" i="9"/>
  <c r="AC336" i="9" s="1"/>
  <c r="Q395" i="2"/>
  <c r="Q535" i="9"/>
  <c r="Q536" i="9" s="1"/>
  <c r="AB363" i="9"/>
  <c r="AB364" i="9" s="1"/>
  <c r="AB95" i="2"/>
  <c r="O471" i="9"/>
  <c r="O472" i="9" s="1"/>
  <c r="F472" i="9" s="1"/>
  <c r="O277" i="2"/>
  <c r="R155" i="2"/>
  <c r="R399" i="9"/>
  <c r="R400" i="9" s="1"/>
  <c r="AE394" i="2"/>
  <c r="AE531" i="9"/>
  <c r="AE532" i="9" s="1"/>
  <c r="U339" i="9"/>
  <c r="U340" i="9" s="1"/>
  <c r="U89" i="2"/>
  <c r="T28" i="2"/>
  <c r="T299" i="9"/>
  <c r="T300" i="9" s="1"/>
  <c r="P88" i="2"/>
  <c r="P335" i="9"/>
  <c r="P336" i="9" s="1"/>
  <c r="V88" i="2"/>
  <c r="V335" i="9"/>
  <c r="V336" i="9" s="1"/>
  <c r="AA27" i="2"/>
  <c r="AA295" i="9"/>
  <c r="AA296" i="9" s="1"/>
  <c r="P355" i="9"/>
  <c r="P356" i="9" s="1"/>
  <c r="P93" i="2"/>
  <c r="V92" i="2"/>
  <c r="V351" i="9"/>
  <c r="V352" i="9" s="1"/>
  <c r="AB403" i="9"/>
  <c r="AB404" i="9" s="1"/>
  <c r="AB207" i="2"/>
  <c r="M31" i="2"/>
  <c r="N58" i="2" s="1"/>
  <c r="M311" i="9"/>
  <c r="M312" i="9" s="1"/>
  <c r="Z150" i="2"/>
  <c r="Z379" i="9"/>
  <c r="Z380" i="9" s="1"/>
  <c r="O94" i="2"/>
  <c r="O359" i="9"/>
  <c r="O360" i="9" s="1"/>
  <c r="R443" i="9"/>
  <c r="R444" i="9" s="1"/>
  <c r="F444" i="9" s="1"/>
  <c r="R270" i="2"/>
  <c r="Q519" i="9"/>
  <c r="Q520" i="9" s="1"/>
  <c r="Q391" i="2"/>
  <c r="R151" i="2"/>
  <c r="R383" i="9"/>
  <c r="R384" i="9" s="1"/>
  <c r="F384" i="9" s="1"/>
  <c r="L499" i="9"/>
  <c r="L500" i="9" s="1"/>
  <c r="F500" i="9" s="1"/>
  <c r="L335" i="2"/>
  <c r="M362" i="2" s="1"/>
  <c r="M531" i="9"/>
  <c r="M532" i="9" s="1"/>
  <c r="M394" i="2"/>
  <c r="M421" i="2" s="1"/>
  <c r="M519" i="9"/>
  <c r="M520" i="9" s="1"/>
  <c r="M391" i="2"/>
  <c r="M418" i="2" s="1"/>
  <c r="W276" i="2"/>
  <c r="W467" i="9"/>
  <c r="W468" i="9" s="1"/>
  <c r="M91" i="2"/>
  <c r="M118" i="2" s="1"/>
  <c r="M347" i="9"/>
  <c r="M348" i="9" s="1"/>
  <c r="M363" i="2"/>
  <c r="L503" i="9"/>
  <c r="L504" i="9" s="1"/>
  <c r="F504" i="9" s="1"/>
  <c r="L336" i="2"/>
  <c r="O390" i="2"/>
  <c r="O417" i="2" s="1"/>
  <c r="O515" i="9"/>
  <c r="O516" i="9" s="1"/>
  <c r="F572" i="9"/>
  <c r="N23" i="9" l="1"/>
  <c r="N24" i="9" s="1"/>
  <c r="O58" i="2"/>
  <c r="M305" i="2"/>
  <c r="M151" i="9"/>
  <c r="M152" i="9" s="1"/>
  <c r="N296" i="2"/>
  <c r="M15" i="9"/>
  <c r="M16" i="9" s="1"/>
  <c r="N56" i="2"/>
  <c r="M27" i="9"/>
  <c r="M28" i="9" s="1"/>
  <c r="N59" i="2"/>
  <c r="O235" i="9"/>
  <c r="O236" i="9" s="1"/>
  <c r="P419" i="2"/>
  <c r="O227" i="9"/>
  <c r="O228" i="9" s="1"/>
  <c r="P417" i="2"/>
  <c r="M231" i="9"/>
  <c r="M232" i="9" s="1"/>
  <c r="N418" i="2"/>
  <c r="N231" i="9" s="1"/>
  <c r="N232" i="9" s="1"/>
  <c r="N31" i="9"/>
  <c r="N32" i="9" s="1"/>
  <c r="O60" i="2"/>
  <c r="M243" i="9"/>
  <c r="M244" i="9" s="1"/>
  <c r="N421" i="2"/>
  <c r="N243" i="9" s="1"/>
  <c r="N244" i="9" s="1"/>
  <c r="P418" i="2"/>
  <c r="P231" i="9" s="1"/>
  <c r="P232" i="9" s="1"/>
  <c r="M275" i="9"/>
  <c r="M276" i="9" s="1"/>
  <c r="N480" i="2"/>
  <c r="M211" i="9"/>
  <c r="M212" i="9" s="1"/>
  <c r="N362" i="2"/>
  <c r="O418" i="2"/>
  <c r="O231" i="9" s="1"/>
  <c r="O232" i="9" s="1"/>
  <c r="M59" i="9"/>
  <c r="M60" i="9" s="1"/>
  <c r="N118" i="2"/>
  <c r="N59" i="9" s="1"/>
  <c r="N60" i="9" s="1"/>
  <c r="O117" i="2"/>
  <c r="O55" i="9" s="1"/>
  <c r="O56" i="9" s="1"/>
  <c r="N120" i="2"/>
  <c r="M63" i="9"/>
  <c r="M64" i="9" s="1"/>
  <c r="N119" i="2"/>
  <c r="N63" i="9" s="1"/>
  <c r="N64" i="9" s="1"/>
  <c r="M485" i="2"/>
  <c r="M39" i="9"/>
  <c r="M40" i="9" s="1"/>
  <c r="N62" i="2"/>
  <c r="M123" i="2"/>
  <c r="M43" i="9"/>
  <c r="M44" i="9" s="1"/>
  <c r="N114" i="2"/>
  <c r="M425" i="2"/>
  <c r="M223" i="9"/>
  <c r="M224" i="9" s="1"/>
  <c r="P479" i="2"/>
  <c r="F356" i="9"/>
  <c r="N117" i="2"/>
  <c r="N55" i="9" s="1"/>
  <c r="N56" i="9" s="1"/>
  <c r="F304" i="9"/>
  <c r="O478" i="2"/>
  <c r="O422" i="2"/>
  <c r="F440" i="9"/>
  <c r="F328" i="9"/>
  <c r="N7" i="9"/>
  <c r="N8" i="9" s="1"/>
  <c r="N115" i="2"/>
  <c r="N287" i="9"/>
  <c r="N288" i="9" s="1"/>
  <c r="O483" i="2"/>
  <c r="F300" i="9"/>
  <c r="O103" i="9"/>
  <c r="O104" i="9" s="1"/>
  <c r="P180" i="2"/>
  <c r="N243" i="2"/>
  <c r="N115" i="9"/>
  <c r="N116" i="9" s="1"/>
  <c r="O234" i="2"/>
  <c r="Q181" i="2"/>
  <c r="F320" i="9"/>
  <c r="P187" i="9"/>
  <c r="P188" i="9" s="1"/>
  <c r="Q356" i="2"/>
  <c r="O187" i="9"/>
  <c r="O188" i="9" s="1"/>
  <c r="F348" i="9"/>
  <c r="O219" i="9"/>
  <c r="O220" i="9" s="1"/>
  <c r="P364" i="2"/>
  <c r="O259" i="9"/>
  <c r="O260" i="9" s="1"/>
  <c r="P476" i="2"/>
  <c r="N183" i="2"/>
  <c r="N79" i="9"/>
  <c r="N80" i="9" s="1"/>
  <c r="O174" i="2"/>
  <c r="Q61" i="2"/>
  <c r="O175" i="2"/>
  <c r="O421" i="2"/>
  <c r="O243" i="9" s="1"/>
  <c r="O244" i="9" s="1"/>
  <c r="O423" i="2"/>
  <c r="M243" i="2"/>
  <c r="N420" i="2"/>
  <c r="N239" i="9" s="1"/>
  <c r="N240" i="9" s="1"/>
  <c r="N57" i="2"/>
  <c r="M195" i="9"/>
  <c r="M196" i="9" s="1"/>
  <c r="N358" i="2"/>
  <c r="F408" i="9"/>
  <c r="N121" i="2"/>
  <c r="N71" i="9" s="1"/>
  <c r="N72" i="9" s="1"/>
  <c r="P481" i="2"/>
  <c r="F296" i="9"/>
  <c r="F332" i="9"/>
  <c r="R179" i="2"/>
  <c r="N55" i="2"/>
  <c r="O119" i="2"/>
  <c r="O63" i="9" s="1"/>
  <c r="O64" i="9" s="1"/>
  <c r="Q418" i="2"/>
  <c r="F400" i="9"/>
  <c r="F468" i="9"/>
  <c r="F316" i="9"/>
  <c r="F488" i="9"/>
  <c r="F360" i="9"/>
  <c r="F388" i="9"/>
  <c r="F432" i="9"/>
  <c r="N91" i="9"/>
  <c r="N92" i="9" s="1"/>
  <c r="O177" i="2"/>
  <c r="N303" i="2"/>
  <c r="O304" i="2"/>
  <c r="O183" i="9" s="1"/>
  <c r="O184" i="9" s="1"/>
  <c r="N95" i="9"/>
  <c r="N96" i="9" s="1"/>
  <c r="O178" i="2"/>
  <c r="P302" i="2"/>
  <c r="F312" i="9"/>
  <c r="O54" i="2"/>
  <c r="O203" i="9"/>
  <c r="O204" i="9" s="1"/>
  <c r="P360" i="2"/>
  <c r="F448" i="9"/>
  <c r="F340" i="9"/>
  <c r="M63" i="2"/>
  <c r="M7" i="9"/>
  <c r="M8" i="9" s="1"/>
  <c r="P139" i="9"/>
  <c r="P140" i="9" s="1"/>
  <c r="Q240" i="2"/>
  <c r="Q139" i="9" s="1"/>
  <c r="Q140" i="9" s="1"/>
  <c r="F532" i="9"/>
  <c r="O182" i="2"/>
  <c r="M365" i="2"/>
  <c r="P176" i="2"/>
  <c r="N238" i="2"/>
  <c r="M263" i="9"/>
  <c r="M264" i="9" s="1"/>
  <c r="N477" i="2"/>
  <c r="P424" i="2"/>
  <c r="O143" i="9"/>
  <c r="O144" i="9" s="1"/>
  <c r="P241" i="2"/>
  <c r="R297" i="2"/>
  <c r="N122" i="2"/>
  <c r="N75" i="9" s="1"/>
  <c r="N76" i="9" s="1"/>
  <c r="P127" i="9"/>
  <c r="P128" i="9" s="1"/>
  <c r="Q237" i="2"/>
  <c r="M159" i="9"/>
  <c r="M160" i="9" s="1"/>
  <c r="N298" i="2"/>
  <c r="N159" i="9" s="1"/>
  <c r="N160" i="9" s="1"/>
  <c r="M199" i="9"/>
  <c r="M200" i="9" s="1"/>
  <c r="N359" i="2"/>
  <c r="N416" i="2"/>
  <c r="F536" i="9"/>
  <c r="Q361" i="2"/>
  <c r="O482" i="2"/>
  <c r="N123" i="9"/>
  <c r="N124" i="9" s="1"/>
  <c r="O236" i="2"/>
  <c r="P291" i="9"/>
  <c r="P292" i="9" s="1"/>
  <c r="Q484" i="2"/>
  <c r="F352" i="9"/>
  <c r="P147" i="9"/>
  <c r="P148" i="9" s="1"/>
  <c r="Q242" i="2"/>
  <c r="N116" i="2"/>
  <c r="N51" i="9" s="1"/>
  <c r="N52" i="9" s="1"/>
  <c r="F416" i="9"/>
  <c r="M215" i="9"/>
  <c r="M216" i="9" s="1"/>
  <c r="N363" i="2"/>
  <c r="Q299" i="2"/>
  <c r="M171" i="9"/>
  <c r="M172" i="9" s="1"/>
  <c r="N301" i="2"/>
  <c r="N171" i="9" s="1"/>
  <c r="N172" i="9" s="1"/>
  <c r="P299" i="2"/>
  <c r="P163" i="9" s="1"/>
  <c r="P164" i="9" s="1"/>
  <c r="N167" i="9"/>
  <c r="N168" i="9" s="1"/>
  <c r="O300" i="2"/>
  <c r="F380" i="9"/>
  <c r="F364" i="9"/>
  <c r="N119" i="9"/>
  <c r="N120" i="9" s="1"/>
  <c r="O235" i="2"/>
  <c r="F512" i="9"/>
  <c r="N357" i="2"/>
  <c r="O239" i="2"/>
  <c r="Q107" i="9" l="1"/>
  <c r="Q108" i="9" s="1"/>
  <c r="R181" i="2"/>
  <c r="N215" i="9"/>
  <c r="N216" i="9" s="1"/>
  <c r="O363" i="2"/>
  <c r="P255" i="9"/>
  <c r="P256" i="9" s="1"/>
  <c r="Q424" i="2"/>
  <c r="O91" i="9"/>
  <c r="O92" i="9" s="1"/>
  <c r="P177" i="2"/>
  <c r="O83" i="9"/>
  <c r="O84" i="9" s="1"/>
  <c r="P175" i="2"/>
  <c r="O123" i="9"/>
  <c r="O124" i="9" s="1"/>
  <c r="P236" i="2"/>
  <c r="O267" i="9"/>
  <c r="O268" i="9" s="1"/>
  <c r="P478" i="2"/>
  <c r="N131" i="9"/>
  <c r="N132" i="9" s="1"/>
  <c r="O238" i="2"/>
  <c r="P117" i="2"/>
  <c r="Q187" i="9"/>
  <c r="Q188" i="9" s="1"/>
  <c r="R356" i="2"/>
  <c r="O31" i="9"/>
  <c r="O32" i="9" s="1"/>
  <c r="P60" i="2"/>
  <c r="N305" i="2"/>
  <c r="N151" i="9"/>
  <c r="N152" i="9" s="1"/>
  <c r="O296" i="2"/>
  <c r="N195" i="9"/>
  <c r="N196" i="9" s="1"/>
  <c r="O358" i="2"/>
  <c r="D4" i="9"/>
  <c r="P259" i="9"/>
  <c r="P260" i="9" s="1"/>
  <c r="Q476" i="2"/>
  <c r="Q163" i="9"/>
  <c r="Q164" i="9" s="1"/>
  <c r="R299" i="2"/>
  <c r="O287" i="9"/>
  <c r="O288" i="9" s="1"/>
  <c r="P483" i="2"/>
  <c r="N123" i="2"/>
  <c r="N43" i="9"/>
  <c r="N44" i="9" s="1"/>
  <c r="Q147" i="9"/>
  <c r="Q148" i="9" s="1"/>
  <c r="R242" i="2"/>
  <c r="O283" i="9"/>
  <c r="O284" i="9" s="1"/>
  <c r="P482" i="2"/>
  <c r="R155" i="9"/>
  <c r="R156" i="9" s="1"/>
  <c r="S297" i="2"/>
  <c r="P87" i="9"/>
  <c r="P88" i="9" s="1"/>
  <c r="Q176" i="2"/>
  <c r="P203" i="9"/>
  <c r="P204" i="9" s="1"/>
  <c r="Q360" i="2"/>
  <c r="N15" i="9"/>
  <c r="N16" i="9" s="1"/>
  <c r="O56" i="2"/>
  <c r="N263" i="9"/>
  <c r="N264" i="9" s="1"/>
  <c r="O477" i="2"/>
  <c r="N485" i="2"/>
  <c r="Q35" i="9"/>
  <c r="Q36" i="9" s="1"/>
  <c r="R61" i="2"/>
  <c r="Q127" i="9"/>
  <c r="Q128" i="9" s="1"/>
  <c r="R237" i="2"/>
  <c r="O7" i="9"/>
  <c r="O8" i="9" s="1"/>
  <c r="P54" i="2"/>
  <c r="O167" i="9"/>
  <c r="O168" i="9" s="1"/>
  <c r="P300" i="2"/>
  <c r="O247" i="9"/>
  <c r="O248" i="9" s="1"/>
  <c r="P422" i="2"/>
  <c r="P175" i="9"/>
  <c r="P176" i="9" s="1"/>
  <c r="Q302" i="2"/>
  <c r="O119" i="9"/>
  <c r="O120" i="9" s="1"/>
  <c r="P235" i="2"/>
  <c r="Q207" i="9"/>
  <c r="Q208" i="9" s="1"/>
  <c r="R361" i="2"/>
  <c r="P143" i="9"/>
  <c r="P144" i="9" s="1"/>
  <c r="Q241" i="2"/>
  <c r="O111" i="9"/>
  <c r="O112" i="9" s="1"/>
  <c r="P182" i="2"/>
  <c r="P219" i="9"/>
  <c r="P220" i="9" s="1"/>
  <c r="Q364" i="2"/>
  <c r="P103" i="9"/>
  <c r="P104" i="9" s="1"/>
  <c r="Q180" i="2"/>
  <c r="O118" i="2"/>
  <c r="R240" i="2"/>
  <c r="P235" i="9"/>
  <c r="P236" i="9" s="1"/>
  <c r="Q419" i="2"/>
  <c r="O23" i="9"/>
  <c r="O24" i="9" s="1"/>
  <c r="P58" i="2"/>
  <c r="O95" i="9"/>
  <c r="O96" i="9" s="1"/>
  <c r="P178" i="2"/>
  <c r="P279" i="9"/>
  <c r="P280" i="9" s="1"/>
  <c r="Q481" i="2"/>
  <c r="O122" i="2"/>
  <c r="O420" i="2"/>
  <c r="P227" i="9"/>
  <c r="P228" i="9" s="1"/>
  <c r="Q417" i="2"/>
  <c r="P421" i="2"/>
  <c r="N179" i="9"/>
  <c r="N180" i="9" s="1"/>
  <c r="O303" i="2"/>
  <c r="N47" i="9"/>
  <c r="N48" i="9" s="1"/>
  <c r="O115" i="2"/>
  <c r="N191" i="9"/>
  <c r="N192" i="9" s="1"/>
  <c r="N365" i="2"/>
  <c r="O357" i="2"/>
  <c r="N19" i="9"/>
  <c r="N20" i="9" s="1"/>
  <c r="O57" i="2"/>
  <c r="O298" i="2"/>
  <c r="O116" i="2"/>
  <c r="N11" i="9"/>
  <c r="N12" i="9" s="1"/>
  <c r="O55" i="2"/>
  <c r="N63" i="2"/>
  <c r="O121" i="2"/>
  <c r="P271" i="9"/>
  <c r="P272" i="9" s="1"/>
  <c r="Q479" i="2"/>
  <c r="N39" i="9"/>
  <c r="N40" i="9" s="1"/>
  <c r="O62" i="2"/>
  <c r="P304" i="2"/>
  <c r="N275" i="9"/>
  <c r="N276" i="9" s="1"/>
  <c r="O480" i="2"/>
  <c r="O114" i="2"/>
  <c r="Q231" i="9"/>
  <c r="Q232" i="9" s="1"/>
  <c r="R418" i="2"/>
  <c r="O243" i="2"/>
  <c r="O115" i="9"/>
  <c r="O116" i="9" s="1"/>
  <c r="P234" i="2"/>
  <c r="N425" i="2"/>
  <c r="N223" i="9"/>
  <c r="N224" i="9" s="1"/>
  <c r="O416" i="2"/>
  <c r="N67" i="9"/>
  <c r="N68" i="9" s="1"/>
  <c r="O120" i="2"/>
  <c r="N211" i="9"/>
  <c r="N212" i="9" s="1"/>
  <c r="O362" i="2"/>
  <c r="N27" i="9"/>
  <c r="N28" i="9" s="1"/>
  <c r="O59" i="2"/>
  <c r="O135" i="9"/>
  <c r="O136" i="9" s="1"/>
  <c r="P239" i="2"/>
  <c r="O183" i="2"/>
  <c r="O79" i="9"/>
  <c r="O80" i="9" s="1"/>
  <c r="P174" i="2"/>
  <c r="Q291" i="9"/>
  <c r="Q292" i="9" s="1"/>
  <c r="R484" i="2"/>
  <c r="R99" i="9"/>
  <c r="R100" i="9" s="1"/>
  <c r="S179" i="2"/>
  <c r="N199" i="9"/>
  <c r="N200" i="9" s="1"/>
  <c r="O359" i="2"/>
  <c r="P119" i="2"/>
  <c r="O251" i="9"/>
  <c r="O252" i="9" s="1"/>
  <c r="P423" i="2"/>
  <c r="O301" i="2"/>
  <c r="P183" i="9" l="1"/>
  <c r="P184" i="9" s="1"/>
  <c r="Q304" i="2"/>
  <c r="O191" i="9"/>
  <c r="O192" i="9" s="1"/>
  <c r="P357" i="2"/>
  <c r="O365" i="2"/>
  <c r="Q279" i="9"/>
  <c r="Q280" i="9" s="1"/>
  <c r="R481" i="2"/>
  <c r="P111" i="9"/>
  <c r="P112" i="9" s="1"/>
  <c r="Q182" i="2"/>
  <c r="P247" i="9"/>
  <c r="P248" i="9" s="1"/>
  <c r="Q422" i="2"/>
  <c r="P267" i="9"/>
  <c r="P268" i="9" s="1"/>
  <c r="Q478" i="2"/>
  <c r="O15" i="9"/>
  <c r="O16" i="9" s="1"/>
  <c r="P56" i="2"/>
  <c r="P23" i="9"/>
  <c r="P24" i="9" s="1"/>
  <c r="Q58" i="2"/>
  <c r="R207" i="9"/>
  <c r="R208" i="9" s="1"/>
  <c r="S361" i="2"/>
  <c r="P167" i="9"/>
  <c r="P168" i="9" s="1"/>
  <c r="Q300" i="2"/>
  <c r="P287" i="9"/>
  <c r="P288" i="9" s="1"/>
  <c r="Q483" i="2"/>
  <c r="O67" i="9"/>
  <c r="O68" i="9" s="1"/>
  <c r="P120" i="2"/>
  <c r="P183" i="2"/>
  <c r="P79" i="9"/>
  <c r="P80" i="9" s="1"/>
  <c r="Q174" i="2"/>
  <c r="P123" i="9"/>
  <c r="P124" i="9" s="1"/>
  <c r="Q236" i="2"/>
  <c r="P83" i="9"/>
  <c r="P84" i="9" s="1"/>
  <c r="Q175" i="2"/>
  <c r="O305" i="2"/>
  <c r="O151" i="9"/>
  <c r="O152" i="9" s="1"/>
  <c r="P296" i="2"/>
  <c r="Q235" i="9"/>
  <c r="Q236" i="9" s="1"/>
  <c r="R419" i="2"/>
  <c r="Q235" i="2"/>
  <c r="P119" i="9"/>
  <c r="P120" i="9" s="1"/>
  <c r="R163" i="9"/>
  <c r="R164" i="9" s="1"/>
  <c r="S299" i="2"/>
  <c r="P31" i="9"/>
  <c r="P32" i="9" s="1"/>
  <c r="Q60" i="2"/>
  <c r="O263" i="9"/>
  <c r="O264" i="9" s="1"/>
  <c r="P477" i="2"/>
  <c r="O485" i="2"/>
  <c r="P251" i="9"/>
  <c r="P252" i="9" s="1"/>
  <c r="Q423" i="2"/>
  <c r="P243" i="2"/>
  <c r="P115" i="9"/>
  <c r="P116" i="9" s="1"/>
  <c r="Q234" i="2"/>
  <c r="O71" i="9"/>
  <c r="O72" i="9" s="1"/>
  <c r="P121" i="2"/>
  <c r="R231" i="9"/>
  <c r="R232" i="9" s="1"/>
  <c r="S418" i="2"/>
  <c r="O11" i="9"/>
  <c r="O12" i="9" s="1"/>
  <c r="P55" i="2"/>
  <c r="P243" i="9"/>
  <c r="P244" i="9" s="1"/>
  <c r="Q421" i="2"/>
  <c r="P7" i="9"/>
  <c r="P8" i="9" s="1"/>
  <c r="Q54" i="2"/>
  <c r="Q87" i="9"/>
  <c r="Q88" i="9" s="1"/>
  <c r="R176" i="2"/>
  <c r="O215" i="9"/>
  <c r="O216" i="9" s="1"/>
  <c r="P363" i="2"/>
  <c r="O195" i="9"/>
  <c r="O196" i="9" s="1"/>
  <c r="P358" i="2"/>
  <c r="O179" i="9"/>
  <c r="O180" i="9" s="1"/>
  <c r="P303" i="2"/>
  <c r="O27" i="9"/>
  <c r="O28" i="9" s="1"/>
  <c r="P59" i="2"/>
  <c r="Q227" i="9"/>
  <c r="Q228" i="9" s="1"/>
  <c r="R417" i="2"/>
  <c r="R139" i="9"/>
  <c r="R140" i="9" s="1"/>
  <c r="S240" i="2"/>
  <c r="Q175" i="9"/>
  <c r="Q176" i="9" s="1"/>
  <c r="R302" i="2"/>
  <c r="R187" i="9"/>
  <c r="R188" i="9" s="1"/>
  <c r="S356" i="2"/>
  <c r="P91" i="9"/>
  <c r="P92" i="9" s="1"/>
  <c r="Q177" i="2"/>
  <c r="R291" i="9"/>
  <c r="R292" i="9" s="1"/>
  <c r="S484" i="2"/>
  <c r="R147" i="9"/>
  <c r="R148" i="9" s="1"/>
  <c r="S242" i="2"/>
  <c r="O39" i="9"/>
  <c r="O40" i="9" s="1"/>
  <c r="P62" i="2"/>
  <c r="O47" i="9"/>
  <c r="O48" i="9" s="1"/>
  <c r="P115" i="2"/>
  <c r="P135" i="9"/>
  <c r="P136" i="9" s="1"/>
  <c r="Q239" i="2"/>
  <c r="Q203" i="9"/>
  <c r="Q204" i="9" s="1"/>
  <c r="R360" i="2"/>
  <c r="O63" i="2"/>
  <c r="S155" i="9"/>
  <c r="S156" i="9" s="1"/>
  <c r="T297" i="2"/>
  <c r="Q259" i="9"/>
  <c r="Q260" i="9" s="1"/>
  <c r="R476" i="2"/>
  <c r="O425" i="2"/>
  <c r="O223" i="9"/>
  <c r="O224" i="9" s="1"/>
  <c r="P416" i="2"/>
  <c r="R107" i="9"/>
  <c r="R108" i="9" s="1"/>
  <c r="S181" i="2"/>
  <c r="Q143" i="9"/>
  <c r="Q144" i="9" s="1"/>
  <c r="R241" i="2"/>
  <c r="Q271" i="9"/>
  <c r="Q272" i="9" s="1"/>
  <c r="R479" i="2"/>
  <c r="O199" i="9"/>
  <c r="O200" i="9" s="1"/>
  <c r="P359" i="2"/>
  <c r="O159" i="9"/>
  <c r="O160" i="9" s="1"/>
  <c r="P298" i="2"/>
  <c r="Q103" i="9"/>
  <c r="Q104" i="9" s="1"/>
  <c r="R180" i="2"/>
  <c r="R127" i="9"/>
  <c r="R128" i="9" s="1"/>
  <c r="S237" i="2"/>
  <c r="O171" i="9"/>
  <c r="O172" i="9" s="1"/>
  <c r="P301" i="2"/>
  <c r="P95" i="9"/>
  <c r="P96" i="9" s="1"/>
  <c r="Q178" i="2"/>
  <c r="P63" i="9"/>
  <c r="P64" i="9" s="1"/>
  <c r="Q119" i="2"/>
  <c r="O51" i="9"/>
  <c r="O52" i="9" s="1"/>
  <c r="P116" i="2"/>
  <c r="O59" i="9"/>
  <c r="O60" i="9" s="1"/>
  <c r="P118" i="2"/>
  <c r="O239" i="9"/>
  <c r="O240" i="9" s="1"/>
  <c r="P420" i="2"/>
  <c r="S99" i="9"/>
  <c r="S100" i="9" s="1"/>
  <c r="T179" i="2"/>
  <c r="O211" i="9"/>
  <c r="O212" i="9" s="1"/>
  <c r="P362" i="2"/>
  <c r="O123" i="2"/>
  <c r="O43" i="9"/>
  <c r="O44" i="9" s="1"/>
  <c r="P114" i="2"/>
  <c r="O75" i="9"/>
  <c r="O76" i="9" s="1"/>
  <c r="P122" i="2"/>
  <c r="P283" i="9"/>
  <c r="P284" i="9" s="1"/>
  <c r="Q482" i="2"/>
  <c r="P55" i="9"/>
  <c r="P56" i="9" s="1"/>
  <c r="Q117" i="2"/>
  <c r="Q255" i="9"/>
  <c r="Q256" i="9" s="1"/>
  <c r="R424" i="2"/>
  <c r="O275" i="9"/>
  <c r="O276" i="9" s="1"/>
  <c r="P480" i="2"/>
  <c r="O19" i="9"/>
  <c r="O20" i="9" s="1"/>
  <c r="P57" i="2"/>
  <c r="P63" i="2" s="1"/>
  <c r="Q219" i="9"/>
  <c r="Q220" i="9" s="1"/>
  <c r="R364" i="2"/>
  <c r="R35" i="9"/>
  <c r="R36" i="9" s="1"/>
  <c r="S61" i="2"/>
  <c r="O131" i="9"/>
  <c r="O132" i="9" s="1"/>
  <c r="P238" i="2"/>
  <c r="Q115" i="9" l="1"/>
  <c r="Q116" i="9" s="1"/>
  <c r="R234" i="2"/>
  <c r="R235" i="9"/>
  <c r="R236" i="9" s="1"/>
  <c r="S419" i="2"/>
  <c r="Q183" i="9"/>
  <c r="Q184" i="9" s="1"/>
  <c r="R304" i="2"/>
  <c r="Q63" i="9"/>
  <c r="Q64" i="9" s="1"/>
  <c r="R119" i="2"/>
  <c r="P159" i="9"/>
  <c r="P160" i="9" s="1"/>
  <c r="Q298" i="2"/>
  <c r="R227" i="9"/>
  <c r="R228" i="9" s="1"/>
  <c r="S417" i="2"/>
  <c r="R87" i="9"/>
  <c r="R88" i="9" s="1"/>
  <c r="S176" i="2"/>
  <c r="P39" i="9"/>
  <c r="P40" i="9" s="1"/>
  <c r="Q62" i="2"/>
  <c r="T155" i="9"/>
  <c r="T156" i="9" s="1"/>
  <c r="U297" i="2"/>
  <c r="P305" i="2"/>
  <c r="P151" i="9"/>
  <c r="P152" i="9" s="1"/>
  <c r="Q296" i="2"/>
  <c r="Q247" i="9"/>
  <c r="Q248" i="9" s="1"/>
  <c r="R422" i="2"/>
  <c r="S147" i="9"/>
  <c r="S148" i="9" s="1"/>
  <c r="T242" i="2"/>
  <c r="Q267" i="9"/>
  <c r="Q268" i="9" s="1"/>
  <c r="R478" i="2"/>
  <c r="Q91" i="9"/>
  <c r="Q92" i="9" s="1"/>
  <c r="R177" i="2"/>
  <c r="Q243" i="9"/>
  <c r="Q244" i="9" s="1"/>
  <c r="R421" i="2"/>
  <c r="P263" i="9"/>
  <c r="P264" i="9" s="1"/>
  <c r="Q477" i="2"/>
  <c r="P485" i="2"/>
  <c r="Q167" i="9"/>
  <c r="Q168" i="9" s="1"/>
  <c r="R300" i="2"/>
  <c r="Q251" i="9"/>
  <c r="Q252" i="9" s="1"/>
  <c r="R423" i="2"/>
  <c r="P27" i="9"/>
  <c r="P28" i="9" s="1"/>
  <c r="Q59" i="2"/>
  <c r="Q95" i="9"/>
  <c r="Q96" i="9" s="1"/>
  <c r="R178" i="2"/>
  <c r="P171" i="9"/>
  <c r="P172" i="9" s="1"/>
  <c r="Q301" i="2"/>
  <c r="P179" i="9"/>
  <c r="P180" i="9" s="1"/>
  <c r="Q303" i="2"/>
  <c r="Q111" i="9"/>
  <c r="Q112" i="9" s="1"/>
  <c r="R182" i="2"/>
  <c r="P19" i="9"/>
  <c r="P20" i="9" s="1"/>
  <c r="Q57" i="2"/>
  <c r="P275" i="9"/>
  <c r="P276" i="9" s="1"/>
  <c r="Q480" i="2"/>
  <c r="R271" i="9"/>
  <c r="R272" i="9" s="1"/>
  <c r="S479" i="2"/>
  <c r="R255" i="9"/>
  <c r="R256" i="9" s="1"/>
  <c r="S424" i="2"/>
  <c r="R143" i="9"/>
  <c r="R144" i="9" s="1"/>
  <c r="S241" i="2"/>
  <c r="R203" i="9"/>
  <c r="R204" i="9" s="1"/>
  <c r="S360" i="2"/>
  <c r="S187" i="9"/>
  <c r="S188" i="9" s="1"/>
  <c r="T356" i="2"/>
  <c r="P11" i="9"/>
  <c r="P12" i="9" s="1"/>
  <c r="Q55" i="2"/>
  <c r="Q31" i="9"/>
  <c r="Q32" i="9" s="1"/>
  <c r="R60" i="2"/>
  <c r="S207" i="9"/>
  <c r="S208" i="9" s="1"/>
  <c r="T361" i="2"/>
  <c r="P75" i="9"/>
  <c r="P76" i="9" s="1"/>
  <c r="Q122" i="2"/>
  <c r="R219" i="9"/>
  <c r="R220" i="9" s="1"/>
  <c r="S364" i="2"/>
  <c r="Q287" i="9"/>
  <c r="Q288" i="9" s="1"/>
  <c r="R483" i="2"/>
  <c r="T99" i="9"/>
  <c r="T100" i="9" s="1"/>
  <c r="U179" i="2"/>
  <c r="P239" i="9"/>
  <c r="P240" i="9" s="1"/>
  <c r="Q420" i="2"/>
  <c r="Q83" i="9"/>
  <c r="Q84" i="9" s="1"/>
  <c r="R175" i="2"/>
  <c r="R279" i="9"/>
  <c r="R280" i="9" s="1"/>
  <c r="S481" i="2"/>
  <c r="P67" i="9"/>
  <c r="P68" i="9" s="1"/>
  <c r="Q120" i="2"/>
  <c r="S291" i="9"/>
  <c r="S292" i="9" s="1"/>
  <c r="T484" i="2"/>
  <c r="P211" i="9"/>
  <c r="P212" i="9" s="1"/>
  <c r="Q362" i="2"/>
  <c r="S107" i="9"/>
  <c r="S108" i="9" s="1"/>
  <c r="T181" i="2"/>
  <c r="Q135" i="9"/>
  <c r="Q136" i="9" s="1"/>
  <c r="R239" i="2"/>
  <c r="P195" i="9"/>
  <c r="P196" i="9" s="1"/>
  <c r="Q358" i="2"/>
  <c r="S231" i="9"/>
  <c r="S232" i="9" s="1"/>
  <c r="T418" i="2"/>
  <c r="S163" i="9"/>
  <c r="S164" i="9" s="1"/>
  <c r="T299" i="2"/>
  <c r="Q23" i="9"/>
  <c r="Q24" i="9" s="1"/>
  <c r="R58" i="2"/>
  <c r="R259" i="9"/>
  <c r="R260" i="9" s="1"/>
  <c r="S476" i="2"/>
  <c r="Q55" i="9"/>
  <c r="Q56" i="9" s="1"/>
  <c r="R117" i="2"/>
  <c r="S127" i="9"/>
  <c r="S128" i="9" s="1"/>
  <c r="T237" i="2"/>
  <c r="R175" i="9"/>
  <c r="R176" i="9" s="1"/>
  <c r="S302" i="2"/>
  <c r="Q123" i="9"/>
  <c r="Q124" i="9" s="1"/>
  <c r="R236" i="2"/>
  <c r="P123" i="2"/>
  <c r="P43" i="9"/>
  <c r="P44" i="9" s="1"/>
  <c r="Q114" i="2"/>
  <c r="Q7" i="9"/>
  <c r="Q8" i="9" s="1"/>
  <c r="R54" i="2"/>
  <c r="P199" i="9"/>
  <c r="P200" i="9" s="1"/>
  <c r="Q359" i="2"/>
  <c r="P131" i="9"/>
  <c r="P132" i="9" s="1"/>
  <c r="Q238" i="2"/>
  <c r="P59" i="9"/>
  <c r="P60" i="9" s="1"/>
  <c r="Q118" i="2"/>
  <c r="Q283" i="9"/>
  <c r="Q284" i="9" s="1"/>
  <c r="R482" i="2"/>
  <c r="P425" i="2"/>
  <c r="P223" i="9"/>
  <c r="P224" i="9" s="1"/>
  <c r="Q416" i="2"/>
  <c r="P47" i="9"/>
  <c r="P48" i="9" s="1"/>
  <c r="Q115" i="2"/>
  <c r="P215" i="9"/>
  <c r="P216" i="9" s="1"/>
  <c r="Q363" i="2"/>
  <c r="P71" i="9"/>
  <c r="P72" i="9" s="1"/>
  <c r="Q121" i="2"/>
  <c r="P191" i="9"/>
  <c r="P192" i="9" s="1"/>
  <c r="Q357" i="2"/>
  <c r="P365" i="2"/>
  <c r="S35" i="9"/>
  <c r="S36" i="9" s="1"/>
  <c r="T61" i="2"/>
  <c r="P51" i="9"/>
  <c r="P52" i="9" s="1"/>
  <c r="Q116" i="2"/>
  <c r="R103" i="9"/>
  <c r="R104" i="9" s="1"/>
  <c r="S180" i="2"/>
  <c r="S139" i="9"/>
  <c r="S140" i="9" s="1"/>
  <c r="T240" i="2"/>
  <c r="Q119" i="9"/>
  <c r="Q120" i="9" s="1"/>
  <c r="R235" i="2"/>
  <c r="Q183" i="2"/>
  <c r="Q79" i="9"/>
  <c r="Q80" i="9" s="1"/>
  <c r="R174" i="2"/>
  <c r="P15" i="9"/>
  <c r="P16" i="9" s="1"/>
  <c r="Q56" i="2"/>
  <c r="Q123" i="2" l="1"/>
  <c r="Q43" i="9"/>
  <c r="Q44" i="9" s="1"/>
  <c r="R114" i="2"/>
  <c r="Q15" i="9"/>
  <c r="Q16" i="9" s="1"/>
  <c r="R56" i="2"/>
  <c r="R183" i="2"/>
  <c r="R79" i="9"/>
  <c r="R80" i="9" s="1"/>
  <c r="S174" i="2"/>
  <c r="T163" i="9"/>
  <c r="T164" i="9" s="1"/>
  <c r="U299" i="2"/>
  <c r="R63" i="9"/>
  <c r="R64" i="9" s="1"/>
  <c r="S119" i="2"/>
  <c r="Q191" i="9"/>
  <c r="Q192" i="9" s="1"/>
  <c r="R357" i="2"/>
  <c r="Q365" i="2"/>
  <c r="Q75" i="9"/>
  <c r="Q76" i="9" s="1"/>
  <c r="R122" i="2"/>
  <c r="R111" i="9"/>
  <c r="R112" i="9" s="1"/>
  <c r="S182" i="2"/>
  <c r="S203" i="9"/>
  <c r="S204" i="9" s="1"/>
  <c r="T360" i="2"/>
  <c r="S219" i="9"/>
  <c r="S220" i="9" s="1"/>
  <c r="T364" i="2"/>
  <c r="Q59" i="9"/>
  <c r="Q60" i="9" s="1"/>
  <c r="R118" i="2"/>
  <c r="T231" i="9"/>
  <c r="T232" i="9" s="1"/>
  <c r="U418" i="2"/>
  <c r="S279" i="9"/>
  <c r="S280" i="9" s="1"/>
  <c r="T481" i="2"/>
  <c r="Q171" i="9"/>
  <c r="Q172" i="9" s="1"/>
  <c r="R301" i="2"/>
  <c r="R243" i="9"/>
  <c r="R244" i="9" s="1"/>
  <c r="S421" i="2"/>
  <c r="Q179" i="9"/>
  <c r="Q180" i="9" s="1"/>
  <c r="R303" i="2"/>
  <c r="U155" i="9"/>
  <c r="U156" i="9" s="1"/>
  <c r="V297" i="2"/>
  <c r="R183" i="9"/>
  <c r="R184" i="9" s="1"/>
  <c r="S304" i="2"/>
  <c r="R247" i="9"/>
  <c r="R248" i="9" s="1"/>
  <c r="S422" i="2"/>
  <c r="R23" i="9"/>
  <c r="R24" i="9" s="1"/>
  <c r="S58" i="2"/>
  <c r="Q305" i="2"/>
  <c r="Q151" i="9"/>
  <c r="Q152" i="9" s="1"/>
  <c r="R296" i="2"/>
  <c r="R123" i="9"/>
  <c r="R124" i="9" s="1"/>
  <c r="S236" i="2"/>
  <c r="Q131" i="9"/>
  <c r="Q132" i="9" s="1"/>
  <c r="R238" i="2"/>
  <c r="Q195" i="9"/>
  <c r="Q196" i="9" s="1"/>
  <c r="R358" i="2"/>
  <c r="R83" i="9"/>
  <c r="R84" i="9" s="1"/>
  <c r="S175" i="2"/>
  <c r="R95" i="9"/>
  <c r="R96" i="9" s="1"/>
  <c r="S178" i="2"/>
  <c r="R91" i="9"/>
  <c r="R92" i="9" s="1"/>
  <c r="S177" i="2"/>
  <c r="R283" i="9"/>
  <c r="R284" i="9" s="1"/>
  <c r="S482" i="2"/>
  <c r="S143" i="9"/>
  <c r="S144" i="9" s="1"/>
  <c r="T241" i="2"/>
  <c r="R119" i="9"/>
  <c r="R120" i="9" s="1"/>
  <c r="S235" i="2"/>
  <c r="T207" i="9"/>
  <c r="T208" i="9" s="1"/>
  <c r="U361" i="2"/>
  <c r="T127" i="9"/>
  <c r="T128" i="9" s="1"/>
  <c r="U237" i="2"/>
  <c r="R31" i="9"/>
  <c r="R32" i="9" s="1"/>
  <c r="S60" i="2"/>
  <c r="S271" i="9"/>
  <c r="S272" i="9" s="1"/>
  <c r="T479" i="2"/>
  <c r="Q39" i="9"/>
  <c r="Q40" i="9" s="1"/>
  <c r="R62" i="2"/>
  <c r="T35" i="9"/>
  <c r="T36" i="9" s="1"/>
  <c r="U61" i="2"/>
  <c r="Q67" i="9"/>
  <c r="Q68" i="9" s="1"/>
  <c r="R120" i="2"/>
  <c r="Q263" i="9"/>
  <c r="Q264" i="9" s="1"/>
  <c r="R477" i="2"/>
  <c r="Q485" i="2"/>
  <c r="Q71" i="9"/>
  <c r="Q72" i="9" s="1"/>
  <c r="R121" i="2"/>
  <c r="S175" i="9"/>
  <c r="S176" i="9" s="1"/>
  <c r="T302" i="2"/>
  <c r="S255" i="9"/>
  <c r="S256" i="9" s="1"/>
  <c r="T424" i="2"/>
  <c r="Q215" i="9"/>
  <c r="Q216" i="9" s="1"/>
  <c r="R363" i="2"/>
  <c r="T139" i="9"/>
  <c r="T140" i="9" s="1"/>
  <c r="U240" i="2"/>
  <c r="Q199" i="9"/>
  <c r="Q200" i="9" s="1"/>
  <c r="R359" i="2"/>
  <c r="R135" i="9"/>
  <c r="R136" i="9" s="1"/>
  <c r="S239" i="2"/>
  <c r="Q239" i="9"/>
  <c r="Q240" i="9" s="1"/>
  <c r="R420" i="2"/>
  <c r="Q27" i="9"/>
  <c r="Q28" i="9" s="1"/>
  <c r="R59" i="2"/>
  <c r="S235" i="9"/>
  <c r="S236" i="9" s="1"/>
  <c r="T419" i="2"/>
  <c r="Q47" i="9"/>
  <c r="Q48" i="9" s="1"/>
  <c r="R115" i="2"/>
  <c r="R55" i="9"/>
  <c r="R56" i="9" s="1"/>
  <c r="S117" i="2"/>
  <c r="Q11" i="9"/>
  <c r="Q12" i="9" s="1"/>
  <c r="R55" i="2"/>
  <c r="Q275" i="9"/>
  <c r="Q276" i="9" s="1"/>
  <c r="R480" i="2"/>
  <c r="R267" i="9"/>
  <c r="R268" i="9" s="1"/>
  <c r="S478" i="2"/>
  <c r="T291" i="9"/>
  <c r="T292" i="9" s="1"/>
  <c r="U484" i="2"/>
  <c r="S103" i="9"/>
  <c r="S104" i="9" s="1"/>
  <c r="T180" i="2"/>
  <c r="U99" i="9"/>
  <c r="U100" i="9" s="1"/>
  <c r="V179" i="2"/>
  <c r="R251" i="9"/>
  <c r="R252" i="9" s="1"/>
  <c r="S423" i="2"/>
  <c r="S87" i="9"/>
  <c r="S88" i="9" s="1"/>
  <c r="T176" i="2"/>
  <c r="R243" i="2"/>
  <c r="R115" i="9"/>
  <c r="R116" i="9" s="1"/>
  <c r="S234" i="2"/>
  <c r="R63" i="2"/>
  <c r="R7" i="9"/>
  <c r="R8" i="9" s="1"/>
  <c r="S54" i="2"/>
  <c r="T107" i="9"/>
  <c r="T108" i="9" s="1"/>
  <c r="U181" i="2"/>
  <c r="S259" i="9"/>
  <c r="S260" i="9" s="1"/>
  <c r="T476" i="2"/>
  <c r="T187" i="9"/>
  <c r="T188" i="9" s="1"/>
  <c r="U356" i="2"/>
  <c r="Q19" i="9"/>
  <c r="Q20" i="9" s="1"/>
  <c r="R57" i="2"/>
  <c r="T147" i="9"/>
  <c r="T148" i="9" s="1"/>
  <c r="U242" i="2"/>
  <c r="R167" i="9"/>
  <c r="R168" i="9" s="1"/>
  <c r="S300" i="2"/>
  <c r="Q159" i="9"/>
  <c r="Q160" i="9" s="1"/>
  <c r="R298" i="2"/>
  <c r="Q425" i="2"/>
  <c r="Q223" i="9"/>
  <c r="Q224" i="9" s="1"/>
  <c r="R416" i="2"/>
  <c r="Q51" i="9"/>
  <c r="Q52" i="9" s="1"/>
  <c r="R116" i="2"/>
  <c r="Q63" i="2"/>
  <c r="Q211" i="9"/>
  <c r="Q212" i="9" s="1"/>
  <c r="R362" i="2"/>
  <c r="R287" i="9"/>
  <c r="R288" i="9" s="1"/>
  <c r="S483" i="2"/>
  <c r="S227" i="9"/>
  <c r="S228" i="9" s="1"/>
  <c r="T417" i="2"/>
  <c r="Q243" i="2"/>
  <c r="S95" i="9" l="1"/>
  <c r="S96" i="9" s="1"/>
  <c r="T178" i="2"/>
  <c r="R239" i="9"/>
  <c r="R240" i="9" s="1"/>
  <c r="S420" i="2"/>
  <c r="R59" i="9"/>
  <c r="R60" i="9" s="1"/>
  <c r="S118" i="2"/>
  <c r="R263" i="9"/>
  <c r="R264" i="9" s="1"/>
  <c r="S477" i="2"/>
  <c r="R485" i="2"/>
  <c r="U207" i="9"/>
  <c r="U208" i="9" s="1"/>
  <c r="V361" i="2"/>
  <c r="R195" i="9"/>
  <c r="R196" i="9" s="1"/>
  <c r="S358" i="2"/>
  <c r="U163" i="9"/>
  <c r="U164" i="9" s="1"/>
  <c r="V299" i="2"/>
  <c r="R191" i="9"/>
  <c r="R192" i="9" s="1"/>
  <c r="S357" i="2"/>
  <c r="R365" i="2"/>
  <c r="R199" i="9"/>
  <c r="R200" i="9" s="1"/>
  <c r="S359" i="2"/>
  <c r="V155" i="9"/>
  <c r="V156" i="9" s="1"/>
  <c r="W297" i="2"/>
  <c r="T219" i="9"/>
  <c r="T220" i="9" s="1"/>
  <c r="U364" i="2"/>
  <c r="U187" i="9"/>
  <c r="U188" i="9" s="1"/>
  <c r="V356" i="2"/>
  <c r="R67" i="9"/>
  <c r="R68" i="9" s="1"/>
  <c r="S120" i="2"/>
  <c r="S119" i="9"/>
  <c r="S120" i="9" s="1"/>
  <c r="T235" i="2"/>
  <c r="R131" i="9"/>
  <c r="R132" i="9" s="1"/>
  <c r="S238" i="2"/>
  <c r="S183" i="2"/>
  <c r="S79" i="9"/>
  <c r="S80" i="9" s="1"/>
  <c r="T174" i="2"/>
  <c r="S287" i="9"/>
  <c r="S288" i="9" s="1"/>
  <c r="T483" i="2"/>
  <c r="U231" i="9"/>
  <c r="U232" i="9" s="1"/>
  <c r="V418" i="2"/>
  <c r="U127" i="9"/>
  <c r="U128" i="9" s="1"/>
  <c r="V237" i="2"/>
  <c r="R19" i="9"/>
  <c r="R20" i="9" s="1"/>
  <c r="S57" i="2"/>
  <c r="R51" i="9"/>
  <c r="R52" i="9" s="1"/>
  <c r="S116" i="2"/>
  <c r="S251" i="9"/>
  <c r="S252" i="9" s="1"/>
  <c r="T423" i="2"/>
  <c r="S55" i="9"/>
  <c r="S56" i="9" s="1"/>
  <c r="T117" i="2"/>
  <c r="U139" i="9"/>
  <c r="U140" i="9" s="1"/>
  <c r="V240" i="2"/>
  <c r="R179" i="9"/>
  <c r="R180" i="9" s="1"/>
  <c r="S303" i="2"/>
  <c r="T203" i="9"/>
  <c r="T204" i="9" s="1"/>
  <c r="U360" i="2"/>
  <c r="S267" i="9"/>
  <c r="S268" i="9" s="1"/>
  <c r="T478" i="2"/>
  <c r="S247" i="9"/>
  <c r="S248" i="9" s="1"/>
  <c r="T422" i="2"/>
  <c r="S83" i="9"/>
  <c r="S84" i="9" s="1"/>
  <c r="T175" i="2"/>
  <c r="R211" i="9"/>
  <c r="R212" i="9" s="1"/>
  <c r="S362" i="2"/>
  <c r="S183" i="9"/>
  <c r="S184" i="9" s="1"/>
  <c r="T304" i="2"/>
  <c r="R11" i="9"/>
  <c r="R12" i="9" s="1"/>
  <c r="S55" i="2"/>
  <c r="R425" i="2"/>
  <c r="R223" i="9"/>
  <c r="R224" i="9" s="1"/>
  <c r="S416" i="2"/>
  <c r="T259" i="9"/>
  <c r="T260" i="9" s="1"/>
  <c r="U476" i="2"/>
  <c r="U35" i="9"/>
  <c r="U36" i="9" s="1"/>
  <c r="V61" i="2"/>
  <c r="T143" i="9"/>
  <c r="T144" i="9" s="1"/>
  <c r="U241" i="2"/>
  <c r="S123" i="9"/>
  <c r="S124" i="9" s="1"/>
  <c r="T236" i="2"/>
  <c r="R71" i="9"/>
  <c r="R72" i="9" s="1"/>
  <c r="S121" i="2"/>
  <c r="V99" i="9"/>
  <c r="V100" i="9" s="1"/>
  <c r="W179" i="2"/>
  <c r="R47" i="9"/>
  <c r="R48" i="9" s="1"/>
  <c r="S115" i="2"/>
  <c r="R215" i="9"/>
  <c r="R216" i="9" s="1"/>
  <c r="S363" i="2"/>
  <c r="S243" i="9"/>
  <c r="S244" i="9" s="1"/>
  <c r="T421" i="2"/>
  <c r="S111" i="9"/>
  <c r="S112" i="9" s="1"/>
  <c r="T182" i="2"/>
  <c r="R15" i="9"/>
  <c r="R16" i="9" s="1"/>
  <c r="S56" i="2"/>
  <c r="S31" i="9"/>
  <c r="S32" i="9" s="1"/>
  <c r="T60" i="2"/>
  <c r="S63" i="9"/>
  <c r="S64" i="9" s="1"/>
  <c r="T119" i="2"/>
  <c r="T87" i="9"/>
  <c r="T88" i="9" s="1"/>
  <c r="U176" i="2"/>
  <c r="R39" i="9"/>
  <c r="R40" i="9" s="1"/>
  <c r="S62" i="2"/>
  <c r="S283" i="9"/>
  <c r="S284" i="9" s="1"/>
  <c r="T482" i="2"/>
  <c r="R305" i="2"/>
  <c r="R151" i="9"/>
  <c r="R152" i="9" s="1"/>
  <c r="S296" i="2"/>
  <c r="S135" i="9"/>
  <c r="S136" i="9" s="1"/>
  <c r="T239" i="2"/>
  <c r="U107" i="9"/>
  <c r="U108" i="9" s="1"/>
  <c r="V181" i="2"/>
  <c r="T235" i="9"/>
  <c r="T236" i="9" s="1"/>
  <c r="U419" i="2"/>
  <c r="T255" i="9"/>
  <c r="T256" i="9" s="1"/>
  <c r="U424" i="2"/>
  <c r="R171" i="9"/>
  <c r="R172" i="9" s="1"/>
  <c r="S301" i="2"/>
  <c r="R75" i="9"/>
  <c r="R76" i="9" s="1"/>
  <c r="S122" i="2"/>
  <c r="R123" i="2"/>
  <c r="R43" i="9"/>
  <c r="R44" i="9" s="1"/>
  <c r="S114" i="2"/>
  <c r="U147" i="9"/>
  <c r="U148" i="9" s="1"/>
  <c r="V242" i="2"/>
  <c r="S243" i="2"/>
  <c r="S115" i="9"/>
  <c r="S116" i="9" s="1"/>
  <c r="T234" i="2"/>
  <c r="R159" i="9"/>
  <c r="R160" i="9" s="1"/>
  <c r="S298" i="2"/>
  <c r="T103" i="9"/>
  <c r="T104" i="9" s="1"/>
  <c r="U180" i="2"/>
  <c r="T271" i="9"/>
  <c r="T272" i="9" s="1"/>
  <c r="U479" i="2"/>
  <c r="S91" i="9"/>
  <c r="S92" i="9" s="1"/>
  <c r="T177" i="2"/>
  <c r="R275" i="9"/>
  <c r="R276" i="9" s="1"/>
  <c r="S480" i="2"/>
  <c r="T227" i="9"/>
  <c r="T228" i="9" s="1"/>
  <c r="U417" i="2"/>
  <c r="S167" i="9"/>
  <c r="S168" i="9" s="1"/>
  <c r="T300" i="2"/>
  <c r="S7" i="9"/>
  <c r="S8" i="9" s="1"/>
  <c r="T54" i="2"/>
  <c r="U291" i="9"/>
  <c r="U292" i="9" s="1"/>
  <c r="V484" i="2"/>
  <c r="R27" i="9"/>
  <c r="R28" i="9" s="1"/>
  <c r="S59" i="2"/>
  <c r="T175" i="9"/>
  <c r="T176" i="9" s="1"/>
  <c r="U302" i="2"/>
  <c r="S23" i="9"/>
  <c r="S24" i="9" s="1"/>
  <c r="T58" i="2"/>
  <c r="T279" i="9"/>
  <c r="T280" i="9" s="1"/>
  <c r="U481" i="2"/>
  <c r="T91" i="9" l="1"/>
  <c r="T92" i="9" s="1"/>
  <c r="U177" i="2"/>
  <c r="U143" i="9"/>
  <c r="U144" i="9" s="1"/>
  <c r="V241" i="2"/>
  <c r="S211" i="9"/>
  <c r="S212" i="9" s="1"/>
  <c r="T362" i="2"/>
  <c r="T55" i="9"/>
  <c r="T56" i="9" s="1"/>
  <c r="U117" i="2"/>
  <c r="T183" i="2"/>
  <c r="T79" i="9"/>
  <c r="T80" i="9" s="1"/>
  <c r="U174" i="2"/>
  <c r="W155" i="9"/>
  <c r="W156" i="9" s="1"/>
  <c r="X297" i="2"/>
  <c r="S263" i="9"/>
  <c r="S264" i="9" s="1"/>
  <c r="T477" i="2"/>
  <c r="S485" i="2"/>
  <c r="V187" i="9"/>
  <c r="V188" i="9" s="1"/>
  <c r="W356" i="2"/>
  <c r="V231" i="9"/>
  <c r="V232" i="9" s="1"/>
  <c r="W418" i="2"/>
  <c r="S15" i="9"/>
  <c r="S16" i="9" s="1"/>
  <c r="T56" i="2"/>
  <c r="V139" i="9"/>
  <c r="V140" i="9" s="1"/>
  <c r="W240" i="2"/>
  <c r="S27" i="9"/>
  <c r="S28" i="9" s="1"/>
  <c r="T59" i="2"/>
  <c r="T111" i="9"/>
  <c r="T112" i="9" s="1"/>
  <c r="U182" i="2"/>
  <c r="U271" i="9"/>
  <c r="U272" i="9" s="1"/>
  <c r="V479" i="2"/>
  <c r="S75" i="9"/>
  <c r="S76" i="9" s="1"/>
  <c r="T122" i="2"/>
  <c r="T23" i="9"/>
  <c r="T24" i="9" s="1"/>
  <c r="U58" i="2"/>
  <c r="V207" i="9"/>
  <c r="V208" i="9" s="1"/>
  <c r="W361" i="2"/>
  <c r="T123" i="9"/>
  <c r="T124" i="9" s="1"/>
  <c r="U236" i="2"/>
  <c r="T183" i="9"/>
  <c r="T184" i="9" s="1"/>
  <c r="U304" i="2"/>
  <c r="S305" i="2"/>
  <c r="S151" i="9"/>
  <c r="S152" i="9" s="1"/>
  <c r="T296" i="2"/>
  <c r="V291" i="9"/>
  <c r="V292" i="9" s="1"/>
  <c r="W484" i="2"/>
  <c r="T283" i="9"/>
  <c r="T284" i="9" s="1"/>
  <c r="U482" i="2"/>
  <c r="T243" i="9"/>
  <c r="T244" i="9" s="1"/>
  <c r="U421" i="2"/>
  <c r="V35" i="9"/>
  <c r="V36" i="9" s="1"/>
  <c r="W61" i="2"/>
  <c r="T83" i="9"/>
  <c r="T84" i="9" s="1"/>
  <c r="U175" i="2"/>
  <c r="T251" i="9"/>
  <c r="T252" i="9" s="1"/>
  <c r="U423" i="2"/>
  <c r="S199" i="9"/>
  <c r="S200" i="9" s="1"/>
  <c r="T359" i="2"/>
  <c r="S59" i="9"/>
  <c r="S60" i="9" s="1"/>
  <c r="T118" i="2"/>
  <c r="U279" i="9"/>
  <c r="U280" i="9" s="1"/>
  <c r="V481" i="2"/>
  <c r="W99" i="9"/>
  <c r="W100" i="9" s="1"/>
  <c r="X179" i="2"/>
  <c r="V127" i="9"/>
  <c r="V128" i="9" s="1"/>
  <c r="W237" i="2"/>
  <c r="V147" i="9"/>
  <c r="V148" i="9" s="1"/>
  <c r="W242" i="2"/>
  <c r="S11" i="9"/>
  <c r="S12" i="9" s="1"/>
  <c r="T55" i="2"/>
  <c r="T63" i="2" s="1"/>
  <c r="U103" i="9"/>
  <c r="U104" i="9" s="1"/>
  <c r="V180" i="2"/>
  <c r="S131" i="9"/>
  <c r="S132" i="9" s="1"/>
  <c r="T238" i="2"/>
  <c r="T7" i="9"/>
  <c r="T8" i="9" s="1"/>
  <c r="U54" i="2"/>
  <c r="S39" i="9"/>
  <c r="S40" i="9" s="1"/>
  <c r="T62" i="2"/>
  <c r="S215" i="9"/>
  <c r="S216" i="9" s="1"/>
  <c r="T363" i="2"/>
  <c r="U259" i="9"/>
  <c r="U260" i="9" s="1"/>
  <c r="V476" i="2"/>
  <c r="T247" i="9"/>
  <c r="T248" i="9" s="1"/>
  <c r="U422" i="2"/>
  <c r="S51" i="9"/>
  <c r="S52" i="9" s="1"/>
  <c r="T116" i="2"/>
  <c r="S239" i="9"/>
  <c r="S240" i="9" s="1"/>
  <c r="T420" i="2"/>
  <c r="S179" i="9"/>
  <c r="S180" i="9" s="1"/>
  <c r="T303" i="2"/>
  <c r="T135" i="9"/>
  <c r="T136" i="9" s="1"/>
  <c r="U239" i="2"/>
  <c r="U175" i="9"/>
  <c r="U176" i="9" s="1"/>
  <c r="V302" i="2"/>
  <c r="T287" i="9"/>
  <c r="T288" i="9" s="1"/>
  <c r="U483" i="2"/>
  <c r="S159" i="9"/>
  <c r="S160" i="9" s="1"/>
  <c r="T298" i="2"/>
  <c r="U255" i="9"/>
  <c r="U256" i="9" s="1"/>
  <c r="V424" i="2"/>
  <c r="T119" i="9"/>
  <c r="T120" i="9" s="1"/>
  <c r="U235" i="2"/>
  <c r="S191" i="9"/>
  <c r="S192" i="9" s="1"/>
  <c r="T357" i="2"/>
  <c r="S365" i="2"/>
  <c r="U203" i="9"/>
  <c r="U204" i="9" s="1"/>
  <c r="V360" i="2"/>
  <c r="V107" i="9"/>
  <c r="V108" i="9" s="1"/>
  <c r="W181" i="2"/>
  <c r="S195" i="9"/>
  <c r="S196" i="9" s="1"/>
  <c r="T358" i="2"/>
  <c r="T31" i="9"/>
  <c r="T32" i="9" s="1"/>
  <c r="U60" i="2"/>
  <c r="S275" i="9"/>
  <c r="S276" i="9" s="1"/>
  <c r="T480" i="2"/>
  <c r="S171" i="9"/>
  <c r="S172" i="9" s="1"/>
  <c r="T301" i="2"/>
  <c r="S63" i="2"/>
  <c r="U87" i="9"/>
  <c r="U88" i="9" s="1"/>
  <c r="V176" i="2"/>
  <c r="S47" i="9"/>
  <c r="S48" i="9" s="1"/>
  <c r="T115" i="2"/>
  <c r="T267" i="9"/>
  <c r="T268" i="9" s="1"/>
  <c r="U478" i="2"/>
  <c r="S19" i="9"/>
  <c r="S20" i="9" s="1"/>
  <c r="T57" i="2"/>
  <c r="T95" i="9"/>
  <c r="T96" i="9" s="1"/>
  <c r="U178" i="2"/>
  <c r="T63" i="9"/>
  <c r="T64" i="9" s="1"/>
  <c r="U119" i="2"/>
  <c r="U227" i="9"/>
  <c r="U228" i="9" s="1"/>
  <c r="V417" i="2"/>
  <c r="S71" i="9"/>
  <c r="S72" i="9" s="1"/>
  <c r="T121" i="2"/>
  <c r="S123" i="2"/>
  <c r="S43" i="9"/>
  <c r="S44" i="9" s="1"/>
  <c r="T114" i="2"/>
  <c r="U219" i="9"/>
  <c r="U220" i="9" s="1"/>
  <c r="V364" i="2"/>
  <c r="T167" i="9"/>
  <c r="T168" i="9" s="1"/>
  <c r="U300" i="2"/>
  <c r="T243" i="2"/>
  <c r="T115" i="9"/>
  <c r="T116" i="9" s="1"/>
  <c r="U234" i="2"/>
  <c r="U235" i="9"/>
  <c r="U236" i="9" s="1"/>
  <c r="V419" i="2"/>
  <c r="S425" i="2"/>
  <c r="S223" i="9"/>
  <c r="S224" i="9" s="1"/>
  <c r="T416" i="2"/>
  <c r="S67" i="9"/>
  <c r="S68" i="9" s="1"/>
  <c r="T120" i="2"/>
  <c r="V163" i="9"/>
  <c r="V164" i="9" s="1"/>
  <c r="W299" i="2"/>
  <c r="T67" i="9" l="1"/>
  <c r="T68" i="9" s="1"/>
  <c r="U120" i="2"/>
  <c r="T123" i="2"/>
  <c r="T43" i="9"/>
  <c r="T44" i="9" s="1"/>
  <c r="U114" i="2"/>
  <c r="W107" i="9"/>
  <c r="W108" i="9" s="1"/>
  <c r="X181" i="2"/>
  <c r="U183" i="9"/>
  <c r="U184" i="9" s="1"/>
  <c r="V304" i="2"/>
  <c r="T27" i="9"/>
  <c r="T28" i="9" s="1"/>
  <c r="U59" i="2"/>
  <c r="X155" i="9"/>
  <c r="X156" i="9" s="1"/>
  <c r="Y297" i="2"/>
  <c r="V259" i="9"/>
  <c r="V260" i="9" s="1"/>
  <c r="W476" i="2"/>
  <c r="U83" i="9"/>
  <c r="U84" i="9" s="1"/>
  <c r="V175" i="2"/>
  <c r="W139" i="9"/>
  <c r="W140" i="9" s="1"/>
  <c r="X240" i="2"/>
  <c r="T39" i="9"/>
  <c r="T40" i="9" s="1"/>
  <c r="U62" i="2"/>
  <c r="W207" i="9"/>
  <c r="W208" i="9" s="1"/>
  <c r="X361" i="2"/>
  <c r="T15" i="9"/>
  <c r="T16" i="9" s="1"/>
  <c r="U56" i="2"/>
  <c r="V87" i="9"/>
  <c r="V88" i="9" s="1"/>
  <c r="W176" i="2"/>
  <c r="V235" i="9"/>
  <c r="V236" i="9" s="1"/>
  <c r="W419" i="2"/>
  <c r="V227" i="9"/>
  <c r="V228" i="9" s="1"/>
  <c r="W417" i="2"/>
  <c r="T191" i="9"/>
  <c r="T192" i="9" s="1"/>
  <c r="U357" i="2"/>
  <c r="T365" i="2"/>
  <c r="T179" i="9"/>
  <c r="T180" i="9" s="1"/>
  <c r="U303" i="2"/>
  <c r="X99" i="9"/>
  <c r="X100" i="9" s="1"/>
  <c r="Y179" i="2"/>
  <c r="U243" i="9"/>
  <c r="U244" i="9" s="1"/>
  <c r="V421" i="2"/>
  <c r="U55" i="9"/>
  <c r="U56" i="9" s="1"/>
  <c r="V117" i="2"/>
  <c r="V175" i="9"/>
  <c r="V176" i="9" s="1"/>
  <c r="W302" i="2"/>
  <c r="W35" i="9"/>
  <c r="W36" i="9" s="1"/>
  <c r="X61" i="2"/>
  <c r="W231" i="9"/>
  <c r="W232" i="9" s="1"/>
  <c r="X418" i="2"/>
  <c r="U115" i="9"/>
  <c r="U116" i="9" s="1"/>
  <c r="V234" i="2"/>
  <c r="U63" i="9"/>
  <c r="U64" i="9" s="1"/>
  <c r="V119" i="2"/>
  <c r="U119" i="9"/>
  <c r="U120" i="9" s="1"/>
  <c r="V235" i="2"/>
  <c r="T239" i="9"/>
  <c r="T240" i="9" s="1"/>
  <c r="U420" i="2"/>
  <c r="V279" i="9"/>
  <c r="V280" i="9" s="1"/>
  <c r="W481" i="2"/>
  <c r="U283" i="9"/>
  <c r="U284" i="9" s="1"/>
  <c r="V482" i="2"/>
  <c r="T211" i="9"/>
  <c r="T212" i="9" s="1"/>
  <c r="U362" i="2"/>
  <c r="U251" i="9"/>
  <c r="U252" i="9" s="1"/>
  <c r="V423" i="2"/>
  <c r="U123" i="9"/>
  <c r="U124" i="9" s="1"/>
  <c r="V236" i="2"/>
  <c r="U135" i="9"/>
  <c r="U136" i="9" s="1"/>
  <c r="V239" i="2"/>
  <c r="U7" i="9"/>
  <c r="U8" i="9" s="1"/>
  <c r="V54" i="2"/>
  <c r="U23" i="9"/>
  <c r="U24" i="9" s="1"/>
  <c r="V58" i="2"/>
  <c r="T75" i="9"/>
  <c r="T76" i="9" s="1"/>
  <c r="U122" i="2"/>
  <c r="W187" i="9"/>
  <c r="W188" i="9" s="1"/>
  <c r="X356" i="2"/>
  <c r="U267" i="9"/>
  <c r="U268" i="9" s="1"/>
  <c r="V478" i="2"/>
  <c r="W147" i="9"/>
  <c r="W148" i="9" s="1"/>
  <c r="X242" i="2"/>
  <c r="T425" i="2"/>
  <c r="T223" i="9"/>
  <c r="T224" i="9" s="1"/>
  <c r="U416" i="2"/>
  <c r="T215" i="9"/>
  <c r="T216" i="9" s="1"/>
  <c r="U363" i="2"/>
  <c r="T71" i="9"/>
  <c r="T72" i="9" s="1"/>
  <c r="U121" i="2"/>
  <c r="T171" i="9"/>
  <c r="T172" i="9" s="1"/>
  <c r="U301" i="2"/>
  <c r="T275" i="9"/>
  <c r="T276" i="9" s="1"/>
  <c r="U480" i="2"/>
  <c r="U95" i="9"/>
  <c r="U96" i="9" s="1"/>
  <c r="V178" i="2"/>
  <c r="V255" i="9"/>
  <c r="V256" i="9" s="1"/>
  <c r="W424" i="2"/>
  <c r="T51" i="9"/>
  <c r="T52" i="9" s="1"/>
  <c r="U116" i="2"/>
  <c r="T131" i="9"/>
  <c r="T132" i="9" s="1"/>
  <c r="U238" i="2"/>
  <c r="U243" i="2" s="1"/>
  <c r="T59" i="9"/>
  <c r="T60" i="9" s="1"/>
  <c r="U118" i="2"/>
  <c r="W291" i="9"/>
  <c r="W292" i="9" s="1"/>
  <c r="X484" i="2"/>
  <c r="V143" i="9"/>
  <c r="V144" i="9" s="1"/>
  <c r="W241" i="2"/>
  <c r="T11" i="9"/>
  <c r="T12" i="9" s="1"/>
  <c r="U55" i="2"/>
  <c r="U167" i="9"/>
  <c r="U168" i="9" s="1"/>
  <c r="V300" i="2"/>
  <c r="U31" i="9"/>
  <c r="U32" i="9" s="1"/>
  <c r="V60" i="2"/>
  <c r="V271" i="9"/>
  <c r="V272" i="9" s="1"/>
  <c r="W479" i="2"/>
  <c r="T47" i="9"/>
  <c r="T48" i="9" s="1"/>
  <c r="U115" i="2"/>
  <c r="V203" i="9"/>
  <c r="V204" i="9" s="1"/>
  <c r="W360" i="2"/>
  <c r="U183" i="2"/>
  <c r="U79" i="9"/>
  <c r="U80" i="9" s="1"/>
  <c r="V174" i="2"/>
  <c r="W127" i="9"/>
  <c r="W128" i="9" s="1"/>
  <c r="X237" i="2"/>
  <c r="T19" i="9"/>
  <c r="T20" i="9" s="1"/>
  <c r="U57" i="2"/>
  <c r="T159" i="9"/>
  <c r="T160" i="9" s="1"/>
  <c r="U298" i="2"/>
  <c r="U247" i="9"/>
  <c r="U248" i="9" s="1"/>
  <c r="V422" i="2"/>
  <c r="V103" i="9"/>
  <c r="V104" i="9" s="1"/>
  <c r="W180" i="2"/>
  <c r="T199" i="9"/>
  <c r="T200" i="9" s="1"/>
  <c r="U359" i="2"/>
  <c r="T305" i="2"/>
  <c r="T151" i="9"/>
  <c r="T152" i="9" s="1"/>
  <c r="U296" i="2"/>
  <c r="U91" i="9"/>
  <c r="U92" i="9" s="1"/>
  <c r="V177" i="2"/>
  <c r="U287" i="9"/>
  <c r="U288" i="9" s="1"/>
  <c r="V483" i="2"/>
  <c r="W163" i="9"/>
  <c r="W164" i="9" s="1"/>
  <c r="X299" i="2"/>
  <c r="V219" i="9"/>
  <c r="V220" i="9" s="1"/>
  <c r="W364" i="2"/>
  <c r="T195" i="9"/>
  <c r="T196" i="9" s="1"/>
  <c r="U358" i="2"/>
  <c r="U111" i="9"/>
  <c r="U112" i="9" s="1"/>
  <c r="V182" i="2"/>
  <c r="T263" i="9"/>
  <c r="T264" i="9" s="1"/>
  <c r="U477" i="2"/>
  <c r="T485" i="2"/>
  <c r="U263" i="9" l="1"/>
  <c r="U264" i="9" s="1"/>
  <c r="V477" i="2"/>
  <c r="U485" i="2"/>
  <c r="U275" i="9"/>
  <c r="U276" i="9" s="1"/>
  <c r="V480" i="2"/>
  <c r="Y99" i="9"/>
  <c r="Y100" i="9" s="1"/>
  <c r="Z179" i="2"/>
  <c r="U27" i="9"/>
  <c r="U28" i="9" s="1"/>
  <c r="V59" i="2"/>
  <c r="U199" i="9"/>
  <c r="U200" i="9" s="1"/>
  <c r="V359" i="2"/>
  <c r="X187" i="9"/>
  <c r="X188" i="9" s="1"/>
  <c r="Y356" i="2"/>
  <c r="V251" i="9"/>
  <c r="V252" i="9" s="1"/>
  <c r="W423" i="2"/>
  <c r="V115" i="9"/>
  <c r="V116" i="9" s="1"/>
  <c r="W234" i="2"/>
  <c r="X207" i="9"/>
  <c r="X208" i="9" s="1"/>
  <c r="Y361" i="2"/>
  <c r="V119" i="9"/>
  <c r="V120" i="9" s="1"/>
  <c r="W235" i="2"/>
  <c r="V243" i="9"/>
  <c r="V244" i="9" s="1"/>
  <c r="W421" i="2"/>
  <c r="W203" i="9"/>
  <c r="W204" i="9" s="1"/>
  <c r="X360" i="2"/>
  <c r="X291" i="9"/>
  <c r="X292" i="9" s="1"/>
  <c r="Y484" i="2"/>
  <c r="U171" i="9"/>
  <c r="U172" i="9" s="1"/>
  <c r="V301" i="2"/>
  <c r="U179" i="9"/>
  <c r="U180" i="9" s="1"/>
  <c r="V303" i="2"/>
  <c r="V183" i="9"/>
  <c r="V184" i="9" s="1"/>
  <c r="W304" i="2"/>
  <c r="U15" i="9"/>
  <c r="U16" i="9" s="1"/>
  <c r="V56" i="2"/>
  <c r="W219" i="9"/>
  <c r="W220" i="9" s="1"/>
  <c r="X364" i="2"/>
  <c r="U47" i="9"/>
  <c r="U48" i="9" s="1"/>
  <c r="V115" i="2"/>
  <c r="U59" i="9"/>
  <c r="U60" i="9" s="1"/>
  <c r="V118" i="2"/>
  <c r="U71" i="9"/>
  <c r="U72" i="9" s="1"/>
  <c r="V121" i="2"/>
  <c r="U75" i="9"/>
  <c r="U76" i="9" s="1"/>
  <c r="V122" i="2"/>
  <c r="X231" i="9"/>
  <c r="X232" i="9" s="1"/>
  <c r="Y418" i="2"/>
  <c r="X107" i="9"/>
  <c r="X108" i="9" s="1"/>
  <c r="Y181" i="2"/>
  <c r="X127" i="9"/>
  <c r="X128" i="9" s="1"/>
  <c r="Y237" i="2"/>
  <c r="V183" i="2"/>
  <c r="V79" i="9"/>
  <c r="V80" i="9" s="1"/>
  <c r="W174" i="2"/>
  <c r="V63" i="9"/>
  <c r="V64" i="9" s="1"/>
  <c r="W119" i="2"/>
  <c r="V111" i="9"/>
  <c r="V112" i="9" s="1"/>
  <c r="W182" i="2"/>
  <c r="U195" i="9"/>
  <c r="U196" i="9" s="1"/>
  <c r="V358" i="2"/>
  <c r="W103" i="9"/>
  <c r="W104" i="9" s="1"/>
  <c r="X180" i="2"/>
  <c r="U211" i="9"/>
  <c r="U212" i="9" s="1"/>
  <c r="V362" i="2"/>
  <c r="U39" i="9"/>
  <c r="U40" i="9" s="1"/>
  <c r="V62" i="2"/>
  <c r="V247" i="9"/>
  <c r="V248" i="9" s="1"/>
  <c r="W422" i="2"/>
  <c r="V283" i="9"/>
  <c r="V284" i="9" s="1"/>
  <c r="W482" i="2"/>
  <c r="U191" i="9"/>
  <c r="U192" i="9" s="1"/>
  <c r="V357" i="2"/>
  <c r="U365" i="2"/>
  <c r="X139" i="9"/>
  <c r="X140" i="9" s="1"/>
  <c r="Y240" i="2"/>
  <c r="X147" i="9"/>
  <c r="X148" i="9" s="1"/>
  <c r="Y242" i="2"/>
  <c r="V95" i="9"/>
  <c r="V96" i="9" s="1"/>
  <c r="W178" i="2"/>
  <c r="V267" i="9"/>
  <c r="V268" i="9" s="1"/>
  <c r="W478" i="2"/>
  <c r="W143" i="9"/>
  <c r="W144" i="9" s="1"/>
  <c r="X241" i="2"/>
  <c r="X163" i="9"/>
  <c r="X164" i="9" s="1"/>
  <c r="Y299" i="2"/>
  <c r="W271" i="9"/>
  <c r="W272" i="9" s="1"/>
  <c r="X479" i="2"/>
  <c r="U131" i="9"/>
  <c r="U132" i="9" s="1"/>
  <c r="V238" i="2"/>
  <c r="U215" i="9"/>
  <c r="U216" i="9" s="1"/>
  <c r="V363" i="2"/>
  <c r="W58" i="2"/>
  <c r="V23" i="9"/>
  <c r="V24" i="9" s="1"/>
  <c r="X35" i="9"/>
  <c r="X36" i="9" s="1"/>
  <c r="Y61" i="2"/>
  <c r="U123" i="2"/>
  <c r="U43" i="9"/>
  <c r="U44" i="9" s="1"/>
  <c r="V114" i="2"/>
  <c r="U11" i="9"/>
  <c r="U12" i="9" s="1"/>
  <c r="V55" i="2"/>
  <c r="U159" i="9"/>
  <c r="U160" i="9" s="1"/>
  <c r="V298" i="2"/>
  <c r="W279" i="9"/>
  <c r="W280" i="9" s="1"/>
  <c r="X481" i="2"/>
  <c r="W227" i="9"/>
  <c r="W228" i="9" s="1"/>
  <c r="X417" i="2"/>
  <c r="V83" i="9"/>
  <c r="V84" i="9" s="1"/>
  <c r="W175" i="2"/>
  <c r="U305" i="2"/>
  <c r="U151" i="9"/>
  <c r="U152" i="9" s="1"/>
  <c r="V296" i="2"/>
  <c r="Y155" i="9"/>
  <c r="Y156" i="9" s="1"/>
  <c r="Z297" i="2"/>
  <c r="V287" i="9"/>
  <c r="V288" i="9" s="1"/>
  <c r="W483" i="2"/>
  <c r="V31" i="9"/>
  <c r="V32" i="9" s="1"/>
  <c r="W60" i="2"/>
  <c r="U51" i="9"/>
  <c r="U52" i="9" s="1"/>
  <c r="V116" i="2"/>
  <c r="U425" i="2"/>
  <c r="U223" i="9"/>
  <c r="U224" i="9" s="1"/>
  <c r="V416" i="2"/>
  <c r="V63" i="2"/>
  <c r="V7" i="9"/>
  <c r="V8" i="9" s="1"/>
  <c r="W54" i="2"/>
  <c r="W175" i="9"/>
  <c r="W176" i="9" s="1"/>
  <c r="X302" i="2"/>
  <c r="W87" i="9"/>
  <c r="W88" i="9" s="1"/>
  <c r="X176" i="2"/>
  <c r="U239" i="9"/>
  <c r="U240" i="9" s="1"/>
  <c r="V420" i="2"/>
  <c r="W235" i="9"/>
  <c r="W236" i="9" s="1"/>
  <c r="X419" i="2"/>
  <c r="W259" i="9"/>
  <c r="W260" i="9" s="1"/>
  <c r="X476" i="2"/>
  <c r="U67" i="9"/>
  <c r="U68" i="9" s="1"/>
  <c r="V120" i="2"/>
  <c r="V135" i="9"/>
  <c r="V136" i="9" s="1"/>
  <c r="W239" i="2"/>
  <c r="V123" i="9"/>
  <c r="V124" i="9" s="1"/>
  <c r="W236" i="2"/>
  <c r="U19" i="9"/>
  <c r="U20" i="9" s="1"/>
  <c r="V57" i="2"/>
  <c r="V91" i="9"/>
  <c r="V92" i="9" s="1"/>
  <c r="W177" i="2"/>
  <c r="V167" i="9"/>
  <c r="V168" i="9" s="1"/>
  <c r="W300" i="2"/>
  <c r="W255" i="9"/>
  <c r="W256" i="9" s="1"/>
  <c r="X424" i="2"/>
  <c r="U63" i="2"/>
  <c r="V55" i="9"/>
  <c r="V56" i="9" s="1"/>
  <c r="W117" i="2"/>
  <c r="V67" i="9" l="1"/>
  <c r="V68" i="9" s="1"/>
  <c r="W120" i="2"/>
  <c r="X259" i="9"/>
  <c r="X260" i="9" s="1"/>
  <c r="Y476" i="2"/>
  <c r="W95" i="9"/>
  <c r="W96" i="9" s="1"/>
  <c r="X178" i="2"/>
  <c r="Y127" i="9"/>
  <c r="Y128" i="9" s="1"/>
  <c r="Z237" i="2"/>
  <c r="X219" i="9"/>
  <c r="X220" i="9" s="1"/>
  <c r="Y364" i="2"/>
  <c r="W243" i="9"/>
  <c r="W244" i="9" s="1"/>
  <c r="X421" i="2"/>
  <c r="V199" i="9"/>
  <c r="V200" i="9" s="1"/>
  <c r="W359" i="2"/>
  <c r="W167" i="9"/>
  <c r="W168" i="9" s="1"/>
  <c r="X300" i="2"/>
  <c r="X227" i="9"/>
  <c r="X228" i="9" s="1"/>
  <c r="Y417" i="2"/>
  <c r="W23" i="9"/>
  <c r="W24" i="9" s="1"/>
  <c r="X58" i="2"/>
  <c r="V211" i="9"/>
  <c r="V212" i="9" s="1"/>
  <c r="W362" i="2"/>
  <c r="Y35" i="9"/>
  <c r="Y36" i="9" s="1"/>
  <c r="Z61" i="2"/>
  <c r="W83" i="9"/>
  <c r="W84" i="9" s="1"/>
  <c r="X175" i="2"/>
  <c r="V215" i="9"/>
  <c r="V216" i="9" s="1"/>
  <c r="W363" i="2"/>
  <c r="Y147" i="9"/>
  <c r="Y148" i="9" s="1"/>
  <c r="Z242" i="2"/>
  <c r="Y107" i="9"/>
  <c r="Y108" i="9" s="1"/>
  <c r="Z181" i="2"/>
  <c r="V15" i="9"/>
  <c r="V16" i="9" s="1"/>
  <c r="W56" i="2"/>
  <c r="W119" i="9"/>
  <c r="W120" i="9" s="1"/>
  <c r="X235" i="2"/>
  <c r="V27" i="9"/>
  <c r="V28" i="9" s="1"/>
  <c r="W59" i="2"/>
  <c r="W183" i="2"/>
  <c r="W79" i="9"/>
  <c r="W80" i="9" s="1"/>
  <c r="X174" i="2"/>
  <c r="W267" i="9"/>
  <c r="W268" i="9" s="1"/>
  <c r="X478" i="2"/>
  <c r="X203" i="9"/>
  <c r="X204" i="9" s="1"/>
  <c r="Y360" i="2"/>
  <c r="W91" i="9"/>
  <c r="W92" i="9" s="1"/>
  <c r="X177" i="2"/>
  <c r="X279" i="9"/>
  <c r="X280" i="9" s="1"/>
  <c r="Y481" i="2"/>
  <c r="X103" i="9"/>
  <c r="X104" i="9" s="1"/>
  <c r="Y180" i="2"/>
  <c r="V239" i="9"/>
  <c r="V240" i="9" s="1"/>
  <c r="W420" i="2"/>
  <c r="W31" i="9"/>
  <c r="W32" i="9" s="1"/>
  <c r="X60" i="2"/>
  <c r="V131" i="9"/>
  <c r="V132" i="9" s="1"/>
  <c r="W238" i="2"/>
  <c r="Y139" i="9"/>
  <c r="Y140" i="9" s="1"/>
  <c r="Z240" i="2"/>
  <c r="Y231" i="9"/>
  <c r="Y232" i="9" s="1"/>
  <c r="Z418" i="2"/>
  <c r="W183" i="9"/>
  <c r="W184" i="9" s="1"/>
  <c r="X304" i="2"/>
  <c r="Y207" i="9"/>
  <c r="Y208" i="9" s="1"/>
  <c r="Z361" i="2"/>
  <c r="Z99" i="9"/>
  <c r="Z100" i="9" s="1"/>
  <c r="AA179" i="2"/>
  <c r="V19" i="9"/>
  <c r="V20" i="9" s="1"/>
  <c r="W57" i="2"/>
  <c r="V159" i="9"/>
  <c r="V160" i="9" s="1"/>
  <c r="W298" i="2"/>
  <c r="V195" i="9"/>
  <c r="V196" i="9" s="1"/>
  <c r="W358" i="2"/>
  <c r="X255" i="9"/>
  <c r="X256" i="9" s="1"/>
  <c r="Y424" i="2"/>
  <c r="V39" i="9"/>
  <c r="V40" i="9" s="1"/>
  <c r="W62" i="2"/>
  <c r="X235" i="9"/>
  <c r="X236" i="9" s="1"/>
  <c r="Y419" i="2"/>
  <c r="X87" i="9"/>
  <c r="X88" i="9" s="1"/>
  <c r="Y176" i="2"/>
  <c r="W287" i="9"/>
  <c r="W288" i="9" s="1"/>
  <c r="X483" i="2"/>
  <c r="X271" i="9"/>
  <c r="X272" i="9" s="1"/>
  <c r="Y479" i="2"/>
  <c r="V75" i="9"/>
  <c r="V76" i="9" s="1"/>
  <c r="W122" i="2"/>
  <c r="V179" i="9"/>
  <c r="V180" i="9" s="1"/>
  <c r="W303" i="2"/>
  <c r="W243" i="2"/>
  <c r="W115" i="9"/>
  <c r="W116" i="9" s="1"/>
  <c r="X234" i="2"/>
  <c r="V275" i="9"/>
  <c r="V276" i="9" s="1"/>
  <c r="W480" i="2"/>
  <c r="W247" i="9"/>
  <c r="W248" i="9" s="1"/>
  <c r="X422" i="2"/>
  <c r="V425" i="2"/>
  <c r="V223" i="9"/>
  <c r="V224" i="9" s="1"/>
  <c r="W416" i="2"/>
  <c r="W123" i="9"/>
  <c r="W124" i="9" s="1"/>
  <c r="X236" i="2"/>
  <c r="V191" i="9"/>
  <c r="V192" i="9" s="1"/>
  <c r="W357" i="2"/>
  <c r="V365" i="2"/>
  <c r="W111" i="9"/>
  <c r="W112" i="9" s="1"/>
  <c r="X182" i="2"/>
  <c r="V47" i="9"/>
  <c r="V48" i="9" s="1"/>
  <c r="W115" i="2"/>
  <c r="V51" i="9"/>
  <c r="V52" i="9" s="1"/>
  <c r="W116" i="2"/>
  <c r="V11" i="9"/>
  <c r="V12" i="9" s="1"/>
  <c r="W55" i="2"/>
  <c r="W63" i="2" s="1"/>
  <c r="X175" i="9"/>
  <c r="X176" i="9" s="1"/>
  <c r="Y302" i="2"/>
  <c r="Z155" i="9"/>
  <c r="Z156" i="9" s="1"/>
  <c r="AA297" i="2"/>
  <c r="Y163" i="9"/>
  <c r="Y164" i="9" s="1"/>
  <c r="Z299" i="2"/>
  <c r="V71" i="9"/>
  <c r="V72" i="9" s="1"/>
  <c r="W121" i="2"/>
  <c r="V171" i="9"/>
  <c r="V172" i="9" s="1"/>
  <c r="W301" i="2"/>
  <c r="V243" i="2"/>
  <c r="Y187" i="9"/>
  <c r="Y188" i="9" s="1"/>
  <c r="Z356" i="2"/>
  <c r="W135" i="9"/>
  <c r="W136" i="9" s="1"/>
  <c r="X239" i="2"/>
  <c r="V123" i="2"/>
  <c r="V43" i="9"/>
  <c r="V44" i="9" s="1"/>
  <c r="W114" i="2"/>
  <c r="W283" i="9"/>
  <c r="W284" i="9" s="1"/>
  <c r="X482" i="2"/>
  <c r="W63" i="9"/>
  <c r="W64" i="9" s="1"/>
  <c r="X119" i="2"/>
  <c r="W251" i="9"/>
  <c r="W252" i="9" s="1"/>
  <c r="X423" i="2"/>
  <c r="V263" i="9"/>
  <c r="V264" i="9" s="1"/>
  <c r="W477" i="2"/>
  <c r="V485" i="2"/>
  <c r="W55" i="9"/>
  <c r="W56" i="9" s="1"/>
  <c r="X117" i="2"/>
  <c r="W7" i="9"/>
  <c r="W8" i="9" s="1"/>
  <c r="X54" i="2"/>
  <c r="V305" i="2"/>
  <c r="V151" i="9"/>
  <c r="V152" i="9" s="1"/>
  <c r="W296" i="2"/>
  <c r="X143" i="9"/>
  <c r="X144" i="9" s="1"/>
  <c r="Y241" i="2"/>
  <c r="V59" i="9"/>
  <c r="V60" i="9" s="1"/>
  <c r="W118" i="2"/>
  <c r="Y291" i="9"/>
  <c r="Y292" i="9" s="1"/>
  <c r="Z484" i="2"/>
  <c r="Y219" i="9" l="1"/>
  <c r="Y220" i="9" s="1"/>
  <c r="Z364" i="2"/>
  <c r="X63" i="9"/>
  <c r="X64" i="9" s="1"/>
  <c r="Y119" i="2"/>
  <c r="Y235" i="9"/>
  <c r="Y236" i="9" s="1"/>
  <c r="Z419" i="2"/>
  <c r="Z207" i="9"/>
  <c r="Z208" i="9" s="1"/>
  <c r="AA361" i="2"/>
  <c r="Y103" i="9"/>
  <c r="Y104" i="9" s="1"/>
  <c r="Z180" i="2"/>
  <c r="X183" i="2"/>
  <c r="X79" i="9"/>
  <c r="X80" i="9" s="1"/>
  <c r="Y174" i="2"/>
  <c r="W239" i="9"/>
  <c r="W240" i="9" s="1"/>
  <c r="X420" i="2"/>
  <c r="W27" i="9"/>
  <c r="W28" i="9" s="1"/>
  <c r="X59" i="2"/>
  <c r="X111" i="9"/>
  <c r="X112" i="9" s="1"/>
  <c r="Y182" i="2"/>
  <c r="X115" i="9"/>
  <c r="X116" i="9" s="1"/>
  <c r="Y234" i="2"/>
  <c r="X119" i="9"/>
  <c r="X120" i="9" s="1"/>
  <c r="Y235" i="2"/>
  <c r="W211" i="9"/>
  <c r="W212" i="9" s="1"/>
  <c r="X362" i="2"/>
  <c r="Z127" i="9"/>
  <c r="Z128" i="9" s="1"/>
  <c r="AA237" i="2"/>
  <c r="W19" i="9"/>
  <c r="W20" i="9" s="1"/>
  <c r="X57" i="2"/>
  <c r="W275" i="9"/>
  <c r="W276" i="9" s="1"/>
  <c r="X480" i="2"/>
  <c r="W305" i="2"/>
  <c r="W151" i="9"/>
  <c r="W152" i="9" s="1"/>
  <c r="X296" i="2"/>
  <c r="Y279" i="9"/>
  <c r="Y280" i="9" s="1"/>
  <c r="Z481" i="2"/>
  <c r="Z163" i="9"/>
  <c r="Z164" i="9" s="1"/>
  <c r="AA299" i="2"/>
  <c r="W15" i="9"/>
  <c r="W16" i="9" s="1"/>
  <c r="X56" i="2"/>
  <c r="X23" i="9"/>
  <c r="X24" i="9" s="1"/>
  <c r="Y58" i="2"/>
  <c r="X95" i="9"/>
  <c r="X96" i="9" s="1"/>
  <c r="Y178" i="2"/>
  <c r="X247" i="9"/>
  <c r="X248" i="9" s="1"/>
  <c r="Y422" i="2"/>
  <c r="AA99" i="9"/>
  <c r="AA100" i="9" s="1"/>
  <c r="AB179" i="2"/>
  <c r="W47" i="9"/>
  <c r="W48" i="9" s="1"/>
  <c r="X115" i="2"/>
  <c r="Z35" i="9"/>
  <c r="Z36" i="9" s="1"/>
  <c r="AA61" i="2"/>
  <c r="W39" i="9"/>
  <c r="W40" i="9" s="1"/>
  <c r="X62" i="2"/>
  <c r="X183" i="9"/>
  <c r="X184" i="9" s="1"/>
  <c r="Y304" i="2"/>
  <c r="X7" i="9"/>
  <c r="X8" i="9" s="1"/>
  <c r="Y54" i="2"/>
  <c r="W123" i="2"/>
  <c r="W43" i="9"/>
  <c r="W44" i="9" s="1"/>
  <c r="X114" i="2"/>
  <c r="W191" i="9"/>
  <c r="W192" i="9" s="1"/>
  <c r="X357" i="2"/>
  <c r="W365" i="2"/>
  <c r="W179" i="9"/>
  <c r="W180" i="9" s="1"/>
  <c r="X303" i="2"/>
  <c r="Y255" i="9"/>
  <c r="Y256" i="9" s="1"/>
  <c r="Z424" i="2"/>
  <c r="Z231" i="9"/>
  <c r="Z232" i="9" s="1"/>
  <c r="AA418" i="2"/>
  <c r="X91" i="9"/>
  <c r="X92" i="9" s="1"/>
  <c r="Y177" i="2"/>
  <c r="X243" i="9"/>
  <c r="X244" i="9" s="1"/>
  <c r="Y421" i="2"/>
  <c r="Y143" i="9"/>
  <c r="Y144" i="9" s="1"/>
  <c r="Z241" i="2"/>
  <c r="AA155" i="9"/>
  <c r="AA156" i="9" s="1"/>
  <c r="AB297" i="2"/>
  <c r="Z107" i="9"/>
  <c r="Z108" i="9" s="1"/>
  <c r="AA181" i="2"/>
  <c r="Y227" i="9"/>
  <c r="Y228" i="9" s="1"/>
  <c r="Z417" i="2"/>
  <c r="Y259" i="9"/>
  <c r="Y260" i="9" s="1"/>
  <c r="Z476" i="2"/>
  <c r="W59" i="9"/>
  <c r="W60" i="9" s="1"/>
  <c r="X118" i="2"/>
  <c r="W171" i="9"/>
  <c r="W172" i="9" s="1"/>
  <c r="X301" i="2"/>
  <c r="X283" i="9"/>
  <c r="X284" i="9" s="1"/>
  <c r="Y482" i="2"/>
  <c r="X123" i="9"/>
  <c r="X124" i="9" s="1"/>
  <c r="Y236" i="2"/>
  <c r="W75" i="9"/>
  <c r="W76" i="9" s="1"/>
  <c r="X122" i="2"/>
  <c r="W195" i="9"/>
  <c r="W196" i="9" s="1"/>
  <c r="X358" i="2"/>
  <c r="Z139" i="9"/>
  <c r="Z140" i="9" s="1"/>
  <c r="AA240" i="2"/>
  <c r="Y203" i="9"/>
  <c r="Y204" i="9" s="1"/>
  <c r="Z360" i="2"/>
  <c r="X251" i="9"/>
  <c r="X252" i="9" s="1"/>
  <c r="Y423" i="2"/>
  <c r="X135" i="9"/>
  <c r="X136" i="9" s="1"/>
  <c r="Y239" i="2"/>
  <c r="Y175" i="9"/>
  <c r="Y176" i="9" s="1"/>
  <c r="Z302" i="2"/>
  <c r="Z147" i="9"/>
  <c r="Z148" i="9" s="1"/>
  <c r="AA242" i="2"/>
  <c r="X167" i="9"/>
  <c r="X168" i="9" s="1"/>
  <c r="Y300" i="2"/>
  <c r="X287" i="9"/>
  <c r="X288" i="9" s="1"/>
  <c r="Y483" i="2"/>
  <c r="W51" i="9"/>
  <c r="W52" i="9" s="1"/>
  <c r="X116" i="2"/>
  <c r="Y87" i="9"/>
  <c r="Y88" i="9" s="1"/>
  <c r="Z176" i="2"/>
  <c r="W71" i="9"/>
  <c r="W72" i="9" s="1"/>
  <c r="X121" i="2"/>
  <c r="X55" i="9"/>
  <c r="X56" i="9" s="1"/>
  <c r="Y117" i="2"/>
  <c r="W425" i="2"/>
  <c r="W223" i="9"/>
  <c r="W224" i="9" s="1"/>
  <c r="X416" i="2"/>
  <c r="Y271" i="9"/>
  <c r="Y272" i="9" s="1"/>
  <c r="Z479" i="2"/>
  <c r="W159" i="9"/>
  <c r="W160" i="9" s="1"/>
  <c r="X298" i="2"/>
  <c r="W131" i="9"/>
  <c r="W132" i="9" s="1"/>
  <c r="X238" i="2"/>
  <c r="X267" i="9"/>
  <c r="X268" i="9" s="1"/>
  <c r="Y478" i="2"/>
  <c r="W67" i="9"/>
  <c r="W68" i="9" s="1"/>
  <c r="X120" i="2"/>
  <c r="W263" i="9"/>
  <c r="W264" i="9" s="1"/>
  <c r="X477" i="2"/>
  <c r="W485" i="2"/>
  <c r="X31" i="9"/>
  <c r="X32" i="9" s="1"/>
  <c r="Y60" i="2"/>
  <c r="X83" i="9"/>
  <c r="X84" i="9" s="1"/>
  <c r="Y175" i="2"/>
  <c r="Z291" i="9"/>
  <c r="Z292" i="9" s="1"/>
  <c r="AA484" i="2"/>
  <c r="Z187" i="9"/>
  <c r="Z188" i="9" s="1"/>
  <c r="AA356" i="2"/>
  <c r="W11" i="9"/>
  <c r="W12" i="9" s="1"/>
  <c r="X55" i="2"/>
  <c r="W215" i="9"/>
  <c r="W216" i="9" s="1"/>
  <c r="X363" i="2"/>
  <c r="W199" i="9"/>
  <c r="W200" i="9" s="1"/>
  <c r="X359" i="2"/>
  <c r="AA147" i="9" l="1"/>
  <c r="AA148" i="9" s="1"/>
  <c r="AB242" i="2"/>
  <c r="AA107" i="9"/>
  <c r="AA108" i="9" s="1"/>
  <c r="AB181" i="2"/>
  <c r="Z175" i="9"/>
  <c r="Z176" i="9" s="1"/>
  <c r="AA302" i="2"/>
  <c r="Y123" i="9"/>
  <c r="Y124" i="9" s="1"/>
  <c r="Z236" i="2"/>
  <c r="AA35" i="9"/>
  <c r="AA36" i="9" s="1"/>
  <c r="AB61" i="2"/>
  <c r="AA163" i="9"/>
  <c r="AA164" i="9" s="1"/>
  <c r="AB299" i="2"/>
  <c r="X11" i="9"/>
  <c r="X12" i="9" s="1"/>
  <c r="Y55" i="2"/>
  <c r="Y63" i="2" s="1"/>
  <c r="X67" i="9"/>
  <c r="X68" i="9" s="1"/>
  <c r="Y120" i="2"/>
  <c r="AB155" i="9"/>
  <c r="AB156" i="9" s="1"/>
  <c r="AC297" i="2"/>
  <c r="Y119" i="9"/>
  <c r="Y120" i="9" s="1"/>
  <c r="Z235" i="2"/>
  <c r="Z103" i="9"/>
  <c r="Z104" i="9" s="1"/>
  <c r="AA180" i="2"/>
  <c r="X199" i="9"/>
  <c r="X200" i="9" s="1"/>
  <c r="Y359" i="2"/>
  <c r="Y183" i="2"/>
  <c r="Y79" i="9"/>
  <c r="Y80" i="9" s="1"/>
  <c r="Z174" i="2"/>
  <c r="X71" i="9"/>
  <c r="X72" i="9" s="1"/>
  <c r="Y121" i="2"/>
  <c r="Y135" i="9"/>
  <c r="Y136" i="9" s="1"/>
  <c r="Z239" i="2"/>
  <c r="Y283" i="9"/>
  <c r="Y284" i="9" s="1"/>
  <c r="Z482" i="2"/>
  <c r="X191" i="9"/>
  <c r="X192" i="9" s="1"/>
  <c r="Y357" i="2"/>
  <c r="X365" i="2"/>
  <c r="X47" i="9"/>
  <c r="X48" i="9" s="1"/>
  <c r="Y115" i="2"/>
  <c r="Z279" i="9"/>
  <c r="Z280" i="9" s="1"/>
  <c r="AA481" i="2"/>
  <c r="Z227" i="9"/>
  <c r="Z228" i="9" s="1"/>
  <c r="AA417" i="2"/>
  <c r="X263" i="9"/>
  <c r="X264" i="9" s="1"/>
  <c r="Y477" i="2"/>
  <c r="X485" i="2"/>
  <c r="Y115" i="9"/>
  <c r="Y116" i="9" s="1"/>
  <c r="Z234" i="2"/>
  <c r="Z87" i="9"/>
  <c r="Z88" i="9" s="1"/>
  <c r="AA176" i="2"/>
  <c r="Y251" i="9"/>
  <c r="Y252" i="9" s="1"/>
  <c r="Z423" i="2"/>
  <c r="X171" i="9"/>
  <c r="X172" i="9" s="1"/>
  <c r="Y301" i="2"/>
  <c r="X123" i="2"/>
  <c r="X43" i="9"/>
  <c r="X44" i="9" s="1"/>
  <c r="Y114" i="2"/>
  <c r="AB99" i="9"/>
  <c r="AB100" i="9" s="1"/>
  <c r="AC179" i="2"/>
  <c r="X305" i="2"/>
  <c r="X151" i="9"/>
  <c r="X152" i="9" s="1"/>
  <c r="Y296" i="2"/>
  <c r="X15" i="9"/>
  <c r="X16" i="9" s="1"/>
  <c r="Y56" i="2"/>
  <c r="Z143" i="9"/>
  <c r="Z144" i="9" s="1"/>
  <c r="AA241" i="2"/>
  <c r="AA207" i="9"/>
  <c r="AA208" i="9" s="1"/>
  <c r="AB361" i="2"/>
  <c r="X131" i="9"/>
  <c r="X132" i="9" s="1"/>
  <c r="Y238" i="2"/>
  <c r="Y243" i="9"/>
  <c r="Y244" i="9" s="1"/>
  <c r="Z421" i="2"/>
  <c r="X243" i="2"/>
  <c r="Z235" i="9"/>
  <c r="Z236" i="9" s="1"/>
  <c r="AA419" i="2"/>
  <c r="AA127" i="9"/>
  <c r="AA128" i="9" s="1"/>
  <c r="AB237" i="2"/>
  <c r="X75" i="9"/>
  <c r="X76" i="9" s="1"/>
  <c r="Y122" i="2"/>
  <c r="X215" i="9"/>
  <c r="X216" i="9" s="1"/>
  <c r="Y363" i="2"/>
  <c r="Y55" i="9"/>
  <c r="Y56" i="9" s="1"/>
  <c r="Z117" i="2"/>
  <c r="AA291" i="9"/>
  <c r="AA292" i="9" s="1"/>
  <c r="AB484" i="2"/>
  <c r="X51" i="9"/>
  <c r="X52" i="9" s="1"/>
  <c r="Y116" i="2"/>
  <c r="Z203" i="9"/>
  <c r="Z204" i="9" s="1"/>
  <c r="AA360" i="2"/>
  <c r="X59" i="9"/>
  <c r="X60" i="9" s="1"/>
  <c r="Y118" i="2"/>
  <c r="Y247" i="9"/>
  <c r="Y248" i="9" s="1"/>
  <c r="Z422" i="2"/>
  <c r="Y111" i="9"/>
  <c r="Y112" i="9" s="1"/>
  <c r="Z182" i="2"/>
  <c r="X211" i="9"/>
  <c r="X212" i="9" s="1"/>
  <c r="Y362" i="2"/>
  <c r="Y267" i="9"/>
  <c r="Y268" i="9" s="1"/>
  <c r="Z478" i="2"/>
  <c r="X159" i="9"/>
  <c r="X160" i="9" s="1"/>
  <c r="Y298" i="2"/>
  <c r="Y91" i="9"/>
  <c r="Y92" i="9" s="1"/>
  <c r="Z177" i="2"/>
  <c r="Y7" i="9"/>
  <c r="Y8" i="9" s="1"/>
  <c r="Z54" i="2"/>
  <c r="X275" i="9"/>
  <c r="X276" i="9" s="1"/>
  <c r="Y480" i="2"/>
  <c r="Y63" i="9"/>
  <c r="Y64" i="9" s="1"/>
  <c r="Z119" i="2"/>
  <c r="X39" i="9"/>
  <c r="X40" i="9" s="1"/>
  <c r="Y62" i="2"/>
  <c r="X179" i="9"/>
  <c r="X180" i="9" s="1"/>
  <c r="Y303" i="2"/>
  <c r="AA187" i="9"/>
  <c r="AA188" i="9" s="1"/>
  <c r="AB356" i="2"/>
  <c r="Y83" i="9"/>
  <c r="Y84" i="9" s="1"/>
  <c r="Z175" i="2"/>
  <c r="Y287" i="9"/>
  <c r="Y288" i="9" s="1"/>
  <c r="Z483" i="2"/>
  <c r="AA139" i="9"/>
  <c r="AA140" i="9" s="1"/>
  <c r="AB240" i="2"/>
  <c r="Z259" i="9"/>
  <c r="Z260" i="9" s="1"/>
  <c r="AA476" i="2"/>
  <c r="Y95" i="9"/>
  <c r="Y96" i="9" s="1"/>
  <c r="Z178" i="2"/>
  <c r="X27" i="9"/>
  <c r="X28" i="9" s="1"/>
  <c r="Y59" i="2"/>
  <c r="X425" i="2"/>
  <c r="X223" i="9"/>
  <c r="X224" i="9" s="1"/>
  <c r="Y416" i="2"/>
  <c r="AA231" i="9"/>
  <c r="AA232" i="9" s="1"/>
  <c r="AB418" i="2"/>
  <c r="X63" i="2"/>
  <c r="X19" i="9"/>
  <c r="X20" i="9" s="1"/>
  <c r="Y57" i="2"/>
  <c r="Z219" i="9"/>
  <c r="Z220" i="9" s="1"/>
  <c r="AA364" i="2"/>
  <c r="Z255" i="9"/>
  <c r="Z256" i="9" s="1"/>
  <c r="AA424" i="2"/>
  <c r="Z271" i="9"/>
  <c r="Z272" i="9" s="1"/>
  <c r="AA479" i="2"/>
  <c r="Y31" i="9"/>
  <c r="Y32" i="9" s="1"/>
  <c r="Z60" i="2"/>
  <c r="Y167" i="9"/>
  <c r="Y168" i="9" s="1"/>
  <c r="Z300" i="2"/>
  <c r="X195" i="9"/>
  <c r="X196" i="9" s="1"/>
  <c r="Y358" i="2"/>
  <c r="Y183" i="9"/>
  <c r="Y184" i="9" s="1"/>
  <c r="Z304" i="2"/>
  <c r="Y23" i="9"/>
  <c r="Y24" i="9" s="1"/>
  <c r="Z58" i="2"/>
  <c r="X239" i="9"/>
  <c r="X240" i="9" s="1"/>
  <c r="Y420" i="2"/>
  <c r="Y39" i="9" l="1"/>
  <c r="Y40" i="9" s="1"/>
  <c r="Z62" i="2"/>
  <c r="Y131" i="9"/>
  <c r="Y132" i="9" s="1"/>
  <c r="Z238" i="2"/>
  <c r="Z183" i="2"/>
  <c r="Z79" i="9"/>
  <c r="Z80" i="9" s="1"/>
  <c r="AA174" i="2"/>
  <c r="AA279" i="9"/>
  <c r="AA280" i="9" s="1"/>
  <c r="AB481" i="2"/>
  <c r="Y195" i="9"/>
  <c r="Y196" i="9" s="1"/>
  <c r="Z358" i="2"/>
  <c r="Y275" i="9"/>
  <c r="Y276" i="9" s="1"/>
  <c r="Z480" i="2"/>
  <c r="AA143" i="9"/>
  <c r="AA144" i="9" s="1"/>
  <c r="AB241" i="2"/>
  <c r="Z251" i="9"/>
  <c r="Z252" i="9" s="1"/>
  <c r="AA423" i="2"/>
  <c r="Y47" i="9"/>
  <c r="Y48" i="9" s="1"/>
  <c r="Z115" i="2"/>
  <c r="Y199" i="9"/>
  <c r="Y200" i="9" s="1"/>
  <c r="Z359" i="2"/>
  <c r="AB35" i="9"/>
  <c r="AB36" i="9" s="1"/>
  <c r="AC61" i="2"/>
  <c r="Y171" i="9"/>
  <c r="Y172" i="9" s="1"/>
  <c r="Z301" i="2"/>
  <c r="Z247" i="9"/>
  <c r="Z248" i="9" s="1"/>
  <c r="AA422" i="2"/>
  <c r="Y75" i="9"/>
  <c r="Y76" i="9" s="1"/>
  <c r="Z122" i="2"/>
  <c r="AA227" i="9"/>
  <c r="AA228" i="9" s="1"/>
  <c r="AB417" i="2"/>
  <c r="AB163" i="9"/>
  <c r="AB164" i="9" s="1"/>
  <c r="AC299" i="2"/>
  <c r="Z7" i="9"/>
  <c r="Z8" i="9" s="1"/>
  <c r="AA54" i="2"/>
  <c r="Y15" i="9"/>
  <c r="Y16" i="9" s="1"/>
  <c r="Z56" i="2"/>
  <c r="AA87" i="9"/>
  <c r="AA88" i="9" s="1"/>
  <c r="AB176" i="2"/>
  <c r="Z123" i="9"/>
  <c r="Z124" i="9" s="1"/>
  <c r="AA236" i="2"/>
  <c r="Y425" i="2"/>
  <c r="Y223" i="9"/>
  <c r="Y224" i="9" s="1"/>
  <c r="Z416" i="2"/>
  <c r="Z83" i="9"/>
  <c r="Z84" i="9" s="1"/>
  <c r="AA175" i="2"/>
  <c r="Y59" i="9"/>
  <c r="Y60" i="9" s="1"/>
  <c r="Z118" i="2"/>
  <c r="AB127" i="9"/>
  <c r="AB128" i="9" s="1"/>
  <c r="AC237" i="2"/>
  <c r="Y191" i="9"/>
  <c r="Y192" i="9" s="1"/>
  <c r="Z357" i="2"/>
  <c r="Y365" i="2"/>
  <c r="Z23" i="9"/>
  <c r="Z24" i="9" s="1"/>
  <c r="AA58" i="2"/>
  <c r="Y215" i="9"/>
  <c r="Y216" i="9" s="1"/>
  <c r="Z363" i="2"/>
  <c r="Z167" i="9"/>
  <c r="Z168" i="9" s="1"/>
  <c r="AA300" i="2"/>
  <c r="AA103" i="9"/>
  <c r="AA104" i="9" s="1"/>
  <c r="AB180" i="2"/>
  <c r="Z31" i="9"/>
  <c r="Z32" i="9" s="1"/>
  <c r="AA60" i="2"/>
  <c r="Y305" i="2"/>
  <c r="Y151" i="9"/>
  <c r="Y152" i="9" s="1"/>
  <c r="Z296" i="2"/>
  <c r="Z243" i="2"/>
  <c r="Z115" i="9"/>
  <c r="Z116" i="9" s="1"/>
  <c r="AA234" i="2"/>
  <c r="Z119" i="9"/>
  <c r="Z120" i="9" s="1"/>
  <c r="AA235" i="2"/>
  <c r="AA175" i="9"/>
  <c r="AA176" i="9" s="1"/>
  <c r="AB302" i="2"/>
  <c r="AB139" i="9"/>
  <c r="AB140" i="9" s="1"/>
  <c r="AC240" i="2"/>
  <c r="Z287" i="9"/>
  <c r="Z288" i="9" s="1"/>
  <c r="AA483" i="2"/>
  <c r="AB187" i="9"/>
  <c r="AB188" i="9" s="1"/>
  <c r="AC356" i="2"/>
  <c r="Z91" i="9"/>
  <c r="Z92" i="9" s="1"/>
  <c r="AA177" i="2"/>
  <c r="AA203" i="9"/>
  <c r="AA204" i="9" s="1"/>
  <c r="AB360" i="2"/>
  <c r="AA235" i="9"/>
  <c r="AA236" i="9" s="1"/>
  <c r="AB419" i="2"/>
  <c r="Z283" i="9"/>
  <c r="Z284" i="9" s="1"/>
  <c r="AA482" i="2"/>
  <c r="AA219" i="9"/>
  <c r="AA220" i="9" s="1"/>
  <c r="AB364" i="2"/>
  <c r="AA259" i="9"/>
  <c r="AA260" i="9" s="1"/>
  <c r="AB476" i="2"/>
  <c r="Z55" i="9"/>
  <c r="Z56" i="9" s="1"/>
  <c r="AA117" i="2"/>
  <c r="Z183" i="9"/>
  <c r="Z184" i="9" s="1"/>
  <c r="AA304" i="2"/>
  <c r="Z111" i="9"/>
  <c r="Z112" i="9" s="1"/>
  <c r="AA182" i="2"/>
  <c r="AB231" i="9"/>
  <c r="AB232" i="9" s="1"/>
  <c r="AC418" i="2"/>
  <c r="AA271" i="9"/>
  <c r="AA272" i="9" s="1"/>
  <c r="AB479" i="2"/>
  <c r="Y27" i="9"/>
  <c r="Y28" i="9" s="1"/>
  <c r="Z59" i="2"/>
  <c r="Y243" i="2"/>
  <c r="AC155" i="9"/>
  <c r="AC156" i="9" s="1"/>
  <c r="AD297" i="2"/>
  <c r="AB107" i="9"/>
  <c r="AB108" i="9" s="1"/>
  <c r="AC181" i="2"/>
  <c r="Z63" i="9"/>
  <c r="Z64" i="9" s="1"/>
  <c r="AA119" i="2"/>
  <c r="Y159" i="9"/>
  <c r="Y160" i="9" s="1"/>
  <c r="Z298" i="2"/>
  <c r="Y51" i="9"/>
  <c r="Y52" i="9" s="1"/>
  <c r="Z116" i="2"/>
  <c r="AC99" i="9"/>
  <c r="AC100" i="9" s="1"/>
  <c r="AD179" i="2"/>
  <c r="Z135" i="9"/>
  <c r="Z136" i="9" s="1"/>
  <c r="AA239" i="2"/>
  <c r="AB207" i="9"/>
  <c r="AB208" i="9" s="1"/>
  <c r="AC361" i="2"/>
  <c r="Y239" i="9"/>
  <c r="Y240" i="9" s="1"/>
  <c r="Z420" i="2"/>
  <c r="AA255" i="9"/>
  <c r="AA256" i="9" s="1"/>
  <c r="AB424" i="2"/>
  <c r="Z95" i="9"/>
  <c r="Z96" i="9" s="1"/>
  <c r="AA178" i="2"/>
  <c r="Y179" i="9"/>
  <c r="Y180" i="9" s="1"/>
  <c r="Z303" i="2"/>
  <c r="Z243" i="9"/>
  <c r="Z244" i="9" s="1"/>
  <c r="AA421" i="2"/>
  <c r="Y263" i="9"/>
  <c r="Y264" i="9" s="1"/>
  <c r="Z477" i="2"/>
  <c r="Y485" i="2"/>
  <c r="Y67" i="9"/>
  <c r="Y68" i="9" s="1"/>
  <c r="Z120" i="2"/>
  <c r="AB147" i="9"/>
  <c r="AB148" i="9" s="1"/>
  <c r="AC242" i="2"/>
  <c r="Y11" i="9"/>
  <c r="Y12" i="9" s="1"/>
  <c r="Z55" i="2"/>
  <c r="Z63" i="2" s="1"/>
  <c r="Y211" i="9"/>
  <c r="Y212" i="9" s="1"/>
  <c r="Z362" i="2"/>
  <c r="Y19" i="9"/>
  <c r="Y20" i="9" s="1"/>
  <c r="Z57" i="2"/>
  <c r="Z267" i="9"/>
  <c r="Z268" i="9" s="1"/>
  <c r="AA478" i="2"/>
  <c r="AB291" i="9"/>
  <c r="AB292" i="9" s="1"/>
  <c r="AC484" i="2"/>
  <c r="Y123" i="2"/>
  <c r="Y43" i="9"/>
  <c r="Y44" i="9" s="1"/>
  <c r="Z114" i="2"/>
  <c r="Y71" i="9"/>
  <c r="Y72" i="9" s="1"/>
  <c r="Z121" i="2"/>
  <c r="AA183" i="9" l="1"/>
  <c r="AA184" i="9" s="1"/>
  <c r="AB304" i="2"/>
  <c r="Z275" i="9"/>
  <c r="Z276" i="9" s="1"/>
  <c r="AA480" i="2"/>
  <c r="AA55" i="9"/>
  <c r="AA56" i="9" s="1"/>
  <c r="AB117" i="2"/>
  <c r="AC187" i="9"/>
  <c r="AC188" i="9" s="1"/>
  <c r="AD356" i="2"/>
  <c r="Z191" i="9"/>
  <c r="Z192" i="9" s="1"/>
  <c r="AA357" i="2"/>
  <c r="Z365" i="2"/>
  <c r="Z171" i="9"/>
  <c r="Z172" i="9" s="1"/>
  <c r="AA301" i="2"/>
  <c r="Z195" i="9"/>
  <c r="Z196" i="9" s="1"/>
  <c r="AA358" i="2"/>
  <c r="AC291" i="9"/>
  <c r="AC292" i="9" s="1"/>
  <c r="AD484" i="2"/>
  <c r="AB259" i="9"/>
  <c r="AB260" i="9" s="1"/>
  <c r="AC476" i="2"/>
  <c r="Z15" i="9"/>
  <c r="Z16" i="9" s="1"/>
  <c r="AA56" i="2"/>
  <c r="AA115" i="9"/>
  <c r="AA116" i="9" s="1"/>
  <c r="AB234" i="2"/>
  <c r="AC107" i="9"/>
  <c r="AC108" i="9" s="1"/>
  <c r="AD181" i="2"/>
  <c r="Z263" i="9"/>
  <c r="Z264" i="9" s="1"/>
  <c r="AA477" i="2"/>
  <c r="Z485" i="2"/>
  <c r="AA135" i="9"/>
  <c r="AA136" i="9" s="1"/>
  <c r="AB239" i="2"/>
  <c r="AC127" i="9"/>
  <c r="AC128" i="9" s="1"/>
  <c r="AD237" i="2"/>
  <c r="AC35" i="9"/>
  <c r="AC36" i="9" s="1"/>
  <c r="AD61" i="2"/>
  <c r="AB279" i="9"/>
  <c r="AB280" i="9" s="1"/>
  <c r="AC481" i="2"/>
  <c r="Z239" i="9"/>
  <c r="Z240" i="9" s="1"/>
  <c r="AA420" i="2"/>
  <c r="AA247" i="9"/>
  <c r="AA248" i="9" s="1"/>
  <c r="AB422" i="2"/>
  <c r="AA287" i="9"/>
  <c r="AA288" i="9" s="1"/>
  <c r="AB483" i="2"/>
  <c r="AA243" i="9"/>
  <c r="AA244" i="9" s="1"/>
  <c r="AB421" i="2"/>
  <c r="AD99" i="9"/>
  <c r="AD100" i="9" s="1"/>
  <c r="AE179" i="2"/>
  <c r="AE99" i="9" s="1"/>
  <c r="AE100" i="9" s="1"/>
  <c r="AB219" i="9"/>
  <c r="AB220" i="9" s="1"/>
  <c r="AC364" i="2"/>
  <c r="Z59" i="9"/>
  <c r="Z60" i="9" s="1"/>
  <c r="AA118" i="2"/>
  <c r="Z199" i="9"/>
  <c r="Z200" i="9" s="1"/>
  <c r="AA359" i="2"/>
  <c r="AA183" i="2"/>
  <c r="AA79" i="9"/>
  <c r="AA80" i="9" s="1"/>
  <c r="AB174" i="2"/>
  <c r="AC147" i="9"/>
  <c r="AC148" i="9" s="1"/>
  <c r="AD242" i="2"/>
  <c r="AA91" i="9"/>
  <c r="AA92" i="9" s="1"/>
  <c r="AB177" i="2"/>
  <c r="Z305" i="2"/>
  <c r="Z151" i="9"/>
  <c r="Z152" i="9" s="1"/>
  <c r="AA296" i="2"/>
  <c r="AA267" i="9"/>
  <c r="AA268" i="9" s="1"/>
  <c r="AB478" i="2"/>
  <c r="Z27" i="9"/>
  <c r="Z28" i="9" s="1"/>
  <c r="AA59" i="2"/>
  <c r="AA31" i="9"/>
  <c r="AA32" i="9" s="1"/>
  <c r="AB60" i="2"/>
  <c r="AA7" i="9"/>
  <c r="AA8" i="9" s="1"/>
  <c r="AB54" i="2"/>
  <c r="Z19" i="9"/>
  <c r="Z20" i="9" s="1"/>
  <c r="AA57" i="2"/>
  <c r="AB271" i="9"/>
  <c r="AB272" i="9" s="1"/>
  <c r="AC479" i="2"/>
  <c r="AC139" i="9"/>
  <c r="AC140" i="9" s="1"/>
  <c r="AD240" i="2"/>
  <c r="AB103" i="9"/>
  <c r="AB104" i="9" s="1"/>
  <c r="AC180" i="2"/>
  <c r="AA23" i="9"/>
  <c r="AA24" i="9" s="1"/>
  <c r="AB58" i="2"/>
  <c r="Z67" i="9"/>
  <c r="Z68" i="9" s="1"/>
  <c r="AA120" i="2"/>
  <c r="AC207" i="9"/>
  <c r="AC208" i="9" s="1"/>
  <c r="AD361" i="2"/>
  <c r="Z179" i="9"/>
  <c r="Z180" i="9" s="1"/>
  <c r="AA303" i="2"/>
  <c r="Z51" i="9"/>
  <c r="Z52" i="9" s="1"/>
  <c r="AA116" i="2"/>
  <c r="AA283" i="9"/>
  <c r="AA284" i="9" s="1"/>
  <c r="AB482" i="2"/>
  <c r="AA83" i="9"/>
  <c r="AA84" i="9" s="1"/>
  <c r="AB175" i="2"/>
  <c r="AC163" i="9"/>
  <c r="AC164" i="9" s="1"/>
  <c r="AD299" i="2"/>
  <c r="Z47" i="9"/>
  <c r="Z48" i="9" s="1"/>
  <c r="AA115" i="2"/>
  <c r="AC231" i="9"/>
  <c r="AC232" i="9" s="1"/>
  <c r="AD418" i="2"/>
  <c r="AB175" i="9"/>
  <c r="AB176" i="9" s="1"/>
  <c r="AC302" i="2"/>
  <c r="AA167" i="9"/>
  <c r="AA168" i="9" s="1"/>
  <c r="AB300" i="2"/>
  <c r="Z131" i="9"/>
  <c r="Z132" i="9" s="1"/>
  <c r="AA238" i="2"/>
  <c r="Z123" i="2"/>
  <c r="Z43" i="9"/>
  <c r="Z44" i="9" s="1"/>
  <c r="AA114" i="2"/>
  <c r="AB87" i="9"/>
  <c r="AB88" i="9" s="1"/>
  <c r="AC176" i="2"/>
  <c r="AA95" i="9"/>
  <c r="AA96" i="9" s="1"/>
  <c r="AB178" i="2"/>
  <c r="Z159" i="9"/>
  <c r="Z160" i="9" s="1"/>
  <c r="AA298" i="2"/>
  <c r="AB235" i="9"/>
  <c r="AB236" i="9" s="1"/>
  <c r="AC419" i="2"/>
  <c r="Z425" i="2"/>
  <c r="Z223" i="9"/>
  <c r="Z224" i="9" s="1"/>
  <c r="AA416" i="2"/>
  <c r="AB227" i="9"/>
  <c r="AB228" i="9" s="1"/>
  <c r="AC417" i="2"/>
  <c r="AA251" i="9"/>
  <c r="AA252" i="9" s="1"/>
  <c r="AB423" i="2"/>
  <c r="Z211" i="9"/>
  <c r="Z212" i="9" s="1"/>
  <c r="AA362" i="2"/>
  <c r="AA119" i="9"/>
  <c r="AA120" i="9" s="1"/>
  <c r="AB235" i="2"/>
  <c r="Z215" i="9"/>
  <c r="Z216" i="9" s="1"/>
  <c r="AA363" i="2"/>
  <c r="Z39" i="9"/>
  <c r="Z40" i="9" s="1"/>
  <c r="AA62" i="2"/>
  <c r="AA123" i="9"/>
  <c r="AA124" i="9" s="1"/>
  <c r="AB236" i="2"/>
  <c r="AD155" i="9"/>
  <c r="AD156" i="9" s="1"/>
  <c r="AE297" i="2"/>
  <c r="AE155" i="9" s="1"/>
  <c r="AE156" i="9" s="1"/>
  <c r="F156" i="9" s="1"/>
  <c r="Z11" i="9"/>
  <c r="Z12" i="9" s="1"/>
  <c r="AA55" i="2"/>
  <c r="AA111" i="9"/>
  <c r="AA112" i="9" s="1"/>
  <c r="AB182" i="2"/>
  <c r="Z71" i="9"/>
  <c r="Z72" i="9" s="1"/>
  <c r="AA121" i="2"/>
  <c r="AB255" i="9"/>
  <c r="AB256" i="9" s="1"/>
  <c r="AC424" i="2"/>
  <c r="AA63" i="9"/>
  <c r="AA64" i="9" s="1"/>
  <c r="AB119" i="2"/>
  <c r="AB203" i="9"/>
  <c r="AB204" i="9" s="1"/>
  <c r="AC360" i="2"/>
  <c r="Z75" i="9"/>
  <c r="Z76" i="9" s="1"/>
  <c r="AA122" i="2"/>
  <c r="AB143" i="9"/>
  <c r="AB144" i="9" s="1"/>
  <c r="AC241" i="2"/>
  <c r="AD163" i="9" l="1"/>
  <c r="AD164" i="9" s="1"/>
  <c r="AE299" i="2"/>
  <c r="AE163" i="9" s="1"/>
  <c r="AE164" i="9" s="1"/>
  <c r="F164" i="9" s="1"/>
  <c r="AD107" i="9"/>
  <c r="AD108" i="9" s="1"/>
  <c r="AE181" i="2"/>
  <c r="AE107" i="9" s="1"/>
  <c r="AE108" i="9" s="1"/>
  <c r="F108" i="9" s="1"/>
  <c r="AA27" i="9"/>
  <c r="AA28" i="9" s="1"/>
  <c r="AB59" i="2"/>
  <c r="AB267" i="9"/>
  <c r="AB268" i="9" s="1"/>
  <c r="AC478" i="2"/>
  <c r="AA59" i="9"/>
  <c r="AA60" i="9" s="1"/>
  <c r="AB118" i="2"/>
  <c r="AC279" i="9"/>
  <c r="AC280" i="9" s="1"/>
  <c r="AD481" i="2"/>
  <c r="AA191" i="9"/>
  <c r="AA192" i="9" s="1"/>
  <c r="AB357" i="2"/>
  <c r="AA365" i="2"/>
  <c r="AC203" i="9"/>
  <c r="AC204" i="9" s="1"/>
  <c r="AD360" i="2"/>
  <c r="AB123" i="9"/>
  <c r="AB124" i="9" s="1"/>
  <c r="AC236" i="2"/>
  <c r="AA425" i="2"/>
  <c r="AA223" i="9"/>
  <c r="AA224" i="9" s="1"/>
  <c r="AB416" i="2"/>
  <c r="AA131" i="9"/>
  <c r="AA132" i="9" s="1"/>
  <c r="AB238" i="2"/>
  <c r="AB283" i="9"/>
  <c r="AB284" i="9" s="1"/>
  <c r="AC482" i="2"/>
  <c r="AD139" i="9"/>
  <c r="AD140" i="9" s="1"/>
  <c r="AE240" i="2"/>
  <c r="AE139" i="9" s="1"/>
  <c r="AE140" i="9" s="1"/>
  <c r="F140" i="9" s="1"/>
  <c r="AA243" i="2"/>
  <c r="AB251" i="9"/>
  <c r="AB252" i="9" s="1"/>
  <c r="AC423" i="2"/>
  <c r="AA199" i="9"/>
  <c r="AA200" i="9" s="1"/>
  <c r="AB359" i="2"/>
  <c r="AB115" i="9"/>
  <c r="AB116" i="9" s="1"/>
  <c r="AC234" i="2"/>
  <c r="AA305" i="2"/>
  <c r="AA151" i="9"/>
  <c r="AA152" i="9" s="1"/>
  <c r="AB296" i="2"/>
  <c r="AC219" i="9"/>
  <c r="AC220" i="9" s="1"/>
  <c r="AD364" i="2"/>
  <c r="AD35" i="9"/>
  <c r="AD36" i="9" s="1"/>
  <c r="AE61" i="2"/>
  <c r="AE35" i="9" s="1"/>
  <c r="AE36" i="9" s="1"/>
  <c r="AA15" i="9"/>
  <c r="AA16" i="9" s="1"/>
  <c r="AB56" i="2"/>
  <c r="AD187" i="9"/>
  <c r="AD188" i="9" s="1"/>
  <c r="AE356" i="2"/>
  <c r="AB83" i="9"/>
  <c r="AB84" i="9" s="1"/>
  <c r="AC175" i="2"/>
  <c r="AB63" i="9"/>
  <c r="AB64" i="9" s="1"/>
  <c r="AC119" i="2"/>
  <c r="AA51" i="9"/>
  <c r="AA52" i="9" s="1"/>
  <c r="AB116" i="2"/>
  <c r="AC235" i="9"/>
  <c r="AC236" i="9" s="1"/>
  <c r="AD419" i="2"/>
  <c r="F100" i="9"/>
  <c r="AD127" i="9"/>
  <c r="AD128" i="9" s="1"/>
  <c r="AE237" i="2"/>
  <c r="AE127" i="9" s="1"/>
  <c r="AE128" i="9" s="1"/>
  <c r="F128" i="9" s="1"/>
  <c r="AC259" i="9"/>
  <c r="AC260" i="9" s="1"/>
  <c r="AD476" i="2"/>
  <c r="AA123" i="2"/>
  <c r="AA43" i="9"/>
  <c r="AA44" i="9" s="1"/>
  <c r="AB114" i="2"/>
  <c r="AA239" i="9"/>
  <c r="AA240" i="9" s="1"/>
  <c r="AB420" i="2"/>
  <c r="AB167" i="9"/>
  <c r="AB168" i="9" s="1"/>
  <c r="AC300" i="2"/>
  <c r="AC271" i="9"/>
  <c r="AC272" i="9" s="1"/>
  <c r="AD479" i="2"/>
  <c r="AC255" i="9"/>
  <c r="AC256" i="9" s="1"/>
  <c r="AD424" i="2"/>
  <c r="AA215" i="9"/>
  <c r="AA216" i="9" s="1"/>
  <c r="AB363" i="2"/>
  <c r="AC175" i="9"/>
  <c r="AC176" i="9" s="1"/>
  <c r="AD302" i="2"/>
  <c r="AA179" i="9"/>
  <c r="AA180" i="9" s="1"/>
  <c r="AB303" i="2"/>
  <c r="AA19" i="9"/>
  <c r="AA20" i="9" s="1"/>
  <c r="AB57" i="2"/>
  <c r="AB91" i="9"/>
  <c r="AB92" i="9" s="1"/>
  <c r="AC177" i="2"/>
  <c r="AB55" i="9"/>
  <c r="AB56" i="9" s="1"/>
  <c r="AC117" i="2"/>
  <c r="AA11" i="9"/>
  <c r="AA12" i="9" s="1"/>
  <c r="AB55" i="2"/>
  <c r="AA39" i="9"/>
  <c r="AA40" i="9" s="1"/>
  <c r="AB62" i="2"/>
  <c r="AA159" i="9"/>
  <c r="AA160" i="9" s="1"/>
  <c r="AB298" i="2"/>
  <c r="AB243" i="9"/>
  <c r="AB244" i="9" s="1"/>
  <c r="AC421" i="2"/>
  <c r="AB135" i="9"/>
  <c r="AB136" i="9" s="1"/>
  <c r="AC239" i="2"/>
  <c r="AC143" i="9"/>
  <c r="AC144" i="9" s="1"/>
  <c r="AD241" i="2"/>
  <c r="AA171" i="9"/>
  <c r="AA172" i="9" s="1"/>
  <c r="AB301" i="2"/>
  <c r="AC227" i="9"/>
  <c r="AC228" i="9" s="1"/>
  <c r="AD417" i="2"/>
  <c r="AD231" i="9"/>
  <c r="AD232" i="9" s="1"/>
  <c r="AE418" i="2"/>
  <c r="AE231" i="9" s="1"/>
  <c r="AE232" i="9" s="1"/>
  <c r="F232" i="9" s="1"/>
  <c r="AD207" i="9"/>
  <c r="AD208" i="9" s="1"/>
  <c r="AE361" i="2"/>
  <c r="AE207" i="9" s="1"/>
  <c r="AE208" i="9" s="1"/>
  <c r="F208" i="9" s="1"/>
  <c r="AB7" i="9"/>
  <c r="AB8" i="9" s="1"/>
  <c r="AC54" i="2"/>
  <c r="AD147" i="9"/>
  <c r="AD148" i="9" s="1"/>
  <c r="AE242" i="2"/>
  <c r="AE147" i="9" s="1"/>
  <c r="AE148" i="9" s="1"/>
  <c r="F148" i="9" s="1"/>
  <c r="AD291" i="9"/>
  <c r="AD292" i="9" s="1"/>
  <c r="AE484" i="2"/>
  <c r="AE291" i="9" s="1"/>
  <c r="AE292" i="9" s="1"/>
  <c r="F292" i="9" s="1"/>
  <c r="AA275" i="9"/>
  <c r="AA276" i="9" s="1"/>
  <c r="AB480" i="2"/>
  <c r="AB119" i="9"/>
  <c r="AB120" i="9" s="1"/>
  <c r="AC235" i="2"/>
  <c r="AB95" i="9"/>
  <c r="AB96" i="9" s="1"/>
  <c r="AC178" i="2"/>
  <c r="AB287" i="9"/>
  <c r="AB288" i="9" s="1"/>
  <c r="AC483" i="2"/>
  <c r="AA75" i="9"/>
  <c r="AA76" i="9" s="1"/>
  <c r="AB122" i="2"/>
  <c r="AA71" i="9"/>
  <c r="AA72" i="9" s="1"/>
  <c r="AB121" i="2"/>
  <c r="AB111" i="9"/>
  <c r="AB112" i="9" s="1"/>
  <c r="AC182" i="2"/>
  <c r="AA211" i="9"/>
  <c r="AA212" i="9" s="1"/>
  <c r="AB362" i="2"/>
  <c r="AA47" i="9"/>
  <c r="AA48" i="9" s="1"/>
  <c r="AB115" i="2"/>
  <c r="AA67" i="9"/>
  <c r="AA68" i="9" s="1"/>
  <c r="AB120" i="2"/>
  <c r="AA63" i="2"/>
  <c r="AB183" i="2"/>
  <c r="AB79" i="9"/>
  <c r="AB80" i="9" s="1"/>
  <c r="AC174" i="2"/>
  <c r="AA263" i="9"/>
  <c r="AA264" i="9" s="1"/>
  <c r="AB477" i="2"/>
  <c r="AA485" i="2"/>
  <c r="AA195" i="9"/>
  <c r="AA196" i="9" s="1"/>
  <c r="AB358" i="2"/>
  <c r="AB183" i="9"/>
  <c r="AB184" i="9" s="1"/>
  <c r="AC304" i="2"/>
  <c r="AB23" i="9"/>
  <c r="AB24" i="9" s="1"/>
  <c r="AC58" i="2"/>
  <c r="AC103" i="9"/>
  <c r="AC104" i="9" s="1"/>
  <c r="AD180" i="2"/>
  <c r="AC87" i="9"/>
  <c r="AC88" i="9" s="1"/>
  <c r="AD176" i="2"/>
  <c r="AB31" i="9"/>
  <c r="AB32" i="9" s="1"/>
  <c r="AC60" i="2"/>
  <c r="AB247" i="9"/>
  <c r="AB248" i="9" s="1"/>
  <c r="AC422" i="2"/>
  <c r="AD219" i="9" l="1"/>
  <c r="AD220" i="9" s="1"/>
  <c r="AE364" i="2"/>
  <c r="AE219" i="9" s="1"/>
  <c r="AE220" i="9" s="1"/>
  <c r="F220" i="9" s="1"/>
  <c r="AD279" i="9"/>
  <c r="AD280" i="9" s="1"/>
  <c r="AE481" i="2"/>
  <c r="AE279" i="9" s="1"/>
  <c r="AE280" i="9" s="1"/>
  <c r="F280" i="9" s="1"/>
  <c r="AC135" i="9"/>
  <c r="AC136" i="9" s="1"/>
  <c r="AD239" i="2"/>
  <c r="AB239" i="9"/>
  <c r="AB240" i="9" s="1"/>
  <c r="AC420" i="2"/>
  <c r="AB305" i="2"/>
  <c r="AB151" i="9"/>
  <c r="AB152" i="9" s="1"/>
  <c r="AC296" i="2"/>
  <c r="AC183" i="2"/>
  <c r="AC79" i="9"/>
  <c r="AC80" i="9" s="1"/>
  <c r="AD174" i="2"/>
  <c r="AB75" i="9"/>
  <c r="AB76" i="9" s="1"/>
  <c r="AC122" i="2"/>
  <c r="AC7" i="9"/>
  <c r="AC8" i="9" s="1"/>
  <c r="AD54" i="2"/>
  <c r="AC63" i="9"/>
  <c r="AC64" i="9" s="1"/>
  <c r="AD119" i="2"/>
  <c r="AB131" i="9"/>
  <c r="AB132" i="9" s="1"/>
  <c r="AC238" i="2"/>
  <c r="AB59" i="9"/>
  <c r="AB60" i="9" s="1"/>
  <c r="AC118" i="2"/>
  <c r="AC111" i="9"/>
  <c r="AC112" i="9" s="1"/>
  <c r="AD182" i="2"/>
  <c r="AB191" i="9"/>
  <c r="AB192" i="9" s="1"/>
  <c r="AC357" i="2"/>
  <c r="AB365" i="2"/>
  <c r="AC91" i="9"/>
  <c r="AC92" i="9" s="1"/>
  <c r="AD177" i="2"/>
  <c r="AB71" i="9"/>
  <c r="AB72" i="9" s="1"/>
  <c r="AC121" i="2"/>
  <c r="AC283" i="9"/>
  <c r="AC284" i="9" s="1"/>
  <c r="AD482" i="2"/>
  <c r="AB19" i="9"/>
  <c r="AB20" i="9" s="1"/>
  <c r="AC57" i="2"/>
  <c r="AD87" i="9"/>
  <c r="AD88" i="9" s="1"/>
  <c r="AE176" i="2"/>
  <c r="AE87" i="9" s="1"/>
  <c r="AE88" i="9" s="1"/>
  <c r="F88" i="9" s="1"/>
  <c r="AC243" i="9"/>
  <c r="AC244" i="9" s="1"/>
  <c r="AD421" i="2"/>
  <c r="AB179" i="9"/>
  <c r="AB180" i="9" s="1"/>
  <c r="AC303" i="2"/>
  <c r="AB123" i="2"/>
  <c r="AB43" i="9"/>
  <c r="AB44" i="9" s="1"/>
  <c r="AC114" i="2"/>
  <c r="AC247" i="9"/>
  <c r="AC248" i="9" s="1"/>
  <c r="AD422" i="2"/>
  <c r="AC243" i="2"/>
  <c r="AC115" i="9"/>
  <c r="AC116" i="9" s="1"/>
  <c r="AD234" i="2"/>
  <c r="AC267" i="9"/>
  <c r="AC268" i="9" s="1"/>
  <c r="AD478" i="2"/>
  <c r="AD103" i="9"/>
  <c r="AD104" i="9" s="1"/>
  <c r="AE180" i="2"/>
  <c r="AE103" i="9" s="1"/>
  <c r="AE104" i="9" s="1"/>
  <c r="F104" i="9" s="1"/>
  <c r="AB159" i="9"/>
  <c r="AB160" i="9" s="1"/>
  <c r="AC298" i="2"/>
  <c r="AD175" i="9"/>
  <c r="AD176" i="9" s="1"/>
  <c r="AE302" i="2"/>
  <c r="AE175" i="9" s="1"/>
  <c r="AE176" i="9" s="1"/>
  <c r="F176" i="9" s="1"/>
  <c r="AB263" i="9"/>
  <c r="AB264" i="9" s="1"/>
  <c r="AC477" i="2"/>
  <c r="AB485" i="2"/>
  <c r="AC287" i="9"/>
  <c r="AC288" i="9" s="1"/>
  <c r="AD483" i="2"/>
  <c r="AC83" i="9"/>
  <c r="AC84" i="9" s="1"/>
  <c r="AD175" i="2"/>
  <c r="AB425" i="2"/>
  <c r="AB223" i="9"/>
  <c r="AB224" i="9" s="1"/>
  <c r="AC416" i="2"/>
  <c r="AB67" i="9"/>
  <c r="AB68" i="9" s="1"/>
  <c r="AC120" i="2"/>
  <c r="AC95" i="9"/>
  <c r="AC96" i="9" s="1"/>
  <c r="AD178" i="2"/>
  <c r="AD259" i="9"/>
  <c r="AD260" i="9" s="1"/>
  <c r="AE476" i="2"/>
  <c r="AE187" i="9"/>
  <c r="AE188" i="9" s="1"/>
  <c r="F188" i="9" s="1"/>
  <c r="AB243" i="2"/>
  <c r="AB27" i="9"/>
  <c r="AB28" i="9" s="1"/>
  <c r="AC59" i="2"/>
  <c r="AB51" i="9"/>
  <c r="AB52" i="9" s="1"/>
  <c r="AC116" i="2"/>
  <c r="AC23" i="9"/>
  <c r="AC24" i="9" s="1"/>
  <c r="AD58" i="2"/>
  <c r="AB39" i="9"/>
  <c r="AB40" i="9" s="1"/>
  <c r="AC62" i="2"/>
  <c r="AB215" i="9"/>
  <c r="AB216" i="9" s="1"/>
  <c r="AC363" i="2"/>
  <c r="AB199" i="9"/>
  <c r="AB200" i="9" s="1"/>
  <c r="AC359" i="2"/>
  <c r="AC123" i="9"/>
  <c r="AC124" i="9" s="1"/>
  <c r="AD236" i="2"/>
  <c r="AC31" i="9"/>
  <c r="AC32" i="9" s="1"/>
  <c r="AD60" i="2"/>
  <c r="AB63" i="2"/>
  <c r="AB47" i="9"/>
  <c r="AB48" i="9" s="1"/>
  <c r="AC115" i="2"/>
  <c r="AC119" i="9"/>
  <c r="AC120" i="9" s="1"/>
  <c r="AD235" i="2"/>
  <c r="AC183" i="9"/>
  <c r="AC184" i="9" s="1"/>
  <c r="AD304" i="2"/>
  <c r="AD227" i="9"/>
  <c r="AD228" i="9" s="1"/>
  <c r="AE417" i="2"/>
  <c r="AE227" i="9" s="1"/>
  <c r="AE228" i="9" s="1"/>
  <c r="AB11" i="9"/>
  <c r="AB12" i="9" s="1"/>
  <c r="AC55" i="2"/>
  <c r="AD255" i="9"/>
  <c r="AD256" i="9" s="1"/>
  <c r="AE424" i="2"/>
  <c r="AE255" i="9" s="1"/>
  <c r="AE256" i="9" s="1"/>
  <c r="F256" i="9" s="1"/>
  <c r="AB15" i="9"/>
  <c r="AB16" i="9" s="1"/>
  <c r="AC56" i="2"/>
  <c r="AC251" i="9"/>
  <c r="AC252" i="9" s="1"/>
  <c r="AD423" i="2"/>
  <c r="AD203" i="9"/>
  <c r="AD204" i="9" s="1"/>
  <c r="AE360" i="2"/>
  <c r="AE203" i="9" s="1"/>
  <c r="AE204" i="9" s="1"/>
  <c r="AD143" i="9"/>
  <c r="AD144" i="9" s="1"/>
  <c r="AE241" i="2"/>
  <c r="AE143" i="9" s="1"/>
  <c r="AE144" i="9" s="1"/>
  <c r="AD235" i="9"/>
  <c r="AD236" i="9" s="1"/>
  <c r="AE419" i="2"/>
  <c r="AE235" i="9" s="1"/>
  <c r="AE236" i="9" s="1"/>
  <c r="AC167" i="9"/>
  <c r="AC168" i="9" s="1"/>
  <c r="AD300" i="2"/>
  <c r="AB211" i="9"/>
  <c r="AB212" i="9" s="1"/>
  <c r="AC362" i="2"/>
  <c r="AB275" i="9"/>
  <c r="AB276" i="9" s="1"/>
  <c r="AC480" i="2"/>
  <c r="AB195" i="9"/>
  <c r="AB196" i="9" s="1"/>
  <c r="AC358" i="2"/>
  <c r="AB171" i="9"/>
  <c r="AB172" i="9" s="1"/>
  <c r="AC301" i="2"/>
  <c r="AC55" i="9"/>
  <c r="AC56" i="9" s="1"/>
  <c r="AD117" i="2"/>
  <c r="AD271" i="9"/>
  <c r="AD272" i="9" s="1"/>
  <c r="AE479" i="2"/>
  <c r="AE271" i="9" s="1"/>
  <c r="AE272" i="9" s="1"/>
  <c r="F272" i="9" s="1"/>
  <c r="F36" i="9"/>
  <c r="AD31" i="9" l="1"/>
  <c r="AD32" i="9" s="1"/>
  <c r="AE60" i="2"/>
  <c r="AE31" i="9" s="1"/>
  <c r="AE32" i="9" s="1"/>
  <c r="F32" i="9" s="1"/>
  <c r="AC59" i="9"/>
  <c r="AC60" i="9" s="1"/>
  <c r="AD118" i="2"/>
  <c r="AD123" i="9"/>
  <c r="AD124" i="9" s="1"/>
  <c r="AE236" i="2"/>
  <c r="AE123" i="9" s="1"/>
  <c r="AE124" i="9" s="1"/>
  <c r="F124" i="9" s="1"/>
  <c r="AD115" i="9"/>
  <c r="AD116" i="9" s="1"/>
  <c r="AE234" i="2"/>
  <c r="AC19" i="9"/>
  <c r="AC20" i="9" s="1"/>
  <c r="AD57" i="2"/>
  <c r="AD111" i="9"/>
  <c r="AD112" i="9" s="1"/>
  <c r="AE182" i="2"/>
  <c r="AE111" i="9" s="1"/>
  <c r="AE112" i="9" s="1"/>
  <c r="F112" i="9" s="1"/>
  <c r="AC211" i="9"/>
  <c r="AC212" i="9" s="1"/>
  <c r="AD362" i="2"/>
  <c r="AC305" i="2"/>
  <c r="AC151" i="9"/>
  <c r="AC152" i="9" s="1"/>
  <c r="AD296" i="2"/>
  <c r="AD167" i="9"/>
  <c r="AD168" i="9" s="1"/>
  <c r="AE300" i="2"/>
  <c r="AE167" i="9" s="1"/>
  <c r="AE168" i="9" s="1"/>
  <c r="F168" i="9" s="1"/>
  <c r="AD287" i="9"/>
  <c r="AD288" i="9" s="1"/>
  <c r="AE483" i="2"/>
  <c r="AE287" i="9" s="1"/>
  <c r="AE288" i="9" s="1"/>
  <c r="F288" i="9" s="1"/>
  <c r="AC131" i="9"/>
  <c r="AC132" i="9" s="1"/>
  <c r="AD238" i="2"/>
  <c r="AD183" i="2"/>
  <c r="AD79" i="9"/>
  <c r="AD80" i="9" s="1"/>
  <c r="AE174" i="2"/>
  <c r="AC11" i="9"/>
  <c r="AC12" i="9" s="1"/>
  <c r="AD55" i="2"/>
  <c r="AD63" i="2" s="1"/>
  <c r="AC199" i="9"/>
  <c r="AC200" i="9" s="1"/>
  <c r="AD359" i="2"/>
  <c r="AD283" i="9"/>
  <c r="AD284" i="9" s="1"/>
  <c r="AE482" i="2"/>
  <c r="AE283" i="9" s="1"/>
  <c r="AE284" i="9" s="1"/>
  <c r="F284" i="9" s="1"/>
  <c r="AC239" i="9"/>
  <c r="AC240" i="9" s="1"/>
  <c r="AD420" i="2"/>
  <c r="F236" i="9"/>
  <c r="F228" i="9"/>
  <c r="AE259" i="9"/>
  <c r="AE260" i="9" s="1"/>
  <c r="F260" i="9" s="1"/>
  <c r="AD247" i="9"/>
  <c r="AD248" i="9" s="1"/>
  <c r="AE422" i="2"/>
  <c r="AE247" i="9" s="1"/>
  <c r="AE248" i="9" s="1"/>
  <c r="F248" i="9" s="1"/>
  <c r="AD63" i="9"/>
  <c r="AD64" i="9" s="1"/>
  <c r="AE119" i="2"/>
  <c r="AE63" i="9" s="1"/>
  <c r="AE64" i="9" s="1"/>
  <c r="AC51" i="9"/>
  <c r="AC52" i="9" s="1"/>
  <c r="AD116" i="2"/>
  <c r="AC215" i="9"/>
  <c r="AC216" i="9" s="1"/>
  <c r="AD363" i="2"/>
  <c r="AC263" i="9"/>
  <c r="AC264" i="9" s="1"/>
  <c r="AD477" i="2"/>
  <c r="AC485" i="2"/>
  <c r="AC71" i="9"/>
  <c r="AC72" i="9" s="1"/>
  <c r="AD121" i="2"/>
  <c r="AD135" i="9"/>
  <c r="AD136" i="9" s="1"/>
  <c r="AE239" i="2"/>
  <c r="AE135" i="9" s="1"/>
  <c r="AE136" i="9" s="1"/>
  <c r="F136" i="9" s="1"/>
  <c r="AC15" i="9"/>
  <c r="AC16" i="9" s="1"/>
  <c r="AD56" i="2"/>
  <c r="F144" i="9"/>
  <c r="AD183" i="9"/>
  <c r="AD184" i="9" s="1"/>
  <c r="AE304" i="2"/>
  <c r="AE183" i="9" s="1"/>
  <c r="AE184" i="9" s="1"/>
  <c r="F184" i="9" s="1"/>
  <c r="AC123" i="2"/>
  <c r="AC43" i="9"/>
  <c r="AC44" i="9" s="1"/>
  <c r="AD114" i="2"/>
  <c r="AD7" i="9"/>
  <c r="AD8" i="9" s="1"/>
  <c r="AE54" i="2"/>
  <c r="AD243" i="9"/>
  <c r="AD244" i="9" s="1"/>
  <c r="AE421" i="2"/>
  <c r="AE243" i="9" s="1"/>
  <c r="AE244" i="9" s="1"/>
  <c r="F244" i="9" s="1"/>
  <c r="AD267" i="9"/>
  <c r="AD268" i="9" s="1"/>
  <c r="AE478" i="2"/>
  <c r="AE267" i="9" s="1"/>
  <c r="AE268" i="9" s="1"/>
  <c r="F268" i="9" s="1"/>
  <c r="AD55" i="9"/>
  <c r="AD56" i="9" s="1"/>
  <c r="AE117" i="2"/>
  <c r="AE55" i="9" s="1"/>
  <c r="AE56" i="9" s="1"/>
  <c r="AC39" i="9"/>
  <c r="AC40" i="9" s="1"/>
  <c r="AD62" i="2"/>
  <c r="AD95" i="9"/>
  <c r="AD96" i="9" s="1"/>
  <c r="AE178" i="2"/>
  <c r="AE95" i="9" s="1"/>
  <c r="AE96" i="9" s="1"/>
  <c r="F96" i="9" s="1"/>
  <c r="AD91" i="9"/>
  <c r="AD92" i="9" s="1"/>
  <c r="AE177" i="2"/>
  <c r="AE91" i="9" s="1"/>
  <c r="AE92" i="9" s="1"/>
  <c r="F204" i="9"/>
  <c r="AD119" i="9"/>
  <c r="AD120" i="9" s="1"/>
  <c r="AE235" i="2"/>
  <c r="AE119" i="9" s="1"/>
  <c r="AE120" i="9" s="1"/>
  <c r="AC63" i="2"/>
  <c r="AC275" i="9"/>
  <c r="AC276" i="9" s="1"/>
  <c r="AD480" i="2"/>
  <c r="AC27" i="9"/>
  <c r="AC28" i="9" s="1"/>
  <c r="AD59" i="2"/>
  <c r="AC171" i="9"/>
  <c r="AC172" i="9" s="1"/>
  <c r="AD301" i="2"/>
  <c r="AD23" i="9"/>
  <c r="AD24" i="9" s="1"/>
  <c r="AE58" i="2"/>
  <c r="AE23" i="9" s="1"/>
  <c r="AE24" i="9" s="1"/>
  <c r="F24" i="9" s="1"/>
  <c r="AC67" i="9"/>
  <c r="AC68" i="9" s="1"/>
  <c r="AD120" i="2"/>
  <c r="AC159" i="9"/>
  <c r="AC160" i="9" s="1"/>
  <c r="AD298" i="2"/>
  <c r="AC179" i="9"/>
  <c r="AC180" i="9" s="1"/>
  <c r="AD303" i="2"/>
  <c r="AC75" i="9"/>
  <c r="AC76" i="9" s="1"/>
  <c r="AD122" i="2"/>
  <c r="AC425" i="2"/>
  <c r="AC223" i="9"/>
  <c r="AC224" i="9" s="1"/>
  <c r="AD416" i="2"/>
  <c r="AD83" i="9"/>
  <c r="AD84" i="9" s="1"/>
  <c r="AE175" i="2"/>
  <c r="AE83" i="9" s="1"/>
  <c r="AE84" i="9" s="1"/>
  <c r="F84" i="9" s="1"/>
  <c r="AC195" i="9"/>
  <c r="AC196" i="9" s="1"/>
  <c r="AD358" i="2"/>
  <c r="AD251" i="9"/>
  <c r="AD252" i="9" s="1"/>
  <c r="AE423" i="2"/>
  <c r="AE251" i="9" s="1"/>
  <c r="AE252" i="9" s="1"/>
  <c r="F252" i="9" s="1"/>
  <c r="AC47" i="9"/>
  <c r="AC48" i="9" s="1"/>
  <c r="AD115" i="2"/>
  <c r="AC191" i="9"/>
  <c r="AC192" i="9" s="1"/>
  <c r="AD357" i="2"/>
  <c r="AC365" i="2"/>
  <c r="AD75" i="9" l="1"/>
  <c r="AD76" i="9" s="1"/>
  <c r="AE122" i="2"/>
  <c r="AE75" i="9" s="1"/>
  <c r="AE76" i="9" s="1"/>
  <c r="F76" i="9" s="1"/>
  <c r="AD19" i="9"/>
  <c r="AD20" i="9" s="1"/>
  <c r="AE57" i="2"/>
  <c r="AE19" i="9" s="1"/>
  <c r="AE20" i="9" s="1"/>
  <c r="F20" i="9" s="1"/>
  <c r="AD47" i="9"/>
  <c r="AD48" i="9" s="1"/>
  <c r="AE115" i="2"/>
  <c r="AE47" i="9" s="1"/>
  <c r="AE48" i="9" s="1"/>
  <c r="F48" i="9" s="1"/>
  <c r="F120" i="9"/>
  <c r="AD71" i="9"/>
  <c r="AD72" i="9" s="1"/>
  <c r="AE121" i="2"/>
  <c r="AE71" i="9" s="1"/>
  <c r="AE72" i="9" s="1"/>
  <c r="F72" i="9" s="1"/>
  <c r="AD131" i="9"/>
  <c r="AD132" i="9" s="1"/>
  <c r="AE238" i="2"/>
  <c r="AE131" i="9" s="1"/>
  <c r="AE132" i="9" s="1"/>
  <c r="F132" i="9" s="1"/>
  <c r="AD159" i="9"/>
  <c r="AD160" i="9" s="1"/>
  <c r="AE298" i="2"/>
  <c r="AE159" i="9" s="1"/>
  <c r="AE160" i="9" s="1"/>
  <c r="F160" i="9" s="1"/>
  <c r="AE63" i="2"/>
  <c r="AE7" i="9"/>
  <c r="AE8" i="9" s="1"/>
  <c r="F8" i="9" s="1"/>
  <c r="AE115" i="9"/>
  <c r="AE116" i="9" s="1"/>
  <c r="F116" i="9" s="1"/>
  <c r="AD67" i="9"/>
  <c r="AD68" i="9" s="1"/>
  <c r="AE120" i="2"/>
  <c r="AE67" i="9" s="1"/>
  <c r="AE68" i="9" s="1"/>
  <c r="F68" i="9" s="1"/>
  <c r="F92" i="9"/>
  <c r="AD263" i="9"/>
  <c r="AD264" i="9" s="1"/>
  <c r="AE477" i="2"/>
  <c r="AD485" i="2"/>
  <c r="AD239" i="9"/>
  <c r="AD240" i="9" s="1"/>
  <c r="AE420" i="2"/>
  <c r="AE239" i="9" s="1"/>
  <c r="AE240" i="9" s="1"/>
  <c r="F240" i="9" s="1"/>
  <c r="AD243" i="2"/>
  <c r="AD275" i="9"/>
  <c r="AD276" i="9" s="1"/>
  <c r="AE480" i="2"/>
  <c r="AE275" i="9" s="1"/>
  <c r="AE276" i="9" s="1"/>
  <c r="F276" i="9" s="1"/>
  <c r="AD191" i="9"/>
  <c r="AD192" i="9" s="1"/>
  <c r="AE357" i="2"/>
  <c r="AD365" i="2"/>
  <c r="AD195" i="9"/>
  <c r="AD196" i="9" s="1"/>
  <c r="AE358" i="2"/>
  <c r="AE195" i="9" s="1"/>
  <c r="AE196" i="9" s="1"/>
  <c r="F196" i="9" s="1"/>
  <c r="AD123" i="2"/>
  <c r="AD43" i="9"/>
  <c r="AD44" i="9" s="1"/>
  <c r="AE114" i="2"/>
  <c r="AD215" i="9"/>
  <c r="AD216" i="9" s="1"/>
  <c r="AE363" i="2"/>
  <c r="AE215" i="9" s="1"/>
  <c r="AE216" i="9" s="1"/>
  <c r="F216" i="9" s="1"/>
  <c r="AD179" i="9"/>
  <c r="AD180" i="9" s="1"/>
  <c r="AE303" i="2"/>
  <c r="AE179" i="9" s="1"/>
  <c r="AE180" i="9" s="1"/>
  <c r="F180" i="9" s="1"/>
  <c r="AD305" i="2"/>
  <c r="AD151" i="9"/>
  <c r="AD152" i="9" s="1"/>
  <c r="AE296" i="2"/>
  <c r="AD59" i="9"/>
  <c r="AD60" i="9" s="1"/>
  <c r="AE118" i="2"/>
  <c r="AE59" i="9" s="1"/>
  <c r="AE60" i="9" s="1"/>
  <c r="AE183" i="2"/>
  <c r="AE79" i="9"/>
  <c r="AE80" i="9" s="1"/>
  <c r="F80" i="9" s="1"/>
  <c r="AD171" i="9"/>
  <c r="AD172" i="9" s="1"/>
  <c r="AE301" i="2"/>
  <c r="AE171" i="9" s="1"/>
  <c r="AE172" i="9" s="1"/>
  <c r="AD39" i="9"/>
  <c r="AD40" i="9" s="1"/>
  <c r="AE62" i="2"/>
  <c r="AE39" i="9" s="1"/>
  <c r="AE40" i="9" s="1"/>
  <c r="F40" i="9" s="1"/>
  <c r="AD51" i="9"/>
  <c r="AD52" i="9" s="1"/>
  <c r="AE116" i="2"/>
  <c r="AE51" i="9" s="1"/>
  <c r="AE52" i="9" s="1"/>
  <c r="F52" i="9" s="1"/>
  <c r="AD199" i="9"/>
  <c r="AD200" i="9" s="1"/>
  <c r="AE359" i="2"/>
  <c r="AE199" i="9" s="1"/>
  <c r="AE200" i="9" s="1"/>
  <c r="F200" i="9" s="1"/>
  <c r="AD15" i="9"/>
  <c r="AD16" i="9" s="1"/>
  <c r="AE56" i="2"/>
  <c r="AE15" i="9" s="1"/>
  <c r="AE16" i="9" s="1"/>
  <c r="AD425" i="2"/>
  <c r="AD223" i="9"/>
  <c r="AD224" i="9" s="1"/>
  <c r="AE416" i="2"/>
  <c r="AD27" i="9"/>
  <c r="AD28" i="9" s="1"/>
  <c r="AE59" i="2"/>
  <c r="AE27" i="9" s="1"/>
  <c r="AE28" i="9" s="1"/>
  <c r="F28" i="9" s="1"/>
  <c r="F56" i="9"/>
  <c r="F64" i="9"/>
  <c r="AD11" i="9"/>
  <c r="AD12" i="9" s="1"/>
  <c r="AE55" i="2"/>
  <c r="AE11" i="9" s="1"/>
  <c r="AE12" i="9" s="1"/>
  <c r="F12" i="9" s="1"/>
  <c r="AD211" i="9"/>
  <c r="AD212" i="9" s="1"/>
  <c r="AE362" i="2"/>
  <c r="AE211" i="9" s="1"/>
  <c r="AE212" i="9" s="1"/>
  <c r="F212" i="9" s="1"/>
  <c r="AE123" i="2" l="1"/>
  <c r="AE43" i="9"/>
  <c r="AE44" i="9" s="1"/>
  <c r="F44" i="9" s="1"/>
  <c r="AE263" i="9"/>
  <c r="AE264" i="9" s="1"/>
  <c r="F264" i="9" s="1"/>
  <c r="AE485" i="2"/>
  <c r="F172" i="9"/>
  <c r="AE425" i="2"/>
  <c r="AE223" i="9"/>
  <c r="AE224" i="9" s="1"/>
  <c r="F224" i="9" s="1"/>
  <c r="F60" i="9"/>
  <c r="AE191" i="9"/>
  <c r="AE192" i="9" s="1"/>
  <c r="F192" i="9" s="1"/>
  <c r="AE365" i="2"/>
  <c r="AE243" i="2"/>
  <c r="F16" i="9"/>
  <c r="D2" i="9" s="1"/>
  <c r="AE305" i="2"/>
  <c r="AE151" i="9"/>
  <c r="AE152" i="9" s="1"/>
  <c r="F152" i="9" s="1"/>
  <c r="D3" i="9" s="1"/>
</calcChain>
</file>

<file path=xl/sharedStrings.xml><?xml version="1.0" encoding="utf-8"?>
<sst xmlns="http://schemas.openxmlformats.org/spreadsheetml/2006/main" count="6076" uniqueCount="1356">
  <si>
    <t>CPAT industry kernel - Egypt prototype v0.2 (LAMBDA build)</t>
  </si>
  <si>
    <t>Country code</t>
  </si>
  <si>
    <t>egy</t>
  </si>
  <si>
    <t>First component of every code; CPAT convention (egy.mit.&lt;var&gt;.&lt;sector&gt;.&lt;fuel&gt;.&lt;type&gt;.&lt;scenario&gt;)</t>
  </si>
  <si>
    <t>Price group for industry sectors</t>
  </si>
  <si>
    <t>ind</t>
  </si>
  <si>
    <t>C2 retail-price group the four sectors read (pow / res / ind / tra)</t>
  </si>
  <si>
    <t>Elasticity column</t>
  </si>
  <si>
    <t>Industries</t>
  </si>
  <si>
    <t>Column of the master elasticity table (Transport / Residential / Industries / Services)</t>
  </si>
  <si>
    <t>Base year</t>
  </si>
  <si>
    <t>MTInputs FirstYearCalculations; energy in the base year is read from Data_Energy, later years from the kernel</t>
  </si>
  <si>
    <t>Additional policy-induced efficiency (alpha+)</t>
  </si>
  <si>
    <t>Read from the MTInputs column by NameOfParameter; this is the only MTInputs dependency of the kernel rows</t>
  </si>
  <si>
    <t>Carbon price start year (info)</t>
  </si>
  <si>
    <t>For reference: the policy scenario new-policy wedge (nce) starts here</t>
  </si>
  <si>
    <t>Carbon price target (info)</t>
  </si>
  <si>
    <t>$/tCO2</t>
  </si>
  <si>
    <t>Kernel (every energy cell, year t &gt;= 2023):</t>
  </si>
  <si>
    <t>F(t) = F(t-1) * (1+g)^(eY*delta) * (1+psi) * (p(t)/p(t-1))^eU * [ (s(t)/s(t-1))^eF / (1 + a + a+) ]^(1+eU)</t>
  </si>
  <si>
    <t>p = post-tax price (atp), s = shadow price (shp) = atp + sigma*ssc, g = post-policy GDP growth, delta = income-elasticity discount, psi = exogenous shock</t>
  </si>
  <si>
    <t>Sheets</t>
  </si>
  <si>
    <t>Mitigation_Industry</t>
  </si>
  <si>
    <t>Kernel sheet in the CPAT Mitigation layout (columns A-AI, years K-AI): 4 CBAM sectors x 2 scenarios. All formulas; codes built from components.</t>
  </si>
  <si>
    <t>MTInputs</t>
  </si>
  <si>
    <t>The 415-row CPAT parameter column, copied unchanged (columns A-I of the MTInputs sheet).</t>
  </si>
  <si>
    <t>Data_Energy</t>
  </si>
  <si>
    <t>Base-year energy matrix, fuel x sector, ktoe (Mitigation B4 rows 583-602).</t>
  </si>
  <si>
    <t>Data_Prices</t>
  </si>
  <si>
    <t>Pre-tax price before new policies (pbc), new-policy wedge (nce), shadow price (shp), sector coverage (tcf), share of shadow price on efficiency (ssc); both scenarios.</t>
  </si>
  <si>
    <t>Data_Macro</t>
  </si>
  <si>
    <t>GDP growth, income-elasticity discount factor, exogenous shock; both scenarios.</t>
  </si>
  <si>
    <t>Data_Elast</t>
  </si>
  <si>
    <t>Master elasticity table (income, usage, efficiency, AEEI) by fuel group x sector group, plus the fuel-group map.</t>
  </si>
  <si>
    <t>Check</t>
  </si>
  <si>
    <t>Kernel output against the values stored in CPAT_1_0pre_456 for the same rows; max absolute and relative differences.</t>
  </si>
  <si>
    <t>Fuel</t>
  </si>
  <si>
    <t>Sector</t>
  </si>
  <si>
    <t>Description</t>
  </si>
  <si>
    <t>Unit</t>
  </si>
  <si>
    <t>Source</t>
  </si>
  <si>
    <t>Input Code</t>
  </si>
  <si>
    <t>Output Code</t>
  </si>
  <si>
    <t>Note</t>
  </si>
  <si>
    <t>Helper</t>
  </si>
  <si>
    <t>Industrial sector - Baseline  (CBAM sectors: iron and steel, cement, non-ferrous metals, mining &amp; chemicals)</t>
  </si>
  <si>
    <t>Iron and steel</t>
  </si>
  <si>
    <t>irn</t>
  </si>
  <si>
    <t>Fuel Type</t>
  </si>
  <si>
    <t>Variable Code</t>
  </si>
  <si>
    <t>Input Code (data-table key)</t>
  </si>
  <si>
    <t>Scenario</t>
  </si>
  <si>
    <t>Pre-tax price: price before any new policy (supply cost + VAT + existing excise, subsidies and carbon prices)</t>
  </si>
  <si>
    <t>coa</t>
  </si>
  <si>
    <t>Coal</t>
  </si>
  <si>
    <t>$/GJ</t>
  </si>
  <si>
    <t>ptp</t>
  </si>
  <si>
    <t>nga</t>
  </si>
  <si>
    <t>Natural gas</t>
  </si>
  <si>
    <t>gso</t>
  </si>
  <si>
    <t>Gasoline</t>
  </si>
  <si>
    <t>$/liter</t>
  </si>
  <si>
    <t>die</t>
  </si>
  <si>
    <t>Diesel</t>
  </si>
  <si>
    <t>lpg</t>
  </si>
  <si>
    <t>LPG</t>
  </si>
  <si>
    <t>ker</t>
  </si>
  <si>
    <t>Kerosene</t>
  </si>
  <si>
    <t>oop</t>
  </si>
  <si>
    <t>Other oil products</t>
  </si>
  <si>
    <t>$/bbl</t>
  </si>
  <si>
    <t>bio</t>
  </si>
  <si>
    <t>Biomass</t>
  </si>
  <si>
    <t>ren</t>
  </si>
  <si>
    <t>Self-generated renewables</t>
  </si>
  <si>
    <t>$/kwh</t>
  </si>
  <si>
    <t>Post-tax price: pre-tax + new-policy wedge x sector coverage factor  (= CPAT atp row)</t>
  </si>
  <si>
    <t>atp</t>
  </si>
  <si>
    <t>Shadow price: post-tax + shadow price of non-price policies x share acting on efficiency</t>
  </si>
  <si>
    <t>shp</t>
  </si>
  <si>
    <t>Sector policy and macro drivers</t>
  </si>
  <si>
    <t>-</t>
  </si>
  <si>
    <t>Sector coverage factor of the new-policy wedge</t>
  </si>
  <si>
    <t>share</t>
  </si>
  <si>
    <t>tcf</t>
  </si>
  <si>
    <t>Share of shadow price acting on efficiency</t>
  </si>
  <si>
    <t>ssc</t>
  </si>
  <si>
    <t>Post-policy real GDP growth</t>
  </si>
  <si>
    <t>%</t>
  </si>
  <si>
    <t>g</t>
  </si>
  <si>
    <t>Income-elasticity discount factor</t>
  </si>
  <si>
    <t>ratio</t>
  </si>
  <si>
    <t>delta</t>
  </si>
  <si>
    <t>Exogenous shock on energy consumption</t>
  </si>
  <si>
    <t>psi</t>
  </si>
  <si>
    <t>Kernel parameters (looked up from Data_Elast; column = Settings elasticity group)</t>
  </si>
  <si>
    <t>Income el. (eY)</t>
  </si>
  <si>
    <t>Usage el. (eU)</t>
  </si>
  <si>
    <t>Efficiency el. (eF)</t>
  </si>
  <si>
    <t>AEEI (a)</t>
  </si>
  <si>
    <t>Add. efficiency (a+)</t>
  </si>
  <si>
    <t>Elasticity fuel group</t>
  </si>
  <si>
    <t>Parameters: Coal</t>
  </si>
  <si>
    <t>Parameters: Natural gas</t>
  </si>
  <si>
    <t>Parameters: Gasoline</t>
  </si>
  <si>
    <t>Parameters: Diesel</t>
  </si>
  <si>
    <t>Parameters: LPG</t>
  </si>
  <si>
    <t>Parameters: Kerosene</t>
  </si>
  <si>
    <t>Parameters: Other oil products</t>
  </si>
  <si>
    <t>Parameters: Biomass</t>
  </si>
  <si>
    <t>Parameters: Self-generated renewables</t>
  </si>
  <si>
    <t>Energy use: base year from Data_Energy, later years from the kernel  (= CPAT ener rows)</t>
  </si>
  <si>
    <t>ktoe</t>
  </si>
  <si>
    <t>ener</t>
  </si>
  <si>
    <t>tot</t>
  </si>
  <si>
    <t>Total</t>
  </si>
  <si>
    <t>Cement</t>
  </si>
  <si>
    <t>cem</t>
  </si>
  <si>
    <t>Non-ferrous metals</t>
  </si>
  <si>
    <t>nfm</t>
  </si>
  <si>
    <t>Mining &amp; Chemicals</t>
  </si>
  <si>
    <t>mch</t>
  </si>
  <si>
    <t>Industrial sector - Carbon tax  (policy scenario, same four sectors)</t>
  </si>
  <si>
    <t>Named LAMBDA functions defined in Name Manager (workbook scope)</t>
  </si>
  <si>
    <t>Parameter names avoid Excel function names (hence dlt, vname). Requires Excel 365 / Excel 2021 or later. Stored as _xlfn.LAMBDA(_xlpm.param, ...) so Excel recognises them on open; the sheet is set to recalculate fully on load.</t>
  </si>
  <si>
    <t>Name</t>
  </si>
  <si>
    <t>Signature</t>
  </si>
  <si>
    <t>Definition (as typed in Name Manager)</t>
  </si>
  <si>
    <t>What it does</t>
  </si>
  <si>
    <t>Stored text (workbook.xml)</t>
  </si>
  <si>
    <t>FUELUSE</t>
  </si>
  <si>
    <t>FUELUSE(F_prev, p_prev, p_now, s_prev, s_now, g, dlt, psi, eY, eU, eF, a, a_add)</t>
  </si>
  <si>
    <t>The fuel-use kernel. Prices p (post-tax) and s (shadow) in the same native unit; returns F(t) in ktoe.</t>
  </si>
  <si>
    <t>_xlfn.LAMBDA(_xlpm.F_prev,_xlpm.p_prev,_xlpm.p_now,_xlpm.s_prev,_xlpm.s_now,_xlpm.g,_xlpm.dlt,_xlpm.psi,_xlpm.eY,_xlpm.eU,_xlpm.eF,_xlpm.a,_xlpm.a_add,_xlfn.LET(_xlpm.pr, IF(_xlpm.p_prev&lt;=0,1,_xlpm.p_now/_xlpm.p_prev), _xlpm.sr, IF(_xlpm.s_prev&lt;=0,1,_xlpm.s_now/_xlpm.s_prev), _xlpm.F_prev*(1+_xlpm.g)^(_xlpm.eY*_xlpm.dlt)*(1+_xlpm.psi)*_xlpm.pr^_xlpm.eU*((_xlpm.sr^_xlpm.eF)/(1+_xlpm.a+_xlpm.a_add))^(1+_xlpm.eU)))</t>
  </si>
  <si>
    <t>ELAST</t>
  </si>
  <si>
    <t>ELAST(kind, fuel, group)</t>
  </si>
  <si>
    <t>One number from the master elasticity table: kind = el_inc | el_dem | el_eff | eff_imp, fuel = elasticity fuel group, group = Transport | Residential | Industries | Services.</t>
  </si>
  <si>
    <t>_xlfn.LAMBDA(_xlpm.kind,_xlpm.fuel,_xlpm.group,INDEX(Data_Elast!$D:$G, MATCH(_xlpm.kind&amp;"_"&amp;_xlpm.fuel, Data_Elast!$A:$A, 0), MATCH(_xlpm.group, Data_Elast!$D$1:$G$1, 0)))</t>
  </si>
  <si>
    <t>POSTTAX</t>
  </si>
  <si>
    <t>POSTTAX(ptp, nce, tcf)</t>
  </si>
  <si>
    <t>Post-tax price = pre-tax price + new-policy wedge x sector coverage factor.</t>
  </si>
  <si>
    <t>_xlfn.LAMBDA(_xlpm.ptp,_xlpm.nce,_xlpm.tcf,_xlpm.ptp+_xlpm.nce*_xlpm.tcf)</t>
  </si>
  <si>
    <t>SHADOW</t>
  </si>
  <si>
    <t>SHADOW(atp, sigma, ssc)</t>
  </si>
  <si>
    <t>Shadow price = post-tax price + shadow price of non-price policies x share acting on efficiency.</t>
  </si>
  <si>
    <t>_xlfn.LAMBDA(_xlpm.atp,_xlpm.sigma,_xlpm.ssc,_xlpm.atp+_xlpm.sigma*_xlpm.ssc)</t>
  </si>
  <si>
    <t>OUTCODE</t>
  </si>
  <si>
    <t>OUTCODE(country, vname, sector, fuel, scen)</t>
  </si>
  <si>
    <t>CPAT output code built from components, e.g. egy.mit.ener.irn.coa.e.1.</t>
  </si>
  <si>
    <t>_xlfn.LAMBDA(_xlpm.country,_xlpm.vname,_xlpm.sector,_xlpm.fuel,_xlpm.scen,_xlpm.country&amp;".mit."&amp;_xlpm.vname&amp;"."&amp;_xlpm.sector&amp;"."&amp;_xlpm.fuel&amp;".e."&amp;_xlpm.scen)</t>
  </si>
  <si>
    <t>Worked example (iron and steel, coal, 2023, baseline):</t>
  </si>
  <si>
    <t>F_prev (2022, ktoe)</t>
  </si>
  <si>
    <t>p_prev / p_now (post-tax, $/GJ)</t>
  </si>
  <si>
    <t>10.5234 / 10.2996</t>
  </si>
  <si>
    <t>s_prev / s_now (shadow, $/GJ)</t>
  </si>
  <si>
    <t>g, delta, psi (2023)</t>
  </si>
  <si>
    <t>0.03760, 1.02715, -0.20813</t>
  </si>
  <si>
    <t>eY, eU, eF, a, a+</t>
  </si>
  <si>
    <t>0.5, -0.3, -0.4, 0.005, 0</t>
  </si>
  <si>
    <t>FUELUSE(...) expected</t>
  </si>
  <si>
    <t>189.452656106887 ktoe</t>
  </si>
  <si>
    <t>Live call</t>
  </si>
  <si>
    <t>How the cells use them:</t>
  </si>
  <si>
    <t>Energy, year t:   =FUELUSE(F(t-1), atp(t-1), atp(t), shp(t-1), shp(t), g(t), dlt(t), psi(t), eY, eU, eF, a, a+)   - all arguments are cells in the same block</t>
  </si>
  <si>
    <t>Post-tax price:   =POSTTAX(ptp, nce, tcf)      Shadow price:   =SHADOW(atp, sigma, ssc)</t>
  </si>
  <si>
    <t>Parameters:       =ELAST("el_inc", fuel group, Settings!elasticity column)   etc.;   AEEI uses ELAST("eff_imp", AEEI group, ...)</t>
  </si>
  <si>
    <t>Output codes:     =OUTCODE(country, "ener", sector, fuel, scenario)   -&gt;   egy.mit.ener.irn.coa.e.1</t>
  </si>
  <si>
    <t>To switch a cell back to a plain formula, paste the LET body with the arguments substituted; v0.1 of this file is that expanded version.</t>
  </si>
  <si>
    <t>CPAT Inputs</t>
  </si>
  <si>
    <t>Links ----&gt;</t>
  </si>
  <si>
    <t>Dashboard</t>
  </si>
  <si>
    <t>Explanation: this tabs is used for running MT as well as being a convenient place for all CPAT policy and parameter inputs to be viewed</t>
  </si>
  <si>
    <t>NB: Please do not change any cells. Make sure that "MT is active" switch is "False"</t>
  </si>
  <si>
    <t>&lt;-- Should normally  be "FALSE"!</t>
  </si>
  <si>
    <t>Parameters</t>
  </si>
  <si>
    <t>unit</t>
  </si>
  <si>
    <t>MT values</t>
  </si>
  <si>
    <t>"Dashboard" values</t>
  </si>
  <si>
    <t>Used for calculation</t>
  </si>
  <si>
    <t>Defaults</t>
  </si>
  <si>
    <t>NameOfParameter</t>
  </si>
  <si>
    <t>Use Dashboard even if Defaults selected</t>
  </si>
  <si>
    <t>Country</t>
  </si>
  <si>
    <t>Egypt</t>
  </si>
  <si>
    <t>Countryname</t>
  </si>
  <si>
    <t>Y</t>
  </si>
  <si>
    <t>Scenario identification</t>
  </si>
  <si>
    <t>Scenario ID</t>
  </si>
  <si>
    <t>#</t>
  </si>
  <si>
    <t>N/A</t>
  </si>
  <si>
    <t>MSTScenarioID</t>
  </si>
  <si>
    <t>Scenario status</t>
  </si>
  <si>
    <t>switch</t>
  </si>
  <si>
    <t>Scenario name</t>
  </si>
  <si>
    <t>name</t>
  </si>
  <si>
    <t>Chosen policy</t>
  </si>
  <si>
    <t xml:space="preserve"> - Carbon tax</t>
  </si>
  <si>
    <t>ScenarioSelected</t>
  </si>
  <si>
    <t>Scenario status for macro</t>
  </si>
  <si>
    <t>Scenario parameters override?</t>
  </si>
  <si>
    <t>CPAT-side parameters override?</t>
  </si>
  <si>
    <t>Manual*</t>
  </si>
  <si>
    <t>CPATDefaultsOrUserDefined</t>
  </si>
  <si>
    <t>Carbon pricing: main inputs</t>
  </si>
  <si>
    <t>X</t>
  </si>
  <si>
    <t>Carbon pricing start year</t>
  </si>
  <si>
    <t>year</t>
  </si>
  <si>
    <t>CPIntro</t>
  </si>
  <si>
    <t>Starting carbon price</t>
  </si>
  <si>
    <t>nom. USD/tCO2</t>
  </si>
  <si>
    <t>CPLevelStart</t>
  </si>
  <si>
    <t>Target level of carbon price</t>
  </si>
  <si>
    <t>CPLevelTarget</t>
  </si>
  <si>
    <t>Year to reach target level</t>
  </si>
  <si>
    <t>CPOutro</t>
  </si>
  <si>
    <t>Carbon pricing: fuel coverage</t>
  </si>
  <si>
    <t>Apply tax to coal?</t>
  </si>
  <si>
    <t>MCovCoa</t>
  </si>
  <si>
    <t>Apply tax to natural gas?</t>
  </si>
  <si>
    <t>MCovNga</t>
  </si>
  <si>
    <t>Apply tax to gasoline?</t>
  </si>
  <si>
    <t>MCovGso</t>
  </si>
  <si>
    <t>Apply tax to diesel?</t>
  </si>
  <si>
    <t>MCovDie</t>
  </si>
  <si>
    <t>Apply tax to LPG?</t>
  </si>
  <si>
    <t>MCovLpg</t>
  </si>
  <si>
    <t>Apply tax to kerosene?</t>
  </si>
  <si>
    <t>MCovKer</t>
  </si>
  <si>
    <t>Apply tax to non-road oil products?</t>
  </si>
  <si>
    <t>MCovOop</t>
  </si>
  <si>
    <t>Carbon pricing: sector coverage</t>
  </si>
  <si>
    <t>Apply tax to power sector?</t>
  </si>
  <si>
    <t>MCovPow</t>
  </si>
  <si>
    <t>Apply tax to road transportation?</t>
  </si>
  <si>
    <t>MCovRod</t>
  </si>
  <si>
    <t>Apply tax to rail transportation?</t>
  </si>
  <si>
    <t>MCovRal</t>
  </si>
  <si>
    <t>Apply tax to domestic aviation?</t>
  </si>
  <si>
    <t>MCovAvi</t>
  </si>
  <si>
    <t>Apply tax to domestic shipping?</t>
  </si>
  <si>
    <t>MCovNav</t>
  </si>
  <si>
    <t>Apply tax to residential sector?</t>
  </si>
  <si>
    <t>MCovRes</t>
  </si>
  <si>
    <t>Apply tax to food &amp; forestry?</t>
  </si>
  <si>
    <t>MCovFoo</t>
  </si>
  <si>
    <t>Apply tax to services (private / public)?</t>
  </si>
  <si>
    <t>MCovSrv</t>
  </si>
  <si>
    <t>Apply tax to mining &amp; chemicals?</t>
  </si>
  <si>
    <t>MCovMch</t>
  </si>
  <si>
    <t>Apply tax to iron and steel?</t>
  </si>
  <si>
    <t>MCovIrn</t>
  </si>
  <si>
    <t>Apply tax to non-ferrous metals?</t>
  </si>
  <si>
    <t>MCovNfm</t>
  </si>
  <si>
    <t>Apply tax to machinery?</t>
  </si>
  <si>
    <t>MCovMac</t>
  </si>
  <si>
    <t>Apply tax to cement?</t>
  </si>
  <si>
    <t>MCovCem</t>
  </si>
  <si>
    <t>Apply tax to other manucfacturing?</t>
  </si>
  <si>
    <t>MCovOmn</t>
  </si>
  <si>
    <t>Apply tax to construction?</t>
  </si>
  <si>
    <t>MCovCst</t>
  </si>
  <si>
    <t>Apply tax to fuel transformation?</t>
  </si>
  <si>
    <t>MCovFtr</t>
  </si>
  <si>
    <t>Apply tax to other energy use?</t>
  </si>
  <si>
    <t>MCovOen</t>
  </si>
  <si>
    <t>Exemptions phaseout</t>
  </si>
  <si>
    <t>Apply exemption phaseout?</t>
  </si>
  <si>
    <t>ExemptPhaseout</t>
  </si>
  <si>
    <t>Year to start exemption phaseout (if applicable)</t>
  </si>
  <si>
    <t>YearPha</t>
  </si>
  <si>
    <t>Period to reach full exemption phaseout (if applicable)</t>
  </si>
  <si>
    <t>ExemptPhaseoutPeriod</t>
  </si>
  <si>
    <t>Feebates: Starting and End Date</t>
  </si>
  <si>
    <t>Start date</t>
  </si>
  <si>
    <t>D_FeebateIntro</t>
  </si>
  <si>
    <t>Target date</t>
  </si>
  <si>
    <t>D_FeebateOutro</t>
  </si>
  <si>
    <t>Feebates: Feebate starting rate</t>
  </si>
  <si>
    <t>Power sector</t>
  </si>
  <si>
    <t>USD/tCO2</t>
  </si>
  <si>
    <t>D_Feb_Level_Start_Pow</t>
  </si>
  <si>
    <t>Transport</t>
  </si>
  <si>
    <t>D_Feb_Level_Start_Trans</t>
  </si>
  <si>
    <t>Residential</t>
  </si>
  <si>
    <t>D_Feb_Level_Start_Res</t>
  </si>
  <si>
    <t>Industry</t>
  </si>
  <si>
    <t>D_Feb_Level_Start_Ind</t>
  </si>
  <si>
    <t>Feebates: Feebate target rate</t>
  </si>
  <si>
    <t>D_Feb_Level_Target_Pow</t>
  </si>
  <si>
    <t>D_Feb_Level_Target_Trans</t>
  </si>
  <si>
    <t>D_Feb_Level_Target_Res</t>
  </si>
  <si>
    <t>D_Feb_Level_Target_Ind</t>
  </si>
  <si>
    <t>Feebates sector coverage</t>
  </si>
  <si>
    <t>ETS Main Characteristics</t>
  </si>
  <si>
    <t>Apply new ETS?</t>
  </si>
  <si>
    <t>No</t>
  </si>
  <si>
    <t>D_NewETS</t>
  </si>
  <si>
    <t>Change Relative to Baseline in Start Year</t>
  </si>
  <si>
    <t>D_ETSChangeRelStart</t>
  </si>
  <si>
    <t>Change Relative to Baseline in Target Year</t>
  </si>
  <si>
    <t>D_ETSChangeRelTarget</t>
  </si>
  <si>
    <t>Cap continuation after target year?</t>
  </si>
  <si>
    <t>Constant</t>
  </si>
  <si>
    <t>KeepRelativeCapConstant</t>
  </si>
  <si>
    <t>D_ETSCapCont</t>
  </si>
  <si>
    <t>ETS Start Year</t>
  </si>
  <si>
    <t>D_ETSIntro</t>
  </si>
  <si>
    <t>ETS Target Year</t>
  </si>
  <si>
    <t>D_ETSOutro</t>
  </si>
  <si>
    <t>Proportion Auctioned in Starting Year</t>
  </si>
  <si>
    <t>D_ETSAuctStart</t>
  </si>
  <si>
    <t>Proportion Auctioned in Target Year</t>
  </si>
  <si>
    <t>D_ETSAuctTarget</t>
  </si>
  <si>
    <t>Auction proportion continuation after target year?</t>
  </si>
  <si>
    <t>D_ETSAuctCont</t>
  </si>
  <si>
    <t>Override ETS price</t>
  </si>
  <si>
    <t>D_ETSPriceOverride</t>
  </si>
  <si>
    <t>ETS: modelling assumptions</t>
  </si>
  <si>
    <t>ETS Volatility</t>
  </si>
  <si>
    <t>Medium*</t>
  </si>
  <si>
    <t>D_ETSVolatility</t>
  </si>
  <si>
    <t>Impact of Volatility on Abatement Costs</t>
  </si>
  <si>
    <t>D_ETSVolImpact</t>
  </si>
  <si>
    <t>Carbon Tax Policy Risk</t>
  </si>
  <si>
    <t>D_ETSCTRisk</t>
  </si>
  <si>
    <t>ETS: sector coverage</t>
  </si>
  <si>
    <t>power sector</t>
  </si>
  <si>
    <t>road transportation</t>
  </si>
  <si>
    <t>rail transportation</t>
  </si>
  <si>
    <t>domestic aviation</t>
  </si>
  <si>
    <t>domestic shipping</t>
  </si>
  <si>
    <t>residential</t>
  </si>
  <si>
    <t>food &amp; forestry</t>
  </si>
  <si>
    <t>services (private / public)</t>
  </si>
  <si>
    <t>mining &amp; chemicals</t>
  </si>
  <si>
    <t>iron and steel</t>
  </si>
  <si>
    <t>non-ferrous metals</t>
  </si>
  <si>
    <t>machinery</t>
  </si>
  <si>
    <t>cement</t>
  </si>
  <si>
    <t>other manucfacturing</t>
  </si>
  <si>
    <t>construction</t>
  </si>
  <si>
    <t>fuel transformation</t>
  </si>
  <si>
    <t>other energy use</t>
  </si>
  <si>
    <t>CBAM Goods Non-Fuel Process Emissions</t>
  </si>
  <si>
    <t>Fossil fuel subsidies (producer-side)</t>
  </si>
  <si>
    <t>Apply producer subsidies phaseout in the policy scenario?</t>
  </si>
  <si>
    <t>TRUE/FALSE</t>
  </si>
  <si>
    <t>ProdSubPh</t>
  </si>
  <si>
    <t>Year to start producer subsidies phaseout (if applicable)</t>
  </si>
  <si>
    <t>YearProdSubPha</t>
  </si>
  <si>
    <t>Period to reach full producer subsidies phaseout (if applicable)</t>
  </si>
  <si>
    <t>FFSProdPhaseoutPeriod</t>
  </si>
  <si>
    <t>Share of producer subsidies to phase-out</t>
  </si>
  <si>
    <t>ShareofProdSubPha</t>
  </si>
  <si>
    <t>Apply producer subsidies phaseout in the baseline?</t>
  </si>
  <si>
    <t>Yes/No</t>
  </si>
  <si>
    <t>ProdSubPhaBaseline</t>
  </si>
  <si>
    <t>Period to reach full producer subsidies phaseout (baseline)</t>
  </si>
  <si>
    <t>FFSProdPhaseoutPeriodBA</t>
  </si>
  <si>
    <t>Share of producer subsidies to phase-out in the baseline</t>
  </si>
  <si>
    <t>ShareOfProdSubPhaBA</t>
  </si>
  <si>
    <t>Fossil fuel subsidies (consumer-side)</t>
  </si>
  <si>
    <t>Apply consumer subsidies phaseout?</t>
  </si>
  <si>
    <t>ConsSubPha</t>
  </si>
  <si>
    <t>Year to start consumer subsidies phaseout (if applicable)</t>
  </si>
  <si>
    <t>YearConsSubPha</t>
  </si>
  <si>
    <t>Period to reach full consumer subsidies phaseout (if applicable)</t>
  </si>
  <si>
    <t>FFPhaseOut</t>
  </si>
  <si>
    <t>Share of consumer subsidies to phase-out</t>
  </si>
  <si>
    <t>ShareOfConsSubPha</t>
  </si>
  <si>
    <t>Apply consumer subsidies phaseout in the baseline?</t>
  </si>
  <si>
    <t>ConsSubPhaBaseline</t>
  </si>
  <si>
    <t>Period to reach full consumer subsidies phaseout (baseline)</t>
  </si>
  <si>
    <t>FFSConsPhaseoutPeriodBA</t>
  </si>
  <si>
    <t>Share of consumer subsidies to phase-out in the baseline</t>
  </si>
  <si>
    <t>ShareofConsSubPhaBA</t>
  </si>
  <si>
    <t>Include power subsidies in any phase out?</t>
  </si>
  <si>
    <t>Exempt/Include*</t>
  </si>
  <si>
    <t>DoNotPhaseOut*</t>
  </si>
  <si>
    <t>PowerSubsidyExemptInclude</t>
  </si>
  <si>
    <t>Fuel Price Reform</t>
  </si>
  <si>
    <t>Starting year</t>
  </si>
  <si>
    <t>Target year</t>
  </si>
  <si>
    <t>Starting price increase, Coal , Power</t>
  </si>
  <si>
    <t>Starting price increase, Coal , Residential</t>
  </si>
  <si>
    <t>Starting price increase, Coal , Industry</t>
  </si>
  <si>
    <t>Starting price increase, Natural gas , Power</t>
  </si>
  <si>
    <t>Starting price increase, Natural gas , Residential</t>
  </si>
  <si>
    <t>Starting price increase, Natural gas , Industry</t>
  </si>
  <si>
    <t>Starting price increase, Electricity , Residential</t>
  </si>
  <si>
    <t>Starting price increase, Electricity , Industry</t>
  </si>
  <si>
    <t>Starting price increase, Gasoline , All</t>
  </si>
  <si>
    <t>Starting price increase, Diesel  , All</t>
  </si>
  <si>
    <t>Starting price increase, LPG , All</t>
  </si>
  <si>
    <t>Starting price increase, Kerosene , All</t>
  </si>
  <si>
    <t>Starting price increase, Other oil products , All</t>
  </si>
  <si>
    <t>Starting price increase, Biomass , All</t>
  </si>
  <si>
    <t>Final price increase, Coal , Power</t>
  </si>
  <si>
    <t>Final price increase, Coal , Residential</t>
  </si>
  <si>
    <t>Final price increase, Coal , Industry</t>
  </si>
  <si>
    <t>Final price increase, Natural gas , Power</t>
  </si>
  <si>
    <t>Final price increase, Natural gas , Residential</t>
  </si>
  <si>
    <t>Final price increase, Natural gas , Industry</t>
  </si>
  <si>
    <t>Final price increase, Electricity , Residential</t>
  </si>
  <si>
    <t>Final price increase, Electricity , Industry</t>
  </si>
  <si>
    <t>Final price increase, Gasoline , All</t>
  </si>
  <si>
    <t>Final price increase, Diesel  , All</t>
  </si>
  <si>
    <t>Final price increase, LPG , All</t>
  </si>
  <si>
    <t>Final price increase, Kerosene , All</t>
  </si>
  <si>
    <t>Final price increase, Other oil products , All</t>
  </si>
  <si>
    <t>Final price increase, Biomass , All</t>
  </si>
  <si>
    <t>Price increase units, Coal , Power</t>
  </si>
  <si>
    <t>Price increase units, Coal , Residential</t>
  </si>
  <si>
    <t>Price increase units, Coal , Industry</t>
  </si>
  <si>
    <t>Price increase units, Natural gas , Power</t>
  </si>
  <si>
    <t>Price increase units, Natural gas , Residential</t>
  </si>
  <si>
    <t>Price increase units, Natural gas , Industry</t>
  </si>
  <si>
    <t>Price increase units, Electricity , Residential</t>
  </si>
  <si>
    <t>Price increase units, Electricity , Industry</t>
  </si>
  <si>
    <t>Price increase units, Gasoline , All</t>
  </si>
  <si>
    <t>Price increase units, Diesel  , All</t>
  </si>
  <si>
    <t>Price increase units, LPG , All</t>
  </si>
  <si>
    <t>Price increase units, Kerosene , All</t>
  </si>
  <si>
    <t>Price increase units, Other oil products , All</t>
  </si>
  <si>
    <t>$/bbn</t>
  </si>
  <si>
    <t>Price increase units, Biomass , All</t>
  </si>
  <si>
    <t>Methane tax</t>
  </si>
  <si>
    <t>Apply carbon tax to methane</t>
  </si>
  <si>
    <t>CTforMethane</t>
  </si>
  <si>
    <t>Year of methane fee introduction</t>
  </si>
  <si>
    <t>MPIntro</t>
  </si>
  <si>
    <t>Starting methane fee (real USD per ton CO2eq)</t>
  </si>
  <si>
    <t>USD per ton of CO2 eq</t>
  </si>
  <si>
    <t>MPLevelStart</t>
  </si>
  <si>
    <t>Target level of methane fee</t>
  </si>
  <si>
    <t>MPLevelTarget</t>
  </si>
  <si>
    <t>Year to reach target methane fee level</t>
  </si>
  <si>
    <t>MPOutro</t>
  </si>
  <si>
    <t>Price liberalization</t>
  </si>
  <si>
    <t>Apply price controls phaseout?</t>
  </si>
  <si>
    <t>PrcContPha</t>
  </si>
  <si>
    <t>Year to start price controls phaseout (if applicable)</t>
  </si>
  <si>
    <t>YearPrcContPha</t>
  </si>
  <si>
    <t>Period to reach full price controls phaseout (if applicable)</t>
  </si>
  <si>
    <t>PrcControlPhaseout</t>
  </si>
  <si>
    <t>Government energy price controls</t>
  </si>
  <si>
    <t>Bucketed*</t>
  </si>
  <si>
    <t>GovPriceControls</t>
  </si>
  <si>
    <t>Apply price controls phaseout in the baseline scenario?</t>
  </si>
  <si>
    <t>PrcContPhaBaseline</t>
  </si>
  <si>
    <t>Revenues use</t>
  </si>
  <si>
    <t>Labor tax reductions</t>
  </si>
  <si>
    <t>% of revenues</t>
  </si>
  <si>
    <t>EXPLabortax</t>
  </si>
  <si>
    <t>Corporate taxes</t>
  </si>
  <si>
    <t>EXPCIT</t>
  </si>
  <si>
    <t>Public investment</t>
  </si>
  <si>
    <t>EXPCapex</t>
  </si>
  <si>
    <t>Current spending</t>
  </si>
  <si>
    <t>EXPGoodsandserv</t>
  </si>
  <si>
    <t>Targeted transfers</t>
  </si>
  <si>
    <t>EXPTransfers</t>
  </si>
  <si>
    <t>of which:</t>
  </si>
  <si>
    <t>targeted percentile</t>
  </si>
  <si>
    <t>% bottom targetting (from bottom of distribution)</t>
  </si>
  <si>
    <t>TargettedPercentile</t>
  </si>
  <si>
    <t>coverage rate</t>
  </si>
  <si>
    <t>% of targeted percentile that receive transfers</t>
  </si>
  <si>
    <t>CoverageRate</t>
  </si>
  <si>
    <t>leakage rate</t>
  </si>
  <si>
    <t>% of untargeted percentile that receive transfers</t>
  </si>
  <si>
    <t>LeakageRate</t>
  </si>
  <si>
    <t>Policy options</t>
  </si>
  <si>
    <t>Additional mitigation policies in non-energy sectors?</t>
  </si>
  <si>
    <t>No*</t>
  </si>
  <si>
    <t>Yes*</t>
  </si>
  <si>
    <t>AdditionMitigationPoliciesNonEnergy</t>
  </si>
  <si>
    <t>Apply existing ETS (if exists)?</t>
  </si>
  <si>
    <t>ExistingETSApply</t>
  </si>
  <si>
    <t>Existing ETS permit price growth per annum (real terms)</t>
  </si>
  <si>
    <t>%, real</t>
  </si>
  <si>
    <t>ExistingETSGrowth</t>
  </si>
  <si>
    <t>New carbon tax complementary to existing ETS coverage</t>
  </si>
  <si>
    <t>CTaxComplimentaryToETS</t>
  </si>
  <si>
    <t>ETS behavioral responses and revenues adjustment</t>
  </si>
  <si>
    <t>ETSBehavioralAdjustment</t>
  </si>
  <si>
    <t>Years to phase in Pigouvian tax?</t>
  </si>
  <si>
    <t>AddEfficientTaxesPhaseInYears</t>
  </si>
  <si>
    <t>Apply existing carbon tax (if exists)?</t>
  </si>
  <si>
    <t>ExistingCTApply</t>
  </si>
  <si>
    <t>Assumed existing carbon tax growth per annum (real terms)</t>
  </si>
  <si>
    <t>ExistingCTGrowth</t>
  </si>
  <si>
    <t>Add additional excise tax (see 'Manual inputs' tab)?</t>
  </si>
  <si>
    <t>AdditionalExcise</t>
  </si>
  <si>
    <t>Include climate externality in Pigouvian tax?</t>
  </si>
  <si>
    <t>ClimateEffTax</t>
  </si>
  <si>
    <t>Add Pigouvian tax on top?</t>
  </si>
  <si>
    <t>AddEfficientTaxes</t>
  </si>
  <si>
    <t>Externalities are part of VAT base for optimal taxes?</t>
  </si>
  <si>
    <t>ExternalityAddVAT</t>
  </si>
  <si>
    <t>Sources for key inputs</t>
  </si>
  <si>
    <t>International energy price forecasts</t>
  </si>
  <si>
    <t>IMF</t>
  </si>
  <si>
    <t>IMF-WB*</t>
  </si>
  <si>
    <t>IntEnerPricForeSource</t>
  </si>
  <si>
    <t>Global energy demand scenario</t>
  </si>
  <si>
    <t>Stated Policies*</t>
  </si>
  <si>
    <t>GlobalEnergyDemand</t>
  </si>
  <si>
    <t>GDP growth forecasts</t>
  </si>
  <si>
    <t>WEO*</t>
  </si>
  <si>
    <t>GDPScenario</t>
  </si>
  <si>
    <t>Primary source for price elasticities of demand</t>
  </si>
  <si>
    <t>Simple*</t>
  </si>
  <si>
    <t>ElPrcMainSrc</t>
  </si>
  <si>
    <t>Primary source for income elasticities of demand</t>
  </si>
  <si>
    <t>ElIncMainSrc</t>
  </si>
  <si>
    <t>CO2 emissions factors</t>
  </si>
  <si>
    <t>IIASA*</t>
  </si>
  <si>
    <t>EmissionsFactCO2</t>
  </si>
  <si>
    <t>Fiscal multipliers</t>
  </si>
  <si>
    <t>Income-grp*</t>
  </si>
  <si>
    <t>MultipliersSource</t>
  </si>
  <si>
    <t>Power sector model (elasticity or engineering)?</t>
  </si>
  <si>
    <t>Engineer</t>
  </si>
  <si>
    <t>PowModelSelected</t>
  </si>
  <si>
    <t>NDC submission</t>
  </si>
  <si>
    <t>Latest*</t>
  </si>
  <si>
    <t>NDCs</t>
  </si>
  <si>
    <t>NDC target year</t>
  </si>
  <si>
    <t>Main*</t>
  </si>
  <si>
    <t>NDCTargetYear</t>
  </si>
  <si>
    <t>If conditional NDC, use:</t>
  </si>
  <si>
    <t>Average*</t>
  </si>
  <si>
    <t>Conditionality</t>
  </si>
  <si>
    <t>General assumptions</t>
  </si>
  <si>
    <t>First year of model calculations?</t>
  </si>
  <si>
    <t>FirstYearCalculations</t>
  </si>
  <si>
    <t>Nominal results in real terms of which year?</t>
  </si>
  <si>
    <t>ResultsYear</t>
  </si>
  <si>
    <t>Use energy balances or (CPAT) energy consumption data</t>
  </si>
  <si>
    <t>Balances</t>
  </si>
  <si>
    <t>BalancesOrConsumption</t>
  </si>
  <si>
    <t>Generate Matrix of Energy Consumption Projections for Year</t>
  </si>
  <si>
    <t>EnergyConsumptionsMatrixProjectionsYear</t>
  </si>
  <si>
    <t>Start year for GDP calculations</t>
  </si>
  <si>
    <t>GDPStartYear</t>
  </si>
  <si>
    <t>Adjust Annex I country energy-related CO2 EFs to match UNFCCC GHG inventories?</t>
  </si>
  <si>
    <t>EFsAdjustmentAnnexI</t>
  </si>
  <si>
    <t>Adjust non-Annex I country energy-related CO2 EFs to match CAIT GHG inventories?</t>
  </si>
  <si>
    <t>EFsAdjustmentNonAnnexI</t>
  </si>
  <si>
    <t>Industrial process emissions scale with industrial CO2 energy emissions?</t>
  </si>
  <si>
    <t>IndustrialProcessEmissionsScaleEner</t>
  </si>
  <si>
    <t>LULUCF emissions decline at % pa (in absolute value of start year)?</t>
  </si>
  <si>
    <t>LULUCFAnnualEmissionsDecline</t>
  </si>
  <si>
    <t>Additional policy-induced efficiency gains pa by sector:</t>
  </si>
  <si>
    <t>Power</t>
  </si>
  <si>
    <t>AdditionalEfficiencyPower</t>
  </si>
  <si>
    <t>Road vehicles</t>
  </si>
  <si>
    <t>AdditionalEfficiencyRoadVehicle</t>
  </si>
  <si>
    <t>AdditionalEfficiencyResidential</t>
  </si>
  <si>
    <t>Industrial</t>
  </si>
  <si>
    <t>AdditionalEfficiencyIndustrial</t>
  </si>
  <si>
    <t>Adjustment to efficiency margins for shadow pricing policies:</t>
  </si>
  <si>
    <t>Energy efficiency regulations</t>
  </si>
  <si>
    <t>SPPEffAdjEnergyEfficiencyRegulations</t>
  </si>
  <si>
    <t>Vehicle fuel economy</t>
  </si>
  <si>
    <t>SPPEffAdjVehicleFuelEconomy</t>
  </si>
  <si>
    <t>Residential efficiency regulations</t>
  </si>
  <si>
    <t>SPPEffAdjRes</t>
  </si>
  <si>
    <t>Industrial efficiency regulations</t>
  </si>
  <si>
    <t>SPPEffAdjInd</t>
  </si>
  <si>
    <t>Feebates</t>
  </si>
  <si>
    <t>SPPEffAdjFeebates</t>
  </si>
  <si>
    <t>Residential Substitution Implicit Efficiencies</t>
  </si>
  <si>
    <t>ResSubstLPGEff</t>
  </si>
  <si>
    <t>ResSubstKerEff</t>
  </si>
  <si>
    <t>ResSubstBioEff</t>
  </si>
  <si>
    <t>NatGas</t>
  </si>
  <si>
    <t>ResSubstNatGasEff</t>
  </si>
  <si>
    <t>Uncertainty adjustments</t>
  </si>
  <si>
    <t>International energy prices adjustment</t>
  </si>
  <si>
    <t>Base*</t>
  </si>
  <si>
    <t>IntEnerPricForecastAdjustment</t>
  </si>
  <si>
    <t>GDP growth adjustment</t>
  </si>
  <si>
    <t>GdpAdj</t>
  </si>
  <si>
    <t>Price elasticities adjustment</t>
  </si>
  <si>
    <t>ElastPriceAdjustment</t>
  </si>
  <si>
    <t>Income elasticities adjustment</t>
  </si>
  <si>
    <t>ElastIncAdjustment</t>
  </si>
  <si>
    <t>Adjust income elasticities for GDP levels?</t>
  </si>
  <si>
    <t>IncElAdj</t>
  </si>
  <si>
    <t>Fiscal multipliers adjustment</t>
  </si>
  <si>
    <t>FmAdj</t>
  </si>
  <si>
    <t>Miscellaneous</t>
  </si>
  <si>
    <t>Price pathway continues to rise after target year?</t>
  </si>
  <si>
    <t>Linear*</t>
  </si>
  <si>
    <t>ExtendCarbonPriceBeyondOutro</t>
  </si>
  <si>
    <t>Tax pathway is in nominal or real terms?</t>
  </si>
  <si>
    <t>Real*</t>
  </si>
  <si>
    <t>NomorReal</t>
  </si>
  <si>
    <t>Include endogenous GDP effects?</t>
  </si>
  <si>
    <t>GDPEndogenous</t>
  </si>
  <si>
    <t>Residential LPG/kerosene always exempted</t>
  </si>
  <si>
    <t>AlwaysExemptResLPGKer</t>
  </si>
  <si>
    <t>National social cost of carbon (NSCC) source</t>
  </si>
  <si>
    <t>Target*</t>
  </si>
  <si>
    <t>NSCCSource</t>
  </si>
  <si>
    <t>Override dashboard and impose a linear or exponential carbon price trajectory?</t>
  </si>
  <si>
    <t>CTaxTrajectoryType</t>
  </si>
  <si>
    <t>If overridden and exponential, what is the real escalation rate per year?</t>
  </si>
  <si>
    <t>CtaxExponentialEscalationRate</t>
  </si>
  <si>
    <t xml:space="preserve">Social cost of carbon </t>
  </si>
  <si>
    <t>NSCC discount rate (ρ)</t>
  </si>
  <si>
    <t>2%*</t>
  </si>
  <si>
    <t>NSCCDiscountRate</t>
  </si>
  <si>
    <t>NSCC elasticity of marginal utility (μ)</t>
  </si>
  <si>
    <t>1.5%*</t>
  </si>
  <si>
    <t>NSCCMargUtilofCons</t>
  </si>
  <si>
    <t>Global social cost of carbon (GSCC) source</t>
  </si>
  <si>
    <t>GSCCSource</t>
  </si>
  <si>
    <t xml:space="preserve">Manual - assumed starting in year 2021 </t>
  </si>
  <si>
    <t>SCC (both NSCC and GSCC)</t>
  </si>
  <si>
    <t>real growth, %</t>
  </si>
  <si>
    <t>SCCRise</t>
  </si>
  <si>
    <t>Target-consistent carbon price by 2030 (for 'Target' option)</t>
  </si>
  <si>
    <t>SCCTargetConsistentCP</t>
  </si>
  <si>
    <t>Energy pricing assumptions</t>
  </si>
  <si>
    <t>Use manual domestic prices?</t>
  </si>
  <si>
    <t>DomPrTax</t>
  </si>
  <si>
    <t>Use uniform global assumption for fuel prices (normally 'No')</t>
  </si>
  <si>
    <t>UseGlobalPrices</t>
  </si>
  <si>
    <t>Year of interest for energy externalities &amp; prices</t>
  </si>
  <si>
    <t>YearFuelPrices</t>
  </si>
  <si>
    <t>VAT reform</t>
  </si>
  <si>
    <t>Apply general VAT rate on residential and transport consumption?</t>
  </si>
  <si>
    <t>VatRef</t>
  </si>
  <si>
    <t>Existing non-carbon taxes</t>
  </si>
  <si>
    <t>Apply existing non-carbon taxes on coal?</t>
  </si>
  <si>
    <t>ApplyExistingNonCarbonTaxCoa</t>
  </si>
  <si>
    <t>Apply existing non-carbon taxes on natural gas?</t>
  </si>
  <si>
    <t>ApplyExistingNonCarbonTaxNga</t>
  </si>
  <si>
    <t>Apply existing non-carbon taxes on gasoline?</t>
  </si>
  <si>
    <t>ApplyExistingNonCarbonTaxGso</t>
  </si>
  <si>
    <t>Apply existing non-carbon taxes on diesel?</t>
  </si>
  <si>
    <t>ApplyExistingNonCarbonTaxDie</t>
  </si>
  <si>
    <t>Apply existing non-carbon taxes on other oil products?</t>
  </si>
  <si>
    <t>ApplyExistingNonCarbonTaxOop</t>
  </si>
  <si>
    <t>Apply existing non-carbon taxes on LPG?</t>
  </si>
  <si>
    <t>ApplyExistingNonCarbonTaxLpg</t>
  </si>
  <si>
    <t>Apply existing non-carbon taxes on kerosene?</t>
  </si>
  <si>
    <t>ApplyExistingNonCarbonTaxKer</t>
  </si>
  <si>
    <t>Apply existing non-carbon taxes on biomass?</t>
  </si>
  <si>
    <t>ApplyExistingNonCarbonTaxBio</t>
  </si>
  <si>
    <t>Apply existing non-carbon taxes on electricity?</t>
  </si>
  <si>
    <t>ApplyExistingNonCarbonTaxEcy</t>
  </si>
  <si>
    <t>Other assumptions: mitigation module</t>
  </si>
  <si>
    <t>Use 'world' (USA) or country-specific discount factors?</t>
  </si>
  <si>
    <t>World</t>
  </si>
  <si>
    <t>DfSelection</t>
  </si>
  <si>
    <t>Sum all oil products in industrial transformation sector</t>
  </si>
  <si>
    <t>Converted</t>
  </si>
  <si>
    <t>NonEnergyTransformationMethod</t>
  </si>
  <si>
    <t>LPG in residential implicit (cookstove) efficiency</t>
  </si>
  <si>
    <t>LPGEff</t>
  </si>
  <si>
    <t>Kerosene in residential implicit (cookstove) efficiency</t>
  </si>
  <si>
    <t>KerEff</t>
  </si>
  <si>
    <t>Biomass in residential implicit (cookstove) efficiency</t>
  </si>
  <si>
    <t>BioEff</t>
  </si>
  <si>
    <t>Natural gas in residential implicit (cookstove) efficiency</t>
  </si>
  <si>
    <t>NatGasEff</t>
  </si>
  <si>
    <t>Include producer-side subsidies as part of TCP measure</t>
  </si>
  <si>
    <t>PsInTCP</t>
  </si>
  <si>
    <t>Distributional module assumptions</t>
  </si>
  <si>
    <t>Analysis year for distributional module</t>
  </si>
  <si>
    <t>YearDistn</t>
  </si>
  <si>
    <t>Targeted transfer type</t>
  </si>
  <si>
    <t>Cash</t>
  </si>
  <si>
    <t>TransferType</t>
  </si>
  <si>
    <t>Target households below poverty line (2011 PPP$/day)</t>
  </si>
  <si>
    <t>number</t>
  </si>
  <si>
    <t>TargetBelow</t>
  </si>
  <si>
    <t>Public/infrastructure investment type</t>
  </si>
  <si>
    <t>All Infr.</t>
  </si>
  <si>
    <t>PublicInfrastructureInvType</t>
  </si>
  <si>
    <t>Current spending type</t>
  </si>
  <si>
    <t>All Social Protection and Labor</t>
  </si>
  <si>
    <t>CurrentSpendingType</t>
  </si>
  <si>
    <t>Personal Income Tax (PIT) reduction type</t>
  </si>
  <si>
    <t>Personal Allowance</t>
  </si>
  <si>
    <t>PITReductionType</t>
  </si>
  <si>
    <t>"Targeted Exemption" for bottom XX deciles</t>
  </si>
  <si>
    <t>DistExcCfDec</t>
  </si>
  <si>
    <t>Replace missing labor tax data, grouping by country</t>
  </si>
  <si>
    <t>income</t>
  </si>
  <si>
    <t>MissingDataReplacement</t>
  </si>
  <si>
    <t>Exempt most-used cooking fossil fuel?</t>
  </si>
  <si>
    <t>ExemptMostCook</t>
  </si>
  <si>
    <t>Exempt cooking fossil fuel for bottom XX deciles:</t>
  </si>
  <si>
    <t>ExemptCookDeciles</t>
  </si>
  <si>
    <t>Adjust for behavioral &amp; structural change?</t>
  </si>
  <si>
    <t>InferredDist</t>
  </si>
  <si>
    <t>Include decile-specific price elasticities?</t>
  </si>
  <si>
    <t>Yes</t>
  </si>
  <si>
    <t>PEDs</t>
  </si>
  <si>
    <t>Adjust GTAP-implied CP revenues to CPAT?</t>
  </si>
  <si>
    <t>ScaleGTAP</t>
  </si>
  <si>
    <t>Adjust for deadweight losses?</t>
  </si>
  <si>
    <t>DWLs</t>
  </si>
  <si>
    <t>Imperfect pass-through?</t>
  </si>
  <si>
    <t>PassthroughDist</t>
  </si>
  <si>
    <t>Impacts for average, median, p25, or p75?</t>
  </si>
  <si>
    <t>mean</t>
  </si>
  <si>
    <t>QuantilesStatistic</t>
  </si>
  <si>
    <t>Quantiles in LCU?</t>
  </si>
  <si>
    <t>QuantilesLCU</t>
  </si>
  <si>
    <t>Air pollution module assumptions</t>
  </si>
  <si>
    <t>Emissions to concentrations, PM2.5</t>
  </si>
  <si>
    <t>Local study-FASST</t>
  </si>
  <si>
    <t>Avg. iF and LS FASST*</t>
  </si>
  <si>
    <t>SourceAppSel</t>
  </si>
  <si>
    <t>Emissions to concentrations, Ozone</t>
  </si>
  <si>
    <t>TM5-FASST</t>
  </si>
  <si>
    <t>SourceAppO3</t>
  </si>
  <si>
    <t>Emission factors</t>
  </si>
  <si>
    <t>Average</t>
  </si>
  <si>
    <t>EFSel</t>
  </si>
  <si>
    <t>Include leakage to biomass in residential sector</t>
  </si>
  <si>
    <t>BiomassLeakage</t>
  </si>
  <si>
    <t>Biomass is a normal good</t>
  </si>
  <si>
    <t>BiomassNormal</t>
  </si>
  <si>
    <t>VSL source</t>
  </si>
  <si>
    <t>Transfer from Group</t>
  </si>
  <si>
    <t>Transfer from OECD</t>
  </si>
  <si>
    <t>VSLMethod</t>
  </si>
  <si>
    <t>VSL (where manual source)</t>
  </si>
  <si>
    <t>VSLManual</t>
  </si>
  <si>
    <t>0x17</t>
  </si>
  <si>
    <t>VSL elasticity source</t>
  </si>
  <si>
    <t>Income group</t>
  </si>
  <si>
    <t>VslElSource</t>
  </si>
  <si>
    <t>VSL elasticity (where manual source)</t>
  </si>
  <si>
    <t>VslEl</t>
  </si>
  <si>
    <t>Discount rate selection</t>
  </si>
  <si>
    <t>3% (Robinson 2019)</t>
  </si>
  <si>
    <t>DiscSel</t>
  </si>
  <si>
    <t>Discount rate (where manual source)</t>
  </si>
  <si>
    <t>DiscRate</t>
  </si>
  <si>
    <t>Other assumptions: air pollution module</t>
  </si>
  <si>
    <t>Number of working days per month</t>
  </si>
  <si>
    <t>days</t>
  </si>
  <si>
    <t>WorkDays</t>
  </si>
  <si>
    <t>Labor share of GDP, default value</t>
  </si>
  <si>
    <t>ApLabSh</t>
  </si>
  <si>
    <t>Max % of households using solid fuels</t>
  </si>
  <si>
    <t>ApMaxSs</t>
  </si>
  <si>
    <t>Leakage converted into % HH using solid fuels</t>
  </si>
  <si>
    <t>ApLeakHh</t>
  </si>
  <si>
    <t>Apply cessation lag when discounting averted deaths</t>
  </si>
  <si>
    <t>ApCessLag</t>
  </si>
  <si>
    <t>Transportation</t>
  </si>
  <si>
    <t>Engineering or elasticity model</t>
  </si>
  <si>
    <t>option</t>
  </si>
  <si>
    <t>Elasticity</t>
  </si>
  <si>
    <t>TrModel</t>
  </si>
  <si>
    <t>Power Sector</t>
  </si>
  <si>
    <t>Power Rebate</t>
  </si>
  <si>
    <t>PowerRebates</t>
  </si>
  <si>
    <t>Power price: portion of cost change passed-on:</t>
  </si>
  <si>
    <t>PowerSectorPriceChangePassOn</t>
  </si>
  <si>
    <t>Year of interest for power sector costs</t>
  </si>
  <si>
    <t>CostBreakdownYear</t>
  </si>
  <si>
    <t>Estimate economy-wide or sectoral power demand?</t>
  </si>
  <si>
    <t>Economy-wide</t>
  </si>
  <si>
    <t xml:space="preserve">ElasticityModel </t>
  </si>
  <si>
    <t>k Parameter dispatch</t>
  </si>
  <si>
    <t>coefficient</t>
  </si>
  <si>
    <t>kDispatch</t>
  </si>
  <si>
    <t>k Parameter investment</t>
  </si>
  <si>
    <t>kInvestment</t>
  </si>
  <si>
    <t>Minimum WACC</t>
  </si>
  <si>
    <t>MinimumWACC</t>
  </si>
  <si>
    <t>Use old or new generation costs in elasticity model?</t>
  </si>
  <si>
    <t>New*</t>
  </si>
  <si>
    <t>PowGenCostsOldNew</t>
  </si>
  <si>
    <t>Hydro retirement rate set to zero</t>
  </si>
  <si>
    <t>HydroDoesntRetire</t>
  </si>
  <si>
    <t>Minimum (post subsidy) generation cost $/kwh real</t>
  </si>
  <si>
    <t>MinPostSubsidyPowerPrice</t>
  </si>
  <si>
    <t>RE Subsidies</t>
  </si>
  <si>
    <t>Treat over/underestimate of supply costs as subsidy/tax</t>
  </si>
  <si>
    <t>SupplyCostDeltaSubsidy</t>
  </si>
  <si>
    <t>Baseline renewable energy subsidy, $/kwh nom</t>
  </si>
  <si>
    <t>$/kwh nom</t>
  </si>
  <si>
    <t>RenewableSubsidyBL</t>
  </si>
  <si>
    <t>New renewable energy subsidy, $/kwh nom</t>
  </si>
  <si>
    <t>RenSubsidyAddUSDkwh</t>
  </si>
  <si>
    <t>New renewable energy subsidy, phaseout</t>
  </si>
  <si>
    <t>years</t>
  </si>
  <si>
    <t>RenSubsidyAddPhaseoutYrs</t>
  </si>
  <si>
    <t>Apply additional RE subsidy to hydroelectric power?</t>
  </si>
  <si>
    <t>RenewableSubsidyHydro</t>
  </si>
  <si>
    <t>Electrical Generation Scale-up limits</t>
  </si>
  <si>
    <t>Max new investment in coal/gas/hyd as a percentage of total generation</t>
  </si>
  <si>
    <t>MaxNonVREAsPCOfTotalGen</t>
  </si>
  <si>
    <t>Max new investment oil/nucl/ore/bio as a percentage of total generation</t>
  </si>
  <si>
    <t>MaxNonNucOreBioAsPCOfTotalGen</t>
  </si>
  <si>
    <t>User-Defined Setting for VRE Max-Scale up (if used)</t>
  </si>
  <si>
    <t>MaxWindSolarScaleup</t>
  </si>
  <si>
    <t>Max renewable scaleup rate setting</t>
  </si>
  <si>
    <t>CtryDefault*</t>
  </si>
  <si>
    <t>MaxScaleUpRateCategory</t>
  </si>
  <si>
    <t>More Power Generation Settings</t>
  </si>
  <si>
    <t>Use Elasticity Model Power Demand In Engineer Model</t>
  </si>
  <si>
    <t>UseElasticityModelPowerDemandInEngineerModel</t>
  </si>
  <si>
    <t>Cost of capital: User-defined, Inc-dep,  or Tech-dep?</t>
  </si>
  <si>
    <t>Tech</t>
  </si>
  <si>
    <t>Income*</t>
  </si>
  <si>
    <t>WACCSource</t>
  </si>
  <si>
    <t>If Global, what Value?</t>
  </si>
  <si>
    <t>WACCUserGlobal</t>
  </si>
  <si>
    <t>Renewable Cost Declines</t>
  </si>
  <si>
    <t>RenewableCostDeclineRate</t>
  </si>
  <si>
    <t>Use Spot Fuel Prices in Engineer Power Model</t>
  </si>
  <si>
    <t>UseSpotFuelPricesInEngineerModel</t>
  </si>
  <si>
    <t>Use Additional Coal Intangible Cost</t>
  </si>
  <si>
    <t>AdditionalCoalIntangibleCost</t>
  </si>
  <si>
    <t>Manual Coal Intangible Cost (short term)</t>
  </si>
  <si>
    <t>ManualCoalIntangibleCostST</t>
  </si>
  <si>
    <t>Manual Coal Intangible Cost (long term)</t>
  </si>
  <si>
    <t>ManualCoalIntangibleCostLT</t>
  </si>
  <si>
    <t>Maximum Coal Capacity Factor</t>
  </si>
  <si>
    <t>MaximumCoalCF</t>
  </si>
  <si>
    <t>Maximum Gas Capacity Factor</t>
  </si>
  <si>
    <t>MaximumGasCF</t>
  </si>
  <si>
    <t>Proportion of GHG adjustment passed on to engineer model power demand</t>
  </si>
  <si>
    <t>EngineerModelProportionOfCovidFactor</t>
  </si>
  <si>
    <t>Override Capacity Factor if below (Wind and Solar)</t>
  </si>
  <si>
    <t>CFOverrideIfBelowWndSol</t>
  </si>
  <si>
    <t>Override Capacity Factor if below (Others)</t>
  </si>
  <si>
    <t>CFOverrideIfBelowFosOth</t>
  </si>
  <si>
    <t>Override Capacity Factor if below (All)</t>
  </si>
  <si>
    <t>CFOverrideIfAbove</t>
  </si>
  <si>
    <t>Proportion of coal capacity that can be retired</t>
  </si>
  <si>
    <t>MaxCostBasedEarlyRetirement</t>
  </si>
  <si>
    <t>Allow cost-based coal phaseout in baseline?</t>
  </si>
  <si>
    <t>EarlyRetirementInBaseline</t>
  </si>
  <si>
    <t>Minimum Thermal Efficiency</t>
  </si>
  <si>
    <t>MinimumThermalEfficiency</t>
  </si>
  <si>
    <t>Coal and Gas Power Purchase Agreements</t>
  </si>
  <si>
    <t>Proportion of PPAs in Coal and Gas Generation</t>
  </si>
  <si>
    <t>PPAProportionCoalGas</t>
  </si>
  <si>
    <t>Phase out any coal and gas PPAs? (Baseline)</t>
  </si>
  <si>
    <t>PhaseOutCoalAndGasPPAsBaseline</t>
  </si>
  <si>
    <t>Phase out any coal and gas PPAs? (Policy)</t>
  </si>
  <si>
    <t>PhaseOutCoalAndGasPPAsPolicy</t>
  </si>
  <si>
    <t>Phase begins when?</t>
  </si>
  <si>
    <t>YearPPACoalGas</t>
  </si>
  <si>
    <t>Phase out coal and gas PPAs over n years?</t>
  </si>
  <si>
    <t>YearsToPhaseOutPPAs</t>
  </si>
  <si>
    <t>Short Term Storage Parameters</t>
  </si>
  <si>
    <t>Percent allocation of ST storage costs to VRE</t>
  </si>
  <si>
    <t>AllocateSTStorageToVRE</t>
  </si>
  <si>
    <t>Total hours short term strorage for 100% VRE</t>
  </si>
  <si>
    <t>TotalHoursStorageFor100pcVRE</t>
  </si>
  <si>
    <t>kwh storage to kw interface ratio (hours)</t>
  </si>
  <si>
    <t>StorageToInterfaceRatioSTStorage</t>
  </si>
  <si>
    <t>Long Term Storage Parameters</t>
  </si>
  <si>
    <t>Percent allocation of LT storage costs to VRE</t>
  </si>
  <si>
    <t>AllocateLTStorageToVRE</t>
  </si>
  <si>
    <t>Starting point of long term storage requirement (%VRE)</t>
  </si>
  <si>
    <t>StartingPointWhenLTStorageIsNeeded</t>
  </si>
  <si>
    <t>GW electrolyzer per Gwy/y for 100% VRE (%)</t>
  </si>
  <si>
    <t>LongTermStorageFor100pcVRE</t>
  </si>
  <si>
    <t>Storage hours for LT storage</t>
  </si>
  <si>
    <t>StorageHoursForLTStorage</t>
  </si>
  <si>
    <t>Allowed New Investments Override if selected</t>
  </si>
  <si>
    <t>Coal - New Investment Override</t>
  </si>
  <si>
    <t>Switch</t>
  </si>
  <si>
    <t>If Present*</t>
  </si>
  <si>
    <t>NewInvCoa</t>
  </si>
  <si>
    <t>Natural gas - New Investment Override</t>
  </si>
  <si>
    <t>NewInvNga</t>
  </si>
  <si>
    <t>Oil - New Investment Override</t>
  </si>
  <si>
    <t>NewInvOil</t>
  </si>
  <si>
    <t>Nuclear - New Investment Override</t>
  </si>
  <si>
    <t>NewInvNuc</t>
  </si>
  <si>
    <t>Wind - New Investment Override</t>
  </si>
  <si>
    <t>NewInvWnd</t>
  </si>
  <si>
    <t>Solar - New Investment Override</t>
  </si>
  <si>
    <t>NewInvSol</t>
  </si>
  <si>
    <t>Hydro - New Investment Override</t>
  </si>
  <si>
    <t>NewInvHyd</t>
  </si>
  <si>
    <t>Other renewables - New Investment Override</t>
  </si>
  <si>
    <t>NewInvOre</t>
  </si>
  <si>
    <t>Biomass - New Investment Override</t>
  </si>
  <si>
    <t>NewInvBio</t>
  </si>
  <si>
    <t>Allowed New Investments (Date of Coming Online)</t>
  </si>
  <si>
    <t>Year</t>
  </si>
  <si>
    <t>NewInvCoaYear</t>
  </si>
  <si>
    <t>NewInvNgaYear</t>
  </si>
  <si>
    <t>Oil</t>
  </si>
  <si>
    <t>NewInvOilYear</t>
  </si>
  <si>
    <t>Nuclear</t>
  </si>
  <si>
    <t>NewInvNucYear</t>
  </si>
  <si>
    <t>Wind</t>
  </si>
  <si>
    <t>NewInvWndYear</t>
  </si>
  <si>
    <t>Solar</t>
  </si>
  <si>
    <t>NewInvSolYear</t>
  </si>
  <si>
    <t>Hydro</t>
  </si>
  <si>
    <t>NewInvHydYear</t>
  </si>
  <si>
    <t>Other renewables</t>
  </si>
  <si>
    <t>NewInvOreYear</t>
  </si>
  <si>
    <t>NewInvBioYear</t>
  </si>
  <si>
    <t>Base-year energy use by fuel and sector, ktoe (CPAT_1_0pre_456, Mitigation rows 583-602, Egypt)</t>
  </si>
  <si>
    <t>Energy used in power generation (ktoe)</t>
  </si>
  <si>
    <t>Road</t>
  </si>
  <si>
    <t>Rail</t>
  </si>
  <si>
    <t>Domestic aviation</t>
  </si>
  <si>
    <t>Domestic navigation</t>
  </si>
  <si>
    <t>Food &amp; forestry</t>
  </si>
  <si>
    <t>Services (public &amp; private)</t>
  </si>
  <si>
    <t>Other metals</t>
  </si>
  <si>
    <t>Machinery</t>
  </si>
  <si>
    <t>Other manufacturing</t>
  </si>
  <si>
    <t>Construction</t>
  </si>
  <si>
    <t>Fuel transformation</t>
  </si>
  <si>
    <t>Other - energy use</t>
  </si>
  <si>
    <t>Other - non-energy use</t>
  </si>
  <si>
    <t>CPAT code</t>
  </si>
  <si>
    <t>fuel</t>
  </si>
  <si>
    <t>pow</t>
  </si>
  <si>
    <t>rod</t>
  </si>
  <si>
    <t>ral</t>
  </si>
  <si>
    <t>avi</t>
  </si>
  <si>
    <t>nav</t>
  </si>
  <si>
    <t>res</t>
  </si>
  <si>
    <t>foo</t>
  </si>
  <si>
    <t>srv</t>
  </si>
  <si>
    <t>mac</t>
  </si>
  <si>
    <t>omn</t>
  </si>
  <si>
    <t>cst</t>
  </si>
  <si>
    <t>ftr</t>
  </si>
  <si>
    <t>oen</t>
  </si>
  <si>
    <t>egy.mit.enc.ele</t>
  </si>
  <si>
    <t>Electricity</t>
  </si>
  <si>
    <t>ele</t>
  </si>
  <si>
    <t>egy.mit.enc.coa</t>
  </si>
  <si>
    <t>egy.mit.enc.nga</t>
  </si>
  <si>
    <t>egy.mit.enc.oop</t>
  </si>
  <si>
    <t>egy.mit.enc.gso</t>
  </si>
  <si>
    <t>egy.mit.enc.die</t>
  </si>
  <si>
    <t>egy.mit.enc.ker</t>
  </si>
  <si>
    <t>egy.mit.enc.lpg</t>
  </si>
  <si>
    <t>egy.mit.enc.jfu</t>
  </si>
  <si>
    <t>Jet fuel</t>
  </si>
  <si>
    <t>jfu</t>
  </si>
  <si>
    <t>egy.mit.enc.wnd</t>
  </si>
  <si>
    <t>wnd</t>
  </si>
  <si>
    <t>egy.mit.enc.sol</t>
  </si>
  <si>
    <t>sol</t>
  </si>
  <si>
    <t>egy.mit.enc.hyd</t>
  </si>
  <si>
    <t>hyd</t>
  </si>
  <si>
    <t>egy.mit.enc.ore</t>
  </si>
  <si>
    <t>ore</t>
  </si>
  <si>
    <t>egy.mit.enc.nuc</t>
  </si>
  <si>
    <t>nuc</t>
  </si>
  <si>
    <t>egy.mit.enc.bio</t>
  </si>
  <si>
    <t>egy.mit.enc.bgs</t>
  </si>
  <si>
    <t>- in which: biogasoline</t>
  </si>
  <si>
    <t>bgs</t>
  </si>
  <si>
    <t>egy.mit.enc.bdi</t>
  </si>
  <si>
    <t>- in which: biodiesel</t>
  </si>
  <si>
    <t>bdi</t>
  </si>
  <si>
    <t>egy.mit.enc.obf</t>
  </si>
  <si>
    <t>- in which: other liquid biofuels</t>
  </si>
  <si>
    <t>obf</t>
  </si>
  <si>
    <t>egy.mit.enc.heat</t>
  </si>
  <si>
    <t>Heat</t>
  </si>
  <si>
    <t>heat</t>
  </si>
  <si>
    <t>Total self-generated renewables (nonbiomass)</t>
  </si>
  <si>
    <t>Code</t>
  </si>
  <si>
    <t>Sector / group</t>
  </si>
  <si>
    <t>Variable</t>
  </si>
  <si>
    <t>CPAT source row</t>
  </si>
  <si>
    <t>Source code</t>
  </si>
  <si>
    <t>egy.mit.pbc.ind.coa.a.1</t>
  </si>
  <si>
    <t>pbc</t>
  </si>
  <si>
    <t>Price before any new policy (supply cost + VAT + existing excise, subsidies, carbon prices)</t>
  </si>
  <si>
    <t>egy.mit.nce.ind.coa.a.1</t>
  </si>
  <si>
    <t>nce</t>
  </si>
  <si>
    <t>Total new policy wedge before sector coverage</t>
  </si>
  <si>
    <t>egy.mit.pbc.ind.nga.a.1</t>
  </si>
  <si>
    <t>egy.mit.nce.ind.nga.a.1</t>
  </si>
  <si>
    <t>egy.mit.pbc.ind.gso.a.1</t>
  </si>
  <si>
    <t>egy.mit.pbc.all.gso.a.1</t>
  </si>
  <si>
    <t>egy.mit.nce.ind.gso.a.1</t>
  </si>
  <si>
    <t>egy.mit.nce.all.gso.a.1</t>
  </si>
  <si>
    <t>egy.mit.pbc.ind.die.a.1</t>
  </si>
  <si>
    <t>egy.mit.pbc.all.die.a.1</t>
  </si>
  <si>
    <t>egy.mit.nce.ind.die.a.1</t>
  </si>
  <si>
    <t>egy.mit.nce.all.die.a.1</t>
  </si>
  <si>
    <t>egy.mit.pbc.ind.lpg.a.1</t>
  </si>
  <si>
    <t>egy.mit.pbc.all.lpg.a.1</t>
  </si>
  <si>
    <t>egy.mit.nce.ind.lpg.a.1</t>
  </si>
  <si>
    <t>egy.mit.nce.all.lpg.a.1</t>
  </si>
  <si>
    <t>egy.mit.pbc.ind.ker.a.1</t>
  </si>
  <si>
    <t>egy.mit.pbc.ker.a.1</t>
  </si>
  <si>
    <t>egy.mit.nce.ind.ker.a.1</t>
  </si>
  <si>
    <t>egy.mit.nce.ker.a.1</t>
  </si>
  <si>
    <t>egy.mit.pbc.ind.oop.a.1</t>
  </si>
  <si>
    <t>egy.mit.pbc.all.oop.all.1</t>
  </si>
  <si>
    <t>egy.mit.nce.ind.oop.a.1</t>
  </si>
  <si>
    <t>egy.mit.nce.all.oop.a.1</t>
  </si>
  <si>
    <t>egy.mit.pbc.ind.bio.a.1</t>
  </si>
  <si>
    <t>egy.mit.pbc.all.bio.all.1</t>
  </si>
  <si>
    <t>egy.mit.nce.ind.bio.a.1</t>
  </si>
  <si>
    <t>egy.mit.nce.all.bio.a.1</t>
  </si>
  <si>
    <t>egy.mit.pbc.ind.ren.a.1</t>
  </si>
  <si>
    <t>egy.mit.pbc.ren.ind.1</t>
  </si>
  <si>
    <t>egy.mit.nce.ind.ren.a.1</t>
  </si>
  <si>
    <t>egy.mit.nce.ren.ind.1</t>
  </si>
  <si>
    <t>egy.mit.shp.coa.ind.1</t>
  </si>
  <si>
    <t>Shadow price of non-price policies ($/unit)</t>
  </si>
  <si>
    <t>egy.mit.shp.nga.ind.1</t>
  </si>
  <si>
    <t>egy.mit.shp.gso.ind.1</t>
  </si>
  <si>
    <t>egy.mit.shp.gso.all.1</t>
  </si>
  <si>
    <t>egy.mit.shp.die.ind.1</t>
  </si>
  <si>
    <t>egy.mit.shp.die.all.1</t>
  </si>
  <si>
    <t>egy.mit.shp.lpg.ind.1</t>
  </si>
  <si>
    <t>egy.mit.shp.lpg.all.1</t>
  </si>
  <si>
    <t>egy.mit.shp.ker.ind.1</t>
  </si>
  <si>
    <t>egy.mit.shp.ker.all.1</t>
  </si>
  <si>
    <t>egy.mit.shp.oop.ind.1</t>
  </si>
  <si>
    <t>egy.mit.shp.oop.all.1</t>
  </si>
  <si>
    <t>egy.mit.shp.bio.ind.1</t>
  </si>
  <si>
    <t>egy.mit.shp.bio.all.1</t>
  </si>
  <si>
    <t>egy.mit.shp.ren.ind.1</t>
  </si>
  <si>
    <t>Shadow price of non-price policies (no CPAT row for self-generated renewables: set to 0)</t>
  </si>
  <si>
    <t>egy.mit.tcf.pow.1</t>
  </si>
  <si>
    <t>Sector coverage factor of the new policy wedge</t>
  </si>
  <si>
    <t>egy.mit.tcf.rod.1</t>
  </si>
  <si>
    <t>egy.mit.tcf.ral.1</t>
  </si>
  <si>
    <t>egy.mit.tcf.nav.1</t>
  </si>
  <si>
    <t>egy.mit.tcf.avi.1</t>
  </si>
  <si>
    <t>egy.mit.tcf.res.1</t>
  </si>
  <si>
    <t>egy.mit.tcf.foo.1</t>
  </si>
  <si>
    <t>egy.mit.tcf.srv.1</t>
  </si>
  <si>
    <t>egy.mit.tcf.mch.1</t>
  </si>
  <si>
    <t>egy.mit.tcf.irn.1</t>
  </si>
  <si>
    <t>egy.mit.tcf.nfm.1</t>
  </si>
  <si>
    <t>egy.mit.tcf.mac.1</t>
  </si>
  <si>
    <t>egy.mit.tcf.cem.1</t>
  </si>
  <si>
    <t>egy.mit.tcf.omn.1</t>
  </si>
  <si>
    <t>egy.mit.tcf.cst.1</t>
  </si>
  <si>
    <t>egy.mit.tcf.ftr.1</t>
  </si>
  <si>
    <t>egy.mit.tcf.oen.1</t>
  </si>
  <si>
    <t>egy.mit.ssc.pow.1</t>
  </si>
  <si>
    <t>egy.mit.ssc.rod.1</t>
  </si>
  <si>
    <t>egy.mit.ssc.ral.1</t>
  </si>
  <si>
    <t>egy.mit.ssc.nav.1</t>
  </si>
  <si>
    <t>egy.mit.ssc.avi.1</t>
  </si>
  <si>
    <t>egy.mit.ssc.res.1</t>
  </si>
  <si>
    <t>egy.mit.ssc.foo.1</t>
  </si>
  <si>
    <t>egy.mit.ssc.srv.1</t>
  </si>
  <si>
    <t>egy.mit.ssc.mch.1</t>
  </si>
  <si>
    <t>egy.mit.ssc.irn.1</t>
  </si>
  <si>
    <t>egy.mit.ssc.nfm.1</t>
  </si>
  <si>
    <t>egy.mit.ssc.mac.1</t>
  </si>
  <si>
    <t>egy.mit.ssc.cem.1</t>
  </si>
  <si>
    <t>egy.mit.ssc.omn.1</t>
  </si>
  <si>
    <t>egy.mit.ssc.cst.1</t>
  </si>
  <si>
    <t>egy.mit.ssc.ftr.1</t>
  </si>
  <si>
    <t>egy.mit.ssc.oen.1</t>
  </si>
  <si>
    <t>egy.mit.pbc.ind.coa.a.2</t>
  </si>
  <si>
    <t>egy.mit.nce.ind.coa.a.2</t>
  </si>
  <si>
    <t>egy.mit.pbc.ind.nga.a.2</t>
  </si>
  <si>
    <t>egy.mit.nce.ind.nga.a.2</t>
  </si>
  <si>
    <t>egy.mit.pbc.ind.gso.a.2</t>
  </si>
  <si>
    <t>egy.mit.pbc.all.gso.a.2</t>
  </si>
  <si>
    <t>egy.mit.nce.ind.gso.a.2</t>
  </si>
  <si>
    <t>egy.mit.nce.all.gso.a.2</t>
  </si>
  <si>
    <t>egy.mit.pbc.ind.die.a.2</t>
  </si>
  <si>
    <t>egy.mit.pbc.all.die.a.2</t>
  </si>
  <si>
    <t>egy.mit.nce.ind.die.a.2</t>
  </si>
  <si>
    <t>egy.mit.nce.all.die.a.2</t>
  </si>
  <si>
    <t>egy.mit.pbc.ind.lpg.a.2</t>
  </si>
  <si>
    <t>egy.mit.pbc.all.lpg.a.2</t>
  </si>
  <si>
    <t>egy.mit.nce.ind.lpg.a.2</t>
  </si>
  <si>
    <t>egy.mit.nce.all.lpg.a.2</t>
  </si>
  <si>
    <t>egy.mit.pbc.ind.ker.a.2</t>
  </si>
  <si>
    <t>egy.mit.pbc.ker.a.2</t>
  </si>
  <si>
    <t>egy.mit.nce.ind.ker.a.2</t>
  </si>
  <si>
    <t>egy.mit.nce.ker.a.2</t>
  </si>
  <si>
    <t>egy.mit.pbc.ind.oop.a.2</t>
  </si>
  <si>
    <t>egy.mit.pbc.all.oop.all.2</t>
  </si>
  <si>
    <t>egy.mit.nce.ind.oop.a.2</t>
  </si>
  <si>
    <t>egy.mit.nce.all.oop.a.2</t>
  </si>
  <si>
    <t>egy.mit.pbc.ind.bio.a.2</t>
  </si>
  <si>
    <t>egy.mit.pbc.all.bio.all.2</t>
  </si>
  <si>
    <t>egy.mit.nce.ind.bio.a.2</t>
  </si>
  <si>
    <t>egy.mit.nce.all.bio.a.2</t>
  </si>
  <si>
    <t>egy.mit.pbc.ind.ren.a.2</t>
  </si>
  <si>
    <t>egy.mit.pbc.ren.ind.2</t>
  </si>
  <si>
    <t>egy.mit.nce.ind.ren.a.2</t>
  </si>
  <si>
    <t>egy.mit.nce.ren.ind.2</t>
  </si>
  <si>
    <t>egy.mit.shp.coa.ind.2</t>
  </si>
  <si>
    <t>egy.mit.shp.nga.ind.2</t>
  </si>
  <si>
    <t>egy.mit.shp.gso.ind.2</t>
  </si>
  <si>
    <t>egy.mit.shp.gso.all.2</t>
  </si>
  <si>
    <t>egy.mit.shp.die.ind.2</t>
  </si>
  <si>
    <t>egy.mit.shp.die.all.2</t>
  </si>
  <si>
    <t>egy.mit.shp.lpg.ind.2</t>
  </si>
  <si>
    <t>egy.mit.shp.lpg.all.2</t>
  </si>
  <si>
    <t>egy.mit.shp.ker.ind.2</t>
  </si>
  <si>
    <t>egy.mit.shp.ker.all.2</t>
  </si>
  <si>
    <t>egy.mit.shp.oop.ind.2</t>
  </si>
  <si>
    <t>egy.mit.shp.oop.all.2</t>
  </si>
  <si>
    <t>egy.mit.shp.bio.ind.2</t>
  </si>
  <si>
    <t>egy.mit.shp.bio.all.2</t>
  </si>
  <si>
    <t>egy.mit.shp.ren.ind.2</t>
  </si>
  <si>
    <t>egy.mit.tcf.pow.2</t>
  </si>
  <si>
    <t>egy.mit.tcf.rod.2</t>
  </si>
  <si>
    <t>egy.mit.tcf.ral.2</t>
  </si>
  <si>
    <t>egy.mit.tcf.nav.2</t>
  </si>
  <si>
    <t>egy.mit.tcf.avi.2</t>
  </si>
  <si>
    <t>egy.mit.tcf.res.2</t>
  </si>
  <si>
    <t>egy.mit.tcf.foo.2</t>
  </si>
  <si>
    <t>egy.mit.tcf.srv.2</t>
  </si>
  <si>
    <t>egy.mit.tcf.mch.2</t>
  </si>
  <si>
    <t>egy.mit.tcf.irn.2</t>
  </si>
  <si>
    <t>egy.mit.tcf.nfm.2</t>
  </si>
  <si>
    <t>egy.mit.tcf.mac.2</t>
  </si>
  <si>
    <t>egy.mit.tcf.cem.2</t>
  </si>
  <si>
    <t>egy.mit.tcf.omn.2</t>
  </si>
  <si>
    <t>egy.mit.tcf.cst.2</t>
  </si>
  <si>
    <t>egy.mit.tcf.ftr.2</t>
  </si>
  <si>
    <t>egy.mit.tcf.oen.2</t>
  </si>
  <si>
    <t>egy.mit.ssc.pow.2</t>
  </si>
  <si>
    <t>egy.mit.ssc.rod.2</t>
  </si>
  <si>
    <t>egy.mit.ssc.ral.2</t>
  </si>
  <si>
    <t>egy.mit.ssc.nav.2</t>
  </si>
  <si>
    <t>egy.mit.ssc.avi.2</t>
  </si>
  <si>
    <t>egy.mit.ssc.res.2</t>
  </si>
  <si>
    <t>egy.mit.ssc.foo.2</t>
  </si>
  <si>
    <t>egy.mit.ssc.srv.2</t>
  </si>
  <si>
    <t>egy.mit.ssc.mch.2</t>
  </si>
  <si>
    <t>egy.mit.ssc.irn.2</t>
  </si>
  <si>
    <t>egy.mit.ssc.nfm.2</t>
  </si>
  <si>
    <t>egy.mit.ssc.mac.2</t>
  </si>
  <si>
    <t>egy.mit.ssc.cem.2</t>
  </si>
  <si>
    <t>egy.mit.ssc.omn.2</t>
  </si>
  <si>
    <t>egy.mit.ssc.cst.2</t>
  </si>
  <si>
    <t>egy.mit.ssc.ftr.2</t>
  </si>
  <si>
    <t>egy.mit.ssc.oen.2</t>
  </si>
  <si>
    <t>egy.mit.gdp.pos.pct.1</t>
  </si>
  <si>
    <t>egy.mit.inc.ela.adj.1</t>
  </si>
  <si>
    <t>Income-elasticity discount factor (Gertler reverse-U)</t>
  </si>
  <si>
    <t>egy.mit.shock.1</t>
  </si>
  <si>
    <t>Exogenous shock on energy consumption (Covid calibration; no CPAT code)</t>
  </si>
  <si>
    <t>egy.mit.gdp.pos.pct.2</t>
  </si>
  <si>
    <t>egy.mit.inc.ela.adj.2</t>
  </si>
  <si>
    <t>egy.mit.shock.2</t>
  </si>
  <si>
    <t>Kind</t>
  </si>
  <si>
    <t>Fuel group</t>
  </si>
  <si>
    <t>Services</t>
  </si>
  <si>
    <t>Elasticity group</t>
  </si>
  <si>
    <t>AEEI group</t>
  </si>
  <si>
    <t>el_inc_coa</t>
  </si>
  <si>
    <t>el_inc_nga</t>
  </si>
  <si>
    <t>el_inc_gso</t>
  </si>
  <si>
    <t>oil</t>
  </si>
  <si>
    <t>el_inc_die</t>
  </si>
  <si>
    <t>el_inc_oil</t>
  </si>
  <si>
    <t>el_inc_bio</t>
  </si>
  <si>
    <t>el_inc_ren</t>
  </si>
  <si>
    <t>el_inc_ecy</t>
  </si>
  <si>
    <t>ecy</t>
  </si>
  <si>
    <t>el_dem_coa</t>
  </si>
  <si>
    <t>usage</t>
  </si>
  <si>
    <t>el_dem_nga</t>
  </si>
  <si>
    <t>el_dem_gso</t>
  </si>
  <si>
    <t>el_dem_die</t>
  </si>
  <si>
    <t>el_dem_oil</t>
  </si>
  <si>
    <t>el_dem_bio</t>
  </si>
  <si>
    <t>el_dem_ren</t>
  </si>
  <si>
    <t>el_dem_ecy</t>
  </si>
  <si>
    <t>el_eff_coa</t>
  </si>
  <si>
    <t>efficiency</t>
  </si>
  <si>
    <t>el_eff_nga</t>
  </si>
  <si>
    <t>el_eff_gso</t>
  </si>
  <si>
    <t>el_eff_die</t>
  </si>
  <si>
    <t>el_eff_oil</t>
  </si>
  <si>
    <t>el_eff_bio</t>
  </si>
  <si>
    <t>el_eff_ren</t>
  </si>
  <si>
    <t>el_eff_ecy</t>
  </si>
  <si>
    <t>eff_imp_coa</t>
  </si>
  <si>
    <t>aeei</t>
  </si>
  <si>
    <t>eff_imp_nga</t>
  </si>
  <si>
    <t>eff_imp_oil</t>
  </si>
  <si>
    <t>eff_imp_bio</t>
  </si>
  <si>
    <t>eff_imp_ren</t>
  </si>
  <si>
    <t>eff_imp_ecy</t>
  </si>
  <si>
    <t>Source: Mitigation B2 rows 297-304 (income), 328-335 (usage), 337-344 (efficiency), 371-376 (autonomous efficiency improvement); columns K-N. Fuel-group map at I:K.</t>
  </si>
  <si>
    <t>Kernel output vs values stored in CPAT_1_0pre_456 (Egypt), same Output Codes</t>
  </si>
  <si>
    <t>Max |kernel - CPAT| energy, baseline (ktoe)</t>
  </si>
  <si>
    <t>Max |kernel - CPAT| energy, policy (ktoe)</t>
  </si>
  <si>
    <t>Max |kernel - CPAT| post-tax price (native units)</t>
  </si>
  <si>
    <t>Series</t>
  </si>
  <si>
    <t>max |diff|</t>
  </si>
  <si>
    <t>egy.mit.ener.irn.coa.e.1</t>
  </si>
  <si>
    <t>CPAT</t>
  </si>
  <si>
    <t>kernel</t>
  </si>
  <si>
    <t>diff</t>
  </si>
  <si>
    <t>egy.mit.ener.irn.nga.e.1</t>
  </si>
  <si>
    <t>egy.mit.ener.irn.gso.e.1</t>
  </si>
  <si>
    <t>egy.mit.ener.irn.die.e.1</t>
  </si>
  <si>
    <t>egy.mit.ener.irn.lpg.e.1</t>
  </si>
  <si>
    <t>egy.mit.ener.irn.ker.e.1</t>
  </si>
  <si>
    <t>egy.mit.ener.irn.oop.e.1</t>
  </si>
  <si>
    <t>egy.mit.ener.irn.bio.e.1</t>
  </si>
  <si>
    <t>egy.mit.ener.irn.ren.e.1</t>
  </si>
  <si>
    <t>egy.mit.ener.cem.coa.e.1</t>
  </si>
  <si>
    <t>egy.mit.ener.cem.nga.e.1</t>
  </si>
  <si>
    <t>egy.mit.ener.cem.gso.e.1</t>
  </si>
  <si>
    <t>egy.mit.ener.cem.die.e.1</t>
  </si>
  <si>
    <t>egy.mit.ener.cem.lpg.e.1</t>
  </si>
  <si>
    <t>egy.mit.ener.cem.ker.e.1</t>
  </si>
  <si>
    <t>egy.mit.ener.cem.oop.e.1</t>
  </si>
  <si>
    <t>egy.mit.ener.cem.bio.e.1</t>
  </si>
  <si>
    <t>egy.mit.ener.cem.ren.e.1</t>
  </si>
  <si>
    <t>egy.mit.ener.nfm.coa.e.1</t>
  </si>
  <si>
    <t>egy.mit.ener.nfm.nga.e.1</t>
  </si>
  <si>
    <t>egy.mit.ener.nfm.gso.e.1</t>
  </si>
  <si>
    <t>egy.mit.ener.nfm.die.e.1</t>
  </si>
  <si>
    <t>egy.mit.ener.nfm.lpg.e.1</t>
  </si>
  <si>
    <t>egy.mit.ener.nfm.ker.e.1</t>
  </si>
  <si>
    <t>egy.mit.ener.nfm.oop.e.1</t>
  </si>
  <si>
    <t>egy.mit.ener.nfm.bio.e.1</t>
  </si>
  <si>
    <t>egy.mit.ener.nfm.ren.e.1</t>
  </si>
  <si>
    <t>egy.mit.ener.mch.coa.e.1</t>
  </si>
  <si>
    <t>egy.mit.ener.mch.nga.e.1</t>
  </si>
  <si>
    <t>egy.mit.ener.mch.gso.e.1</t>
  </si>
  <si>
    <t>egy.mit.ener.mch.die.e.1</t>
  </si>
  <si>
    <t>egy.mit.ener.mch.lpg.e.1</t>
  </si>
  <si>
    <t>egy.mit.ener.mch.ker.e.1</t>
  </si>
  <si>
    <t>egy.mit.ener.mch.oop.e.1</t>
  </si>
  <si>
    <t>egy.mit.ener.mch.bio.e.1</t>
  </si>
  <si>
    <t>egy.mit.ener.mch.ren.e.1</t>
  </si>
  <si>
    <t>egy.mit.ener.irn.coa.e.2</t>
  </si>
  <si>
    <t>egy.mit.ener.irn.nga.e.2</t>
  </si>
  <si>
    <t>egy.mit.ener.irn.gso.e.2</t>
  </si>
  <si>
    <t>egy.mit.ener.irn.die.e.2</t>
  </si>
  <si>
    <t>egy.mit.ener.irn.lpg.e.2</t>
  </si>
  <si>
    <t>egy.mit.ener.irn.ker.e.2</t>
  </si>
  <si>
    <t>egy.mit.ener.irn.oop.e.2</t>
  </si>
  <si>
    <t>egy.mit.ener.irn.bio.e.2</t>
  </si>
  <si>
    <t>egy.mit.ener.irn.ren.e.2</t>
  </si>
  <si>
    <t>egy.mit.ener.cem.coa.e.2</t>
  </si>
  <si>
    <t>egy.mit.ener.cem.nga.e.2</t>
  </si>
  <si>
    <t>egy.mit.ener.cem.gso.e.2</t>
  </si>
  <si>
    <t>egy.mit.ener.cem.die.e.2</t>
  </si>
  <si>
    <t>egy.mit.ener.cem.lpg.e.2</t>
  </si>
  <si>
    <t>egy.mit.ener.cem.ker.e.2</t>
  </si>
  <si>
    <t>egy.mit.ener.cem.oop.e.2</t>
  </si>
  <si>
    <t>egy.mit.ener.cem.bio.e.2</t>
  </si>
  <si>
    <t>egy.mit.ener.cem.ren.e.2</t>
  </si>
  <si>
    <t>egy.mit.ener.nfm.coa.e.2</t>
  </si>
  <si>
    <t>egy.mit.ener.nfm.nga.e.2</t>
  </si>
  <si>
    <t>egy.mit.ener.nfm.gso.e.2</t>
  </si>
  <si>
    <t>egy.mit.ener.nfm.die.e.2</t>
  </si>
  <si>
    <t>egy.mit.ener.nfm.lpg.e.2</t>
  </si>
  <si>
    <t>egy.mit.ener.nfm.ker.e.2</t>
  </si>
  <si>
    <t>egy.mit.ener.nfm.oop.e.2</t>
  </si>
  <si>
    <t>egy.mit.ener.nfm.bio.e.2</t>
  </si>
  <si>
    <t>egy.mit.ener.nfm.ren.e.2</t>
  </si>
  <si>
    <t>egy.mit.ener.mch.coa.e.2</t>
  </si>
  <si>
    <t>egy.mit.ener.mch.nga.e.2</t>
  </si>
  <si>
    <t>egy.mit.ener.mch.gso.e.2</t>
  </si>
  <si>
    <t>egy.mit.ener.mch.die.e.2</t>
  </si>
  <si>
    <t>egy.mit.ener.mch.lpg.e.2</t>
  </si>
  <si>
    <t>egy.mit.ener.mch.ker.e.2</t>
  </si>
  <si>
    <t>egy.mit.ener.mch.oop.e.2</t>
  </si>
  <si>
    <t>egy.mit.ener.mch.bio.e.2</t>
  </si>
  <si>
    <t>egy.mit.ener.mch.ren.e.2</t>
  </si>
  <si>
    <t>egy.mit.atp.irn.coa.e.1</t>
  </si>
  <si>
    <t>egy.mit.atp.irn.nga.e.1</t>
  </si>
  <si>
    <t>egy.mit.atp.irn.gso.e.1</t>
  </si>
  <si>
    <t>egy.mit.atp.irn.die.e.1</t>
  </si>
  <si>
    <t>egy.mit.atp.irn.lpg.e.1</t>
  </si>
  <si>
    <t>egy.mit.atp.irn.ker.e.1</t>
  </si>
  <si>
    <t>egy.mit.atp.irn.oop.e.1</t>
  </si>
  <si>
    <t>egy.mit.atp.irn.bio.e.1</t>
  </si>
  <si>
    <t>egy.mit.atp.irn.ren.e.1</t>
  </si>
  <si>
    <t>egy.mit.atp.cem.coa.e.1</t>
  </si>
  <si>
    <t>egy.mit.atp.cem.nga.e.1</t>
  </si>
  <si>
    <t>egy.mit.atp.cem.gso.e.1</t>
  </si>
  <si>
    <t>egy.mit.atp.cem.die.e.1</t>
  </si>
  <si>
    <t>egy.mit.atp.cem.lpg.e.1</t>
  </si>
  <si>
    <t>egy.mit.atp.cem.ker.e.1</t>
  </si>
  <si>
    <t>egy.mit.atp.cem.oop.e.1</t>
  </si>
  <si>
    <t>egy.mit.atp.cem.bio.e.1</t>
  </si>
  <si>
    <t>egy.mit.atp.cem.ren.e.1</t>
  </si>
  <si>
    <t>egy.mit.atp.nfm.coa.e.1</t>
  </si>
  <si>
    <t>egy.mit.atp.nfm.nga.e.1</t>
  </si>
  <si>
    <t>egy.mit.atp.nfm.gso.e.1</t>
  </si>
  <si>
    <t>egy.mit.atp.nfm.die.e.1</t>
  </si>
  <si>
    <t>egy.mit.atp.nfm.lpg.e.1</t>
  </si>
  <si>
    <t>egy.mit.atp.nfm.ker.e.1</t>
  </si>
  <si>
    <t>egy.mit.atp.nfm.oop.e.1</t>
  </si>
  <si>
    <t>egy.mit.atp.nfm.bio.e.1</t>
  </si>
  <si>
    <t>egy.mit.atp.nfm.ren.e.1</t>
  </si>
  <si>
    <t>egy.mit.atp.mch.coa.e.1</t>
  </si>
  <si>
    <t>egy.mit.atp.mch.nga.e.1</t>
  </si>
  <si>
    <t>egy.mit.atp.mch.gso.e.1</t>
  </si>
  <si>
    <t>egy.mit.atp.mch.die.e.1</t>
  </si>
  <si>
    <t>egy.mit.atp.mch.lpg.e.1</t>
  </si>
  <si>
    <t>egy.mit.atp.mch.ker.e.1</t>
  </si>
  <si>
    <t>egy.mit.atp.mch.oop.e.1</t>
  </si>
  <si>
    <t>egy.mit.atp.mch.bio.e.1</t>
  </si>
  <si>
    <t>egy.mit.atp.mch.ren.e.1</t>
  </si>
  <si>
    <t>egy.mit.atp.irn.coa.e.2</t>
  </si>
  <si>
    <t>egy.mit.atp.irn.nga.e.2</t>
  </si>
  <si>
    <t>egy.mit.atp.irn.gso.e.2</t>
  </si>
  <si>
    <t>egy.mit.atp.irn.die.e.2</t>
  </si>
  <si>
    <t>egy.mit.atp.irn.lpg.e.2</t>
  </si>
  <si>
    <t>egy.mit.atp.irn.ker.e.2</t>
  </si>
  <si>
    <t>egy.mit.atp.irn.oop.e.2</t>
  </si>
  <si>
    <t>egy.mit.atp.irn.bio.e.2</t>
  </si>
  <si>
    <t>egy.mit.atp.irn.ren.e.2</t>
  </si>
  <si>
    <t>egy.mit.atp.cem.coa.e.2</t>
  </si>
  <si>
    <t>egy.mit.atp.cem.nga.e.2</t>
  </si>
  <si>
    <t>egy.mit.atp.cem.gso.e.2</t>
  </si>
  <si>
    <t>egy.mit.atp.cem.die.e.2</t>
  </si>
  <si>
    <t>egy.mit.atp.cem.lpg.e.2</t>
  </si>
  <si>
    <t>egy.mit.atp.cem.ker.e.2</t>
  </si>
  <si>
    <t>egy.mit.atp.cem.oop.e.2</t>
  </si>
  <si>
    <t>egy.mit.atp.cem.bio.e.2</t>
  </si>
  <si>
    <t>egy.mit.atp.cem.ren.e.2</t>
  </si>
  <si>
    <t>egy.mit.atp.nfm.coa.e.2</t>
  </si>
  <si>
    <t>egy.mit.atp.nfm.nga.e.2</t>
  </si>
  <si>
    <t>egy.mit.atp.nfm.gso.e.2</t>
  </si>
  <si>
    <t>egy.mit.atp.nfm.die.e.2</t>
  </si>
  <si>
    <t>egy.mit.atp.nfm.lpg.e.2</t>
  </si>
  <si>
    <t>egy.mit.atp.nfm.ker.e.2</t>
  </si>
  <si>
    <t>egy.mit.atp.nfm.oop.e.2</t>
  </si>
  <si>
    <t>egy.mit.atp.nfm.bio.e.2</t>
  </si>
  <si>
    <t>egy.mit.atp.nfm.ren.e.2</t>
  </si>
  <si>
    <t>egy.mit.atp.mch.coa.e.2</t>
  </si>
  <si>
    <t>egy.mit.atp.mch.nga.e.2</t>
  </si>
  <si>
    <t>egy.mit.atp.mch.gso.e.2</t>
  </si>
  <si>
    <t>egy.mit.atp.mch.die.e.2</t>
  </si>
  <si>
    <t>egy.mit.atp.mch.lpg.e.2</t>
  </si>
  <si>
    <t>egy.mit.atp.mch.ker.e.2</t>
  </si>
  <si>
    <t>egy.mit.atp.mch.oop.e.2</t>
  </si>
  <si>
    <t>egy.mit.atp.mch.bio.e.2</t>
  </si>
  <si>
    <t>egy.mit.atp.mch.ren.e.2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</si>
</sst>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"/>
    <numFmt numFmtId="165" formatCode="0.000"/>
    <numFmt numFmtId="166" formatCode="_(* #,##0_);_(* \(#,##0\);_(* &quot;-&quot;??_);_(@_)"/>
    <numFmt numFmtId="167" formatCode="0.000000000"/>
    <numFmt numFmtId="168" formatCode="0.000000"/>
  </numFmts>
  <fonts count="14" x14ac:knownFonts="1">
    <font>
      <sz val="11"/>
      <color theme="1"/>
      <name val="Calibri"/>
      <family val="2"/>
      <scheme val="minor"/>
    </font>
    <font>
      <b/>
      <sz val="14"/>
      <color rgb="FF375623"/>
      <name val="Arial"/>
    </font>
    <font>
      <b/>
      <sz val="11"/>
      <name val="Arial"/>
    </font>
    <font>
      <sz val="11"/>
      <name val="Arial"/>
    </font>
    <font>
      <i/>
      <sz val="10"/>
      <color rgb="FF7F7F7F"/>
      <name val="Arial"/>
    </font>
    <font>
      <sz val="10"/>
      <name val="Consolas"/>
    </font>
    <font>
      <sz val="10"/>
      <name val="Arial"/>
    </font>
    <font>
      <i/>
      <sz val="10"/>
      <name val="Arial"/>
    </font>
    <font>
      <sz val="11"/>
      <color rgb="FFFFFFFF"/>
      <name val="Arial"/>
    </font>
    <font>
      <b/>
      <sz val="12"/>
      <color rgb="FFFFFFFF"/>
      <name val="Arial"/>
    </font>
    <font>
      <b/>
      <sz val="10"/>
      <name val="Arial"/>
    </font>
    <font>
      <sz val="11"/>
      <color rgb="FFD9D9D9"/>
      <name val="Arial"/>
    </font>
    <font>
      <b/>
      <sz val="12"/>
      <color rgb="FF375623"/>
      <name val="Arial"/>
    </font>
    <font>
      <sz val="9"/>
      <color rgb="FF7F7F7F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92D050"/>
      </patternFill>
    </fill>
    <fill>
      <patternFill patternType="solid">
        <fgColor rgb="FFD0CECE"/>
      </patternFill>
    </fill>
    <fill>
      <patternFill patternType="solid">
        <fgColor rgb="FFDAE3F3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  <xf numFmtId="0" fontId="5" fillId="0" borderId="0" xfId="0" applyFont="1"/>
    <xf numFmtId="0" fontId="3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8" fillId="4" borderId="0" xfId="0" applyFont="1" applyFill="1" applyAlignment="1">
      <alignment horizontal="right"/>
    </xf>
    <xf numFmtId="0" fontId="9" fillId="4" borderId="0" xfId="0" applyFont="1" applyFill="1"/>
    <xf numFmtId="0" fontId="0" fillId="4" borderId="0" xfId="0" applyFill="1"/>
    <xf numFmtId="0" fontId="0" fillId="0" borderId="1" xfId="0" applyBorder="1"/>
    <xf numFmtId="0" fontId="10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0" borderId="0" xfId="0" applyFont="1" applyAlignment="1">
      <alignment horizontal="left" indent="1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6" borderId="0" xfId="0" applyFont="1" applyFill="1" applyAlignment="1">
      <alignment horizontal="center"/>
    </xf>
    <xf numFmtId="4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indent="2"/>
    </xf>
    <xf numFmtId="165" fontId="3" fillId="0" borderId="0" xfId="0" applyNumberFormat="1" applyFont="1" applyAlignment="1">
      <alignment horizontal="center"/>
    </xf>
    <xf numFmtId="166" fontId="0" fillId="5" borderId="0" xfId="0" applyNumberFormat="1" applyFill="1"/>
    <xf numFmtId="166" fontId="0" fillId="0" borderId="0" xfId="0" applyNumberFormat="1"/>
    <xf numFmtId="0" fontId="2" fillId="0" borderId="2" xfId="0" applyFont="1" applyBorder="1" applyAlignment="1">
      <alignment horizontal="left"/>
    </xf>
    <xf numFmtId="166" fontId="2" fillId="0" borderId="2" xfId="0" applyNumberFormat="1" applyFont="1" applyBorder="1"/>
    <xf numFmtId="0" fontId="12" fillId="0" borderId="0" xfId="0" applyFont="1"/>
    <xf numFmtId="0" fontId="2" fillId="3" borderId="1" xfId="0" applyFont="1" applyFill="1" applyBorder="1"/>
    <xf numFmtId="0" fontId="2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167" fontId="5" fillId="0" borderId="0" xfId="0" applyNumberFormat="1" applyFont="1"/>
    <xf numFmtId="0" fontId="6" fillId="0" borderId="0" xfId="0" applyFont="1"/>
    <xf numFmtId="0" fontId="2" fillId="3" borderId="0" xfId="0" applyFont="1" applyFill="1" applyAlignment="1">
      <alignment horizontal="center"/>
    </xf>
    <xf numFmtId="0" fontId="7" fillId="0" borderId="0" xfId="0" applyFont="1"/>
    <xf numFmtId="168" fontId="2" fillId="2" borderId="0" xfId="0" applyNumberFormat="1" applyFont="1" applyFill="1"/>
    <xf numFmtId="168" fontId="2" fillId="0" borderId="0" xfId="0" applyNumberFormat="1" applyFon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workbookViewId="0"/>
  </sheetViews>
  <sheetFormatPr defaultRowHeight="15" x14ac:dyDescent="0.25"/>
  <cols>
    <col min="1" max="1" width="38" customWidth="1"/>
    <col min="2" max="2" width="18" customWidth="1"/>
    <col min="3" max="3" width="70" customWidth="1"/>
  </cols>
  <sheetData>
    <row r="1" spans="1:3" ht="18" x14ac:dyDescent="0.25">
      <c r="A1" s="1" t="s">
        <v>0</v>
      </c>
    </row>
    <row r="3" spans="1:3" x14ac:dyDescent="0.25">
      <c r="A3" s="2" t="s">
        <v>1</v>
      </c>
      <c r="B3" s="3" t="s">
        <v>2</v>
      </c>
      <c r="C3" s="4" t="s">
        <v>3</v>
      </c>
    </row>
    <row r="4" spans="1:3" x14ac:dyDescent="0.25">
      <c r="A4" s="2" t="s">
        <v>4</v>
      </c>
      <c r="B4" s="3" t="s">
        <v>5</v>
      </c>
      <c r="C4" s="4" t="s">
        <v>6</v>
      </c>
    </row>
    <row r="5" spans="1:3" x14ac:dyDescent="0.25">
      <c r="A5" s="2" t="s">
        <v>7</v>
      </c>
      <c r="B5" s="3" t="s">
        <v>8</v>
      </c>
      <c r="C5" s="4" t="s">
        <v>9</v>
      </c>
    </row>
    <row r="6" spans="1:3" x14ac:dyDescent="0.25">
      <c r="A6" s="2" t="s">
        <v>10</v>
      </c>
      <c r="B6" s="3">
        <v>2022</v>
      </c>
      <c r="C6" s="4" t="s">
        <v>11</v>
      </c>
    </row>
    <row r="7" spans="1:3" x14ac:dyDescent="0.25">
      <c r="A7" s="2" t="s">
        <v>12</v>
      </c>
      <c r="B7" s="3">
        <f>INDEX(MTInputs!$F$8:$F$415,MATCH("AdditionalEfficiencyIndustrial",MTInputs!$H$8:$H$415,0))</f>
        <v>0</v>
      </c>
      <c r="C7" s="4" t="s">
        <v>13</v>
      </c>
    </row>
    <row r="8" spans="1:3" x14ac:dyDescent="0.25">
      <c r="A8" s="2" t="s">
        <v>14</v>
      </c>
      <c r="B8" s="3">
        <f>INDEX(MTInputs!$F$8:$F$415,MATCH("CPIntro",MTInputs!$H$8:$H$415,0))</f>
        <v>2026</v>
      </c>
      <c r="C8" s="4" t="s">
        <v>15</v>
      </c>
    </row>
    <row r="9" spans="1:3" x14ac:dyDescent="0.25">
      <c r="A9" s="2" t="s">
        <v>16</v>
      </c>
      <c r="B9" s="3">
        <f>INDEX(MTInputs!$F$8:$F$415,MATCH("CPLevelTarget",MTInputs!$H$8:$H$415,0))</f>
        <v>50</v>
      </c>
      <c r="C9" s="4" t="s">
        <v>17</v>
      </c>
    </row>
    <row r="12" spans="1:3" x14ac:dyDescent="0.25">
      <c r="A12" s="2" t="s">
        <v>18</v>
      </c>
    </row>
    <row r="13" spans="1:3" x14ac:dyDescent="0.25">
      <c r="A13" s="5" t="s">
        <v>19</v>
      </c>
    </row>
    <row r="14" spans="1:3" x14ac:dyDescent="0.25">
      <c r="A14" s="4" t="s">
        <v>20</v>
      </c>
    </row>
    <row r="16" spans="1:3" x14ac:dyDescent="0.25">
      <c r="A16" s="2" t="s">
        <v>21</v>
      </c>
    </row>
    <row r="17" spans="1:3" x14ac:dyDescent="0.25">
      <c r="A17" s="6" t="s">
        <v>22</v>
      </c>
      <c r="C17" s="4" t="s">
        <v>23</v>
      </c>
    </row>
    <row r="18" spans="1:3" x14ac:dyDescent="0.25">
      <c r="A18" s="6" t="s">
        <v>24</v>
      </c>
      <c r="C18" s="4" t="s">
        <v>25</v>
      </c>
    </row>
    <row r="19" spans="1:3" x14ac:dyDescent="0.25">
      <c r="A19" s="6" t="s">
        <v>26</v>
      </c>
      <c r="C19" s="4" t="s">
        <v>27</v>
      </c>
    </row>
    <row r="20" spans="1:3" x14ac:dyDescent="0.25">
      <c r="A20" s="6" t="s">
        <v>28</v>
      </c>
      <c r="C20" s="4" t="s">
        <v>29</v>
      </c>
    </row>
    <row r="21" spans="1:3" x14ac:dyDescent="0.25">
      <c r="A21" s="6" t="s">
        <v>30</v>
      </c>
      <c r="C21" s="4" t="s">
        <v>31</v>
      </c>
    </row>
    <row r="22" spans="1:3" x14ac:dyDescent="0.25">
      <c r="A22" s="6" t="s">
        <v>32</v>
      </c>
      <c r="C22" s="4" t="s">
        <v>33</v>
      </c>
    </row>
    <row r="23" spans="1:3" x14ac:dyDescent="0.25">
      <c r="A23" s="6" t="s">
        <v>34</v>
      </c>
      <c r="C23" s="4" t="s">
        <v>35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85"/>
  <sheetViews>
    <sheetView showGridLines="0" workbookViewId="0">
      <pane xSplit="4" ySplit="1" topLeftCell="E310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" customWidth="1"/>
    <col min="2" max="2" width="12.42578125" customWidth="1"/>
    <col min="3" max="3" width="28" customWidth="1"/>
    <col min="4" max="4" width="33.7109375" customWidth="1"/>
    <col min="5" max="5" width="14.7109375" customWidth="1"/>
    <col min="6" max="6" width="17.7109375" customWidth="1"/>
    <col min="7" max="7" width="30.28515625" customWidth="1"/>
    <col min="8" max="8" width="28.85546875" customWidth="1"/>
    <col min="9" max="9" width="31.28515625" customWidth="1"/>
    <col min="10" max="10" width="30.28515625" customWidth="1"/>
    <col min="11" max="11" width="10.42578125" customWidth="1"/>
    <col min="12" max="35" width="12" customWidth="1"/>
  </cols>
  <sheetData>
    <row r="1" spans="1:35" x14ac:dyDescent="0.25">
      <c r="A1" s="7"/>
      <c r="B1" s="7" t="s">
        <v>36</v>
      </c>
      <c r="C1" s="7" t="s">
        <v>37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7" t="s">
        <v>43</v>
      </c>
      <c r="J1" s="7" t="s">
        <v>44</v>
      </c>
      <c r="K1" s="8">
        <v>2021</v>
      </c>
      <c r="L1" s="8">
        <v>2022</v>
      </c>
      <c r="M1" s="8">
        <v>2023</v>
      </c>
      <c r="N1" s="8">
        <v>2024</v>
      </c>
      <c r="O1" s="8">
        <v>2025</v>
      </c>
      <c r="P1" s="8">
        <v>2026</v>
      </c>
      <c r="Q1" s="8">
        <v>2027</v>
      </c>
      <c r="R1" s="8">
        <v>2028</v>
      </c>
      <c r="S1" s="8">
        <v>2029</v>
      </c>
      <c r="T1" s="8">
        <v>2030</v>
      </c>
      <c r="U1" s="8">
        <v>2031</v>
      </c>
      <c r="V1" s="8">
        <v>2032</v>
      </c>
      <c r="W1" s="8">
        <v>2033</v>
      </c>
      <c r="X1" s="8">
        <v>2034</v>
      </c>
      <c r="Y1" s="8">
        <v>2035</v>
      </c>
      <c r="Z1" s="8">
        <v>2036</v>
      </c>
      <c r="AA1" s="8">
        <v>2037</v>
      </c>
      <c r="AB1" s="8">
        <v>2038</v>
      </c>
      <c r="AC1" s="8">
        <v>2039</v>
      </c>
      <c r="AD1" s="8">
        <v>2040</v>
      </c>
      <c r="AE1" s="8">
        <v>2041</v>
      </c>
      <c r="AF1" s="8">
        <v>2042</v>
      </c>
      <c r="AG1" s="8">
        <v>2043</v>
      </c>
      <c r="AH1" s="8">
        <v>2044</v>
      </c>
      <c r="AI1" s="8">
        <v>2045</v>
      </c>
    </row>
    <row r="3" spans="1:35" ht="18" customHeight="1" x14ac:dyDescent="0.25">
      <c r="A3" s="9">
        <v>7</v>
      </c>
      <c r="B3" s="10" t="s">
        <v>45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</row>
    <row r="5" spans="1:35" x14ac:dyDescent="0.25">
      <c r="A5" s="12"/>
      <c r="B5" s="7" t="s">
        <v>46</v>
      </c>
      <c r="C5" s="8" t="s">
        <v>47</v>
      </c>
      <c r="D5" s="7" t="s">
        <v>48</v>
      </c>
      <c r="E5" s="8" t="s">
        <v>39</v>
      </c>
      <c r="F5" s="8" t="s">
        <v>49</v>
      </c>
      <c r="G5" s="8" t="s">
        <v>50</v>
      </c>
      <c r="H5" s="13" t="s">
        <v>42</v>
      </c>
      <c r="I5" s="7" t="s">
        <v>51</v>
      </c>
      <c r="J5" s="14">
        <v>1</v>
      </c>
      <c r="K5" s="7">
        <v>2021</v>
      </c>
      <c r="L5" s="15">
        <v>2022</v>
      </c>
      <c r="M5" s="7">
        <v>2023</v>
      </c>
      <c r="N5" s="7">
        <v>2024</v>
      </c>
      <c r="O5" s="7">
        <v>2025</v>
      </c>
      <c r="P5" s="7">
        <v>2026</v>
      </c>
      <c r="Q5" s="7">
        <v>2027</v>
      </c>
      <c r="R5" s="7">
        <v>2028</v>
      </c>
      <c r="S5" s="7">
        <v>2029</v>
      </c>
      <c r="T5" s="7">
        <v>2030</v>
      </c>
      <c r="U5" s="7">
        <v>2031</v>
      </c>
      <c r="V5" s="7">
        <v>2032</v>
      </c>
      <c r="W5" s="7">
        <v>2033</v>
      </c>
      <c r="X5" s="7">
        <v>2034</v>
      </c>
      <c r="Y5" s="7">
        <v>2035</v>
      </c>
      <c r="Z5" s="7">
        <v>2036</v>
      </c>
      <c r="AA5" s="7">
        <v>2037</v>
      </c>
      <c r="AB5" s="7">
        <v>2038</v>
      </c>
      <c r="AC5" s="7">
        <v>2039</v>
      </c>
      <c r="AD5" s="7">
        <v>2040</v>
      </c>
      <c r="AE5" s="7">
        <v>2041</v>
      </c>
      <c r="AF5" s="7">
        <v>2042</v>
      </c>
      <c r="AG5" s="7">
        <v>2043</v>
      </c>
      <c r="AH5" s="7">
        <v>2044</v>
      </c>
      <c r="AI5" s="7">
        <v>2045</v>
      </c>
    </row>
    <row r="6" spans="1:35" x14ac:dyDescent="0.25">
      <c r="B6" s="16" t="s">
        <v>52</v>
      </c>
    </row>
    <row r="7" spans="1:35" x14ac:dyDescent="0.25">
      <c r="B7" s="17" t="s">
        <v>53</v>
      </c>
      <c r="C7" s="17" t="str">
        <f t="shared" ref="C7:C15" si="0">$C$5</f>
        <v>irn</v>
      </c>
      <c r="D7" s="18" t="s">
        <v>54</v>
      </c>
      <c r="E7" s="19" t="s">
        <v>55</v>
      </c>
      <c r="F7" s="17" t="s">
        <v>56</v>
      </c>
      <c r="G7" s="20" t="str">
        <f>Settings!$B$3&amp;".mit.pbc."&amp;Settings!$B$4&amp;"."&amp;$B7&amp;".a."&amp;$J$5</f>
        <v>egy.mit.pbc.ind.coa.a.1</v>
      </c>
      <c r="H7" s="21" t="str">
        <f>OUTCODE(Settings!$B$3,"ptp",$C$5,$B7,$J$5)</f>
        <v>egy.mit.ptp.irn.coa.e.1</v>
      </c>
      <c r="K7" s="22">
        <f>INDEX(Data_Prices!K:K,MATCH($G7,Data_Prices!$A:$A,0))</f>
        <v>11.18290158924394</v>
      </c>
      <c r="L7" s="22">
        <f>INDEX(Data_Prices!L:L,MATCH($G7,Data_Prices!$A:$A,0))</f>
        <v>10.52336134543121</v>
      </c>
      <c r="M7" s="22">
        <f>INDEX(Data_Prices!M:M,MATCH($G7,Data_Prices!$A:$A,0))</f>
        <v>10.299560827444211</v>
      </c>
      <c r="N7" s="22">
        <f>INDEX(Data_Prices!N:N,MATCH($G7,Data_Prices!$A:$A,0))</f>
        <v>9.5775283595382632</v>
      </c>
      <c r="O7" s="22">
        <f>INDEX(Data_Prices!O:O,MATCH($G7,Data_Prices!$A:$A,0))</f>
        <v>8.4854782869580454</v>
      </c>
      <c r="P7" s="22">
        <f>INDEX(Data_Prices!P:P,MATCH($G7,Data_Prices!$A:$A,0))</f>
        <v>9.0871922352498604</v>
      </c>
      <c r="Q7" s="22">
        <f>INDEX(Data_Prices!Q:Q,MATCH($G7,Data_Prices!$A:$A,0))</f>
        <v>9.2229237289326811</v>
      </c>
      <c r="R7" s="22">
        <f>INDEX(Data_Prices!R:R,MATCH($G7,Data_Prices!$A:$A,0))</f>
        <v>9.1585649555096875</v>
      </c>
      <c r="S7" s="22">
        <f>INDEX(Data_Prices!S:S,MATCH($G7,Data_Prices!$A:$A,0))</f>
        <v>9.0895478773973775</v>
      </c>
      <c r="T7" s="22">
        <f>INDEX(Data_Prices!T:T,MATCH($G7,Data_Prices!$A:$A,0))</f>
        <v>9.0156816660228305</v>
      </c>
      <c r="U7" s="22">
        <f>INDEX(Data_Prices!U:U,MATCH($G7,Data_Prices!$A:$A,0))</f>
        <v>8.9443977655571061</v>
      </c>
      <c r="V7" s="22">
        <f>INDEX(Data_Prices!V:V,MATCH($G7,Data_Prices!$A:$A,0))</f>
        <v>8.9443977655571061</v>
      </c>
      <c r="W7" s="22">
        <f>INDEX(Data_Prices!W:W,MATCH($G7,Data_Prices!$A:$A,0))</f>
        <v>8.9443977655571061</v>
      </c>
      <c r="X7" s="22">
        <f>INDEX(Data_Prices!X:X,MATCH($G7,Data_Prices!$A:$A,0))</f>
        <v>8.9443977655571061</v>
      </c>
      <c r="Y7" s="22">
        <f>INDEX(Data_Prices!Y:Y,MATCH($G7,Data_Prices!$A:$A,0))</f>
        <v>8.9443977655571061</v>
      </c>
      <c r="Z7" s="22">
        <f>INDEX(Data_Prices!Z:Z,MATCH($G7,Data_Prices!$A:$A,0))</f>
        <v>8.9443977655571061</v>
      </c>
      <c r="AA7" s="22">
        <f>INDEX(Data_Prices!AA:AA,MATCH($G7,Data_Prices!$A:$A,0))</f>
        <v>8.9443977655571061</v>
      </c>
      <c r="AB7" s="22">
        <f>INDEX(Data_Prices!AB:AB,MATCH($G7,Data_Prices!$A:$A,0))</f>
        <v>8.9443977655571061</v>
      </c>
      <c r="AC7" s="22">
        <f>INDEX(Data_Prices!AC:AC,MATCH($G7,Data_Prices!$A:$A,0))</f>
        <v>8.9443977655571061</v>
      </c>
      <c r="AD7" s="22">
        <f>INDEX(Data_Prices!AD:AD,MATCH($G7,Data_Prices!$A:$A,0))</f>
        <v>8.9443977655571061</v>
      </c>
      <c r="AE7" s="22">
        <f>INDEX(Data_Prices!AE:AE,MATCH($G7,Data_Prices!$A:$A,0))</f>
        <v>8.9443977655571061</v>
      </c>
    </row>
    <row r="8" spans="1:35" x14ac:dyDescent="0.25">
      <c r="B8" s="17" t="s">
        <v>57</v>
      </c>
      <c r="C8" s="17" t="str">
        <f t="shared" si="0"/>
        <v>irn</v>
      </c>
      <c r="D8" s="18" t="s">
        <v>58</v>
      </c>
      <c r="E8" s="19" t="s">
        <v>55</v>
      </c>
      <c r="F8" s="17" t="s">
        <v>56</v>
      </c>
      <c r="G8" s="20" t="str">
        <f>Settings!$B$3&amp;".mit.pbc."&amp;Settings!$B$4&amp;"."&amp;$B8&amp;".a."&amp;$J$5</f>
        <v>egy.mit.pbc.ind.nga.a.1</v>
      </c>
      <c r="H8" s="21" t="str">
        <f>OUTCODE(Settings!$B$3,"ptp",$C$5,$B8,$J$5)</f>
        <v>egy.mit.ptp.irn.nga.e.1</v>
      </c>
      <c r="K8" s="22">
        <f>INDEX(Data_Prices!K:K,MATCH($G8,Data_Prices!$A:$A,0))</f>
        <v>6.0634636156729131</v>
      </c>
      <c r="L8" s="22">
        <f>INDEX(Data_Prices!L:L,MATCH($G8,Data_Prices!$A:$A,0))</f>
        <v>5.4510150816191896</v>
      </c>
      <c r="M8" s="22">
        <f>INDEX(Data_Prices!M:M,MATCH($G8,Data_Prices!$A:$A,0))</f>
        <v>5.1193563062624818</v>
      </c>
      <c r="N8" s="22">
        <f>INDEX(Data_Prices!N:N,MATCH($G8,Data_Prices!$A:$A,0))</f>
        <v>5.0821845864040727</v>
      </c>
      <c r="O8" s="22">
        <f>INDEX(Data_Prices!O:O,MATCH($G8,Data_Prices!$A:$A,0))</f>
        <v>5.0821845864040727</v>
      </c>
      <c r="P8" s="22">
        <f>INDEX(Data_Prices!P:P,MATCH($G8,Data_Prices!$A:$A,0))</f>
        <v>5.0821845864040727</v>
      </c>
      <c r="Q8" s="22">
        <f>INDEX(Data_Prices!Q:Q,MATCH($G8,Data_Prices!$A:$A,0))</f>
        <v>5.0821845864040727</v>
      </c>
      <c r="R8" s="22">
        <f>INDEX(Data_Prices!R:R,MATCH($G8,Data_Prices!$A:$A,0))</f>
        <v>5.0821845864040727</v>
      </c>
      <c r="S8" s="22">
        <f>INDEX(Data_Prices!S:S,MATCH($G8,Data_Prices!$A:$A,0))</f>
        <v>5.0821845864040727</v>
      </c>
      <c r="T8" s="22">
        <f>INDEX(Data_Prices!T:T,MATCH($G8,Data_Prices!$A:$A,0))</f>
        <v>5.0821845864040727</v>
      </c>
      <c r="U8" s="22">
        <f>INDEX(Data_Prices!U:U,MATCH($G8,Data_Prices!$A:$A,0))</f>
        <v>5.0821845864040727</v>
      </c>
      <c r="V8" s="22">
        <f>INDEX(Data_Prices!V:V,MATCH($G8,Data_Prices!$A:$A,0))</f>
        <v>5.0821845864040727</v>
      </c>
      <c r="W8" s="22">
        <f>INDEX(Data_Prices!W:W,MATCH($G8,Data_Prices!$A:$A,0))</f>
        <v>5.0821845864040727</v>
      </c>
      <c r="X8" s="22">
        <f>INDEX(Data_Prices!X:X,MATCH($G8,Data_Prices!$A:$A,0))</f>
        <v>5.0821845864040727</v>
      </c>
      <c r="Y8" s="22">
        <f>INDEX(Data_Prices!Y:Y,MATCH($G8,Data_Prices!$A:$A,0))</f>
        <v>5.0821845864040727</v>
      </c>
      <c r="Z8" s="22">
        <f>INDEX(Data_Prices!Z:Z,MATCH($G8,Data_Prices!$A:$A,0))</f>
        <v>5.0821845864040727</v>
      </c>
      <c r="AA8" s="22">
        <f>INDEX(Data_Prices!AA:AA,MATCH($G8,Data_Prices!$A:$A,0))</f>
        <v>5.0821845864040727</v>
      </c>
      <c r="AB8" s="22">
        <f>INDEX(Data_Prices!AB:AB,MATCH($G8,Data_Prices!$A:$A,0))</f>
        <v>5.0821845864040727</v>
      </c>
      <c r="AC8" s="22">
        <f>INDEX(Data_Prices!AC:AC,MATCH($G8,Data_Prices!$A:$A,0))</f>
        <v>5.0821845864040727</v>
      </c>
      <c r="AD8" s="22">
        <f>INDEX(Data_Prices!AD:AD,MATCH($G8,Data_Prices!$A:$A,0))</f>
        <v>5.0821845864040727</v>
      </c>
      <c r="AE8" s="22">
        <f>INDEX(Data_Prices!AE:AE,MATCH($G8,Data_Prices!$A:$A,0))</f>
        <v>5.0821845864040727</v>
      </c>
    </row>
    <row r="9" spans="1:35" x14ac:dyDescent="0.25">
      <c r="B9" s="17" t="s">
        <v>59</v>
      </c>
      <c r="C9" s="17" t="str">
        <f t="shared" si="0"/>
        <v>irn</v>
      </c>
      <c r="D9" s="18" t="s">
        <v>60</v>
      </c>
      <c r="E9" s="19" t="s">
        <v>61</v>
      </c>
      <c r="F9" s="17" t="s">
        <v>56</v>
      </c>
      <c r="G9" s="20" t="str">
        <f>Settings!$B$3&amp;".mit.pbc."&amp;Settings!$B$4&amp;"."&amp;$B9&amp;".a."&amp;$J$5</f>
        <v>egy.mit.pbc.ind.gso.a.1</v>
      </c>
      <c r="H9" s="21" t="str">
        <f>OUTCODE(Settings!$B$3,"ptp",$C$5,$B9,$J$5)</f>
        <v>egy.mit.ptp.irn.gso.e.1</v>
      </c>
      <c r="K9" s="22">
        <f>INDEX(Data_Prices!K:K,MATCH($G9,Data_Prices!$A:$A,0))</f>
        <v>0.67114653332181606</v>
      </c>
      <c r="L9" s="22">
        <f>INDEX(Data_Prices!L:L,MATCH($G9,Data_Prices!$A:$A,0))</f>
        <v>0.61197797679140631</v>
      </c>
      <c r="M9" s="22">
        <f>INDEX(Data_Prices!M:M,MATCH($G9,Data_Prices!$A:$A,0))</f>
        <v>0.61180974964187596</v>
      </c>
      <c r="N9" s="22">
        <f>INDEX(Data_Prices!N:N,MATCH($G9,Data_Prices!$A:$A,0))</f>
        <v>0.60358310017790551</v>
      </c>
      <c r="O9" s="22">
        <f>INDEX(Data_Prices!O:O,MATCH($G9,Data_Prices!$A:$A,0))</f>
        <v>0.60358310017790551</v>
      </c>
      <c r="P9" s="22">
        <f>INDEX(Data_Prices!P:P,MATCH($G9,Data_Prices!$A:$A,0))</f>
        <v>0.60358310017790551</v>
      </c>
      <c r="Q9" s="22">
        <f>INDEX(Data_Prices!Q:Q,MATCH($G9,Data_Prices!$A:$A,0))</f>
        <v>0.60358310017790551</v>
      </c>
      <c r="R9" s="22">
        <f>INDEX(Data_Prices!R:R,MATCH($G9,Data_Prices!$A:$A,0))</f>
        <v>0.60358310017790551</v>
      </c>
      <c r="S9" s="22">
        <f>INDEX(Data_Prices!S:S,MATCH($G9,Data_Prices!$A:$A,0))</f>
        <v>0.60358310017790551</v>
      </c>
      <c r="T9" s="22">
        <f>INDEX(Data_Prices!T:T,MATCH($G9,Data_Prices!$A:$A,0))</f>
        <v>0.60358310017790551</v>
      </c>
      <c r="U9" s="22">
        <f>INDEX(Data_Prices!U:U,MATCH($G9,Data_Prices!$A:$A,0))</f>
        <v>0.60358310017790551</v>
      </c>
      <c r="V9" s="22">
        <f>INDEX(Data_Prices!V:V,MATCH($G9,Data_Prices!$A:$A,0))</f>
        <v>0.60358310017790551</v>
      </c>
      <c r="W9" s="22">
        <f>INDEX(Data_Prices!W:W,MATCH($G9,Data_Prices!$A:$A,0))</f>
        <v>0.60358310017790551</v>
      </c>
      <c r="X9" s="22">
        <f>INDEX(Data_Prices!X:X,MATCH($G9,Data_Prices!$A:$A,0))</f>
        <v>0.60358310017790551</v>
      </c>
      <c r="Y9" s="22">
        <f>INDEX(Data_Prices!Y:Y,MATCH($G9,Data_Prices!$A:$A,0))</f>
        <v>0.60358310017790551</v>
      </c>
      <c r="Z9" s="22">
        <f>INDEX(Data_Prices!Z:Z,MATCH($G9,Data_Prices!$A:$A,0))</f>
        <v>0.60358310017790551</v>
      </c>
      <c r="AA9" s="22">
        <f>INDEX(Data_Prices!AA:AA,MATCH($G9,Data_Prices!$A:$A,0))</f>
        <v>0.60358310017790551</v>
      </c>
      <c r="AB9" s="22">
        <f>INDEX(Data_Prices!AB:AB,MATCH($G9,Data_Prices!$A:$A,0))</f>
        <v>0.60358310017790551</v>
      </c>
      <c r="AC9" s="22">
        <f>INDEX(Data_Prices!AC:AC,MATCH($G9,Data_Prices!$A:$A,0))</f>
        <v>0.60358310017790551</v>
      </c>
      <c r="AD9" s="22">
        <f>INDEX(Data_Prices!AD:AD,MATCH($G9,Data_Prices!$A:$A,0))</f>
        <v>0.60358310017790551</v>
      </c>
      <c r="AE9" s="22">
        <f>INDEX(Data_Prices!AE:AE,MATCH($G9,Data_Prices!$A:$A,0))</f>
        <v>0.60358310017790551</v>
      </c>
    </row>
    <row r="10" spans="1:35" x14ac:dyDescent="0.25">
      <c r="B10" s="17" t="s">
        <v>62</v>
      </c>
      <c r="C10" s="17" t="str">
        <f t="shared" si="0"/>
        <v>irn</v>
      </c>
      <c r="D10" s="18" t="s">
        <v>63</v>
      </c>
      <c r="E10" s="19" t="s">
        <v>61</v>
      </c>
      <c r="F10" s="17" t="s">
        <v>56</v>
      </c>
      <c r="G10" s="20" t="str">
        <f>Settings!$B$3&amp;".mit.pbc."&amp;Settings!$B$4&amp;"."&amp;$B10&amp;".a."&amp;$J$5</f>
        <v>egy.mit.pbc.ind.die.a.1</v>
      </c>
      <c r="H10" s="21" t="str">
        <f>OUTCODE(Settings!$B$3,"ptp",$C$5,$B10,$J$5)</f>
        <v>egy.mit.ptp.irn.die.e.1</v>
      </c>
      <c r="K10" s="22">
        <f>INDEX(Data_Prices!K:K,MATCH($G10,Data_Prices!$A:$A,0))</f>
        <v>0.55971121315568761</v>
      </c>
      <c r="L10" s="22">
        <f>INDEX(Data_Prices!L:L,MATCH($G10,Data_Prices!$A:$A,0))</f>
        <v>0.49458873084106802</v>
      </c>
      <c r="M10" s="22">
        <f>INDEX(Data_Prices!M:M,MATCH($G10,Data_Prices!$A:$A,0))</f>
        <v>0.50778654720250049</v>
      </c>
      <c r="N10" s="22">
        <f>INDEX(Data_Prices!N:N,MATCH($G10,Data_Prices!$A:$A,0))</f>
        <v>0.47043642679561742</v>
      </c>
      <c r="O10" s="22">
        <f>INDEX(Data_Prices!O:O,MATCH($G10,Data_Prices!$A:$A,0))</f>
        <v>0.47043642679561742</v>
      </c>
      <c r="P10" s="22">
        <f>INDEX(Data_Prices!P:P,MATCH($G10,Data_Prices!$A:$A,0))</f>
        <v>0.47043642679561742</v>
      </c>
      <c r="Q10" s="22">
        <f>INDEX(Data_Prices!Q:Q,MATCH($G10,Data_Prices!$A:$A,0))</f>
        <v>0.47043642679561742</v>
      </c>
      <c r="R10" s="22">
        <f>INDEX(Data_Prices!R:R,MATCH($G10,Data_Prices!$A:$A,0))</f>
        <v>0.47043642679561742</v>
      </c>
      <c r="S10" s="22">
        <f>INDEX(Data_Prices!S:S,MATCH($G10,Data_Prices!$A:$A,0))</f>
        <v>0.47043642679561742</v>
      </c>
      <c r="T10" s="22">
        <f>INDEX(Data_Prices!T:T,MATCH($G10,Data_Prices!$A:$A,0))</f>
        <v>0.47043642679561742</v>
      </c>
      <c r="U10" s="22">
        <f>INDEX(Data_Prices!U:U,MATCH($G10,Data_Prices!$A:$A,0))</f>
        <v>0.47043642679561742</v>
      </c>
      <c r="V10" s="22">
        <f>INDEX(Data_Prices!V:V,MATCH($G10,Data_Prices!$A:$A,0))</f>
        <v>0.47043642679561742</v>
      </c>
      <c r="W10" s="22">
        <f>INDEX(Data_Prices!W:W,MATCH($G10,Data_Prices!$A:$A,0))</f>
        <v>0.47043642679561742</v>
      </c>
      <c r="X10" s="22">
        <f>INDEX(Data_Prices!X:X,MATCH($G10,Data_Prices!$A:$A,0))</f>
        <v>0.47043642679561742</v>
      </c>
      <c r="Y10" s="22">
        <f>INDEX(Data_Prices!Y:Y,MATCH($G10,Data_Prices!$A:$A,0))</f>
        <v>0.47043642679561742</v>
      </c>
      <c r="Z10" s="22">
        <f>INDEX(Data_Prices!Z:Z,MATCH($G10,Data_Prices!$A:$A,0))</f>
        <v>0.47043642679561742</v>
      </c>
      <c r="AA10" s="22">
        <f>INDEX(Data_Prices!AA:AA,MATCH($G10,Data_Prices!$A:$A,0))</f>
        <v>0.47043642679561742</v>
      </c>
      <c r="AB10" s="22">
        <f>INDEX(Data_Prices!AB:AB,MATCH($G10,Data_Prices!$A:$A,0))</f>
        <v>0.47043642679561742</v>
      </c>
      <c r="AC10" s="22">
        <f>INDEX(Data_Prices!AC:AC,MATCH($G10,Data_Prices!$A:$A,0))</f>
        <v>0.47043642679561742</v>
      </c>
      <c r="AD10" s="22">
        <f>INDEX(Data_Prices!AD:AD,MATCH($G10,Data_Prices!$A:$A,0))</f>
        <v>0.47043642679561742</v>
      </c>
      <c r="AE10" s="22">
        <f>INDEX(Data_Prices!AE:AE,MATCH($G10,Data_Prices!$A:$A,0))</f>
        <v>0.47043642679561742</v>
      </c>
    </row>
    <row r="11" spans="1:35" x14ac:dyDescent="0.25">
      <c r="B11" s="17" t="s">
        <v>64</v>
      </c>
      <c r="C11" s="17" t="str">
        <f t="shared" si="0"/>
        <v>irn</v>
      </c>
      <c r="D11" s="18" t="s">
        <v>65</v>
      </c>
      <c r="E11" s="19" t="s">
        <v>61</v>
      </c>
      <c r="F11" s="17" t="s">
        <v>56</v>
      </c>
      <c r="G11" s="20" t="str">
        <f>Settings!$B$3&amp;".mit.pbc."&amp;Settings!$B$4&amp;"."&amp;$B11&amp;".a."&amp;$J$5</f>
        <v>egy.mit.pbc.ind.lpg.a.1</v>
      </c>
      <c r="H11" s="21" t="str">
        <f>OUTCODE(Settings!$B$3,"ptp",$C$5,$B11,$J$5)</f>
        <v>egy.mit.ptp.irn.lpg.e.1</v>
      </c>
      <c r="K11" s="22">
        <f>INDEX(Data_Prices!K:K,MATCH($G11,Data_Prices!$A:$A,0))</f>
        <v>0.20036669112673841</v>
      </c>
      <c r="L11" s="22">
        <f>INDEX(Data_Prices!L:L,MATCH($G11,Data_Prices!$A:$A,0))</f>
        <v>0.1573447362522738</v>
      </c>
      <c r="M11" s="22">
        <f>INDEX(Data_Prices!M:M,MATCH($G11,Data_Prices!$A:$A,0))</f>
        <v>0.1644840377592767</v>
      </c>
      <c r="N11" s="22">
        <f>INDEX(Data_Prices!N:N,MATCH($G11,Data_Prices!$A:$A,0))</f>
        <v>0.1507090778070489</v>
      </c>
      <c r="O11" s="22">
        <f>INDEX(Data_Prices!O:O,MATCH($G11,Data_Prices!$A:$A,0))</f>
        <v>0.1507090778070489</v>
      </c>
      <c r="P11" s="22">
        <f>INDEX(Data_Prices!P:P,MATCH($G11,Data_Prices!$A:$A,0))</f>
        <v>0.1507090778070489</v>
      </c>
      <c r="Q11" s="22">
        <f>INDEX(Data_Prices!Q:Q,MATCH($G11,Data_Prices!$A:$A,0))</f>
        <v>0.1507090778070489</v>
      </c>
      <c r="R11" s="22">
        <f>INDEX(Data_Prices!R:R,MATCH($G11,Data_Prices!$A:$A,0))</f>
        <v>0.1507090778070489</v>
      </c>
      <c r="S11" s="22">
        <f>INDEX(Data_Prices!S:S,MATCH($G11,Data_Prices!$A:$A,0))</f>
        <v>0.1507090778070489</v>
      </c>
      <c r="T11" s="22">
        <f>INDEX(Data_Prices!T:T,MATCH($G11,Data_Prices!$A:$A,0))</f>
        <v>0.1507090778070489</v>
      </c>
      <c r="U11" s="22">
        <f>INDEX(Data_Prices!U:U,MATCH($G11,Data_Prices!$A:$A,0))</f>
        <v>0.1507090778070489</v>
      </c>
      <c r="V11" s="22">
        <f>INDEX(Data_Prices!V:V,MATCH($G11,Data_Prices!$A:$A,0))</f>
        <v>0.1507090778070489</v>
      </c>
      <c r="W11" s="22">
        <f>INDEX(Data_Prices!W:W,MATCH($G11,Data_Prices!$A:$A,0))</f>
        <v>0.1507090778070489</v>
      </c>
      <c r="X11" s="22">
        <f>INDEX(Data_Prices!X:X,MATCH($G11,Data_Prices!$A:$A,0))</f>
        <v>0.1507090778070489</v>
      </c>
      <c r="Y11" s="22">
        <f>INDEX(Data_Prices!Y:Y,MATCH($G11,Data_Prices!$A:$A,0))</f>
        <v>0.1507090778070489</v>
      </c>
      <c r="Z11" s="22">
        <f>INDEX(Data_Prices!Z:Z,MATCH($G11,Data_Prices!$A:$A,0))</f>
        <v>0.1507090778070489</v>
      </c>
      <c r="AA11" s="22">
        <f>INDEX(Data_Prices!AA:AA,MATCH($G11,Data_Prices!$A:$A,0))</f>
        <v>0.1507090778070489</v>
      </c>
      <c r="AB11" s="22">
        <f>INDEX(Data_Prices!AB:AB,MATCH($G11,Data_Prices!$A:$A,0))</f>
        <v>0.1507090778070489</v>
      </c>
      <c r="AC11" s="22">
        <f>INDEX(Data_Prices!AC:AC,MATCH($G11,Data_Prices!$A:$A,0))</f>
        <v>0.1507090778070489</v>
      </c>
      <c r="AD11" s="22">
        <f>INDEX(Data_Prices!AD:AD,MATCH($G11,Data_Prices!$A:$A,0))</f>
        <v>0.1507090778070489</v>
      </c>
      <c r="AE11" s="22">
        <f>INDEX(Data_Prices!AE:AE,MATCH($G11,Data_Prices!$A:$A,0))</f>
        <v>0.1507090778070489</v>
      </c>
    </row>
    <row r="12" spans="1:35" x14ac:dyDescent="0.25">
      <c r="B12" s="17" t="s">
        <v>66</v>
      </c>
      <c r="C12" s="17" t="str">
        <f t="shared" si="0"/>
        <v>irn</v>
      </c>
      <c r="D12" s="18" t="s">
        <v>67</v>
      </c>
      <c r="E12" s="19" t="s">
        <v>61</v>
      </c>
      <c r="F12" s="17" t="s">
        <v>56</v>
      </c>
      <c r="G12" s="20" t="str">
        <f>Settings!$B$3&amp;".mit.pbc."&amp;Settings!$B$4&amp;"."&amp;$B12&amp;".a."&amp;$J$5</f>
        <v>egy.mit.pbc.ind.ker.a.1</v>
      </c>
      <c r="H12" s="21" t="str">
        <f>OUTCODE(Settings!$B$3,"ptp",$C$5,$B12,$J$5)</f>
        <v>egy.mit.ptp.irn.ker.e.1</v>
      </c>
      <c r="K12" s="22">
        <f>INDEX(Data_Prices!K:K,MATCH($G12,Data_Prices!$A:$A,0))</f>
        <v>0.48429424097343482</v>
      </c>
      <c r="L12" s="22">
        <f>INDEX(Data_Prices!L:L,MATCH($G12,Data_Prices!$A:$A,0))</f>
        <v>0.45642817050012813</v>
      </c>
      <c r="M12" s="22">
        <f>INDEX(Data_Prices!M:M,MATCH($G12,Data_Prices!$A:$A,0))</f>
        <v>0.43168920195599519</v>
      </c>
      <c r="N12" s="22">
        <f>INDEX(Data_Prices!N:N,MATCH($G12,Data_Prices!$A:$A,0))</f>
        <v>0.42507558395596989</v>
      </c>
      <c r="O12" s="22">
        <f>INDEX(Data_Prices!O:O,MATCH($G12,Data_Prices!$A:$A,0))</f>
        <v>0.42507558395596989</v>
      </c>
      <c r="P12" s="22">
        <f>INDEX(Data_Prices!P:P,MATCH($G12,Data_Prices!$A:$A,0))</f>
        <v>0.42507558395596989</v>
      </c>
      <c r="Q12" s="22">
        <f>INDEX(Data_Prices!Q:Q,MATCH($G12,Data_Prices!$A:$A,0))</f>
        <v>0.42507558395596989</v>
      </c>
      <c r="R12" s="22">
        <f>INDEX(Data_Prices!R:R,MATCH($G12,Data_Prices!$A:$A,0))</f>
        <v>0.42507558395596989</v>
      </c>
      <c r="S12" s="22">
        <f>INDEX(Data_Prices!S:S,MATCH($G12,Data_Prices!$A:$A,0))</f>
        <v>0.42507558395596989</v>
      </c>
      <c r="T12" s="22">
        <f>INDEX(Data_Prices!T:T,MATCH($G12,Data_Prices!$A:$A,0))</f>
        <v>0.42507558395596989</v>
      </c>
      <c r="U12" s="22">
        <f>INDEX(Data_Prices!U:U,MATCH($G12,Data_Prices!$A:$A,0))</f>
        <v>0.42507558395596989</v>
      </c>
      <c r="V12" s="22">
        <f>INDEX(Data_Prices!V:V,MATCH($G12,Data_Prices!$A:$A,0))</f>
        <v>0.42507558395596989</v>
      </c>
      <c r="W12" s="22">
        <f>INDEX(Data_Prices!W:W,MATCH($G12,Data_Prices!$A:$A,0))</f>
        <v>0.42507558395596989</v>
      </c>
      <c r="X12" s="22">
        <f>INDEX(Data_Prices!X:X,MATCH($G12,Data_Prices!$A:$A,0))</f>
        <v>0.42507558395596989</v>
      </c>
      <c r="Y12" s="22">
        <f>INDEX(Data_Prices!Y:Y,MATCH($G12,Data_Prices!$A:$A,0))</f>
        <v>0.42507558395596989</v>
      </c>
      <c r="Z12" s="22">
        <f>INDEX(Data_Prices!Z:Z,MATCH($G12,Data_Prices!$A:$A,0))</f>
        <v>0.42507558395596989</v>
      </c>
      <c r="AA12" s="22">
        <f>INDEX(Data_Prices!AA:AA,MATCH($G12,Data_Prices!$A:$A,0))</f>
        <v>0.42507558395596989</v>
      </c>
      <c r="AB12" s="22">
        <f>INDEX(Data_Prices!AB:AB,MATCH($G12,Data_Prices!$A:$A,0))</f>
        <v>0.42507558395596989</v>
      </c>
      <c r="AC12" s="22">
        <f>INDEX(Data_Prices!AC:AC,MATCH($G12,Data_Prices!$A:$A,0))</f>
        <v>0.42507558395596989</v>
      </c>
      <c r="AD12" s="22">
        <f>INDEX(Data_Prices!AD:AD,MATCH($G12,Data_Prices!$A:$A,0))</f>
        <v>0.42507558395596989</v>
      </c>
      <c r="AE12" s="22">
        <f>INDEX(Data_Prices!AE:AE,MATCH($G12,Data_Prices!$A:$A,0))</f>
        <v>0.42507558395596989</v>
      </c>
    </row>
    <row r="13" spans="1:35" x14ac:dyDescent="0.25">
      <c r="B13" s="17" t="s">
        <v>68</v>
      </c>
      <c r="C13" s="17" t="str">
        <f t="shared" si="0"/>
        <v>irn</v>
      </c>
      <c r="D13" s="18" t="s">
        <v>69</v>
      </c>
      <c r="E13" s="19" t="s">
        <v>70</v>
      </c>
      <c r="F13" s="17" t="s">
        <v>56</v>
      </c>
      <c r="G13" s="20" t="str">
        <f>Settings!$B$3&amp;".mit.pbc."&amp;Settings!$B$4&amp;"."&amp;$B13&amp;".a."&amp;$J$5</f>
        <v>egy.mit.pbc.ind.oop.a.1</v>
      </c>
      <c r="H13" s="21" t="str">
        <f>OUTCODE(Settings!$B$3,"ptp",$C$5,$B13,$J$5)</f>
        <v>egy.mit.ptp.irn.oop.e.1</v>
      </c>
      <c r="K13" s="22">
        <f>INDEX(Data_Prices!K:K,MATCH($G13,Data_Prices!$A:$A,0))</f>
        <v>41.50033849886843</v>
      </c>
      <c r="L13" s="22">
        <f>INDEX(Data_Prices!L:L,MATCH($G13,Data_Prices!$A:$A,0))</f>
        <v>34.415370304313228</v>
      </c>
      <c r="M13" s="22">
        <f>INDEX(Data_Prices!M:M,MATCH($G13,Data_Prices!$A:$A,0))</f>
        <v>37.368960690432033</v>
      </c>
      <c r="N13" s="22">
        <f>INDEX(Data_Prices!N:N,MATCH($G13,Data_Prices!$A:$A,0))</f>
        <v>28.982761101477251</v>
      </c>
      <c r="O13" s="22">
        <f>INDEX(Data_Prices!O:O,MATCH($G13,Data_Prices!$A:$A,0))</f>
        <v>15</v>
      </c>
      <c r="P13" s="22">
        <f>INDEX(Data_Prices!P:P,MATCH($G13,Data_Prices!$A:$A,0))</f>
        <v>24.2586300842555</v>
      </c>
      <c r="Q13" s="22">
        <f>INDEX(Data_Prices!Q:Q,MATCH($G13,Data_Prices!$A:$A,0))</f>
        <v>15</v>
      </c>
      <c r="R13" s="22">
        <f>INDEX(Data_Prices!R:R,MATCH($G13,Data_Prices!$A:$A,0))</f>
        <v>15</v>
      </c>
      <c r="S13" s="22">
        <f>INDEX(Data_Prices!S:S,MATCH($G13,Data_Prices!$A:$A,0))</f>
        <v>15</v>
      </c>
      <c r="T13" s="22">
        <f>INDEX(Data_Prices!T:T,MATCH($G13,Data_Prices!$A:$A,0))</f>
        <v>15</v>
      </c>
      <c r="U13" s="22">
        <f>INDEX(Data_Prices!U:U,MATCH($G13,Data_Prices!$A:$A,0))</f>
        <v>15</v>
      </c>
      <c r="V13" s="22">
        <f>INDEX(Data_Prices!V:V,MATCH($G13,Data_Prices!$A:$A,0))</f>
        <v>15</v>
      </c>
      <c r="W13" s="22">
        <f>INDEX(Data_Prices!W:W,MATCH($G13,Data_Prices!$A:$A,0))</f>
        <v>15</v>
      </c>
      <c r="X13" s="22">
        <f>INDEX(Data_Prices!X:X,MATCH($G13,Data_Prices!$A:$A,0))</f>
        <v>15</v>
      </c>
      <c r="Y13" s="22">
        <f>INDEX(Data_Prices!Y:Y,MATCH($G13,Data_Prices!$A:$A,0))</f>
        <v>15</v>
      </c>
      <c r="Z13" s="22">
        <f>INDEX(Data_Prices!Z:Z,MATCH($G13,Data_Prices!$A:$A,0))</f>
        <v>15</v>
      </c>
      <c r="AA13" s="22">
        <f>INDEX(Data_Prices!AA:AA,MATCH($G13,Data_Prices!$A:$A,0))</f>
        <v>15</v>
      </c>
      <c r="AB13" s="22">
        <f>INDEX(Data_Prices!AB:AB,MATCH($G13,Data_Prices!$A:$A,0))</f>
        <v>15</v>
      </c>
      <c r="AC13" s="22">
        <f>INDEX(Data_Prices!AC:AC,MATCH($G13,Data_Prices!$A:$A,0))</f>
        <v>15</v>
      </c>
      <c r="AD13" s="22">
        <f>INDEX(Data_Prices!AD:AD,MATCH($G13,Data_Prices!$A:$A,0))</f>
        <v>15</v>
      </c>
      <c r="AE13" s="22">
        <f>INDEX(Data_Prices!AE:AE,MATCH($G13,Data_Prices!$A:$A,0))</f>
        <v>15</v>
      </c>
    </row>
    <row r="14" spans="1:35" x14ac:dyDescent="0.25">
      <c r="B14" s="17" t="s">
        <v>71</v>
      </c>
      <c r="C14" s="17" t="str">
        <f t="shared" si="0"/>
        <v>irn</v>
      </c>
      <c r="D14" s="18" t="s">
        <v>72</v>
      </c>
      <c r="E14" s="19" t="s">
        <v>55</v>
      </c>
      <c r="F14" s="17" t="s">
        <v>56</v>
      </c>
      <c r="G14" s="20" t="str">
        <f>Settings!$B$3&amp;".mit.pbc."&amp;Settings!$B$4&amp;"."&amp;$B14&amp;".a."&amp;$J$5</f>
        <v>egy.mit.pbc.ind.bio.a.1</v>
      </c>
      <c r="H14" s="21" t="str">
        <f>OUTCODE(Settings!$B$3,"ptp",$C$5,$B14,$J$5)</f>
        <v>egy.mit.ptp.irn.bio.e.1</v>
      </c>
      <c r="K14" s="22">
        <f>INDEX(Data_Prices!K:K,MATCH($G14,Data_Prices!$A:$A,0))</f>
        <v>15.33455052931693</v>
      </c>
      <c r="L14" s="22">
        <f>INDEX(Data_Prices!L:L,MATCH($G14,Data_Prices!$A:$A,0))</f>
        <v>14.199528390634921</v>
      </c>
      <c r="M14" s="22">
        <f>INDEX(Data_Prices!M:M,MATCH($G14,Data_Prices!$A:$A,0))</f>
        <v>13.840441613315161</v>
      </c>
      <c r="N14" s="22">
        <f>INDEX(Data_Prices!N:N,MATCH($G14,Data_Prices!$A:$A,0))</f>
        <v>13.5677269404465</v>
      </c>
      <c r="O14" s="22">
        <f>INDEX(Data_Prices!O:O,MATCH($G14,Data_Prices!$A:$A,0))</f>
        <v>13.5677269404465</v>
      </c>
      <c r="P14" s="22">
        <f>INDEX(Data_Prices!P:P,MATCH($G14,Data_Prices!$A:$A,0))</f>
        <v>13.5677269404465</v>
      </c>
      <c r="Q14" s="22">
        <f>INDEX(Data_Prices!Q:Q,MATCH($G14,Data_Prices!$A:$A,0))</f>
        <v>13.5677269404465</v>
      </c>
      <c r="R14" s="22">
        <f>INDEX(Data_Prices!R:R,MATCH($G14,Data_Prices!$A:$A,0))</f>
        <v>13.5677269404465</v>
      </c>
      <c r="S14" s="22">
        <f>INDEX(Data_Prices!S:S,MATCH($G14,Data_Prices!$A:$A,0))</f>
        <v>13.5677269404465</v>
      </c>
      <c r="T14" s="22">
        <f>INDEX(Data_Prices!T:T,MATCH($G14,Data_Prices!$A:$A,0))</f>
        <v>13.5677269404465</v>
      </c>
      <c r="U14" s="22">
        <f>INDEX(Data_Prices!U:U,MATCH($G14,Data_Prices!$A:$A,0))</f>
        <v>13.5677269404465</v>
      </c>
      <c r="V14" s="22">
        <f>INDEX(Data_Prices!V:V,MATCH($G14,Data_Prices!$A:$A,0))</f>
        <v>13.5677269404465</v>
      </c>
      <c r="W14" s="22">
        <f>INDEX(Data_Prices!W:W,MATCH($G14,Data_Prices!$A:$A,0))</f>
        <v>13.5677269404465</v>
      </c>
      <c r="X14" s="22">
        <f>INDEX(Data_Prices!X:X,MATCH($G14,Data_Prices!$A:$A,0))</f>
        <v>13.5677269404465</v>
      </c>
      <c r="Y14" s="22">
        <f>INDEX(Data_Prices!Y:Y,MATCH($G14,Data_Prices!$A:$A,0))</f>
        <v>13.5677269404465</v>
      </c>
      <c r="Z14" s="22">
        <f>INDEX(Data_Prices!Z:Z,MATCH($G14,Data_Prices!$A:$A,0))</f>
        <v>13.5677269404465</v>
      </c>
      <c r="AA14" s="22">
        <f>INDEX(Data_Prices!AA:AA,MATCH($G14,Data_Prices!$A:$A,0))</f>
        <v>13.5677269404465</v>
      </c>
      <c r="AB14" s="22">
        <f>INDEX(Data_Prices!AB:AB,MATCH($G14,Data_Prices!$A:$A,0))</f>
        <v>13.5677269404465</v>
      </c>
      <c r="AC14" s="22">
        <f>INDEX(Data_Prices!AC:AC,MATCH($G14,Data_Prices!$A:$A,0))</f>
        <v>13.5677269404465</v>
      </c>
      <c r="AD14" s="22">
        <f>INDEX(Data_Prices!AD:AD,MATCH($G14,Data_Prices!$A:$A,0))</f>
        <v>13.5677269404465</v>
      </c>
      <c r="AE14" s="22">
        <f>INDEX(Data_Prices!AE:AE,MATCH($G14,Data_Prices!$A:$A,0))</f>
        <v>13.5677269404465</v>
      </c>
    </row>
    <row r="15" spans="1:35" x14ac:dyDescent="0.25">
      <c r="B15" s="17" t="s">
        <v>73</v>
      </c>
      <c r="C15" s="17" t="str">
        <f t="shared" si="0"/>
        <v>irn</v>
      </c>
      <c r="D15" s="18" t="s">
        <v>74</v>
      </c>
      <c r="E15" s="19" t="s">
        <v>75</v>
      </c>
      <c r="F15" s="17" t="s">
        <v>56</v>
      </c>
      <c r="G15" s="20" t="str">
        <f>Settings!$B$3&amp;".mit.pbc."&amp;Settings!$B$4&amp;"."&amp;$B15&amp;".a."&amp;$J$5</f>
        <v>egy.mit.pbc.ind.ren.a.1</v>
      </c>
      <c r="H15" s="21" t="str">
        <f>OUTCODE(Settings!$B$3,"ptp",$C$5,$B15,$J$5)</f>
        <v>egy.mit.ptp.irn.ren.e.1</v>
      </c>
      <c r="K15" s="22">
        <f>INDEX(Data_Prices!K:K,MATCH($G15,Data_Prices!$A:$A,0))</f>
        <v>0</v>
      </c>
      <c r="L15" s="22">
        <f>INDEX(Data_Prices!L:L,MATCH($G15,Data_Prices!$A:$A,0))</f>
        <v>0.14404498679319799</v>
      </c>
      <c r="M15" s="22">
        <f>INDEX(Data_Prices!M:M,MATCH($G15,Data_Prices!$A:$A,0))</f>
        <v>0.14102040965700391</v>
      </c>
      <c r="N15" s="22">
        <f>INDEX(Data_Prices!N:N,MATCH($G15,Data_Prices!$A:$A,0))</f>
        <v>0.13511635959447599</v>
      </c>
      <c r="O15" s="22">
        <f>INDEX(Data_Prices!O:O,MATCH($G15,Data_Prices!$A:$A,0))</f>
        <v>0.13098825698585639</v>
      </c>
      <c r="P15" s="22">
        <f>INDEX(Data_Prices!P:P,MATCH($G15,Data_Prices!$A:$A,0))</f>
        <v>0.12790841608631831</v>
      </c>
      <c r="Q15" s="22">
        <f>INDEX(Data_Prices!Q:Q,MATCH($G15,Data_Prices!$A:$A,0))</f>
        <v>0.124814310557813</v>
      </c>
      <c r="R15" s="22">
        <f>INDEX(Data_Prices!R:R,MATCH($G15,Data_Prices!$A:$A,0))</f>
        <v>0.1214602571228779</v>
      </c>
      <c r="S15" s="22">
        <f>INDEX(Data_Prices!S:S,MATCH($G15,Data_Prices!$A:$A,0))</f>
        <v>0.1179507441357863</v>
      </c>
      <c r="T15" s="22">
        <f>INDEX(Data_Prices!T:T,MATCH($G15,Data_Prices!$A:$A,0))</f>
        <v>0.1141991610445974</v>
      </c>
      <c r="U15" s="22">
        <f>INDEX(Data_Prices!U:U,MATCH($G15,Data_Prices!$A:$A,0))</f>
        <v>0.1136651000596645</v>
      </c>
      <c r="V15" s="22">
        <f>INDEX(Data_Prices!V:V,MATCH($G15,Data_Prices!$A:$A,0))</f>
        <v>0.1130169296259568</v>
      </c>
      <c r="W15" s="22">
        <f>INDEX(Data_Prices!W:W,MATCH($G15,Data_Prices!$A:$A,0))</f>
        <v>0.112314070507636</v>
      </c>
      <c r="X15" s="22">
        <f>INDEX(Data_Prices!X:X,MATCH($G15,Data_Prices!$A:$A,0))</f>
        <v>0.1114220427328433</v>
      </c>
      <c r="Y15" s="22">
        <f>INDEX(Data_Prices!Y:Y,MATCH($G15,Data_Prices!$A:$A,0))</f>
        <v>0.1104341236758091</v>
      </c>
      <c r="Z15" s="22">
        <f>INDEX(Data_Prices!Z:Z,MATCH($G15,Data_Prices!$A:$A,0))</f>
        <v>0.10948397330447129</v>
      </c>
      <c r="AA15" s="22">
        <f>INDEX(Data_Prices!AA:AA,MATCH($G15,Data_Prices!$A:$A,0))</f>
        <v>0.1083919210529401</v>
      </c>
      <c r="AB15" s="22">
        <f>INDEX(Data_Prices!AB:AB,MATCH($G15,Data_Prices!$A:$A,0))</f>
        <v>0.1073544336267039</v>
      </c>
      <c r="AC15" s="22">
        <f>INDEX(Data_Prices!AC:AC,MATCH($G15,Data_Prices!$A:$A,0))</f>
        <v>0.10516867544166079</v>
      </c>
      <c r="AD15" s="22">
        <f>INDEX(Data_Prices!AD:AD,MATCH($G15,Data_Prices!$A:$A,0))</f>
        <v>0.1030579832560081</v>
      </c>
      <c r="AE15" s="22">
        <f>INDEX(Data_Prices!AE:AE,MATCH($G15,Data_Prices!$A:$A,0))</f>
        <v>0.1009318389901144</v>
      </c>
    </row>
    <row r="16" spans="1:35" x14ac:dyDescent="0.25">
      <c r="B16" s="16" t="s">
        <v>76</v>
      </c>
    </row>
    <row r="17" spans="2:31" x14ac:dyDescent="0.25">
      <c r="B17" s="17" t="s">
        <v>53</v>
      </c>
      <c r="C17" s="17" t="str">
        <f t="shared" ref="C17:C25" si="1">$C$5</f>
        <v>irn</v>
      </c>
      <c r="D17" s="18" t="s">
        <v>54</v>
      </c>
      <c r="E17" s="19" t="s">
        <v>55</v>
      </c>
      <c r="F17" s="17" t="s">
        <v>77</v>
      </c>
      <c r="G17" s="20" t="str">
        <f>Settings!$B$3&amp;".mit.nce."&amp;Settings!$B$4&amp;"."&amp;$B17&amp;".a."&amp;$J$5</f>
        <v>egy.mit.nce.ind.coa.a.1</v>
      </c>
      <c r="H17" s="21" t="str">
        <f>OUTCODE(Settings!$B$3,"atp",$C$5,$B17,$J$5)</f>
        <v>egy.mit.atp.irn.coa.e.1</v>
      </c>
      <c r="K17" s="22">
        <f>POSTTAX(K7,INDEX(Data_Prices!K:K,MATCH($G17,Data_Prices!$A:$A,0)),K$37)</f>
        <v>11.18290158924394</v>
      </c>
      <c r="L17" s="22">
        <f>POSTTAX(L7,INDEX(Data_Prices!L:L,MATCH($G17,Data_Prices!$A:$A,0)),L$37)</f>
        <v>10.52336134543121</v>
      </c>
      <c r="M17" s="22">
        <f>POSTTAX(M7,INDEX(Data_Prices!M:M,MATCH($G17,Data_Prices!$A:$A,0)),M$37)</f>
        <v>10.299560827444211</v>
      </c>
      <c r="N17" s="22">
        <f>POSTTAX(N7,INDEX(Data_Prices!N:N,MATCH($G17,Data_Prices!$A:$A,0)),N$37)</f>
        <v>9.5775283595382632</v>
      </c>
      <c r="O17" s="22">
        <f>POSTTAX(O7,INDEX(Data_Prices!O:O,MATCH($G17,Data_Prices!$A:$A,0)),O$37)</f>
        <v>8.4854782869580454</v>
      </c>
      <c r="P17" s="22">
        <f>POSTTAX(P7,INDEX(Data_Prices!P:P,MATCH($G17,Data_Prices!$A:$A,0)),P$37)</f>
        <v>9.0871922352498604</v>
      </c>
      <c r="Q17" s="22">
        <f>POSTTAX(Q7,INDEX(Data_Prices!Q:Q,MATCH($G17,Data_Prices!$A:$A,0)),Q$37)</f>
        <v>9.2229237289326811</v>
      </c>
      <c r="R17" s="22">
        <f>POSTTAX(R7,INDEX(Data_Prices!R:R,MATCH($G17,Data_Prices!$A:$A,0)),R$37)</f>
        <v>9.1585649555096875</v>
      </c>
      <c r="S17" s="22">
        <f>POSTTAX(S7,INDEX(Data_Prices!S:S,MATCH($G17,Data_Prices!$A:$A,0)),S$37)</f>
        <v>9.0895478773973775</v>
      </c>
      <c r="T17" s="22">
        <f>POSTTAX(T7,INDEX(Data_Prices!T:T,MATCH($G17,Data_Prices!$A:$A,0)),T$37)</f>
        <v>9.0156816660228305</v>
      </c>
      <c r="U17" s="22">
        <f>POSTTAX(U7,INDEX(Data_Prices!U:U,MATCH($G17,Data_Prices!$A:$A,0)),U$37)</f>
        <v>8.9443977655571061</v>
      </c>
      <c r="V17" s="22">
        <f>POSTTAX(V7,INDEX(Data_Prices!V:V,MATCH($G17,Data_Prices!$A:$A,0)),V$37)</f>
        <v>8.9443977655571061</v>
      </c>
      <c r="W17" s="22">
        <f>POSTTAX(W7,INDEX(Data_Prices!W:W,MATCH($G17,Data_Prices!$A:$A,0)),W$37)</f>
        <v>8.9443977655571061</v>
      </c>
      <c r="X17" s="22">
        <f>POSTTAX(X7,INDEX(Data_Prices!X:X,MATCH($G17,Data_Prices!$A:$A,0)),X$37)</f>
        <v>8.9443977655571061</v>
      </c>
      <c r="Y17" s="22">
        <f>POSTTAX(Y7,INDEX(Data_Prices!Y:Y,MATCH($G17,Data_Prices!$A:$A,0)),Y$37)</f>
        <v>8.9443977655571061</v>
      </c>
      <c r="Z17" s="22">
        <f>POSTTAX(Z7,INDEX(Data_Prices!Z:Z,MATCH($G17,Data_Prices!$A:$A,0)),Z$37)</f>
        <v>8.9443977655571061</v>
      </c>
      <c r="AA17" s="22">
        <f>POSTTAX(AA7,INDEX(Data_Prices!AA:AA,MATCH($G17,Data_Prices!$A:$A,0)),AA$37)</f>
        <v>8.9443977655571061</v>
      </c>
      <c r="AB17" s="22">
        <f>POSTTAX(AB7,INDEX(Data_Prices!AB:AB,MATCH($G17,Data_Prices!$A:$A,0)),AB$37)</f>
        <v>8.9443977655571061</v>
      </c>
      <c r="AC17" s="22">
        <f>POSTTAX(AC7,INDEX(Data_Prices!AC:AC,MATCH($G17,Data_Prices!$A:$A,0)),AC$37)</f>
        <v>8.9443977655571061</v>
      </c>
      <c r="AD17" s="22">
        <f>POSTTAX(AD7,INDEX(Data_Prices!AD:AD,MATCH($G17,Data_Prices!$A:$A,0)),AD$37)</f>
        <v>8.9443977655571061</v>
      </c>
      <c r="AE17" s="22">
        <f>POSTTAX(AE7,INDEX(Data_Prices!AE:AE,MATCH($G17,Data_Prices!$A:$A,0)),AE$37)</f>
        <v>8.9443977655571061</v>
      </c>
    </row>
    <row r="18" spans="2:31" x14ac:dyDescent="0.25">
      <c r="B18" s="17" t="s">
        <v>57</v>
      </c>
      <c r="C18" s="17" t="str">
        <f t="shared" si="1"/>
        <v>irn</v>
      </c>
      <c r="D18" s="18" t="s">
        <v>58</v>
      </c>
      <c r="E18" s="19" t="s">
        <v>55</v>
      </c>
      <c r="F18" s="17" t="s">
        <v>77</v>
      </c>
      <c r="G18" s="20" t="str">
        <f>Settings!$B$3&amp;".mit.nce."&amp;Settings!$B$4&amp;"."&amp;$B18&amp;".a."&amp;$J$5</f>
        <v>egy.mit.nce.ind.nga.a.1</v>
      </c>
      <c r="H18" s="21" t="str">
        <f>OUTCODE(Settings!$B$3,"atp",$C$5,$B18,$J$5)</f>
        <v>egy.mit.atp.irn.nga.e.1</v>
      </c>
      <c r="K18" s="22">
        <f>POSTTAX(K8,INDEX(Data_Prices!K:K,MATCH($G18,Data_Prices!$A:$A,0)),K$37)</f>
        <v>6.0634636156729131</v>
      </c>
      <c r="L18" s="22">
        <f>POSTTAX(L8,INDEX(Data_Prices!L:L,MATCH($G18,Data_Prices!$A:$A,0)),L$37)</f>
        <v>5.4510150816191896</v>
      </c>
      <c r="M18" s="22">
        <f>POSTTAX(M8,INDEX(Data_Prices!M:M,MATCH($G18,Data_Prices!$A:$A,0)),M$37)</f>
        <v>5.1193563062624818</v>
      </c>
      <c r="N18" s="22">
        <f>POSTTAX(N8,INDEX(Data_Prices!N:N,MATCH($G18,Data_Prices!$A:$A,0)),N$37)</f>
        <v>5.0821845864040727</v>
      </c>
      <c r="O18" s="22">
        <f>POSTTAX(O8,INDEX(Data_Prices!O:O,MATCH($G18,Data_Prices!$A:$A,0)),O$37)</f>
        <v>5.0821845864040727</v>
      </c>
      <c r="P18" s="22">
        <f>POSTTAX(P8,INDEX(Data_Prices!P:P,MATCH($G18,Data_Prices!$A:$A,0)),P$37)</f>
        <v>5.0821845864040727</v>
      </c>
      <c r="Q18" s="22">
        <f>POSTTAX(Q8,INDEX(Data_Prices!Q:Q,MATCH($G18,Data_Prices!$A:$A,0)),Q$37)</f>
        <v>5.0821845864040727</v>
      </c>
      <c r="R18" s="22">
        <f>POSTTAX(R8,INDEX(Data_Prices!R:R,MATCH($G18,Data_Prices!$A:$A,0)),R$37)</f>
        <v>5.0821845864040727</v>
      </c>
      <c r="S18" s="22">
        <f>POSTTAX(S8,INDEX(Data_Prices!S:S,MATCH($G18,Data_Prices!$A:$A,0)),S$37)</f>
        <v>5.0821845864040727</v>
      </c>
      <c r="T18" s="22">
        <f>POSTTAX(T8,INDEX(Data_Prices!T:T,MATCH($G18,Data_Prices!$A:$A,0)),T$37)</f>
        <v>5.0821845864040727</v>
      </c>
      <c r="U18" s="22">
        <f>POSTTAX(U8,INDEX(Data_Prices!U:U,MATCH($G18,Data_Prices!$A:$A,0)),U$37)</f>
        <v>5.0821845864040727</v>
      </c>
      <c r="V18" s="22">
        <f>POSTTAX(V8,INDEX(Data_Prices!V:V,MATCH($G18,Data_Prices!$A:$A,0)),V$37)</f>
        <v>5.0821845864040727</v>
      </c>
      <c r="W18" s="22">
        <f>POSTTAX(W8,INDEX(Data_Prices!W:W,MATCH($G18,Data_Prices!$A:$A,0)),W$37)</f>
        <v>5.0821845864040727</v>
      </c>
      <c r="X18" s="22">
        <f>POSTTAX(X8,INDEX(Data_Prices!X:X,MATCH($G18,Data_Prices!$A:$A,0)),X$37)</f>
        <v>5.0821845864040727</v>
      </c>
      <c r="Y18" s="22">
        <f>POSTTAX(Y8,INDEX(Data_Prices!Y:Y,MATCH($G18,Data_Prices!$A:$A,0)),Y$37)</f>
        <v>5.0821845864040727</v>
      </c>
      <c r="Z18" s="22">
        <f>POSTTAX(Z8,INDEX(Data_Prices!Z:Z,MATCH($G18,Data_Prices!$A:$A,0)),Z$37)</f>
        <v>5.0821845864040727</v>
      </c>
      <c r="AA18" s="22">
        <f>POSTTAX(AA8,INDEX(Data_Prices!AA:AA,MATCH($G18,Data_Prices!$A:$A,0)),AA$37)</f>
        <v>5.0821845864040727</v>
      </c>
      <c r="AB18" s="22">
        <f>POSTTAX(AB8,INDEX(Data_Prices!AB:AB,MATCH($G18,Data_Prices!$A:$A,0)),AB$37)</f>
        <v>5.0821845864040727</v>
      </c>
      <c r="AC18" s="22">
        <f>POSTTAX(AC8,INDEX(Data_Prices!AC:AC,MATCH($G18,Data_Prices!$A:$A,0)),AC$37)</f>
        <v>5.0821845864040727</v>
      </c>
      <c r="AD18" s="22">
        <f>POSTTAX(AD8,INDEX(Data_Prices!AD:AD,MATCH($G18,Data_Prices!$A:$A,0)),AD$37)</f>
        <v>5.0821845864040727</v>
      </c>
      <c r="AE18" s="22">
        <f>POSTTAX(AE8,INDEX(Data_Prices!AE:AE,MATCH($G18,Data_Prices!$A:$A,0)),AE$37)</f>
        <v>5.0821845864040727</v>
      </c>
    </row>
    <row r="19" spans="2:31" x14ac:dyDescent="0.25">
      <c r="B19" s="17" t="s">
        <v>59</v>
      </c>
      <c r="C19" s="17" t="str">
        <f t="shared" si="1"/>
        <v>irn</v>
      </c>
      <c r="D19" s="18" t="s">
        <v>60</v>
      </c>
      <c r="E19" s="19" t="s">
        <v>61</v>
      </c>
      <c r="F19" s="17" t="s">
        <v>77</v>
      </c>
      <c r="G19" s="20" t="str">
        <f>Settings!$B$3&amp;".mit.nce."&amp;Settings!$B$4&amp;"."&amp;$B19&amp;".a."&amp;$J$5</f>
        <v>egy.mit.nce.ind.gso.a.1</v>
      </c>
      <c r="H19" s="21" t="str">
        <f>OUTCODE(Settings!$B$3,"atp",$C$5,$B19,$J$5)</f>
        <v>egy.mit.atp.irn.gso.e.1</v>
      </c>
      <c r="K19" s="22">
        <f>POSTTAX(K9,INDEX(Data_Prices!K:K,MATCH($G19,Data_Prices!$A:$A,0)),K$37)</f>
        <v>0.67114653332181606</v>
      </c>
      <c r="L19" s="22">
        <f>POSTTAX(L9,INDEX(Data_Prices!L:L,MATCH($G19,Data_Prices!$A:$A,0)),L$37)</f>
        <v>0.61197797679140631</v>
      </c>
      <c r="M19" s="22">
        <f>POSTTAX(M9,INDEX(Data_Prices!M:M,MATCH($G19,Data_Prices!$A:$A,0)),M$37)</f>
        <v>0.61180974964187596</v>
      </c>
      <c r="N19" s="22">
        <f>POSTTAX(N9,INDEX(Data_Prices!N:N,MATCH($G19,Data_Prices!$A:$A,0)),N$37)</f>
        <v>0.60358310017790551</v>
      </c>
      <c r="O19" s="22">
        <f>POSTTAX(O9,INDEX(Data_Prices!O:O,MATCH($G19,Data_Prices!$A:$A,0)),O$37)</f>
        <v>0.60358310017790551</v>
      </c>
      <c r="P19" s="22">
        <f>POSTTAX(P9,INDEX(Data_Prices!P:P,MATCH($G19,Data_Prices!$A:$A,0)),P$37)</f>
        <v>0.60358310017790551</v>
      </c>
      <c r="Q19" s="22">
        <f>POSTTAX(Q9,INDEX(Data_Prices!Q:Q,MATCH($G19,Data_Prices!$A:$A,0)),Q$37)</f>
        <v>0.60358310017790551</v>
      </c>
      <c r="R19" s="22">
        <f>POSTTAX(R9,INDEX(Data_Prices!R:R,MATCH($G19,Data_Prices!$A:$A,0)),R$37)</f>
        <v>0.60358310017790551</v>
      </c>
      <c r="S19" s="22">
        <f>POSTTAX(S9,INDEX(Data_Prices!S:S,MATCH($G19,Data_Prices!$A:$A,0)),S$37)</f>
        <v>0.60358310017790551</v>
      </c>
      <c r="T19" s="22">
        <f>POSTTAX(T9,INDEX(Data_Prices!T:T,MATCH($G19,Data_Prices!$A:$A,0)),T$37)</f>
        <v>0.60358310017790551</v>
      </c>
      <c r="U19" s="22">
        <f>POSTTAX(U9,INDEX(Data_Prices!U:U,MATCH($G19,Data_Prices!$A:$A,0)),U$37)</f>
        <v>0.60358310017790551</v>
      </c>
      <c r="V19" s="22">
        <f>POSTTAX(V9,INDEX(Data_Prices!V:V,MATCH($G19,Data_Prices!$A:$A,0)),V$37)</f>
        <v>0.60358310017790551</v>
      </c>
      <c r="W19" s="22">
        <f>POSTTAX(W9,INDEX(Data_Prices!W:W,MATCH($G19,Data_Prices!$A:$A,0)),W$37)</f>
        <v>0.60358310017790551</v>
      </c>
      <c r="X19" s="22">
        <f>POSTTAX(X9,INDEX(Data_Prices!X:X,MATCH($G19,Data_Prices!$A:$A,0)),X$37)</f>
        <v>0.60358310017790551</v>
      </c>
      <c r="Y19" s="22">
        <f>POSTTAX(Y9,INDEX(Data_Prices!Y:Y,MATCH($G19,Data_Prices!$A:$A,0)),Y$37)</f>
        <v>0.60358310017790551</v>
      </c>
      <c r="Z19" s="22">
        <f>POSTTAX(Z9,INDEX(Data_Prices!Z:Z,MATCH($G19,Data_Prices!$A:$A,0)),Z$37)</f>
        <v>0.60358310017790551</v>
      </c>
      <c r="AA19" s="22">
        <f>POSTTAX(AA9,INDEX(Data_Prices!AA:AA,MATCH($G19,Data_Prices!$A:$A,0)),AA$37)</f>
        <v>0.60358310017790551</v>
      </c>
      <c r="AB19" s="22">
        <f>POSTTAX(AB9,INDEX(Data_Prices!AB:AB,MATCH($G19,Data_Prices!$A:$A,0)),AB$37)</f>
        <v>0.60358310017790551</v>
      </c>
      <c r="AC19" s="22">
        <f>POSTTAX(AC9,INDEX(Data_Prices!AC:AC,MATCH($G19,Data_Prices!$A:$A,0)),AC$37)</f>
        <v>0.60358310017790551</v>
      </c>
      <c r="AD19" s="22">
        <f>POSTTAX(AD9,INDEX(Data_Prices!AD:AD,MATCH($G19,Data_Prices!$A:$A,0)),AD$37)</f>
        <v>0.60358310017790551</v>
      </c>
      <c r="AE19" s="22">
        <f>POSTTAX(AE9,INDEX(Data_Prices!AE:AE,MATCH($G19,Data_Prices!$A:$A,0)),AE$37)</f>
        <v>0.60358310017790551</v>
      </c>
    </row>
    <row r="20" spans="2:31" x14ac:dyDescent="0.25">
      <c r="B20" s="17" t="s">
        <v>62</v>
      </c>
      <c r="C20" s="17" t="str">
        <f t="shared" si="1"/>
        <v>irn</v>
      </c>
      <c r="D20" s="18" t="s">
        <v>63</v>
      </c>
      <c r="E20" s="19" t="s">
        <v>61</v>
      </c>
      <c r="F20" s="17" t="s">
        <v>77</v>
      </c>
      <c r="G20" s="20" t="str">
        <f>Settings!$B$3&amp;".mit.nce."&amp;Settings!$B$4&amp;"."&amp;$B20&amp;".a."&amp;$J$5</f>
        <v>egy.mit.nce.ind.die.a.1</v>
      </c>
      <c r="H20" s="21" t="str">
        <f>OUTCODE(Settings!$B$3,"atp",$C$5,$B20,$J$5)</f>
        <v>egy.mit.atp.irn.die.e.1</v>
      </c>
      <c r="K20" s="22">
        <f>POSTTAX(K10,INDEX(Data_Prices!K:K,MATCH($G20,Data_Prices!$A:$A,0)),K$37)</f>
        <v>0.55971121315568761</v>
      </c>
      <c r="L20" s="22">
        <f>POSTTAX(L10,INDEX(Data_Prices!L:L,MATCH($G20,Data_Prices!$A:$A,0)),L$37)</f>
        <v>0.49458873084106802</v>
      </c>
      <c r="M20" s="22">
        <f>POSTTAX(M10,INDEX(Data_Prices!M:M,MATCH($G20,Data_Prices!$A:$A,0)),M$37)</f>
        <v>0.50778654720250049</v>
      </c>
      <c r="N20" s="22">
        <f>POSTTAX(N10,INDEX(Data_Prices!N:N,MATCH($G20,Data_Prices!$A:$A,0)),N$37)</f>
        <v>0.47043642679561742</v>
      </c>
      <c r="O20" s="22">
        <f>POSTTAX(O10,INDEX(Data_Prices!O:O,MATCH($G20,Data_Prices!$A:$A,0)),O$37)</f>
        <v>0.47043642679561742</v>
      </c>
      <c r="P20" s="22">
        <f>POSTTAX(P10,INDEX(Data_Prices!P:P,MATCH($G20,Data_Prices!$A:$A,0)),P$37)</f>
        <v>0.47043642679561742</v>
      </c>
      <c r="Q20" s="22">
        <f>POSTTAX(Q10,INDEX(Data_Prices!Q:Q,MATCH($G20,Data_Prices!$A:$A,0)),Q$37)</f>
        <v>0.47043642679561742</v>
      </c>
      <c r="R20" s="22">
        <f>POSTTAX(R10,INDEX(Data_Prices!R:R,MATCH($G20,Data_Prices!$A:$A,0)),R$37)</f>
        <v>0.47043642679561742</v>
      </c>
      <c r="S20" s="22">
        <f>POSTTAX(S10,INDEX(Data_Prices!S:S,MATCH($G20,Data_Prices!$A:$A,0)),S$37)</f>
        <v>0.47043642679561742</v>
      </c>
      <c r="T20" s="22">
        <f>POSTTAX(T10,INDEX(Data_Prices!T:T,MATCH($G20,Data_Prices!$A:$A,0)),T$37)</f>
        <v>0.47043642679561742</v>
      </c>
      <c r="U20" s="22">
        <f>POSTTAX(U10,INDEX(Data_Prices!U:U,MATCH($G20,Data_Prices!$A:$A,0)),U$37)</f>
        <v>0.47043642679561742</v>
      </c>
      <c r="V20" s="22">
        <f>POSTTAX(V10,INDEX(Data_Prices!V:V,MATCH($G20,Data_Prices!$A:$A,0)),V$37)</f>
        <v>0.47043642679561742</v>
      </c>
      <c r="W20" s="22">
        <f>POSTTAX(W10,INDEX(Data_Prices!W:W,MATCH($G20,Data_Prices!$A:$A,0)),W$37)</f>
        <v>0.47043642679561742</v>
      </c>
      <c r="X20" s="22">
        <f>POSTTAX(X10,INDEX(Data_Prices!X:X,MATCH($G20,Data_Prices!$A:$A,0)),X$37)</f>
        <v>0.47043642679561742</v>
      </c>
      <c r="Y20" s="22">
        <f>POSTTAX(Y10,INDEX(Data_Prices!Y:Y,MATCH($G20,Data_Prices!$A:$A,0)),Y$37)</f>
        <v>0.47043642679561742</v>
      </c>
      <c r="Z20" s="22">
        <f>POSTTAX(Z10,INDEX(Data_Prices!Z:Z,MATCH($G20,Data_Prices!$A:$A,0)),Z$37)</f>
        <v>0.47043642679561742</v>
      </c>
      <c r="AA20" s="22">
        <f>POSTTAX(AA10,INDEX(Data_Prices!AA:AA,MATCH($G20,Data_Prices!$A:$A,0)),AA$37)</f>
        <v>0.47043642679561742</v>
      </c>
      <c r="AB20" s="22">
        <f>POSTTAX(AB10,INDEX(Data_Prices!AB:AB,MATCH($G20,Data_Prices!$A:$A,0)),AB$37)</f>
        <v>0.47043642679561742</v>
      </c>
      <c r="AC20" s="22">
        <f>POSTTAX(AC10,INDEX(Data_Prices!AC:AC,MATCH($G20,Data_Prices!$A:$A,0)),AC$37)</f>
        <v>0.47043642679561742</v>
      </c>
      <c r="AD20" s="22">
        <f>POSTTAX(AD10,INDEX(Data_Prices!AD:AD,MATCH($G20,Data_Prices!$A:$A,0)),AD$37)</f>
        <v>0.47043642679561742</v>
      </c>
      <c r="AE20" s="22">
        <f>POSTTAX(AE10,INDEX(Data_Prices!AE:AE,MATCH($G20,Data_Prices!$A:$A,0)),AE$37)</f>
        <v>0.47043642679561742</v>
      </c>
    </row>
    <row r="21" spans="2:31" x14ac:dyDescent="0.25">
      <c r="B21" s="17" t="s">
        <v>64</v>
      </c>
      <c r="C21" s="17" t="str">
        <f t="shared" si="1"/>
        <v>irn</v>
      </c>
      <c r="D21" s="18" t="s">
        <v>65</v>
      </c>
      <c r="E21" s="19" t="s">
        <v>61</v>
      </c>
      <c r="F21" s="17" t="s">
        <v>77</v>
      </c>
      <c r="G21" s="20" t="str">
        <f>Settings!$B$3&amp;".mit.nce."&amp;Settings!$B$4&amp;"."&amp;$B21&amp;".a."&amp;$J$5</f>
        <v>egy.mit.nce.ind.lpg.a.1</v>
      </c>
      <c r="H21" s="21" t="str">
        <f>OUTCODE(Settings!$B$3,"atp",$C$5,$B21,$J$5)</f>
        <v>egy.mit.atp.irn.lpg.e.1</v>
      </c>
      <c r="K21" s="22">
        <f>POSTTAX(K11,INDEX(Data_Prices!K:K,MATCH($G21,Data_Prices!$A:$A,0)),K$37)</f>
        <v>0.20036669112673841</v>
      </c>
      <c r="L21" s="22">
        <f>POSTTAX(L11,INDEX(Data_Prices!L:L,MATCH($G21,Data_Prices!$A:$A,0)),L$37)</f>
        <v>0.1573447362522738</v>
      </c>
      <c r="M21" s="22">
        <f>POSTTAX(M11,INDEX(Data_Prices!M:M,MATCH($G21,Data_Prices!$A:$A,0)),M$37)</f>
        <v>0.1644840377592767</v>
      </c>
      <c r="N21" s="22">
        <f>POSTTAX(N11,INDEX(Data_Prices!N:N,MATCH($G21,Data_Prices!$A:$A,0)),N$37)</f>
        <v>0.1507090778070489</v>
      </c>
      <c r="O21" s="22">
        <f>POSTTAX(O11,INDEX(Data_Prices!O:O,MATCH($G21,Data_Prices!$A:$A,0)),O$37)</f>
        <v>0.1507090778070489</v>
      </c>
      <c r="P21" s="22">
        <f>POSTTAX(P11,INDEX(Data_Prices!P:P,MATCH($G21,Data_Prices!$A:$A,0)),P$37)</f>
        <v>0.1507090778070489</v>
      </c>
      <c r="Q21" s="22">
        <f>POSTTAX(Q11,INDEX(Data_Prices!Q:Q,MATCH($G21,Data_Prices!$A:$A,0)),Q$37)</f>
        <v>0.1507090778070489</v>
      </c>
      <c r="R21" s="22">
        <f>POSTTAX(R11,INDEX(Data_Prices!R:R,MATCH($G21,Data_Prices!$A:$A,0)),R$37)</f>
        <v>0.1507090778070489</v>
      </c>
      <c r="S21" s="22">
        <f>POSTTAX(S11,INDEX(Data_Prices!S:S,MATCH($G21,Data_Prices!$A:$A,0)),S$37)</f>
        <v>0.1507090778070489</v>
      </c>
      <c r="T21" s="22">
        <f>POSTTAX(T11,INDEX(Data_Prices!T:T,MATCH($G21,Data_Prices!$A:$A,0)),T$37)</f>
        <v>0.1507090778070489</v>
      </c>
      <c r="U21" s="22">
        <f>POSTTAX(U11,INDEX(Data_Prices!U:U,MATCH($G21,Data_Prices!$A:$A,0)),U$37)</f>
        <v>0.1507090778070489</v>
      </c>
      <c r="V21" s="22">
        <f>POSTTAX(V11,INDEX(Data_Prices!V:V,MATCH($G21,Data_Prices!$A:$A,0)),V$37)</f>
        <v>0.1507090778070489</v>
      </c>
      <c r="W21" s="22">
        <f>POSTTAX(W11,INDEX(Data_Prices!W:W,MATCH($G21,Data_Prices!$A:$A,0)),W$37)</f>
        <v>0.1507090778070489</v>
      </c>
      <c r="X21" s="22">
        <f>POSTTAX(X11,INDEX(Data_Prices!X:X,MATCH($G21,Data_Prices!$A:$A,0)),X$37)</f>
        <v>0.1507090778070489</v>
      </c>
      <c r="Y21" s="22">
        <f>POSTTAX(Y11,INDEX(Data_Prices!Y:Y,MATCH($G21,Data_Prices!$A:$A,0)),Y$37)</f>
        <v>0.1507090778070489</v>
      </c>
      <c r="Z21" s="22">
        <f>POSTTAX(Z11,INDEX(Data_Prices!Z:Z,MATCH($G21,Data_Prices!$A:$A,0)),Z$37)</f>
        <v>0.1507090778070489</v>
      </c>
      <c r="AA21" s="22">
        <f>POSTTAX(AA11,INDEX(Data_Prices!AA:AA,MATCH($G21,Data_Prices!$A:$A,0)),AA$37)</f>
        <v>0.1507090778070489</v>
      </c>
      <c r="AB21" s="22">
        <f>POSTTAX(AB11,INDEX(Data_Prices!AB:AB,MATCH($G21,Data_Prices!$A:$A,0)),AB$37)</f>
        <v>0.1507090778070489</v>
      </c>
      <c r="AC21" s="22">
        <f>POSTTAX(AC11,INDEX(Data_Prices!AC:AC,MATCH($G21,Data_Prices!$A:$A,0)),AC$37)</f>
        <v>0.1507090778070489</v>
      </c>
      <c r="AD21" s="22">
        <f>POSTTAX(AD11,INDEX(Data_Prices!AD:AD,MATCH($G21,Data_Prices!$A:$A,0)),AD$37)</f>
        <v>0.1507090778070489</v>
      </c>
      <c r="AE21" s="22">
        <f>POSTTAX(AE11,INDEX(Data_Prices!AE:AE,MATCH($G21,Data_Prices!$A:$A,0)),AE$37)</f>
        <v>0.1507090778070489</v>
      </c>
    </row>
    <row r="22" spans="2:31" x14ac:dyDescent="0.25">
      <c r="B22" s="17" t="s">
        <v>66</v>
      </c>
      <c r="C22" s="17" t="str">
        <f t="shared" si="1"/>
        <v>irn</v>
      </c>
      <c r="D22" s="18" t="s">
        <v>67</v>
      </c>
      <c r="E22" s="19" t="s">
        <v>61</v>
      </c>
      <c r="F22" s="17" t="s">
        <v>77</v>
      </c>
      <c r="G22" s="20" t="str">
        <f>Settings!$B$3&amp;".mit.nce."&amp;Settings!$B$4&amp;"."&amp;$B22&amp;".a."&amp;$J$5</f>
        <v>egy.mit.nce.ind.ker.a.1</v>
      </c>
      <c r="H22" s="21" t="str">
        <f>OUTCODE(Settings!$B$3,"atp",$C$5,$B22,$J$5)</f>
        <v>egy.mit.atp.irn.ker.e.1</v>
      </c>
      <c r="K22" s="22">
        <f>POSTTAX(K12,INDEX(Data_Prices!K:K,MATCH($G22,Data_Prices!$A:$A,0)),K$37)</f>
        <v>0.48429424097343482</v>
      </c>
      <c r="L22" s="22">
        <f>POSTTAX(L12,INDEX(Data_Prices!L:L,MATCH($G22,Data_Prices!$A:$A,0)),L$37)</f>
        <v>0.45642817050012813</v>
      </c>
      <c r="M22" s="22">
        <f>POSTTAX(M12,INDEX(Data_Prices!M:M,MATCH($G22,Data_Prices!$A:$A,0)),M$37)</f>
        <v>0.43168920195599519</v>
      </c>
      <c r="N22" s="22">
        <f>POSTTAX(N12,INDEX(Data_Prices!N:N,MATCH($G22,Data_Prices!$A:$A,0)),N$37)</f>
        <v>0.42507558395596989</v>
      </c>
      <c r="O22" s="22">
        <f>POSTTAX(O12,INDEX(Data_Prices!O:O,MATCH($G22,Data_Prices!$A:$A,0)),O$37)</f>
        <v>0.42507558395596989</v>
      </c>
      <c r="P22" s="22">
        <f>POSTTAX(P12,INDEX(Data_Prices!P:P,MATCH($G22,Data_Prices!$A:$A,0)),P$37)</f>
        <v>0.42507558395596989</v>
      </c>
      <c r="Q22" s="22">
        <f>POSTTAX(Q12,INDEX(Data_Prices!Q:Q,MATCH($G22,Data_Prices!$A:$A,0)),Q$37)</f>
        <v>0.42507558395596989</v>
      </c>
      <c r="R22" s="22">
        <f>POSTTAX(R12,INDEX(Data_Prices!R:R,MATCH($G22,Data_Prices!$A:$A,0)),R$37)</f>
        <v>0.42507558395596989</v>
      </c>
      <c r="S22" s="22">
        <f>POSTTAX(S12,INDEX(Data_Prices!S:S,MATCH($G22,Data_Prices!$A:$A,0)),S$37)</f>
        <v>0.42507558395596989</v>
      </c>
      <c r="T22" s="22">
        <f>POSTTAX(T12,INDEX(Data_Prices!T:T,MATCH($G22,Data_Prices!$A:$A,0)),T$37)</f>
        <v>0.42507558395596989</v>
      </c>
      <c r="U22" s="22">
        <f>POSTTAX(U12,INDEX(Data_Prices!U:U,MATCH($G22,Data_Prices!$A:$A,0)),U$37)</f>
        <v>0.42507558395596989</v>
      </c>
      <c r="V22" s="22">
        <f>POSTTAX(V12,INDEX(Data_Prices!V:V,MATCH($G22,Data_Prices!$A:$A,0)),V$37)</f>
        <v>0.42507558395596989</v>
      </c>
      <c r="W22" s="22">
        <f>POSTTAX(W12,INDEX(Data_Prices!W:W,MATCH($G22,Data_Prices!$A:$A,0)),W$37)</f>
        <v>0.42507558395596989</v>
      </c>
      <c r="X22" s="22">
        <f>POSTTAX(X12,INDEX(Data_Prices!X:X,MATCH($G22,Data_Prices!$A:$A,0)),X$37)</f>
        <v>0.42507558395596989</v>
      </c>
      <c r="Y22" s="22">
        <f>POSTTAX(Y12,INDEX(Data_Prices!Y:Y,MATCH($G22,Data_Prices!$A:$A,0)),Y$37)</f>
        <v>0.42507558395596989</v>
      </c>
      <c r="Z22" s="22">
        <f>POSTTAX(Z12,INDEX(Data_Prices!Z:Z,MATCH($G22,Data_Prices!$A:$A,0)),Z$37)</f>
        <v>0.42507558395596989</v>
      </c>
      <c r="AA22" s="22">
        <f>POSTTAX(AA12,INDEX(Data_Prices!AA:AA,MATCH($G22,Data_Prices!$A:$A,0)),AA$37)</f>
        <v>0.42507558395596989</v>
      </c>
      <c r="AB22" s="22">
        <f>POSTTAX(AB12,INDEX(Data_Prices!AB:AB,MATCH($G22,Data_Prices!$A:$A,0)),AB$37)</f>
        <v>0.42507558395596989</v>
      </c>
      <c r="AC22" s="22">
        <f>POSTTAX(AC12,INDEX(Data_Prices!AC:AC,MATCH($G22,Data_Prices!$A:$A,0)),AC$37)</f>
        <v>0.42507558395596989</v>
      </c>
      <c r="AD22" s="22">
        <f>POSTTAX(AD12,INDEX(Data_Prices!AD:AD,MATCH($G22,Data_Prices!$A:$A,0)),AD$37)</f>
        <v>0.42507558395596989</v>
      </c>
      <c r="AE22" s="22">
        <f>POSTTAX(AE12,INDEX(Data_Prices!AE:AE,MATCH($G22,Data_Prices!$A:$A,0)),AE$37)</f>
        <v>0.42507558395596989</v>
      </c>
    </row>
    <row r="23" spans="2:31" x14ac:dyDescent="0.25">
      <c r="B23" s="17" t="s">
        <v>68</v>
      </c>
      <c r="C23" s="17" t="str">
        <f t="shared" si="1"/>
        <v>irn</v>
      </c>
      <c r="D23" s="18" t="s">
        <v>69</v>
      </c>
      <c r="E23" s="19" t="s">
        <v>70</v>
      </c>
      <c r="F23" s="17" t="s">
        <v>77</v>
      </c>
      <c r="G23" s="20" t="str">
        <f>Settings!$B$3&amp;".mit.nce."&amp;Settings!$B$4&amp;"."&amp;$B23&amp;".a."&amp;$J$5</f>
        <v>egy.mit.nce.ind.oop.a.1</v>
      </c>
      <c r="H23" s="21" t="str">
        <f>OUTCODE(Settings!$B$3,"atp",$C$5,$B23,$J$5)</f>
        <v>egy.mit.atp.irn.oop.e.1</v>
      </c>
      <c r="K23" s="22">
        <f>POSTTAX(K13,INDEX(Data_Prices!K:K,MATCH($G23,Data_Prices!$A:$A,0)),K$37)</f>
        <v>41.50033849886843</v>
      </c>
      <c r="L23" s="22">
        <f>POSTTAX(L13,INDEX(Data_Prices!L:L,MATCH($G23,Data_Prices!$A:$A,0)),L$37)</f>
        <v>34.415370304313228</v>
      </c>
      <c r="M23" s="22">
        <f>POSTTAX(M13,INDEX(Data_Prices!M:M,MATCH($G23,Data_Prices!$A:$A,0)),M$37)</f>
        <v>37.368960690432033</v>
      </c>
      <c r="N23" s="22">
        <f>POSTTAX(N13,INDEX(Data_Prices!N:N,MATCH($G23,Data_Prices!$A:$A,0)),N$37)</f>
        <v>28.982761101477251</v>
      </c>
      <c r="O23" s="22">
        <f>POSTTAX(O13,INDEX(Data_Prices!O:O,MATCH($G23,Data_Prices!$A:$A,0)),O$37)</f>
        <v>15</v>
      </c>
      <c r="P23" s="22">
        <f>POSTTAX(P13,INDEX(Data_Prices!P:P,MATCH($G23,Data_Prices!$A:$A,0)),P$37)</f>
        <v>24.2586300842555</v>
      </c>
      <c r="Q23" s="22">
        <f>POSTTAX(Q13,INDEX(Data_Prices!Q:Q,MATCH($G23,Data_Prices!$A:$A,0)),Q$37)</f>
        <v>15</v>
      </c>
      <c r="R23" s="22">
        <f>POSTTAX(R13,INDEX(Data_Prices!R:R,MATCH($G23,Data_Prices!$A:$A,0)),R$37)</f>
        <v>15</v>
      </c>
      <c r="S23" s="22">
        <f>POSTTAX(S13,INDEX(Data_Prices!S:S,MATCH($G23,Data_Prices!$A:$A,0)),S$37)</f>
        <v>15</v>
      </c>
      <c r="T23" s="22">
        <f>POSTTAX(T13,INDEX(Data_Prices!T:T,MATCH($G23,Data_Prices!$A:$A,0)),T$37)</f>
        <v>15</v>
      </c>
      <c r="U23" s="22">
        <f>POSTTAX(U13,INDEX(Data_Prices!U:U,MATCH($G23,Data_Prices!$A:$A,0)),U$37)</f>
        <v>15</v>
      </c>
      <c r="V23" s="22">
        <f>POSTTAX(V13,INDEX(Data_Prices!V:V,MATCH($G23,Data_Prices!$A:$A,0)),V$37)</f>
        <v>15</v>
      </c>
      <c r="W23" s="22">
        <f>POSTTAX(W13,INDEX(Data_Prices!W:W,MATCH($G23,Data_Prices!$A:$A,0)),W$37)</f>
        <v>15</v>
      </c>
      <c r="X23" s="22">
        <f>POSTTAX(X13,INDEX(Data_Prices!X:X,MATCH($G23,Data_Prices!$A:$A,0)),X$37)</f>
        <v>15</v>
      </c>
      <c r="Y23" s="22">
        <f>POSTTAX(Y13,INDEX(Data_Prices!Y:Y,MATCH($G23,Data_Prices!$A:$A,0)),Y$37)</f>
        <v>15</v>
      </c>
      <c r="Z23" s="22">
        <f>POSTTAX(Z13,INDEX(Data_Prices!Z:Z,MATCH($G23,Data_Prices!$A:$A,0)),Z$37)</f>
        <v>15</v>
      </c>
      <c r="AA23" s="22">
        <f>POSTTAX(AA13,INDEX(Data_Prices!AA:AA,MATCH($G23,Data_Prices!$A:$A,0)),AA$37)</f>
        <v>15</v>
      </c>
      <c r="AB23" s="22">
        <f>POSTTAX(AB13,INDEX(Data_Prices!AB:AB,MATCH($G23,Data_Prices!$A:$A,0)),AB$37)</f>
        <v>15</v>
      </c>
      <c r="AC23" s="22">
        <f>POSTTAX(AC13,INDEX(Data_Prices!AC:AC,MATCH($G23,Data_Prices!$A:$A,0)),AC$37)</f>
        <v>15</v>
      </c>
      <c r="AD23" s="22">
        <f>POSTTAX(AD13,INDEX(Data_Prices!AD:AD,MATCH($G23,Data_Prices!$A:$A,0)),AD$37)</f>
        <v>15</v>
      </c>
      <c r="AE23" s="22">
        <f>POSTTAX(AE13,INDEX(Data_Prices!AE:AE,MATCH($G23,Data_Prices!$A:$A,0)),AE$37)</f>
        <v>15</v>
      </c>
    </row>
    <row r="24" spans="2:31" x14ac:dyDescent="0.25">
      <c r="B24" s="17" t="s">
        <v>71</v>
      </c>
      <c r="C24" s="17" t="str">
        <f t="shared" si="1"/>
        <v>irn</v>
      </c>
      <c r="D24" s="18" t="s">
        <v>72</v>
      </c>
      <c r="E24" s="19" t="s">
        <v>55</v>
      </c>
      <c r="F24" s="17" t="s">
        <v>77</v>
      </c>
      <c r="G24" s="20" t="str">
        <f>Settings!$B$3&amp;".mit.nce."&amp;Settings!$B$4&amp;"."&amp;$B24&amp;".a."&amp;$J$5</f>
        <v>egy.mit.nce.ind.bio.a.1</v>
      </c>
      <c r="H24" s="21" t="str">
        <f>OUTCODE(Settings!$B$3,"atp",$C$5,$B24,$J$5)</f>
        <v>egy.mit.atp.irn.bio.e.1</v>
      </c>
      <c r="K24" s="22">
        <f>POSTTAX(K14,INDEX(Data_Prices!K:K,MATCH($G24,Data_Prices!$A:$A,0)),K$37)</f>
        <v>15.33455052931693</v>
      </c>
      <c r="L24" s="22">
        <f>POSTTAX(L14,INDEX(Data_Prices!L:L,MATCH($G24,Data_Prices!$A:$A,0)),L$37)</f>
        <v>14.199528390634921</v>
      </c>
      <c r="M24" s="22">
        <f>POSTTAX(M14,INDEX(Data_Prices!M:M,MATCH($G24,Data_Prices!$A:$A,0)),M$37)</f>
        <v>13.840441613315161</v>
      </c>
      <c r="N24" s="22">
        <f>POSTTAX(N14,INDEX(Data_Prices!N:N,MATCH($G24,Data_Prices!$A:$A,0)),N$37)</f>
        <v>13.5677269404465</v>
      </c>
      <c r="O24" s="22">
        <f>POSTTAX(O14,INDEX(Data_Prices!O:O,MATCH($G24,Data_Prices!$A:$A,0)),O$37)</f>
        <v>13.5677269404465</v>
      </c>
      <c r="P24" s="22">
        <f>POSTTAX(P14,INDEX(Data_Prices!P:P,MATCH($G24,Data_Prices!$A:$A,0)),P$37)</f>
        <v>13.5677269404465</v>
      </c>
      <c r="Q24" s="22">
        <f>POSTTAX(Q14,INDEX(Data_Prices!Q:Q,MATCH($G24,Data_Prices!$A:$A,0)),Q$37)</f>
        <v>13.5677269404465</v>
      </c>
      <c r="R24" s="22">
        <f>POSTTAX(R14,INDEX(Data_Prices!R:R,MATCH($G24,Data_Prices!$A:$A,0)),R$37)</f>
        <v>13.5677269404465</v>
      </c>
      <c r="S24" s="22">
        <f>POSTTAX(S14,INDEX(Data_Prices!S:S,MATCH($G24,Data_Prices!$A:$A,0)),S$37)</f>
        <v>13.5677269404465</v>
      </c>
      <c r="T24" s="22">
        <f>POSTTAX(T14,INDEX(Data_Prices!T:T,MATCH($G24,Data_Prices!$A:$A,0)),T$37)</f>
        <v>13.5677269404465</v>
      </c>
      <c r="U24" s="22">
        <f>POSTTAX(U14,INDEX(Data_Prices!U:U,MATCH($G24,Data_Prices!$A:$A,0)),U$37)</f>
        <v>13.5677269404465</v>
      </c>
      <c r="V24" s="22">
        <f>POSTTAX(V14,INDEX(Data_Prices!V:V,MATCH($G24,Data_Prices!$A:$A,0)),V$37)</f>
        <v>13.5677269404465</v>
      </c>
      <c r="W24" s="22">
        <f>POSTTAX(W14,INDEX(Data_Prices!W:W,MATCH($G24,Data_Prices!$A:$A,0)),W$37)</f>
        <v>13.5677269404465</v>
      </c>
      <c r="X24" s="22">
        <f>POSTTAX(X14,INDEX(Data_Prices!X:X,MATCH($G24,Data_Prices!$A:$A,0)),X$37)</f>
        <v>13.5677269404465</v>
      </c>
      <c r="Y24" s="22">
        <f>POSTTAX(Y14,INDEX(Data_Prices!Y:Y,MATCH($G24,Data_Prices!$A:$A,0)),Y$37)</f>
        <v>13.5677269404465</v>
      </c>
      <c r="Z24" s="22">
        <f>POSTTAX(Z14,INDEX(Data_Prices!Z:Z,MATCH($G24,Data_Prices!$A:$A,0)),Z$37)</f>
        <v>13.5677269404465</v>
      </c>
      <c r="AA24" s="22">
        <f>POSTTAX(AA14,INDEX(Data_Prices!AA:AA,MATCH($G24,Data_Prices!$A:$A,0)),AA$37)</f>
        <v>13.5677269404465</v>
      </c>
      <c r="AB24" s="22">
        <f>POSTTAX(AB14,INDEX(Data_Prices!AB:AB,MATCH($G24,Data_Prices!$A:$A,0)),AB$37)</f>
        <v>13.5677269404465</v>
      </c>
      <c r="AC24" s="22">
        <f>POSTTAX(AC14,INDEX(Data_Prices!AC:AC,MATCH($G24,Data_Prices!$A:$A,0)),AC$37)</f>
        <v>13.5677269404465</v>
      </c>
      <c r="AD24" s="22">
        <f>POSTTAX(AD14,INDEX(Data_Prices!AD:AD,MATCH($G24,Data_Prices!$A:$A,0)),AD$37)</f>
        <v>13.5677269404465</v>
      </c>
      <c r="AE24" s="22">
        <f>POSTTAX(AE14,INDEX(Data_Prices!AE:AE,MATCH($G24,Data_Prices!$A:$A,0)),AE$37)</f>
        <v>13.5677269404465</v>
      </c>
    </row>
    <row r="25" spans="2:31" x14ac:dyDescent="0.25">
      <c r="B25" s="17" t="s">
        <v>73</v>
      </c>
      <c r="C25" s="17" t="str">
        <f t="shared" si="1"/>
        <v>irn</v>
      </c>
      <c r="D25" s="18" t="s">
        <v>74</v>
      </c>
      <c r="E25" s="19" t="s">
        <v>75</v>
      </c>
      <c r="F25" s="17" t="s">
        <v>77</v>
      </c>
      <c r="G25" s="20" t="str">
        <f>Settings!$B$3&amp;".mit.nce."&amp;Settings!$B$4&amp;"."&amp;$B25&amp;".a."&amp;$J$5</f>
        <v>egy.mit.nce.ind.ren.a.1</v>
      </c>
      <c r="H25" s="21" t="str">
        <f>OUTCODE(Settings!$B$3,"atp",$C$5,$B25,$J$5)</f>
        <v>egy.mit.atp.irn.ren.e.1</v>
      </c>
      <c r="K25" s="22">
        <f>POSTTAX(K15,INDEX(Data_Prices!K:K,MATCH($G25,Data_Prices!$A:$A,0)),K$37)</f>
        <v>0</v>
      </c>
      <c r="L25" s="22">
        <f>POSTTAX(L15,INDEX(Data_Prices!L:L,MATCH($G25,Data_Prices!$A:$A,0)),L$37)</f>
        <v>0.14404498679319799</v>
      </c>
      <c r="M25" s="22">
        <f>POSTTAX(M15,INDEX(Data_Prices!M:M,MATCH($G25,Data_Prices!$A:$A,0)),M$37)</f>
        <v>0.14102040965700391</v>
      </c>
      <c r="N25" s="22">
        <f>POSTTAX(N15,INDEX(Data_Prices!N:N,MATCH($G25,Data_Prices!$A:$A,0)),N$37)</f>
        <v>0.13511635959447599</v>
      </c>
      <c r="O25" s="22">
        <f>POSTTAX(O15,INDEX(Data_Prices!O:O,MATCH($G25,Data_Prices!$A:$A,0)),O$37)</f>
        <v>0.13098825698585639</v>
      </c>
      <c r="P25" s="22">
        <f>POSTTAX(P15,INDEX(Data_Prices!P:P,MATCH($G25,Data_Prices!$A:$A,0)),P$37)</f>
        <v>0.12790841608631831</v>
      </c>
      <c r="Q25" s="22">
        <f>POSTTAX(Q15,INDEX(Data_Prices!Q:Q,MATCH($G25,Data_Prices!$A:$A,0)),Q$37)</f>
        <v>0.124814310557813</v>
      </c>
      <c r="R25" s="22">
        <f>POSTTAX(R15,INDEX(Data_Prices!R:R,MATCH($G25,Data_Prices!$A:$A,0)),R$37)</f>
        <v>0.1214602571228779</v>
      </c>
      <c r="S25" s="22">
        <f>POSTTAX(S15,INDEX(Data_Prices!S:S,MATCH($G25,Data_Prices!$A:$A,0)),S$37)</f>
        <v>0.1179507441357863</v>
      </c>
      <c r="T25" s="22">
        <f>POSTTAX(T15,INDEX(Data_Prices!T:T,MATCH($G25,Data_Prices!$A:$A,0)),T$37)</f>
        <v>0.1141991610445974</v>
      </c>
      <c r="U25" s="22">
        <f>POSTTAX(U15,INDEX(Data_Prices!U:U,MATCH($G25,Data_Prices!$A:$A,0)),U$37)</f>
        <v>0.1136651000596645</v>
      </c>
      <c r="V25" s="22">
        <f>POSTTAX(V15,INDEX(Data_Prices!V:V,MATCH($G25,Data_Prices!$A:$A,0)),V$37)</f>
        <v>0.1130169296259568</v>
      </c>
      <c r="W25" s="22">
        <f>POSTTAX(W15,INDEX(Data_Prices!W:W,MATCH($G25,Data_Prices!$A:$A,0)),W$37)</f>
        <v>0.112314070507636</v>
      </c>
      <c r="X25" s="22">
        <f>POSTTAX(X15,INDEX(Data_Prices!X:X,MATCH($G25,Data_Prices!$A:$A,0)),X$37)</f>
        <v>0.1114220427328433</v>
      </c>
      <c r="Y25" s="22">
        <f>POSTTAX(Y15,INDEX(Data_Prices!Y:Y,MATCH($G25,Data_Prices!$A:$A,0)),Y$37)</f>
        <v>0.1104341236758091</v>
      </c>
      <c r="Z25" s="22">
        <f>POSTTAX(Z15,INDEX(Data_Prices!Z:Z,MATCH($G25,Data_Prices!$A:$A,0)),Z$37)</f>
        <v>0.10948397330447129</v>
      </c>
      <c r="AA25" s="22">
        <f>POSTTAX(AA15,INDEX(Data_Prices!AA:AA,MATCH($G25,Data_Prices!$A:$A,0)),AA$37)</f>
        <v>0.1083919210529401</v>
      </c>
      <c r="AB25" s="22">
        <f>POSTTAX(AB15,INDEX(Data_Prices!AB:AB,MATCH($G25,Data_Prices!$A:$A,0)),AB$37)</f>
        <v>0.1073544336267039</v>
      </c>
      <c r="AC25" s="22">
        <f>POSTTAX(AC15,INDEX(Data_Prices!AC:AC,MATCH($G25,Data_Prices!$A:$A,0)),AC$37)</f>
        <v>0.10516867544166079</v>
      </c>
      <c r="AD25" s="22">
        <f>POSTTAX(AD15,INDEX(Data_Prices!AD:AD,MATCH($G25,Data_Prices!$A:$A,0)),AD$37)</f>
        <v>0.1030579832560081</v>
      </c>
      <c r="AE25" s="22">
        <f>POSTTAX(AE15,INDEX(Data_Prices!AE:AE,MATCH($G25,Data_Prices!$A:$A,0)),AE$37)</f>
        <v>0.1009318389901144</v>
      </c>
    </row>
    <row r="26" spans="2:31" x14ac:dyDescent="0.25">
      <c r="B26" s="16" t="s">
        <v>78</v>
      </c>
    </row>
    <row r="27" spans="2:31" x14ac:dyDescent="0.25">
      <c r="B27" s="17" t="s">
        <v>53</v>
      </c>
      <c r="C27" s="17" t="str">
        <f t="shared" ref="C27:C35" si="2">$C$5</f>
        <v>irn</v>
      </c>
      <c r="D27" s="18" t="s">
        <v>54</v>
      </c>
      <c r="E27" s="19" t="s">
        <v>55</v>
      </c>
      <c r="F27" s="17" t="s">
        <v>79</v>
      </c>
      <c r="G27" s="20" t="str">
        <f>Settings!$B$3&amp;".mit.shp."&amp;$B27&amp;"."&amp;Settings!$B$4&amp;"."&amp;$J$5</f>
        <v>egy.mit.shp.coa.ind.1</v>
      </c>
      <c r="H27" s="21" t="str">
        <f>OUTCODE(Settings!$B$3,"shp",$C$5,$B27,$J$5)</f>
        <v>egy.mit.shp.irn.coa.e.1</v>
      </c>
      <c r="K27" s="23">
        <f>SHADOW(K17,INDEX(Data_Prices!K:K,MATCH($G27,Data_Prices!$A:$A,0)),K$38)</f>
        <v>11.18290158924394</v>
      </c>
      <c r="L27" s="23">
        <f>SHADOW(L17,INDEX(Data_Prices!L:L,MATCH($G27,Data_Prices!$A:$A,0)),L$38)</f>
        <v>10.52336134543121</v>
      </c>
      <c r="M27" s="23">
        <f>SHADOW(M17,INDEX(Data_Prices!M:M,MATCH($G27,Data_Prices!$A:$A,0)),M$38)</f>
        <v>10.299560827444211</v>
      </c>
      <c r="N27" s="23">
        <f>SHADOW(N17,INDEX(Data_Prices!N:N,MATCH($G27,Data_Prices!$A:$A,0)),N$38)</f>
        <v>9.5775283595382632</v>
      </c>
      <c r="O27" s="23">
        <f>SHADOW(O17,INDEX(Data_Prices!O:O,MATCH($G27,Data_Prices!$A:$A,0)),O$38)</f>
        <v>8.4854782869580454</v>
      </c>
      <c r="P27" s="23">
        <f>SHADOW(P17,INDEX(Data_Prices!P:P,MATCH($G27,Data_Prices!$A:$A,0)),P$38)</f>
        <v>9.0871922352498604</v>
      </c>
      <c r="Q27" s="23">
        <f>SHADOW(Q17,INDEX(Data_Prices!Q:Q,MATCH($G27,Data_Prices!$A:$A,0)),Q$38)</f>
        <v>9.2229237289326811</v>
      </c>
      <c r="R27" s="23">
        <f>SHADOW(R17,INDEX(Data_Prices!R:R,MATCH($G27,Data_Prices!$A:$A,0)),R$38)</f>
        <v>9.1585649555096875</v>
      </c>
      <c r="S27" s="23">
        <f>SHADOW(S17,INDEX(Data_Prices!S:S,MATCH($G27,Data_Prices!$A:$A,0)),S$38)</f>
        <v>9.0895478773973775</v>
      </c>
      <c r="T27" s="23">
        <f>SHADOW(T17,INDEX(Data_Prices!T:T,MATCH($G27,Data_Prices!$A:$A,0)),T$38)</f>
        <v>9.0156816660228305</v>
      </c>
      <c r="U27" s="23">
        <f>SHADOW(U17,INDEX(Data_Prices!U:U,MATCH($G27,Data_Prices!$A:$A,0)),U$38)</f>
        <v>8.9443977655571061</v>
      </c>
      <c r="V27" s="23">
        <f>SHADOW(V17,INDEX(Data_Prices!V:V,MATCH($G27,Data_Prices!$A:$A,0)),V$38)</f>
        <v>8.9443977655571061</v>
      </c>
      <c r="W27" s="23">
        <f>SHADOW(W17,INDEX(Data_Prices!W:W,MATCH($G27,Data_Prices!$A:$A,0)),W$38)</f>
        <v>8.9443977655571061</v>
      </c>
      <c r="X27" s="23">
        <f>SHADOW(X17,INDEX(Data_Prices!X:X,MATCH($G27,Data_Prices!$A:$A,0)),X$38)</f>
        <v>8.9443977655571061</v>
      </c>
      <c r="Y27" s="23">
        <f>SHADOW(Y17,INDEX(Data_Prices!Y:Y,MATCH($G27,Data_Prices!$A:$A,0)),Y$38)</f>
        <v>8.9443977655571061</v>
      </c>
      <c r="Z27" s="23">
        <f>SHADOW(Z17,INDEX(Data_Prices!Z:Z,MATCH($G27,Data_Prices!$A:$A,0)),Z$38)</f>
        <v>8.9443977655571061</v>
      </c>
      <c r="AA27" s="23">
        <f>SHADOW(AA17,INDEX(Data_Prices!AA:AA,MATCH($G27,Data_Prices!$A:$A,0)),AA$38)</f>
        <v>8.9443977655571061</v>
      </c>
      <c r="AB27" s="23">
        <f>SHADOW(AB17,INDEX(Data_Prices!AB:AB,MATCH($G27,Data_Prices!$A:$A,0)),AB$38)</f>
        <v>8.9443977655571061</v>
      </c>
      <c r="AC27" s="23">
        <f>SHADOW(AC17,INDEX(Data_Prices!AC:AC,MATCH($G27,Data_Prices!$A:$A,0)),AC$38)</f>
        <v>8.9443977655571061</v>
      </c>
      <c r="AD27" s="23">
        <f>SHADOW(AD17,INDEX(Data_Prices!AD:AD,MATCH($G27,Data_Prices!$A:$A,0)),AD$38)</f>
        <v>8.9443977655571061</v>
      </c>
      <c r="AE27" s="23">
        <f>SHADOW(AE17,INDEX(Data_Prices!AE:AE,MATCH($G27,Data_Prices!$A:$A,0)),AE$38)</f>
        <v>8.9443977655571061</v>
      </c>
    </row>
    <row r="28" spans="2:31" x14ac:dyDescent="0.25">
      <c r="B28" s="17" t="s">
        <v>57</v>
      </c>
      <c r="C28" s="17" t="str">
        <f t="shared" si="2"/>
        <v>irn</v>
      </c>
      <c r="D28" s="18" t="s">
        <v>58</v>
      </c>
      <c r="E28" s="19" t="s">
        <v>55</v>
      </c>
      <c r="F28" s="17" t="s">
        <v>79</v>
      </c>
      <c r="G28" s="20" t="str">
        <f>Settings!$B$3&amp;".mit.shp."&amp;$B28&amp;"."&amp;Settings!$B$4&amp;"."&amp;$J$5</f>
        <v>egy.mit.shp.nga.ind.1</v>
      </c>
      <c r="H28" s="21" t="str">
        <f>OUTCODE(Settings!$B$3,"shp",$C$5,$B28,$J$5)</f>
        <v>egy.mit.shp.irn.nga.e.1</v>
      </c>
      <c r="K28" s="23">
        <f>SHADOW(K18,INDEX(Data_Prices!K:K,MATCH($G28,Data_Prices!$A:$A,0)),K$38)</f>
        <v>6.0634636156729131</v>
      </c>
      <c r="L28" s="23">
        <f>SHADOW(L18,INDEX(Data_Prices!L:L,MATCH($G28,Data_Prices!$A:$A,0)),L$38)</f>
        <v>5.4510150816191896</v>
      </c>
      <c r="M28" s="23">
        <f>SHADOW(M18,INDEX(Data_Prices!M:M,MATCH($G28,Data_Prices!$A:$A,0)),M$38)</f>
        <v>5.1193563062624818</v>
      </c>
      <c r="N28" s="23">
        <f>SHADOW(N18,INDEX(Data_Prices!N:N,MATCH($G28,Data_Prices!$A:$A,0)),N$38)</f>
        <v>5.0821845864040727</v>
      </c>
      <c r="O28" s="23">
        <f>SHADOW(O18,INDEX(Data_Prices!O:O,MATCH($G28,Data_Prices!$A:$A,0)),O$38)</f>
        <v>5.0821845864040727</v>
      </c>
      <c r="P28" s="23">
        <f>SHADOW(P18,INDEX(Data_Prices!P:P,MATCH($G28,Data_Prices!$A:$A,0)),P$38)</f>
        <v>5.0821845864040727</v>
      </c>
      <c r="Q28" s="23">
        <f>SHADOW(Q18,INDEX(Data_Prices!Q:Q,MATCH($G28,Data_Prices!$A:$A,0)),Q$38)</f>
        <v>5.0821845864040727</v>
      </c>
      <c r="R28" s="23">
        <f>SHADOW(R18,INDEX(Data_Prices!R:R,MATCH($G28,Data_Prices!$A:$A,0)),R$38)</f>
        <v>5.0821845864040727</v>
      </c>
      <c r="S28" s="23">
        <f>SHADOW(S18,INDEX(Data_Prices!S:S,MATCH($G28,Data_Prices!$A:$A,0)),S$38)</f>
        <v>5.0821845864040727</v>
      </c>
      <c r="T28" s="23">
        <f>SHADOW(T18,INDEX(Data_Prices!T:T,MATCH($G28,Data_Prices!$A:$A,0)),T$38)</f>
        <v>5.0821845864040727</v>
      </c>
      <c r="U28" s="23">
        <f>SHADOW(U18,INDEX(Data_Prices!U:U,MATCH($G28,Data_Prices!$A:$A,0)),U$38)</f>
        <v>5.0821845864040727</v>
      </c>
      <c r="V28" s="23">
        <f>SHADOW(V18,INDEX(Data_Prices!V:V,MATCH($G28,Data_Prices!$A:$A,0)),V$38)</f>
        <v>5.0821845864040727</v>
      </c>
      <c r="W28" s="23">
        <f>SHADOW(W18,INDEX(Data_Prices!W:W,MATCH($G28,Data_Prices!$A:$A,0)),W$38)</f>
        <v>5.0821845864040727</v>
      </c>
      <c r="X28" s="23">
        <f>SHADOW(X18,INDEX(Data_Prices!X:X,MATCH($G28,Data_Prices!$A:$A,0)),X$38)</f>
        <v>5.0821845864040727</v>
      </c>
      <c r="Y28" s="23">
        <f>SHADOW(Y18,INDEX(Data_Prices!Y:Y,MATCH($G28,Data_Prices!$A:$A,0)),Y$38)</f>
        <v>5.0821845864040727</v>
      </c>
      <c r="Z28" s="23">
        <f>SHADOW(Z18,INDEX(Data_Prices!Z:Z,MATCH($G28,Data_Prices!$A:$A,0)),Z$38)</f>
        <v>5.0821845864040727</v>
      </c>
      <c r="AA28" s="23">
        <f>SHADOW(AA18,INDEX(Data_Prices!AA:AA,MATCH($G28,Data_Prices!$A:$A,0)),AA$38)</f>
        <v>5.0821845864040727</v>
      </c>
      <c r="AB28" s="23">
        <f>SHADOW(AB18,INDEX(Data_Prices!AB:AB,MATCH($G28,Data_Prices!$A:$A,0)),AB$38)</f>
        <v>5.0821845864040727</v>
      </c>
      <c r="AC28" s="23">
        <f>SHADOW(AC18,INDEX(Data_Prices!AC:AC,MATCH($G28,Data_Prices!$A:$A,0)),AC$38)</f>
        <v>5.0821845864040727</v>
      </c>
      <c r="AD28" s="23">
        <f>SHADOW(AD18,INDEX(Data_Prices!AD:AD,MATCH($G28,Data_Prices!$A:$A,0)),AD$38)</f>
        <v>5.0821845864040727</v>
      </c>
      <c r="AE28" s="23">
        <f>SHADOW(AE18,INDEX(Data_Prices!AE:AE,MATCH($G28,Data_Prices!$A:$A,0)),AE$38)</f>
        <v>5.0821845864040727</v>
      </c>
    </row>
    <row r="29" spans="2:31" x14ac:dyDescent="0.25">
      <c r="B29" s="17" t="s">
        <v>59</v>
      </c>
      <c r="C29" s="17" t="str">
        <f t="shared" si="2"/>
        <v>irn</v>
      </c>
      <c r="D29" s="18" t="s">
        <v>60</v>
      </c>
      <c r="E29" s="19" t="s">
        <v>61</v>
      </c>
      <c r="F29" s="17" t="s">
        <v>79</v>
      </c>
      <c r="G29" s="20" t="str">
        <f>Settings!$B$3&amp;".mit.shp."&amp;$B29&amp;"."&amp;Settings!$B$4&amp;"."&amp;$J$5</f>
        <v>egy.mit.shp.gso.ind.1</v>
      </c>
      <c r="H29" s="21" t="str">
        <f>OUTCODE(Settings!$B$3,"shp",$C$5,$B29,$J$5)</f>
        <v>egy.mit.shp.irn.gso.e.1</v>
      </c>
      <c r="K29" s="23">
        <f>SHADOW(K19,INDEX(Data_Prices!K:K,MATCH($G29,Data_Prices!$A:$A,0)),K$38)</f>
        <v>0.67114653332181606</v>
      </c>
      <c r="L29" s="23">
        <f>SHADOW(L19,INDEX(Data_Prices!L:L,MATCH($G29,Data_Prices!$A:$A,0)),L$38)</f>
        <v>0.61197797679140631</v>
      </c>
      <c r="M29" s="23">
        <f>SHADOW(M19,INDEX(Data_Prices!M:M,MATCH($G29,Data_Prices!$A:$A,0)),M$38)</f>
        <v>0.61180974964187596</v>
      </c>
      <c r="N29" s="23">
        <f>SHADOW(N19,INDEX(Data_Prices!N:N,MATCH($G29,Data_Prices!$A:$A,0)),N$38)</f>
        <v>0.60358310017790551</v>
      </c>
      <c r="O29" s="23">
        <f>SHADOW(O19,INDEX(Data_Prices!O:O,MATCH($G29,Data_Prices!$A:$A,0)),O$38)</f>
        <v>0.60358310017790551</v>
      </c>
      <c r="P29" s="23">
        <f>SHADOW(P19,INDEX(Data_Prices!P:P,MATCH($G29,Data_Prices!$A:$A,0)),P$38)</f>
        <v>0.60358310017790551</v>
      </c>
      <c r="Q29" s="23">
        <f>SHADOW(Q19,INDEX(Data_Prices!Q:Q,MATCH($G29,Data_Prices!$A:$A,0)),Q$38)</f>
        <v>0.60358310017790551</v>
      </c>
      <c r="R29" s="23">
        <f>SHADOW(R19,INDEX(Data_Prices!R:R,MATCH($G29,Data_Prices!$A:$A,0)),R$38)</f>
        <v>0.60358310017790551</v>
      </c>
      <c r="S29" s="23">
        <f>SHADOW(S19,INDEX(Data_Prices!S:S,MATCH($G29,Data_Prices!$A:$A,0)),S$38)</f>
        <v>0.60358310017790551</v>
      </c>
      <c r="T29" s="23">
        <f>SHADOW(T19,INDEX(Data_Prices!T:T,MATCH($G29,Data_Prices!$A:$A,0)),T$38)</f>
        <v>0.60358310017790551</v>
      </c>
      <c r="U29" s="23">
        <f>SHADOW(U19,INDEX(Data_Prices!U:U,MATCH($G29,Data_Prices!$A:$A,0)),U$38)</f>
        <v>0.60358310017790551</v>
      </c>
      <c r="V29" s="23">
        <f>SHADOW(V19,INDEX(Data_Prices!V:V,MATCH($G29,Data_Prices!$A:$A,0)),V$38)</f>
        <v>0.60358310017790551</v>
      </c>
      <c r="W29" s="23">
        <f>SHADOW(W19,INDEX(Data_Prices!W:W,MATCH($G29,Data_Prices!$A:$A,0)),W$38)</f>
        <v>0.60358310017790551</v>
      </c>
      <c r="X29" s="23">
        <f>SHADOW(X19,INDEX(Data_Prices!X:X,MATCH($G29,Data_Prices!$A:$A,0)),X$38)</f>
        <v>0.60358310017790551</v>
      </c>
      <c r="Y29" s="23">
        <f>SHADOW(Y19,INDEX(Data_Prices!Y:Y,MATCH($G29,Data_Prices!$A:$A,0)),Y$38)</f>
        <v>0.60358310017790551</v>
      </c>
      <c r="Z29" s="23">
        <f>SHADOW(Z19,INDEX(Data_Prices!Z:Z,MATCH($G29,Data_Prices!$A:$A,0)),Z$38)</f>
        <v>0.60358310017790551</v>
      </c>
      <c r="AA29" s="23">
        <f>SHADOW(AA19,INDEX(Data_Prices!AA:AA,MATCH($G29,Data_Prices!$A:$A,0)),AA$38)</f>
        <v>0.60358310017790551</v>
      </c>
      <c r="AB29" s="23">
        <f>SHADOW(AB19,INDEX(Data_Prices!AB:AB,MATCH($G29,Data_Prices!$A:$A,0)),AB$38)</f>
        <v>0.60358310017790551</v>
      </c>
      <c r="AC29" s="23">
        <f>SHADOW(AC19,INDEX(Data_Prices!AC:AC,MATCH($G29,Data_Prices!$A:$A,0)),AC$38)</f>
        <v>0.60358310017790551</v>
      </c>
      <c r="AD29" s="23">
        <f>SHADOW(AD19,INDEX(Data_Prices!AD:AD,MATCH($G29,Data_Prices!$A:$A,0)),AD$38)</f>
        <v>0.60358310017790551</v>
      </c>
      <c r="AE29" s="23">
        <f>SHADOW(AE19,INDEX(Data_Prices!AE:AE,MATCH($G29,Data_Prices!$A:$A,0)),AE$38)</f>
        <v>0.60358310017790551</v>
      </c>
    </row>
    <row r="30" spans="2:31" x14ac:dyDescent="0.25">
      <c r="B30" s="17" t="s">
        <v>62</v>
      </c>
      <c r="C30" s="17" t="str">
        <f t="shared" si="2"/>
        <v>irn</v>
      </c>
      <c r="D30" s="18" t="s">
        <v>63</v>
      </c>
      <c r="E30" s="19" t="s">
        <v>61</v>
      </c>
      <c r="F30" s="17" t="s">
        <v>79</v>
      </c>
      <c r="G30" s="20" t="str">
        <f>Settings!$B$3&amp;".mit.shp."&amp;$B30&amp;"."&amp;Settings!$B$4&amp;"."&amp;$J$5</f>
        <v>egy.mit.shp.die.ind.1</v>
      </c>
      <c r="H30" s="21" t="str">
        <f>OUTCODE(Settings!$B$3,"shp",$C$5,$B30,$J$5)</f>
        <v>egy.mit.shp.irn.die.e.1</v>
      </c>
      <c r="K30" s="23">
        <f>SHADOW(K20,INDEX(Data_Prices!K:K,MATCH($G30,Data_Prices!$A:$A,0)),K$38)</f>
        <v>0.55971121315568761</v>
      </c>
      <c r="L30" s="23">
        <f>SHADOW(L20,INDEX(Data_Prices!L:L,MATCH($G30,Data_Prices!$A:$A,0)),L$38)</f>
        <v>0.49458873084106802</v>
      </c>
      <c r="M30" s="23">
        <f>SHADOW(M20,INDEX(Data_Prices!M:M,MATCH($G30,Data_Prices!$A:$A,0)),M$38)</f>
        <v>0.50778654720250049</v>
      </c>
      <c r="N30" s="23">
        <f>SHADOW(N20,INDEX(Data_Prices!N:N,MATCH($G30,Data_Prices!$A:$A,0)),N$38)</f>
        <v>0.47043642679561742</v>
      </c>
      <c r="O30" s="23">
        <f>SHADOW(O20,INDEX(Data_Prices!O:O,MATCH($G30,Data_Prices!$A:$A,0)),O$38)</f>
        <v>0.47043642679561742</v>
      </c>
      <c r="P30" s="23">
        <f>SHADOW(P20,INDEX(Data_Prices!P:P,MATCH($G30,Data_Prices!$A:$A,0)),P$38)</f>
        <v>0.47043642679561742</v>
      </c>
      <c r="Q30" s="23">
        <f>SHADOW(Q20,INDEX(Data_Prices!Q:Q,MATCH($G30,Data_Prices!$A:$A,0)),Q$38)</f>
        <v>0.47043642679561742</v>
      </c>
      <c r="R30" s="23">
        <f>SHADOW(R20,INDEX(Data_Prices!R:R,MATCH($G30,Data_Prices!$A:$A,0)),R$38)</f>
        <v>0.47043642679561742</v>
      </c>
      <c r="S30" s="23">
        <f>SHADOW(S20,INDEX(Data_Prices!S:S,MATCH($G30,Data_Prices!$A:$A,0)),S$38)</f>
        <v>0.47043642679561742</v>
      </c>
      <c r="T30" s="23">
        <f>SHADOW(T20,INDEX(Data_Prices!T:T,MATCH($G30,Data_Prices!$A:$A,0)),T$38)</f>
        <v>0.47043642679561742</v>
      </c>
      <c r="U30" s="23">
        <f>SHADOW(U20,INDEX(Data_Prices!U:U,MATCH($G30,Data_Prices!$A:$A,0)),U$38)</f>
        <v>0.47043642679561742</v>
      </c>
      <c r="V30" s="23">
        <f>SHADOW(V20,INDEX(Data_Prices!V:V,MATCH($G30,Data_Prices!$A:$A,0)),V$38)</f>
        <v>0.47043642679561742</v>
      </c>
      <c r="W30" s="23">
        <f>SHADOW(W20,INDEX(Data_Prices!W:W,MATCH($G30,Data_Prices!$A:$A,0)),W$38)</f>
        <v>0.47043642679561742</v>
      </c>
      <c r="X30" s="23">
        <f>SHADOW(X20,INDEX(Data_Prices!X:X,MATCH($G30,Data_Prices!$A:$A,0)),X$38)</f>
        <v>0.47043642679561742</v>
      </c>
      <c r="Y30" s="23">
        <f>SHADOW(Y20,INDEX(Data_Prices!Y:Y,MATCH($G30,Data_Prices!$A:$A,0)),Y$38)</f>
        <v>0.47043642679561742</v>
      </c>
      <c r="Z30" s="23">
        <f>SHADOW(Z20,INDEX(Data_Prices!Z:Z,MATCH($G30,Data_Prices!$A:$A,0)),Z$38)</f>
        <v>0.47043642679561742</v>
      </c>
      <c r="AA30" s="23">
        <f>SHADOW(AA20,INDEX(Data_Prices!AA:AA,MATCH($G30,Data_Prices!$A:$A,0)),AA$38)</f>
        <v>0.47043642679561742</v>
      </c>
      <c r="AB30" s="23">
        <f>SHADOW(AB20,INDEX(Data_Prices!AB:AB,MATCH($G30,Data_Prices!$A:$A,0)),AB$38)</f>
        <v>0.47043642679561742</v>
      </c>
      <c r="AC30" s="23">
        <f>SHADOW(AC20,INDEX(Data_Prices!AC:AC,MATCH($G30,Data_Prices!$A:$A,0)),AC$38)</f>
        <v>0.47043642679561742</v>
      </c>
      <c r="AD30" s="23">
        <f>SHADOW(AD20,INDEX(Data_Prices!AD:AD,MATCH($G30,Data_Prices!$A:$A,0)),AD$38)</f>
        <v>0.47043642679561742</v>
      </c>
      <c r="AE30" s="23">
        <f>SHADOW(AE20,INDEX(Data_Prices!AE:AE,MATCH($G30,Data_Prices!$A:$A,0)),AE$38)</f>
        <v>0.47043642679561742</v>
      </c>
    </row>
    <row r="31" spans="2:31" x14ac:dyDescent="0.25">
      <c r="B31" s="17" t="s">
        <v>64</v>
      </c>
      <c r="C31" s="17" t="str">
        <f t="shared" si="2"/>
        <v>irn</v>
      </c>
      <c r="D31" s="18" t="s">
        <v>65</v>
      </c>
      <c r="E31" s="19" t="s">
        <v>61</v>
      </c>
      <c r="F31" s="17" t="s">
        <v>79</v>
      </c>
      <c r="G31" s="20" t="str">
        <f>Settings!$B$3&amp;".mit.shp."&amp;$B31&amp;"."&amp;Settings!$B$4&amp;"."&amp;$J$5</f>
        <v>egy.mit.shp.lpg.ind.1</v>
      </c>
      <c r="H31" s="21" t="str">
        <f>OUTCODE(Settings!$B$3,"shp",$C$5,$B31,$J$5)</f>
        <v>egy.mit.shp.irn.lpg.e.1</v>
      </c>
      <c r="K31" s="23">
        <f>SHADOW(K21,INDEX(Data_Prices!K:K,MATCH($G31,Data_Prices!$A:$A,0)),K$38)</f>
        <v>0.20036669112673841</v>
      </c>
      <c r="L31" s="23">
        <f>SHADOW(L21,INDEX(Data_Prices!L:L,MATCH($G31,Data_Prices!$A:$A,0)),L$38)</f>
        <v>0.1573447362522738</v>
      </c>
      <c r="M31" s="23">
        <f>SHADOW(M21,INDEX(Data_Prices!M:M,MATCH($G31,Data_Prices!$A:$A,0)),M$38)</f>
        <v>0.1644840377592767</v>
      </c>
      <c r="N31" s="23">
        <f>SHADOW(N21,INDEX(Data_Prices!N:N,MATCH($G31,Data_Prices!$A:$A,0)),N$38)</f>
        <v>0.1507090778070489</v>
      </c>
      <c r="O31" s="23">
        <f>SHADOW(O21,INDEX(Data_Prices!O:O,MATCH($G31,Data_Prices!$A:$A,0)),O$38)</f>
        <v>0.1507090778070489</v>
      </c>
      <c r="P31" s="23">
        <f>SHADOW(P21,INDEX(Data_Prices!P:P,MATCH($G31,Data_Prices!$A:$A,0)),P$38)</f>
        <v>0.1507090778070489</v>
      </c>
      <c r="Q31" s="23">
        <f>SHADOW(Q21,INDEX(Data_Prices!Q:Q,MATCH($G31,Data_Prices!$A:$A,0)),Q$38)</f>
        <v>0.1507090778070489</v>
      </c>
      <c r="R31" s="23">
        <f>SHADOW(R21,INDEX(Data_Prices!R:R,MATCH($G31,Data_Prices!$A:$A,0)),R$38)</f>
        <v>0.1507090778070489</v>
      </c>
      <c r="S31" s="23">
        <f>SHADOW(S21,INDEX(Data_Prices!S:S,MATCH($G31,Data_Prices!$A:$A,0)),S$38)</f>
        <v>0.1507090778070489</v>
      </c>
      <c r="T31" s="23">
        <f>SHADOW(T21,INDEX(Data_Prices!T:T,MATCH($G31,Data_Prices!$A:$A,0)),T$38)</f>
        <v>0.1507090778070489</v>
      </c>
      <c r="U31" s="23">
        <f>SHADOW(U21,INDEX(Data_Prices!U:U,MATCH($G31,Data_Prices!$A:$A,0)),U$38)</f>
        <v>0.1507090778070489</v>
      </c>
      <c r="V31" s="23">
        <f>SHADOW(V21,INDEX(Data_Prices!V:V,MATCH($G31,Data_Prices!$A:$A,0)),V$38)</f>
        <v>0.1507090778070489</v>
      </c>
      <c r="W31" s="23">
        <f>SHADOW(W21,INDEX(Data_Prices!W:W,MATCH($G31,Data_Prices!$A:$A,0)),W$38)</f>
        <v>0.1507090778070489</v>
      </c>
      <c r="X31" s="23">
        <f>SHADOW(X21,INDEX(Data_Prices!X:X,MATCH($G31,Data_Prices!$A:$A,0)),X$38)</f>
        <v>0.1507090778070489</v>
      </c>
      <c r="Y31" s="23">
        <f>SHADOW(Y21,INDEX(Data_Prices!Y:Y,MATCH($G31,Data_Prices!$A:$A,0)),Y$38)</f>
        <v>0.1507090778070489</v>
      </c>
      <c r="Z31" s="23">
        <f>SHADOW(Z21,INDEX(Data_Prices!Z:Z,MATCH($G31,Data_Prices!$A:$A,0)),Z$38)</f>
        <v>0.1507090778070489</v>
      </c>
      <c r="AA31" s="23">
        <f>SHADOW(AA21,INDEX(Data_Prices!AA:AA,MATCH($G31,Data_Prices!$A:$A,0)),AA$38)</f>
        <v>0.1507090778070489</v>
      </c>
      <c r="AB31" s="23">
        <f>SHADOW(AB21,INDEX(Data_Prices!AB:AB,MATCH($G31,Data_Prices!$A:$A,0)),AB$38)</f>
        <v>0.1507090778070489</v>
      </c>
      <c r="AC31" s="23">
        <f>SHADOW(AC21,INDEX(Data_Prices!AC:AC,MATCH($G31,Data_Prices!$A:$A,0)),AC$38)</f>
        <v>0.1507090778070489</v>
      </c>
      <c r="AD31" s="23">
        <f>SHADOW(AD21,INDEX(Data_Prices!AD:AD,MATCH($G31,Data_Prices!$A:$A,0)),AD$38)</f>
        <v>0.1507090778070489</v>
      </c>
      <c r="AE31" s="23">
        <f>SHADOW(AE21,INDEX(Data_Prices!AE:AE,MATCH($G31,Data_Prices!$A:$A,0)),AE$38)</f>
        <v>0.1507090778070489</v>
      </c>
    </row>
    <row r="32" spans="2:31" x14ac:dyDescent="0.25">
      <c r="B32" s="17" t="s">
        <v>66</v>
      </c>
      <c r="C32" s="17" t="str">
        <f t="shared" si="2"/>
        <v>irn</v>
      </c>
      <c r="D32" s="18" t="s">
        <v>67</v>
      </c>
      <c r="E32" s="19" t="s">
        <v>61</v>
      </c>
      <c r="F32" s="17" t="s">
        <v>79</v>
      </c>
      <c r="G32" s="20" t="str">
        <f>Settings!$B$3&amp;".mit.shp."&amp;$B32&amp;"."&amp;Settings!$B$4&amp;"."&amp;$J$5</f>
        <v>egy.mit.shp.ker.ind.1</v>
      </c>
      <c r="H32" s="21" t="str">
        <f>OUTCODE(Settings!$B$3,"shp",$C$5,$B32,$J$5)</f>
        <v>egy.mit.shp.irn.ker.e.1</v>
      </c>
      <c r="K32" s="23">
        <f>SHADOW(K22,INDEX(Data_Prices!K:K,MATCH($G32,Data_Prices!$A:$A,0)),K$38)</f>
        <v>0.48429424097343482</v>
      </c>
      <c r="L32" s="23">
        <f>SHADOW(L22,INDEX(Data_Prices!L:L,MATCH($G32,Data_Prices!$A:$A,0)),L$38)</f>
        <v>0.45642817050012813</v>
      </c>
      <c r="M32" s="23">
        <f>SHADOW(M22,INDEX(Data_Prices!M:M,MATCH($G32,Data_Prices!$A:$A,0)),M$38)</f>
        <v>0.43168920195599519</v>
      </c>
      <c r="N32" s="23">
        <f>SHADOW(N22,INDEX(Data_Prices!N:N,MATCH($G32,Data_Prices!$A:$A,0)),N$38)</f>
        <v>0.42507558395596989</v>
      </c>
      <c r="O32" s="23">
        <f>SHADOW(O22,INDEX(Data_Prices!O:O,MATCH($G32,Data_Prices!$A:$A,0)),O$38)</f>
        <v>0.42507558395596989</v>
      </c>
      <c r="P32" s="23">
        <f>SHADOW(P22,INDEX(Data_Prices!P:P,MATCH($G32,Data_Prices!$A:$A,0)),P$38)</f>
        <v>0.42507558395596989</v>
      </c>
      <c r="Q32" s="23">
        <f>SHADOW(Q22,INDEX(Data_Prices!Q:Q,MATCH($G32,Data_Prices!$A:$A,0)),Q$38)</f>
        <v>0.42507558395596989</v>
      </c>
      <c r="R32" s="23">
        <f>SHADOW(R22,INDEX(Data_Prices!R:R,MATCH($G32,Data_Prices!$A:$A,0)),R$38)</f>
        <v>0.42507558395596989</v>
      </c>
      <c r="S32" s="23">
        <f>SHADOW(S22,INDEX(Data_Prices!S:S,MATCH($G32,Data_Prices!$A:$A,0)),S$38)</f>
        <v>0.42507558395596989</v>
      </c>
      <c r="T32" s="23">
        <f>SHADOW(T22,INDEX(Data_Prices!T:T,MATCH($G32,Data_Prices!$A:$A,0)),T$38)</f>
        <v>0.42507558395596989</v>
      </c>
      <c r="U32" s="23">
        <f>SHADOW(U22,INDEX(Data_Prices!U:U,MATCH($G32,Data_Prices!$A:$A,0)),U$38)</f>
        <v>0.42507558395596989</v>
      </c>
      <c r="V32" s="23">
        <f>SHADOW(V22,INDEX(Data_Prices!V:V,MATCH($G32,Data_Prices!$A:$A,0)),V$38)</f>
        <v>0.42507558395596989</v>
      </c>
      <c r="W32" s="23">
        <f>SHADOW(W22,INDEX(Data_Prices!W:W,MATCH($G32,Data_Prices!$A:$A,0)),W$38)</f>
        <v>0.42507558395596989</v>
      </c>
      <c r="X32" s="23">
        <f>SHADOW(X22,INDEX(Data_Prices!X:X,MATCH($G32,Data_Prices!$A:$A,0)),X$38)</f>
        <v>0.42507558395596989</v>
      </c>
      <c r="Y32" s="23">
        <f>SHADOW(Y22,INDEX(Data_Prices!Y:Y,MATCH($G32,Data_Prices!$A:$A,0)),Y$38)</f>
        <v>0.42507558395596989</v>
      </c>
      <c r="Z32" s="23">
        <f>SHADOW(Z22,INDEX(Data_Prices!Z:Z,MATCH($G32,Data_Prices!$A:$A,0)),Z$38)</f>
        <v>0.42507558395596989</v>
      </c>
      <c r="AA32" s="23">
        <f>SHADOW(AA22,INDEX(Data_Prices!AA:AA,MATCH($G32,Data_Prices!$A:$A,0)),AA$38)</f>
        <v>0.42507558395596989</v>
      </c>
      <c r="AB32" s="23">
        <f>SHADOW(AB22,INDEX(Data_Prices!AB:AB,MATCH($G32,Data_Prices!$A:$A,0)),AB$38)</f>
        <v>0.42507558395596989</v>
      </c>
      <c r="AC32" s="23">
        <f>SHADOW(AC22,INDEX(Data_Prices!AC:AC,MATCH($G32,Data_Prices!$A:$A,0)),AC$38)</f>
        <v>0.42507558395596989</v>
      </c>
      <c r="AD32" s="23">
        <f>SHADOW(AD22,INDEX(Data_Prices!AD:AD,MATCH($G32,Data_Prices!$A:$A,0)),AD$38)</f>
        <v>0.42507558395596989</v>
      </c>
      <c r="AE32" s="23">
        <f>SHADOW(AE22,INDEX(Data_Prices!AE:AE,MATCH($G32,Data_Prices!$A:$A,0)),AE$38)</f>
        <v>0.42507558395596989</v>
      </c>
    </row>
    <row r="33" spans="2:31" x14ac:dyDescent="0.25">
      <c r="B33" s="17" t="s">
        <v>68</v>
      </c>
      <c r="C33" s="17" t="str">
        <f t="shared" si="2"/>
        <v>irn</v>
      </c>
      <c r="D33" s="18" t="s">
        <v>69</v>
      </c>
      <c r="E33" s="19" t="s">
        <v>70</v>
      </c>
      <c r="F33" s="17" t="s">
        <v>79</v>
      </c>
      <c r="G33" s="20" t="str">
        <f>Settings!$B$3&amp;".mit.shp."&amp;$B33&amp;"."&amp;Settings!$B$4&amp;"."&amp;$J$5</f>
        <v>egy.mit.shp.oop.ind.1</v>
      </c>
      <c r="H33" s="21" t="str">
        <f>OUTCODE(Settings!$B$3,"shp",$C$5,$B33,$J$5)</f>
        <v>egy.mit.shp.irn.oop.e.1</v>
      </c>
      <c r="K33" s="23">
        <f>SHADOW(K23,INDEX(Data_Prices!K:K,MATCH($G33,Data_Prices!$A:$A,0)),K$38)</f>
        <v>41.50033849886843</v>
      </c>
      <c r="L33" s="23">
        <f>SHADOW(L23,INDEX(Data_Prices!L:L,MATCH($G33,Data_Prices!$A:$A,0)),L$38)</f>
        <v>34.415370304313228</v>
      </c>
      <c r="M33" s="23">
        <f>SHADOW(M23,INDEX(Data_Prices!M:M,MATCH($G33,Data_Prices!$A:$A,0)),M$38)</f>
        <v>37.368960690432033</v>
      </c>
      <c r="N33" s="23">
        <f>SHADOW(N23,INDEX(Data_Prices!N:N,MATCH($G33,Data_Prices!$A:$A,0)),N$38)</f>
        <v>28.982761101477251</v>
      </c>
      <c r="O33" s="23">
        <f>SHADOW(O23,INDEX(Data_Prices!O:O,MATCH($G33,Data_Prices!$A:$A,0)),O$38)</f>
        <v>15</v>
      </c>
      <c r="P33" s="23">
        <f>SHADOW(P23,INDEX(Data_Prices!P:P,MATCH($G33,Data_Prices!$A:$A,0)),P$38)</f>
        <v>24.2586300842555</v>
      </c>
      <c r="Q33" s="23">
        <f>SHADOW(Q23,INDEX(Data_Prices!Q:Q,MATCH($G33,Data_Prices!$A:$A,0)),Q$38)</f>
        <v>15</v>
      </c>
      <c r="R33" s="23">
        <f>SHADOW(R23,INDEX(Data_Prices!R:R,MATCH($G33,Data_Prices!$A:$A,0)),R$38)</f>
        <v>15</v>
      </c>
      <c r="S33" s="23">
        <f>SHADOW(S23,INDEX(Data_Prices!S:S,MATCH($G33,Data_Prices!$A:$A,0)),S$38)</f>
        <v>15</v>
      </c>
      <c r="T33" s="23">
        <f>SHADOW(T23,INDEX(Data_Prices!T:T,MATCH($G33,Data_Prices!$A:$A,0)),T$38)</f>
        <v>15</v>
      </c>
      <c r="U33" s="23">
        <f>SHADOW(U23,INDEX(Data_Prices!U:U,MATCH($G33,Data_Prices!$A:$A,0)),U$38)</f>
        <v>15</v>
      </c>
      <c r="V33" s="23">
        <f>SHADOW(V23,INDEX(Data_Prices!V:V,MATCH($G33,Data_Prices!$A:$A,0)),V$38)</f>
        <v>15</v>
      </c>
      <c r="W33" s="23">
        <f>SHADOW(W23,INDEX(Data_Prices!W:W,MATCH($G33,Data_Prices!$A:$A,0)),W$38)</f>
        <v>15</v>
      </c>
      <c r="X33" s="23">
        <f>SHADOW(X23,INDEX(Data_Prices!X:X,MATCH($G33,Data_Prices!$A:$A,0)),X$38)</f>
        <v>15</v>
      </c>
      <c r="Y33" s="23">
        <f>SHADOW(Y23,INDEX(Data_Prices!Y:Y,MATCH($G33,Data_Prices!$A:$A,0)),Y$38)</f>
        <v>15</v>
      </c>
      <c r="Z33" s="23">
        <f>SHADOW(Z23,INDEX(Data_Prices!Z:Z,MATCH($G33,Data_Prices!$A:$A,0)),Z$38)</f>
        <v>15</v>
      </c>
      <c r="AA33" s="23">
        <f>SHADOW(AA23,INDEX(Data_Prices!AA:AA,MATCH($G33,Data_Prices!$A:$A,0)),AA$38)</f>
        <v>15</v>
      </c>
      <c r="AB33" s="23">
        <f>SHADOW(AB23,INDEX(Data_Prices!AB:AB,MATCH($G33,Data_Prices!$A:$A,0)),AB$38)</f>
        <v>15</v>
      </c>
      <c r="AC33" s="23">
        <f>SHADOW(AC23,INDEX(Data_Prices!AC:AC,MATCH($G33,Data_Prices!$A:$A,0)),AC$38)</f>
        <v>15</v>
      </c>
      <c r="AD33" s="23">
        <f>SHADOW(AD23,INDEX(Data_Prices!AD:AD,MATCH($G33,Data_Prices!$A:$A,0)),AD$38)</f>
        <v>15</v>
      </c>
      <c r="AE33" s="23">
        <f>SHADOW(AE23,INDEX(Data_Prices!AE:AE,MATCH($G33,Data_Prices!$A:$A,0)),AE$38)</f>
        <v>15</v>
      </c>
    </row>
    <row r="34" spans="2:31" x14ac:dyDescent="0.25">
      <c r="B34" s="17" t="s">
        <v>71</v>
      </c>
      <c r="C34" s="17" t="str">
        <f t="shared" si="2"/>
        <v>irn</v>
      </c>
      <c r="D34" s="18" t="s">
        <v>72</v>
      </c>
      <c r="E34" s="19" t="s">
        <v>55</v>
      </c>
      <c r="F34" s="17" t="s">
        <v>79</v>
      </c>
      <c r="G34" s="20" t="str">
        <f>Settings!$B$3&amp;".mit.shp."&amp;$B34&amp;"."&amp;Settings!$B$4&amp;"."&amp;$J$5</f>
        <v>egy.mit.shp.bio.ind.1</v>
      </c>
      <c r="H34" s="21" t="str">
        <f>OUTCODE(Settings!$B$3,"shp",$C$5,$B34,$J$5)</f>
        <v>egy.mit.shp.irn.bio.e.1</v>
      </c>
      <c r="K34" s="23">
        <f>SHADOW(K24,INDEX(Data_Prices!K:K,MATCH($G34,Data_Prices!$A:$A,0)),K$38)</f>
        <v>15.33455052931693</v>
      </c>
      <c r="L34" s="23">
        <f>SHADOW(L24,INDEX(Data_Prices!L:L,MATCH($G34,Data_Prices!$A:$A,0)),L$38)</f>
        <v>14.199528390634921</v>
      </c>
      <c r="M34" s="23">
        <f>SHADOW(M24,INDEX(Data_Prices!M:M,MATCH($G34,Data_Prices!$A:$A,0)),M$38)</f>
        <v>13.840441613315161</v>
      </c>
      <c r="N34" s="23">
        <f>SHADOW(N24,INDEX(Data_Prices!N:N,MATCH($G34,Data_Prices!$A:$A,0)),N$38)</f>
        <v>13.5677269404465</v>
      </c>
      <c r="O34" s="23">
        <f>SHADOW(O24,INDEX(Data_Prices!O:O,MATCH($G34,Data_Prices!$A:$A,0)),O$38)</f>
        <v>13.5677269404465</v>
      </c>
      <c r="P34" s="23">
        <f>SHADOW(P24,INDEX(Data_Prices!P:P,MATCH($G34,Data_Prices!$A:$A,0)),P$38)</f>
        <v>13.5677269404465</v>
      </c>
      <c r="Q34" s="23">
        <f>SHADOW(Q24,INDEX(Data_Prices!Q:Q,MATCH($G34,Data_Prices!$A:$A,0)),Q$38)</f>
        <v>13.5677269404465</v>
      </c>
      <c r="R34" s="23">
        <f>SHADOW(R24,INDEX(Data_Prices!R:R,MATCH($G34,Data_Prices!$A:$A,0)),R$38)</f>
        <v>13.5677269404465</v>
      </c>
      <c r="S34" s="23">
        <f>SHADOW(S24,INDEX(Data_Prices!S:S,MATCH($G34,Data_Prices!$A:$A,0)),S$38)</f>
        <v>13.5677269404465</v>
      </c>
      <c r="T34" s="23">
        <f>SHADOW(T24,INDEX(Data_Prices!T:T,MATCH($G34,Data_Prices!$A:$A,0)),T$38)</f>
        <v>13.5677269404465</v>
      </c>
      <c r="U34" s="23">
        <f>SHADOW(U24,INDEX(Data_Prices!U:U,MATCH($G34,Data_Prices!$A:$A,0)),U$38)</f>
        <v>13.5677269404465</v>
      </c>
      <c r="V34" s="23">
        <f>SHADOW(V24,INDEX(Data_Prices!V:V,MATCH($G34,Data_Prices!$A:$A,0)),V$38)</f>
        <v>13.5677269404465</v>
      </c>
      <c r="W34" s="23">
        <f>SHADOW(W24,INDEX(Data_Prices!W:W,MATCH($G34,Data_Prices!$A:$A,0)),W$38)</f>
        <v>13.5677269404465</v>
      </c>
      <c r="X34" s="23">
        <f>SHADOW(X24,INDEX(Data_Prices!X:X,MATCH($G34,Data_Prices!$A:$A,0)),X$38)</f>
        <v>13.5677269404465</v>
      </c>
      <c r="Y34" s="23">
        <f>SHADOW(Y24,INDEX(Data_Prices!Y:Y,MATCH($G34,Data_Prices!$A:$A,0)),Y$38)</f>
        <v>13.5677269404465</v>
      </c>
      <c r="Z34" s="23">
        <f>SHADOW(Z24,INDEX(Data_Prices!Z:Z,MATCH($G34,Data_Prices!$A:$A,0)),Z$38)</f>
        <v>13.5677269404465</v>
      </c>
      <c r="AA34" s="23">
        <f>SHADOW(AA24,INDEX(Data_Prices!AA:AA,MATCH($G34,Data_Prices!$A:$A,0)),AA$38)</f>
        <v>13.5677269404465</v>
      </c>
      <c r="AB34" s="23">
        <f>SHADOW(AB24,INDEX(Data_Prices!AB:AB,MATCH($G34,Data_Prices!$A:$A,0)),AB$38)</f>
        <v>13.5677269404465</v>
      </c>
      <c r="AC34" s="23">
        <f>SHADOW(AC24,INDEX(Data_Prices!AC:AC,MATCH($G34,Data_Prices!$A:$A,0)),AC$38)</f>
        <v>13.5677269404465</v>
      </c>
      <c r="AD34" s="23">
        <f>SHADOW(AD24,INDEX(Data_Prices!AD:AD,MATCH($G34,Data_Prices!$A:$A,0)),AD$38)</f>
        <v>13.5677269404465</v>
      </c>
      <c r="AE34" s="23">
        <f>SHADOW(AE24,INDEX(Data_Prices!AE:AE,MATCH($G34,Data_Prices!$A:$A,0)),AE$38)</f>
        <v>13.5677269404465</v>
      </c>
    </row>
    <row r="35" spans="2:31" x14ac:dyDescent="0.25">
      <c r="B35" s="17" t="s">
        <v>73</v>
      </c>
      <c r="C35" s="17" t="str">
        <f t="shared" si="2"/>
        <v>irn</v>
      </c>
      <c r="D35" s="18" t="s">
        <v>74</v>
      </c>
      <c r="E35" s="19" t="s">
        <v>75</v>
      </c>
      <c r="F35" s="17" t="s">
        <v>79</v>
      </c>
      <c r="G35" s="20" t="str">
        <f>Settings!$B$3&amp;".mit.shp."&amp;$B35&amp;"."&amp;Settings!$B$4&amp;"."&amp;$J$5</f>
        <v>egy.mit.shp.ren.ind.1</v>
      </c>
      <c r="H35" s="21" t="str">
        <f>OUTCODE(Settings!$B$3,"shp",$C$5,$B35,$J$5)</f>
        <v>egy.mit.shp.irn.ren.e.1</v>
      </c>
      <c r="K35" s="23">
        <f>SHADOW(K25,INDEX(Data_Prices!K:K,MATCH($G35,Data_Prices!$A:$A,0)),K$38)</f>
        <v>0</v>
      </c>
      <c r="L35" s="23">
        <f>SHADOW(L25,INDEX(Data_Prices!L:L,MATCH($G35,Data_Prices!$A:$A,0)),L$38)</f>
        <v>0.14404498679319799</v>
      </c>
      <c r="M35" s="23">
        <f>SHADOW(M25,INDEX(Data_Prices!M:M,MATCH($G35,Data_Prices!$A:$A,0)),M$38)</f>
        <v>0.14102040965700391</v>
      </c>
      <c r="N35" s="23">
        <f>SHADOW(N25,INDEX(Data_Prices!N:N,MATCH($G35,Data_Prices!$A:$A,0)),N$38)</f>
        <v>0.13511635959447599</v>
      </c>
      <c r="O35" s="23">
        <f>SHADOW(O25,INDEX(Data_Prices!O:O,MATCH($G35,Data_Prices!$A:$A,0)),O$38)</f>
        <v>0.13098825698585639</v>
      </c>
      <c r="P35" s="23">
        <f>SHADOW(P25,INDEX(Data_Prices!P:P,MATCH($G35,Data_Prices!$A:$A,0)),P$38)</f>
        <v>0.12790841608631831</v>
      </c>
      <c r="Q35" s="23">
        <f>SHADOW(Q25,INDEX(Data_Prices!Q:Q,MATCH($G35,Data_Prices!$A:$A,0)),Q$38)</f>
        <v>0.124814310557813</v>
      </c>
      <c r="R35" s="23">
        <f>SHADOW(R25,INDEX(Data_Prices!R:R,MATCH($G35,Data_Prices!$A:$A,0)),R$38)</f>
        <v>0.1214602571228779</v>
      </c>
      <c r="S35" s="23">
        <f>SHADOW(S25,INDEX(Data_Prices!S:S,MATCH($G35,Data_Prices!$A:$A,0)),S$38)</f>
        <v>0.1179507441357863</v>
      </c>
      <c r="T35" s="23">
        <f>SHADOW(T25,INDEX(Data_Prices!T:T,MATCH($G35,Data_Prices!$A:$A,0)),T$38)</f>
        <v>0.1141991610445974</v>
      </c>
      <c r="U35" s="23">
        <f>SHADOW(U25,INDEX(Data_Prices!U:U,MATCH($G35,Data_Prices!$A:$A,0)),U$38)</f>
        <v>0.1136651000596645</v>
      </c>
      <c r="V35" s="23">
        <f>SHADOW(V25,INDEX(Data_Prices!V:V,MATCH($G35,Data_Prices!$A:$A,0)),V$38)</f>
        <v>0.1130169296259568</v>
      </c>
      <c r="W35" s="23">
        <f>SHADOW(W25,INDEX(Data_Prices!W:W,MATCH($G35,Data_Prices!$A:$A,0)),W$38)</f>
        <v>0.112314070507636</v>
      </c>
      <c r="X35" s="23">
        <f>SHADOW(X25,INDEX(Data_Prices!X:X,MATCH($G35,Data_Prices!$A:$A,0)),X$38)</f>
        <v>0.1114220427328433</v>
      </c>
      <c r="Y35" s="23">
        <f>SHADOW(Y25,INDEX(Data_Prices!Y:Y,MATCH($G35,Data_Prices!$A:$A,0)),Y$38)</f>
        <v>0.1104341236758091</v>
      </c>
      <c r="Z35" s="23">
        <f>SHADOW(Z25,INDEX(Data_Prices!Z:Z,MATCH($G35,Data_Prices!$A:$A,0)),Z$38)</f>
        <v>0.10948397330447129</v>
      </c>
      <c r="AA35" s="23">
        <f>SHADOW(AA25,INDEX(Data_Prices!AA:AA,MATCH($G35,Data_Prices!$A:$A,0)),AA$38)</f>
        <v>0.1083919210529401</v>
      </c>
      <c r="AB35" s="23">
        <f>SHADOW(AB25,INDEX(Data_Prices!AB:AB,MATCH($G35,Data_Prices!$A:$A,0)),AB$38)</f>
        <v>0.1073544336267039</v>
      </c>
      <c r="AC35" s="23">
        <f>SHADOW(AC25,INDEX(Data_Prices!AC:AC,MATCH($G35,Data_Prices!$A:$A,0)),AC$38)</f>
        <v>0.10516867544166079</v>
      </c>
      <c r="AD35" s="23">
        <f>SHADOW(AD25,INDEX(Data_Prices!AD:AD,MATCH($G35,Data_Prices!$A:$A,0)),AD$38)</f>
        <v>0.1030579832560081</v>
      </c>
      <c r="AE35" s="23">
        <f>SHADOW(AE25,INDEX(Data_Prices!AE:AE,MATCH($G35,Data_Prices!$A:$A,0)),AE$38)</f>
        <v>0.1009318389901144</v>
      </c>
    </row>
    <row r="36" spans="2:31" x14ac:dyDescent="0.25">
      <c r="B36" s="16" t="s">
        <v>80</v>
      </c>
    </row>
    <row r="37" spans="2:31" x14ac:dyDescent="0.25">
      <c r="B37" s="17" t="s">
        <v>81</v>
      </c>
      <c r="C37" s="17" t="str">
        <f>$C$5</f>
        <v>irn</v>
      </c>
      <c r="D37" s="18" t="s">
        <v>82</v>
      </c>
      <c r="E37" s="19" t="s">
        <v>83</v>
      </c>
      <c r="F37" s="17" t="s">
        <v>84</v>
      </c>
      <c r="G37" s="20" t="str">
        <f>Settings!$B$3&amp;".mit.tcf."&amp;$C$5&amp;"."&amp;$J$5</f>
        <v>egy.mit.tcf.irn.1</v>
      </c>
      <c r="K37" s="23">
        <f>INDEX(Data_Prices!K:K,MATCH($G37,Data_Prices!$A:$A,0))</f>
        <v>0</v>
      </c>
      <c r="L37" s="23">
        <f>INDEX(Data_Prices!L:L,MATCH($G37,Data_Prices!$A:$A,0))</f>
        <v>0</v>
      </c>
      <c r="M37" s="23">
        <f>INDEX(Data_Prices!M:M,MATCH($G37,Data_Prices!$A:$A,0))</f>
        <v>0</v>
      </c>
      <c r="N37" s="23">
        <f>INDEX(Data_Prices!N:N,MATCH($G37,Data_Prices!$A:$A,0))</f>
        <v>0</v>
      </c>
      <c r="O37" s="23">
        <f>INDEX(Data_Prices!O:O,MATCH($G37,Data_Prices!$A:$A,0))</f>
        <v>0</v>
      </c>
      <c r="P37" s="23">
        <f>INDEX(Data_Prices!P:P,MATCH($G37,Data_Prices!$A:$A,0))</f>
        <v>0</v>
      </c>
      <c r="Q37" s="23">
        <f>INDEX(Data_Prices!Q:Q,MATCH($G37,Data_Prices!$A:$A,0))</f>
        <v>0</v>
      </c>
      <c r="R37" s="23">
        <f>INDEX(Data_Prices!R:R,MATCH($G37,Data_Prices!$A:$A,0))</f>
        <v>0</v>
      </c>
      <c r="S37" s="23">
        <f>INDEX(Data_Prices!S:S,MATCH($G37,Data_Prices!$A:$A,0))</f>
        <v>0</v>
      </c>
      <c r="T37" s="23">
        <f>INDEX(Data_Prices!T:T,MATCH($G37,Data_Prices!$A:$A,0))</f>
        <v>0</v>
      </c>
      <c r="U37" s="23">
        <f>INDEX(Data_Prices!U:U,MATCH($G37,Data_Prices!$A:$A,0))</f>
        <v>0</v>
      </c>
      <c r="V37" s="23">
        <f>INDEX(Data_Prices!V:V,MATCH($G37,Data_Prices!$A:$A,0))</f>
        <v>0</v>
      </c>
      <c r="W37" s="23">
        <f>INDEX(Data_Prices!W:W,MATCH($G37,Data_Prices!$A:$A,0))</f>
        <v>0</v>
      </c>
      <c r="X37" s="23">
        <f>INDEX(Data_Prices!X:X,MATCH($G37,Data_Prices!$A:$A,0))</f>
        <v>0</v>
      </c>
      <c r="Y37" s="23">
        <f>INDEX(Data_Prices!Y:Y,MATCH($G37,Data_Prices!$A:$A,0))</f>
        <v>0</v>
      </c>
      <c r="Z37" s="23">
        <f>INDEX(Data_Prices!Z:Z,MATCH($G37,Data_Prices!$A:$A,0))</f>
        <v>0</v>
      </c>
      <c r="AA37" s="23">
        <f>INDEX(Data_Prices!AA:AA,MATCH($G37,Data_Prices!$A:$A,0))</f>
        <v>0</v>
      </c>
      <c r="AB37" s="23">
        <f>INDEX(Data_Prices!AB:AB,MATCH($G37,Data_Prices!$A:$A,0))</f>
        <v>0</v>
      </c>
      <c r="AC37" s="23">
        <f>INDEX(Data_Prices!AC:AC,MATCH($G37,Data_Prices!$A:$A,0))</f>
        <v>0</v>
      </c>
      <c r="AD37" s="23">
        <f>INDEX(Data_Prices!AD:AD,MATCH($G37,Data_Prices!$A:$A,0))</f>
        <v>0</v>
      </c>
      <c r="AE37" s="23">
        <f>INDEX(Data_Prices!AE:AE,MATCH($G37,Data_Prices!$A:$A,0))</f>
        <v>0</v>
      </c>
    </row>
    <row r="38" spans="2:31" x14ac:dyDescent="0.25">
      <c r="B38" s="17" t="s">
        <v>81</v>
      </c>
      <c r="C38" s="17" t="str">
        <f>$C$5</f>
        <v>irn</v>
      </c>
      <c r="D38" s="18" t="s">
        <v>85</v>
      </c>
      <c r="E38" s="19" t="s">
        <v>83</v>
      </c>
      <c r="F38" s="17" t="s">
        <v>86</v>
      </c>
      <c r="G38" s="20" t="str">
        <f>Settings!$B$3&amp;".mit.ssc."&amp;$C$5&amp;"."&amp;$J$5</f>
        <v>egy.mit.ssc.irn.1</v>
      </c>
      <c r="K38" s="23">
        <f>INDEX(Data_Prices!K:K,MATCH($G38,Data_Prices!$A:$A,0))</f>
        <v>0</v>
      </c>
      <c r="L38" s="23">
        <f>INDEX(Data_Prices!L:L,MATCH($G38,Data_Prices!$A:$A,0))</f>
        <v>0</v>
      </c>
      <c r="M38" s="23">
        <f>INDEX(Data_Prices!M:M,MATCH($G38,Data_Prices!$A:$A,0))</f>
        <v>0</v>
      </c>
      <c r="N38" s="23">
        <f>INDEX(Data_Prices!N:N,MATCH($G38,Data_Prices!$A:$A,0))</f>
        <v>0</v>
      </c>
      <c r="O38" s="23">
        <f>INDEX(Data_Prices!O:O,MATCH($G38,Data_Prices!$A:$A,0))</f>
        <v>0</v>
      </c>
      <c r="P38" s="23">
        <f>INDEX(Data_Prices!P:P,MATCH($G38,Data_Prices!$A:$A,0))</f>
        <v>0</v>
      </c>
      <c r="Q38" s="23">
        <f>INDEX(Data_Prices!Q:Q,MATCH($G38,Data_Prices!$A:$A,0))</f>
        <v>0</v>
      </c>
      <c r="R38" s="23">
        <f>INDEX(Data_Prices!R:R,MATCH($G38,Data_Prices!$A:$A,0))</f>
        <v>0</v>
      </c>
      <c r="S38" s="23">
        <f>INDEX(Data_Prices!S:S,MATCH($G38,Data_Prices!$A:$A,0))</f>
        <v>0</v>
      </c>
      <c r="T38" s="23">
        <f>INDEX(Data_Prices!T:T,MATCH($G38,Data_Prices!$A:$A,0))</f>
        <v>0</v>
      </c>
      <c r="U38" s="23">
        <f>INDEX(Data_Prices!U:U,MATCH($G38,Data_Prices!$A:$A,0))</f>
        <v>0</v>
      </c>
      <c r="V38" s="23">
        <f>INDEX(Data_Prices!V:V,MATCH($G38,Data_Prices!$A:$A,0))</f>
        <v>0</v>
      </c>
      <c r="W38" s="23">
        <f>INDEX(Data_Prices!W:W,MATCH($G38,Data_Prices!$A:$A,0))</f>
        <v>0</v>
      </c>
      <c r="X38" s="23">
        <f>INDEX(Data_Prices!X:X,MATCH($G38,Data_Prices!$A:$A,0))</f>
        <v>0</v>
      </c>
      <c r="Y38" s="23">
        <f>INDEX(Data_Prices!Y:Y,MATCH($G38,Data_Prices!$A:$A,0))</f>
        <v>0</v>
      </c>
      <c r="Z38" s="23">
        <f>INDEX(Data_Prices!Z:Z,MATCH($G38,Data_Prices!$A:$A,0))</f>
        <v>0</v>
      </c>
      <c r="AA38" s="23">
        <f>INDEX(Data_Prices!AA:AA,MATCH($G38,Data_Prices!$A:$A,0))</f>
        <v>0</v>
      </c>
      <c r="AB38" s="23">
        <f>INDEX(Data_Prices!AB:AB,MATCH($G38,Data_Prices!$A:$A,0))</f>
        <v>0</v>
      </c>
      <c r="AC38" s="23">
        <f>INDEX(Data_Prices!AC:AC,MATCH($G38,Data_Prices!$A:$A,0))</f>
        <v>0</v>
      </c>
      <c r="AD38" s="23">
        <f>INDEX(Data_Prices!AD:AD,MATCH($G38,Data_Prices!$A:$A,0))</f>
        <v>0</v>
      </c>
      <c r="AE38" s="23">
        <f>INDEX(Data_Prices!AE:AE,MATCH($G38,Data_Prices!$A:$A,0))</f>
        <v>0</v>
      </c>
    </row>
    <row r="39" spans="2:31" x14ac:dyDescent="0.25">
      <c r="B39" s="17" t="s">
        <v>81</v>
      </c>
      <c r="C39" s="17" t="str">
        <f>$C$5</f>
        <v>irn</v>
      </c>
      <c r="D39" s="18" t="s">
        <v>87</v>
      </c>
      <c r="E39" s="19" t="s">
        <v>88</v>
      </c>
      <c r="F39" s="17" t="s">
        <v>89</v>
      </c>
      <c r="G39" s="20" t="str">
        <f>Settings!$B$3&amp;".mit.gdp.pos.pct."&amp;$J$5</f>
        <v>egy.mit.gdp.pos.pct.1</v>
      </c>
      <c r="K39" s="24">
        <f>INDEX(Data_Macro!K:K,MATCH($G39,Data_Macro!$A:$A,0))</f>
        <v>0</v>
      </c>
      <c r="L39" s="24">
        <f>INDEX(Data_Macro!L:L,MATCH($G39,Data_Macro!$A:$A,0))</f>
        <v>6.6513450000000002E-2</v>
      </c>
      <c r="M39" s="24">
        <f>INDEX(Data_Macro!M:M,MATCH($G39,Data_Macro!$A:$A,0))</f>
        <v>3.760281E-2</v>
      </c>
      <c r="N39" s="24">
        <f>INDEX(Data_Macro!N:N,MATCH($G39,Data_Macro!$A:$A,0))</f>
        <v>2.3988010000000001E-2</v>
      </c>
      <c r="O39" s="24">
        <f>INDEX(Data_Macro!O:O,MATCH($G39,Data_Macro!$A:$A,0))</f>
        <v>4.3923869999999997E-2</v>
      </c>
      <c r="P39" s="24">
        <f>INDEX(Data_Macro!P:P,MATCH($G39,Data_Macro!$A:$A,0))</f>
        <v>4.239706E-2</v>
      </c>
      <c r="Q39" s="24">
        <f>INDEX(Data_Macro!Q:Q,MATCH($G39,Data_Macro!$A:$A,0))</f>
        <v>4.8292179999999997E-2</v>
      </c>
      <c r="R39" s="24">
        <f>INDEX(Data_Macro!R:R,MATCH($G39,Data_Macro!$A:$A,0))</f>
        <v>5.5353159999999998E-2</v>
      </c>
      <c r="S39" s="24">
        <f>INDEX(Data_Macro!S:S,MATCH($G39,Data_Macro!$A:$A,0))</f>
        <v>5.2266060000000003E-2</v>
      </c>
      <c r="T39" s="24">
        <f>INDEX(Data_Macro!T:T,MATCH($G39,Data_Macro!$A:$A,0))</f>
        <v>4.841877E-2</v>
      </c>
      <c r="U39" s="24">
        <f>INDEX(Data_Macro!U:U,MATCH($G39,Data_Macro!$A:$A,0))</f>
        <v>4.7887359999999997E-2</v>
      </c>
      <c r="V39" s="24">
        <f>INDEX(Data_Macro!V:V,MATCH($G39,Data_Macro!$A:$A,0))</f>
        <v>4.7355950000000008E-2</v>
      </c>
      <c r="W39" s="24">
        <f>INDEX(Data_Macro!W:W,MATCH($G39,Data_Macro!$A:$A,0))</f>
        <v>4.6824540000000012E-2</v>
      </c>
      <c r="X39" s="24">
        <f>INDEX(Data_Macro!X:X,MATCH($G39,Data_Macro!$A:$A,0))</f>
        <v>4.6293130000000023E-2</v>
      </c>
      <c r="Y39" s="24">
        <f>INDEX(Data_Macro!Y:Y,MATCH($G39,Data_Macro!$A:$A,0))</f>
        <v>4.576172000000002E-2</v>
      </c>
      <c r="Z39" s="24">
        <f>INDEX(Data_Macro!Z:Z,MATCH($G39,Data_Macro!$A:$A,0))</f>
        <v>4.5230310000000017E-2</v>
      </c>
      <c r="AA39" s="24">
        <f>INDEX(Data_Macro!AA:AA,MATCH($G39,Data_Macro!$A:$A,0))</f>
        <v>4.4698900000000027E-2</v>
      </c>
      <c r="AB39" s="24">
        <f>INDEX(Data_Macro!AB:AB,MATCH($G39,Data_Macro!$A:$A,0))</f>
        <v>4.4167490000000031E-2</v>
      </c>
      <c r="AC39" s="24">
        <f>INDEX(Data_Macro!AC:AC,MATCH($G39,Data_Macro!$A:$A,0))</f>
        <v>4.3636080000000042E-2</v>
      </c>
      <c r="AD39" s="24">
        <f>INDEX(Data_Macro!AD:AD,MATCH($G39,Data_Macro!$A:$A,0))</f>
        <v>4.3104670000000039E-2</v>
      </c>
      <c r="AE39" s="24">
        <f>INDEX(Data_Macro!AE:AE,MATCH($G39,Data_Macro!$A:$A,0))</f>
        <v>4.2573260000000043E-2</v>
      </c>
    </row>
    <row r="40" spans="2:31" x14ac:dyDescent="0.25">
      <c r="B40" s="17" t="s">
        <v>81</v>
      </c>
      <c r="C40" s="17" t="str">
        <f>$C$5</f>
        <v>irn</v>
      </c>
      <c r="D40" s="18" t="s">
        <v>90</v>
      </c>
      <c r="E40" s="19" t="s">
        <v>91</v>
      </c>
      <c r="F40" s="17" t="s">
        <v>92</v>
      </c>
      <c r="G40" s="20" t="str">
        <f>Settings!$B$3&amp;".mit.inc.ela.adj."&amp;$J$5</f>
        <v>egy.mit.inc.ela.adj.1</v>
      </c>
      <c r="K40" s="23">
        <f>INDEX(Data_Macro!K:K,MATCH($G40,Data_Macro!$A:$A,0))</f>
        <v>0</v>
      </c>
      <c r="L40" s="23">
        <f>INDEX(Data_Macro!L:L,MATCH($G40,Data_Macro!$A:$A,0))</f>
        <v>1.0271517247196089</v>
      </c>
      <c r="M40" s="23">
        <f>INDEX(Data_Macro!M:M,MATCH($G40,Data_Macro!$A:$A,0))</f>
        <v>1.0271517247196089</v>
      </c>
      <c r="N40" s="23">
        <f>INDEX(Data_Macro!N:N,MATCH($G40,Data_Macro!$A:$A,0))</f>
        <v>1.0205698358851201</v>
      </c>
      <c r="O40" s="23">
        <f>INDEX(Data_Macro!O:O,MATCH($G40,Data_Macro!$A:$A,0))</f>
        <v>1.017334428852344</v>
      </c>
      <c r="P40" s="23">
        <f>INDEX(Data_Macro!P:P,MATCH($G40,Data_Macro!$A:$A,0))</f>
        <v>1.007668332253824</v>
      </c>
      <c r="Q40" s="23">
        <f>INDEX(Data_Macro!Q:Q,MATCH($G40,Data_Macro!$A:$A,0))</f>
        <v>1.000744287175529</v>
      </c>
      <c r="R40" s="23">
        <f>INDEX(Data_Macro!R:R,MATCH($G40,Data_Macro!$A:$A,0))</f>
        <v>0.99188648901185772</v>
      </c>
      <c r="S40" s="23">
        <f>INDEX(Data_Macro!S:S,MATCH($G40,Data_Macro!$A:$A,0))</f>
        <v>0.98065540330043011</v>
      </c>
      <c r="T40" s="23">
        <f>INDEX(Data_Macro!T:T,MATCH($G40,Data_Macro!$A:$A,0))</f>
        <v>0.97020940399244326</v>
      </c>
      <c r="U40" s="23">
        <f>INDEX(Data_Macro!U:U,MATCH($G40,Data_Macro!$A:$A,0))</f>
        <v>0.9641926590771045</v>
      </c>
      <c r="V40" s="23">
        <f>INDEX(Data_Macro!V:V,MATCH($G40,Data_Macro!$A:$A,0))</f>
        <v>0.96161287122715211</v>
      </c>
      <c r="W40" s="23">
        <f>INDEX(Data_Macro!W:W,MATCH($G40,Data_Macro!$A:$A,0))</f>
        <v>0.95919844785405028</v>
      </c>
      <c r="X40" s="23">
        <f>INDEX(Data_Macro!X:X,MATCH($G40,Data_Macro!$A:$A,0))</f>
        <v>0.95695125444519591</v>
      </c>
      <c r="Y40" s="23">
        <f>INDEX(Data_Macro!Y:Y,MATCH($G40,Data_Macro!$A:$A,0))</f>
        <v>0.95487297859577691</v>
      </c>
      <c r="Z40" s="23">
        <f>INDEX(Data_Macro!Z:Z,MATCH($G40,Data_Macro!$A:$A,0))</f>
        <v>0.95296514086144846</v>
      </c>
      <c r="AA40" s="23">
        <f>INDEX(Data_Macro!AA:AA,MATCH($G40,Data_Macro!$A:$A,0))</f>
        <v>0.95122910490338464</v>
      </c>
      <c r="AB40" s="23">
        <f>INDEX(Data_Macro!AB:AB,MATCH($G40,Data_Macro!$A:$A,0))</f>
        <v>0.94966608689229326</v>
      </c>
      <c r="AC40" s="23">
        <f>INDEX(Data_Macro!AC:AC,MATCH($G40,Data_Macro!$A:$A,0))</f>
        <v>0.94827716413797614</v>
      </c>
      <c r="AD40" s="23">
        <f>INDEX(Data_Macro!AD:AD,MATCH($G40,Data_Macro!$A:$A,0))</f>
        <v>0.94706328291559227</v>
      </c>
      <c r="AE40" s="23">
        <f>INDEX(Data_Macro!AE:AE,MATCH($G40,Data_Macro!$A:$A,0))</f>
        <v>0.94602526545851262</v>
      </c>
    </row>
    <row r="41" spans="2:31" x14ac:dyDescent="0.25">
      <c r="B41" s="17" t="s">
        <v>81</v>
      </c>
      <c r="C41" s="17" t="str">
        <f>$C$5</f>
        <v>irn</v>
      </c>
      <c r="D41" s="18" t="s">
        <v>93</v>
      </c>
      <c r="E41" s="19" t="s">
        <v>91</v>
      </c>
      <c r="F41" s="17" t="s">
        <v>94</v>
      </c>
      <c r="G41" s="20" t="str">
        <f>Settings!$B$3&amp;".mit.shock."&amp;$J$5</f>
        <v>egy.mit.shock.1</v>
      </c>
      <c r="K41" s="23">
        <f>INDEX(Data_Macro!K:K,MATCH($G41,Data_Macro!$A:$A,0))</f>
        <v>0</v>
      </c>
      <c r="L41" s="23">
        <f>INDEX(Data_Macro!L:L,MATCH($G41,Data_Macro!$A:$A,0))</f>
        <v>0</v>
      </c>
      <c r="M41" s="23">
        <f>INDEX(Data_Macro!M:M,MATCH($G41,Data_Macro!$A:$A,0))</f>
        <v>-0.2081330830204422</v>
      </c>
      <c r="N41" s="23">
        <f>INDEX(Data_Macro!N:N,MATCH($G41,Data_Macro!$A:$A,0))</f>
        <v>9.2371428571428563E-2</v>
      </c>
      <c r="O41" s="23">
        <f>INDEX(Data_Macro!O:O,MATCH($G41,Data_Macro!$A:$A,0))</f>
        <v>0</v>
      </c>
      <c r="P41" s="23">
        <f>INDEX(Data_Macro!P:P,MATCH($G41,Data_Macro!$A:$A,0))</f>
        <v>0</v>
      </c>
      <c r="Q41" s="23">
        <f>INDEX(Data_Macro!Q:Q,MATCH($G41,Data_Macro!$A:$A,0))</f>
        <v>0</v>
      </c>
      <c r="R41" s="23">
        <f>INDEX(Data_Macro!R:R,MATCH($G41,Data_Macro!$A:$A,0))</f>
        <v>0</v>
      </c>
      <c r="S41" s="23">
        <f>INDEX(Data_Macro!S:S,MATCH($G41,Data_Macro!$A:$A,0))</f>
        <v>0</v>
      </c>
      <c r="T41" s="23">
        <f>INDEX(Data_Macro!T:T,MATCH($G41,Data_Macro!$A:$A,0))</f>
        <v>0</v>
      </c>
      <c r="U41" s="23">
        <f>INDEX(Data_Macro!U:U,MATCH($G41,Data_Macro!$A:$A,0))</f>
        <v>0</v>
      </c>
      <c r="V41" s="23">
        <f>INDEX(Data_Macro!V:V,MATCH($G41,Data_Macro!$A:$A,0))</f>
        <v>0</v>
      </c>
      <c r="W41" s="23">
        <f>INDEX(Data_Macro!W:W,MATCH($G41,Data_Macro!$A:$A,0))</f>
        <v>0</v>
      </c>
      <c r="X41" s="23">
        <f>INDEX(Data_Macro!X:X,MATCH($G41,Data_Macro!$A:$A,0))</f>
        <v>0</v>
      </c>
      <c r="Y41" s="23">
        <f>INDEX(Data_Macro!Y:Y,MATCH($G41,Data_Macro!$A:$A,0))</f>
        <v>0</v>
      </c>
      <c r="Z41" s="23">
        <f>INDEX(Data_Macro!Z:Z,MATCH($G41,Data_Macro!$A:$A,0))</f>
        <v>0</v>
      </c>
      <c r="AA41" s="23">
        <f>INDEX(Data_Macro!AA:AA,MATCH($G41,Data_Macro!$A:$A,0))</f>
        <v>0</v>
      </c>
      <c r="AB41" s="23">
        <f>INDEX(Data_Macro!AB:AB,MATCH($G41,Data_Macro!$A:$A,0))</f>
        <v>0</v>
      </c>
      <c r="AC41" s="23">
        <f>INDEX(Data_Macro!AC:AC,MATCH($G41,Data_Macro!$A:$A,0))</f>
        <v>0</v>
      </c>
      <c r="AD41" s="23">
        <f>INDEX(Data_Macro!AD:AD,MATCH($G41,Data_Macro!$A:$A,0))</f>
        <v>0</v>
      </c>
      <c r="AE41" s="23">
        <f>INDEX(Data_Macro!AE:AE,MATCH($G41,Data_Macro!$A:$A,0))</f>
        <v>0</v>
      </c>
    </row>
    <row r="42" spans="2:31" x14ac:dyDescent="0.25">
      <c r="B42" s="16" t="s">
        <v>95</v>
      </c>
    </row>
    <row r="43" spans="2:31" x14ac:dyDescent="0.25">
      <c r="B43" s="8" t="s">
        <v>36</v>
      </c>
      <c r="C43" s="8" t="s">
        <v>37</v>
      </c>
      <c r="D43" s="25" t="s">
        <v>38</v>
      </c>
      <c r="E43" s="8" t="s">
        <v>96</v>
      </c>
      <c r="F43" s="8" t="s">
        <v>97</v>
      </c>
      <c r="G43" s="8" t="s">
        <v>98</v>
      </c>
      <c r="H43" s="8" t="s">
        <v>99</v>
      </c>
      <c r="I43" s="8" t="s">
        <v>100</v>
      </c>
      <c r="J43" s="8" t="s">
        <v>101</v>
      </c>
    </row>
    <row r="44" spans="2:31" x14ac:dyDescent="0.25">
      <c r="B44" s="17" t="s">
        <v>53</v>
      </c>
      <c r="C44" s="17" t="str">
        <f t="shared" ref="C44:C52" si="3">$C$5</f>
        <v>irn</v>
      </c>
      <c r="D44" s="26" t="s">
        <v>102</v>
      </c>
      <c r="E44" s="27">
        <f>ELAST("el_inc",$J44,Settings!$B$5)</f>
        <v>0.5</v>
      </c>
      <c r="F44" s="27">
        <f>ELAST("el_dem",$J44,Settings!$B$5)</f>
        <v>-0.3</v>
      </c>
      <c r="G44" s="27">
        <f>ELAST("el_eff",$J44,Settings!$B$5)</f>
        <v>-0.4</v>
      </c>
      <c r="H44" s="27">
        <f>ELAST("eff_imp",INDEX(Data_Elast!$K:$K,MATCH($B44,Data_Elast!$I:$I,0)),Settings!$B$5)</f>
        <v>5.0000000000000001E-3</v>
      </c>
      <c r="I44" s="27">
        <f>Settings!$B$7</f>
        <v>0</v>
      </c>
      <c r="J44" s="19" t="str">
        <f>INDEX(Data_Elast!$J:$J,MATCH($B44,Data_Elast!$I:$I,0))</f>
        <v>coa</v>
      </c>
    </row>
    <row r="45" spans="2:31" x14ac:dyDescent="0.25">
      <c r="B45" s="17" t="s">
        <v>57</v>
      </c>
      <c r="C45" s="17" t="str">
        <f t="shared" si="3"/>
        <v>irn</v>
      </c>
      <c r="D45" s="26" t="s">
        <v>103</v>
      </c>
      <c r="E45" s="27">
        <f>ELAST("el_inc",$J45,Settings!$B$5)</f>
        <v>1</v>
      </c>
      <c r="F45" s="27">
        <f>ELAST("el_dem",$J45,Settings!$B$5)</f>
        <v>-0.5</v>
      </c>
      <c r="G45" s="27">
        <f>ELAST("el_eff",$J45,Settings!$B$5)</f>
        <v>-0.5</v>
      </c>
      <c r="H45" s="27">
        <f>ELAST("eff_imp",INDEX(Data_Elast!$K:$K,MATCH($B45,Data_Elast!$I:$I,0)),Settings!$B$5)</f>
        <v>0.01</v>
      </c>
      <c r="I45" s="27">
        <f>Settings!$B$7</f>
        <v>0</v>
      </c>
      <c r="J45" s="19" t="str">
        <f>INDEX(Data_Elast!$J:$J,MATCH($B45,Data_Elast!$I:$I,0))</f>
        <v>nga</v>
      </c>
    </row>
    <row r="46" spans="2:31" x14ac:dyDescent="0.25">
      <c r="B46" s="17" t="s">
        <v>59</v>
      </c>
      <c r="C46" s="17" t="str">
        <f t="shared" si="3"/>
        <v>irn</v>
      </c>
      <c r="D46" s="26" t="s">
        <v>104</v>
      </c>
      <c r="E46" s="27">
        <f>ELAST("el_inc",$J46,Settings!$B$5)</f>
        <v>0.5</v>
      </c>
      <c r="F46" s="27">
        <f>ELAST("el_dem",$J46,Settings!$B$5)</f>
        <v>-0.4</v>
      </c>
      <c r="G46" s="27">
        <f>ELAST("el_eff",$J46,Settings!$B$5)</f>
        <v>-0.7</v>
      </c>
      <c r="H46" s="27">
        <f>ELAST("eff_imp",INDEX(Data_Elast!$K:$K,MATCH($B46,Data_Elast!$I:$I,0)),Settings!$B$5)</f>
        <v>5.0000000000000001E-3</v>
      </c>
      <c r="I46" s="27">
        <f>Settings!$B$7</f>
        <v>0</v>
      </c>
      <c r="J46" s="19" t="str">
        <f>INDEX(Data_Elast!$J:$J,MATCH($B46,Data_Elast!$I:$I,0))</f>
        <v>gso</v>
      </c>
    </row>
    <row r="47" spans="2:31" x14ac:dyDescent="0.25">
      <c r="B47" s="17" t="s">
        <v>62</v>
      </c>
      <c r="C47" s="17" t="str">
        <f t="shared" si="3"/>
        <v>irn</v>
      </c>
      <c r="D47" s="26" t="s">
        <v>105</v>
      </c>
      <c r="E47" s="27">
        <f>ELAST("el_inc",$J47,Settings!$B$5)</f>
        <v>0.5</v>
      </c>
      <c r="F47" s="27">
        <f>ELAST("el_dem",$J47,Settings!$B$5)</f>
        <v>-0.7</v>
      </c>
      <c r="G47" s="27">
        <f>ELAST("el_eff",$J47,Settings!$B$5)</f>
        <v>-1.2</v>
      </c>
      <c r="H47" s="27">
        <f>ELAST("eff_imp",INDEX(Data_Elast!$K:$K,MATCH($B47,Data_Elast!$I:$I,0)),Settings!$B$5)</f>
        <v>5.0000000000000001E-3</v>
      </c>
      <c r="I47" s="27">
        <f>Settings!$B$7</f>
        <v>0</v>
      </c>
      <c r="J47" s="19" t="str">
        <f>INDEX(Data_Elast!$J:$J,MATCH($B47,Data_Elast!$I:$I,0))</f>
        <v>die</v>
      </c>
    </row>
    <row r="48" spans="2:31" x14ac:dyDescent="0.25">
      <c r="B48" s="17" t="s">
        <v>64</v>
      </c>
      <c r="C48" s="17" t="str">
        <f t="shared" si="3"/>
        <v>irn</v>
      </c>
      <c r="D48" s="26" t="s">
        <v>106</v>
      </c>
      <c r="E48" s="27">
        <f>ELAST("el_inc",$J48,Settings!$B$5)</f>
        <v>0.8</v>
      </c>
      <c r="F48" s="27">
        <f>ELAST("el_dem",$J48,Settings!$B$5)</f>
        <v>-0.4</v>
      </c>
      <c r="G48" s="27">
        <f>ELAST("el_eff",$J48,Settings!$B$5)</f>
        <v>-0.4</v>
      </c>
      <c r="H48" s="27">
        <f>ELAST("eff_imp",INDEX(Data_Elast!$K:$K,MATCH($B48,Data_Elast!$I:$I,0)),Settings!$B$5)</f>
        <v>5.0000000000000001E-3</v>
      </c>
      <c r="I48" s="27">
        <f>Settings!$B$7</f>
        <v>0</v>
      </c>
      <c r="J48" s="19" t="str">
        <f>INDEX(Data_Elast!$J:$J,MATCH($B48,Data_Elast!$I:$I,0))</f>
        <v>oil</v>
      </c>
    </row>
    <row r="49" spans="2:31" x14ac:dyDescent="0.25">
      <c r="B49" s="17" t="s">
        <v>66</v>
      </c>
      <c r="C49" s="17" t="str">
        <f t="shared" si="3"/>
        <v>irn</v>
      </c>
      <c r="D49" s="26" t="s">
        <v>107</v>
      </c>
      <c r="E49" s="27">
        <f>ELAST("el_inc",$J49,Settings!$B$5)</f>
        <v>0.8</v>
      </c>
      <c r="F49" s="27">
        <f>ELAST("el_dem",$J49,Settings!$B$5)</f>
        <v>-0.4</v>
      </c>
      <c r="G49" s="27">
        <f>ELAST("el_eff",$J49,Settings!$B$5)</f>
        <v>-0.4</v>
      </c>
      <c r="H49" s="27">
        <f>ELAST("eff_imp",INDEX(Data_Elast!$K:$K,MATCH($B49,Data_Elast!$I:$I,0)),Settings!$B$5)</f>
        <v>5.0000000000000001E-3</v>
      </c>
      <c r="I49" s="27">
        <f>Settings!$B$7</f>
        <v>0</v>
      </c>
      <c r="J49" s="19" t="str">
        <f>INDEX(Data_Elast!$J:$J,MATCH($B49,Data_Elast!$I:$I,0))</f>
        <v>oil</v>
      </c>
    </row>
    <row r="50" spans="2:31" x14ac:dyDescent="0.25">
      <c r="B50" s="17" t="s">
        <v>68</v>
      </c>
      <c r="C50" s="17" t="str">
        <f t="shared" si="3"/>
        <v>irn</v>
      </c>
      <c r="D50" s="26" t="s">
        <v>108</v>
      </c>
      <c r="E50" s="27">
        <f>ELAST("el_inc",$J50,Settings!$B$5)</f>
        <v>0.8</v>
      </c>
      <c r="F50" s="27">
        <f>ELAST("el_dem",$J50,Settings!$B$5)</f>
        <v>-0.4</v>
      </c>
      <c r="G50" s="27">
        <f>ELAST("el_eff",$J50,Settings!$B$5)</f>
        <v>-0.4</v>
      </c>
      <c r="H50" s="27">
        <f>ELAST("eff_imp",INDEX(Data_Elast!$K:$K,MATCH($B50,Data_Elast!$I:$I,0)),Settings!$B$5)</f>
        <v>5.0000000000000001E-3</v>
      </c>
      <c r="I50" s="27">
        <f>Settings!$B$7</f>
        <v>0</v>
      </c>
      <c r="J50" s="19" t="str">
        <f>INDEX(Data_Elast!$J:$J,MATCH($B50,Data_Elast!$I:$I,0))</f>
        <v>oil</v>
      </c>
    </row>
    <row r="51" spans="2:31" x14ac:dyDescent="0.25">
      <c r="B51" s="17" t="s">
        <v>71</v>
      </c>
      <c r="C51" s="17" t="str">
        <f t="shared" si="3"/>
        <v>irn</v>
      </c>
      <c r="D51" s="26" t="s">
        <v>109</v>
      </c>
      <c r="E51" s="27">
        <f>ELAST("el_inc",$J51,Settings!$B$5)</f>
        <v>0.1</v>
      </c>
      <c r="F51" s="27">
        <f>ELAST("el_dem",$J51,Settings!$B$5)</f>
        <v>-0.3</v>
      </c>
      <c r="G51" s="27">
        <f>ELAST("el_eff",$J51,Settings!$B$5)</f>
        <v>-0.2</v>
      </c>
      <c r="H51" s="27">
        <f>ELAST("eff_imp",INDEX(Data_Elast!$K:$K,MATCH($B51,Data_Elast!$I:$I,0)),Settings!$B$5)</f>
        <v>5.0000000000000001E-3</v>
      </c>
      <c r="I51" s="27">
        <f>Settings!$B$7</f>
        <v>0</v>
      </c>
      <c r="J51" s="19" t="str">
        <f>INDEX(Data_Elast!$J:$J,MATCH($B51,Data_Elast!$I:$I,0))</f>
        <v>bio</v>
      </c>
    </row>
    <row r="52" spans="2:31" x14ac:dyDescent="0.25">
      <c r="B52" s="17" t="s">
        <v>73</v>
      </c>
      <c r="C52" s="17" t="str">
        <f t="shared" si="3"/>
        <v>irn</v>
      </c>
      <c r="D52" s="26" t="s">
        <v>110</v>
      </c>
      <c r="E52" s="27">
        <f>ELAST("el_inc",$J52,Settings!$B$5)</f>
        <v>0.8</v>
      </c>
      <c r="F52" s="27">
        <f>ELAST("el_dem",$J52,Settings!$B$5)</f>
        <v>-0.5</v>
      </c>
      <c r="G52" s="27">
        <f>ELAST("el_eff",$J52,Settings!$B$5)</f>
        <v>-0.4</v>
      </c>
      <c r="H52" s="27">
        <f>ELAST("eff_imp",INDEX(Data_Elast!$K:$K,MATCH($B52,Data_Elast!$I:$I,0)),Settings!$B$5)</f>
        <v>5.0000000000000001E-3</v>
      </c>
      <c r="I52" s="27">
        <f>Settings!$B$7</f>
        <v>0</v>
      </c>
      <c r="J52" s="19" t="str">
        <f>INDEX(Data_Elast!$J:$J,MATCH($B52,Data_Elast!$I:$I,0))</f>
        <v>ren</v>
      </c>
    </row>
    <row r="53" spans="2:31" x14ac:dyDescent="0.25">
      <c r="B53" s="16" t="s">
        <v>111</v>
      </c>
    </row>
    <row r="54" spans="2:31" x14ac:dyDescent="0.25">
      <c r="B54" s="17" t="s">
        <v>53</v>
      </c>
      <c r="C54" s="17" t="str">
        <f t="shared" ref="C54:C63" si="4">$C$5</f>
        <v>irn</v>
      </c>
      <c r="D54" s="18" t="s">
        <v>54</v>
      </c>
      <c r="E54" s="19" t="s">
        <v>112</v>
      </c>
      <c r="F54" s="17" t="s">
        <v>113</v>
      </c>
      <c r="G54" s="20" t="str">
        <f>Settings!$B$3&amp;".mit.enc."&amp;$B54</f>
        <v>egy.mit.enc.coa</v>
      </c>
      <c r="H54" s="21" t="str">
        <f>OUTCODE(Settings!$B$3,"ener",$C$5,$B54,$J$5)</f>
        <v>egy.mit.ener.irn.coa.e.1</v>
      </c>
      <c r="L54" s="28">
        <f>INDEX(Data_Energy!$D$3:$U$22,MATCH($B54,Data_Energy!$C$3:$C$22,0),MATCH($C54,Data_Energy!$D$2:$U$2,0))</f>
        <v>232.65735477013141</v>
      </c>
      <c r="M54" s="29">
        <f>FUELUSE(L54,L17,M17,L27,M27,M$39,M$40,M$41,$E44,$F44,$G44,$H44,$I44)</f>
        <v>189.45265610688728</v>
      </c>
      <c r="N54" s="29">
        <f>FUELUSE(M54,M17,N17,M27,N27,N$39,N$40,N$41,$E44,$F44,$G44,$H44,$I44)</f>
        <v>217.72883870914126</v>
      </c>
      <c r="O54" s="29">
        <f>FUELUSE(N54,N17,O17,N27,O27,O$39,O$40,O$41,$E44,$F44,$G44,$H44,$I44)</f>
        <v>237.89793015048934</v>
      </c>
      <c r="P54" s="29">
        <f>FUELUSE(O54,O17,P17,O27,P27,P$39,P$40,P$41,$E44,$F44,$G44,$H44,$I44)</f>
        <v>232.6500690312447</v>
      </c>
      <c r="Q54" s="29">
        <f>FUELUSE(P54,P17,Q17,P27,Q27,Q$39,Q$40,Q$41,$E44,$F44,$G44,$H44,$I44)</f>
        <v>235.34294021003615</v>
      </c>
      <c r="R54" s="29">
        <f>FUELUSE(Q54,Q17,R17,Q27,R27,R$39,R$40,R$41,$E44,$F44,$G44,$H44,$I44)</f>
        <v>241.85374047418912</v>
      </c>
      <c r="S54" s="29">
        <f>FUELUSE(R54,R17,S17,R27,S27,S$39,S$40,S$41,$E44,$F44,$G44,$H44,$I44)</f>
        <v>248.19368529175665</v>
      </c>
      <c r="T54" s="29">
        <f>FUELUSE(S54,S17,T17,S27,T27,T$39,T$40,T$41,$E44,$F44,$G44,$H44,$I44)</f>
        <v>254.26779674013872</v>
      </c>
      <c r="U54" s="29">
        <f>FUELUSE(T54,T17,U17,T27,U27,U$39,U$40,U$41,$E44,$F44,$G44,$H44,$I44)</f>
        <v>260.35638985714348</v>
      </c>
      <c r="V54" s="29">
        <f>FUELUSE(U54,U17,V17,U27,V27,V$39,V$40,V$41,$E44,$F44,$G44,$H44,$I44)</f>
        <v>265.28547286301574</v>
      </c>
      <c r="W54" s="29">
        <f>FUELUSE(V54,V17,W17,V27,W27,W$39,W$40,W$41,$E44,$F44,$G44,$H44,$I44)</f>
        <v>270.22699380634299</v>
      </c>
      <c r="X54" s="29">
        <f>FUELUSE(W54,W17,X17,W27,X27,X$39,X$40,X$41,$E44,$F44,$G44,$H44,$I44)</f>
        <v>275.1795441978602</v>
      </c>
      <c r="Y54" s="29">
        <f>FUELUSE(X54,X17,Y17,X27,Y27,Y$39,Y$40,Y$41,$E44,$F44,$G44,$H44,$I44)</f>
        <v>280.14172796099177</v>
      </c>
      <c r="Z54" s="29">
        <f>FUELUSE(Y54,Y17,Z17,Y27,Z27,Z$39,Z$40,Z$41,$E44,$F44,$G44,$H44,$I44)</f>
        <v>285.11216024955411</v>
      </c>
      <c r="AA54" s="29">
        <f>FUELUSE(Z54,Z17,AA17,Z27,AA27,AA$39,AA$40,AA$41,$E44,$F44,$G44,$H44,$I44)</f>
        <v>290.08946613853806</v>
      </c>
      <c r="AB54" s="29">
        <f>FUELUSE(AA54,AA17,AB17,AA27,AB27,AB$39,AB$40,AB$41,$E44,$F44,$G44,$H44,$I44)</f>
        <v>295.07227919448803</v>
      </c>
      <c r="AC54" s="29">
        <f>FUELUSE(AB54,AB17,AC17,AB27,AC27,AC$39,AC$40,AC$41,$E44,$F44,$G44,$H44,$I44)</f>
        <v>300.05923993157506</v>
      </c>
      <c r="AD54" s="29">
        <f>FUELUSE(AC54,AC17,AD17,AC27,AD27,AD$39,AD$40,AD$41,$E44,$F44,$G44,$H44,$I44)</f>
        <v>305.04899415904629</v>
      </c>
      <c r="AE54" s="29">
        <f>FUELUSE(AD54,AD17,AE17,AD27,AE27,AE$39,AE$40,AE$41,$E44,$F44,$G44,$H44,$I44)</f>
        <v>310.04019122530309</v>
      </c>
    </row>
    <row r="55" spans="2:31" x14ac:dyDescent="0.25">
      <c r="B55" s="17" t="s">
        <v>57</v>
      </c>
      <c r="C55" s="17" t="str">
        <f t="shared" si="4"/>
        <v>irn</v>
      </c>
      <c r="D55" s="18" t="s">
        <v>58</v>
      </c>
      <c r="E55" s="19" t="s">
        <v>112</v>
      </c>
      <c r="F55" s="17" t="s">
        <v>113</v>
      </c>
      <c r="G55" s="20" t="str">
        <f>Settings!$B$3&amp;".mit.enc."&amp;$B55</f>
        <v>egy.mit.enc.nga</v>
      </c>
      <c r="H55" s="21" t="str">
        <f>OUTCODE(Settings!$B$3,"ener",$C$5,$B55,$J$5)</f>
        <v>egy.mit.ener.irn.nga.e.1</v>
      </c>
      <c r="L55" s="28">
        <f>INDEX(Data_Energy!$D$3:$U$22,MATCH($B55,Data_Energy!$C$3:$C$22,0),MATCH($C55,Data_Energy!$D$2:$U$2,0))</f>
        <v>1669.056719042127</v>
      </c>
      <c r="M55" s="29">
        <f>FUELUSE(L55,L18,M18,L28,M28,M$39,M$40,M$41,$E45,$F45,$G45,$H45,$I45)</f>
        <v>1431.7775208824842</v>
      </c>
      <c r="N55" s="29">
        <f>FUELUSE(M55,M18,N18,M28,N28,N$39,N$40,N$41,$E45,$F45,$G45,$H45,$I45)</f>
        <v>1603.1180815212294</v>
      </c>
      <c r="O55" s="29">
        <f>FUELUSE(N55,N18,O18,N28,O28,O$39,O$40,O$41,$E45,$F45,$G45,$H45,$I45)</f>
        <v>1666.4691074748559</v>
      </c>
      <c r="P55" s="29">
        <f>FUELUSE(O55,O18,P18,O28,P28,P$39,P$40,P$41,$E45,$F45,$G45,$H45,$I45)</f>
        <v>1729.0519522219943</v>
      </c>
      <c r="Q55" s="29">
        <f>FUELUSE(P55,P18,Q18,P28,Q28,Q$39,Q$40,Q$41,$E45,$F45,$G45,$H45,$I45)</f>
        <v>1803.6196014388554</v>
      </c>
      <c r="R55" s="29">
        <f>FUELUSE(Q55,Q18,R18,Q28,R28,R$39,R$40,R$41,$E45,$F45,$G45,$H45,$I45)</f>
        <v>1893.1814307796601</v>
      </c>
      <c r="S55" s="29">
        <f>FUELUSE(R55,R18,S18,R28,S28,S$39,S$40,S$41,$E45,$F45,$G45,$H45,$I45)</f>
        <v>1980.2914020526989</v>
      </c>
      <c r="T55" s="29">
        <f>FUELUSE(S55,S18,T18,S28,T28,T$39,T$40,T$41,$E45,$F45,$G45,$H45,$I45)</f>
        <v>2062.9630959218894</v>
      </c>
      <c r="U55" s="29">
        <f>FUELUSE(T55,T18,U18,T28,U28,U$39,U$40,U$41,$E45,$F45,$G45,$H45,$I45)</f>
        <v>2147.4247884614911</v>
      </c>
      <c r="V55" s="29">
        <f>FUELUSE(U55,U18,V18,U28,V28,V$39,V$40,V$41,$E45,$F45,$G45,$H45,$I45)</f>
        <v>2233.9848148462829</v>
      </c>
      <c r="W55" s="29">
        <f>FUELUSE(V55,V18,W18,V28,W28,W$39,W$40,W$41,$E45,$F45,$G45,$H45,$I45)</f>
        <v>2322.6434118442571</v>
      </c>
      <c r="X55" s="29">
        <f>FUELUSE(W55,W18,X18,W28,X28,X$39,X$40,X$41,$E45,$F45,$G45,$H45,$I45)</f>
        <v>2413.3992465193564</v>
      </c>
      <c r="Y55" s="29">
        <f>FUELUSE(X55,X18,Y18,X28,Y28,Y$39,Y$40,Y$41,$E45,$F45,$G45,$H45,$I45)</f>
        <v>2506.2493925354479</v>
      </c>
      <c r="Z55" s="29">
        <f>FUELUSE(Y55,Y18,Z18,Y28,Z28,Z$39,Z$40,Z$41,$E45,$F45,$G45,$H45,$I45)</f>
        <v>2601.1893032263947</v>
      </c>
      <c r="AA55" s="29">
        <f>FUELUSE(Z55,Z18,AA18,Z28,AA28,AA$39,AA$40,AA$41,$E45,$F45,$G45,$H45,$I45)</f>
        <v>2698.2127811658643</v>
      </c>
      <c r="AB55" s="29">
        <f>FUELUSE(AA55,AA18,AB18,AA28,AB28,AB$39,AB$40,AB$41,$E45,$F45,$G45,$H45,$I45)</f>
        <v>2797.3119439811449</v>
      </c>
      <c r="AC55" s="29">
        <f>FUELUSE(AB55,AB18,AC18,AB28,AC28,AC$39,AC$40,AC$41,$E45,$F45,$G45,$H45,$I45)</f>
        <v>2898.4771861653189</v>
      </c>
      <c r="AD55" s="29">
        <f>FUELUSE(AC55,AC18,AD18,AC28,AD28,AD$39,AD$40,AD$41,$E45,$F45,$G45,$H45,$I45)</f>
        <v>3001.6971366522098</v>
      </c>
      <c r="AE55" s="29">
        <f>FUELUSE(AD55,AD18,AE18,AD28,AE28,AE$39,AE$40,AE$41,$E45,$F45,$G45,$H45,$I45)</f>
        <v>3106.9586119280375</v>
      </c>
    </row>
    <row r="56" spans="2:31" x14ac:dyDescent="0.25">
      <c r="B56" s="17" t="s">
        <v>59</v>
      </c>
      <c r="C56" s="17" t="str">
        <f t="shared" si="4"/>
        <v>irn</v>
      </c>
      <c r="D56" s="18" t="s">
        <v>60</v>
      </c>
      <c r="E56" s="19" t="s">
        <v>112</v>
      </c>
      <c r="F56" s="17" t="s">
        <v>113</v>
      </c>
      <c r="G56" s="20" t="str">
        <f>Settings!$B$3&amp;".mit.enc."&amp;$B56</f>
        <v>egy.mit.enc.gso</v>
      </c>
      <c r="H56" s="21" t="str">
        <f>OUTCODE(Settings!$B$3,"ener",$C$5,$B56,$J$5)</f>
        <v>egy.mit.ener.irn.gso.e.1</v>
      </c>
      <c r="L56" s="28">
        <f>INDEX(Data_Energy!$D$3:$U$22,MATCH($B56,Data_Energy!$C$3:$C$22,0),MATCH($C56,Data_Energy!$D$2:$U$2,0))</f>
        <v>0</v>
      </c>
      <c r="M56" s="29">
        <f>FUELUSE(L56,L19,M19,L29,M29,M$39,M$40,M$41,$E46,$F46,$G46,$H46,$I46)</f>
        <v>0</v>
      </c>
      <c r="N56" s="29">
        <f>FUELUSE(M56,M19,N19,M29,N29,N$39,N$40,N$41,$E46,$F46,$G46,$H46,$I46)</f>
        <v>0</v>
      </c>
      <c r="O56" s="29">
        <f>FUELUSE(N56,N19,O19,N29,O29,O$39,O$40,O$41,$E46,$F46,$G46,$H46,$I46)</f>
        <v>0</v>
      </c>
      <c r="P56" s="29">
        <f>FUELUSE(O56,O19,P19,O29,P29,P$39,P$40,P$41,$E46,$F46,$G46,$H46,$I46)</f>
        <v>0</v>
      </c>
      <c r="Q56" s="29">
        <f>FUELUSE(P56,P19,Q19,P29,Q29,Q$39,Q$40,Q$41,$E46,$F46,$G46,$H46,$I46)</f>
        <v>0</v>
      </c>
      <c r="R56" s="29">
        <f>FUELUSE(Q56,Q19,R19,Q29,R29,R$39,R$40,R$41,$E46,$F46,$G46,$H46,$I46)</f>
        <v>0</v>
      </c>
      <c r="S56" s="29">
        <f>FUELUSE(R56,R19,S19,R29,S29,S$39,S$40,S$41,$E46,$F46,$G46,$H46,$I46)</f>
        <v>0</v>
      </c>
      <c r="T56" s="29">
        <f>FUELUSE(S56,S19,T19,S29,T29,T$39,T$40,T$41,$E46,$F46,$G46,$H46,$I46)</f>
        <v>0</v>
      </c>
      <c r="U56" s="29">
        <f>FUELUSE(T56,T19,U19,T29,U29,U$39,U$40,U$41,$E46,$F46,$G46,$H46,$I46)</f>
        <v>0</v>
      </c>
      <c r="V56" s="29">
        <f>FUELUSE(U56,U19,V19,U29,V29,V$39,V$40,V$41,$E46,$F46,$G46,$H46,$I46)</f>
        <v>0</v>
      </c>
      <c r="W56" s="29">
        <f>FUELUSE(V56,V19,W19,V29,W29,W$39,W$40,W$41,$E46,$F46,$G46,$H46,$I46)</f>
        <v>0</v>
      </c>
      <c r="X56" s="29">
        <f>FUELUSE(W56,W19,X19,W29,X29,X$39,X$40,X$41,$E46,$F46,$G46,$H46,$I46)</f>
        <v>0</v>
      </c>
      <c r="Y56" s="29">
        <f>FUELUSE(X56,X19,Y19,X29,Y29,Y$39,Y$40,Y$41,$E46,$F46,$G46,$H46,$I46)</f>
        <v>0</v>
      </c>
      <c r="Z56" s="29">
        <f>FUELUSE(Y56,Y19,Z19,Y29,Z29,Z$39,Z$40,Z$41,$E46,$F46,$G46,$H46,$I46)</f>
        <v>0</v>
      </c>
      <c r="AA56" s="29">
        <f>FUELUSE(Z56,Z19,AA19,Z29,AA29,AA$39,AA$40,AA$41,$E46,$F46,$G46,$H46,$I46)</f>
        <v>0</v>
      </c>
      <c r="AB56" s="29">
        <f>FUELUSE(AA56,AA19,AB19,AA29,AB29,AB$39,AB$40,AB$41,$E46,$F46,$G46,$H46,$I46)</f>
        <v>0</v>
      </c>
      <c r="AC56" s="29">
        <f>FUELUSE(AB56,AB19,AC19,AB29,AC29,AC$39,AC$40,AC$41,$E46,$F46,$G46,$H46,$I46)</f>
        <v>0</v>
      </c>
      <c r="AD56" s="29">
        <f>FUELUSE(AC56,AC19,AD19,AC29,AD29,AD$39,AD$40,AD$41,$E46,$F46,$G46,$H46,$I46)</f>
        <v>0</v>
      </c>
      <c r="AE56" s="29">
        <f>FUELUSE(AD56,AD19,AE19,AD29,AE29,AE$39,AE$40,AE$41,$E46,$F46,$G46,$H46,$I46)</f>
        <v>0</v>
      </c>
    </row>
    <row r="57" spans="2:31" x14ac:dyDescent="0.25">
      <c r="B57" s="17" t="s">
        <v>62</v>
      </c>
      <c r="C57" s="17" t="str">
        <f t="shared" si="4"/>
        <v>irn</v>
      </c>
      <c r="D57" s="18" t="s">
        <v>63</v>
      </c>
      <c r="E57" s="19" t="s">
        <v>112</v>
      </c>
      <c r="F57" s="17" t="s">
        <v>113</v>
      </c>
      <c r="G57" s="20" t="str">
        <f>Settings!$B$3&amp;".mit.enc."&amp;$B57</f>
        <v>egy.mit.enc.die</v>
      </c>
      <c r="H57" s="21" t="str">
        <f>OUTCODE(Settings!$B$3,"ener",$C$5,$B57,$J$5)</f>
        <v>egy.mit.ener.irn.die.e.1</v>
      </c>
      <c r="L57" s="28">
        <f>INDEX(Data_Energy!$D$3:$U$22,MATCH($B57,Data_Energy!$C$3:$C$22,0),MATCH($C57,Data_Energy!$D$2:$U$2,0))</f>
        <v>0</v>
      </c>
      <c r="M57" s="29">
        <f>FUELUSE(L57,L20,M20,L30,M30,M$39,M$40,M$41,$E47,$F47,$G47,$H47,$I47)</f>
        <v>0</v>
      </c>
      <c r="N57" s="29">
        <f>FUELUSE(M57,M20,N20,M30,N30,N$39,N$40,N$41,$E47,$F47,$G47,$H47,$I47)</f>
        <v>0</v>
      </c>
      <c r="O57" s="29">
        <f>FUELUSE(N57,N20,O20,N30,O30,O$39,O$40,O$41,$E47,$F47,$G47,$H47,$I47)</f>
        <v>0</v>
      </c>
      <c r="P57" s="29">
        <f>FUELUSE(O57,O20,P20,O30,P30,P$39,P$40,P$41,$E47,$F47,$G47,$H47,$I47)</f>
        <v>0</v>
      </c>
      <c r="Q57" s="29">
        <f>FUELUSE(P57,P20,Q20,P30,Q30,Q$39,Q$40,Q$41,$E47,$F47,$G47,$H47,$I47)</f>
        <v>0</v>
      </c>
      <c r="R57" s="29">
        <f>FUELUSE(Q57,Q20,R20,Q30,R30,R$39,R$40,R$41,$E47,$F47,$G47,$H47,$I47)</f>
        <v>0</v>
      </c>
      <c r="S57" s="29">
        <f>FUELUSE(R57,R20,S20,R30,S30,S$39,S$40,S$41,$E47,$F47,$G47,$H47,$I47)</f>
        <v>0</v>
      </c>
      <c r="T57" s="29">
        <f>FUELUSE(S57,S20,T20,S30,T30,T$39,T$40,T$41,$E47,$F47,$G47,$H47,$I47)</f>
        <v>0</v>
      </c>
      <c r="U57" s="29">
        <f>FUELUSE(T57,T20,U20,T30,U30,U$39,U$40,U$41,$E47,$F47,$G47,$H47,$I47)</f>
        <v>0</v>
      </c>
      <c r="V57" s="29">
        <f>FUELUSE(U57,U20,V20,U30,V30,V$39,V$40,V$41,$E47,$F47,$G47,$H47,$I47)</f>
        <v>0</v>
      </c>
      <c r="W57" s="29">
        <f>FUELUSE(V57,V20,W20,V30,W30,W$39,W$40,W$41,$E47,$F47,$G47,$H47,$I47)</f>
        <v>0</v>
      </c>
      <c r="X57" s="29">
        <f>FUELUSE(W57,W20,X20,W30,X30,X$39,X$40,X$41,$E47,$F47,$G47,$H47,$I47)</f>
        <v>0</v>
      </c>
      <c r="Y57" s="29">
        <f>FUELUSE(X57,X20,Y20,X30,Y30,Y$39,Y$40,Y$41,$E47,$F47,$G47,$H47,$I47)</f>
        <v>0</v>
      </c>
      <c r="Z57" s="29">
        <f>FUELUSE(Y57,Y20,Z20,Y30,Z30,Z$39,Z$40,Z$41,$E47,$F47,$G47,$H47,$I47)</f>
        <v>0</v>
      </c>
      <c r="AA57" s="29">
        <f>FUELUSE(Z57,Z20,AA20,Z30,AA30,AA$39,AA$40,AA$41,$E47,$F47,$G47,$H47,$I47)</f>
        <v>0</v>
      </c>
      <c r="AB57" s="29">
        <f>FUELUSE(AA57,AA20,AB20,AA30,AB30,AB$39,AB$40,AB$41,$E47,$F47,$G47,$H47,$I47)</f>
        <v>0</v>
      </c>
      <c r="AC57" s="29">
        <f>FUELUSE(AB57,AB20,AC20,AB30,AC30,AC$39,AC$40,AC$41,$E47,$F47,$G47,$H47,$I47)</f>
        <v>0</v>
      </c>
      <c r="AD57" s="29">
        <f>FUELUSE(AC57,AC20,AD20,AC30,AD30,AD$39,AD$40,AD$41,$E47,$F47,$G47,$H47,$I47)</f>
        <v>0</v>
      </c>
      <c r="AE57" s="29">
        <f>FUELUSE(AD57,AD20,AE20,AD30,AE30,AE$39,AE$40,AE$41,$E47,$F47,$G47,$H47,$I47)</f>
        <v>0</v>
      </c>
    </row>
    <row r="58" spans="2:31" x14ac:dyDescent="0.25">
      <c r="B58" s="17" t="s">
        <v>64</v>
      </c>
      <c r="C58" s="17" t="str">
        <f t="shared" si="4"/>
        <v>irn</v>
      </c>
      <c r="D58" s="18" t="s">
        <v>65</v>
      </c>
      <c r="E58" s="19" t="s">
        <v>112</v>
      </c>
      <c r="F58" s="17" t="s">
        <v>113</v>
      </c>
      <c r="G58" s="20" t="str">
        <f>Settings!$B$3&amp;".mit.enc."&amp;$B58</f>
        <v>egy.mit.enc.lpg</v>
      </c>
      <c r="H58" s="21" t="str">
        <f>OUTCODE(Settings!$B$3,"ener",$C$5,$B58,$J$5)</f>
        <v>egy.mit.ener.irn.lpg.e.1</v>
      </c>
      <c r="L58" s="28">
        <f>INDEX(Data_Energy!$D$3:$U$22,MATCH($B58,Data_Energy!$C$3:$C$22,0),MATCH($C58,Data_Energy!$D$2:$U$2,0))</f>
        <v>0</v>
      </c>
      <c r="M58" s="29">
        <f>FUELUSE(L58,L21,M21,L31,M31,M$39,M$40,M$41,$E48,$F48,$G48,$H48,$I48)</f>
        <v>0</v>
      </c>
      <c r="N58" s="29">
        <f>FUELUSE(M58,M21,N21,M31,N31,N$39,N$40,N$41,$E48,$F48,$G48,$H48,$I48)</f>
        <v>0</v>
      </c>
      <c r="O58" s="29">
        <f>FUELUSE(N58,N21,O21,N31,O31,O$39,O$40,O$41,$E48,$F48,$G48,$H48,$I48)</f>
        <v>0</v>
      </c>
      <c r="P58" s="29">
        <f>FUELUSE(O58,O21,P21,O31,P31,P$39,P$40,P$41,$E48,$F48,$G48,$H48,$I48)</f>
        <v>0</v>
      </c>
      <c r="Q58" s="29">
        <f>FUELUSE(P58,P21,Q21,P31,Q31,Q$39,Q$40,Q$41,$E48,$F48,$G48,$H48,$I48)</f>
        <v>0</v>
      </c>
      <c r="R58" s="29">
        <f>FUELUSE(Q58,Q21,R21,Q31,R31,R$39,R$40,R$41,$E48,$F48,$G48,$H48,$I48)</f>
        <v>0</v>
      </c>
      <c r="S58" s="29">
        <f>FUELUSE(R58,R21,S21,R31,S31,S$39,S$40,S$41,$E48,$F48,$G48,$H48,$I48)</f>
        <v>0</v>
      </c>
      <c r="T58" s="29">
        <f>FUELUSE(S58,S21,T21,S31,T31,T$39,T$40,T$41,$E48,$F48,$G48,$H48,$I48)</f>
        <v>0</v>
      </c>
      <c r="U58" s="29">
        <f>FUELUSE(T58,T21,U21,T31,U31,U$39,U$40,U$41,$E48,$F48,$G48,$H48,$I48)</f>
        <v>0</v>
      </c>
      <c r="V58" s="29">
        <f>FUELUSE(U58,U21,V21,U31,V31,V$39,V$40,V$41,$E48,$F48,$G48,$H48,$I48)</f>
        <v>0</v>
      </c>
      <c r="W58" s="29">
        <f>FUELUSE(V58,V21,W21,V31,W31,W$39,W$40,W$41,$E48,$F48,$G48,$H48,$I48)</f>
        <v>0</v>
      </c>
      <c r="X58" s="29">
        <f>FUELUSE(W58,W21,X21,W31,X31,X$39,X$40,X$41,$E48,$F48,$G48,$H48,$I48)</f>
        <v>0</v>
      </c>
      <c r="Y58" s="29">
        <f>FUELUSE(X58,X21,Y21,X31,Y31,Y$39,Y$40,Y$41,$E48,$F48,$G48,$H48,$I48)</f>
        <v>0</v>
      </c>
      <c r="Z58" s="29">
        <f>FUELUSE(Y58,Y21,Z21,Y31,Z31,Z$39,Z$40,Z$41,$E48,$F48,$G48,$H48,$I48)</f>
        <v>0</v>
      </c>
      <c r="AA58" s="29">
        <f>FUELUSE(Z58,Z21,AA21,Z31,AA31,AA$39,AA$40,AA$41,$E48,$F48,$G48,$H48,$I48)</f>
        <v>0</v>
      </c>
      <c r="AB58" s="29">
        <f>FUELUSE(AA58,AA21,AB21,AA31,AB31,AB$39,AB$40,AB$41,$E48,$F48,$G48,$H48,$I48)</f>
        <v>0</v>
      </c>
      <c r="AC58" s="29">
        <f>FUELUSE(AB58,AB21,AC21,AB31,AC31,AC$39,AC$40,AC$41,$E48,$F48,$G48,$H48,$I48)</f>
        <v>0</v>
      </c>
      <c r="AD58" s="29">
        <f>FUELUSE(AC58,AC21,AD21,AC31,AD31,AD$39,AD$40,AD$41,$E48,$F48,$G48,$H48,$I48)</f>
        <v>0</v>
      </c>
      <c r="AE58" s="29">
        <f>FUELUSE(AD58,AD21,AE21,AD31,AE31,AE$39,AE$40,AE$41,$E48,$F48,$G48,$H48,$I48)</f>
        <v>0</v>
      </c>
    </row>
    <row r="59" spans="2:31" x14ac:dyDescent="0.25">
      <c r="B59" s="17" t="s">
        <v>66</v>
      </c>
      <c r="C59" s="17" t="str">
        <f t="shared" si="4"/>
        <v>irn</v>
      </c>
      <c r="D59" s="18" t="s">
        <v>67</v>
      </c>
      <c r="E59" s="19" t="s">
        <v>112</v>
      </c>
      <c r="F59" s="17" t="s">
        <v>113</v>
      </c>
      <c r="G59" s="20" t="str">
        <f>Settings!$B$3&amp;".mit.enc."&amp;$B59</f>
        <v>egy.mit.enc.ker</v>
      </c>
      <c r="H59" s="21" t="str">
        <f>OUTCODE(Settings!$B$3,"ener",$C$5,$B59,$J$5)</f>
        <v>egy.mit.ener.irn.ker.e.1</v>
      </c>
      <c r="L59" s="28">
        <f>INDEX(Data_Energy!$D$3:$U$22,MATCH($B59,Data_Energy!$C$3:$C$22,0),MATCH($C59,Data_Energy!$D$2:$U$2,0))</f>
        <v>0</v>
      </c>
      <c r="M59" s="29">
        <f>FUELUSE(L59,L22,M22,L32,M32,M$39,M$40,M$41,$E49,$F49,$G49,$H49,$I49)</f>
        <v>0</v>
      </c>
      <c r="N59" s="29">
        <f>FUELUSE(M59,M22,N22,M32,N32,N$39,N$40,N$41,$E49,$F49,$G49,$H49,$I49)</f>
        <v>0</v>
      </c>
      <c r="O59" s="29">
        <f>FUELUSE(N59,N22,O22,N32,O32,O$39,O$40,O$41,$E49,$F49,$G49,$H49,$I49)</f>
        <v>0</v>
      </c>
      <c r="P59" s="29">
        <f>FUELUSE(O59,O22,P22,O32,P32,P$39,P$40,P$41,$E49,$F49,$G49,$H49,$I49)</f>
        <v>0</v>
      </c>
      <c r="Q59" s="29">
        <f>FUELUSE(P59,P22,Q22,P32,Q32,Q$39,Q$40,Q$41,$E49,$F49,$G49,$H49,$I49)</f>
        <v>0</v>
      </c>
      <c r="R59" s="29">
        <f>FUELUSE(Q59,Q22,R22,Q32,R32,R$39,R$40,R$41,$E49,$F49,$G49,$H49,$I49)</f>
        <v>0</v>
      </c>
      <c r="S59" s="29">
        <f>FUELUSE(R59,R22,S22,R32,S32,S$39,S$40,S$41,$E49,$F49,$G49,$H49,$I49)</f>
        <v>0</v>
      </c>
      <c r="T59" s="29">
        <f>FUELUSE(S59,S22,T22,S32,T32,T$39,T$40,T$41,$E49,$F49,$G49,$H49,$I49)</f>
        <v>0</v>
      </c>
      <c r="U59" s="29">
        <f>FUELUSE(T59,T22,U22,T32,U32,U$39,U$40,U$41,$E49,$F49,$G49,$H49,$I49)</f>
        <v>0</v>
      </c>
      <c r="V59" s="29">
        <f>FUELUSE(U59,U22,V22,U32,V32,V$39,V$40,V$41,$E49,$F49,$G49,$H49,$I49)</f>
        <v>0</v>
      </c>
      <c r="W59" s="29">
        <f>FUELUSE(V59,V22,W22,V32,W32,W$39,W$40,W$41,$E49,$F49,$G49,$H49,$I49)</f>
        <v>0</v>
      </c>
      <c r="X59" s="29">
        <f>FUELUSE(W59,W22,X22,W32,X32,X$39,X$40,X$41,$E49,$F49,$G49,$H49,$I49)</f>
        <v>0</v>
      </c>
      <c r="Y59" s="29">
        <f>FUELUSE(X59,X22,Y22,X32,Y32,Y$39,Y$40,Y$41,$E49,$F49,$G49,$H49,$I49)</f>
        <v>0</v>
      </c>
      <c r="Z59" s="29">
        <f>FUELUSE(Y59,Y22,Z22,Y32,Z32,Z$39,Z$40,Z$41,$E49,$F49,$G49,$H49,$I49)</f>
        <v>0</v>
      </c>
      <c r="AA59" s="29">
        <f>FUELUSE(Z59,Z22,AA22,Z32,AA32,AA$39,AA$40,AA$41,$E49,$F49,$G49,$H49,$I49)</f>
        <v>0</v>
      </c>
      <c r="AB59" s="29">
        <f>FUELUSE(AA59,AA22,AB22,AA32,AB32,AB$39,AB$40,AB$41,$E49,$F49,$G49,$H49,$I49)</f>
        <v>0</v>
      </c>
      <c r="AC59" s="29">
        <f>FUELUSE(AB59,AB22,AC22,AB32,AC32,AC$39,AC$40,AC$41,$E49,$F49,$G49,$H49,$I49)</f>
        <v>0</v>
      </c>
      <c r="AD59" s="29">
        <f>FUELUSE(AC59,AC22,AD22,AC32,AD32,AD$39,AD$40,AD$41,$E49,$F49,$G49,$H49,$I49)</f>
        <v>0</v>
      </c>
      <c r="AE59" s="29">
        <f>FUELUSE(AD59,AD22,AE22,AD32,AE32,AE$39,AE$40,AE$41,$E49,$F49,$G49,$H49,$I49)</f>
        <v>0</v>
      </c>
    </row>
    <row r="60" spans="2:31" x14ac:dyDescent="0.25">
      <c r="B60" s="17" t="s">
        <v>68</v>
      </c>
      <c r="C60" s="17" t="str">
        <f t="shared" si="4"/>
        <v>irn</v>
      </c>
      <c r="D60" s="18" t="s">
        <v>69</v>
      </c>
      <c r="E60" s="19" t="s">
        <v>112</v>
      </c>
      <c r="F60" s="17" t="s">
        <v>113</v>
      </c>
      <c r="G60" s="20" t="str">
        <f>Settings!$B$3&amp;".mit.enc."&amp;$B60</f>
        <v>egy.mit.enc.oop</v>
      </c>
      <c r="H60" s="21" t="str">
        <f>OUTCODE(Settings!$B$3,"ener",$C$5,$B60,$J$5)</f>
        <v>egy.mit.ener.irn.oop.e.1</v>
      </c>
      <c r="L60" s="28">
        <f>INDEX(Data_Energy!$D$3:$U$22,MATCH($B60,Data_Energy!$C$3:$C$22,0),MATCH($C60,Data_Energy!$D$2:$U$2,0))</f>
        <v>0</v>
      </c>
      <c r="M60" s="29">
        <f>FUELUSE(L60,L23,M23,L33,M33,M$39,M$40,M$41,$E50,$F50,$G50,$H50,$I50)</f>
        <v>0</v>
      </c>
      <c r="N60" s="29">
        <f>FUELUSE(M60,M23,N23,M33,N33,N$39,N$40,N$41,$E50,$F50,$G50,$H50,$I50)</f>
        <v>0</v>
      </c>
      <c r="O60" s="29">
        <f>FUELUSE(N60,N23,O23,N33,O33,O$39,O$40,O$41,$E50,$F50,$G50,$H50,$I50)</f>
        <v>0</v>
      </c>
      <c r="P60" s="29">
        <f>FUELUSE(O60,O23,P23,O33,P33,P$39,P$40,P$41,$E50,$F50,$G50,$H50,$I50)</f>
        <v>0</v>
      </c>
      <c r="Q60" s="29">
        <f>FUELUSE(P60,P23,Q23,P33,Q33,Q$39,Q$40,Q$41,$E50,$F50,$G50,$H50,$I50)</f>
        <v>0</v>
      </c>
      <c r="R60" s="29">
        <f>FUELUSE(Q60,Q23,R23,Q33,R33,R$39,R$40,R$41,$E50,$F50,$G50,$H50,$I50)</f>
        <v>0</v>
      </c>
      <c r="S60" s="29">
        <f>FUELUSE(R60,R23,S23,R33,S33,S$39,S$40,S$41,$E50,$F50,$G50,$H50,$I50)</f>
        <v>0</v>
      </c>
      <c r="T60" s="29">
        <f>FUELUSE(S60,S23,T23,S33,T33,T$39,T$40,T$41,$E50,$F50,$G50,$H50,$I50)</f>
        <v>0</v>
      </c>
      <c r="U60" s="29">
        <f>FUELUSE(T60,T23,U23,T33,U33,U$39,U$40,U$41,$E50,$F50,$G50,$H50,$I50)</f>
        <v>0</v>
      </c>
      <c r="V60" s="29">
        <f>FUELUSE(U60,U23,V23,U33,V33,V$39,V$40,V$41,$E50,$F50,$G50,$H50,$I50)</f>
        <v>0</v>
      </c>
      <c r="W60" s="29">
        <f>FUELUSE(V60,V23,W23,V33,W33,W$39,W$40,W$41,$E50,$F50,$G50,$H50,$I50)</f>
        <v>0</v>
      </c>
      <c r="X60" s="29">
        <f>FUELUSE(W60,W23,X23,W33,X33,X$39,X$40,X$41,$E50,$F50,$G50,$H50,$I50)</f>
        <v>0</v>
      </c>
      <c r="Y60" s="29">
        <f>FUELUSE(X60,X23,Y23,X33,Y33,Y$39,Y$40,Y$41,$E50,$F50,$G50,$H50,$I50)</f>
        <v>0</v>
      </c>
      <c r="Z60" s="29">
        <f>FUELUSE(Y60,Y23,Z23,Y33,Z33,Z$39,Z$40,Z$41,$E50,$F50,$G50,$H50,$I50)</f>
        <v>0</v>
      </c>
      <c r="AA60" s="29">
        <f>FUELUSE(Z60,Z23,AA23,Z33,AA33,AA$39,AA$40,AA$41,$E50,$F50,$G50,$H50,$I50)</f>
        <v>0</v>
      </c>
      <c r="AB60" s="29">
        <f>FUELUSE(AA60,AA23,AB23,AA33,AB33,AB$39,AB$40,AB$41,$E50,$F50,$G50,$H50,$I50)</f>
        <v>0</v>
      </c>
      <c r="AC60" s="29">
        <f>FUELUSE(AB60,AB23,AC23,AB33,AC33,AC$39,AC$40,AC$41,$E50,$F50,$G50,$H50,$I50)</f>
        <v>0</v>
      </c>
      <c r="AD60" s="29">
        <f>FUELUSE(AC60,AC23,AD23,AC33,AD33,AD$39,AD$40,AD$41,$E50,$F50,$G50,$H50,$I50)</f>
        <v>0</v>
      </c>
      <c r="AE60" s="29">
        <f>FUELUSE(AD60,AD23,AE23,AD33,AE33,AE$39,AE$40,AE$41,$E50,$F50,$G50,$H50,$I50)</f>
        <v>0</v>
      </c>
    </row>
    <row r="61" spans="2:31" x14ac:dyDescent="0.25">
      <c r="B61" s="17" t="s">
        <v>71</v>
      </c>
      <c r="C61" s="17" t="str">
        <f t="shared" si="4"/>
        <v>irn</v>
      </c>
      <c r="D61" s="18" t="s">
        <v>72</v>
      </c>
      <c r="E61" s="19" t="s">
        <v>112</v>
      </c>
      <c r="F61" s="17" t="s">
        <v>113</v>
      </c>
      <c r="G61" s="20" t="str">
        <f>Settings!$B$3&amp;".mit.enc."&amp;$B61</f>
        <v>egy.mit.enc.bio</v>
      </c>
      <c r="H61" s="21" t="str">
        <f>OUTCODE(Settings!$B$3,"ener",$C$5,$B61,$J$5)</f>
        <v>egy.mit.ener.irn.bio.e.1</v>
      </c>
      <c r="L61" s="28">
        <f>INDEX(Data_Energy!$D$3:$U$22,MATCH($B61,Data_Energy!$C$3:$C$22,0),MATCH($C61,Data_Energy!$D$2:$U$2,0))</f>
        <v>0</v>
      </c>
      <c r="M61" s="29">
        <f>FUELUSE(L61,L24,M24,L34,M34,M$39,M$40,M$41,$E51,$F51,$G51,$H51,$I51)</f>
        <v>0</v>
      </c>
      <c r="N61" s="29">
        <f>FUELUSE(M61,M24,N24,M34,N34,N$39,N$40,N$41,$E51,$F51,$G51,$H51,$I51)</f>
        <v>0</v>
      </c>
      <c r="O61" s="29">
        <f>FUELUSE(N61,N24,O24,N34,O34,O$39,O$40,O$41,$E51,$F51,$G51,$H51,$I51)</f>
        <v>0</v>
      </c>
      <c r="P61" s="29">
        <f>FUELUSE(O61,O24,P24,O34,P34,P$39,P$40,P$41,$E51,$F51,$G51,$H51,$I51)</f>
        <v>0</v>
      </c>
      <c r="Q61" s="29">
        <f>FUELUSE(P61,P24,Q24,P34,Q34,Q$39,Q$40,Q$41,$E51,$F51,$G51,$H51,$I51)</f>
        <v>0</v>
      </c>
      <c r="R61" s="29">
        <f>FUELUSE(Q61,Q24,R24,Q34,R34,R$39,R$40,R$41,$E51,$F51,$G51,$H51,$I51)</f>
        <v>0</v>
      </c>
      <c r="S61" s="29">
        <f>FUELUSE(R61,R24,S24,R34,S34,S$39,S$40,S$41,$E51,$F51,$G51,$H51,$I51)</f>
        <v>0</v>
      </c>
      <c r="T61" s="29">
        <f>FUELUSE(S61,S24,T24,S34,T34,T$39,T$40,T$41,$E51,$F51,$G51,$H51,$I51)</f>
        <v>0</v>
      </c>
      <c r="U61" s="29">
        <f>FUELUSE(T61,T24,U24,T34,U34,U$39,U$40,U$41,$E51,$F51,$G51,$H51,$I51)</f>
        <v>0</v>
      </c>
      <c r="V61" s="29">
        <f>FUELUSE(U61,U24,V24,U34,V34,V$39,V$40,V$41,$E51,$F51,$G51,$H51,$I51)</f>
        <v>0</v>
      </c>
      <c r="W61" s="29">
        <f>FUELUSE(V61,V24,W24,V34,W34,W$39,W$40,W$41,$E51,$F51,$G51,$H51,$I51)</f>
        <v>0</v>
      </c>
      <c r="X61" s="29">
        <f>FUELUSE(W61,W24,X24,W34,X34,X$39,X$40,X$41,$E51,$F51,$G51,$H51,$I51)</f>
        <v>0</v>
      </c>
      <c r="Y61" s="29">
        <f>FUELUSE(X61,X24,Y24,X34,Y34,Y$39,Y$40,Y$41,$E51,$F51,$G51,$H51,$I51)</f>
        <v>0</v>
      </c>
      <c r="Z61" s="29">
        <f>FUELUSE(Y61,Y24,Z24,Y34,Z34,Z$39,Z$40,Z$41,$E51,$F51,$G51,$H51,$I51)</f>
        <v>0</v>
      </c>
      <c r="AA61" s="29">
        <f>FUELUSE(Z61,Z24,AA24,Z34,AA34,AA$39,AA$40,AA$41,$E51,$F51,$G51,$H51,$I51)</f>
        <v>0</v>
      </c>
      <c r="AB61" s="29">
        <f>FUELUSE(AA61,AA24,AB24,AA34,AB34,AB$39,AB$40,AB$41,$E51,$F51,$G51,$H51,$I51)</f>
        <v>0</v>
      </c>
      <c r="AC61" s="29">
        <f>FUELUSE(AB61,AB24,AC24,AB34,AC34,AC$39,AC$40,AC$41,$E51,$F51,$G51,$H51,$I51)</f>
        <v>0</v>
      </c>
      <c r="AD61" s="29">
        <f>FUELUSE(AC61,AC24,AD24,AC34,AD34,AD$39,AD$40,AD$41,$E51,$F51,$G51,$H51,$I51)</f>
        <v>0</v>
      </c>
      <c r="AE61" s="29">
        <f>FUELUSE(AD61,AD24,AE24,AD34,AE34,AE$39,AE$40,AE$41,$E51,$F51,$G51,$H51,$I51)</f>
        <v>0</v>
      </c>
    </row>
    <row r="62" spans="2:31" x14ac:dyDescent="0.25">
      <c r="B62" s="17" t="s">
        <v>73</v>
      </c>
      <c r="C62" s="17" t="str">
        <f t="shared" si="4"/>
        <v>irn</v>
      </c>
      <c r="D62" s="18" t="s">
        <v>74</v>
      </c>
      <c r="E62" s="19" t="s">
        <v>112</v>
      </c>
      <c r="F62" s="17" t="s">
        <v>113</v>
      </c>
      <c r="G62" s="20" t="str">
        <f>Settings!$B$3&amp;".mit.enc."&amp;$B62</f>
        <v>egy.mit.enc.ren</v>
      </c>
      <c r="H62" s="21" t="str">
        <f>OUTCODE(Settings!$B$3,"ener",$C$5,$B62,$J$5)</f>
        <v>egy.mit.ener.irn.ren.e.1</v>
      </c>
      <c r="L62" s="28">
        <f>INDEX(Data_Energy!$D$3:$U$22,MATCH($B62,Data_Energy!$C$3:$C$22,0),MATCH($C62,Data_Energy!$D$2:$U$2,0))</f>
        <v>0</v>
      </c>
      <c r="M62" s="29">
        <f>FUELUSE(L62,L25,M25,L35,M35,M$39,M$40,M$41,$E52,$F52,$G52,$H52,$I52)</f>
        <v>0</v>
      </c>
      <c r="N62" s="29">
        <f>FUELUSE(M62,M25,N25,M35,N35,N$39,N$40,N$41,$E52,$F52,$G52,$H52,$I52)</f>
        <v>0</v>
      </c>
      <c r="O62" s="29">
        <f>FUELUSE(N62,N25,O25,N35,O35,O$39,O$40,O$41,$E52,$F52,$G52,$H52,$I52)</f>
        <v>0</v>
      </c>
      <c r="P62" s="29">
        <f>FUELUSE(O62,O25,P25,O35,P35,P$39,P$40,P$41,$E52,$F52,$G52,$H52,$I52)</f>
        <v>0</v>
      </c>
      <c r="Q62" s="29">
        <f>FUELUSE(P62,P25,Q25,P35,Q35,Q$39,Q$40,Q$41,$E52,$F52,$G52,$H52,$I52)</f>
        <v>0</v>
      </c>
      <c r="R62" s="29">
        <f>FUELUSE(Q62,Q25,R25,Q35,R35,R$39,R$40,R$41,$E52,$F52,$G52,$H52,$I52)</f>
        <v>0</v>
      </c>
      <c r="S62" s="29">
        <f>FUELUSE(R62,R25,S25,R35,S35,S$39,S$40,S$41,$E52,$F52,$G52,$H52,$I52)</f>
        <v>0</v>
      </c>
      <c r="T62" s="29">
        <f>FUELUSE(S62,S25,T25,S35,T35,T$39,T$40,T$41,$E52,$F52,$G52,$H52,$I52)</f>
        <v>0</v>
      </c>
      <c r="U62" s="29">
        <f>FUELUSE(T62,T25,U25,T35,U35,U$39,U$40,U$41,$E52,$F52,$G52,$H52,$I52)</f>
        <v>0</v>
      </c>
      <c r="V62" s="29">
        <f>FUELUSE(U62,U25,V25,U35,V35,V$39,V$40,V$41,$E52,$F52,$G52,$H52,$I52)</f>
        <v>0</v>
      </c>
      <c r="W62" s="29">
        <f>FUELUSE(V62,V25,W25,V35,W35,W$39,W$40,W$41,$E52,$F52,$G52,$H52,$I52)</f>
        <v>0</v>
      </c>
      <c r="X62" s="29">
        <f>FUELUSE(W62,W25,X25,W35,X35,X$39,X$40,X$41,$E52,$F52,$G52,$H52,$I52)</f>
        <v>0</v>
      </c>
      <c r="Y62" s="29">
        <f>FUELUSE(X62,X25,Y25,X35,Y35,Y$39,Y$40,Y$41,$E52,$F52,$G52,$H52,$I52)</f>
        <v>0</v>
      </c>
      <c r="Z62" s="29">
        <f>FUELUSE(Y62,Y25,Z25,Y35,Z35,Z$39,Z$40,Z$41,$E52,$F52,$G52,$H52,$I52)</f>
        <v>0</v>
      </c>
      <c r="AA62" s="29">
        <f>FUELUSE(Z62,Z25,AA25,Z35,AA35,AA$39,AA$40,AA$41,$E52,$F52,$G52,$H52,$I52)</f>
        <v>0</v>
      </c>
      <c r="AB62" s="29">
        <f>FUELUSE(AA62,AA25,AB25,AA35,AB35,AB$39,AB$40,AB$41,$E52,$F52,$G52,$H52,$I52)</f>
        <v>0</v>
      </c>
      <c r="AC62" s="29">
        <f>FUELUSE(AB62,AB25,AC25,AB35,AC35,AC$39,AC$40,AC$41,$E52,$F52,$G52,$H52,$I52)</f>
        <v>0</v>
      </c>
      <c r="AD62" s="29">
        <f>FUELUSE(AC62,AC25,AD25,AC35,AD35,AD$39,AD$40,AD$41,$E52,$F52,$G52,$H52,$I52)</f>
        <v>0</v>
      </c>
      <c r="AE62" s="29">
        <f>FUELUSE(AD62,AD25,AE25,AD35,AE35,AE$39,AE$40,AE$41,$E52,$F52,$G52,$H52,$I52)</f>
        <v>0</v>
      </c>
    </row>
    <row r="63" spans="2:31" x14ac:dyDescent="0.25">
      <c r="B63" s="17" t="s">
        <v>114</v>
      </c>
      <c r="C63" s="17" t="str">
        <f t="shared" si="4"/>
        <v>irn</v>
      </c>
      <c r="D63" s="30" t="s">
        <v>115</v>
      </c>
      <c r="E63" s="19" t="s">
        <v>112</v>
      </c>
      <c r="F63" s="17" t="s">
        <v>113</v>
      </c>
      <c r="H63" s="21" t="str">
        <f>OUTCODE(Settings!$B$3,"ener",$C$5,"tot",$J$5)</f>
        <v>egy.mit.ener.irn.tot.e.1</v>
      </c>
      <c r="L63" s="31">
        <f t="shared" ref="L63:AE63" si="5">SUM(L54:L62)</f>
        <v>1901.7140738122584</v>
      </c>
      <c r="M63" s="31">
        <f t="shared" si="5"/>
        <v>1621.2301769893716</v>
      </c>
      <c r="N63" s="31">
        <f t="shared" si="5"/>
        <v>1820.8469202303706</v>
      </c>
      <c r="O63" s="31">
        <f t="shared" si="5"/>
        <v>1904.3670376253453</v>
      </c>
      <c r="P63" s="31">
        <f t="shared" si="5"/>
        <v>1961.7020212532389</v>
      </c>
      <c r="Q63" s="31">
        <f t="shared" si="5"/>
        <v>2038.9625416488916</v>
      </c>
      <c r="R63" s="31">
        <f t="shared" si="5"/>
        <v>2135.0351712538491</v>
      </c>
      <c r="S63" s="31">
        <f t="shared" si="5"/>
        <v>2228.4850873444557</v>
      </c>
      <c r="T63" s="31">
        <f t="shared" si="5"/>
        <v>2317.2308926620281</v>
      </c>
      <c r="U63" s="31">
        <f t="shared" si="5"/>
        <v>2407.7811783186344</v>
      </c>
      <c r="V63" s="31">
        <f t="shared" si="5"/>
        <v>2499.2702877092988</v>
      </c>
      <c r="W63" s="31">
        <f t="shared" si="5"/>
        <v>2592.8704056506003</v>
      </c>
      <c r="X63" s="31">
        <f t="shared" si="5"/>
        <v>2688.5787907172166</v>
      </c>
      <c r="Y63" s="31">
        <f t="shared" si="5"/>
        <v>2786.3911204964397</v>
      </c>
      <c r="Z63" s="31">
        <f t="shared" si="5"/>
        <v>2886.3014634759488</v>
      </c>
      <c r="AA63" s="31">
        <f t="shared" si="5"/>
        <v>2988.3022473044025</v>
      </c>
      <c r="AB63" s="31">
        <f t="shared" si="5"/>
        <v>3092.384223175633</v>
      </c>
      <c r="AC63" s="31">
        <f t="shared" si="5"/>
        <v>3198.536426096894</v>
      </c>
      <c r="AD63" s="31">
        <f t="shared" si="5"/>
        <v>3306.7461308112561</v>
      </c>
      <c r="AE63" s="31">
        <f t="shared" si="5"/>
        <v>3416.9988031533408</v>
      </c>
    </row>
    <row r="65" spans="1:35" x14ac:dyDescent="0.25">
      <c r="A65" s="12"/>
      <c r="B65" s="7" t="s">
        <v>116</v>
      </c>
      <c r="C65" s="8" t="s">
        <v>117</v>
      </c>
      <c r="D65" s="7" t="s">
        <v>48</v>
      </c>
      <c r="E65" s="8" t="s">
        <v>39</v>
      </c>
      <c r="F65" s="8" t="s">
        <v>49</v>
      </c>
      <c r="G65" s="8" t="s">
        <v>50</v>
      </c>
      <c r="H65" s="13" t="s">
        <v>42</v>
      </c>
      <c r="I65" s="7" t="s">
        <v>51</v>
      </c>
      <c r="J65" s="14">
        <v>1</v>
      </c>
      <c r="K65" s="7">
        <v>2021</v>
      </c>
      <c r="L65" s="15">
        <v>2022</v>
      </c>
      <c r="M65" s="7">
        <v>2023</v>
      </c>
      <c r="N65" s="7">
        <v>2024</v>
      </c>
      <c r="O65" s="7">
        <v>2025</v>
      </c>
      <c r="P65" s="7">
        <v>2026</v>
      </c>
      <c r="Q65" s="7">
        <v>2027</v>
      </c>
      <c r="R65" s="7">
        <v>2028</v>
      </c>
      <c r="S65" s="7">
        <v>2029</v>
      </c>
      <c r="T65" s="7">
        <v>2030</v>
      </c>
      <c r="U65" s="7">
        <v>2031</v>
      </c>
      <c r="V65" s="7">
        <v>2032</v>
      </c>
      <c r="W65" s="7">
        <v>2033</v>
      </c>
      <c r="X65" s="7">
        <v>2034</v>
      </c>
      <c r="Y65" s="7">
        <v>2035</v>
      </c>
      <c r="Z65" s="7">
        <v>2036</v>
      </c>
      <c r="AA65" s="7">
        <v>2037</v>
      </c>
      <c r="AB65" s="7">
        <v>2038</v>
      </c>
      <c r="AC65" s="7">
        <v>2039</v>
      </c>
      <c r="AD65" s="7">
        <v>2040</v>
      </c>
      <c r="AE65" s="7">
        <v>2041</v>
      </c>
      <c r="AF65" s="7">
        <v>2042</v>
      </c>
      <c r="AG65" s="7">
        <v>2043</v>
      </c>
      <c r="AH65" s="7">
        <v>2044</v>
      </c>
      <c r="AI65" s="7">
        <v>2045</v>
      </c>
    </row>
    <row r="66" spans="1:35" x14ac:dyDescent="0.25">
      <c r="B66" s="16" t="s">
        <v>52</v>
      </c>
    </row>
    <row r="67" spans="1:35" x14ac:dyDescent="0.25">
      <c r="B67" s="17" t="s">
        <v>53</v>
      </c>
      <c r="C67" s="17" t="str">
        <f t="shared" ref="C67:C75" si="6">$C$65</f>
        <v>cem</v>
      </c>
      <c r="D67" s="18" t="s">
        <v>54</v>
      </c>
      <c r="E67" s="19" t="s">
        <v>55</v>
      </c>
      <c r="F67" s="17" t="s">
        <v>56</v>
      </c>
      <c r="G67" s="20" t="str">
        <f>Settings!$B$3&amp;".mit.pbc."&amp;Settings!$B$4&amp;"."&amp;$B67&amp;".a."&amp;$J$65</f>
        <v>egy.mit.pbc.ind.coa.a.1</v>
      </c>
      <c r="H67" s="21" t="str">
        <f>OUTCODE(Settings!$B$3,"ptp",$C$65,$B67,$J$65)</f>
        <v>egy.mit.ptp.cem.coa.e.1</v>
      </c>
      <c r="K67" s="22">
        <f>INDEX(Data_Prices!K:K,MATCH($G67,Data_Prices!$A:$A,0))</f>
        <v>11.18290158924394</v>
      </c>
      <c r="L67" s="22">
        <f>INDEX(Data_Prices!L:L,MATCH($G67,Data_Prices!$A:$A,0))</f>
        <v>10.52336134543121</v>
      </c>
      <c r="M67" s="22">
        <f>INDEX(Data_Prices!M:M,MATCH($G67,Data_Prices!$A:$A,0))</f>
        <v>10.299560827444211</v>
      </c>
      <c r="N67" s="22">
        <f>INDEX(Data_Prices!N:N,MATCH($G67,Data_Prices!$A:$A,0))</f>
        <v>9.5775283595382632</v>
      </c>
      <c r="O67" s="22">
        <f>INDEX(Data_Prices!O:O,MATCH($G67,Data_Prices!$A:$A,0))</f>
        <v>8.4854782869580454</v>
      </c>
      <c r="P67" s="22">
        <f>INDEX(Data_Prices!P:P,MATCH($G67,Data_Prices!$A:$A,0))</f>
        <v>9.0871922352498604</v>
      </c>
      <c r="Q67" s="22">
        <f>INDEX(Data_Prices!Q:Q,MATCH($G67,Data_Prices!$A:$A,0))</f>
        <v>9.2229237289326811</v>
      </c>
      <c r="R67" s="22">
        <f>INDEX(Data_Prices!R:R,MATCH($G67,Data_Prices!$A:$A,0))</f>
        <v>9.1585649555096875</v>
      </c>
      <c r="S67" s="22">
        <f>INDEX(Data_Prices!S:S,MATCH($G67,Data_Prices!$A:$A,0))</f>
        <v>9.0895478773973775</v>
      </c>
      <c r="T67" s="22">
        <f>INDEX(Data_Prices!T:T,MATCH($G67,Data_Prices!$A:$A,0))</f>
        <v>9.0156816660228305</v>
      </c>
      <c r="U67" s="22">
        <f>INDEX(Data_Prices!U:U,MATCH($G67,Data_Prices!$A:$A,0))</f>
        <v>8.9443977655571061</v>
      </c>
      <c r="V67" s="22">
        <f>INDEX(Data_Prices!V:V,MATCH($G67,Data_Prices!$A:$A,0))</f>
        <v>8.9443977655571061</v>
      </c>
      <c r="W67" s="22">
        <f>INDEX(Data_Prices!W:W,MATCH($G67,Data_Prices!$A:$A,0))</f>
        <v>8.9443977655571061</v>
      </c>
      <c r="X67" s="22">
        <f>INDEX(Data_Prices!X:X,MATCH($G67,Data_Prices!$A:$A,0))</f>
        <v>8.9443977655571061</v>
      </c>
      <c r="Y67" s="22">
        <f>INDEX(Data_Prices!Y:Y,MATCH($G67,Data_Prices!$A:$A,0))</f>
        <v>8.9443977655571061</v>
      </c>
      <c r="Z67" s="22">
        <f>INDEX(Data_Prices!Z:Z,MATCH($G67,Data_Prices!$A:$A,0))</f>
        <v>8.9443977655571061</v>
      </c>
      <c r="AA67" s="22">
        <f>INDEX(Data_Prices!AA:AA,MATCH($G67,Data_Prices!$A:$A,0))</f>
        <v>8.9443977655571061</v>
      </c>
      <c r="AB67" s="22">
        <f>INDEX(Data_Prices!AB:AB,MATCH($G67,Data_Prices!$A:$A,0))</f>
        <v>8.9443977655571061</v>
      </c>
      <c r="AC67" s="22">
        <f>INDEX(Data_Prices!AC:AC,MATCH($G67,Data_Prices!$A:$A,0))</f>
        <v>8.9443977655571061</v>
      </c>
      <c r="AD67" s="22">
        <f>INDEX(Data_Prices!AD:AD,MATCH($G67,Data_Prices!$A:$A,0))</f>
        <v>8.9443977655571061</v>
      </c>
      <c r="AE67" s="22">
        <f>INDEX(Data_Prices!AE:AE,MATCH($G67,Data_Prices!$A:$A,0))</f>
        <v>8.9443977655571061</v>
      </c>
    </row>
    <row r="68" spans="1:35" x14ac:dyDescent="0.25">
      <c r="B68" s="17" t="s">
        <v>57</v>
      </c>
      <c r="C68" s="17" t="str">
        <f t="shared" si="6"/>
        <v>cem</v>
      </c>
      <c r="D68" s="18" t="s">
        <v>58</v>
      </c>
      <c r="E68" s="19" t="s">
        <v>55</v>
      </c>
      <c r="F68" s="17" t="s">
        <v>56</v>
      </c>
      <c r="G68" s="20" t="str">
        <f>Settings!$B$3&amp;".mit.pbc."&amp;Settings!$B$4&amp;"."&amp;$B68&amp;".a."&amp;$J$65</f>
        <v>egy.mit.pbc.ind.nga.a.1</v>
      </c>
      <c r="H68" s="21" t="str">
        <f>OUTCODE(Settings!$B$3,"ptp",$C$65,$B68,$J$65)</f>
        <v>egy.mit.ptp.cem.nga.e.1</v>
      </c>
      <c r="K68" s="22">
        <f>INDEX(Data_Prices!K:K,MATCH($G68,Data_Prices!$A:$A,0))</f>
        <v>6.0634636156729131</v>
      </c>
      <c r="L68" s="22">
        <f>INDEX(Data_Prices!L:L,MATCH($G68,Data_Prices!$A:$A,0))</f>
        <v>5.4510150816191896</v>
      </c>
      <c r="M68" s="22">
        <f>INDEX(Data_Prices!M:M,MATCH($G68,Data_Prices!$A:$A,0))</f>
        <v>5.1193563062624818</v>
      </c>
      <c r="N68" s="22">
        <f>INDEX(Data_Prices!N:N,MATCH($G68,Data_Prices!$A:$A,0))</f>
        <v>5.0821845864040727</v>
      </c>
      <c r="O68" s="22">
        <f>INDEX(Data_Prices!O:O,MATCH($G68,Data_Prices!$A:$A,0))</f>
        <v>5.0821845864040727</v>
      </c>
      <c r="P68" s="22">
        <f>INDEX(Data_Prices!P:P,MATCH($G68,Data_Prices!$A:$A,0))</f>
        <v>5.0821845864040727</v>
      </c>
      <c r="Q68" s="22">
        <f>INDEX(Data_Prices!Q:Q,MATCH($G68,Data_Prices!$A:$A,0))</f>
        <v>5.0821845864040727</v>
      </c>
      <c r="R68" s="22">
        <f>INDEX(Data_Prices!R:R,MATCH($G68,Data_Prices!$A:$A,0))</f>
        <v>5.0821845864040727</v>
      </c>
      <c r="S68" s="22">
        <f>INDEX(Data_Prices!S:S,MATCH($G68,Data_Prices!$A:$A,0))</f>
        <v>5.0821845864040727</v>
      </c>
      <c r="T68" s="22">
        <f>INDEX(Data_Prices!T:T,MATCH($G68,Data_Prices!$A:$A,0))</f>
        <v>5.0821845864040727</v>
      </c>
      <c r="U68" s="22">
        <f>INDEX(Data_Prices!U:U,MATCH($G68,Data_Prices!$A:$A,0))</f>
        <v>5.0821845864040727</v>
      </c>
      <c r="V68" s="22">
        <f>INDEX(Data_Prices!V:V,MATCH($G68,Data_Prices!$A:$A,0))</f>
        <v>5.0821845864040727</v>
      </c>
      <c r="W68" s="22">
        <f>INDEX(Data_Prices!W:W,MATCH($G68,Data_Prices!$A:$A,0))</f>
        <v>5.0821845864040727</v>
      </c>
      <c r="X68" s="22">
        <f>INDEX(Data_Prices!X:X,MATCH($G68,Data_Prices!$A:$A,0))</f>
        <v>5.0821845864040727</v>
      </c>
      <c r="Y68" s="22">
        <f>INDEX(Data_Prices!Y:Y,MATCH($G68,Data_Prices!$A:$A,0))</f>
        <v>5.0821845864040727</v>
      </c>
      <c r="Z68" s="22">
        <f>INDEX(Data_Prices!Z:Z,MATCH($G68,Data_Prices!$A:$A,0))</f>
        <v>5.0821845864040727</v>
      </c>
      <c r="AA68" s="22">
        <f>INDEX(Data_Prices!AA:AA,MATCH($G68,Data_Prices!$A:$A,0))</f>
        <v>5.0821845864040727</v>
      </c>
      <c r="AB68" s="22">
        <f>INDEX(Data_Prices!AB:AB,MATCH($G68,Data_Prices!$A:$A,0))</f>
        <v>5.0821845864040727</v>
      </c>
      <c r="AC68" s="22">
        <f>INDEX(Data_Prices!AC:AC,MATCH($G68,Data_Prices!$A:$A,0))</f>
        <v>5.0821845864040727</v>
      </c>
      <c r="AD68" s="22">
        <f>INDEX(Data_Prices!AD:AD,MATCH($G68,Data_Prices!$A:$A,0))</f>
        <v>5.0821845864040727</v>
      </c>
      <c r="AE68" s="22">
        <f>INDEX(Data_Prices!AE:AE,MATCH($G68,Data_Prices!$A:$A,0))</f>
        <v>5.0821845864040727</v>
      </c>
    </row>
    <row r="69" spans="1:35" x14ac:dyDescent="0.25">
      <c r="B69" s="17" t="s">
        <v>59</v>
      </c>
      <c r="C69" s="17" t="str">
        <f t="shared" si="6"/>
        <v>cem</v>
      </c>
      <c r="D69" s="18" t="s">
        <v>60</v>
      </c>
      <c r="E69" s="19" t="s">
        <v>61</v>
      </c>
      <c r="F69" s="17" t="s">
        <v>56</v>
      </c>
      <c r="G69" s="20" t="str">
        <f>Settings!$B$3&amp;".mit.pbc."&amp;Settings!$B$4&amp;"."&amp;$B69&amp;".a."&amp;$J$65</f>
        <v>egy.mit.pbc.ind.gso.a.1</v>
      </c>
      <c r="H69" s="21" t="str">
        <f>OUTCODE(Settings!$B$3,"ptp",$C$65,$B69,$J$65)</f>
        <v>egy.mit.ptp.cem.gso.e.1</v>
      </c>
      <c r="K69" s="22">
        <f>INDEX(Data_Prices!K:K,MATCH($G69,Data_Prices!$A:$A,0))</f>
        <v>0.67114653332181606</v>
      </c>
      <c r="L69" s="22">
        <f>INDEX(Data_Prices!L:L,MATCH($G69,Data_Prices!$A:$A,0))</f>
        <v>0.61197797679140631</v>
      </c>
      <c r="M69" s="22">
        <f>INDEX(Data_Prices!M:M,MATCH($G69,Data_Prices!$A:$A,0))</f>
        <v>0.61180974964187596</v>
      </c>
      <c r="N69" s="22">
        <f>INDEX(Data_Prices!N:N,MATCH($G69,Data_Prices!$A:$A,0))</f>
        <v>0.60358310017790551</v>
      </c>
      <c r="O69" s="22">
        <f>INDEX(Data_Prices!O:O,MATCH($G69,Data_Prices!$A:$A,0))</f>
        <v>0.60358310017790551</v>
      </c>
      <c r="P69" s="22">
        <f>INDEX(Data_Prices!P:P,MATCH($G69,Data_Prices!$A:$A,0))</f>
        <v>0.60358310017790551</v>
      </c>
      <c r="Q69" s="22">
        <f>INDEX(Data_Prices!Q:Q,MATCH($G69,Data_Prices!$A:$A,0))</f>
        <v>0.60358310017790551</v>
      </c>
      <c r="R69" s="22">
        <f>INDEX(Data_Prices!R:R,MATCH($G69,Data_Prices!$A:$A,0))</f>
        <v>0.60358310017790551</v>
      </c>
      <c r="S69" s="22">
        <f>INDEX(Data_Prices!S:S,MATCH($G69,Data_Prices!$A:$A,0))</f>
        <v>0.60358310017790551</v>
      </c>
      <c r="T69" s="22">
        <f>INDEX(Data_Prices!T:T,MATCH($G69,Data_Prices!$A:$A,0))</f>
        <v>0.60358310017790551</v>
      </c>
      <c r="U69" s="22">
        <f>INDEX(Data_Prices!U:U,MATCH($G69,Data_Prices!$A:$A,0))</f>
        <v>0.60358310017790551</v>
      </c>
      <c r="V69" s="22">
        <f>INDEX(Data_Prices!V:V,MATCH($G69,Data_Prices!$A:$A,0))</f>
        <v>0.60358310017790551</v>
      </c>
      <c r="W69" s="22">
        <f>INDEX(Data_Prices!W:W,MATCH($G69,Data_Prices!$A:$A,0))</f>
        <v>0.60358310017790551</v>
      </c>
      <c r="X69" s="22">
        <f>INDEX(Data_Prices!X:X,MATCH($G69,Data_Prices!$A:$A,0))</f>
        <v>0.60358310017790551</v>
      </c>
      <c r="Y69" s="22">
        <f>INDEX(Data_Prices!Y:Y,MATCH($G69,Data_Prices!$A:$A,0))</f>
        <v>0.60358310017790551</v>
      </c>
      <c r="Z69" s="22">
        <f>INDEX(Data_Prices!Z:Z,MATCH($G69,Data_Prices!$A:$A,0))</f>
        <v>0.60358310017790551</v>
      </c>
      <c r="AA69" s="22">
        <f>INDEX(Data_Prices!AA:AA,MATCH($G69,Data_Prices!$A:$A,0))</f>
        <v>0.60358310017790551</v>
      </c>
      <c r="AB69" s="22">
        <f>INDEX(Data_Prices!AB:AB,MATCH($G69,Data_Prices!$A:$A,0))</f>
        <v>0.60358310017790551</v>
      </c>
      <c r="AC69" s="22">
        <f>INDEX(Data_Prices!AC:AC,MATCH($G69,Data_Prices!$A:$A,0))</f>
        <v>0.60358310017790551</v>
      </c>
      <c r="AD69" s="22">
        <f>INDEX(Data_Prices!AD:AD,MATCH($G69,Data_Prices!$A:$A,0))</f>
        <v>0.60358310017790551</v>
      </c>
      <c r="AE69" s="22">
        <f>INDEX(Data_Prices!AE:AE,MATCH($G69,Data_Prices!$A:$A,0))</f>
        <v>0.60358310017790551</v>
      </c>
    </row>
    <row r="70" spans="1:35" x14ac:dyDescent="0.25">
      <c r="B70" s="17" t="s">
        <v>62</v>
      </c>
      <c r="C70" s="17" t="str">
        <f t="shared" si="6"/>
        <v>cem</v>
      </c>
      <c r="D70" s="18" t="s">
        <v>63</v>
      </c>
      <c r="E70" s="19" t="s">
        <v>61</v>
      </c>
      <c r="F70" s="17" t="s">
        <v>56</v>
      </c>
      <c r="G70" s="20" t="str">
        <f>Settings!$B$3&amp;".mit.pbc."&amp;Settings!$B$4&amp;"."&amp;$B70&amp;".a."&amp;$J$65</f>
        <v>egy.mit.pbc.ind.die.a.1</v>
      </c>
      <c r="H70" s="21" t="str">
        <f>OUTCODE(Settings!$B$3,"ptp",$C$65,$B70,$J$65)</f>
        <v>egy.mit.ptp.cem.die.e.1</v>
      </c>
      <c r="K70" s="22">
        <f>INDEX(Data_Prices!K:K,MATCH($G70,Data_Prices!$A:$A,0))</f>
        <v>0.55971121315568761</v>
      </c>
      <c r="L70" s="22">
        <f>INDEX(Data_Prices!L:L,MATCH($G70,Data_Prices!$A:$A,0))</f>
        <v>0.49458873084106802</v>
      </c>
      <c r="M70" s="22">
        <f>INDEX(Data_Prices!M:M,MATCH($G70,Data_Prices!$A:$A,0))</f>
        <v>0.50778654720250049</v>
      </c>
      <c r="N70" s="22">
        <f>INDEX(Data_Prices!N:N,MATCH($G70,Data_Prices!$A:$A,0))</f>
        <v>0.47043642679561742</v>
      </c>
      <c r="O70" s="22">
        <f>INDEX(Data_Prices!O:O,MATCH($G70,Data_Prices!$A:$A,0))</f>
        <v>0.47043642679561742</v>
      </c>
      <c r="P70" s="22">
        <f>INDEX(Data_Prices!P:P,MATCH($G70,Data_Prices!$A:$A,0))</f>
        <v>0.47043642679561742</v>
      </c>
      <c r="Q70" s="22">
        <f>INDEX(Data_Prices!Q:Q,MATCH($G70,Data_Prices!$A:$A,0))</f>
        <v>0.47043642679561742</v>
      </c>
      <c r="R70" s="22">
        <f>INDEX(Data_Prices!R:R,MATCH($G70,Data_Prices!$A:$A,0))</f>
        <v>0.47043642679561742</v>
      </c>
      <c r="S70" s="22">
        <f>INDEX(Data_Prices!S:S,MATCH($G70,Data_Prices!$A:$A,0))</f>
        <v>0.47043642679561742</v>
      </c>
      <c r="T70" s="22">
        <f>INDEX(Data_Prices!T:T,MATCH($G70,Data_Prices!$A:$A,0))</f>
        <v>0.47043642679561742</v>
      </c>
      <c r="U70" s="22">
        <f>INDEX(Data_Prices!U:U,MATCH($G70,Data_Prices!$A:$A,0))</f>
        <v>0.47043642679561742</v>
      </c>
      <c r="V70" s="22">
        <f>INDEX(Data_Prices!V:V,MATCH($G70,Data_Prices!$A:$A,0))</f>
        <v>0.47043642679561742</v>
      </c>
      <c r="W70" s="22">
        <f>INDEX(Data_Prices!W:W,MATCH($G70,Data_Prices!$A:$A,0))</f>
        <v>0.47043642679561742</v>
      </c>
      <c r="X70" s="22">
        <f>INDEX(Data_Prices!X:X,MATCH($G70,Data_Prices!$A:$A,0))</f>
        <v>0.47043642679561742</v>
      </c>
      <c r="Y70" s="22">
        <f>INDEX(Data_Prices!Y:Y,MATCH($G70,Data_Prices!$A:$A,0))</f>
        <v>0.47043642679561742</v>
      </c>
      <c r="Z70" s="22">
        <f>INDEX(Data_Prices!Z:Z,MATCH($G70,Data_Prices!$A:$A,0))</f>
        <v>0.47043642679561742</v>
      </c>
      <c r="AA70" s="22">
        <f>INDEX(Data_Prices!AA:AA,MATCH($G70,Data_Prices!$A:$A,0))</f>
        <v>0.47043642679561742</v>
      </c>
      <c r="AB70" s="22">
        <f>INDEX(Data_Prices!AB:AB,MATCH($G70,Data_Prices!$A:$A,0))</f>
        <v>0.47043642679561742</v>
      </c>
      <c r="AC70" s="22">
        <f>INDEX(Data_Prices!AC:AC,MATCH($G70,Data_Prices!$A:$A,0))</f>
        <v>0.47043642679561742</v>
      </c>
      <c r="AD70" s="22">
        <f>INDEX(Data_Prices!AD:AD,MATCH($G70,Data_Prices!$A:$A,0))</f>
        <v>0.47043642679561742</v>
      </c>
      <c r="AE70" s="22">
        <f>INDEX(Data_Prices!AE:AE,MATCH($G70,Data_Prices!$A:$A,0))</f>
        <v>0.47043642679561742</v>
      </c>
    </row>
    <row r="71" spans="1:35" x14ac:dyDescent="0.25">
      <c r="B71" s="17" t="s">
        <v>64</v>
      </c>
      <c r="C71" s="17" t="str">
        <f t="shared" si="6"/>
        <v>cem</v>
      </c>
      <c r="D71" s="18" t="s">
        <v>65</v>
      </c>
      <c r="E71" s="19" t="s">
        <v>61</v>
      </c>
      <c r="F71" s="17" t="s">
        <v>56</v>
      </c>
      <c r="G71" s="20" t="str">
        <f>Settings!$B$3&amp;".mit.pbc."&amp;Settings!$B$4&amp;"."&amp;$B71&amp;".a."&amp;$J$65</f>
        <v>egy.mit.pbc.ind.lpg.a.1</v>
      </c>
      <c r="H71" s="21" t="str">
        <f>OUTCODE(Settings!$B$3,"ptp",$C$65,$B71,$J$65)</f>
        <v>egy.mit.ptp.cem.lpg.e.1</v>
      </c>
      <c r="K71" s="22">
        <f>INDEX(Data_Prices!K:K,MATCH($G71,Data_Prices!$A:$A,0))</f>
        <v>0.20036669112673841</v>
      </c>
      <c r="L71" s="22">
        <f>INDEX(Data_Prices!L:L,MATCH($G71,Data_Prices!$A:$A,0))</f>
        <v>0.1573447362522738</v>
      </c>
      <c r="M71" s="22">
        <f>INDEX(Data_Prices!M:M,MATCH($G71,Data_Prices!$A:$A,0))</f>
        <v>0.1644840377592767</v>
      </c>
      <c r="N71" s="22">
        <f>INDEX(Data_Prices!N:N,MATCH($G71,Data_Prices!$A:$A,0))</f>
        <v>0.1507090778070489</v>
      </c>
      <c r="O71" s="22">
        <f>INDEX(Data_Prices!O:O,MATCH($G71,Data_Prices!$A:$A,0))</f>
        <v>0.1507090778070489</v>
      </c>
      <c r="P71" s="22">
        <f>INDEX(Data_Prices!P:P,MATCH($G71,Data_Prices!$A:$A,0))</f>
        <v>0.1507090778070489</v>
      </c>
      <c r="Q71" s="22">
        <f>INDEX(Data_Prices!Q:Q,MATCH($G71,Data_Prices!$A:$A,0))</f>
        <v>0.1507090778070489</v>
      </c>
      <c r="R71" s="22">
        <f>INDEX(Data_Prices!R:R,MATCH($G71,Data_Prices!$A:$A,0))</f>
        <v>0.1507090778070489</v>
      </c>
      <c r="S71" s="22">
        <f>INDEX(Data_Prices!S:S,MATCH($G71,Data_Prices!$A:$A,0))</f>
        <v>0.1507090778070489</v>
      </c>
      <c r="T71" s="22">
        <f>INDEX(Data_Prices!T:T,MATCH($G71,Data_Prices!$A:$A,0))</f>
        <v>0.1507090778070489</v>
      </c>
      <c r="U71" s="22">
        <f>INDEX(Data_Prices!U:U,MATCH($G71,Data_Prices!$A:$A,0))</f>
        <v>0.1507090778070489</v>
      </c>
      <c r="V71" s="22">
        <f>INDEX(Data_Prices!V:V,MATCH($G71,Data_Prices!$A:$A,0))</f>
        <v>0.1507090778070489</v>
      </c>
      <c r="W71" s="22">
        <f>INDEX(Data_Prices!W:W,MATCH($G71,Data_Prices!$A:$A,0))</f>
        <v>0.1507090778070489</v>
      </c>
      <c r="X71" s="22">
        <f>INDEX(Data_Prices!X:X,MATCH($G71,Data_Prices!$A:$A,0))</f>
        <v>0.1507090778070489</v>
      </c>
      <c r="Y71" s="22">
        <f>INDEX(Data_Prices!Y:Y,MATCH($G71,Data_Prices!$A:$A,0))</f>
        <v>0.1507090778070489</v>
      </c>
      <c r="Z71" s="22">
        <f>INDEX(Data_Prices!Z:Z,MATCH($G71,Data_Prices!$A:$A,0))</f>
        <v>0.1507090778070489</v>
      </c>
      <c r="AA71" s="22">
        <f>INDEX(Data_Prices!AA:AA,MATCH($G71,Data_Prices!$A:$A,0))</f>
        <v>0.1507090778070489</v>
      </c>
      <c r="AB71" s="22">
        <f>INDEX(Data_Prices!AB:AB,MATCH($G71,Data_Prices!$A:$A,0))</f>
        <v>0.1507090778070489</v>
      </c>
      <c r="AC71" s="22">
        <f>INDEX(Data_Prices!AC:AC,MATCH($G71,Data_Prices!$A:$A,0))</f>
        <v>0.1507090778070489</v>
      </c>
      <c r="AD71" s="22">
        <f>INDEX(Data_Prices!AD:AD,MATCH($G71,Data_Prices!$A:$A,0))</f>
        <v>0.1507090778070489</v>
      </c>
      <c r="AE71" s="22">
        <f>INDEX(Data_Prices!AE:AE,MATCH($G71,Data_Prices!$A:$A,0))</f>
        <v>0.1507090778070489</v>
      </c>
    </row>
    <row r="72" spans="1:35" x14ac:dyDescent="0.25">
      <c r="B72" s="17" t="s">
        <v>66</v>
      </c>
      <c r="C72" s="17" t="str">
        <f t="shared" si="6"/>
        <v>cem</v>
      </c>
      <c r="D72" s="18" t="s">
        <v>67</v>
      </c>
      <c r="E72" s="19" t="s">
        <v>61</v>
      </c>
      <c r="F72" s="17" t="s">
        <v>56</v>
      </c>
      <c r="G72" s="20" t="str">
        <f>Settings!$B$3&amp;".mit.pbc."&amp;Settings!$B$4&amp;"."&amp;$B72&amp;".a."&amp;$J$65</f>
        <v>egy.mit.pbc.ind.ker.a.1</v>
      </c>
      <c r="H72" s="21" t="str">
        <f>OUTCODE(Settings!$B$3,"ptp",$C$65,$B72,$J$65)</f>
        <v>egy.mit.ptp.cem.ker.e.1</v>
      </c>
      <c r="K72" s="22">
        <f>INDEX(Data_Prices!K:K,MATCH($G72,Data_Prices!$A:$A,0))</f>
        <v>0.48429424097343482</v>
      </c>
      <c r="L72" s="22">
        <f>INDEX(Data_Prices!L:L,MATCH($G72,Data_Prices!$A:$A,0))</f>
        <v>0.45642817050012813</v>
      </c>
      <c r="M72" s="22">
        <f>INDEX(Data_Prices!M:M,MATCH($G72,Data_Prices!$A:$A,0))</f>
        <v>0.43168920195599519</v>
      </c>
      <c r="N72" s="22">
        <f>INDEX(Data_Prices!N:N,MATCH($G72,Data_Prices!$A:$A,0))</f>
        <v>0.42507558395596989</v>
      </c>
      <c r="O72" s="22">
        <f>INDEX(Data_Prices!O:O,MATCH($G72,Data_Prices!$A:$A,0))</f>
        <v>0.42507558395596989</v>
      </c>
      <c r="P72" s="22">
        <f>INDEX(Data_Prices!P:P,MATCH($G72,Data_Prices!$A:$A,0))</f>
        <v>0.42507558395596989</v>
      </c>
      <c r="Q72" s="22">
        <f>INDEX(Data_Prices!Q:Q,MATCH($G72,Data_Prices!$A:$A,0))</f>
        <v>0.42507558395596989</v>
      </c>
      <c r="R72" s="22">
        <f>INDEX(Data_Prices!R:R,MATCH($G72,Data_Prices!$A:$A,0))</f>
        <v>0.42507558395596989</v>
      </c>
      <c r="S72" s="22">
        <f>INDEX(Data_Prices!S:S,MATCH($G72,Data_Prices!$A:$A,0))</f>
        <v>0.42507558395596989</v>
      </c>
      <c r="T72" s="22">
        <f>INDEX(Data_Prices!T:T,MATCH($G72,Data_Prices!$A:$A,0))</f>
        <v>0.42507558395596989</v>
      </c>
      <c r="U72" s="22">
        <f>INDEX(Data_Prices!U:U,MATCH($G72,Data_Prices!$A:$A,0))</f>
        <v>0.42507558395596989</v>
      </c>
      <c r="V72" s="22">
        <f>INDEX(Data_Prices!V:V,MATCH($G72,Data_Prices!$A:$A,0))</f>
        <v>0.42507558395596989</v>
      </c>
      <c r="W72" s="22">
        <f>INDEX(Data_Prices!W:W,MATCH($G72,Data_Prices!$A:$A,0))</f>
        <v>0.42507558395596989</v>
      </c>
      <c r="X72" s="22">
        <f>INDEX(Data_Prices!X:X,MATCH($G72,Data_Prices!$A:$A,0))</f>
        <v>0.42507558395596989</v>
      </c>
      <c r="Y72" s="22">
        <f>INDEX(Data_Prices!Y:Y,MATCH($G72,Data_Prices!$A:$A,0))</f>
        <v>0.42507558395596989</v>
      </c>
      <c r="Z72" s="22">
        <f>INDEX(Data_Prices!Z:Z,MATCH($G72,Data_Prices!$A:$A,0))</f>
        <v>0.42507558395596989</v>
      </c>
      <c r="AA72" s="22">
        <f>INDEX(Data_Prices!AA:AA,MATCH($G72,Data_Prices!$A:$A,0))</f>
        <v>0.42507558395596989</v>
      </c>
      <c r="AB72" s="22">
        <f>INDEX(Data_Prices!AB:AB,MATCH($G72,Data_Prices!$A:$A,0))</f>
        <v>0.42507558395596989</v>
      </c>
      <c r="AC72" s="22">
        <f>INDEX(Data_Prices!AC:AC,MATCH($G72,Data_Prices!$A:$A,0))</f>
        <v>0.42507558395596989</v>
      </c>
      <c r="AD72" s="22">
        <f>INDEX(Data_Prices!AD:AD,MATCH($G72,Data_Prices!$A:$A,0))</f>
        <v>0.42507558395596989</v>
      </c>
      <c r="AE72" s="22">
        <f>INDEX(Data_Prices!AE:AE,MATCH($G72,Data_Prices!$A:$A,0))</f>
        <v>0.42507558395596989</v>
      </c>
    </row>
    <row r="73" spans="1:35" x14ac:dyDescent="0.25">
      <c r="B73" s="17" t="s">
        <v>68</v>
      </c>
      <c r="C73" s="17" t="str">
        <f t="shared" si="6"/>
        <v>cem</v>
      </c>
      <c r="D73" s="18" t="s">
        <v>69</v>
      </c>
      <c r="E73" s="19" t="s">
        <v>70</v>
      </c>
      <c r="F73" s="17" t="s">
        <v>56</v>
      </c>
      <c r="G73" s="20" t="str">
        <f>Settings!$B$3&amp;".mit.pbc."&amp;Settings!$B$4&amp;"."&amp;$B73&amp;".a."&amp;$J$65</f>
        <v>egy.mit.pbc.ind.oop.a.1</v>
      </c>
      <c r="H73" s="21" t="str">
        <f>OUTCODE(Settings!$B$3,"ptp",$C$65,$B73,$J$65)</f>
        <v>egy.mit.ptp.cem.oop.e.1</v>
      </c>
      <c r="K73" s="22">
        <f>INDEX(Data_Prices!K:K,MATCH($G73,Data_Prices!$A:$A,0))</f>
        <v>41.50033849886843</v>
      </c>
      <c r="L73" s="22">
        <f>INDEX(Data_Prices!L:L,MATCH($G73,Data_Prices!$A:$A,0))</f>
        <v>34.415370304313228</v>
      </c>
      <c r="M73" s="22">
        <f>INDEX(Data_Prices!M:M,MATCH($G73,Data_Prices!$A:$A,0))</f>
        <v>37.368960690432033</v>
      </c>
      <c r="N73" s="22">
        <f>INDEX(Data_Prices!N:N,MATCH($G73,Data_Prices!$A:$A,0))</f>
        <v>28.982761101477251</v>
      </c>
      <c r="O73" s="22">
        <f>INDEX(Data_Prices!O:O,MATCH($G73,Data_Prices!$A:$A,0))</f>
        <v>15</v>
      </c>
      <c r="P73" s="22">
        <f>INDEX(Data_Prices!P:P,MATCH($G73,Data_Prices!$A:$A,0))</f>
        <v>24.2586300842555</v>
      </c>
      <c r="Q73" s="22">
        <f>INDEX(Data_Prices!Q:Q,MATCH($G73,Data_Prices!$A:$A,0))</f>
        <v>15</v>
      </c>
      <c r="R73" s="22">
        <f>INDEX(Data_Prices!R:R,MATCH($G73,Data_Prices!$A:$A,0))</f>
        <v>15</v>
      </c>
      <c r="S73" s="22">
        <f>INDEX(Data_Prices!S:S,MATCH($G73,Data_Prices!$A:$A,0))</f>
        <v>15</v>
      </c>
      <c r="T73" s="22">
        <f>INDEX(Data_Prices!T:T,MATCH($G73,Data_Prices!$A:$A,0))</f>
        <v>15</v>
      </c>
      <c r="U73" s="22">
        <f>INDEX(Data_Prices!U:U,MATCH($G73,Data_Prices!$A:$A,0))</f>
        <v>15</v>
      </c>
      <c r="V73" s="22">
        <f>INDEX(Data_Prices!V:V,MATCH($G73,Data_Prices!$A:$A,0))</f>
        <v>15</v>
      </c>
      <c r="W73" s="22">
        <f>INDEX(Data_Prices!W:W,MATCH($G73,Data_Prices!$A:$A,0))</f>
        <v>15</v>
      </c>
      <c r="X73" s="22">
        <f>INDEX(Data_Prices!X:X,MATCH($G73,Data_Prices!$A:$A,0))</f>
        <v>15</v>
      </c>
      <c r="Y73" s="22">
        <f>INDEX(Data_Prices!Y:Y,MATCH($G73,Data_Prices!$A:$A,0))</f>
        <v>15</v>
      </c>
      <c r="Z73" s="22">
        <f>INDEX(Data_Prices!Z:Z,MATCH($G73,Data_Prices!$A:$A,0))</f>
        <v>15</v>
      </c>
      <c r="AA73" s="22">
        <f>INDEX(Data_Prices!AA:AA,MATCH($G73,Data_Prices!$A:$A,0))</f>
        <v>15</v>
      </c>
      <c r="AB73" s="22">
        <f>INDEX(Data_Prices!AB:AB,MATCH($G73,Data_Prices!$A:$A,0))</f>
        <v>15</v>
      </c>
      <c r="AC73" s="22">
        <f>INDEX(Data_Prices!AC:AC,MATCH($G73,Data_Prices!$A:$A,0))</f>
        <v>15</v>
      </c>
      <c r="AD73" s="22">
        <f>INDEX(Data_Prices!AD:AD,MATCH($G73,Data_Prices!$A:$A,0))</f>
        <v>15</v>
      </c>
      <c r="AE73" s="22">
        <f>INDEX(Data_Prices!AE:AE,MATCH($G73,Data_Prices!$A:$A,0))</f>
        <v>15</v>
      </c>
    </row>
    <row r="74" spans="1:35" x14ac:dyDescent="0.25">
      <c r="B74" s="17" t="s">
        <v>71</v>
      </c>
      <c r="C74" s="17" t="str">
        <f t="shared" si="6"/>
        <v>cem</v>
      </c>
      <c r="D74" s="18" t="s">
        <v>72</v>
      </c>
      <c r="E74" s="19" t="s">
        <v>55</v>
      </c>
      <c r="F74" s="17" t="s">
        <v>56</v>
      </c>
      <c r="G74" s="20" t="str">
        <f>Settings!$B$3&amp;".mit.pbc."&amp;Settings!$B$4&amp;"."&amp;$B74&amp;".a."&amp;$J$65</f>
        <v>egy.mit.pbc.ind.bio.a.1</v>
      </c>
      <c r="H74" s="21" t="str">
        <f>OUTCODE(Settings!$B$3,"ptp",$C$65,$B74,$J$65)</f>
        <v>egy.mit.ptp.cem.bio.e.1</v>
      </c>
      <c r="K74" s="22">
        <f>INDEX(Data_Prices!K:K,MATCH($G74,Data_Prices!$A:$A,0))</f>
        <v>15.33455052931693</v>
      </c>
      <c r="L74" s="22">
        <f>INDEX(Data_Prices!L:L,MATCH($G74,Data_Prices!$A:$A,0))</f>
        <v>14.199528390634921</v>
      </c>
      <c r="M74" s="22">
        <f>INDEX(Data_Prices!M:M,MATCH($G74,Data_Prices!$A:$A,0))</f>
        <v>13.840441613315161</v>
      </c>
      <c r="N74" s="22">
        <f>INDEX(Data_Prices!N:N,MATCH($G74,Data_Prices!$A:$A,0))</f>
        <v>13.5677269404465</v>
      </c>
      <c r="O74" s="22">
        <f>INDEX(Data_Prices!O:O,MATCH($G74,Data_Prices!$A:$A,0))</f>
        <v>13.5677269404465</v>
      </c>
      <c r="P74" s="22">
        <f>INDEX(Data_Prices!P:P,MATCH($G74,Data_Prices!$A:$A,0))</f>
        <v>13.5677269404465</v>
      </c>
      <c r="Q74" s="22">
        <f>INDEX(Data_Prices!Q:Q,MATCH($G74,Data_Prices!$A:$A,0))</f>
        <v>13.5677269404465</v>
      </c>
      <c r="R74" s="22">
        <f>INDEX(Data_Prices!R:R,MATCH($G74,Data_Prices!$A:$A,0))</f>
        <v>13.5677269404465</v>
      </c>
      <c r="S74" s="22">
        <f>INDEX(Data_Prices!S:S,MATCH($G74,Data_Prices!$A:$A,0))</f>
        <v>13.5677269404465</v>
      </c>
      <c r="T74" s="22">
        <f>INDEX(Data_Prices!T:T,MATCH($G74,Data_Prices!$A:$A,0))</f>
        <v>13.5677269404465</v>
      </c>
      <c r="U74" s="22">
        <f>INDEX(Data_Prices!U:U,MATCH($G74,Data_Prices!$A:$A,0))</f>
        <v>13.5677269404465</v>
      </c>
      <c r="V74" s="22">
        <f>INDEX(Data_Prices!V:V,MATCH($G74,Data_Prices!$A:$A,0))</f>
        <v>13.5677269404465</v>
      </c>
      <c r="W74" s="22">
        <f>INDEX(Data_Prices!W:W,MATCH($G74,Data_Prices!$A:$A,0))</f>
        <v>13.5677269404465</v>
      </c>
      <c r="X74" s="22">
        <f>INDEX(Data_Prices!X:X,MATCH($G74,Data_Prices!$A:$A,0))</f>
        <v>13.5677269404465</v>
      </c>
      <c r="Y74" s="22">
        <f>INDEX(Data_Prices!Y:Y,MATCH($G74,Data_Prices!$A:$A,0))</f>
        <v>13.5677269404465</v>
      </c>
      <c r="Z74" s="22">
        <f>INDEX(Data_Prices!Z:Z,MATCH($G74,Data_Prices!$A:$A,0))</f>
        <v>13.5677269404465</v>
      </c>
      <c r="AA74" s="22">
        <f>INDEX(Data_Prices!AA:AA,MATCH($G74,Data_Prices!$A:$A,0))</f>
        <v>13.5677269404465</v>
      </c>
      <c r="AB74" s="22">
        <f>INDEX(Data_Prices!AB:AB,MATCH($G74,Data_Prices!$A:$A,0))</f>
        <v>13.5677269404465</v>
      </c>
      <c r="AC74" s="22">
        <f>INDEX(Data_Prices!AC:AC,MATCH($G74,Data_Prices!$A:$A,0))</f>
        <v>13.5677269404465</v>
      </c>
      <c r="AD74" s="22">
        <f>INDEX(Data_Prices!AD:AD,MATCH($G74,Data_Prices!$A:$A,0))</f>
        <v>13.5677269404465</v>
      </c>
      <c r="AE74" s="22">
        <f>INDEX(Data_Prices!AE:AE,MATCH($G74,Data_Prices!$A:$A,0))</f>
        <v>13.5677269404465</v>
      </c>
    </row>
    <row r="75" spans="1:35" x14ac:dyDescent="0.25">
      <c r="B75" s="17" t="s">
        <v>73</v>
      </c>
      <c r="C75" s="17" t="str">
        <f t="shared" si="6"/>
        <v>cem</v>
      </c>
      <c r="D75" s="18" t="s">
        <v>74</v>
      </c>
      <c r="E75" s="19" t="s">
        <v>75</v>
      </c>
      <c r="F75" s="17" t="s">
        <v>56</v>
      </c>
      <c r="G75" s="20" t="str">
        <f>Settings!$B$3&amp;".mit.pbc."&amp;Settings!$B$4&amp;"."&amp;$B75&amp;".a."&amp;$J$65</f>
        <v>egy.mit.pbc.ind.ren.a.1</v>
      </c>
      <c r="H75" s="21" t="str">
        <f>OUTCODE(Settings!$B$3,"ptp",$C$65,$B75,$J$65)</f>
        <v>egy.mit.ptp.cem.ren.e.1</v>
      </c>
      <c r="K75" s="22">
        <f>INDEX(Data_Prices!K:K,MATCH($G75,Data_Prices!$A:$A,0))</f>
        <v>0</v>
      </c>
      <c r="L75" s="22">
        <f>INDEX(Data_Prices!L:L,MATCH($G75,Data_Prices!$A:$A,0))</f>
        <v>0.14404498679319799</v>
      </c>
      <c r="M75" s="22">
        <f>INDEX(Data_Prices!M:M,MATCH($G75,Data_Prices!$A:$A,0))</f>
        <v>0.14102040965700391</v>
      </c>
      <c r="N75" s="22">
        <f>INDEX(Data_Prices!N:N,MATCH($G75,Data_Prices!$A:$A,0))</f>
        <v>0.13511635959447599</v>
      </c>
      <c r="O75" s="22">
        <f>INDEX(Data_Prices!O:O,MATCH($G75,Data_Prices!$A:$A,0))</f>
        <v>0.13098825698585639</v>
      </c>
      <c r="P75" s="22">
        <f>INDEX(Data_Prices!P:P,MATCH($G75,Data_Prices!$A:$A,0))</f>
        <v>0.12790841608631831</v>
      </c>
      <c r="Q75" s="22">
        <f>INDEX(Data_Prices!Q:Q,MATCH($G75,Data_Prices!$A:$A,0))</f>
        <v>0.124814310557813</v>
      </c>
      <c r="R75" s="22">
        <f>INDEX(Data_Prices!R:R,MATCH($G75,Data_Prices!$A:$A,0))</f>
        <v>0.1214602571228779</v>
      </c>
      <c r="S75" s="22">
        <f>INDEX(Data_Prices!S:S,MATCH($G75,Data_Prices!$A:$A,0))</f>
        <v>0.1179507441357863</v>
      </c>
      <c r="T75" s="22">
        <f>INDEX(Data_Prices!T:T,MATCH($G75,Data_Prices!$A:$A,0))</f>
        <v>0.1141991610445974</v>
      </c>
      <c r="U75" s="22">
        <f>INDEX(Data_Prices!U:U,MATCH($G75,Data_Prices!$A:$A,0))</f>
        <v>0.1136651000596645</v>
      </c>
      <c r="V75" s="22">
        <f>INDEX(Data_Prices!V:V,MATCH($G75,Data_Prices!$A:$A,0))</f>
        <v>0.1130169296259568</v>
      </c>
      <c r="W75" s="22">
        <f>INDEX(Data_Prices!W:W,MATCH($G75,Data_Prices!$A:$A,0))</f>
        <v>0.112314070507636</v>
      </c>
      <c r="X75" s="22">
        <f>INDEX(Data_Prices!X:X,MATCH($G75,Data_Prices!$A:$A,0))</f>
        <v>0.1114220427328433</v>
      </c>
      <c r="Y75" s="22">
        <f>INDEX(Data_Prices!Y:Y,MATCH($G75,Data_Prices!$A:$A,0))</f>
        <v>0.1104341236758091</v>
      </c>
      <c r="Z75" s="22">
        <f>INDEX(Data_Prices!Z:Z,MATCH($G75,Data_Prices!$A:$A,0))</f>
        <v>0.10948397330447129</v>
      </c>
      <c r="AA75" s="22">
        <f>INDEX(Data_Prices!AA:AA,MATCH($G75,Data_Prices!$A:$A,0))</f>
        <v>0.1083919210529401</v>
      </c>
      <c r="AB75" s="22">
        <f>INDEX(Data_Prices!AB:AB,MATCH($G75,Data_Prices!$A:$A,0))</f>
        <v>0.1073544336267039</v>
      </c>
      <c r="AC75" s="22">
        <f>INDEX(Data_Prices!AC:AC,MATCH($G75,Data_Prices!$A:$A,0))</f>
        <v>0.10516867544166079</v>
      </c>
      <c r="AD75" s="22">
        <f>INDEX(Data_Prices!AD:AD,MATCH($G75,Data_Prices!$A:$A,0))</f>
        <v>0.1030579832560081</v>
      </c>
      <c r="AE75" s="22">
        <f>INDEX(Data_Prices!AE:AE,MATCH($G75,Data_Prices!$A:$A,0))</f>
        <v>0.1009318389901144</v>
      </c>
    </row>
    <row r="76" spans="1:35" x14ac:dyDescent="0.25">
      <c r="B76" s="16" t="s">
        <v>76</v>
      </c>
    </row>
    <row r="77" spans="1:35" x14ac:dyDescent="0.25">
      <c r="B77" s="17" t="s">
        <v>53</v>
      </c>
      <c r="C77" s="17" t="str">
        <f t="shared" ref="C77:C85" si="7">$C$65</f>
        <v>cem</v>
      </c>
      <c r="D77" s="18" t="s">
        <v>54</v>
      </c>
      <c r="E77" s="19" t="s">
        <v>55</v>
      </c>
      <c r="F77" s="17" t="s">
        <v>77</v>
      </c>
      <c r="G77" s="20" t="str">
        <f>Settings!$B$3&amp;".mit.nce."&amp;Settings!$B$4&amp;"."&amp;$B77&amp;".a."&amp;$J$65</f>
        <v>egy.mit.nce.ind.coa.a.1</v>
      </c>
      <c r="H77" s="21" t="str">
        <f>OUTCODE(Settings!$B$3,"atp",$C$65,$B77,$J$65)</f>
        <v>egy.mit.atp.cem.coa.e.1</v>
      </c>
      <c r="K77" s="22">
        <f>POSTTAX(K67,INDEX(Data_Prices!K:K,MATCH($G77,Data_Prices!$A:$A,0)),K$97)</f>
        <v>11.18290158924394</v>
      </c>
      <c r="L77" s="22">
        <f>POSTTAX(L67,INDEX(Data_Prices!L:L,MATCH($G77,Data_Prices!$A:$A,0)),L$97)</f>
        <v>10.52336134543121</v>
      </c>
      <c r="M77" s="22">
        <f>POSTTAX(M67,INDEX(Data_Prices!M:M,MATCH($G77,Data_Prices!$A:$A,0)),M$97)</f>
        <v>10.299560827444211</v>
      </c>
      <c r="N77" s="22">
        <f>POSTTAX(N67,INDEX(Data_Prices!N:N,MATCH($G77,Data_Prices!$A:$A,0)),N$97)</f>
        <v>9.5775283595382632</v>
      </c>
      <c r="O77" s="22">
        <f>POSTTAX(O67,INDEX(Data_Prices!O:O,MATCH($G77,Data_Prices!$A:$A,0)),O$97)</f>
        <v>8.4854782869580454</v>
      </c>
      <c r="P77" s="22">
        <f>POSTTAX(P67,INDEX(Data_Prices!P:P,MATCH($G77,Data_Prices!$A:$A,0)),P$97)</f>
        <v>9.0871922352498604</v>
      </c>
      <c r="Q77" s="22">
        <f>POSTTAX(Q67,INDEX(Data_Prices!Q:Q,MATCH($G77,Data_Prices!$A:$A,0)),Q$97)</f>
        <v>9.2229237289326811</v>
      </c>
      <c r="R77" s="22">
        <f>POSTTAX(R67,INDEX(Data_Prices!R:R,MATCH($G77,Data_Prices!$A:$A,0)),R$97)</f>
        <v>9.1585649555096875</v>
      </c>
      <c r="S77" s="22">
        <f>POSTTAX(S67,INDEX(Data_Prices!S:S,MATCH($G77,Data_Prices!$A:$A,0)),S$97)</f>
        <v>9.0895478773973775</v>
      </c>
      <c r="T77" s="22">
        <f>POSTTAX(T67,INDEX(Data_Prices!T:T,MATCH($G77,Data_Prices!$A:$A,0)),T$97)</f>
        <v>9.0156816660228305</v>
      </c>
      <c r="U77" s="22">
        <f>POSTTAX(U67,INDEX(Data_Prices!U:U,MATCH($G77,Data_Prices!$A:$A,0)),U$97)</f>
        <v>8.9443977655571061</v>
      </c>
      <c r="V77" s="22">
        <f>POSTTAX(V67,INDEX(Data_Prices!V:V,MATCH($G77,Data_Prices!$A:$A,0)),V$97)</f>
        <v>8.9443977655571061</v>
      </c>
      <c r="W77" s="22">
        <f>POSTTAX(W67,INDEX(Data_Prices!W:W,MATCH($G77,Data_Prices!$A:$A,0)),W$97)</f>
        <v>8.9443977655571061</v>
      </c>
      <c r="X77" s="22">
        <f>POSTTAX(X67,INDEX(Data_Prices!X:X,MATCH($G77,Data_Prices!$A:$A,0)),X$97)</f>
        <v>8.9443977655571061</v>
      </c>
      <c r="Y77" s="22">
        <f>POSTTAX(Y67,INDEX(Data_Prices!Y:Y,MATCH($G77,Data_Prices!$A:$A,0)),Y$97)</f>
        <v>8.9443977655571061</v>
      </c>
      <c r="Z77" s="22">
        <f>POSTTAX(Z67,INDEX(Data_Prices!Z:Z,MATCH($G77,Data_Prices!$A:$A,0)),Z$97)</f>
        <v>8.9443977655571061</v>
      </c>
      <c r="AA77" s="22">
        <f>POSTTAX(AA67,INDEX(Data_Prices!AA:AA,MATCH($G77,Data_Prices!$A:$A,0)),AA$97)</f>
        <v>8.9443977655571061</v>
      </c>
      <c r="AB77" s="22">
        <f>POSTTAX(AB67,INDEX(Data_Prices!AB:AB,MATCH($G77,Data_Prices!$A:$A,0)),AB$97)</f>
        <v>8.9443977655571061</v>
      </c>
      <c r="AC77" s="22">
        <f>POSTTAX(AC67,INDEX(Data_Prices!AC:AC,MATCH($G77,Data_Prices!$A:$A,0)),AC$97)</f>
        <v>8.9443977655571061</v>
      </c>
      <c r="AD77" s="22">
        <f>POSTTAX(AD67,INDEX(Data_Prices!AD:AD,MATCH($G77,Data_Prices!$A:$A,0)),AD$97)</f>
        <v>8.9443977655571061</v>
      </c>
      <c r="AE77" s="22">
        <f>POSTTAX(AE67,INDEX(Data_Prices!AE:AE,MATCH($G77,Data_Prices!$A:$A,0)),AE$97)</f>
        <v>8.9443977655571061</v>
      </c>
    </row>
    <row r="78" spans="1:35" x14ac:dyDescent="0.25">
      <c r="B78" s="17" t="s">
        <v>57</v>
      </c>
      <c r="C78" s="17" t="str">
        <f t="shared" si="7"/>
        <v>cem</v>
      </c>
      <c r="D78" s="18" t="s">
        <v>58</v>
      </c>
      <c r="E78" s="19" t="s">
        <v>55</v>
      </c>
      <c r="F78" s="17" t="s">
        <v>77</v>
      </c>
      <c r="G78" s="20" t="str">
        <f>Settings!$B$3&amp;".mit.nce."&amp;Settings!$B$4&amp;"."&amp;$B78&amp;".a."&amp;$J$65</f>
        <v>egy.mit.nce.ind.nga.a.1</v>
      </c>
      <c r="H78" s="21" t="str">
        <f>OUTCODE(Settings!$B$3,"atp",$C$65,$B78,$J$65)</f>
        <v>egy.mit.atp.cem.nga.e.1</v>
      </c>
      <c r="K78" s="22">
        <f>POSTTAX(K68,INDEX(Data_Prices!K:K,MATCH($G78,Data_Prices!$A:$A,0)),K$97)</f>
        <v>6.0634636156729131</v>
      </c>
      <c r="L78" s="22">
        <f>POSTTAX(L68,INDEX(Data_Prices!L:L,MATCH($G78,Data_Prices!$A:$A,0)),L$97)</f>
        <v>5.4510150816191896</v>
      </c>
      <c r="M78" s="22">
        <f>POSTTAX(M68,INDEX(Data_Prices!M:M,MATCH($G78,Data_Prices!$A:$A,0)),M$97)</f>
        <v>5.1193563062624818</v>
      </c>
      <c r="N78" s="22">
        <f>POSTTAX(N68,INDEX(Data_Prices!N:N,MATCH($G78,Data_Prices!$A:$A,0)),N$97)</f>
        <v>5.0821845864040727</v>
      </c>
      <c r="O78" s="22">
        <f>POSTTAX(O68,INDEX(Data_Prices!O:O,MATCH($G78,Data_Prices!$A:$A,0)),O$97)</f>
        <v>5.0821845864040727</v>
      </c>
      <c r="P78" s="22">
        <f>POSTTAX(P68,INDEX(Data_Prices!P:P,MATCH($G78,Data_Prices!$A:$A,0)),P$97)</f>
        <v>5.0821845864040727</v>
      </c>
      <c r="Q78" s="22">
        <f>POSTTAX(Q68,INDEX(Data_Prices!Q:Q,MATCH($G78,Data_Prices!$A:$A,0)),Q$97)</f>
        <v>5.0821845864040727</v>
      </c>
      <c r="R78" s="22">
        <f>POSTTAX(R68,INDEX(Data_Prices!R:R,MATCH($G78,Data_Prices!$A:$A,0)),R$97)</f>
        <v>5.0821845864040727</v>
      </c>
      <c r="S78" s="22">
        <f>POSTTAX(S68,INDEX(Data_Prices!S:S,MATCH($G78,Data_Prices!$A:$A,0)),S$97)</f>
        <v>5.0821845864040727</v>
      </c>
      <c r="T78" s="22">
        <f>POSTTAX(T68,INDEX(Data_Prices!T:T,MATCH($G78,Data_Prices!$A:$A,0)),T$97)</f>
        <v>5.0821845864040727</v>
      </c>
      <c r="U78" s="22">
        <f>POSTTAX(U68,INDEX(Data_Prices!U:U,MATCH($G78,Data_Prices!$A:$A,0)),U$97)</f>
        <v>5.0821845864040727</v>
      </c>
      <c r="V78" s="22">
        <f>POSTTAX(V68,INDEX(Data_Prices!V:V,MATCH($G78,Data_Prices!$A:$A,0)),V$97)</f>
        <v>5.0821845864040727</v>
      </c>
      <c r="W78" s="22">
        <f>POSTTAX(W68,INDEX(Data_Prices!W:W,MATCH($G78,Data_Prices!$A:$A,0)),W$97)</f>
        <v>5.0821845864040727</v>
      </c>
      <c r="X78" s="22">
        <f>POSTTAX(X68,INDEX(Data_Prices!X:X,MATCH($G78,Data_Prices!$A:$A,0)),X$97)</f>
        <v>5.0821845864040727</v>
      </c>
      <c r="Y78" s="22">
        <f>POSTTAX(Y68,INDEX(Data_Prices!Y:Y,MATCH($G78,Data_Prices!$A:$A,0)),Y$97)</f>
        <v>5.0821845864040727</v>
      </c>
      <c r="Z78" s="22">
        <f>POSTTAX(Z68,INDEX(Data_Prices!Z:Z,MATCH($G78,Data_Prices!$A:$A,0)),Z$97)</f>
        <v>5.0821845864040727</v>
      </c>
      <c r="AA78" s="22">
        <f>POSTTAX(AA68,INDEX(Data_Prices!AA:AA,MATCH($G78,Data_Prices!$A:$A,0)),AA$97)</f>
        <v>5.0821845864040727</v>
      </c>
      <c r="AB78" s="22">
        <f>POSTTAX(AB68,INDEX(Data_Prices!AB:AB,MATCH($G78,Data_Prices!$A:$A,0)),AB$97)</f>
        <v>5.0821845864040727</v>
      </c>
      <c r="AC78" s="22">
        <f>POSTTAX(AC68,INDEX(Data_Prices!AC:AC,MATCH($G78,Data_Prices!$A:$A,0)),AC$97)</f>
        <v>5.0821845864040727</v>
      </c>
      <c r="AD78" s="22">
        <f>POSTTAX(AD68,INDEX(Data_Prices!AD:AD,MATCH($G78,Data_Prices!$A:$A,0)),AD$97)</f>
        <v>5.0821845864040727</v>
      </c>
      <c r="AE78" s="22">
        <f>POSTTAX(AE68,INDEX(Data_Prices!AE:AE,MATCH($G78,Data_Prices!$A:$A,0)),AE$97)</f>
        <v>5.0821845864040727</v>
      </c>
    </row>
    <row r="79" spans="1:35" x14ac:dyDescent="0.25">
      <c r="B79" s="17" t="s">
        <v>59</v>
      </c>
      <c r="C79" s="17" t="str">
        <f t="shared" si="7"/>
        <v>cem</v>
      </c>
      <c r="D79" s="18" t="s">
        <v>60</v>
      </c>
      <c r="E79" s="19" t="s">
        <v>61</v>
      </c>
      <c r="F79" s="17" t="s">
        <v>77</v>
      </c>
      <c r="G79" s="20" t="str">
        <f>Settings!$B$3&amp;".mit.nce."&amp;Settings!$B$4&amp;"."&amp;$B79&amp;".a."&amp;$J$65</f>
        <v>egy.mit.nce.ind.gso.a.1</v>
      </c>
      <c r="H79" s="21" t="str">
        <f>OUTCODE(Settings!$B$3,"atp",$C$65,$B79,$J$65)</f>
        <v>egy.mit.atp.cem.gso.e.1</v>
      </c>
      <c r="K79" s="22">
        <f>POSTTAX(K69,INDEX(Data_Prices!K:K,MATCH($G79,Data_Prices!$A:$A,0)),K$97)</f>
        <v>0.67114653332181606</v>
      </c>
      <c r="L79" s="22">
        <f>POSTTAX(L69,INDEX(Data_Prices!L:L,MATCH($G79,Data_Prices!$A:$A,0)),L$97)</f>
        <v>0.61197797679140631</v>
      </c>
      <c r="M79" s="22">
        <f>POSTTAX(M69,INDEX(Data_Prices!M:M,MATCH($G79,Data_Prices!$A:$A,0)),M$97)</f>
        <v>0.61180974964187596</v>
      </c>
      <c r="N79" s="22">
        <f>POSTTAX(N69,INDEX(Data_Prices!N:N,MATCH($G79,Data_Prices!$A:$A,0)),N$97)</f>
        <v>0.60358310017790551</v>
      </c>
      <c r="O79" s="22">
        <f>POSTTAX(O69,INDEX(Data_Prices!O:O,MATCH($G79,Data_Prices!$A:$A,0)),O$97)</f>
        <v>0.60358310017790551</v>
      </c>
      <c r="P79" s="22">
        <f>POSTTAX(P69,INDEX(Data_Prices!P:P,MATCH($G79,Data_Prices!$A:$A,0)),P$97)</f>
        <v>0.60358310017790551</v>
      </c>
      <c r="Q79" s="22">
        <f>POSTTAX(Q69,INDEX(Data_Prices!Q:Q,MATCH($G79,Data_Prices!$A:$A,0)),Q$97)</f>
        <v>0.60358310017790551</v>
      </c>
      <c r="R79" s="22">
        <f>POSTTAX(R69,INDEX(Data_Prices!R:R,MATCH($G79,Data_Prices!$A:$A,0)),R$97)</f>
        <v>0.60358310017790551</v>
      </c>
      <c r="S79" s="22">
        <f>POSTTAX(S69,INDEX(Data_Prices!S:S,MATCH($G79,Data_Prices!$A:$A,0)),S$97)</f>
        <v>0.60358310017790551</v>
      </c>
      <c r="T79" s="22">
        <f>POSTTAX(T69,INDEX(Data_Prices!T:T,MATCH($G79,Data_Prices!$A:$A,0)),T$97)</f>
        <v>0.60358310017790551</v>
      </c>
      <c r="U79" s="22">
        <f>POSTTAX(U69,INDEX(Data_Prices!U:U,MATCH($G79,Data_Prices!$A:$A,0)),U$97)</f>
        <v>0.60358310017790551</v>
      </c>
      <c r="V79" s="22">
        <f>POSTTAX(V69,INDEX(Data_Prices!V:V,MATCH($G79,Data_Prices!$A:$A,0)),V$97)</f>
        <v>0.60358310017790551</v>
      </c>
      <c r="W79" s="22">
        <f>POSTTAX(W69,INDEX(Data_Prices!W:W,MATCH($G79,Data_Prices!$A:$A,0)),W$97)</f>
        <v>0.60358310017790551</v>
      </c>
      <c r="X79" s="22">
        <f>POSTTAX(X69,INDEX(Data_Prices!X:X,MATCH($G79,Data_Prices!$A:$A,0)),X$97)</f>
        <v>0.60358310017790551</v>
      </c>
      <c r="Y79" s="22">
        <f>POSTTAX(Y69,INDEX(Data_Prices!Y:Y,MATCH($G79,Data_Prices!$A:$A,0)),Y$97)</f>
        <v>0.60358310017790551</v>
      </c>
      <c r="Z79" s="22">
        <f>POSTTAX(Z69,INDEX(Data_Prices!Z:Z,MATCH($G79,Data_Prices!$A:$A,0)),Z$97)</f>
        <v>0.60358310017790551</v>
      </c>
      <c r="AA79" s="22">
        <f>POSTTAX(AA69,INDEX(Data_Prices!AA:AA,MATCH($G79,Data_Prices!$A:$A,0)),AA$97)</f>
        <v>0.60358310017790551</v>
      </c>
      <c r="AB79" s="22">
        <f>POSTTAX(AB69,INDEX(Data_Prices!AB:AB,MATCH($G79,Data_Prices!$A:$A,0)),AB$97)</f>
        <v>0.60358310017790551</v>
      </c>
      <c r="AC79" s="22">
        <f>POSTTAX(AC69,INDEX(Data_Prices!AC:AC,MATCH($G79,Data_Prices!$A:$A,0)),AC$97)</f>
        <v>0.60358310017790551</v>
      </c>
      <c r="AD79" s="22">
        <f>POSTTAX(AD69,INDEX(Data_Prices!AD:AD,MATCH($G79,Data_Prices!$A:$A,0)),AD$97)</f>
        <v>0.60358310017790551</v>
      </c>
      <c r="AE79" s="22">
        <f>POSTTAX(AE69,INDEX(Data_Prices!AE:AE,MATCH($G79,Data_Prices!$A:$A,0)),AE$97)</f>
        <v>0.60358310017790551</v>
      </c>
    </row>
    <row r="80" spans="1:35" x14ac:dyDescent="0.25">
      <c r="B80" s="17" t="s">
        <v>62</v>
      </c>
      <c r="C80" s="17" t="str">
        <f t="shared" si="7"/>
        <v>cem</v>
      </c>
      <c r="D80" s="18" t="s">
        <v>63</v>
      </c>
      <c r="E80" s="19" t="s">
        <v>61</v>
      </c>
      <c r="F80" s="17" t="s">
        <v>77</v>
      </c>
      <c r="G80" s="20" t="str">
        <f>Settings!$B$3&amp;".mit.nce."&amp;Settings!$B$4&amp;"."&amp;$B80&amp;".a."&amp;$J$65</f>
        <v>egy.mit.nce.ind.die.a.1</v>
      </c>
      <c r="H80" s="21" t="str">
        <f>OUTCODE(Settings!$B$3,"atp",$C$65,$B80,$J$65)</f>
        <v>egy.mit.atp.cem.die.e.1</v>
      </c>
      <c r="K80" s="22">
        <f>POSTTAX(K70,INDEX(Data_Prices!K:K,MATCH($G80,Data_Prices!$A:$A,0)),K$97)</f>
        <v>0.55971121315568761</v>
      </c>
      <c r="L80" s="22">
        <f>POSTTAX(L70,INDEX(Data_Prices!L:L,MATCH($G80,Data_Prices!$A:$A,0)),L$97)</f>
        <v>0.49458873084106802</v>
      </c>
      <c r="M80" s="22">
        <f>POSTTAX(M70,INDEX(Data_Prices!M:M,MATCH($G80,Data_Prices!$A:$A,0)),M$97)</f>
        <v>0.50778654720250049</v>
      </c>
      <c r="N80" s="22">
        <f>POSTTAX(N70,INDEX(Data_Prices!N:N,MATCH($G80,Data_Prices!$A:$A,0)),N$97)</f>
        <v>0.47043642679561742</v>
      </c>
      <c r="O80" s="22">
        <f>POSTTAX(O70,INDEX(Data_Prices!O:O,MATCH($G80,Data_Prices!$A:$A,0)),O$97)</f>
        <v>0.47043642679561742</v>
      </c>
      <c r="P80" s="22">
        <f>POSTTAX(P70,INDEX(Data_Prices!P:P,MATCH($G80,Data_Prices!$A:$A,0)),P$97)</f>
        <v>0.47043642679561742</v>
      </c>
      <c r="Q80" s="22">
        <f>POSTTAX(Q70,INDEX(Data_Prices!Q:Q,MATCH($G80,Data_Prices!$A:$A,0)),Q$97)</f>
        <v>0.47043642679561742</v>
      </c>
      <c r="R80" s="22">
        <f>POSTTAX(R70,INDEX(Data_Prices!R:R,MATCH($G80,Data_Prices!$A:$A,0)),R$97)</f>
        <v>0.47043642679561742</v>
      </c>
      <c r="S80" s="22">
        <f>POSTTAX(S70,INDEX(Data_Prices!S:S,MATCH($G80,Data_Prices!$A:$A,0)),S$97)</f>
        <v>0.47043642679561742</v>
      </c>
      <c r="T80" s="22">
        <f>POSTTAX(T70,INDEX(Data_Prices!T:T,MATCH($G80,Data_Prices!$A:$A,0)),T$97)</f>
        <v>0.47043642679561742</v>
      </c>
      <c r="U80" s="22">
        <f>POSTTAX(U70,INDEX(Data_Prices!U:U,MATCH($G80,Data_Prices!$A:$A,0)),U$97)</f>
        <v>0.47043642679561742</v>
      </c>
      <c r="V80" s="22">
        <f>POSTTAX(V70,INDEX(Data_Prices!V:V,MATCH($G80,Data_Prices!$A:$A,0)),V$97)</f>
        <v>0.47043642679561742</v>
      </c>
      <c r="W80" s="22">
        <f>POSTTAX(W70,INDEX(Data_Prices!W:W,MATCH($G80,Data_Prices!$A:$A,0)),W$97)</f>
        <v>0.47043642679561742</v>
      </c>
      <c r="X80" s="22">
        <f>POSTTAX(X70,INDEX(Data_Prices!X:X,MATCH($G80,Data_Prices!$A:$A,0)),X$97)</f>
        <v>0.47043642679561742</v>
      </c>
      <c r="Y80" s="22">
        <f>POSTTAX(Y70,INDEX(Data_Prices!Y:Y,MATCH($G80,Data_Prices!$A:$A,0)),Y$97)</f>
        <v>0.47043642679561742</v>
      </c>
      <c r="Z80" s="22">
        <f>POSTTAX(Z70,INDEX(Data_Prices!Z:Z,MATCH($G80,Data_Prices!$A:$A,0)),Z$97)</f>
        <v>0.47043642679561742</v>
      </c>
      <c r="AA80" s="22">
        <f>POSTTAX(AA70,INDEX(Data_Prices!AA:AA,MATCH($G80,Data_Prices!$A:$A,0)),AA$97)</f>
        <v>0.47043642679561742</v>
      </c>
      <c r="AB80" s="22">
        <f>POSTTAX(AB70,INDEX(Data_Prices!AB:AB,MATCH($G80,Data_Prices!$A:$A,0)),AB$97)</f>
        <v>0.47043642679561742</v>
      </c>
      <c r="AC80" s="22">
        <f>POSTTAX(AC70,INDEX(Data_Prices!AC:AC,MATCH($G80,Data_Prices!$A:$A,0)),AC$97)</f>
        <v>0.47043642679561742</v>
      </c>
      <c r="AD80" s="22">
        <f>POSTTAX(AD70,INDEX(Data_Prices!AD:AD,MATCH($G80,Data_Prices!$A:$A,0)),AD$97)</f>
        <v>0.47043642679561742</v>
      </c>
      <c r="AE80" s="22">
        <f>POSTTAX(AE70,INDEX(Data_Prices!AE:AE,MATCH($G80,Data_Prices!$A:$A,0)),AE$97)</f>
        <v>0.47043642679561742</v>
      </c>
    </row>
    <row r="81" spans="2:31" x14ac:dyDescent="0.25">
      <c r="B81" s="17" t="s">
        <v>64</v>
      </c>
      <c r="C81" s="17" t="str">
        <f t="shared" si="7"/>
        <v>cem</v>
      </c>
      <c r="D81" s="18" t="s">
        <v>65</v>
      </c>
      <c r="E81" s="19" t="s">
        <v>61</v>
      </c>
      <c r="F81" s="17" t="s">
        <v>77</v>
      </c>
      <c r="G81" s="20" t="str">
        <f>Settings!$B$3&amp;".mit.nce."&amp;Settings!$B$4&amp;"."&amp;$B81&amp;".a."&amp;$J$65</f>
        <v>egy.mit.nce.ind.lpg.a.1</v>
      </c>
      <c r="H81" s="21" t="str">
        <f>OUTCODE(Settings!$B$3,"atp",$C$65,$B81,$J$65)</f>
        <v>egy.mit.atp.cem.lpg.e.1</v>
      </c>
      <c r="K81" s="22">
        <f>POSTTAX(K71,INDEX(Data_Prices!K:K,MATCH($G81,Data_Prices!$A:$A,0)),K$97)</f>
        <v>0.20036669112673841</v>
      </c>
      <c r="L81" s="22">
        <f>POSTTAX(L71,INDEX(Data_Prices!L:L,MATCH($G81,Data_Prices!$A:$A,0)),L$97)</f>
        <v>0.1573447362522738</v>
      </c>
      <c r="M81" s="22">
        <f>POSTTAX(M71,INDEX(Data_Prices!M:M,MATCH($G81,Data_Prices!$A:$A,0)),M$97)</f>
        <v>0.1644840377592767</v>
      </c>
      <c r="N81" s="22">
        <f>POSTTAX(N71,INDEX(Data_Prices!N:N,MATCH($G81,Data_Prices!$A:$A,0)),N$97)</f>
        <v>0.1507090778070489</v>
      </c>
      <c r="O81" s="22">
        <f>POSTTAX(O71,INDEX(Data_Prices!O:O,MATCH($G81,Data_Prices!$A:$A,0)),O$97)</f>
        <v>0.1507090778070489</v>
      </c>
      <c r="P81" s="22">
        <f>POSTTAX(P71,INDEX(Data_Prices!P:P,MATCH($G81,Data_Prices!$A:$A,0)),P$97)</f>
        <v>0.1507090778070489</v>
      </c>
      <c r="Q81" s="22">
        <f>POSTTAX(Q71,INDEX(Data_Prices!Q:Q,MATCH($G81,Data_Prices!$A:$A,0)),Q$97)</f>
        <v>0.1507090778070489</v>
      </c>
      <c r="R81" s="22">
        <f>POSTTAX(R71,INDEX(Data_Prices!R:R,MATCH($G81,Data_Prices!$A:$A,0)),R$97)</f>
        <v>0.1507090778070489</v>
      </c>
      <c r="S81" s="22">
        <f>POSTTAX(S71,INDEX(Data_Prices!S:S,MATCH($G81,Data_Prices!$A:$A,0)),S$97)</f>
        <v>0.1507090778070489</v>
      </c>
      <c r="T81" s="22">
        <f>POSTTAX(T71,INDEX(Data_Prices!T:T,MATCH($G81,Data_Prices!$A:$A,0)),T$97)</f>
        <v>0.1507090778070489</v>
      </c>
      <c r="U81" s="22">
        <f>POSTTAX(U71,INDEX(Data_Prices!U:U,MATCH($G81,Data_Prices!$A:$A,0)),U$97)</f>
        <v>0.1507090778070489</v>
      </c>
      <c r="V81" s="22">
        <f>POSTTAX(V71,INDEX(Data_Prices!V:V,MATCH($G81,Data_Prices!$A:$A,0)),V$97)</f>
        <v>0.1507090778070489</v>
      </c>
      <c r="W81" s="22">
        <f>POSTTAX(W71,INDEX(Data_Prices!W:W,MATCH($G81,Data_Prices!$A:$A,0)),W$97)</f>
        <v>0.1507090778070489</v>
      </c>
      <c r="X81" s="22">
        <f>POSTTAX(X71,INDEX(Data_Prices!X:X,MATCH($G81,Data_Prices!$A:$A,0)),X$97)</f>
        <v>0.1507090778070489</v>
      </c>
      <c r="Y81" s="22">
        <f>POSTTAX(Y71,INDEX(Data_Prices!Y:Y,MATCH($G81,Data_Prices!$A:$A,0)),Y$97)</f>
        <v>0.1507090778070489</v>
      </c>
      <c r="Z81" s="22">
        <f>POSTTAX(Z71,INDEX(Data_Prices!Z:Z,MATCH($G81,Data_Prices!$A:$A,0)),Z$97)</f>
        <v>0.1507090778070489</v>
      </c>
      <c r="AA81" s="22">
        <f>POSTTAX(AA71,INDEX(Data_Prices!AA:AA,MATCH($G81,Data_Prices!$A:$A,0)),AA$97)</f>
        <v>0.1507090778070489</v>
      </c>
      <c r="AB81" s="22">
        <f>POSTTAX(AB71,INDEX(Data_Prices!AB:AB,MATCH($G81,Data_Prices!$A:$A,0)),AB$97)</f>
        <v>0.1507090778070489</v>
      </c>
      <c r="AC81" s="22">
        <f>POSTTAX(AC71,INDEX(Data_Prices!AC:AC,MATCH($G81,Data_Prices!$A:$A,0)),AC$97)</f>
        <v>0.1507090778070489</v>
      </c>
      <c r="AD81" s="22">
        <f>POSTTAX(AD71,INDEX(Data_Prices!AD:AD,MATCH($G81,Data_Prices!$A:$A,0)),AD$97)</f>
        <v>0.1507090778070489</v>
      </c>
      <c r="AE81" s="22">
        <f>POSTTAX(AE71,INDEX(Data_Prices!AE:AE,MATCH($G81,Data_Prices!$A:$A,0)),AE$97)</f>
        <v>0.1507090778070489</v>
      </c>
    </row>
    <row r="82" spans="2:31" x14ac:dyDescent="0.25">
      <c r="B82" s="17" t="s">
        <v>66</v>
      </c>
      <c r="C82" s="17" t="str">
        <f t="shared" si="7"/>
        <v>cem</v>
      </c>
      <c r="D82" s="18" t="s">
        <v>67</v>
      </c>
      <c r="E82" s="19" t="s">
        <v>61</v>
      </c>
      <c r="F82" s="17" t="s">
        <v>77</v>
      </c>
      <c r="G82" s="20" t="str">
        <f>Settings!$B$3&amp;".mit.nce."&amp;Settings!$B$4&amp;"."&amp;$B82&amp;".a."&amp;$J$65</f>
        <v>egy.mit.nce.ind.ker.a.1</v>
      </c>
      <c r="H82" s="21" t="str">
        <f>OUTCODE(Settings!$B$3,"atp",$C$65,$B82,$J$65)</f>
        <v>egy.mit.atp.cem.ker.e.1</v>
      </c>
      <c r="K82" s="22">
        <f>POSTTAX(K72,INDEX(Data_Prices!K:K,MATCH($G82,Data_Prices!$A:$A,0)),K$97)</f>
        <v>0.48429424097343482</v>
      </c>
      <c r="L82" s="22">
        <f>POSTTAX(L72,INDEX(Data_Prices!L:L,MATCH($G82,Data_Prices!$A:$A,0)),L$97)</f>
        <v>0.45642817050012813</v>
      </c>
      <c r="M82" s="22">
        <f>POSTTAX(M72,INDEX(Data_Prices!M:M,MATCH($G82,Data_Prices!$A:$A,0)),M$97)</f>
        <v>0.43168920195599519</v>
      </c>
      <c r="N82" s="22">
        <f>POSTTAX(N72,INDEX(Data_Prices!N:N,MATCH($G82,Data_Prices!$A:$A,0)),N$97)</f>
        <v>0.42507558395596989</v>
      </c>
      <c r="O82" s="22">
        <f>POSTTAX(O72,INDEX(Data_Prices!O:O,MATCH($G82,Data_Prices!$A:$A,0)),O$97)</f>
        <v>0.42507558395596989</v>
      </c>
      <c r="P82" s="22">
        <f>POSTTAX(P72,INDEX(Data_Prices!P:P,MATCH($G82,Data_Prices!$A:$A,0)),P$97)</f>
        <v>0.42507558395596989</v>
      </c>
      <c r="Q82" s="22">
        <f>POSTTAX(Q72,INDEX(Data_Prices!Q:Q,MATCH($G82,Data_Prices!$A:$A,0)),Q$97)</f>
        <v>0.42507558395596989</v>
      </c>
      <c r="R82" s="22">
        <f>POSTTAX(R72,INDEX(Data_Prices!R:R,MATCH($G82,Data_Prices!$A:$A,0)),R$97)</f>
        <v>0.42507558395596989</v>
      </c>
      <c r="S82" s="22">
        <f>POSTTAX(S72,INDEX(Data_Prices!S:S,MATCH($G82,Data_Prices!$A:$A,0)),S$97)</f>
        <v>0.42507558395596989</v>
      </c>
      <c r="T82" s="22">
        <f>POSTTAX(T72,INDEX(Data_Prices!T:T,MATCH($G82,Data_Prices!$A:$A,0)),T$97)</f>
        <v>0.42507558395596989</v>
      </c>
      <c r="U82" s="22">
        <f>POSTTAX(U72,INDEX(Data_Prices!U:U,MATCH($G82,Data_Prices!$A:$A,0)),U$97)</f>
        <v>0.42507558395596989</v>
      </c>
      <c r="V82" s="22">
        <f>POSTTAX(V72,INDEX(Data_Prices!V:V,MATCH($G82,Data_Prices!$A:$A,0)),V$97)</f>
        <v>0.42507558395596989</v>
      </c>
      <c r="W82" s="22">
        <f>POSTTAX(W72,INDEX(Data_Prices!W:W,MATCH($G82,Data_Prices!$A:$A,0)),W$97)</f>
        <v>0.42507558395596989</v>
      </c>
      <c r="X82" s="22">
        <f>POSTTAX(X72,INDEX(Data_Prices!X:X,MATCH($G82,Data_Prices!$A:$A,0)),X$97)</f>
        <v>0.42507558395596989</v>
      </c>
      <c r="Y82" s="22">
        <f>POSTTAX(Y72,INDEX(Data_Prices!Y:Y,MATCH($G82,Data_Prices!$A:$A,0)),Y$97)</f>
        <v>0.42507558395596989</v>
      </c>
      <c r="Z82" s="22">
        <f>POSTTAX(Z72,INDEX(Data_Prices!Z:Z,MATCH($G82,Data_Prices!$A:$A,0)),Z$97)</f>
        <v>0.42507558395596989</v>
      </c>
      <c r="AA82" s="22">
        <f>POSTTAX(AA72,INDEX(Data_Prices!AA:AA,MATCH($G82,Data_Prices!$A:$A,0)),AA$97)</f>
        <v>0.42507558395596989</v>
      </c>
      <c r="AB82" s="22">
        <f>POSTTAX(AB72,INDEX(Data_Prices!AB:AB,MATCH($G82,Data_Prices!$A:$A,0)),AB$97)</f>
        <v>0.42507558395596989</v>
      </c>
      <c r="AC82" s="22">
        <f>POSTTAX(AC72,INDEX(Data_Prices!AC:AC,MATCH($G82,Data_Prices!$A:$A,0)),AC$97)</f>
        <v>0.42507558395596989</v>
      </c>
      <c r="AD82" s="22">
        <f>POSTTAX(AD72,INDEX(Data_Prices!AD:AD,MATCH($G82,Data_Prices!$A:$A,0)),AD$97)</f>
        <v>0.42507558395596989</v>
      </c>
      <c r="AE82" s="22">
        <f>POSTTAX(AE72,INDEX(Data_Prices!AE:AE,MATCH($G82,Data_Prices!$A:$A,0)),AE$97)</f>
        <v>0.42507558395596989</v>
      </c>
    </row>
    <row r="83" spans="2:31" x14ac:dyDescent="0.25">
      <c r="B83" s="17" t="s">
        <v>68</v>
      </c>
      <c r="C83" s="17" t="str">
        <f t="shared" si="7"/>
        <v>cem</v>
      </c>
      <c r="D83" s="18" t="s">
        <v>69</v>
      </c>
      <c r="E83" s="19" t="s">
        <v>70</v>
      </c>
      <c r="F83" s="17" t="s">
        <v>77</v>
      </c>
      <c r="G83" s="20" t="str">
        <f>Settings!$B$3&amp;".mit.nce."&amp;Settings!$B$4&amp;"."&amp;$B83&amp;".a."&amp;$J$65</f>
        <v>egy.mit.nce.ind.oop.a.1</v>
      </c>
      <c r="H83" s="21" t="str">
        <f>OUTCODE(Settings!$B$3,"atp",$C$65,$B83,$J$65)</f>
        <v>egy.mit.atp.cem.oop.e.1</v>
      </c>
      <c r="K83" s="22">
        <f>POSTTAX(K73,INDEX(Data_Prices!K:K,MATCH($G83,Data_Prices!$A:$A,0)),K$97)</f>
        <v>41.50033849886843</v>
      </c>
      <c r="L83" s="22">
        <f>POSTTAX(L73,INDEX(Data_Prices!L:L,MATCH($G83,Data_Prices!$A:$A,0)),L$97)</f>
        <v>34.415370304313228</v>
      </c>
      <c r="M83" s="22">
        <f>POSTTAX(M73,INDEX(Data_Prices!M:M,MATCH($G83,Data_Prices!$A:$A,0)),M$97)</f>
        <v>37.368960690432033</v>
      </c>
      <c r="N83" s="22">
        <f>POSTTAX(N73,INDEX(Data_Prices!N:N,MATCH($G83,Data_Prices!$A:$A,0)),N$97)</f>
        <v>28.982761101477251</v>
      </c>
      <c r="O83" s="22">
        <f>POSTTAX(O73,INDEX(Data_Prices!O:O,MATCH($G83,Data_Prices!$A:$A,0)),O$97)</f>
        <v>15</v>
      </c>
      <c r="P83" s="22">
        <f>POSTTAX(P73,INDEX(Data_Prices!P:P,MATCH($G83,Data_Prices!$A:$A,0)),P$97)</f>
        <v>24.2586300842555</v>
      </c>
      <c r="Q83" s="22">
        <f>POSTTAX(Q73,INDEX(Data_Prices!Q:Q,MATCH($G83,Data_Prices!$A:$A,0)),Q$97)</f>
        <v>15</v>
      </c>
      <c r="R83" s="22">
        <f>POSTTAX(R73,INDEX(Data_Prices!R:R,MATCH($G83,Data_Prices!$A:$A,0)),R$97)</f>
        <v>15</v>
      </c>
      <c r="S83" s="22">
        <f>POSTTAX(S73,INDEX(Data_Prices!S:S,MATCH($G83,Data_Prices!$A:$A,0)),S$97)</f>
        <v>15</v>
      </c>
      <c r="T83" s="22">
        <f>POSTTAX(T73,INDEX(Data_Prices!T:T,MATCH($G83,Data_Prices!$A:$A,0)),T$97)</f>
        <v>15</v>
      </c>
      <c r="U83" s="22">
        <f>POSTTAX(U73,INDEX(Data_Prices!U:U,MATCH($G83,Data_Prices!$A:$A,0)),U$97)</f>
        <v>15</v>
      </c>
      <c r="V83" s="22">
        <f>POSTTAX(V73,INDEX(Data_Prices!V:V,MATCH($G83,Data_Prices!$A:$A,0)),V$97)</f>
        <v>15</v>
      </c>
      <c r="W83" s="22">
        <f>POSTTAX(W73,INDEX(Data_Prices!W:W,MATCH($G83,Data_Prices!$A:$A,0)),W$97)</f>
        <v>15</v>
      </c>
      <c r="X83" s="22">
        <f>POSTTAX(X73,INDEX(Data_Prices!X:X,MATCH($G83,Data_Prices!$A:$A,0)),X$97)</f>
        <v>15</v>
      </c>
      <c r="Y83" s="22">
        <f>POSTTAX(Y73,INDEX(Data_Prices!Y:Y,MATCH($G83,Data_Prices!$A:$A,0)),Y$97)</f>
        <v>15</v>
      </c>
      <c r="Z83" s="22">
        <f>POSTTAX(Z73,INDEX(Data_Prices!Z:Z,MATCH($G83,Data_Prices!$A:$A,0)),Z$97)</f>
        <v>15</v>
      </c>
      <c r="AA83" s="22">
        <f>POSTTAX(AA73,INDEX(Data_Prices!AA:AA,MATCH($G83,Data_Prices!$A:$A,0)),AA$97)</f>
        <v>15</v>
      </c>
      <c r="AB83" s="22">
        <f>POSTTAX(AB73,INDEX(Data_Prices!AB:AB,MATCH($G83,Data_Prices!$A:$A,0)),AB$97)</f>
        <v>15</v>
      </c>
      <c r="AC83" s="22">
        <f>POSTTAX(AC73,INDEX(Data_Prices!AC:AC,MATCH($G83,Data_Prices!$A:$A,0)),AC$97)</f>
        <v>15</v>
      </c>
      <c r="AD83" s="22">
        <f>POSTTAX(AD73,INDEX(Data_Prices!AD:AD,MATCH($G83,Data_Prices!$A:$A,0)),AD$97)</f>
        <v>15</v>
      </c>
      <c r="AE83" s="22">
        <f>POSTTAX(AE73,INDEX(Data_Prices!AE:AE,MATCH($G83,Data_Prices!$A:$A,0)),AE$97)</f>
        <v>15</v>
      </c>
    </row>
    <row r="84" spans="2:31" x14ac:dyDescent="0.25">
      <c r="B84" s="17" t="s">
        <v>71</v>
      </c>
      <c r="C84" s="17" t="str">
        <f t="shared" si="7"/>
        <v>cem</v>
      </c>
      <c r="D84" s="18" t="s">
        <v>72</v>
      </c>
      <c r="E84" s="19" t="s">
        <v>55</v>
      </c>
      <c r="F84" s="17" t="s">
        <v>77</v>
      </c>
      <c r="G84" s="20" t="str">
        <f>Settings!$B$3&amp;".mit.nce."&amp;Settings!$B$4&amp;"."&amp;$B84&amp;".a."&amp;$J$65</f>
        <v>egy.mit.nce.ind.bio.a.1</v>
      </c>
      <c r="H84" s="21" t="str">
        <f>OUTCODE(Settings!$B$3,"atp",$C$65,$B84,$J$65)</f>
        <v>egy.mit.atp.cem.bio.e.1</v>
      </c>
      <c r="K84" s="22">
        <f>POSTTAX(K74,INDEX(Data_Prices!K:K,MATCH($G84,Data_Prices!$A:$A,0)),K$97)</f>
        <v>15.33455052931693</v>
      </c>
      <c r="L84" s="22">
        <f>POSTTAX(L74,INDEX(Data_Prices!L:L,MATCH($G84,Data_Prices!$A:$A,0)),L$97)</f>
        <v>14.199528390634921</v>
      </c>
      <c r="M84" s="22">
        <f>POSTTAX(M74,INDEX(Data_Prices!M:M,MATCH($G84,Data_Prices!$A:$A,0)),M$97)</f>
        <v>13.840441613315161</v>
      </c>
      <c r="N84" s="22">
        <f>POSTTAX(N74,INDEX(Data_Prices!N:N,MATCH($G84,Data_Prices!$A:$A,0)),N$97)</f>
        <v>13.5677269404465</v>
      </c>
      <c r="O84" s="22">
        <f>POSTTAX(O74,INDEX(Data_Prices!O:O,MATCH($G84,Data_Prices!$A:$A,0)),O$97)</f>
        <v>13.5677269404465</v>
      </c>
      <c r="P84" s="22">
        <f>POSTTAX(P74,INDEX(Data_Prices!P:P,MATCH($G84,Data_Prices!$A:$A,0)),P$97)</f>
        <v>13.5677269404465</v>
      </c>
      <c r="Q84" s="22">
        <f>POSTTAX(Q74,INDEX(Data_Prices!Q:Q,MATCH($G84,Data_Prices!$A:$A,0)),Q$97)</f>
        <v>13.5677269404465</v>
      </c>
      <c r="R84" s="22">
        <f>POSTTAX(R74,INDEX(Data_Prices!R:R,MATCH($G84,Data_Prices!$A:$A,0)),R$97)</f>
        <v>13.5677269404465</v>
      </c>
      <c r="S84" s="22">
        <f>POSTTAX(S74,INDEX(Data_Prices!S:S,MATCH($G84,Data_Prices!$A:$A,0)),S$97)</f>
        <v>13.5677269404465</v>
      </c>
      <c r="T84" s="22">
        <f>POSTTAX(T74,INDEX(Data_Prices!T:T,MATCH($G84,Data_Prices!$A:$A,0)),T$97)</f>
        <v>13.5677269404465</v>
      </c>
      <c r="U84" s="22">
        <f>POSTTAX(U74,INDEX(Data_Prices!U:U,MATCH($G84,Data_Prices!$A:$A,0)),U$97)</f>
        <v>13.5677269404465</v>
      </c>
      <c r="V84" s="22">
        <f>POSTTAX(V74,INDEX(Data_Prices!V:V,MATCH($G84,Data_Prices!$A:$A,0)),V$97)</f>
        <v>13.5677269404465</v>
      </c>
      <c r="W84" s="22">
        <f>POSTTAX(W74,INDEX(Data_Prices!W:W,MATCH($G84,Data_Prices!$A:$A,0)),W$97)</f>
        <v>13.5677269404465</v>
      </c>
      <c r="X84" s="22">
        <f>POSTTAX(X74,INDEX(Data_Prices!X:X,MATCH($G84,Data_Prices!$A:$A,0)),X$97)</f>
        <v>13.5677269404465</v>
      </c>
      <c r="Y84" s="22">
        <f>POSTTAX(Y74,INDEX(Data_Prices!Y:Y,MATCH($G84,Data_Prices!$A:$A,0)),Y$97)</f>
        <v>13.5677269404465</v>
      </c>
      <c r="Z84" s="22">
        <f>POSTTAX(Z74,INDEX(Data_Prices!Z:Z,MATCH($G84,Data_Prices!$A:$A,0)),Z$97)</f>
        <v>13.5677269404465</v>
      </c>
      <c r="AA84" s="22">
        <f>POSTTAX(AA74,INDEX(Data_Prices!AA:AA,MATCH($G84,Data_Prices!$A:$A,0)),AA$97)</f>
        <v>13.5677269404465</v>
      </c>
      <c r="AB84" s="22">
        <f>POSTTAX(AB74,INDEX(Data_Prices!AB:AB,MATCH($G84,Data_Prices!$A:$A,0)),AB$97)</f>
        <v>13.5677269404465</v>
      </c>
      <c r="AC84" s="22">
        <f>POSTTAX(AC74,INDEX(Data_Prices!AC:AC,MATCH($G84,Data_Prices!$A:$A,0)),AC$97)</f>
        <v>13.5677269404465</v>
      </c>
      <c r="AD84" s="22">
        <f>POSTTAX(AD74,INDEX(Data_Prices!AD:AD,MATCH($G84,Data_Prices!$A:$A,0)),AD$97)</f>
        <v>13.5677269404465</v>
      </c>
      <c r="AE84" s="22">
        <f>POSTTAX(AE74,INDEX(Data_Prices!AE:AE,MATCH($G84,Data_Prices!$A:$A,0)),AE$97)</f>
        <v>13.5677269404465</v>
      </c>
    </row>
    <row r="85" spans="2:31" x14ac:dyDescent="0.25">
      <c r="B85" s="17" t="s">
        <v>73</v>
      </c>
      <c r="C85" s="17" t="str">
        <f t="shared" si="7"/>
        <v>cem</v>
      </c>
      <c r="D85" s="18" t="s">
        <v>74</v>
      </c>
      <c r="E85" s="19" t="s">
        <v>75</v>
      </c>
      <c r="F85" s="17" t="s">
        <v>77</v>
      </c>
      <c r="G85" s="20" t="str">
        <f>Settings!$B$3&amp;".mit.nce."&amp;Settings!$B$4&amp;"."&amp;$B85&amp;".a."&amp;$J$65</f>
        <v>egy.mit.nce.ind.ren.a.1</v>
      </c>
      <c r="H85" s="21" t="str">
        <f>OUTCODE(Settings!$B$3,"atp",$C$65,$B85,$J$65)</f>
        <v>egy.mit.atp.cem.ren.e.1</v>
      </c>
      <c r="K85" s="22">
        <f>POSTTAX(K75,INDEX(Data_Prices!K:K,MATCH($G85,Data_Prices!$A:$A,0)),K$97)</f>
        <v>0</v>
      </c>
      <c r="L85" s="22">
        <f>POSTTAX(L75,INDEX(Data_Prices!L:L,MATCH($G85,Data_Prices!$A:$A,0)),L$97)</f>
        <v>0.14404498679319799</v>
      </c>
      <c r="M85" s="22">
        <f>POSTTAX(M75,INDEX(Data_Prices!M:M,MATCH($G85,Data_Prices!$A:$A,0)),M$97)</f>
        <v>0.14102040965700391</v>
      </c>
      <c r="N85" s="22">
        <f>POSTTAX(N75,INDEX(Data_Prices!N:N,MATCH($G85,Data_Prices!$A:$A,0)),N$97)</f>
        <v>0.13511635959447599</v>
      </c>
      <c r="O85" s="22">
        <f>POSTTAX(O75,INDEX(Data_Prices!O:O,MATCH($G85,Data_Prices!$A:$A,0)),O$97)</f>
        <v>0.13098825698585639</v>
      </c>
      <c r="P85" s="22">
        <f>POSTTAX(P75,INDEX(Data_Prices!P:P,MATCH($G85,Data_Prices!$A:$A,0)),P$97)</f>
        <v>0.12790841608631831</v>
      </c>
      <c r="Q85" s="22">
        <f>POSTTAX(Q75,INDEX(Data_Prices!Q:Q,MATCH($G85,Data_Prices!$A:$A,0)),Q$97)</f>
        <v>0.124814310557813</v>
      </c>
      <c r="R85" s="22">
        <f>POSTTAX(R75,INDEX(Data_Prices!R:R,MATCH($G85,Data_Prices!$A:$A,0)),R$97)</f>
        <v>0.1214602571228779</v>
      </c>
      <c r="S85" s="22">
        <f>POSTTAX(S75,INDEX(Data_Prices!S:S,MATCH($G85,Data_Prices!$A:$A,0)),S$97)</f>
        <v>0.1179507441357863</v>
      </c>
      <c r="T85" s="22">
        <f>POSTTAX(T75,INDEX(Data_Prices!T:T,MATCH($G85,Data_Prices!$A:$A,0)),T$97)</f>
        <v>0.1141991610445974</v>
      </c>
      <c r="U85" s="22">
        <f>POSTTAX(U75,INDEX(Data_Prices!U:U,MATCH($G85,Data_Prices!$A:$A,0)),U$97)</f>
        <v>0.1136651000596645</v>
      </c>
      <c r="V85" s="22">
        <f>POSTTAX(V75,INDEX(Data_Prices!V:V,MATCH($G85,Data_Prices!$A:$A,0)),V$97)</f>
        <v>0.1130169296259568</v>
      </c>
      <c r="W85" s="22">
        <f>POSTTAX(W75,INDEX(Data_Prices!W:W,MATCH($G85,Data_Prices!$A:$A,0)),W$97)</f>
        <v>0.112314070507636</v>
      </c>
      <c r="X85" s="22">
        <f>POSTTAX(X75,INDEX(Data_Prices!X:X,MATCH($G85,Data_Prices!$A:$A,0)),X$97)</f>
        <v>0.1114220427328433</v>
      </c>
      <c r="Y85" s="22">
        <f>POSTTAX(Y75,INDEX(Data_Prices!Y:Y,MATCH($G85,Data_Prices!$A:$A,0)),Y$97)</f>
        <v>0.1104341236758091</v>
      </c>
      <c r="Z85" s="22">
        <f>POSTTAX(Z75,INDEX(Data_Prices!Z:Z,MATCH($G85,Data_Prices!$A:$A,0)),Z$97)</f>
        <v>0.10948397330447129</v>
      </c>
      <c r="AA85" s="22">
        <f>POSTTAX(AA75,INDEX(Data_Prices!AA:AA,MATCH($G85,Data_Prices!$A:$A,0)),AA$97)</f>
        <v>0.1083919210529401</v>
      </c>
      <c r="AB85" s="22">
        <f>POSTTAX(AB75,INDEX(Data_Prices!AB:AB,MATCH($G85,Data_Prices!$A:$A,0)),AB$97)</f>
        <v>0.1073544336267039</v>
      </c>
      <c r="AC85" s="22">
        <f>POSTTAX(AC75,INDEX(Data_Prices!AC:AC,MATCH($G85,Data_Prices!$A:$A,0)),AC$97)</f>
        <v>0.10516867544166079</v>
      </c>
      <c r="AD85" s="22">
        <f>POSTTAX(AD75,INDEX(Data_Prices!AD:AD,MATCH($G85,Data_Prices!$A:$A,0)),AD$97)</f>
        <v>0.1030579832560081</v>
      </c>
      <c r="AE85" s="22">
        <f>POSTTAX(AE75,INDEX(Data_Prices!AE:AE,MATCH($G85,Data_Prices!$A:$A,0)),AE$97)</f>
        <v>0.1009318389901144</v>
      </c>
    </row>
    <row r="86" spans="2:31" x14ac:dyDescent="0.25">
      <c r="B86" s="16" t="s">
        <v>78</v>
      </c>
    </row>
    <row r="87" spans="2:31" x14ac:dyDescent="0.25">
      <c r="B87" s="17" t="s">
        <v>53</v>
      </c>
      <c r="C87" s="17" t="str">
        <f t="shared" ref="C87:C95" si="8">$C$65</f>
        <v>cem</v>
      </c>
      <c r="D87" s="18" t="s">
        <v>54</v>
      </c>
      <c r="E87" s="19" t="s">
        <v>55</v>
      </c>
      <c r="F87" s="17" t="s">
        <v>79</v>
      </c>
      <c r="G87" s="20" t="str">
        <f>Settings!$B$3&amp;".mit.shp."&amp;$B87&amp;"."&amp;Settings!$B$4&amp;"."&amp;$J$65</f>
        <v>egy.mit.shp.coa.ind.1</v>
      </c>
      <c r="H87" s="21" t="str">
        <f>OUTCODE(Settings!$B$3,"shp",$C$65,$B87,$J$65)</f>
        <v>egy.mit.shp.cem.coa.e.1</v>
      </c>
      <c r="K87" s="23">
        <f>SHADOW(K77,INDEX(Data_Prices!K:K,MATCH($G87,Data_Prices!$A:$A,0)),K$98)</f>
        <v>11.18290158924394</v>
      </c>
      <c r="L87" s="23">
        <f>SHADOW(L77,INDEX(Data_Prices!L:L,MATCH($G87,Data_Prices!$A:$A,0)),L$98)</f>
        <v>10.52336134543121</v>
      </c>
      <c r="M87" s="23">
        <f>SHADOW(M77,INDEX(Data_Prices!M:M,MATCH($G87,Data_Prices!$A:$A,0)),M$98)</f>
        <v>10.299560827444211</v>
      </c>
      <c r="N87" s="23">
        <f>SHADOW(N77,INDEX(Data_Prices!N:N,MATCH($G87,Data_Prices!$A:$A,0)),N$98)</f>
        <v>9.5775283595382632</v>
      </c>
      <c r="O87" s="23">
        <f>SHADOW(O77,INDEX(Data_Prices!O:O,MATCH($G87,Data_Prices!$A:$A,0)),O$98)</f>
        <v>8.4854782869580454</v>
      </c>
      <c r="P87" s="23">
        <f>SHADOW(P77,INDEX(Data_Prices!P:P,MATCH($G87,Data_Prices!$A:$A,0)),P$98)</f>
        <v>9.0871922352498604</v>
      </c>
      <c r="Q87" s="23">
        <f>SHADOW(Q77,INDEX(Data_Prices!Q:Q,MATCH($G87,Data_Prices!$A:$A,0)),Q$98)</f>
        <v>9.2229237289326811</v>
      </c>
      <c r="R87" s="23">
        <f>SHADOW(R77,INDEX(Data_Prices!R:R,MATCH($G87,Data_Prices!$A:$A,0)),R$98)</f>
        <v>9.1585649555096875</v>
      </c>
      <c r="S87" s="23">
        <f>SHADOW(S77,INDEX(Data_Prices!S:S,MATCH($G87,Data_Prices!$A:$A,0)),S$98)</f>
        <v>9.0895478773973775</v>
      </c>
      <c r="T87" s="23">
        <f>SHADOW(T77,INDEX(Data_Prices!T:T,MATCH($G87,Data_Prices!$A:$A,0)),T$98)</f>
        <v>9.0156816660228305</v>
      </c>
      <c r="U87" s="23">
        <f>SHADOW(U77,INDEX(Data_Prices!U:U,MATCH($G87,Data_Prices!$A:$A,0)),U$98)</f>
        <v>8.9443977655571061</v>
      </c>
      <c r="V87" s="23">
        <f>SHADOW(V77,INDEX(Data_Prices!V:V,MATCH($G87,Data_Prices!$A:$A,0)),V$98)</f>
        <v>8.9443977655571061</v>
      </c>
      <c r="W87" s="23">
        <f>SHADOW(W77,INDEX(Data_Prices!W:W,MATCH($G87,Data_Prices!$A:$A,0)),W$98)</f>
        <v>8.9443977655571061</v>
      </c>
      <c r="X87" s="23">
        <f>SHADOW(X77,INDEX(Data_Prices!X:X,MATCH($G87,Data_Prices!$A:$A,0)),X$98)</f>
        <v>8.9443977655571061</v>
      </c>
      <c r="Y87" s="23">
        <f>SHADOW(Y77,INDEX(Data_Prices!Y:Y,MATCH($G87,Data_Prices!$A:$A,0)),Y$98)</f>
        <v>8.9443977655571061</v>
      </c>
      <c r="Z87" s="23">
        <f>SHADOW(Z77,INDEX(Data_Prices!Z:Z,MATCH($G87,Data_Prices!$A:$A,0)),Z$98)</f>
        <v>8.9443977655571061</v>
      </c>
      <c r="AA87" s="23">
        <f>SHADOW(AA77,INDEX(Data_Prices!AA:AA,MATCH($G87,Data_Prices!$A:$A,0)),AA$98)</f>
        <v>8.9443977655571061</v>
      </c>
      <c r="AB87" s="23">
        <f>SHADOW(AB77,INDEX(Data_Prices!AB:AB,MATCH($G87,Data_Prices!$A:$A,0)),AB$98)</f>
        <v>8.9443977655571061</v>
      </c>
      <c r="AC87" s="23">
        <f>SHADOW(AC77,INDEX(Data_Prices!AC:AC,MATCH($G87,Data_Prices!$A:$A,0)),AC$98)</f>
        <v>8.9443977655571061</v>
      </c>
      <c r="AD87" s="23">
        <f>SHADOW(AD77,INDEX(Data_Prices!AD:AD,MATCH($G87,Data_Prices!$A:$A,0)),AD$98)</f>
        <v>8.9443977655571061</v>
      </c>
      <c r="AE87" s="23">
        <f>SHADOW(AE77,INDEX(Data_Prices!AE:AE,MATCH($G87,Data_Prices!$A:$A,0)),AE$98)</f>
        <v>8.9443977655571061</v>
      </c>
    </row>
    <row r="88" spans="2:31" x14ac:dyDescent="0.25">
      <c r="B88" s="17" t="s">
        <v>57</v>
      </c>
      <c r="C88" s="17" t="str">
        <f t="shared" si="8"/>
        <v>cem</v>
      </c>
      <c r="D88" s="18" t="s">
        <v>58</v>
      </c>
      <c r="E88" s="19" t="s">
        <v>55</v>
      </c>
      <c r="F88" s="17" t="s">
        <v>79</v>
      </c>
      <c r="G88" s="20" t="str">
        <f>Settings!$B$3&amp;".mit.shp."&amp;$B88&amp;"."&amp;Settings!$B$4&amp;"."&amp;$J$65</f>
        <v>egy.mit.shp.nga.ind.1</v>
      </c>
      <c r="H88" s="21" t="str">
        <f>OUTCODE(Settings!$B$3,"shp",$C$65,$B88,$J$65)</f>
        <v>egy.mit.shp.cem.nga.e.1</v>
      </c>
      <c r="K88" s="23">
        <f>SHADOW(K78,INDEX(Data_Prices!K:K,MATCH($G88,Data_Prices!$A:$A,0)),K$98)</f>
        <v>6.0634636156729131</v>
      </c>
      <c r="L88" s="23">
        <f>SHADOW(L78,INDEX(Data_Prices!L:L,MATCH($G88,Data_Prices!$A:$A,0)),L$98)</f>
        <v>5.4510150816191896</v>
      </c>
      <c r="M88" s="23">
        <f>SHADOW(M78,INDEX(Data_Prices!M:M,MATCH($G88,Data_Prices!$A:$A,0)),M$98)</f>
        <v>5.1193563062624818</v>
      </c>
      <c r="N88" s="23">
        <f>SHADOW(N78,INDEX(Data_Prices!N:N,MATCH($G88,Data_Prices!$A:$A,0)),N$98)</f>
        <v>5.0821845864040727</v>
      </c>
      <c r="O88" s="23">
        <f>SHADOW(O78,INDEX(Data_Prices!O:O,MATCH($G88,Data_Prices!$A:$A,0)),O$98)</f>
        <v>5.0821845864040727</v>
      </c>
      <c r="P88" s="23">
        <f>SHADOW(P78,INDEX(Data_Prices!P:P,MATCH($G88,Data_Prices!$A:$A,0)),P$98)</f>
        <v>5.0821845864040727</v>
      </c>
      <c r="Q88" s="23">
        <f>SHADOW(Q78,INDEX(Data_Prices!Q:Q,MATCH($G88,Data_Prices!$A:$A,0)),Q$98)</f>
        <v>5.0821845864040727</v>
      </c>
      <c r="R88" s="23">
        <f>SHADOW(R78,INDEX(Data_Prices!R:R,MATCH($G88,Data_Prices!$A:$A,0)),R$98)</f>
        <v>5.0821845864040727</v>
      </c>
      <c r="S88" s="23">
        <f>SHADOW(S78,INDEX(Data_Prices!S:S,MATCH($G88,Data_Prices!$A:$A,0)),S$98)</f>
        <v>5.0821845864040727</v>
      </c>
      <c r="T88" s="23">
        <f>SHADOW(T78,INDEX(Data_Prices!T:T,MATCH($G88,Data_Prices!$A:$A,0)),T$98)</f>
        <v>5.0821845864040727</v>
      </c>
      <c r="U88" s="23">
        <f>SHADOW(U78,INDEX(Data_Prices!U:U,MATCH($G88,Data_Prices!$A:$A,0)),U$98)</f>
        <v>5.0821845864040727</v>
      </c>
      <c r="V88" s="23">
        <f>SHADOW(V78,INDEX(Data_Prices!V:V,MATCH($G88,Data_Prices!$A:$A,0)),V$98)</f>
        <v>5.0821845864040727</v>
      </c>
      <c r="W88" s="23">
        <f>SHADOW(W78,INDEX(Data_Prices!W:W,MATCH($G88,Data_Prices!$A:$A,0)),W$98)</f>
        <v>5.0821845864040727</v>
      </c>
      <c r="X88" s="23">
        <f>SHADOW(X78,INDEX(Data_Prices!X:X,MATCH($G88,Data_Prices!$A:$A,0)),X$98)</f>
        <v>5.0821845864040727</v>
      </c>
      <c r="Y88" s="23">
        <f>SHADOW(Y78,INDEX(Data_Prices!Y:Y,MATCH($G88,Data_Prices!$A:$A,0)),Y$98)</f>
        <v>5.0821845864040727</v>
      </c>
      <c r="Z88" s="23">
        <f>SHADOW(Z78,INDEX(Data_Prices!Z:Z,MATCH($G88,Data_Prices!$A:$A,0)),Z$98)</f>
        <v>5.0821845864040727</v>
      </c>
      <c r="AA88" s="23">
        <f>SHADOW(AA78,INDEX(Data_Prices!AA:AA,MATCH($G88,Data_Prices!$A:$A,0)),AA$98)</f>
        <v>5.0821845864040727</v>
      </c>
      <c r="AB88" s="23">
        <f>SHADOW(AB78,INDEX(Data_Prices!AB:AB,MATCH($G88,Data_Prices!$A:$A,0)),AB$98)</f>
        <v>5.0821845864040727</v>
      </c>
      <c r="AC88" s="23">
        <f>SHADOW(AC78,INDEX(Data_Prices!AC:AC,MATCH($G88,Data_Prices!$A:$A,0)),AC$98)</f>
        <v>5.0821845864040727</v>
      </c>
      <c r="AD88" s="23">
        <f>SHADOW(AD78,INDEX(Data_Prices!AD:AD,MATCH($G88,Data_Prices!$A:$A,0)),AD$98)</f>
        <v>5.0821845864040727</v>
      </c>
      <c r="AE88" s="23">
        <f>SHADOW(AE78,INDEX(Data_Prices!AE:AE,MATCH($G88,Data_Prices!$A:$A,0)),AE$98)</f>
        <v>5.0821845864040727</v>
      </c>
    </row>
    <row r="89" spans="2:31" x14ac:dyDescent="0.25">
      <c r="B89" s="17" t="s">
        <v>59</v>
      </c>
      <c r="C89" s="17" t="str">
        <f t="shared" si="8"/>
        <v>cem</v>
      </c>
      <c r="D89" s="18" t="s">
        <v>60</v>
      </c>
      <c r="E89" s="19" t="s">
        <v>61</v>
      </c>
      <c r="F89" s="17" t="s">
        <v>79</v>
      </c>
      <c r="G89" s="20" t="str">
        <f>Settings!$B$3&amp;".mit.shp."&amp;$B89&amp;"."&amp;Settings!$B$4&amp;"."&amp;$J$65</f>
        <v>egy.mit.shp.gso.ind.1</v>
      </c>
      <c r="H89" s="21" t="str">
        <f>OUTCODE(Settings!$B$3,"shp",$C$65,$B89,$J$65)</f>
        <v>egy.mit.shp.cem.gso.e.1</v>
      </c>
      <c r="K89" s="23">
        <f>SHADOW(K79,INDEX(Data_Prices!K:K,MATCH($G89,Data_Prices!$A:$A,0)),K$98)</f>
        <v>0.67114653332181606</v>
      </c>
      <c r="L89" s="23">
        <f>SHADOW(L79,INDEX(Data_Prices!L:L,MATCH($G89,Data_Prices!$A:$A,0)),L$98)</f>
        <v>0.61197797679140631</v>
      </c>
      <c r="M89" s="23">
        <f>SHADOW(M79,INDEX(Data_Prices!M:M,MATCH($G89,Data_Prices!$A:$A,0)),M$98)</f>
        <v>0.61180974964187596</v>
      </c>
      <c r="N89" s="23">
        <f>SHADOW(N79,INDEX(Data_Prices!N:N,MATCH($G89,Data_Prices!$A:$A,0)),N$98)</f>
        <v>0.60358310017790551</v>
      </c>
      <c r="O89" s="23">
        <f>SHADOW(O79,INDEX(Data_Prices!O:O,MATCH($G89,Data_Prices!$A:$A,0)),O$98)</f>
        <v>0.60358310017790551</v>
      </c>
      <c r="P89" s="23">
        <f>SHADOW(P79,INDEX(Data_Prices!P:P,MATCH($G89,Data_Prices!$A:$A,0)),P$98)</f>
        <v>0.60358310017790551</v>
      </c>
      <c r="Q89" s="23">
        <f>SHADOW(Q79,INDEX(Data_Prices!Q:Q,MATCH($G89,Data_Prices!$A:$A,0)),Q$98)</f>
        <v>0.60358310017790551</v>
      </c>
      <c r="R89" s="23">
        <f>SHADOW(R79,INDEX(Data_Prices!R:R,MATCH($G89,Data_Prices!$A:$A,0)),R$98)</f>
        <v>0.60358310017790551</v>
      </c>
      <c r="S89" s="23">
        <f>SHADOW(S79,INDEX(Data_Prices!S:S,MATCH($G89,Data_Prices!$A:$A,0)),S$98)</f>
        <v>0.60358310017790551</v>
      </c>
      <c r="T89" s="23">
        <f>SHADOW(T79,INDEX(Data_Prices!T:T,MATCH($G89,Data_Prices!$A:$A,0)),T$98)</f>
        <v>0.60358310017790551</v>
      </c>
      <c r="U89" s="23">
        <f>SHADOW(U79,INDEX(Data_Prices!U:U,MATCH($G89,Data_Prices!$A:$A,0)),U$98)</f>
        <v>0.60358310017790551</v>
      </c>
      <c r="V89" s="23">
        <f>SHADOW(V79,INDEX(Data_Prices!V:V,MATCH($G89,Data_Prices!$A:$A,0)),V$98)</f>
        <v>0.60358310017790551</v>
      </c>
      <c r="W89" s="23">
        <f>SHADOW(W79,INDEX(Data_Prices!W:W,MATCH($G89,Data_Prices!$A:$A,0)),W$98)</f>
        <v>0.60358310017790551</v>
      </c>
      <c r="X89" s="23">
        <f>SHADOW(X79,INDEX(Data_Prices!X:X,MATCH($G89,Data_Prices!$A:$A,0)),X$98)</f>
        <v>0.60358310017790551</v>
      </c>
      <c r="Y89" s="23">
        <f>SHADOW(Y79,INDEX(Data_Prices!Y:Y,MATCH($G89,Data_Prices!$A:$A,0)),Y$98)</f>
        <v>0.60358310017790551</v>
      </c>
      <c r="Z89" s="23">
        <f>SHADOW(Z79,INDEX(Data_Prices!Z:Z,MATCH($G89,Data_Prices!$A:$A,0)),Z$98)</f>
        <v>0.60358310017790551</v>
      </c>
      <c r="AA89" s="23">
        <f>SHADOW(AA79,INDEX(Data_Prices!AA:AA,MATCH($G89,Data_Prices!$A:$A,0)),AA$98)</f>
        <v>0.60358310017790551</v>
      </c>
      <c r="AB89" s="23">
        <f>SHADOW(AB79,INDEX(Data_Prices!AB:AB,MATCH($G89,Data_Prices!$A:$A,0)),AB$98)</f>
        <v>0.60358310017790551</v>
      </c>
      <c r="AC89" s="23">
        <f>SHADOW(AC79,INDEX(Data_Prices!AC:AC,MATCH($G89,Data_Prices!$A:$A,0)),AC$98)</f>
        <v>0.60358310017790551</v>
      </c>
      <c r="AD89" s="23">
        <f>SHADOW(AD79,INDEX(Data_Prices!AD:AD,MATCH($G89,Data_Prices!$A:$A,0)),AD$98)</f>
        <v>0.60358310017790551</v>
      </c>
      <c r="AE89" s="23">
        <f>SHADOW(AE79,INDEX(Data_Prices!AE:AE,MATCH($G89,Data_Prices!$A:$A,0)),AE$98)</f>
        <v>0.60358310017790551</v>
      </c>
    </row>
    <row r="90" spans="2:31" x14ac:dyDescent="0.25">
      <c r="B90" s="17" t="s">
        <v>62</v>
      </c>
      <c r="C90" s="17" t="str">
        <f t="shared" si="8"/>
        <v>cem</v>
      </c>
      <c r="D90" s="18" t="s">
        <v>63</v>
      </c>
      <c r="E90" s="19" t="s">
        <v>61</v>
      </c>
      <c r="F90" s="17" t="s">
        <v>79</v>
      </c>
      <c r="G90" s="20" t="str">
        <f>Settings!$B$3&amp;".mit.shp."&amp;$B90&amp;"."&amp;Settings!$B$4&amp;"."&amp;$J$65</f>
        <v>egy.mit.shp.die.ind.1</v>
      </c>
      <c r="H90" s="21" t="str">
        <f>OUTCODE(Settings!$B$3,"shp",$C$65,$B90,$J$65)</f>
        <v>egy.mit.shp.cem.die.e.1</v>
      </c>
      <c r="K90" s="23">
        <f>SHADOW(K80,INDEX(Data_Prices!K:K,MATCH($G90,Data_Prices!$A:$A,0)),K$98)</f>
        <v>0.55971121315568761</v>
      </c>
      <c r="L90" s="23">
        <f>SHADOW(L80,INDEX(Data_Prices!L:L,MATCH($G90,Data_Prices!$A:$A,0)),L$98)</f>
        <v>0.49458873084106802</v>
      </c>
      <c r="M90" s="23">
        <f>SHADOW(M80,INDEX(Data_Prices!M:M,MATCH($G90,Data_Prices!$A:$A,0)),M$98)</f>
        <v>0.50778654720250049</v>
      </c>
      <c r="N90" s="23">
        <f>SHADOW(N80,INDEX(Data_Prices!N:N,MATCH($G90,Data_Prices!$A:$A,0)),N$98)</f>
        <v>0.47043642679561742</v>
      </c>
      <c r="O90" s="23">
        <f>SHADOW(O80,INDEX(Data_Prices!O:O,MATCH($G90,Data_Prices!$A:$A,0)),O$98)</f>
        <v>0.47043642679561742</v>
      </c>
      <c r="P90" s="23">
        <f>SHADOW(P80,INDEX(Data_Prices!P:P,MATCH($G90,Data_Prices!$A:$A,0)),P$98)</f>
        <v>0.47043642679561742</v>
      </c>
      <c r="Q90" s="23">
        <f>SHADOW(Q80,INDEX(Data_Prices!Q:Q,MATCH($G90,Data_Prices!$A:$A,0)),Q$98)</f>
        <v>0.47043642679561742</v>
      </c>
      <c r="R90" s="23">
        <f>SHADOW(R80,INDEX(Data_Prices!R:R,MATCH($G90,Data_Prices!$A:$A,0)),R$98)</f>
        <v>0.47043642679561742</v>
      </c>
      <c r="S90" s="23">
        <f>SHADOW(S80,INDEX(Data_Prices!S:S,MATCH($G90,Data_Prices!$A:$A,0)),S$98)</f>
        <v>0.47043642679561742</v>
      </c>
      <c r="T90" s="23">
        <f>SHADOW(T80,INDEX(Data_Prices!T:T,MATCH($G90,Data_Prices!$A:$A,0)),T$98)</f>
        <v>0.47043642679561742</v>
      </c>
      <c r="U90" s="23">
        <f>SHADOW(U80,INDEX(Data_Prices!U:U,MATCH($G90,Data_Prices!$A:$A,0)),U$98)</f>
        <v>0.47043642679561742</v>
      </c>
      <c r="V90" s="23">
        <f>SHADOW(V80,INDEX(Data_Prices!V:V,MATCH($G90,Data_Prices!$A:$A,0)),V$98)</f>
        <v>0.47043642679561742</v>
      </c>
      <c r="W90" s="23">
        <f>SHADOW(W80,INDEX(Data_Prices!W:W,MATCH($G90,Data_Prices!$A:$A,0)),W$98)</f>
        <v>0.47043642679561742</v>
      </c>
      <c r="X90" s="23">
        <f>SHADOW(X80,INDEX(Data_Prices!X:X,MATCH($G90,Data_Prices!$A:$A,0)),X$98)</f>
        <v>0.47043642679561742</v>
      </c>
      <c r="Y90" s="23">
        <f>SHADOW(Y80,INDEX(Data_Prices!Y:Y,MATCH($G90,Data_Prices!$A:$A,0)),Y$98)</f>
        <v>0.47043642679561742</v>
      </c>
      <c r="Z90" s="23">
        <f>SHADOW(Z80,INDEX(Data_Prices!Z:Z,MATCH($G90,Data_Prices!$A:$A,0)),Z$98)</f>
        <v>0.47043642679561742</v>
      </c>
      <c r="AA90" s="23">
        <f>SHADOW(AA80,INDEX(Data_Prices!AA:AA,MATCH($G90,Data_Prices!$A:$A,0)),AA$98)</f>
        <v>0.47043642679561742</v>
      </c>
      <c r="AB90" s="23">
        <f>SHADOW(AB80,INDEX(Data_Prices!AB:AB,MATCH($G90,Data_Prices!$A:$A,0)),AB$98)</f>
        <v>0.47043642679561742</v>
      </c>
      <c r="AC90" s="23">
        <f>SHADOW(AC80,INDEX(Data_Prices!AC:AC,MATCH($G90,Data_Prices!$A:$A,0)),AC$98)</f>
        <v>0.47043642679561742</v>
      </c>
      <c r="AD90" s="23">
        <f>SHADOW(AD80,INDEX(Data_Prices!AD:AD,MATCH($G90,Data_Prices!$A:$A,0)),AD$98)</f>
        <v>0.47043642679561742</v>
      </c>
      <c r="AE90" s="23">
        <f>SHADOW(AE80,INDEX(Data_Prices!AE:AE,MATCH($G90,Data_Prices!$A:$A,0)),AE$98)</f>
        <v>0.47043642679561742</v>
      </c>
    </row>
    <row r="91" spans="2:31" x14ac:dyDescent="0.25">
      <c r="B91" s="17" t="s">
        <v>64</v>
      </c>
      <c r="C91" s="17" t="str">
        <f t="shared" si="8"/>
        <v>cem</v>
      </c>
      <c r="D91" s="18" t="s">
        <v>65</v>
      </c>
      <c r="E91" s="19" t="s">
        <v>61</v>
      </c>
      <c r="F91" s="17" t="s">
        <v>79</v>
      </c>
      <c r="G91" s="20" t="str">
        <f>Settings!$B$3&amp;".mit.shp."&amp;$B91&amp;"."&amp;Settings!$B$4&amp;"."&amp;$J$65</f>
        <v>egy.mit.shp.lpg.ind.1</v>
      </c>
      <c r="H91" s="21" t="str">
        <f>OUTCODE(Settings!$B$3,"shp",$C$65,$B91,$J$65)</f>
        <v>egy.mit.shp.cem.lpg.e.1</v>
      </c>
      <c r="K91" s="23">
        <f>SHADOW(K81,INDEX(Data_Prices!K:K,MATCH($G91,Data_Prices!$A:$A,0)),K$98)</f>
        <v>0.20036669112673841</v>
      </c>
      <c r="L91" s="23">
        <f>SHADOW(L81,INDEX(Data_Prices!L:L,MATCH($G91,Data_Prices!$A:$A,0)),L$98)</f>
        <v>0.1573447362522738</v>
      </c>
      <c r="M91" s="23">
        <f>SHADOW(M81,INDEX(Data_Prices!M:M,MATCH($G91,Data_Prices!$A:$A,0)),M$98)</f>
        <v>0.1644840377592767</v>
      </c>
      <c r="N91" s="23">
        <f>SHADOW(N81,INDEX(Data_Prices!N:N,MATCH($G91,Data_Prices!$A:$A,0)),N$98)</f>
        <v>0.1507090778070489</v>
      </c>
      <c r="O91" s="23">
        <f>SHADOW(O81,INDEX(Data_Prices!O:O,MATCH($G91,Data_Prices!$A:$A,0)),O$98)</f>
        <v>0.1507090778070489</v>
      </c>
      <c r="P91" s="23">
        <f>SHADOW(P81,INDEX(Data_Prices!P:P,MATCH($G91,Data_Prices!$A:$A,0)),P$98)</f>
        <v>0.1507090778070489</v>
      </c>
      <c r="Q91" s="23">
        <f>SHADOW(Q81,INDEX(Data_Prices!Q:Q,MATCH($G91,Data_Prices!$A:$A,0)),Q$98)</f>
        <v>0.1507090778070489</v>
      </c>
      <c r="R91" s="23">
        <f>SHADOW(R81,INDEX(Data_Prices!R:R,MATCH($G91,Data_Prices!$A:$A,0)),R$98)</f>
        <v>0.1507090778070489</v>
      </c>
      <c r="S91" s="23">
        <f>SHADOW(S81,INDEX(Data_Prices!S:S,MATCH($G91,Data_Prices!$A:$A,0)),S$98)</f>
        <v>0.1507090778070489</v>
      </c>
      <c r="T91" s="23">
        <f>SHADOW(T81,INDEX(Data_Prices!T:T,MATCH($G91,Data_Prices!$A:$A,0)),T$98)</f>
        <v>0.1507090778070489</v>
      </c>
      <c r="U91" s="23">
        <f>SHADOW(U81,INDEX(Data_Prices!U:U,MATCH($G91,Data_Prices!$A:$A,0)),U$98)</f>
        <v>0.1507090778070489</v>
      </c>
      <c r="V91" s="23">
        <f>SHADOW(V81,INDEX(Data_Prices!V:V,MATCH($G91,Data_Prices!$A:$A,0)),V$98)</f>
        <v>0.1507090778070489</v>
      </c>
      <c r="W91" s="23">
        <f>SHADOW(W81,INDEX(Data_Prices!W:W,MATCH($G91,Data_Prices!$A:$A,0)),W$98)</f>
        <v>0.1507090778070489</v>
      </c>
      <c r="X91" s="23">
        <f>SHADOW(X81,INDEX(Data_Prices!X:X,MATCH($G91,Data_Prices!$A:$A,0)),X$98)</f>
        <v>0.1507090778070489</v>
      </c>
      <c r="Y91" s="23">
        <f>SHADOW(Y81,INDEX(Data_Prices!Y:Y,MATCH($G91,Data_Prices!$A:$A,0)),Y$98)</f>
        <v>0.1507090778070489</v>
      </c>
      <c r="Z91" s="23">
        <f>SHADOW(Z81,INDEX(Data_Prices!Z:Z,MATCH($G91,Data_Prices!$A:$A,0)),Z$98)</f>
        <v>0.1507090778070489</v>
      </c>
      <c r="AA91" s="23">
        <f>SHADOW(AA81,INDEX(Data_Prices!AA:AA,MATCH($G91,Data_Prices!$A:$A,0)),AA$98)</f>
        <v>0.1507090778070489</v>
      </c>
      <c r="AB91" s="23">
        <f>SHADOW(AB81,INDEX(Data_Prices!AB:AB,MATCH($G91,Data_Prices!$A:$A,0)),AB$98)</f>
        <v>0.1507090778070489</v>
      </c>
      <c r="AC91" s="23">
        <f>SHADOW(AC81,INDEX(Data_Prices!AC:AC,MATCH($G91,Data_Prices!$A:$A,0)),AC$98)</f>
        <v>0.1507090778070489</v>
      </c>
      <c r="AD91" s="23">
        <f>SHADOW(AD81,INDEX(Data_Prices!AD:AD,MATCH($G91,Data_Prices!$A:$A,0)),AD$98)</f>
        <v>0.1507090778070489</v>
      </c>
      <c r="AE91" s="23">
        <f>SHADOW(AE81,INDEX(Data_Prices!AE:AE,MATCH($G91,Data_Prices!$A:$A,0)),AE$98)</f>
        <v>0.1507090778070489</v>
      </c>
    </row>
    <row r="92" spans="2:31" x14ac:dyDescent="0.25">
      <c r="B92" s="17" t="s">
        <v>66</v>
      </c>
      <c r="C92" s="17" t="str">
        <f t="shared" si="8"/>
        <v>cem</v>
      </c>
      <c r="D92" s="18" t="s">
        <v>67</v>
      </c>
      <c r="E92" s="19" t="s">
        <v>61</v>
      </c>
      <c r="F92" s="17" t="s">
        <v>79</v>
      </c>
      <c r="G92" s="20" t="str">
        <f>Settings!$B$3&amp;".mit.shp."&amp;$B92&amp;"."&amp;Settings!$B$4&amp;"."&amp;$J$65</f>
        <v>egy.mit.shp.ker.ind.1</v>
      </c>
      <c r="H92" s="21" t="str">
        <f>OUTCODE(Settings!$B$3,"shp",$C$65,$B92,$J$65)</f>
        <v>egy.mit.shp.cem.ker.e.1</v>
      </c>
      <c r="K92" s="23">
        <f>SHADOW(K82,INDEX(Data_Prices!K:K,MATCH($G92,Data_Prices!$A:$A,0)),K$98)</f>
        <v>0.48429424097343482</v>
      </c>
      <c r="L92" s="23">
        <f>SHADOW(L82,INDEX(Data_Prices!L:L,MATCH($G92,Data_Prices!$A:$A,0)),L$98)</f>
        <v>0.45642817050012813</v>
      </c>
      <c r="M92" s="23">
        <f>SHADOW(M82,INDEX(Data_Prices!M:M,MATCH($G92,Data_Prices!$A:$A,0)),M$98)</f>
        <v>0.43168920195599519</v>
      </c>
      <c r="N92" s="23">
        <f>SHADOW(N82,INDEX(Data_Prices!N:N,MATCH($G92,Data_Prices!$A:$A,0)),N$98)</f>
        <v>0.42507558395596989</v>
      </c>
      <c r="O92" s="23">
        <f>SHADOW(O82,INDEX(Data_Prices!O:O,MATCH($G92,Data_Prices!$A:$A,0)),O$98)</f>
        <v>0.42507558395596989</v>
      </c>
      <c r="P92" s="23">
        <f>SHADOW(P82,INDEX(Data_Prices!P:P,MATCH($G92,Data_Prices!$A:$A,0)),P$98)</f>
        <v>0.42507558395596989</v>
      </c>
      <c r="Q92" s="23">
        <f>SHADOW(Q82,INDEX(Data_Prices!Q:Q,MATCH($G92,Data_Prices!$A:$A,0)),Q$98)</f>
        <v>0.42507558395596989</v>
      </c>
      <c r="R92" s="23">
        <f>SHADOW(R82,INDEX(Data_Prices!R:R,MATCH($G92,Data_Prices!$A:$A,0)),R$98)</f>
        <v>0.42507558395596989</v>
      </c>
      <c r="S92" s="23">
        <f>SHADOW(S82,INDEX(Data_Prices!S:S,MATCH($G92,Data_Prices!$A:$A,0)),S$98)</f>
        <v>0.42507558395596989</v>
      </c>
      <c r="T92" s="23">
        <f>SHADOW(T82,INDEX(Data_Prices!T:T,MATCH($G92,Data_Prices!$A:$A,0)),T$98)</f>
        <v>0.42507558395596989</v>
      </c>
      <c r="U92" s="23">
        <f>SHADOW(U82,INDEX(Data_Prices!U:U,MATCH($G92,Data_Prices!$A:$A,0)),U$98)</f>
        <v>0.42507558395596989</v>
      </c>
      <c r="V92" s="23">
        <f>SHADOW(V82,INDEX(Data_Prices!V:V,MATCH($G92,Data_Prices!$A:$A,0)),V$98)</f>
        <v>0.42507558395596989</v>
      </c>
      <c r="W92" s="23">
        <f>SHADOW(W82,INDEX(Data_Prices!W:W,MATCH($G92,Data_Prices!$A:$A,0)),W$98)</f>
        <v>0.42507558395596989</v>
      </c>
      <c r="X92" s="23">
        <f>SHADOW(X82,INDEX(Data_Prices!X:X,MATCH($G92,Data_Prices!$A:$A,0)),X$98)</f>
        <v>0.42507558395596989</v>
      </c>
      <c r="Y92" s="23">
        <f>SHADOW(Y82,INDEX(Data_Prices!Y:Y,MATCH($G92,Data_Prices!$A:$A,0)),Y$98)</f>
        <v>0.42507558395596989</v>
      </c>
      <c r="Z92" s="23">
        <f>SHADOW(Z82,INDEX(Data_Prices!Z:Z,MATCH($G92,Data_Prices!$A:$A,0)),Z$98)</f>
        <v>0.42507558395596989</v>
      </c>
      <c r="AA92" s="23">
        <f>SHADOW(AA82,INDEX(Data_Prices!AA:AA,MATCH($G92,Data_Prices!$A:$A,0)),AA$98)</f>
        <v>0.42507558395596989</v>
      </c>
      <c r="AB92" s="23">
        <f>SHADOW(AB82,INDEX(Data_Prices!AB:AB,MATCH($G92,Data_Prices!$A:$A,0)),AB$98)</f>
        <v>0.42507558395596989</v>
      </c>
      <c r="AC92" s="23">
        <f>SHADOW(AC82,INDEX(Data_Prices!AC:AC,MATCH($G92,Data_Prices!$A:$A,0)),AC$98)</f>
        <v>0.42507558395596989</v>
      </c>
      <c r="AD92" s="23">
        <f>SHADOW(AD82,INDEX(Data_Prices!AD:AD,MATCH($G92,Data_Prices!$A:$A,0)),AD$98)</f>
        <v>0.42507558395596989</v>
      </c>
      <c r="AE92" s="23">
        <f>SHADOW(AE82,INDEX(Data_Prices!AE:AE,MATCH($G92,Data_Prices!$A:$A,0)),AE$98)</f>
        <v>0.42507558395596989</v>
      </c>
    </row>
    <row r="93" spans="2:31" x14ac:dyDescent="0.25">
      <c r="B93" s="17" t="s">
        <v>68</v>
      </c>
      <c r="C93" s="17" t="str">
        <f t="shared" si="8"/>
        <v>cem</v>
      </c>
      <c r="D93" s="18" t="s">
        <v>69</v>
      </c>
      <c r="E93" s="19" t="s">
        <v>70</v>
      </c>
      <c r="F93" s="17" t="s">
        <v>79</v>
      </c>
      <c r="G93" s="20" t="str">
        <f>Settings!$B$3&amp;".mit.shp."&amp;$B93&amp;"."&amp;Settings!$B$4&amp;"."&amp;$J$65</f>
        <v>egy.mit.shp.oop.ind.1</v>
      </c>
      <c r="H93" s="21" t="str">
        <f>OUTCODE(Settings!$B$3,"shp",$C$65,$B93,$J$65)</f>
        <v>egy.mit.shp.cem.oop.e.1</v>
      </c>
      <c r="K93" s="23">
        <f>SHADOW(K83,INDEX(Data_Prices!K:K,MATCH($G93,Data_Prices!$A:$A,0)),K$98)</f>
        <v>41.50033849886843</v>
      </c>
      <c r="L93" s="23">
        <f>SHADOW(L83,INDEX(Data_Prices!L:L,MATCH($G93,Data_Prices!$A:$A,0)),L$98)</f>
        <v>34.415370304313228</v>
      </c>
      <c r="M93" s="23">
        <f>SHADOW(M83,INDEX(Data_Prices!M:M,MATCH($G93,Data_Prices!$A:$A,0)),M$98)</f>
        <v>37.368960690432033</v>
      </c>
      <c r="N93" s="23">
        <f>SHADOW(N83,INDEX(Data_Prices!N:N,MATCH($G93,Data_Prices!$A:$A,0)),N$98)</f>
        <v>28.982761101477251</v>
      </c>
      <c r="O93" s="23">
        <f>SHADOW(O83,INDEX(Data_Prices!O:O,MATCH($G93,Data_Prices!$A:$A,0)),O$98)</f>
        <v>15</v>
      </c>
      <c r="P93" s="23">
        <f>SHADOW(P83,INDEX(Data_Prices!P:P,MATCH($G93,Data_Prices!$A:$A,0)),P$98)</f>
        <v>24.2586300842555</v>
      </c>
      <c r="Q93" s="23">
        <f>SHADOW(Q83,INDEX(Data_Prices!Q:Q,MATCH($G93,Data_Prices!$A:$A,0)),Q$98)</f>
        <v>15</v>
      </c>
      <c r="R93" s="23">
        <f>SHADOW(R83,INDEX(Data_Prices!R:R,MATCH($G93,Data_Prices!$A:$A,0)),R$98)</f>
        <v>15</v>
      </c>
      <c r="S93" s="23">
        <f>SHADOW(S83,INDEX(Data_Prices!S:S,MATCH($G93,Data_Prices!$A:$A,0)),S$98)</f>
        <v>15</v>
      </c>
      <c r="T93" s="23">
        <f>SHADOW(T83,INDEX(Data_Prices!T:T,MATCH($G93,Data_Prices!$A:$A,0)),T$98)</f>
        <v>15</v>
      </c>
      <c r="U93" s="23">
        <f>SHADOW(U83,INDEX(Data_Prices!U:U,MATCH($G93,Data_Prices!$A:$A,0)),U$98)</f>
        <v>15</v>
      </c>
      <c r="V93" s="23">
        <f>SHADOW(V83,INDEX(Data_Prices!V:V,MATCH($G93,Data_Prices!$A:$A,0)),V$98)</f>
        <v>15</v>
      </c>
      <c r="W93" s="23">
        <f>SHADOW(W83,INDEX(Data_Prices!W:W,MATCH($G93,Data_Prices!$A:$A,0)),W$98)</f>
        <v>15</v>
      </c>
      <c r="X93" s="23">
        <f>SHADOW(X83,INDEX(Data_Prices!X:X,MATCH($G93,Data_Prices!$A:$A,0)),X$98)</f>
        <v>15</v>
      </c>
      <c r="Y93" s="23">
        <f>SHADOW(Y83,INDEX(Data_Prices!Y:Y,MATCH($G93,Data_Prices!$A:$A,0)),Y$98)</f>
        <v>15</v>
      </c>
      <c r="Z93" s="23">
        <f>SHADOW(Z83,INDEX(Data_Prices!Z:Z,MATCH($G93,Data_Prices!$A:$A,0)),Z$98)</f>
        <v>15</v>
      </c>
      <c r="AA93" s="23">
        <f>SHADOW(AA83,INDEX(Data_Prices!AA:AA,MATCH($G93,Data_Prices!$A:$A,0)),AA$98)</f>
        <v>15</v>
      </c>
      <c r="AB93" s="23">
        <f>SHADOW(AB83,INDEX(Data_Prices!AB:AB,MATCH($G93,Data_Prices!$A:$A,0)),AB$98)</f>
        <v>15</v>
      </c>
      <c r="AC93" s="23">
        <f>SHADOW(AC83,INDEX(Data_Prices!AC:AC,MATCH($G93,Data_Prices!$A:$A,0)),AC$98)</f>
        <v>15</v>
      </c>
      <c r="AD93" s="23">
        <f>SHADOW(AD83,INDEX(Data_Prices!AD:AD,MATCH($G93,Data_Prices!$A:$A,0)),AD$98)</f>
        <v>15</v>
      </c>
      <c r="AE93" s="23">
        <f>SHADOW(AE83,INDEX(Data_Prices!AE:AE,MATCH($G93,Data_Prices!$A:$A,0)),AE$98)</f>
        <v>15</v>
      </c>
    </row>
    <row r="94" spans="2:31" x14ac:dyDescent="0.25">
      <c r="B94" s="17" t="s">
        <v>71</v>
      </c>
      <c r="C94" s="17" t="str">
        <f t="shared" si="8"/>
        <v>cem</v>
      </c>
      <c r="D94" s="18" t="s">
        <v>72</v>
      </c>
      <c r="E94" s="19" t="s">
        <v>55</v>
      </c>
      <c r="F94" s="17" t="s">
        <v>79</v>
      </c>
      <c r="G94" s="20" t="str">
        <f>Settings!$B$3&amp;".mit.shp."&amp;$B94&amp;"."&amp;Settings!$B$4&amp;"."&amp;$J$65</f>
        <v>egy.mit.shp.bio.ind.1</v>
      </c>
      <c r="H94" s="21" t="str">
        <f>OUTCODE(Settings!$B$3,"shp",$C$65,$B94,$J$65)</f>
        <v>egy.mit.shp.cem.bio.e.1</v>
      </c>
      <c r="K94" s="23">
        <f>SHADOW(K84,INDEX(Data_Prices!K:K,MATCH($G94,Data_Prices!$A:$A,0)),K$98)</f>
        <v>15.33455052931693</v>
      </c>
      <c r="L94" s="23">
        <f>SHADOW(L84,INDEX(Data_Prices!L:L,MATCH($G94,Data_Prices!$A:$A,0)),L$98)</f>
        <v>14.199528390634921</v>
      </c>
      <c r="M94" s="23">
        <f>SHADOW(M84,INDEX(Data_Prices!M:M,MATCH($G94,Data_Prices!$A:$A,0)),M$98)</f>
        <v>13.840441613315161</v>
      </c>
      <c r="N94" s="23">
        <f>SHADOW(N84,INDEX(Data_Prices!N:N,MATCH($G94,Data_Prices!$A:$A,0)),N$98)</f>
        <v>13.5677269404465</v>
      </c>
      <c r="O94" s="23">
        <f>SHADOW(O84,INDEX(Data_Prices!O:O,MATCH($G94,Data_Prices!$A:$A,0)),O$98)</f>
        <v>13.5677269404465</v>
      </c>
      <c r="P94" s="23">
        <f>SHADOW(P84,INDEX(Data_Prices!P:P,MATCH($G94,Data_Prices!$A:$A,0)),P$98)</f>
        <v>13.5677269404465</v>
      </c>
      <c r="Q94" s="23">
        <f>SHADOW(Q84,INDEX(Data_Prices!Q:Q,MATCH($G94,Data_Prices!$A:$A,0)),Q$98)</f>
        <v>13.5677269404465</v>
      </c>
      <c r="R94" s="23">
        <f>SHADOW(R84,INDEX(Data_Prices!R:R,MATCH($G94,Data_Prices!$A:$A,0)),R$98)</f>
        <v>13.5677269404465</v>
      </c>
      <c r="S94" s="23">
        <f>SHADOW(S84,INDEX(Data_Prices!S:S,MATCH($G94,Data_Prices!$A:$A,0)),S$98)</f>
        <v>13.5677269404465</v>
      </c>
      <c r="T94" s="23">
        <f>SHADOW(T84,INDEX(Data_Prices!T:T,MATCH($G94,Data_Prices!$A:$A,0)),T$98)</f>
        <v>13.5677269404465</v>
      </c>
      <c r="U94" s="23">
        <f>SHADOW(U84,INDEX(Data_Prices!U:U,MATCH($G94,Data_Prices!$A:$A,0)),U$98)</f>
        <v>13.5677269404465</v>
      </c>
      <c r="V94" s="23">
        <f>SHADOW(V84,INDEX(Data_Prices!V:V,MATCH($G94,Data_Prices!$A:$A,0)),V$98)</f>
        <v>13.5677269404465</v>
      </c>
      <c r="W94" s="23">
        <f>SHADOW(W84,INDEX(Data_Prices!W:W,MATCH($G94,Data_Prices!$A:$A,0)),W$98)</f>
        <v>13.5677269404465</v>
      </c>
      <c r="X94" s="23">
        <f>SHADOW(X84,INDEX(Data_Prices!X:X,MATCH($G94,Data_Prices!$A:$A,0)),X$98)</f>
        <v>13.5677269404465</v>
      </c>
      <c r="Y94" s="23">
        <f>SHADOW(Y84,INDEX(Data_Prices!Y:Y,MATCH($G94,Data_Prices!$A:$A,0)),Y$98)</f>
        <v>13.5677269404465</v>
      </c>
      <c r="Z94" s="23">
        <f>SHADOW(Z84,INDEX(Data_Prices!Z:Z,MATCH($G94,Data_Prices!$A:$A,0)),Z$98)</f>
        <v>13.5677269404465</v>
      </c>
      <c r="AA94" s="23">
        <f>SHADOW(AA84,INDEX(Data_Prices!AA:AA,MATCH($G94,Data_Prices!$A:$A,0)),AA$98)</f>
        <v>13.5677269404465</v>
      </c>
      <c r="AB94" s="23">
        <f>SHADOW(AB84,INDEX(Data_Prices!AB:AB,MATCH($G94,Data_Prices!$A:$A,0)),AB$98)</f>
        <v>13.5677269404465</v>
      </c>
      <c r="AC94" s="23">
        <f>SHADOW(AC84,INDEX(Data_Prices!AC:AC,MATCH($G94,Data_Prices!$A:$A,0)),AC$98)</f>
        <v>13.5677269404465</v>
      </c>
      <c r="AD94" s="23">
        <f>SHADOW(AD84,INDEX(Data_Prices!AD:AD,MATCH($G94,Data_Prices!$A:$A,0)),AD$98)</f>
        <v>13.5677269404465</v>
      </c>
      <c r="AE94" s="23">
        <f>SHADOW(AE84,INDEX(Data_Prices!AE:AE,MATCH($G94,Data_Prices!$A:$A,0)),AE$98)</f>
        <v>13.5677269404465</v>
      </c>
    </row>
    <row r="95" spans="2:31" x14ac:dyDescent="0.25">
      <c r="B95" s="17" t="s">
        <v>73</v>
      </c>
      <c r="C95" s="17" t="str">
        <f t="shared" si="8"/>
        <v>cem</v>
      </c>
      <c r="D95" s="18" t="s">
        <v>74</v>
      </c>
      <c r="E95" s="19" t="s">
        <v>75</v>
      </c>
      <c r="F95" s="17" t="s">
        <v>79</v>
      </c>
      <c r="G95" s="20" t="str">
        <f>Settings!$B$3&amp;".mit.shp."&amp;$B95&amp;"."&amp;Settings!$B$4&amp;"."&amp;$J$65</f>
        <v>egy.mit.shp.ren.ind.1</v>
      </c>
      <c r="H95" s="21" t="str">
        <f>OUTCODE(Settings!$B$3,"shp",$C$65,$B95,$J$65)</f>
        <v>egy.mit.shp.cem.ren.e.1</v>
      </c>
      <c r="K95" s="23">
        <f>SHADOW(K85,INDEX(Data_Prices!K:K,MATCH($G95,Data_Prices!$A:$A,0)),K$98)</f>
        <v>0</v>
      </c>
      <c r="L95" s="23">
        <f>SHADOW(L85,INDEX(Data_Prices!L:L,MATCH($G95,Data_Prices!$A:$A,0)),L$98)</f>
        <v>0.14404498679319799</v>
      </c>
      <c r="M95" s="23">
        <f>SHADOW(M85,INDEX(Data_Prices!M:M,MATCH($G95,Data_Prices!$A:$A,0)),M$98)</f>
        <v>0.14102040965700391</v>
      </c>
      <c r="N95" s="23">
        <f>SHADOW(N85,INDEX(Data_Prices!N:N,MATCH($G95,Data_Prices!$A:$A,0)),N$98)</f>
        <v>0.13511635959447599</v>
      </c>
      <c r="O95" s="23">
        <f>SHADOW(O85,INDEX(Data_Prices!O:O,MATCH($G95,Data_Prices!$A:$A,0)),O$98)</f>
        <v>0.13098825698585639</v>
      </c>
      <c r="P95" s="23">
        <f>SHADOW(P85,INDEX(Data_Prices!P:P,MATCH($G95,Data_Prices!$A:$A,0)),P$98)</f>
        <v>0.12790841608631831</v>
      </c>
      <c r="Q95" s="23">
        <f>SHADOW(Q85,INDEX(Data_Prices!Q:Q,MATCH($G95,Data_Prices!$A:$A,0)),Q$98)</f>
        <v>0.124814310557813</v>
      </c>
      <c r="R95" s="23">
        <f>SHADOW(R85,INDEX(Data_Prices!R:R,MATCH($G95,Data_Prices!$A:$A,0)),R$98)</f>
        <v>0.1214602571228779</v>
      </c>
      <c r="S95" s="23">
        <f>SHADOW(S85,INDEX(Data_Prices!S:S,MATCH($G95,Data_Prices!$A:$A,0)),S$98)</f>
        <v>0.1179507441357863</v>
      </c>
      <c r="T95" s="23">
        <f>SHADOW(T85,INDEX(Data_Prices!T:T,MATCH($G95,Data_Prices!$A:$A,0)),T$98)</f>
        <v>0.1141991610445974</v>
      </c>
      <c r="U95" s="23">
        <f>SHADOW(U85,INDEX(Data_Prices!U:U,MATCH($G95,Data_Prices!$A:$A,0)),U$98)</f>
        <v>0.1136651000596645</v>
      </c>
      <c r="V95" s="23">
        <f>SHADOW(V85,INDEX(Data_Prices!V:V,MATCH($G95,Data_Prices!$A:$A,0)),V$98)</f>
        <v>0.1130169296259568</v>
      </c>
      <c r="W95" s="23">
        <f>SHADOW(W85,INDEX(Data_Prices!W:W,MATCH($G95,Data_Prices!$A:$A,0)),W$98)</f>
        <v>0.112314070507636</v>
      </c>
      <c r="X95" s="23">
        <f>SHADOW(X85,INDEX(Data_Prices!X:X,MATCH($G95,Data_Prices!$A:$A,0)),X$98)</f>
        <v>0.1114220427328433</v>
      </c>
      <c r="Y95" s="23">
        <f>SHADOW(Y85,INDEX(Data_Prices!Y:Y,MATCH($G95,Data_Prices!$A:$A,0)),Y$98)</f>
        <v>0.1104341236758091</v>
      </c>
      <c r="Z95" s="23">
        <f>SHADOW(Z85,INDEX(Data_Prices!Z:Z,MATCH($G95,Data_Prices!$A:$A,0)),Z$98)</f>
        <v>0.10948397330447129</v>
      </c>
      <c r="AA95" s="23">
        <f>SHADOW(AA85,INDEX(Data_Prices!AA:AA,MATCH($G95,Data_Prices!$A:$A,0)),AA$98)</f>
        <v>0.1083919210529401</v>
      </c>
      <c r="AB95" s="23">
        <f>SHADOW(AB85,INDEX(Data_Prices!AB:AB,MATCH($G95,Data_Prices!$A:$A,0)),AB$98)</f>
        <v>0.1073544336267039</v>
      </c>
      <c r="AC95" s="23">
        <f>SHADOW(AC85,INDEX(Data_Prices!AC:AC,MATCH($G95,Data_Prices!$A:$A,0)),AC$98)</f>
        <v>0.10516867544166079</v>
      </c>
      <c r="AD95" s="23">
        <f>SHADOW(AD85,INDEX(Data_Prices!AD:AD,MATCH($G95,Data_Prices!$A:$A,0)),AD$98)</f>
        <v>0.1030579832560081</v>
      </c>
      <c r="AE95" s="23">
        <f>SHADOW(AE85,INDEX(Data_Prices!AE:AE,MATCH($G95,Data_Prices!$A:$A,0)),AE$98)</f>
        <v>0.1009318389901144</v>
      </c>
    </row>
    <row r="96" spans="2:31" x14ac:dyDescent="0.25">
      <c r="B96" s="16" t="s">
        <v>80</v>
      </c>
    </row>
    <row r="97" spans="2:31" x14ac:dyDescent="0.25">
      <c r="B97" s="17" t="s">
        <v>81</v>
      </c>
      <c r="C97" s="17" t="str">
        <f>$C$65</f>
        <v>cem</v>
      </c>
      <c r="D97" s="18" t="s">
        <v>82</v>
      </c>
      <c r="E97" s="19" t="s">
        <v>83</v>
      </c>
      <c r="F97" s="17" t="s">
        <v>84</v>
      </c>
      <c r="G97" s="20" t="str">
        <f>Settings!$B$3&amp;".mit.tcf."&amp;$C$65&amp;"."&amp;$J$65</f>
        <v>egy.mit.tcf.cem.1</v>
      </c>
      <c r="K97" s="23">
        <f>INDEX(Data_Prices!K:K,MATCH($G97,Data_Prices!$A:$A,0))</f>
        <v>0</v>
      </c>
      <c r="L97" s="23">
        <f>INDEX(Data_Prices!L:L,MATCH($G97,Data_Prices!$A:$A,0))</f>
        <v>0</v>
      </c>
      <c r="M97" s="23">
        <f>INDEX(Data_Prices!M:M,MATCH($G97,Data_Prices!$A:$A,0))</f>
        <v>0</v>
      </c>
      <c r="N97" s="23">
        <f>INDEX(Data_Prices!N:N,MATCH($G97,Data_Prices!$A:$A,0))</f>
        <v>0</v>
      </c>
      <c r="O97" s="23">
        <f>INDEX(Data_Prices!O:O,MATCH($G97,Data_Prices!$A:$A,0))</f>
        <v>0</v>
      </c>
      <c r="P97" s="23">
        <f>INDEX(Data_Prices!P:P,MATCH($G97,Data_Prices!$A:$A,0))</f>
        <v>0</v>
      </c>
      <c r="Q97" s="23">
        <f>INDEX(Data_Prices!Q:Q,MATCH($G97,Data_Prices!$A:$A,0))</f>
        <v>0</v>
      </c>
      <c r="R97" s="23">
        <f>INDEX(Data_Prices!R:R,MATCH($G97,Data_Prices!$A:$A,0))</f>
        <v>0</v>
      </c>
      <c r="S97" s="23">
        <f>INDEX(Data_Prices!S:S,MATCH($G97,Data_Prices!$A:$A,0))</f>
        <v>0</v>
      </c>
      <c r="T97" s="23">
        <f>INDEX(Data_Prices!T:T,MATCH($G97,Data_Prices!$A:$A,0))</f>
        <v>0</v>
      </c>
      <c r="U97" s="23">
        <f>INDEX(Data_Prices!U:U,MATCH($G97,Data_Prices!$A:$A,0))</f>
        <v>0</v>
      </c>
      <c r="V97" s="23">
        <f>INDEX(Data_Prices!V:V,MATCH($G97,Data_Prices!$A:$A,0))</f>
        <v>0</v>
      </c>
      <c r="W97" s="23">
        <f>INDEX(Data_Prices!W:W,MATCH($G97,Data_Prices!$A:$A,0))</f>
        <v>0</v>
      </c>
      <c r="X97" s="23">
        <f>INDEX(Data_Prices!X:X,MATCH($G97,Data_Prices!$A:$A,0))</f>
        <v>0</v>
      </c>
      <c r="Y97" s="23">
        <f>INDEX(Data_Prices!Y:Y,MATCH($G97,Data_Prices!$A:$A,0))</f>
        <v>0</v>
      </c>
      <c r="Z97" s="23">
        <f>INDEX(Data_Prices!Z:Z,MATCH($G97,Data_Prices!$A:$A,0))</f>
        <v>0</v>
      </c>
      <c r="AA97" s="23">
        <f>INDEX(Data_Prices!AA:AA,MATCH($G97,Data_Prices!$A:$A,0))</f>
        <v>0</v>
      </c>
      <c r="AB97" s="23">
        <f>INDEX(Data_Prices!AB:AB,MATCH($G97,Data_Prices!$A:$A,0))</f>
        <v>0</v>
      </c>
      <c r="AC97" s="23">
        <f>INDEX(Data_Prices!AC:AC,MATCH($G97,Data_Prices!$A:$A,0))</f>
        <v>0</v>
      </c>
      <c r="AD97" s="23">
        <f>INDEX(Data_Prices!AD:AD,MATCH($G97,Data_Prices!$A:$A,0))</f>
        <v>0</v>
      </c>
      <c r="AE97" s="23">
        <f>INDEX(Data_Prices!AE:AE,MATCH($G97,Data_Prices!$A:$A,0))</f>
        <v>0</v>
      </c>
    </row>
    <row r="98" spans="2:31" x14ac:dyDescent="0.25">
      <c r="B98" s="17" t="s">
        <v>81</v>
      </c>
      <c r="C98" s="17" t="str">
        <f>$C$65</f>
        <v>cem</v>
      </c>
      <c r="D98" s="18" t="s">
        <v>85</v>
      </c>
      <c r="E98" s="19" t="s">
        <v>83</v>
      </c>
      <c r="F98" s="17" t="s">
        <v>86</v>
      </c>
      <c r="G98" s="20" t="str">
        <f>Settings!$B$3&amp;".mit.ssc."&amp;$C$65&amp;"."&amp;$J$65</f>
        <v>egy.mit.ssc.cem.1</v>
      </c>
      <c r="K98" s="23">
        <f>INDEX(Data_Prices!K:K,MATCH($G98,Data_Prices!$A:$A,0))</f>
        <v>0</v>
      </c>
      <c r="L98" s="23">
        <f>INDEX(Data_Prices!L:L,MATCH($G98,Data_Prices!$A:$A,0))</f>
        <v>0</v>
      </c>
      <c r="M98" s="23">
        <f>INDEX(Data_Prices!M:M,MATCH($G98,Data_Prices!$A:$A,0))</f>
        <v>0</v>
      </c>
      <c r="N98" s="23">
        <f>INDEX(Data_Prices!N:N,MATCH($G98,Data_Prices!$A:$A,0))</f>
        <v>0</v>
      </c>
      <c r="O98" s="23">
        <f>INDEX(Data_Prices!O:O,MATCH($G98,Data_Prices!$A:$A,0))</f>
        <v>0</v>
      </c>
      <c r="P98" s="23">
        <f>INDEX(Data_Prices!P:P,MATCH($G98,Data_Prices!$A:$A,0))</f>
        <v>0</v>
      </c>
      <c r="Q98" s="23">
        <f>INDEX(Data_Prices!Q:Q,MATCH($G98,Data_Prices!$A:$A,0))</f>
        <v>0</v>
      </c>
      <c r="R98" s="23">
        <f>INDEX(Data_Prices!R:R,MATCH($G98,Data_Prices!$A:$A,0))</f>
        <v>0</v>
      </c>
      <c r="S98" s="23">
        <f>INDEX(Data_Prices!S:S,MATCH($G98,Data_Prices!$A:$A,0))</f>
        <v>0</v>
      </c>
      <c r="T98" s="23">
        <f>INDEX(Data_Prices!T:T,MATCH($G98,Data_Prices!$A:$A,0))</f>
        <v>0</v>
      </c>
      <c r="U98" s="23">
        <f>INDEX(Data_Prices!U:U,MATCH($G98,Data_Prices!$A:$A,0))</f>
        <v>0</v>
      </c>
      <c r="V98" s="23">
        <f>INDEX(Data_Prices!V:V,MATCH($G98,Data_Prices!$A:$A,0))</f>
        <v>0</v>
      </c>
      <c r="W98" s="23">
        <f>INDEX(Data_Prices!W:W,MATCH($G98,Data_Prices!$A:$A,0))</f>
        <v>0</v>
      </c>
      <c r="X98" s="23">
        <f>INDEX(Data_Prices!X:X,MATCH($G98,Data_Prices!$A:$A,0))</f>
        <v>0</v>
      </c>
      <c r="Y98" s="23">
        <f>INDEX(Data_Prices!Y:Y,MATCH($G98,Data_Prices!$A:$A,0))</f>
        <v>0</v>
      </c>
      <c r="Z98" s="23">
        <f>INDEX(Data_Prices!Z:Z,MATCH($G98,Data_Prices!$A:$A,0))</f>
        <v>0</v>
      </c>
      <c r="AA98" s="23">
        <f>INDEX(Data_Prices!AA:AA,MATCH($G98,Data_Prices!$A:$A,0))</f>
        <v>0</v>
      </c>
      <c r="AB98" s="23">
        <f>INDEX(Data_Prices!AB:AB,MATCH($G98,Data_Prices!$A:$A,0))</f>
        <v>0</v>
      </c>
      <c r="AC98" s="23">
        <f>INDEX(Data_Prices!AC:AC,MATCH($G98,Data_Prices!$A:$A,0))</f>
        <v>0</v>
      </c>
      <c r="AD98" s="23">
        <f>INDEX(Data_Prices!AD:AD,MATCH($G98,Data_Prices!$A:$A,0))</f>
        <v>0</v>
      </c>
      <c r="AE98" s="23">
        <f>INDEX(Data_Prices!AE:AE,MATCH($G98,Data_Prices!$A:$A,0))</f>
        <v>0</v>
      </c>
    </row>
    <row r="99" spans="2:31" x14ac:dyDescent="0.25">
      <c r="B99" s="17" t="s">
        <v>81</v>
      </c>
      <c r="C99" s="17" t="str">
        <f>$C$65</f>
        <v>cem</v>
      </c>
      <c r="D99" s="18" t="s">
        <v>87</v>
      </c>
      <c r="E99" s="19" t="s">
        <v>88</v>
      </c>
      <c r="F99" s="17" t="s">
        <v>89</v>
      </c>
      <c r="G99" s="20" t="str">
        <f>Settings!$B$3&amp;".mit.gdp.pos.pct."&amp;$J$65</f>
        <v>egy.mit.gdp.pos.pct.1</v>
      </c>
      <c r="K99" s="24">
        <f>INDEX(Data_Macro!K:K,MATCH($G99,Data_Macro!$A:$A,0))</f>
        <v>0</v>
      </c>
      <c r="L99" s="24">
        <f>INDEX(Data_Macro!L:L,MATCH($G99,Data_Macro!$A:$A,0))</f>
        <v>6.6513450000000002E-2</v>
      </c>
      <c r="M99" s="24">
        <f>INDEX(Data_Macro!M:M,MATCH($G99,Data_Macro!$A:$A,0))</f>
        <v>3.760281E-2</v>
      </c>
      <c r="N99" s="24">
        <f>INDEX(Data_Macro!N:N,MATCH($G99,Data_Macro!$A:$A,0))</f>
        <v>2.3988010000000001E-2</v>
      </c>
      <c r="O99" s="24">
        <f>INDEX(Data_Macro!O:O,MATCH($G99,Data_Macro!$A:$A,0))</f>
        <v>4.3923869999999997E-2</v>
      </c>
      <c r="P99" s="24">
        <f>INDEX(Data_Macro!P:P,MATCH($G99,Data_Macro!$A:$A,0))</f>
        <v>4.239706E-2</v>
      </c>
      <c r="Q99" s="24">
        <f>INDEX(Data_Macro!Q:Q,MATCH($G99,Data_Macro!$A:$A,0))</f>
        <v>4.8292179999999997E-2</v>
      </c>
      <c r="R99" s="24">
        <f>INDEX(Data_Macro!R:R,MATCH($G99,Data_Macro!$A:$A,0))</f>
        <v>5.5353159999999998E-2</v>
      </c>
      <c r="S99" s="24">
        <f>INDEX(Data_Macro!S:S,MATCH($G99,Data_Macro!$A:$A,0))</f>
        <v>5.2266060000000003E-2</v>
      </c>
      <c r="T99" s="24">
        <f>INDEX(Data_Macro!T:T,MATCH($G99,Data_Macro!$A:$A,0))</f>
        <v>4.841877E-2</v>
      </c>
      <c r="U99" s="24">
        <f>INDEX(Data_Macro!U:U,MATCH($G99,Data_Macro!$A:$A,0))</f>
        <v>4.7887359999999997E-2</v>
      </c>
      <c r="V99" s="24">
        <f>INDEX(Data_Macro!V:V,MATCH($G99,Data_Macro!$A:$A,0))</f>
        <v>4.7355950000000008E-2</v>
      </c>
      <c r="W99" s="24">
        <f>INDEX(Data_Macro!W:W,MATCH($G99,Data_Macro!$A:$A,0))</f>
        <v>4.6824540000000012E-2</v>
      </c>
      <c r="X99" s="24">
        <f>INDEX(Data_Macro!X:X,MATCH($G99,Data_Macro!$A:$A,0))</f>
        <v>4.6293130000000023E-2</v>
      </c>
      <c r="Y99" s="24">
        <f>INDEX(Data_Macro!Y:Y,MATCH($G99,Data_Macro!$A:$A,0))</f>
        <v>4.576172000000002E-2</v>
      </c>
      <c r="Z99" s="24">
        <f>INDEX(Data_Macro!Z:Z,MATCH($G99,Data_Macro!$A:$A,0))</f>
        <v>4.5230310000000017E-2</v>
      </c>
      <c r="AA99" s="24">
        <f>INDEX(Data_Macro!AA:AA,MATCH($G99,Data_Macro!$A:$A,0))</f>
        <v>4.4698900000000027E-2</v>
      </c>
      <c r="AB99" s="24">
        <f>INDEX(Data_Macro!AB:AB,MATCH($G99,Data_Macro!$A:$A,0))</f>
        <v>4.4167490000000031E-2</v>
      </c>
      <c r="AC99" s="24">
        <f>INDEX(Data_Macro!AC:AC,MATCH($G99,Data_Macro!$A:$A,0))</f>
        <v>4.3636080000000042E-2</v>
      </c>
      <c r="AD99" s="24">
        <f>INDEX(Data_Macro!AD:AD,MATCH($G99,Data_Macro!$A:$A,0))</f>
        <v>4.3104670000000039E-2</v>
      </c>
      <c r="AE99" s="24">
        <f>INDEX(Data_Macro!AE:AE,MATCH($G99,Data_Macro!$A:$A,0))</f>
        <v>4.2573260000000043E-2</v>
      </c>
    </row>
    <row r="100" spans="2:31" x14ac:dyDescent="0.25">
      <c r="B100" s="17" t="s">
        <v>81</v>
      </c>
      <c r="C100" s="17" t="str">
        <f>$C$65</f>
        <v>cem</v>
      </c>
      <c r="D100" s="18" t="s">
        <v>90</v>
      </c>
      <c r="E100" s="19" t="s">
        <v>91</v>
      </c>
      <c r="F100" s="17" t="s">
        <v>92</v>
      </c>
      <c r="G100" s="20" t="str">
        <f>Settings!$B$3&amp;".mit.inc.ela.adj."&amp;$J$65</f>
        <v>egy.mit.inc.ela.adj.1</v>
      </c>
      <c r="K100" s="23">
        <f>INDEX(Data_Macro!K:K,MATCH($G100,Data_Macro!$A:$A,0))</f>
        <v>0</v>
      </c>
      <c r="L100" s="23">
        <f>INDEX(Data_Macro!L:L,MATCH($G100,Data_Macro!$A:$A,0))</f>
        <v>1.0271517247196089</v>
      </c>
      <c r="M100" s="23">
        <f>INDEX(Data_Macro!M:M,MATCH($G100,Data_Macro!$A:$A,0))</f>
        <v>1.0271517247196089</v>
      </c>
      <c r="N100" s="23">
        <f>INDEX(Data_Macro!N:N,MATCH($G100,Data_Macro!$A:$A,0))</f>
        <v>1.0205698358851201</v>
      </c>
      <c r="O100" s="23">
        <f>INDEX(Data_Macro!O:O,MATCH($G100,Data_Macro!$A:$A,0))</f>
        <v>1.017334428852344</v>
      </c>
      <c r="P100" s="23">
        <f>INDEX(Data_Macro!P:P,MATCH($G100,Data_Macro!$A:$A,0))</f>
        <v>1.007668332253824</v>
      </c>
      <c r="Q100" s="23">
        <f>INDEX(Data_Macro!Q:Q,MATCH($G100,Data_Macro!$A:$A,0))</f>
        <v>1.000744287175529</v>
      </c>
      <c r="R100" s="23">
        <f>INDEX(Data_Macro!R:R,MATCH($G100,Data_Macro!$A:$A,0))</f>
        <v>0.99188648901185772</v>
      </c>
      <c r="S100" s="23">
        <f>INDEX(Data_Macro!S:S,MATCH($G100,Data_Macro!$A:$A,0))</f>
        <v>0.98065540330043011</v>
      </c>
      <c r="T100" s="23">
        <f>INDEX(Data_Macro!T:T,MATCH($G100,Data_Macro!$A:$A,0))</f>
        <v>0.97020940399244326</v>
      </c>
      <c r="U100" s="23">
        <f>INDEX(Data_Macro!U:U,MATCH($G100,Data_Macro!$A:$A,0))</f>
        <v>0.9641926590771045</v>
      </c>
      <c r="V100" s="23">
        <f>INDEX(Data_Macro!V:V,MATCH($G100,Data_Macro!$A:$A,0))</f>
        <v>0.96161287122715211</v>
      </c>
      <c r="W100" s="23">
        <f>INDEX(Data_Macro!W:W,MATCH($G100,Data_Macro!$A:$A,0))</f>
        <v>0.95919844785405028</v>
      </c>
      <c r="X100" s="23">
        <f>INDEX(Data_Macro!X:X,MATCH($G100,Data_Macro!$A:$A,0))</f>
        <v>0.95695125444519591</v>
      </c>
      <c r="Y100" s="23">
        <f>INDEX(Data_Macro!Y:Y,MATCH($G100,Data_Macro!$A:$A,0))</f>
        <v>0.95487297859577691</v>
      </c>
      <c r="Z100" s="23">
        <f>INDEX(Data_Macro!Z:Z,MATCH($G100,Data_Macro!$A:$A,0))</f>
        <v>0.95296514086144846</v>
      </c>
      <c r="AA100" s="23">
        <f>INDEX(Data_Macro!AA:AA,MATCH($G100,Data_Macro!$A:$A,0))</f>
        <v>0.95122910490338464</v>
      </c>
      <c r="AB100" s="23">
        <f>INDEX(Data_Macro!AB:AB,MATCH($G100,Data_Macro!$A:$A,0))</f>
        <v>0.94966608689229326</v>
      </c>
      <c r="AC100" s="23">
        <f>INDEX(Data_Macro!AC:AC,MATCH($G100,Data_Macro!$A:$A,0))</f>
        <v>0.94827716413797614</v>
      </c>
      <c r="AD100" s="23">
        <f>INDEX(Data_Macro!AD:AD,MATCH($G100,Data_Macro!$A:$A,0))</f>
        <v>0.94706328291559227</v>
      </c>
      <c r="AE100" s="23">
        <f>INDEX(Data_Macro!AE:AE,MATCH($G100,Data_Macro!$A:$A,0))</f>
        <v>0.94602526545851262</v>
      </c>
    </row>
    <row r="101" spans="2:31" x14ac:dyDescent="0.25">
      <c r="B101" s="17" t="s">
        <v>81</v>
      </c>
      <c r="C101" s="17" t="str">
        <f>$C$65</f>
        <v>cem</v>
      </c>
      <c r="D101" s="18" t="s">
        <v>93</v>
      </c>
      <c r="E101" s="19" t="s">
        <v>91</v>
      </c>
      <c r="F101" s="17" t="s">
        <v>94</v>
      </c>
      <c r="G101" s="20" t="str">
        <f>Settings!$B$3&amp;".mit.shock."&amp;$J$65</f>
        <v>egy.mit.shock.1</v>
      </c>
      <c r="K101" s="23">
        <f>INDEX(Data_Macro!K:K,MATCH($G101,Data_Macro!$A:$A,0))</f>
        <v>0</v>
      </c>
      <c r="L101" s="23">
        <f>INDEX(Data_Macro!L:L,MATCH($G101,Data_Macro!$A:$A,0))</f>
        <v>0</v>
      </c>
      <c r="M101" s="23">
        <f>INDEX(Data_Macro!M:M,MATCH($G101,Data_Macro!$A:$A,0))</f>
        <v>-0.2081330830204422</v>
      </c>
      <c r="N101" s="23">
        <f>INDEX(Data_Macro!N:N,MATCH($G101,Data_Macro!$A:$A,0))</f>
        <v>9.2371428571428563E-2</v>
      </c>
      <c r="O101" s="23">
        <f>INDEX(Data_Macro!O:O,MATCH($G101,Data_Macro!$A:$A,0))</f>
        <v>0</v>
      </c>
      <c r="P101" s="23">
        <f>INDEX(Data_Macro!P:P,MATCH($G101,Data_Macro!$A:$A,0))</f>
        <v>0</v>
      </c>
      <c r="Q101" s="23">
        <f>INDEX(Data_Macro!Q:Q,MATCH($G101,Data_Macro!$A:$A,0))</f>
        <v>0</v>
      </c>
      <c r="R101" s="23">
        <f>INDEX(Data_Macro!R:R,MATCH($G101,Data_Macro!$A:$A,0))</f>
        <v>0</v>
      </c>
      <c r="S101" s="23">
        <f>INDEX(Data_Macro!S:S,MATCH($G101,Data_Macro!$A:$A,0))</f>
        <v>0</v>
      </c>
      <c r="T101" s="23">
        <f>INDEX(Data_Macro!T:T,MATCH($G101,Data_Macro!$A:$A,0))</f>
        <v>0</v>
      </c>
      <c r="U101" s="23">
        <f>INDEX(Data_Macro!U:U,MATCH($G101,Data_Macro!$A:$A,0))</f>
        <v>0</v>
      </c>
      <c r="V101" s="23">
        <f>INDEX(Data_Macro!V:V,MATCH($G101,Data_Macro!$A:$A,0))</f>
        <v>0</v>
      </c>
      <c r="W101" s="23">
        <f>INDEX(Data_Macro!W:W,MATCH($G101,Data_Macro!$A:$A,0))</f>
        <v>0</v>
      </c>
      <c r="X101" s="23">
        <f>INDEX(Data_Macro!X:X,MATCH($G101,Data_Macro!$A:$A,0))</f>
        <v>0</v>
      </c>
      <c r="Y101" s="23">
        <f>INDEX(Data_Macro!Y:Y,MATCH($G101,Data_Macro!$A:$A,0))</f>
        <v>0</v>
      </c>
      <c r="Z101" s="23">
        <f>INDEX(Data_Macro!Z:Z,MATCH($G101,Data_Macro!$A:$A,0))</f>
        <v>0</v>
      </c>
      <c r="AA101" s="23">
        <f>INDEX(Data_Macro!AA:AA,MATCH($G101,Data_Macro!$A:$A,0))</f>
        <v>0</v>
      </c>
      <c r="AB101" s="23">
        <f>INDEX(Data_Macro!AB:AB,MATCH($G101,Data_Macro!$A:$A,0))</f>
        <v>0</v>
      </c>
      <c r="AC101" s="23">
        <f>INDEX(Data_Macro!AC:AC,MATCH($G101,Data_Macro!$A:$A,0))</f>
        <v>0</v>
      </c>
      <c r="AD101" s="23">
        <f>INDEX(Data_Macro!AD:AD,MATCH($G101,Data_Macro!$A:$A,0))</f>
        <v>0</v>
      </c>
      <c r="AE101" s="23">
        <f>INDEX(Data_Macro!AE:AE,MATCH($G101,Data_Macro!$A:$A,0))</f>
        <v>0</v>
      </c>
    </row>
    <row r="102" spans="2:31" x14ac:dyDescent="0.25">
      <c r="B102" s="16" t="s">
        <v>95</v>
      </c>
    </row>
    <row r="103" spans="2:31" x14ac:dyDescent="0.25">
      <c r="B103" s="8" t="s">
        <v>36</v>
      </c>
      <c r="C103" s="8" t="s">
        <v>37</v>
      </c>
      <c r="D103" s="25" t="s">
        <v>38</v>
      </c>
      <c r="E103" s="8" t="s">
        <v>96</v>
      </c>
      <c r="F103" s="8" t="s">
        <v>97</v>
      </c>
      <c r="G103" s="8" t="s">
        <v>98</v>
      </c>
      <c r="H103" s="8" t="s">
        <v>99</v>
      </c>
      <c r="I103" s="8" t="s">
        <v>100</v>
      </c>
      <c r="J103" s="8" t="s">
        <v>101</v>
      </c>
    </row>
    <row r="104" spans="2:31" x14ac:dyDescent="0.25">
      <c r="B104" s="17" t="s">
        <v>53</v>
      </c>
      <c r="C104" s="17" t="str">
        <f t="shared" ref="C104:C112" si="9">$C$65</f>
        <v>cem</v>
      </c>
      <c r="D104" s="26" t="s">
        <v>102</v>
      </c>
      <c r="E104" s="27">
        <f>ELAST("el_inc",$J104,Settings!$B$5)</f>
        <v>0.5</v>
      </c>
      <c r="F104" s="27">
        <f>ELAST("el_dem",$J104,Settings!$B$5)</f>
        <v>-0.3</v>
      </c>
      <c r="G104" s="27">
        <f>ELAST("el_eff",$J104,Settings!$B$5)</f>
        <v>-0.4</v>
      </c>
      <c r="H104" s="27">
        <f>ELAST("eff_imp",INDEX(Data_Elast!$K:$K,MATCH($B104,Data_Elast!$I:$I,0)),Settings!$B$5)</f>
        <v>5.0000000000000001E-3</v>
      </c>
      <c r="I104" s="27">
        <f>Settings!$B$7</f>
        <v>0</v>
      </c>
      <c r="J104" s="19" t="str">
        <f>INDEX(Data_Elast!$J:$J,MATCH($B104,Data_Elast!$I:$I,0))</f>
        <v>coa</v>
      </c>
    </row>
    <row r="105" spans="2:31" x14ac:dyDescent="0.25">
      <c r="B105" s="17" t="s">
        <v>57</v>
      </c>
      <c r="C105" s="17" t="str">
        <f t="shared" si="9"/>
        <v>cem</v>
      </c>
      <c r="D105" s="26" t="s">
        <v>103</v>
      </c>
      <c r="E105" s="27">
        <f>ELAST("el_inc",$J105,Settings!$B$5)</f>
        <v>1</v>
      </c>
      <c r="F105" s="27">
        <f>ELAST("el_dem",$J105,Settings!$B$5)</f>
        <v>-0.5</v>
      </c>
      <c r="G105" s="27">
        <f>ELAST("el_eff",$J105,Settings!$B$5)</f>
        <v>-0.5</v>
      </c>
      <c r="H105" s="27">
        <f>ELAST("eff_imp",INDEX(Data_Elast!$K:$K,MATCH($B105,Data_Elast!$I:$I,0)),Settings!$B$5)</f>
        <v>0.01</v>
      </c>
      <c r="I105" s="27">
        <f>Settings!$B$7</f>
        <v>0</v>
      </c>
      <c r="J105" s="19" t="str">
        <f>INDEX(Data_Elast!$J:$J,MATCH($B105,Data_Elast!$I:$I,0))</f>
        <v>nga</v>
      </c>
    </row>
    <row r="106" spans="2:31" x14ac:dyDescent="0.25">
      <c r="B106" s="17" t="s">
        <v>59</v>
      </c>
      <c r="C106" s="17" t="str">
        <f t="shared" si="9"/>
        <v>cem</v>
      </c>
      <c r="D106" s="26" t="s">
        <v>104</v>
      </c>
      <c r="E106" s="27">
        <f>ELAST("el_inc",$J106,Settings!$B$5)</f>
        <v>0.5</v>
      </c>
      <c r="F106" s="27">
        <f>ELAST("el_dem",$J106,Settings!$B$5)</f>
        <v>-0.4</v>
      </c>
      <c r="G106" s="27">
        <f>ELAST("el_eff",$J106,Settings!$B$5)</f>
        <v>-0.7</v>
      </c>
      <c r="H106" s="27">
        <f>ELAST("eff_imp",INDEX(Data_Elast!$K:$K,MATCH($B106,Data_Elast!$I:$I,0)),Settings!$B$5)</f>
        <v>5.0000000000000001E-3</v>
      </c>
      <c r="I106" s="27">
        <f>Settings!$B$7</f>
        <v>0</v>
      </c>
      <c r="J106" s="19" t="str">
        <f>INDEX(Data_Elast!$J:$J,MATCH($B106,Data_Elast!$I:$I,0))</f>
        <v>gso</v>
      </c>
    </row>
    <row r="107" spans="2:31" x14ac:dyDescent="0.25">
      <c r="B107" s="17" t="s">
        <v>62</v>
      </c>
      <c r="C107" s="17" t="str">
        <f t="shared" si="9"/>
        <v>cem</v>
      </c>
      <c r="D107" s="26" t="s">
        <v>105</v>
      </c>
      <c r="E107" s="27">
        <f>ELAST("el_inc",$J107,Settings!$B$5)</f>
        <v>0.5</v>
      </c>
      <c r="F107" s="27">
        <f>ELAST("el_dem",$J107,Settings!$B$5)</f>
        <v>-0.7</v>
      </c>
      <c r="G107" s="27">
        <f>ELAST("el_eff",$J107,Settings!$B$5)</f>
        <v>-1.2</v>
      </c>
      <c r="H107" s="27">
        <f>ELAST("eff_imp",INDEX(Data_Elast!$K:$K,MATCH($B107,Data_Elast!$I:$I,0)),Settings!$B$5)</f>
        <v>5.0000000000000001E-3</v>
      </c>
      <c r="I107" s="27">
        <f>Settings!$B$7</f>
        <v>0</v>
      </c>
      <c r="J107" s="19" t="str">
        <f>INDEX(Data_Elast!$J:$J,MATCH($B107,Data_Elast!$I:$I,0))</f>
        <v>die</v>
      </c>
    </row>
    <row r="108" spans="2:31" x14ac:dyDescent="0.25">
      <c r="B108" s="17" t="s">
        <v>64</v>
      </c>
      <c r="C108" s="17" t="str">
        <f t="shared" si="9"/>
        <v>cem</v>
      </c>
      <c r="D108" s="26" t="s">
        <v>106</v>
      </c>
      <c r="E108" s="27">
        <f>ELAST("el_inc",$J108,Settings!$B$5)</f>
        <v>0.8</v>
      </c>
      <c r="F108" s="27">
        <f>ELAST("el_dem",$J108,Settings!$B$5)</f>
        <v>-0.4</v>
      </c>
      <c r="G108" s="27">
        <f>ELAST("el_eff",$J108,Settings!$B$5)</f>
        <v>-0.4</v>
      </c>
      <c r="H108" s="27">
        <f>ELAST("eff_imp",INDEX(Data_Elast!$K:$K,MATCH($B108,Data_Elast!$I:$I,0)),Settings!$B$5)</f>
        <v>5.0000000000000001E-3</v>
      </c>
      <c r="I108" s="27">
        <f>Settings!$B$7</f>
        <v>0</v>
      </c>
      <c r="J108" s="19" t="str">
        <f>INDEX(Data_Elast!$J:$J,MATCH($B108,Data_Elast!$I:$I,0))</f>
        <v>oil</v>
      </c>
    </row>
    <row r="109" spans="2:31" x14ac:dyDescent="0.25">
      <c r="B109" s="17" t="s">
        <v>66</v>
      </c>
      <c r="C109" s="17" t="str">
        <f t="shared" si="9"/>
        <v>cem</v>
      </c>
      <c r="D109" s="26" t="s">
        <v>107</v>
      </c>
      <c r="E109" s="27">
        <f>ELAST("el_inc",$J109,Settings!$B$5)</f>
        <v>0.8</v>
      </c>
      <c r="F109" s="27">
        <f>ELAST("el_dem",$J109,Settings!$B$5)</f>
        <v>-0.4</v>
      </c>
      <c r="G109" s="27">
        <f>ELAST("el_eff",$J109,Settings!$B$5)</f>
        <v>-0.4</v>
      </c>
      <c r="H109" s="27">
        <f>ELAST("eff_imp",INDEX(Data_Elast!$K:$K,MATCH($B109,Data_Elast!$I:$I,0)),Settings!$B$5)</f>
        <v>5.0000000000000001E-3</v>
      </c>
      <c r="I109" s="27">
        <f>Settings!$B$7</f>
        <v>0</v>
      </c>
      <c r="J109" s="19" t="str">
        <f>INDEX(Data_Elast!$J:$J,MATCH($B109,Data_Elast!$I:$I,0))</f>
        <v>oil</v>
      </c>
    </row>
    <row r="110" spans="2:31" x14ac:dyDescent="0.25">
      <c r="B110" s="17" t="s">
        <v>68</v>
      </c>
      <c r="C110" s="17" t="str">
        <f t="shared" si="9"/>
        <v>cem</v>
      </c>
      <c r="D110" s="26" t="s">
        <v>108</v>
      </c>
      <c r="E110" s="27">
        <f>ELAST("el_inc",$J110,Settings!$B$5)</f>
        <v>0.8</v>
      </c>
      <c r="F110" s="27">
        <f>ELAST("el_dem",$J110,Settings!$B$5)</f>
        <v>-0.4</v>
      </c>
      <c r="G110" s="27">
        <f>ELAST("el_eff",$J110,Settings!$B$5)</f>
        <v>-0.4</v>
      </c>
      <c r="H110" s="27">
        <f>ELAST("eff_imp",INDEX(Data_Elast!$K:$K,MATCH($B110,Data_Elast!$I:$I,0)),Settings!$B$5)</f>
        <v>5.0000000000000001E-3</v>
      </c>
      <c r="I110" s="27">
        <f>Settings!$B$7</f>
        <v>0</v>
      </c>
      <c r="J110" s="19" t="str">
        <f>INDEX(Data_Elast!$J:$J,MATCH($B110,Data_Elast!$I:$I,0))</f>
        <v>oil</v>
      </c>
    </row>
    <row r="111" spans="2:31" x14ac:dyDescent="0.25">
      <c r="B111" s="17" t="s">
        <v>71</v>
      </c>
      <c r="C111" s="17" t="str">
        <f t="shared" si="9"/>
        <v>cem</v>
      </c>
      <c r="D111" s="26" t="s">
        <v>109</v>
      </c>
      <c r="E111" s="27">
        <f>ELAST("el_inc",$J111,Settings!$B$5)</f>
        <v>0.1</v>
      </c>
      <c r="F111" s="27">
        <f>ELAST("el_dem",$J111,Settings!$B$5)</f>
        <v>-0.3</v>
      </c>
      <c r="G111" s="27">
        <f>ELAST("el_eff",$J111,Settings!$B$5)</f>
        <v>-0.2</v>
      </c>
      <c r="H111" s="27">
        <f>ELAST("eff_imp",INDEX(Data_Elast!$K:$K,MATCH($B111,Data_Elast!$I:$I,0)),Settings!$B$5)</f>
        <v>5.0000000000000001E-3</v>
      </c>
      <c r="I111" s="27">
        <f>Settings!$B$7</f>
        <v>0</v>
      </c>
      <c r="J111" s="19" t="str">
        <f>INDEX(Data_Elast!$J:$J,MATCH($B111,Data_Elast!$I:$I,0))</f>
        <v>bio</v>
      </c>
    </row>
    <row r="112" spans="2:31" x14ac:dyDescent="0.25">
      <c r="B112" s="17" t="s">
        <v>73</v>
      </c>
      <c r="C112" s="17" t="str">
        <f t="shared" si="9"/>
        <v>cem</v>
      </c>
      <c r="D112" s="26" t="s">
        <v>110</v>
      </c>
      <c r="E112" s="27">
        <f>ELAST("el_inc",$J112,Settings!$B$5)</f>
        <v>0.8</v>
      </c>
      <c r="F112" s="27">
        <f>ELAST("el_dem",$J112,Settings!$B$5)</f>
        <v>-0.5</v>
      </c>
      <c r="G112" s="27">
        <f>ELAST("el_eff",$J112,Settings!$B$5)</f>
        <v>-0.4</v>
      </c>
      <c r="H112" s="27">
        <f>ELAST("eff_imp",INDEX(Data_Elast!$K:$K,MATCH($B112,Data_Elast!$I:$I,0)),Settings!$B$5)</f>
        <v>5.0000000000000001E-3</v>
      </c>
      <c r="I112" s="27">
        <f>Settings!$B$7</f>
        <v>0</v>
      </c>
      <c r="J112" s="19" t="str">
        <f>INDEX(Data_Elast!$J:$J,MATCH($B112,Data_Elast!$I:$I,0))</f>
        <v>ren</v>
      </c>
    </row>
    <row r="113" spans="1:35" x14ac:dyDescent="0.25">
      <c r="B113" s="16" t="s">
        <v>111</v>
      </c>
    </row>
    <row r="114" spans="1:35" x14ac:dyDescent="0.25">
      <c r="B114" s="17" t="s">
        <v>53</v>
      </c>
      <c r="C114" s="17" t="str">
        <f t="shared" ref="C114:C123" si="10">$C$65</f>
        <v>cem</v>
      </c>
      <c r="D114" s="18" t="s">
        <v>54</v>
      </c>
      <c r="E114" s="19" t="s">
        <v>112</v>
      </c>
      <c r="F114" s="17" t="s">
        <v>113</v>
      </c>
      <c r="G114" s="20" t="str">
        <f>Settings!$B$3&amp;".mit.enc."&amp;$B114</f>
        <v>egy.mit.enc.coa</v>
      </c>
      <c r="H114" s="21" t="str">
        <f>OUTCODE(Settings!$B$3,"ener",$C$65,$B114,$J$65)</f>
        <v>egy.mit.ener.cem.coa.e.1</v>
      </c>
      <c r="L114" s="28">
        <f>INDEX(Data_Energy!$D$3:$U$22,MATCH($B114,Data_Energy!$C$3:$C$22,0),MATCH($C114,Data_Energy!$D$2:$U$2,0))</f>
        <v>1463.0552244627891</v>
      </c>
      <c r="M114" s="29">
        <f>FUELUSE(L114,L77,M77,L87,M87,M$99,M$100,M$101,$E104,$F104,$G104,$H104,$I104)</f>
        <v>1191.3644362517177</v>
      </c>
      <c r="N114" s="29">
        <f>FUELUSE(M114,M77,N77,M87,N87,N$99,N$100,N$101,$E104,$F104,$G104,$H104,$I104)</f>
        <v>1369.177928221337</v>
      </c>
      <c r="O114" s="29">
        <f>FUELUSE(N114,N77,O77,N87,O87,O$99,O$100,O$101,$E104,$F104,$G104,$H104,$I104)</f>
        <v>1496.0103450821184</v>
      </c>
      <c r="P114" s="29">
        <f>FUELUSE(O114,O77,P77,O87,P87,P$99,P$100,P$101,$E104,$F104,$G104,$H104,$I104)</f>
        <v>1463.0094084242082</v>
      </c>
      <c r="Q114" s="29">
        <f>FUELUSE(P114,P77,Q77,P87,Q87,Q$99,Q$100,Q$101,$E104,$F104,$G104,$H104,$I104)</f>
        <v>1479.9434067103518</v>
      </c>
      <c r="R114" s="29">
        <f>FUELUSE(Q114,Q77,R77,Q87,R87,R$99,R$100,R$101,$E104,$F104,$G104,$H104,$I104)</f>
        <v>1520.8862789067377</v>
      </c>
      <c r="S114" s="29">
        <f>FUELUSE(R114,R77,S77,R87,S87,S$99,S$100,S$101,$E104,$F104,$G104,$H104,$I104)</f>
        <v>1560.7547343755643</v>
      </c>
      <c r="T114" s="29">
        <f>FUELUSE(S114,S77,T77,S87,T87,T$99,T$100,T$101,$E104,$F104,$G104,$H104,$I104)</f>
        <v>1598.9515087578093</v>
      </c>
      <c r="U114" s="29">
        <f>FUELUSE(T114,T77,U77,T87,U87,U$99,U$100,U$101,$E104,$F104,$G104,$H104,$I104)</f>
        <v>1637.2393504564448</v>
      </c>
      <c r="V114" s="29">
        <f>FUELUSE(U114,U77,V77,U87,V87,V$99,V$100,V$101,$E104,$F104,$G104,$H104,$I104)</f>
        <v>1668.2356654049975</v>
      </c>
      <c r="W114" s="29">
        <f>FUELUSE(V114,V77,W77,V87,W87,W$99,W$100,W$101,$E104,$F104,$G104,$H104,$I104)</f>
        <v>1699.3101957591757</v>
      </c>
      <c r="X114" s="29">
        <f>FUELUSE(W114,W77,X77,W87,X87,X$99,X$100,X$101,$E104,$F104,$G104,$H104,$I104)</f>
        <v>1730.4540842981112</v>
      </c>
      <c r="Y114" s="29">
        <f>FUELUSE(X114,X77,Y77,X87,Y87,Y$99,Y$100,Y$101,$E104,$F104,$G104,$H104,$I104)</f>
        <v>1761.65855185757</v>
      </c>
      <c r="Z114" s="29">
        <f>FUELUSE(Y114,Y77,Z77,Y87,Z87,Z$99,Z$100,Z$101,$E104,$F104,$G104,$H104,$I104)</f>
        <v>1792.9148898951296</v>
      </c>
      <c r="AA114" s="29">
        <f>FUELUSE(Z114,Z77,AA77,Z87,AA87,AA$99,AA$100,AA$101,$E104,$F104,$G104,$H104,$I104)</f>
        <v>1824.2144522572228</v>
      </c>
      <c r="AB114" s="29">
        <f>FUELUSE(AA114,AA77,AB77,AA87,AB87,AB$99,AB$100,AB$101,$E104,$F104,$G104,$H104,$I104)</f>
        <v>1855.5486461890321</v>
      </c>
      <c r="AC114" s="29">
        <f>FUELUSE(AB114,AB77,AC77,AB87,AC87,AC$99,AC$100,AC$101,$E104,$F104,$G104,$H104,$I104)</f>
        <v>1886.9089226255742</v>
      </c>
      <c r="AD114" s="29">
        <f>FUELUSE(AC114,AC77,AD77,AC87,AD87,AD$99,AD$100,AD$101,$E104,$F104,$G104,$H104,$I104)</f>
        <v>1918.2867657997124</v>
      </c>
      <c r="AE114" s="29">
        <f>FUELUSE(AD114,AD77,AE77,AD87,AE87,AE$99,AE$100,AE$101,$E104,$F104,$G104,$H104,$I104)</f>
        <v>1949.673682200121</v>
      </c>
    </row>
    <row r="115" spans="1:35" x14ac:dyDescent="0.25">
      <c r="B115" s="17" t="s">
        <v>57</v>
      </c>
      <c r="C115" s="17" t="str">
        <f t="shared" si="10"/>
        <v>cem</v>
      </c>
      <c r="D115" s="18" t="s">
        <v>58</v>
      </c>
      <c r="E115" s="19" t="s">
        <v>112</v>
      </c>
      <c r="F115" s="17" t="s">
        <v>113</v>
      </c>
      <c r="G115" s="20" t="str">
        <f>Settings!$B$3&amp;".mit.enc."&amp;$B115</f>
        <v>egy.mit.enc.nga</v>
      </c>
      <c r="H115" s="21" t="str">
        <f>OUTCODE(Settings!$B$3,"ener",$C$65,$B115,$J$65)</f>
        <v>egy.mit.ener.cem.nga.e.1</v>
      </c>
      <c r="L115" s="28">
        <f>INDEX(Data_Energy!$D$3:$U$22,MATCH($B115,Data_Energy!$C$3:$C$22,0),MATCH($C115,Data_Energy!$D$2:$U$2,0))</f>
        <v>1747.3915347620809</v>
      </c>
      <c r="M115" s="29">
        <f>FUELUSE(L115,L78,M78,L88,M88,M$99,M$100,M$101,$E105,$F105,$G105,$H105,$I105)</f>
        <v>1498.9759731403972</v>
      </c>
      <c r="N115" s="29">
        <f>FUELUSE(M115,M78,N78,M88,N88,N$99,N$100,N$101,$E105,$F105,$G105,$H105,$I105)</f>
        <v>1678.3581605793943</v>
      </c>
      <c r="O115" s="29">
        <f>FUELUSE(N115,N78,O78,N88,O88,O$99,O$100,O$101,$E105,$F105,$G105,$H105,$I105)</f>
        <v>1744.6824773068631</v>
      </c>
      <c r="P115" s="29">
        <f>FUELUSE(O115,O78,P78,O88,P88,P$99,P$100,P$101,$E105,$F105,$G105,$H105,$I105)</f>
        <v>1810.2025593297433</v>
      </c>
      <c r="Q115" s="29">
        <f>FUELUSE(P115,P78,Q78,P88,Q88,Q$99,Q$100,Q$101,$E105,$F105,$G105,$H105,$I105)</f>
        <v>1888.2699356639821</v>
      </c>
      <c r="R115" s="29">
        <f>FUELUSE(Q115,Q78,R78,Q88,R88,R$99,R$100,R$101,$E105,$F105,$G105,$H105,$I105)</f>
        <v>1982.035222752454</v>
      </c>
      <c r="S115" s="29">
        <f>FUELUSE(R115,R78,S78,R88,S88,S$99,S$100,S$101,$E105,$F105,$G105,$H105,$I105)</f>
        <v>2073.2335772836482</v>
      </c>
      <c r="T115" s="29">
        <f>FUELUSE(S115,S78,T78,S88,T88,T$99,T$100,T$101,$E105,$F105,$G105,$H105,$I105)</f>
        <v>2159.7853501403379</v>
      </c>
      <c r="U115" s="29">
        <f>FUELUSE(T115,T78,U78,T88,U88,U$99,U$100,U$101,$E105,$F105,$G105,$H105,$I105)</f>
        <v>2248.2111327225371</v>
      </c>
      <c r="V115" s="29">
        <f>FUELUSE(U115,U78,V78,U88,V88,V$99,V$100,V$101,$E105,$F105,$G105,$H105,$I105)</f>
        <v>2338.8337314802193</v>
      </c>
      <c r="W115" s="29">
        <f>FUELUSE(V115,V78,W78,V88,W88,W$99,W$100,W$101,$E105,$F105,$G105,$H105,$I105)</f>
        <v>2431.6533942937472</v>
      </c>
      <c r="X115" s="29">
        <f>FUELUSE(W115,W78,X78,W88,X88,X$99,X$100,X$101,$E105,$F105,$G105,$H105,$I105)</f>
        <v>2526.6687256675955</v>
      </c>
      <c r="Y115" s="29">
        <f>FUELUSE(X115,X78,Y78,X88,Y88,Y$99,Y$100,Y$101,$E105,$F105,$G105,$H105,$I105)</f>
        <v>2623.8766619221847</v>
      </c>
      <c r="Z115" s="29">
        <f>FUELUSE(Y115,Y78,Z78,Y88,Z88,Z$99,Z$100,Z$101,$E105,$F105,$G105,$H105,$I105)</f>
        <v>2723.2724430000362</v>
      </c>
      <c r="AA115" s="29">
        <f>FUELUSE(Z115,Z78,AA78,Z88,AA88,AA$99,AA$100,AA$101,$E105,$F105,$G105,$H105,$I105)</f>
        <v>2824.8495806073797</v>
      </c>
      <c r="AB115" s="29">
        <f>FUELUSE(AA115,AA78,AB78,AA88,AB88,AB$99,AB$100,AB$101,$E105,$F105,$G105,$H105,$I105)</f>
        <v>2928.5998224234936</v>
      </c>
      <c r="AC115" s="29">
        <f>FUELUSE(AB115,AB78,AC78,AB88,AC88,AC$99,AC$100,AC$101,$E105,$F105,$G105,$H105,$I105)</f>
        <v>3034.5131121205823</v>
      </c>
      <c r="AD115" s="29">
        <f>FUELUSE(AC115,AC78,AD78,AC88,AD88,AD$99,AD$100,AD$101,$E105,$F105,$G105,$H105,$I105)</f>
        <v>3142.5775449475668</v>
      </c>
      <c r="AE115" s="29">
        <f>FUELUSE(AD115,AD78,AE78,AD88,AE88,AE$99,AE$100,AE$101,$E105,$F105,$G105,$H105,$I105)</f>
        <v>3252.7793186410991</v>
      </c>
    </row>
    <row r="116" spans="1:35" x14ac:dyDescent="0.25">
      <c r="B116" s="17" t="s">
        <v>59</v>
      </c>
      <c r="C116" s="17" t="str">
        <f t="shared" si="10"/>
        <v>cem</v>
      </c>
      <c r="D116" s="18" t="s">
        <v>60</v>
      </c>
      <c r="E116" s="19" t="s">
        <v>112</v>
      </c>
      <c r="F116" s="17" t="s">
        <v>113</v>
      </c>
      <c r="G116" s="20" t="str">
        <f>Settings!$B$3&amp;".mit.enc."&amp;$B116</f>
        <v>egy.mit.enc.gso</v>
      </c>
      <c r="H116" s="21" t="str">
        <f>OUTCODE(Settings!$B$3,"ener",$C$65,$B116,$J$65)</f>
        <v>egy.mit.ener.cem.gso.e.1</v>
      </c>
      <c r="L116" s="28">
        <f>INDEX(Data_Energy!$D$3:$U$22,MATCH($B116,Data_Energy!$C$3:$C$22,0),MATCH($C116,Data_Energy!$D$2:$U$2,0))</f>
        <v>0</v>
      </c>
      <c r="M116" s="29">
        <f>FUELUSE(L116,L79,M79,L89,M89,M$99,M$100,M$101,$E106,$F106,$G106,$H106,$I106)</f>
        <v>0</v>
      </c>
      <c r="N116" s="29">
        <f>FUELUSE(M116,M79,N79,M89,N89,N$99,N$100,N$101,$E106,$F106,$G106,$H106,$I106)</f>
        <v>0</v>
      </c>
      <c r="O116" s="29">
        <f>FUELUSE(N116,N79,O79,N89,O89,O$99,O$100,O$101,$E106,$F106,$G106,$H106,$I106)</f>
        <v>0</v>
      </c>
      <c r="P116" s="29">
        <f>FUELUSE(O116,O79,P79,O89,P89,P$99,P$100,P$101,$E106,$F106,$G106,$H106,$I106)</f>
        <v>0</v>
      </c>
      <c r="Q116" s="29">
        <f>FUELUSE(P116,P79,Q79,P89,Q89,Q$99,Q$100,Q$101,$E106,$F106,$G106,$H106,$I106)</f>
        <v>0</v>
      </c>
      <c r="R116" s="29">
        <f>FUELUSE(Q116,Q79,R79,Q89,R89,R$99,R$100,R$101,$E106,$F106,$G106,$H106,$I106)</f>
        <v>0</v>
      </c>
      <c r="S116" s="29">
        <f>FUELUSE(R116,R79,S79,R89,S89,S$99,S$100,S$101,$E106,$F106,$G106,$H106,$I106)</f>
        <v>0</v>
      </c>
      <c r="T116" s="29">
        <f>FUELUSE(S116,S79,T79,S89,T89,T$99,T$100,T$101,$E106,$F106,$G106,$H106,$I106)</f>
        <v>0</v>
      </c>
      <c r="U116" s="29">
        <f>FUELUSE(T116,T79,U79,T89,U89,U$99,U$100,U$101,$E106,$F106,$G106,$H106,$I106)</f>
        <v>0</v>
      </c>
      <c r="V116" s="29">
        <f>FUELUSE(U116,U79,V79,U89,V89,V$99,V$100,V$101,$E106,$F106,$G106,$H106,$I106)</f>
        <v>0</v>
      </c>
      <c r="W116" s="29">
        <f>FUELUSE(V116,V79,W79,V89,W89,W$99,W$100,W$101,$E106,$F106,$G106,$H106,$I106)</f>
        <v>0</v>
      </c>
      <c r="X116" s="29">
        <f>FUELUSE(W116,W79,X79,W89,X89,X$99,X$100,X$101,$E106,$F106,$G106,$H106,$I106)</f>
        <v>0</v>
      </c>
      <c r="Y116" s="29">
        <f>FUELUSE(X116,X79,Y79,X89,Y89,Y$99,Y$100,Y$101,$E106,$F106,$G106,$H106,$I106)</f>
        <v>0</v>
      </c>
      <c r="Z116" s="29">
        <f>FUELUSE(Y116,Y79,Z79,Y89,Z89,Z$99,Z$100,Z$101,$E106,$F106,$G106,$H106,$I106)</f>
        <v>0</v>
      </c>
      <c r="AA116" s="29">
        <f>FUELUSE(Z116,Z79,AA79,Z89,AA89,AA$99,AA$100,AA$101,$E106,$F106,$G106,$H106,$I106)</f>
        <v>0</v>
      </c>
      <c r="AB116" s="29">
        <f>FUELUSE(AA116,AA79,AB79,AA89,AB89,AB$99,AB$100,AB$101,$E106,$F106,$G106,$H106,$I106)</f>
        <v>0</v>
      </c>
      <c r="AC116" s="29">
        <f>FUELUSE(AB116,AB79,AC79,AB89,AC89,AC$99,AC$100,AC$101,$E106,$F106,$G106,$H106,$I106)</f>
        <v>0</v>
      </c>
      <c r="AD116" s="29">
        <f>FUELUSE(AC116,AC79,AD79,AC89,AD89,AD$99,AD$100,AD$101,$E106,$F106,$G106,$H106,$I106)</f>
        <v>0</v>
      </c>
      <c r="AE116" s="29">
        <f>FUELUSE(AD116,AD79,AE79,AD89,AE89,AE$99,AE$100,AE$101,$E106,$F106,$G106,$H106,$I106)</f>
        <v>0</v>
      </c>
    </row>
    <row r="117" spans="1:35" x14ac:dyDescent="0.25">
      <c r="B117" s="17" t="s">
        <v>62</v>
      </c>
      <c r="C117" s="17" t="str">
        <f t="shared" si="10"/>
        <v>cem</v>
      </c>
      <c r="D117" s="18" t="s">
        <v>63</v>
      </c>
      <c r="E117" s="19" t="s">
        <v>112</v>
      </c>
      <c r="F117" s="17" t="s">
        <v>113</v>
      </c>
      <c r="G117" s="20" t="str">
        <f>Settings!$B$3&amp;".mit.enc."&amp;$B117</f>
        <v>egy.mit.enc.die</v>
      </c>
      <c r="H117" s="21" t="str">
        <f>OUTCODE(Settings!$B$3,"ener",$C$65,$B117,$J$65)</f>
        <v>egy.mit.ener.cem.die.e.1</v>
      </c>
      <c r="L117" s="28">
        <f>INDEX(Data_Energy!$D$3:$U$22,MATCH($B117,Data_Energy!$C$3:$C$22,0),MATCH($C117,Data_Energy!$D$2:$U$2,0))</f>
        <v>0</v>
      </c>
      <c r="M117" s="29">
        <f>FUELUSE(L117,L80,M80,L90,M90,M$99,M$100,M$101,$E107,$F107,$G107,$H107,$I107)</f>
        <v>0</v>
      </c>
      <c r="N117" s="29">
        <f>FUELUSE(M117,M80,N80,M90,N90,N$99,N$100,N$101,$E107,$F107,$G107,$H107,$I107)</f>
        <v>0</v>
      </c>
      <c r="O117" s="29">
        <f>FUELUSE(N117,N80,O80,N90,O90,O$99,O$100,O$101,$E107,$F107,$G107,$H107,$I107)</f>
        <v>0</v>
      </c>
      <c r="P117" s="29">
        <f>FUELUSE(O117,O80,P80,O90,P90,P$99,P$100,P$101,$E107,$F107,$G107,$H107,$I107)</f>
        <v>0</v>
      </c>
      <c r="Q117" s="29">
        <f>FUELUSE(P117,P80,Q80,P90,Q90,Q$99,Q$100,Q$101,$E107,$F107,$G107,$H107,$I107)</f>
        <v>0</v>
      </c>
      <c r="R117" s="29">
        <f>FUELUSE(Q117,Q80,R80,Q90,R90,R$99,R$100,R$101,$E107,$F107,$G107,$H107,$I107)</f>
        <v>0</v>
      </c>
      <c r="S117" s="29">
        <f>FUELUSE(R117,R80,S80,R90,S90,S$99,S$100,S$101,$E107,$F107,$G107,$H107,$I107)</f>
        <v>0</v>
      </c>
      <c r="T117" s="29">
        <f>FUELUSE(S117,S80,T80,S90,T90,T$99,T$100,T$101,$E107,$F107,$G107,$H107,$I107)</f>
        <v>0</v>
      </c>
      <c r="U117" s="29">
        <f>FUELUSE(T117,T80,U80,T90,U90,U$99,U$100,U$101,$E107,$F107,$G107,$H107,$I107)</f>
        <v>0</v>
      </c>
      <c r="V117" s="29">
        <f>FUELUSE(U117,U80,V80,U90,V90,V$99,V$100,V$101,$E107,$F107,$G107,$H107,$I107)</f>
        <v>0</v>
      </c>
      <c r="W117" s="29">
        <f>FUELUSE(V117,V80,W80,V90,W90,W$99,W$100,W$101,$E107,$F107,$G107,$H107,$I107)</f>
        <v>0</v>
      </c>
      <c r="X117" s="29">
        <f>FUELUSE(W117,W80,X80,W90,X90,X$99,X$100,X$101,$E107,$F107,$G107,$H107,$I107)</f>
        <v>0</v>
      </c>
      <c r="Y117" s="29">
        <f>FUELUSE(X117,X80,Y80,X90,Y90,Y$99,Y$100,Y$101,$E107,$F107,$G107,$H107,$I107)</f>
        <v>0</v>
      </c>
      <c r="Z117" s="29">
        <f>FUELUSE(Y117,Y80,Z80,Y90,Z90,Z$99,Z$100,Z$101,$E107,$F107,$G107,$H107,$I107)</f>
        <v>0</v>
      </c>
      <c r="AA117" s="29">
        <f>FUELUSE(Z117,Z80,AA80,Z90,AA90,AA$99,AA$100,AA$101,$E107,$F107,$G107,$H107,$I107)</f>
        <v>0</v>
      </c>
      <c r="AB117" s="29">
        <f>FUELUSE(AA117,AA80,AB80,AA90,AB90,AB$99,AB$100,AB$101,$E107,$F107,$G107,$H107,$I107)</f>
        <v>0</v>
      </c>
      <c r="AC117" s="29">
        <f>FUELUSE(AB117,AB80,AC80,AB90,AC90,AC$99,AC$100,AC$101,$E107,$F107,$G107,$H107,$I107)</f>
        <v>0</v>
      </c>
      <c r="AD117" s="29">
        <f>FUELUSE(AC117,AC80,AD80,AC90,AD90,AD$99,AD$100,AD$101,$E107,$F107,$G107,$H107,$I107)</f>
        <v>0</v>
      </c>
      <c r="AE117" s="29">
        <f>FUELUSE(AD117,AD80,AE80,AD90,AE90,AE$99,AE$100,AE$101,$E107,$F107,$G107,$H107,$I107)</f>
        <v>0</v>
      </c>
    </row>
    <row r="118" spans="1:35" x14ac:dyDescent="0.25">
      <c r="B118" s="17" t="s">
        <v>64</v>
      </c>
      <c r="C118" s="17" t="str">
        <f t="shared" si="10"/>
        <v>cem</v>
      </c>
      <c r="D118" s="18" t="s">
        <v>65</v>
      </c>
      <c r="E118" s="19" t="s">
        <v>112</v>
      </c>
      <c r="F118" s="17" t="s">
        <v>113</v>
      </c>
      <c r="G118" s="20" t="str">
        <f>Settings!$B$3&amp;".mit.enc."&amp;$B118</f>
        <v>egy.mit.enc.lpg</v>
      </c>
      <c r="H118" s="21" t="str">
        <f>OUTCODE(Settings!$B$3,"ener",$C$65,$B118,$J$65)</f>
        <v>egy.mit.ener.cem.lpg.e.1</v>
      </c>
      <c r="L118" s="28">
        <f>INDEX(Data_Energy!$D$3:$U$22,MATCH($B118,Data_Energy!$C$3:$C$22,0),MATCH($C118,Data_Energy!$D$2:$U$2,0))</f>
        <v>0</v>
      </c>
      <c r="M118" s="29">
        <f>FUELUSE(L118,L81,M81,L91,M91,M$99,M$100,M$101,$E108,$F108,$G108,$H108,$I108)</f>
        <v>0</v>
      </c>
      <c r="N118" s="29">
        <f>FUELUSE(M118,M81,N81,M91,N91,N$99,N$100,N$101,$E108,$F108,$G108,$H108,$I108)</f>
        <v>0</v>
      </c>
      <c r="O118" s="29">
        <f>FUELUSE(N118,N81,O81,N91,O91,O$99,O$100,O$101,$E108,$F108,$G108,$H108,$I108)</f>
        <v>0</v>
      </c>
      <c r="P118" s="29">
        <f>FUELUSE(O118,O81,P81,O91,P91,P$99,P$100,P$101,$E108,$F108,$G108,$H108,$I108)</f>
        <v>0</v>
      </c>
      <c r="Q118" s="29">
        <f>FUELUSE(P118,P81,Q81,P91,Q91,Q$99,Q$100,Q$101,$E108,$F108,$G108,$H108,$I108)</f>
        <v>0</v>
      </c>
      <c r="R118" s="29">
        <f>FUELUSE(Q118,Q81,R81,Q91,R91,R$99,R$100,R$101,$E108,$F108,$G108,$H108,$I108)</f>
        <v>0</v>
      </c>
      <c r="S118" s="29">
        <f>FUELUSE(R118,R81,S81,R91,S91,S$99,S$100,S$101,$E108,$F108,$G108,$H108,$I108)</f>
        <v>0</v>
      </c>
      <c r="T118" s="29">
        <f>FUELUSE(S118,S81,T81,S91,T91,T$99,T$100,T$101,$E108,$F108,$G108,$H108,$I108)</f>
        <v>0</v>
      </c>
      <c r="U118" s="29">
        <f>FUELUSE(T118,T81,U81,T91,U91,U$99,U$100,U$101,$E108,$F108,$G108,$H108,$I108)</f>
        <v>0</v>
      </c>
      <c r="V118" s="29">
        <f>FUELUSE(U118,U81,V81,U91,V91,V$99,V$100,V$101,$E108,$F108,$G108,$H108,$I108)</f>
        <v>0</v>
      </c>
      <c r="W118" s="29">
        <f>FUELUSE(V118,V81,W81,V91,W91,W$99,W$100,W$101,$E108,$F108,$G108,$H108,$I108)</f>
        <v>0</v>
      </c>
      <c r="X118" s="29">
        <f>FUELUSE(W118,W81,X81,W91,X91,X$99,X$100,X$101,$E108,$F108,$G108,$H108,$I108)</f>
        <v>0</v>
      </c>
      <c r="Y118" s="29">
        <f>FUELUSE(X118,X81,Y81,X91,Y91,Y$99,Y$100,Y$101,$E108,$F108,$G108,$H108,$I108)</f>
        <v>0</v>
      </c>
      <c r="Z118" s="29">
        <f>FUELUSE(Y118,Y81,Z81,Y91,Z91,Z$99,Z$100,Z$101,$E108,$F108,$G108,$H108,$I108)</f>
        <v>0</v>
      </c>
      <c r="AA118" s="29">
        <f>FUELUSE(Z118,Z81,AA81,Z91,AA91,AA$99,AA$100,AA$101,$E108,$F108,$G108,$H108,$I108)</f>
        <v>0</v>
      </c>
      <c r="AB118" s="29">
        <f>FUELUSE(AA118,AA81,AB81,AA91,AB91,AB$99,AB$100,AB$101,$E108,$F108,$G108,$H108,$I108)</f>
        <v>0</v>
      </c>
      <c r="AC118" s="29">
        <f>FUELUSE(AB118,AB81,AC81,AB91,AC91,AC$99,AC$100,AC$101,$E108,$F108,$G108,$H108,$I108)</f>
        <v>0</v>
      </c>
      <c r="AD118" s="29">
        <f>FUELUSE(AC118,AC81,AD81,AC91,AD91,AD$99,AD$100,AD$101,$E108,$F108,$G108,$H108,$I108)</f>
        <v>0</v>
      </c>
      <c r="AE118" s="29">
        <f>FUELUSE(AD118,AD81,AE81,AD91,AE91,AE$99,AE$100,AE$101,$E108,$F108,$G108,$H108,$I108)</f>
        <v>0</v>
      </c>
    </row>
    <row r="119" spans="1:35" x14ac:dyDescent="0.25">
      <c r="B119" s="17" t="s">
        <v>66</v>
      </c>
      <c r="C119" s="17" t="str">
        <f t="shared" si="10"/>
        <v>cem</v>
      </c>
      <c r="D119" s="18" t="s">
        <v>67</v>
      </c>
      <c r="E119" s="19" t="s">
        <v>112</v>
      </c>
      <c r="F119" s="17" t="s">
        <v>113</v>
      </c>
      <c r="G119" s="20" t="str">
        <f>Settings!$B$3&amp;".mit.enc."&amp;$B119</f>
        <v>egy.mit.enc.ker</v>
      </c>
      <c r="H119" s="21" t="str">
        <f>OUTCODE(Settings!$B$3,"ener",$C$65,$B119,$J$65)</f>
        <v>egy.mit.ener.cem.ker.e.1</v>
      </c>
      <c r="L119" s="28">
        <f>INDEX(Data_Energy!$D$3:$U$22,MATCH($B119,Data_Energy!$C$3:$C$22,0),MATCH($C119,Data_Energy!$D$2:$U$2,0))</f>
        <v>0</v>
      </c>
      <c r="M119" s="29">
        <f>FUELUSE(L119,L82,M82,L92,M92,M$99,M$100,M$101,$E109,$F109,$G109,$H109,$I109)</f>
        <v>0</v>
      </c>
      <c r="N119" s="29">
        <f>FUELUSE(M119,M82,N82,M92,N92,N$99,N$100,N$101,$E109,$F109,$G109,$H109,$I109)</f>
        <v>0</v>
      </c>
      <c r="O119" s="29">
        <f>FUELUSE(N119,N82,O82,N92,O92,O$99,O$100,O$101,$E109,$F109,$G109,$H109,$I109)</f>
        <v>0</v>
      </c>
      <c r="P119" s="29">
        <f>FUELUSE(O119,O82,P82,O92,P92,P$99,P$100,P$101,$E109,$F109,$G109,$H109,$I109)</f>
        <v>0</v>
      </c>
      <c r="Q119" s="29">
        <f>FUELUSE(P119,P82,Q82,P92,Q92,Q$99,Q$100,Q$101,$E109,$F109,$G109,$H109,$I109)</f>
        <v>0</v>
      </c>
      <c r="R119" s="29">
        <f>FUELUSE(Q119,Q82,R82,Q92,R92,R$99,R$100,R$101,$E109,$F109,$G109,$H109,$I109)</f>
        <v>0</v>
      </c>
      <c r="S119" s="29">
        <f>FUELUSE(R119,R82,S82,R92,S92,S$99,S$100,S$101,$E109,$F109,$G109,$H109,$I109)</f>
        <v>0</v>
      </c>
      <c r="T119" s="29">
        <f>FUELUSE(S119,S82,T82,S92,T92,T$99,T$100,T$101,$E109,$F109,$G109,$H109,$I109)</f>
        <v>0</v>
      </c>
      <c r="U119" s="29">
        <f>FUELUSE(T119,T82,U82,T92,U92,U$99,U$100,U$101,$E109,$F109,$G109,$H109,$I109)</f>
        <v>0</v>
      </c>
      <c r="V119" s="29">
        <f>FUELUSE(U119,U82,V82,U92,V92,V$99,V$100,V$101,$E109,$F109,$G109,$H109,$I109)</f>
        <v>0</v>
      </c>
      <c r="W119" s="29">
        <f>FUELUSE(V119,V82,W82,V92,W92,W$99,W$100,W$101,$E109,$F109,$G109,$H109,$I109)</f>
        <v>0</v>
      </c>
      <c r="X119" s="29">
        <f>FUELUSE(W119,W82,X82,W92,X92,X$99,X$100,X$101,$E109,$F109,$G109,$H109,$I109)</f>
        <v>0</v>
      </c>
      <c r="Y119" s="29">
        <f>FUELUSE(X119,X82,Y82,X92,Y92,Y$99,Y$100,Y$101,$E109,$F109,$G109,$H109,$I109)</f>
        <v>0</v>
      </c>
      <c r="Z119" s="29">
        <f>FUELUSE(Y119,Y82,Z82,Y92,Z92,Z$99,Z$100,Z$101,$E109,$F109,$G109,$H109,$I109)</f>
        <v>0</v>
      </c>
      <c r="AA119" s="29">
        <f>FUELUSE(Z119,Z82,AA82,Z92,AA92,AA$99,AA$100,AA$101,$E109,$F109,$G109,$H109,$I109)</f>
        <v>0</v>
      </c>
      <c r="AB119" s="29">
        <f>FUELUSE(AA119,AA82,AB82,AA92,AB92,AB$99,AB$100,AB$101,$E109,$F109,$G109,$H109,$I109)</f>
        <v>0</v>
      </c>
      <c r="AC119" s="29">
        <f>FUELUSE(AB119,AB82,AC82,AB92,AC92,AC$99,AC$100,AC$101,$E109,$F109,$G109,$H109,$I109)</f>
        <v>0</v>
      </c>
      <c r="AD119" s="29">
        <f>FUELUSE(AC119,AC82,AD82,AC92,AD92,AD$99,AD$100,AD$101,$E109,$F109,$G109,$H109,$I109)</f>
        <v>0</v>
      </c>
      <c r="AE119" s="29">
        <f>FUELUSE(AD119,AD82,AE82,AD92,AE92,AE$99,AE$100,AE$101,$E109,$F109,$G109,$H109,$I109)</f>
        <v>0</v>
      </c>
    </row>
    <row r="120" spans="1:35" x14ac:dyDescent="0.25">
      <c r="B120" s="17" t="s">
        <v>68</v>
      </c>
      <c r="C120" s="17" t="str">
        <f t="shared" si="10"/>
        <v>cem</v>
      </c>
      <c r="D120" s="18" t="s">
        <v>69</v>
      </c>
      <c r="E120" s="19" t="s">
        <v>112</v>
      </c>
      <c r="F120" s="17" t="s">
        <v>113</v>
      </c>
      <c r="G120" s="20" t="str">
        <f>Settings!$B$3&amp;".mit.enc."&amp;$B120</f>
        <v>egy.mit.enc.oop</v>
      </c>
      <c r="H120" s="21" t="str">
        <f>OUTCODE(Settings!$B$3,"ener",$C$65,$B120,$J$65)</f>
        <v>egy.mit.ener.cem.oop.e.1</v>
      </c>
      <c r="L120" s="28">
        <f>INDEX(Data_Energy!$D$3:$U$22,MATCH($B120,Data_Energy!$C$3:$C$22,0),MATCH($C120,Data_Energy!$D$2:$U$2,0))</f>
        <v>0</v>
      </c>
      <c r="M120" s="29">
        <f>FUELUSE(L120,L83,M83,L93,M93,M$99,M$100,M$101,$E110,$F110,$G110,$H110,$I110)</f>
        <v>0</v>
      </c>
      <c r="N120" s="29">
        <f>FUELUSE(M120,M83,N83,M93,N93,N$99,N$100,N$101,$E110,$F110,$G110,$H110,$I110)</f>
        <v>0</v>
      </c>
      <c r="O120" s="29">
        <f>FUELUSE(N120,N83,O83,N93,O93,O$99,O$100,O$101,$E110,$F110,$G110,$H110,$I110)</f>
        <v>0</v>
      </c>
      <c r="P120" s="29">
        <f>FUELUSE(O120,O83,P83,O93,P93,P$99,P$100,P$101,$E110,$F110,$G110,$H110,$I110)</f>
        <v>0</v>
      </c>
      <c r="Q120" s="29">
        <f>FUELUSE(P120,P83,Q83,P93,Q93,Q$99,Q$100,Q$101,$E110,$F110,$G110,$H110,$I110)</f>
        <v>0</v>
      </c>
      <c r="R120" s="29">
        <f>FUELUSE(Q120,Q83,R83,Q93,R93,R$99,R$100,R$101,$E110,$F110,$G110,$H110,$I110)</f>
        <v>0</v>
      </c>
      <c r="S120" s="29">
        <f>FUELUSE(R120,R83,S83,R93,S93,S$99,S$100,S$101,$E110,$F110,$G110,$H110,$I110)</f>
        <v>0</v>
      </c>
      <c r="T120" s="29">
        <f>FUELUSE(S120,S83,T83,S93,T93,T$99,T$100,T$101,$E110,$F110,$G110,$H110,$I110)</f>
        <v>0</v>
      </c>
      <c r="U120" s="29">
        <f>FUELUSE(T120,T83,U83,T93,U93,U$99,U$100,U$101,$E110,$F110,$G110,$H110,$I110)</f>
        <v>0</v>
      </c>
      <c r="V120" s="29">
        <f>FUELUSE(U120,U83,V83,U93,V93,V$99,V$100,V$101,$E110,$F110,$G110,$H110,$I110)</f>
        <v>0</v>
      </c>
      <c r="W120" s="29">
        <f>FUELUSE(V120,V83,W83,V93,W93,W$99,W$100,W$101,$E110,$F110,$G110,$H110,$I110)</f>
        <v>0</v>
      </c>
      <c r="X120" s="29">
        <f>FUELUSE(W120,W83,X83,W93,X93,X$99,X$100,X$101,$E110,$F110,$G110,$H110,$I110)</f>
        <v>0</v>
      </c>
      <c r="Y120" s="29">
        <f>FUELUSE(X120,X83,Y83,X93,Y93,Y$99,Y$100,Y$101,$E110,$F110,$G110,$H110,$I110)</f>
        <v>0</v>
      </c>
      <c r="Z120" s="29">
        <f>FUELUSE(Y120,Y83,Z83,Y93,Z93,Z$99,Z$100,Z$101,$E110,$F110,$G110,$H110,$I110)</f>
        <v>0</v>
      </c>
      <c r="AA120" s="29">
        <f>FUELUSE(Z120,Z83,AA83,Z93,AA93,AA$99,AA$100,AA$101,$E110,$F110,$G110,$H110,$I110)</f>
        <v>0</v>
      </c>
      <c r="AB120" s="29">
        <f>FUELUSE(AA120,AA83,AB83,AA93,AB93,AB$99,AB$100,AB$101,$E110,$F110,$G110,$H110,$I110)</f>
        <v>0</v>
      </c>
      <c r="AC120" s="29">
        <f>FUELUSE(AB120,AB83,AC83,AB93,AC93,AC$99,AC$100,AC$101,$E110,$F110,$G110,$H110,$I110)</f>
        <v>0</v>
      </c>
      <c r="AD120" s="29">
        <f>FUELUSE(AC120,AC83,AD83,AC93,AD93,AD$99,AD$100,AD$101,$E110,$F110,$G110,$H110,$I110)</f>
        <v>0</v>
      </c>
      <c r="AE120" s="29">
        <f>FUELUSE(AD120,AD83,AE83,AD93,AE93,AE$99,AE$100,AE$101,$E110,$F110,$G110,$H110,$I110)</f>
        <v>0</v>
      </c>
    </row>
    <row r="121" spans="1:35" x14ac:dyDescent="0.25">
      <c r="B121" s="17" t="s">
        <v>71</v>
      </c>
      <c r="C121" s="17" t="str">
        <f t="shared" si="10"/>
        <v>cem</v>
      </c>
      <c r="D121" s="18" t="s">
        <v>72</v>
      </c>
      <c r="E121" s="19" t="s">
        <v>112</v>
      </c>
      <c r="F121" s="17" t="s">
        <v>113</v>
      </c>
      <c r="G121" s="20" t="str">
        <f>Settings!$B$3&amp;".mit.enc."&amp;$B121</f>
        <v>egy.mit.enc.bio</v>
      </c>
      <c r="H121" s="21" t="str">
        <f>OUTCODE(Settings!$B$3,"ener",$C$65,$B121,$J$65)</f>
        <v>egy.mit.ener.cem.bio.e.1</v>
      </c>
      <c r="L121" s="28">
        <f>INDEX(Data_Energy!$D$3:$U$22,MATCH($B121,Data_Energy!$C$3:$C$22,0),MATCH($C121,Data_Energy!$D$2:$U$2,0))</f>
        <v>0</v>
      </c>
      <c r="M121" s="29">
        <f>FUELUSE(L121,L84,M84,L94,M94,M$99,M$100,M$101,$E111,$F111,$G111,$H111,$I111)</f>
        <v>0</v>
      </c>
      <c r="N121" s="29">
        <f>FUELUSE(M121,M84,N84,M94,N94,N$99,N$100,N$101,$E111,$F111,$G111,$H111,$I111)</f>
        <v>0</v>
      </c>
      <c r="O121" s="29">
        <f>FUELUSE(N121,N84,O84,N94,O94,O$99,O$100,O$101,$E111,$F111,$G111,$H111,$I111)</f>
        <v>0</v>
      </c>
      <c r="P121" s="29">
        <f>FUELUSE(O121,O84,P84,O94,P94,P$99,P$100,P$101,$E111,$F111,$G111,$H111,$I111)</f>
        <v>0</v>
      </c>
      <c r="Q121" s="29">
        <f>FUELUSE(P121,P84,Q84,P94,Q94,Q$99,Q$100,Q$101,$E111,$F111,$G111,$H111,$I111)</f>
        <v>0</v>
      </c>
      <c r="R121" s="29">
        <f>FUELUSE(Q121,Q84,R84,Q94,R94,R$99,R$100,R$101,$E111,$F111,$G111,$H111,$I111)</f>
        <v>0</v>
      </c>
      <c r="S121" s="29">
        <f>FUELUSE(R121,R84,S84,R94,S94,S$99,S$100,S$101,$E111,$F111,$G111,$H111,$I111)</f>
        <v>0</v>
      </c>
      <c r="T121" s="29">
        <f>FUELUSE(S121,S84,T84,S94,T94,T$99,T$100,T$101,$E111,$F111,$G111,$H111,$I111)</f>
        <v>0</v>
      </c>
      <c r="U121" s="29">
        <f>FUELUSE(T121,T84,U84,T94,U94,U$99,U$100,U$101,$E111,$F111,$G111,$H111,$I111)</f>
        <v>0</v>
      </c>
      <c r="V121" s="29">
        <f>FUELUSE(U121,U84,V84,U94,V94,V$99,V$100,V$101,$E111,$F111,$G111,$H111,$I111)</f>
        <v>0</v>
      </c>
      <c r="W121" s="29">
        <f>FUELUSE(V121,V84,W84,V94,W94,W$99,W$100,W$101,$E111,$F111,$G111,$H111,$I111)</f>
        <v>0</v>
      </c>
      <c r="X121" s="29">
        <f>FUELUSE(W121,W84,X84,W94,X94,X$99,X$100,X$101,$E111,$F111,$G111,$H111,$I111)</f>
        <v>0</v>
      </c>
      <c r="Y121" s="29">
        <f>FUELUSE(X121,X84,Y84,X94,Y94,Y$99,Y$100,Y$101,$E111,$F111,$G111,$H111,$I111)</f>
        <v>0</v>
      </c>
      <c r="Z121" s="29">
        <f>FUELUSE(Y121,Y84,Z84,Y94,Z94,Z$99,Z$100,Z$101,$E111,$F111,$G111,$H111,$I111)</f>
        <v>0</v>
      </c>
      <c r="AA121" s="29">
        <f>FUELUSE(Z121,Z84,AA84,Z94,AA94,AA$99,AA$100,AA$101,$E111,$F111,$G111,$H111,$I111)</f>
        <v>0</v>
      </c>
      <c r="AB121" s="29">
        <f>FUELUSE(AA121,AA84,AB84,AA94,AB94,AB$99,AB$100,AB$101,$E111,$F111,$G111,$H111,$I111)</f>
        <v>0</v>
      </c>
      <c r="AC121" s="29">
        <f>FUELUSE(AB121,AB84,AC84,AB94,AC94,AC$99,AC$100,AC$101,$E111,$F111,$G111,$H111,$I111)</f>
        <v>0</v>
      </c>
      <c r="AD121" s="29">
        <f>FUELUSE(AC121,AC84,AD84,AC94,AD94,AD$99,AD$100,AD$101,$E111,$F111,$G111,$H111,$I111)</f>
        <v>0</v>
      </c>
      <c r="AE121" s="29">
        <f>FUELUSE(AD121,AD84,AE84,AD94,AE94,AE$99,AE$100,AE$101,$E111,$F111,$G111,$H111,$I111)</f>
        <v>0</v>
      </c>
    </row>
    <row r="122" spans="1:35" x14ac:dyDescent="0.25">
      <c r="B122" s="17" t="s">
        <v>73</v>
      </c>
      <c r="C122" s="17" t="str">
        <f t="shared" si="10"/>
        <v>cem</v>
      </c>
      <c r="D122" s="18" t="s">
        <v>74</v>
      </c>
      <c r="E122" s="19" t="s">
        <v>112</v>
      </c>
      <c r="F122" s="17" t="s">
        <v>113</v>
      </c>
      <c r="G122" s="20" t="str">
        <f>Settings!$B$3&amp;".mit.enc."&amp;$B122</f>
        <v>egy.mit.enc.ren</v>
      </c>
      <c r="H122" s="21" t="str">
        <f>OUTCODE(Settings!$B$3,"ener",$C$65,$B122,$J$65)</f>
        <v>egy.mit.ener.cem.ren.e.1</v>
      </c>
      <c r="L122" s="28">
        <f>INDEX(Data_Energy!$D$3:$U$22,MATCH($B122,Data_Energy!$C$3:$C$22,0),MATCH($C122,Data_Energy!$D$2:$U$2,0))</f>
        <v>0</v>
      </c>
      <c r="M122" s="29">
        <f>FUELUSE(L122,L85,M85,L95,M95,M$99,M$100,M$101,$E112,$F112,$G112,$H112,$I112)</f>
        <v>0</v>
      </c>
      <c r="N122" s="29">
        <f>FUELUSE(M122,M85,N85,M95,N95,N$99,N$100,N$101,$E112,$F112,$G112,$H112,$I112)</f>
        <v>0</v>
      </c>
      <c r="O122" s="29">
        <f>FUELUSE(N122,N85,O85,N95,O95,O$99,O$100,O$101,$E112,$F112,$G112,$H112,$I112)</f>
        <v>0</v>
      </c>
      <c r="P122" s="29">
        <f>FUELUSE(O122,O85,P85,O95,P95,P$99,P$100,P$101,$E112,$F112,$G112,$H112,$I112)</f>
        <v>0</v>
      </c>
      <c r="Q122" s="29">
        <f>FUELUSE(P122,P85,Q85,P95,Q95,Q$99,Q$100,Q$101,$E112,$F112,$G112,$H112,$I112)</f>
        <v>0</v>
      </c>
      <c r="R122" s="29">
        <f>FUELUSE(Q122,Q85,R85,Q95,R95,R$99,R$100,R$101,$E112,$F112,$G112,$H112,$I112)</f>
        <v>0</v>
      </c>
      <c r="S122" s="29">
        <f>FUELUSE(R122,R85,S85,R95,S95,S$99,S$100,S$101,$E112,$F112,$G112,$H112,$I112)</f>
        <v>0</v>
      </c>
      <c r="T122" s="29">
        <f>FUELUSE(S122,S85,T85,S95,T95,T$99,T$100,T$101,$E112,$F112,$G112,$H112,$I112)</f>
        <v>0</v>
      </c>
      <c r="U122" s="29">
        <f>FUELUSE(T122,T85,U85,T95,U95,U$99,U$100,U$101,$E112,$F112,$G112,$H112,$I112)</f>
        <v>0</v>
      </c>
      <c r="V122" s="29">
        <f>FUELUSE(U122,U85,V85,U95,V95,V$99,V$100,V$101,$E112,$F112,$G112,$H112,$I112)</f>
        <v>0</v>
      </c>
      <c r="W122" s="29">
        <f>FUELUSE(V122,V85,W85,V95,W95,W$99,W$100,W$101,$E112,$F112,$G112,$H112,$I112)</f>
        <v>0</v>
      </c>
      <c r="X122" s="29">
        <f>FUELUSE(W122,W85,X85,W95,X95,X$99,X$100,X$101,$E112,$F112,$G112,$H112,$I112)</f>
        <v>0</v>
      </c>
      <c r="Y122" s="29">
        <f>FUELUSE(X122,X85,Y85,X95,Y95,Y$99,Y$100,Y$101,$E112,$F112,$G112,$H112,$I112)</f>
        <v>0</v>
      </c>
      <c r="Z122" s="29">
        <f>FUELUSE(Y122,Y85,Z85,Y95,Z95,Z$99,Z$100,Z$101,$E112,$F112,$G112,$H112,$I112)</f>
        <v>0</v>
      </c>
      <c r="AA122" s="29">
        <f>FUELUSE(Z122,Z85,AA85,Z95,AA95,AA$99,AA$100,AA$101,$E112,$F112,$G112,$H112,$I112)</f>
        <v>0</v>
      </c>
      <c r="AB122" s="29">
        <f>FUELUSE(AA122,AA85,AB85,AA95,AB95,AB$99,AB$100,AB$101,$E112,$F112,$G112,$H112,$I112)</f>
        <v>0</v>
      </c>
      <c r="AC122" s="29">
        <f>FUELUSE(AB122,AB85,AC85,AB95,AC95,AC$99,AC$100,AC$101,$E112,$F112,$G112,$H112,$I112)</f>
        <v>0</v>
      </c>
      <c r="AD122" s="29">
        <f>FUELUSE(AC122,AC85,AD85,AC95,AD95,AD$99,AD$100,AD$101,$E112,$F112,$G112,$H112,$I112)</f>
        <v>0</v>
      </c>
      <c r="AE122" s="29">
        <f>FUELUSE(AD122,AD85,AE85,AD95,AE95,AE$99,AE$100,AE$101,$E112,$F112,$G112,$H112,$I112)</f>
        <v>0</v>
      </c>
    </row>
    <row r="123" spans="1:35" x14ac:dyDescent="0.25">
      <c r="B123" s="17" t="s">
        <v>114</v>
      </c>
      <c r="C123" s="17" t="str">
        <f t="shared" si="10"/>
        <v>cem</v>
      </c>
      <c r="D123" s="30" t="s">
        <v>115</v>
      </c>
      <c r="E123" s="19" t="s">
        <v>112</v>
      </c>
      <c r="F123" s="17" t="s">
        <v>113</v>
      </c>
      <c r="H123" s="21" t="str">
        <f>OUTCODE(Settings!$B$3,"ener",$C$65,"tot",$J$65)</f>
        <v>egy.mit.ener.cem.tot.e.1</v>
      </c>
      <c r="L123" s="31">
        <f t="shared" ref="L123:AE123" si="11">SUM(L114:L122)</f>
        <v>3210.4467592248702</v>
      </c>
      <c r="M123" s="31">
        <f t="shared" si="11"/>
        <v>2690.3404093921149</v>
      </c>
      <c r="N123" s="31">
        <f t="shared" si="11"/>
        <v>3047.5360888007312</v>
      </c>
      <c r="O123" s="31">
        <f t="shared" si="11"/>
        <v>3240.6928223889818</v>
      </c>
      <c r="P123" s="31">
        <f t="shared" si="11"/>
        <v>3273.2119677539513</v>
      </c>
      <c r="Q123" s="31">
        <f t="shared" si="11"/>
        <v>3368.2133423743339</v>
      </c>
      <c r="R123" s="31">
        <f t="shared" si="11"/>
        <v>3502.9215016591916</v>
      </c>
      <c r="S123" s="31">
        <f t="shared" si="11"/>
        <v>3633.9883116592127</v>
      </c>
      <c r="T123" s="31">
        <f t="shared" si="11"/>
        <v>3758.7368588981471</v>
      </c>
      <c r="U123" s="31">
        <f t="shared" si="11"/>
        <v>3885.4504831789818</v>
      </c>
      <c r="V123" s="31">
        <f t="shared" si="11"/>
        <v>4007.0693968852165</v>
      </c>
      <c r="W123" s="31">
        <f t="shared" si="11"/>
        <v>4130.9635900529229</v>
      </c>
      <c r="X123" s="31">
        <f t="shared" si="11"/>
        <v>4257.1228099657064</v>
      </c>
      <c r="Y123" s="31">
        <f t="shared" si="11"/>
        <v>4385.5352137797545</v>
      </c>
      <c r="Z123" s="31">
        <f t="shared" si="11"/>
        <v>4516.187332895166</v>
      </c>
      <c r="AA123" s="31">
        <f t="shared" si="11"/>
        <v>4649.0640328646023</v>
      </c>
      <c r="AB123" s="31">
        <f t="shared" si="11"/>
        <v>4784.1484686125259</v>
      </c>
      <c r="AC123" s="31">
        <f t="shared" si="11"/>
        <v>4921.422034746156</v>
      </c>
      <c r="AD123" s="31">
        <f t="shared" si="11"/>
        <v>5060.864310747279</v>
      </c>
      <c r="AE123" s="31">
        <f t="shared" si="11"/>
        <v>5202.4530008412203</v>
      </c>
    </row>
    <row r="125" spans="1:35" x14ac:dyDescent="0.25">
      <c r="A125" s="12"/>
      <c r="B125" s="7" t="s">
        <v>118</v>
      </c>
      <c r="C125" s="8" t="s">
        <v>119</v>
      </c>
      <c r="D125" s="7" t="s">
        <v>48</v>
      </c>
      <c r="E125" s="8" t="s">
        <v>39</v>
      </c>
      <c r="F125" s="8" t="s">
        <v>49</v>
      </c>
      <c r="G125" s="8" t="s">
        <v>50</v>
      </c>
      <c r="H125" s="13" t="s">
        <v>42</v>
      </c>
      <c r="I125" s="7" t="s">
        <v>51</v>
      </c>
      <c r="J125" s="14">
        <v>1</v>
      </c>
      <c r="K125" s="7">
        <v>2021</v>
      </c>
      <c r="L125" s="15">
        <v>2022</v>
      </c>
      <c r="M125" s="7">
        <v>2023</v>
      </c>
      <c r="N125" s="7">
        <v>2024</v>
      </c>
      <c r="O125" s="7">
        <v>2025</v>
      </c>
      <c r="P125" s="7">
        <v>2026</v>
      </c>
      <c r="Q125" s="7">
        <v>2027</v>
      </c>
      <c r="R125" s="7">
        <v>2028</v>
      </c>
      <c r="S125" s="7">
        <v>2029</v>
      </c>
      <c r="T125" s="7">
        <v>2030</v>
      </c>
      <c r="U125" s="7">
        <v>2031</v>
      </c>
      <c r="V125" s="7">
        <v>2032</v>
      </c>
      <c r="W125" s="7">
        <v>2033</v>
      </c>
      <c r="X125" s="7">
        <v>2034</v>
      </c>
      <c r="Y125" s="7">
        <v>2035</v>
      </c>
      <c r="Z125" s="7">
        <v>2036</v>
      </c>
      <c r="AA125" s="7">
        <v>2037</v>
      </c>
      <c r="AB125" s="7">
        <v>2038</v>
      </c>
      <c r="AC125" s="7">
        <v>2039</v>
      </c>
      <c r="AD125" s="7">
        <v>2040</v>
      </c>
      <c r="AE125" s="7">
        <v>2041</v>
      </c>
      <c r="AF125" s="7">
        <v>2042</v>
      </c>
      <c r="AG125" s="7">
        <v>2043</v>
      </c>
      <c r="AH125" s="7">
        <v>2044</v>
      </c>
      <c r="AI125" s="7">
        <v>2045</v>
      </c>
    </row>
    <row r="126" spans="1:35" x14ac:dyDescent="0.25">
      <c r="B126" s="16" t="s">
        <v>52</v>
      </c>
    </row>
    <row r="127" spans="1:35" x14ac:dyDescent="0.25">
      <c r="B127" s="17" t="s">
        <v>53</v>
      </c>
      <c r="C127" s="17" t="str">
        <f t="shared" ref="C127:C135" si="12">$C$125</f>
        <v>nfm</v>
      </c>
      <c r="D127" s="18" t="s">
        <v>54</v>
      </c>
      <c r="E127" s="19" t="s">
        <v>55</v>
      </c>
      <c r="F127" s="17" t="s">
        <v>56</v>
      </c>
      <c r="G127" s="20" t="str">
        <f>Settings!$B$3&amp;".mit.pbc."&amp;Settings!$B$4&amp;"."&amp;$B127&amp;".a."&amp;$J$125</f>
        <v>egy.mit.pbc.ind.coa.a.1</v>
      </c>
      <c r="H127" s="21" t="str">
        <f>OUTCODE(Settings!$B$3,"ptp",$C$125,$B127,$J$125)</f>
        <v>egy.mit.ptp.nfm.coa.e.1</v>
      </c>
      <c r="K127" s="22">
        <f>INDEX(Data_Prices!K:K,MATCH($G127,Data_Prices!$A:$A,0))</f>
        <v>11.18290158924394</v>
      </c>
      <c r="L127" s="22">
        <f>INDEX(Data_Prices!L:L,MATCH($G127,Data_Prices!$A:$A,0))</f>
        <v>10.52336134543121</v>
      </c>
      <c r="M127" s="22">
        <f>INDEX(Data_Prices!M:M,MATCH($G127,Data_Prices!$A:$A,0))</f>
        <v>10.299560827444211</v>
      </c>
      <c r="N127" s="22">
        <f>INDEX(Data_Prices!N:N,MATCH($G127,Data_Prices!$A:$A,0))</f>
        <v>9.5775283595382632</v>
      </c>
      <c r="O127" s="22">
        <f>INDEX(Data_Prices!O:O,MATCH($G127,Data_Prices!$A:$A,0))</f>
        <v>8.4854782869580454</v>
      </c>
      <c r="P127" s="22">
        <f>INDEX(Data_Prices!P:P,MATCH($G127,Data_Prices!$A:$A,0))</f>
        <v>9.0871922352498604</v>
      </c>
      <c r="Q127" s="22">
        <f>INDEX(Data_Prices!Q:Q,MATCH($G127,Data_Prices!$A:$A,0))</f>
        <v>9.2229237289326811</v>
      </c>
      <c r="R127" s="22">
        <f>INDEX(Data_Prices!R:R,MATCH($G127,Data_Prices!$A:$A,0))</f>
        <v>9.1585649555096875</v>
      </c>
      <c r="S127" s="22">
        <f>INDEX(Data_Prices!S:S,MATCH($G127,Data_Prices!$A:$A,0))</f>
        <v>9.0895478773973775</v>
      </c>
      <c r="T127" s="22">
        <f>INDEX(Data_Prices!T:T,MATCH($G127,Data_Prices!$A:$A,0))</f>
        <v>9.0156816660228305</v>
      </c>
      <c r="U127" s="22">
        <f>INDEX(Data_Prices!U:U,MATCH($G127,Data_Prices!$A:$A,0))</f>
        <v>8.9443977655571061</v>
      </c>
      <c r="V127" s="22">
        <f>INDEX(Data_Prices!V:V,MATCH($G127,Data_Prices!$A:$A,0))</f>
        <v>8.9443977655571061</v>
      </c>
      <c r="W127" s="22">
        <f>INDEX(Data_Prices!W:W,MATCH($G127,Data_Prices!$A:$A,0))</f>
        <v>8.9443977655571061</v>
      </c>
      <c r="X127" s="22">
        <f>INDEX(Data_Prices!X:X,MATCH($G127,Data_Prices!$A:$A,0))</f>
        <v>8.9443977655571061</v>
      </c>
      <c r="Y127" s="22">
        <f>INDEX(Data_Prices!Y:Y,MATCH($G127,Data_Prices!$A:$A,0))</f>
        <v>8.9443977655571061</v>
      </c>
      <c r="Z127" s="22">
        <f>INDEX(Data_Prices!Z:Z,MATCH($G127,Data_Prices!$A:$A,0))</f>
        <v>8.9443977655571061</v>
      </c>
      <c r="AA127" s="22">
        <f>INDEX(Data_Prices!AA:AA,MATCH($G127,Data_Prices!$A:$A,0))</f>
        <v>8.9443977655571061</v>
      </c>
      <c r="AB127" s="22">
        <f>INDEX(Data_Prices!AB:AB,MATCH($G127,Data_Prices!$A:$A,0))</f>
        <v>8.9443977655571061</v>
      </c>
      <c r="AC127" s="22">
        <f>INDEX(Data_Prices!AC:AC,MATCH($G127,Data_Prices!$A:$A,0))</f>
        <v>8.9443977655571061</v>
      </c>
      <c r="AD127" s="22">
        <f>INDEX(Data_Prices!AD:AD,MATCH($G127,Data_Prices!$A:$A,0))</f>
        <v>8.9443977655571061</v>
      </c>
      <c r="AE127" s="22">
        <f>INDEX(Data_Prices!AE:AE,MATCH($G127,Data_Prices!$A:$A,0))</f>
        <v>8.9443977655571061</v>
      </c>
    </row>
    <row r="128" spans="1:35" x14ac:dyDescent="0.25">
      <c r="B128" s="17" t="s">
        <v>57</v>
      </c>
      <c r="C128" s="17" t="str">
        <f t="shared" si="12"/>
        <v>nfm</v>
      </c>
      <c r="D128" s="18" t="s">
        <v>58</v>
      </c>
      <c r="E128" s="19" t="s">
        <v>55</v>
      </c>
      <c r="F128" s="17" t="s">
        <v>56</v>
      </c>
      <c r="G128" s="20" t="str">
        <f>Settings!$B$3&amp;".mit.pbc."&amp;Settings!$B$4&amp;"."&amp;$B128&amp;".a."&amp;$J$125</f>
        <v>egy.mit.pbc.ind.nga.a.1</v>
      </c>
      <c r="H128" s="21" t="str">
        <f>OUTCODE(Settings!$B$3,"ptp",$C$125,$B128,$J$125)</f>
        <v>egy.mit.ptp.nfm.nga.e.1</v>
      </c>
      <c r="K128" s="22">
        <f>INDEX(Data_Prices!K:K,MATCH($G128,Data_Prices!$A:$A,0))</f>
        <v>6.0634636156729131</v>
      </c>
      <c r="L128" s="22">
        <f>INDEX(Data_Prices!L:L,MATCH($G128,Data_Prices!$A:$A,0))</f>
        <v>5.4510150816191896</v>
      </c>
      <c r="M128" s="22">
        <f>INDEX(Data_Prices!M:M,MATCH($G128,Data_Prices!$A:$A,0))</f>
        <v>5.1193563062624818</v>
      </c>
      <c r="N128" s="22">
        <f>INDEX(Data_Prices!N:N,MATCH($G128,Data_Prices!$A:$A,0))</f>
        <v>5.0821845864040727</v>
      </c>
      <c r="O128" s="22">
        <f>INDEX(Data_Prices!O:O,MATCH($G128,Data_Prices!$A:$A,0))</f>
        <v>5.0821845864040727</v>
      </c>
      <c r="P128" s="22">
        <f>INDEX(Data_Prices!P:P,MATCH($G128,Data_Prices!$A:$A,0))</f>
        <v>5.0821845864040727</v>
      </c>
      <c r="Q128" s="22">
        <f>INDEX(Data_Prices!Q:Q,MATCH($G128,Data_Prices!$A:$A,0))</f>
        <v>5.0821845864040727</v>
      </c>
      <c r="R128" s="22">
        <f>INDEX(Data_Prices!R:R,MATCH($G128,Data_Prices!$A:$A,0))</f>
        <v>5.0821845864040727</v>
      </c>
      <c r="S128" s="22">
        <f>INDEX(Data_Prices!S:S,MATCH($G128,Data_Prices!$A:$A,0))</f>
        <v>5.0821845864040727</v>
      </c>
      <c r="T128" s="22">
        <f>INDEX(Data_Prices!T:T,MATCH($G128,Data_Prices!$A:$A,0))</f>
        <v>5.0821845864040727</v>
      </c>
      <c r="U128" s="22">
        <f>INDEX(Data_Prices!U:U,MATCH($G128,Data_Prices!$A:$A,0))</f>
        <v>5.0821845864040727</v>
      </c>
      <c r="V128" s="22">
        <f>INDEX(Data_Prices!V:V,MATCH($G128,Data_Prices!$A:$A,0))</f>
        <v>5.0821845864040727</v>
      </c>
      <c r="W128" s="22">
        <f>INDEX(Data_Prices!W:W,MATCH($G128,Data_Prices!$A:$A,0))</f>
        <v>5.0821845864040727</v>
      </c>
      <c r="X128" s="22">
        <f>INDEX(Data_Prices!X:X,MATCH($G128,Data_Prices!$A:$A,0))</f>
        <v>5.0821845864040727</v>
      </c>
      <c r="Y128" s="22">
        <f>INDEX(Data_Prices!Y:Y,MATCH($G128,Data_Prices!$A:$A,0))</f>
        <v>5.0821845864040727</v>
      </c>
      <c r="Z128" s="22">
        <f>INDEX(Data_Prices!Z:Z,MATCH($G128,Data_Prices!$A:$A,0))</f>
        <v>5.0821845864040727</v>
      </c>
      <c r="AA128" s="22">
        <f>INDEX(Data_Prices!AA:AA,MATCH($G128,Data_Prices!$A:$A,0))</f>
        <v>5.0821845864040727</v>
      </c>
      <c r="AB128" s="22">
        <f>INDEX(Data_Prices!AB:AB,MATCH($G128,Data_Prices!$A:$A,0))</f>
        <v>5.0821845864040727</v>
      </c>
      <c r="AC128" s="22">
        <f>INDEX(Data_Prices!AC:AC,MATCH($G128,Data_Prices!$A:$A,0))</f>
        <v>5.0821845864040727</v>
      </c>
      <c r="AD128" s="22">
        <f>INDEX(Data_Prices!AD:AD,MATCH($G128,Data_Prices!$A:$A,0))</f>
        <v>5.0821845864040727</v>
      </c>
      <c r="AE128" s="22">
        <f>INDEX(Data_Prices!AE:AE,MATCH($G128,Data_Prices!$A:$A,0))</f>
        <v>5.0821845864040727</v>
      </c>
    </row>
    <row r="129" spans="2:31" x14ac:dyDescent="0.25">
      <c r="B129" s="17" t="s">
        <v>59</v>
      </c>
      <c r="C129" s="17" t="str">
        <f t="shared" si="12"/>
        <v>nfm</v>
      </c>
      <c r="D129" s="18" t="s">
        <v>60</v>
      </c>
      <c r="E129" s="19" t="s">
        <v>61</v>
      </c>
      <c r="F129" s="17" t="s">
        <v>56</v>
      </c>
      <c r="G129" s="20" t="str">
        <f>Settings!$B$3&amp;".mit.pbc."&amp;Settings!$B$4&amp;"."&amp;$B129&amp;".a."&amp;$J$125</f>
        <v>egy.mit.pbc.ind.gso.a.1</v>
      </c>
      <c r="H129" s="21" t="str">
        <f>OUTCODE(Settings!$B$3,"ptp",$C$125,$B129,$J$125)</f>
        <v>egy.mit.ptp.nfm.gso.e.1</v>
      </c>
      <c r="K129" s="22">
        <f>INDEX(Data_Prices!K:K,MATCH($G129,Data_Prices!$A:$A,0))</f>
        <v>0.67114653332181606</v>
      </c>
      <c r="L129" s="22">
        <f>INDEX(Data_Prices!L:L,MATCH($G129,Data_Prices!$A:$A,0))</f>
        <v>0.61197797679140631</v>
      </c>
      <c r="M129" s="22">
        <f>INDEX(Data_Prices!M:M,MATCH($G129,Data_Prices!$A:$A,0))</f>
        <v>0.61180974964187596</v>
      </c>
      <c r="N129" s="22">
        <f>INDEX(Data_Prices!N:N,MATCH($G129,Data_Prices!$A:$A,0))</f>
        <v>0.60358310017790551</v>
      </c>
      <c r="O129" s="22">
        <f>INDEX(Data_Prices!O:O,MATCH($G129,Data_Prices!$A:$A,0))</f>
        <v>0.60358310017790551</v>
      </c>
      <c r="P129" s="22">
        <f>INDEX(Data_Prices!P:P,MATCH($G129,Data_Prices!$A:$A,0))</f>
        <v>0.60358310017790551</v>
      </c>
      <c r="Q129" s="22">
        <f>INDEX(Data_Prices!Q:Q,MATCH($G129,Data_Prices!$A:$A,0))</f>
        <v>0.60358310017790551</v>
      </c>
      <c r="R129" s="22">
        <f>INDEX(Data_Prices!R:R,MATCH($G129,Data_Prices!$A:$A,0))</f>
        <v>0.60358310017790551</v>
      </c>
      <c r="S129" s="22">
        <f>INDEX(Data_Prices!S:S,MATCH($G129,Data_Prices!$A:$A,0))</f>
        <v>0.60358310017790551</v>
      </c>
      <c r="T129" s="22">
        <f>INDEX(Data_Prices!T:T,MATCH($G129,Data_Prices!$A:$A,0))</f>
        <v>0.60358310017790551</v>
      </c>
      <c r="U129" s="22">
        <f>INDEX(Data_Prices!U:U,MATCH($G129,Data_Prices!$A:$A,0))</f>
        <v>0.60358310017790551</v>
      </c>
      <c r="V129" s="22">
        <f>INDEX(Data_Prices!V:V,MATCH($G129,Data_Prices!$A:$A,0))</f>
        <v>0.60358310017790551</v>
      </c>
      <c r="W129" s="22">
        <f>INDEX(Data_Prices!W:W,MATCH($G129,Data_Prices!$A:$A,0))</f>
        <v>0.60358310017790551</v>
      </c>
      <c r="X129" s="22">
        <f>INDEX(Data_Prices!X:X,MATCH($G129,Data_Prices!$A:$A,0))</f>
        <v>0.60358310017790551</v>
      </c>
      <c r="Y129" s="22">
        <f>INDEX(Data_Prices!Y:Y,MATCH($G129,Data_Prices!$A:$A,0))</f>
        <v>0.60358310017790551</v>
      </c>
      <c r="Z129" s="22">
        <f>INDEX(Data_Prices!Z:Z,MATCH($G129,Data_Prices!$A:$A,0))</f>
        <v>0.60358310017790551</v>
      </c>
      <c r="AA129" s="22">
        <f>INDEX(Data_Prices!AA:AA,MATCH($G129,Data_Prices!$A:$A,0))</f>
        <v>0.60358310017790551</v>
      </c>
      <c r="AB129" s="22">
        <f>INDEX(Data_Prices!AB:AB,MATCH($G129,Data_Prices!$A:$A,0))</f>
        <v>0.60358310017790551</v>
      </c>
      <c r="AC129" s="22">
        <f>INDEX(Data_Prices!AC:AC,MATCH($G129,Data_Prices!$A:$A,0))</f>
        <v>0.60358310017790551</v>
      </c>
      <c r="AD129" s="22">
        <f>INDEX(Data_Prices!AD:AD,MATCH($G129,Data_Prices!$A:$A,0))</f>
        <v>0.60358310017790551</v>
      </c>
      <c r="AE129" s="22">
        <f>INDEX(Data_Prices!AE:AE,MATCH($G129,Data_Prices!$A:$A,0))</f>
        <v>0.60358310017790551</v>
      </c>
    </row>
    <row r="130" spans="2:31" x14ac:dyDescent="0.25">
      <c r="B130" s="17" t="s">
        <v>62</v>
      </c>
      <c r="C130" s="17" t="str">
        <f t="shared" si="12"/>
        <v>nfm</v>
      </c>
      <c r="D130" s="18" t="s">
        <v>63</v>
      </c>
      <c r="E130" s="19" t="s">
        <v>61</v>
      </c>
      <c r="F130" s="17" t="s">
        <v>56</v>
      </c>
      <c r="G130" s="20" t="str">
        <f>Settings!$B$3&amp;".mit.pbc."&amp;Settings!$B$4&amp;"."&amp;$B130&amp;".a."&amp;$J$125</f>
        <v>egy.mit.pbc.ind.die.a.1</v>
      </c>
      <c r="H130" s="21" t="str">
        <f>OUTCODE(Settings!$B$3,"ptp",$C$125,$B130,$J$125)</f>
        <v>egy.mit.ptp.nfm.die.e.1</v>
      </c>
      <c r="K130" s="22">
        <f>INDEX(Data_Prices!K:K,MATCH($G130,Data_Prices!$A:$A,0))</f>
        <v>0.55971121315568761</v>
      </c>
      <c r="L130" s="22">
        <f>INDEX(Data_Prices!L:L,MATCH($G130,Data_Prices!$A:$A,0))</f>
        <v>0.49458873084106802</v>
      </c>
      <c r="M130" s="22">
        <f>INDEX(Data_Prices!M:M,MATCH($G130,Data_Prices!$A:$A,0))</f>
        <v>0.50778654720250049</v>
      </c>
      <c r="N130" s="22">
        <f>INDEX(Data_Prices!N:N,MATCH($G130,Data_Prices!$A:$A,0))</f>
        <v>0.47043642679561742</v>
      </c>
      <c r="O130" s="22">
        <f>INDEX(Data_Prices!O:O,MATCH($G130,Data_Prices!$A:$A,0))</f>
        <v>0.47043642679561742</v>
      </c>
      <c r="P130" s="22">
        <f>INDEX(Data_Prices!P:P,MATCH($G130,Data_Prices!$A:$A,0))</f>
        <v>0.47043642679561742</v>
      </c>
      <c r="Q130" s="22">
        <f>INDEX(Data_Prices!Q:Q,MATCH($G130,Data_Prices!$A:$A,0))</f>
        <v>0.47043642679561742</v>
      </c>
      <c r="R130" s="22">
        <f>INDEX(Data_Prices!R:R,MATCH($G130,Data_Prices!$A:$A,0))</f>
        <v>0.47043642679561742</v>
      </c>
      <c r="S130" s="22">
        <f>INDEX(Data_Prices!S:S,MATCH($G130,Data_Prices!$A:$A,0))</f>
        <v>0.47043642679561742</v>
      </c>
      <c r="T130" s="22">
        <f>INDEX(Data_Prices!T:T,MATCH($G130,Data_Prices!$A:$A,0))</f>
        <v>0.47043642679561742</v>
      </c>
      <c r="U130" s="22">
        <f>INDEX(Data_Prices!U:U,MATCH($G130,Data_Prices!$A:$A,0))</f>
        <v>0.47043642679561742</v>
      </c>
      <c r="V130" s="22">
        <f>INDEX(Data_Prices!V:V,MATCH($G130,Data_Prices!$A:$A,0))</f>
        <v>0.47043642679561742</v>
      </c>
      <c r="W130" s="22">
        <f>INDEX(Data_Prices!W:W,MATCH($G130,Data_Prices!$A:$A,0))</f>
        <v>0.47043642679561742</v>
      </c>
      <c r="X130" s="22">
        <f>INDEX(Data_Prices!X:X,MATCH($G130,Data_Prices!$A:$A,0))</f>
        <v>0.47043642679561742</v>
      </c>
      <c r="Y130" s="22">
        <f>INDEX(Data_Prices!Y:Y,MATCH($G130,Data_Prices!$A:$A,0))</f>
        <v>0.47043642679561742</v>
      </c>
      <c r="Z130" s="22">
        <f>INDEX(Data_Prices!Z:Z,MATCH($G130,Data_Prices!$A:$A,0))</f>
        <v>0.47043642679561742</v>
      </c>
      <c r="AA130" s="22">
        <f>INDEX(Data_Prices!AA:AA,MATCH($G130,Data_Prices!$A:$A,0))</f>
        <v>0.47043642679561742</v>
      </c>
      <c r="AB130" s="22">
        <f>INDEX(Data_Prices!AB:AB,MATCH($G130,Data_Prices!$A:$A,0))</f>
        <v>0.47043642679561742</v>
      </c>
      <c r="AC130" s="22">
        <f>INDEX(Data_Prices!AC:AC,MATCH($G130,Data_Prices!$A:$A,0))</f>
        <v>0.47043642679561742</v>
      </c>
      <c r="AD130" s="22">
        <f>INDEX(Data_Prices!AD:AD,MATCH($G130,Data_Prices!$A:$A,0))</f>
        <v>0.47043642679561742</v>
      </c>
      <c r="AE130" s="22">
        <f>INDEX(Data_Prices!AE:AE,MATCH($G130,Data_Prices!$A:$A,0))</f>
        <v>0.47043642679561742</v>
      </c>
    </row>
    <row r="131" spans="2:31" x14ac:dyDescent="0.25">
      <c r="B131" s="17" t="s">
        <v>64</v>
      </c>
      <c r="C131" s="17" t="str">
        <f t="shared" si="12"/>
        <v>nfm</v>
      </c>
      <c r="D131" s="18" t="s">
        <v>65</v>
      </c>
      <c r="E131" s="19" t="s">
        <v>61</v>
      </c>
      <c r="F131" s="17" t="s">
        <v>56</v>
      </c>
      <c r="G131" s="20" t="str">
        <f>Settings!$B$3&amp;".mit.pbc."&amp;Settings!$B$4&amp;"."&amp;$B131&amp;".a."&amp;$J$125</f>
        <v>egy.mit.pbc.ind.lpg.a.1</v>
      </c>
      <c r="H131" s="21" t="str">
        <f>OUTCODE(Settings!$B$3,"ptp",$C$125,$B131,$J$125)</f>
        <v>egy.mit.ptp.nfm.lpg.e.1</v>
      </c>
      <c r="K131" s="22">
        <f>INDEX(Data_Prices!K:K,MATCH($G131,Data_Prices!$A:$A,0))</f>
        <v>0.20036669112673841</v>
      </c>
      <c r="L131" s="22">
        <f>INDEX(Data_Prices!L:L,MATCH($G131,Data_Prices!$A:$A,0))</f>
        <v>0.1573447362522738</v>
      </c>
      <c r="M131" s="22">
        <f>INDEX(Data_Prices!M:M,MATCH($G131,Data_Prices!$A:$A,0))</f>
        <v>0.1644840377592767</v>
      </c>
      <c r="N131" s="22">
        <f>INDEX(Data_Prices!N:N,MATCH($G131,Data_Prices!$A:$A,0))</f>
        <v>0.1507090778070489</v>
      </c>
      <c r="O131" s="22">
        <f>INDEX(Data_Prices!O:O,MATCH($G131,Data_Prices!$A:$A,0))</f>
        <v>0.1507090778070489</v>
      </c>
      <c r="P131" s="22">
        <f>INDEX(Data_Prices!P:P,MATCH($G131,Data_Prices!$A:$A,0))</f>
        <v>0.1507090778070489</v>
      </c>
      <c r="Q131" s="22">
        <f>INDEX(Data_Prices!Q:Q,MATCH($G131,Data_Prices!$A:$A,0))</f>
        <v>0.1507090778070489</v>
      </c>
      <c r="R131" s="22">
        <f>INDEX(Data_Prices!R:R,MATCH($G131,Data_Prices!$A:$A,0))</f>
        <v>0.1507090778070489</v>
      </c>
      <c r="S131" s="22">
        <f>INDEX(Data_Prices!S:S,MATCH($G131,Data_Prices!$A:$A,0))</f>
        <v>0.1507090778070489</v>
      </c>
      <c r="T131" s="22">
        <f>INDEX(Data_Prices!T:T,MATCH($G131,Data_Prices!$A:$A,0))</f>
        <v>0.1507090778070489</v>
      </c>
      <c r="U131" s="22">
        <f>INDEX(Data_Prices!U:U,MATCH($G131,Data_Prices!$A:$A,0))</f>
        <v>0.1507090778070489</v>
      </c>
      <c r="V131" s="22">
        <f>INDEX(Data_Prices!V:V,MATCH($G131,Data_Prices!$A:$A,0))</f>
        <v>0.1507090778070489</v>
      </c>
      <c r="W131" s="22">
        <f>INDEX(Data_Prices!W:W,MATCH($G131,Data_Prices!$A:$A,0))</f>
        <v>0.1507090778070489</v>
      </c>
      <c r="X131" s="22">
        <f>INDEX(Data_Prices!X:X,MATCH($G131,Data_Prices!$A:$A,0))</f>
        <v>0.1507090778070489</v>
      </c>
      <c r="Y131" s="22">
        <f>INDEX(Data_Prices!Y:Y,MATCH($G131,Data_Prices!$A:$A,0))</f>
        <v>0.1507090778070489</v>
      </c>
      <c r="Z131" s="22">
        <f>INDEX(Data_Prices!Z:Z,MATCH($G131,Data_Prices!$A:$A,0))</f>
        <v>0.1507090778070489</v>
      </c>
      <c r="AA131" s="22">
        <f>INDEX(Data_Prices!AA:AA,MATCH($G131,Data_Prices!$A:$A,0))</f>
        <v>0.1507090778070489</v>
      </c>
      <c r="AB131" s="22">
        <f>INDEX(Data_Prices!AB:AB,MATCH($G131,Data_Prices!$A:$A,0))</f>
        <v>0.1507090778070489</v>
      </c>
      <c r="AC131" s="22">
        <f>INDEX(Data_Prices!AC:AC,MATCH($G131,Data_Prices!$A:$A,0))</f>
        <v>0.1507090778070489</v>
      </c>
      <c r="AD131" s="22">
        <f>INDEX(Data_Prices!AD:AD,MATCH($G131,Data_Prices!$A:$A,0))</f>
        <v>0.1507090778070489</v>
      </c>
      <c r="AE131" s="22">
        <f>INDEX(Data_Prices!AE:AE,MATCH($G131,Data_Prices!$A:$A,0))</f>
        <v>0.1507090778070489</v>
      </c>
    </row>
    <row r="132" spans="2:31" x14ac:dyDescent="0.25">
      <c r="B132" s="17" t="s">
        <v>66</v>
      </c>
      <c r="C132" s="17" t="str">
        <f t="shared" si="12"/>
        <v>nfm</v>
      </c>
      <c r="D132" s="18" t="s">
        <v>67</v>
      </c>
      <c r="E132" s="19" t="s">
        <v>61</v>
      </c>
      <c r="F132" s="17" t="s">
        <v>56</v>
      </c>
      <c r="G132" s="20" t="str">
        <f>Settings!$B$3&amp;".mit.pbc."&amp;Settings!$B$4&amp;"."&amp;$B132&amp;".a."&amp;$J$125</f>
        <v>egy.mit.pbc.ind.ker.a.1</v>
      </c>
      <c r="H132" s="21" t="str">
        <f>OUTCODE(Settings!$B$3,"ptp",$C$125,$B132,$J$125)</f>
        <v>egy.mit.ptp.nfm.ker.e.1</v>
      </c>
      <c r="K132" s="22">
        <f>INDEX(Data_Prices!K:K,MATCH($G132,Data_Prices!$A:$A,0))</f>
        <v>0.48429424097343482</v>
      </c>
      <c r="L132" s="22">
        <f>INDEX(Data_Prices!L:L,MATCH($G132,Data_Prices!$A:$A,0))</f>
        <v>0.45642817050012813</v>
      </c>
      <c r="M132" s="22">
        <f>INDEX(Data_Prices!M:M,MATCH($G132,Data_Prices!$A:$A,0))</f>
        <v>0.43168920195599519</v>
      </c>
      <c r="N132" s="22">
        <f>INDEX(Data_Prices!N:N,MATCH($G132,Data_Prices!$A:$A,0))</f>
        <v>0.42507558395596989</v>
      </c>
      <c r="O132" s="22">
        <f>INDEX(Data_Prices!O:O,MATCH($G132,Data_Prices!$A:$A,0))</f>
        <v>0.42507558395596989</v>
      </c>
      <c r="P132" s="22">
        <f>INDEX(Data_Prices!P:P,MATCH($G132,Data_Prices!$A:$A,0))</f>
        <v>0.42507558395596989</v>
      </c>
      <c r="Q132" s="22">
        <f>INDEX(Data_Prices!Q:Q,MATCH($G132,Data_Prices!$A:$A,0))</f>
        <v>0.42507558395596989</v>
      </c>
      <c r="R132" s="22">
        <f>INDEX(Data_Prices!R:R,MATCH($G132,Data_Prices!$A:$A,0))</f>
        <v>0.42507558395596989</v>
      </c>
      <c r="S132" s="22">
        <f>INDEX(Data_Prices!S:S,MATCH($G132,Data_Prices!$A:$A,0))</f>
        <v>0.42507558395596989</v>
      </c>
      <c r="T132" s="22">
        <f>INDEX(Data_Prices!T:T,MATCH($G132,Data_Prices!$A:$A,0))</f>
        <v>0.42507558395596989</v>
      </c>
      <c r="U132" s="22">
        <f>INDEX(Data_Prices!U:U,MATCH($G132,Data_Prices!$A:$A,0))</f>
        <v>0.42507558395596989</v>
      </c>
      <c r="V132" s="22">
        <f>INDEX(Data_Prices!V:V,MATCH($G132,Data_Prices!$A:$A,0))</f>
        <v>0.42507558395596989</v>
      </c>
      <c r="W132" s="22">
        <f>INDEX(Data_Prices!W:W,MATCH($G132,Data_Prices!$A:$A,0))</f>
        <v>0.42507558395596989</v>
      </c>
      <c r="X132" s="22">
        <f>INDEX(Data_Prices!X:X,MATCH($G132,Data_Prices!$A:$A,0))</f>
        <v>0.42507558395596989</v>
      </c>
      <c r="Y132" s="22">
        <f>INDEX(Data_Prices!Y:Y,MATCH($G132,Data_Prices!$A:$A,0))</f>
        <v>0.42507558395596989</v>
      </c>
      <c r="Z132" s="22">
        <f>INDEX(Data_Prices!Z:Z,MATCH($G132,Data_Prices!$A:$A,0))</f>
        <v>0.42507558395596989</v>
      </c>
      <c r="AA132" s="22">
        <f>INDEX(Data_Prices!AA:AA,MATCH($G132,Data_Prices!$A:$A,0))</f>
        <v>0.42507558395596989</v>
      </c>
      <c r="AB132" s="22">
        <f>INDEX(Data_Prices!AB:AB,MATCH($G132,Data_Prices!$A:$A,0))</f>
        <v>0.42507558395596989</v>
      </c>
      <c r="AC132" s="22">
        <f>INDEX(Data_Prices!AC:AC,MATCH($G132,Data_Prices!$A:$A,0))</f>
        <v>0.42507558395596989</v>
      </c>
      <c r="AD132" s="22">
        <f>INDEX(Data_Prices!AD:AD,MATCH($G132,Data_Prices!$A:$A,0))</f>
        <v>0.42507558395596989</v>
      </c>
      <c r="AE132" s="22">
        <f>INDEX(Data_Prices!AE:AE,MATCH($G132,Data_Prices!$A:$A,0))</f>
        <v>0.42507558395596989</v>
      </c>
    </row>
    <row r="133" spans="2:31" x14ac:dyDescent="0.25">
      <c r="B133" s="17" t="s">
        <v>68</v>
      </c>
      <c r="C133" s="17" t="str">
        <f t="shared" si="12"/>
        <v>nfm</v>
      </c>
      <c r="D133" s="18" t="s">
        <v>69</v>
      </c>
      <c r="E133" s="19" t="s">
        <v>70</v>
      </c>
      <c r="F133" s="17" t="s">
        <v>56</v>
      </c>
      <c r="G133" s="20" t="str">
        <f>Settings!$B$3&amp;".mit.pbc."&amp;Settings!$B$4&amp;"."&amp;$B133&amp;".a."&amp;$J$125</f>
        <v>egy.mit.pbc.ind.oop.a.1</v>
      </c>
      <c r="H133" s="21" t="str">
        <f>OUTCODE(Settings!$B$3,"ptp",$C$125,$B133,$J$125)</f>
        <v>egy.mit.ptp.nfm.oop.e.1</v>
      </c>
      <c r="K133" s="22">
        <f>INDEX(Data_Prices!K:K,MATCH($G133,Data_Prices!$A:$A,0))</f>
        <v>41.50033849886843</v>
      </c>
      <c r="L133" s="22">
        <f>INDEX(Data_Prices!L:L,MATCH($G133,Data_Prices!$A:$A,0))</f>
        <v>34.415370304313228</v>
      </c>
      <c r="M133" s="22">
        <f>INDEX(Data_Prices!M:M,MATCH($G133,Data_Prices!$A:$A,0))</f>
        <v>37.368960690432033</v>
      </c>
      <c r="N133" s="22">
        <f>INDEX(Data_Prices!N:N,MATCH($G133,Data_Prices!$A:$A,0))</f>
        <v>28.982761101477251</v>
      </c>
      <c r="O133" s="22">
        <f>INDEX(Data_Prices!O:O,MATCH($G133,Data_Prices!$A:$A,0))</f>
        <v>15</v>
      </c>
      <c r="P133" s="22">
        <f>INDEX(Data_Prices!P:P,MATCH($G133,Data_Prices!$A:$A,0))</f>
        <v>24.2586300842555</v>
      </c>
      <c r="Q133" s="22">
        <f>INDEX(Data_Prices!Q:Q,MATCH($G133,Data_Prices!$A:$A,0))</f>
        <v>15</v>
      </c>
      <c r="R133" s="22">
        <f>INDEX(Data_Prices!R:R,MATCH($G133,Data_Prices!$A:$A,0))</f>
        <v>15</v>
      </c>
      <c r="S133" s="22">
        <f>INDEX(Data_Prices!S:S,MATCH($G133,Data_Prices!$A:$A,0))</f>
        <v>15</v>
      </c>
      <c r="T133" s="22">
        <f>INDEX(Data_Prices!T:T,MATCH($G133,Data_Prices!$A:$A,0))</f>
        <v>15</v>
      </c>
      <c r="U133" s="22">
        <f>INDEX(Data_Prices!U:U,MATCH($G133,Data_Prices!$A:$A,0))</f>
        <v>15</v>
      </c>
      <c r="V133" s="22">
        <f>INDEX(Data_Prices!V:V,MATCH($G133,Data_Prices!$A:$A,0))</f>
        <v>15</v>
      </c>
      <c r="W133" s="22">
        <f>INDEX(Data_Prices!W:W,MATCH($G133,Data_Prices!$A:$A,0))</f>
        <v>15</v>
      </c>
      <c r="X133" s="22">
        <f>INDEX(Data_Prices!X:X,MATCH($G133,Data_Prices!$A:$A,0))</f>
        <v>15</v>
      </c>
      <c r="Y133" s="22">
        <f>INDEX(Data_Prices!Y:Y,MATCH($G133,Data_Prices!$A:$A,0))</f>
        <v>15</v>
      </c>
      <c r="Z133" s="22">
        <f>INDEX(Data_Prices!Z:Z,MATCH($G133,Data_Prices!$A:$A,0))</f>
        <v>15</v>
      </c>
      <c r="AA133" s="22">
        <f>INDEX(Data_Prices!AA:AA,MATCH($G133,Data_Prices!$A:$A,0))</f>
        <v>15</v>
      </c>
      <c r="AB133" s="22">
        <f>INDEX(Data_Prices!AB:AB,MATCH($G133,Data_Prices!$A:$A,0))</f>
        <v>15</v>
      </c>
      <c r="AC133" s="22">
        <f>INDEX(Data_Prices!AC:AC,MATCH($G133,Data_Prices!$A:$A,0))</f>
        <v>15</v>
      </c>
      <c r="AD133" s="22">
        <f>INDEX(Data_Prices!AD:AD,MATCH($G133,Data_Prices!$A:$A,0))</f>
        <v>15</v>
      </c>
      <c r="AE133" s="22">
        <f>INDEX(Data_Prices!AE:AE,MATCH($G133,Data_Prices!$A:$A,0))</f>
        <v>15</v>
      </c>
    </row>
    <row r="134" spans="2:31" x14ac:dyDescent="0.25">
      <c r="B134" s="17" t="s">
        <v>71</v>
      </c>
      <c r="C134" s="17" t="str">
        <f t="shared" si="12"/>
        <v>nfm</v>
      </c>
      <c r="D134" s="18" t="s">
        <v>72</v>
      </c>
      <c r="E134" s="19" t="s">
        <v>55</v>
      </c>
      <c r="F134" s="17" t="s">
        <v>56</v>
      </c>
      <c r="G134" s="20" t="str">
        <f>Settings!$B$3&amp;".mit.pbc."&amp;Settings!$B$4&amp;"."&amp;$B134&amp;".a."&amp;$J$125</f>
        <v>egy.mit.pbc.ind.bio.a.1</v>
      </c>
      <c r="H134" s="21" t="str">
        <f>OUTCODE(Settings!$B$3,"ptp",$C$125,$B134,$J$125)</f>
        <v>egy.mit.ptp.nfm.bio.e.1</v>
      </c>
      <c r="K134" s="22">
        <f>INDEX(Data_Prices!K:K,MATCH($G134,Data_Prices!$A:$A,0))</f>
        <v>15.33455052931693</v>
      </c>
      <c r="L134" s="22">
        <f>INDEX(Data_Prices!L:L,MATCH($G134,Data_Prices!$A:$A,0))</f>
        <v>14.199528390634921</v>
      </c>
      <c r="M134" s="22">
        <f>INDEX(Data_Prices!M:M,MATCH($G134,Data_Prices!$A:$A,0))</f>
        <v>13.840441613315161</v>
      </c>
      <c r="N134" s="22">
        <f>INDEX(Data_Prices!N:N,MATCH($G134,Data_Prices!$A:$A,0))</f>
        <v>13.5677269404465</v>
      </c>
      <c r="O134" s="22">
        <f>INDEX(Data_Prices!O:O,MATCH($G134,Data_Prices!$A:$A,0))</f>
        <v>13.5677269404465</v>
      </c>
      <c r="P134" s="22">
        <f>INDEX(Data_Prices!P:P,MATCH($G134,Data_Prices!$A:$A,0))</f>
        <v>13.5677269404465</v>
      </c>
      <c r="Q134" s="22">
        <f>INDEX(Data_Prices!Q:Q,MATCH($G134,Data_Prices!$A:$A,0))</f>
        <v>13.5677269404465</v>
      </c>
      <c r="R134" s="22">
        <f>INDEX(Data_Prices!R:R,MATCH($G134,Data_Prices!$A:$A,0))</f>
        <v>13.5677269404465</v>
      </c>
      <c r="S134" s="22">
        <f>INDEX(Data_Prices!S:S,MATCH($G134,Data_Prices!$A:$A,0))</f>
        <v>13.5677269404465</v>
      </c>
      <c r="T134" s="22">
        <f>INDEX(Data_Prices!T:T,MATCH($G134,Data_Prices!$A:$A,0))</f>
        <v>13.5677269404465</v>
      </c>
      <c r="U134" s="22">
        <f>INDEX(Data_Prices!U:U,MATCH($G134,Data_Prices!$A:$A,0))</f>
        <v>13.5677269404465</v>
      </c>
      <c r="V134" s="22">
        <f>INDEX(Data_Prices!V:V,MATCH($G134,Data_Prices!$A:$A,0))</f>
        <v>13.5677269404465</v>
      </c>
      <c r="W134" s="22">
        <f>INDEX(Data_Prices!W:W,MATCH($G134,Data_Prices!$A:$A,0))</f>
        <v>13.5677269404465</v>
      </c>
      <c r="X134" s="22">
        <f>INDEX(Data_Prices!X:X,MATCH($G134,Data_Prices!$A:$A,0))</f>
        <v>13.5677269404465</v>
      </c>
      <c r="Y134" s="22">
        <f>INDEX(Data_Prices!Y:Y,MATCH($G134,Data_Prices!$A:$A,0))</f>
        <v>13.5677269404465</v>
      </c>
      <c r="Z134" s="22">
        <f>INDEX(Data_Prices!Z:Z,MATCH($G134,Data_Prices!$A:$A,0))</f>
        <v>13.5677269404465</v>
      </c>
      <c r="AA134" s="22">
        <f>INDEX(Data_Prices!AA:AA,MATCH($G134,Data_Prices!$A:$A,0))</f>
        <v>13.5677269404465</v>
      </c>
      <c r="AB134" s="22">
        <f>INDEX(Data_Prices!AB:AB,MATCH($G134,Data_Prices!$A:$A,0))</f>
        <v>13.5677269404465</v>
      </c>
      <c r="AC134" s="22">
        <f>INDEX(Data_Prices!AC:AC,MATCH($G134,Data_Prices!$A:$A,0))</f>
        <v>13.5677269404465</v>
      </c>
      <c r="AD134" s="22">
        <f>INDEX(Data_Prices!AD:AD,MATCH($G134,Data_Prices!$A:$A,0))</f>
        <v>13.5677269404465</v>
      </c>
      <c r="AE134" s="22">
        <f>INDEX(Data_Prices!AE:AE,MATCH($G134,Data_Prices!$A:$A,0))</f>
        <v>13.5677269404465</v>
      </c>
    </row>
    <row r="135" spans="2:31" x14ac:dyDescent="0.25">
      <c r="B135" s="17" t="s">
        <v>73</v>
      </c>
      <c r="C135" s="17" t="str">
        <f t="shared" si="12"/>
        <v>nfm</v>
      </c>
      <c r="D135" s="18" t="s">
        <v>74</v>
      </c>
      <c r="E135" s="19" t="s">
        <v>75</v>
      </c>
      <c r="F135" s="17" t="s">
        <v>56</v>
      </c>
      <c r="G135" s="20" t="str">
        <f>Settings!$B$3&amp;".mit.pbc."&amp;Settings!$B$4&amp;"."&amp;$B135&amp;".a."&amp;$J$125</f>
        <v>egy.mit.pbc.ind.ren.a.1</v>
      </c>
      <c r="H135" s="21" t="str">
        <f>OUTCODE(Settings!$B$3,"ptp",$C$125,$B135,$J$125)</f>
        <v>egy.mit.ptp.nfm.ren.e.1</v>
      </c>
      <c r="K135" s="22">
        <f>INDEX(Data_Prices!K:K,MATCH($G135,Data_Prices!$A:$A,0))</f>
        <v>0</v>
      </c>
      <c r="L135" s="22">
        <f>INDEX(Data_Prices!L:L,MATCH($G135,Data_Prices!$A:$A,0))</f>
        <v>0.14404498679319799</v>
      </c>
      <c r="M135" s="22">
        <f>INDEX(Data_Prices!M:M,MATCH($G135,Data_Prices!$A:$A,0))</f>
        <v>0.14102040965700391</v>
      </c>
      <c r="N135" s="22">
        <f>INDEX(Data_Prices!N:N,MATCH($G135,Data_Prices!$A:$A,0))</f>
        <v>0.13511635959447599</v>
      </c>
      <c r="O135" s="22">
        <f>INDEX(Data_Prices!O:O,MATCH($G135,Data_Prices!$A:$A,0))</f>
        <v>0.13098825698585639</v>
      </c>
      <c r="P135" s="22">
        <f>INDEX(Data_Prices!P:P,MATCH($G135,Data_Prices!$A:$A,0))</f>
        <v>0.12790841608631831</v>
      </c>
      <c r="Q135" s="22">
        <f>INDEX(Data_Prices!Q:Q,MATCH($G135,Data_Prices!$A:$A,0))</f>
        <v>0.124814310557813</v>
      </c>
      <c r="R135" s="22">
        <f>INDEX(Data_Prices!R:R,MATCH($G135,Data_Prices!$A:$A,0))</f>
        <v>0.1214602571228779</v>
      </c>
      <c r="S135" s="22">
        <f>INDEX(Data_Prices!S:S,MATCH($G135,Data_Prices!$A:$A,0))</f>
        <v>0.1179507441357863</v>
      </c>
      <c r="T135" s="22">
        <f>INDEX(Data_Prices!T:T,MATCH($G135,Data_Prices!$A:$A,0))</f>
        <v>0.1141991610445974</v>
      </c>
      <c r="U135" s="22">
        <f>INDEX(Data_Prices!U:U,MATCH($G135,Data_Prices!$A:$A,0))</f>
        <v>0.1136651000596645</v>
      </c>
      <c r="V135" s="22">
        <f>INDEX(Data_Prices!V:V,MATCH($G135,Data_Prices!$A:$A,0))</f>
        <v>0.1130169296259568</v>
      </c>
      <c r="W135" s="22">
        <f>INDEX(Data_Prices!W:W,MATCH($G135,Data_Prices!$A:$A,0))</f>
        <v>0.112314070507636</v>
      </c>
      <c r="X135" s="22">
        <f>INDEX(Data_Prices!X:X,MATCH($G135,Data_Prices!$A:$A,0))</f>
        <v>0.1114220427328433</v>
      </c>
      <c r="Y135" s="22">
        <f>INDEX(Data_Prices!Y:Y,MATCH($G135,Data_Prices!$A:$A,0))</f>
        <v>0.1104341236758091</v>
      </c>
      <c r="Z135" s="22">
        <f>INDEX(Data_Prices!Z:Z,MATCH($G135,Data_Prices!$A:$A,0))</f>
        <v>0.10948397330447129</v>
      </c>
      <c r="AA135" s="22">
        <f>INDEX(Data_Prices!AA:AA,MATCH($G135,Data_Prices!$A:$A,0))</f>
        <v>0.1083919210529401</v>
      </c>
      <c r="AB135" s="22">
        <f>INDEX(Data_Prices!AB:AB,MATCH($G135,Data_Prices!$A:$A,0))</f>
        <v>0.1073544336267039</v>
      </c>
      <c r="AC135" s="22">
        <f>INDEX(Data_Prices!AC:AC,MATCH($G135,Data_Prices!$A:$A,0))</f>
        <v>0.10516867544166079</v>
      </c>
      <c r="AD135" s="22">
        <f>INDEX(Data_Prices!AD:AD,MATCH($G135,Data_Prices!$A:$A,0))</f>
        <v>0.1030579832560081</v>
      </c>
      <c r="AE135" s="22">
        <f>INDEX(Data_Prices!AE:AE,MATCH($G135,Data_Prices!$A:$A,0))</f>
        <v>0.1009318389901144</v>
      </c>
    </row>
    <row r="136" spans="2:31" x14ac:dyDescent="0.25">
      <c r="B136" s="16" t="s">
        <v>76</v>
      </c>
    </row>
    <row r="137" spans="2:31" x14ac:dyDescent="0.25">
      <c r="B137" s="17" t="s">
        <v>53</v>
      </c>
      <c r="C137" s="17" t="str">
        <f t="shared" ref="C137:C145" si="13">$C$125</f>
        <v>nfm</v>
      </c>
      <c r="D137" s="18" t="s">
        <v>54</v>
      </c>
      <c r="E137" s="19" t="s">
        <v>55</v>
      </c>
      <c r="F137" s="17" t="s">
        <v>77</v>
      </c>
      <c r="G137" s="20" t="str">
        <f>Settings!$B$3&amp;".mit.nce."&amp;Settings!$B$4&amp;"."&amp;$B137&amp;".a."&amp;$J$125</f>
        <v>egy.mit.nce.ind.coa.a.1</v>
      </c>
      <c r="H137" s="21" t="str">
        <f>OUTCODE(Settings!$B$3,"atp",$C$125,$B137,$J$125)</f>
        <v>egy.mit.atp.nfm.coa.e.1</v>
      </c>
      <c r="K137" s="22">
        <f>POSTTAX(K127,INDEX(Data_Prices!K:K,MATCH($G137,Data_Prices!$A:$A,0)),K$157)</f>
        <v>11.18290158924394</v>
      </c>
      <c r="L137" s="22">
        <f>POSTTAX(L127,INDEX(Data_Prices!L:L,MATCH($G137,Data_Prices!$A:$A,0)),L$157)</f>
        <v>10.52336134543121</v>
      </c>
      <c r="M137" s="22">
        <f>POSTTAX(M127,INDEX(Data_Prices!M:M,MATCH($G137,Data_Prices!$A:$A,0)),M$157)</f>
        <v>10.299560827444211</v>
      </c>
      <c r="N137" s="22">
        <f>POSTTAX(N127,INDEX(Data_Prices!N:N,MATCH($G137,Data_Prices!$A:$A,0)),N$157)</f>
        <v>9.5775283595382632</v>
      </c>
      <c r="O137" s="22">
        <f>POSTTAX(O127,INDEX(Data_Prices!O:O,MATCH($G137,Data_Prices!$A:$A,0)),O$157)</f>
        <v>8.4854782869580454</v>
      </c>
      <c r="P137" s="22">
        <f>POSTTAX(P127,INDEX(Data_Prices!P:P,MATCH($G137,Data_Prices!$A:$A,0)),P$157)</f>
        <v>9.0871922352498604</v>
      </c>
      <c r="Q137" s="22">
        <f>POSTTAX(Q127,INDEX(Data_Prices!Q:Q,MATCH($G137,Data_Prices!$A:$A,0)),Q$157)</f>
        <v>9.2229237289326811</v>
      </c>
      <c r="R137" s="22">
        <f>POSTTAX(R127,INDEX(Data_Prices!R:R,MATCH($G137,Data_Prices!$A:$A,0)),R$157)</f>
        <v>9.1585649555096875</v>
      </c>
      <c r="S137" s="22">
        <f>POSTTAX(S127,INDEX(Data_Prices!S:S,MATCH($G137,Data_Prices!$A:$A,0)),S$157)</f>
        <v>9.0895478773973775</v>
      </c>
      <c r="T137" s="22">
        <f>POSTTAX(T127,INDEX(Data_Prices!T:T,MATCH($G137,Data_Prices!$A:$A,0)),T$157)</f>
        <v>9.0156816660228305</v>
      </c>
      <c r="U137" s="22">
        <f>POSTTAX(U127,INDEX(Data_Prices!U:U,MATCH($G137,Data_Prices!$A:$A,0)),U$157)</f>
        <v>8.9443977655571061</v>
      </c>
      <c r="V137" s="22">
        <f>POSTTAX(V127,INDEX(Data_Prices!V:V,MATCH($G137,Data_Prices!$A:$A,0)),V$157)</f>
        <v>8.9443977655571061</v>
      </c>
      <c r="W137" s="22">
        <f>POSTTAX(W127,INDEX(Data_Prices!W:W,MATCH($G137,Data_Prices!$A:$A,0)),W$157)</f>
        <v>8.9443977655571061</v>
      </c>
      <c r="X137" s="22">
        <f>POSTTAX(X127,INDEX(Data_Prices!X:X,MATCH($G137,Data_Prices!$A:$A,0)),X$157)</f>
        <v>8.9443977655571061</v>
      </c>
      <c r="Y137" s="22">
        <f>POSTTAX(Y127,INDEX(Data_Prices!Y:Y,MATCH($G137,Data_Prices!$A:$A,0)),Y$157)</f>
        <v>8.9443977655571061</v>
      </c>
      <c r="Z137" s="22">
        <f>POSTTAX(Z127,INDEX(Data_Prices!Z:Z,MATCH($G137,Data_Prices!$A:$A,0)),Z$157)</f>
        <v>8.9443977655571061</v>
      </c>
      <c r="AA137" s="22">
        <f>POSTTAX(AA127,INDEX(Data_Prices!AA:AA,MATCH($G137,Data_Prices!$A:$A,0)),AA$157)</f>
        <v>8.9443977655571061</v>
      </c>
      <c r="AB137" s="22">
        <f>POSTTAX(AB127,INDEX(Data_Prices!AB:AB,MATCH($G137,Data_Prices!$A:$A,0)),AB$157)</f>
        <v>8.9443977655571061</v>
      </c>
      <c r="AC137" s="22">
        <f>POSTTAX(AC127,INDEX(Data_Prices!AC:AC,MATCH($G137,Data_Prices!$A:$A,0)),AC$157)</f>
        <v>8.9443977655571061</v>
      </c>
      <c r="AD137" s="22">
        <f>POSTTAX(AD127,INDEX(Data_Prices!AD:AD,MATCH($G137,Data_Prices!$A:$A,0)),AD$157)</f>
        <v>8.9443977655571061</v>
      </c>
      <c r="AE137" s="22">
        <f>POSTTAX(AE127,INDEX(Data_Prices!AE:AE,MATCH($G137,Data_Prices!$A:$A,0)),AE$157)</f>
        <v>8.9443977655571061</v>
      </c>
    </row>
    <row r="138" spans="2:31" x14ac:dyDescent="0.25">
      <c r="B138" s="17" t="s">
        <v>57</v>
      </c>
      <c r="C138" s="17" t="str">
        <f t="shared" si="13"/>
        <v>nfm</v>
      </c>
      <c r="D138" s="18" t="s">
        <v>58</v>
      </c>
      <c r="E138" s="19" t="s">
        <v>55</v>
      </c>
      <c r="F138" s="17" t="s">
        <v>77</v>
      </c>
      <c r="G138" s="20" t="str">
        <f>Settings!$B$3&amp;".mit.nce."&amp;Settings!$B$4&amp;"."&amp;$B138&amp;".a."&amp;$J$125</f>
        <v>egy.mit.nce.ind.nga.a.1</v>
      </c>
      <c r="H138" s="21" t="str">
        <f>OUTCODE(Settings!$B$3,"atp",$C$125,$B138,$J$125)</f>
        <v>egy.mit.atp.nfm.nga.e.1</v>
      </c>
      <c r="K138" s="22">
        <f>POSTTAX(K128,INDEX(Data_Prices!K:K,MATCH($G138,Data_Prices!$A:$A,0)),K$157)</f>
        <v>6.0634636156729131</v>
      </c>
      <c r="L138" s="22">
        <f>POSTTAX(L128,INDEX(Data_Prices!L:L,MATCH($G138,Data_Prices!$A:$A,0)),L$157)</f>
        <v>5.4510150816191896</v>
      </c>
      <c r="M138" s="22">
        <f>POSTTAX(M128,INDEX(Data_Prices!M:M,MATCH($G138,Data_Prices!$A:$A,0)),M$157)</f>
        <v>5.1193563062624818</v>
      </c>
      <c r="N138" s="22">
        <f>POSTTAX(N128,INDEX(Data_Prices!N:N,MATCH($G138,Data_Prices!$A:$A,0)),N$157)</f>
        <v>5.0821845864040727</v>
      </c>
      <c r="O138" s="22">
        <f>POSTTAX(O128,INDEX(Data_Prices!O:O,MATCH($G138,Data_Prices!$A:$A,0)),O$157)</f>
        <v>5.0821845864040727</v>
      </c>
      <c r="P138" s="22">
        <f>POSTTAX(P128,INDEX(Data_Prices!P:P,MATCH($G138,Data_Prices!$A:$A,0)),P$157)</f>
        <v>5.0821845864040727</v>
      </c>
      <c r="Q138" s="22">
        <f>POSTTAX(Q128,INDEX(Data_Prices!Q:Q,MATCH($G138,Data_Prices!$A:$A,0)),Q$157)</f>
        <v>5.0821845864040727</v>
      </c>
      <c r="R138" s="22">
        <f>POSTTAX(R128,INDEX(Data_Prices!R:R,MATCH($G138,Data_Prices!$A:$A,0)),R$157)</f>
        <v>5.0821845864040727</v>
      </c>
      <c r="S138" s="22">
        <f>POSTTAX(S128,INDEX(Data_Prices!S:S,MATCH($G138,Data_Prices!$A:$A,0)),S$157)</f>
        <v>5.0821845864040727</v>
      </c>
      <c r="T138" s="22">
        <f>POSTTAX(T128,INDEX(Data_Prices!T:T,MATCH($G138,Data_Prices!$A:$A,0)),T$157)</f>
        <v>5.0821845864040727</v>
      </c>
      <c r="U138" s="22">
        <f>POSTTAX(U128,INDEX(Data_Prices!U:U,MATCH($G138,Data_Prices!$A:$A,0)),U$157)</f>
        <v>5.0821845864040727</v>
      </c>
      <c r="V138" s="22">
        <f>POSTTAX(V128,INDEX(Data_Prices!V:V,MATCH($G138,Data_Prices!$A:$A,0)),V$157)</f>
        <v>5.0821845864040727</v>
      </c>
      <c r="W138" s="22">
        <f>POSTTAX(W128,INDEX(Data_Prices!W:W,MATCH($G138,Data_Prices!$A:$A,0)),W$157)</f>
        <v>5.0821845864040727</v>
      </c>
      <c r="X138" s="22">
        <f>POSTTAX(X128,INDEX(Data_Prices!X:X,MATCH($G138,Data_Prices!$A:$A,0)),X$157)</f>
        <v>5.0821845864040727</v>
      </c>
      <c r="Y138" s="22">
        <f>POSTTAX(Y128,INDEX(Data_Prices!Y:Y,MATCH($G138,Data_Prices!$A:$A,0)),Y$157)</f>
        <v>5.0821845864040727</v>
      </c>
      <c r="Z138" s="22">
        <f>POSTTAX(Z128,INDEX(Data_Prices!Z:Z,MATCH($G138,Data_Prices!$A:$A,0)),Z$157)</f>
        <v>5.0821845864040727</v>
      </c>
      <c r="AA138" s="22">
        <f>POSTTAX(AA128,INDEX(Data_Prices!AA:AA,MATCH($G138,Data_Prices!$A:$A,0)),AA$157)</f>
        <v>5.0821845864040727</v>
      </c>
      <c r="AB138" s="22">
        <f>POSTTAX(AB128,INDEX(Data_Prices!AB:AB,MATCH($G138,Data_Prices!$A:$A,0)),AB$157)</f>
        <v>5.0821845864040727</v>
      </c>
      <c r="AC138" s="22">
        <f>POSTTAX(AC128,INDEX(Data_Prices!AC:AC,MATCH($G138,Data_Prices!$A:$A,0)),AC$157)</f>
        <v>5.0821845864040727</v>
      </c>
      <c r="AD138" s="22">
        <f>POSTTAX(AD128,INDEX(Data_Prices!AD:AD,MATCH($G138,Data_Prices!$A:$A,0)),AD$157)</f>
        <v>5.0821845864040727</v>
      </c>
      <c r="AE138" s="22">
        <f>POSTTAX(AE128,INDEX(Data_Prices!AE:AE,MATCH($G138,Data_Prices!$A:$A,0)),AE$157)</f>
        <v>5.0821845864040727</v>
      </c>
    </row>
    <row r="139" spans="2:31" x14ac:dyDescent="0.25">
      <c r="B139" s="17" t="s">
        <v>59</v>
      </c>
      <c r="C139" s="17" t="str">
        <f t="shared" si="13"/>
        <v>nfm</v>
      </c>
      <c r="D139" s="18" t="s">
        <v>60</v>
      </c>
      <c r="E139" s="19" t="s">
        <v>61</v>
      </c>
      <c r="F139" s="17" t="s">
        <v>77</v>
      </c>
      <c r="G139" s="20" t="str">
        <f>Settings!$B$3&amp;".mit.nce."&amp;Settings!$B$4&amp;"."&amp;$B139&amp;".a."&amp;$J$125</f>
        <v>egy.mit.nce.ind.gso.a.1</v>
      </c>
      <c r="H139" s="21" t="str">
        <f>OUTCODE(Settings!$B$3,"atp",$C$125,$B139,$J$125)</f>
        <v>egy.mit.atp.nfm.gso.e.1</v>
      </c>
      <c r="K139" s="22">
        <f>POSTTAX(K129,INDEX(Data_Prices!K:K,MATCH($G139,Data_Prices!$A:$A,0)),K$157)</f>
        <v>0.67114653332181606</v>
      </c>
      <c r="L139" s="22">
        <f>POSTTAX(L129,INDEX(Data_Prices!L:L,MATCH($G139,Data_Prices!$A:$A,0)),L$157)</f>
        <v>0.61197797679140631</v>
      </c>
      <c r="M139" s="22">
        <f>POSTTAX(M129,INDEX(Data_Prices!M:M,MATCH($G139,Data_Prices!$A:$A,0)),M$157)</f>
        <v>0.61180974964187596</v>
      </c>
      <c r="N139" s="22">
        <f>POSTTAX(N129,INDEX(Data_Prices!N:N,MATCH($G139,Data_Prices!$A:$A,0)),N$157)</f>
        <v>0.60358310017790551</v>
      </c>
      <c r="O139" s="22">
        <f>POSTTAX(O129,INDEX(Data_Prices!O:O,MATCH($G139,Data_Prices!$A:$A,0)),O$157)</f>
        <v>0.60358310017790551</v>
      </c>
      <c r="P139" s="22">
        <f>POSTTAX(P129,INDEX(Data_Prices!P:P,MATCH($G139,Data_Prices!$A:$A,0)),P$157)</f>
        <v>0.60358310017790551</v>
      </c>
      <c r="Q139" s="22">
        <f>POSTTAX(Q129,INDEX(Data_Prices!Q:Q,MATCH($G139,Data_Prices!$A:$A,0)),Q$157)</f>
        <v>0.60358310017790551</v>
      </c>
      <c r="R139" s="22">
        <f>POSTTAX(R129,INDEX(Data_Prices!R:R,MATCH($G139,Data_Prices!$A:$A,0)),R$157)</f>
        <v>0.60358310017790551</v>
      </c>
      <c r="S139" s="22">
        <f>POSTTAX(S129,INDEX(Data_Prices!S:S,MATCH($G139,Data_Prices!$A:$A,0)),S$157)</f>
        <v>0.60358310017790551</v>
      </c>
      <c r="T139" s="22">
        <f>POSTTAX(T129,INDEX(Data_Prices!T:T,MATCH($G139,Data_Prices!$A:$A,0)),T$157)</f>
        <v>0.60358310017790551</v>
      </c>
      <c r="U139" s="22">
        <f>POSTTAX(U129,INDEX(Data_Prices!U:U,MATCH($G139,Data_Prices!$A:$A,0)),U$157)</f>
        <v>0.60358310017790551</v>
      </c>
      <c r="V139" s="22">
        <f>POSTTAX(V129,INDEX(Data_Prices!V:V,MATCH($G139,Data_Prices!$A:$A,0)),V$157)</f>
        <v>0.60358310017790551</v>
      </c>
      <c r="W139" s="22">
        <f>POSTTAX(W129,INDEX(Data_Prices!W:W,MATCH($G139,Data_Prices!$A:$A,0)),W$157)</f>
        <v>0.60358310017790551</v>
      </c>
      <c r="X139" s="22">
        <f>POSTTAX(X129,INDEX(Data_Prices!X:X,MATCH($G139,Data_Prices!$A:$A,0)),X$157)</f>
        <v>0.60358310017790551</v>
      </c>
      <c r="Y139" s="22">
        <f>POSTTAX(Y129,INDEX(Data_Prices!Y:Y,MATCH($G139,Data_Prices!$A:$A,0)),Y$157)</f>
        <v>0.60358310017790551</v>
      </c>
      <c r="Z139" s="22">
        <f>POSTTAX(Z129,INDEX(Data_Prices!Z:Z,MATCH($G139,Data_Prices!$A:$A,0)),Z$157)</f>
        <v>0.60358310017790551</v>
      </c>
      <c r="AA139" s="22">
        <f>POSTTAX(AA129,INDEX(Data_Prices!AA:AA,MATCH($G139,Data_Prices!$A:$A,0)),AA$157)</f>
        <v>0.60358310017790551</v>
      </c>
      <c r="AB139" s="22">
        <f>POSTTAX(AB129,INDEX(Data_Prices!AB:AB,MATCH($G139,Data_Prices!$A:$A,0)),AB$157)</f>
        <v>0.60358310017790551</v>
      </c>
      <c r="AC139" s="22">
        <f>POSTTAX(AC129,INDEX(Data_Prices!AC:AC,MATCH($G139,Data_Prices!$A:$A,0)),AC$157)</f>
        <v>0.60358310017790551</v>
      </c>
      <c r="AD139" s="22">
        <f>POSTTAX(AD129,INDEX(Data_Prices!AD:AD,MATCH($G139,Data_Prices!$A:$A,0)),AD$157)</f>
        <v>0.60358310017790551</v>
      </c>
      <c r="AE139" s="22">
        <f>POSTTAX(AE129,INDEX(Data_Prices!AE:AE,MATCH($G139,Data_Prices!$A:$A,0)),AE$157)</f>
        <v>0.60358310017790551</v>
      </c>
    </row>
    <row r="140" spans="2:31" x14ac:dyDescent="0.25">
      <c r="B140" s="17" t="s">
        <v>62</v>
      </c>
      <c r="C140" s="17" t="str">
        <f t="shared" si="13"/>
        <v>nfm</v>
      </c>
      <c r="D140" s="18" t="s">
        <v>63</v>
      </c>
      <c r="E140" s="19" t="s">
        <v>61</v>
      </c>
      <c r="F140" s="17" t="s">
        <v>77</v>
      </c>
      <c r="G140" s="20" t="str">
        <f>Settings!$B$3&amp;".mit.nce."&amp;Settings!$B$4&amp;"."&amp;$B140&amp;".a."&amp;$J$125</f>
        <v>egy.mit.nce.ind.die.a.1</v>
      </c>
      <c r="H140" s="21" t="str">
        <f>OUTCODE(Settings!$B$3,"atp",$C$125,$B140,$J$125)</f>
        <v>egy.mit.atp.nfm.die.e.1</v>
      </c>
      <c r="K140" s="22">
        <f>POSTTAX(K130,INDEX(Data_Prices!K:K,MATCH($G140,Data_Prices!$A:$A,0)),K$157)</f>
        <v>0.55971121315568761</v>
      </c>
      <c r="L140" s="22">
        <f>POSTTAX(L130,INDEX(Data_Prices!L:L,MATCH($G140,Data_Prices!$A:$A,0)),L$157)</f>
        <v>0.49458873084106802</v>
      </c>
      <c r="M140" s="22">
        <f>POSTTAX(M130,INDEX(Data_Prices!M:M,MATCH($G140,Data_Prices!$A:$A,0)),M$157)</f>
        <v>0.50778654720250049</v>
      </c>
      <c r="N140" s="22">
        <f>POSTTAX(N130,INDEX(Data_Prices!N:N,MATCH($G140,Data_Prices!$A:$A,0)),N$157)</f>
        <v>0.47043642679561742</v>
      </c>
      <c r="O140" s="22">
        <f>POSTTAX(O130,INDEX(Data_Prices!O:O,MATCH($G140,Data_Prices!$A:$A,0)),O$157)</f>
        <v>0.47043642679561742</v>
      </c>
      <c r="P140" s="22">
        <f>POSTTAX(P130,INDEX(Data_Prices!P:P,MATCH($G140,Data_Prices!$A:$A,0)),P$157)</f>
        <v>0.47043642679561742</v>
      </c>
      <c r="Q140" s="22">
        <f>POSTTAX(Q130,INDEX(Data_Prices!Q:Q,MATCH($G140,Data_Prices!$A:$A,0)),Q$157)</f>
        <v>0.47043642679561742</v>
      </c>
      <c r="R140" s="22">
        <f>POSTTAX(R130,INDEX(Data_Prices!R:R,MATCH($G140,Data_Prices!$A:$A,0)),R$157)</f>
        <v>0.47043642679561742</v>
      </c>
      <c r="S140" s="22">
        <f>POSTTAX(S130,INDEX(Data_Prices!S:S,MATCH($G140,Data_Prices!$A:$A,0)),S$157)</f>
        <v>0.47043642679561742</v>
      </c>
      <c r="T140" s="22">
        <f>POSTTAX(T130,INDEX(Data_Prices!T:T,MATCH($G140,Data_Prices!$A:$A,0)),T$157)</f>
        <v>0.47043642679561742</v>
      </c>
      <c r="U140" s="22">
        <f>POSTTAX(U130,INDEX(Data_Prices!U:U,MATCH($G140,Data_Prices!$A:$A,0)),U$157)</f>
        <v>0.47043642679561742</v>
      </c>
      <c r="V140" s="22">
        <f>POSTTAX(V130,INDEX(Data_Prices!V:V,MATCH($G140,Data_Prices!$A:$A,0)),V$157)</f>
        <v>0.47043642679561742</v>
      </c>
      <c r="W140" s="22">
        <f>POSTTAX(W130,INDEX(Data_Prices!W:W,MATCH($G140,Data_Prices!$A:$A,0)),W$157)</f>
        <v>0.47043642679561742</v>
      </c>
      <c r="X140" s="22">
        <f>POSTTAX(X130,INDEX(Data_Prices!X:X,MATCH($G140,Data_Prices!$A:$A,0)),X$157)</f>
        <v>0.47043642679561742</v>
      </c>
      <c r="Y140" s="22">
        <f>POSTTAX(Y130,INDEX(Data_Prices!Y:Y,MATCH($G140,Data_Prices!$A:$A,0)),Y$157)</f>
        <v>0.47043642679561742</v>
      </c>
      <c r="Z140" s="22">
        <f>POSTTAX(Z130,INDEX(Data_Prices!Z:Z,MATCH($G140,Data_Prices!$A:$A,0)),Z$157)</f>
        <v>0.47043642679561742</v>
      </c>
      <c r="AA140" s="22">
        <f>POSTTAX(AA130,INDEX(Data_Prices!AA:AA,MATCH($G140,Data_Prices!$A:$A,0)),AA$157)</f>
        <v>0.47043642679561742</v>
      </c>
      <c r="AB140" s="22">
        <f>POSTTAX(AB130,INDEX(Data_Prices!AB:AB,MATCH($G140,Data_Prices!$A:$A,0)),AB$157)</f>
        <v>0.47043642679561742</v>
      </c>
      <c r="AC140" s="22">
        <f>POSTTAX(AC130,INDEX(Data_Prices!AC:AC,MATCH($G140,Data_Prices!$A:$A,0)),AC$157)</f>
        <v>0.47043642679561742</v>
      </c>
      <c r="AD140" s="22">
        <f>POSTTAX(AD130,INDEX(Data_Prices!AD:AD,MATCH($G140,Data_Prices!$A:$A,0)),AD$157)</f>
        <v>0.47043642679561742</v>
      </c>
      <c r="AE140" s="22">
        <f>POSTTAX(AE130,INDEX(Data_Prices!AE:AE,MATCH($G140,Data_Prices!$A:$A,0)),AE$157)</f>
        <v>0.47043642679561742</v>
      </c>
    </row>
    <row r="141" spans="2:31" x14ac:dyDescent="0.25">
      <c r="B141" s="17" t="s">
        <v>64</v>
      </c>
      <c r="C141" s="17" t="str">
        <f t="shared" si="13"/>
        <v>nfm</v>
      </c>
      <c r="D141" s="18" t="s">
        <v>65</v>
      </c>
      <c r="E141" s="19" t="s">
        <v>61</v>
      </c>
      <c r="F141" s="17" t="s">
        <v>77</v>
      </c>
      <c r="G141" s="20" t="str">
        <f>Settings!$B$3&amp;".mit.nce."&amp;Settings!$B$4&amp;"."&amp;$B141&amp;".a."&amp;$J$125</f>
        <v>egy.mit.nce.ind.lpg.a.1</v>
      </c>
      <c r="H141" s="21" t="str">
        <f>OUTCODE(Settings!$B$3,"atp",$C$125,$B141,$J$125)</f>
        <v>egy.mit.atp.nfm.lpg.e.1</v>
      </c>
      <c r="K141" s="22">
        <f>POSTTAX(K131,INDEX(Data_Prices!K:K,MATCH($G141,Data_Prices!$A:$A,0)),K$157)</f>
        <v>0.20036669112673841</v>
      </c>
      <c r="L141" s="22">
        <f>POSTTAX(L131,INDEX(Data_Prices!L:L,MATCH($G141,Data_Prices!$A:$A,0)),L$157)</f>
        <v>0.1573447362522738</v>
      </c>
      <c r="M141" s="22">
        <f>POSTTAX(M131,INDEX(Data_Prices!M:M,MATCH($G141,Data_Prices!$A:$A,0)),M$157)</f>
        <v>0.1644840377592767</v>
      </c>
      <c r="N141" s="22">
        <f>POSTTAX(N131,INDEX(Data_Prices!N:N,MATCH($G141,Data_Prices!$A:$A,0)),N$157)</f>
        <v>0.1507090778070489</v>
      </c>
      <c r="O141" s="22">
        <f>POSTTAX(O131,INDEX(Data_Prices!O:O,MATCH($G141,Data_Prices!$A:$A,0)),O$157)</f>
        <v>0.1507090778070489</v>
      </c>
      <c r="P141" s="22">
        <f>POSTTAX(P131,INDEX(Data_Prices!P:P,MATCH($G141,Data_Prices!$A:$A,0)),P$157)</f>
        <v>0.1507090778070489</v>
      </c>
      <c r="Q141" s="22">
        <f>POSTTAX(Q131,INDEX(Data_Prices!Q:Q,MATCH($G141,Data_Prices!$A:$A,0)),Q$157)</f>
        <v>0.1507090778070489</v>
      </c>
      <c r="R141" s="22">
        <f>POSTTAX(R131,INDEX(Data_Prices!R:R,MATCH($G141,Data_Prices!$A:$A,0)),R$157)</f>
        <v>0.1507090778070489</v>
      </c>
      <c r="S141" s="22">
        <f>POSTTAX(S131,INDEX(Data_Prices!S:S,MATCH($G141,Data_Prices!$A:$A,0)),S$157)</f>
        <v>0.1507090778070489</v>
      </c>
      <c r="T141" s="22">
        <f>POSTTAX(T131,INDEX(Data_Prices!T:T,MATCH($G141,Data_Prices!$A:$A,0)),T$157)</f>
        <v>0.1507090778070489</v>
      </c>
      <c r="U141" s="22">
        <f>POSTTAX(U131,INDEX(Data_Prices!U:U,MATCH($G141,Data_Prices!$A:$A,0)),U$157)</f>
        <v>0.1507090778070489</v>
      </c>
      <c r="V141" s="22">
        <f>POSTTAX(V131,INDEX(Data_Prices!V:V,MATCH($G141,Data_Prices!$A:$A,0)),V$157)</f>
        <v>0.1507090778070489</v>
      </c>
      <c r="W141" s="22">
        <f>POSTTAX(W131,INDEX(Data_Prices!W:W,MATCH($G141,Data_Prices!$A:$A,0)),W$157)</f>
        <v>0.1507090778070489</v>
      </c>
      <c r="X141" s="22">
        <f>POSTTAX(X131,INDEX(Data_Prices!X:X,MATCH($G141,Data_Prices!$A:$A,0)),X$157)</f>
        <v>0.1507090778070489</v>
      </c>
      <c r="Y141" s="22">
        <f>POSTTAX(Y131,INDEX(Data_Prices!Y:Y,MATCH($G141,Data_Prices!$A:$A,0)),Y$157)</f>
        <v>0.1507090778070489</v>
      </c>
      <c r="Z141" s="22">
        <f>POSTTAX(Z131,INDEX(Data_Prices!Z:Z,MATCH($G141,Data_Prices!$A:$A,0)),Z$157)</f>
        <v>0.1507090778070489</v>
      </c>
      <c r="AA141" s="22">
        <f>POSTTAX(AA131,INDEX(Data_Prices!AA:AA,MATCH($G141,Data_Prices!$A:$A,0)),AA$157)</f>
        <v>0.1507090778070489</v>
      </c>
      <c r="AB141" s="22">
        <f>POSTTAX(AB131,INDEX(Data_Prices!AB:AB,MATCH($G141,Data_Prices!$A:$A,0)),AB$157)</f>
        <v>0.1507090778070489</v>
      </c>
      <c r="AC141" s="22">
        <f>POSTTAX(AC131,INDEX(Data_Prices!AC:AC,MATCH($G141,Data_Prices!$A:$A,0)),AC$157)</f>
        <v>0.1507090778070489</v>
      </c>
      <c r="AD141" s="22">
        <f>POSTTAX(AD131,INDEX(Data_Prices!AD:AD,MATCH($G141,Data_Prices!$A:$A,0)),AD$157)</f>
        <v>0.1507090778070489</v>
      </c>
      <c r="AE141" s="22">
        <f>POSTTAX(AE131,INDEX(Data_Prices!AE:AE,MATCH($G141,Data_Prices!$A:$A,0)),AE$157)</f>
        <v>0.1507090778070489</v>
      </c>
    </row>
    <row r="142" spans="2:31" x14ac:dyDescent="0.25">
      <c r="B142" s="17" t="s">
        <v>66</v>
      </c>
      <c r="C142" s="17" t="str">
        <f t="shared" si="13"/>
        <v>nfm</v>
      </c>
      <c r="D142" s="18" t="s">
        <v>67</v>
      </c>
      <c r="E142" s="19" t="s">
        <v>61</v>
      </c>
      <c r="F142" s="17" t="s">
        <v>77</v>
      </c>
      <c r="G142" s="20" t="str">
        <f>Settings!$B$3&amp;".mit.nce."&amp;Settings!$B$4&amp;"."&amp;$B142&amp;".a."&amp;$J$125</f>
        <v>egy.mit.nce.ind.ker.a.1</v>
      </c>
      <c r="H142" s="21" t="str">
        <f>OUTCODE(Settings!$B$3,"atp",$C$125,$B142,$J$125)</f>
        <v>egy.mit.atp.nfm.ker.e.1</v>
      </c>
      <c r="K142" s="22">
        <f>POSTTAX(K132,INDEX(Data_Prices!K:K,MATCH($G142,Data_Prices!$A:$A,0)),K$157)</f>
        <v>0.48429424097343482</v>
      </c>
      <c r="L142" s="22">
        <f>POSTTAX(L132,INDEX(Data_Prices!L:L,MATCH($G142,Data_Prices!$A:$A,0)),L$157)</f>
        <v>0.45642817050012813</v>
      </c>
      <c r="M142" s="22">
        <f>POSTTAX(M132,INDEX(Data_Prices!M:M,MATCH($G142,Data_Prices!$A:$A,0)),M$157)</f>
        <v>0.43168920195599519</v>
      </c>
      <c r="N142" s="22">
        <f>POSTTAX(N132,INDEX(Data_Prices!N:N,MATCH($G142,Data_Prices!$A:$A,0)),N$157)</f>
        <v>0.42507558395596989</v>
      </c>
      <c r="O142" s="22">
        <f>POSTTAX(O132,INDEX(Data_Prices!O:O,MATCH($G142,Data_Prices!$A:$A,0)),O$157)</f>
        <v>0.42507558395596989</v>
      </c>
      <c r="P142" s="22">
        <f>POSTTAX(P132,INDEX(Data_Prices!P:P,MATCH($G142,Data_Prices!$A:$A,0)),P$157)</f>
        <v>0.42507558395596989</v>
      </c>
      <c r="Q142" s="22">
        <f>POSTTAX(Q132,INDEX(Data_Prices!Q:Q,MATCH($G142,Data_Prices!$A:$A,0)),Q$157)</f>
        <v>0.42507558395596989</v>
      </c>
      <c r="R142" s="22">
        <f>POSTTAX(R132,INDEX(Data_Prices!R:R,MATCH($G142,Data_Prices!$A:$A,0)),R$157)</f>
        <v>0.42507558395596989</v>
      </c>
      <c r="S142" s="22">
        <f>POSTTAX(S132,INDEX(Data_Prices!S:S,MATCH($G142,Data_Prices!$A:$A,0)),S$157)</f>
        <v>0.42507558395596989</v>
      </c>
      <c r="T142" s="22">
        <f>POSTTAX(T132,INDEX(Data_Prices!T:T,MATCH($G142,Data_Prices!$A:$A,0)),T$157)</f>
        <v>0.42507558395596989</v>
      </c>
      <c r="U142" s="22">
        <f>POSTTAX(U132,INDEX(Data_Prices!U:U,MATCH($G142,Data_Prices!$A:$A,0)),U$157)</f>
        <v>0.42507558395596989</v>
      </c>
      <c r="V142" s="22">
        <f>POSTTAX(V132,INDEX(Data_Prices!V:V,MATCH($G142,Data_Prices!$A:$A,0)),V$157)</f>
        <v>0.42507558395596989</v>
      </c>
      <c r="W142" s="22">
        <f>POSTTAX(W132,INDEX(Data_Prices!W:W,MATCH($G142,Data_Prices!$A:$A,0)),W$157)</f>
        <v>0.42507558395596989</v>
      </c>
      <c r="X142" s="22">
        <f>POSTTAX(X132,INDEX(Data_Prices!X:X,MATCH($G142,Data_Prices!$A:$A,0)),X$157)</f>
        <v>0.42507558395596989</v>
      </c>
      <c r="Y142" s="22">
        <f>POSTTAX(Y132,INDEX(Data_Prices!Y:Y,MATCH($G142,Data_Prices!$A:$A,0)),Y$157)</f>
        <v>0.42507558395596989</v>
      </c>
      <c r="Z142" s="22">
        <f>POSTTAX(Z132,INDEX(Data_Prices!Z:Z,MATCH($G142,Data_Prices!$A:$A,0)),Z$157)</f>
        <v>0.42507558395596989</v>
      </c>
      <c r="AA142" s="22">
        <f>POSTTAX(AA132,INDEX(Data_Prices!AA:AA,MATCH($G142,Data_Prices!$A:$A,0)),AA$157)</f>
        <v>0.42507558395596989</v>
      </c>
      <c r="AB142" s="22">
        <f>POSTTAX(AB132,INDEX(Data_Prices!AB:AB,MATCH($G142,Data_Prices!$A:$A,0)),AB$157)</f>
        <v>0.42507558395596989</v>
      </c>
      <c r="AC142" s="22">
        <f>POSTTAX(AC132,INDEX(Data_Prices!AC:AC,MATCH($G142,Data_Prices!$A:$A,0)),AC$157)</f>
        <v>0.42507558395596989</v>
      </c>
      <c r="AD142" s="22">
        <f>POSTTAX(AD132,INDEX(Data_Prices!AD:AD,MATCH($G142,Data_Prices!$A:$A,0)),AD$157)</f>
        <v>0.42507558395596989</v>
      </c>
      <c r="AE142" s="22">
        <f>POSTTAX(AE132,INDEX(Data_Prices!AE:AE,MATCH($G142,Data_Prices!$A:$A,0)),AE$157)</f>
        <v>0.42507558395596989</v>
      </c>
    </row>
    <row r="143" spans="2:31" x14ac:dyDescent="0.25">
      <c r="B143" s="17" t="s">
        <v>68</v>
      </c>
      <c r="C143" s="17" t="str">
        <f t="shared" si="13"/>
        <v>nfm</v>
      </c>
      <c r="D143" s="18" t="s">
        <v>69</v>
      </c>
      <c r="E143" s="19" t="s">
        <v>70</v>
      </c>
      <c r="F143" s="17" t="s">
        <v>77</v>
      </c>
      <c r="G143" s="20" t="str">
        <f>Settings!$B$3&amp;".mit.nce."&amp;Settings!$B$4&amp;"."&amp;$B143&amp;".a."&amp;$J$125</f>
        <v>egy.mit.nce.ind.oop.a.1</v>
      </c>
      <c r="H143" s="21" t="str">
        <f>OUTCODE(Settings!$B$3,"atp",$C$125,$B143,$J$125)</f>
        <v>egy.mit.atp.nfm.oop.e.1</v>
      </c>
      <c r="K143" s="22">
        <f>POSTTAX(K133,INDEX(Data_Prices!K:K,MATCH($G143,Data_Prices!$A:$A,0)),K$157)</f>
        <v>41.50033849886843</v>
      </c>
      <c r="L143" s="22">
        <f>POSTTAX(L133,INDEX(Data_Prices!L:L,MATCH($G143,Data_Prices!$A:$A,0)),L$157)</f>
        <v>34.415370304313228</v>
      </c>
      <c r="M143" s="22">
        <f>POSTTAX(M133,INDEX(Data_Prices!M:M,MATCH($G143,Data_Prices!$A:$A,0)),M$157)</f>
        <v>37.368960690432033</v>
      </c>
      <c r="N143" s="22">
        <f>POSTTAX(N133,INDEX(Data_Prices!N:N,MATCH($G143,Data_Prices!$A:$A,0)),N$157)</f>
        <v>28.982761101477251</v>
      </c>
      <c r="O143" s="22">
        <f>POSTTAX(O133,INDEX(Data_Prices!O:O,MATCH($G143,Data_Prices!$A:$A,0)),O$157)</f>
        <v>15</v>
      </c>
      <c r="P143" s="22">
        <f>POSTTAX(P133,INDEX(Data_Prices!P:P,MATCH($G143,Data_Prices!$A:$A,0)),P$157)</f>
        <v>24.2586300842555</v>
      </c>
      <c r="Q143" s="22">
        <f>POSTTAX(Q133,INDEX(Data_Prices!Q:Q,MATCH($G143,Data_Prices!$A:$A,0)),Q$157)</f>
        <v>15</v>
      </c>
      <c r="R143" s="22">
        <f>POSTTAX(R133,INDEX(Data_Prices!R:R,MATCH($G143,Data_Prices!$A:$A,0)),R$157)</f>
        <v>15</v>
      </c>
      <c r="S143" s="22">
        <f>POSTTAX(S133,INDEX(Data_Prices!S:S,MATCH($G143,Data_Prices!$A:$A,0)),S$157)</f>
        <v>15</v>
      </c>
      <c r="T143" s="22">
        <f>POSTTAX(T133,INDEX(Data_Prices!T:T,MATCH($G143,Data_Prices!$A:$A,0)),T$157)</f>
        <v>15</v>
      </c>
      <c r="U143" s="22">
        <f>POSTTAX(U133,INDEX(Data_Prices!U:U,MATCH($G143,Data_Prices!$A:$A,0)),U$157)</f>
        <v>15</v>
      </c>
      <c r="V143" s="22">
        <f>POSTTAX(V133,INDEX(Data_Prices!V:V,MATCH($G143,Data_Prices!$A:$A,0)),V$157)</f>
        <v>15</v>
      </c>
      <c r="W143" s="22">
        <f>POSTTAX(W133,INDEX(Data_Prices!W:W,MATCH($G143,Data_Prices!$A:$A,0)),W$157)</f>
        <v>15</v>
      </c>
      <c r="X143" s="22">
        <f>POSTTAX(X133,INDEX(Data_Prices!X:X,MATCH($G143,Data_Prices!$A:$A,0)),X$157)</f>
        <v>15</v>
      </c>
      <c r="Y143" s="22">
        <f>POSTTAX(Y133,INDEX(Data_Prices!Y:Y,MATCH($G143,Data_Prices!$A:$A,0)),Y$157)</f>
        <v>15</v>
      </c>
      <c r="Z143" s="22">
        <f>POSTTAX(Z133,INDEX(Data_Prices!Z:Z,MATCH($G143,Data_Prices!$A:$A,0)),Z$157)</f>
        <v>15</v>
      </c>
      <c r="AA143" s="22">
        <f>POSTTAX(AA133,INDEX(Data_Prices!AA:AA,MATCH($G143,Data_Prices!$A:$A,0)),AA$157)</f>
        <v>15</v>
      </c>
      <c r="AB143" s="22">
        <f>POSTTAX(AB133,INDEX(Data_Prices!AB:AB,MATCH($G143,Data_Prices!$A:$A,0)),AB$157)</f>
        <v>15</v>
      </c>
      <c r="AC143" s="22">
        <f>POSTTAX(AC133,INDEX(Data_Prices!AC:AC,MATCH($G143,Data_Prices!$A:$A,0)),AC$157)</f>
        <v>15</v>
      </c>
      <c r="AD143" s="22">
        <f>POSTTAX(AD133,INDEX(Data_Prices!AD:AD,MATCH($G143,Data_Prices!$A:$A,0)),AD$157)</f>
        <v>15</v>
      </c>
      <c r="AE143" s="22">
        <f>POSTTAX(AE133,INDEX(Data_Prices!AE:AE,MATCH($G143,Data_Prices!$A:$A,0)),AE$157)</f>
        <v>15</v>
      </c>
    </row>
    <row r="144" spans="2:31" x14ac:dyDescent="0.25">
      <c r="B144" s="17" t="s">
        <v>71</v>
      </c>
      <c r="C144" s="17" t="str">
        <f t="shared" si="13"/>
        <v>nfm</v>
      </c>
      <c r="D144" s="18" t="s">
        <v>72</v>
      </c>
      <c r="E144" s="19" t="s">
        <v>55</v>
      </c>
      <c r="F144" s="17" t="s">
        <v>77</v>
      </c>
      <c r="G144" s="20" t="str">
        <f>Settings!$B$3&amp;".mit.nce."&amp;Settings!$B$4&amp;"."&amp;$B144&amp;".a."&amp;$J$125</f>
        <v>egy.mit.nce.ind.bio.a.1</v>
      </c>
      <c r="H144" s="21" t="str">
        <f>OUTCODE(Settings!$B$3,"atp",$C$125,$B144,$J$125)</f>
        <v>egy.mit.atp.nfm.bio.e.1</v>
      </c>
      <c r="K144" s="22">
        <f>POSTTAX(K134,INDEX(Data_Prices!K:K,MATCH($G144,Data_Prices!$A:$A,0)),K$157)</f>
        <v>15.33455052931693</v>
      </c>
      <c r="L144" s="22">
        <f>POSTTAX(L134,INDEX(Data_Prices!L:L,MATCH($G144,Data_Prices!$A:$A,0)),L$157)</f>
        <v>14.199528390634921</v>
      </c>
      <c r="M144" s="22">
        <f>POSTTAX(M134,INDEX(Data_Prices!M:M,MATCH($G144,Data_Prices!$A:$A,0)),M$157)</f>
        <v>13.840441613315161</v>
      </c>
      <c r="N144" s="22">
        <f>POSTTAX(N134,INDEX(Data_Prices!N:N,MATCH($G144,Data_Prices!$A:$A,0)),N$157)</f>
        <v>13.5677269404465</v>
      </c>
      <c r="O144" s="22">
        <f>POSTTAX(O134,INDEX(Data_Prices!O:O,MATCH($G144,Data_Prices!$A:$A,0)),O$157)</f>
        <v>13.5677269404465</v>
      </c>
      <c r="P144" s="22">
        <f>POSTTAX(P134,INDEX(Data_Prices!P:P,MATCH($G144,Data_Prices!$A:$A,0)),P$157)</f>
        <v>13.5677269404465</v>
      </c>
      <c r="Q144" s="22">
        <f>POSTTAX(Q134,INDEX(Data_Prices!Q:Q,MATCH($G144,Data_Prices!$A:$A,0)),Q$157)</f>
        <v>13.5677269404465</v>
      </c>
      <c r="R144" s="22">
        <f>POSTTAX(R134,INDEX(Data_Prices!R:R,MATCH($G144,Data_Prices!$A:$A,0)),R$157)</f>
        <v>13.5677269404465</v>
      </c>
      <c r="S144" s="22">
        <f>POSTTAX(S134,INDEX(Data_Prices!S:S,MATCH($G144,Data_Prices!$A:$A,0)),S$157)</f>
        <v>13.5677269404465</v>
      </c>
      <c r="T144" s="22">
        <f>POSTTAX(T134,INDEX(Data_Prices!T:T,MATCH($G144,Data_Prices!$A:$A,0)),T$157)</f>
        <v>13.5677269404465</v>
      </c>
      <c r="U144" s="22">
        <f>POSTTAX(U134,INDEX(Data_Prices!U:U,MATCH($G144,Data_Prices!$A:$A,0)),U$157)</f>
        <v>13.5677269404465</v>
      </c>
      <c r="V144" s="22">
        <f>POSTTAX(V134,INDEX(Data_Prices!V:V,MATCH($G144,Data_Prices!$A:$A,0)),V$157)</f>
        <v>13.5677269404465</v>
      </c>
      <c r="W144" s="22">
        <f>POSTTAX(W134,INDEX(Data_Prices!W:W,MATCH($G144,Data_Prices!$A:$A,0)),W$157)</f>
        <v>13.5677269404465</v>
      </c>
      <c r="X144" s="22">
        <f>POSTTAX(X134,INDEX(Data_Prices!X:X,MATCH($G144,Data_Prices!$A:$A,0)),X$157)</f>
        <v>13.5677269404465</v>
      </c>
      <c r="Y144" s="22">
        <f>POSTTAX(Y134,INDEX(Data_Prices!Y:Y,MATCH($G144,Data_Prices!$A:$A,0)),Y$157)</f>
        <v>13.5677269404465</v>
      </c>
      <c r="Z144" s="22">
        <f>POSTTAX(Z134,INDEX(Data_Prices!Z:Z,MATCH($G144,Data_Prices!$A:$A,0)),Z$157)</f>
        <v>13.5677269404465</v>
      </c>
      <c r="AA144" s="22">
        <f>POSTTAX(AA134,INDEX(Data_Prices!AA:AA,MATCH($G144,Data_Prices!$A:$A,0)),AA$157)</f>
        <v>13.5677269404465</v>
      </c>
      <c r="AB144" s="22">
        <f>POSTTAX(AB134,INDEX(Data_Prices!AB:AB,MATCH($G144,Data_Prices!$A:$A,0)),AB$157)</f>
        <v>13.5677269404465</v>
      </c>
      <c r="AC144" s="22">
        <f>POSTTAX(AC134,INDEX(Data_Prices!AC:AC,MATCH($G144,Data_Prices!$A:$A,0)),AC$157)</f>
        <v>13.5677269404465</v>
      </c>
      <c r="AD144" s="22">
        <f>POSTTAX(AD134,INDEX(Data_Prices!AD:AD,MATCH($G144,Data_Prices!$A:$A,0)),AD$157)</f>
        <v>13.5677269404465</v>
      </c>
      <c r="AE144" s="22">
        <f>POSTTAX(AE134,INDEX(Data_Prices!AE:AE,MATCH($G144,Data_Prices!$A:$A,0)),AE$157)</f>
        <v>13.5677269404465</v>
      </c>
    </row>
    <row r="145" spans="2:31" x14ac:dyDescent="0.25">
      <c r="B145" s="17" t="s">
        <v>73</v>
      </c>
      <c r="C145" s="17" t="str">
        <f t="shared" si="13"/>
        <v>nfm</v>
      </c>
      <c r="D145" s="18" t="s">
        <v>74</v>
      </c>
      <c r="E145" s="19" t="s">
        <v>75</v>
      </c>
      <c r="F145" s="17" t="s">
        <v>77</v>
      </c>
      <c r="G145" s="20" t="str">
        <f>Settings!$B$3&amp;".mit.nce."&amp;Settings!$B$4&amp;"."&amp;$B145&amp;".a."&amp;$J$125</f>
        <v>egy.mit.nce.ind.ren.a.1</v>
      </c>
      <c r="H145" s="21" t="str">
        <f>OUTCODE(Settings!$B$3,"atp",$C$125,$B145,$J$125)</f>
        <v>egy.mit.atp.nfm.ren.e.1</v>
      </c>
      <c r="K145" s="22">
        <f>POSTTAX(K135,INDEX(Data_Prices!K:K,MATCH($G145,Data_Prices!$A:$A,0)),K$157)</f>
        <v>0</v>
      </c>
      <c r="L145" s="22">
        <f>POSTTAX(L135,INDEX(Data_Prices!L:L,MATCH($G145,Data_Prices!$A:$A,0)),L$157)</f>
        <v>0.14404498679319799</v>
      </c>
      <c r="M145" s="22">
        <f>POSTTAX(M135,INDEX(Data_Prices!M:M,MATCH($G145,Data_Prices!$A:$A,0)),M$157)</f>
        <v>0.14102040965700391</v>
      </c>
      <c r="N145" s="22">
        <f>POSTTAX(N135,INDEX(Data_Prices!N:N,MATCH($G145,Data_Prices!$A:$A,0)),N$157)</f>
        <v>0.13511635959447599</v>
      </c>
      <c r="O145" s="22">
        <f>POSTTAX(O135,INDEX(Data_Prices!O:O,MATCH($G145,Data_Prices!$A:$A,0)),O$157)</f>
        <v>0.13098825698585639</v>
      </c>
      <c r="P145" s="22">
        <f>POSTTAX(P135,INDEX(Data_Prices!P:P,MATCH($G145,Data_Prices!$A:$A,0)),P$157)</f>
        <v>0.12790841608631831</v>
      </c>
      <c r="Q145" s="22">
        <f>POSTTAX(Q135,INDEX(Data_Prices!Q:Q,MATCH($G145,Data_Prices!$A:$A,0)),Q$157)</f>
        <v>0.124814310557813</v>
      </c>
      <c r="R145" s="22">
        <f>POSTTAX(R135,INDEX(Data_Prices!R:R,MATCH($G145,Data_Prices!$A:$A,0)),R$157)</f>
        <v>0.1214602571228779</v>
      </c>
      <c r="S145" s="22">
        <f>POSTTAX(S135,INDEX(Data_Prices!S:S,MATCH($G145,Data_Prices!$A:$A,0)),S$157)</f>
        <v>0.1179507441357863</v>
      </c>
      <c r="T145" s="22">
        <f>POSTTAX(T135,INDEX(Data_Prices!T:T,MATCH($G145,Data_Prices!$A:$A,0)),T$157)</f>
        <v>0.1141991610445974</v>
      </c>
      <c r="U145" s="22">
        <f>POSTTAX(U135,INDEX(Data_Prices!U:U,MATCH($G145,Data_Prices!$A:$A,0)),U$157)</f>
        <v>0.1136651000596645</v>
      </c>
      <c r="V145" s="22">
        <f>POSTTAX(V135,INDEX(Data_Prices!V:V,MATCH($G145,Data_Prices!$A:$A,0)),V$157)</f>
        <v>0.1130169296259568</v>
      </c>
      <c r="W145" s="22">
        <f>POSTTAX(W135,INDEX(Data_Prices!W:W,MATCH($G145,Data_Prices!$A:$A,0)),W$157)</f>
        <v>0.112314070507636</v>
      </c>
      <c r="X145" s="22">
        <f>POSTTAX(X135,INDEX(Data_Prices!X:X,MATCH($G145,Data_Prices!$A:$A,0)),X$157)</f>
        <v>0.1114220427328433</v>
      </c>
      <c r="Y145" s="22">
        <f>POSTTAX(Y135,INDEX(Data_Prices!Y:Y,MATCH($G145,Data_Prices!$A:$A,0)),Y$157)</f>
        <v>0.1104341236758091</v>
      </c>
      <c r="Z145" s="22">
        <f>POSTTAX(Z135,INDEX(Data_Prices!Z:Z,MATCH($G145,Data_Prices!$A:$A,0)),Z$157)</f>
        <v>0.10948397330447129</v>
      </c>
      <c r="AA145" s="22">
        <f>POSTTAX(AA135,INDEX(Data_Prices!AA:AA,MATCH($G145,Data_Prices!$A:$A,0)),AA$157)</f>
        <v>0.1083919210529401</v>
      </c>
      <c r="AB145" s="22">
        <f>POSTTAX(AB135,INDEX(Data_Prices!AB:AB,MATCH($G145,Data_Prices!$A:$A,0)),AB$157)</f>
        <v>0.1073544336267039</v>
      </c>
      <c r="AC145" s="22">
        <f>POSTTAX(AC135,INDEX(Data_Prices!AC:AC,MATCH($G145,Data_Prices!$A:$A,0)),AC$157)</f>
        <v>0.10516867544166079</v>
      </c>
      <c r="AD145" s="22">
        <f>POSTTAX(AD135,INDEX(Data_Prices!AD:AD,MATCH($G145,Data_Prices!$A:$A,0)),AD$157)</f>
        <v>0.1030579832560081</v>
      </c>
      <c r="AE145" s="22">
        <f>POSTTAX(AE135,INDEX(Data_Prices!AE:AE,MATCH($G145,Data_Prices!$A:$A,0)),AE$157)</f>
        <v>0.1009318389901144</v>
      </c>
    </row>
    <row r="146" spans="2:31" x14ac:dyDescent="0.25">
      <c r="B146" s="16" t="s">
        <v>78</v>
      </c>
    </row>
    <row r="147" spans="2:31" x14ac:dyDescent="0.25">
      <c r="B147" s="17" t="s">
        <v>53</v>
      </c>
      <c r="C147" s="17" t="str">
        <f t="shared" ref="C147:C155" si="14">$C$125</f>
        <v>nfm</v>
      </c>
      <c r="D147" s="18" t="s">
        <v>54</v>
      </c>
      <c r="E147" s="19" t="s">
        <v>55</v>
      </c>
      <c r="F147" s="17" t="s">
        <v>79</v>
      </c>
      <c r="G147" s="20" t="str">
        <f>Settings!$B$3&amp;".mit.shp."&amp;$B147&amp;"."&amp;Settings!$B$4&amp;"."&amp;$J$125</f>
        <v>egy.mit.shp.coa.ind.1</v>
      </c>
      <c r="H147" s="21" t="str">
        <f>OUTCODE(Settings!$B$3,"shp",$C$125,$B147,$J$125)</f>
        <v>egy.mit.shp.nfm.coa.e.1</v>
      </c>
      <c r="K147" s="23">
        <f>SHADOW(K137,INDEX(Data_Prices!K:K,MATCH($G147,Data_Prices!$A:$A,0)),K$158)</f>
        <v>11.18290158924394</v>
      </c>
      <c r="L147" s="23">
        <f>SHADOW(L137,INDEX(Data_Prices!L:L,MATCH($G147,Data_Prices!$A:$A,0)),L$158)</f>
        <v>10.52336134543121</v>
      </c>
      <c r="M147" s="23">
        <f>SHADOW(M137,INDEX(Data_Prices!M:M,MATCH($G147,Data_Prices!$A:$A,0)),M$158)</f>
        <v>10.299560827444211</v>
      </c>
      <c r="N147" s="23">
        <f>SHADOW(N137,INDEX(Data_Prices!N:N,MATCH($G147,Data_Prices!$A:$A,0)),N$158)</f>
        <v>9.5775283595382632</v>
      </c>
      <c r="O147" s="23">
        <f>SHADOW(O137,INDEX(Data_Prices!O:O,MATCH($G147,Data_Prices!$A:$A,0)),O$158)</f>
        <v>8.4854782869580454</v>
      </c>
      <c r="P147" s="23">
        <f>SHADOW(P137,INDEX(Data_Prices!P:P,MATCH($G147,Data_Prices!$A:$A,0)),P$158)</f>
        <v>9.0871922352498604</v>
      </c>
      <c r="Q147" s="23">
        <f>SHADOW(Q137,INDEX(Data_Prices!Q:Q,MATCH($G147,Data_Prices!$A:$A,0)),Q$158)</f>
        <v>9.2229237289326811</v>
      </c>
      <c r="R147" s="23">
        <f>SHADOW(R137,INDEX(Data_Prices!R:R,MATCH($G147,Data_Prices!$A:$A,0)),R$158)</f>
        <v>9.1585649555096875</v>
      </c>
      <c r="S147" s="23">
        <f>SHADOW(S137,INDEX(Data_Prices!S:S,MATCH($G147,Data_Prices!$A:$A,0)),S$158)</f>
        <v>9.0895478773973775</v>
      </c>
      <c r="T147" s="23">
        <f>SHADOW(T137,INDEX(Data_Prices!T:T,MATCH($G147,Data_Prices!$A:$A,0)),T$158)</f>
        <v>9.0156816660228305</v>
      </c>
      <c r="U147" s="23">
        <f>SHADOW(U137,INDEX(Data_Prices!U:U,MATCH($G147,Data_Prices!$A:$A,0)),U$158)</f>
        <v>8.9443977655571061</v>
      </c>
      <c r="V147" s="23">
        <f>SHADOW(V137,INDEX(Data_Prices!V:V,MATCH($G147,Data_Prices!$A:$A,0)),V$158)</f>
        <v>8.9443977655571061</v>
      </c>
      <c r="W147" s="23">
        <f>SHADOW(W137,INDEX(Data_Prices!W:W,MATCH($G147,Data_Prices!$A:$A,0)),W$158)</f>
        <v>8.9443977655571061</v>
      </c>
      <c r="X147" s="23">
        <f>SHADOW(X137,INDEX(Data_Prices!X:X,MATCH($G147,Data_Prices!$A:$A,0)),X$158)</f>
        <v>8.9443977655571061</v>
      </c>
      <c r="Y147" s="23">
        <f>SHADOW(Y137,INDEX(Data_Prices!Y:Y,MATCH($G147,Data_Prices!$A:$A,0)),Y$158)</f>
        <v>8.9443977655571061</v>
      </c>
      <c r="Z147" s="23">
        <f>SHADOW(Z137,INDEX(Data_Prices!Z:Z,MATCH($G147,Data_Prices!$A:$A,0)),Z$158)</f>
        <v>8.9443977655571061</v>
      </c>
      <c r="AA147" s="23">
        <f>SHADOW(AA137,INDEX(Data_Prices!AA:AA,MATCH($G147,Data_Prices!$A:$A,0)),AA$158)</f>
        <v>8.9443977655571061</v>
      </c>
      <c r="AB147" s="23">
        <f>SHADOW(AB137,INDEX(Data_Prices!AB:AB,MATCH($G147,Data_Prices!$A:$A,0)),AB$158)</f>
        <v>8.9443977655571061</v>
      </c>
      <c r="AC147" s="23">
        <f>SHADOW(AC137,INDEX(Data_Prices!AC:AC,MATCH($G147,Data_Prices!$A:$A,0)),AC$158)</f>
        <v>8.9443977655571061</v>
      </c>
      <c r="AD147" s="23">
        <f>SHADOW(AD137,INDEX(Data_Prices!AD:AD,MATCH($G147,Data_Prices!$A:$A,0)),AD$158)</f>
        <v>8.9443977655571061</v>
      </c>
      <c r="AE147" s="23">
        <f>SHADOW(AE137,INDEX(Data_Prices!AE:AE,MATCH($G147,Data_Prices!$A:$A,0)),AE$158)</f>
        <v>8.9443977655571061</v>
      </c>
    </row>
    <row r="148" spans="2:31" x14ac:dyDescent="0.25">
      <c r="B148" s="17" t="s">
        <v>57</v>
      </c>
      <c r="C148" s="17" t="str">
        <f t="shared" si="14"/>
        <v>nfm</v>
      </c>
      <c r="D148" s="18" t="s">
        <v>58</v>
      </c>
      <c r="E148" s="19" t="s">
        <v>55</v>
      </c>
      <c r="F148" s="17" t="s">
        <v>79</v>
      </c>
      <c r="G148" s="20" t="str">
        <f>Settings!$B$3&amp;".mit.shp."&amp;$B148&amp;"."&amp;Settings!$B$4&amp;"."&amp;$J$125</f>
        <v>egy.mit.shp.nga.ind.1</v>
      </c>
      <c r="H148" s="21" t="str">
        <f>OUTCODE(Settings!$B$3,"shp",$C$125,$B148,$J$125)</f>
        <v>egy.mit.shp.nfm.nga.e.1</v>
      </c>
      <c r="K148" s="23">
        <f>SHADOW(K138,INDEX(Data_Prices!K:K,MATCH($G148,Data_Prices!$A:$A,0)),K$158)</f>
        <v>6.0634636156729131</v>
      </c>
      <c r="L148" s="23">
        <f>SHADOW(L138,INDEX(Data_Prices!L:L,MATCH($G148,Data_Prices!$A:$A,0)),L$158)</f>
        <v>5.4510150816191896</v>
      </c>
      <c r="M148" s="23">
        <f>SHADOW(M138,INDEX(Data_Prices!M:M,MATCH($G148,Data_Prices!$A:$A,0)),M$158)</f>
        <v>5.1193563062624818</v>
      </c>
      <c r="N148" s="23">
        <f>SHADOW(N138,INDEX(Data_Prices!N:N,MATCH($G148,Data_Prices!$A:$A,0)),N$158)</f>
        <v>5.0821845864040727</v>
      </c>
      <c r="O148" s="23">
        <f>SHADOW(O138,INDEX(Data_Prices!O:O,MATCH($G148,Data_Prices!$A:$A,0)),O$158)</f>
        <v>5.0821845864040727</v>
      </c>
      <c r="P148" s="23">
        <f>SHADOW(P138,INDEX(Data_Prices!P:P,MATCH($G148,Data_Prices!$A:$A,0)),P$158)</f>
        <v>5.0821845864040727</v>
      </c>
      <c r="Q148" s="23">
        <f>SHADOW(Q138,INDEX(Data_Prices!Q:Q,MATCH($G148,Data_Prices!$A:$A,0)),Q$158)</f>
        <v>5.0821845864040727</v>
      </c>
      <c r="R148" s="23">
        <f>SHADOW(R138,INDEX(Data_Prices!R:R,MATCH($G148,Data_Prices!$A:$A,0)),R$158)</f>
        <v>5.0821845864040727</v>
      </c>
      <c r="S148" s="23">
        <f>SHADOW(S138,INDEX(Data_Prices!S:S,MATCH($G148,Data_Prices!$A:$A,0)),S$158)</f>
        <v>5.0821845864040727</v>
      </c>
      <c r="T148" s="23">
        <f>SHADOW(T138,INDEX(Data_Prices!T:T,MATCH($G148,Data_Prices!$A:$A,0)),T$158)</f>
        <v>5.0821845864040727</v>
      </c>
      <c r="U148" s="23">
        <f>SHADOW(U138,INDEX(Data_Prices!U:U,MATCH($G148,Data_Prices!$A:$A,0)),U$158)</f>
        <v>5.0821845864040727</v>
      </c>
      <c r="V148" s="23">
        <f>SHADOW(V138,INDEX(Data_Prices!V:V,MATCH($G148,Data_Prices!$A:$A,0)),V$158)</f>
        <v>5.0821845864040727</v>
      </c>
      <c r="W148" s="23">
        <f>SHADOW(W138,INDEX(Data_Prices!W:W,MATCH($G148,Data_Prices!$A:$A,0)),W$158)</f>
        <v>5.0821845864040727</v>
      </c>
      <c r="X148" s="23">
        <f>SHADOW(X138,INDEX(Data_Prices!X:X,MATCH($G148,Data_Prices!$A:$A,0)),X$158)</f>
        <v>5.0821845864040727</v>
      </c>
      <c r="Y148" s="23">
        <f>SHADOW(Y138,INDEX(Data_Prices!Y:Y,MATCH($G148,Data_Prices!$A:$A,0)),Y$158)</f>
        <v>5.0821845864040727</v>
      </c>
      <c r="Z148" s="23">
        <f>SHADOW(Z138,INDEX(Data_Prices!Z:Z,MATCH($G148,Data_Prices!$A:$A,0)),Z$158)</f>
        <v>5.0821845864040727</v>
      </c>
      <c r="AA148" s="23">
        <f>SHADOW(AA138,INDEX(Data_Prices!AA:AA,MATCH($G148,Data_Prices!$A:$A,0)),AA$158)</f>
        <v>5.0821845864040727</v>
      </c>
      <c r="AB148" s="23">
        <f>SHADOW(AB138,INDEX(Data_Prices!AB:AB,MATCH($G148,Data_Prices!$A:$A,0)),AB$158)</f>
        <v>5.0821845864040727</v>
      </c>
      <c r="AC148" s="23">
        <f>SHADOW(AC138,INDEX(Data_Prices!AC:AC,MATCH($G148,Data_Prices!$A:$A,0)),AC$158)</f>
        <v>5.0821845864040727</v>
      </c>
      <c r="AD148" s="23">
        <f>SHADOW(AD138,INDEX(Data_Prices!AD:AD,MATCH($G148,Data_Prices!$A:$A,0)),AD$158)</f>
        <v>5.0821845864040727</v>
      </c>
      <c r="AE148" s="23">
        <f>SHADOW(AE138,INDEX(Data_Prices!AE:AE,MATCH($G148,Data_Prices!$A:$A,0)),AE$158)</f>
        <v>5.0821845864040727</v>
      </c>
    </row>
    <row r="149" spans="2:31" x14ac:dyDescent="0.25">
      <c r="B149" s="17" t="s">
        <v>59</v>
      </c>
      <c r="C149" s="17" t="str">
        <f t="shared" si="14"/>
        <v>nfm</v>
      </c>
      <c r="D149" s="18" t="s">
        <v>60</v>
      </c>
      <c r="E149" s="19" t="s">
        <v>61</v>
      </c>
      <c r="F149" s="17" t="s">
        <v>79</v>
      </c>
      <c r="G149" s="20" t="str">
        <f>Settings!$B$3&amp;".mit.shp."&amp;$B149&amp;"."&amp;Settings!$B$4&amp;"."&amp;$J$125</f>
        <v>egy.mit.shp.gso.ind.1</v>
      </c>
      <c r="H149" s="21" t="str">
        <f>OUTCODE(Settings!$B$3,"shp",$C$125,$B149,$J$125)</f>
        <v>egy.mit.shp.nfm.gso.e.1</v>
      </c>
      <c r="K149" s="23">
        <f>SHADOW(K139,INDEX(Data_Prices!K:K,MATCH($G149,Data_Prices!$A:$A,0)),K$158)</f>
        <v>0.67114653332181606</v>
      </c>
      <c r="L149" s="23">
        <f>SHADOW(L139,INDEX(Data_Prices!L:L,MATCH($G149,Data_Prices!$A:$A,0)),L$158)</f>
        <v>0.61197797679140631</v>
      </c>
      <c r="M149" s="23">
        <f>SHADOW(M139,INDEX(Data_Prices!M:M,MATCH($G149,Data_Prices!$A:$A,0)),M$158)</f>
        <v>0.61180974964187596</v>
      </c>
      <c r="N149" s="23">
        <f>SHADOW(N139,INDEX(Data_Prices!N:N,MATCH($G149,Data_Prices!$A:$A,0)),N$158)</f>
        <v>0.60358310017790551</v>
      </c>
      <c r="O149" s="23">
        <f>SHADOW(O139,INDEX(Data_Prices!O:O,MATCH($G149,Data_Prices!$A:$A,0)),O$158)</f>
        <v>0.60358310017790551</v>
      </c>
      <c r="P149" s="23">
        <f>SHADOW(P139,INDEX(Data_Prices!P:P,MATCH($G149,Data_Prices!$A:$A,0)),P$158)</f>
        <v>0.60358310017790551</v>
      </c>
      <c r="Q149" s="23">
        <f>SHADOW(Q139,INDEX(Data_Prices!Q:Q,MATCH($G149,Data_Prices!$A:$A,0)),Q$158)</f>
        <v>0.60358310017790551</v>
      </c>
      <c r="R149" s="23">
        <f>SHADOW(R139,INDEX(Data_Prices!R:R,MATCH($G149,Data_Prices!$A:$A,0)),R$158)</f>
        <v>0.60358310017790551</v>
      </c>
      <c r="S149" s="23">
        <f>SHADOW(S139,INDEX(Data_Prices!S:S,MATCH($G149,Data_Prices!$A:$A,0)),S$158)</f>
        <v>0.60358310017790551</v>
      </c>
      <c r="T149" s="23">
        <f>SHADOW(T139,INDEX(Data_Prices!T:T,MATCH($G149,Data_Prices!$A:$A,0)),T$158)</f>
        <v>0.60358310017790551</v>
      </c>
      <c r="U149" s="23">
        <f>SHADOW(U139,INDEX(Data_Prices!U:U,MATCH($G149,Data_Prices!$A:$A,0)),U$158)</f>
        <v>0.60358310017790551</v>
      </c>
      <c r="V149" s="23">
        <f>SHADOW(V139,INDEX(Data_Prices!V:V,MATCH($G149,Data_Prices!$A:$A,0)),V$158)</f>
        <v>0.60358310017790551</v>
      </c>
      <c r="W149" s="23">
        <f>SHADOW(W139,INDEX(Data_Prices!W:W,MATCH($G149,Data_Prices!$A:$A,0)),W$158)</f>
        <v>0.60358310017790551</v>
      </c>
      <c r="X149" s="23">
        <f>SHADOW(X139,INDEX(Data_Prices!X:X,MATCH($G149,Data_Prices!$A:$A,0)),X$158)</f>
        <v>0.60358310017790551</v>
      </c>
      <c r="Y149" s="23">
        <f>SHADOW(Y139,INDEX(Data_Prices!Y:Y,MATCH($G149,Data_Prices!$A:$A,0)),Y$158)</f>
        <v>0.60358310017790551</v>
      </c>
      <c r="Z149" s="23">
        <f>SHADOW(Z139,INDEX(Data_Prices!Z:Z,MATCH($G149,Data_Prices!$A:$A,0)),Z$158)</f>
        <v>0.60358310017790551</v>
      </c>
      <c r="AA149" s="23">
        <f>SHADOW(AA139,INDEX(Data_Prices!AA:AA,MATCH($G149,Data_Prices!$A:$A,0)),AA$158)</f>
        <v>0.60358310017790551</v>
      </c>
      <c r="AB149" s="23">
        <f>SHADOW(AB139,INDEX(Data_Prices!AB:AB,MATCH($G149,Data_Prices!$A:$A,0)),AB$158)</f>
        <v>0.60358310017790551</v>
      </c>
      <c r="AC149" s="23">
        <f>SHADOW(AC139,INDEX(Data_Prices!AC:AC,MATCH($G149,Data_Prices!$A:$A,0)),AC$158)</f>
        <v>0.60358310017790551</v>
      </c>
      <c r="AD149" s="23">
        <f>SHADOW(AD139,INDEX(Data_Prices!AD:AD,MATCH($G149,Data_Prices!$A:$A,0)),AD$158)</f>
        <v>0.60358310017790551</v>
      </c>
      <c r="AE149" s="23">
        <f>SHADOW(AE139,INDEX(Data_Prices!AE:AE,MATCH($G149,Data_Prices!$A:$A,0)),AE$158)</f>
        <v>0.60358310017790551</v>
      </c>
    </row>
    <row r="150" spans="2:31" x14ac:dyDescent="0.25">
      <c r="B150" s="17" t="s">
        <v>62</v>
      </c>
      <c r="C150" s="17" t="str">
        <f t="shared" si="14"/>
        <v>nfm</v>
      </c>
      <c r="D150" s="18" t="s">
        <v>63</v>
      </c>
      <c r="E150" s="19" t="s">
        <v>61</v>
      </c>
      <c r="F150" s="17" t="s">
        <v>79</v>
      </c>
      <c r="G150" s="20" t="str">
        <f>Settings!$B$3&amp;".mit.shp."&amp;$B150&amp;"."&amp;Settings!$B$4&amp;"."&amp;$J$125</f>
        <v>egy.mit.shp.die.ind.1</v>
      </c>
      <c r="H150" s="21" t="str">
        <f>OUTCODE(Settings!$B$3,"shp",$C$125,$B150,$J$125)</f>
        <v>egy.mit.shp.nfm.die.e.1</v>
      </c>
      <c r="K150" s="23">
        <f>SHADOW(K140,INDEX(Data_Prices!K:K,MATCH($G150,Data_Prices!$A:$A,0)),K$158)</f>
        <v>0.55971121315568761</v>
      </c>
      <c r="L150" s="23">
        <f>SHADOW(L140,INDEX(Data_Prices!L:L,MATCH($G150,Data_Prices!$A:$A,0)),L$158)</f>
        <v>0.49458873084106802</v>
      </c>
      <c r="M150" s="23">
        <f>SHADOW(M140,INDEX(Data_Prices!M:M,MATCH($G150,Data_Prices!$A:$A,0)),M$158)</f>
        <v>0.50778654720250049</v>
      </c>
      <c r="N150" s="23">
        <f>SHADOW(N140,INDEX(Data_Prices!N:N,MATCH($G150,Data_Prices!$A:$A,0)),N$158)</f>
        <v>0.47043642679561742</v>
      </c>
      <c r="O150" s="23">
        <f>SHADOW(O140,INDEX(Data_Prices!O:O,MATCH($G150,Data_Prices!$A:$A,0)),O$158)</f>
        <v>0.47043642679561742</v>
      </c>
      <c r="P150" s="23">
        <f>SHADOW(P140,INDEX(Data_Prices!P:P,MATCH($G150,Data_Prices!$A:$A,0)),P$158)</f>
        <v>0.47043642679561742</v>
      </c>
      <c r="Q150" s="23">
        <f>SHADOW(Q140,INDEX(Data_Prices!Q:Q,MATCH($G150,Data_Prices!$A:$A,0)),Q$158)</f>
        <v>0.47043642679561742</v>
      </c>
      <c r="R150" s="23">
        <f>SHADOW(R140,INDEX(Data_Prices!R:R,MATCH($G150,Data_Prices!$A:$A,0)),R$158)</f>
        <v>0.47043642679561742</v>
      </c>
      <c r="S150" s="23">
        <f>SHADOW(S140,INDEX(Data_Prices!S:S,MATCH($G150,Data_Prices!$A:$A,0)),S$158)</f>
        <v>0.47043642679561742</v>
      </c>
      <c r="T150" s="23">
        <f>SHADOW(T140,INDEX(Data_Prices!T:T,MATCH($G150,Data_Prices!$A:$A,0)),T$158)</f>
        <v>0.47043642679561742</v>
      </c>
      <c r="U150" s="23">
        <f>SHADOW(U140,INDEX(Data_Prices!U:U,MATCH($G150,Data_Prices!$A:$A,0)),U$158)</f>
        <v>0.47043642679561742</v>
      </c>
      <c r="V150" s="23">
        <f>SHADOW(V140,INDEX(Data_Prices!V:V,MATCH($G150,Data_Prices!$A:$A,0)),V$158)</f>
        <v>0.47043642679561742</v>
      </c>
      <c r="W150" s="23">
        <f>SHADOW(W140,INDEX(Data_Prices!W:W,MATCH($G150,Data_Prices!$A:$A,0)),W$158)</f>
        <v>0.47043642679561742</v>
      </c>
      <c r="X150" s="23">
        <f>SHADOW(X140,INDEX(Data_Prices!X:X,MATCH($G150,Data_Prices!$A:$A,0)),X$158)</f>
        <v>0.47043642679561742</v>
      </c>
      <c r="Y150" s="23">
        <f>SHADOW(Y140,INDEX(Data_Prices!Y:Y,MATCH($G150,Data_Prices!$A:$A,0)),Y$158)</f>
        <v>0.47043642679561742</v>
      </c>
      <c r="Z150" s="23">
        <f>SHADOW(Z140,INDEX(Data_Prices!Z:Z,MATCH($G150,Data_Prices!$A:$A,0)),Z$158)</f>
        <v>0.47043642679561742</v>
      </c>
      <c r="AA150" s="23">
        <f>SHADOW(AA140,INDEX(Data_Prices!AA:AA,MATCH($G150,Data_Prices!$A:$A,0)),AA$158)</f>
        <v>0.47043642679561742</v>
      </c>
      <c r="AB150" s="23">
        <f>SHADOW(AB140,INDEX(Data_Prices!AB:AB,MATCH($G150,Data_Prices!$A:$A,0)),AB$158)</f>
        <v>0.47043642679561742</v>
      </c>
      <c r="AC150" s="23">
        <f>SHADOW(AC140,INDEX(Data_Prices!AC:AC,MATCH($G150,Data_Prices!$A:$A,0)),AC$158)</f>
        <v>0.47043642679561742</v>
      </c>
      <c r="AD150" s="23">
        <f>SHADOW(AD140,INDEX(Data_Prices!AD:AD,MATCH($G150,Data_Prices!$A:$A,0)),AD$158)</f>
        <v>0.47043642679561742</v>
      </c>
      <c r="AE150" s="23">
        <f>SHADOW(AE140,INDEX(Data_Prices!AE:AE,MATCH($G150,Data_Prices!$A:$A,0)),AE$158)</f>
        <v>0.47043642679561742</v>
      </c>
    </row>
    <row r="151" spans="2:31" x14ac:dyDescent="0.25">
      <c r="B151" s="17" t="s">
        <v>64</v>
      </c>
      <c r="C151" s="17" t="str">
        <f t="shared" si="14"/>
        <v>nfm</v>
      </c>
      <c r="D151" s="18" t="s">
        <v>65</v>
      </c>
      <c r="E151" s="19" t="s">
        <v>61</v>
      </c>
      <c r="F151" s="17" t="s">
        <v>79</v>
      </c>
      <c r="G151" s="20" t="str">
        <f>Settings!$B$3&amp;".mit.shp."&amp;$B151&amp;"."&amp;Settings!$B$4&amp;"."&amp;$J$125</f>
        <v>egy.mit.shp.lpg.ind.1</v>
      </c>
      <c r="H151" s="21" t="str">
        <f>OUTCODE(Settings!$B$3,"shp",$C$125,$B151,$J$125)</f>
        <v>egy.mit.shp.nfm.lpg.e.1</v>
      </c>
      <c r="K151" s="23">
        <f>SHADOW(K141,INDEX(Data_Prices!K:K,MATCH($G151,Data_Prices!$A:$A,0)),K$158)</f>
        <v>0.20036669112673841</v>
      </c>
      <c r="L151" s="23">
        <f>SHADOW(L141,INDEX(Data_Prices!L:L,MATCH($G151,Data_Prices!$A:$A,0)),L$158)</f>
        <v>0.1573447362522738</v>
      </c>
      <c r="M151" s="23">
        <f>SHADOW(M141,INDEX(Data_Prices!M:M,MATCH($G151,Data_Prices!$A:$A,0)),M$158)</f>
        <v>0.1644840377592767</v>
      </c>
      <c r="N151" s="23">
        <f>SHADOW(N141,INDEX(Data_Prices!N:N,MATCH($G151,Data_Prices!$A:$A,0)),N$158)</f>
        <v>0.1507090778070489</v>
      </c>
      <c r="O151" s="23">
        <f>SHADOW(O141,INDEX(Data_Prices!O:O,MATCH($G151,Data_Prices!$A:$A,0)),O$158)</f>
        <v>0.1507090778070489</v>
      </c>
      <c r="P151" s="23">
        <f>SHADOW(P141,INDEX(Data_Prices!P:P,MATCH($G151,Data_Prices!$A:$A,0)),P$158)</f>
        <v>0.1507090778070489</v>
      </c>
      <c r="Q151" s="23">
        <f>SHADOW(Q141,INDEX(Data_Prices!Q:Q,MATCH($G151,Data_Prices!$A:$A,0)),Q$158)</f>
        <v>0.1507090778070489</v>
      </c>
      <c r="R151" s="23">
        <f>SHADOW(R141,INDEX(Data_Prices!R:R,MATCH($G151,Data_Prices!$A:$A,0)),R$158)</f>
        <v>0.1507090778070489</v>
      </c>
      <c r="S151" s="23">
        <f>SHADOW(S141,INDEX(Data_Prices!S:S,MATCH($G151,Data_Prices!$A:$A,0)),S$158)</f>
        <v>0.1507090778070489</v>
      </c>
      <c r="T151" s="23">
        <f>SHADOW(T141,INDEX(Data_Prices!T:T,MATCH($G151,Data_Prices!$A:$A,0)),T$158)</f>
        <v>0.1507090778070489</v>
      </c>
      <c r="U151" s="23">
        <f>SHADOW(U141,INDEX(Data_Prices!U:U,MATCH($G151,Data_Prices!$A:$A,0)),U$158)</f>
        <v>0.1507090778070489</v>
      </c>
      <c r="V151" s="23">
        <f>SHADOW(V141,INDEX(Data_Prices!V:V,MATCH($G151,Data_Prices!$A:$A,0)),V$158)</f>
        <v>0.1507090778070489</v>
      </c>
      <c r="W151" s="23">
        <f>SHADOW(W141,INDEX(Data_Prices!W:W,MATCH($G151,Data_Prices!$A:$A,0)),W$158)</f>
        <v>0.1507090778070489</v>
      </c>
      <c r="X151" s="23">
        <f>SHADOW(X141,INDEX(Data_Prices!X:X,MATCH($G151,Data_Prices!$A:$A,0)),X$158)</f>
        <v>0.1507090778070489</v>
      </c>
      <c r="Y151" s="23">
        <f>SHADOW(Y141,INDEX(Data_Prices!Y:Y,MATCH($G151,Data_Prices!$A:$A,0)),Y$158)</f>
        <v>0.1507090778070489</v>
      </c>
      <c r="Z151" s="23">
        <f>SHADOW(Z141,INDEX(Data_Prices!Z:Z,MATCH($G151,Data_Prices!$A:$A,0)),Z$158)</f>
        <v>0.1507090778070489</v>
      </c>
      <c r="AA151" s="23">
        <f>SHADOW(AA141,INDEX(Data_Prices!AA:AA,MATCH($G151,Data_Prices!$A:$A,0)),AA$158)</f>
        <v>0.1507090778070489</v>
      </c>
      <c r="AB151" s="23">
        <f>SHADOW(AB141,INDEX(Data_Prices!AB:AB,MATCH($G151,Data_Prices!$A:$A,0)),AB$158)</f>
        <v>0.1507090778070489</v>
      </c>
      <c r="AC151" s="23">
        <f>SHADOW(AC141,INDEX(Data_Prices!AC:AC,MATCH($G151,Data_Prices!$A:$A,0)),AC$158)</f>
        <v>0.1507090778070489</v>
      </c>
      <c r="AD151" s="23">
        <f>SHADOW(AD141,INDEX(Data_Prices!AD:AD,MATCH($G151,Data_Prices!$A:$A,0)),AD$158)</f>
        <v>0.1507090778070489</v>
      </c>
      <c r="AE151" s="23">
        <f>SHADOW(AE141,INDEX(Data_Prices!AE:AE,MATCH($G151,Data_Prices!$A:$A,0)),AE$158)</f>
        <v>0.1507090778070489</v>
      </c>
    </row>
    <row r="152" spans="2:31" x14ac:dyDescent="0.25">
      <c r="B152" s="17" t="s">
        <v>66</v>
      </c>
      <c r="C152" s="17" t="str">
        <f t="shared" si="14"/>
        <v>nfm</v>
      </c>
      <c r="D152" s="18" t="s">
        <v>67</v>
      </c>
      <c r="E152" s="19" t="s">
        <v>61</v>
      </c>
      <c r="F152" s="17" t="s">
        <v>79</v>
      </c>
      <c r="G152" s="20" t="str">
        <f>Settings!$B$3&amp;".mit.shp."&amp;$B152&amp;"."&amp;Settings!$B$4&amp;"."&amp;$J$125</f>
        <v>egy.mit.shp.ker.ind.1</v>
      </c>
      <c r="H152" s="21" t="str">
        <f>OUTCODE(Settings!$B$3,"shp",$C$125,$B152,$J$125)</f>
        <v>egy.mit.shp.nfm.ker.e.1</v>
      </c>
      <c r="K152" s="23">
        <f>SHADOW(K142,INDEX(Data_Prices!K:K,MATCH($G152,Data_Prices!$A:$A,0)),K$158)</f>
        <v>0.48429424097343482</v>
      </c>
      <c r="L152" s="23">
        <f>SHADOW(L142,INDEX(Data_Prices!L:L,MATCH($G152,Data_Prices!$A:$A,0)),L$158)</f>
        <v>0.45642817050012813</v>
      </c>
      <c r="M152" s="23">
        <f>SHADOW(M142,INDEX(Data_Prices!M:M,MATCH($G152,Data_Prices!$A:$A,0)),M$158)</f>
        <v>0.43168920195599519</v>
      </c>
      <c r="N152" s="23">
        <f>SHADOW(N142,INDEX(Data_Prices!N:N,MATCH($G152,Data_Prices!$A:$A,0)),N$158)</f>
        <v>0.42507558395596989</v>
      </c>
      <c r="O152" s="23">
        <f>SHADOW(O142,INDEX(Data_Prices!O:O,MATCH($G152,Data_Prices!$A:$A,0)),O$158)</f>
        <v>0.42507558395596989</v>
      </c>
      <c r="P152" s="23">
        <f>SHADOW(P142,INDEX(Data_Prices!P:P,MATCH($G152,Data_Prices!$A:$A,0)),P$158)</f>
        <v>0.42507558395596989</v>
      </c>
      <c r="Q152" s="23">
        <f>SHADOW(Q142,INDEX(Data_Prices!Q:Q,MATCH($G152,Data_Prices!$A:$A,0)),Q$158)</f>
        <v>0.42507558395596989</v>
      </c>
      <c r="R152" s="23">
        <f>SHADOW(R142,INDEX(Data_Prices!R:R,MATCH($G152,Data_Prices!$A:$A,0)),R$158)</f>
        <v>0.42507558395596989</v>
      </c>
      <c r="S152" s="23">
        <f>SHADOW(S142,INDEX(Data_Prices!S:S,MATCH($G152,Data_Prices!$A:$A,0)),S$158)</f>
        <v>0.42507558395596989</v>
      </c>
      <c r="T152" s="23">
        <f>SHADOW(T142,INDEX(Data_Prices!T:T,MATCH($G152,Data_Prices!$A:$A,0)),T$158)</f>
        <v>0.42507558395596989</v>
      </c>
      <c r="U152" s="23">
        <f>SHADOW(U142,INDEX(Data_Prices!U:U,MATCH($G152,Data_Prices!$A:$A,0)),U$158)</f>
        <v>0.42507558395596989</v>
      </c>
      <c r="V152" s="23">
        <f>SHADOW(V142,INDEX(Data_Prices!V:V,MATCH($G152,Data_Prices!$A:$A,0)),V$158)</f>
        <v>0.42507558395596989</v>
      </c>
      <c r="W152" s="23">
        <f>SHADOW(W142,INDEX(Data_Prices!W:W,MATCH($G152,Data_Prices!$A:$A,0)),W$158)</f>
        <v>0.42507558395596989</v>
      </c>
      <c r="X152" s="23">
        <f>SHADOW(X142,INDEX(Data_Prices!X:X,MATCH($G152,Data_Prices!$A:$A,0)),X$158)</f>
        <v>0.42507558395596989</v>
      </c>
      <c r="Y152" s="23">
        <f>SHADOW(Y142,INDEX(Data_Prices!Y:Y,MATCH($G152,Data_Prices!$A:$A,0)),Y$158)</f>
        <v>0.42507558395596989</v>
      </c>
      <c r="Z152" s="23">
        <f>SHADOW(Z142,INDEX(Data_Prices!Z:Z,MATCH($G152,Data_Prices!$A:$A,0)),Z$158)</f>
        <v>0.42507558395596989</v>
      </c>
      <c r="AA152" s="23">
        <f>SHADOW(AA142,INDEX(Data_Prices!AA:AA,MATCH($G152,Data_Prices!$A:$A,0)),AA$158)</f>
        <v>0.42507558395596989</v>
      </c>
      <c r="AB152" s="23">
        <f>SHADOW(AB142,INDEX(Data_Prices!AB:AB,MATCH($G152,Data_Prices!$A:$A,0)),AB$158)</f>
        <v>0.42507558395596989</v>
      </c>
      <c r="AC152" s="23">
        <f>SHADOW(AC142,INDEX(Data_Prices!AC:AC,MATCH($G152,Data_Prices!$A:$A,0)),AC$158)</f>
        <v>0.42507558395596989</v>
      </c>
      <c r="AD152" s="23">
        <f>SHADOW(AD142,INDEX(Data_Prices!AD:AD,MATCH($G152,Data_Prices!$A:$A,0)),AD$158)</f>
        <v>0.42507558395596989</v>
      </c>
      <c r="AE152" s="23">
        <f>SHADOW(AE142,INDEX(Data_Prices!AE:AE,MATCH($G152,Data_Prices!$A:$A,0)),AE$158)</f>
        <v>0.42507558395596989</v>
      </c>
    </row>
    <row r="153" spans="2:31" x14ac:dyDescent="0.25">
      <c r="B153" s="17" t="s">
        <v>68</v>
      </c>
      <c r="C153" s="17" t="str">
        <f t="shared" si="14"/>
        <v>nfm</v>
      </c>
      <c r="D153" s="18" t="s">
        <v>69</v>
      </c>
      <c r="E153" s="19" t="s">
        <v>70</v>
      </c>
      <c r="F153" s="17" t="s">
        <v>79</v>
      </c>
      <c r="G153" s="20" t="str">
        <f>Settings!$B$3&amp;".mit.shp."&amp;$B153&amp;"."&amp;Settings!$B$4&amp;"."&amp;$J$125</f>
        <v>egy.mit.shp.oop.ind.1</v>
      </c>
      <c r="H153" s="21" t="str">
        <f>OUTCODE(Settings!$B$3,"shp",$C$125,$B153,$J$125)</f>
        <v>egy.mit.shp.nfm.oop.e.1</v>
      </c>
      <c r="K153" s="23">
        <f>SHADOW(K143,INDEX(Data_Prices!K:K,MATCH($G153,Data_Prices!$A:$A,0)),K$158)</f>
        <v>41.50033849886843</v>
      </c>
      <c r="L153" s="23">
        <f>SHADOW(L143,INDEX(Data_Prices!L:L,MATCH($G153,Data_Prices!$A:$A,0)),L$158)</f>
        <v>34.415370304313228</v>
      </c>
      <c r="M153" s="23">
        <f>SHADOW(M143,INDEX(Data_Prices!M:M,MATCH($G153,Data_Prices!$A:$A,0)),M$158)</f>
        <v>37.368960690432033</v>
      </c>
      <c r="N153" s="23">
        <f>SHADOW(N143,INDEX(Data_Prices!N:N,MATCH($G153,Data_Prices!$A:$A,0)),N$158)</f>
        <v>28.982761101477251</v>
      </c>
      <c r="O153" s="23">
        <f>SHADOW(O143,INDEX(Data_Prices!O:O,MATCH($G153,Data_Prices!$A:$A,0)),O$158)</f>
        <v>15</v>
      </c>
      <c r="P153" s="23">
        <f>SHADOW(P143,INDEX(Data_Prices!P:P,MATCH($G153,Data_Prices!$A:$A,0)),P$158)</f>
        <v>24.2586300842555</v>
      </c>
      <c r="Q153" s="23">
        <f>SHADOW(Q143,INDEX(Data_Prices!Q:Q,MATCH($G153,Data_Prices!$A:$A,0)),Q$158)</f>
        <v>15</v>
      </c>
      <c r="R153" s="23">
        <f>SHADOW(R143,INDEX(Data_Prices!R:R,MATCH($G153,Data_Prices!$A:$A,0)),R$158)</f>
        <v>15</v>
      </c>
      <c r="S153" s="23">
        <f>SHADOW(S143,INDEX(Data_Prices!S:S,MATCH($G153,Data_Prices!$A:$A,0)),S$158)</f>
        <v>15</v>
      </c>
      <c r="T153" s="23">
        <f>SHADOW(T143,INDEX(Data_Prices!T:T,MATCH($G153,Data_Prices!$A:$A,0)),T$158)</f>
        <v>15</v>
      </c>
      <c r="U153" s="23">
        <f>SHADOW(U143,INDEX(Data_Prices!U:U,MATCH($G153,Data_Prices!$A:$A,0)),U$158)</f>
        <v>15</v>
      </c>
      <c r="V153" s="23">
        <f>SHADOW(V143,INDEX(Data_Prices!V:V,MATCH($G153,Data_Prices!$A:$A,0)),V$158)</f>
        <v>15</v>
      </c>
      <c r="W153" s="23">
        <f>SHADOW(W143,INDEX(Data_Prices!W:W,MATCH($G153,Data_Prices!$A:$A,0)),W$158)</f>
        <v>15</v>
      </c>
      <c r="X153" s="23">
        <f>SHADOW(X143,INDEX(Data_Prices!X:X,MATCH($G153,Data_Prices!$A:$A,0)),X$158)</f>
        <v>15</v>
      </c>
      <c r="Y153" s="23">
        <f>SHADOW(Y143,INDEX(Data_Prices!Y:Y,MATCH($G153,Data_Prices!$A:$A,0)),Y$158)</f>
        <v>15</v>
      </c>
      <c r="Z153" s="23">
        <f>SHADOW(Z143,INDEX(Data_Prices!Z:Z,MATCH($G153,Data_Prices!$A:$A,0)),Z$158)</f>
        <v>15</v>
      </c>
      <c r="AA153" s="23">
        <f>SHADOW(AA143,INDEX(Data_Prices!AA:AA,MATCH($G153,Data_Prices!$A:$A,0)),AA$158)</f>
        <v>15</v>
      </c>
      <c r="AB153" s="23">
        <f>SHADOW(AB143,INDEX(Data_Prices!AB:AB,MATCH($G153,Data_Prices!$A:$A,0)),AB$158)</f>
        <v>15</v>
      </c>
      <c r="AC153" s="23">
        <f>SHADOW(AC143,INDEX(Data_Prices!AC:AC,MATCH($G153,Data_Prices!$A:$A,0)),AC$158)</f>
        <v>15</v>
      </c>
      <c r="AD153" s="23">
        <f>SHADOW(AD143,INDEX(Data_Prices!AD:AD,MATCH($G153,Data_Prices!$A:$A,0)),AD$158)</f>
        <v>15</v>
      </c>
      <c r="AE153" s="23">
        <f>SHADOW(AE143,INDEX(Data_Prices!AE:AE,MATCH($G153,Data_Prices!$A:$A,0)),AE$158)</f>
        <v>15</v>
      </c>
    </row>
    <row r="154" spans="2:31" x14ac:dyDescent="0.25">
      <c r="B154" s="17" t="s">
        <v>71</v>
      </c>
      <c r="C154" s="17" t="str">
        <f t="shared" si="14"/>
        <v>nfm</v>
      </c>
      <c r="D154" s="18" t="s">
        <v>72</v>
      </c>
      <c r="E154" s="19" t="s">
        <v>55</v>
      </c>
      <c r="F154" s="17" t="s">
        <v>79</v>
      </c>
      <c r="G154" s="20" t="str">
        <f>Settings!$B$3&amp;".mit.shp."&amp;$B154&amp;"."&amp;Settings!$B$4&amp;"."&amp;$J$125</f>
        <v>egy.mit.shp.bio.ind.1</v>
      </c>
      <c r="H154" s="21" t="str">
        <f>OUTCODE(Settings!$B$3,"shp",$C$125,$B154,$J$125)</f>
        <v>egy.mit.shp.nfm.bio.e.1</v>
      </c>
      <c r="K154" s="23">
        <f>SHADOW(K144,INDEX(Data_Prices!K:K,MATCH($G154,Data_Prices!$A:$A,0)),K$158)</f>
        <v>15.33455052931693</v>
      </c>
      <c r="L154" s="23">
        <f>SHADOW(L144,INDEX(Data_Prices!L:L,MATCH($G154,Data_Prices!$A:$A,0)),L$158)</f>
        <v>14.199528390634921</v>
      </c>
      <c r="M154" s="23">
        <f>SHADOW(M144,INDEX(Data_Prices!M:M,MATCH($G154,Data_Prices!$A:$A,0)),M$158)</f>
        <v>13.840441613315161</v>
      </c>
      <c r="N154" s="23">
        <f>SHADOW(N144,INDEX(Data_Prices!N:N,MATCH($G154,Data_Prices!$A:$A,0)),N$158)</f>
        <v>13.5677269404465</v>
      </c>
      <c r="O154" s="23">
        <f>SHADOW(O144,INDEX(Data_Prices!O:O,MATCH($G154,Data_Prices!$A:$A,0)),O$158)</f>
        <v>13.5677269404465</v>
      </c>
      <c r="P154" s="23">
        <f>SHADOW(P144,INDEX(Data_Prices!P:P,MATCH($G154,Data_Prices!$A:$A,0)),P$158)</f>
        <v>13.5677269404465</v>
      </c>
      <c r="Q154" s="23">
        <f>SHADOW(Q144,INDEX(Data_Prices!Q:Q,MATCH($G154,Data_Prices!$A:$A,0)),Q$158)</f>
        <v>13.5677269404465</v>
      </c>
      <c r="R154" s="23">
        <f>SHADOW(R144,INDEX(Data_Prices!R:R,MATCH($G154,Data_Prices!$A:$A,0)),R$158)</f>
        <v>13.5677269404465</v>
      </c>
      <c r="S154" s="23">
        <f>SHADOW(S144,INDEX(Data_Prices!S:S,MATCH($G154,Data_Prices!$A:$A,0)),S$158)</f>
        <v>13.5677269404465</v>
      </c>
      <c r="T154" s="23">
        <f>SHADOW(T144,INDEX(Data_Prices!T:T,MATCH($G154,Data_Prices!$A:$A,0)),T$158)</f>
        <v>13.5677269404465</v>
      </c>
      <c r="U154" s="23">
        <f>SHADOW(U144,INDEX(Data_Prices!U:U,MATCH($G154,Data_Prices!$A:$A,0)),U$158)</f>
        <v>13.5677269404465</v>
      </c>
      <c r="V154" s="23">
        <f>SHADOW(V144,INDEX(Data_Prices!V:V,MATCH($G154,Data_Prices!$A:$A,0)),V$158)</f>
        <v>13.5677269404465</v>
      </c>
      <c r="W154" s="23">
        <f>SHADOW(W144,INDEX(Data_Prices!W:W,MATCH($G154,Data_Prices!$A:$A,0)),W$158)</f>
        <v>13.5677269404465</v>
      </c>
      <c r="X154" s="23">
        <f>SHADOW(X144,INDEX(Data_Prices!X:X,MATCH($G154,Data_Prices!$A:$A,0)),X$158)</f>
        <v>13.5677269404465</v>
      </c>
      <c r="Y154" s="23">
        <f>SHADOW(Y144,INDEX(Data_Prices!Y:Y,MATCH($G154,Data_Prices!$A:$A,0)),Y$158)</f>
        <v>13.5677269404465</v>
      </c>
      <c r="Z154" s="23">
        <f>SHADOW(Z144,INDEX(Data_Prices!Z:Z,MATCH($G154,Data_Prices!$A:$A,0)),Z$158)</f>
        <v>13.5677269404465</v>
      </c>
      <c r="AA154" s="23">
        <f>SHADOW(AA144,INDEX(Data_Prices!AA:AA,MATCH($G154,Data_Prices!$A:$A,0)),AA$158)</f>
        <v>13.5677269404465</v>
      </c>
      <c r="AB154" s="23">
        <f>SHADOW(AB144,INDEX(Data_Prices!AB:AB,MATCH($G154,Data_Prices!$A:$A,0)),AB$158)</f>
        <v>13.5677269404465</v>
      </c>
      <c r="AC154" s="23">
        <f>SHADOW(AC144,INDEX(Data_Prices!AC:AC,MATCH($G154,Data_Prices!$A:$A,0)),AC$158)</f>
        <v>13.5677269404465</v>
      </c>
      <c r="AD154" s="23">
        <f>SHADOW(AD144,INDEX(Data_Prices!AD:AD,MATCH($G154,Data_Prices!$A:$A,0)),AD$158)</f>
        <v>13.5677269404465</v>
      </c>
      <c r="AE154" s="23">
        <f>SHADOW(AE144,INDEX(Data_Prices!AE:AE,MATCH($G154,Data_Prices!$A:$A,0)),AE$158)</f>
        <v>13.5677269404465</v>
      </c>
    </row>
    <row r="155" spans="2:31" x14ac:dyDescent="0.25">
      <c r="B155" s="17" t="s">
        <v>73</v>
      </c>
      <c r="C155" s="17" t="str">
        <f t="shared" si="14"/>
        <v>nfm</v>
      </c>
      <c r="D155" s="18" t="s">
        <v>74</v>
      </c>
      <c r="E155" s="19" t="s">
        <v>75</v>
      </c>
      <c r="F155" s="17" t="s">
        <v>79</v>
      </c>
      <c r="G155" s="20" t="str">
        <f>Settings!$B$3&amp;".mit.shp."&amp;$B155&amp;"."&amp;Settings!$B$4&amp;"."&amp;$J$125</f>
        <v>egy.mit.shp.ren.ind.1</v>
      </c>
      <c r="H155" s="21" t="str">
        <f>OUTCODE(Settings!$B$3,"shp",$C$125,$B155,$J$125)</f>
        <v>egy.mit.shp.nfm.ren.e.1</v>
      </c>
      <c r="K155" s="23">
        <f>SHADOW(K145,INDEX(Data_Prices!K:K,MATCH($G155,Data_Prices!$A:$A,0)),K$158)</f>
        <v>0</v>
      </c>
      <c r="L155" s="23">
        <f>SHADOW(L145,INDEX(Data_Prices!L:L,MATCH($G155,Data_Prices!$A:$A,0)),L$158)</f>
        <v>0.14404498679319799</v>
      </c>
      <c r="M155" s="23">
        <f>SHADOW(M145,INDEX(Data_Prices!M:M,MATCH($G155,Data_Prices!$A:$A,0)),M$158)</f>
        <v>0.14102040965700391</v>
      </c>
      <c r="N155" s="23">
        <f>SHADOW(N145,INDEX(Data_Prices!N:N,MATCH($G155,Data_Prices!$A:$A,0)),N$158)</f>
        <v>0.13511635959447599</v>
      </c>
      <c r="O155" s="23">
        <f>SHADOW(O145,INDEX(Data_Prices!O:O,MATCH($G155,Data_Prices!$A:$A,0)),O$158)</f>
        <v>0.13098825698585639</v>
      </c>
      <c r="P155" s="23">
        <f>SHADOW(P145,INDEX(Data_Prices!P:P,MATCH($G155,Data_Prices!$A:$A,0)),P$158)</f>
        <v>0.12790841608631831</v>
      </c>
      <c r="Q155" s="23">
        <f>SHADOW(Q145,INDEX(Data_Prices!Q:Q,MATCH($G155,Data_Prices!$A:$A,0)),Q$158)</f>
        <v>0.124814310557813</v>
      </c>
      <c r="R155" s="23">
        <f>SHADOW(R145,INDEX(Data_Prices!R:R,MATCH($G155,Data_Prices!$A:$A,0)),R$158)</f>
        <v>0.1214602571228779</v>
      </c>
      <c r="S155" s="23">
        <f>SHADOW(S145,INDEX(Data_Prices!S:S,MATCH($G155,Data_Prices!$A:$A,0)),S$158)</f>
        <v>0.1179507441357863</v>
      </c>
      <c r="T155" s="23">
        <f>SHADOW(T145,INDEX(Data_Prices!T:T,MATCH($G155,Data_Prices!$A:$A,0)),T$158)</f>
        <v>0.1141991610445974</v>
      </c>
      <c r="U155" s="23">
        <f>SHADOW(U145,INDEX(Data_Prices!U:U,MATCH($G155,Data_Prices!$A:$A,0)),U$158)</f>
        <v>0.1136651000596645</v>
      </c>
      <c r="V155" s="23">
        <f>SHADOW(V145,INDEX(Data_Prices!V:V,MATCH($G155,Data_Prices!$A:$A,0)),V$158)</f>
        <v>0.1130169296259568</v>
      </c>
      <c r="W155" s="23">
        <f>SHADOW(W145,INDEX(Data_Prices!W:W,MATCH($G155,Data_Prices!$A:$A,0)),W$158)</f>
        <v>0.112314070507636</v>
      </c>
      <c r="X155" s="23">
        <f>SHADOW(X145,INDEX(Data_Prices!X:X,MATCH($G155,Data_Prices!$A:$A,0)),X$158)</f>
        <v>0.1114220427328433</v>
      </c>
      <c r="Y155" s="23">
        <f>SHADOW(Y145,INDEX(Data_Prices!Y:Y,MATCH($G155,Data_Prices!$A:$A,0)),Y$158)</f>
        <v>0.1104341236758091</v>
      </c>
      <c r="Z155" s="23">
        <f>SHADOW(Z145,INDEX(Data_Prices!Z:Z,MATCH($G155,Data_Prices!$A:$A,0)),Z$158)</f>
        <v>0.10948397330447129</v>
      </c>
      <c r="AA155" s="23">
        <f>SHADOW(AA145,INDEX(Data_Prices!AA:AA,MATCH($G155,Data_Prices!$A:$A,0)),AA$158)</f>
        <v>0.1083919210529401</v>
      </c>
      <c r="AB155" s="23">
        <f>SHADOW(AB145,INDEX(Data_Prices!AB:AB,MATCH($G155,Data_Prices!$A:$A,0)),AB$158)</f>
        <v>0.1073544336267039</v>
      </c>
      <c r="AC155" s="23">
        <f>SHADOW(AC145,INDEX(Data_Prices!AC:AC,MATCH($G155,Data_Prices!$A:$A,0)),AC$158)</f>
        <v>0.10516867544166079</v>
      </c>
      <c r="AD155" s="23">
        <f>SHADOW(AD145,INDEX(Data_Prices!AD:AD,MATCH($G155,Data_Prices!$A:$A,0)),AD$158)</f>
        <v>0.1030579832560081</v>
      </c>
      <c r="AE155" s="23">
        <f>SHADOW(AE145,INDEX(Data_Prices!AE:AE,MATCH($G155,Data_Prices!$A:$A,0)),AE$158)</f>
        <v>0.1009318389901144</v>
      </c>
    </row>
    <row r="156" spans="2:31" x14ac:dyDescent="0.25">
      <c r="B156" s="16" t="s">
        <v>80</v>
      </c>
    </row>
    <row r="157" spans="2:31" x14ac:dyDescent="0.25">
      <c r="B157" s="17" t="s">
        <v>81</v>
      </c>
      <c r="C157" s="17" t="str">
        <f>$C$125</f>
        <v>nfm</v>
      </c>
      <c r="D157" s="18" t="s">
        <v>82</v>
      </c>
      <c r="E157" s="19" t="s">
        <v>83</v>
      </c>
      <c r="F157" s="17" t="s">
        <v>84</v>
      </c>
      <c r="G157" s="20" t="str">
        <f>Settings!$B$3&amp;".mit.tcf."&amp;$C$125&amp;"."&amp;$J$125</f>
        <v>egy.mit.tcf.nfm.1</v>
      </c>
      <c r="K157" s="23">
        <f>INDEX(Data_Prices!K:K,MATCH($G157,Data_Prices!$A:$A,0))</f>
        <v>0</v>
      </c>
      <c r="L157" s="23">
        <f>INDEX(Data_Prices!L:L,MATCH($G157,Data_Prices!$A:$A,0))</f>
        <v>0</v>
      </c>
      <c r="M157" s="23">
        <f>INDEX(Data_Prices!M:M,MATCH($G157,Data_Prices!$A:$A,0))</f>
        <v>0</v>
      </c>
      <c r="N157" s="23">
        <f>INDEX(Data_Prices!N:N,MATCH($G157,Data_Prices!$A:$A,0))</f>
        <v>0</v>
      </c>
      <c r="O157" s="23">
        <f>INDEX(Data_Prices!O:O,MATCH($G157,Data_Prices!$A:$A,0))</f>
        <v>0</v>
      </c>
      <c r="P157" s="23">
        <f>INDEX(Data_Prices!P:P,MATCH($G157,Data_Prices!$A:$A,0))</f>
        <v>0</v>
      </c>
      <c r="Q157" s="23">
        <f>INDEX(Data_Prices!Q:Q,MATCH($G157,Data_Prices!$A:$A,0))</f>
        <v>0</v>
      </c>
      <c r="R157" s="23">
        <f>INDEX(Data_Prices!R:R,MATCH($G157,Data_Prices!$A:$A,0))</f>
        <v>0</v>
      </c>
      <c r="S157" s="23">
        <f>INDEX(Data_Prices!S:S,MATCH($G157,Data_Prices!$A:$A,0))</f>
        <v>0</v>
      </c>
      <c r="T157" s="23">
        <f>INDEX(Data_Prices!T:T,MATCH($G157,Data_Prices!$A:$A,0))</f>
        <v>0</v>
      </c>
      <c r="U157" s="23">
        <f>INDEX(Data_Prices!U:U,MATCH($G157,Data_Prices!$A:$A,0))</f>
        <v>0</v>
      </c>
      <c r="V157" s="23">
        <f>INDEX(Data_Prices!V:V,MATCH($G157,Data_Prices!$A:$A,0))</f>
        <v>0</v>
      </c>
      <c r="W157" s="23">
        <f>INDEX(Data_Prices!W:W,MATCH($G157,Data_Prices!$A:$A,0))</f>
        <v>0</v>
      </c>
      <c r="X157" s="23">
        <f>INDEX(Data_Prices!X:X,MATCH($G157,Data_Prices!$A:$A,0))</f>
        <v>0</v>
      </c>
      <c r="Y157" s="23">
        <f>INDEX(Data_Prices!Y:Y,MATCH($G157,Data_Prices!$A:$A,0))</f>
        <v>0</v>
      </c>
      <c r="Z157" s="23">
        <f>INDEX(Data_Prices!Z:Z,MATCH($G157,Data_Prices!$A:$A,0))</f>
        <v>0</v>
      </c>
      <c r="AA157" s="23">
        <f>INDEX(Data_Prices!AA:AA,MATCH($G157,Data_Prices!$A:$A,0))</f>
        <v>0</v>
      </c>
      <c r="AB157" s="23">
        <f>INDEX(Data_Prices!AB:AB,MATCH($G157,Data_Prices!$A:$A,0))</f>
        <v>0</v>
      </c>
      <c r="AC157" s="23">
        <f>INDEX(Data_Prices!AC:AC,MATCH($G157,Data_Prices!$A:$A,0))</f>
        <v>0</v>
      </c>
      <c r="AD157" s="23">
        <f>INDEX(Data_Prices!AD:AD,MATCH($G157,Data_Prices!$A:$A,0))</f>
        <v>0</v>
      </c>
      <c r="AE157" s="23">
        <f>INDEX(Data_Prices!AE:AE,MATCH($G157,Data_Prices!$A:$A,0))</f>
        <v>0</v>
      </c>
    </row>
    <row r="158" spans="2:31" x14ac:dyDescent="0.25">
      <c r="B158" s="17" t="s">
        <v>81</v>
      </c>
      <c r="C158" s="17" t="str">
        <f>$C$125</f>
        <v>nfm</v>
      </c>
      <c r="D158" s="18" t="s">
        <v>85</v>
      </c>
      <c r="E158" s="19" t="s">
        <v>83</v>
      </c>
      <c r="F158" s="17" t="s">
        <v>86</v>
      </c>
      <c r="G158" s="20" t="str">
        <f>Settings!$B$3&amp;".mit.ssc."&amp;$C$125&amp;"."&amp;$J$125</f>
        <v>egy.mit.ssc.nfm.1</v>
      </c>
      <c r="K158" s="23">
        <f>INDEX(Data_Prices!K:K,MATCH($G158,Data_Prices!$A:$A,0))</f>
        <v>0</v>
      </c>
      <c r="L158" s="23">
        <f>INDEX(Data_Prices!L:L,MATCH($G158,Data_Prices!$A:$A,0))</f>
        <v>0</v>
      </c>
      <c r="M158" s="23">
        <f>INDEX(Data_Prices!M:M,MATCH($G158,Data_Prices!$A:$A,0))</f>
        <v>0</v>
      </c>
      <c r="N158" s="23">
        <f>INDEX(Data_Prices!N:N,MATCH($G158,Data_Prices!$A:$A,0))</f>
        <v>0</v>
      </c>
      <c r="O158" s="23">
        <f>INDEX(Data_Prices!O:O,MATCH($G158,Data_Prices!$A:$A,0))</f>
        <v>0</v>
      </c>
      <c r="P158" s="23">
        <f>INDEX(Data_Prices!P:P,MATCH($G158,Data_Prices!$A:$A,0))</f>
        <v>0</v>
      </c>
      <c r="Q158" s="23">
        <f>INDEX(Data_Prices!Q:Q,MATCH($G158,Data_Prices!$A:$A,0))</f>
        <v>0</v>
      </c>
      <c r="R158" s="23">
        <f>INDEX(Data_Prices!R:R,MATCH($G158,Data_Prices!$A:$A,0))</f>
        <v>0</v>
      </c>
      <c r="S158" s="23">
        <f>INDEX(Data_Prices!S:S,MATCH($G158,Data_Prices!$A:$A,0))</f>
        <v>0</v>
      </c>
      <c r="T158" s="23">
        <f>INDEX(Data_Prices!T:T,MATCH($G158,Data_Prices!$A:$A,0))</f>
        <v>0</v>
      </c>
      <c r="U158" s="23">
        <f>INDEX(Data_Prices!U:U,MATCH($G158,Data_Prices!$A:$A,0))</f>
        <v>0</v>
      </c>
      <c r="V158" s="23">
        <f>INDEX(Data_Prices!V:V,MATCH($G158,Data_Prices!$A:$A,0))</f>
        <v>0</v>
      </c>
      <c r="W158" s="23">
        <f>INDEX(Data_Prices!W:W,MATCH($G158,Data_Prices!$A:$A,0))</f>
        <v>0</v>
      </c>
      <c r="X158" s="23">
        <f>INDEX(Data_Prices!X:X,MATCH($G158,Data_Prices!$A:$A,0))</f>
        <v>0</v>
      </c>
      <c r="Y158" s="23">
        <f>INDEX(Data_Prices!Y:Y,MATCH($G158,Data_Prices!$A:$A,0))</f>
        <v>0</v>
      </c>
      <c r="Z158" s="23">
        <f>INDEX(Data_Prices!Z:Z,MATCH($G158,Data_Prices!$A:$A,0))</f>
        <v>0</v>
      </c>
      <c r="AA158" s="23">
        <f>INDEX(Data_Prices!AA:AA,MATCH($G158,Data_Prices!$A:$A,0))</f>
        <v>0</v>
      </c>
      <c r="AB158" s="23">
        <f>INDEX(Data_Prices!AB:AB,MATCH($G158,Data_Prices!$A:$A,0))</f>
        <v>0</v>
      </c>
      <c r="AC158" s="23">
        <f>INDEX(Data_Prices!AC:AC,MATCH($G158,Data_Prices!$A:$A,0))</f>
        <v>0</v>
      </c>
      <c r="AD158" s="23">
        <f>INDEX(Data_Prices!AD:AD,MATCH($G158,Data_Prices!$A:$A,0))</f>
        <v>0</v>
      </c>
      <c r="AE158" s="23">
        <f>INDEX(Data_Prices!AE:AE,MATCH($G158,Data_Prices!$A:$A,0))</f>
        <v>0</v>
      </c>
    </row>
    <row r="159" spans="2:31" x14ac:dyDescent="0.25">
      <c r="B159" s="17" t="s">
        <v>81</v>
      </c>
      <c r="C159" s="17" t="str">
        <f>$C$125</f>
        <v>nfm</v>
      </c>
      <c r="D159" s="18" t="s">
        <v>87</v>
      </c>
      <c r="E159" s="19" t="s">
        <v>88</v>
      </c>
      <c r="F159" s="17" t="s">
        <v>89</v>
      </c>
      <c r="G159" s="20" t="str">
        <f>Settings!$B$3&amp;".mit.gdp.pos.pct."&amp;$J$125</f>
        <v>egy.mit.gdp.pos.pct.1</v>
      </c>
      <c r="K159" s="24">
        <f>INDEX(Data_Macro!K:K,MATCH($G159,Data_Macro!$A:$A,0))</f>
        <v>0</v>
      </c>
      <c r="L159" s="24">
        <f>INDEX(Data_Macro!L:L,MATCH($G159,Data_Macro!$A:$A,0))</f>
        <v>6.6513450000000002E-2</v>
      </c>
      <c r="M159" s="24">
        <f>INDEX(Data_Macro!M:M,MATCH($G159,Data_Macro!$A:$A,0))</f>
        <v>3.760281E-2</v>
      </c>
      <c r="N159" s="24">
        <f>INDEX(Data_Macro!N:N,MATCH($G159,Data_Macro!$A:$A,0))</f>
        <v>2.3988010000000001E-2</v>
      </c>
      <c r="O159" s="24">
        <f>INDEX(Data_Macro!O:O,MATCH($G159,Data_Macro!$A:$A,0))</f>
        <v>4.3923869999999997E-2</v>
      </c>
      <c r="P159" s="24">
        <f>INDEX(Data_Macro!P:P,MATCH($G159,Data_Macro!$A:$A,0))</f>
        <v>4.239706E-2</v>
      </c>
      <c r="Q159" s="24">
        <f>INDEX(Data_Macro!Q:Q,MATCH($G159,Data_Macro!$A:$A,0))</f>
        <v>4.8292179999999997E-2</v>
      </c>
      <c r="R159" s="24">
        <f>INDEX(Data_Macro!R:R,MATCH($G159,Data_Macro!$A:$A,0))</f>
        <v>5.5353159999999998E-2</v>
      </c>
      <c r="S159" s="24">
        <f>INDEX(Data_Macro!S:S,MATCH($G159,Data_Macro!$A:$A,0))</f>
        <v>5.2266060000000003E-2</v>
      </c>
      <c r="T159" s="24">
        <f>INDEX(Data_Macro!T:T,MATCH($G159,Data_Macro!$A:$A,0))</f>
        <v>4.841877E-2</v>
      </c>
      <c r="U159" s="24">
        <f>INDEX(Data_Macro!U:U,MATCH($G159,Data_Macro!$A:$A,0))</f>
        <v>4.7887359999999997E-2</v>
      </c>
      <c r="V159" s="24">
        <f>INDEX(Data_Macro!V:V,MATCH($G159,Data_Macro!$A:$A,0))</f>
        <v>4.7355950000000008E-2</v>
      </c>
      <c r="W159" s="24">
        <f>INDEX(Data_Macro!W:W,MATCH($G159,Data_Macro!$A:$A,0))</f>
        <v>4.6824540000000012E-2</v>
      </c>
      <c r="X159" s="24">
        <f>INDEX(Data_Macro!X:X,MATCH($G159,Data_Macro!$A:$A,0))</f>
        <v>4.6293130000000023E-2</v>
      </c>
      <c r="Y159" s="24">
        <f>INDEX(Data_Macro!Y:Y,MATCH($G159,Data_Macro!$A:$A,0))</f>
        <v>4.576172000000002E-2</v>
      </c>
      <c r="Z159" s="24">
        <f>INDEX(Data_Macro!Z:Z,MATCH($G159,Data_Macro!$A:$A,0))</f>
        <v>4.5230310000000017E-2</v>
      </c>
      <c r="AA159" s="24">
        <f>INDEX(Data_Macro!AA:AA,MATCH($G159,Data_Macro!$A:$A,0))</f>
        <v>4.4698900000000027E-2</v>
      </c>
      <c r="AB159" s="24">
        <f>INDEX(Data_Macro!AB:AB,MATCH($G159,Data_Macro!$A:$A,0))</f>
        <v>4.4167490000000031E-2</v>
      </c>
      <c r="AC159" s="24">
        <f>INDEX(Data_Macro!AC:AC,MATCH($G159,Data_Macro!$A:$A,0))</f>
        <v>4.3636080000000042E-2</v>
      </c>
      <c r="AD159" s="24">
        <f>INDEX(Data_Macro!AD:AD,MATCH($G159,Data_Macro!$A:$A,0))</f>
        <v>4.3104670000000039E-2</v>
      </c>
      <c r="AE159" s="24">
        <f>INDEX(Data_Macro!AE:AE,MATCH($G159,Data_Macro!$A:$A,0))</f>
        <v>4.2573260000000043E-2</v>
      </c>
    </row>
    <row r="160" spans="2:31" x14ac:dyDescent="0.25">
      <c r="B160" s="17" t="s">
        <v>81</v>
      </c>
      <c r="C160" s="17" t="str">
        <f>$C$125</f>
        <v>nfm</v>
      </c>
      <c r="D160" s="18" t="s">
        <v>90</v>
      </c>
      <c r="E160" s="19" t="s">
        <v>91</v>
      </c>
      <c r="F160" s="17" t="s">
        <v>92</v>
      </c>
      <c r="G160" s="20" t="str">
        <f>Settings!$B$3&amp;".mit.inc.ela.adj."&amp;$J$125</f>
        <v>egy.mit.inc.ela.adj.1</v>
      </c>
      <c r="K160" s="23">
        <f>INDEX(Data_Macro!K:K,MATCH($G160,Data_Macro!$A:$A,0))</f>
        <v>0</v>
      </c>
      <c r="L160" s="23">
        <f>INDEX(Data_Macro!L:L,MATCH($G160,Data_Macro!$A:$A,0))</f>
        <v>1.0271517247196089</v>
      </c>
      <c r="M160" s="23">
        <f>INDEX(Data_Macro!M:M,MATCH($G160,Data_Macro!$A:$A,0))</f>
        <v>1.0271517247196089</v>
      </c>
      <c r="N160" s="23">
        <f>INDEX(Data_Macro!N:N,MATCH($G160,Data_Macro!$A:$A,0))</f>
        <v>1.0205698358851201</v>
      </c>
      <c r="O160" s="23">
        <f>INDEX(Data_Macro!O:O,MATCH($G160,Data_Macro!$A:$A,0))</f>
        <v>1.017334428852344</v>
      </c>
      <c r="P160" s="23">
        <f>INDEX(Data_Macro!P:P,MATCH($G160,Data_Macro!$A:$A,0))</f>
        <v>1.007668332253824</v>
      </c>
      <c r="Q160" s="23">
        <f>INDEX(Data_Macro!Q:Q,MATCH($G160,Data_Macro!$A:$A,0))</f>
        <v>1.000744287175529</v>
      </c>
      <c r="R160" s="23">
        <f>INDEX(Data_Macro!R:R,MATCH($G160,Data_Macro!$A:$A,0))</f>
        <v>0.99188648901185772</v>
      </c>
      <c r="S160" s="23">
        <f>INDEX(Data_Macro!S:S,MATCH($G160,Data_Macro!$A:$A,0))</f>
        <v>0.98065540330043011</v>
      </c>
      <c r="T160" s="23">
        <f>INDEX(Data_Macro!T:T,MATCH($G160,Data_Macro!$A:$A,0))</f>
        <v>0.97020940399244326</v>
      </c>
      <c r="U160" s="23">
        <f>INDEX(Data_Macro!U:U,MATCH($G160,Data_Macro!$A:$A,0))</f>
        <v>0.9641926590771045</v>
      </c>
      <c r="V160" s="23">
        <f>INDEX(Data_Macro!V:V,MATCH($G160,Data_Macro!$A:$A,0))</f>
        <v>0.96161287122715211</v>
      </c>
      <c r="W160" s="23">
        <f>INDEX(Data_Macro!W:W,MATCH($G160,Data_Macro!$A:$A,0))</f>
        <v>0.95919844785405028</v>
      </c>
      <c r="X160" s="23">
        <f>INDEX(Data_Macro!X:X,MATCH($G160,Data_Macro!$A:$A,0))</f>
        <v>0.95695125444519591</v>
      </c>
      <c r="Y160" s="23">
        <f>INDEX(Data_Macro!Y:Y,MATCH($G160,Data_Macro!$A:$A,0))</f>
        <v>0.95487297859577691</v>
      </c>
      <c r="Z160" s="23">
        <f>INDEX(Data_Macro!Z:Z,MATCH($G160,Data_Macro!$A:$A,0))</f>
        <v>0.95296514086144846</v>
      </c>
      <c r="AA160" s="23">
        <f>INDEX(Data_Macro!AA:AA,MATCH($G160,Data_Macro!$A:$A,0))</f>
        <v>0.95122910490338464</v>
      </c>
      <c r="AB160" s="23">
        <f>INDEX(Data_Macro!AB:AB,MATCH($G160,Data_Macro!$A:$A,0))</f>
        <v>0.94966608689229326</v>
      </c>
      <c r="AC160" s="23">
        <f>INDEX(Data_Macro!AC:AC,MATCH($G160,Data_Macro!$A:$A,0))</f>
        <v>0.94827716413797614</v>
      </c>
      <c r="AD160" s="23">
        <f>INDEX(Data_Macro!AD:AD,MATCH($G160,Data_Macro!$A:$A,0))</f>
        <v>0.94706328291559227</v>
      </c>
      <c r="AE160" s="23">
        <f>INDEX(Data_Macro!AE:AE,MATCH($G160,Data_Macro!$A:$A,0))</f>
        <v>0.94602526545851262</v>
      </c>
    </row>
    <row r="161" spans="2:31" x14ac:dyDescent="0.25">
      <c r="B161" s="17" t="s">
        <v>81</v>
      </c>
      <c r="C161" s="17" t="str">
        <f>$C$125</f>
        <v>nfm</v>
      </c>
      <c r="D161" s="18" t="s">
        <v>93</v>
      </c>
      <c r="E161" s="19" t="s">
        <v>91</v>
      </c>
      <c r="F161" s="17" t="s">
        <v>94</v>
      </c>
      <c r="G161" s="20" t="str">
        <f>Settings!$B$3&amp;".mit.shock."&amp;$J$125</f>
        <v>egy.mit.shock.1</v>
      </c>
      <c r="K161" s="23">
        <f>INDEX(Data_Macro!K:K,MATCH($G161,Data_Macro!$A:$A,0))</f>
        <v>0</v>
      </c>
      <c r="L161" s="23">
        <f>INDEX(Data_Macro!L:L,MATCH($G161,Data_Macro!$A:$A,0))</f>
        <v>0</v>
      </c>
      <c r="M161" s="23">
        <f>INDEX(Data_Macro!M:M,MATCH($G161,Data_Macro!$A:$A,0))</f>
        <v>-0.2081330830204422</v>
      </c>
      <c r="N161" s="23">
        <f>INDEX(Data_Macro!N:N,MATCH($G161,Data_Macro!$A:$A,0))</f>
        <v>9.2371428571428563E-2</v>
      </c>
      <c r="O161" s="23">
        <f>INDEX(Data_Macro!O:O,MATCH($G161,Data_Macro!$A:$A,0))</f>
        <v>0</v>
      </c>
      <c r="P161" s="23">
        <f>INDEX(Data_Macro!P:P,MATCH($G161,Data_Macro!$A:$A,0))</f>
        <v>0</v>
      </c>
      <c r="Q161" s="23">
        <f>INDEX(Data_Macro!Q:Q,MATCH($G161,Data_Macro!$A:$A,0))</f>
        <v>0</v>
      </c>
      <c r="R161" s="23">
        <f>INDEX(Data_Macro!R:R,MATCH($G161,Data_Macro!$A:$A,0))</f>
        <v>0</v>
      </c>
      <c r="S161" s="23">
        <f>INDEX(Data_Macro!S:S,MATCH($G161,Data_Macro!$A:$A,0))</f>
        <v>0</v>
      </c>
      <c r="T161" s="23">
        <f>INDEX(Data_Macro!T:T,MATCH($G161,Data_Macro!$A:$A,0))</f>
        <v>0</v>
      </c>
      <c r="U161" s="23">
        <f>INDEX(Data_Macro!U:U,MATCH($G161,Data_Macro!$A:$A,0))</f>
        <v>0</v>
      </c>
      <c r="V161" s="23">
        <f>INDEX(Data_Macro!V:V,MATCH($G161,Data_Macro!$A:$A,0))</f>
        <v>0</v>
      </c>
      <c r="W161" s="23">
        <f>INDEX(Data_Macro!W:W,MATCH($G161,Data_Macro!$A:$A,0))</f>
        <v>0</v>
      </c>
      <c r="X161" s="23">
        <f>INDEX(Data_Macro!X:X,MATCH($G161,Data_Macro!$A:$A,0))</f>
        <v>0</v>
      </c>
      <c r="Y161" s="23">
        <f>INDEX(Data_Macro!Y:Y,MATCH($G161,Data_Macro!$A:$A,0))</f>
        <v>0</v>
      </c>
      <c r="Z161" s="23">
        <f>INDEX(Data_Macro!Z:Z,MATCH($G161,Data_Macro!$A:$A,0))</f>
        <v>0</v>
      </c>
      <c r="AA161" s="23">
        <f>INDEX(Data_Macro!AA:AA,MATCH($G161,Data_Macro!$A:$A,0))</f>
        <v>0</v>
      </c>
      <c r="AB161" s="23">
        <f>INDEX(Data_Macro!AB:AB,MATCH($G161,Data_Macro!$A:$A,0))</f>
        <v>0</v>
      </c>
      <c r="AC161" s="23">
        <f>INDEX(Data_Macro!AC:AC,MATCH($G161,Data_Macro!$A:$A,0))</f>
        <v>0</v>
      </c>
      <c r="AD161" s="23">
        <f>INDEX(Data_Macro!AD:AD,MATCH($G161,Data_Macro!$A:$A,0))</f>
        <v>0</v>
      </c>
      <c r="AE161" s="23">
        <f>INDEX(Data_Macro!AE:AE,MATCH($G161,Data_Macro!$A:$A,0))</f>
        <v>0</v>
      </c>
    </row>
    <row r="162" spans="2:31" x14ac:dyDescent="0.25">
      <c r="B162" s="16" t="s">
        <v>95</v>
      </c>
    </row>
    <row r="163" spans="2:31" x14ac:dyDescent="0.25">
      <c r="B163" s="8" t="s">
        <v>36</v>
      </c>
      <c r="C163" s="8" t="s">
        <v>37</v>
      </c>
      <c r="D163" s="25" t="s">
        <v>38</v>
      </c>
      <c r="E163" s="8" t="s">
        <v>96</v>
      </c>
      <c r="F163" s="8" t="s">
        <v>97</v>
      </c>
      <c r="G163" s="8" t="s">
        <v>98</v>
      </c>
      <c r="H163" s="8" t="s">
        <v>99</v>
      </c>
      <c r="I163" s="8" t="s">
        <v>100</v>
      </c>
      <c r="J163" s="8" t="s">
        <v>101</v>
      </c>
    </row>
    <row r="164" spans="2:31" x14ac:dyDescent="0.25">
      <c r="B164" s="17" t="s">
        <v>53</v>
      </c>
      <c r="C164" s="17" t="str">
        <f t="shared" ref="C164:C172" si="15">$C$125</f>
        <v>nfm</v>
      </c>
      <c r="D164" s="26" t="s">
        <v>102</v>
      </c>
      <c r="E164" s="27">
        <f>ELAST("el_inc",$J164,Settings!$B$5)</f>
        <v>0.5</v>
      </c>
      <c r="F164" s="27">
        <f>ELAST("el_dem",$J164,Settings!$B$5)</f>
        <v>-0.3</v>
      </c>
      <c r="G164" s="27">
        <f>ELAST("el_eff",$J164,Settings!$B$5)</f>
        <v>-0.4</v>
      </c>
      <c r="H164" s="27">
        <f>ELAST("eff_imp",INDEX(Data_Elast!$K:$K,MATCH($B164,Data_Elast!$I:$I,0)),Settings!$B$5)</f>
        <v>5.0000000000000001E-3</v>
      </c>
      <c r="I164" s="27">
        <f>Settings!$B$7</f>
        <v>0</v>
      </c>
      <c r="J164" s="19" t="str">
        <f>INDEX(Data_Elast!$J:$J,MATCH($B164,Data_Elast!$I:$I,0))</f>
        <v>coa</v>
      </c>
    </row>
    <row r="165" spans="2:31" x14ac:dyDescent="0.25">
      <c r="B165" s="17" t="s">
        <v>57</v>
      </c>
      <c r="C165" s="17" t="str">
        <f t="shared" si="15"/>
        <v>nfm</v>
      </c>
      <c r="D165" s="26" t="s">
        <v>103</v>
      </c>
      <c r="E165" s="27">
        <f>ELAST("el_inc",$J165,Settings!$B$5)</f>
        <v>1</v>
      </c>
      <c r="F165" s="27">
        <f>ELAST("el_dem",$J165,Settings!$B$5)</f>
        <v>-0.5</v>
      </c>
      <c r="G165" s="27">
        <f>ELAST("el_eff",$J165,Settings!$B$5)</f>
        <v>-0.5</v>
      </c>
      <c r="H165" s="27">
        <f>ELAST("eff_imp",INDEX(Data_Elast!$K:$K,MATCH($B165,Data_Elast!$I:$I,0)),Settings!$B$5)</f>
        <v>0.01</v>
      </c>
      <c r="I165" s="27">
        <f>Settings!$B$7</f>
        <v>0</v>
      </c>
      <c r="J165" s="19" t="str">
        <f>INDEX(Data_Elast!$J:$J,MATCH($B165,Data_Elast!$I:$I,0))</f>
        <v>nga</v>
      </c>
    </row>
    <row r="166" spans="2:31" x14ac:dyDescent="0.25">
      <c r="B166" s="17" t="s">
        <v>59</v>
      </c>
      <c r="C166" s="17" t="str">
        <f t="shared" si="15"/>
        <v>nfm</v>
      </c>
      <c r="D166" s="26" t="s">
        <v>104</v>
      </c>
      <c r="E166" s="27">
        <f>ELAST("el_inc",$J166,Settings!$B$5)</f>
        <v>0.5</v>
      </c>
      <c r="F166" s="27">
        <f>ELAST("el_dem",$J166,Settings!$B$5)</f>
        <v>-0.4</v>
      </c>
      <c r="G166" s="27">
        <f>ELAST("el_eff",$J166,Settings!$B$5)</f>
        <v>-0.7</v>
      </c>
      <c r="H166" s="27">
        <f>ELAST("eff_imp",INDEX(Data_Elast!$K:$K,MATCH($B166,Data_Elast!$I:$I,0)),Settings!$B$5)</f>
        <v>5.0000000000000001E-3</v>
      </c>
      <c r="I166" s="27">
        <f>Settings!$B$7</f>
        <v>0</v>
      </c>
      <c r="J166" s="19" t="str">
        <f>INDEX(Data_Elast!$J:$J,MATCH($B166,Data_Elast!$I:$I,0))</f>
        <v>gso</v>
      </c>
    </row>
    <row r="167" spans="2:31" x14ac:dyDescent="0.25">
      <c r="B167" s="17" t="s">
        <v>62</v>
      </c>
      <c r="C167" s="17" t="str">
        <f t="shared" si="15"/>
        <v>nfm</v>
      </c>
      <c r="D167" s="26" t="s">
        <v>105</v>
      </c>
      <c r="E167" s="27">
        <f>ELAST("el_inc",$J167,Settings!$B$5)</f>
        <v>0.5</v>
      </c>
      <c r="F167" s="27">
        <f>ELAST("el_dem",$J167,Settings!$B$5)</f>
        <v>-0.7</v>
      </c>
      <c r="G167" s="27">
        <f>ELAST("el_eff",$J167,Settings!$B$5)</f>
        <v>-1.2</v>
      </c>
      <c r="H167" s="27">
        <f>ELAST("eff_imp",INDEX(Data_Elast!$K:$K,MATCH($B167,Data_Elast!$I:$I,0)),Settings!$B$5)</f>
        <v>5.0000000000000001E-3</v>
      </c>
      <c r="I167" s="27">
        <f>Settings!$B$7</f>
        <v>0</v>
      </c>
      <c r="J167" s="19" t="str">
        <f>INDEX(Data_Elast!$J:$J,MATCH($B167,Data_Elast!$I:$I,0))</f>
        <v>die</v>
      </c>
    </row>
    <row r="168" spans="2:31" x14ac:dyDescent="0.25">
      <c r="B168" s="17" t="s">
        <v>64</v>
      </c>
      <c r="C168" s="17" t="str">
        <f t="shared" si="15"/>
        <v>nfm</v>
      </c>
      <c r="D168" s="26" t="s">
        <v>106</v>
      </c>
      <c r="E168" s="27">
        <f>ELAST("el_inc",$J168,Settings!$B$5)</f>
        <v>0.8</v>
      </c>
      <c r="F168" s="27">
        <f>ELAST("el_dem",$J168,Settings!$B$5)</f>
        <v>-0.4</v>
      </c>
      <c r="G168" s="27">
        <f>ELAST("el_eff",$J168,Settings!$B$5)</f>
        <v>-0.4</v>
      </c>
      <c r="H168" s="27">
        <f>ELAST("eff_imp",INDEX(Data_Elast!$K:$K,MATCH($B168,Data_Elast!$I:$I,0)),Settings!$B$5)</f>
        <v>5.0000000000000001E-3</v>
      </c>
      <c r="I168" s="27">
        <f>Settings!$B$7</f>
        <v>0</v>
      </c>
      <c r="J168" s="19" t="str">
        <f>INDEX(Data_Elast!$J:$J,MATCH($B168,Data_Elast!$I:$I,0))</f>
        <v>oil</v>
      </c>
    </row>
    <row r="169" spans="2:31" x14ac:dyDescent="0.25">
      <c r="B169" s="17" t="s">
        <v>66</v>
      </c>
      <c r="C169" s="17" t="str">
        <f t="shared" si="15"/>
        <v>nfm</v>
      </c>
      <c r="D169" s="26" t="s">
        <v>107</v>
      </c>
      <c r="E169" s="27">
        <f>ELAST("el_inc",$J169,Settings!$B$5)</f>
        <v>0.8</v>
      </c>
      <c r="F169" s="27">
        <f>ELAST("el_dem",$J169,Settings!$B$5)</f>
        <v>-0.4</v>
      </c>
      <c r="G169" s="27">
        <f>ELAST("el_eff",$J169,Settings!$B$5)</f>
        <v>-0.4</v>
      </c>
      <c r="H169" s="27">
        <f>ELAST("eff_imp",INDEX(Data_Elast!$K:$K,MATCH($B169,Data_Elast!$I:$I,0)),Settings!$B$5)</f>
        <v>5.0000000000000001E-3</v>
      </c>
      <c r="I169" s="27">
        <f>Settings!$B$7</f>
        <v>0</v>
      </c>
      <c r="J169" s="19" t="str">
        <f>INDEX(Data_Elast!$J:$J,MATCH($B169,Data_Elast!$I:$I,0))</f>
        <v>oil</v>
      </c>
    </row>
    <row r="170" spans="2:31" x14ac:dyDescent="0.25">
      <c r="B170" s="17" t="s">
        <v>68</v>
      </c>
      <c r="C170" s="17" t="str">
        <f t="shared" si="15"/>
        <v>nfm</v>
      </c>
      <c r="D170" s="26" t="s">
        <v>108</v>
      </c>
      <c r="E170" s="27">
        <f>ELAST("el_inc",$J170,Settings!$B$5)</f>
        <v>0.8</v>
      </c>
      <c r="F170" s="27">
        <f>ELAST("el_dem",$J170,Settings!$B$5)</f>
        <v>-0.4</v>
      </c>
      <c r="G170" s="27">
        <f>ELAST("el_eff",$J170,Settings!$B$5)</f>
        <v>-0.4</v>
      </c>
      <c r="H170" s="27">
        <f>ELAST("eff_imp",INDEX(Data_Elast!$K:$K,MATCH($B170,Data_Elast!$I:$I,0)),Settings!$B$5)</f>
        <v>5.0000000000000001E-3</v>
      </c>
      <c r="I170" s="27">
        <f>Settings!$B$7</f>
        <v>0</v>
      </c>
      <c r="J170" s="19" t="str">
        <f>INDEX(Data_Elast!$J:$J,MATCH($B170,Data_Elast!$I:$I,0))</f>
        <v>oil</v>
      </c>
    </row>
    <row r="171" spans="2:31" x14ac:dyDescent="0.25">
      <c r="B171" s="17" t="s">
        <v>71</v>
      </c>
      <c r="C171" s="17" t="str">
        <f t="shared" si="15"/>
        <v>nfm</v>
      </c>
      <c r="D171" s="26" t="s">
        <v>109</v>
      </c>
      <c r="E171" s="27">
        <f>ELAST("el_inc",$J171,Settings!$B$5)</f>
        <v>0.1</v>
      </c>
      <c r="F171" s="27">
        <f>ELAST("el_dem",$J171,Settings!$B$5)</f>
        <v>-0.3</v>
      </c>
      <c r="G171" s="27">
        <f>ELAST("el_eff",$J171,Settings!$B$5)</f>
        <v>-0.2</v>
      </c>
      <c r="H171" s="27">
        <f>ELAST("eff_imp",INDEX(Data_Elast!$K:$K,MATCH($B171,Data_Elast!$I:$I,0)),Settings!$B$5)</f>
        <v>5.0000000000000001E-3</v>
      </c>
      <c r="I171" s="27">
        <f>Settings!$B$7</f>
        <v>0</v>
      </c>
      <c r="J171" s="19" t="str">
        <f>INDEX(Data_Elast!$J:$J,MATCH($B171,Data_Elast!$I:$I,0))</f>
        <v>bio</v>
      </c>
    </row>
    <row r="172" spans="2:31" x14ac:dyDescent="0.25">
      <c r="B172" s="17" t="s">
        <v>73</v>
      </c>
      <c r="C172" s="17" t="str">
        <f t="shared" si="15"/>
        <v>nfm</v>
      </c>
      <c r="D172" s="26" t="s">
        <v>110</v>
      </c>
      <c r="E172" s="27">
        <f>ELAST("el_inc",$J172,Settings!$B$5)</f>
        <v>0.8</v>
      </c>
      <c r="F172" s="27">
        <f>ELAST("el_dem",$J172,Settings!$B$5)</f>
        <v>-0.5</v>
      </c>
      <c r="G172" s="27">
        <f>ELAST("el_eff",$J172,Settings!$B$5)</f>
        <v>-0.4</v>
      </c>
      <c r="H172" s="27">
        <f>ELAST("eff_imp",INDEX(Data_Elast!$K:$K,MATCH($B172,Data_Elast!$I:$I,0)),Settings!$B$5)</f>
        <v>5.0000000000000001E-3</v>
      </c>
      <c r="I172" s="27">
        <f>Settings!$B$7</f>
        <v>0</v>
      </c>
      <c r="J172" s="19" t="str">
        <f>INDEX(Data_Elast!$J:$J,MATCH($B172,Data_Elast!$I:$I,0))</f>
        <v>ren</v>
      </c>
    </row>
    <row r="173" spans="2:31" x14ac:dyDescent="0.25">
      <c r="B173" s="16" t="s">
        <v>111</v>
      </c>
    </row>
    <row r="174" spans="2:31" x14ac:dyDescent="0.25">
      <c r="B174" s="17" t="s">
        <v>53</v>
      </c>
      <c r="C174" s="17" t="str">
        <f t="shared" ref="C174:C183" si="16">$C$125</f>
        <v>nfm</v>
      </c>
      <c r="D174" s="18" t="s">
        <v>54</v>
      </c>
      <c r="E174" s="19" t="s">
        <v>112</v>
      </c>
      <c r="F174" s="17" t="s">
        <v>113</v>
      </c>
      <c r="G174" s="20" t="str">
        <f>Settings!$B$3&amp;".mit.enc."&amp;$B174</f>
        <v>egy.mit.enc.coa</v>
      </c>
      <c r="H174" s="21" t="str">
        <f>OUTCODE(Settings!$B$3,"ener",$C$125,$B174,$J$125)</f>
        <v>egy.mit.ener.nfm.coa.e.1</v>
      </c>
      <c r="L174" s="28">
        <f>INDEX(Data_Energy!$D$3:$U$22,MATCH($B174,Data_Energy!$C$3:$C$22,0),MATCH($C174,Data_Energy!$D$2:$U$2,0))</f>
        <v>0</v>
      </c>
      <c r="M174" s="29">
        <f>FUELUSE(L174,L137,M137,L147,M147,M$159,M$160,M$161,$E164,$F164,$G164,$H164,$I164)</f>
        <v>0</v>
      </c>
      <c r="N174" s="29">
        <f>FUELUSE(M174,M137,N137,M147,N147,N$159,N$160,N$161,$E164,$F164,$G164,$H164,$I164)</f>
        <v>0</v>
      </c>
      <c r="O174" s="29">
        <f>FUELUSE(N174,N137,O137,N147,O147,O$159,O$160,O$161,$E164,$F164,$G164,$H164,$I164)</f>
        <v>0</v>
      </c>
      <c r="P174" s="29">
        <f>FUELUSE(O174,O137,P137,O147,P147,P$159,P$160,P$161,$E164,$F164,$G164,$H164,$I164)</f>
        <v>0</v>
      </c>
      <c r="Q174" s="29">
        <f>FUELUSE(P174,P137,Q137,P147,Q147,Q$159,Q$160,Q$161,$E164,$F164,$G164,$H164,$I164)</f>
        <v>0</v>
      </c>
      <c r="R174" s="29">
        <f>FUELUSE(Q174,Q137,R137,Q147,R147,R$159,R$160,R$161,$E164,$F164,$G164,$H164,$I164)</f>
        <v>0</v>
      </c>
      <c r="S174" s="29">
        <f>FUELUSE(R174,R137,S137,R147,S147,S$159,S$160,S$161,$E164,$F164,$G164,$H164,$I164)</f>
        <v>0</v>
      </c>
      <c r="T174" s="29">
        <f>FUELUSE(S174,S137,T137,S147,T147,T$159,T$160,T$161,$E164,$F164,$G164,$H164,$I164)</f>
        <v>0</v>
      </c>
      <c r="U174" s="29">
        <f>FUELUSE(T174,T137,U137,T147,U147,U$159,U$160,U$161,$E164,$F164,$G164,$H164,$I164)</f>
        <v>0</v>
      </c>
      <c r="V174" s="29">
        <f>FUELUSE(U174,U137,V137,U147,V147,V$159,V$160,V$161,$E164,$F164,$G164,$H164,$I164)</f>
        <v>0</v>
      </c>
      <c r="W174" s="29">
        <f>FUELUSE(V174,V137,W137,V147,W147,W$159,W$160,W$161,$E164,$F164,$G164,$H164,$I164)</f>
        <v>0</v>
      </c>
      <c r="X174" s="29">
        <f>FUELUSE(W174,W137,X137,W147,X147,X$159,X$160,X$161,$E164,$F164,$G164,$H164,$I164)</f>
        <v>0</v>
      </c>
      <c r="Y174" s="29">
        <f>FUELUSE(X174,X137,Y137,X147,Y147,Y$159,Y$160,Y$161,$E164,$F164,$G164,$H164,$I164)</f>
        <v>0</v>
      </c>
      <c r="Z174" s="29">
        <f>FUELUSE(Y174,Y137,Z137,Y147,Z147,Z$159,Z$160,Z$161,$E164,$F164,$G164,$H164,$I164)</f>
        <v>0</v>
      </c>
      <c r="AA174" s="29">
        <f>FUELUSE(Z174,Z137,AA137,Z147,AA147,AA$159,AA$160,AA$161,$E164,$F164,$G164,$H164,$I164)</f>
        <v>0</v>
      </c>
      <c r="AB174" s="29">
        <f>FUELUSE(AA174,AA137,AB137,AA147,AB147,AB$159,AB$160,AB$161,$E164,$F164,$G164,$H164,$I164)</f>
        <v>0</v>
      </c>
      <c r="AC174" s="29">
        <f>FUELUSE(AB174,AB137,AC137,AB147,AC147,AC$159,AC$160,AC$161,$E164,$F164,$G164,$H164,$I164)</f>
        <v>0</v>
      </c>
      <c r="AD174" s="29">
        <f>FUELUSE(AC174,AC137,AD137,AC147,AD147,AD$159,AD$160,AD$161,$E164,$F164,$G164,$H164,$I164)</f>
        <v>0</v>
      </c>
      <c r="AE174" s="29">
        <f>FUELUSE(AD174,AD137,AE137,AD147,AE147,AE$159,AE$160,AE$161,$E164,$F164,$G164,$H164,$I164)</f>
        <v>0</v>
      </c>
    </row>
    <row r="175" spans="2:31" x14ac:dyDescent="0.25">
      <c r="B175" s="17" t="s">
        <v>57</v>
      </c>
      <c r="C175" s="17" t="str">
        <f t="shared" si="16"/>
        <v>nfm</v>
      </c>
      <c r="D175" s="18" t="s">
        <v>58</v>
      </c>
      <c r="E175" s="19" t="s">
        <v>112</v>
      </c>
      <c r="F175" s="17" t="s">
        <v>113</v>
      </c>
      <c r="G175" s="20" t="str">
        <f>Settings!$B$3&amp;".mit.enc."&amp;$B175</f>
        <v>egy.mit.enc.nga</v>
      </c>
      <c r="H175" s="21" t="str">
        <f>OUTCODE(Settings!$B$3,"ener",$C$125,$B175,$J$125)</f>
        <v>egy.mit.ener.nfm.nga.e.1</v>
      </c>
      <c r="L175" s="28">
        <f>INDEX(Data_Energy!$D$3:$U$22,MATCH($B175,Data_Energy!$C$3:$C$22,0),MATCH($C175,Data_Energy!$D$2:$U$2,0))</f>
        <v>0</v>
      </c>
      <c r="M175" s="29">
        <f>FUELUSE(L175,L138,M138,L148,M148,M$159,M$160,M$161,$E165,$F165,$G165,$H165,$I165)</f>
        <v>0</v>
      </c>
      <c r="N175" s="29">
        <f>FUELUSE(M175,M138,N138,M148,N148,N$159,N$160,N$161,$E165,$F165,$G165,$H165,$I165)</f>
        <v>0</v>
      </c>
      <c r="O175" s="29">
        <f>FUELUSE(N175,N138,O138,N148,O148,O$159,O$160,O$161,$E165,$F165,$G165,$H165,$I165)</f>
        <v>0</v>
      </c>
      <c r="P175" s="29">
        <f>FUELUSE(O175,O138,P138,O148,P148,P$159,P$160,P$161,$E165,$F165,$G165,$H165,$I165)</f>
        <v>0</v>
      </c>
      <c r="Q175" s="29">
        <f>FUELUSE(P175,P138,Q138,P148,Q148,Q$159,Q$160,Q$161,$E165,$F165,$G165,$H165,$I165)</f>
        <v>0</v>
      </c>
      <c r="R175" s="29">
        <f>FUELUSE(Q175,Q138,R138,Q148,R148,R$159,R$160,R$161,$E165,$F165,$G165,$H165,$I165)</f>
        <v>0</v>
      </c>
      <c r="S175" s="29">
        <f>FUELUSE(R175,R138,S138,R148,S148,S$159,S$160,S$161,$E165,$F165,$G165,$H165,$I165)</f>
        <v>0</v>
      </c>
      <c r="T175" s="29">
        <f>FUELUSE(S175,S138,T138,S148,T148,T$159,T$160,T$161,$E165,$F165,$G165,$H165,$I165)</f>
        <v>0</v>
      </c>
      <c r="U175" s="29">
        <f>FUELUSE(T175,T138,U138,T148,U148,U$159,U$160,U$161,$E165,$F165,$G165,$H165,$I165)</f>
        <v>0</v>
      </c>
      <c r="V175" s="29">
        <f>FUELUSE(U175,U138,V138,U148,V148,V$159,V$160,V$161,$E165,$F165,$G165,$H165,$I165)</f>
        <v>0</v>
      </c>
      <c r="W175" s="29">
        <f>FUELUSE(V175,V138,W138,V148,W148,W$159,W$160,W$161,$E165,$F165,$G165,$H165,$I165)</f>
        <v>0</v>
      </c>
      <c r="X175" s="29">
        <f>FUELUSE(W175,W138,X138,W148,X148,X$159,X$160,X$161,$E165,$F165,$G165,$H165,$I165)</f>
        <v>0</v>
      </c>
      <c r="Y175" s="29">
        <f>FUELUSE(X175,X138,Y138,X148,Y148,Y$159,Y$160,Y$161,$E165,$F165,$G165,$H165,$I165)</f>
        <v>0</v>
      </c>
      <c r="Z175" s="29">
        <f>FUELUSE(Y175,Y138,Z138,Y148,Z148,Z$159,Z$160,Z$161,$E165,$F165,$G165,$H165,$I165)</f>
        <v>0</v>
      </c>
      <c r="AA175" s="29">
        <f>FUELUSE(Z175,Z138,AA138,Z148,AA148,AA$159,AA$160,AA$161,$E165,$F165,$G165,$H165,$I165)</f>
        <v>0</v>
      </c>
      <c r="AB175" s="29">
        <f>FUELUSE(AA175,AA138,AB138,AA148,AB148,AB$159,AB$160,AB$161,$E165,$F165,$G165,$H165,$I165)</f>
        <v>0</v>
      </c>
      <c r="AC175" s="29">
        <f>FUELUSE(AB175,AB138,AC138,AB148,AC148,AC$159,AC$160,AC$161,$E165,$F165,$G165,$H165,$I165)</f>
        <v>0</v>
      </c>
      <c r="AD175" s="29">
        <f>FUELUSE(AC175,AC138,AD138,AC148,AD148,AD$159,AD$160,AD$161,$E165,$F165,$G165,$H165,$I165)</f>
        <v>0</v>
      </c>
      <c r="AE175" s="29">
        <f>FUELUSE(AD175,AD138,AE138,AD148,AE148,AE$159,AE$160,AE$161,$E165,$F165,$G165,$H165,$I165)</f>
        <v>0</v>
      </c>
    </row>
    <row r="176" spans="2:31" x14ac:dyDescent="0.25">
      <c r="B176" s="17" t="s">
        <v>59</v>
      </c>
      <c r="C176" s="17" t="str">
        <f t="shared" si="16"/>
        <v>nfm</v>
      </c>
      <c r="D176" s="18" t="s">
        <v>60</v>
      </c>
      <c r="E176" s="19" t="s">
        <v>112</v>
      </c>
      <c r="F176" s="17" t="s">
        <v>113</v>
      </c>
      <c r="G176" s="20" t="str">
        <f>Settings!$B$3&amp;".mit.enc."&amp;$B176</f>
        <v>egy.mit.enc.gso</v>
      </c>
      <c r="H176" s="21" t="str">
        <f>OUTCODE(Settings!$B$3,"ener",$C$125,$B176,$J$125)</f>
        <v>egy.mit.ener.nfm.gso.e.1</v>
      </c>
      <c r="L176" s="28">
        <f>INDEX(Data_Energy!$D$3:$U$22,MATCH($B176,Data_Energy!$C$3:$C$22,0),MATCH($C176,Data_Energy!$D$2:$U$2,0))</f>
        <v>0</v>
      </c>
      <c r="M176" s="29">
        <f>FUELUSE(L176,L139,M139,L149,M149,M$159,M$160,M$161,$E166,$F166,$G166,$H166,$I166)</f>
        <v>0</v>
      </c>
      <c r="N176" s="29">
        <f>FUELUSE(M176,M139,N139,M149,N149,N$159,N$160,N$161,$E166,$F166,$G166,$H166,$I166)</f>
        <v>0</v>
      </c>
      <c r="O176" s="29">
        <f>FUELUSE(N176,N139,O139,N149,O149,O$159,O$160,O$161,$E166,$F166,$G166,$H166,$I166)</f>
        <v>0</v>
      </c>
      <c r="P176" s="29">
        <f>FUELUSE(O176,O139,P139,O149,P149,P$159,P$160,P$161,$E166,$F166,$G166,$H166,$I166)</f>
        <v>0</v>
      </c>
      <c r="Q176" s="29">
        <f>FUELUSE(P176,P139,Q139,P149,Q149,Q$159,Q$160,Q$161,$E166,$F166,$G166,$H166,$I166)</f>
        <v>0</v>
      </c>
      <c r="R176" s="29">
        <f>FUELUSE(Q176,Q139,R139,Q149,R149,R$159,R$160,R$161,$E166,$F166,$G166,$H166,$I166)</f>
        <v>0</v>
      </c>
      <c r="S176" s="29">
        <f>FUELUSE(R176,R139,S139,R149,S149,S$159,S$160,S$161,$E166,$F166,$G166,$H166,$I166)</f>
        <v>0</v>
      </c>
      <c r="T176" s="29">
        <f>FUELUSE(S176,S139,T139,S149,T149,T$159,T$160,T$161,$E166,$F166,$G166,$H166,$I166)</f>
        <v>0</v>
      </c>
      <c r="U176" s="29">
        <f>FUELUSE(T176,T139,U139,T149,U149,U$159,U$160,U$161,$E166,$F166,$G166,$H166,$I166)</f>
        <v>0</v>
      </c>
      <c r="V176" s="29">
        <f>FUELUSE(U176,U139,V139,U149,V149,V$159,V$160,V$161,$E166,$F166,$G166,$H166,$I166)</f>
        <v>0</v>
      </c>
      <c r="W176" s="29">
        <f>FUELUSE(V176,V139,W139,V149,W149,W$159,W$160,W$161,$E166,$F166,$G166,$H166,$I166)</f>
        <v>0</v>
      </c>
      <c r="X176" s="29">
        <f>FUELUSE(W176,W139,X139,W149,X149,X$159,X$160,X$161,$E166,$F166,$G166,$H166,$I166)</f>
        <v>0</v>
      </c>
      <c r="Y176" s="29">
        <f>FUELUSE(X176,X139,Y139,X149,Y149,Y$159,Y$160,Y$161,$E166,$F166,$G166,$H166,$I166)</f>
        <v>0</v>
      </c>
      <c r="Z176" s="29">
        <f>FUELUSE(Y176,Y139,Z139,Y149,Z149,Z$159,Z$160,Z$161,$E166,$F166,$G166,$H166,$I166)</f>
        <v>0</v>
      </c>
      <c r="AA176" s="29">
        <f>FUELUSE(Z176,Z139,AA139,Z149,AA149,AA$159,AA$160,AA$161,$E166,$F166,$G166,$H166,$I166)</f>
        <v>0</v>
      </c>
      <c r="AB176" s="29">
        <f>FUELUSE(AA176,AA139,AB139,AA149,AB149,AB$159,AB$160,AB$161,$E166,$F166,$G166,$H166,$I166)</f>
        <v>0</v>
      </c>
      <c r="AC176" s="29">
        <f>FUELUSE(AB176,AB139,AC139,AB149,AC149,AC$159,AC$160,AC$161,$E166,$F166,$G166,$H166,$I166)</f>
        <v>0</v>
      </c>
      <c r="AD176" s="29">
        <f>FUELUSE(AC176,AC139,AD139,AC149,AD149,AD$159,AD$160,AD$161,$E166,$F166,$G166,$H166,$I166)</f>
        <v>0</v>
      </c>
      <c r="AE176" s="29">
        <f>FUELUSE(AD176,AD139,AE139,AD149,AE149,AE$159,AE$160,AE$161,$E166,$F166,$G166,$H166,$I166)</f>
        <v>0</v>
      </c>
    </row>
    <row r="177" spans="1:35" x14ac:dyDescent="0.25">
      <c r="B177" s="17" t="s">
        <v>62</v>
      </c>
      <c r="C177" s="17" t="str">
        <f t="shared" si="16"/>
        <v>nfm</v>
      </c>
      <c r="D177" s="18" t="s">
        <v>63</v>
      </c>
      <c r="E177" s="19" t="s">
        <v>112</v>
      </c>
      <c r="F177" s="17" t="s">
        <v>113</v>
      </c>
      <c r="G177" s="20" t="str">
        <f>Settings!$B$3&amp;".mit.enc."&amp;$B177</f>
        <v>egy.mit.enc.die</v>
      </c>
      <c r="H177" s="21" t="str">
        <f>OUTCODE(Settings!$B$3,"ener",$C$125,$B177,$J$125)</f>
        <v>egy.mit.ener.nfm.die.e.1</v>
      </c>
      <c r="L177" s="28">
        <f>INDEX(Data_Energy!$D$3:$U$22,MATCH($B177,Data_Energy!$C$3:$C$22,0),MATCH($C177,Data_Energy!$D$2:$U$2,0))</f>
        <v>0</v>
      </c>
      <c r="M177" s="29">
        <f>FUELUSE(L177,L140,M140,L150,M150,M$159,M$160,M$161,$E167,$F167,$G167,$H167,$I167)</f>
        <v>0</v>
      </c>
      <c r="N177" s="29">
        <f>FUELUSE(M177,M140,N140,M150,N150,N$159,N$160,N$161,$E167,$F167,$G167,$H167,$I167)</f>
        <v>0</v>
      </c>
      <c r="O177" s="29">
        <f>FUELUSE(N177,N140,O140,N150,O150,O$159,O$160,O$161,$E167,$F167,$G167,$H167,$I167)</f>
        <v>0</v>
      </c>
      <c r="P177" s="29">
        <f>FUELUSE(O177,O140,P140,O150,P150,P$159,P$160,P$161,$E167,$F167,$G167,$H167,$I167)</f>
        <v>0</v>
      </c>
      <c r="Q177" s="29">
        <f>FUELUSE(P177,P140,Q140,P150,Q150,Q$159,Q$160,Q$161,$E167,$F167,$G167,$H167,$I167)</f>
        <v>0</v>
      </c>
      <c r="R177" s="29">
        <f>FUELUSE(Q177,Q140,R140,Q150,R150,R$159,R$160,R$161,$E167,$F167,$G167,$H167,$I167)</f>
        <v>0</v>
      </c>
      <c r="S177" s="29">
        <f>FUELUSE(R177,R140,S140,R150,S150,S$159,S$160,S$161,$E167,$F167,$G167,$H167,$I167)</f>
        <v>0</v>
      </c>
      <c r="T177" s="29">
        <f>FUELUSE(S177,S140,T140,S150,T150,T$159,T$160,T$161,$E167,$F167,$G167,$H167,$I167)</f>
        <v>0</v>
      </c>
      <c r="U177" s="29">
        <f>FUELUSE(T177,T140,U140,T150,U150,U$159,U$160,U$161,$E167,$F167,$G167,$H167,$I167)</f>
        <v>0</v>
      </c>
      <c r="V177" s="29">
        <f>FUELUSE(U177,U140,V140,U150,V150,V$159,V$160,V$161,$E167,$F167,$G167,$H167,$I167)</f>
        <v>0</v>
      </c>
      <c r="W177" s="29">
        <f>FUELUSE(V177,V140,W140,V150,W150,W$159,W$160,W$161,$E167,$F167,$G167,$H167,$I167)</f>
        <v>0</v>
      </c>
      <c r="X177" s="29">
        <f>FUELUSE(W177,W140,X140,W150,X150,X$159,X$160,X$161,$E167,$F167,$G167,$H167,$I167)</f>
        <v>0</v>
      </c>
      <c r="Y177" s="29">
        <f>FUELUSE(X177,X140,Y140,X150,Y150,Y$159,Y$160,Y$161,$E167,$F167,$G167,$H167,$I167)</f>
        <v>0</v>
      </c>
      <c r="Z177" s="29">
        <f>FUELUSE(Y177,Y140,Z140,Y150,Z150,Z$159,Z$160,Z$161,$E167,$F167,$G167,$H167,$I167)</f>
        <v>0</v>
      </c>
      <c r="AA177" s="29">
        <f>FUELUSE(Z177,Z140,AA140,Z150,AA150,AA$159,AA$160,AA$161,$E167,$F167,$G167,$H167,$I167)</f>
        <v>0</v>
      </c>
      <c r="AB177" s="29">
        <f>FUELUSE(AA177,AA140,AB140,AA150,AB150,AB$159,AB$160,AB$161,$E167,$F167,$G167,$H167,$I167)</f>
        <v>0</v>
      </c>
      <c r="AC177" s="29">
        <f>FUELUSE(AB177,AB140,AC140,AB150,AC150,AC$159,AC$160,AC$161,$E167,$F167,$G167,$H167,$I167)</f>
        <v>0</v>
      </c>
      <c r="AD177" s="29">
        <f>FUELUSE(AC177,AC140,AD140,AC150,AD150,AD$159,AD$160,AD$161,$E167,$F167,$G167,$H167,$I167)</f>
        <v>0</v>
      </c>
      <c r="AE177" s="29">
        <f>FUELUSE(AD177,AD140,AE140,AD150,AE150,AE$159,AE$160,AE$161,$E167,$F167,$G167,$H167,$I167)</f>
        <v>0</v>
      </c>
    </row>
    <row r="178" spans="1:35" x14ac:dyDescent="0.25">
      <c r="B178" s="17" t="s">
        <v>64</v>
      </c>
      <c r="C178" s="17" t="str">
        <f t="shared" si="16"/>
        <v>nfm</v>
      </c>
      <c r="D178" s="18" t="s">
        <v>65</v>
      </c>
      <c r="E178" s="19" t="s">
        <v>112</v>
      </c>
      <c r="F178" s="17" t="s">
        <v>113</v>
      </c>
      <c r="G178" s="20" t="str">
        <f>Settings!$B$3&amp;".mit.enc."&amp;$B178</f>
        <v>egy.mit.enc.lpg</v>
      </c>
      <c r="H178" s="21" t="str">
        <f>OUTCODE(Settings!$B$3,"ener",$C$125,$B178,$J$125)</f>
        <v>egy.mit.ener.nfm.lpg.e.1</v>
      </c>
      <c r="L178" s="28">
        <f>INDEX(Data_Energy!$D$3:$U$22,MATCH($B178,Data_Energy!$C$3:$C$22,0),MATCH($C178,Data_Energy!$D$2:$U$2,0))</f>
        <v>0</v>
      </c>
      <c r="M178" s="29">
        <f>FUELUSE(L178,L141,M141,L151,M151,M$159,M$160,M$161,$E168,$F168,$G168,$H168,$I168)</f>
        <v>0</v>
      </c>
      <c r="N178" s="29">
        <f>FUELUSE(M178,M141,N141,M151,N151,N$159,N$160,N$161,$E168,$F168,$G168,$H168,$I168)</f>
        <v>0</v>
      </c>
      <c r="O178" s="29">
        <f>FUELUSE(N178,N141,O141,N151,O151,O$159,O$160,O$161,$E168,$F168,$G168,$H168,$I168)</f>
        <v>0</v>
      </c>
      <c r="P178" s="29">
        <f>FUELUSE(O178,O141,P141,O151,P151,P$159,P$160,P$161,$E168,$F168,$G168,$H168,$I168)</f>
        <v>0</v>
      </c>
      <c r="Q178" s="29">
        <f>FUELUSE(P178,P141,Q141,P151,Q151,Q$159,Q$160,Q$161,$E168,$F168,$G168,$H168,$I168)</f>
        <v>0</v>
      </c>
      <c r="R178" s="29">
        <f>FUELUSE(Q178,Q141,R141,Q151,R151,R$159,R$160,R$161,$E168,$F168,$G168,$H168,$I168)</f>
        <v>0</v>
      </c>
      <c r="S178" s="29">
        <f>FUELUSE(R178,R141,S141,R151,S151,S$159,S$160,S$161,$E168,$F168,$G168,$H168,$I168)</f>
        <v>0</v>
      </c>
      <c r="T178" s="29">
        <f>FUELUSE(S178,S141,T141,S151,T151,T$159,T$160,T$161,$E168,$F168,$G168,$H168,$I168)</f>
        <v>0</v>
      </c>
      <c r="U178" s="29">
        <f>FUELUSE(T178,T141,U141,T151,U151,U$159,U$160,U$161,$E168,$F168,$G168,$H168,$I168)</f>
        <v>0</v>
      </c>
      <c r="V178" s="29">
        <f>FUELUSE(U178,U141,V141,U151,V151,V$159,V$160,V$161,$E168,$F168,$G168,$H168,$I168)</f>
        <v>0</v>
      </c>
      <c r="W178" s="29">
        <f>FUELUSE(V178,V141,W141,V151,W151,W$159,W$160,W$161,$E168,$F168,$G168,$H168,$I168)</f>
        <v>0</v>
      </c>
      <c r="X178" s="29">
        <f>FUELUSE(W178,W141,X141,W151,X151,X$159,X$160,X$161,$E168,$F168,$G168,$H168,$I168)</f>
        <v>0</v>
      </c>
      <c r="Y178" s="29">
        <f>FUELUSE(X178,X141,Y141,X151,Y151,Y$159,Y$160,Y$161,$E168,$F168,$G168,$H168,$I168)</f>
        <v>0</v>
      </c>
      <c r="Z178" s="29">
        <f>FUELUSE(Y178,Y141,Z141,Y151,Z151,Z$159,Z$160,Z$161,$E168,$F168,$G168,$H168,$I168)</f>
        <v>0</v>
      </c>
      <c r="AA178" s="29">
        <f>FUELUSE(Z178,Z141,AA141,Z151,AA151,AA$159,AA$160,AA$161,$E168,$F168,$G168,$H168,$I168)</f>
        <v>0</v>
      </c>
      <c r="AB178" s="29">
        <f>FUELUSE(AA178,AA141,AB141,AA151,AB151,AB$159,AB$160,AB$161,$E168,$F168,$G168,$H168,$I168)</f>
        <v>0</v>
      </c>
      <c r="AC178" s="29">
        <f>FUELUSE(AB178,AB141,AC141,AB151,AC151,AC$159,AC$160,AC$161,$E168,$F168,$G168,$H168,$I168)</f>
        <v>0</v>
      </c>
      <c r="AD178" s="29">
        <f>FUELUSE(AC178,AC141,AD141,AC151,AD151,AD$159,AD$160,AD$161,$E168,$F168,$G168,$H168,$I168)</f>
        <v>0</v>
      </c>
      <c r="AE178" s="29">
        <f>FUELUSE(AD178,AD141,AE141,AD151,AE151,AE$159,AE$160,AE$161,$E168,$F168,$G168,$H168,$I168)</f>
        <v>0</v>
      </c>
    </row>
    <row r="179" spans="1:35" x14ac:dyDescent="0.25">
      <c r="B179" s="17" t="s">
        <v>66</v>
      </c>
      <c r="C179" s="17" t="str">
        <f t="shared" si="16"/>
        <v>nfm</v>
      </c>
      <c r="D179" s="18" t="s">
        <v>67</v>
      </c>
      <c r="E179" s="19" t="s">
        <v>112</v>
      </c>
      <c r="F179" s="17" t="s">
        <v>113</v>
      </c>
      <c r="G179" s="20" t="str">
        <f>Settings!$B$3&amp;".mit.enc."&amp;$B179</f>
        <v>egy.mit.enc.ker</v>
      </c>
      <c r="H179" s="21" t="str">
        <f>OUTCODE(Settings!$B$3,"ener",$C$125,$B179,$J$125)</f>
        <v>egy.mit.ener.nfm.ker.e.1</v>
      </c>
      <c r="L179" s="28">
        <f>INDEX(Data_Energy!$D$3:$U$22,MATCH($B179,Data_Energy!$C$3:$C$22,0),MATCH($C179,Data_Energy!$D$2:$U$2,0))</f>
        <v>0</v>
      </c>
      <c r="M179" s="29">
        <f>FUELUSE(L179,L142,M142,L152,M152,M$159,M$160,M$161,$E169,$F169,$G169,$H169,$I169)</f>
        <v>0</v>
      </c>
      <c r="N179" s="29">
        <f>FUELUSE(M179,M142,N142,M152,N152,N$159,N$160,N$161,$E169,$F169,$G169,$H169,$I169)</f>
        <v>0</v>
      </c>
      <c r="O179" s="29">
        <f>FUELUSE(N179,N142,O142,N152,O152,O$159,O$160,O$161,$E169,$F169,$G169,$H169,$I169)</f>
        <v>0</v>
      </c>
      <c r="P179" s="29">
        <f>FUELUSE(O179,O142,P142,O152,P152,P$159,P$160,P$161,$E169,$F169,$G169,$H169,$I169)</f>
        <v>0</v>
      </c>
      <c r="Q179" s="29">
        <f>FUELUSE(P179,P142,Q142,P152,Q152,Q$159,Q$160,Q$161,$E169,$F169,$G169,$H169,$I169)</f>
        <v>0</v>
      </c>
      <c r="R179" s="29">
        <f>FUELUSE(Q179,Q142,R142,Q152,R152,R$159,R$160,R$161,$E169,$F169,$G169,$H169,$I169)</f>
        <v>0</v>
      </c>
      <c r="S179" s="29">
        <f>FUELUSE(R179,R142,S142,R152,S152,S$159,S$160,S$161,$E169,$F169,$G169,$H169,$I169)</f>
        <v>0</v>
      </c>
      <c r="T179" s="29">
        <f>FUELUSE(S179,S142,T142,S152,T152,T$159,T$160,T$161,$E169,$F169,$G169,$H169,$I169)</f>
        <v>0</v>
      </c>
      <c r="U179" s="29">
        <f>FUELUSE(T179,T142,U142,T152,U152,U$159,U$160,U$161,$E169,$F169,$G169,$H169,$I169)</f>
        <v>0</v>
      </c>
      <c r="V179" s="29">
        <f>FUELUSE(U179,U142,V142,U152,V152,V$159,V$160,V$161,$E169,$F169,$G169,$H169,$I169)</f>
        <v>0</v>
      </c>
      <c r="W179" s="29">
        <f>FUELUSE(V179,V142,W142,V152,W152,W$159,W$160,W$161,$E169,$F169,$G169,$H169,$I169)</f>
        <v>0</v>
      </c>
      <c r="X179" s="29">
        <f>FUELUSE(W179,W142,X142,W152,X152,X$159,X$160,X$161,$E169,$F169,$G169,$H169,$I169)</f>
        <v>0</v>
      </c>
      <c r="Y179" s="29">
        <f>FUELUSE(X179,X142,Y142,X152,Y152,Y$159,Y$160,Y$161,$E169,$F169,$G169,$H169,$I169)</f>
        <v>0</v>
      </c>
      <c r="Z179" s="29">
        <f>FUELUSE(Y179,Y142,Z142,Y152,Z152,Z$159,Z$160,Z$161,$E169,$F169,$G169,$H169,$I169)</f>
        <v>0</v>
      </c>
      <c r="AA179" s="29">
        <f>FUELUSE(Z179,Z142,AA142,Z152,AA152,AA$159,AA$160,AA$161,$E169,$F169,$G169,$H169,$I169)</f>
        <v>0</v>
      </c>
      <c r="AB179" s="29">
        <f>FUELUSE(AA179,AA142,AB142,AA152,AB152,AB$159,AB$160,AB$161,$E169,$F169,$G169,$H169,$I169)</f>
        <v>0</v>
      </c>
      <c r="AC179" s="29">
        <f>FUELUSE(AB179,AB142,AC142,AB152,AC152,AC$159,AC$160,AC$161,$E169,$F169,$G169,$H169,$I169)</f>
        <v>0</v>
      </c>
      <c r="AD179" s="29">
        <f>FUELUSE(AC179,AC142,AD142,AC152,AD152,AD$159,AD$160,AD$161,$E169,$F169,$G169,$H169,$I169)</f>
        <v>0</v>
      </c>
      <c r="AE179" s="29">
        <f>FUELUSE(AD179,AD142,AE142,AD152,AE152,AE$159,AE$160,AE$161,$E169,$F169,$G169,$H169,$I169)</f>
        <v>0</v>
      </c>
    </row>
    <row r="180" spans="1:35" x14ac:dyDescent="0.25">
      <c r="B180" s="17" t="s">
        <v>68</v>
      </c>
      <c r="C180" s="17" t="str">
        <f t="shared" si="16"/>
        <v>nfm</v>
      </c>
      <c r="D180" s="18" t="s">
        <v>69</v>
      </c>
      <c r="E180" s="19" t="s">
        <v>112</v>
      </c>
      <c r="F180" s="17" t="s">
        <v>113</v>
      </c>
      <c r="G180" s="20" t="str">
        <f>Settings!$B$3&amp;".mit.enc."&amp;$B180</f>
        <v>egy.mit.enc.oop</v>
      </c>
      <c r="H180" s="21" t="str">
        <f>OUTCODE(Settings!$B$3,"ener",$C$125,$B180,$J$125)</f>
        <v>egy.mit.ener.nfm.oop.e.1</v>
      </c>
      <c r="L180" s="28">
        <f>INDEX(Data_Energy!$D$3:$U$22,MATCH($B180,Data_Energy!$C$3:$C$22,0),MATCH($C180,Data_Energy!$D$2:$U$2,0))</f>
        <v>0</v>
      </c>
      <c r="M180" s="29">
        <f>FUELUSE(L180,L143,M143,L153,M153,M$159,M$160,M$161,$E170,$F170,$G170,$H170,$I170)</f>
        <v>0</v>
      </c>
      <c r="N180" s="29">
        <f>FUELUSE(M180,M143,N143,M153,N153,N$159,N$160,N$161,$E170,$F170,$G170,$H170,$I170)</f>
        <v>0</v>
      </c>
      <c r="O180" s="29">
        <f>FUELUSE(N180,N143,O143,N153,O153,O$159,O$160,O$161,$E170,$F170,$G170,$H170,$I170)</f>
        <v>0</v>
      </c>
      <c r="P180" s="29">
        <f>FUELUSE(O180,O143,P143,O153,P153,P$159,P$160,P$161,$E170,$F170,$G170,$H170,$I170)</f>
        <v>0</v>
      </c>
      <c r="Q180" s="29">
        <f>FUELUSE(P180,P143,Q143,P153,Q153,Q$159,Q$160,Q$161,$E170,$F170,$G170,$H170,$I170)</f>
        <v>0</v>
      </c>
      <c r="R180" s="29">
        <f>FUELUSE(Q180,Q143,R143,Q153,R153,R$159,R$160,R$161,$E170,$F170,$G170,$H170,$I170)</f>
        <v>0</v>
      </c>
      <c r="S180" s="29">
        <f>FUELUSE(R180,R143,S143,R153,S153,S$159,S$160,S$161,$E170,$F170,$G170,$H170,$I170)</f>
        <v>0</v>
      </c>
      <c r="T180" s="29">
        <f>FUELUSE(S180,S143,T143,S153,T153,T$159,T$160,T$161,$E170,$F170,$G170,$H170,$I170)</f>
        <v>0</v>
      </c>
      <c r="U180" s="29">
        <f>FUELUSE(T180,T143,U143,T153,U153,U$159,U$160,U$161,$E170,$F170,$G170,$H170,$I170)</f>
        <v>0</v>
      </c>
      <c r="V180" s="29">
        <f>FUELUSE(U180,U143,V143,U153,V153,V$159,V$160,V$161,$E170,$F170,$G170,$H170,$I170)</f>
        <v>0</v>
      </c>
      <c r="W180" s="29">
        <f>FUELUSE(V180,V143,W143,V153,W153,W$159,W$160,W$161,$E170,$F170,$G170,$H170,$I170)</f>
        <v>0</v>
      </c>
      <c r="X180" s="29">
        <f>FUELUSE(W180,W143,X143,W153,X153,X$159,X$160,X$161,$E170,$F170,$G170,$H170,$I170)</f>
        <v>0</v>
      </c>
      <c r="Y180" s="29">
        <f>FUELUSE(X180,X143,Y143,X153,Y153,Y$159,Y$160,Y$161,$E170,$F170,$G170,$H170,$I170)</f>
        <v>0</v>
      </c>
      <c r="Z180" s="29">
        <f>FUELUSE(Y180,Y143,Z143,Y153,Z153,Z$159,Z$160,Z$161,$E170,$F170,$G170,$H170,$I170)</f>
        <v>0</v>
      </c>
      <c r="AA180" s="29">
        <f>FUELUSE(Z180,Z143,AA143,Z153,AA153,AA$159,AA$160,AA$161,$E170,$F170,$G170,$H170,$I170)</f>
        <v>0</v>
      </c>
      <c r="AB180" s="29">
        <f>FUELUSE(AA180,AA143,AB143,AA153,AB153,AB$159,AB$160,AB$161,$E170,$F170,$G170,$H170,$I170)</f>
        <v>0</v>
      </c>
      <c r="AC180" s="29">
        <f>FUELUSE(AB180,AB143,AC143,AB153,AC153,AC$159,AC$160,AC$161,$E170,$F170,$G170,$H170,$I170)</f>
        <v>0</v>
      </c>
      <c r="AD180" s="29">
        <f>FUELUSE(AC180,AC143,AD143,AC153,AD153,AD$159,AD$160,AD$161,$E170,$F170,$G170,$H170,$I170)</f>
        <v>0</v>
      </c>
      <c r="AE180" s="29">
        <f>FUELUSE(AD180,AD143,AE143,AD153,AE153,AE$159,AE$160,AE$161,$E170,$F170,$G170,$H170,$I170)</f>
        <v>0</v>
      </c>
    </row>
    <row r="181" spans="1:35" x14ac:dyDescent="0.25">
      <c r="B181" s="17" t="s">
        <v>71</v>
      </c>
      <c r="C181" s="17" t="str">
        <f t="shared" si="16"/>
        <v>nfm</v>
      </c>
      <c r="D181" s="18" t="s">
        <v>72</v>
      </c>
      <c r="E181" s="19" t="s">
        <v>112</v>
      </c>
      <c r="F181" s="17" t="s">
        <v>113</v>
      </c>
      <c r="G181" s="20" t="str">
        <f>Settings!$B$3&amp;".mit.enc."&amp;$B181</f>
        <v>egy.mit.enc.bio</v>
      </c>
      <c r="H181" s="21" t="str">
        <f>OUTCODE(Settings!$B$3,"ener",$C$125,$B181,$J$125)</f>
        <v>egy.mit.ener.nfm.bio.e.1</v>
      </c>
      <c r="L181" s="28">
        <f>INDEX(Data_Energy!$D$3:$U$22,MATCH($B181,Data_Energy!$C$3:$C$22,0),MATCH($C181,Data_Energy!$D$2:$U$2,0))</f>
        <v>0</v>
      </c>
      <c r="M181" s="29">
        <f>FUELUSE(L181,L144,M144,L154,M154,M$159,M$160,M$161,$E171,$F171,$G171,$H171,$I171)</f>
        <v>0</v>
      </c>
      <c r="N181" s="29">
        <f>FUELUSE(M181,M144,N144,M154,N154,N$159,N$160,N$161,$E171,$F171,$G171,$H171,$I171)</f>
        <v>0</v>
      </c>
      <c r="O181" s="29">
        <f>FUELUSE(N181,N144,O144,N154,O154,O$159,O$160,O$161,$E171,$F171,$G171,$H171,$I171)</f>
        <v>0</v>
      </c>
      <c r="P181" s="29">
        <f>FUELUSE(O181,O144,P144,O154,P154,P$159,P$160,P$161,$E171,$F171,$G171,$H171,$I171)</f>
        <v>0</v>
      </c>
      <c r="Q181" s="29">
        <f>FUELUSE(P181,P144,Q144,P154,Q154,Q$159,Q$160,Q$161,$E171,$F171,$G171,$H171,$I171)</f>
        <v>0</v>
      </c>
      <c r="R181" s="29">
        <f>FUELUSE(Q181,Q144,R144,Q154,R154,R$159,R$160,R$161,$E171,$F171,$G171,$H171,$I171)</f>
        <v>0</v>
      </c>
      <c r="S181" s="29">
        <f>FUELUSE(R181,R144,S144,R154,S154,S$159,S$160,S$161,$E171,$F171,$G171,$H171,$I171)</f>
        <v>0</v>
      </c>
      <c r="T181" s="29">
        <f>FUELUSE(S181,S144,T144,S154,T154,T$159,T$160,T$161,$E171,$F171,$G171,$H171,$I171)</f>
        <v>0</v>
      </c>
      <c r="U181" s="29">
        <f>FUELUSE(T181,T144,U144,T154,U154,U$159,U$160,U$161,$E171,$F171,$G171,$H171,$I171)</f>
        <v>0</v>
      </c>
      <c r="V181" s="29">
        <f>FUELUSE(U181,U144,V144,U154,V154,V$159,V$160,V$161,$E171,$F171,$G171,$H171,$I171)</f>
        <v>0</v>
      </c>
      <c r="W181" s="29">
        <f>FUELUSE(V181,V144,W144,V154,W154,W$159,W$160,W$161,$E171,$F171,$G171,$H171,$I171)</f>
        <v>0</v>
      </c>
      <c r="X181" s="29">
        <f>FUELUSE(W181,W144,X144,W154,X154,X$159,X$160,X$161,$E171,$F171,$G171,$H171,$I171)</f>
        <v>0</v>
      </c>
      <c r="Y181" s="29">
        <f>FUELUSE(X181,X144,Y144,X154,Y154,Y$159,Y$160,Y$161,$E171,$F171,$G171,$H171,$I171)</f>
        <v>0</v>
      </c>
      <c r="Z181" s="29">
        <f>FUELUSE(Y181,Y144,Z144,Y154,Z154,Z$159,Z$160,Z$161,$E171,$F171,$G171,$H171,$I171)</f>
        <v>0</v>
      </c>
      <c r="AA181" s="29">
        <f>FUELUSE(Z181,Z144,AA144,Z154,AA154,AA$159,AA$160,AA$161,$E171,$F171,$G171,$H171,$I171)</f>
        <v>0</v>
      </c>
      <c r="AB181" s="29">
        <f>FUELUSE(AA181,AA144,AB144,AA154,AB154,AB$159,AB$160,AB$161,$E171,$F171,$G171,$H171,$I171)</f>
        <v>0</v>
      </c>
      <c r="AC181" s="29">
        <f>FUELUSE(AB181,AB144,AC144,AB154,AC154,AC$159,AC$160,AC$161,$E171,$F171,$G171,$H171,$I171)</f>
        <v>0</v>
      </c>
      <c r="AD181" s="29">
        <f>FUELUSE(AC181,AC144,AD144,AC154,AD154,AD$159,AD$160,AD$161,$E171,$F171,$G171,$H171,$I171)</f>
        <v>0</v>
      </c>
      <c r="AE181" s="29">
        <f>FUELUSE(AD181,AD144,AE144,AD154,AE154,AE$159,AE$160,AE$161,$E171,$F171,$G171,$H171,$I171)</f>
        <v>0</v>
      </c>
    </row>
    <row r="182" spans="1:35" x14ac:dyDescent="0.25">
      <c r="B182" s="17" t="s">
        <v>73</v>
      </c>
      <c r="C182" s="17" t="str">
        <f t="shared" si="16"/>
        <v>nfm</v>
      </c>
      <c r="D182" s="18" t="s">
        <v>74</v>
      </c>
      <c r="E182" s="19" t="s">
        <v>112</v>
      </c>
      <c r="F182" s="17" t="s">
        <v>113</v>
      </c>
      <c r="G182" s="20" t="str">
        <f>Settings!$B$3&amp;".mit.enc."&amp;$B182</f>
        <v>egy.mit.enc.ren</v>
      </c>
      <c r="H182" s="21" t="str">
        <f>OUTCODE(Settings!$B$3,"ener",$C$125,$B182,$J$125)</f>
        <v>egy.mit.ener.nfm.ren.e.1</v>
      </c>
      <c r="L182" s="28">
        <f>INDEX(Data_Energy!$D$3:$U$22,MATCH($B182,Data_Energy!$C$3:$C$22,0),MATCH($C182,Data_Energy!$D$2:$U$2,0))</f>
        <v>0</v>
      </c>
      <c r="M182" s="29">
        <f>FUELUSE(L182,L145,M145,L155,M155,M$159,M$160,M$161,$E172,$F172,$G172,$H172,$I172)</f>
        <v>0</v>
      </c>
      <c r="N182" s="29">
        <f>FUELUSE(M182,M145,N145,M155,N155,N$159,N$160,N$161,$E172,$F172,$G172,$H172,$I172)</f>
        <v>0</v>
      </c>
      <c r="O182" s="29">
        <f>FUELUSE(N182,N145,O145,N155,O155,O$159,O$160,O$161,$E172,$F172,$G172,$H172,$I172)</f>
        <v>0</v>
      </c>
      <c r="P182" s="29">
        <f>FUELUSE(O182,O145,P145,O155,P155,P$159,P$160,P$161,$E172,$F172,$G172,$H172,$I172)</f>
        <v>0</v>
      </c>
      <c r="Q182" s="29">
        <f>FUELUSE(P182,P145,Q145,P155,Q155,Q$159,Q$160,Q$161,$E172,$F172,$G172,$H172,$I172)</f>
        <v>0</v>
      </c>
      <c r="R182" s="29">
        <f>FUELUSE(Q182,Q145,R145,Q155,R155,R$159,R$160,R$161,$E172,$F172,$G172,$H172,$I172)</f>
        <v>0</v>
      </c>
      <c r="S182" s="29">
        <f>FUELUSE(R182,R145,S145,R155,S155,S$159,S$160,S$161,$E172,$F172,$G172,$H172,$I172)</f>
        <v>0</v>
      </c>
      <c r="T182" s="29">
        <f>FUELUSE(S182,S145,T145,S155,T155,T$159,T$160,T$161,$E172,$F172,$G172,$H172,$I172)</f>
        <v>0</v>
      </c>
      <c r="U182" s="29">
        <f>FUELUSE(T182,T145,U145,T155,U155,U$159,U$160,U$161,$E172,$F172,$G172,$H172,$I172)</f>
        <v>0</v>
      </c>
      <c r="V182" s="29">
        <f>FUELUSE(U182,U145,V145,U155,V155,V$159,V$160,V$161,$E172,$F172,$G172,$H172,$I172)</f>
        <v>0</v>
      </c>
      <c r="W182" s="29">
        <f>FUELUSE(V182,V145,W145,V155,W155,W$159,W$160,W$161,$E172,$F172,$G172,$H172,$I172)</f>
        <v>0</v>
      </c>
      <c r="X182" s="29">
        <f>FUELUSE(W182,W145,X145,W155,X155,X$159,X$160,X$161,$E172,$F172,$G172,$H172,$I172)</f>
        <v>0</v>
      </c>
      <c r="Y182" s="29">
        <f>FUELUSE(X182,X145,Y145,X155,Y155,Y$159,Y$160,Y$161,$E172,$F172,$G172,$H172,$I172)</f>
        <v>0</v>
      </c>
      <c r="Z182" s="29">
        <f>FUELUSE(Y182,Y145,Z145,Y155,Z155,Z$159,Z$160,Z$161,$E172,$F172,$G172,$H172,$I172)</f>
        <v>0</v>
      </c>
      <c r="AA182" s="29">
        <f>FUELUSE(Z182,Z145,AA145,Z155,AA155,AA$159,AA$160,AA$161,$E172,$F172,$G172,$H172,$I172)</f>
        <v>0</v>
      </c>
      <c r="AB182" s="29">
        <f>FUELUSE(AA182,AA145,AB145,AA155,AB155,AB$159,AB$160,AB$161,$E172,$F172,$G172,$H172,$I172)</f>
        <v>0</v>
      </c>
      <c r="AC182" s="29">
        <f>FUELUSE(AB182,AB145,AC145,AB155,AC155,AC$159,AC$160,AC$161,$E172,$F172,$G172,$H172,$I172)</f>
        <v>0</v>
      </c>
      <c r="AD182" s="29">
        <f>FUELUSE(AC182,AC145,AD145,AC155,AD155,AD$159,AD$160,AD$161,$E172,$F172,$G172,$H172,$I172)</f>
        <v>0</v>
      </c>
      <c r="AE182" s="29">
        <f>FUELUSE(AD182,AD145,AE145,AD155,AE155,AE$159,AE$160,AE$161,$E172,$F172,$G172,$H172,$I172)</f>
        <v>0</v>
      </c>
    </row>
    <row r="183" spans="1:35" x14ac:dyDescent="0.25">
      <c r="B183" s="17" t="s">
        <v>114</v>
      </c>
      <c r="C183" s="17" t="str">
        <f t="shared" si="16"/>
        <v>nfm</v>
      </c>
      <c r="D183" s="30" t="s">
        <v>115</v>
      </c>
      <c r="E183" s="19" t="s">
        <v>112</v>
      </c>
      <c r="F183" s="17" t="s">
        <v>113</v>
      </c>
      <c r="H183" s="21" t="str">
        <f>OUTCODE(Settings!$B$3,"ener",$C$125,"tot",$J$125)</f>
        <v>egy.mit.ener.nfm.tot.e.1</v>
      </c>
      <c r="L183" s="31">
        <f t="shared" ref="L183:AE183" si="17">SUM(L174:L182)</f>
        <v>0</v>
      </c>
      <c r="M183" s="31">
        <f t="shared" si="17"/>
        <v>0</v>
      </c>
      <c r="N183" s="31">
        <f t="shared" si="17"/>
        <v>0</v>
      </c>
      <c r="O183" s="31">
        <f t="shared" si="17"/>
        <v>0</v>
      </c>
      <c r="P183" s="31">
        <f t="shared" si="17"/>
        <v>0</v>
      </c>
      <c r="Q183" s="31">
        <f t="shared" si="17"/>
        <v>0</v>
      </c>
      <c r="R183" s="31">
        <f t="shared" si="17"/>
        <v>0</v>
      </c>
      <c r="S183" s="31">
        <f t="shared" si="17"/>
        <v>0</v>
      </c>
      <c r="T183" s="31">
        <f t="shared" si="17"/>
        <v>0</v>
      </c>
      <c r="U183" s="31">
        <f t="shared" si="17"/>
        <v>0</v>
      </c>
      <c r="V183" s="31">
        <f t="shared" si="17"/>
        <v>0</v>
      </c>
      <c r="W183" s="31">
        <f t="shared" si="17"/>
        <v>0</v>
      </c>
      <c r="X183" s="31">
        <f t="shared" si="17"/>
        <v>0</v>
      </c>
      <c r="Y183" s="31">
        <f t="shared" si="17"/>
        <v>0</v>
      </c>
      <c r="Z183" s="31">
        <f t="shared" si="17"/>
        <v>0</v>
      </c>
      <c r="AA183" s="31">
        <f t="shared" si="17"/>
        <v>0</v>
      </c>
      <c r="AB183" s="31">
        <f t="shared" si="17"/>
        <v>0</v>
      </c>
      <c r="AC183" s="31">
        <f t="shared" si="17"/>
        <v>0</v>
      </c>
      <c r="AD183" s="31">
        <f t="shared" si="17"/>
        <v>0</v>
      </c>
      <c r="AE183" s="31">
        <f t="shared" si="17"/>
        <v>0</v>
      </c>
    </row>
    <row r="185" spans="1:35" x14ac:dyDescent="0.25">
      <c r="A185" s="12"/>
      <c r="B185" s="7" t="s">
        <v>120</v>
      </c>
      <c r="C185" s="8" t="s">
        <v>121</v>
      </c>
      <c r="D185" s="7" t="s">
        <v>48</v>
      </c>
      <c r="E185" s="8" t="s">
        <v>39</v>
      </c>
      <c r="F185" s="8" t="s">
        <v>49</v>
      </c>
      <c r="G185" s="8" t="s">
        <v>50</v>
      </c>
      <c r="H185" s="13" t="s">
        <v>42</v>
      </c>
      <c r="I185" s="7" t="s">
        <v>51</v>
      </c>
      <c r="J185" s="14">
        <v>1</v>
      </c>
      <c r="K185" s="7">
        <v>2021</v>
      </c>
      <c r="L185" s="15">
        <v>2022</v>
      </c>
      <c r="M185" s="7">
        <v>2023</v>
      </c>
      <c r="N185" s="7">
        <v>2024</v>
      </c>
      <c r="O185" s="7">
        <v>2025</v>
      </c>
      <c r="P185" s="7">
        <v>2026</v>
      </c>
      <c r="Q185" s="7">
        <v>2027</v>
      </c>
      <c r="R185" s="7">
        <v>2028</v>
      </c>
      <c r="S185" s="7">
        <v>2029</v>
      </c>
      <c r="T185" s="7">
        <v>2030</v>
      </c>
      <c r="U185" s="7">
        <v>2031</v>
      </c>
      <c r="V185" s="7">
        <v>2032</v>
      </c>
      <c r="W185" s="7">
        <v>2033</v>
      </c>
      <c r="X185" s="7">
        <v>2034</v>
      </c>
      <c r="Y185" s="7">
        <v>2035</v>
      </c>
      <c r="Z185" s="7">
        <v>2036</v>
      </c>
      <c r="AA185" s="7">
        <v>2037</v>
      </c>
      <c r="AB185" s="7">
        <v>2038</v>
      </c>
      <c r="AC185" s="7">
        <v>2039</v>
      </c>
      <c r="AD185" s="7">
        <v>2040</v>
      </c>
      <c r="AE185" s="7">
        <v>2041</v>
      </c>
      <c r="AF185" s="7">
        <v>2042</v>
      </c>
      <c r="AG185" s="7">
        <v>2043</v>
      </c>
      <c r="AH185" s="7">
        <v>2044</v>
      </c>
      <c r="AI185" s="7">
        <v>2045</v>
      </c>
    </row>
    <row r="186" spans="1:35" x14ac:dyDescent="0.25">
      <c r="B186" s="16" t="s">
        <v>52</v>
      </c>
    </row>
    <row r="187" spans="1:35" x14ac:dyDescent="0.25">
      <c r="B187" s="17" t="s">
        <v>53</v>
      </c>
      <c r="C187" s="17" t="str">
        <f t="shared" ref="C187:C195" si="18">$C$185</f>
        <v>mch</v>
      </c>
      <c r="D187" s="18" t="s">
        <v>54</v>
      </c>
      <c r="E187" s="19" t="s">
        <v>55</v>
      </c>
      <c r="F187" s="17" t="s">
        <v>56</v>
      </c>
      <c r="G187" s="20" t="str">
        <f>Settings!$B$3&amp;".mit.pbc."&amp;Settings!$B$4&amp;"."&amp;$B187&amp;".a."&amp;$J$185</f>
        <v>egy.mit.pbc.ind.coa.a.1</v>
      </c>
      <c r="H187" s="21" t="str">
        <f>OUTCODE(Settings!$B$3,"ptp",$C$185,$B187,$J$185)</f>
        <v>egy.mit.ptp.mch.coa.e.1</v>
      </c>
      <c r="K187" s="22">
        <f>INDEX(Data_Prices!K:K,MATCH($G187,Data_Prices!$A:$A,0))</f>
        <v>11.18290158924394</v>
      </c>
      <c r="L187" s="22">
        <f>INDEX(Data_Prices!L:L,MATCH($G187,Data_Prices!$A:$A,0))</f>
        <v>10.52336134543121</v>
      </c>
      <c r="M187" s="22">
        <f>INDEX(Data_Prices!M:M,MATCH($G187,Data_Prices!$A:$A,0))</f>
        <v>10.299560827444211</v>
      </c>
      <c r="N187" s="22">
        <f>INDEX(Data_Prices!N:N,MATCH($G187,Data_Prices!$A:$A,0))</f>
        <v>9.5775283595382632</v>
      </c>
      <c r="O187" s="22">
        <f>INDEX(Data_Prices!O:O,MATCH($G187,Data_Prices!$A:$A,0))</f>
        <v>8.4854782869580454</v>
      </c>
      <c r="P187" s="22">
        <f>INDEX(Data_Prices!P:P,MATCH($G187,Data_Prices!$A:$A,0))</f>
        <v>9.0871922352498604</v>
      </c>
      <c r="Q187" s="22">
        <f>INDEX(Data_Prices!Q:Q,MATCH($G187,Data_Prices!$A:$A,0))</f>
        <v>9.2229237289326811</v>
      </c>
      <c r="R187" s="22">
        <f>INDEX(Data_Prices!R:R,MATCH($G187,Data_Prices!$A:$A,0))</f>
        <v>9.1585649555096875</v>
      </c>
      <c r="S187" s="22">
        <f>INDEX(Data_Prices!S:S,MATCH($G187,Data_Prices!$A:$A,0))</f>
        <v>9.0895478773973775</v>
      </c>
      <c r="T187" s="22">
        <f>INDEX(Data_Prices!T:T,MATCH($G187,Data_Prices!$A:$A,0))</f>
        <v>9.0156816660228305</v>
      </c>
      <c r="U187" s="22">
        <f>INDEX(Data_Prices!U:U,MATCH($G187,Data_Prices!$A:$A,0))</f>
        <v>8.9443977655571061</v>
      </c>
      <c r="V187" s="22">
        <f>INDEX(Data_Prices!V:V,MATCH($G187,Data_Prices!$A:$A,0))</f>
        <v>8.9443977655571061</v>
      </c>
      <c r="W187" s="22">
        <f>INDEX(Data_Prices!W:W,MATCH($G187,Data_Prices!$A:$A,0))</f>
        <v>8.9443977655571061</v>
      </c>
      <c r="X187" s="22">
        <f>INDEX(Data_Prices!X:X,MATCH($G187,Data_Prices!$A:$A,0))</f>
        <v>8.9443977655571061</v>
      </c>
      <c r="Y187" s="22">
        <f>INDEX(Data_Prices!Y:Y,MATCH($G187,Data_Prices!$A:$A,0))</f>
        <v>8.9443977655571061</v>
      </c>
      <c r="Z187" s="22">
        <f>INDEX(Data_Prices!Z:Z,MATCH($G187,Data_Prices!$A:$A,0))</f>
        <v>8.9443977655571061</v>
      </c>
      <c r="AA187" s="22">
        <f>INDEX(Data_Prices!AA:AA,MATCH($G187,Data_Prices!$A:$A,0))</f>
        <v>8.9443977655571061</v>
      </c>
      <c r="AB187" s="22">
        <f>INDEX(Data_Prices!AB:AB,MATCH($G187,Data_Prices!$A:$A,0))</f>
        <v>8.9443977655571061</v>
      </c>
      <c r="AC187" s="22">
        <f>INDEX(Data_Prices!AC:AC,MATCH($G187,Data_Prices!$A:$A,0))</f>
        <v>8.9443977655571061</v>
      </c>
      <c r="AD187" s="22">
        <f>INDEX(Data_Prices!AD:AD,MATCH($G187,Data_Prices!$A:$A,0))</f>
        <v>8.9443977655571061</v>
      </c>
      <c r="AE187" s="22">
        <f>INDEX(Data_Prices!AE:AE,MATCH($G187,Data_Prices!$A:$A,0))</f>
        <v>8.9443977655571061</v>
      </c>
    </row>
    <row r="188" spans="1:35" x14ac:dyDescent="0.25">
      <c r="B188" s="17" t="s">
        <v>57</v>
      </c>
      <c r="C188" s="17" t="str">
        <f t="shared" si="18"/>
        <v>mch</v>
      </c>
      <c r="D188" s="18" t="s">
        <v>58</v>
      </c>
      <c r="E188" s="19" t="s">
        <v>55</v>
      </c>
      <c r="F188" s="17" t="s">
        <v>56</v>
      </c>
      <c r="G188" s="20" t="str">
        <f>Settings!$B$3&amp;".mit.pbc."&amp;Settings!$B$4&amp;"."&amp;$B188&amp;".a."&amp;$J$185</f>
        <v>egy.mit.pbc.ind.nga.a.1</v>
      </c>
      <c r="H188" s="21" t="str">
        <f>OUTCODE(Settings!$B$3,"ptp",$C$185,$B188,$J$185)</f>
        <v>egy.mit.ptp.mch.nga.e.1</v>
      </c>
      <c r="K188" s="22">
        <f>INDEX(Data_Prices!K:K,MATCH($G188,Data_Prices!$A:$A,0))</f>
        <v>6.0634636156729131</v>
      </c>
      <c r="L188" s="22">
        <f>INDEX(Data_Prices!L:L,MATCH($G188,Data_Prices!$A:$A,0))</f>
        <v>5.4510150816191896</v>
      </c>
      <c r="M188" s="22">
        <f>INDEX(Data_Prices!M:M,MATCH($G188,Data_Prices!$A:$A,0))</f>
        <v>5.1193563062624818</v>
      </c>
      <c r="N188" s="22">
        <f>INDEX(Data_Prices!N:N,MATCH($G188,Data_Prices!$A:$A,0))</f>
        <v>5.0821845864040727</v>
      </c>
      <c r="O188" s="22">
        <f>INDEX(Data_Prices!O:O,MATCH($G188,Data_Prices!$A:$A,0))</f>
        <v>5.0821845864040727</v>
      </c>
      <c r="P188" s="22">
        <f>INDEX(Data_Prices!P:P,MATCH($G188,Data_Prices!$A:$A,0))</f>
        <v>5.0821845864040727</v>
      </c>
      <c r="Q188" s="22">
        <f>INDEX(Data_Prices!Q:Q,MATCH($G188,Data_Prices!$A:$A,0))</f>
        <v>5.0821845864040727</v>
      </c>
      <c r="R188" s="22">
        <f>INDEX(Data_Prices!R:R,MATCH($G188,Data_Prices!$A:$A,0))</f>
        <v>5.0821845864040727</v>
      </c>
      <c r="S188" s="22">
        <f>INDEX(Data_Prices!S:S,MATCH($G188,Data_Prices!$A:$A,0))</f>
        <v>5.0821845864040727</v>
      </c>
      <c r="T188" s="22">
        <f>INDEX(Data_Prices!T:T,MATCH($G188,Data_Prices!$A:$A,0))</f>
        <v>5.0821845864040727</v>
      </c>
      <c r="U188" s="22">
        <f>INDEX(Data_Prices!U:U,MATCH($G188,Data_Prices!$A:$A,0))</f>
        <v>5.0821845864040727</v>
      </c>
      <c r="V188" s="22">
        <f>INDEX(Data_Prices!V:V,MATCH($G188,Data_Prices!$A:$A,0))</f>
        <v>5.0821845864040727</v>
      </c>
      <c r="W188" s="22">
        <f>INDEX(Data_Prices!W:W,MATCH($G188,Data_Prices!$A:$A,0))</f>
        <v>5.0821845864040727</v>
      </c>
      <c r="X188" s="22">
        <f>INDEX(Data_Prices!X:X,MATCH($G188,Data_Prices!$A:$A,0))</f>
        <v>5.0821845864040727</v>
      </c>
      <c r="Y188" s="22">
        <f>INDEX(Data_Prices!Y:Y,MATCH($G188,Data_Prices!$A:$A,0))</f>
        <v>5.0821845864040727</v>
      </c>
      <c r="Z188" s="22">
        <f>INDEX(Data_Prices!Z:Z,MATCH($G188,Data_Prices!$A:$A,0))</f>
        <v>5.0821845864040727</v>
      </c>
      <c r="AA188" s="22">
        <f>INDEX(Data_Prices!AA:AA,MATCH($G188,Data_Prices!$A:$A,0))</f>
        <v>5.0821845864040727</v>
      </c>
      <c r="AB188" s="22">
        <f>INDEX(Data_Prices!AB:AB,MATCH($G188,Data_Prices!$A:$A,0))</f>
        <v>5.0821845864040727</v>
      </c>
      <c r="AC188" s="22">
        <f>INDEX(Data_Prices!AC:AC,MATCH($G188,Data_Prices!$A:$A,0))</f>
        <v>5.0821845864040727</v>
      </c>
      <c r="AD188" s="22">
        <f>INDEX(Data_Prices!AD:AD,MATCH($G188,Data_Prices!$A:$A,0))</f>
        <v>5.0821845864040727</v>
      </c>
      <c r="AE188" s="22">
        <f>INDEX(Data_Prices!AE:AE,MATCH($G188,Data_Prices!$A:$A,0))</f>
        <v>5.0821845864040727</v>
      </c>
    </row>
    <row r="189" spans="1:35" x14ac:dyDescent="0.25">
      <c r="B189" s="17" t="s">
        <v>59</v>
      </c>
      <c r="C189" s="17" t="str">
        <f t="shared" si="18"/>
        <v>mch</v>
      </c>
      <c r="D189" s="18" t="s">
        <v>60</v>
      </c>
      <c r="E189" s="19" t="s">
        <v>61</v>
      </c>
      <c r="F189" s="17" t="s">
        <v>56</v>
      </c>
      <c r="G189" s="20" t="str">
        <f>Settings!$B$3&amp;".mit.pbc."&amp;Settings!$B$4&amp;"."&amp;$B189&amp;".a."&amp;$J$185</f>
        <v>egy.mit.pbc.ind.gso.a.1</v>
      </c>
      <c r="H189" s="21" t="str">
        <f>OUTCODE(Settings!$B$3,"ptp",$C$185,$B189,$J$185)</f>
        <v>egy.mit.ptp.mch.gso.e.1</v>
      </c>
      <c r="K189" s="22">
        <f>INDEX(Data_Prices!K:K,MATCH($G189,Data_Prices!$A:$A,0))</f>
        <v>0.67114653332181606</v>
      </c>
      <c r="L189" s="22">
        <f>INDEX(Data_Prices!L:L,MATCH($G189,Data_Prices!$A:$A,0))</f>
        <v>0.61197797679140631</v>
      </c>
      <c r="M189" s="22">
        <f>INDEX(Data_Prices!M:M,MATCH($G189,Data_Prices!$A:$A,0))</f>
        <v>0.61180974964187596</v>
      </c>
      <c r="N189" s="22">
        <f>INDEX(Data_Prices!N:N,MATCH($G189,Data_Prices!$A:$A,0))</f>
        <v>0.60358310017790551</v>
      </c>
      <c r="O189" s="22">
        <f>INDEX(Data_Prices!O:O,MATCH($G189,Data_Prices!$A:$A,0))</f>
        <v>0.60358310017790551</v>
      </c>
      <c r="P189" s="22">
        <f>INDEX(Data_Prices!P:P,MATCH($G189,Data_Prices!$A:$A,0))</f>
        <v>0.60358310017790551</v>
      </c>
      <c r="Q189" s="22">
        <f>INDEX(Data_Prices!Q:Q,MATCH($G189,Data_Prices!$A:$A,0))</f>
        <v>0.60358310017790551</v>
      </c>
      <c r="R189" s="22">
        <f>INDEX(Data_Prices!R:R,MATCH($G189,Data_Prices!$A:$A,0))</f>
        <v>0.60358310017790551</v>
      </c>
      <c r="S189" s="22">
        <f>INDEX(Data_Prices!S:S,MATCH($G189,Data_Prices!$A:$A,0))</f>
        <v>0.60358310017790551</v>
      </c>
      <c r="T189" s="22">
        <f>INDEX(Data_Prices!T:T,MATCH($G189,Data_Prices!$A:$A,0))</f>
        <v>0.60358310017790551</v>
      </c>
      <c r="U189" s="22">
        <f>INDEX(Data_Prices!U:U,MATCH($G189,Data_Prices!$A:$A,0))</f>
        <v>0.60358310017790551</v>
      </c>
      <c r="V189" s="22">
        <f>INDEX(Data_Prices!V:V,MATCH($G189,Data_Prices!$A:$A,0))</f>
        <v>0.60358310017790551</v>
      </c>
      <c r="W189" s="22">
        <f>INDEX(Data_Prices!W:W,MATCH($G189,Data_Prices!$A:$A,0))</f>
        <v>0.60358310017790551</v>
      </c>
      <c r="X189" s="22">
        <f>INDEX(Data_Prices!X:X,MATCH($G189,Data_Prices!$A:$A,0))</f>
        <v>0.60358310017790551</v>
      </c>
      <c r="Y189" s="22">
        <f>INDEX(Data_Prices!Y:Y,MATCH($G189,Data_Prices!$A:$A,0))</f>
        <v>0.60358310017790551</v>
      </c>
      <c r="Z189" s="22">
        <f>INDEX(Data_Prices!Z:Z,MATCH($G189,Data_Prices!$A:$A,0))</f>
        <v>0.60358310017790551</v>
      </c>
      <c r="AA189" s="22">
        <f>INDEX(Data_Prices!AA:AA,MATCH($G189,Data_Prices!$A:$A,0))</f>
        <v>0.60358310017790551</v>
      </c>
      <c r="AB189" s="22">
        <f>INDEX(Data_Prices!AB:AB,MATCH($G189,Data_Prices!$A:$A,0))</f>
        <v>0.60358310017790551</v>
      </c>
      <c r="AC189" s="22">
        <f>INDEX(Data_Prices!AC:AC,MATCH($G189,Data_Prices!$A:$A,0))</f>
        <v>0.60358310017790551</v>
      </c>
      <c r="AD189" s="22">
        <f>INDEX(Data_Prices!AD:AD,MATCH($G189,Data_Prices!$A:$A,0))</f>
        <v>0.60358310017790551</v>
      </c>
      <c r="AE189" s="22">
        <f>INDEX(Data_Prices!AE:AE,MATCH($G189,Data_Prices!$A:$A,0))</f>
        <v>0.60358310017790551</v>
      </c>
    </row>
    <row r="190" spans="1:35" x14ac:dyDescent="0.25">
      <c r="B190" s="17" t="s">
        <v>62</v>
      </c>
      <c r="C190" s="17" t="str">
        <f t="shared" si="18"/>
        <v>mch</v>
      </c>
      <c r="D190" s="18" t="s">
        <v>63</v>
      </c>
      <c r="E190" s="19" t="s">
        <v>61</v>
      </c>
      <c r="F190" s="17" t="s">
        <v>56</v>
      </c>
      <c r="G190" s="20" t="str">
        <f>Settings!$B$3&amp;".mit.pbc."&amp;Settings!$B$4&amp;"."&amp;$B190&amp;".a."&amp;$J$185</f>
        <v>egy.mit.pbc.ind.die.a.1</v>
      </c>
      <c r="H190" s="21" t="str">
        <f>OUTCODE(Settings!$B$3,"ptp",$C$185,$B190,$J$185)</f>
        <v>egy.mit.ptp.mch.die.e.1</v>
      </c>
      <c r="K190" s="22">
        <f>INDEX(Data_Prices!K:K,MATCH($G190,Data_Prices!$A:$A,0))</f>
        <v>0.55971121315568761</v>
      </c>
      <c r="L190" s="22">
        <f>INDEX(Data_Prices!L:L,MATCH($G190,Data_Prices!$A:$A,0))</f>
        <v>0.49458873084106802</v>
      </c>
      <c r="M190" s="22">
        <f>INDEX(Data_Prices!M:M,MATCH($G190,Data_Prices!$A:$A,0))</f>
        <v>0.50778654720250049</v>
      </c>
      <c r="N190" s="22">
        <f>INDEX(Data_Prices!N:N,MATCH($G190,Data_Prices!$A:$A,0))</f>
        <v>0.47043642679561742</v>
      </c>
      <c r="O190" s="22">
        <f>INDEX(Data_Prices!O:O,MATCH($G190,Data_Prices!$A:$A,0))</f>
        <v>0.47043642679561742</v>
      </c>
      <c r="P190" s="22">
        <f>INDEX(Data_Prices!P:P,MATCH($G190,Data_Prices!$A:$A,0))</f>
        <v>0.47043642679561742</v>
      </c>
      <c r="Q190" s="22">
        <f>INDEX(Data_Prices!Q:Q,MATCH($G190,Data_Prices!$A:$A,0))</f>
        <v>0.47043642679561742</v>
      </c>
      <c r="R190" s="22">
        <f>INDEX(Data_Prices!R:R,MATCH($G190,Data_Prices!$A:$A,0))</f>
        <v>0.47043642679561742</v>
      </c>
      <c r="S190" s="22">
        <f>INDEX(Data_Prices!S:S,MATCH($G190,Data_Prices!$A:$A,0))</f>
        <v>0.47043642679561742</v>
      </c>
      <c r="T190" s="22">
        <f>INDEX(Data_Prices!T:T,MATCH($G190,Data_Prices!$A:$A,0))</f>
        <v>0.47043642679561742</v>
      </c>
      <c r="U190" s="22">
        <f>INDEX(Data_Prices!U:U,MATCH($G190,Data_Prices!$A:$A,0))</f>
        <v>0.47043642679561742</v>
      </c>
      <c r="V190" s="22">
        <f>INDEX(Data_Prices!V:V,MATCH($G190,Data_Prices!$A:$A,0))</f>
        <v>0.47043642679561742</v>
      </c>
      <c r="W190" s="22">
        <f>INDEX(Data_Prices!W:W,MATCH($G190,Data_Prices!$A:$A,0))</f>
        <v>0.47043642679561742</v>
      </c>
      <c r="X190" s="22">
        <f>INDEX(Data_Prices!X:X,MATCH($G190,Data_Prices!$A:$A,0))</f>
        <v>0.47043642679561742</v>
      </c>
      <c r="Y190" s="22">
        <f>INDEX(Data_Prices!Y:Y,MATCH($G190,Data_Prices!$A:$A,0))</f>
        <v>0.47043642679561742</v>
      </c>
      <c r="Z190" s="22">
        <f>INDEX(Data_Prices!Z:Z,MATCH($G190,Data_Prices!$A:$A,0))</f>
        <v>0.47043642679561742</v>
      </c>
      <c r="AA190" s="22">
        <f>INDEX(Data_Prices!AA:AA,MATCH($G190,Data_Prices!$A:$A,0))</f>
        <v>0.47043642679561742</v>
      </c>
      <c r="AB190" s="22">
        <f>INDEX(Data_Prices!AB:AB,MATCH($G190,Data_Prices!$A:$A,0))</f>
        <v>0.47043642679561742</v>
      </c>
      <c r="AC190" s="22">
        <f>INDEX(Data_Prices!AC:AC,MATCH($G190,Data_Prices!$A:$A,0))</f>
        <v>0.47043642679561742</v>
      </c>
      <c r="AD190" s="22">
        <f>INDEX(Data_Prices!AD:AD,MATCH($G190,Data_Prices!$A:$A,0))</f>
        <v>0.47043642679561742</v>
      </c>
      <c r="AE190" s="22">
        <f>INDEX(Data_Prices!AE:AE,MATCH($G190,Data_Prices!$A:$A,0))</f>
        <v>0.47043642679561742</v>
      </c>
    </row>
    <row r="191" spans="1:35" x14ac:dyDescent="0.25">
      <c r="B191" s="17" t="s">
        <v>64</v>
      </c>
      <c r="C191" s="17" t="str">
        <f t="shared" si="18"/>
        <v>mch</v>
      </c>
      <c r="D191" s="18" t="s">
        <v>65</v>
      </c>
      <c r="E191" s="19" t="s">
        <v>61</v>
      </c>
      <c r="F191" s="17" t="s">
        <v>56</v>
      </c>
      <c r="G191" s="20" t="str">
        <f>Settings!$B$3&amp;".mit.pbc."&amp;Settings!$B$4&amp;"."&amp;$B191&amp;".a."&amp;$J$185</f>
        <v>egy.mit.pbc.ind.lpg.a.1</v>
      </c>
      <c r="H191" s="21" t="str">
        <f>OUTCODE(Settings!$B$3,"ptp",$C$185,$B191,$J$185)</f>
        <v>egy.mit.ptp.mch.lpg.e.1</v>
      </c>
      <c r="K191" s="22">
        <f>INDEX(Data_Prices!K:K,MATCH($G191,Data_Prices!$A:$A,0))</f>
        <v>0.20036669112673841</v>
      </c>
      <c r="L191" s="22">
        <f>INDEX(Data_Prices!L:L,MATCH($G191,Data_Prices!$A:$A,0))</f>
        <v>0.1573447362522738</v>
      </c>
      <c r="M191" s="22">
        <f>INDEX(Data_Prices!M:M,MATCH($G191,Data_Prices!$A:$A,0))</f>
        <v>0.1644840377592767</v>
      </c>
      <c r="N191" s="22">
        <f>INDEX(Data_Prices!N:N,MATCH($G191,Data_Prices!$A:$A,0))</f>
        <v>0.1507090778070489</v>
      </c>
      <c r="O191" s="22">
        <f>INDEX(Data_Prices!O:O,MATCH($G191,Data_Prices!$A:$A,0))</f>
        <v>0.1507090778070489</v>
      </c>
      <c r="P191" s="22">
        <f>INDEX(Data_Prices!P:P,MATCH($G191,Data_Prices!$A:$A,0))</f>
        <v>0.1507090778070489</v>
      </c>
      <c r="Q191" s="22">
        <f>INDEX(Data_Prices!Q:Q,MATCH($G191,Data_Prices!$A:$A,0))</f>
        <v>0.1507090778070489</v>
      </c>
      <c r="R191" s="22">
        <f>INDEX(Data_Prices!R:R,MATCH($G191,Data_Prices!$A:$A,0))</f>
        <v>0.1507090778070489</v>
      </c>
      <c r="S191" s="22">
        <f>INDEX(Data_Prices!S:S,MATCH($G191,Data_Prices!$A:$A,0))</f>
        <v>0.1507090778070489</v>
      </c>
      <c r="T191" s="22">
        <f>INDEX(Data_Prices!T:T,MATCH($G191,Data_Prices!$A:$A,0))</f>
        <v>0.1507090778070489</v>
      </c>
      <c r="U191" s="22">
        <f>INDEX(Data_Prices!U:U,MATCH($G191,Data_Prices!$A:$A,0))</f>
        <v>0.1507090778070489</v>
      </c>
      <c r="V191" s="22">
        <f>INDEX(Data_Prices!V:V,MATCH($G191,Data_Prices!$A:$A,0))</f>
        <v>0.1507090778070489</v>
      </c>
      <c r="W191" s="22">
        <f>INDEX(Data_Prices!W:W,MATCH($G191,Data_Prices!$A:$A,0))</f>
        <v>0.1507090778070489</v>
      </c>
      <c r="X191" s="22">
        <f>INDEX(Data_Prices!X:X,MATCH($G191,Data_Prices!$A:$A,0))</f>
        <v>0.1507090778070489</v>
      </c>
      <c r="Y191" s="22">
        <f>INDEX(Data_Prices!Y:Y,MATCH($G191,Data_Prices!$A:$A,0))</f>
        <v>0.1507090778070489</v>
      </c>
      <c r="Z191" s="22">
        <f>INDEX(Data_Prices!Z:Z,MATCH($G191,Data_Prices!$A:$A,0))</f>
        <v>0.1507090778070489</v>
      </c>
      <c r="AA191" s="22">
        <f>INDEX(Data_Prices!AA:AA,MATCH($G191,Data_Prices!$A:$A,0))</f>
        <v>0.1507090778070489</v>
      </c>
      <c r="AB191" s="22">
        <f>INDEX(Data_Prices!AB:AB,MATCH($G191,Data_Prices!$A:$A,0))</f>
        <v>0.1507090778070489</v>
      </c>
      <c r="AC191" s="22">
        <f>INDEX(Data_Prices!AC:AC,MATCH($G191,Data_Prices!$A:$A,0))</f>
        <v>0.1507090778070489</v>
      </c>
      <c r="AD191" s="22">
        <f>INDEX(Data_Prices!AD:AD,MATCH($G191,Data_Prices!$A:$A,0))</f>
        <v>0.1507090778070489</v>
      </c>
      <c r="AE191" s="22">
        <f>INDEX(Data_Prices!AE:AE,MATCH($G191,Data_Prices!$A:$A,0))</f>
        <v>0.1507090778070489</v>
      </c>
    </row>
    <row r="192" spans="1:35" x14ac:dyDescent="0.25">
      <c r="B192" s="17" t="s">
        <v>66</v>
      </c>
      <c r="C192" s="17" t="str">
        <f t="shared" si="18"/>
        <v>mch</v>
      </c>
      <c r="D192" s="18" t="s">
        <v>67</v>
      </c>
      <c r="E192" s="19" t="s">
        <v>61</v>
      </c>
      <c r="F192" s="17" t="s">
        <v>56</v>
      </c>
      <c r="G192" s="20" t="str">
        <f>Settings!$B$3&amp;".mit.pbc."&amp;Settings!$B$4&amp;"."&amp;$B192&amp;".a."&amp;$J$185</f>
        <v>egy.mit.pbc.ind.ker.a.1</v>
      </c>
      <c r="H192" s="21" t="str">
        <f>OUTCODE(Settings!$B$3,"ptp",$C$185,$B192,$J$185)</f>
        <v>egy.mit.ptp.mch.ker.e.1</v>
      </c>
      <c r="K192" s="22">
        <f>INDEX(Data_Prices!K:K,MATCH($G192,Data_Prices!$A:$A,0))</f>
        <v>0.48429424097343482</v>
      </c>
      <c r="L192" s="22">
        <f>INDEX(Data_Prices!L:L,MATCH($G192,Data_Prices!$A:$A,0))</f>
        <v>0.45642817050012813</v>
      </c>
      <c r="M192" s="22">
        <f>INDEX(Data_Prices!M:M,MATCH($G192,Data_Prices!$A:$A,0))</f>
        <v>0.43168920195599519</v>
      </c>
      <c r="N192" s="22">
        <f>INDEX(Data_Prices!N:N,MATCH($G192,Data_Prices!$A:$A,0))</f>
        <v>0.42507558395596989</v>
      </c>
      <c r="O192" s="22">
        <f>INDEX(Data_Prices!O:O,MATCH($G192,Data_Prices!$A:$A,0))</f>
        <v>0.42507558395596989</v>
      </c>
      <c r="P192" s="22">
        <f>INDEX(Data_Prices!P:P,MATCH($G192,Data_Prices!$A:$A,0))</f>
        <v>0.42507558395596989</v>
      </c>
      <c r="Q192" s="22">
        <f>INDEX(Data_Prices!Q:Q,MATCH($G192,Data_Prices!$A:$A,0))</f>
        <v>0.42507558395596989</v>
      </c>
      <c r="R192" s="22">
        <f>INDEX(Data_Prices!R:R,MATCH($G192,Data_Prices!$A:$A,0))</f>
        <v>0.42507558395596989</v>
      </c>
      <c r="S192" s="22">
        <f>INDEX(Data_Prices!S:S,MATCH($G192,Data_Prices!$A:$A,0))</f>
        <v>0.42507558395596989</v>
      </c>
      <c r="T192" s="22">
        <f>INDEX(Data_Prices!T:T,MATCH($G192,Data_Prices!$A:$A,0))</f>
        <v>0.42507558395596989</v>
      </c>
      <c r="U192" s="22">
        <f>INDEX(Data_Prices!U:U,MATCH($G192,Data_Prices!$A:$A,0))</f>
        <v>0.42507558395596989</v>
      </c>
      <c r="V192" s="22">
        <f>INDEX(Data_Prices!V:V,MATCH($G192,Data_Prices!$A:$A,0))</f>
        <v>0.42507558395596989</v>
      </c>
      <c r="W192" s="22">
        <f>INDEX(Data_Prices!W:W,MATCH($G192,Data_Prices!$A:$A,0))</f>
        <v>0.42507558395596989</v>
      </c>
      <c r="X192" s="22">
        <f>INDEX(Data_Prices!X:X,MATCH($G192,Data_Prices!$A:$A,0))</f>
        <v>0.42507558395596989</v>
      </c>
      <c r="Y192" s="22">
        <f>INDEX(Data_Prices!Y:Y,MATCH($G192,Data_Prices!$A:$A,0))</f>
        <v>0.42507558395596989</v>
      </c>
      <c r="Z192" s="22">
        <f>INDEX(Data_Prices!Z:Z,MATCH($G192,Data_Prices!$A:$A,0))</f>
        <v>0.42507558395596989</v>
      </c>
      <c r="AA192" s="22">
        <f>INDEX(Data_Prices!AA:AA,MATCH($G192,Data_Prices!$A:$A,0))</f>
        <v>0.42507558395596989</v>
      </c>
      <c r="AB192" s="22">
        <f>INDEX(Data_Prices!AB:AB,MATCH($G192,Data_Prices!$A:$A,0))</f>
        <v>0.42507558395596989</v>
      </c>
      <c r="AC192" s="22">
        <f>INDEX(Data_Prices!AC:AC,MATCH($G192,Data_Prices!$A:$A,0))</f>
        <v>0.42507558395596989</v>
      </c>
      <c r="AD192" s="22">
        <f>INDEX(Data_Prices!AD:AD,MATCH($G192,Data_Prices!$A:$A,0))</f>
        <v>0.42507558395596989</v>
      </c>
      <c r="AE192" s="22">
        <f>INDEX(Data_Prices!AE:AE,MATCH($G192,Data_Prices!$A:$A,0))</f>
        <v>0.42507558395596989</v>
      </c>
    </row>
    <row r="193" spans="2:31" x14ac:dyDescent="0.25">
      <c r="B193" s="17" t="s">
        <v>68</v>
      </c>
      <c r="C193" s="17" t="str">
        <f t="shared" si="18"/>
        <v>mch</v>
      </c>
      <c r="D193" s="18" t="s">
        <v>69</v>
      </c>
      <c r="E193" s="19" t="s">
        <v>70</v>
      </c>
      <c r="F193" s="17" t="s">
        <v>56</v>
      </c>
      <c r="G193" s="20" t="str">
        <f>Settings!$B$3&amp;".mit.pbc."&amp;Settings!$B$4&amp;"."&amp;$B193&amp;".a."&amp;$J$185</f>
        <v>egy.mit.pbc.ind.oop.a.1</v>
      </c>
      <c r="H193" s="21" t="str">
        <f>OUTCODE(Settings!$B$3,"ptp",$C$185,$B193,$J$185)</f>
        <v>egy.mit.ptp.mch.oop.e.1</v>
      </c>
      <c r="K193" s="22">
        <f>INDEX(Data_Prices!K:K,MATCH($G193,Data_Prices!$A:$A,0))</f>
        <v>41.50033849886843</v>
      </c>
      <c r="L193" s="22">
        <f>INDEX(Data_Prices!L:L,MATCH($G193,Data_Prices!$A:$A,0))</f>
        <v>34.415370304313228</v>
      </c>
      <c r="M193" s="22">
        <f>INDEX(Data_Prices!M:M,MATCH($G193,Data_Prices!$A:$A,0))</f>
        <v>37.368960690432033</v>
      </c>
      <c r="N193" s="22">
        <f>INDEX(Data_Prices!N:N,MATCH($G193,Data_Prices!$A:$A,0))</f>
        <v>28.982761101477251</v>
      </c>
      <c r="O193" s="22">
        <f>INDEX(Data_Prices!O:O,MATCH($G193,Data_Prices!$A:$A,0))</f>
        <v>15</v>
      </c>
      <c r="P193" s="22">
        <f>INDEX(Data_Prices!P:P,MATCH($G193,Data_Prices!$A:$A,0))</f>
        <v>24.2586300842555</v>
      </c>
      <c r="Q193" s="22">
        <f>INDEX(Data_Prices!Q:Q,MATCH($G193,Data_Prices!$A:$A,0))</f>
        <v>15</v>
      </c>
      <c r="R193" s="22">
        <f>INDEX(Data_Prices!R:R,MATCH($G193,Data_Prices!$A:$A,0))</f>
        <v>15</v>
      </c>
      <c r="S193" s="22">
        <f>INDEX(Data_Prices!S:S,MATCH($G193,Data_Prices!$A:$A,0))</f>
        <v>15</v>
      </c>
      <c r="T193" s="22">
        <f>INDEX(Data_Prices!T:T,MATCH($G193,Data_Prices!$A:$A,0))</f>
        <v>15</v>
      </c>
      <c r="U193" s="22">
        <f>INDEX(Data_Prices!U:U,MATCH($G193,Data_Prices!$A:$A,0))</f>
        <v>15</v>
      </c>
      <c r="V193" s="22">
        <f>INDEX(Data_Prices!V:V,MATCH($G193,Data_Prices!$A:$A,0))</f>
        <v>15</v>
      </c>
      <c r="W193" s="22">
        <f>INDEX(Data_Prices!W:W,MATCH($G193,Data_Prices!$A:$A,0))</f>
        <v>15</v>
      </c>
      <c r="X193" s="22">
        <f>INDEX(Data_Prices!X:X,MATCH($G193,Data_Prices!$A:$A,0))</f>
        <v>15</v>
      </c>
      <c r="Y193" s="22">
        <f>INDEX(Data_Prices!Y:Y,MATCH($G193,Data_Prices!$A:$A,0))</f>
        <v>15</v>
      </c>
      <c r="Z193" s="22">
        <f>INDEX(Data_Prices!Z:Z,MATCH($G193,Data_Prices!$A:$A,0))</f>
        <v>15</v>
      </c>
      <c r="AA193" s="22">
        <f>INDEX(Data_Prices!AA:AA,MATCH($G193,Data_Prices!$A:$A,0))</f>
        <v>15</v>
      </c>
      <c r="AB193" s="22">
        <f>INDEX(Data_Prices!AB:AB,MATCH($G193,Data_Prices!$A:$A,0))</f>
        <v>15</v>
      </c>
      <c r="AC193" s="22">
        <f>INDEX(Data_Prices!AC:AC,MATCH($G193,Data_Prices!$A:$A,0))</f>
        <v>15</v>
      </c>
      <c r="AD193" s="22">
        <f>INDEX(Data_Prices!AD:AD,MATCH($G193,Data_Prices!$A:$A,0))</f>
        <v>15</v>
      </c>
      <c r="AE193" s="22">
        <f>INDEX(Data_Prices!AE:AE,MATCH($G193,Data_Prices!$A:$A,0))</f>
        <v>15</v>
      </c>
    </row>
    <row r="194" spans="2:31" x14ac:dyDescent="0.25">
      <c r="B194" s="17" t="s">
        <v>71</v>
      </c>
      <c r="C194" s="17" t="str">
        <f t="shared" si="18"/>
        <v>mch</v>
      </c>
      <c r="D194" s="18" t="s">
        <v>72</v>
      </c>
      <c r="E194" s="19" t="s">
        <v>55</v>
      </c>
      <c r="F194" s="17" t="s">
        <v>56</v>
      </c>
      <c r="G194" s="20" t="str">
        <f>Settings!$B$3&amp;".mit.pbc."&amp;Settings!$B$4&amp;"."&amp;$B194&amp;".a."&amp;$J$185</f>
        <v>egy.mit.pbc.ind.bio.a.1</v>
      </c>
      <c r="H194" s="21" t="str">
        <f>OUTCODE(Settings!$B$3,"ptp",$C$185,$B194,$J$185)</f>
        <v>egy.mit.ptp.mch.bio.e.1</v>
      </c>
      <c r="K194" s="22">
        <f>INDEX(Data_Prices!K:K,MATCH($G194,Data_Prices!$A:$A,0))</f>
        <v>15.33455052931693</v>
      </c>
      <c r="L194" s="22">
        <f>INDEX(Data_Prices!L:L,MATCH($G194,Data_Prices!$A:$A,0))</f>
        <v>14.199528390634921</v>
      </c>
      <c r="M194" s="22">
        <f>INDEX(Data_Prices!M:M,MATCH($G194,Data_Prices!$A:$A,0))</f>
        <v>13.840441613315161</v>
      </c>
      <c r="N194" s="22">
        <f>INDEX(Data_Prices!N:N,MATCH($G194,Data_Prices!$A:$A,0))</f>
        <v>13.5677269404465</v>
      </c>
      <c r="O194" s="22">
        <f>INDEX(Data_Prices!O:O,MATCH($G194,Data_Prices!$A:$A,0))</f>
        <v>13.5677269404465</v>
      </c>
      <c r="P194" s="22">
        <f>INDEX(Data_Prices!P:P,MATCH($G194,Data_Prices!$A:$A,0))</f>
        <v>13.5677269404465</v>
      </c>
      <c r="Q194" s="22">
        <f>INDEX(Data_Prices!Q:Q,MATCH($G194,Data_Prices!$A:$A,0))</f>
        <v>13.5677269404465</v>
      </c>
      <c r="R194" s="22">
        <f>INDEX(Data_Prices!R:R,MATCH($G194,Data_Prices!$A:$A,0))</f>
        <v>13.5677269404465</v>
      </c>
      <c r="S194" s="22">
        <f>INDEX(Data_Prices!S:S,MATCH($G194,Data_Prices!$A:$A,0))</f>
        <v>13.5677269404465</v>
      </c>
      <c r="T194" s="22">
        <f>INDEX(Data_Prices!T:T,MATCH($G194,Data_Prices!$A:$A,0))</f>
        <v>13.5677269404465</v>
      </c>
      <c r="U194" s="22">
        <f>INDEX(Data_Prices!U:U,MATCH($G194,Data_Prices!$A:$A,0))</f>
        <v>13.5677269404465</v>
      </c>
      <c r="V194" s="22">
        <f>INDEX(Data_Prices!V:V,MATCH($G194,Data_Prices!$A:$A,0))</f>
        <v>13.5677269404465</v>
      </c>
      <c r="W194" s="22">
        <f>INDEX(Data_Prices!W:W,MATCH($G194,Data_Prices!$A:$A,0))</f>
        <v>13.5677269404465</v>
      </c>
      <c r="X194" s="22">
        <f>INDEX(Data_Prices!X:X,MATCH($G194,Data_Prices!$A:$A,0))</f>
        <v>13.5677269404465</v>
      </c>
      <c r="Y194" s="22">
        <f>INDEX(Data_Prices!Y:Y,MATCH($G194,Data_Prices!$A:$A,0))</f>
        <v>13.5677269404465</v>
      </c>
      <c r="Z194" s="22">
        <f>INDEX(Data_Prices!Z:Z,MATCH($G194,Data_Prices!$A:$A,0))</f>
        <v>13.5677269404465</v>
      </c>
      <c r="AA194" s="22">
        <f>INDEX(Data_Prices!AA:AA,MATCH($G194,Data_Prices!$A:$A,0))</f>
        <v>13.5677269404465</v>
      </c>
      <c r="AB194" s="22">
        <f>INDEX(Data_Prices!AB:AB,MATCH($G194,Data_Prices!$A:$A,0))</f>
        <v>13.5677269404465</v>
      </c>
      <c r="AC194" s="22">
        <f>INDEX(Data_Prices!AC:AC,MATCH($G194,Data_Prices!$A:$A,0))</f>
        <v>13.5677269404465</v>
      </c>
      <c r="AD194" s="22">
        <f>INDEX(Data_Prices!AD:AD,MATCH($G194,Data_Prices!$A:$A,0))</f>
        <v>13.5677269404465</v>
      </c>
      <c r="AE194" s="22">
        <f>INDEX(Data_Prices!AE:AE,MATCH($G194,Data_Prices!$A:$A,0))</f>
        <v>13.5677269404465</v>
      </c>
    </row>
    <row r="195" spans="2:31" x14ac:dyDescent="0.25">
      <c r="B195" s="17" t="s">
        <v>73</v>
      </c>
      <c r="C195" s="17" t="str">
        <f t="shared" si="18"/>
        <v>mch</v>
      </c>
      <c r="D195" s="18" t="s">
        <v>74</v>
      </c>
      <c r="E195" s="19" t="s">
        <v>75</v>
      </c>
      <c r="F195" s="17" t="s">
        <v>56</v>
      </c>
      <c r="G195" s="20" t="str">
        <f>Settings!$B$3&amp;".mit.pbc."&amp;Settings!$B$4&amp;"."&amp;$B195&amp;".a."&amp;$J$185</f>
        <v>egy.mit.pbc.ind.ren.a.1</v>
      </c>
      <c r="H195" s="21" t="str">
        <f>OUTCODE(Settings!$B$3,"ptp",$C$185,$B195,$J$185)</f>
        <v>egy.mit.ptp.mch.ren.e.1</v>
      </c>
      <c r="K195" s="22">
        <f>INDEX(Data_Prices!K:K,MATCH($G195,Data_Prices!$A:$A,0))</f>
        <v>0</v>
      </c>
      <c r="L195" s="22">
        <f>INDEX(Data_Prices!L:L,MATCH($G195,Data_Prices!$A:$A,0))</f>
        <v>0.14404498679319799</v>
      </c>
      <c r="M195" s="22">
        <f>INDEX(Data_Prices!M:M,MATCH($G195,Data_Prices!$A:$A,0))</f>
        <v>0.14102040965700391</v>
      </c>
      <c r="N195" s="22">
        <f>INDEX(Data_Prices!N:N,MATCH($G195,Data_Prices!$A:$A,0))</f>
        <v>0.13511635959447599</v>
      </c>
      <c r="O195" s="22">
        <f>INDEX(Data_Prices!O:O,MATCH($G195,Data_Prices!$A:$A,0))</f>
        <v>0.13098825698585639</v>
      </c>
      <c r="P195" s="22">
        <f>INDEX(Data_Prices!P:P,MATCH($G195,Data_Prices!$A:$A,0))</f>
        <v>0.12790841608631831</v>
      </c>
      <c r="Q195" s="22">
        <f>INDEX(Data_Prices!Q:Q,MATCH($G195,Data_Prices!$A:$A,0))</f>
        <v>0.124814310557813</v>
      </c>
      <c r="R195" s="22">
        <f>INDEX(Data_Prices!R:R,MATCH($G195,Data_Prices!$A:$A,0))</f>
        <v>0.1214602571228779</v>
      </c>
      <c r="S195" s="22">
        <f>INDEX(Data_Prices!S:S,MATCH($G195,Data_Prices!$A:$A,0))</f>
        <v>0.1179507441357863</v>
      </c>
      <c r="T195" s="22">
        <f>INDEX(Data_Prices!T:T,MATCH($G195,Data_Prices!$A:$A,0))</f>
        <v>0.1141991610445974</v>
      </c>
      <c r="U195" s="22">
        <f>INDEX(Data_Prices!U:U,MATCH($G195,Data_Prices!$A:$A,0))</f>
        <v>0.1136651000596645</v>
      </c>
      <c r="V195" s="22">
        <f>INDEX(Data_Prices!V:V,MATCH($G195,Data_Prices!$A:$A,0))</f>
        <v>0.1130169296259568</v>
      </c>
      <c r="W195" s="22">
        <f>INDEX(Data_Prices!W:W,MATCH($G195,Data_Prices!$A:$A,0))</f>
        <v>0.112314070507636</v>
      </c>
      <c r="X195" s="22">
        <f>INDEX(Data_Prices!X:X,MATCH($G195,Data_Prices!$A:$A,0))</f>
        <v>0.1114220427328433</v>
      </c>
      <c r="Y195" s="22">
        <f>INDEX(Data_Prices!Y:Y,MATCH($G195,Data_Prices!$A:$A,0))</f>
        <v>0.1104341236758091</v>
      </c>
      <c r="Z195" s="22">
        <f>INDEX(Data_Prices!Z:Z,MATCH($G195,Data_Prices!$A:$A,0))</f>
        <v>0.10948397330447129</v>
      </c>
      <c r="AA195" s="22">
        <f>INDEX(Data_Prices!AA:AA,MATCH($G195,Data_Prices!$A:$A,0))</f>
        <v>0.1083919210529401</v>
      </c>
      <c r="AB195" s="22">
        <f>INDEX(Data_Prices!AB:AB,MATCH($G195,Data_Prices!$A:$A,0))</f>
        <v>0.1073544336267039</v>
      </c>
      <c r="AC195" s="22">
        <f>INDEX(Data_Prices!AC:AC,MATCH($G195,Data_Prices!$A:$A,0))</f>
        <v>0.10516867544166079</v>
      </c>
      <c r="AD195" s="22">
        <f>INDEX(Data_Prices!AD:AD,MATCH($G195,Data_Prices!$A:$A,0))</f>
        <v>0.1030579832560081</v>
      </c>
      <c r="AE195" s="22">
        <f>INDEX(Data_Prices!AE:AE,MATCH($G195,Data_Prices!$A:$A,0))</f>
        <v>0.1009318389901144</v>
      </c>
    </row>
    <row r="196" spans="2:31" x14ac:dyDescent="0.25">
      <c r="B196" s="16" t="s">
        <v>76</v>
      </c>
    </row>
    <row r="197" spans="2:31" x14ac:dyDescent="0.25">
      <c r="B197" s="17" t="s">
        <v>53</v>
      </c>
      <c r="C197" s="17" t="str">
        <f t="shared" ref="C197:C205" si="19">$C$185</f>
        <v>mch</v>
      </c>
      <c r="D197" s="18" t="s">
        <v>54</v>
      </c>
      <c r="E197" s="19" t="s">
        <v>55</v>
      </c>
      <c r="F197" s="17" t="s">
        <v>77</v>
      </c>
      <c r="G197" s="20" t="str">
        <f>Settings!$B$3&amp;".mit.nce."&amp;Settings!$B$4&amp;"."&amp;$B197&amp;".a."&amp;$J$185</f>
        <v>egy.mit.nce.ind.coa.a.1</v>
      </c>
      <c r="H197" s="21" t="str">
        <f>OUTCODE(Settings!$B$3,"atp",$C$185,$B197,$J$185)</f>
        <v>egy.mit.atp.mch.coa.e.1</v>
      </c>
      <c r="K197" s="22">
        <f>POSTTAX(K187,INDEX(Data_Prices!K:K,MATCH($G197,Data_Prices!$A:$A,0)),K$217)</f>
        <v>11.18290158924394</v>
      </c>
      <c r="L197" s="22">
        <f>POSTTAX(L187,INDEX(Data_Prices!L:L,MATCH($G197,Data_Prices!$A:$A,0)),L$217)</f>
        <v>10.52336134543121</v>
      </c>
      <c r="M197" s="22">
        <f>POSTTAX(M187,INDEX(Data_Prices!M:M,MATCH($G197,Data_Prices!$A:$A,0)),M$217)</f>
        <v>10.299560827444211</v>
      </c>
      <c r="N197" s="22">
        <f>POSTTAX(N187,INDEX(Data_Prices!N:N,MATCH($G197,Data_Prices!$A:$A,0)),N$217)</f>
        <v>9.5775283595382632</v>
      </c>
      <c r="O197" s="22">
        <f>POSTTAX(O187,INDEX(Data_Prices!O:O,MATCH($G197,Data_Prices!$A:$A,0)),O$217)</f>
        <v>8.4854782869580454</v>
      </c>
      <c r="P197" s="22">
        <f>POSTTAX(P187,INDEX(Data_Prices!P:P,MATCH($G197,Data_Prices!$A:$A,0)),P$217)</f>
        <v>9.0871922352498604</v>
      </c>
      <c r="Q197" s="22">
        <f>POSTTAX(Q187,INDEX(Data_Prices!Q:Q,MATCH($G197,Data_Prices!$A:$A,0)),Q$217)</f>
        <v>9.2229237289326811</v>
      </c>
      <c r="R197" s="22">
        <f>POSTTAX(R187,INDEX(Data_Prices!R:R,MATCH($G197,Data_Prices!$A:$A,0)),R$217)</f>
        <v>9.1585649555096875</v>
      </c>
      <c r="S197" s="22">
        <f>POSTTAX(S187,INDEX(Data_Prices!S:S,MATCH($G197,Data_Prices!$A:$A,0)),S$217)</f>
        <v>9.0895478773973775</v>
      </c>
      <c r="T197" s="22">
        <f>POSTTAX(T187,INDEX(Data_Prices!T:T,MATCH($G197,Data_Prices!$A:$A,0)),T$217)</f>
        <v>9.0156816660228305</v>
      </c>
      <c r="U197" s="22">
        <f>POSTTAX(U187,INDEX(Data_Prices!U:U,MATCH($G197,Data_Prices!$A:$A,0)),U$217)</f>
        <v>8.9443977655571061</v>
      </c>
      <c r="V197" s="22">
        <f>POSTTAX(V187,INDEX(Data_Prices!V:V,MATCH($G197,Data_Prices!$A:$A,0)),V$217)</f>
        <v>8.9443977655571061</v>
      </c>
      <c r="W197" s="22">
        <f>POSTTAX(W187,INDEX(Data_Prices!W:W,MATCH($G197,Data_Prices!$A:$A,0)),W$217)</f>
        <v>8.9443977655571061</v>
      </c>
      <c r="X197" s="22">
        <f>POSTTAX(X187,INDEX(Data_Prices!X:X,MATCH($G197,Data_Prices!$A:$A,0)),X$217)</f>
        <v>8.9443977655571061</v>
      </c>
      <c r="Y197" s="22">
        <f>POSTTAX(Y187,INDEX(Data_Prices!Y:Y,MATCH($G197,Data_Prices!$A:$A,0)),Y$217)</f>
        <v>8.9443977655571061</v>
      </c>
      <c r="Z197" s="22">
        <f>POSTTAX(Z187,INDEX(Data_Prices!Z:Z,MATCH($G197,Data_Prices!$A:$A,0)),Z$217)</f>
        <v>8.9443977655571061</v>
      </c>
      <c r="AA197" s="22">
        <f>POSTTAX(AA187,INDEX(Data_Prices!AA:AA,MATCH($G197,Data_Prices!$A:$A,0)),AA$217)</f>
        <v>8.9443977655571061</v>
      </c>
      <c r="AB197" s="22">
        <f>POSTTAX(AB187,INDEX(Data_Prices!AB:AB,MATCH($G197,Data_Prices!$A:$A,0)),AB$217)</f>
        <v>8.9443977655571061</v>
      </c>
      <c r="AC197" s="22">
        <f>POSTTAX(AC187,INDEX(Data_Prices!AC:AC,MATCH($G197,Data_Prices!$A:$A,0)),AC$217)</f>
        <v>8.9443977655571061</v>
      </c>
      <c r="AD197" s="22">
        <f>POSTTAX(AD187,INDEX(Data_Prices!AD:AD,MATCH($G197,Data_Prices!$A:$A,0)),AD$217)</f>
        <v>8.9443977655571061</v>
      </c>
      <c r="AE197" s="22">
        <f>POSTTAX(AE187,INDEX(Data_Prices!AE:AE,MATCH($G197,Data_Prices!$A:$A,0)),AE$217)</f>
        <v>8.9443977655571061</v>
      </c>
    </row>
    <row r="198" spans="2:31" x14ac:dyDescent="0.25">
      <c r="B198" s="17" t="s">
        <v>57</v>
      </c>
      <c r="C198" s="17" t="str">
        <f t="shared" si="19"/>
        <v>mch</v>
      </c>
      <c r="D198" s="18" t="s">
        <v>58</v>
      </c>
      <c r="E198" s="19" t="s">
        <v>55</v>
      </c>
      <c r="F198" s="17" t="s">
        <v>77</v>
      </c>
      <c r="G198" s="20" t="str">
        <f>Settings!$B$3&amp;".mit.nce."&amp;Settings!$B$4&amp;"."&amp;$B198&amp;".a."&amp;$J$185</f>
        <v>egy.mit.nce.ind.nga.a.1</v>
      </c>
      <c r="H198" s="21" t="str">
        <f>OUTCODE(Settings!$B$3,"atp",$C$185,$B198,$J$185)</f>
        <v>egy.mit.atp.mch.nga.e.1</v>
      </c>
      <c r="K198" s="22">
        <f>POSTTAX(K188,INDEX(Data_Prices!K:K,MATCH($G198,Data_Prices!$A:$A,0)),K$217)</f>
        <v>6.0634636156729131</v>
      </c>
      <c r="L198" s="22">
        <f>POSTTAX(L188,INDEX(Data_Prices!L:L,MATCH($G198,Data_Prices!$A:$A,0)),L$217)</f>
        <v>5.4510150816191896</v>
      </c>
      <c r="M198" s="22">
        <f>POSTTAX(M188,INDEX(Data_Prices!M:M,MATCH($G198,Data_Prices!$A:$A,0)),M$217)</f>
        <v>5.1193563062624818</v>
      </c>
      <c r="N198" s="22">
        <f>POSTTAX(N188,INDEX(Data_Prices!N:N,MATCH($G198,Data_Prices!$A:$A,0)),N$217)</f>
        <v>5.0821845864040727</v>
      </c>
      <c r="O198" s="22">
        <f>POSTTAX(O188,INDEX(Data_Prices!O:O,MATCH($G198,Data_Prices!$A:$A,0)),O$217)</f>
        <v>5.0821845864040727</v>
      </c>
      <c r="P198" s="22">
        <f>POSTTAX(P188,INDEX(Data_Prices!P:P,MATCH($G198,Data_Prices!$A:$A,0)),P$217)</f>
        <v>5.0821845864040727</v>
      </c>
      <c r="Q198" s="22">
        <f>POSTTAX(Q188,INDEX(Data_Prices!Q:Q,MATCH($G198,Data_Prices!$A:$A,0)),Q$217)</f>
        <v>5.0821845864040727</v>
      </c>
      <c r="R198" s="22">
        <f>POSTTAX(R188,INDEX(Data_Prices!R:R,MATCH($G198,Data_Prices!$A:$A,0)),R$217)</f>
        <v>5.0821845864040727</v>
      </c>
      <c r="S198" s="22">
        <f>POSTTAX(S188,INDEX(Data_Prices!S:S,MATCH($G198,Data_Prices!$A:$A,0)),S$217)</f>
        <v>5.0821845864040727</v>
      </c>
      <c r="T198" s="22">
        <f>POSTTAX(T188,INDEX(Data_Prices!T:T,MATCH($G198,Data_Prices!$A:$A,0)),T$217)</f>
        <v>5.0821845864040727</v>
      </c>
      <c r="U198" s="22">
        <f>POSTTAX(U188,INDEX(Data_Prices!U:U,MATCH($G198,Data_Prices!$A:$A,0)),U$217)</f>
        <v>5.0821845864040727</v>
      </c>
      <c r="V198" s="22">
        <f>POSTTAX(V188,INDEX(Data_Prices!V:V,MATCH($G198,Data_Prices!$A:$A,0)),V$217)</f>
        <v>5.0821845864040727</v>
      </c>
      <c r="W198" s="22">
        <f>POSTTAX(W188,INDEX(Data_Prices!W:W,MATCH($G198,Data_Prices!$A:$A,0)),W$217)</f>
        <v>5.0821845864040727</v>
      </c>
      <c r="X198" s="22">
        <f>POSTTAX(X188,INDEX(Data_Prices!X:X,MATCH($G198,Data_Prices!$A:$A,0)),X$217)</f>
        <v>5.0821845864040727</v>
      </c>
      <c r="Y198" s="22">
        <f>POSTTAX(Y188,INDEX(Data_Prices!Y:Y,MATCH($G198,Data_Prices!$A:$A,0)),Y$217)</f>
        <v>5.0821845864040727</v>
      </c>
      <c r="Z198" s="22">
        <f>POSTTAX(Z188,INDEX(Data_Prices!Z:Z,MATCH($G198,Data_Prices!$A:$A,0)),Z$217)</f>
        <v>5.0821845864040727</v>
      </c>
      <c r="AA198" s="22">
        <f>POSTTAX(AA188,INDEX(Data_Prices!AA:AA,MATCH($G198,Data_Prices!$A:$A,0)),AA$217)</f>
        <v>5.0821845864040727</v>
      </c>
      <c r="AB198" s="22">
        <f>POSTTAX(AB188,INDEX(Data_Prices!AB:AB,MATCH($G198,Data_Prices!$A:$A,0)),AB$217)</f>
        <v>5.0821845864040727</v>
      </c>
      <c r="AC198" s="22">
        <f>POSTTAX(AC188,INDEX(Data_Prices!AC:AC,MATCH($G198,Data_Prices!$A:$A,0)),AC$217)</f>
        <v>5.0821845864040727</v>
      </c>
      <c r="AD198" s="22">
        <f>POSTTAX(AD188,INDEX(Data_Prices!AD:AD,MATCH($G198,Data_Prices!$A:$A,0)),AD$217)</f>
        <v>5.0821845864040727</v>
      </c>
      <c r="AE198" s="22">
        <f>POSTTAX(AE188,INDEX(Data_Prices!AE:AE,MATCH($G198,Data_Prices!$A:$A,0)),AE$217)</f>
        <v>5.0821845864040727</v>
      </c>
    </row>
    <row r="199" spans="2:31" x14ac:dyDescent="0.25">
      <c r="B199" s="17" t="s">
        <v>59</v>
      </c>
      <c r="C199" s="17" t="str">
        <f t="shared" si="19"/>
        <v>mch</v>
      </c>
      <c r="D199" s="18" t="s">
        <v>60</v>
      </c>
      <c r="E199" s="19" t="s">
        <v>61</v>
      </c>
      <c r="F199" s="17" t="s">
        <v>77</v>
      </c>
      <c r="G199" s="20" t="str">
        <f>Settings!$B$3&amp;".mit.nce."&amp;Settings!$B$4&amp;"."&amp;$B199&amp;".a."&amp;$J$185</f>
        <v>egy.mit.nce.ind.gso.a.1</v>
      </c>
      <c r="H199" s="21" t="str">
        <f>OUTCODE(Settings!$B$3,"atp",$C$185,$B199,$J$185)</f>
        <v>egy.mit.atp.mch.gso.e.1</v>
      </c>
      <c r="K199" s="22">
        <f>POSTTAX(K189,INDEX(Data_Prices!K:K,MATCH($G199,Data_Prices!$A:$A,0)),K$217)</f>
        <v>0.67114653332181606</v>
      </c>
      <c r="L199" s="22">
        <f>POSTTAX(L189,INDEX(Data_Prices!L:L,MATCH($G199,Data_Prices!$A:$A,0)),L$217)</f>
        <v>0.61197797679140631</v>
      </c>
      <c r="M199" s="22">
        <f>POSTTAX(M189,INDEX(Data_Prices!M:M,MATCH($G199,Data_Prices!$A:$A,0)),M$217)</f>
        <v>0.61180974964187596</v>
      </c>
      <c r="N199" s="22">
        <f>POSTTAX(N189,INDEX(Data_Prices!N:N,MATCH($G199,Data_Prices!$A:$A,0)),N$217)</f>
        <v>0.60358310017790551</v>
      </c>
      <c r="O199" s="22">
        <f>POSTTAX(O189,INDEX(Data_Prices!O:O,MATCH($G199,Data_Prices!$A:$A,0)),O$217)</f>
        <v>0.60358310017790551</v>
      </c>
      <c r="P199" s="22">
        <f>POSTTAX(P189,INDEX(Data_Prices!P:P,MATCH($G199,Data_Prices!$A:$A,0)),P$217)</f>
        <v>0.60358310017790551</v>
      </c>
      <c r="Q199" s="22">
        <f>POSTTAX(Q189,INDEX(Data_Prices!Q:Q,MATCH($G199,Data_Prices!$A:$A,0)),Q$217)</f>
        <v>0.60358310017790551</v>
      </c>
      <c r="R199" s="22">
        <f>POSTTAX(R189,INDEX(Data_Prices!R:R,MATCH($G199,Data_Prices!$A:$A,0)),R$217)</f>
        <v>0.60358310017790551</v>
      </c>
      <c r="S199" s="22">
        <f>POSTTAX(S189,INDEX(Data_Prices!S:S,MATCH($G199,Data_Prices!$A:$A,0)),S$217)</f>
        <v>0.60358310017790551</v>
      </c>
      <c r="T199" s="22">
        <f>POSTTAX(T189,INDEX(Data_Prices!T:T,MATCH($G199,Data_Prices!$A:$A,0)),T$217)</f>
        <v>0.60358310017790551</v>
      </c>
      <c r="U199" s="22">
        <f>POSTTAX(U189,INDEX(Data_Prices!U:U,MATCH($G199,Data_Prices!$A:$A,0)),U$217)</f>
        <v>0.60358310017790551</v>
      </c>
      <c r="V199" s="22">
        <f>POSTTAX(V189,INDEX(Data_Prices!V:V,MATCH($G199,Data_Prices!$A:$A,0)),V$217)</f>
        <v>0.60358310017790551</v>
      </c>
      <c r="W199" s="22">
        <f>POSTTAX(W189,INDEX(Data_Prices!W:W,MATCH($G199,Data_Prices!$A:$A,0)),W$217)</f>
        <v>0.60358310017790551</v>
      </c>
      <c r="X199" s="22">
        <f>POSTTAX(X189,INDEX(Data_Prices!X:X,MATCH($G199,Data_Prices!$A:$A,0)),X$217)</f>
        <v>0.60358310017790551</v>
      </c>
      <c r="Y199" s="22">
        <f>POSTTAX(Y189,INDEX(Data_Prices!Y:Y,MATCH($G199,Data_Prices!$A:$A,0)),Y$217)</f>
        <v>0.60358310017790551</v>
      </c>
      <c r="Z199" s="22">
        <f>POSTTAX(Z189,INDEX(Data_Prices!Z:Z,MATCH($G199,Data_Prices!$A:$A,0)),Z$217)</f>
        <v>0.60358310017790551</v>
      </c>
      <c r="AA199" s="22">
        <f>POSTTAX(AA189,INDEX(Data_Prices!AA:AA,MATCH($G199,Data_Prices!$A:$A,0)),AA$217)</f>
        <v>0.60358310017790551</v>
      </c>
      <c r="AB199" s="22">
        <f>POSTTAX(AB189,INDEX(Data_Prices!AB:AB,MATCH($G199,Data_Prices!$A:$A,0)),AB$217)</f>
        <v>0.60358310017790551</v>
      </c>
      <c r="AC199" s="22">
        <f>POSTTAX(AC189,INDEX(Data_Prices!AC:AC,MATCH($G199,Data_Prices!$A:$A,0)),AC$217)</f>
        <v>0.60358310017790551</v>
      </c>
      <c r="AD199" s="22">
        <f>POSTTAX(AD189,INDEX(Data_Prices!AD:AD,MATCH($G199,Data_Prices!$A:$A,0)),AD$217)</f>
        <v>0.60358310017790551</v>
      </c>
      <c r="AE199" s="22">
        <f>POSTTAX(AE189,INDEX(Data_Prices!AE:AE,MATCH($G199,Data_Prices!$A:$A,0)),AE$217)</f>
        <v>0.60358310017790551</v>
      </c>
    </row>
    <row r="200" spans="2:31" x14ac:dyDescent="0.25">
      <c r="B200" s="17" t="s">
        <v>62</v>
      </c>
      <c r="C200" s="17" t="str">
        <f t="shared" si="19"/>
        <v>mch</v>
      </c>
      <c r="D200" s="18" t="s">
        <v>63</v>
      </c>
      <c r="E200" s="19" t="s">
        <v>61</v>
      </c>
      <c r="F200" s="17" t="s">
        <v>77</v>
      </c>
      <c r="G200" s="20" t="str">
        <f>Settings!$B$3&amp;".mit.nce."&amp;Settings!$B$4&amp;"."&amp;$B200&amp;".a."&amp;$J$185</f>
        <v>egy.mit.nce.ind.die.a.1</v>
      </c>
      <c r="H200" s="21" t="str">
        <f>OUTCODE(Settings!$B$3,"atp",$C$185,$B200,$J$185)</f>
        <v>egy.mit.atp.mch.die.e.1</v>
      </c>
      <c r="K200" s="22">
        <f>POSTTAX(K190,INDEX(Data_Prices!K:K,MATCH($G200,Data_Prices!$A:$A,0)),K$217)</f>
        <v>0.55971121315568761</v>
      </c>
      <c r="L200" s="22">
        <f>POSTTAX(L190,INDEX(Data_Prices!L:L,MATCH($G200,Data_Prices!$A:$A,0)),L$217)</f>
        <v>0.49458873084106802</v>
      </c>
      <c r="M200" s="22">
        <f>POSTTAX(M190,INDEX(Data_Prices!M:M,MATCH($G200,Data_Prices!$A:$A,0)),M$217)</f>
        <v>0.50778654720250049</v>
      </c>
      <c r="N200" s="22">
        <f>POSTTAX(N190,INDEX(Data_Prices!N:N,MATCH($G200,Data_Prices!$A:$A,0)),N$217)</f>
        <v>0.47043642679561742</v>
      </c>
      <c r="O200" s="22">
        <f>POSTTAX(O190,INDEX(Data_Prices!O:O,MATCH($G200,Data_Prices!$A:$A,0)),O$217)</f>
        <v>0.47043642679561742</v>
      </c>
      <c r="P200" s="22">
        <f>POSTTAX(P190,INDEX(Data_Prices!P:P,MATCH($G200,Data_Prices!$A:$A,0)),P$217)</f>
        <v>0.47043642679561742</v>
      </c>
      <c r="Q200" s="22">
        <f>POSTTAX(Q190,INDEX(Data_Prices!Q:Q,MATCH($G200,Data_Prices!$A:$A,0)),Q$217)</f>
        <v>0.47043642679561742</v>
      </c>
      <c r="R200" s="22">
        <f>POSTTAX(R190,INDEX(Data_Prices!R:R,MATCH($G200,Data_Prices!$A:$A,0)),R$217)</f>
        <v>0.47043642679561742</v>
      </c>
      <c r="S200" s="22">
        <f>POSTTAX(S190,INDEX(Data_Prices!S:S,MATCH($G200,Data_Prices!$A:$A,0)),S$217)</f>
        <v>0.47043642679561742</v>
      </c>
      <c r="T200" s="22">
        <f>POSTTAX(T190,INDEX(Data_Prices!T:T,MATCH($G200,Data_Prices!$A:$A,0)),T$217)</f>
        <v>0.47043642679561742</v>
      </c>
      <c r="U200" s="22">
        <f>POSTTAX(U190,INDEX(Data_Prices!U:U,MATCH($G200,Data_Prices!$A:$A,0)),U$217)</f>
        <v>0.47043642679561742</v>
      </c>
      <c r="V200" s="22">
        <f>POSTTAX(V190,INDEX(Data_Prices!V:V,MATCH($G200,Data_Prices!$A:$A,0)),V$217)</f>
        <v>0.47043642679561742</v>
      </c>
      <c r="W200" s="22">
        <f>POSTTAX(W190,INDEX(Data_Prices!W:W,MATCH($G200,Data_Prices!$A:$A,0)),W$217)</f>
        <v>0.47043642679561742</v>
      </c>
      <c r="X200" s="22">
        <f>POSTTAX(X190,INDEX(Data_Prices!X:X,MATCH($G200,Data_Prices!$A:$A,0)),X$217)</f>
        <v>0.47043642679561742</v>
      </c>
      <c r="Y200" s="22">
        <f>POSTTAX(Y190,INDEX(Data_Prices!Y:Y,MATCH($G200,Data_Prices!$A:$A,0)),Y$217)</f>
        <v>0.47043642679561742</v>
      </c>
      <c r="Z200" s="22">
        <f>POSTTAX(Z190,INDEX(Data_Prices!Z:Z,MATCH($G200,Data_Prices!$A:$A,0)),Z$217)</f>
        <v>0.47043642679561742</v>
      </c>
      <c r="AA200" s="22">
        <f>POSTTAX(AA190,INDEX(Data_Prices!AA:AA,MATCH($G200,Data_Prices!$A:$A,0)),AA$217)</f>
        <v>0.47043642679561742</v>
      </c>
      <c r="AB200" s="22">
        <f>POSTTAX(AB190,INDEX(Data_Prices!AB:AB,MATCH($G200,Data_Prices!$A:$A,0)),AB$217)</f>
        <v>0.47043642679561742</v>
      </c>
      <c r="AC200" s="22">
        <f>POSTTAX(AC190,INDEX(Data_Prices!AC:AC,MATCH($G200,Data_Prices!$A:$A,0)),AC$217)</f>
        <v>0.47043642679561742</v>
      </c>
      <c r="AD200" s="22">
        <f>POSTTAX(AD190,INDEX(Data_Prices!AD:AD,MATCH($G200,Data_Prices!$A:$A,0)),AD$217)</f>
        <v>0.47043642679561742</v>
      </c>
      <c r="AE200" s="22">
        <f>POSTTAX(AE190,INDEX(Data_Prices!AE:AE,MATCH($G200,Data_Prices!$A:$A,0)),AE$217)</f>
        <v>0.47043642679561742</v>
      </c>
    </row>
    <row r="201" spans="2:31" x14ac:dyDescent="0.25">
      <c r="B201" s="17" t="s">
        <v>64</v>
      </c>
      <c r="C201" s="17" t="str">
        <f t="shared" si="19"/>
        <v>mch</v>
      </c>
      <c r="D201" s="18" t="s">
        <v>65</v>
      </c>
      <c r="E201" s="19" t="s">
        <v>61</v>
      </c>
      <c r="F201" s="17" t="s">
        <v>77</v>
      </c>
      <c r="G201" s="20" t="str">
        <f>Settings!$B$3&amp;".mit.nce."&amp;Settings!$B$4&amp;"."&amp;$B201&amp;".a."&amp;$J$185</f>
        <v>egy.mit.nce.ind.lpg.a.1</v>
      </c>
      <c r="H201" s="21" t="str">
        <f>OUTCODE(Settings!$B$3,"atp",$C$185,$B201,$J$185)</f>
        <v>egy.mit.atp.mch.lpg.e.1</v>
      </c>
      <c r="K201" s="22">
        <f>POSTTAX(K191,INDEX(Data_Prices!K:K,MATCH($G201,Data_Prices!$A:$A,0)),K$217)</f>
        <v>0.20036669112673841</v>
      </c>
      <c r="L201" s="22">
        <f>POSTTAX(L191,INDEX(Data_Prices!L:L,MATCH($G201,Data_Prices!$A:$A,0)),L$217)</f>
        <v>0.1573447362522738</v>
      </c>
      <c r="M201" s="22">
        <f>POSTTAX(M191,INDEX(Data_Prices!M:M,MATCH($G201,Data_Prices!$A:$A,0)),M$217)</f>
        <v>0.1644840377592767</v>
      </c>
      <c r="N201" s="22">
        <f>POSTTAX(N191,INDEX(Data_Prices!N:N,MATCH($G201,Data_Prices!$A:$A,0)),N$217)</f>
        <v>0.1507090778070489</v>
      </c>
      <c r="O201" s="22">
        <f>POSTTAX(O191,INDEX(Data_Prices!O:O,MATCH($G201,Data_Prices!$A:$A,0)),O$217)</f>
        <v>0.1507090778070489</v>
      </c>
      <c r="P201" s="22">
        <f>POSTTAX(P191,INDEX(Data_Prices!P:P,MATCH($G201,Data_Prices!$A:$A,0)),P$217)</f>
        <v>0.1507090778070489</v>
      </c>
      <c r="Q201" s="22">
        <f>POSTTAX(Q191,INDEX(Data_Prices!Q:Q,MATCH($G201,Data_Prices!$A:$A,0)),Q$217)</f>
        <v>0.1507090778070489</v>
      </c>
      <c r="R201" s="22">
        <f>POSTTAX(R191,INDEX(Data_Prices!R:R,MATCH($G201,Data_Prices!$A:$A,0)),R$217)</f>
        <v>0.1507090778070489</v>
      </c>
      <c r="S201" s="22">
        <f>POSTTAX(S191,INDEX(Data_Prices!S:S,MATCH($G201,Data_Prices!$A:$A,0)),S$217)</f>
        <v>0.1507090778070489</v>
      </c>
      <c r="T201" s="22">
        <f>POSTTAX(T191,INDEX(Data_Prices!T:T,MATCH($G201,Data_Prices!$A:$A,0)),T$217)</f>
        <v>0.1507090778070489</v>
      </c>
      <c r="U201" s="22">
        <f>POSTTAX(U191,INDEX(Data_Prices!U:U,MATCH($G201,Data_Prices!$A:$A,0)),U$217)</f>
        <v>0.1507090778070489</v>
      </c>
      <c r="V201" s="22">
        <f>POSTTAX(V191,INDEX(Data_Prices!V:V,MATCH($G201,Data_Prices!$A:$A,0)),V$217)</f>
        <v>0.1507090778070489</v>
      </c>
      <c r="W201" s="22">
        <f>POSTTAX(W191,INDEX(Data_Prices!W:W,MATCH($G201,Data_Prices!$A:$A,0)),W$217)</f>
        <v>0.1507090778070489</v>
      </c>
      <c r="X201" s="22">
        <f>POSTTAX(X191,INDEX(Data_Prices!X:X,MATCH($G201,Data_Prices!$A:$A,0)),X$217)</f>
        <v>0.1507090778070489</v>
      </c>
      <c r="Y201" s="22">
        <f>POSTTAX(Y191,INDEX(Data_Prices!Y:Y,MATCH($G201,Data_Prices!$A:$A,0)),Y$217)</f>
        <v>0.1507090778070489</v>
      </c>
      <c r="Z201" s="22">
        <f>POSTTAX(Z191,INDEX(Data_Prices!Z:Z,MATCH($G201,Data_Prices!$A:$A,0)),Z$217)</f>
        <v>0.1507090778070489</v>
      </c>
      <c r="AA201" s="22">
        <f>POSTTAX(AA191,INDEX(Data_Prices!AA:AA,MATCH($G201,Data_Prices!$A:$A,0)),AA$217)</f>
        <v>0.1507090778070489</v>
      </c>
      <c r="AB201" s="22">
        <f>POSTTAX(AB191,INDEX(Data_Prices!AB:AB,MATCH($G201,Data_Prices!$A:$A,0)),AB$217)</f>
        <v>0.1507090778070489</v>
      </c>
      <c r="AC201" s="22">
        <f>POSTTAX(AC191,INDEX(Data_Prices!AC:AC,MATCH($G201,Data_Prices!$A:$A,0)),AC$217)</f>
        <v>0.1507090778070489</v>
      </c>
      <c r="AD201" s="22">
        <f>POSTTAX(AD191,INDEX(Data_Prices!AD:AD,MATCH($G201,Data_Prices!$A:$A,0)),AD$217)</f>
        <v>0.1507090778070489</v>
      </c>
      <c r="AE201" s="22">
        <f>POSTTAX(AE191,INDEX(Data_Prices!AE:AE,MATCH($G201,Data_Prices!$A:$A,0)),AE$217)</f>
        <v>0.1507090778070489</v>
      </c>
    </row>
    <row r="202" spans="2:31" x14ac:dyDescent="0.25">
      <c r="B202" s="17" t="s">
        <v>66</v>
      </c>
      <c r="C202" s="17" t="str">
        <f t="shared" si="19"/>
        <v>mch</v>
      </c>
      <c r="D202" s="18" t="s">
        <v>67</v>
      </c>
      <c r="E202" s="19" t="s">
        <v>61</v>
      </c>
      <c r="F202" s="17" t="s">
        <v>77</v>
      </c>
      <c r="G202" s="20" t="str">
        <f>Settings!$B$3&amp;".mit.nce."&amp;Settings!$B$4&amp;"."&amp;$B202&amp;".a."&amp;$J$185</f>
        <v>egy.mit.nce.ind.ker.a.1</v>
      </c>
      <c r="H202" s="21" t="str">
        <f>OUTCODE(Settings!$B$3,"atp",$C$185,$B202,$J$185)</f>
        <v>egy.mit.atp.mch.ker.e.1</v>
      </c>
      <c r="K202" s="22">
        <f>POSTTAX(K192,INDEX(Data_Prices!K:K,MATCH($G202,Data_Prices!$A:$A,0)),K$217)</f>
        <v>0.48429424097343482</v>
      </c>
      <c r="L202" s="22">
        <f>POSTTAX(L192,INDEX(Data_Prices!L:L,MATCH($G202,Data_Prices!$A:$A,0)),L$217)</f>
        <v>0.45642817050012813</v>
      </c>
      <c r="M202" s="22">
        <f>POSTTAX(M192,INDEX(Data_Prices!M:M,MATCH($G202,Data_Prices!$A:$A,0)),M$217)</f>
        <v>0.43168920195599519</v>
      </c>
      <c r="N202" s="22">
        <f>POSTTAX(N192,INDEX(Data_Prices!N:N,MATCH($G202,Data_Prices!$A:$A,0)),N$217)</f>
        <v>0.42507558395596989</v>
      </c>
      <c r="O202" s="22">
        <f>POSTTAX(O192,INDEX(Data_Prices!O:O,MATCH($G202,Data_Prices!$A:$A,0)),O$217)</f>
        <v>0.42507558395596989</v>
      </c>
      <c r="P202" s="22">
        <f>POSTTAX(P192,INDEX(Data_Prices!P:P,MATCH($G202,Data_Prices!$A:$A,0)),P$217)</f>
        <v>0.42507558395596989</v>
      </c>
      <c r="Q202" s="22">
        <f>POSTTAX(Q192,INDEX(Data_Prices!Q:Q,MATCH($G202,Data_Prices!$A:$A,0)),Q$217)</f>
        <v>0.42507558395596989</v>
      </c>
      <c r="R202" s="22">
        <f>POSTTAX(R192,INDEX(Data_Prices!R:R,MATCH($G202,Data_Prices!$A:$A,0)),R$217)</f>
        <v>0.42507558395596989</v>
      </c>
      <c r="S202" s="22">
        <f>POSTTAX(S192,INDEX(Data_Prices!S:S,MATCH($G202,Data_Prices!$A:$A,0)),S$217)</f>
        <v>0.42507558395596989</v>
      </c>
      <c r="T202" s="22">
        <f>POSTTAX(T192,INDEX(Data_Prices!T:T,MATCH($G202,Data_Prices!$A:$A,0)),T$217)</f>
        <v>0.42507558395596989</v>
      </c>
      <c r="U202" s="22">
        <f>POSTTAX(U192,INDEX(Data_Prices!U:U,MATCH($G202,Data_Prices!$A:$A,0)),U$217)</f>
        <v>0.42507558395596989</v>
      </c>
      <c r="V202" s="22">
        <f>POSTTAX(V192,INDEX(Data_Prices!V:V,MATCH($G202,Data_Prices!$A:$A,0)),V$217)</f>
        <v>0.42507558395596989</v>
      </c>
      <c r="W202" s="22">
        <f>POSTTAX(W192,INDEX(Data_Prices!W:W,MATCH($G202,Data_Prices!$A:$A,0)),W$217)</f>
        <v>0.42507558395596989</v>
      </c>
      <c r="X202" s="22">
        <f>POSTTAX(X192,INDEX(Data_Prices!X:X,MATCH($G202,Data_Prices!$A:$A,0)),X$217)</f>
        <v>0.42507558395596989</v>
      </c>
      <c r="Y202" s="22">
        <f>POSTTAX(Y192,INDEX(Data_Prices!Y:Y,MATCH($G202,Data_Prices!$A:$A,0)),Y$217)</f>
        <v>0.42507558395596989</v>
      </c>
      <c r="Z202" s="22">
        <f>POSTTAX(Z192,INDEX(Data_Prices!Z:Z,MATCH($G202,Data_Prices!$A:$A,0)),Z$217)</f>
        <v>0.42507558395596989</v>
      </c>
      <c r="AA202" s="22">
        <f>POSTTAX(AA192,INDEX(Data_Prices!AA:AA,MATCH($G202,Data_Prices!$A:$A,0)),AA$217)</f>
        <v>0.42507558395596989</v>
      </c>
      <c r="AB202" s="22">
        <f>POSTTAX(AB192,INDEX(Data_Prices!AB:AB,MATCH($G202,Data_Prices!$A:$A,0)),AB$217)</f>
        <v>0.42507558395596989</v>
      </c>
      <c r="AC202" s="22">
        <f>POSTTAX(AC192,INDEX(Data_Prices!AC:AC,MATCH($G202,Data_Prices!$A:$A,0)),AC$217)</f>
        <v>0.42507558395596989</v>
      </c>
      <c r="AD202" s="22">
        <f>POSTTAX(AD192,INDEX(Data_Prices!AD:AD,MATCH($G202,Data_Prices!$A:$A,0)),AD$217)</f>
        <v>0.42507558395596989</v>
      </c>
      <c r="AE202" s="22">
        <f>POSTTAX(AE192,INDEX(Data_Prices!AE:AE,MATCH($G202,Data_Prices!$A:$A,0)),AE$217)</f>
        <v>0.42507558395596989</v>
      </c>
    </row>
    <row r="203" spans="2:31" x14ac:dyDescent="0.25">
      <c r="B203" s="17" t="s">
        <v>68</v>
      </c>
      <c r="C203" s="17" t="str">
        <f t="shared" si="19"/>
        <v>mch</v>
      </c>
      <c r="D203" s="18" t="s">
        <v>69</v>
      </c>
      <c r="E203" s="19" t="s">
        <v>70</v>
      </c>
      <c r="F203" s="17" t="s">
        <v>77</v>
      </c>
      <c r="G203" s="20" t="str">
        <f>Settings!$B$3&amp;".mit.nce."&amp;Settings!$B$4&amp;"."&amp;$B203&amp;".a."&amp;$J$185</f>
        <v>egy.mit.nce.ind.oop.a.1</v>
      </c>
      <c r="H203" s="21" t="str">
        <f>OUTCODE(Settings!$B$3,"atp",$C$185,$B203,$J$185)</f>
        <v>egy.mit.atp.mch.oop.e.1</v>
      </c>
      <c r="K203" s="22">
        <f>POSTTAX(K193,INDEX(Data_Prices!K:K,MATCH($G203,Data_Prices!$A:$A,0)),K$217)</f>
        <v>41.50033849886843</v>
      </c>
      <c r="L203" s="22">
        <f>POSTTAX(L193,INDEX(Data_Prices!L:L,MATCH($G203,Data_Prices!$A:$A,0)),L$217)</f>
        <v>34.415370304313228</v>
      </c>
      <c r="M203" s="22">
        <f>POSTTAX(M193,INDEX(Data_Prices!M:M,MATCH($G203,Data_Prices!$A:$A,0)),M$217)</f>
        <v>37.368960690432033</v>
      </c>
      <c r="N203" s="22">
        <f>POSTTAX(N193,INDEX(Data_Prices!N:N,MATCH($G203,Data_Prices!$A:$A,0)),N$217)</f>
        <v>28.982761101477251</v>
      </c>
      <c r="O203" s="22">
        <f>POSTTAX(O193,INDEX(Data_Prices!O:O,MATCH($G203,Data_Prices!$A:$A,0)),O$217)</f>
        <v>15</v>
      </c>
      <c r="P203" s="22">
        <f>POSTTAX(P193,INDEX(Data_Prices!P:P,MATCH($G203,Data_Prices!$A:$A,0)),P$217)</f>
        <v>24.2586300842555</v>
      </c>
      <c r="Q203" s="22">
        <f>POSTTAX(Q193,INDEX(Data_Prices!Q:Q,MATCH($G203,Data_Prices!$A:$A,0)),Q$217)</f>
        <v>15</v>
      </c>
      <c r="R203" s="22">
        <f>POSTTAX(R193,INDEX(Data_Prices!R:R,MATCH($G203,Data_Prices!$A:$A,0)),R$217)</f>
        <v>15</v>
      </c>
      <c r="S203" s="22">
        <f>POSTTAX(S193,INDEX(Data_Prices!S:S,MATCH($G203,Data_Prices!$A:$A,0)),S$217)</f>
        <v>15</v>
      </c>
      <c r="T203" s="22">
        <f>POSTTAX(T193,INDEX(Data_Prices!T:T,MATCH($G203,Data_Prices!$A:$A,0)),T$217)</f>
        <v>15</v>
      </c>
      <c r="U203" s="22">
        <f>POSTTAX(U193,INDEX(Data_Prices!U:U,MATCH($G203,Data_Prices!$A:$A,0)),U$217)</f>
        <v>15</v>
      </c>
      <c r="V203" s="22">
        <f>POSTTAX(V193,INDEX(Data_Prices!V:V,MATCH($G203,Data_Prices!$A:$A,0)),V$217)</f>
        <v>15</v>
      </c>
      <c r="W203" s="22">
        <f>POSTTAX(W193,INDEX(Data_Prices!W:W,MATCH($G203,Data_Prices!$A:$A,0)),W$217)</f>
        <v>15</v>
      </c>
      <c r="X203" s="22">
        <f>POSTTAX(X193,INDEX(Data_Prices!X:X,MATCH($G203,Data_Prices!$A:$A,0)),X$217)</f>
        <v>15</v>
      </c>
      <c r="Y203" s="22">
        <f>POSTTAX(Y193,INDEX(Data_Prices!Y:Y,MATCH($G203,Data_Prices!$A:$A,0)),Y$217)</f>
        <v>15</v>
      </c>
      <c r="Z203" s="22">
        <f>POSTTAX(Z193,INDEX(Data_Prices!Z:Z,MATCH($G203,Data_Prices!$A:$A,0)),Z$217)</f>
        <v>15</v>
      </c>
      <c r="AA203" s="22">
        <f>POSTTAX(AA193,INDEX(Data_Prices!AA:AA,MATCH($G203,Data_Prices!$A:$A,0)),AA$217)</f>
        <v>15</v>
      </c>
      <c r="AB203" s="22">
        <f>POSTTAX(AB193,INDEX(Data_Prices!AB:AB,MATCH($G203,Data_Prices!$A:$A,0)),AB$217)</f>
        <v>15</v>
      </c>
      <c r="AC203" s="22">
        <f>POSTTAX(AC193,INDEX(Data_Prices!AC:AC,MATCH($G203,Data_Prices!$A:$A,0)),AC$217)</f>
        <v>15</v>
      </c>
      <c r="AD203" s="22">
        <f>POSTTAX(AD193,INDEX(Data_Prices!AD:AD,MATCH($G203,Data_Prices!$A:$A,0)),AD$217)</f>
        <v>15</v>
      </c>
      <c r="AE203" s="22">
        <f>POSTTAX(AE193,INDEX(Data_Prices!AE:AE,MATCH($G203,Data_Prices!$A:$A,0)),AE$217)</f>
        <v>15</v>
      </c>
    </row>
    <row r="204" spans="2:31" x14ac:dyDescent="0.25">
      <c r="B204" s="17" t="s">
        <v>71</v>
      </c>
      <c r="C204" s="17" t="str">
        <f t="shared" si="19"/>
        <v>mch</v>
      </c>
      <c r="D204" s="18" t="s">
        <v>72</v>
      </c>
      <c r="E204" s="19" t="s">
        <v>55</v>
      </c>
      <c r="F204" s="17" t="s">
        <v>77</v>
      </c>
      <c r="G204" s="20" t="str">
        <f>Settings!$B$3&amp;".mit.nce."&amp;Settings!$B$4&amp;"."&amp;$B204&amp;".a."&amp;$J$185</f>
        <v>egy.mit.nce.ind.bio.a.1</v>
      </c>
      <c r="H204" s="21" t="str">
        <f>OUTCODE(Settings!$B$3,"atp",$C$185,$B204,$J$185)</f>
        <v>egy.mit.atp.mch.bio.e.1</v>
      </c>
      <c r="K204" s="22">
        <f>POSTTAX(K194,INDEX(Data_Prices!K:K,MATCH($G204,Data_Prices!$A:$A,0)),K$217)</f>
        <v>15.33455052931693</v>
      </c>
      <c r="L204" s="22">
        <f>POSTTAX(L194,INDEX(Data_Prices!L:L,MATCH($G204,Data_Prices!$A:$A,0)),L$217)</f>
        <v>14.199528390634921</v>
      </c>
      <c r="M204" s="22">
        <f>POSTTAX(M194,INDEX(Data_Prices!M:M,MATCH($G204,Data_Prices!$A:$A,0)),M$217)</f>
        <v>13.840441613315161</v>
      </c>
      <c r="N204" s="22">
        <f>POSTTAX(N194,INDEX(Data_Prices!N:N,MATCH($G204,Data_Prices!$A:$A,0)),N$217)</f>
        <v>13.5677269404465</v>
      </c>
      <c r="O204" s="22">
        <f>POSTTAX(O194,INDEX(Data_Prices!O:O,MATCH($G204,Data_Prices!$A:$A,0)),O$217)</f>
        <v>13.5677269404465</v>
      </c>
      <c r="P204" s="22">
        <f>POSTTAX(P194,INDEX(Data_Prices!P:P,MATCH($G204,Data_Prices!$A:$A,0)),P$217)</f>
        <v>13.5677269404465</v>
      </c>
      <c r="Q204" s="22">
        <f>POSTTAX(Q194,INDEX(Data_Prices!Q:Q,MATCH($G204,Data_Prices!$A:$A,0)),Q$217)</f>
        <v>13.5677269404465</v>
      </c>
      <c r="R204" s="22">
        <f>POSTTAX(R194,INDEX(Data_Prices!R:R,MATCH($G204,Data_Prices!$A:$A,0)),R$217)</f>
        <v>13.5677269404465</v>
      </c>
      <c r="S204" s="22">
        <f>POSTTAX(S194,INDEX(Data_Prices!S:S,MATCH($G204,Data_Prices!$A:$A,0)),S$217)</f>
        <v>13.5677269404465</v>
      </c>
      <c r="T204" s="22">
        <f>POSTTAX(T194,INDEX(Data_Prices!T:T,MATCH($G204,Data_Prices!$A:$A,0)),T$217)</f>
        <v>13.5677269404465</v>
      </c>
      <c r="U204" s="22">
        <f>POSTTAX(U194,INDEX(Data_Prices!U:U,MATCH($G204,Data_Prices!$A:$A,0)),U$217)</f>
        <v>13.5677269404465</v>
      </c>
      <c r="V204" s="22">
        <f>POSTTAX(V194,INDEX(Data_Prices!V:V,MATCH($G204,Data_Prices!$A:$A,0)),V$217)</f>
        <v>13.5677269404465</v>
      </c>
      <c r="W204" s="22">
        <f>POSTTAX(W194,INDEX(Data_Prices!W:W,MATCH($G204,Data_Prices!$A:$A,0)),W$217)</f>
        <v>13.5677269404465</v>
      </c>
      <c r="X204" s="22">
        <f>POSTTAX(X194,INDEX(Data_Prices!X:X,MATCH($G204,Data_Prices!$A:$A,0)),X$217)</f>
        <v>13.5677269404465</v>
      </c>
      <c r="Y204" s="22">
        <f>POSTTAX(Y194,INDEX(Data_Prices!Y:Y,MATCH($G204,Data_Prices!$A:$A,0)),Y$217)</f>
        <v>13.5677269404465</v>
      </c>
      <c r="Z204" s="22">
        <f>POSTTAX(Z194,INDEX(Data_Prices!Z:Z,MATCH($G204,Data_Prices!$A:$A,0)),Z$217)</f>
        <v>13.5677269404465</v>
      </c>
      <c r="AA204" s="22">
        <f>POSTTAX(AA194,INDEX(Data_Prices!AA:AA,MATCH($G204,Data_Prices!$A:$A,0)),AA$217)</f>
        <v>13.5677269404465</v>
      </c>
      <c r="AB204" s="22">
        <f>POSTTAX(AB194,INDEX(Data_Prices!AB:AB,MATCH($G204,Data_Prices!$A:$A,0)),AB$217)</f>
        <v>13.5677269404465</v>
      </c>
      <c r="AC204" s="22">
        <f>POSTTAX(AC194,INDEX(Data_Prices!AC:AC,MATCH($G204,Data_Prices!$A:$A,0)),AC$217)</f>
        <v>13.5677269404465</v>
      </c>
      <c r="AD204" s="22">
        <f>POSTTAX(AD194,INDEX(Data_Prices!AD:AD,MATCH($G204,Data_Prices!$A:$A,0)),AD$217)</f>
        <v>13.5677269404465</v>
      </c>
      <c r="AE204" s="22">
        <f>POSTTAX(AE194,INDEX(Data_Prices!AE:AE,MATCH($G204,Data_Prices!$A:$A,0)),AE$217)</f>
        <v>13.5677269404465</v>
      </c>
    </row>
    <row r="205" spans="2:31" x14ac:dyDescent="0.25">
      <c r="B205" s="17" t="s">
        <v>73</v>
      </c>
      <c r="C205" s="17" t="str">
        <f t="shared" si="19"/>
        <v>mch</v>
      </c>
      <c r="D205" s="18" t="s">
        <v>74</v>
      </c>
      <c r="E205" s="19" t="s">
        <v>75</v>
      </c>
      <c r="F205" s="17" t="s">
        <v>77</v>
      </c>
      <c r="G205" s="20" t="str">
        <f>Settings!$B$3&amp;".mit.nce."&amp;Settings!$B$4&amp;"."&amp;$B205&amp;".a."&amp;$J$185</f>
        <v>egy.mit.nce.ind.ren.a.1</v>
      </c>
      <c r="H205" s="21" t="str">
        <f>OUTCODE(Settings!$B$3,"atp",$C$185,$B205,$J$185)</f>
        <v>egy.mit.atp.mch.ren.e.1</v>
      </c>
      <c r="K205" s="22">
        <f>POSTTAX(K195,INDEX(Data_Prices!K:K,MATCH($G205,Data_Prices!$A:$A,0)),K$217)</f>
        <v>0</v>
      </c>
      <c r="L205" s="22">
        <f>POSTTAX(L195,INDEX(Data_Prices!L:L,MATCH($G205,Data_Prices!$A:$A,0)),L$217)</f>
        <v>0.14404498679319799</v>
      </c>
      <c r="M205" s="22">
        <f>POSTTAX(M195,INDEX(Data_Prices!M:M,MATCH($G205,Data_Prices!$A:$A,0)),M$217)</f>
        <v>0.14102040965700391</v>
      </c>
      <c r="N205" s="22">
        <f>POSTTAX(N195,INDEX(Data_Prices!N:N,MATCH($G205,Data_Prices!$A:$A,0)),N$217)</f>
        <v>0.13511635959447599</v>
      </c>
      <c r="O205" s="22">
        <f>POSTTAX(O195,INDEX(Data_Prices!O:O,MATCH($G205,Data_Prices!$A:$A,0)),O$217)</f>
        <v>0.13098825698585639</v>
      </c>
      <c r="P205" s="22">
        <f>POSTTAX(P195,INDEX(Data_Prices!P:P,MATCH($G205,Data_Prices!$A:$A,0)),P$217)</f>
        <v>0.12790841608631831</v>
      </c>
      <c r="Q205" s="22">
        <f>POSTTAX(Q195,INDEX(Data_Prices!Q:Q,MATCH($G205,Data_Prices!$A:$A,0)),Q$217)</f>
        <v>0.124814310557813</v>
      </c>
      <c r="R205" s="22">
        <f>POSTTAX(R195,INDEX(Data_Prices!R:R,MATCH($G205,Data_Prices!$A:$A,0)),R$217)</f>
        <v>0.1214602571228779</v>
      </c>
      <c r="S205" s="22">
        <f>POSTTAX(S195,INDEX(Data_Prices!S:S,MATCH($G205,Data_Prices!$A:$A,0)),S$217)</f>
        <v>0.1179507441357863</v>
      </c>
      <c r="T205" s="22">
        <f>POSTTAX(T195,INDEX(Data_Prices!T:T,MATCH($G205,Data_Prices!$A:$A,0)),T$217)</f>
        <v>0.1141991610445974</v>
      </c>
      <c r="U205" s="22">
        <f>POSTTAX(U195,INDEX(Data_Prices!U:U,MATCH($G205,Data_Prices!$A:$A,0)),U$217)</f>
        <v>0.1136651000596645</v>
      </c>
      <c r="V205" s="22">
        <f>POSTTAX(V195,INDEX(Data_Prices!V:V,MATCH($G205,Data_Prices!$A:$A,0)),V$217)</f>
        <v>0.1130169296259568</v>
      </c>
      <c r="W205" s="22">
        <f>POSTTAX(W195,INDEX(Data_Prices!W:W,MATCH($G205,Data_Prices!$A:$A,0)),W$217)</f>
        <v>0.112314070507636</v>
      </c>
      <c r="X205" s="22">
        <f>POSTTAX(X195,INDEX(Data_Prices!X:X,MATCH($G205,Data_Prices!$A:$A,0)),X$217)</f>
        <v>0.1114220427328433</v>
      </c>
      <c r="Y205" s="22">
        <f>POSTTAX(Y195,INDEX(Data_Prices!Y:Y,MATCH($G205,Data_Prices!$A:$A,0)),Y$217)</f>
        <v>0.1104341236758091</v>
      </c>
      <c r="Z205" s="22">
        <f>POSTTAX(Z195,INDEX(Data_Prices!Z:Z,MATCH($G205,Data_Prices!$A:$A,0)),Z$217)</f>
        <v>0.10948397330447129</v>
      </c>
      <c r="AA205" s="22">
        <f>POSTTAX(AA195,INDEX(Data_Prices!AA:AA,MATCH($G205,Data_Prices!$A:$A,0)),AA$217)</f>
        <v>0.1083919210529401</v>
      </c>
      <c r="AB205" s="22">
        <f>POSTTAX(AB195,INDEX(Data_Prices!AB:AB,MATCH($G205,Data_Prices!$A:$A,0)),AB$217)</f>
        <v>0.1073544336267039</v>
      </c>
      <c r="AC205" s="22">
        <f>POSTTAX(AC195,INDEX(Data_Prices!AC:AC,MATCH($G205,Data_Prices!$A:$A,0)),AC$217)</f>
        <v>0.10516867544166079</v>
      </c>
      <c r="AD205" s="22">
        <f>POSTTAX(AD195,INDEX(Data_Prices!AD:AD,MATCH($G205,Data_Prices!$A:$A,0)),AD$217)</f>
        <v>0.1030579832560081</v>
      </c>
      <c r="AE205" s="22">
        <f>POSTTAX(AE195,INDEX(Data_Prices!AE:AE,MATCH($G205,Data_Prices!$A:$A,0)),AE$217)</f>
        <v>0.1009318389901144</v>
      </c>
    </row>
    <row r="206" spans="2:31" x14ac:dyDescent="0.25">
      <c r="B206" s="16" t="s">
        <v>78</v>
      </c>
    </row>
    <row r="207" spans="2:31" x14ac:dyDescent="0.25">
      <c r="B207" s="17" t="s">
        <v>53</v>
      </c>
      <c r="C207" s="17" t="str">
        <f t="shared" ref="C207:C215" si="20">$C$185</f>
        <v>mch</v>
      </c>
      <c r="D207" s="18" t="s">
        <v>54</v>
      </c>
      <c r="E207" s="19" t="s">
        <v>55</v>
      </c>
      <c r="F207" s="17" t="s">
        <v>79</v>
      </c>
      <c r="G207" s="20" t="str">
        <f>Settings!$B$3&amp;".mit.shp."&amp;$B207&amp;"."&amp;Settings!$B$4&amp;"."&amp;$J$185</f>
        <v>egy.mit.shp.coa.ind.1</v>
      </c>
      <c r="H207" s="21" t="str">
        <f>OUTCODE(Settings!$B$3,"shp",$C$185,$B207,$J$185)</f>
        <v>egy.mit.shp.mch.coa.e.1</v>
      </c>
      <c r="K207" s="23">
        <f>SHADOW(K197,INDEX(Data_Prices!K:K,MATCH($G207,Data_Prices!$A:$A,0)),K$218)</f>
        <v>11.18290158924394</v>
      </c>
      <c r="L207" s="23">
        <f>SHADOW(L197,INDEX(Data_Prices!L:L,MATCH($G207,Data_Prices!$A:$A,0)),L$218)</f>
        <v>10.52336134543121</v>
      </c>
      <c r="M207" s="23">
        <f>SHADOW(M197,INDEX(Data_Prices!M:M,MATCH($G207,Data_Prices!$A:$A,0)),M$218)</f>
        <v>10.299560827444211</v>
      </c>
      <c r="N207" s="23">
        <f>SHADOW(N197,INDEX(Data_Prices!N:N,MATCH($G207,Data_Prices!$A:$A,0)),N$218)</f>
        <v>9.5775283595382632</v>
      </c>
      <c r="O207" s="23">
        <f>SHADOW(O197,INDEX(Data_Prices!O:O,MATCH($G207,Data_Prices!$A:$A,0)),O$218)</f>
        <v>8.4854782869580454</v>
      </c>
      <c r="P207" s="23">
        <f>SHADOW(P197,INDEX(Data_Prices!P:P,MATCH($G207,Data_Prices!$A:$A,0)),P$218)</f>
        <v>9.0871922352498604</v>
      </c>
      <c r="Q207" s="23">
        <f>SHADOW(Q197,INDEX(Data_Prices!Q:Q,MATCH($G207,Data_Prices!$A:$A,0)),Q$218)</f>
        <v>9.2229237289326811</v>
      </c>
      <c r="R207" s="23">
        <f>SHADOW(R197,INDEX(Data_Prices!R:R,MATCH($G207,Data_Prices!$A:$A,0)),R$218)</f>
        <v>9.1585649555096875</v>
      </c>
      <c r="S207" s="23">
        <f>SHADOW(S197,INDEX(Data_Prices!S:S,MATCH($G207,Data_Prices!$A:$A,0)),S$218)</f>
        <v>9.0895478773973775</v>
      </c>
      <c r="T207" s="23">
        <f>SHADOW(T197,INDEX(Data_Prices!T:T,MATCH($G207,Data_Prices!$A:$A,0)),T$218)</f>
        <v>9.0156816660228305</v>
      </c>
      <c r="U207" s="23">
        <f>SHADOW(U197,INDEX(Data_Prices!U:U,MATCH($G207,Data_Prices!$A:$A,0)),U$218)</f>
        <v>8.9443977655571061</v>
      </c>
      <c r="V207" s="23">
        <f>SHADOW(V197,INDEX(Data_Prices!V:V,MATCH($G207,Data_Prices!$A:$A,0)),V$218)</f>
        <v>8.9443977655571061</v>
      </c>
      <c r="W207" s="23">
        <f>SHADOW(W197,INDEX(Data_Prices!W:W,MATCH($G207,Data_Prices!$A:$A,0)),W$218)</f>
        <v>8.9443977655571061</v>
      </c>
      <c r="X207" s="23">
        <f>SHADOW(X197,INDEX(Data_Prices!X:X,MATCH($G207,Data_Prices!$A:$A,0)),X$218)</f>
        <v>8.9443977655571061</v>
      </c>
      <c r="Y207" s="23">
        <f>SHADOW(Y197,INDEX(Data_Prices!Y:Y,MATCH($G207,Data_Prices!$A:$A,0)),Y$218)</f>
        <v>8.9443977655571061</v>
      </c>
      <c r="Z207" s="23">
        <f>SHADOW(Z197,INDEX(Data_Prices!Z:Z,MATCH($G207,Data_Prices!$A:$A,0)),Z$218)</f>
        <v>8.9443977655571061</v>
      </c>
      <c r="AA207" s="23">
        <f>SHADOW(AA197,INDEX(Data_Prices!AA:AA,MATCH($G207,Data_Prices!$A:$A,0)),AA$218)</f>
        <v>8.9443977655571061</v>
      </c>
      <c r="AB207" s="23">
        <f>SHADOW(AB197,INDEX(Data_Prices!AB:AB,MATCH($G207,Data_Prices!$A:$A,0)),AB$218)</f>
        <v>8.9443977655571061</v>
      </c>
      <c r="AC207" s="23">
        <f>SHADOW(AC197,INDEX(Data_Prices!AC:AC,MATCH($G207,Data_Prices!$A:$A,0)),AC$218)</f>
        <v>8.9443977655571061</v>
      </c>
      <c r="AD207" s="23">
        <f>SHADOW(AD197,INDEX(Data_Prices!AD:AD,MATCH($G207,Data_Prices!$A:$A,0)),AD$218)</f>
        <v>8.9443977655571061</v>
      </c>
      <c r="AE207" s="23">
        <f>SHADOW(AE197,INDEX(Data_Prices!AE:AE,MATCH($G207,Data_Prices!$A:$A,0)),AE$218)</f>
        <v>8.9443977655571061</v>
      </c>
    </row>
    <row r="208" spans="2:31" x14ac:dyDescent="0.25">
      <c r="B208" s="17" t="s">
        <v>57</v>
      </c>
      <c r="C208" s="17" t="str">
        <f t="shared" si="20"/>
        <v>mch</v>
      </c>
      <c r="D208" s="18" t="s">
        <v>58</v>
      </c>
      <c r="E208" s="19" t="s">
        <v>55</v>
      </c>
      <c r="F208" s="17" t="s">
        <v>79</v>
      </c>
      <c r="G208" s="20" t="str">
        <f>Settings!$B$3&amp;".mit.shp."&amp;$B208&amp;"."&amp;Settings!$B$4&amp;"."&amp;$J$185</f>
        <v>egy.mit.shp.nga.ind.1</v>
      </c>
      <c r="H208" s="21" t="str">
        <f>OUTCODE(Settings!$B$3,"shp",$C$185,$B208,$J$185)</f>
        <v>egy.mit.shp.mch.nga.e.1</v>
      </c>
      <c r="K208" s="23">
        <f>SHADOW(K198,INDEX(Data_Prices!K:K,MATCH($G208,Data_Prices!$A:$A,0)),K$218)</f>
        <v>6.0634636156729131</v>
      </c>
      <c r="L208" s="23">
        <f>SHADOW(L198,INDEX(Data_Prices!L:L,MATCH($G208,Data_Prices!$A:$A,0)),L$218)</f>
        <v>5.4510150816191896</v>
      </c>
      <c r="M208" s="23">
        <f>SHADOW(M198,INDEX(Data_Prices!M:M,MATCH($G208,Data_Prices!$A:$A,0)),M$218)</f>
        <v>5.1193563062624818</v>
      </c>
      <c r="N208" s="23">
        <f>SHADOW(N198,INDEX(Data_Prices!N:N,MATCH($G208,Data_Prices!$A:$A,0)),N$218)</f>
        <v>5.0821845864040727</v>
      </c>
      <c r="O208" s="23">
        <f>SHADOW(O198,INDEX(Data_Prices!O:O,MATCH($G208,Data_Prices!$A:$A,0)),O$218)</f>
        <v>5.0821845864040727</v>
      </c>
      <c r="P208" s="23">
        <f>SHADOW(P198,INDEX(Data_Prices!P:P,MATCH($G208,Data_Prices!$A:$A,0)),P$218)</f>
        <v>5.0821845864040727</v>
      </c>
      <c r="Q208" s="23">
        <f>SHADOW(Q198,INDEX(Data_Prices!Q:Q,MATCH($G208,Data_Prices!$A:$A,0)),Q$218)</f>
        <v>5.0821845864040727</v>
      </c>
      <c r="R208" s="23">
        <f>SHADOW(R198,INDEX(Data_Prices!R:R,MATCH($G208,Data_Prices!$A:$A,0)),R$218)</f>
        <v>5.0821845864040727</v>
      </c>
      <c r="S208" s="23">
        <f>SHADOW(S198,INDEX(Data_Prices!S:S,MATCH($G208,Data_Prices!$A:$A,0)),S$218)</f>
        <v>5.0821845864040727</v>
      </c>
      <c r="T208" s="23">
        <f>SHADOW(T198,INDEX(Data_Prices!T:T,MATCH($G208,Data_Prices!$A:$A,0)),T$218)</f>
        <v>5.0821845864040727</v>
      </c>
      <c r="U208" s="23">
        <f>SHADOW(U198,INDEX(Data_Prices!U:U,MATCH($G208,Data_Prices!$A:$A,0)),U$218)</f>
        <v>5.0821845864040727</v>
      </c>
      <c r="V208" s="23">
        <f>SHADOW(V198,INDEX(Data_Prices!V:V,MATCH($G208,Data_Prices!$A:$A,0)),V$218)</f>
        <v>5.0821845864040727</v>
      </c>
      <c r="W208" s="23">
        <f>SHADOW(W198,INDEX(Data_Prices!W:W,MATCH($G208,Data_Prices!$A:$A,0)),W$218)</f>
        <v>5.0821845864040727</v>
      </c>
      <c r="X208" s="23">
        <f>SHADOW(X198,INDEX(Data_Prices!X:X,MATCH($G208,Data_Prices!$A:$A,0)),X$218)</f>
        <v>5.0821845864040727</v>
      </c>
      <c r="Y208" s="23">
        <f>SHADOW(Y198,INDEX(Data_Prices!Y:Y,MATCH($G208,Data_Prices!$A:$A,0)),Y$218)</f>
        <v>5.0821845864040727</v>
      </c>
      <c r="Z208" s="23">
        <f>SHADOW(Z198,INDEX(Data_Prices!Z:Z,MATCH($G208,Data_Prices!$A:$A,0)),Z$218)</f>
        <v>5.0821845864040727</v>
      </c>
      <c r="AA208" s="23">
        <f>SHADOW(AA198,INDEX(Data_Prices!AA:AA,MATCH($G208,Data_Prices!$A:$A,0)),AA$218)</f>
        <v>5.0821845864040727</v>
      </c>
      <c r="AB208" s="23">
        <f>SHADOW(AB198,INDEX(Data_Prices!AB:AB,MATCH($G208,Data_Prices!$A:$A,0)),AB$218)</f>
        <v>5.0821845864040727</v>
      </c>
      <c r="AC208" s="23">
        <f>SHADOW(AC198,INDEX(Data_Prices!AC:AC,MATCH($G208,Data_Prices!$A:$A,0)),AC$218)</f>
        <v>5.0821845864040727</v>
      </c>
      <c r="AD208" s="23">
        <f>SHADOW(AD198,INDEX(Data_Prices!AD:AD,MATCH($G208,Data_Prices!$A:$A,0)),AD$218)</f>
        <v>5.0821845864040727</v>
      </c>
      <c r="AE208" s="23">
        <f>SHADOW(AE198,INDEX(Data_Prices!AE:AE,MATCH($G208,Data_Prices!$A:$A,0)),AE$218)</f>
        <v>5.0821845864040727</v>
      </c>
    </row>
    <row r="209" spans="2:31" x14ac:dyDescent="0.25">
      <c r="B209" s="17" t="s">
        <v>59</v>
      </c>
      <c r="C209" s="17" t="str">
        <f t="shared" si="20"/>
        <v>mch</v>
      </c>
      <c r="D209" s="18" t="s">
        <v>60</v>
      </c>
      <c r="E209" s="19" t="s">
        <v>61</v>
      </c>
      <c r="F209" s="17" t="s">
        <v>79</v>
      </c>
      <c r="G209" s="20" t="str">
        <f>Settings!$B$3&amp;".mit.shp."&amp;$B209&amp;"."&amp;Settings!$B$4&amp;"."&amp;$J$185</f>
        <v>egy.mit.shp.gso.ind.1</v>
      </c>
      <c r="H209" s="21" t="str">
        <f>OUTCODE(Settings!$B$3,"shp",$C$185,$B209,$J$185)</f>
        <v>egy.mit.shp.mch.gso.e.1</v>
      </c>
      <c r="K209" s="23">
        <f>SHADOW(K199,INDEX(Data_Prices!K:K,MATCH($G209,Data_Prices!$A:$A,0)),K$218)</f>
        <v>0.67114653332181606</v>
      </c>
      <c r="L209" s="23">
        <f>SHADOW(L199,INDEX(Data_Prices!L:L,MATCH($G209,Data_Prices!$A:$A,0)),L$218)</f>
        <v>0.61197797679140631</v>
      </c>
      <c r="M209" s="23">
        <f>SHADOW(M199,INDEX(Data_Prices!M:M,MATCH($G209,Data_Prices!$A:$A,0)),M$218)</f>
        <v>0.61180974964187596</v>
      </c>
      <c r="N209" s="23">
        <f>SHADOW(N199,INDEX(Data_Prices!N:N,MATCH($G209,Data_Prices!$A:$A,0)),N$218)</f>
        <v>0.60358310017790551</v>
      </c>
      <c r="O209" s="23">
        <f>SHADOW(O199,INDEX(Data_Prices!O:O,MATCH($G209,Data_Prices!$A:$A,0)),O$218)</f>
        <v>0.60358310017790551</v>
      </c>
      <c r="P209" s="23">
        <f>SHADOW(P199,INDEX(Data_Prices!P:P,MATCH($G209,Data_Prices!$A:$A,0)),P$218)</f>
        <v>0.60358310017790551</v>
      </c>
      <c r="Q209" s="23">
        <f>SHADOW(Q199,INDEX(Data_Prices!Q:Q,MATCH($G209,Data_Prices!$A:$A,0)),Q$218)</f>
        <v>0.60358310017790551</v>
      </c>
      <c r="R209" s="23">
        <f>SHADOW(R199,INDEX(Data_Prices!R:R,MATCH($G209,Data_Prices!$A:$A,0)),R$218)</f>
        <v>0.60358310017790551</v>
      </c>
      <c r="S209" s="23">
        <f>SHADOW(S199,INDEX(Data_Prices!S:S,MATCH($G209,Data_Prices!$A:$A,0)),S$218)</f>
        <v>0.60358310017790551</v>
      </c>
      <c r="T209" s="23">
        <f>SHADOW(T199,INDEX(Data_Prices!T:T,MATCH($G209,Data_Prices!$A:$A,0)),T$218)</f>
        <v>0.60358310017790551</v>
      </c>
      <c r="U209" s="23">
        <f>SHADOW(U199,INDEX(Data_Prices!U:U,MATCH($G209,Data_Prices!$A:$A,0)),U$218)</f>
        <v>0.60358310017790551</v>
      </c>
      <c r="V209" s="23">
        <f>SHADOW(V199,INDEX(Data_Prices!V:V,MATCH($G209,Data_Prices!$A:$A,0)),V$218)</f>
        <v>0.60358310017790551</v>
      </c>
      <c r="W209" s="23">
        <f>SHADOW(W199,INDEX(Data_Prices!W:W,MATCH($G209,Data_Prices!$A:$A,0)),W$218)</f>
        <v>0.60358310017790551</v>
      </c>
      <c r="X209" s="23">
        <f>SHADOW(X199,INDEX(Data_Prices!X:X,MATCH($G209,Data_Prices!$A:$A,0)),X$218)</f>
        <v>0.60358310017790551</v>
      </c>
      <c r="Y209" s="23">
        <f>SHADOW(Y199,INDEX(Data_Prices!Y:Y,MATCH($G209,Data_Prices!$A:$A,0)),Y$218)</f>
        <v>0.60358310017790551</v>
      </c>
      <c r="Z209" s="23">
        <f>SHADOW(Z199,INDEX(Data_Prices!Z:Z,MATCH($G209,Data_Prices!$A:$A,0)),Z$218)</f>
        <v>0.60358310017790551</v>
      </c>
      <c r="AA209" s="23">
        <f>SHADOW(AA199,INDEX(Data_Prices!AA:AA,MATCH($G209,Data_Prices!$A:$A,0)),AA$218)</f>
        <v>0.60358310017790551</v>
      </c>
      <c r="AB209" s="23">
        <f>SHADOW(AB199,INDEX(Data_Prices!AB:AB,MATCH($G209,Data_Prices!$A:$A,0)),AB$218)</f>
        <v>0.60358310017790551</v>
      </c>
      <c r="AC209" s="23">
        <f>SHADOW(AC199,INDEX(Data_Prices!AC:AC,MATCH($G209,Data_Prices!$A:$A,0)),AC$218)</f>
        <v>0.60358310017790551</v>
      </c>
      <c r="AD209" s="23">
        <f>SHADOW(AD199,INDEX(Data_Prices!AD:AD,MATCH($G209,Data_Prices!$A:$A,0)),AD$218)</f>
        <v>0.60358310017790551</v>
      </c>
      <c r="AE209" s="23">
        <f>SHADOW(AE199,INDEX(Data_Prices!AE:AE,MATCH($G209,Data_Prices!$A:$A,0)),AE$218)</f>
        <v>0.60358310017790551</v>
      </c>
    </row>
    <row r="210" spans="2:31" x14ac:dyDescent="0.25">
      <c r="B210" s="17" t="s">
        <v>62</v>
      </c>
      <c r="C210" s="17" t="str">
        <f t="shared" si="20"/>
        <v>mch</v>
      </c>
      <c r="D210" s="18" t="s">
        <v>63</v>
      </c>
      <c r="E210" s="19" t="s">
        <v>61</v>
      </c>
      <c r="F210" s="17" t="s">
        <v>79</v>
      </c>
      <c r="G210" s="20" t="str">
        <f>Settings!$B$3&amp;".mit.shp."&amp;$B210&amp;"."&amp;Settings!$B$4&amp;"."&amp;$J$185</f>
        <v>egy.mit.shp.die.ind.1</v>
      </c>
      <c r="H210" s="21" t="str">
        <f>OUTCODE(Settings!$B$3,"shp",$C$185,$B210,$J$185)</f>
        <v>egy.mit.shp.mch.die.e.1</v>
      </c>
      <c r="K210" s="23">
        <f>SHADOW(K200,INDEX(Data_Prices!K:K,MATCH($G210,Data_Prices!$A:$A,0)),K$218)</f>
        <v>0.55971121315568761</v>
      </c>
      <c r="L210" s="23">
        <f>SHADOW(L200,INDEX(Data_Prices!L:L,MATCH($G210,Data_Prices!$A:$A,0)),L$218)</f>
        <v>0.49458873084106802</v>
      </c>
      <c r="M210" s="23">
        <f>SHADOW(M200,INDEX(Data_Prices!M:M,MATCH($G210,Data_Prices!$A:$A,0)),M$218)</f>
        <v>0.50778654720250049</v>
      </c>
      <c r="N210" s="23">
        <f>SHADOW(N200,INDEX(Data_Prices!N:N,MATCH($G210,Data_Prices!$A:$A,0)),N$218)</f>
        <v>0.47043642679561742</v>
      </c>
      <c r="O210" s="23">
        <f>SHADOW(O200,INDEX(Data_Prices!O:O,MATCH($G210,Data_Prices!$A:$A,0)),O$218)</f>
        <v>0.47043642679561742</v>
      </c>
      <c r="P210" s="23">
        <f>SHADOW(P200,INDEX(Data_Prices!P:P,MATCH($G210,Data_Prices!$A:$A,0)),P$218)</f>
        <v>0.47043642679561742</v>
      </c>
      <c r="Q210" s="23">
        <f>SHADOW(Q200,INDEX(Data_Prices!Q:Q,MATCH($G210,Data_Prices!$A:$A,0)),Q$218)</f>
        <v>0.47043642679561742</v>
      </c>
      <c r="R210" s="23">
        <f>SHADOW(R200,INDEX(Data_Prices!R:R,MATCH($G210,Data_Prices!$A:$A,0)),R$218)</f>
        <v>0.47043642679561742</v>
      </c>
      <c r="S210" s="23">
        <f>SHADOW(S200,INDEX(Data_Prices!S:S,MATCH($G210,Data_Prices!$A:$A,0)),S$218)</f>
        <v>0.47043642679561742</v>
      </c>
      <c r="T210" s="23">
        <f>SHADOW(T200,INDEX(Data_Prices!T:T,MATCH($G210,Data_Prices!$A:$A,0)),T$218)</f>
        <v>0.47043642679561742</v>
      </c>
      <c r="U210" s="23">
        <f>SHADOW(U200,INDEX(Data_Prices!U:U,MATCH($G210,Data_Prices!$A:$A,0)),U$218)</f>
        <v>0.47043642679561742</v>
      </c>
      <c r="V210" s="23">
        <f>SHADOW(V200,INDEX(Data_Prices!V:V,MATCH($G210,Data_Prices!$A:$A,0)),V$218)</f>
        <v>0.47043642679561742</v>
      </c>
      <c r="W210" s="23">
        <f>SHADOW(W200,INDEX(Data_Prices!W:W,MATCH($G210,Data_Prices!$A:$A,0)),W$218)</f>
        <v>0.47043642679561742</v>
      </c>
      <c r="X210" s="23">
        <f>SHADOW(X200,INDEX(Data_Prices!X:X,MATCH($G210,Data_Prices!$A:$A,0)),X$218)</f>
        <v>0.47043642679561742</v>
      </c>
      <c r="Y210" s="23">
        <f>SHADOW(Y200,INDEX(Data_Prices!Y:Y,MATCH($G210,Data_Prices!$A:$A,0)),Y$218)</f>
        <v>0.47043642679561742</v>
      </c>
      <c r="Z210" s="23">
        <f>SHADOW(Z200,INDEX(Data_Prices!Z:Z,MATCH($G210,Data_Prices!$A:$A,0)),Z$218)</f>
        <v>0.47043642679561742</v>
      </c>
      <c r="AA210" s="23">
        <f>SHADOW(AA200,INDEX(Data_Prices!AA:AA,MATCH($G210,Data_Prices!$A:$A,0)),AA$218)</f>
        <v>0.47043642679561742</v>
      </c>
      <c r="AB210" s="23">
        <f>SHADOW(AB200,INDEX(Data_Prices!AB:AB,MATCH($G210,Data_Prices!$A:$A,0)),AB$218)</f>
        <v>0.47043642679561742</v>
      </c>
      <c r="AC210" s="23">
        <f>SHADOW(AC200,INDEX(Data_Prices!AC:AC,MATCH($G210,Data_Prices!$A:$A,0)),AC$218)</f>
        <v>0.47043642679561742</v>
      </c>
      <c r="AD210" s="23">
        <f>SHADOW(AD200,INDEX(Data_Prices!AD:AD,MATCH($G210,Data_Prices!$A:$A,0)),AD$218)</f>
        <v>0.47043642679561742</v>
      </c>
      <c r="AE210" s="23">
        <f>SHADOW(AE200,INDEX(Data_Prices!AE:AE,MATCH($G210,Data_Prices!$A:$A,0)),AE$218)</f>
        <v>0.47043642679561742</v>
      </c>
    </row>
    <row r="211" spans="2:31" x14ac:dyDescent="0.25">
      <c r="B211" s="17" t="s">
        <v>64</v>
      </c>
      <c r="C211" s="17" t="str">
        <f t="shared" si="20"/>
        <v>mch</v>
      </c>
      <c r="D211" s="18" t="s">
        <v>65</v>
      </c>
      <c r="E211" s="19" t="s">
        <v>61</v>
      </c>
      <c r="F211" s="17" t="s">
        <v>79</v>
      </c>
      <c r="G211" s="20" t="str">
        <f>Settings!$B$3&amp;".mit.shp."&amp;$B211&amp;"."&amp;Settings!$B$4&amp;"."&amp;$J$185</f>
        <v>egy.mit.shp.lpg.ind.1</v>
      </c>
      <c r="H211" s="21" t="str">
        <f>OUTCODE(Settings!$B$3,"shp",$C$185,$B211,$J$185)</f>
        <v>egy.mit.shp.mch.lpg.e.1</v>
      </c>
      <c r="K211" s="23">
        <f>SHADOW(K201,INDEX(Data_Prices!K:K,MATCH($G211,Data_Prices!$A:$A,0)),K$218)</f>
        <v>0.20036669112673841</v>
      </c>
      <c r="L211" s="23">
        <f>SHADOW(L201,INDEX(Data_Prices!L:L,MATCH($G211,Data_Prices!$A:$A,0)),L$218)</f>
        <v>0.1573447362522738</v>
      </c>
      <c r="M211" s="23">
        <f>SHADOW(M201,INDEX(Data_Prices!M:M,MATCH($G211,Data_Prices!$A:$A,0)),M$218)</f>
        <v>0.1644840377592767</v>
      </c>
      <c r="N211" s="23">
        <f>SHADOW(N201,INDEX(Data_Prices!N:N,MATCH($G211,Data_Prices!$A:$A,0)),N$218)</f>
        <v>0.1507090778070489</v>
      </c>
      <c r="O211" s="23">
        <f>SHADOW(O201,INDEX(Data_Prices!O:O,MATCH($G211,Data_Prices!$A:$A,0)),O$218)</f>
        <v>0.1507090778070489</v>
      </c>
      <c r="P211" s="23">
        <f>SHADOW(P201,INDEX(Data_Prices!P:P,MATCH($G211,Data_Prices!$A:$A,0)),P$218)</f>
        <v>0.1507090778070489</v>
      </c>
      <c r="Q211" s="23">
        <f>SHADOW(Q201,INDEX(Data_Prices!Q:Q,MATCH($G211,Data_Prices!$A:$A,0)),Q$218)</f>
        <v>0.1507090778070489</v>
      </c>
      <c r="R211" s="23">
        <f>SHADOW(R201,INDEX(Data_Prices!R:R,MATCH($G211,Data_Prices!$A:$A,0)),R$218)</f>
        <v>0.1507090778070489</v>
      </c>
      <c r="S211" s="23">
        <f>SHADOW(S201,INDEX(Data_Prices!S:S,MATCH($G211,Data_Prices!$A:$A,0)),S$218)</f>
        <v>0.1507090778070489</v>
      </c>
      <c r="T211" s="23">
        <f>SHADOW(T201,INDEX(Data_Prices!T:T,MATCH($G211,Data_Prices!$A:$A,0)),T$218)</f>
        <v>0.1507090778070489</v>
      </c>
      <c r="U211" s="23">
        <f>SHADOW(U201,INDEX(Data_Prices!U:U,MATCH($G211,Data_Prices!$A:$A,0)),U$218)</f>
        <v>0.1507090778070489</v>
      </c>
      <c r="V211" s="23">
        <f>SHADOW(V201,INDEX(Data_Prices!V:V,MATCH($G211,Data_Prices!$A:$A,0)),V$218)</f>
        <v>0.1507090778070489</v>
      </c>
      <c r="W211" s="23">
        <f>SHADOW(W201,INDEX(Data_Prices!W:W,MATCH($G211,Data_Prices!$A:$A,0)),W$218)</f>
        <v>0.1507090778070489</v>
      </c>
      <c r="X211" s="23">
        <f>SHADOW(X201,INDEX(Data_Prices!X:X,MATCH($G211,Data_Prices!$A:$A,0)),X$218)</f>
        <v>0.1507090778070489</v>
      </c>
      <c r="Y211" s="23">
        <f>SHADOW(Y201,INDEX(Data_Prices!Y:Y,MATCH($G211,Data_Prices!$A:$A,0)),Y$218)</f>
        <v>0.1507090778070489</v>
      </c>
      <c r="Z211" s="23">
        <f>SHADOW(Z201,INDEX(Data_Prices!Z:Z,MATCH($G211,Data_Prices!$A:$A,0)),Z$218)</f>
        <v>0.1507090778070489</v>
      </c>
      <c r="AA211" s="23">
        <f>SHADOW(AA201,INDEX(Data_Prices!AA:AA,MATCH($G211,Data_Prices!$A:$A,0)),AA$218)</f>
        <v>0.1507090778070489</v>
      </c>
      <c r="AB211" s="23">
        <f>SHADOW(AB201,INDEX(Data_Prices!AB:AB,MATCH($G211,Data_Prices!$A:$A,0)),AB$218)</f>
        <v>0.1507090778070489</v>
      </c>
      <c r="AC211" s="23">
        <f>SHADOW(AC201,INDEX(Data_Prices!AC:AC,MATCH($G211,Data_Prices!$A:$A,0)),AC$218)</f>
        <v>0.1507090778070489</v>
      </c>
      <c r="AD211" s="23">
        <f>SHADOW(AD201,INDEX(Data_Prices!AD:AD,MATCH($G211,Data_Prices!$A:$A,0)),AD$218)</f>
        <v>0.1507090778070489</v>
      </c>
      <c r="AE211" s="23">
        <f>SHADOW(AE201,INDEX(Data_Prices!AE:AE,MATCH($G211,Data_Prices!$A:$A,0)),AE$218)</f>
        <v>0.1507090778070489</v>
      </c>
    </row>
    <row r="212" spans="2:31" x14ac:dyDescent="0.25">
      <c r="B212" s="17" t="s">
        <v>66</v>
      </c>
      <c r="C212" s="17" t="str">
        <f t="shared" si="20"/>
        <v>mch</v>
      </c>
      <c r="D212" s="18" t="s">
        <v>67</v>
      </c>
      <c r="E212" s="19" t="s">
        <v>61</v>
      </c>
      <c r="F212" s="17" t="s">
        <v>79</v>
      </c>
      <c r="G212" s="20" t="str">
        <f>Settings!$B$3&amp;".mit.shp."&amp;$B212&amp;"."&amp;Settings!$B$4&amp;"."&amp;$J$185</f>
        <v>egy.mit.shp.ker.ind.1</v>
      </c>
      <c r="H212" s="21" t="str">
        <f>OUTCODE(Settings!$B$3,"shp",$C$185,$B212,$J$185)</f>
        <v>egy.mit.shp.mch.ker.e.1</v>
      </c>
      <c r="K212" s="23">
        <f>SHADOW(K202,INDEX(Data_Prices!K:K,MATCH($G212,Data_Prices!$A:$A,0)),K$218)</f>
        <v>0.48429424097343482</v>
      </c>
      <c r="L212" s="23">
        <f>SHADOW(L202,INDEX(Data_Prices!L:L,MATCH($G212,Data_Prices!$A:$A,0)),L$218)</f>
        <v>0.45642817050012813</v>
      </c>
      <c r="M212" s="23">
        <f>SHADOW(M202,INDEX(Data_Prices!M:M,MATCH($G212,Data_Prices!$A:$A,0)),M$218)</f>
        <v>0.43168920195599519</v>
      </c>
      <c r="N212" s="23">
        <f>SHADOW(N202,INDEX(Data_Prices!N:N,MATCH($G212,Data_Prices!$A:$A,0)),N$218)</f>
        <v>0.42507558395596989</v>
      </c>
      <c r="O212" s="23">
        <f>SHADOW(O202,INDEX(Data_Prices!O:O,MATCH($G212,Data_Prices!$A:$A,0)),O$218)</f>
        <v>0.42507558395596989</v>
      </c>
      <c r="P212" s="23">
        <f>SHADOW(P202,INDEX(Data_Prices!P:P,MATCH($G212,Data_Prices!$A:$A,0)),P$218)</f>
        <v>0.42507558395596989</v>
      </c>
      <c r="Q212" s="23">
        <f>SHADOW(Q202,INDEX(Data_Prices!Q:Q,MATCH($G212,Data_Prices!$A:$A,0)),Q$218)</f>
        <v>0.42507558395596989</v>
      </c>
      <c r="R212" s="23">
        <f>SHADOW(R202,INDEX(Data_Prices!R:R,MATCH($G212,Data_Prices!$A:$A,0)),R$218)</f>
        <v>0.42507558395596989</v>
      </c>
      <c r="S212" s="23">
        <f>SHADOW(S202,INDEX(Data_Prices!S:S,MATCH($G212,Data_Prices!$A:$A,0)),S$218)</f>
        <v>0.42507558395596989</v>
      </c>
      <c r="T212" s="23">
        <f>SHADOW(T202,INDEX(Data_Prices!T:T,MATCH($G212,Data_Prices!$A:$A,0)),T$218)</f>
        <v>0.42507558395596989</v>
      </c>
      <c r="U212" s="23">
        <f>SHADOW(U202,INDEX(Data_Prices!U:U,MATCH($G212,Data_Prices!$A:$A,0)),U$218)</f>
        <v>0.42507558395596989</v>
      </c>
      <c r="V212" s="23">
        <f>SHADOW(V202,INDEX(Data_Prices!V:V,MATCH($G212,Data_Prices!$A:$A,0)),V$218)</f>
        <v>0.42507558395596989</v>
      </c>
      <c r="W212" s="23">
        <f>SHADOW(W202,INDEX(Data_Prices!W:W,MATCH($G212,Data_Prices!$A:$A,0)),W$218)</f>
        <v>0.42507558395596989</v>
      </c>
      <c r="X212" s="23">
        <f>SHADOW(X202,INDEX(Data_Prices!X:X,MATCH($G212,Data_Prices!$A:$A,0)),X$218)</f>
        <v>0.42507558395596989</v>
      </c>
      <c r="Y212" s="23">
        <f>SHADOW(Y202,INDEX(Data_Prices!Y:Y,MATCH($G212,Data_Prices!$A:$A,0)),Y$218)</f>
        <v>0.42507558395596989</v>
      </c>
      <c r="Z212" s="23">
        <f>SHADOW(Z202,INDEX(Data_Prices!Z:Z,MATCH($G212,Data_Prices!$A:$A,0)),Z$218)</f>
        <v>0.42507558395596989</v>
      </c>
      <c r="AA212" s="23">
        <f>SHADOW(AA202,INDEX(Data_Prices!AA:AA,MATCH($G212,Data_Prices!$A:$A,0)),AA$218)</f>
        <v>0.42507558395596989</v>
      </c>
      <c r="AB212" s="23">
        <f>SHADOW(AB202,INDEX(Data_Prices!AB:AB,MATCH($G212,Data_Prices!$A:$A,0)),AB$218)</f>
        <v>0.42507558395596989</v>
      </c>
      <c r="AC212" s="23">
        <f>SHADOW(AC202,INDEX(Data_Prices!AC:AC,MATCH($G212,Data_Prices!$A:$A,0)),AC$218)</f>
        <v>0.42507558395596989</v>
      </c>
      <c r="AD212" s="23">
        <f>SHADOW(AD202,INDEX(Data_Prices!AD:AD,MATCH($G212,Data_Prices!$A:$A,0)),AD$218)</f>
        <v>0.42507558395596989</v>
      </c>
      <c r="AE212" s="23">
        <f>SHADOW(AE202,INDEX(Data_Prices!AE:AE,MATCH($G212,Data_Prices!$A:$A,0)),AE$218)</f>
        <v>0.42507558395596989</v>
      </c>
    </row>
    <row r="213" spans="2:31" x14ac:dyDescent="0.25">
      <c r="B213" s="17" t="s">
        <v>68</v>
      </c>
      <c r="C213" s="17" t="str">
        <f t="shared" si="20"/>
        <v>mch</v>
      </c>
      <c r="D213" s="18" t="s">
        <v>69</v>
      </c>
      <c r="E213" s="19" t="s">
        <v>70</v>
      </c>
      <c r="F213" s="17" t="s">
        <v>79</v>
      </c>
      <c r="G213" s="20" t="str">
        <f>Settings!$B$3&amp;".mit.shp."&amp;$B213&amp;"."&amp;Settings!$B$4&amp;"."&amp;$J$185</f>
        <v>egy.mit.shp.oop.ind.1</v>
      </c>
      <c r="H213" s="21" t="str">
        <f>OUTCODE(Settings!$B$3,"shp",$C$185,$B213,$J$185)</f>
        <v>egy.mit.shp.mch.oop.e.1</v>
      </c>
      <c r="K213" s="23">
        <f>SHADOW(K203,INDEX(Data_Prices!K:K,MATCH($G213,Data_Prices!$A:$A,0)),K$218)</f>
        <v>41.50033849886843</v>
      </c>
      <c r="L213" s="23">
        <f>SHADOW(L203,INDEX(Data_Prices!L:L,MATCH($G213,Data_Prices!$A:$A,0)),L$218)</f>
        <v>34.415370304313228</v>
      </c>
      <c r="M213" s="23">
        <f>SHADOW(M203,INDEX(Data_Prices!M:M,MATCH($G213,Data_Prices!$A:$A,0)),M$218)</f>
        <v>37.368960690432033</v>
      </c>
      <c r="N213" s="23">
        <f>SHADOW(N203,INDEX(Data_Prices!N:N,MATCH($G213,Data_Prices!$A:$A,0)),N$218)</f>
        <v>28.982761101477251</v>
      </c>
      <c r="O213" s="23">
        <f>SHADOW(O203,INDEX(Data_Prices!O:O,MATCH($G213,Data_Prices!$A:$A,0)),O$218)</f>
        <v>15</v>
      </c>
      <c r="P213" s="23">
        <f>SHADOW(P203,INDEX(Data_Prices!P:P,MATCH($G213,Data_Prices!$A:$A,0)),P$218)</f>
        <v>24.2586300842555</v>
      </c>
      <c r="Q213" s="23">
        <f>SHADOW(Q203,INDEX(Data_Prices!Q:Q,MATCH($G213,Data_Prices!$A:$A,0)),Q$218)</f>
        <v>15</v>
      </c>
      <c r="R213" s="23">
        <f>SHADOW(R203,INDEX(Data_Prices!R:R,MATCH($G213,Data_Prices!$A:$A,0)),R$218)</f>
        <v>15</v>
      </c>
      <c r="S213" s="23">
        <f>SHADOW(S203,INDEX(Data_Prices!S:S,MATCH($G213,Data_Prices!$A:$A,0)),S$218)</f>
        <v>15</v>
      </c>
      <c r="T213" s="23">
        <f>SHADOW(T203,INDEX(Data_Prices!T:T,MATCH($G213,Data_Prices!$A:$A,0)),T$218)</f>
        <v>15</v>
      </c>
      <c r="U213" s="23">
        <f>SHADOW(U203,INDEX(Data_Prices!U:U,MATCH($G213,Data_Prices!$A:$A,0)),U$218)</f>
        <v>15</v>
      </c>
      <c r="V213" s="23">
        <f>SHADOW(V203,INDEX(Data_Prices!V:V,MATCH($G213,Data_Prices!$A:$A,0)),V$218)</f>
        <v>15</v>
      </c>
      <c r="W213" s="23">
        <f>SHADOW(W203,INDEX(Data_Prices!W:W,MATCH($G213,Data_Prices!$A:$A,0)),W$218)</f>
        <v>15</v>
      </c>
      <c r="X213" s="23">
        <f>SHADOW(X203,INDEX(Data_Prices!X:X,MATCH($G213,Data_Prices!$A:$A,0)),X$218)</f>
        <v>15</v>
      </c>
      <c r="Y213" s="23">
        <f>SHADOW(Y203,INDEX(Data_Prices!Y:Y,MATCH($G213,Data_Prices!$A:$A,0)),Y$218)</f>
        <v>15</v>
      </c>
      <c r="Z213" s="23">
        <f>SHADOW(Z203,INDEX(Data_Prices!Z:Z,MATCH($G213,Data_Prices!$A:$A,0)),Z$218)</f>
        <v>15</v>
      </c>
      <c r="AA213" s="23">
        <f>SHADOW(AA203,INDEX(Data_Prices!AA:AA,MATCH($G213,Data_Prices!$A:$A,0)),AA$218)</f>
        <v>15</v>
      </c>
      <c r="AB213" s="23">
        <f>SHADOW(AB203,INDEX(Data_Prices!AB:AB,MATCH($G213,Data_Prices!$A:$A,0)),AB$218)</f>
        <v>15</v>
      </c>
      <c r="AC213" s="23">
        <f>SHADOW(AC203,INDEX(Data_Prices!AC:AC,MATCH($G213,Data_Prices!$A:$A,0)),AC$218)</f>
        <v>15</v>
      </c>
      <c r="AD213" s="23">
        <f>SHADOW(AD203,INDEX(Data_Prices!AD:AD,MATCH($G213,Data_Prices!$A:$A,0)),AD$218)</f>
        <v>15</v>
      </c>
      <c r="AE213" s="23">
        <f>SHADOW(AE203,INDEX(Data_Prices!AE:AE,MATCH($G213,Data_Prices!$A:$A,0)),AE$218)</f>
        <v>15</v>
      </c>
    </row>
    <row r="214" spans="2:31" x14ac:dyDescent="0.25">
      <c r="B214" s="17" t="s">
        <v>71</v>
      </c>
      <c r="C214" s="17" t="str">
        <f t="shared" si="20"/>
        <v>mch</v>
      </c>
      <c r="D214" s="18" t="s">
        <v>72</v>
      </c>
      <c r="E214" s="19" t="s">
        <v>55</v>
      </c>
      <c r="F214" s="17" t="s">
        <v>79</v>
      </c>
      <c r="G214" s="20" t="str">
        <f>Settings!$B$3&amp;".mit.shp."&amp;$B214&amp;"."&amp;Settings!$B$4&amp;"."&amp;$J$185</f>
        <v>egy.mit.shp.bio.ind.1</v>
      </c>
      <c r="H214" s="21" t="str">
        <f>OUTCODE(Settings!$B$3,"shp",$C$185,$B214,$J$185)</f>
        <v>egy.mit.shp.mch.bio.e.1</v>
      </c>
      <c r="K214" s="23">
        <f>SHADOW(K204,INDEX(Data_Prices!K:K,MATCH($G214,Data_Prices!$A:$A,0)),K$218)</f>
        <v>15.33455052931693</v>
      </c>
      <c r="L214" s="23">
        <f>SHADOW(L204,INDEX(Data_Prices!L:L,MATCH($G214,Data_Prices!$A:$A,0)),L$218)</f>
        <v>14.199528390634921</v>
      </c>
      <c r="M214" s="23">
        <f>SHADOW(M204,INDEX(Data_Prices!M:M,MATCH($G214,Data_Prices!$A:$A,0)),M$218)</f>
        <v>13.840441613315161</v>
      </c>
      <c r="N214" s="23">
        <f>SHADOW(N204,INDEX(Data_Prices!N:N,MATCH($G214,Data_Prices!$A:$A,0)),N$218)</f>
        <v>13.5677269404465</v>
      </c>
      <c r="O214" s="23">
        <f>SHADOW(O204,INDEX(Data_Prices!O:O,MATCH($G214,Data_Prices!$A:$A,0)),O$218)</f>
        <v>13.5677269404465</v>
      </c>
      <c r="P214" s="23">
        <f>SHADOW(P204,INDEX(Data_Prices!P:P,MATCH($G214,Data_Prices!$A:$A,0)),P$218)</f>
        <v>13.5677269404465</v>
      </c>
      <c r="Q214" s="23">
        <f>SHADOW(Q204,INDEX(Data_Prices!Q:Q,MATCH($G214,Data_Prices!$A:$A,0)),Q$218)</f>
        <v>13.5677269404465</v>
      </c>
      <c r="R214" s="23">
        <f>SHADOW(R204,INDEX(Data_Prices!R:R,MATCH($G214,Data_Prices!$A:$A,0)),R$218)</f>
        <v>13.5677269404465</v>
      </c>
      <c r="S214" s="23">
        <f>SHADOW(S204,INDEX(Data_Prices!S:S,MATCH($G214,Data_Prices!$A:$A,0)),S$218)</f>
        <v>13.5677269404465</v>
      </c>
      <c r="T214" s="23">
        <f>SHADOW(T204,INDEX(Data_Prices!T:T,MATCH($G214,Data_Prices!$A:$A,0)),T$218)</f>
        <v>13.5677269404465</v>
      </c>
      <c r="U214" s="23">
        <f>SHADOW(U204,INDEX(Data_Prices!U:U,MATCH($G214,Data_Prices!$A:$A,0)),U$218)</f>
        <v>13.5677269404465</v>
      </c>
      <c r="V214" s="23">
        <f>SHADOW(V204,INDEX(Data_Prices!V:V,MATCH($G214,Data_Prices!$A:$A,0)),V$218)</f>
        <v>13.5677269404465</v>
      </c>
      <c r="W214" s="23">
        <f>SHADOW(W204,INDEX(Data_Prices!W:W,MATCH($G214,Data_Prices!$A:$A,0)),W$218)</f>
        <v>13.5677269404465</v>
      </c>
      <c r="X214" s="23">
        <f>SHADOW(X204,INDEX(Data_Prices!X:X,MATCH($G214,Data_Prices!$A:$A,0)),X$218)</f>
        <v>13.5677269404465</v>
      </c>
      <c r="Y214" s="23">
        <f>SHADOW(Y204,INDEX(Data_Prices!Y:Y,MATCH($G214,Data_Prices!$A:$A,0)),Y$218)</f>
        <v>13.5677269404465</v>
      </c>
      <c r="Z214" s="23">
        <f>SHADOW(Z204,INDEX(Data_Prices!Z:Z,MATCH($G214,Data_Prices!$A:$A,0)),Z$218)</f>
        <v>13.5677269404465</v>
      </c>
      <c r="AA214" s="23">
        <f>SHADOW(AA204,INDEX(Data_Prices!AA:AA,MATCH($G214,Data_Prices!$A:$A,0)),AA$218)</f>
        <v>13.5677269404465</v>
      </c>
      <c r="AB214" s="23">
        <f>SHADOW(AB204,INDEX(Data_Prices!AB:AB,MATCH($G214,Data_Prices!$A:$A,0)),AB$218)</f>
        <v>13.5677269404465</v>
      </c>
      <c r="AC214" s="23">
        <f>SHADOW(AC204,INDEX(Data_Prices!AC:AC,MATCH($G214,Data_Prices!$A:$A,0)),AC$218)</f>
        <v>13.5677269404465</v>
      </c>
      <c r="AD214" s="23">
        <f>SHADOW(AD204,INDEX(Data_Prices!AD:AD,MATCH($G214,Data_Prices!$A:$A,0)),AD$218)</f>
        <v>13.5677269404465</v>
      </c>
      <c r="AE214" s="23">
        <f>SHADOW(AE204,INDEX(Data_Prices!AE:AE,MATCH($G214,Data_Prices!$A:$A,0)),AE$218)</f>
        <v>13.5677269404465</v>
      </c>
    </row>
    <row r="215" spans="2:31" x14ac:dyDescent="0.25">
      <c r="B215" s="17" t="s">
        <v>73</v>
      </c>
      <c r="C215" s="17" t="str">
        <f t="shared" si="20"/>
        <v>mch</v>
      </c>
      <c r="D215" s="18" t="s">
        <v>74</v>
      </c>
      <c r="E215" s="19" t="s">
        <v>75</v>
      </c>
      <c r="F215" s="17" t="s">
        <v>79</v>
      </c>
      <c r="G215" s="20" t="str">
        <f>Settings!$B$3&amp;".mit.shp."&amp;$B215&amp;"."&amp;Settings!$B$4&amp;"."&amp;$J$185</f>
        <v>egy.mit.shp.ren.ind.1</v>
      </c>
      <c r="H215" s="21" t="str">
        <f>OUTCODE(Settings!$B$3,"shp",$C$185,$B215,$J$185)</f>
        <v>egy.mit.shp.mch.ren.e.1</v>
      </c>
      <c r="K215" s="23">
        <f>SHADOW(K205,INDEX(Data_Prices!K:K,MATCH($G215,Data_Prices!$A:$A,0)),K$218)</f>
        <v>0</v>
      </c>
      <c r="L215" s="23">
        <f>SHADOW(L205,INDEX(Data_Prices!L:L,MATCH($G215,Data_Prices!$A:$A,0)),L$218)</f>
        <v>0.14404498679319799</v>
      </c>
      <c r="M215" s="23">
        <f>SHADOW(M205,INDEX(Data_Prices!M:M,MATCH($G215,Data_Prices!$A:$A,0)),M$218)</f>
        <v>0.14102040965700391</v>
      </c>
      <c r="N215" s="23">
        <f>SHADOW(N205,INDEX(Data_Prices!N:N,MATCH($G215,Data_Prices!$A:$A,0)),N$218)</f>
        <v>0.13511635959447599</v>
      </c>
      <c r="O215" s="23">
        <f>SHADOW(O205,INDEX(Data_Prices!O:O,MATCH($G215,Data_Prices!$A:$A,0)),O$218)</f>
        <v>0.13098825698585639</v>
      </c>
      <c r="P215" s="23">
        <f>SHADOW(P205,INDEX(Data_Prices!P:P,MATCH($G215,Data_Prices!$A:$A,0)),P$218)</f>
        <v>0.12790841608631831</v>
      </c>
      <c r="Q215" s="23">
        <f>SHADOW(Q205,INDEX(Data_Prices!Q:Q,MATCH($G215,Data_Prices!$A:$A,0)),Q$218)</f>
        <v>0.124814310557813</v>
      </c>
      <c r="R215" s="23">
        <f>SHADOW(R205,INDEX(Data_Prices!R:R,MATCH($G215,Data_Prices!$A:$A,0)),R$218)</f>
        <v>0.1214602571228779</v>
      </c>
      <c r="S215" s="23">
        <f>SHADOW(S205,INDEX(Data_Prices!S:S,MATCH($G215,Data_Prices!$A:$A,0)),S$218)</f>
        <v>0.1179507441357863</v>
      </c>
      <c r="T215" s="23">
        <f>SHADOW(T205,INDEX(Data_Prices!T:T,MATCH($G215,Data_Prices!$A:$A,0)),T$218)</f>
        <v>0.1141991610445974</v>
      </c>
      <c r="U215" s="23">
        <f>SHADOW(U205,INDEX(Data_Prices!U:U,MATCH($G215,Data_Prices!$A:$A,0)),U$218)</f>
        <v>0.1136651000596645</v>
      </c>
      <c r="V215" s="23">
        <f>SHADOW(V205,INDEX(Data_Prices!V:V,MATCH($G215,Data_Prices!$A:$A,0)),V$218)</f>
        <v>0.1130169296259568</v>
      </c>
      <c r="W215" s="23">
        <f>SHADOW(W205,INDEX(Data_Prices!W:W,MATCH($G215,Data_Prices!$A:$A,0)),W$218)</f>
        <v>0.112314070507636</v>
      </c>
      <c r="X215" s="23">
        <f>SHADOW(X205,INDEX(Data_Prices!X:X,MATCH($G215,Data_Prices!$A:$A,0)),X$218)</f>
        <v>0.1114220427328433</v>
      </c>
      <c r="Y215" s="23">
        <f>SHADOW(Y205,INDEX(Data_Prices!Y:Y,MATCH($G215,Data_Prices!$A:$A,0)),Y$218)</f>
        <v>0.1104341236758091</v>
      </c>
      <c r="Z215" s="23">
        <f>SHADOW(Z205,INDEX(Data_Prices!Z:Z,MATCH($G215,Data_Prices!$A:$A,0)),Z$218)</f>
        <v>0.10948397330447129</v>
      </c>
      <c r="AA215" s="23">
        <f>SHADOW(AA205,INDEX(Data_Prices!AA:AA,MATCH($G215,Data_Prices!$A:$A,0)),AA$218)</f>
        <v>0.1083919210529401</v>
      </c>
      <c r="AB215" s="23">
        <f>SHADOW(AB205,INDEX(Data_Prices!AB:AB,MATCH($G215,Data_Prices!$A:$A,0)),AB$218)</f>
        <v>0.1073544336267039</v>
      </c>
      <c r="AC215" s="23">
        <f>SHADOW(AC205,INDEX(Data_Prices!AC:AC,MATCH($G215,Data_Prices!$A:$A,0)),AC$218)</f>
        <v>0.10516867544166079</v>
      </c>
      <c r="AD215" s="23">
        <f>SHADOW(AD205,INDEX(Data_Prices!AD:AD,MATCH($G215,Data_Prices!$A:$A,0)),AD$218)</f>
        <v>0.1030579832560081</v>
      </c>
      <c r="AE215" s="23">
        <f>SHADOW(AE205,INDEX(Data_Prices!AE:AE,MATCH($G215,Data_Prices!$A:$A,0)),AE$218)</f>
        <v>0.1009318389901144</v>
      </c>
    </row>
    <row r="216" spans="2:31" x14ac:dyDescent="0.25">
      <c r="B216" s="16" t="s">
        <v>80</v>
      </c>
    </row>
    <row r="217" spans="2:31" x14ac:dyDescent="0.25">
      <c r="B217" s="17" t="s">
        <v>81</v>
      </c>
      <c r="C217" s="17" t="str">
        <f>$C$185</f>
        <v>mch</v>
      </c>
      <c r="D217" s="18" t="s">
        <v>82</v>
      </c>
      <c r="E217" s="19" t="s">
        <v>83</v>
      </c>
      <c r="F217" s="17" t="s">
        <v>84</v>
      </c>
      <c r="G217" s="20" t="str">
        <f>Settings!$B$3&amp;".mit.tcf."&amp;$C$185&amp;"."&amp;$J$185</f>
        <v>egy.mit.tcf.mch.1</v>
      </c>
      <c r="K217" s="23">
        <f>INDEX(Data_Prices!K:K,MATCH($G217,Data_Prices!$A:$A,0))</f>
        <v>0</v>
      </c>
      <c r="L217" s="23">
        <f>INDEX(Data_Prices!L:L,MATCH($G217,Data_Prices!$A:$A,0))</f>
        <v>0</v>
      </c>
      <c r="M217" s="23">
        <f>INDEX(Data_Prices!M:M,MATCH($G217,Data_Prices!$A:$A,0))</f>
        <v>0</v>
      </c>
      <c r="N217" s="23">
        <f>INDEX(Data_Prices!N:N,MATCH($G217,Data_Prices!$A:$A,0))</f>
        <v>0</v>
      </c>
      <c r="O217" s="23">
        <f>INDEX(Data_Prices!O:O,MATCH($G217,Data_Prices!$A:$A,0))</f>
        <v>0</v>
      </c>
      <c r="P217" s="23">
        <f>INDEX(Data_Prices!P:P,MATCH($G217,Data_Prices!$A:$A,0))</f>
        <v>0</v>
      </c>
      <c r="Q217" s="23">
        <f>INDEX(Data_Prices!Q:Q,MATCH($G217,Data_Prices!$A:$A,0))</f>
        <v>0</v>
      </c>
      <c r="R217" s="23">
        <f>INDEX(Data_Prices!R:R,MATCH($G217,Data_Prices!$A:$A,0))</f>
        <v>0</v>
      </c>
      <c r="S217" s="23">
        <f>INDEX(Data_Prices!S:S,MATCH($G217,Data_Prices!$A:$A,0))</f>
        <v>0</v>
      </c>
      <c r="T217" s="23">
        <f>INDEX(Data_Prices!T:T,MATCH($G217,Data_Prices!$A:$A,0))</f>
        <v>0</v>
      </c>
      <c r="U217" s="23">
        <f>INDEX(Data_Prices!U:U,MATCH($G217,Data_Prices!$A:$A,0))</f>
        <v>0</v>
      </c>
      <c r="V217" s="23">
        <f>INDEX(Data_Prices!V:V,MATCH($G217,Data_Prices!$A:$A,0))</f>
        <v>0</v>
      </c>
      <c r="W217" s="23">
        <f>INDEX(Data_Prices!W:W,MATCH($G217,Data_Prices!$A:$A,0))</f>
        <v>0</v>
      </c>
      <c r="X217" s="23">
        <f>INDEX(Data_Prices!X:X,MATCH($G217,Data_Prices!$A:$A,0))</f>
        <v>0</v>
      </c>
      <c r="Y217" s="23">
        <f>INDEX(Data_Prices!Y:Y,MATCH($G217,Data_Prices!$A:$A,0))</f>
        <v>0</v>
      </c>
      <c r="Z217" s="23">
        <f>INDEX(Data_Prices!Z:Z,MATCH($G217,Data_Prices!$A:$A,0))</f>
        <v>0</v>
      </c>
      <c r="AA217" s="23">
        <f>INDEX(Data_Prices!AA:AA,MATCH($G217,Data_Prices!$A:$A,0))</f>
        <v>0</v>
      </c>
      <c r="AB217" s="23">
        <f>INDEX(Data_Prices!AB:AB,MATCH($G217,Data_Prices!$A:$A,0))</f>
        <v>0</v>
      </c>
      <c r="AC217" s="23">
        <f>INDEX(Data_Prices!AC:AC,MATCH($G217,Data_Prices!$A:$A,0))</f>
        <v>0</v>
      </c>
      <c r="AD217" s="23">
        <f>INDEX(Data_Prices!AD:AD,MATCH($G217,Data_Prices!$A:$A,0))</f>
        <v>0</v>
      </c>
      <c r="AE217" s="23">
        <f>INDEX(Data_Prices!AE:AE,MATCH($G217,Data_Prices!$A:$A,0))</f>
        <v>0</v>
      </c>
    </row>
    <row r="218" spans="2:31" x14ac:dyDescent="0.25">
      <c r="B218" s="17" t="s">
        <v>81</v>
      </c>
      <c r="C218" s="17" t="str">
        <f>$C$185</f>
        <v>mch</v>
      </c>
      <c r="D218" s="18" t="s">
        <v>85</v>
      </c>
      <c r="E218" s="19" t="s">
        <v>83</v>
      </c>
      <c r="F218" s="17" t="s">
        <v>86</v>
      </c>
      <c r="G218" s="20" t="str">
        <f>Settings!$B$3&amp;".mit.ssc."&amp;$C$185&amp;"."&amp;$J$185</f>
        <v>egy.mit.ssc.mch.1</v>
      </c>
      <c r="K218" s="23">
        <f>INDEX(Data_Prices!K:K,MATCH($G218,Data_Prices!$A:$A,0))</f>
        <v>0</v>
      </c>
      <c r="L218" s="23">
        <f>INDEX(Data_Prices!L:L,MATCH($G218,Data_Prices!$A:$A,0))</f>
        <v>0</v>
      </c>
      <c r="M218" s="23">
        <f>INDEX(Data_Prices!M:M,MATCH($G218,Data_Prices!$A:$A,0))</f>
        <v>0</v>
      </c>
      <c r="N218" s="23">
        <f>INDEX(Data_Prices!N:N,MATCH($G218,Data_Prices!$A:$A,0))</f>
        <v>0</v>
      </c>
      <c r="O218" s="23">
        <f>INDEX(Data_Prices!O:O,MATCH($G218,Data_Prices!$A:$A,0))</f>
        <v>0</v>
      </c>
      <c r="P218" s="23">
        <f>INDEX(Data_Prices!P:P,MATCH($G218,Data_Prices!$A:$A,0))</f>
        <v>0</v>
      </c>
      <c r="Q218" s="23">
        <f>INDEX(Data_Prices!Q:Q,MATCH($G218,Data_Prices!$A:$A,0))</f>
        <v>0</v>
      </c>
      <c r="R218" s="23">
        <f>INDEX(Data_Prices!R:R,MATCH($G218,Data_Prices!$A:$A,0))</f>
        <v>0</v>
      </c>
      <c r="S218" s="23">
        <f>INDEX(Data_Prices!S:S,MATCH($G218,Data_Prices!$A:$A,0))</f>
        <v>0</v>
      </c>
      <c r="T218" s="23">
        <f>INDEX(Data_Prices!T:T,MATCH($G218,Data_Prices!$A:$A,0))</f>
        <v>0</v>
      </c>
      <c r="U218" s="23">
        <f>INDEX(Data_Prices!U:U,MATCH($G218,Data_Prices!$A:$A,0))</f>
        <v>0</v>
      </c>
      <c r="V218" s="23">
        <f>INDEX(Data_Prices!V:V,MATCH($G218,Data_Prices!$A:$A,0))</f>
        <v>0</v>
      </c>
      <c r="W218" s="23">
        <f>INDEX(Data_Prices!W:W,MATCH($G218,Data_Prices!$A:$A,0))</f>
        <v>0</v>
      </c>
      <c r="X218" s="23">
        <f>INDEX(Data_Prices!X:X,MATCH($G218,Data_Prices!$A:$A,0))</f>
        <v>0</v>
      </c>
      <c r="Y218" s="23">
        <f>INDEX(Data_Prices!Y:Y,MATCH($G218,Data_Prices!$A:$A,0))</f>
        <v>0</v>
      </c>
      <c r="Z218" s="23">
        <f>INDEX(Data_Prices!Z:Z,MATCH($G218,Data_Prices!$A:$A,0))</f>
        <v>0</v>
      </c>
      <c r="AA218" s="23">
        <f>INDEX(Data_Prices!AA:AA,MATCH($G218,Data_Prices!$A:$A,0))</f>
        <v>0</v>
      </c>
      <c r="AB218" s="23">
        <f>INDEX(Data_Prices!AB:AB,MATCH($G218,Data_Prices!$A:$A,0))</f>
        <v>0</v>
      </c>
      <c r="AC218" s="23">
        <f>INDEX(Data_Prices!AC:AC,MATCH($G218,Data_Prices!$A:$A,0))</f>
        <v>0</v>
      </c>
      <c r="AD218" s="23">
        <f>INDEX(Data_Prices!AD:AD,MATCH($G218,Data_Prices!$A:$A,0))</f>
        <v>0</v>
      </c>
      <c r="AE218" s="23">
        <f>INDEX(Data_Prices!AE:AE,MATCH($G218,Data_Prices!$A:$A,0))</f>
        <v>0</v>
      </c>
    </row>
    <row r="219" spans="2:31" x14ac:dyDescent="0.25">
      <c r="B219" s="17" t="s">
        <v>81</v>
      </c>
      <c r="C219" s="17" t="str">
        <f>$C$185</f>
        <v>mch</v>
      </c>
      <c r="D219" s="18" t="s">
        <v>87</v>
      </c>
      <c r="E219" s="19" t="s">
        <v>88</v>
      </c>
      <c r="F219" s="17" t="s">
        <v>89</v>
      </c>
      <c r="G219" s="20" t="str">
        <f>Settings!$B$3&amp;".mit.gdp.pos.pct."&amp;$J$185</f>
        <v>egy.mit.gdp.pos.pct.1</v>
      </c>
      <c r="K219" s="24">
        <f>INDEX(Data_Macro!K:K,MATCH($G219,Data_Macro!$A:$A,0))</f>
        <v>0</v>
      </c>
      <c r="L219" s="24">
        <f>INDEX(Data_Macro!L:L,MATCH($G219,Data_Macro!$A:$A,0))</f>
        <v>6.6513450000000002E-2</v>
      </c>
      <c r="M219" s="24">
        <f>INDEX(Data_Macro!M:M,MATCH($G219,Data_Macro!$A:$A,0))</f>
        <v>3.760281E-2</v>
      </c>
      <c r="N219" s="24">
        <f>INDEX(Data_Macro!N:N,MATCH($G219,Data_Macro!$A:$A,0))</f>
        <v>2.3988010000000001E-2</v>
      </c>
      <c r="O219" s="24">
        <f>INDEX(Data_Macro!O:O,MATCH($G219,Data_Macro!$A:$A,0))</f>
        <v>4.3923869999999997E-2</v>
      </c>
      <c r="P219" s="24">
        <f>INDEX(Data_Macro!P:P,MATCH($G219,Data_Macro!$A:$A,0))</f>
        <v>4.239706E-2</v>
      </c>
      <c r="Q219" s="24">
        <f>INDEX(Data_Macro!Q:Q,MATCH($G219,Data_Macro!$A:$A,0))</f>
        <v>4.8292179999999997E-2</v>
      </c>
      <c r="R219" s="24">
        <f>INDEX(Data_Macro!R:R,MATCH($G219,Data_Macro!$A:$A,0))</f>
        <v>5.5353159999999998E-2</v>
      </c>
      <c r="S219" s="24">
        <f>INDEX(Data_Macro!S:S,MATCH($G219,Data_Macro!$A:$A,0))</f>
        <v>5.2266060000000003E-2</v>
      </c>
      <c r="T219" s="24">
        <f>INDEX(Data_Macro!T:T,MATCH($G219,Data_Macro!$A:$A,0))</f>
        <v>4.841877E-2</v>
      </c>
      <c r="U219" s="24">
        <f>INDEX(Data_Macro!U:U,MATCH($G219,Data_Macro!$A:$A,0))</f>
        <v>4.7887359999999997E-2</v>
      </c>
      <c r="V219" s="24">
        <f>INDEX(Data_Macro!V:V,MATCH($G219,Data_Macro!$A:$A,0))</f>
        <v>4.7355950000000008E-2</v>
      </c>
      <c r="W219" s="24">
        <f>INDEX(Data_Macro!W:W,MATCH($G219,Data_Macro!$A:$A,0))</f>
        <v>4.6824540000000012E-2</v>
      </c>
      <c r="X219" s="24">
        <f>INDEX(Data_Macro!X:X,MATCH($G219,Data_Macro!$A:$A,0))</f>
        <v>4.6293130000000023E-2</v>
      </c>
      <c r="Y219" s="24">
        <f>INDEX(Data_Macro!Y:Y,MATCH($G219,Data_Macro!$A:$A,0))</f>
        <v>4.576172000000002E-2</v>
      </c>
      <c r="Z219" s="24">
        <f>INDEX(Data_Macro!Z:Z,MATCH($G219,Data_Macro!$A:$A,0))</f>
        <v>4.5230310000000017E-2</v>
      </c>
      <c r="AA219" s="24">
        <f>INDEX(Data_Macro!AA:AA,MATCH($G219,Data_Macro!$A:$A,0))</f>
        <v>4.4698900000000027E-2</v>
      </c>
      <c r="AB219" s="24">
        <f>INDEX(Data_Macro!AB:AB,MATCH($G219,Data_Macro!$A:$A,0))</f>
        <v>4.4167490000000031E-2</v>
      </c>
      <c r="AC219" s="24">
        <f>INDEX(Data_Macro!AC:AC,MATCH($G219,Data_Macro!$A:$A,0))</f>
        <v>4.3636080000000042E-2</v>
      </c>
      <c r="AD219" s="24">
        <f>INDEX(Data_Macro!AD:AD,MATCH($G219,Data_Macro!$A:$A,0))</f>
        <v>4.3104670000000039E-2</v>
      </c>
      <c r="AE219" s="24">
        <f>INDEX(Data_Macro!AE:AE,MATCH($G219,Data_Macro!$A:$A,0))</f>
        <v>4.2573260000000043E-2</v>
      </c>
    </row>
    <row r="220" spans="2:31" x14ac:dyDescent="0.25">
      <c r="B220" s="17" t="s">
        <v>81</v>
      </c>
      <c r="C220" s="17" t="str">
        <f>$C$185</f>
        <v>mch</v>
      </c>
      <c r="D220" s="18" t="s">
        <v>90</v>
      </c>
      <c r="E220" s="19" t="s">
        <v>91</v>
      </c>
      <c r="F220" s="17" t="s">
        <v>92</v>
      </c>
      <c r="G220" s="20" t="str">
        <f>Settings!$B$3&amp;".mit.inc.ela.adj."&amp;$J$185</f>
        <v>egy.mit.inc.ela.adj.1</v>
      </c>
      <c r="K220" s="23">
        <f>INDEX(Data_Macro!K:K,MATCH($G220,Data_Macro!$A:$A,0))</f>
        <v>0</v>
      </c>
      <c r="L220" s="23">
        <f>INDEX(Data_Macro!L:L,MATCH($G220,Data_Macro!$A:$A,0))</f>
        <v>1.0271517247196089</v>
      </c>
      <c r="M220" s="23">
        <f>INDEX(Data_Macro!M:M,MATCH($G220,Data_Macro!$A:$A,0))</f>
        <v>1.0271517247196089</v>
      </c>
      <c r="N220" s="23">
        <f>INDEX(Data_Macro!N:N,MATCH($G220,Data_Macro!$A:$A,0))</f>
        <v>1.0205698358851201</v>
      </c>
      <c r="O220" s="23">
        <f>INDEX(Data_Macro!O:O,MATCH($G220,Data_Macro!$A:$A,0))</f>
        <v>1.017334428852344</v>
      </c>
      <c r="P220" s="23">
        <f>INDEX(Data_Macro!P:P,MATCH($G220,Data_Macro!$A:$A,0))</f>
        <v>1.007668332253824</v>
      </c>
      <c r="Q220" s="23">
        <f>INDEX(Data_Macro!Q:Q,MATCH($G220,Data_Macro!$A:$A,0))</f>
        <v>1.000744287175529</v>
      </c>
      <c r="R220" s="23">
        <f>INDEX(Data_Macro!R:R,MATCH($G220,Data_Macro!$A:$A,0))</f>
        <v>0.99188648901185772</v>
      </c>
      <c r="S220" s="23">
        <f>INDEX(Data_Macro!S:S,MATCH($G220,Data_Macro!$A:$A,0))</f>
        <v>0.98065540330043011</v>
      </c>
      <c r="T220" s="23">
        <f>INDEX(Data_Macro!T:T,MATCH($G220,Data_Macro!$A:$A,0))</f>
        <v>0.97020940399244326</v>
      </c>
      <c r="U220" s="23">
        <f>INDEX(Data_Macro!U:U,MATCH($G220,Data_Macro!$A:$A,0))</f>
        <v>0.9641926590771045</v>
      </c>
      <c r="V220" s="23">
        <f>INDEX(Data_Macro!V:V,MATCH($G220,Data_Macro!$A:$A,0))</f>
        <v>0.96161287122715211</v>
      </c>
      <c r="W220" s="23">
        <f>INDEX(Data_Macro!W:W,MATCH($G220,Data_Macro!$A:$A,0))</f>
        <v>0.95919844785405028</v>
      </c>
      <c r="X220" s="23">
        <f>INDEX(Data_Macro!X:X,MATCH($G220,Data_Macro!$A:$A,0))</f>
        <v>0.95695125444519591</v>
      </c>
      <c r="Y220" s="23">
        <f>INDEX(Data_Macro!Y:Y,MATCH($G220,Data_Macro!$A:$A,0))</f>
        <v>0.95487297859577691</v>
      </c>
      <c r="Z220" s="23">
        <f>INDEX(Data_Macro!Z:Z,MATCH($G220,Data_Macro!$A:$A,0))</f>
        <v>0.95296514086144846</v>
      </c>
      <c r="AA220" s="23">
        <f>INDEX(Data_Macro!AA:AA,MATCH($G220,Data_Macro!$A:$A,0))</f>
        <v>0.95122910490338464</v>
      </c>
      <c r="AB220" s="23">
        <f>INDEX(Data_Macro!AB:AB,MATCH($G220,Data_Macro!$A:$A,0))</f>
        <v>0.94966608689229326</v>
      </c>
      <c r="AC220" s="23">
        <f>INDEX(Data_Macro!AC:AC,MATCH($G220,Data_Macro!$A:$A,0))</f>
        <v>0.94827716413797614</v>
      </c>
      <c r="AD220" s="23">
        <f>INDEX(Data_Macro!AD:AD,MATCH($G220,Data_Macro!$A:$A,0))</f>
        <v>0.94706328291559227</v>
      </c>
      <c r="AE220" s="23">
        <f>INDEX(Data_Macro!AE:AE,MATCH($G220,Data_Macro!$A:$A,0))</f>
        <v>0.94602526545851262</v>
      </c>
    </row>
    <row r="221" spans="2:31" x14ac:dyDescent="0.25">
      <c r="B221" s="17" t="s">
        <v>81</v>
      </c>
      <c r="C221" s="17" t="str">
        <f>$C$185</f>
        <v>mch</v>
      </c>
      <c r="D221" s="18" t="s">
        <v>93</v>
      </c>
      <c r="E221" s="19" t="s">
        <v>91</v>
      </c>
      <c r="F221" s="17" t="s">
        <v>94</v>
      </c>
      <c r="G221" s="20" t="str">
        <f>Settings!$B$3&amp;".mit.shock."&amp;$J$185</f>
        <v>egy.mit.shock.1</v>
      </c>
      <c r="K221" s="23">
        <f>INDEX(Data_Macro!K:K,MATCH($G221,Data_Macro!$A:$A,0))</f>
        <v>0</v>
      </c>
      <c r="L221" s="23">
        <f>INDEX(Data_Macro!L:L,MATCH($G221,Data_Macro!$A:$A,0))</f>
        <v>0</v>
      </c>
      <c r="M221" s="23">
        <f>INDEX(Data_Macro!M:M,MATCH($G221,Data_Macro!$A:$A,0))</f>
        <v>-0.2081330830204422</v>
      </c>
      <c r="N221" s="23">
        <f>INDEX(Data_Macro!N:N,MATCH($G221,Data_Macro!$A:$A,0))</f>
        <v>9.2371428571428563E-2</v>
      </c>
      <c r="O221" s="23">
        <f>INDEX(Data_Macro!O:O,MATCH($G221,Data_Macro!$A:$A,0))</f>
        <v>0</v>
      </c>
      <c r="P221" s="23">
        <f>INDEX(Data_Macro!P:P,MATCH($G221,Data_Macro!$A:$A,0))</f>
        <v>0</v>
      </c>
      <c r="Q221" s="23">
        <f>INDEX(Data_Macro!Q:Q,MATCH($G221,Data_Macro!$A:$A,0))</f>
        <v>0</v>
      </c>
      <c r="R221" s="23">
        <f>INDEX(Data_Macro!R:R,MATCH($G221,Data_Macro!$A:$A,0))</f>
        <v>0</v>
      </c>
      <c r="S221" s="23">
        <f>INDEX(Data_Macro!S:S,MATCH($G221,Data_Macro!$A:$A,0))</f>
        <v>0</v>
      </c>
      <c r="T221" s="23">
        <f>INDEX(Data_Macro!T:T,MATCH($G221,Data_Macro!$A:$A,0))</f>
        <v>0</v>
      </c>
      <c r="U221" s="23">
        <f>INDEX(Data_Macro!U:U,MATCH($G221,Data_Macro!$A:$A,0))</f>
        <v>0</v>
      </c>
      <c r="V221" s="23">
        <f>INDEX(Data_Macro!V:V,MATCH($G221,Data_Macro!$A:$A,0))</f>
        <v>0</v>
      </c>
      <c r="W221" s="23">
        <f>INDEX(Data_Macro!W:W,MATCH($G221,Data_Macro!$A:$A,0))</f>
        <v>0</v>
      </c>
      <c r="X221" s="23">
        <f>INDEX(Data_Macro!X:X,MATCH($G221,Data_Macro!$A:$A,0))</f>
        <v>0</v>
      </c>
      <c r="Y221" s="23">
        <f>INDEX(Data_Macro!Y:Y,MATCH($G221,Data_Macro!$A:$A,0))</f>
        <v>0</v>
      </c>
      <c r="Z221" s="23">
        <f>INDEX(Data_Macro!Z:Z,MATCH($G221,Data_Macro!$A:$A,0))</f>
        <v>0</v>
      </c>
      <c r="AA221" s="23">
        <f>INDEX(Data_Macro!AA:AA,MATCH($G221,Data_Macro!$A:$A,0))</f>
        <v>0</v>
      </c>
      <c r="AB221" s="23">
        <f>INDEX(Data_Macro!AB:AB,MATCH($G221,Data_Macro!$A:$A,0))</f>
        <v>0</v>
      </c>
      <c r="AC221" s="23">
        <f>INDEX(Data_Macro!AC:AC,MATCH($G221,Data_Macro!$A:$A,0))</f>
        <v>0</v>
      </c>
      <c r="AD221" s="23">
        <f>INDEX(Data_Macro!AD:AD,MATCH($G221,Data_Macro!$A:$A,0))</f>
        <v>0</v>
      </c>
      <c r="AE221" s="23">
        <f>INDEX(Data_Macro!AE:AE,MATCH($G221,Data_Macro!$A:$A,0))</f>
        <v>0</v>
      </c>
    </row>
    <row r="222" spans="2:31" x14ac:dyDescent="0.25">
      <c r="B222" s="16" t="s">
        <v>95</v>
      </c>
    </row>
    <row r="223" spans="2:31" x14ac:dyDescent="0.25">
      <c r="B223" s="8" t="s">
        <v>36</v>
      </c>
      <c r="C223" s="8" t="s">
        <v>37</v>
      </c>
      <c r="D223" s="25" t="s">
        <v>38</v>
      </c>
      <c r="E223" s="8" t="s">
        <v>96</v>
      </c>
      <c r="F223" s="8" t="s">
        <v>97</v>
      </c>
      <c r="G223" s="8" t="s">
        <v>98</v>
      </c>
      <c r="H223" s="8" t="s">
        <v>99</v>
      </c>
      <c r="I223" s="8" t="s">
        <v>100</v>
      </c>
      <c r="J223" s="8" t="s">
        <v>101</v>
      </c>
    </row>
    <row r="224" spans="2:31" x14ac:dyDescent="0.25">
      <c r="B224" s="17" t="s">
        <v>53</v>
      </c>
      <c r="C224" s="17" t="str">
        <f t="shared" ref="C224:C232" si="21">$C$185</f>
        <v>mch</v>
      </c>
      <c r="D224" s="26" t="s">
        <v>102</v>
      </c>
      <c r="E224" s="27">
        <f>ELAST("el_inc",$J224,Settings!$B$5)</f>
        <v>0.5</v>
      </c>
      <c r="F224" s="27">
        <f>ELAST("el_dem",$J224,Settings!$B$5)</f>
        <v>-0.3</v>
      </c>
      <c r="G224" s="27">
        <f>ELAST("el_eff",$J224,Settings!$B$5)</f>
        <v>-0.4</v>
      </c>
      <c r="H224" s="27">
        <f>ELAST("eff_imp",INDEX(Data_Elast!$K:$K,MATCH($B224,Data_Elast!$I:$I,0)),Settings!$B$5)</f>
        <v>5.0000000000000001E-3</v>
      </c>
      <c r="I224" s="27">
        <f>Settings!$B$7</f>
        <v>0</v>
      </c>
      <c r="J224" s="19" t="str">
        <f>INDEX(Data_Elast!$J:$J,MATCH($B224,Data_Elast!$I:$I,0))</f>
        <v>coa</v>
      </c>
    </row>
    <row r="225" spans="2:31" x14ac:dyDescent="0.25">
      <c r="B225" s="17" t="s">
        <v>57</v>
      </c>
      <c r="C225" s="17" t="str">
        <f t="shared" si="21"/>
        <v>mch</v>
      </c>
      <c r="D225" s="26" t="s">
        <v>103</v>
      </c>
      <c r="E225" s="27">
        <f>ELAST("el_inc",$J225,Settings!$B$5)</f>
        <v>1</v>
      </c>
      <c r="F225" s="27">
        <f>ELAST("el_dem",$J225,Settings!$B$5)</f>
        <v>-0.5</v>
      </c>
      <c r="G225" s="27">
        <f>ELAST("el_eff",$J225,Settings!$B$5)</f>
        <v>-0.5</v>
      </c>
      <c r="H225" s="27">
        <f>ELAST("eff_imp",INDEX(Data_Elast!$K:$K,MATCH($B225,Data_Elast!$I:$I,0)),Settings!$B$5)</f>
        <v>0.01</v>
      </c>
      <c r="I225" s="27">
        <f>Settings!$B$7</f>
        <v>0</v>
      </c>
      <c r="J225" s="19" t="str">
        <f>INDEX(Data_Elast!$J:$J,MATCH($B225,Data_Elast!$I:$I,0))</f>
        <v>nga</v>
      </c>
    </row>
    <row r="226" spans="2:31" x14ac:dyDescent="0.25">
      <c r="B226" s="17" t="s">
        <v>59</v>
      </c>
      <c r="C226" s="17" t="str">
        <f t="shared" si="21"/>
        <v>mch</v>
      </c>
      <c r="D226" s="26" t="s">
        <v>104</v>
      </c>
      <c r="E226" s="27">
        <f>ELAST("el_inc",$J226,Settings!$B$5)</f>
        <v>0.5</v>
      </c>
      <c r="F226" s="27">
        <f>ELAST("el_dem",$J226,Settings!$B$5)</f>
        <v>-0.4</v>
      </c>
      <c r="G226" s="27">
        <f>ELAST("el_eff",$J226,Settings!$B$5)</f>
        <v>-0.7</v>
      </c>
      <c r="H226" s="27">
        <f>ELAST("eff_imp",INDEX(Data_Elast!$K:$K,MATCH($B226,Data_Elast!$I:$I,0)),Settings!$B$5)</f>
        <v>5.0000000000000001E-3</v>
      </c>
      <c r="I226" s="27">
        <f>Settings!$B$7</f>
        <v>0</v>
      </c>
      <c r="J226" s="19" t="str">
        <f>INDEX(Data_Elast!$J:$J,MATCH($B226,Data_Elast!$I:$I,0))</f>
        <v>gso</v>
      </c>
    </row>
    <row r="227" spans="2:31" x14ac:dyDescent="0.25">
      <c r="B227" s="17" t="s">
        <v>62</v>
      </c>
      <c r="C227" s="17" t="str">
        <f t="shared" si="21"/>
        <v>mch</v>
      </c>
      <c r="D227" s="26" t="s">
        <v>105</v>
      </c>
      <c r="E227" s="27">
        <f>ELAST("el_inc",$J227,Settings!$B$5)</f>
        <v>0.5</v>
      </c>
      <c r="F227" s="27">
        <f>ELAST("el_dem",$J227,Settings!$B$5)</f>
        <v>-0.7</v>
      </c>
      <c r="G227" s="27">
        <f>ELAST("el_eff",$J227,Settings!$B$5)</f>
        <v>-1.2</v>
      </c>
      <c r="H227" s="27">
        <f>ELAST("eff_imp",INDEX(Data_Elast!$K:$K,MATCH($B227,Data_Elast!$I:$I,0)),Settings!$B$5)</f>
        <v>5.0000000000000001E-3</v>
      </c>
      <c r="I227" s="27">
        <f>Settings!$B$7</f>
        <v>0</v>
      </c>
      <c r="J227" s="19" t="str">
        <f>INDEX(Data_Elast!$J:$J,MATCH($B227,Data_Elast!$I:$I,0))</f>
        <v>die</v>
      </c>
    </row>
    <row r="228" spans="2:31" x14ac:dyDescent="0.25">
      <c r="B228" s="17" t="s">
        <v>64</v>
      </c>
      <c r="C228" s="17" t="str">
        <f t="shared" si="21"/>
        <v>mch</v>
      </c>
      <c r="D228" s="26" t="s">
        <v>106</v>
      </c>
      <c r="E228" s="27">
        <f>ELAST("el_inc",$J228,Settings!$B$5)</f>
        <v>0.8</v>
      </c>
      <c r="F228" s="27">
        <f>ELAST("el_dem",$J228,Settings!$B$5)</f>
        <v>-0.4</v>
      </c>
      <c r="G228" s="27">
        <f>ELAST("el_eff",$J228,Settings!$B$5)</f>
        <v>-0.4</v>
      </c>
      <c r="H228" s="27">
        <f>ELAST("eff_imp",INDEX(Data_Elast!$K:$K,MATCH($B228,Data_Elast!$I:$I,0)),Settings!$B$5)</f>
        <v>5.0000000000000001E-3</v>
      </c>
      <c r="I228" s="27">
        <f>Settings!$B$7</f>
        <v>0</v>
      </c>
      <c r="J228" s="19" t="str">
        <f>INDEX(Data_Elast!$J:$J,MATCH($B228,Data_Elast!$I:$I,0))</f>
        <v>oil</v>
      </c>
    </row>
    <row r="229" spans="2:31" x14ac:dyDescent="0.25">
      <c r="B229" s="17" t="s">
        <v>66</v>
      </c>
      <c r="C229" s="17" t="str">
        <f t="shared" si="21"/>
        <v>mch</v>
      </c>
      <c r="D229" s="26" t="s">
        <v>107</v>
      </c>
      <c r="E229" s="27">
        <f>ELAST("el_inc",$J229,Settings!$B$5)</f>
        <v>0.8</v>
      </c>
      <c r="F229" s="27">
        <f>ELAST("el_dem",$J229,Settings!$B$5)</f>
        <v>-0.4</v>
      </c>
      <c r="G229" s="27">
        <f>ELAST("el_eff",$J229,Settings!$B$5)</f>
        <v>-0.4</v>
      </c>
      <c r="H229" s="27">
        <f>ELAST("eff_imp",INDEX(Data_Elast!$K:$K,MATCH($B229,Data_Elast!$I:$I,0)),Settings!$B$5)</f>
        <v>5.0000000000000001E-3</v>
      </c>
      <c r="I229" s="27">
        <f>Settings!$B$7</f>
        <v>0</v>
      </c>
      <c r="J229" s="19" t="str">
        <f>INDEX(Data_Elast!$J:$J,MATCH($B229,Data_Elast!$I:$I,0))</f>
        <v>oil</v>
      </c>
    </row>
    <row r="230" spans="2:31" x14ac:dyDescent="0.25">
      <c r="B230" s="17" t="s">
        <v>68</v>
      </c>
      <c r="C230" s="17" t="str">
        <f t="shared" si="21"/>
        <v>mch</v>
      </c>
      <c r="D230" s="26" t="s">
        <v>108</v>
      </c>
      <c r="E230" s="27">
        <f>ELAST("el_inc",$J230,Settings!$B$5)</f>
        <v>0.8</v>
      </c>
      <c r="F230" s="27">
        <f>ELAST("el_dem",$J230,Settings!$B$5)</f>
        <v>-0.4</v>
      </c>
      <c r="G230" s="27">
        <f>ELAST("el_eff",$J230,Settings!$B$5)</f>
        <v>-0.4</v>
      </c>
      <c r="H230" s="27">
        <f>ELAST("eff_imp",INDEX(Data_Elast!$K:$K,MATCH($B230,Data_Elast!$I:$I,0)),Settings!$B$5)</f>
        <v>5.0000000000000001E-3</v>
      </c>
      <c r="I230" s="27">
        <f>Settings!$B$7</f>
        <v>0</v>
      </c>
      <c r="J230" s="19" t="str">
        <f>INDEX(Data_Elast!$J:$J,MATCH($B230,Data_Elast!$I:$I,0))</f>
        <v>oil</v>
      </c>
    </row>
    <row r="231" spans="2:31" x14ac:dyDescent="0.25">
      <c r="B231" s="17" t="s">
        <v>71</v>
      </c>
      <c r="C231" s="17" t="str">
        <f t="shared" si="21"/>
        <v>mch</v>
      </c>
      <c r="D231" s="26" t="s">
        <v>109</v>
      </c>
      <c r="E231" s="27">
        <f>ELAST("el_inc",$J231,Settings!$B$5)</f>
        <v>0.1</v>
      </c>
      <c r="F231" s="27">
        <f>ELAST("el_dem",$J231,Settings!$B$5)</f>
        <v>-0.3</v>
      </c>
      <c r="G231" s="27">
        <f>ELAST("el_eff",$J231,Settings!$B$5)</f>
        <v>-0.2</v>
      </c>
      <c r="H231" s="27">
        <f>ELAST("eff_imp",INDEX(Data_Elast!$K:$K,MATCH($B231,Data_Elast!$I:$I,0)),Settings!$B$5)</f>
        <v>5.0000000000000001E-3</v>
      </c>
      <c r="I231" s="27">
        <f>Settings!$B$7</f>
        <v>0</v>
      </c>
      <c r="J231" s="19" t="str">
        <f>INDEX(Data_Elast!$J:$J,MATCH($B231,Data_Elast!$I:$I,0))</f>
        <v>bio</v>
      </c>
    </row>
    <row r="232" spans="2:31" x14ac:dyDescent="0.25">
      <c r="B232" s="17" t="s">
        <v>73</v>
      </c>
      <c r="C232" s="17" t="str">
        <f t="shared" si="21"/>
        <v>mch</v>
      </c>
      <c r="D232" s="26" t="s">
        <v>110</v>
      </c>
      <c r="E232" s="27">
        <f>ELAST("el_inc",$J232,Settings!$B$5)</f>
        <v>0.8</v>
      </c>
      <c r="F232" s="27">
        <f>ELAST("el_dem",$J232,Settings!$B$5)</f>
        <v>-0.5</v>
      </c>
      <c r="G232" s="27">
        <f>ELAST("el_eff",$J232,Settings!$B$5)</f>
        <v>-0.4</v>
      </c>
      <c r="H232" s="27">
        <f>ELAST("eff_imp",INDEX(Data_Elast!$K:$K,MATCH($B232,Data_Elast!$I:$I,0)),Settings!$B$5)</f>
        <v>5.0000000000000001E-3</v>
      </c>
      <c r="I232" s="27">
        <f>Settings!$B$7</f>
        <v>0</v>
      </c>
      <c r="J232" s="19" t="str">
        <f>INDEX(Data_Elast!$J:$J,MATCH($B232,Data_Elast!$I:$I,0))</f>
        <v>ren</v>
      </c>
    </row>
    <row r="233" spans="2:31" x14ac:dyDescent="0.25">
      <c r="B233" s="16" t="s">
        <v>111</v>
      </c>
    </row>
    <row r="234" spans="2:31" x14ac:dyDescent="0.25">
      <c r="B234" s="17" t="s">
        <v>53</v>
      </c>
      <c r="C234" s="17" t="str">
        <f t="shared" ref="C234:C243" si="22">$C$185</f>
        <v>mch</v>
      </c>
      <c r="D234" s="18" t="s">
        <v>54</v>
      </c>
      <c r="E234" s="19" t="s">
        <v>112</v>
      </c>
      <c r="F234" s="17" t="s">
        <v>113</v>
      </c>
      <c r="G234" s="20" t="str">
        <f>Settings!$B$3&amp;".mit.enc."&amp;$B234</f>
        <v>egy.mit.enc.coa</v>
      </c>
      <c r="H234" s="21" t="str">
        <f>OUTCODE(Settings!$B$3,"ener",$C$185,$B234,$J$185)</f>
        <v>egy.mit.ener.mch.coa.e.1</v>
      </c>
      <c r="L234" s="28">
        <f>INDEX(Data_Energy!$D$3:$U$22,MATCH($B234,Data_Energy!$C$3:$C$22,0),MATCH($C234,Data_Energy!$D$2:$U$2,0))</f>
        <v>0</v>
      </c>
      <c r="M234" s="29">
        <f>FUELUSE(L234,L197,M197,L207,M207,M$219,M$220,M$221,$E224,$F224,$G224,$H224,$I224)</f>
        <v>0</v>
      </c>
      <c r="N234" s="29">
        <f>FUELUSE(M234,M197,N197,M207,N207,N$219,N$220,N$221,$E224,$F224,$G224,$H224,$I224)</f>
        <v>0</v>
      </c>
      <c r="O234" s="29">
        <f>FUELUSE(N234,N197,O197,N207,O207,O$219,O$220,O$221,$E224,$F224,$G224,$H224,$I224)</f>
        <v>0</v>
      </c>
      <c r="P234" s="29">
        <f>FUELUSE(O234,O197,P197,O207,P207,P$219,P$220,P$221,$E224,$F224,$G224,$H224,$I224)</f>
        <v>0</v>
      </c>
      <c r="Q234" s="29">
        <f>FUELUSE(P234,P197,Q197,P207,Q207,Q$219,Q$220,Q$221,$E224,$F224,$G224,$H224,$I224)</f>
        <v>0</v>
      </c>
      <c r="R234" s="29">
        <f>FUELUSE(Q234,Q197,R197,Q207,R207,R$219,R$220,R$221,$E224,$F224,$G224,$H224,$I224)</f>
        <v>0</v>
      </c>
      <c r="S234" s="29">
        <f>FUELUSE(R234,R197,S197,R207,S207,S$219,S$220,S$221,$E224,$F224,$G224,$H224,$I224)</f>
        <v>0</v>
      </c>
      <c r="T234" s="29">
        <f>FUELUSE(S234,S197,T197,S207,T207,T$219,T$220,T$221,$E224,$F224,$G224,$H224,$I224)</f>
        <v>0</v>
      </c>
      <c r="U234" s="29">
        <f>FUELUSE(T234,T197,U197,T207,U207,U$219,U$220,U$221,$E224,$F224,$G224,$H224,$I224)</f>
        <v>0</v>
      </c>
      <c r="V234" s="29">
        <f>FUELUSE(U234,U197,V197,U207,V207,V$219,V$220,V$221,$E224,$F224,$G224,$H224,$I224)</f>
        <v>0</v>
      </c>
      <c r="W234" s="29">
        <f>FUELUSE(V234,V197,W197,V207,W207,W$219,W$220,W$221,$E224,$F224,$G224,$H224,$I224)</f>
        <v>0</v>
      </c>
      <c r="X234" s="29">
        <f>FUELUSE(W234,W197,X197,W207,X207,X$219,X$220,X$221,$E224,$F224,$G224,$H224,$I224)</f>
        <v>0</v>
      </c>
      <c r="Y234" s="29">
        <f>FUELUSE(X234,X197,Y197,X207,Y207,Y$219,Y$220,Y$221,$E224,$F224,$G224,$H224,$I224)</f>
        <v>0</v>
      </c>
      <c r="Z234" s="29">
        <f>FUELUSE(Y234,Y197,Z197,Y207,Z207,Z$219,Z$220,Z$221,$E224,$F224,$G224,$H224,$I224)</f>
        <v>0</v>
      </c>
      <c r="AA234" s="29">
        <f>FUELUSE(Z234,Z197,AA197,Z207,AA207,AA$219,AA$220,AA$221,$E224,$F224,$G224,$H224,$I224)</f>
        <v>0</v>
      </c>
      <c r="AB234" s="29">
        <f>FUELUSE(AA234,AA197,AB197,AA207,AB207,AB$219,AB$220,AB$221,$E224,$F224,$G224,$H224,$I224)</f>
        <v>0</v>
      </c>
      <c r="AC234" s="29">
        <f>FUELUSE(AB234,AB197,AC197,AB207,AC207,AC$219,AC$220,AC$221,$E224,$F224,$G224,$H224,$I224)</f>
        <v>0</v>
      </c>
      <c r="AD234" s="29">
        <f>FUELUSE(AC234,AC197,AD197,AC207,AD207,AD$219,AD$220,AD$221,$E224,$F224,$G224,$H224,$I224)</f>
        <v>0</v>
      </c>
      <c r="AE234" s="29">
        <f>FUELUSE(AD234,AD197,AE197,AD207,AE207,AE$219,AE$220,AE$221,$E224,$F224,$G224,$H224,$I224)</f>
        <v>0</v>
      </c>
    </row>
    <row r="235" spans="2:31" x14ac:dyDescent="0.25">
      <c r="B235" s="17" t="s">
        <v>57</v>
      </c>
      <c r="C235" s="17" t="str">
        <f t="shared" si="22"/>
        <v>mch</v>
      </c>
      <c r="D235" s="18" t="s">
        <v>58</v>
      </c>
      <c r="E235" s="19" t="s">
        <v>112</v>
      </c>
      <c r="F235" s="17" t="s">
        <v>113</v>
      </c>
      <c r="G235" s="20" t="str">
        <f>Settings!$B$3&amp;".mit.enc."&amp;$B235</f>
        <v>egy.mit.enc.nga</v>
      </c>
      <c r="H235" s="21" t="str">
        <f>OUTCODE(Settings!$B$3,"ener",$C$185,$B235,$J$185)</f>
        <v>egy.mit.ener.mch.nga.e.1</v>
      </c>
      <c r="L235" s="28">
        <f>INDEX(Data_Energy!$D$3:$U$22,MATCH($B235,Data_Energy!$C$3:$C$22,0),MATCH($C235,Data_Energy!$D$2:$U$2,0))</f>
        <v>0</v>
      </c>
      <c r="M235" s="29">
        <f>FUELUSE(L235,L198,M198,L208,M208,M$219,M$220,M$221,$E225,$F225,$G225,$H225,$I225)</f>
        <v>0</v>
      </c>
      <c r="N235" s="29">
        <f>FUELUSE(M235,M198,N198,M208,N208,N$219,N$220,N$221,$E225,$F225,$G225,$H225,$I225)</f>
        <v>0</v>
      </c>
      <c r="O235" s="29">
        <f>FUELUSE(N235,N198,O198,N208,O208,O$219,O$220,O$221,$E225,$F225,$G225,$H225,$I225)</f>
        <v>0</v>
      </c>
      <c r="P235" s="29">
        <f>FUELUSE(O235,O198,P198,O208,P208,P$219,P$220,P$221,$E225,$F225,$G225,$H225,$I225)</f>
        <v>0</v>
      </c>
      <c r="Q235" s="29">
        <f>FUELUSE(P235,P198,Q198,P208,Q208,Q$219,Q$220,Q$221,$E225,$F225,$G225,$H225,$I225)</f>
        <v>0</v>
      </c>
      <c r="R235" s="29">
        <f>FUELUSE(Q235,Q198,R198,Q208,R208,R$219,R$220,R$221,$E225,$F225,$G225,$H225,$I225)</f>
        <v>0</v>
      </c>
      <c r="S235" s="29">
        <f>FUELUSE(R235,R198,S198,R208,S208,S$219,S$220,S$221,$E225,$F225,$G225,$H225,$I225)</f>
        <v>0</v>
      </c>
      <c r="T235" s="29">
        <f>FUELUSE(S235,S198,T198,S208,T208,T$219,T$220,T$221,$E225,$F225,$G225,$H225,$I225)</f>
        <v>0</v>
      </c>
      <c r="U235" s="29">
        <f>FUELUSE(T235,T198,U198,T208,U208,U$219,U$220,U$221,$E225,$F225,$G225,$H225,$I225)</f>
        <v>0</v>
      </c>
      <c r="V235" s="29">
        <f>FUELUSE(U235,U198,V198,U208,V208,V$219,V$220,V$221,$E225,$F225,$G225,$H225,$I225)</f>
        <v>0</v>
      </c>
      <c r="W235" s="29">
        <f>FUELUSE(V235,V198,W198,V208,W208,W$219,W$220,W$221,$E225,$F225,$G225,$H225,$I225)</f>
        <v>0</v>
      </c>
      <c r="X235" s="29">
        <f>FUELUSE(W235,W198,X198,W208,X208,X$219,X$220,X$221,$E225,$F225,$G225,$H225,$I225)</f>
        <v>0</v>
      </c>
      <c r="Y235" s="29">
        <f>FUELUSE(X235,X198,Y198,X208,Y208,Y$219,Y$220,Y$221,$E225,$F225,$G225,$H225,$I225)</f>
        <v>0</v>
      </c>
      <c r="Z235" s="29">
        <f>FUELUSE(Y235,Y198,Z198,Y208,Z208,Z$219,Z$220,Z$221,$E225,$F225,$G225,$H225,$I225)</f>
        <v>0</v>
      </c>
      <c r="AA235" s="29">
        <f>FUELUSE(Z235,Z198,AA198,Z208,AA208,AA$219,AA$220,AA$221,$E225,$F225,$G225,$H225,$I225)</f>
        <v>0</v>
      </c>
      <c r="AB235" s="29">
        <f>FUELUSE(AA235,AA198,AB198,AA208,AB208,AB$219,AB$220,AB$221,$E225,$F225,$G225,$H225,$I225)</f>
        <v>0</v>
      </c>
      <c r="AC235" s="29">
        <f>FUELUSE(AB235,AB198,AC198,AB208,AC208,AC$219,AC$220,AC$221,$E225,$F225,$G225,$H225,$I225)</f>
        <v>0</v>
      </c>
      <c r="AD235" s="29">
        <f>FUELUSE(AC235,AC198,AD198,AC208,AD208,AD$219,AD$220,AD$221,$E225,$F225,$G225,$H225,$I225)</f>
        <v>0</v>
      </c>
      <c r="AE235" s="29">
        <f>FUELUSE(AD235,AD198,AE198,AD208,AE208,AE$219,AE$220,AE$221,$E225,$F225,$G225,$H225,$I225)</f>
        <v>0</v>
      </c>
    </row>
    <row r="236" spans="2:31" x14ac:dyDescent="0.25">
      <c r="B236" s="17" t="s">
        <v>59</v>
      </c>
      <c r="C236" s="17" t="str">
        <f t="shared" si="22"/>
        <v>mch</v>
      </c>
      <c r="D236" s="18" t="s">
        <v>60</v>
      </c>
      <c r="E236" s="19" t="s">
        <v>112</v>
      </c>
      <c r="F236" s="17" t="s">
        <v>113</v>
      </c>
      <c r="G236" s="20" t="str">
        <f>Settings!$B$3&amp;".mit.enc."&amp;$B236</f>
        <v>egy.mit.enc.gso</v>
      </c>
      <c r="H236" s="21" t="str">
        <f>OUTCODE(Settings!$B$3,"ener",$C$185,$B236,$J$185)</f>
        <v>egy.mit.ener.mch.gso.e.1</v>
      </c>
      <c r="L236" s="28">
        <f>INDEX(Data_Energy!$D$3:$U$22,MATCH($B236,Data_Energy!$C$3:$C$22,0),MATCH($C236,Data_Energy!$D$2:$U$2,0))</f>
        <v>0</v>
      </c>
      <c r="M236" s="29">
        <f>FUELUSE(L236,L199,M199,L209,M209,M$219,M$220,M$221,$E226,$F226,$G226,$H226,$I226)</f>
        <v>0</v>
      </c>
      <c r="N236" s="29">
        <f>FUELUSE(M236,M199,N199,M209,N209,N$219,N$220,N$221,$E226,$F226,$G226,$H226,$I226)</f>
        <v>0</v>
      </c>
      <c r="O236" s="29">
        <f>FUELUSE(N236,N199,O199,N209,O209,O$219,O$220,O$221,$E226,$F226,$G226,$H226,$I226)</f>
        <v>0</v>
      </c>
      <c r="P236" s="29">
        <f>FUELUSE(O236,O199,P199,O209,P209,P$219,P$220,P$221,$E226,$F226,$G226,$H226,$I226)</f>
        <v>0</v>
      </c>
      <c r="Q236" s="29">
        <f>FUELUSE(P236,P199,Q199,P209,Q209,Q$219,Q$220,Q$221,$E226,$F226,$G226,$H226,$I226)</f>
        <v>0</v>
      </c>
      <c r="R236" s="29">
        <f>FUELUSE(Q236,Q199,R199,Q209,R209,R$219,R$220,R$221,$E226,$F226,$G226,$H226,$I226)</f>
        <v>0</v>
      </c>
      <c r="S236" s="29">
        <f>FUELUSE(R236,R199,S199,R209,S209,S$219,S$220,S$221,$E226,$F226,$G226,$H226,$I226)</f>
        <v>0</v>
      </c>
      <c r="T236" s="29">
        <f>FUELUSE(S236,S199,T199,S209,T209,T$219,T$220,T$221,$E226,$F226,$G226,$H226,$I226)</f>
        <v>0</v>
      </c>
      <c r="U236" s="29">
        <f>FUELUSE(T236,T199,U199,T209,U209,U$219,U$220,U$221,$E226,$F226,$G226,$H226,$I226)</f>
        <v>0</v>
      </c>
      <c r="V236" s="29">
        <f>FUELUSE(U236,U199,V199,U209,V209,V$219,V$220,V$221,$E226,$F226,$G226,$H226,$I226)</f>
        <v>0</v>
      </c>
      <c r="W236" s="29">
        <f>FUELUSE(V236,V199,W199,V209,W209,W$219,W$220,W$221,$E226,$F226,$G226,$H226,$I226)</f>
        <v>0</v>
      </c>
      <c r="X236" s="29">
        <f>FUELUSE(W236,W199,X199,W209,X209,X$219,X$220,X$221,$E226,$F226,$G226,$H226,$I226)</f>
        <v>0</v>
      </c>
      <c r="Y236" s="29">
        <f>FUELUSE(X236,X199,Y199,X209,Y209,Y$219,Y$220,Y$221,$E226,$F226,$G226,$H226,$I226)</f>
        <v>0</v>
      </c>
      <c r="Z236" s="29">
        <f>FUELUSE(Y236,Y199,Z199,Y209,Z209,Z$219,Z$220,Z$221,$E226,$F226,$G226,$H226,$I226)</f>
        <v>0</v>
      </c>
      <c r="AA236" s="29">
        <f>FUELUSE(Z236,Z199,AA199,Z209,AA209,AA$219,AA$220,AA$221,$E226,$F226,$G226,$H226,$I226)</f>
        <v>0</v>
      </c>
      <c r="AB236" s="29">
        <f>FUELUSE(AA236,AA199,AB199,AA209,AB209,AB$219,AB$220,AB$221,$E226,$F226,$G226,$H226,$I226)</f>
        <v>0</v>
      </c>
      <c r="AC236" s="29">
        <f>FUELUSE(AB236,AB199,AC199,AB209,AC209,AC$219,AC$220,AC$221,$E226,$F226,$G226,$H226,$I226)</f>
        <v>0</v>
      </c>
      <c r="AD236" s="29">
        <f>FUELUSE(AC236,AC199,AD199,AC209,AD209,AD$219,AD$220,AD$221,$E226,$F226,$G226,$H226,$I226)</f>
        <v>0</v>
      </c>
      <c r="AE236" s="29">
        <f>FUELUSE(AD236,AD199,AE199,AD209,AE209,AE$219,AE$220,AE$221,$E226,$F226,$G226,$H226,$I226)</f>
        <v>0</v>
      </c>
    </row>
    <row r="237" spans="2:31" x14ac:dyDescent="0.25">
      <c r="B237" s="17" t="s">
        <v>62</v>
      </c>
      <c r="C237" s="17" t="str">
        <f t="shared" si="22"/>
        <v>mch</v>
      </c>
      <c r="D237" s="18" t="s">
        <v>63</v>
      </c>
      <c r="E237" s="19" t="s">
        <v>112</v>
      </c>
      <c r="F237" s="17" t="s">
        <v>113</v>
      </c>
      <c r="G237" s="20" t="str">
        <f>Settings!$B$3&amp;".mit.enc."&amp;$B237</f>
        <v>egy.mit.enc.die</v>
      </c>
      <c r="H237" s="21" t="str">
        <f>OUTCODE(Settings!$B$3,"ener",$C$185,$B237,$J$185)</f>
        <v>egy.mit.ener.mch.die.e.1</v>
      </c>
      <c r="L237" s="28">
        <f>INDEX(Data_Energy!$D$3:$U$22,MATCH($B237,Data_Energy!$C$3:$C$22,0),MATCH($C237,Data_Energy!$D$2:$U$2,0))</f>
        <v>0</v>
      </c>
      <c r="M237" s="29">
        <f>FUELUSE(L237,L200,M200,L210,M210,M$219,M$220,M$221,$E227,$F227,$G227,$H227,$I227)</f>
        <v>0</v>
      </c>
      <c r="N237" s="29">
        <f>FUELUSE(M237,M200,N200,M210,N210,N$219,N$220,N$221,$E227,$F227,$G227,$H227,$I227)</f>
        <v>0</v>
      </c>
      <c r="O237" s="29">
        <f>FUELUSE(N237,N200,O200,N210,O210,O$219,O$220,O$221,$E227,$F227,$G227,$H227,$I227)</f>
        <v>0</v>
      </c>
      <c r="P237" s="29">
        <f>FUELUSE(O237,O200,P200,O210,P210,P$219,P$220,P$221,$E227,$F227,$G227,$H227,$I227)</f>
        <v>0</v>
      </c>
      <c r="Q237" s="29">
        <f>FUELUSE(P237,P200,Q200,P210,Q210,Q$219,Q$220,Q$221,$E227,$F227,$G227,$H227,$I227)</f>
        <v>0</v>
      </c>
      <c r="R237" s="29">
        <f>FUELUSE(Q237,Q200,R200,Q210,R210,R$219,R$220,R$221,$E227,$F227,$G227,$H227,$I227)</f>
        <v>0</v>
      </c>
      <c r="S237" s="29">
        <f>FUELUSE(R237,R200,S200,R210,S210,S$219,S$220,S$221,$E227,$F227,$G227,$H227,$I227)</f>
        <v>0</v>
      </c>
      <c r="T237" s="29">
        <f>FUELUSE(S237,S200,T200,S210,T210,T$219,T$220,T$221,$E227,$F227,$G227,$H227,$I227)</f>
        <v>0</v>
      </c>
      <c r="U237" s="29">
        <f>FUELUSE(T237,T200,U200,T210,U210,U$219,U$220,U$221,$E227,$F227,$G227,$H227,$I227)</f>
        <v>0</v>
      </c>
      <c r="V237" s="29">
        <f>FUELUSE(U237,U200,V200,U210,V210,V$219,V$220,V$221,$E227,$F227,$G227,$H227,$I227)</f>
        <v>0</v>
      </c>
      <c r="W237" s="29">
        <f>FUELUSE(V237,V200,W200,V210,W210,W$219,W$220,W$221,$E227,$F227,$G227,$H227,$I227)</f>
        <v>0</v>
      </c>
      <c r="X237" s="29">
        <f>FUELUSE(W237,W200,X200,W210,X210,X$219,X$220,X$221,$E227,$F227,$G227,$H227,$I227)</f>
        <v>0</v>
      </c>
      <c r="Y237" s="29">
        <f>FUELUSE(X237,X200,Y200,X210,Y210,Y$219,Y$220,Y$221,$E227,$F227,$G227,$H227,$I227)</f>
        <v>0</v>
      </c>
      <c r="Z237" s="29">
        <f>FUELUSE(Y237,Y200,Z200,Y210,Z210,Z$219,Z$220,Z$221,$E227,$F227,$G227,$H227,$I227)</f>
        <v>0</v>
      </c>
      <c r="AA237" s="29">
        <f>FUELUSE(Z237,Z200,AA200,Z210,AA210,AA$219,AA$220,AA$221,$E227,$F227,$G227,$H227,$I227)</f>
        <v>0</v>
      </c>
      <c r="AB237" s="29">
        <f>FUELUSE(AA237,AA200,AB200,AA210,AB210,AB$219,AB$220,AB$221,$E227,$F227,$G227,$H227,$I227)</f>
        <v>0</v>
      </c>
      <c r="AC237" s="29">
        <f>FUELUSE(AB237,AB200,AC200,AB210,AC210,AC$219,AC$220,AC$221,$E227,$F227,$G227,$H227,$I227)</f>
        <v>0</v>
      </c>
      <c r="AD237" s="29">
        <f>FUELUSE(AC237,AC200,AD200,AC210,AD210,AD$219,AD$220,AD$221,$E227,$F227,$G227,$H227,$I227)</f>
        <v>0</v>
      </c>
      <c r="AE237" s="29">
        <f>FUELUSE(AD237,AD200,AE200,AD210,AE210,AE$219,AE$220,AE$221,$E227,$F227,$G227,$H227,$I227)</f>
        <v>0</v>
      </c>
    </row>
    <row r="238" spans="2:31" x14ac:dyDescent="0.25">
      <c r="B238" s="17" t="s">
        <v>64</v>
      </c>
      <c r="C238" s="17" t="str">
        <f t="shared" si="22"/>
        <v>mch</v>
      </c>
      <c r="D238" s="18" t="s">
        <v>65</v>
      </c>
      <c r="E238" s="19" t="s">
        <v>112</v>
      </c>
      <c r="F238" s="17" t="s">
        <v>113</v>
      </c>
      <c r="G238" s="20" t="str">
        <f>Settings!$B$3&amp;".mit.enc."&amp;$B238</f>
        <v>egy.mit.enc.lpg</v>
      </c>
      <c r="H238" s="21" t="str">
        <f>OUTCODE(Settings!$B$3,"ener",$C$185,$B238,$J$185)</f>
        <v>egy.mit.ener.mch.lpg.e.1</v>
      </c>
      <c r="L238" s="28">
        <f>INDEX(Data_Energy!$D$3:$U$22,MATCH($B238,Data_Energy!$C$3:$C$22,0),MATCH($C238,Data_Energy!$D$2:$U$2,0))</f>
        <v>0</v>
      </c>
      <c r="M238" s="29">
        <f>FUELUSE(L238,L201,M201,L211,M211,M$219,M$220,M$221,$E228,$F228,$G228,$H228,$I228)</f>
        <v>0</v>
      </c>
      <c r="N238" s="29">
        <f>FUELUSE(M238,M201,N201,M211,N211,N$219,N$220,N$221,$E228,$F228,$G228,$H228,$I228)</f>
        <v>0</v>
      </c>
      <c r="O238" s="29">
        <f>FUELUSE(N238,N201,O201,N211,O211,O$219,O$220,O$221,$E228,$F228,$G228,$H228,$I228)</f>
        <v>0</v>
      </c>
      <c r="P238" s="29">
        <f>FUELUSE(O238,O201,P201,O211,P211,P$219,P$220,P$221,$E228,$F228,$G228,$H228,$I228)</f>
        <v>0</v>
      </c>
      <c r="Q238" s="29">
        <f>FUELUSE(P238,P201,Q201,P211,Q211,Q$219,Q$220,Q$221,$E228,$F228,$G228,$H228,$I228)</f>
        <v>0</v>
      </c>
      <c r="R238" s="29">
        <f>FUELUSE(Q238,Q201,R201,Q211,R211,R$219,R$220,R$221,$E228,$F228,$G228,$H228,$I228)</f>
        <v>0</v>
      </c>
      <c r="S238" s="29">
        <f>FUELUSE(R238,R201,S201,R211,S211,S$219,S$220,S$221,$E228,$F228,$G228,$H228,$I228)</f>
        <v>0</v>
      </c>
      <c r="T238" s="29">
        <f>FUELUSE(S238,S201,T201,S211,T211,T$219,T$220,T$221,$E228,$F228,$G228,$H228,$I228)</f>
        <v>0</v>
      </c>
      <c r="U238" s="29">
        <f>FUELUSE(T238,T201,U201,T211,U211,U$219,U$220,U$221,$E228,$F228,$G228,$H228,$I228)</f>
        <v>0</v>
      </c>
      <c r="V238" s="29">
        <f>FUELUSE(U238,U201,V201,U211,V211,V$219,V$220,V$221,$E228,$F228,$G228,$H228,$I228)</f>
        <v>0</v>
      </c>
      <c r="W238" s="29">
        <f>FUELUSE(V238,V201,W201,V211,W211,W$219,W$220,W$221,$E228,$F228,$G228,$H228,$I228)</f>
        <v>0</v>
      </c>
      <c r="X238" s="29">
        <f>FUELUSE(W238,W201,X201,W211,X211,X$219,X$220,X$221,$E228,$F228,$G228,$H228,$I228)</f>
        <v>0</v>
      </c>
      <c r="Y238" s="29">
        <f>FUELUSE(X238,X201,Y201,X211,Y211,Y$219,Y$220,Y$221,$E228,$F228,$G228,$H228,$I228)</f>
        <v>0</v>
      </c>
      <c r="Z238" s="29">
        <f>FUELUSE(Y238,Y201,Z201,Y211,Z211,Z$219,Z$220,Z$221,$E228,$F228,$G228,$H228,$I228)</f>
        <v>0</v>
      </c>
      <c r="AA238" s="29">
        <f>FUELUSE(Z238,Z201,AA201,Z211,AA211,AA$219,AA$220,AA$221,$E228,$F228,$G228,$H228,$I228)</f>
        <v>0</v>
      </c>
      <c r="AB238" s="29">
        <f>FUELUSE(AA238,AA201,AB201,AA211,AB211,AB$219,AB$220,AB$221,$E228,$F228,$G228,$H228,$I228)</f>
        <v>0</v>
      </c>
      <c r="AC238" s="29">
        <f>FUELUSE(AB238,AB201,AC201,AB211,AC211,AC$219,AC$220,AC$221,$E228,$F228,$G228,$H228,$I228)</f>
        <v>0</v>
      </c>
      <c r="AD238" s="29">
        <f>FUELUSE(AC238,AC201,AD201,AC211,AD211,AD$219,AD$220,AD$221,$E228,$F228,$G228,$H228,$I228)</f>
        <v>0</v>
      </c>
      <c r="AE238" s="29">
        <f>FUELUSE(AD238,AD201,AE201,AD211,AE211,AE$219,AE$220,AE$221,$E228,$F228,$G228,$H228,$I228)</f>
        <v>0</v>
      </c>
    </row>
    <row r="239" spans="2:31" x14ac:dyDescent="0.25">
      <c r="B239" s="17" t="s">
        <v>66</v>
      </c>
      <c r="C239" s="17" t="str">
        <f t="shared" si="22"/>
        <v>mch</v>
      </c>
      <c r="D239" s="18" t="s">
        <v>67</v>
      </c>
      <c r="E239" s="19" t="s">
        <v>112</v>
      </c>
      <c r="F239" s="17" t="s">
        <v>113</v>
      </c>
      <c r="G239" s="20" t="str">
        <f>Settings!$B$3&amp;".mit.enc."&amp;$B239</f>
        <v>egy.mit.enc.ker</v>
      </c>
      <c r="H239" s="21" t="str">
        <f>OUTCODE(Settings!$B$3,"ener",$C$185,$B239,$J$185)</f>
        <v>egy.mit.ener.mch.ker.e.1</v>
      </c>
      <c r="L239" s="28">
        <f>INDEX(Data_Energy!$D$3:$U$22,MATCH($B239,Data_Energy!$C$3:$C$22,0),MATCH($C239,Data_Energy!$D$2:$U$2,0))</f>
        <v>0</v>
      </c>
      <c r="M239" s="29">
        <f>FUELUSE(L239,L202,M202,L212,M212,M$219,M$220,M$221,$E229,$F229,$G229,$H229,$I229)</f>
        <v>0</v>
      </c>
      <c r="N239" s="29">
        <f>FUELUSE(M239,M202,N202,M212,N212,N$219,N$220,N$221,$E229,$F229,$G229,$H229,$I229)</f>
        <v>0</v>
      </c>
      <c r="O239" s="29">
        <f>FUELUSE(N239,N202,O202,N212,O212,O$219,O$220,O$221,$E229,$F229,$G229,$H229,$I229)</f>
        <v>0</v>
      </c>
      <c r="P239" s="29">
        <f>FUELUSE(O239,O202,P202,O212,P212,P$219,P$220,P$221,$E229,$F229,$G229,$H229,$I229)</f>
        <v>0</v>
      </c>
      <c r="Q239" s="29">
        <f>FUELUSE(P239,P202,Q202,P212,Q212,Q$219,Q$220,Q$221,$E229,$F229,$G229,$H229,$I229)</f>
        <v>0</v>
      </c>
      <c r="R239" s="29">
        <f>FUELUSE(Q239,Q202,R202,Q212,R212,R$219,R$220,R$221,$E229,$F229,$G229,$H229,$I229)</f>
        <v>0</v>
      </c>
      <c r="S239" s="29">
        <f>FUELUSE(R239,R202,S202,R212,S212,S$219,S$220,S$221,$E229,$F229,$G229,$H229,$I229)</f>
        <v>0</v>
      </c>
      <c r="T239" s="29">
        <f>FUELUSE(S239,S202,T202,S212,T212,T$219,T$220,T$221,$E229,$F229,$G229,$H229,$I229)</f>
        <v>0</v>
      </c>
      <c r="U239" s="29">
        <f>FUELUSE(T239,T202,U202,T212,U212,U$219,U$220,U$221,$E229,$F229,$G229,$H229,$I229)</f>
        <v>0</v>
      </c>
      <c r="V239" s="29">
        <f>FUELUSE(U239,U202,V202,U212,V212,V$219,V$220,V$221,$E229,$F229,$G229,$H229,$I229)</f>
        <v>0</v>
      </c>
      <c r="W239" s="29">
        <f>FUELUSE(V239,V202,W202,V212,W212,W$219,W$220,W$221,$E229,$F229,$G229,$H229,$I229)</f>
        <v>0</v>
      </c>
      <c r="X239" s="29">
        <f>FUELUSE(W239,W202,X202,W212,X212,X$219,X$220,X$221,$E229,$F229,$G229,$H229,$I229)</f>
        <v>0</v>
      </c>
      <c r="Y239" s="29">
        <f>FUELUSE(X239,X202,Y202,X212,Y212,Y$219,Y$220,Y$221,$E229,$F229,$G229,$H229,$I229)</f>
        <v>0</v>
      </c>
      <c r="Z239" s="29">
        <f>FUELUSE(Y239,Y202,Z202,Y212,Z212,Z$219,Z$220,Z$221,$E229,$F229,$G229,$H229,$I229)</f>
        <v>0</v>
      </c>
      <c r="AA239" s="29">
        <f>FUELUSE(Z239,Z202,AA202,Z212,AA212,AA$219,AA$220,AA$221,$E229,$F229,$G229,$H229,$I229)</f>
        <v>0</v>
      </c>
      <c r="AB239" s="29">
        <f>FUELUSE(AA239,AA202,AB202,AA212,AB212,AB$219,AB$220,AB$221,$E229,$F229,$G229,$H229,$I229)</f>
        <v>0</v>
      </c>
      <c r="AC239" s="29">
        <f>FUELUSE(AB239,AB202,AC202,AB212,AC212,AC$219,AC$220,AC$221,$E229,$F229,$G229,$H229,$I229)</f>
        <v>0</v>
      </c>
      <c r="AD239" s="29">
        <f>FUELUSE(AC239,AC202,AD202,AC212,AD212,AD$219,AD$220,AD$221,$E229,$F229,$G229,$H229,$I229)</f>
        <v>0</v>
      </c>
      <c r="AE239" s="29">
        <f>FUELUSE(AD239,AD202,AE202,AD212,AE212,AE$219,AE$220,AE$221,$E229,$F229,$G229,$H229,$I229)</f>
        <v>0</v>
      </c>
    </row>
    <row r="240" spans="2:31" x14ac:dyDescent="0.25">
      <c r="B240" s="17" t="s">
        <v>68</v>
      </c>
      <c r="C240" s="17" t="str">
        <f t="shared" si="22"/>
        <v>mch</v>
      </c>
      <c r="D240" s="18" t="s">
        <v>69</v>
      </c>
      <c r="E240" s="19" t="s">
        <v>112</v>
      </c>
      <c r="F240" s="17" t="s">
        <v>113</v>
      </c>
      <c r="G240" s="20" t="str">
        <f>Settings!$B$3&amp;".mit.enc."&amp;$B240</f>
        <v>egy.mit.enc.oop</v>
      </c>
      <c r="H240" s="21" t="str">
        <f>OUTCODE(Settings!$B$3,"ener",$C$185,$B240,$J$185)</f>
        <v>egy.mit.ener.mch.oop.e.1</v>
      </c>
      <c r="L240" s="28">
        <f>INDEX(Data_Energy!$D$3:$U$22,MATCH($B240,Data_Energy!$C$3:$C$22,0),MATCH($C240,Data_Energy!$D$2:$U$2,0))</f>
        <v>0</v>
      </c>
      <c r="M240" s="29">
        <f>FUELUSE(L240,L203,M203,L213,M213,M$219,M$220,M$221,$E230,$F230,$G230,$H230,$I230)</f>
        <v>0</v>
      </c>
      <c r="N240" s="29">
        <f>FUELUSE(M240,M203,N203,M213,N213,N$219,N$220,N$221,$E230,$F230,$G230,$H230,$I230)</f>
        <v>0</v>
      </c>
      <c r="O240" s="29">
        <f>FUELUSE(N240,N203,O203,N213,O213,O$219,O$220,O$221,$E230,$F230,$G230,$H230,$I230)</f>
        <v>0</v>
      </c>
      <c r="P240" s="29">
        <f>FUELUSE(O240,O203,P203,O213,P213,P$219,P$220,P$221,$E230,$F230,$G230,$H230,$I230)</f>
        <v>0</v>
      </c>
      <c r="Q240" s="29">
        <f>FUELUSE(P240,P203,Q203,P213,Q213,Q$219,Q$220,Q$221,$E230,$F230,$G230,$H230,$I230)</f>
        <v>0</v>
      </c>
      <c r="R240" s="29">
        <f>FUELUSE(Q240,Q203,R203,Q213,R213,R$219,R$220,R$221,$E230,$F230,$G230,$H230,$I230)</f>
        <v>0</v>
      </c>
      <c r="S240" s="29">
        <f>FUELUSE(R240,R203,S203,R213,S213,S$219,S$220,S$221,$E230,$F230,$G230,$H230,$I230)</f>
        <v>0</v>
      </c>
      <c r="T240" s="29">
        <f>FUELUSE(S240,S203,T203,S213,T213,T$219,T$220,T$221,$E230,$F230,$G230,$H230,$I230)</f>
        <v>0</v>
      </c>
      <c r="U240" s="29">
        <f>FUELUSE(T240,T203,U203,T213,U213,U$219,U$220,U$221,$E230,$F230,$G230,$H230,$I230)</f>
        <v>0</v>
      </c>
      <c r="V240" s="29">
        <f>FUELUSE(U240,U203,V203,U213,V213,V$219,V$220,V$221,$E230,$F230,$G230,$H230,$I230)</f>
        <v>0</v>
      </c>
      <c r="W240" s="29">
        <f>FUELUSE(V240,V203,W203,V213,W213,W$219,W$220,W$221,$E230,$F230,$G230,$H230,$I230)</f>
        <v>0</v>
      </c>
      <c r="X240" s="29">
        <f>FUELUSE(W240,W203,X203,W213,X213,X$219,X$220,X$221,$E230,$F230,$G230,$H230,$I230)</f>
        <v>0</v>
      </c>
      <c r="Y240" s="29">
        <f>FUELUSE(X240,X203,Y203,X213,Y213,Y$219,Y$220,Y$221,$E230,$F230,$G230,$H230,$I230)</f>
        <v>0</v>
      </c>
      <c r="Z240" s="29">
        <f>FUELUSE(Y240,Y203,Z203,Y213,Z213,Z$219,Z$220,Z$221,$E230,$F230,$G230,$H230,$I230)</f>
        <v>0</v>
      </c>
      <c r="AA240" s="29">
        <f>FUELUSE(Z240,Z203,AA203,Z213,AA213,AA$219,AA$220,AA$221,$E230,$F230,$G230,$H230,$I230)</f>
        <v>0</v>
      </c>
      <c r="AB240" s="29">
        <f>FUELUSE(AA240,AA203,AB203,AA213,AB213,AB$219,AB$220,AB$221,$E230,$F230,$G230,$H230,$I230)</f>
        <v>0</v>
      </c>
      <c r="AC240" s="29">
        <f>FUELUSE(AB240,AB203,AC203,AB213,AC213,AC$219,AC$220,AC$221,$E230,$F230,$G230,$H230,$I230)</f>
        <v>0</v>
      </c>
      <c r="AD240" s="29">
        <f>FUELUSE(AC240,AC203,AD203,AC213,AD213,AD$219,AD$220,AD$221,$E230,$F230,$G230,$H230,$I230)</f>
        <v>0</v>
      </c>
      <c r="AE240" s="29">
        <f>FUELUSE(AD240,AD203,AE203,AD213,AE213,AE$219,AE$220,AE$221,$E230,$F230,$G230,$H230,$I230)</f>
        <v>0</v>
      </c>
    </row>
    <row r="241" spans="1:35" x14ac:dyDescent="0.25">
      <c r="B241" s="17" t="s">
        <v>71</v>
      </c>
      <c r="C241" s="17" t="str">
        <f t="shared" si="22"/>
        <v>mch</v>
      </c>
      <c r="D241" s="18" t="s">
        <v>72</v>
      </c>
      <c r="E241" s="19" t="s">
        <v>112</v>
      </c>
      <c r="F241" s="17" t="s">
        <v>113</v>
      </c>
      <c r="G241" s="20" t="str">
        <f>Settings!$B$3&amp;".mit.enc."&amp;$B241</f>
        <v>egy.mit.enc.bio</v>
      </c>
      <c r="H241" s="21" t="str">
        <f>OUTCODE(Settings!$B$3,"ener",$C$185,$B241,$J$185)</f>
        <v>egy.mit.ener.mch.bio.e.1</v>
      </c>
      <c r="L241" s="28">
        <f>INDEX(Data_Energy!$D$3:$U$22,MATCH($B241,Data_Energy!$C$3:$C$22,0),MATCH($C241,Data_Energy!$D$2:$U$2,0))</f>
        <v>0</v>
      </c>
      <c r="M241" s="29">
        <f>FUELUSE(L241,L204,M204,L214,M214,M$219,M$220,M$221,$E231,$F231,$G231,$H231,$I231)</f>
        <v>0</v>
      </c>
      <c r="N241" s="29">
        <f>FUELUSE(M241,M204,N204,M214,N214,N$219,N$220,N$221,$E231,$F231,$G231,$H231,$I231)</f>
        <v>0</v>
      </c>
      <c r="O241" s="29">
        <f>FUELUSE(N241,N204,O204,N214,O214,O$219,O$220,O$221,$E231,$F231,$G231,$H231,$I231)</f>
        <v>0</v>
      </c>
      <c r="P241" s="29">
        <f>FUELUSE(O241,O204,P204,O214,P214,P$219,P$220,P$221,$E231,$F231,$G231,$H231,$I231)</f>
        <v>0</v>
      </c>
      <c r="Q241" s="29">
        <f>FUELUSE(P241,P204,Q204,P214,Q214,Q$219,Q$220,Q$221,$E231,$F231,$G231,$H231,$I231)</f>
        <v>0</v>
      </c>
      <c r="R241" s="29">
        <f>FUELUSE(Q241,Q204,R204,Q214,R214,R$219,R$220,R$221,$E231,$F231,$G231,$H231,$I231)</f>
        <v>0</v>
      </c>
      <c r="S241" s="29">
        <f>FUELUSE(R241,R204,S204,R214,S214,S$219,S$220,S$221,$E231,$F231,$G231,$H231,$I231)</f>
        <v>0</v>
      </c>
      <c r="T241" s="29">
        <f>FUELUSE(S241,S204,T204,S214,T214,T$219,T$220,T$221,$E231,$F231,$G231,$H231,$I231)</f>
        <v>0</v>
      </c>
      <c r="U241" s="29">
        <f>FUELUSE(T241,T204,U204,T214,U214,U$219,U$220,U$221,$E231,$F231,$G231,$H231,$I231)</f>
        <v>0</v>
      </c>
      <c r="V241" s="29">
        <f>FUELUSE(U241,U204,V204,U214,V214,V$219,V$220,V$221,$E231,$F231,$G231,$H231,$I231)</f>
        <v>0</v>
      </c>
      <c r="W241" s="29">
        <f>FUELUSE(V241,V204,W204,V214,W214,W$219,W$220,W$221,$E231,$F231,$G231,$H231,$I231)</f>
        <v>0</v>
      </c>
      <c r="X241" s="29">
        <f>FUELUSE(W241,W204,X204,W214,X214,X$219,X$220,X$221,$E231,$F231,$G231,$H231,$I231)</f>
        <v>0</v>
      </c>
      <c r="Y241" s="29">
        <f>FUELUSE(X241,X204,Y204,X214,Y214,Y$219,Y$220,Y$221,$E231,$F231,$G231,$H231,$I231)</f>
        <v>0</v>
      </c>
      <c r="Z241" s="29">
        <f>FUELUSE(Y241,Y204,Z204,Y214,Z214,Z$219,Z$220,Z$221,$E231,$F231,$G231,$H231,$I231)</f>
        <v>0</v>
      </c>
      <c r="AA241" s="29">
        <f>FUELUSE(Z241,Z204,AA204,Z214,AA214,AA$219,AA$220,AA$221,$E231,$F231,$G231,$H231,$I231)</f>
        <v>0</v>
      </c>
      <c r="AB241" s="29">
        <f>FUELUSE(AA241,AA204,AB204,AA214,AB214,AB$219,AB$220,AB$221,$E231,$F231,$G231,$H231,$I231)</f>
        <v>0</v>
      </c>
      <c r="AC241" s="29">
        <f>FUELUSE(AB241,AB204,AC204,AB214,AC214,AC$219,AC$220,AC$221,$E231,$F231,$G231,$H231,$I231)</f>
        <v>0</v>
      </c>
      <c r="AD241" s="29">
        <f>FUELUSE(AC241,AC204,AD204,AC214,AD214,AD$219,AD$220,AD$221,$E231,$F231,$G231,$H231,$I231)</f>
        <v>0</v>
      </c>
      <c r="AE241" s="29">
        <f>FUELUSE(AD241,AD204,AE204,AD214,AE214,AE$219,AE$220,AE$221,$E231,$F231,$G231,$H231,$I231)</f>
        <v>0</v>
      </c>
    </row>
    <row r="242" spans="1:35" x14ac:dyDescent="0.25">
      <c r="B242" s="17" t="s">
        <v>73</v>
      </c>
      <c r="C242" s="17" t="str">
        <f t="shared" si="22"/>
        <v>mch</v>
      </c>
      <c r="D242" s="18" t="s">
        <v>74</v>
      </c>
      <c r="E242" s="19" t="s">
        <v>112</v>
      </c>
      <c r="F242" s="17" t="s">
        <v>113</v>
      </c>
      <c r="G242" s="20" t="str">
        <f>Settings!$B$3&amp;".mit.enc."&amp;$B242</f>
        <v>egy.mit.enc.ren</v>
      </c>
      <c r="H242" s="21" t="str">
        <f>OUTCODE(Settings!$B$3,"ener",$C$185,$B242,$J$185)</f>
        <v>egy.mit.ener.mch.ren.e.1</v>
      </c>
      <c r="L242" s="28">
        <f>INDEX(Data_Energy!$D$3:$U$22,MATCH($B242,Data_Energy!$C$3:$C$22,0),MATCH($C242,Data_Energy!$D$2:$U$2,0))</f>
        <v>0</v>
      </c>
      <c r="M242" s="29">
        <f>FUELUSE(L242,L205,M205,L215,M215,M$219,M$220,M$221,$E232,$F232,$G232,$H232,$I232)</f>
        <v>0</v>
      </c>
      <c r="N242" s="29">
        <f>FUELUSE(M242,M205,N205,M215,N215,N$219,N$220,N$221,$E232,$F232,$G232,$H232,$I232)</f>
        <v>0</v>
      </c>
      <c r="O242" s="29">
        <f>FUELUSE(N242,N205,O205,N215,O215,O$219,O$220,O$221,$E232,$F232,$G232,$H232,$I232)</f>
        <v>0</v>
      </c>
      <c r="P242" s="29">
        <f>FUELUSE(O242,O205,P205,O215,P215,P$219,P$220,P$221,$E232,$F232,$G232,$H232,$I232)</f>
        <v>0</v>
      </c>
      <c r="Q242" s="29">
        <f>FUELUSE(P242,P205,Q205,P215,Q215,Q$219,Q$220,Q$221,$E232,$F232,$G232,$H232,$I232)</f>
        <v>0</v>
      </c>
      <c r="R242" s="29">
        <f>FUELUSE(Q242,Q205,R205,Q215,R215,R$219,R$220,R$221,$E232,$F232,$G232,$H232,$I232)</f>
        <v>0</v>
      </c>
      <c r="S242" s="29">
        <f>FUELUSE(R242,R205,S205,R215,S215,S$219,S$220,S$221,$E232,$F232,$G232,$H232,$I232)</f>
        <v>0</v>
      </c>
      <c r="T242" s="29">
        <f>FUELUSE(S242,S205,T205,S215,T215,T$219,T$220,T$221,$E232,$F232,$G232,$H232,$I232)</f>
        <v>0</v>
      </c>
      <c r="U242" s="29">
        <f>FUELUSE(T242,T205,U205,T215,U215,U$219,U$220,U$221,$E232,$F232,$G232,$H232,$I232)</f>
        <v>0</v>
      </c>
      <c r="V242" s="29">
        <f>FUELUSE(U242,U205,V205,U215,V215,V$219,V$220,V$221,$E232,$F232,$G232,$H232,$I232)</f>
        <v>0</v>
      </c>
      <c r="W242" s="29">
        <f>FUELUSE(V242,V205,W205,V215,W215,W$219,W$220,W$221,$E232,$F232,$G232,$H232,$I232)</f>
        <v>0</v>
      </c>
      <c r="X242" s="29">
        <f>FUELUSE(W242,W205,X205,W215,X215,X$219,X$220,X$221,$E232,$F232,$G232,$H232,$I232)</f>
        <v>0</v>
      </c>
      <c r="Y242" s="29">
        <f>FUELUSE(X242,X205,Y205,X215,Y215,Y$219,Y$220,Y$221,$E232,$F232,$G232,$H232,$I232)</f>
        <v>0</v>
      </c>
      <c r="Z242" s="29">
        <f>FUELUSE(Y242,Y205,Z205,Y215,Z215,Z$219,Z$220,Z$221,$E232,$F232,$G232,$H232,$I232)</f>
        <v>0</v>
      </c>
      <c r="AA242" s="29">
        <f>FUELUSE(Z242,Z205,AA205,Z215,AA215,AA$219,AA$220,AA$221,$E232,$F232,$G232,$H232,$I232)</f>
        <v>0</v>
      </c>
      <c r="AB242" s="29">
        <f>FUELUSE(AA242,AA205,AB205,AA215,AB215,AB$219,AB$220,AB$221,$E232,$F232,$G232,$H232,$I232)</f>
        <v>0</v>
      </c>
      <c r="AC242" s="29">
        <f>FUELUSE(AB242,AB205,AC205,AB215,AC215,AC$219,AC$220,AC$221,$E232,$F232,$G232,$H232,$I232)</f>
        <v>0</v>
      </c>
      <c r="AD242" s="29">
        <f>FUELUSE(AC242,AC205,AD205,AC215,AD215,AD$219,AD$220,AD$221,$E232,$F232,$G232,$H232,$I232)</f>
        <v>0</v>
      </c>
      <c r="AE242" s="29">
        <f>FUELUSE(AD242,AD205,AE205,AD215,AE215,AE$219,AE$220,AE$221,$E232,$F232,$G232,$H232,$I232)</f>
        <v>0</v>
      </c>
    </row>
    <row r="243" spans="1:35" x14ac:dyDescent="0.25">
      <c r="B243" s="17" t="s">
        <v>114</v>
      </c>
      <c r="C243" s="17" t="str">
        <f t="shared" si="22"/>
        <v>mch</v>
      </c>
      <c r="D243" s="30" t="s">
        <v>115</v>
      </c>
      <c r="E243" s="19" t="s">
        <v>112</v>
      </c>
      <c r="F243" s="17" t="s">
        <v>113</v>
      </c>
      <c r="H243" s="21" t="str">
        <f>OUTCODE(Settings!$B$3,"ener",$C$185,"tot",$J$185)</f>
        <v>egy.mit.ener.mch.tot.e.1</v>
      </c>
      <c r="L243" s="31">
        <f t="shared" ref="L243:AE243" si="23">SUM(L234:L242)</f>
        <v>0</v>
      </c>
      <c r="M243" s="31">
        <f t="shared" si="23"/>
        <v>0</v>
      </c>
      <c r="N243" s="31">
        <f t="shared" si="23"/>
        <v>0</v>
      </c>
      <c r="O243" s="31">
        <f t="shared" si="23"/>
        <v>0</v>
      </c>
      <c r="P243" s="31">
        <f t="shared" si="23"/>
        <v>0</v>
      </c>
      <c r="Q243" s="31">
        <f t="shared" si="23"/>
        <v>0</v>
      </c>
      <c r="R243" s="31">
        <f t="shared" si="23"/>
        <v>0</v>
      </c>
      <c r="S243" s="31">
        <f t="shared" si="23"/>
        <v>0</v>
      </c>
      <c r="T243" s="31">
        <f t="shared" si="23"/>
        <v>0</v>
      </c>
      <c r="U243" s="31">
        <f t="shared" si="23"/>
        <v>0</v>
      </c>
      <c r="V243" s="31">
        <f t="shared" si="23"/>
        <v>0</v>
      </c>
      <c r="W243" s="31">
        <f t="shared" si="23"/>
        <v>0</v>
      </c>
      <c r="X243" s="31">
        <f t="shared" si="23"/>
        <v>0</v>
      </c>
      <c r="Y243" s="31">
        <f t="shared" si="23"/>
        <v>0</v>
      </c>
      <c r="Z243" s="31">
        <f t="shared" si="23"/>
        <v>0</v>
      </c>
      <c r="AA243" s="31">
        <f t="shared" si="23"/>
        <v>0</v>
      </c>
      <c r="AB243" s="31">
        <f t="shared" si="23"/>
        <v>0</v>
      </c>
      <c r="AC243" s="31">
        <f t="shared" si="23"/>
        <v>0</v>
      </c>
      <c r="AD243" s="31">
        <f t="shared" si="23"/>
        <v>0</v>
      </c>
      <c r="AE243" s="31">
        <f t="shared" si="23"/>
        <v>0</v>
      </c>
    </row>
    <row r="245" spans="1:35" ht="18" customHeight="1" x14ac:dyDescent="0.25">
      <c r="A245" s="9">
        <v>7</v>
      </c>
      <c r="B245" s="10" t="s">
        <v>122</v>
      </c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</row>
    <row r="247" spans="1:35" x14ac:dyDescent="0.25">
      <c r="A247" s="12"/>
      <c r="B247" s="7" t="s">
        <v>46</v>
      </c>
      <c r="C247" s="8" t="s">
        <v>47</v>
      </c>
      <c r="D247" s="7" t="s">
        <v>48</v>
      </c>
      <c r="E247" s="8" t="s">
        <v>39</v>
      </c>
      <c r="F247" s="8" t="s">
        <v>49</v>
      </c>
      <c r="G247" s="8" t="s">
        <v>50</v>
      </c>
      <c r="H247" s="13" t="s">
        <v>42</v>
      </c>
      <c r="I247" s="7" t="s">
        <v>51</v>
      </c>
      <c r="J247" s="14">
        <v>2</v>
      </c>
      <c r="K247" s="7">
        <v>2021</v>
      </c>
      <c r="L247" s="15">
        <v>2022</v>
      </c>
      <c r="M247" s="7">
        <v>2023</v>
      </c>
      <c r="N247" s="7">
        <v>2024</v>
      </c>
      <c r="O247" s="7">
        <v>2025</v>
      </c>
      <c r="P247" s="7">
        <v>2026</v>
      </c>
      <c r="Q247" s="7">
        <v>2027</v>
      </c>
      <c r="R247" s="7">
        <v>2028</v>
      </c>
      <c r="S247" s="7">
        <v>2029</v>
      </c>
      <c r="T247" s="7">
        <v>2030</v>
      </c>
      <c r="U247" s="7">
        <v>2031</v>
      </c>
      <c r="V247" s="7">
        <v>2032</v>
      </c>
      <c r="W247" s="7">
        <v>2033</v>
      </c>
      <c r="X247" s="7">
        <v>2034</v>
      </c>
      <c r="Y247" s="7">
        <v>2035</v>
      </c>
      <c r="Z247" s="7">
        <v>2036</v>
      </c>
      <c r="AA247" s="7">
        <v>2037</v>
      </c>
      <c r="AB247" s="7">
        <v>2038</v>
      </c>
      <c r="AC247" s="7">
        <v>2039</v>
      </c>
      <c r="AD247" s="7">
        <v>2040</v>
      </c>
      <c r="AE247" s="7">
        <v>2041</v>
      </c>
      <c r="AF247" s="7">
        <v>2042</v>
      </c>
      <c r="AG247" s="7">
        <v>2043</v>
      </c>
      <c r="AH247" s="7">
        <v>2044</v>
      </c>
      <c r="AI247" s="7">
        <v>2045</v>
      </c>
    </row>
    <row r="248" spans="1:35" x14ac:dyDescent="0.25">
      <c r="B248" s="16" t="s">
        <v>52</v>
      </c>
    </row>
    <row r="249" spans="1:35" x14ac:dyDescent="0.25">
      <c r="B249" s="17" t="s">
        <v>53</v>
      </c>
      <c r="C249" s="17" t="str">
        <f t="shared" ref="C249:C257" si="24">$C$247</f>
        <v>irn</v>
      </c>
      <c r="D249" s="18" t="s">
        <v>54</v>
      </c>
      <c r="E249" s="19" t="s">
        <v>55</v>
      </c>
      <c r="F249" s="17" t="s">
        <v>56</v>
      </c>
      <c r="G249" s="20" t="str">
        <f>Settings!$B$3&amp;".mit.pbc."&amp;Settings!$B$4&amp;"."&amp;$B249&amp;".a."&amp;$J$247</f>
        <v>egy.mit.pbc.ind.coa.a.2</v>
      </c>
      <c r="H249" s="21" t="str">
        <f>OUTCODE(Settings!$B$3,"ptp",$C$247,$B249,$J$247)</f>
        <v>egy.mit.ptp.irn.coa.e.2</v>
      </c>
      <c r="K249" s="22">
        <f>INDEX(Data_Prices!K:K,MATCH($G249,Data_Prices!$A:$A,0))</f>
        <v>11.18290158924394</v>
      </c>
      <c r="L249" s="22">
        <f>INDEX(Data_Prices!L:L,MATCH($G249,Data_Prices!$A:$A,0))</f>
        <v>10.52336134543121</v>
      </c>
      <c r="M249" s="22">
        <f>INDEX(Data_Prices!M:M,MATCH($G249,Data_Prices!$A:$A,0))</f>
        <v>10.299560827444211</v>
      </c>
      <c r="N249" s="22">
        <f>INDEX(Data_Prices!N:N,MATCH($G249,Data_Prices!$A:$A,0))</f>
        <v>9.5775283595382632</v>
      </c>
      <c r="O249" s="22">
        <f>INDEX(Data_Prices!O:O,MATCH($G249,Data_Prices!$A:$A,0))</f>
        <v>8.4854782869580454</v>
      </c>
      <c r="P249" s="22">
        <f>INDEX(Data_Prices!P:P,MATCH($G249,Data_Prices!$A:$A,0))</f>
        <v>9.0871922352498604</v>
      </c>
      <c r="Q249" s="22">
        <f>INDEX(Data_Prices!Q:Q,MATCH($G249,Data_Prices!$A:$A,0))</f>
        <v>9.2229237289326811</v>
      </c>
      <c r="R249" s="22">
        <f>INDEX(Data_Prices!R:R,MATCH($G249,Data_Prices!$A:$A,0))</f>
        <v>9.1585649555096875</v>
      </c>
      <c r="S249" s="22">
        <f>INDEX(Data_Prices!S:S,MATCH($G249,Data_Prices!$A:$A,0))</f>
        <v>9.0895478773973775</v>
      </c>
      <c r="T249" s="22">
        <f>INDEX(Data_Prices!T:T,MATCH($G249,Data_Prices!$A:$A,0))</f>
        <v>9.0156816660228305</v>
      </c>
      <c r="U249" s="22">
        <f>INDEX(Data_Prices!U:U,MATCH($G249,Data_Prices!$A:$A,0))</f>
        <v>8.9443977655571061</v>
      </c>
      <c r="V249" s="22">
        <f>INDEX(Data_Prices!V:V,MATCH($G249,Data_Prices!$A:$A,0))</f>
        <v>8.9443977655571061</v>
      </c>
      <c r="W249" s="22">
        <f>INDEX(Data_Prices!W:W,MATCH($G249,Data_Prices!$A:$A,0))</f>
        <v>8.9443977655571061</v>
      </c>
      <c r="X249" s="22">
        <f>INDEX(Data_Prices!X:X,MATCH($G249,Data_Prices!$A:$A,0))</f>
        <v>8.9443977655571061</v>
      </c>
      <c r="Y249" s="22">
        <f>INDEX(Data_Prices!Y:Y,MATCH($G249,Data_Prices!$A:$A,0))</f>
        <v>8.9443977655571061</v>
      </c>
      <c r="Z249" s="22">
        <f>INDEX(Data_Prices!Z:Z,MATCH($G249,Data_Prices!$A:$A,0))</f>
        <v>8.9443977655571061</v>
      </c>
      <c r="AA249" s="22">
        <f>INDEX(Data_Prices!AA:AA,MATCH($G249,Data_Prices!$A:$A,0))</f>
        <v>8.9443977655571061</v>
      </c>
      <c r="AB249" s="22">
        <f>INDEX(Data_Prices!AB:AB,MATCH($G249,Data_Prices!$A:$A,0))</f>
        <v>8.9443977655571061</v>
      </c>
      <c r="AC249" s="22">
        <f>INDEX(Data_Prices!AC:AC,MATCH($G249,Data_Prices!$A:$A,0))</f>
        <v>8.9443977655571061</v>
      </c>
      <c r="AD249" s="22">
        <f>INDEX(Data_Prices!AD:AD,MATCH($G249,Data_Prices!$A:$A,0))</f>
        <v>8.9443977655571061</v>
      </c>
      <c r="AE249" s="22">
        <f>INDEX(Data_Prices!AE:AE,MATCH($G249,Data_Prices!$A:$A,0))</f>
        <v>8.9443977655571061</v>
      </c>
    </row>
    <row r="250" spans="1:35" x14ac:dyDescent="0.25">
      <c r="B250" s="17" t="s">
        <v>57</v>
      </c>
      <c r="C250" s="17" t="str">
        <f t="shared" si="24"/>
        <v>irn</v>
      </c>
      <c r="D250" s="18" t="s">
        <v>58</v>
      </c>
      <c r="E250" s="19" t="s">
        <v>55</v>
      </c>
      <c r="F250" s="17" t="s">
        <v>56</v>
      </c>
      <c r="G250" s="20" t="str">
        <f>Settings!$B$3&amp;".mit.pbc."&amp;Settings!$B$4&amp;"."&amp;$B250&amp;".a."&amp;$J$247</f>
        <v>egy.mit.pbc.ind.nga.a.2</v>
      </c>
      <c r="H250" s="21" t="str">
        <f>OUTCODE(Settings!$B$3,"ptp",$C$247,$B250,$J$247)</f>
        <v>egy.mit.ptp.irn.nga.e.2</v>
      </c>
      <c r="K250" s="22">
        <f>INDEX(Data_Prices!K:K,MATCH($G250,Data_Prices!$A:$A,0))</f>
        <v>6.0634636156729131</v>
      </c>
      <c r="L250" s="22">
        <f>INDEX(Data_Prices!L:L,MATCH($G250,Data_Prices!$A:$A,0))</f>
        <v>5.4510150816191896</v>
      </c>
      <c r="M250" s="22">
        <f>INDEX(Data_Prices!M:M,MATCH($G250,Data_Prices!$A:$A,0))</f>
        <v>5.1193563062624818</v>
      </c>
      <c r="N250" s="22">
        <f>INDEX(Data_Prices!N:N,MATCH($G250,Data_Prices!$A:$A,0))</f>
        <v>5.0821845864040727</v>
      </c>
      <c r="O250" s="22">
        <f>INDEX(Data_Prices!O:O,MATCH($G250,Data_Prices!$A:$A,0))</f>
        <v>5.0821845864040727</v>
      </c>
      <c r="P250" s="22">
        <f>INDEX(Data_Prices!P:P,MATCH($G250,Data_Prices!$A:$A,0))</f>
        <v>5.0821845864040727</v>
      </c>
      <c r="Q250" s="22">
        <f>INDEX(Data_Prices!Q:Q,MATCH($G250,Data_Prices!$A:$A,0))</f>
        <v>5.0821845864040727</v>
      </c>
      <c r="R250" s="22">
        <f>INDEX(Data_Prices!R:R,MATCH($G250,Data_Prices!$A:$A,0))</f>
        <v>5.0821845864040727</v>
      </c>
      <c r="S250" s="22">
        <f>INDEX(Data_Prices!S:S,MATCH($G250,Data_Prices!$A:$A,0))</f>
        <v>5.0821845864040736</v>
      </c>
      <c r="T250" s="22">
        <f>INDEX(Data_Prices!T:T,MATCH($G250,Data_Prices!$A:$A,0))</f>
        <v>5.0821845864040736</v>
      </c>
      <c r="U250" s="22">
        <f>INDEX(Data_Prices!U:U,MATCH($G250,Data_Prices!$A:$A,0))</f>
        <v>5.0821845864040727</v>
      </c>
      <c r="V250" s="22">
        <f>INDEX(Data_Prices!V:V,MATCH($G250,Data_Prices!$A:$A,0))</f>
        <v>5.0821845864040727</v>
      </c>
      <c r="W250" s="22">
        <f>INDEX(Data_Prices!W:W,MATCH($G250,Data_Prices!$A:$A,0))</f>
        <v>5.0821845864040727</v>
      </c>
      <c r="X250" s="22">
        <f>INDEX(Data_Prices!X:X,MATCH($G250,Data_Prices!$A:$A,0))</f>
        <v>5.0821845864040727</v>
      </c>
      <c r="Y250" s="22">
        <f>INDEX(Data_Prices!Y:Y,MATCH($G250,Data_Prices!$A:$A,0))</f>
        <v>5.0821845864040718</v>
      </c>
      <c r="Z250" s="22">
        <f>INDEX(Data_Prices!Z:Z,MATCH($G250,Data_Prices!$A:$A,0))</f>
        <v>5.0821845864040736</v>
      </c>
      <c r="AA250" s="22">
        <f>INDEX(Data_Prices!AA:AA,MATCH($G250,Data_Prices!$A:$A,0))</f>
        <v>5.0821845864040718</v>
      </c>
      <c r="AB250" s="22">
        <f>INDEX(Data_Prices!AB:AB,MATCH($G250,Data_Prices!$A:$A,0))</f>
        <v>5.0821845864040736</v>
      </c>
      <c r="AC250" s="22">
        <f>INDEX(Data_Prices!AC:AC,MATCH($G250,Data_Prices!$A:$A,0))</f>
        <v>5.0821845864040718</v>
      </c>
      <c r="AD250" s="22">
        <f>INDEX(Data_Prices!AD:AD,MATCH($G250,Data_Prices!$A:$A,0))</f>
        <v>5.0821845864040736</v>
      </c>
      <c r="AE250" s="22">
        <f>INDEX(Data_Prices!AE:AE,MATCH($G250,Data_Prices!$A:$A,0))</f>
        <v>5.0821845864040718</v>
      </c>
    </row>
    <row r="251" spans="1:35" x14ac:dyDescent="0.25">
      <c r="B251" s="17" t="s">
        <v>59</v>
      </c>
      <c r="C251" s="17" t="str">
        <f t="shared" si="24"/>
        <v>irn</v>
      </c>
      <c r="D251" s="18" t="s">
        <v>60</v>
      </c>
      <c r="E251" s="19" t="s">
        <v>61</v>
      </c>
      <c r="F251" s="17" t="s">
        <v>56</v>
      </c>
      <c r="G251" s="20" t="str">
        <f>Settings!$B$3&amp;".mit.pbc."&amp;Settings!$B$4&amp;"."&amp;$B251&amp;".a."&amp;$J$247</f>
        <v>egy.mit.pbc.ind.gso.a.2</v>
      </c>
      <c r="H251" s="21" t="str">
        <f>OUTCODE(Settings!$B$3,"ptp",$C$247,$B251,$J$247)</f>
        <v>egy.mit.ptp.irn.gso.e.2</v>
      </c>
      <c r="K251" s="22">
        <f>INDEX(Data_Prices!K:K,MATCH($G251,Data_Prices!$A:$A,0))</f>
        <v>0.67114653332181606</v>
      </c>
      <c r="L251" s="22">
        <f>INDEX(Data_Prices!L:L,MATCH($G251,Data_Prices!$A:$A,0))</f>
        <v>0.61197797679140631</v>
      </c>
      <c r="M251" s="22">
        <f>INDEX(Data_Prices!M:M,MATCH($G251,Data_Prices!$A:$A,0))</f>
        <v>0.61180974964187596</v>
      </c>
      <c r="N251" s="22">
        <f>INDEX(Data_Prices!N:N,MATCH($G251,Data_Prices!$A:$A,0))</f>
        <v>0.60358310017790551</v>
      </c>
      <c r="O251" s="22">
        <f>INDEX(Data_Prices!O:O,MATCH($G251,Data_Prices!$A:$A,0))</f>
        <v>0.60358310017790551</v>
      </c>
      <c r="P251" s="22">
        <f>INDEX(Data_Prices!P:P,MATCH($G251,Data_Prices!$A:$A,0))</f>
        <v>0.60358310017790551</v>
      </c>
      <c r="Q251" s="22">
        <f>INDEX(Data_Prices!Q:Q,MATCH($G251,Data_Prices!$A:$A,0))</f>
        <v>0.60358310017790551</v>
      </c>
      <c r="R251" s="22">
        <f>INDEX(Data_Prices!R:R,MATCH($G251,Data_Prices!$A:$A,0))</f>
        <v>0.60358310017790551</v>
      </c>
      <c r="S251" s="22">
        <f>INDEX(Data_Prices!S:S,MATCH($G251,Data_Prices!$A:$A,0))</f>
        <v>0.60358310017790551</v>
      </c>
      <c r="T251" s="22">
        <f>INDEX(Data_Prices!T:T,MATCH($G251,Data_Prices!$A:$A,0))</f>
        <v>0.60358310017790551</v>
      </c>
      <c r="U251" s="22">
        <f>INDEX(Data_Prices!U:U,MATCH($G251,Data_Prices!$A:$A,0))</f>
        <v>0.60358310017790551</v>
      </c>
      <c r="V251" s="22">
        <f>INDEX(Data_Prices!V:V,MATCH($G251,Data_Prices!$A:$A,0))</f>
        <v>0.60358310017790551</v>
      </c>
      <c r="W251" s="22">
        <f>INDEX(Data_Prices!W:W,MATCH($G251,Data_Prices!$A:$A,0))</f>
        <v>0.60358310017790551</v>
      </c>
      <c r="X251" s="22">
        <f>INDEX(Data_Prices!X:X,MATCH($G251,Data_Prices!$A:$A,0))</f>
        <v>0.60358310017790551</v>
      </c>
      <c r="Y251" s="22">
        <f>INDEX(Data_Prices!Y:Y,MATCH($G251,Data_Prices!$A:$A,0))</f>
        <v>0.60358310017790551</v>
      </c>
      <c r="Z251" s="22">
        <f>INDEX(Data_Prices!Z:Z,MATCH($G251,Data_Prices!$A:$A,0))</f>
        <v>0.60358310017790551</v>
      </c>
      <c r="AA251" s="22">
        <f>INDEX(Data_Prices!AA:AA,MATCH($G251,Data_Prices!$A:$A,0))</f>
        <v>0.60358310017790551</v>
      </c>
      <c r="AB251" s="22">
        <f>INDEX(Data_Prices!AB:AB,MATCH($G251,Data_Prices!$A:$A,0))</f>
        <v>0.60358310017790551</v>
      </c>
      <c r="AC251" s="22">
        <f>INDEX(Data_Prices!AC:AC,MATCH($G251,Data_Prices!$A:$A,0))</f>
        <v>0.60358310017790551</v>
      </c>
      <c r="AD251" s="22">
        <f>INDEX(Data_Prices!AD:AD,MATCH($G251,Data_Prices!$A:$A,0))</f>
        <v>0.60358310017790551</v>
      </c>
      <c r="AE251" s="22">
        <f>INDEX(Data_Prices!AE:AE,MATCH($G251,Data_Prices!$A:$A,0))</f>
        <v>0.60358310017790562</v>
      </c>
    </row>
    <row r="252" spans="1:35" x14ac:dyDescent="0.25">
      <c r="B252" s="17" t="s">
        <v>62</v>
      </c>
      <c r="C252" s="17" t="str">
        <f t="shared" si="24"/>
        <v>irn</v>
      </c>
      <c r="D252" s="18" t="s">
        <v>63</v>
      </c>
      <c r="E252" s="19" t="s">
        <v>61</v>
      </c>
      <c r="F252" s="17" t="s">
        <v>56</v>
      </c>
      <c r="G252" s="20" t="str">
        <f>Settings!$B$3&amp;".mit.pbc."&amp;Settings!$B$4&amp;"."&amp;$B252&amp;".a."&amp;$J$247</f>
        <v>egy.mit.pbc.ind.die.a.2</v>
      </c>
      <c r="H252" s="21" t="str">
        <f>OUTCODE(Settings!$B$3,"ptp",$C$247,$B252,$J$247)</f>
        <v>egy.mit.ptp.irn.die.e.2</v>
      </c>
      <c r="K252" s="22">
        <f>INDEX(Data_Prices!K:K,MATCH($G252,Data_Prices!$A:$A,0))</f>
        <v>0.55971121315568761</v>
      </c>
      <c r="L252" s="22">
        <f>INDEX(Data_Prices!L:L,MATCH($G252,Data_Prices!$A:$A,0))</f>
        <v>0.49458873084106802</v>
      </c>
      <c r="M252" s="22">
        <f>INDEX(Data_Prices!M:M,MATCH($G252,Data_Prices!$A:$A,0))</f>
        <v>0.50778654720250049</v>
      </c>
      <c r="N252" s="22">
        <f>INDEX(Data_Prices!N:N,MATCH($G252,Data_Prices!$A:$A,0))</f>
        <v>0.47043642679561742</v>
      </c>
      <c r="O252" s="22">
        <f>INDEX(Data_Prices!O:O,MATCH($G252,Data_Prices!$A:$A,0))</f>
        <v>0.47043642679561742</v>
      </c>
      <c r="P252" s="22">
        <f>INDEX(Data_Prices!P:P,MATCH($G252,Data_Prices!$A:$A,0))</f>
        <v>0.47043642679561742</v>
      </c>
      <c r="Q252" s="22">
        <f>INDEX(Data_Prices!Q:Q,MATCH($G252,Data_Prices!$A:$A,0))</f>
        <v>0.47043642679561742</v>
      </c>
      <c r="R252" s="22">
        <f>INDEX(Data_Prices!R:R,MATCH($G252,Data_Prices!$A:$A,0))</f>
        <v>0.47043642679561742</v>
      </c>
      <c r="S252" s="22">
        <f>INDEX(Data_Prices!S:S,MATCH($G252,Data_Prices!$A:$A,0))</f>
        <v>0.47043642679561742</v>
      </c>
      <c r="T252" s="22">
        <f>INDEX(Data_Prices!T:T,MATCH($G252,Data_Prices!$A:$A,0))</f>
        <v>0.47043642679561742</v>
      </c>
      <c r="U252" s="22">
        <f>INDEX(Data_Prices!U:U,MATCH($G252,Data_Prices!$A:$A,0))</f>
        <v>0.47043642679561742</v>
      </c>
      <c r="V252" s="22">
        <f>INDEX(Data_Prices!V:V,MATCH($G252,Data_Prices!$A:$A,0))</f>
        <v>0.47043642679561742</v>
      </c>
      <c r="W252" s="22">
        <f>INDEX(Data_Prices!W:W,MATCH($G252,Data_Prices!$A:$A,0))</f>
        <v>0.47043642679561742</v>
      </c>
      <c r="X252" s="22">
        <f>INDEX(Data_Prices!X:X,MATCH($G252,Data_Prices!$A:$A,0))</f>
        <v>0.47043642679561742</v>
      </c>
      <c r="Y252" s="22">
        <f>INDEX(Data_Prices!Y:Y,MATCH($G252,Data_Prices!$A:$A,0))</f>
        <v>0.47043642679561731</v>
      </c>
      <c r="Z252" s="22">
        <f>INDEX(Data_Prices!Z:Z,MATCH($G252,Data_Prices!$A:$A,0))</f>
        <v>0.47043642679561731</v>
      </c>
      <c r="AA252" s="22">
        <f>INDEX(Data_Prices!AA:AA,MATCH($G252,Data_Prices!$A:$A,0))</f>
        <v>0.47043642679561731</v>
      </c>
      <c r="AB252" s="22">
        <f>INDEX(Data_Prices!AB:AB,MATCH($G252,Data_Prices!$A:$A,0))</f>
        <v>0.47043642679561731</v>
      </c>
      <c r="AC252" s="22">
        <f>INDEX(Data_Prices!AC:AC,MATCH($G252,Data_Prices!$A:$A,0))</f>
        <v>0.47043642679561731</v>
      </c>
      <c r="AD252" s="22">
        <f>INDEX(Data_Prices!AD:AD,MATCH($G252,Data_Prices!$A:$A,0))</f>
        <v>0.47043642679561731</v>
      </c>
      <c r="AE252" s="22">
        <f>INDEX(Data_Prices!AE:AE,MATCH($G252,Data_Prices!$A:$A,0))</f>
        <v>0.47043642679561731</v>
      </c>
    </row>
    <row r="253" spans="1:35" x14ac:dyDescent="0.25">
      <c r="B253" s="17" t="s">
        <v>64</v>
      </c>
      <c r="C253" s="17" t="str">
        <f t="shared" si="24"/>
        <v>irn</v>
      </c>
      <c r="D253" s="18" t="s">
        <v>65</v>
      </c>
      <c r="E253" s="19" t="s">
        <v>61</v>
      </c>
      <c r="F253" s="17" t="s">
        <v>56</v>
      </c>
      <c r="G253" s="20" t="str">
        <f>Settings!$B$3&amp;".mit.pbc."&amp;Settings!$B$4&amp;"."&amp;$B253&amp;".a."&amp;$J$247</f>
        <v>egy.mit.pbc.ind.lpg.a.2</v>
      </c>
      <c r="H253" s="21" t="str">
        <f>OUTCODE(Settings!$B$3,"ptp",$C$247,$B253,$J$247)</f>
        <v>egy.mit.ptp.irn.lpg.e.2</v>
      </c>
      <c r="K253" s="22">
        <f>INDEX(Data_Prices!K:K,MATCH($G253,Data_Prices!$A:$A,0))</f>
        <v>0.20036669112673841</v>
      </c>
      <c r="L253" s="22">
        <f>INDEX(Data_Prices!L:L,MATCH($G253,Data_Prices!$A:$A,0))</f>
        <v>0.1573447362522738</v>
      </c>
      <c r="M253" s="22">
        <f>INDEX(Data_Prices!M:M,MATCH($G253,Data_Prices!$A:$A,0))</f>
        <v>0.1644840377592767</v>
      </c>
      <c r="N253" s="22">
        <f>INDEX(Data_Prices!N:N,MATCH($G253,Data_Prices!$A:$A,0))</f>
        <v>0.1507090778070489</v>
      </c>
      <c r="O253" s="22">
        <f>INDEX(Data_Prices!O:O,MATCH($G253,Data_Prices!$A:$A,0))</f>
        <v>0.1507090778070489</v>
      </c>
      <c r="P253" s="22">
        <f>INDEX(Data_Prices!P:P,MATCH($G253,Data_Prices!$A:$A,0))</f>
        <v>0.1507090778070489</v>
      </c>
      <c r="Q253" s="22">
        <f>INDEX(Data_Prices!Q:Q,MATCH($G253,Data_Prices!$A:$A,0))</f>
        <v>0.1507090778070489</v>
      </c>
      <c r="R253" s="22">
        <f>INDEX(Data_Prices!R:R,MATCH($G253,Data_Prices!$A:$A,0))</f>
        <v>0.1507090778070489</v>
      </c>
      <c r="S253" s="22">
        <f>INDEX(Data_Prices!S:S,MATCH($G253,Data_Prices!$A:$A,0))</f>
        <v>0.1507090778070489</v>
      </c>
      <c r="T253" s="22">
        <f>INDEX(Data_Prices!T:T,MATCH($G253,Data_Prices!$A:$A,0))</f>
        <v>0.1507090778070489</v>
      </c>
      <c r="U253" s="22">
        <f>INDEX(Data_Prices!U:U,MATCH($G253,Data_Prices!$A:$A,0))</f>
        <v>0.1507090778070489</v>
      </c>
      <c r="V253" s="22">
        <f>INDEX(Data_Prices!V:V,MATCH($G253,Data_Prices!$A:$A,0))</f>
        <v>0.1507090778070489</v>
      </c>
      <c r="W253" s="22">
        <f>INDEX(Data_Prices!W:W,MATCH($G253,Data_Prices!$A:$A,0))</f>
        <v>0.1507090778070489</v>
      </c>
      <c r="X253" s="22">
        <f>INDEX(Data_Prices!X:X,MATCH($G253,Data_Prices!$A:$A,0))</f>
        <v>0.1507090778070489</v>
      </c>
      <c r="Y253" s="22">
        <f>INDEX(Data_Prices!Y:Y,MATCH($G253,Data_Prices!$A:$A,0))</f>
        <v>0.1507090778070489</v>
      </c>
      <c r="Z253" s="22">
        <f>INDEX(Data_Prices!Z:Z,MATCH($G253,Data_Prices!$A:$A,0))</f>
        <v>0.1507090778070489</v>
      </c>
      <c r="AA253" s="22">
        <f>INDEX(Data_Prices!AA:AA,MATCH($G253,Data_Prices!$A:$A,0))</f>
        <v>0.1507090778070489</v>
      </c>
      <c r="AB253" s="22">
        <f>INDEX(Data_Prices!AB:AB,MATCH($G253,Data_Prices!$A:$A,0))</f>
        <v>0.1507090778070489</v>
      </c>
      <c r="AC253" s="22">
        <f>INDEX(Data_Prices!AC:AC,MATCH($G253,Data_Prices!$A:$A,0))</f>
        <v>0.1507090778070489</v>
      </c>
      <c r="AD253" s="22">
        <f>INDEX(Data_Prices!AD:AD,MATCH($G253,Data_Prices!$A:$A,0))</f>
        <v>0.1507090778070489</v>
      </c>
      <c r="AE253" s="22">
        <f>INDEX(Data_Prices!AE:AE,MATCH($G253,Data_Prices!$A:$A,0))</f>
        <v>0.1507090778070489</v>
      </c>
    </row>
    <row r="254" spans="1:35" x14ac:dyDescent="0.25">
      <c r="B254" s="17" t="s">
        <v>66</v>
      </c>
      <c r="C254" s="17" t="str">
        <f t="shared" si="24"/>
        <v>irn</v>
      </c>
      <c r="D254" s="18" t="s">
        <v>67</v>
      </c>
      <c r="E254" s="19" t="s">
        <v>61</v>
      </c>
      <c r="F254" s="17" t="s">
        <v>56</v>
      </c>
      <c r="G254" s="20" t="str">
        <f>Settings!$B$3&amp;".mit.pbc."&amp;Settings!$B$4&amp;"."&amp;$B254&amp;".a."&amp;$J$247</f>
        <v>egy.mit.pbc.ind.ker.a.2</v>
      </c>
      <c r="H254" s="21" t="str">
        <f>OUTCODE(Settings!$B$3,"ptp",$C$247,$B254,$J$247)</f>
        <v>egy.mit.ptp.irn.ker.e.2</v>
      </c>
      <c r="K254" s="22">
        <f>INDEX(Data_Prices!K:K,MATCH($G254,Data_Prices!$A:$A,0))</f>
        <v>0.48429424097343482</v>
      </c>
      <c r="L254" s="22">
        <f>INDEX(Data_Prices!L:L,MATCH($G254,Data_Prices!$A:$A,0))</f>
        <v>0.45642817050012813</v>
      </c>
      <c r="M254" s="22">
        <f>INDEX(Data_Prices!M:M,MATCH($G254,Data_Prices!$A:$A,0))</f>
        <v>0.43168920195599519</v>
      </c>
      <c r="N254" s="22">
        <f>INDEX(Data_Prices!N:N,MATCH($G254,Data_Prices!$A:$A,0))</f>
        <v>0.42507558395596989</v>
      </c>
      <c r="O254" s="22">
        <f>INDEX(Data_Prices!O:O,MATCH($G254,Data_Prices!$A:$A,0))</f>
        <v>0.42507558395596989</v>
      </c>
      <c r="P254" s="22">
        <f>INDEX(Data_Prices!P:P,MATCH($G254,Data_Prices!$A:$A,0))</f>
        <v>0.42507558395596989</v>
      </c>
      <c r="Q254" s="22">
        <f>INDEX(Data_Prices!Q:Q,MATCH($G254,Data_Prices!$A:$A,0))</f>
        <v>0.42507558395596989</v>
      </c>
      <c r="R254" s="22">
        <f>INDEX(Data_Prices!R:R,MATCH($G254,Data_Prices!$A:$A,0))</f>
        <v>0.42507558395596989</v>
      </c>
      <c r="S254" s="22">
        <f>INDEX(Data_Prices!S:S,MATCH($G254,Data_Prices!$A:$A,0))</f>
        <v>0.42507558395597</v>
      </c>
      <c r="T254" s="22">
        <f>INDEX(Data_Prices!T:T,MATCH($G254,Data_Prices!$A:$A,0))</f>
        <v>0.42507558395596989</v>
      </c>
      <c r="U254" s="22">
        <f>INDEX(Data_Prices!U:U,MATCH($G254,Data_Prices!$A:$A,0))</f>
        <v>0.42507558395597</v>
      </c>
      <c r="V254" s="22">
        <f>INDEX(Data_Prices!V:V,MATCH($G254,Data_Prices!$A:$A,0))</f>
        <v>0.42507558395596989</v>
      </c>
      <c r="W254" s="22">
        <f>INDEX(Data_Prices!W:W,MATCH($G254,Data_Prices!$A:$A,0))</f>
        <v>0.42507558395596989</v>
      </c>
      <c r="X254" s="22">
        <f>INDEX(Data_Prices!X:X,MATCH($G254,Data_Prices!$A:$A,0))</f>
        <v>0.42507558395596989</v>
      </c>
      <c r="Y254" s="22">
        <f>INDEX(Data_Prices!Y:Y,MATCH($G254,Data_Prices!$A:$A,0))</f>
        <v>0.42507558395597</v>
      </c>
      <c r="Z254" s="22">
        <f>INDEX(Data_Prices!Z:Z,MATCH($G254,Data_Prices!$A:$A,0))</f>
        <v>0.42507558395596989</v>
      </c>
      <c r="AA254" s="22">
        <f>INDEX(Data_Prices!AA:AA,MATCH($G254,Data_Prices!$A:$A,0))</f>
        <v>0.42507558395596989</v>
      </c>
      <c r="AB254" s="22">
        <f>INDEX(Data_Prices!AB:AB,MATCH($G254,Data_Prices!$A:$A,0))</f>
        <v>0.42507558395597</v>
      </c>
      <c r="AC254" s="22">
        <f>INDEX(Data_Prices!AC:AC,MATCH($G254,Data_Prices!$A:$A,0))</f>
        <v>0.42507558395596989</v>
      </c>
      <c r="AD254" s="22">
        <f>INDEX(Data_Prices!AD:AD,MATCH($G254,Data_Prices!$A:$A,0))</f>
        <v>0.42507558395596989</v>
      </c>
      <c r="AE254" s="22">
        <f>INDEX(Data_Prices!AE:AE,MATCH($G254,Data_Prices!$A:$A,0))</f>
        <v>0.42507558395596989</v>
      </c>
    </row>
    <row r="255" spans="1:35" x14ac:dyDescent="0.25">
      <c r="B255" s="17" t="s">
        <v>68</v>
      </c>
      <c r="C255" s="17" t="str">
        <f t="shared" si="24"/>
        <v>irn</v>
      </c>
      <c r="D255" s="18" t="s">
        <v>69</v>
      </c>
      <c r="E255" s="19" t="s">
        <v>70</v>
      </c>
      <c r="F255" s="17" t="s">
        <v>56</v>
      </c>
      <c r="G255" s="20" t="str">
        <f>Settings!$B$3&amp;".mit.pbc."&amp;Settings!$B$4&amp;"."&amp;$B255&amp;".a."&amp;$J$247</f>
        <v>egy.mit.pbc.ind.oop.a.2</v>
      </c>
      <c r="H255" s="21" t="str">
        <f>OUTCODE(Settings!$B$3,"ptp",$C$247,$B255,$J$247)</f>
        <v>egy.mit.ptp.irn.oop.e.2</v>
      </c>
      <c r="K255" s="22">
        <f>INDEX(Data_Prices!K:K,MATCH($G255,Data_Prices!$A:$A,0))</f>
        <v>41.50033849886843</v>
      </c>
      <c r="L255" s="22">
        <f>INDEX(Data_Prices!L:L,MATCH($G255,Data_Prices!$A:$A,0))</f>
        <v>34.415370304313228</v>
      </c>
      <c r="M255" s="22">
        <f>INDEX(Data_Prices!M:M,MATCH($G255,Data_Prices!$A:$A,0))</f>
        <v>37.368960690432033</v>
      </c>
      <c r="N255" s="22">
        <f>INDEX(Data_Prices!N:N,MATCH($G255,Data_Prices!$A:$A,0))</f>
        <v>28.982761101477251</v>
      </c>
      <c r="O255" s="22">
        <f>INDEX(Data_Prices!O:O,MATCH($G255,Data_Prices!$A:$A,0))</f>
        <v>15</v>
      </c>
      <c r="P255" s="22">
        <f>INDEX(Data_Prices!P:P,MATCH($G255,Data_Prices!$A:$A,0))</f>
        <v>24.2586300842555</v>
      </c>
      <c r="Q255" s="22">
        <f>INDEX(Data_Prices!Q:Q,MATCH($G255,Data_Prices!$A:$A,0))</f>
        <v>13.09620819613245</v>
      </c>
      <c r="R255" s="22">
        <f>INDEX(Data_Prices!R:R,MATCH($G255,Data_Prices!$A:$A,0))</f>
        <v>10.02524511401058</v>
      </c>
      <c r="S255" s="22">
        <f>INDEX(Data_Prices!S:S,MATCH($G255,Data_Prices!$A:$A,0))</f>
        <v>8.4772306913736166</v>
      </c>
      <c r="T255" s="22">
        <f>INDEX(Data_Prices!T:T,MATCH($G255,Data_Prices!$A:$A,0))</f>
        <v>7.1234824452092234</v>
      </c>
      <c r="U255" s="22">
        <f>INDEX(Data_Prices!U:U,MATCH($G255,Data_Prices!$A:$A,0))</f>
        <v>5.6527597394100546</v>
      </c>
      <c r="V255" s="22">
        <f>INDEX(Data_Prices!V:V,MATCH($G255,Data_Prices!$A:$A,0))</f>
        <v>5.6527597394100582</v>
      </c>
      <c r="W255" s="22">
        <f>INDEX(Data_Prices!W:W,MATCH($G255,Data_Prices!$A:$A,0))</f>
        <v>5.6527597394100582</v>
      </c>
      <c r="X255" s="22">
        <f>INDEX(Data_Prices!X:X,MATCH($G255,Data_Prices!$A:$A,0))</f>
        <v>5.6527597394100582</v>
      </c>
      <c r="Y255" s="22">
        <f>INDEX(Data_Prices!Y:Y,MATCH($G255,Data_Prices!$A:$A,0))</f>
        <v>5.6527597394100582</v>
      </c>
      <c r="Z255" s="22">
        <f>INDEX(Data_Prices!Z:Z,MATCH($G255,Data_Prices!$A:$A,0))</f>
        <v>5.6527597394100653</v>
      </c>
      <c r="AA255" s="22">
        <f>INDEX(Data_Prices!AA:AA,MATCH($G255,Data_Prices!$A:$A,0))</f>
        <v>5.6527597394100582</v>
      </c>
      <c r="AB255" s="22">
        <f>INDEX(Data_Prices!AB:AB,MATCH($G255,Data_Prices!$A:$A,0))</f>
        <v>5.6527597394100582</v>
      </c>
      <c r="AC255" s="22">
        <f>INDEX(Data_Prices!AC:AC,MATCH($G255,Data_Prices!$A:$A,0))</f>
        <v>5.6527597394100439</v>
      </c>
      <c r="AD255" s="22">
        <f>INDEX(Data_Prices!AD:AD,MATCH($G255,Data_Prices!$A:$A,0))</f>
        <v>5.6527597394100582</v>
      </c>
      <c r="AE255" s="22">
        <f>INDEX(Data_Prices!AE:AE,MATCH($G255,Data_Prices!$A:$A,0))</f>
        <v>5.6527597394100439</v>
      </c>
    </row>
    <row r="256" spans="1:35" x14ac:dyDescent="0.25">
      <c r="B256" s="17" t="s">
        <v>71</v>
      </c>
      <c r="C256" s="17" t="str">
        <f t="shared" si="24"/>
        <v>irn</v>
      </c>
      <c r="D256" s="18" t="s">
        <v>72</v>
      </c>
      <c r="E256" s="19" t="s">
        <v>55</v>
      </c>
      <c r="F256" s="17" t="s">
        <v>56</v>
      </c>
      <c r="G256" s="20" t="str">
        <f>Settings!$B$3&amp;".mit.pbc."&amp;Settings!$B$4&amp;"."&amp;$B256&amp;".a."&amp;$J$247</f>
        <v>egy.mit.pbc.ind.bio.a.2</v>
      </c>
      <c r="H256" s="21" t="str">
        <f>OUTCODE(Settings!$B$3,"ptp",$C$247,$B256,$J$247)</f>
        <v>egy.mit.ptp.irn.bio.e.2</v>
      </c>
      <c r="K256" s="22">
        <f>INDEX(Data_Prices!K:K,MATCH($G256,Data_Prices!$A:$A,0))</f>
        <v>15.33455052931693</v>
      </c>
      <c r="L256" s="22">
        <f>INDEX(Data_Prices!L:L,MATCH($G256,Data_Prices!$A:$A,0))</f>
        <v>14.199528390634921</v>
      </c>
      <c r="M256" s="22">
        <f>INDEX(Data_Prices!M:M,MATCH($G256,Data_Prices!$A:$A,0))</f>
        <v>13.840441613315161</v>
      </c>
      <c r="N256" s="22">
        <f>INDEX(Data_Prices!N:N,MATCH($G256,Data_Prices!$A:$A,0))</f>
        <v>13.5677269404465</v>
      </c>
      <c r="O256" s="22">
        <f>INDEX(Data_Prices!O:O,MATCH($G256,Data_Prices!$A:$A,0))</f>
        <v>13.5677269404465</v>
      </c>
      <c r="P256" s="22">
        <f>INDEX(Data_Prices!P:P,MATCH($G256,Data_Prices!$A:$A,0))</f>
        <v>13.5677269404465</v>
      </c>
      <c r="Q256" s="22">
        <f>INDEX(Data_Prices!Q:Q,MATCH($G256,Data_Prices!$A:$A,0))</f>
        <v>13.5677269404465</v>
      </c>
      <c r="R256" s="22">
        <f>INDEX(Data_Prices!R:R,MATCH($G256,Data_Prices!$A:$A,0))</f>
        <v>13.5677269404465</v>
      </c>
      <c r="S256" s="22">
        <f>INDEX(Data_Prices!S:S,MATCH($G256,Data_Prices!$A:$A,0))</f>
        <v>13.5677269404465</v>
      </c>
      <c r="T256" s="22">
        <f>INDEX(Data_Prices!T:T,MATCH($G256,Data_Prices!$A:$A,0))</f>
        <v>13.5677269404465</v>
      </c>
      <c r="U256" s="22">
        <f>INDEX(Data_Prices!U:U,MATCH($G256,Data_Prices!$A:$A,0))</f>
        <v>13.5677269404465</v>
      </c>
      <c r="V256" s="22">
        <f>INDEX(Data_Prices!V:V,MATCH($G256,Data_Prices!$A:$A,0))</f>
        <v>13.5677269404465</v>
      </c>
      <c r="W256" s="22">
        <f>INDEX(Data_Prices!W:W,MATCH($G256,Data_Prices!$A:$A,0))</f>
        <v>13.5677269404465</v>
      </c>
      <c r="X256" s="22">
        <f>INDEX(Data_Prices!X:X,MATCH($G256,Data_Prices!$A:$A,0))</f>
        <v>13.5677269404465</v>
      </c>
      <c r="Y256" s="22">
        <f>INDEX(Data_Prices!Y:Y,MATCH($G256,Data_Prices!$A:$A,0))</f>
        <v>13.5677269404465</v>
      </c>
      <c r="Z256" s="22">
        <f>INDEX(Data_Prices!Z:Z,MATCH($G256,Data_Prices!$A:$A,0))</f>
        <v>13.5677269404465</v>
      </c>
      <c r="AA256" s="22">
        <f>INDEX(Data_Prices!AA:AA,MATCH($G256,Data_Prices!$A:$A,0))</f>
        <v>13.5677269404465</v>
      </c>
      <c r="AB256" s="22">
        <f>INDEX(Data_Prices!AB:AB,MATCH($G256,Data_Prices!$A:$A,0))</f>
        <v>13.5677269404465</v>
      </c>
      <c r="AC256" s="22">
        <f>INDEX(Data_Prices!AC:AC,MATCH($G256,Data_Prices!$A:$A,0))</f>
        <v>13.5677269404465</v>
      </c>
      <c r="AD256" s="22">
        <f>INDEX(Data_Prices!AD:AD,MATCH($G256,Data_Prices!$A:$A,0))</f>
        <v>13.5677269404465</v>
      </c>
      <c r="AE256" s="22">
        <f>INDEX(Data_Prices!AE:AE,MATCH($G256,Data_Prices!$A:$A,0))</f>
        <v>13.5677269404465</v>
      </c>
    </row>
    <row r="257" spans="2:31" x14ac:dyDescent="0.25">
      <c r="B257" s="17" t="s">
        <v>73</v>
      </c>
      <c r="C257" s="17" t="str">
        <f t="shared" si="24"/>
        <v>irn</v>
      </c>
      <c r="D257" s="18" t="s">
        <v>74</v>
      </c>
      <c r="E257" s="19" t="s">
        <v>75</v>
      </c>
      <c r="F257" s="17" t="s">
        <v>56</v>
      </c>
      <c r="G257" s="20" t="str">
        <f>Settings!$B$3&amp;".mit.pbc."&amp;Settings!$B$4&amp;"."&amp;$B257&amp;".a."&amp;$J$247</f>
        <v>egy.mit.pbc.ind.ren.a.2</v>
      </c>
      <c r="H257" s="21" t="str">
        <f>OUTCODE(Settings!$B$3,"ptp",$C$247,$B257,$J$247)</f>
        <v>egy.mit.ptp.irn.ren.e.2</v>
      </c>
      <c r="K257" s="22">
        <f>INDEX(Data_Prices!K:K,MATCH($G257,Data_Prices!$A:$A,0))</f>
        <v>0</v>
      </c>
      <c r="L257" s="22">
        <f>INDEX(Data_Prices!L:L,MATCH($G257,Data_Prices!$A:$A,0))</f>
        <v>0.14404498679319799</v>
      </c>
      <c r="M257" s="22">
        <f>INDEX(Data_Prices!M:M,MATCH($G257,Data_Prices!$A:$A,0))</f>
        <v>0.14138624175135939</v>
      </c>
      <c r="N257" s="22">
        <f>INDEX(Data_Prices!N:N,MATCH($G257,Data_Prices!$A:$A,0))</f>
        <v>0.1353975654437313</v>
      </c>
      <c r="O257" s="22">
        <f>INDEX(Data_Prices!O:O,MATCH($G257,Data_Prices!$A:$A,0))</f>
        <v>0.13152288542065141</v>
      </c>
      <c r="P257" s="22">
        <f>INDEX(Data_Prices!P:P,MATCH($G257,Data_Prices!$A:$A,0))</f>
        <v>0.12882610848523129</v>
      </c>
      <c r="Q257" s="22">
        <f>INDEX(Data_Prices!Q:Q,MATCH($G257,Data_Prices!$A:$A,0))</f>
        <v>0.1259420097647401</v>
      </c>
      <c r="R257" s="22">
        <f>INDEX(Data_Prices!R:R,MATCH($G257,Data_Prices!$A:$A,0))</f>
        <v>0.1231132657018609</v>
      </c>
      <c r="S257" s="22">
        <f>INDEX(Data_Prices!S:S,MATCH($G257,Data_Prices!$A:$A,0))</f>
        <v>0.1193917380890684</v>
      </c>
      <c r="T257" s="22">
        <f>INDEX(Data_Prices!T:T,MATCH($G257,Data_Prices!$A:$A,0))</f>
        <v>0.1155441904679203</v>
      </c>
      <c r="U257" s="22">
        <f>INDEX(Data_Prices!U:U,MATCH($G257,Data_Prices!$A:$A,0))</f>
        <v>0.11492423065415899</v>
      </c>
      <c r="V257" s="22">
        <f>INDEX(Data_Prices!V:V,MATCH($G257,Data_Prices!$A:$A,0))</f>
        <v>0.11434691211673639</v>
      </c>
      <c r="W257" s="22">
        <f>INDEX(Data_Prices!W:W,MATCH($G257,Data_Prices!$A:$A,0))</f>
        <v>0.1137387111726635</v>
      </c>
      <c r="X257" s="22">
        <f>INDEX(Data_Prices!X:X,MATCH($G257,Data_Prices!$A:$A,0))</f>
        <v>0.1129999004875214</v>
      </c>
      <c r="Y257" s="22">
        <f>INDEX(Data_Prices!Y:Y,MATCH($G257,Data_Prices!$A:$A,0))</f>
        <v>0.11217768583553429</v>
      </c>
      <c r="Z257" s="22">
        <f>INDEX(Data_Prices!Z:Z,MATCH($G257,Data_Prices!$A:$A,0))</f>
        <v>0.1114179032504042</v>
      </c>
      <c r="AA257" s="22">
        <f>INDEX(Data_Prices!AA:AA,MATCH($G257,Data_Prices!$A:$A,0))</f>
        <v>0.1105258199854538</v>
      </c>
      <c r="AB257" s="22">
        <f>INDEX(Data_Prices!AB:AB,MATCH($G257,Data_Prices!$A:$A,0))</f>
        <v>0.1096995652348958</v>
      </c>
      <c r="AC257" s="22">
        <f>INDEX(Data_Prices!AC:AC,MATCH($G257,Data_Prices!$A:$A,0))</f>
        <v>0.1077267889639492</v>
      </c>
      <c r="AD257" s="22">
        <f>INDEX(Data_Prices!AD:AD,MATCH($G257,Data_Prices!$A:$A,0))</f>
        <v>0.1058209244509353</v>
      </c>
      <c r="AE257" s="22">
        <f>INDEX(Data_Prices!AE:AE,MATCH($G257,Data_Prices!$A:$A,0))</f>
        <v>0.1038555957057212</v>
      </c>
    </row>
    <row r="258" spans="2:31" x14ac:dyDescent="0.25">
      <c r="B258" s="16" t="s">
        <v>76</v>
      </c>
    </row>
    <row r="259" spans="2:31" x14ac:dyDescent="0.25">
      <c r="B259" s="17" t="s">
        <v>53</v>
      </c>
      <c r="C259" s="17" t="str">
        <f t="shared" ref="C259:C267" si="25">$C$247</f>
        <v>irn</v>
      </c>
      <c r="D259" s="18" t="s">
        <v>54</v>
      </c>
      <c r="E259" s="19" t="s">
        <v>55</v>
      </c>
      <c r="F259" s="17" t="s">
        <v>77</v>
      </c>
      <c r="G259" s="20" t="str">
        <f>Settings!$B$3&amp;".mit.nce."&amp;Settings!$B$4&amp;"."&amp;$B259&amp;".a."&amp;$J$247</f>
        <v>egy.mit.nce.ind.coa.a.2</v>
      </c>
      <c r="H259" s="21" t="str">
        <f>OUTCODE(Settings!$B$3,"atp",$C$247,$B259,$J$247)</f>
        <v>egy.mit.atp.irn.coa.e.2</v>
      </c>
      <c r="K259" s="22">
        <f>POSTTAX(K249,INDEX(Data_Prices!K:K,MATCH($G259,Data_Prices!$A:$A,0)),K$279)</f>
        <v>11.18290158924394</v>
      </c>
      <c r="L259" s="22">
        <f>POSTTAX(L249,INDEX(Data_Prices!L:L,MATCH($G259,Data_Prices!$A:$A,0)),L$279)</f>
        <v>10.52336134543121</v>
      </c>
      <c r="M259" s="22">
        <f>POSTTAX(M249,INDEX(Data_Prices!M:M,MATCH($G259,Data_Prices!$A:$A,0)),M$279)</f>
        <v>10.299560827444211</v>
      </c>
      <c r="N259" s="22">
        <f>POSTTAX(N249,INDEX(Data_Prices!N:N,MATCH($G259,Data_Prices!$A:$A,0)),N$279)</f>
        <v>9.5775283595382632</v>
      </c>
      <c r="O259" s="22">
        <f>POSTTAX(O249,INDEX(Data_Prices!O:O,MATCH($G259,Data_Prices!$A:$A,0)),O$279)</f>
        <v>8.4854782869580454</v>
      </c>
      <c r="P259" s="22">
        <f>POSTTAX(P249,INDEX(Data_Prices!P:P,MATCH($G259,Data_Prices!$A:$A,0)),P$279)</f>
        <v>9.0871922352498604</v>
      </c>
      <c r="Q259" s="22">
        <f>POSTTAX(Q249,INDEX(Data_Prices!Q:Q,MATCH($G259,Data_Prices!$A:$A,0)),Q$279)</f>
        <v>10.472923728932681</v>
      </c>
      <c r="R259" s="22">
        <f>POSTTAX(R249,INDEX(Data_Prices!R:R,MATCH($G259,Data_Prices!$A:$A,0)),R$279)</f>
        <v>11.658564955509688</v>
      </c>
      <c r="S259" s="22">
        <f>POSTTAX(S249,INDEX(Data_Prices!S:S,MATCH($G259,Data_Prices!$A:$A,0)),S$279)</f>
        <v>12.839547877397377</v>
      </c>
      <c r="T259" s="22">
        <f>POSTTAX(T249,INDEX(Data_Prices!T:T,MATCH($G259,Data_Prices!$A:$A,0)),T$279)</f>
        <v>14.01568166602283</v>
      </c>
      <c r="U259" s="22">
        <f>POSTTAX(U249,INDEX(Data_Prices!U:U,MATCH($G259,Data_Prices!$A:$A,0)),U$279)</f>
        <v>15.194397765557106</v>
      </c>
      <c r="V259" s="22">
        <f>POSTTAX(V249,INDEX(Data_Prices!V:V,MATCH($G259,Data_Prices!$A:$A,0)),V$279)</f>
        <v>16.444397765557106</v>
      </c>
      <c r="W259" s="22">
        <f>POSTTAX(W249,INDEX(Data_Prices!W:W,MATCH($G259,Data_Prices!$A:$A,0)),W$279)</f>
        <v>17.694397765557106</v>
      </c>
      <c r="X259" s="22">
        <f>POSTTAX(X249,INDEX(Data_Prices!X:X,MATCH($G259,Data_Prices!$A:$A,0)),X$279)</f>
        <v>18.944397765557106</v>
      </c>
      <c r="Y259" s="22">
        <f>POSTTAX(Y249,INDEX(Data_Prices!Y:Y,MATCH($G259,Data_Prices!$A:$A,0)),Y$279)</f>
        <v>20.194397765557106</v>
      </c>
      <c r="Z259" s="22">
        <f>POSTTAX(Z249,INDEX(Data_Prices!Z:Z,MATCH($G259,Data_Prices!$A:$A,0)),Z$279)</f>
        <v>21.444397765557106</v>
      </c>
      <c r="AA259" s="22">
        <f>POSTTAX(AA249,INDEX(Data_Prices!AA:AA,MATCH($G259,Data_Prices!$A:$A,0)),AA$279)</f>
        <v>22.694397765557106</v>
      </c>
      <c r="AB259" s="22">
        <f>POSTTAX(AB249,INDEX(Data_Prices!AB:AB,MATCH($G259,Data_Prices!$A:$A,0)),AB$279)</f>
        <v>23.944397765557106</v>
      </c>
      <c r="AC259" s="22">
        <f>POSTTAX(AC249,INDEX(Data_Prices!AC:AC,MATCH($G259,Data_Prices!$A:$A,0)),AC$279)</f>
        <v>25.194397765557106</v>
      </c>
      <c r="AD259" s="22">
        <f>POSTTAX(AD249,INDEX(Data_Prices!AD:AD,MATCH($G259,Data_Prices!$A:$A,0)),AD$279)</f>
        <v>26.444397765557106</v>
      </c>
      <c r="AE259" s="22">
        <f>POSTTAX(AE249,INDEX(Data_Prices!AE:AE,MATCH($G259,Data_Prices!$A:$A,0)),AE$279)</f>
        <v>27.694397765557106</v>
      </c>
    </row>
    <row r="260" spans="2:31" x14ac:dyDescent="0.25">
      <c r="B260" s="17" t="s">
        <v>57</v>
      </c>
      <c r="C260" s="17" t="str">
        <f t="shared" si="25"/>
        <v>irn</v>
      </c>
      <c r="D260" s="18" t="s">
        <v>58</v>
      </c>
      <c r="E260" s="19" t="s">
        <v>55</v>
      </c>
      <c r="F260" s="17" t="s">
        <v>77</v>
      </c>
      <c r="G260" s="20" t="str">
        <f>Settings!$B$3&amp;".mit.nce."&amp;Settings!$B$4&amp;"."&amp;$B260&amp;".a."&amp;$J$247</f>
        <v>egy.mit.nce.ind.nga.a.2</v>
      </c>
      <c r="H260" s="21" t="str">
        <f>OUTCODE(Settings!$B$3,"atp",$C$247,$B260,$J$247)</f>
        <v>egy.mit.atp.irn.nga.e.2</v>
      </c>
      <c r="K260" s="22">
        <f>POSTTAX(K250,INDEX(Data_Prices!K:K,MATCH($G260,Data_Prices!$A:$A,0)),K$279)</f>
        <v>6.0634636156729131</v>
      </c>
      <c r="L260" s="22">
        <f>POSTTAX(L250,INDEX(Data_Prices!L:L,MATCH($G260,Data_Prices!$A:$A,0)),L$279)</f>
        <v>5.4510150816191896</v>
      </c>
      <c r="M260" s="22">
        <f>POSTTAX(M250,INDEX(Data_Prices!M:M,MATCH($G260,Data_Prices!$A:$A,0)),M$279)</f>
        <v>5.1193563062624818</v>
      </c>
      <c r="N260" s="22">
        <f>POSTTAX(N250,INDEX(Data_Prices!N:N,MATCH($G260,Data_Prices!$A:$A,0)),N$279)</f>
        <v>5.0821845864040727</v>
      </c>
      <c r="O260" s="22">
        <f>POSTTAX(O250,INDEX(Data_Prices!O:O,MATCH($G260,Data_Prices!$A:$A,0)),O$279)</f>
        <v>5.0821845864040727</v>
      </c>
      <c r="P260" s="22">
        <f>POSTTAX(P250,INDEX(Data_Prices!P:P,MATCH($G260,Data_Prices!$A:$A,0)),P$279)</f>
        <v>5.0821845864040727</v>
      </c>
      <c r="Q260" s="22">
        <f>POSTTAX(Q250,INDEX(Data_Prices!Q:Q,MATCH($G260,Data_Prices!$A:$A,0)),Q$279)</f>
        <v>5.7796845864040725</v>
      </c>
      <c r="R260" s="22">
        <f>POSTTAX(R250,INDEX(Data_Prices!R:R,MATCH($G260,Data_Prices!$A:$A,0)),R$279)</f>
        <v>6.4771845864040731</v>
      </c>
      <c r="S260" s="22">
        <f>POSTTAX(S250,INDEX(Data_Prices!S:S,MATCH($G260,Data_Prices!$A:$A,0)),S$279)</f>
        <v>7.1746845864040729</v>
      </c>
      <c r="T260" s="22">
        <f>POSTTAX(T250,INDEX(Data_Prices!T:T,MATCH($G260,Data_Prices!$A:$A,0)),T$279)</f>
        <v>7.8721845864040736</v>
      </c>
      <c r="U260" s="22">
        <f>POSTTAX(U250,INDEX(Data_Prices!U:U,MATCH($G260,Data_Prices!$A:$A,0)),U$279)</f>
        <v>8.5696845864040725</v>
      </c>
      <c r="V260" s="22">
        <f>POSTTAX(V250,INDEX(Data_Prices!V:V,MATCH($G260,Data_Prices!$A:$A,0)),V$279)</f>
        <v>9.2671845864040723</v>
      </c>
      <c r="W260" s="22">
        <f>POSTTAX(W250,INDEX(Data_Prices!W:W,MATCH($G260,Data_Prices!$A:$A,0)),W$279)</f>
        <v>9.9646845864040721</v>
      </c>
      <c r="X260" s="22">
        <f>POSTTAX(X250,INDEX(Data_Prices!X:X,MATCH($G260,Data_Prices!$A:$A,0)),X$279)</f>
        <v>10.662184586404072</v>
      </c>
      <c r="Y260" s="22">
        <f>POSTTAX(Y250,INDEX(Data_Prices!Y:Y,MATCH($G260,Data_Prices!$A:$A,0)),Y$279)</f>
        <v>11.359684586404072</v>
      </c>
      <c r="Z260" s="22">
        <f>POSTTAX(Z250,INDEX(Data_Prices!Z:Z,MATCH($G260,Data_Prices!$A:$A,0)),Z$279)</f>
        <v>12.057184586404073</v>
      </c>
      <c r="AA260" s="22">
        <f>POSTTAX(AA250,INDEX(Data_Prices!AA:AA,MATCH($G260,Data_Prices!$A:$A,0)),AA$279)</f>
        <v>12.754684586404071</v>
      </c>
      <c r="AB260" s="22">
        <f>POSTTAX(AB250,INDEX(Data_Prices!AB:AB,MATCH($G260,Data_Prices!$A:$A,0)),AB$279)</f>
        <v>13.452184586404073</v>
      </c>
      <c r="AC260" s="22">
        <f>POSTTAX(AC250,INDEX(Data_Prices!AC:AC,MATCH($G260,Data_Prices!$A:$A,0)),AC$279)</f>
        <v>14.149684586404071</v>
      </c>
      <c r="AD260" s="22">
        <f>POSTTAX(AD250,INDEX(Data_Prices!AD:AD,MATCH($G260,Data_Prices!$A:$A,0)),AD$279)</f>
        <v>14.847184586404072</v>
      </c>
      <c r="AE260" s="22">
        <f>POSTTAX(AE250,INDEX(Data_Prices!AE:AE,MATCH($G260,Data_Prices!$A:$A,0)),AE$279)</f>
        <v>15.544684586404072</v>
      </c>
    </row>
    <row r="261" spans="2:31" x14ac:dyDescent="0.25">
      <c r="B261" s="17" t="s">
        <v>59</v>
      </c>
      <c r="C261" s="17" t="str">
        <f t="shared" si="25"/>
        <v>irn</v>
      </c>
      <c r="D261" s="18" t="s">
        <v>60</v>
      </c>
      <c r="E261" s="19" t="s">
        <v>61</v>
      </c>
      <c r="F261" s="17" t="s">
        <v>77</v>
      </c>
      <c r="G261" s="20" t="str">
        <f>Settings!$B$3&amp;".mit.nce."&amp;Settings!$B$4&amp;"."&amp;$B261&amp;".a."&amp;$J$247</f>
        <v>egy.mit.nce.ind.gso.a.2</v>
      </c>
      <c r="H261" s="21" t="str">
        <f>OUTCODE(Settings!$B$3,"atp",$C$247,$B261,$J$247)</f>
        <v>egy.mit.atp.irn.gso.e.2</v>
      </c>
      <c r="K261" s="22">
        <f>POSTTAX(K251,INDEX(Data_Prices!K:K,MATCH($G261,Data_Prices!$A:$A,0)),K$279)</f>
        <v>0.67114653332181606</v>
      </c>
      <c r="L261" s="22">
        <f>POSTTAX(L251,INDEX(Data_Prices!L:L,MATCH($G261,Data_Prices!$A:$A,0)),L$279)</f>
        <v>0.61197797679140631</v>
      </c>
      <c r="M261" s="22">
        <f>POSTTAX(M251,INDEX(Data_Prices!M:M,MATCH($G261,Data_Prices!$A:$A,0)),M$279)</f>
        <v>0.61180974964187596</v>
      </c>
      <c r="N261" s="22">
        <f>POSTTAX(N251,INDEX(Data_Prices!N:N,MATCH($G261,Data_Prices!$A:$A,0)),N$279)</f>
        <v>0.60358310017790551</v>
      </c>
      <c r="O261" s="22">
        <f>POSTTAX(O251,INDEX(Data_Prices!O:O,MATCH($G261,Data_Prices!$A:$A,0)),O$279)</f>
        <v>0.60358310017790551</v>
      </c>
      <c r="P261" s="22">
        <f>POSTTAX(P251,INDEX(Data_Prices!P:P,MATCH($G261,Data_Prices!$A:$A,0)),P$279)</f>
        <v>0.60358310017790551</v>
      </c>
      <c r="Q261" s="22">
        <f>POSTTAX(Q251,INDEX(Data_Prices!Q:Q,MATCH($G261,Data_Prices!$A:$A,0)),Q$279)</f>
        <v>0.6325109433494055</v>
      </c>
      <c r="R261" s="22">
        <f>POSTTAX(R251,INDEX(Data_Prices!R:R,MATCH($G261,Data_Prices!$A:$A,0)),R$279)</f>
        <v>0.66143878652090549</v>
      </c>
      <c r="S261" s="22">
        <f>POSTTAX(S251,INDEX(Data_Prices!S:S,MATCH($G261,Data_Prices!$A:$A,0)),S$279)</f>
        <v>0.69036662969240548</v>
      </c>
      <c r="T261" s="22">
        <f>POSTTAX(T251,INDEX(Data_Prices!T:T,MATCH($G261,Data_Prices!$A:$A,0)),T$279)</f>
        <v>0.71929447286390547</v>
      </c>
      <c r="U261" s="22">
        <f>POSTTAX(U251,INDEX(Data_Prices!U:U,MATCH($G261,Data_Prices!$A:$A,0)),U$279)</f>
        <v>0.74822231603540557</v>
      </c>
      <c r="V261" s="22">
        <f>POSTTAX(V251,INDEX(Data_Prices!V:V,MATCH($G261,Data_Prices!$A:$A,0)),V$279)</f>
        <v>0.77715015920690544</v>
      </c>
      <c r="W261" s="22">
        <f>POSTTAX(W251,INDEX(Data_Prices!W:W,MATCH($G261,Data_Prices!$A:$A,0)),W$279)</f>
        <v>0.80607800237840554</v>
      </c>
      <c r="X261" s="22">
        <f>POSTTAX(X251,INDEX(Data_Prices!X:X,MATCH($G261,Data_Prices!$A:$A,0)),X$279)</f>
        <v>0.83500584554990553</v>
      </c>
      <c r="Y261" s="22">
        <f>POSTTAX(Y251,INDEX(Data_Prices!Y:Y,MATCH($G261,Data_Prices!$A:$A,0)),Y$279)</f>
        <v>0.86393368872140552</v>
      </c>
      <c r="Z261" s="22">
        <f>POSTTAX(Z251,INDEX(Data_Prices!Z:Z,MATCH($G261,Data_Prices!$A:$A,0)),Z$279)</f>
        <v>0.89286153189290551</v>
      </c>
      <c r="AA261" s="22">
        <f>POSTTAX(AA251,INDEX(Data_Prices!AA:AA,MATCH($G261,Data_Prices!$A:$A,0)),AA$279)</f>
        <v>0.92178937506440561</v>
      </c>
      <c r="AB261" s="22">
        <f>POSTTAX(AB251,INDEX(Data_Prices!AB:AB,MATCH($G261,Data_Prices!$A:$A,0)),AB$279)</f>
        <v>0.95071721823590549</v>
      </c>
      <c r="AC261" s="22">
        <f>POSTTAX(AC251,INDEX(Data_Prices!AC:AC,MATCH($G261,Data_Prices!$A:$A,0)),AC$279)</f>
        <v>0.97964506140740548</v>
      </c>
      <c r="AD261" s="22">
        <f>POSTTAX(AD251,INDEX(Data_Prices!AD:AD,MATCH($G261,Data_Prices!$A:$A,0)),AD$279)</f>
        <v>1.0085729045789056</v>
      </c>
      <c r="AE261" s="22">
        <f>POSTTAX(AE251,INDEX(Data_Prices!AE:AE,MATCH($G261,Data_Prices!$A:$A,0)),AE$279)</f>
        <v>1.0375007477504057</v>
      </c>
    </row>
    <row r="262" spans="2:31" x14ac:dyDescent="0.25">
      <c r="B262" s="17" t="s">
        <v>62</v>
      </c>
      <c r="C262" s="17" t="str">
        <f t="shared" si="25"/>
        <v>irn</v>
      </c>
      <c r="D262" s="18" t="s">
        <v>63</v>
      </c>
      <c r="E262" s="19" t="s">
        <v>61</v>
      </c>
      <c r="F262" s="17" t="s">
        <v>77</v>
      </c>
      <c r="G262" s="20" t="str">
        <f>Settings!$B$3&amp;".mit.nce."&amp;Settings!$B$4&amp;"."&amp;$B262&amp;".a."&amp;$J$247</f>
        <v>egy.mit.nce.ind.die.a.2</v>
      </c>
      <c r="H262" s="21" t="str">
        <f>OUTCODE(Settings!$B$3,"atp",$C$247,$B262,$J$247)</f>
        <v>egy.mit.atp.irn.die.e.2</v>
      </c>
      <c r="K262" s="22">
        <f>POSTTAX(K252,INDEX(Data_Prices!K:K,MATCH($G262,Data_Prices!$A:$A,0)),K$279)</f>
        <v>0.55971121315568761</v>
      </c>
      <c r="L262" s="22">
        <f>POSTTAX(L252,INDEX(Data_Prices!L:L,MATCH($G262,Data_Prices!$A:$A,0)),L$279)</f>
        <v>0.49458873084106802</v>
      </c>
      <c r="M262" s="22">
        <f>POSTTAX(M252,INDEX(Data_Prices!M:M,MATCH($G262,Data_Prices!$A:$A,0)),M$279)</f>
        <v>0.50778654720250049</v>
      </c>
      <c r="N262" s="22">
        <f>POSTTAX(N252,INDEX(Data_Prices!N:N,MATCH($G262,Data_Prices!$A:$A,0)),N$279)</f>
        <v>0.47043642679561742</v>
      </c>
      <c r="O262" s="22">
        <f>POSTTAX(O252,INDEX(Data_Prices!O:O,MATCH($G262,Data_Prices!$A:$A,0)),O$279)</f>
        <v>0.47043642679561742</v>
      </c>
      <c r="P262" s="22">
        <f>POSTTAX(P252,INDEX(Data_Prices!P:P,MATCH($G262,Data_Prices!$A:$A,0)),P$279)</f>
        <v>0.47043642679561742</v>
      </c>
      <c r="Q262" s="22">
        <f>POSTTAX(Q252,INDEX(Data_Prices!Q:Q,MATCH($G262,Data_Prices!$A:$A,0)),Q$279)</f>
        <v>0.50344686565449237</v>
      </c>
      <c r="R262" s="22">
        <f>POSTTAX(R252,INDEX(Data_Prices!R:R,MATCH($G262,Data_Prices!$A:$A,0)),R$279)</f>
        <v>0.53645730451336737</v>
      </c>
      <c r="S262" s="22">
        <f>POSTTAX(S252,INDEX(Data_Prices!S:S,MATCH($G262,Data_Prices!$A:$A,0)),S$279)</f>
        <v>0.56946774337224249</v>
      </c>
      <c r="T262" s="22">
        <f>POSTTAX(T252,INDEX(Data_Prices!T:T,MATCH($G262,Data_Prices!$A:$A,0)),T$279)</f>
        <v>0.60247818223111738</v>
      </c>
      <c r="U262" s="22">
        <f>POSTTAX(U252,INDEX(Data_Prices!U:U,MATCH($G262,Data_Prices!$A:$A,0)),U$279)</f>
        <v>0.63548862108999238</v>
      </c>
      <c r="V262" s="22">
        <f>POSTTAX(V252,INDEX(Data_Prices!V:V,MATCH($G262,Data_Prices!$A:$A,0)),V$279)</f>
        <v>0.66849905994886738</v>
      </c>
      <c r="W262" s="22">
        <f>POSTTAX(W252,INDEX(Data_Prices!W:W,MATCH($G262,Data_Prices!$A:$A,0)),W$279)</f>
        <v>0.70150949880774238</v>
      </c>
      <c r="X262" s="22">
        <f>POSTTAX(X252,INDEX(Data_Prices!X:X,MATCH($G262,Data_Prices!$A:$A,0)),X$279)</f>
        <v>0.73451993766661738</v>
      </c>
      <c r="Y262" s="22">
        <f>POSTTAX(Y252,INDEX(Data_Prices!Y:Y,MATCH($G262,Data_Prices!$A:$A,0)),Y$279)</f>
        <v>0.76753037652549239</v>
      </c>
      <c r="Z262" s="22">
        <f>POSTTAX(Z252,INDEX(Data_Prices!Z:Z,MATCH($G262,Data_Prices!$A:$A,0)),Z$279)</f>
        <v>0.80054081538436739</v>
      </c>
      <c r="AA262" s="22">
        <f>POSTTAX(AA252,INDEX(Data_Prices!AA:AA,MATCH($G262,Data_Prices!$A:$A,0)),AA$279)</f>
        <v>0.83355125424324239</v>
      </c>
      <c r="AB262" s="22">
        <f>POSTTAX(AB252,INDEX(Data_Prices!AB:AB,MATCH($G262,Data_Prices!$A:$A,0)),AB$279)</f>
        <v>0.86656169310211739</v>
      </c>
      <c r="AC262" s="22">
        <f>POSTTAX(AC252,INDEX(Data_Prices!AC:AC,MATCH($G262,Data_Prices!$A:$A,0)),AC$279)</f>
        <v>0.89957213196099239</v>
      </c>
      <c r="AD262" s="22">
        <f>POSTTAX(AD252,INDEX(Data_Prices!AD:AD,MATCH($G262,Data_Prices!$A:$A,0)),AD$279)</f>
        <v>0.9325825708198674</v>
      </c>
      <c r="AE262" s="22">
        <f>POSTTAX(AE252,INDEX(Data_Prices!AE:AE,MATCH($G262,Data_Prices!$A:$A,0)),AE$279)</f>
        <v>0.9655930096787424</v>
      </c>
    </row>
    <row r="263" spans="2:31" x14ac:dyDescent="0.25">
      <c r="B263" s="17" t="s">
        <v>64</v>
      </c>
      <c r="C263" s="17" t="str">
        <f t="shared" si="25"/>
        <v>irn</v>
      </c>
      <c r="D263" s="18" t="s">
        <v>65</v>
      </c>
      <c r="E263" s="19" t="s">
        <v>61</v>
      </c>
      <c r="F263" s="17" t="s">
        <v>77</v>
      </c>
      <c r="G263" s="20" t="str">
        <f>Settings!$B$3&amp;".mit.nce."&amp;Settings!$B$4&amp;"."&amp;$B263&amp;".a."&amp;$J$247</f>
        <v>egy.mit.nce.ind.lpg.a.2</v>
      </c>
      <c r="H263" s="21" t="str">
        <f>OUTCODE(Settings!$B$3,"atp",$C$247,$B263,$J$247)</f>
        <v>egy.mit.atp.irn.lpg.e.2</v>
      </c>
      <c r="K263" s="22">
        <f>POSTTAX(K253,INDEX(Data_Prices!K:K,MATCH($G263,Data_Prices!$A:$A,0)),K$279)</f>
        <v>0.20036669112673841</v>
      </c>
      <c r="L263" s="22">
        <f>POSTTAX(L253,INDEX(Data_Prices!L:L,MATCH($G263,Data_Prices!$A:$A,0)),L$279)</f>
        <v>0.1573447362522738</v>
      </c>
      <c r="M263" s="22">
        <f>POSTTAX(M253,INDEX(Data_Prices!M:M,MATCH($G263,Data_Prices!$A:$A,0)),M$279)</f>
        <v>0.1644840377592767</v>
      </c>
      <c r="N263" s="22">
        <f>POSTTAX(N253,INDEX(Data_Prices!N:N,MATCH($G263,Data_Prices!$A:$A,0)),N$279)</f>
        <v>0.1507090778070489</v>
      </c>
      <c r="O263" s="22">
        <f>POSTTAX(O253,INDEX(Data_Prices!O:O,MATCH($G263,Data_Prices!$A:$A,0)),O$279)</f>
        <v>0.1507090778070489</v>
      </c>
      <c r="P263" s="22">
        <f>POSTTAX(P253,INDEX(Data_Prices!P:P,MATCH($G263,Data_Prices!$A:$A,0)),P$279)</f>
        <v>0.1507090778070489</v>
      </c>
      <c r="Q263" s="22">
        <f>POSTTAX(Q253,INDEX(Data_Prices!Q:Q,MATCH($G263,Data_Prices!$A:$A,0)),Q$279)</f>
        <v>0.17281516073434458</v>
      </c>
      <c r="R263" s="22">
        <f>POSTTAX(R253,INDEX(Data_Prices!R:R,MATCH($G263,Data_Prices!$A:$A,0)),R$279)</f>
        <v>0.19492124366164029</v>
      </c>
      <c r="S263" s="22">
        <f>POSTTAX(S253,INDEX(Data_Prices!S:S,MATCH($G263,Data_Prices!$A:$A,0)),S$279)</f>
        <v>0.21702732658893598</v>
      </c>
      <c r="T263" s="22">
        <f>POSTTAX(T253,INDEX(Data_Prices!T:T,MATCH($G263,Data_Prices!$A:$A,0)),T$279)</f>
        <v>0.23913340951623169</v>
      </c>
      <c r="U263" s="22">
        <f>POSTTAX(U253,INDEX(Data_Prices!U:U,MATCH($G263,Data_Prices!$A:$A,0)),U$279)</f>
        <v>0.2612394924435274</v>
      </c>
      <c r="V263" s="22">
        <f>POSTTAX(V253,INDEX(Data_Prices!V:V,MATCH($G263,Data_Prices!$A:$A,0)),V$279)</f>
        <v>0.28334557537082311</v>
      </c>
      <c r="W263" s="22">
        <f>POSTTAX(W253,INDEX(Data_Prices!W:W,MATCH($G263,Data_Prices!$A:$A,0)),W$279)</f>
        <v>0.30545165829811882</v>
      </c>
      <c r="X263" s="22">
        <f>POSTTAX(X253,INDEX(Data_Prices!X:X,MATCH($G263,Data_Prices!$A:$A,0)),X$279)</f>
        <v>0.32755774122541448</v>
      </c>
      <c r="Y263" s="22">
        <f>POSTTAX(Y253,INDEX(Data_Prices!Y:Y,MATCH($G263,Data_Prices!$A:$A,0)),Y$279)</f>
        <v>0.34966382415271013</v>
      </c>
      <c r="Z263" s="22">
        <f>POSTTAX(Z253,INDEX(Data_Prices!Z:Z,MATCH($G263,Data_Prices!$A:$A,0)),Z$279)</f>
        <v>0.37176990708000579</v>
      </c>
      <c r="AA263" s="22">
        <f>POSTTAX(AA253,INDEX(Data_Prices!AA:AA,MATCH($G263,Data_Prices!$A:$A,0)),AA$279)</f>
        <v>0.3938759900073015</v>
      </c>
      <c r="AB263" s="22">
        <f>POSTTAX(AB253,INDEX(Data_Prices!AB:AB,MATCH($G263,Data_Prices!$A:$A,0)),AB$279)</f>
        <v>0.41598207293459721</v>
      </c>
      <c r="AC263" s="22">
        <f>POSTTAX(AC253,INDEX(Data_Prices!AC:AC,MATCH($G263,Data_Prices!$A:$A,0)),AC$279)</f>
        <v>0.43808815586189287</v>
      </c>
      <c r="AD263" s="22">
        <f>POSTTAX(AD253,INDEX(Data_Prices!AD:AD,MATCH($G263,Data_Prices!$A:$A,0)),AD$279)</f>
        <v>0.46019423878918858</v>
      </c>
      <c r="AE263" s="22">
        <f>POSTTAX(AE253,INDEX(Data_Prices!AE:AE,MATCH($G263,Data_Prices!$A:$A,0)),AE$279)</f>
        <v>0.48230032171648429</v>
      </c>
    </row>
    <row r="264" spans="2:31" x14ac:dyDescent="0.25">
      <c r="B264" s="17" t="s">
        <v>66</v>
      </c>
      <c r="C264" s="17" t="str">
        <f t="shared" si="25"/>
        <v>irn</v>
      </c>
      <c r="D264" s="18" t="s">
        <v>67</v>
      </c>
      <c r="E264" s="19" t="s">
        <v>61</v>
      </c>
      <c r="F264" s="17" t="s">
        <v>77</v>
      </c>
      <c r="G264" s="20" t="str">
        <f>Settings!$B$3&amp;".mit.nce."&amp;Settings!$B$4&amp;"."&amp;$B264&amp;".a."&amp;$J$247</f>
        <v>egy.mit.nce.ind.ker.a.2</v>
      </c>
      <c r="H264" s="21" t="str">
        <f>OUTCODE(Settings!$B$3,"atp",$C$247,$B264,$J$247)</f>
        <v>egy.mit.atp.irn.ker.e.2</v>
      </c>
      <c r="K264" s="22">
        <f>POSTTAX(K254,INDEX(Data_Prices!K:K,MATCH($G264,Data_Prices!$A:$A,0)),K$279)</f>
        <v>0.48429424097343482</v>
      </c>
      <c r="L264" s="22">
        <f>POSTTAX(L254,INDEX(Data_Prices!L:L,MATCH($G264,Data_Prices!$A:$A,0)),L$279)</f>
        <v>0.45642817050012813</v>
      </c>
      <c r="M264" s="22">
        <f>POSTTAX(M254,INDEX(Data_Prices!M:M,MATCH($G264,Data_Prices!$A:$A,0)),M$279)</f>
        <v>0.43168920195599519</v>
      </c>
      <c r="N264" s="22">
        <f>POSTTAX(N254,INDEX(Data_Prices!N:N,MATCH($G264,Data_Prices!$A:$A,0)),N$279)</f>
        <v>0.42507558395596989</v>
      </c>
      <c r="O264" s="22">
        <f>POSTTAX(O254,INDEX(Data_Prices!O:O,MATCH($G264,Data_Prices!$A:$A,0)),O$279)</f>
        <v>0.42507558395596989</v>
      </c>
      <c r="P264" s="22">
        <f>POSTTAX(P254,INDEX(Data_Prices!P:P,MATCH($G264,Data_Prices!$A:$A,0)),P$279)</f>
        <v>0.42507558395596989</v>
      </c>
      <c r="Q264" s="22">
        <f>POSTTAX(Q254,INDEX(Data_Prices!Q:Q,MATCH($G264,Data_Prices!$A:$A,0)),Q$279)</f>
        <v>0.45706441406607839</v>
      </c>
      <c r="R264" s="22">
        <f>POSTTAX(R254,INDEX(Data_Prices!R:R,MATCH($G264,Data_Prices!$A:$A,0)),R$279)</f>
        <v>0.4890532441761869</v>
      </c>
      <c r="S264" s="22">
        <f>POSTTAX(S254,INDEX(Data_Prices!S:S,MATCH($G264,Data_Prices!$A:$A,0)),S$279)</f>
        <v>0.52104207428629545</v>
      </c>
      <c r="T264" s="22">
        <f>POSTTAX(T254,INDEX(Data_Prices!T:T,MATCH($G264,Data_Prices!$A:$A,0)),T$279)</f>
        <v>0.5530309043964039</v>
      </c>
      <c r="U264" s="22">
        <f>POSTTAX(U254,INDEX(Data_Prices!U:U,MATCH($G264,Data_Prices!$A:$A,0)),U$279)</f>
        <v>0.58501973450651246</v>
      </c>
      <c r="V264" s="22">
        <f>POSTTAX(V254,INDEX(Data_Prices!V:V,MATCH($G264,Data_Prices!$A:$A,0)),V$279)</f>
        <v>0.6170085646166209</v>
      </c>
      <c r="W264" s="22">
        <f>POSTTAX(W254,INDEX(Data_Prices!W:W,MATCH($G264,Data_Prices!$A:$A,0)),W$279)</f>
        <v>0.64899739472672935</v>
      </c>
      <c r="X264" s="22">
        <f>POSTTAX(X254,INDEX(Data_Prices!X:X,MATCH($G264,Data_Prices!$A:$A,0)),X$279)</f>
        <v>0.68098622483683791</v>
      </c>
      <c r="Y264" s="22">
        <f>POSTTAX(Y254,INDEX(Data_Prices!Y:Y,MATCH($G264,Data_Prices!$A:$A,0)),Y$279)</f>
        <v>0.71297505494694646</v>
      </c>
      <c r="Z264" s="22">
        <f>POSTTAX(Z254,INDEX(Data_Prices!Z:Z,MATCH($G264,Data_Prices!$A:$A,0)),Z$279)</f>
        <v>0.7449638850570548</v>
      </c>
      <c r="AA264" s="22">
        <f>POSTTAX(AA254,INDEX(Data_Prices!AA:AA,MATCH($G264,Data_Prices!$A:$A,0)),AA$279)</f>
        <v>0.77695271516716335</v>
      </c>
      <c r="AB264" s="22">
        <f>POSTTAX(AB254,INDEX(Data_Prices!AB:AB,MATCH($G264,Data_Prices!$A:$A,0)),AB$279)</f>
        <v>0.80894154527727191</v>
      </c>
      <c r="AC264" s="22">
        <f>POSTTAX(AC254,INDEX(Data_Prices!AC:AC,MATCH($G264,Data_Prices!$A:$A,0)),AC$279)</f>
        <v>0.84093037538738025</v>
      </c>
      <c r="AD264" s="22">
        <f>POSTTAX(AD254,INDEX(Data_Prices!AD:AD,MATCH($G264,Data_Prices!$A:$A,0)),AD$279)</f>
        <v>0.8729192054974888</v>
      </c>
      <c r="AE264" s="22">
        <f>POSTTAX(AE254,INDEX(Data_Prices!AE:AE,MATCH($G264,Data_Prices!$A:$A,0)),AE$279)</f>
        <v>0.90490803560759736</v>
      </c>
    </row>
    <row r="265" spans="2:31" x14ac:dyDescent="0.25">
      <c r="B265" s="17" t="s">
        <v>68</v>
      </c>
      <c r="C265" s="17" t="str">
        <f t="shared" si="25"/>
        <v>irn</v>
      </c>
      <c r="D265" s="18" t="s">
        <v>69</v>
      </c>
      <c r="E265" s="19" t="s">
        <v>70</v>
      </c>
      <c r="F265" s="17" t="s">
        <v>77</v>
      </c>
      <c r="G265" s="20" t="str">
        <f>Settings!$B$3&amp;".mit.nce."&amp;Settings!$B$4&amp;"."&amp;$B265&amp;".a."&amp;$J$247</f>
        <v>egy.mit.nce.ind.oop.a.2</v>
      </c>
      <c r="H265" s="21" t="str">
        <f>OUTCODE(Settings!$B$3,"atp",$C$247,$B265,$J$247)</f>
        <v>egy.mit.atp.irn.oop.e.2</v>
      </c>
      <c r="K265" s="22">
        <f>POSTTAX(K255,INDEX(Data_Prices!K:K,MATCH($G265,Data_Prices!$A:$A,0)),K$279)</f>
        <v>41.50033849886843</v>
      </c>
      <c r="L265" s="22">
        <f>POSTTAX(L255,INDEX(Data_Prices!L:L,MATCH($G265,Data_Prices!$A:$A,0)),L$279)</f>
        <v>34.415370304313228</v>
      </c>
      <c r="M265" s="22">
        <f>POSTTAX(M255,INDEX(Data_Prices!M:M,MATCH($G265,Data_Prices!$A:$A,0)),M$279)</f>
        <v>37.368960690432033</v>
      </c>
      <c r="N265" s="22">
        <f>POSTTAX(N255,INDEX(Data_Prices!N:N,MATCH($G265,Data_Prices!$A:$A,0)),N$279)</f>
        <v>28.982761101477251</v>
      </c>
      <c r="O265" s="22">
        <f>POSTTAX(O255,INDEX(Data_Prices!O:O,MATCH($G265,Data_Prices!$A:$A,0)),O$279)</f>
        <v>15</v>
      </c>
      <c r="P265" s="22">
        <f>POSTTAX(P255,INDEX(Data_Prices!P:P,MATCH($G265,Data_Prices!$A:$A,0)),P$279)</f>
        <v>24.2586300842555</v>
      </c>
      <c r="Q265" s="22">
        <f>POSTTAX(Q255,INDEX(Data_Prices!Q:Q,MATCH($G265,Data_Prices!$A:$A,0)),Q$279)</f>
        <v>18.963758196132449</v>
      </c>
      <c r="R265" s="22">
        <f>POSTTAX(R255,INDEX(Data_Prices!R:R,MATCH($G265,Data_Prices!$A:$A,0)),R$279)</f>
        <v>21.76034511401058</v>
      </c>
      <c r="S265" s="22">
        <f>POSTTAX(S255,INDEX(Data_Prices!S:S,MATCH($G265,Data_Prices!$A:$A,0)),S$279)</f>
        <v>26.079880691373617</v>
      </c>
      <c r="T265" s="22">
        <f>POSTTAX(T255,INDEX(Data_Prices!T:T,MATCH($G265,Data_Prices!$A:$A,0)),T$279)</f>
        <v>30.593682445209222</v>
      </c>
      <c r="U265" s="22">
        <f>POSTTAX(U255,INDEX(Data_Prices!U:U,MATCH($G265,Data_Prices!$A:$A,0)),U$279)</f>
        <v>34.990509739410058</v>
      </c>
      <c r="V265" s="22">
        <f>POSTTAX(V255,INDEX(Data_Prices!V:V,MATCH($G265,Data_Prices!$A:$A,0)),V$279)</f>
        <v>40.858059739410059</v>
      </c>
      <c r="W265" s="22">
        <f>POSTTAX(W255,INDEX(Data_Prices!W:W,MATCH($G265,Data_Prices!$A:$A,0)),W$279)</f>
        <v>46.725609739410061</v>
      </c>
      <c r="X265" s="22">
        <f>POSTTAX(X255,INDEX(Data_Prices!X:X,MATCH($G265,Data_Prices!$A:$A,0)),X$279)</f>
        <v>52.593159739410055</v>
      </c>
      <c r="Y265" s="22">
        <f>POSTTAX(Y255,INDEX(Data_Prices!Y:Y,MATCH($G265,Data_Prices!$A:$A,0)),Y$279)</f>
        <v>58.460709739410071</v>
      </c>
      <c r="Z265" s="22">
        <f>POSTTAX(Z255,INDEX(Data_Prices!Z:Z,MATCH($G265,Data_Prices!$A:$A,0)),Z$279)</f>
        <v>64.328259739410072</v>
      </c>
      <c r="AA265" s="22">
        <f>POSTTAX(AA255,INDEX(Data_Prices!AA:AA,MATCH($G265,Data_Prices!$A:$A,0)),AA$279)</f>
        <v>70.195809739410066</v>
      </c>
      <c r="AB265" s="22">
        <f>POSTTAX(AB255,INDEX(Data_Prices!AB:AB,MATCH($G265,Data_Prices!$A:$A,0)),AB$279)</f>
        <v>76.06335973941006</v>
      </c>
      <c r="AC265" s="22">
        <f>POSTTAX(AC255,INDEX(Data_Prices!AC:AC,MATCH($G265,Data_Prices!$A:$A,0)),AC$279)</f>
        <v>81.930909739410055</v>
      </c>
      <c r="AD265" s="22">
        <f>POSTTAX(AD255,INDEX(Data_Prices!AD:AD,MATCH($G265,Data_Prices!$A:$A,0)),AD$279)</f>
        <v>87.798459739410063</v>
      </c>
      <c r="AE265" s="22">
        <f>POSTTAX(AE255,INDEX(Data_Prices!AE:AE,MATCH($G265,Data_Prices!$A:$A,0)),AE$279)</f>
        <v>93.666009739410057</v>
      </c>
    </row>
    <row r="266" spans="2:31" x14ac:dyDescent="0.25">
      <c r="B266" s="17" t="s">
        <v>71</v>
      </c>
      <c r="C266" s="17" t="str">
        <f t="shared" si="25"/>
        <v>irn</v>
      </c>
      <c r="D266" s="18" t="s">
        <v>72</v>
      </c>
      <c r="E266" s="19" t="s">
        <v>55</v>
      </c>
      <c r="F266" s="17" t="s">
        <v>77</v>
      </c>
      <c r="G266" s="20" t="str">
        <f>Settings!$B$3&amp;".mit.nce."&amp;Settings!$B$4&amp;"."&amp;$B266&amp;".a."&amp;$J$247</f>
        <v>egy.mit.nce.ind.bio.a.2</v>
      </c>
      <c r="H266" s="21" t="str">
        <f>OUTCODE(Settings!$B$3,"atp",$C$247,$B266,$J$247)</f>
        <v>egy.mit.atp.irn.bio.e.2</v>
      </c>
      <c r="K266" s="22">
        <f>POSTTAX(K256,INDEX(Data_Prices!K:K,MATCH($G266,Data_Prices!$A:$A,0)),K$279)</f>
        <v>15.33455052931693</v>
      </c>
      <c r="L266" s="22">
        <f>POSTTAX(L256,INDEX(Data_Prices!L:L,MATCH($G266,Data_Prices!$A:$A,0)),L$279)</f>
        <v>14.199528390634921</v>
      </c>
      <c r="M266" s="22">
        <f>POSTTAX(M256,INDEX(Data_Prices!M:M,MATCH($G266,Data_Prices!$A:$A,0)),M$279)</f>
        <v>13.840441613315161</v>
      </c>
      <c r="N266" s="22">
        <f>POSTTAX(N256,INDEX(Data_Prices!N:N,MATCH($G266,Data_Prices!$A:$A,0)),N$279)</f>
        <v>13.5677269404465</v>
      </c>
      <c r="O266" s="22">
        <f>POSTTAX(O256,INDEX(Data_Prices!O:O,MATCH($G266,Data_Prices!$A:$A,0)),O$279)</f>
        <v>13.5677269404465</v>
      </c>
      <c r="P266" s="22">
        <f>POSTTAX(P256,INDEX(Data_Prices!P:P,MATCH($G266,Data_Prices!$A:$A,0)),P$279)</f>
        <v>13.5677269404465</v>
      </c>
      <c r="Q266" s="22">
        <f>POSTTAX(Q256,INDEX(Data_Prices!Q:Q,MATCH($G266,Data_Prices!$A:$A,0)),Q$279)</f>
        <v>13.5677269404465</v>
      </c>
      <c r="R266" s="22">
        <f>POSTTAX(R256,INDEX(Data_Prices!R:R,MATCH($G266,Data_Prices!$A:$A,0)),R$279)</f>
        <v>13.5677269404465</v>
      </c>
      <c r="S266" s="22">
        <f>POSTTAX(S256,INDEX(Data_Prices!S:S,MATCH($G266,Data_Prices!$A:$A,0)),S$279)</f>
        <v>13.5677269404465</v>
      </c>
      <c r="T266" s="22">
        <f>POSTTAX(T256,INDEX(Data_Prices!T:T,MATCH($G266,Data_Prices!$A:$A,0)),T$279)</f>
        <v>13.5677269404465</v>
      </c>
      <c r="U266" s="22">
        <f>POSTTAX(U256,INDEX(Data_Prices!U:U,MATCH($G266,Data_Prices!$A:$A,0)),U$279)</f>
        <v>13.5677269404465</v>
      </c>
      <c r="V266" s="22">
        <f>POSTTAX(V256,INDEX(Data_Prices!V:V,MATCH($G266,Data_Prices!$A:$A,0)),V$279)</f>
        <v>13.5677269404465</v>
      </c>
      <c r="W266" s="22">
        <f>POSTTAX(W256,INDEX(Data_Prices!W:W,MATCH($G266,Data_Prices!$A:$A,0)),W$279)</f>
        <v>13.5677269404465</v>
      </c>
      <c r="X266" s="22">
        <f>POSTTAX(X256,INDEX(Data_Prices!X:X,MATCH($G266,Data_Prices!$A:$A,0)),X$279)</f>
        <v>13.5677269404465</v>
      </c>
      <c r="Y266" s="22">
        <f>POSTTAX(Y256,INDEX(Data_Prices!Y:Y,MATCH($G266,Data_Prices!$A:$A,0)),Y$279)</f>
        <v>13.5677269404465</v>
      </c>
      <c r="Z266" s="22">
        <f>POSTTAX(Z256,INDEX(Data_Prices!Z:Z,MATCH($G266,Data_Prices!$A:$A,0)),Z$279)</f>
        <v>13.5677269404465</v>
      </c>
      <c r="AA266" s="22">
        <f>POSTTAX(AA256,INDEX(Data_Prices!AA:AA,MATCH($G266,Data_Prices!$A:$A,0)),AA$279)</f>
        <v>13.5677269404465</v>
      </c>
      <c r="AB266" s="22">
        <f>POSTTAX(AB256,INDEX(Data_Prices!AB:AB,MATCH($G266,Data_Prices!$A:$A,0)),AB$279)</f>
        <v>13.5677269404465</v>
      </c>
      <c r="AC266" s="22">
        <f>POSTTAX(AC256,INDEX(Data_Prices!AC:AC,MATCH($G266,Data_Prices!$A:$A,0)),AC$279)</f>
        <v>13.5677269404465</v>
      </c>
      <c r="AD266" s="22">
        <f>POSTTAX(AD256,INDEX(Data_Prices!AD:AD,MATCH($G266,Data_Prices!$A:$A,0)),AD$279)</f>
        <v>13.5677269404465</v>
      </c>
      <c r="AE266" s="22">
        <f>POSTTAX(AE256,INDEX(Data_Prices!AE:AE,MATCH($G266,Data_Prices!$A:$A,0)),AE$279)</f>
        <v>13.5677269404465</v>
      </c>
    </row>
    <row r="267" spans="2:31" x14ac:dyDescent="0.25">
      <c r="B267" s="17" t="s">
        <v>73</v>
      </c>
      <c r="C267" s="17" t="str">
        <f t="shared" si="25"/>
        <v>irn</v>
      </c>
      <c r="D267" s="18" t="s">
        <v>74</v>
      </c>
      <c r="E267" s="19" t="s">
        <v>75</v>
      </c>
      <c r="F267" s="17" t="s">
        <v>77</v>
      </c>
      <c r="G267" s="20" t="str">
        <f>Settings!$B$3&amp;".mit.nce."&amp;Settings!$B$4&amp;"."&amp;$B267&amp;".a."&amp;$J$247</f>
        <v>egy.mit.nce.ind.ren.a.2</v>
      </c>
      <c r="H267" s="21" t="str">
        <f>OUTCODE(Settings!$B$3,"atp",$C$247,$B267,$J$247)</f>
        <v>egy.mit.atp.irn.ren.e.2</v>
      </c>
      <c r="K267" s="22">
        <f>POSTTAX(K257,INDEX(Data_Prices!K:K,MATCH($G267,Data_Prices!$A:$A,0)),K$279)</f>
        <v>0</v>
      </c>
      <c r="L267" s="22">
        <f>POSTTAX(L257,INDEX(Data_Prices!L:L,MATCH($G267,Data_Prices!$A:$A,0)),L$279)</f>
        <v>0.14404498679319799</v>
      </c>
      <c r="M267" s="22">
        <f>POSTTAX(M257,INDEX(Data_Prices!M:M,MATCH($G267,Data_Prices!$A:$A,0)),M$279)</f>
        <v>0.14138624175135939</v>
      </c>
      <c r="N267" s="22">
        <f>POSTTAX(N257,INDEX(Data_Prices!N:N,MATCH($G267,Data_Prices!$A:$A,0)),N$279)</f>
        <v>0.1353975654437313</v>
      </c>
      <c r="O267" s="22">
        <f>POSTTAX(O257,INDEX(Data_Prices!O:O,MATCH($G267,Data_Prices!$A:$A,0)),O$279)</f>
        <v>0.13152288542065141</v>
      </c>
      <c r="P267" s="22">
        <f>POSTTAX(P257,INDEX(Data_Prices!P:P,MATCH($G267,Data_Prices!$A:$A,0)),P$279)</f>
        <v>0.12882610848523129</v>
      </c>
      <c r="Q267" s="22">
        <f>POSTTAX(Q257,INDEX(Data_Prices!Q:Q,MATCH($G267,Data_Prices!$A:$A,0)),Q$279)</f>
        <v>0.1259420097647401</v>
      </c>
      <c r="R267" s="22">
        <f>POSTTAX(R257,INDEX(Data_Prices!R:R,MATCH($G267,Data_Prices!$A:$A,0)),R$279)</f>
        <v>0.1231132657018609</v>
      </c>
      <c r="S267" s="22">
        <f>POSTTAX(S257,INDEX(Data_Prices!S:S,MATCH($G267,Data_Prices!$A:$A,0)),S$279)</f>
        <v>0.1193917380890684</v>
      </c>
      <c r="T267" s="22">
        <f>POSTTAX(T257,INDEX(Data_Prices!T:T,MATCH($G267,Data_Prices!$A:$A,0)),T$279)</f>
        <v>0.1155441904679203</v>
      </c>
      <c r="U267" s="22">
        <f>POSTTAX(U257,INDEX(Data_Prices!U:U,MATCH($G267,Data_Prices!$A:$A,0)),U$279)</f>
        <v>0.11492423065415899</v>
      </c>
      <c r="V267" s="22">
        <f>POSTTAX(V257,INDEX(Data_Prices!V:V,MATCH($G267,Data_Prices!$A:$A,0)),V$279)</f>
        <v>0.11434691211673639</v>
      </c>
      <c r="W267" s="22">
        <f>POSTTAX(W257,INDEX(Data_Prices!W:W,MATCH($G267,Data_Prices!$A:$A,0)),W$279)</f>
        <v>0.1137387111726635</v>
      </c>
      <c r="X267" s="22">
        <f>POSTTAX(X257,INDEX(Data_Prices!X:X,MATCH($G267,Data_Prices!$A:$A,0)),X$279)</f>
        <v>0.1129999004875214</v>
      </c>
      <c r="Y267" s="22">
        <f>POSTTAX(Y257,INDEX(Data_Prices!Y:Y,MATCH($G267,Data_Prices!$A:$A,0)),Y$279)</f>
        <v>0.11217768583553429</v>
      </c>
      <c r="Z267" s="22">
        <f>POSTTAX(Z257,INDEX(Data_Prices!Z:Z,MATCH($G267,Data_Prices!$A:$A,0)),Z$279)</f>
        <v>0.1114179032504042</v>
      </c>
      <c r="AA267" s="22">
        <f>POSTTAX(AA257,INDEX(Data_Prices!AA:AA,MATCH($G267,Data_Prices!$A:$A,0)),AA$279)</f>
        <v>0.1105258199854538</v>
      </c>
      <c r="AB267" s="22">
        <f>POSTTAX(AB257,INDEX(Data_Prices!AB:AB,MATCH($G267,Data_Prices!$A:$A,0)),AB$279)</f>
        <v>0.1096995652348958</v>
      </c>
      <c r="AC267" s="22">
        <f>POSTTAX(AC257,INDEX(Data_Prices!AC:AC,MATCH($G267,Data_Prices!$A:$A,0)),AC$279)</f>
        <v>0.1077267889639492</v>
      </c>
      <c r="AD267" s="22">
        <f>POSTTAX(AD257,INDEX(Data_Prices!AD:AD,MATCH($G267,Data_Prices!$A:$A,0)),AD$279)</f>
        <v>0.1058209244509353</v>
      </c>
      <c r="AE267" s="22">
        <f>POSTTAX(AE257,INDEX(Data_Prices!AE:AE,MATCH($G267,Data_Prices!$A:$A,0)),AE$279)</f>
        <v>0.1038555957057212</v>
      </c>
    </row>
    <row r="268" spans="2:31" x14ac:dyDescent="0.25">
      <c r="B268" s="16" t="s">
        <v>78</v>
      </c>
    </row>
    <row r="269" spans="2:31" x14ac:dyDescent="0.25">
      <c r="B269" s="17" t="s">
        <v>53</v>
      </c>
      <c r="C269" s="17" t="str">
        <f t="shared" ref="C269:C277" si="26">$C$247</f>
        <v>irn</v>
      </c>
      <c r="D269" s="18" t="s">
        <v>54</v>
      </c>
      <c r="E269" s="19" t="s">
        <v>55</v>
      </c>
      <c r="F269" s="17" t="s">
        <v>79</v>
      </c>
      <c r="G269" s="20" t="str">
        <f>Settings!$B$3&amp;".mit.shp."&amp;$B269&amp;"."&amp;Settings!$B$4&amp;"."&amp;$J$247</f>
        <v>egy.mit.shp.coa.ind.2</v>
      </c>
      <c r="H269" s="21" t="str">
        <f>OUTCODE(Settings!$B$3,"shp",$C$247,$B269,$J$247)</f>
        <v>egy.mit.shp.irn.coa.e.2</v>
      </c>
      <c r="K269" s="23">
        <f>SHADOW(K259,INDEX(Data_Prices!K:K,MATCH($G269,Data_Prices!$A:$A,0)),K$280)</f>
        <v>11.18290158924394</v>
      </c>
      <c r="L269" s="23">
        <f>SHADOW(L259,INDEX(Data_Prices!L:L,MATCH($G269,Data_Prices!$A:$A,0)),L$280)</f>
        <v>10.52336134543121</v>
      </c>
      <c r="M269" s="23">
        <f>SHADOW(M259,INDEX(Data_Prices!M:M,MATCH($G269,Data_Prices!$A:$A,0)),M$280)</f>
        <v>10.299560827444211</v>
      </c>
      <c r="N269" s="23">
        <f>SHADOW(N259,INDEX(Data_Prices!N:N,MATCH($G269,Data_Prices!$A:$A,0)),N$280)</f>
        <v>9.5775283595382632</v>
      </c>
      <c r="O269" s="23">
        <f>SHADOW(O259,INDEX(Data_Prices!O:O,MATCH($G269,Data_Prices!$A:$A,0)),O$280)</f>
        <v>8.4854782869580454</v>
      </c>
      <c r="P269" s="23">
        <f>SHADOW(P259,INDEX(Data_Prices!P:P,MATCH($G269,Data_Prices!$A:$A,0)),P$280)</f>
        <v>9.0871922352498604</v>
      </c>
      <c r="Q269" s="23">
        <f>SHADOW(Q259,INDEX(Data_Prices!Q:Q,MATCH($G269,Data_Prices!$A:$A,0)),Q$280)</f>
        <v>10.472923728932681</v>
      </c>
      <c r="R269" s="23">
        <f>SHADOW(R259,INDEX(Data_Prices!R:R,MATCH($G269,Data_Prices!$A:$A,0)),R$280)</f>
        <v>11.658564955509688</v>
      </c>
      <c r="S269" s="23">
        <f>SHADOW(S259,INDEX(Data_Prices!S:S,MATCH($G269,Data_Prices!$A:$A,0)),S$280)</f>
        <v>12.839547877397377</v>
      </c>
      <c r="T269" s="23">
        <f>SHADOW(T259,INDEX(Data_Prices!T:T,MATCH($G269,Data_Prices!$A:$A,0)),T$280)</f>
        <v>14.01568166602283</v>
      </c>
      <c r="U269" s="23">
        <f>SHADOW(U259,INDEX(Data_Prices!U:U,MATCH($G269,Data_Prices!$A:$A,0)),U$280)</f>
        <v>15.194397765557106</v>
      </c>
      <c r="V269" s="23">
        <f>SHADOW(V259,INDEX(Data_Prices!V:V,MATCH($G269,Data_Prices!$A:$A,0)),V$280)</f>
        <v>16.444397765557106</v>
      </c>
      <c r="W269" s="23">
        <f>SHADOW(W259,INDEX(Data_Prices!W:W,MATCH($G269,Data_Prices!$A:$A,0)),W$280)</f>
        <v>17.694397765557106</v>
      </c>
      <c r="X269" s="23">
        <f>SHADOW(X259,INDEX(Data_Prices!X:X,MATCH($G269,Data_Prices!$A:$A,0)),X$280)</f>
        <v>18.944397765557106</v>
      </c>
      <c r="Y269" s="23">
        <f>SHADOW(Y259,INDEX(Data_Prices!Y:Y,MATCH($G269,Data_Prices!$A:$A,0)),Y$280)</f>
        <v>20.194397765557106</v>
      </c>
      <c r="Z269" s="23">
        <f>SHADOW(Z259,INDEX(Data_Prices!Z:Z,MATCH($G269,Data_Prices!$A:$A,0)),Z$280)</f>
        <v>21.444397765557106</v>
      </c>
      <c r="AA269" s="23">
        <f>SHADOW(AA259,INDEX(Data_Prices!AA:AA,MATCH($G269,Data_Prices!$A:$A,0)),AA$280)</f>
        <v>22.694397765557106</v>
      </c>
      <c r="AB269" s="23">
        <f>SHADOW(AB259,INDEX(Data_Prices!AB:AB,MATCH($G269,Data_Prices!$A:$A,0)),AB$280)</f>
        <v>23.944397765557106</v>
      </c>
      <c r="AC269" s="23">
        <f>SHADOW(AC259,INDEX(Data_Prices!AC:AC,MATCH($G269,Data_Prices!$A:$A,0)),AC$280)</f>
        <v>25.194397765557106</v>
      </c>
      <c r="AD269" s="23">
        <f>SHADOW(AD259,INDEX(Data_Prices!AD:AD,MATCH($G269,Data_Prices!$A:$A,0)),AD$280)</f>
        <v>26.444397765557106</v>
      </c>
      <c r="AE269" s="23">
        <f>SHADOW(AE259,INDEX(Data_Prices!AE:AE,MATCH($G269,Data_Prices!$A:$A,0)),AE$280)</f>
        <v>27.694397765557106</v>
      </c>
    </row>
    <row r="270" spans="2:31" x14ac:dyDescent="0.25">
      <c r="B270" s="17" t="s">
        <v>57</v>
      </c>
      <c r="C270" s="17" t="str">
        <f t="shared" si="26"/>
        <v>irn</v>
      </c>
      <c r="D270" s="18" t="s">
        <v>58</v>
      </c>
      <c r="E270" s="19" t="s">
        <v>55</v>
      </c>
      <c r="F270" s="17" t="s">
        <v>79</v>
      </c>
      <c r="G270" s="20" t="str">
        <f>Settings!$B$3&amp;".mit.shp."&amp;$B270&amp;"."&amp;Settings!$B$4&amp;"."&amp;$J$247</f>
        <v>egy.mit.shp.nga.ind.2</v>
      </c>
      <c r="H270" s="21" t="str">
        <f>OUTCODE(Settings!$B$3,"shp",$C$247,$B270,$J$247)</f>
        <v>egy.mit.shp.irn.nga.e.2</v>
      </c>
      <c r="K270" s="23">
        <f>SHADOW(K260,INDEX(Data_Prices!K:K,MATCH($G270,Data_Prices!$A:$A,0)),K$280)</f>
        <v>6.0634636156729131</v>
      </c>
      <c r="L270" s="23">
        <f>SHADOW(L260,INDEX(Data_Prices!L:L,MATCH($G270,Data_Prices!$A:$A,0)),L$280)</f>
        <v>5.4510150816191896</v>
      </c>
      <c r="M270" s="23">
        <f>SHADOW(M260,INDEX(Data_Prices!M:M,MATCH($G270,Data_Prices!$A:$A,0)),M$280)</f>
        <v>5.1193563062624818</v>
      </c>
      <c r="N270" s="23">
        <f>SHADOW(N260,INDEX(Data_Prices!N:N,MATCH($G270,Data_Prices!$A:$A,0)),N$280)</f>
        <v>5.0821845864040727</v>
      </c>
      <c r="O270" s="23">
        <f>SHADOW(O260,INDEX(Data_Prices!O:O,MATCH($G270,Data_Prices!$A:$A,0)),O$280)</f>
        <v>5.0821845864040727</v>
      </c>
      <c r="P270" s="23">
        <f>SHADOW(P260,INDEX(Data_Prices!P:P,MATCH($G270,Data_Prices!$A:$A,0)),P$280)</f>
        <v>5.0821845864040727</v>
      </c>
      <c r="Q270" s="23">
        <f>SHADOW(Q260,INDEX(Data_Prices!Q:Q,MATCH($G270,Data_Prices!$A:$A,0)),Q$280)</f>
        <v>5.7796845864040725</v>
      </c>
      <c r="R270" s="23">
        <f>SHADOW(R260,INDEX(Data_Prices!R:R,MATCH($G270,Data_Prices!$A:$A,0)),R$280)</f>
        <v>6.4771845864040731</v>
      </c>
      <c r="S270" s="23">
        <f>SHADOW(S260,INDEX(Data_Prices!S:S,MATCH($G270,Data_Prices!$A:$A,0)),S$280)</f>
        <v>7.1746845864040729</v>
      </c>
      <c r="T270" s="23">
        <f>SHADOW(T260,INDEX(Data_Prices!T:T,MATCH($G270,Data_Prices!$A:$A,0)),T$280)</f>
        <v>7.8721845864040736</v>
      </c>
      <c r="U270" s="23">
        <f>SHADOW(U260,INDEX(Data_Prices!U:U,MATCH($G270,Data_Prices!$A:$A,0)),U$280)</f>
        <v>8.5696845864040725</v>
      </c>
      <c r="V270" s="23">
        <f>SHADOW(V260,INDEX(Data_Prices!V:V,MATCH($G270,Data_Prices!$A:$A,0)),V$280)</f>
        <v>9.2671845864040723</v>
      </c>
      <c r="W270" s="23">
        <f>SHADOW(W260,INDEX(Data_Prices!W:W,MATCH($G270,Data_Prices!$A:$A,0)),W$280)</f>
        <v>9.9646845864040721</v>
      </c>
      <c r="X270" s="23">
        <f>SHADOW(X260,INDEX(Data_Prices!X:X,MATCH($G270,Data_Prices!$A:$A,0)),X$280)</f>
        <v>10.662184586404072</v>
      </c>
      <c r="Y270" s="23">
        <f>SHADOW(Y260,INDEX(Data_Prices!Y:Y,MATCH($G270,Data_Prices!$A:$A,0)),Y$280)</f>
        <v>11.359684586404072</v>
      </c>
      <c r="Z270" s="23">
        <f>SHADOW(Z260,INDEX(Data_Prices!Z:Z,MATCH($G270,Data_Prices!$A:$A,0)),Z$280)</f>
        <v>12.057184586404073</v>
      </c>
      <c r="AA270" s="23">
        <f>SHADOW(AA260,INDEX(Data_Prices!AA:AA,MATCH($G270,Data_Prices!$A:$A,0)),AA$280)</f>
        <v>12.754684586404071</v>
      </c>
      <c r="AB270" s="23">
        <f>SHADOW(AB260,INDEX(Data_Prices!AB:AB,MATCH($G270,Data_Prices!$A:$A,0)),AB$280)</f>
        <v>13.452184586404073</v>
      </c>
      <c r="AC270" s="23">
        <f>SHADOW(AC260,INDEX(Data_Prices!AC:AC,MATCH($G270,Data_Prices!$A:$A,0)),AC$280)</f>
        <v>14.149684586404071</v>
      </c>
      <c r="AD270" s="23">
        <f>SHADOW(AD260,INDEX(Data_Prices!AD:AD,MATCH($G270,Data_Prices!$A:$A,0)),AD$280)</f>
        <v>14.847184586404072</v>
      </c>
      <c r="AE270" s="23">
        <f>SHADOW(AE260,INDEX(Data_Prices!AE:AE,MATCH($G270,Data_Prices!$A:$A,0)),AE$280)</f>
        <v>15.544684586404072</v>
      </c>
    </row>
    <row r="271" spans="2:31" x14ac:dyDescent="0.25">
      <c r="B271" s="17" t="s">
        <v>59</v>
      </c>
      <c r="C271" s="17" t="str">
        <f t="shared" si="26"/>
        <v>irn</v>
      </c>
      <c r="D271" s="18" t="s">
        <v>60</v>
      </c>
      <c r="E271" s="19" t="s">
        <v>61</v>
      </c>
      <c r="F271" s="17" t="s">
        <v>79</v>
      </c>
      <c r="G271" s="20" t="str">
        <f>Settings!$B$3&amp;".mit.shp."&amp;$B271&amp;"."&amp;Settings!$B$4&amp;"."&amp;$J$247</f>
        <v>egy.mit.shp.gso.ind.2</v>
      </c>
      <c r="H271" s="21" t="str">
        <f>OUTCODE(Settings!$B$3,"shp",$C$247,$B271,$J$247)</f>
        <v>egy.mit.shp.irn.gso.e.2</v>
      </c>
      <c r="K271" s="23">
        <f>SHADOW(K261,INDEX(Data_Prices!K:K,MATCH($G271,Data_Prices!$A:$A,0)),K$280)</f>
        <v>0.67114653332181606</v>
      </c>
      <c r="L271" s="23">
        <f>SHADOW(L261,INDEX(Data_Prices!L:L,MATCH($G271,Data_Prices!$A:$A,0)),L$280)</f>
        <v>0.61197797679140631</v>
      </c>
      <c r="M271" s="23">
        <f>SHADOW(M261,INDEX(Data_Prices!M:M,MATCH($G271,Data_Prices!$A:$A,0)),M$280)</f>
        <v>0.61180974964187596</v>
      </c>
      <c r="N271" s="23">
        <f>SHADOW(N261,INDEX(Data_Prices!N:N,MATCH($G271,Data_Prices!$A:$A,0)),N$280)</f>
        <v>0.60358310017790551</v>
      </c>
      <c r="O271" s="23">
        <f>SHADOW(O261,INDEX(Data_Prices!O:O,MATCH($G271,Data_Prices!$A:$A,0)),O$280)</f>
        <v>0.60358310017790551</v>
      </c>
      <c r="P271" s="23">
        <f>SHADOW(P261,INDEX(Data_Prices!P:P,MATCH($G271,Data_Prices!$A:$A,0)),P$280)</f>
        <v>0.60358310017790551</v>
      </c>
      <c r="Q271" s="23">
        <f>SHADOW(Q261,INDEX(Data_Prices!Q:Q,MATCH($G271,Data_Prices!$A:$A,0)),Q$280)</f>
        <v>0.6325109433494055</v>
      </c>
      <c r="R271" s="23">
        <f>SHADOW(R261,INDEX(Data_Prices!R:R,MATCH($G271,Data_Prices!$A:$A,0)),R$280)</f>
        <v>0.66143878652090549</v>
      </c>
      <c r="S271" s="23">
        <f>SHADOW(S261,INDEX(Data_Prices!S:S,MATCH($G271,Data_Prices!$A:$A,0)),S$280)</f>
        <v>0.69036662969240548</v>
      </c>
      <c r="T271" s="23">
        <f>SHADOW(T261,INDEX(Data_Prices!T:T,MATCH($G271,Data_Prices!$A:$A,0)),T$280)</f>
        <v>0.71929447286390547</v>
      </c>
      <c r="U271" s="23">
        <f>SHADOW(U261,INDEX(Data_Prices!U:U,MATCH($G271,Data_Prices!$A:$A,0)),U$280)</f>
        <v>0.74822231603540557</v>
      </c>
      <c r="V271" s="23">
        <f>SHADOW(V261,INDEX(Data_Prices!V:V,MATCH($G271,Data_Prices!$A:$A,0)),V$280)</f>
        <v>0.77715015920690544</v>
      </c>
      <c r="W271" s="23">
        <f>SHADOW(W261,INDEX(Data_Prices!W:W,MATCH($G271,Data_Prices!$A:$A,0)),W$280)</f>
        <v>0.80607800237840554</v>
      </c>
      <c r="X271" s="23">
        <f>SHADOW(X261,INDEX(Data_Prices!X:X,MATCH($G271,Data_Prices!$A:$A,0)),X$280)</f>
        <v>0.83500584554990553</v>
      </c>
      <c r="Y271" s="23">
        <f>SHADOW(Y261,INDEX(Data_Prices!Y:Y,MATCH($G271,Data_Prices!$A:$A,0)),Y$280)</f>
        <v>0.86393368872140552</v>
      </c>
      <c r="Z271" s="23">
        <f>SHADOW(Z261,INDEX(Data_Prices!Z:Z,MATCH($G271,Data_Prices!$A:$A,0)),Z$280)</f>
        <v>0.89286153189290551</v>
      </c>
      <c r="AA271" s="23">
        <f>SHADOW(AA261,INDEX(Data_Prices!AA:AA,MATCH($G271,Data_Prices!$A:$A,0)),AA$280)</f>
        <v>0.92178937506440561</v>
      </c>
      <c r="AB271" s="23">
        <f>SHADOW(AB261,INDEX(Data_Prices!AB:AB,MATCH($G271,Data_Prices!$A:$A,0)),AB$280)</f>
        <v>0.95071721823590549</v>
      </c>
      <c r="AC271" s="23">
        <f>SHADOW(AC261,INDEX(Data_Prices!AC:AC,MATCH($G271,Data_Prices!$A:$A,0)),AC$280)</f>
        <v>0.97964506140740548</v>
      </c>
      <c r="AD271" s="23">
        <f>SHADOW(AD261,INDEX(Data_Prices!AD:AD,MATCH($G271,Data_Prices!$A:$A,0)),AD$280)</f>
        <v>1.0085729045789056</v>
      </c>
      <c r="AE271" s="23">
        <f>SHADOW(AE261,INDEX(Data_Prices!AE:AE,MATCH($G271,Data_Prices!$A:$A,0)),AE$280)</f>
        <v>1.0375007477504057</v>
      </c>
    </row>
    <row r="272" spans="2:31" x14ac:dyDescent="0.25">
      <c r="B272" s="17" t="s">
        <v>62</v>
      </c>
      <c r="C272" s="17" t="str">
        <f t="shared" si="26"/>
        <v>irn</v>
      </c>
      <c r="D272" s="18" t="s">
        <v>63</v>
      </c>
      <c r="E272" s="19" t="s">
        <v>61</v>
      </c>
      <c r="F272" s="17" t="s">
        <v>79</v>
      </c>
      <c r="G272" s="20" t="str">
        <f>Settings!$B$3&amp;".mit.shp."&amp;$B272&amp;"."&amp;Settings!$B$4&amp;"."&amp;$J$247</f>
        <v>egy.mit.shp.die.ind.2</v>
      </c>
      <c r="H272" s="21" t="str">
        <f>OUTCODE(Settings!$B$3,"shp",$C$247,$B272,$J$247)</f>
        <v>egy.mit.shp.irn.die.e.2</v>
      </c>
      <c r="K272" s="23">
        <f>SHADOW(K262,INDEX(Data_Prices!K:K,MATCH($G272,Data_Prices!$A:$A,0)),K$280)</f>
        <v>0.55971121315568761</v>
      </c>
      <c r="L272" s="23">
        <f>SHADOW(L262,INDEX(Data_Prices!L:L,MATCH($G272,Data_Prices!$A:$A,0)),L$280)</f>
        <v>0.49458873084106802</v>
      </c>
      <c r="M272" s="23">
        <f>SHADOW(M262,INDEX(Data_Prices!M:M,MATCH($G272,Data_Prices!$A:$A,0)),M$280)</f>
        <v>0.50778654720250049</v>
      </c>
      <c r="N272" s="23">
        <f>SHADOW(N262,INDEX(Data_Prices!N:N,MATCH($G272,Data_Prices!$A:$A,0)),N$280)</f>
        <v>0.47043642679561742</v>
      </c>
      <c r="O272" s="23">
        <f>SHADOW(O262,INDEX(Data_Prices!O:O,MATCH($G272,Data_Prices!$A:$A,0)),O$280)</f>
        <v>0.47043642679561742</v>
      </c>
      <c r="P272" s="23">
        <f>SHADOW(P262,INDEX(Data_Prices!P:P,MATCH($G272,Data_Prices!$A:$A,0)),P$280)</f>
        <v>0.47043642679561742</v>
      </c>
      <c r="Q272" s="23">
        <f>SHADOW(Q262,INDEX(Data_Prices!Q:Q,MATCH($G272,Data_Prices!$A:$A,0)),Q$280)</f>
        <v>0.50344686565449237</v>
      </c>
      <c r="R272" s="23">
        <f>SHADOW(R262,INDEX(Data_Prices!R:R,MATCH($G272,Data_Prices!$A:$A,0)),R$280)</f>
        <v>0.53645730451336737</v>
      </c>
      <c r="S272" s="23">
        <f>SHADOW(S262,INDEX(Data_Prices!S:S,MATCH($G272,Data_Prices!$A:$A,0)),S$280)</f>
        <v>0.56946774337224249</v>
      </c>
      <c r="T272" s="23">
        <f>SHADOW(T262,INDEX(Data_Prices!T:T,MATCH($G272,Data_Prices!$A:$A,0)),T$280)</f>
        <v>0.60247818223111738</v>
      </c>
      <c r="U272" s="23">
        <f>SHADOW(U262,INDEX(Data_Prices!U:U,MATCH($G272,Data_Prices!$A:$A,0)),U$280)</f>
        <v>0.63548862108999238</v>
      </c>
      <c r="V272" s="23">
        <f>SHADOW(V262,INDEX(Data_Prices!V:V,MATCH($G272,Data_Prices!$A:$A,0)),V$280)</f>
        <v>0.66849905994886738</v>
      </c>
      <c r="W272" s="23">
        <f>SHADOW(W262,INDEX(Data_Prices!W:W,MATCH($G272,Data_Prices!$A:$A,0)),W$280)</f>
        <v>0.70150949880774238</v>
      </c>
      <c r="X272" s="23">
        <f>SHADOW(X262,INDEX(Data_Prices!X:X,MATCH($G272,Data_Prices!$A:$A,0)),X$280)</f>
        <v>0.73451993766661738</v>
      </c>
      <c r="Y272" s="23">
        <f>SHADOW(Y262,INDEX(Data_Prices!Y:Y,MATCH($G272,Data_Prices!$A:$A,0)),Y$280)</f>
        <v>0.76753037652549239</v>
      </c>
      <c r="Z272" s="23">
        <f>SHADOW(Z262,INDEX(Data_Prices!Z:Z,MATCH($G272,Data_Prices!$A:$A,0)),Z$280)</f>
        <v>0.80054081538436739</v>
      </c>
      <c r="AA272" s="23">
        <f>SHADOW(AA262,INDEX(Data_Prices!AA:AA,MATCH($G272,Data_Prices!$A:$A,0)),AA$280)</f>
        <v>0.83355125424324239</v>
      </c>
      <c r="AB272" s="23">
        <f>SHADOW(AB262,INDEX(Data_Prices!AB:AB,MATCH($G272,Data_Prices!$A:$A,0)),AB$280)</f>
        <v>0.86656169310211739</v>
      </c>
      <c r="AC272" s="23">
        <f>SHADOW(AC262,INDEX(Data_Prices!AC:AC,MATCH($G272,Data_Prices!$A:$A,0)),AC$280)</f>
        <v>0.89957213196099239</v>
      </c>
      <c r="AD272" s="23">
        <f>SHADOW(AD262,INDEX(Data_Prices!AD:AD,MATCH($G272,Data_Prices!$A:$A,0)),AD$280)</f>
        <v>0.9325825708198674</v>
      </c>
      <c r="AE272" s="23">
        <f>SHADOW(AE262,INDEX(Data_Prices!AE:AE,MATCH($G272,Data_Prices!$A:$A,0)),AE$280)</f>
        <v>0.9655930096787424</v>
      </c>
    </row>
    <row r="273" spans="2:31" x14ac:dyDescent="0.25">
      <c r="B273" s="17" t="s">
        <v>64</v>
      </c>
      <c r="C273" s="17" t="str">
        <f t="shared" si="26"/>
        <v>irn</v>
      </c>
      <c r="D273" s="18" t="s">
        <v>65</v>
      </c>
      <c r="E273" s="19" t="s">
        <v>61</v>
      </c>
      <c r="F273" s="17" t="s">
        <v>79</v>
      </c>
      <c r="G273" s="20" t="str">
        <f>Settings!$B$3&amp;".mit.shp."&amp;$B273&amp;"."&amp;Settings!$B$4&amp;"."&amp;$J$247</f>
        <v>egy.mit.shp.lpg.ind.2</v>
      </c>
      <c r="H273" s="21" t="str">
        <f>OUTCODE(Settings!$B$3,"shp",$C$247,$B273,$J$247)</f>
        <v>egy.mit.shp.irn.lpg.e.2</v>
      </c>
      <c r="K273" s="23">
        <f>SHADOW(K263,INDEX(Data_Prices!K:K,MATCH($G273,Data_Prices!$A:$A,0)),K$280)</f>
        <v>0.20036669112673841</v>
      </c>
      <c r="L273" s="23">
        <f>SHADOW(L263,INDEX(Data_Prices!L:L,MATCH($G273,Data_Prices!$A:$A,0)),L$280)</f>
        <v>0.1573447362522738</v>
      </c>
      <c r="M273" s="23">
        <f>SHADOW(M263,INDEX(Data_Prices!M:M,MATCH($G273,Data_Prices!$A:$A,0)),M$280)</f>
        <v>0.1644840377592767</v>
      </c>
      <c r="N273" s="23">
        <f>SHADOW(N263,INDEX(Data_Prices!N:N,MATCH($G273,Data_Prices!$A:$A,0)),N$280)</f>
        <v>0.1507090778070489</v>
      </c>
      <c r="O273" s="23">
        <f>SHADOW(O263,INDEX(Data_Prices!O:O,MATCH($G273,Data_Prices!$A:$A,0)),O$280)</f>
        <v>0.1507090778070489</v>
      </c>
      <c r="P273" s="23">
        <f>SHADOW(P263,INDEX(Data_Prices!P:P,MATCH($G273,Data_Prices!$A:$A,0)),P$280)</f>
        <v>0.1507090778070489</v>
      </c>
      <c r="Q273" s="23">
        <f>SHADOW(Q263,INDEX(Data_Prices!Q:Q,MATCH($G273,Data_Prices!$A:$A,0)),Q$280)</f>
        <v>0.17281516073434458</v>
      </c>
      <c r="R273" s="23">
        <f>SHADOW(R263,INDEX(Data_Prices!R:R,MATCH($G273,Data_Prices!$A:$A,0)),R$280)</f>
        <v>0.19492124366164029</v>
      </c>
      <c r="S273" s="23">
        <f>SHADOW(S263,INDEX(Data_Prices!S:S,MATCH($G273,Data_Prices!$A:$A,0)),S$280)</f>
        <v>0.21702732658893598</v>
      </c>
      <c r="T273" s="23">
        <f>SHADOW(T263,INDEX(Data_Prices!T:T,MATCH($G273,Data_Prices!$A:$A,0)),T$280)</f>
        <v>0.23913340951623169</v>
      </c>
      <c r="U273" s="23">
        <f>SHADOW(U263,INDEX(Data_Prices!U:U,MATCH($G273,Data_Prices!$A:$A,0)),U$280)</f>
        <v>0.2612394924435274</v>
      </c>
      <c r="V273" s="23">
        <f>SHADOW(V263,INDEX(Data_Prices!V:V,MATCH($G273,Data_Prices!$A:$A,0)),V$280)</f>
        <v>0.28334557537082311</v>
      </c>
      <c r="W273" s="23">
        <f>SHADOW(W263,INDEX(Data_Prices!W:W,MATCH($G273,Data_Prices!$A:$A,0)),W$280)</f>
        <v>0.30545165829811882</v>
      </c>
      <c r="X273" s="23">
        <f>SHADOW(X263,INDEX(Data_Prices!X:X,MATCH($G273,Data_Prices!$A:$A,0)),X$280)</f>
        <v>0.32755774122541448</v>
      </c>
      <c r="Y273" s="23">
        <f>SHADOW(Y263,INDEX(Data_Prices!Y:Y,MATCH($G273,Data_Prices!$A:$A,0)),Y$280)</f>
        <v>0.34966382415271013</v>
      </c>
      <c r="Z273" s="23">
        <f>SHADOW(Z263,INDEX(Data_Prices!Z:Z,MATCH($G273,Data_Prices!$A:$A,0)),Z$280)</f>
        <v>0.37176990708000579</v>
      </c>
      <c r="AA273" s="23">
        <f>SHADOW(AA263,INDEX(Data_Prices!AA:AA,MATCH($G273,Data_Prices!$A:$A,0)),AA$280)</f>
        <v>0.3938759900073015</v>
      </c>
      <c r="AB273" s="23">
        <f>SHADOW(AB263,INDEX(Data_Prices!AB:AB,MATCH($G273,Data_Prices!$A:$A,0)),AB$280)</f>
        <v>0.41598207293459721</v>
      </c>
      <c r="AC273" s="23">
        <f>SHADOW(AC263,INDEX(Data_Prices!AC:AC,MATCH($G273,Data_Prices!$A:$A,0)),AC$280)</f>
        <v>0.43808815586189287</v>
      </c>
      <c r="AD273" s="23">
        <f>SHADOW(AD263,INDEX(Data_Prices!AD:AD,MATCH($G273,Data_Prices!$A:$A,0)),AD$280)</f>
        <v>0.46019423878918858</v>
      </c>
      <c r="AE273" s="23">
        <f>SHADOW(AE263,INDEX(Data_Prices!AE:AE,MATCH($G273,Data_Prices!$A:$A,0)),AE$280)</f>
        <v>0.48230032171648429</v>
      </c>
    </row>
    <row r="274" spans="2:31" x14ac:dyDescent="0.25">
      <c r="B274" s="17" t="s">
        <v>66</v>
      </c>
      <c r="C274" s="17" t="str">
        <f t="shared" si="26"/>
        <v>irn</v>
      </c>
      <c r="D274" s="18" t="s">
        <v>67</v>
      </c>
      <c r="E274" s="19" t="s">
        <v>61</v>
      </c>
      <c r="F274" s="17" t="s">
        <v>79</v>
      </c>
      <c r="G274" s="20" t="str">
        <f>Settings!$B$3&amp;".mit.shp."&amp;$B274&amp;"."&amp;Settings!$B$4&amp;"."&amp;$J$247</f>
        <v>egy.mit.shp.ker.ind.2</v>
      </c>
      <c r="H274" s="21" t="str">
        <f>OUTCODE(Settings!$B$3,"shp",$C$247,$B274,$J$247)</f>
        <v>egy.mit.shp.irn.ker.e.2</v>
      </c>
      <c r="K274" s="23">
        <f>SHADOW(K264,INDEX(Data_Prices!K:K,MATCH($G274,Data_Prices!$A:$A,0)),K$280)</f>
        <v>0.48429424097343482</v>
      </c>
      <c r="L274" s="23">
        <f>SHADOW(L264,INDEX(Data_Prices!L:L,MATCH($G274,Data_Prices!$A:$A,0)),L$280)</f>
        <v>0.45642817050012813</v>
      </c>
      <c r="M274" s="23">
        <f>SHADOW(M264,INDEX(Data_Prices!M:M,MATCH($G274,Data_Prices!$A:$A,0)),M$280)</f>
        <v>0.43168920195599519</v>
      </c>
      <c r="N274" s="23">
        <f>SHADOW(N264,INDEX(Data_Prices!N:N,MATCH($G274,Data_Prices!$A:$A,0)),N$280)</f>
        <v>0.42507558395596989</v>
      </c>
      <c r="O274" s="23">
        <f>SHADOW(O264,INDEX(Data_Prices!O:O,MATCH($G274,Data_Prices!$A:$A,0)),O$280)</f>
        <v>0.42507558395596989</v>
      </c>
      <c r="P274" s="23">
        <f>SHADOW(P264,INDEX(Data_Prices!P:P,MATCH($G274,Data_Prices!$A:$A,0)),P$280)</f>
        <v>0.42507558395596989</v>
      </c>
      <c r="Q274" s="23">
        <f>SHADOW(Q264,INDEX(Data_Prices!Q:Q,MATCH($G274,Data_Prices!$A:$A,0)),Q$280)</f>
        <v>0.45706441406607839</v>
      </c>
      <c r="R274" s="23">
        <f>SHADOW(R264,INDEX(Data_Prices!R:R,MATCH($G274,Data_Prices!$A:$A,0)),R$280)</f>
        <v>0.4890532441761869</v>
      </c>
      <c r="S274" s="23">
        <f>SHADOW(S264,INDEX(Data_Prices!S:S,MATCH($G274,Data_Prices!$A:$A,0)),S$280)</f>
        <v>0.52104207428629545</v>
      </c>
      <c r="T274" s="23">
        <f>SHADOW(T264,INDEX(Data_Prices!T:T,MATCH($G274,Data_Prices!$A:$A,0)),T$280)</f>
        <v>0.5530309043964039</v>
      </c>
      <c r="U274" s="23">
        <f>SHADOW(U264,INDEX(Data_Prices!U:U,MATCH($G274,Data_Prices!$A:$A,0)),U$280)</f>
        <v>0.58501973450651246</v>
      </c>
      <c r="V274" s="23">
        <f>SHADOW(V264,INDEX(Data_Prices!V:V,MATCH($G274,Data_Prices!$A:$A,0)),V$280)</f>
        <v>0.6170085646166209</v>
      </c>
      <c r="W274" s="23">
        <f>SHADOW(W264,INDEX(Data_Prices!W:W,MATCH($G274,Data_Prices!$A:$A,0)),W$280)</f>
        <v>0.64899739472672935</v>
      </c>
      <c r="X274" s="23">
        <f>SHADOW(X264,INDEX(Data_Prices!X:X,MATCH($G274,Data_Prices!$A:$A,0)),X$280)</f>
        <v>0.68098622483683791</v>
      </c>
      <c r="Y274" s="23">
        <f>SHADOW(Y264,INDEX(Data_Prices!Y:Y,MATCH($G274,Data_Prices!$A:$A,0)),Y$280)</f>
        <v>0.71297505494694646</v>
      </c>
      <c r="Z274" s="23">
        <f>SHADOW(Z264,INDEX(Data_Prices!Z:Z,MATCH($G274,Data_Prices!$A:$A,0)),Z$280)</f>
        <v>0.7449638850570548</v>
      </c>
      <c r="AA274" s="23">
        <f>SHADOW(AA264,INDEX(Data_Prices!AA:AA,MATCH($G274,Data_Prices!$A:$A,0)),AA$280)</f>
        <v>0.77695271516716335</v>
      </c>
      <c r="AB274" s="23">
        <f>SHADOW(AB264,INDEX(Data_Prices!AB:AB,MATCH($G274,Data_Prices!$A:$A,0)),AB$280)</f>
        <v>0.80894154527727191</v>
      </c>
      <c r="AC274" s="23">
        <f>SHADOW(AC264,INDEX(Data_Prices!AC:AC,MATCH($G274,Data_Prices!$A:$A,0)),AC$280)</f>
        <v>0.84093037538738025</v>
      </c>
      <c r="AD274" s="23">
        <f>SHADOW(AD264,INDEX(Data_Prices!AD:AD,MATCH($G274,Data_Prices!$A:$A,0)),AD$280)</f>
        <v>0.8729192054974888</v>
      </c>
      <c r="AE274" s="23">
        <f>SHADOW(AE264,INDEX(Data_Prices!AE:AE,MATCH($G274,Data_Prices!$A:$A,0)),AE$280)</f>
        <v>0.90490803560759736</v>
      </c>
    </row>
    <row r="275" spans="2:31" x14ac:dyDescent="0.25">
      <c r="B275" s="17" t="s">
        <v>68</v>
      </c>
      <c r="C275" s="17" t="str">
        <f t="shared" si="26"/>
        <v>irn</v>
      </c>
      <c r="D275" s="18" t="s">
        <v>69</v>
      </c>
      <c r="E275" s="19" t="s">
        <v>70</v>
      </c>
      <c r="F275" s="17" t="s">
        <v>79</v>
      </c>
      <c r="G275" s="20" t="str">
        <f>Settings!$B$3&amp;".mit.shp."&amp;$B275&amp;"."&amp;Settings!$B$4&amp;"."&amp;$J$247</f>
        <v>egy.mit.shp.oop.ind.2</v>
      </c>
      <c r="H275" s="21" t="str">
        <f>OUTCODE(Settings!$B$3,"shp",$C$247,$B275,$J$247)</f>
        <v>egy.mit.shp.irn.oop.e.2</v>
      </c>
      <c r="K275" s="23">
        <f>SHADOW(K265,INDEX(Data_Prices!K:K,MATCH($G275,Data_Prices!$A:$A,0)),K$280)</f>
        <v>41.50033849886843</v>
      </c>
      <c r="L275" s="23">
        <f>SHADOW(L265,INDEX(Data_Prices!L:L,MATCH($G275,Data_Prices!$A:$A,0)),L$280)</f>
        <v>34.415370304313228</v>
      </c>
      <c r="M275" s="23">
        <f>SHADOW(M265,INDEX(Data_Prices!M:M,MATCH($G275,Data_Prices!$A:$A,0)),M$280)</f>
        <v>37.368960690432033</v>
      </c>
      <c r="N275" s="23">
        <f>SHADOW(N265,INDEX(Data_Prices!N:N,MATCH($G275,Data_Prices!$A:$A,0)),N$280)</f>
        <v>28.982761101477251</v>
      </c>
      <c r="O275" s="23">
        <f>SHADOW(O265,INDEX(Data_Prices!O:O,MATCH($G275,Data_Prices!$A:$A,0)),O$280)</f>
        <v>15</v>
      </c>
      <c r="P275" s="23">
        <f>SHADOW(P265,INDEX(Data_Prices!P:P,MATCH($G275,Data_Prices!$A:$A,0)),P$280)</f>
        <v>24.2586300842555</v>
      </c>
      <c r="Q275" s="23">
        <f>SHADOW(Q265,INDEX(Data_Prices!Q:Q,MATCH($G275,Data_Prices!$A:$A,0)),Q$280)</f>
        <v>18.963758196132449</v>
      </c>
      <c r="R275" s="23">
        <f>SHADOW(R265,INDEX(Data_Prices!R:R,MATCH($G275,Data_Prices!$A:$A,0)),R$280)</f>
        <v>21.76034511401058</v>
      </c>
      <c r="S275" s="23">
        <f>SHADOW(S265,INDEX(Data_Prices!S:S,MATCH($G275,Data_Prices!$A:$A,0)),S$280)</f>
        <v>26.079880691373617</v>
      </c>
      <c r="T275" s="23">
        <f>SHADOW(T265,INDEX(Data_Prices!T:T,MATCH($G275,Data_Prices!$A:$A,0)),T$280)</f>
        <v>30.593682445209222</v>
      </c>
      <c r="U275" s="23">
        <f>SHADOW(U265,INDEX(Data_Prices!U:U,MATCH($G275,Data_Prices!$A:$A,0)),U$280)</f>
        <v>34.990509739410058</v>
      </c>
      <c r="V275" s="23">
        <f>SHADOW(V265,INDEX(Data_Prices!V:V,MATCH($G275,Data_Prices!$A:$A,0)),V$280)</f>
        <v>40.858059739410059</v>
      </c>
      <c r="W275" s="23">
        <f>SHADOW(W265,INDEX(Data_Prices!W:W,MATCH($G275,Data_Prices!$A:$A,0)),W$280)</f>
        <v>46.725609739410061</v>
      </c>
      <c r="X275" s="23">
        <f>SHADOW(X265,INDEX(Data_Prices!X:X,MATCH($G275,Data_Prices!$A:$A,0)),X$280)</f>
        <v>52.593159739410055</v>
      </c>
      <c r="Y275" s="23">
        <f>SHADOW(Y265,INDEX(Data_Prices!Y:Y,MATCH($G275,Data_Prices!$A:$A,0)),Y$280)</f>
        <v>58.460709739410071</v>
      </c>
      <c r="Z275" s="23">
        <f>SHADOW(Z265,INDEX(Data_Prices!Z:Z,MATCH($G275,Data_Prices!$A:$A,0)),Z$280)</f>
        <v>64.328259739410072</v>
      </c>
      <c r="AA275" s="23">
        <f>SHADOW(AA265,INDEX(Data_Prices!AA:AA,MATCH($G275,Data_Prices!$A:$A,0)),AA$280)</f>
        <v>70.195809739410066</v>
      </c>
      <c r="AB275" s="23">
        <f>SHADOW(AB265,INDEX(Data_Prices!AB:AB,MATCH($G275,Data_Prices!$A:$A,0)),AB$280)</f>
        <v>76.06335973941006</v>
      </c>
      <c r="AC275" s="23">
        <f>SHADOW(AC265,INDEX(Data_Prices!AC:AC,MATCH($G275,Data_Prices!$A:$A,0)),AC$280)</f>
        <v>81.930909739410055</v>
      </c>
      <c r="AD275" s="23">
        <f>SHADOW(AD265,INDEX(Data_Prices!AD:AD,MATCH($G275,Data_Prices!$A:$A,0)),AD$280)</f>
        <v>87.798459739410063</v>
      </c>
      <c r="AE275" s="23">
        <f>SHADOW(AE265,INDEX(Data_Prices!AE:AE,MATCH($G275,Data_Prices!$A:$A,0)),AE$280)</f>
        <v>93.666009739410057</v>
      </c>
    </row>
    <row r="276" spans="2:31" x14ac:dyDescent="0.25">
      <c r="B276" s="17" t="s">
        <v>71</v>
      </c>
      <c r="C276" s="17" t="str">
        <f t="shared" si="26"/>
        <v>irn</v>
      </c>
      <c r="D276" s="18" t="s">
        <v>72</v>
      </c>
      <c r="E276" s="19" t="s">
        <v>55</v>
      </c>
      <c r="F276" s="17" t="s">
        <v>79</v>
      </c>
      <c r="G276" s="20" t="str">
        <f>Settings!$B$3&amp;".mit.shp."&amp;$B276&amp;"."&amp;Settings!$B$4&amp;"."&amp;$J$247</f>
        <v>egy.mit.shp.bio.ind.2</v>
      </c>
      <c r="H276" s="21" t="str">
        <f>OUTCODE(Settings!$B$3,"shp",$C$247,$B276,$J$247)</f>
        <v>egy.mit.shp.irn.bio.e.2</v>
      </c>
      <c r="K276" s="23">
        <f>SHADOW(K266,INDEX(Data_Prices!K:K,MATCH($G276,Data_Prices!$A:$A,0)),K$280)</f>
        <v>15.33455052931693</v>
      </c>
      <c r="L276" s="23">
        <f>SHADOW(L266,INDEX(Data_Prices!L:L,MATCH($G276,Data_Prices!$A:$A,0)),L$280)</f>
        <v>14.199528390634921</v>
      </c>
      <c r="M276" s="23">
        <f>SHADOW(M266,INDEX(Data_Prices!M:M,MATCH($G276,Data_Prices!$A:$A,0)),M$280)</f>
        <v>13.840441613315161</v>
      </c>
      <c r="N276" s="23">
        <f>SHADOW(N266,INDEX(Data_Prices!N:N,MATCH($G276,Data_Prices!$A:$A,0)),N$280)</f>
        <v>13.5677269404465</v>
      </c>
      <c r="O276" s="23">
        <f>SHADOW(O266,INDEX(Data_Prices!O:O,MATCH($G276,Data_Prices!$A:$A,0)),O$280)</f>
        <v>13.5677269404465</v>
      </c>
      <c r="P276" s="23">
        <f>SHADOW(P266,INDEX(Data_Prices!P:P,MATCH($G276,Data_Prices!$A:$A,0)),P$280)</f>
        <v>13.5677269404465</v>
      </c>
      <c r="Q276" s="23">
        <f>SHADOW(Q266,INDEX(Data_Prices!Q:Q,MATCH($G276,Data_Prices!$A:$A,0)),Q$280)</f>
        <v>13.5677269404465</v>
      </c>
      <c r="R276" s="23">
        <f>SHADOW(R266,INDEX(Data_Prices!R:R,MATCH($G276,Data_Prices!$A:$A,0)),R$280)</f>
        <v>13.5677269404465</v>
      </c>
      <c r="S276" s="23">
        <f>SHADOW(S266,INDEX(Data_Prices!S:S,MATCH($G276,Data_Prices!$A:$A,0)),S$280)</f>
        <v>13.5677269404465</v>
      </c>
      <c r="T276" s="23">
        <f>SHADOW(T266,INDEX(Data_Prices!T:T,MATCH($G276,Data_Prices!$A:$A,0)),T$280)</f>
        <v>13.5677269404465</v>
      </c>
      <c r="U276" s="23">
        <f>SHADOW(U266,INDEX(Data_Prices!U:U,MATCH($G276,Data_Prices!$A:$A,0)),U$280)</f>
        <v>13.5677269404465</v>
      </c>
      <c r="V276" s="23">
        <f>SHADOW(V266,INDEX(Data_Prices!V:V,MATCH($G276,Data_Prices!$A:$A,0)),V$280)</f>
        <v>13.5677269404465</v>
      </c>
      <c r="W276" s="23">
        <f>SHADOW(W266,INDEX(Data_Prices!W:W,MATCH($G276,Data_Prices!$A:$A,0)),W$280)</f>
        <v>13.5677269404465</v>
      </c>
      <c r="X276" s="23">
        <f>SHADOW(X266,INDEX(Data_Prices!X:X,MATCH($G276,Data_Prices!$A:$A,0)),X$280)</f>
        <v>13.5677269404465</v>
      </c>
      <c r="Y276" s="23">
        <f>SHADOW(Y266,INDEX(Data_Prices!Y:Y,MATCH($G276,Data_Prices!$A:$A,0)),Y$280)</f>
        <v>13.5677269404465</v>
      </c>
      <c r="Z276" s="23">
        <f>SHADOW(Z266,INDEX(Data_Prices!Z:Z,MATCH($G276,Data_Prices!$A:$A,0)),Z$280)</f>
        <v>13.5677269404465</v>
      </c>
      <c r="AA276" s="23">
        <f>SHADOW(AA266,INDEX(Data_Prices!AA:AA,MATCH($G276,Data_Prices!$A:$A,0)),AA$280)</f>
        <v>13.5677269404465</v>
      </c>
      <c r="AB276" s="23">
        <f>SHADOW(AB266,INDEX(Data_Prices!AB:AB,MATCH($G276,Data_Prices!$A:$A,0)),AB$280)</f>
        <v>13.5677269404465</v>
      </c>
      <c r="AC276" s="23">
        <f>SHADOW(AC266,INDEX(Data_Prices!AC:AC,MATCH($G276,Data_Prices!$A:$A,0)),AC$280)</f>
        <v>13.5677269404465</v>
      </c>
      <c r="AD276" s="23">
        <f>SHADOW(AD266,INDEX(Data_Prices!AD:AD,MATCH($G276,Data_Prices!$A:$A,0)),AD$280)</f>
        <v>13.5677269404465</v>
      </c>
      <c r="AE276" s="23">
        <f>SHADOW(AE266,INDEX(Data_Prices!AE:AE,MATCH($G276,Data_Prices!$A:$A,0)),AE$280)</f>
        <v>13.5677269404465</v>
      </c>
    </row>
    <row r="277" spans="2:31" x14ac:dyDescent="0.25">
      <c r="B277" s="17" t="s">
        <v>73</v>
      </c>
      <c r="C277" s="17" t="str">
        <f t="shared" si="26"/>
        <v>irn</v>
      </c>
      <c r="D277" s="18" t="s">
        <v>74</v>
      </c>
      <c r="E277" s="19" t="s">
        <v>75</v>
      </c>
      <c r="F277" s="17" t="s">
        <v>79</v>
      </c>
      <c r="G277" s="20" t="str">
        <f>Settings!$B$3&amp;".mit.shp."&amp;$B277&amp;"."&amp;Settings!$B$4&amp;"."&amp;$J$247</f>
        <v>egy.mit.shp.ren.ind.2</v>
      </c>
      <c r="H277" s="21" t="str">
        <f>OUTCODE(Settings!$B$3,"shp",$C$247,$B277,$J$247)</f>
        <v>egy.mit.shp.irn.ren.e.2</v>
      </c>
      <c r="K277" s="23">
        <f>SHADOW(K267,INDEX(Data_Prices!K:K,MATCH($G277,Data_Prices!$A:$A,0)),K$280)</f>
        <v>0</v>
      </c>
      <c r="L277" s="23">
        <f>SHADOW(L267,INDEX(Data_Prices!L:L,MATCH($G277,Data_Prices!$A:$A,0)),L$280)</f>
        <v>0.14404498679319799</v>
      </c>
      <c r="M277" s="23">
        <f>SHADOW(M267,INDEX(Data_Prices!M:M,MATCH($G277,Data_Prices!$A:$A,0)),M$280)</f>
        <v>0.14138624175135939</v>
      </c>
      <c r="N277" s="23">
        <f>SHADOW(N267,INDEX(Data_Prices!N:N,MATCH($G277,Data_Prices!$A:$A,0)),N$280)</f>
        <v>0.1353975654437313</v>
      </c>
      <c r="O277" s="23">
        <f>SHADOW(O267,INDEX(Data_Prices!O:O,MATCH($G277,Data_Prices!$A:$A,0)),O$280)</f>
        <v>0.13152288542065141</v>
      </c>
      <c r="P277" s="23">
        <f>SHADOW(P267,INDEX(Data_Prices!P:P,MATCH($G277,Data_Prices!$A:$A,0)),P$280)</f>
        <v>0.12882610848523129</v>
      </c>
      <c r="Q277" s="23">
        <f>SHADOW(Q267,INDEX(Data_Prices!Q:Q,MATCH($G277,Data_Prices!$A:$A,0)),Q$280)</f>
        <v>0.1259420097647401</v>
      </c>
      <c r="R277" s="23">
        <f>SHADOW(R267,INDEX(Data_Prices!R:R,MATCH($G277,Data_Prices!$A:$A,0)),R$280)</f>
        <v>0.1231132657018609</v>
      </c>
      <c r="S277" s="23">
        <f>SHADOW(S267,INDEX(Data_Prices!S:S,MATCH($G277,Data_Prices!$A:$A,0)),S$280)</f>
        <v>0.1193917380890684</v>
      </c>
      <c r="T277" s="23">
        <f>SHADOW(T267,INDEX(Data_Prices!T:T,MATCH($G277,Data_Prices!$A:$A,0)),T$280)</f>
        <v>0.1155441904679203</v>
      </c>
      <c r="U277" s="23">
        <f>SHADOW(U267,INDEX(Data_Prices!U:U,MATCH($G277,Data_Prices!$A:$A,0)),U$280)</f>
        <v>0.11492423065415899</v>
      </c>
      <c r="V277" s="23">
        <f>SHADOW(V267,INDEX(Data_Prices!V:V,MATCH($G277,Data_Prices!$A:$A,0)),V$280)</f>
        <v>0.11434691211673639</v>
      </c>
      <c r="W277" s="23">
        <f>SHADOW(W267,INDEX(Data_Prices!W:W,MATCH($G277,Data_Prices!$A:$A,0)),W$280)</f>
        <v>0.1137387111726635</v>
      </c>
      <c r="X277" s="23">
        <f>SHADOW(X267,INDEX(Data_Prices!X:X,MATCH($G277,Data_Prices!$A:$A,0)),X$280)</f>
        <v>0.1129999004875214</v>
      </c>
      <c r="Y277" s="23">
        <f>SHADOW(Y267,INDEX(Data_Prices!Y:Y,MATCH($G277,Data_Prices!$A:$A,0)),Y$280)</f>
        <v>0.11217768583553429</v>
      </c>
      <c r="Z277" s="23">
        <f>SHADOW(Z267,INDEX(Data_Prices!Z:Z,MATCH($G277,Data_Prices!$A:$A,0)),Z$280)</f>
        <v>0.1114179032504042</v>
      </c>
      <c r="AA277" s="23">
        <f>SHADOW(AA267,INDEX(Data_Prices!AA:AA,MATCH($G277,Data_Prices!$A:$A,0)),AA$280)</f>
        <v>0.1105258199854538</v>
      </c>
      <c r="AB277" s="23">
        <f>SHADOW(AB267,INDEX(Data_Prices!AB:AB,MATCH($G277,Data_Prices!$A:$A,0)),AB$280)</f>
        <v>0.1096995652348958</v>
      </c>
      <c r="AC277" s="23">
        <f>SHADOW(AC267,INDEX(Data_Prices!AC:AC,MATCH($G277,Data_Prices!$A:$A,0)),AC$280)</f>
        <v>0.1077267889639492</v>
      </c>
      <c r="AD277" s="23">
        <f>SHADOW(AD267,INDEX(Data_Prices!AD:AD,MATCH($G277,Data_Prices!$A:$A,0)),AD$280)</f>
        <v>0.1058209244509353</v>
      </c>
      <c r="AE277" s="23">
        <f>SHADOW(AE267,INDEX(Data_Prices!AE:AE,MATCH($G277,Data_Prices!$A:$A,0)),AE$280)</f>
        <v>0.1038555957057212</v>
      </c>
    </row>
    <row r="278" spans="2:31" x14ac:dyDescent="0.25">
      <c r="B278" s="16" t="s">
        <v>80</v>
      </c>
    </row>
    <row r="279" spans="2:31" x14ac:dyDescent="0.25">
      <c r="B279" s="17" t="s">
        <v>81</v>
      </c>
      <c r="C279" s="17" t="str">
        <f>$C$247</f>
        <v>irn</v>
      </c>
      <c r="D279" s="18" t="s">
        <v>82</v>
      </c>
      <c r="E279" s="19" t="s">
        <v>83</v>
      </c>
      <c r="F279" s="17" t="s">
        <v>84</v>
      </c>
      <c r="G279" s="20" t="str">
        <f>Settings!$B$3&amp;".mit.tcf."&amp;$C$247&amp;"."&amp;$J$247</f>
        <v>egy.mit.tcf.irn.2</v>
      </c>
      <c r="K279" s="23">
        <f>INDEX(Data_Prices!K:K,MATCH($G279,Data_Prices!$A:$A,0))</f>
        <v>0</v>
      </c>
      <c r="L279" s="23">
        <f>INDEX(Data_Prices!L:L,MATCH($G279,Data_Prices!$A:$A,0))</f>
        <v>0</v>
      </c>
      <c r="M279" s="23">
        <f>INDEX(Data_Prices!M:M,MATCH($G279,Data_Prices!$A:$A,0))</f>
        <v>0</v>
      </c>
      <c r="N279" s="23">
        <f>INDEX(Data_Prices!N:N,MATCH($G279,Data_Prices!$A:$A,0))</f>
        <v>0</v>
      </c>
      <c r="O279" s="23">
        <f>INDEX(Data_Prices!O:O,MATCH($G279,Data_Prices!$A:$A,0))</f>
        <v>0</v>
      </c>
      <c r="P279" s="23">
        <f>INDEX(Data_Prices!P:P,MATCH($G279,Data_Prices!$A:$A,0))</f>
        <v>1</v>
      </c>
      <c r="Q279" s="23">
        <f>INDEX(Data_Prices!Q:Q,MATCH($G279,Data_Prices!$A:$A,0))</f>
        <v>1</v>
      </c>
      <c r="R279" s="23">
        <f>INDEX(Data_Prices!R:R,MATCH($G279,Data_Prices!$A:$A,0))</f>
        <v>1</v>
      </c>
      <c r="S279" s="23">
        <f>INDEX(Data_Prices!S:S,MATCH($G279,Data_Prices!$A:$A,0))</f>
        <v>1</v>
      </c>
      <c r="T279" s="23">
        <f>INDEX(Data_Prices!T:T,MATCH($G279,Data_Prices!$A:$A,0))</f>
        <v>1</v>
      </c>
      <c r="U279" s="23">
        <f>INDEX(Data_Prices!U:U,MATCH($G279,Data_Prices!$A:$A,0))</f>
        <v>1</v>
      </c>
      <c r="V279" s="23">
        <f>INDEX(Data_Prices!V:V,MATCH($G279,Data_Prices!$A:$A,0))</f>
        <v>1</v>
      </c>
      <c r="W279" s="23">
        <f>INDEX(Data_Prices!W:W,MATCH($G279,Data_Prices!$A:$A,0))</f>
        <v>1</v>
      </c>
      <c r="X279" s="23">
        <f>INDEX(Data_Prices!X:X,MATCH($G279,Data_Prices!$A:$A,0))</f>
        <v>1</v>
      </c>
      <c r="Y279" s="23">
        <f>INDEX(Data_Prices!Y:Y,MATCH($G279,Data_Prices!$A:$A,0))</f>
        <v>1</v>
      </c>
      <c r="Z279" s="23">
        <f>INDEX(Data_Prices!Z:Z,MATCH($G279,Data_Prices!$A:$A,0))</f>
        <v>1</v>
      </c>
      <c r="AA279" s="23">
        <f>INDEX(Data_Prices!AA:AA,MATCH($G279,Data_Prices!$A:$A,0))</f>
        <v>1</v>
      </c>
      <c r="AB279" s="23">
        <f>INDEX(Data_Prices!AB:AB,MATCH($G279,Data_Prices!$A:$A,0))</f>
        <v>1</v>
      </c>
      <c r="AC279" s="23">
        <f>INDEX(Data_Prices!AC:AC,MATCH($G279,Data_Prices!$A:$A,0))</f>
        <v>1</v>
      </c>
      <c r="AD279" s="23">
        <f>INDEX(Data_Prices!AD:AD,MATCH($G279,Data_Prices!$A:$A,0))</f>
        <v>1</v>
      </c>
      <c r="AE279" s="23">
        <f>INDEX(Data_Prices!AE:AE,MATCH($G279,Data_Prices!$A:$A,0))</f>
        <v>1</v>
      </c>
    </row>
    <row r="280" spans="2:31" x14ac:dyDescent="0.25">
      <c r="B280" s="17" t="s">
        <v>81</v>
      </c>
      <c r="C280" s="17" t="str">
        <f>$C$247</f>
        <v>irn</v>
      </c>
      <c r="D280" s="18" t="s">
        <v>85</v>
      </c>
      <c r="E280" s="19" t="s">
        <v>83</v>
      </c>
      <c r="F280" s="17" t="s">
        <v>86</v>
      </c>
      <c r="G280" s="20" t="str">
        <f>Settings!$B$3&amp;".mit.ssc."&amp;$C$247&amp;"."&amp;$J$247</f>
        <v>egy.mit.ssc.irn.2</v>
      </c>
      <c r="K280" s="23">
        <f>INDEX(Data_Prices!K:K,MATCH($G280,Data_Prices!$A:$A,0))</f>
        <v>0</v>
      </c>
      <c r="L280" s="23">
        <f>INDEX(Data_Prices!L:L,MATCH($G280,Data_Prices!$A:$A,0))</f>
        <v>0</v>
      </c>
      <c r="M280" s="23">
        <f>INDEX(Data_Prices!M:M,MATCH($G280,Data_Prices!$A:$A,0))</f>
        <v>0</v>
      </c>
      <c r="N280" s="23">
        <f>INDEX(Data_Prices!N:N,MATCH($G280,Data_Prices!$A:$A,0))</f>
        <v>0</v>
      </c>
      <c r="O280" s="23">
        <f>INDEX(Data_Prices!O:O,MATCH($G280,Data_Prices!$A:$A,0))</f>
        <v>0</v>
      </c>
      <c r="P280" s="23">
        <f>INDEX(Data_Prices!P:P,MATCH($G280,Data_Prices!$A:$A,0))</f>
        <v>0</v>
      </c>
      <c r="Q280" s="23">
        <f>INDEX(Data_Prices!Q:Q,MATCH($G280,Data_Prices!$A:$A,0))</f>
        <v>0</v>
      </c>
      <c r="R280" s="23">
        <f>INDEX(Data_Prices!R:R,MATCH($G280,Data_Prices!$A:$A,0))</f>
        <v>0</v>
      </c>
      <c r="S280" s="23">
        <f>INDEX(Data_Prices!S:S,MATCH($G280,Data_Prices!$A:$A,0))</f>
        <v>0</v>
      </c>
      <c r="T280" s="23">
        <f>INDEX(Data_Prices!T:T,MATCH($G280,Data_Prices!$A:$A,0))</f>
        <v>0</v>
      </c>
      <c r="U280" s="23">
        <f>INDEX(Data_Prices!U:U,MATCH($G280,Data_Prices!$A:$A,0))</f>
        <v>0</v>
      </c>
      <c r="V280" s="23">
        <f>INDEX(Data_Prices!V:V,MATCH($G280,Data_Prices!$A:$A,0))</f>
        <v>0</v>
      </c>
      <c r="W280" s="23">
        <f>INDEX(Data_Prices!W:W,MATCH($G280,Data_Prices!$A:$A,0))</f>
        <v>0</v>
      </c>
      <c r="X280" s="23">
        <f>INDEX(Data_Prices!X:X,MATCH($G280,Data_Prices!$A:$A,0))</f>
        <v>0</v>
      </c>
      <c r="Y280" s="23">
        <f>INDEX(Data_Prices!Y:Y,MATCH($G280,Data_Prices!$A:$A,0))</f>
        <v>0</v>
      </c>
      <c r="Z280" s="23">
        <f>INDEX(Data_Prices!Z:Z,MATCH($G280,Data_Prices!$A:$A,0))</f>
        <v>0</v>
      </c>
      <c r="AA280" s="23">
        <f>INDEX(Data_Prices!AA:AA,MATCH($G280,Data_Prices!$A:$A,0))</f>
        <v>0</v>
      </c>
      <c r="AB280" s="23">
        <f>INDEX(Data_Prices!AB:AB,MATCH($G280,Data_Prices!$A:$A,0))</f>
        <v>0</v>
      </c>
      <c r="AC280" s="23">
        <f>INDEX(Data_Prices!AC:AC,MATCH($G280,Data_Prices!$A:$A,0))</f>
        <v>0</v>
      </c>
      <c r="AD280" s="23">
        <f>INDEX(Data_Prices!AD:AD,MATCH($G280,Data_Prices!$A:$A,0))</f>
        <v>0</v>
      </c>
      <c r="AE280" s="23">
        <f>INDEX(Data_Prices!AE:AE,MATCH($G280,Data_Prices!$A:$A,0))</f>
        <v>0</v>
      </c>
    </row>
    <row r="281" spans="2:31" x14ac:dyDescent="0.25">
      <c r="B281" s="17" t="s">
        <v>81</v>
      </c>
      <c r="C281" s="17" t="str">
        <f>$C$247</f>
        <v>irn</v>
      </c>
      <c r="D281" s="18" t="s">
        <v>87</v>
      </c>
      <c r="E281" s="19" t="s">
        <v>88</v>
      </c>
      <c r="F281" s="17" t="s">
        <v>89</v>
      </c>
      <c r="G281" s="20" t="str">
        <f>Settings!$B$3&amp;".mit.gdp.pos.pct."&amp;$J$247</f>
        <v>egy.mit.gdp.pos.pct.2</v>
      </c>
      <c r="K281" s="24">
        <f>INDEX(Data_Macro!K:K,MATCH($G281,Data_Macro!$A:$A,0))</f>
        <v>0</v>
      </c>
      <c r="L281" s="24">
        <f>INDEX(Data_Macro!L:L,MATCH($G281,Data_Macro!$A:$A,0))</f>
        <v>6.6513450000000002E-2</v>
      </c>
      <c r="M281" s="24">
        <f>INDEX(Data_Macro!M:M,MATCH($G281,Data_Macro!$A:$A,0))</f>
        <v>3.760281E-2</v>
      </c>
      <c r="N281" s="24">
        <f>INDEX(Data_Macro!N:N,MATCH($G281,Data_Macro!$A:$A,0))</f>
        <v>2.3988010000000001E-2</v>
      </c>
      <c r="O281" s="24">
        <f>INDEX(Data_Macro!O:O,MATCH($G281,Data_Macro!$A:$A,0))</f>
        <v>4.3923869999999997E-2</v>
      </c>
      <c r="P281" s="24">
        <f>INDEX(Data_Macro!P:P,MATCH($G281,Data_Macro!$A:$A,0))</f>
        <v>4.239706E-2</v>
      </c>
      <c r="Q281" s="24">
        <f>INDEX(Data_Macro!Q:Q,MATCH($G281,Data_Macro!$A:$A,0))</f>
        <v>4.8298383783007638E-2</v>
      </c>
      <c r="R281" s="24">
        <f>INDEX(Data_Macro!R:R,MATCH($G281,Data_Macro!$A:$A,0))</f>
        <v>5.55905477124225E-2</v>
      </c>
      <c r="S281" s="24">
        <f>INDEX(Data_Macro!S:S,MATCH($G281,Data_Macro!$A:$A,0))</f>
        <v>5.2137235389631359E-2</v>
      </c>
      <c r="T281" s="24">
        <f>INDEX(Data_Macro!T:T,MATCH($G281,Data_Macro!$A:$A,0))</f>
        <v>4.8124907491929908E-2</v>
      </c>
      <c r="U281" s="24">
        <f>INDEX(Data_Macro!U:U,MATCH($G281,Data_Macro!$A:$A,0))</f>
        <v>4.720879652652131E-2</v>
      </c>
      <c r="V281" s="24">
        <f>INDEX(Data_Macro!V:V,MATCH($G281,Data_Macro!$A:$A,0))</f>
        <v>4.6689043300676421E-2</v>
      </c>
      <c r="W281" s="24">
        <f>INDEX(Data_Macro!W:W,MATCH($G281,Data_Macro!$A:$A,0))</f>
        <v>4.6632750147029209E-2</v>
      </c>
      <c r="X281" s="24">
        <f>INDEX(Data_Macro!X:X,MATCH($G281,Data_Macro!$A:$A,0))</f>
        <v>4.6872723264421517E-2</v>
      </c>
      <c r="Y281" s="24">
        <f>INDEX(Data_Macro!Y:Y,MATCH($G281,Data_Macro!$A:$A,0))</f>
        <v>4.746992175304874E-2</v>
      </c>
      <c r="Z281" s="24">
        <f>INDEX(Data_Macro!Z:Z,MATCH($G281,Data_Macro!$A:$A,0))</f>
        <v>4.8590713024028988E-2</v>
      </c>
      <c r="AA281" s="24">
        <f>INDEX(Data_Macro!AA:AA,MATCH($G281,Data_Macro!$A:$A,0))</f>
        <v>4.9941182078066387E-2</v>
      </c>
      <c r="AB281" s="24">
        <f>INDEX(Data_Macro!AB:AB,MATCH($G281,Data_Macro!$A:$A,0))</f>
        <v>5.13941835424786E-2</v>
      </c>
      <c r="AC281" s="24">
        <f>INDEX(Data_Macro!AC:AC,MATCH($G281,Data_Macro!$A:$A,0))</f>
        <v>5.2681763019776687E-2</v>
      </c>
      <c r="AD281" s="24">
        <f>INDEX(Data_Macro!AD:AD,MATCH($G281,Data_Macro!$A:$A,0))</f>
        <v>5.3800711336350331E-2</v>
      </c>
      <c r="AE281" s="24">
        <f>INDEX(Data_Macro!AE:AE,MATCH($G281,Data_Macro!$A:$A,0))</f>
        <v>5.4789398044337592E-2</v>
      </c>
    </row>
    <row r="282" spans="2:31" x14ac:dyDescent="0.25">
      <c r="B282" s="17" t="s">
        <v>81</v>
      </c>
      <c r="C282" s="17" t="str">
        <f>$C$247</f>
        <v>irn</v>
      </c>
      <c r="D282" s="18" t="s">
        <v>90</v>
      </c>
      <c r="E282" s="19" t="s">
        <v>91</v>
      </c>
      <c r="F282" s="17" t="s">
        <v>92</v>
      </c>
      <c r="G282" s="20" t="str">
        <f>Settings!$B$3&amp;".mit.inc.ela.adj."&amp;$J$247</f>
        <v>egy.mit.inc.ela.adj.2</v>
      </c>
      <c r="K282" s="23">
        <f>INDEX(Data_Macro!K:K,MATCH($G282,Data_Macro!$A:$A,0))</f>
        <v>0</v>
      </c>
      <c r="L282" s="23">
        <f>INDEX(Data_Macro!L:L,MATCH($G282,Data_Macro!$A:$A,0))</f>
        <v>1.0271517247196089</v>
      </c>
      <c r="M282" s="23">
        <f>INDEX(Data_Macro!M:M,MATCH($G282,Data_Macro!$A:$A,0))</f>
        <v>1.0271517247196089</v>
      </c>
      <c r="N282" s="23">
        <f>INDEX(Data_Macro!N:N,MATCH($G282,Data_Macro!$A:$A,0))</f>
        <v>1.0205698358851201</v>
      </c>
      <c r="O282" s="23">
        <f>INDEX(Data_Macro!O:O,MATCH($G282,Data_Macro!$A:$A,0))</f>
        <v>1.017334428852344</v>
      </c>
      <c r="P282" s="23">
        <f>INDEX(Data_Macro!P:P,MATCH($G282,Data_Macro!$A:$A,0))</f>
        <v>1.007668332253824</v>
      </c>
      <c r="Q282" s="23">
        <f>INDEX(Data_Macro!Q:Q,MATCH($G282,Data_Macro!$A:$A,0))</f>
        <v>1.000744287175529</v>
      </c>
      <c r="R282" s="23">
        <f>INDEX(Data_Macro!R:R,MATCH($G282,Data_Macro!$A:$A,0))</f>
        <v>0.99188455719464341</v>
      </c>
      <c r="S282" s="23">
        <f>INDEX(Data_Macro!S:S,MATCH($G282,Data_Macro!$A:$A,0))</f>
        <v>0.9805805650786027</v>
      </c>
      <c r="T282" s="23">
        <f>INDEX(Data_Macro!T:T,MATCH($G282,Data_Macro!$A:$A,0))</f>
        <v>0.97025078971778123</v>
      </c>
      <c r="U282" s="23">
        <f>INDEX(Data_Macro!U:U,MATCH($G282,Data_Macro!$A:$A,0))</f>
        <v>0.96428820815964844</v>
      </c>
      <c r="V282" s="23">
        <f>INDEX(Data_Macro!V:V,MATCH($G282,Data_Macro!$A:$A,0))</f>
        <v>0.96183439341951105</v>
      </c>
      <c r="W282" s="23">
        <f>INDEX(Data_Macro!W:W,MATCH($G282,Data_Macro!$A:$A,0))</f>
        <v>0.95941695116164427</v>
      </c>
      <c r="X282" s="23">
        <f>INDEX(Data_Macro!X:X,MATCH($G282,Data_Macro!$A:$A,0))</f>
        <v>0.95701429252188364</v>
      </c>
      <c r="Y282" s="23">
        <f>INDEX(Data_Macro!Y:Y,MATCH($G282,Data_Macro!$A:$A,0))</f>
        <v>0.95468193722552219</v>
      </c>
      <c r="Z282" s="23">
        <f>INDEX(Data_Macro!Z:Z,MATCH($G282,Data_Macro!$A:$A,0))</f>
        <v>0.95240071158774575</v>
      </c>
      <c r="AA282" s="23">
        <f>INDEX(Data_Macro!AA:AA,MATCH($G282,Data_Macro!$A:$A,0))</f>
        <v>0.95011647499405472</v>
      </c>
      <c r="AB282" s="23">
        <f>INDEX(Data_Macro!AB:AB,MATCH($G282,Data_Macro!$A:$A,0))</f>
        <v>0.947927358499145</v>
      </c>
      <c r="AC282" s="23">
        <f>INDEX(Data_Macro!AC:AC,MATCH($G282,Data_Macro!$A:$A,0))</f>
        <v>0.94587674776299657</v>
      </c>
      <c r="AD282" s="23">
        <f>INDEX(Data_Macro!AD:AD,MATCH($G282,Data_Macro!$A:$A,0))</f>
        <v>0.94405480582839263</v>
      </c>
      <c r="AE282" s="23">
        <f>INDEX(Data_Macro!AE:AE,MATCH($G282,Data_Macro!$A:$A,0))</f>
        <v>0.94246391225206505</v>
      </c>
    </row>
    <row r="283" spans="2:31" x14ac:dyDescent="0.25">
      <c r="B283" s="17" t="s">
        <v>81</v>
      </c>
      <c r="C283" s="17" t="str">
        <f>$C$247</f>
        <v>irn</v>
      </c>
      <c r="D283" s="18" t="s">
        <v>93</v>
      </c>
      <c r="E283" s="19" t="s">
        <v>91</v>
      </c>
      <c r="F283" s="17" t="s">
        <v>94</v>
      </c>
      <c r="G283" s="20" t="str">
        <f>Settings!$B$3&amp;".mit.shock."&amp;$J$247</f>
        <v>egy.mit.shock.2</v>
      </c>
      <c r="K283" s="23">
        <f>INDEX(Data_Macro!K:K,MATCH($G283,Data_Macro!$A:$A,0))</f>
        <v>0</v>
      </c>
      <c r="L283" s="23">
        <f>INDEX(Data_Macro!L:L,MATCH($G283,Data_Macro!$A:$A,0))</f>
        <v>0</v>
      </c>
      <c r="M283" s="23">
        <f>INDEX(Data_Macro!M:M,MATCH($G283,Data_Macro!$A:$A,0))</f>
        <v>-0.2081330830204422</v>
      </c>
      <c r="N283" s="23">
        <f>INDEX(Data_Macro!N:N,MATCH($G283,Data_Macro!$A:$A,0))</f>
        <v>9.2371428571428563E-2</v>
      </c>
      <c r="O283" s="23">
        <f>INDEX(Data_Macro!O:O,MATCH($G283,Data_Macro!$A:$A,0))</f>
        <v>0</v>
      </c>
      <c r="P283" s="23">
        <f>INDEX(Data_Macro!P:P,MATCH($G283,Data_Macro!$A:$A,0))</f>
        <v>0</v>
      </c>
      <c r="Q283" s="23">
        <f>INDEX(Data_Macro!Q:Q,MATCH($G283,Data_Macro!$A:$A,0))</f>
        <v>0</v>
      </c>
      <c r="R283" s="23">
        <f>INDEX(Data_Macro!R:R,MATCH($G283,Data_Macro!$A:$A,0))</f>
        <v>0</v>
      </c>
      <c r="S283" s="23">
        <f>INDEX(Data_Macro!S:S,MATCH($G283,Data_Macro!$A:$A,0))</f>
        <v>0</v>
      </c>
      <c r="T283" s="23">
        <f>INDEX(Data_Macro!T:T,MATCH($G283,Data_Macro!$A:$A,0))</f>
        <v>0</v>
      </c>
      <c r="U283" s="23">
        <f>INDEX(Data_Macro!U:U,MATCH($G283,Data_Macro!$A:$A,0))</f>
        <v>0</v>
      </c>
      <c r="V283" s="23">
        <f>INDEX(Data_Macro!V:V,MATCH($G283,Data_Macro!$A:$A,0))</f>
        <v>0</v>
      </c>
      <c r="W283" s="23">
        <f>INDEX(Data_Macro!W:W,MATCH($G283,Data_Macro!$A:$A,0))</f>
        <v>0</v>
      </c>
      <c r="X283" s="23">
        <f>INDEX(Data_Macro!X:X,MATCH($G283,Data_Macro!$A:$A,0))</f>
        <v>0</v>
      </c>
      <c r="Y283" s="23">
        <f>INDEX(Data_Macro!Y:Y,MATCH($G283,Data_Macro!$A:$A,0))</f>
        <v>0</v>
      </c>
      <c r="Z283" s="23">
        <f>INDEX(Data_Macro!Z:Z,MATCH($G283,Data_Macro!$A:$A,0))</f>
        <v>0</v>
      </c>
      <c r="AA283" s="23">
        <f>INDEX(Data_Macro!AA:AA,MATCH($G283,Data_Macro!$A:$A,0))</f>
        <v>0</v>
      </c>
      <c r="AB283" s="23">
        <f>INDEX(Data_Macro!AB:AB,MATCH($G283,Data_Macro!$A:$A,0))</f>
        <v>0</v>
      </c>
      <c r="AC283" s="23">
        <f>INDEX(Data_Macro!AC:AC,MATCH($G283,Data_Macro!$A:$A,0))</f>
        <v>0</v>
      </c>
      <c r="AD283" s="23">
        <f>INDEX(Data_Macro!AD:AD,MATCH($G283,Data_Macro!$A:$A,0))</f>
        <v>0</v>
      </c>
      <c r="AE283" s="23">
        <f>INDEX(Data_Macro!AE:AE,MATCH($G283,Data_Macro!$A:$A,0))</f>
        <v>0</v>
      </c>
    </row>
    <row r="284" spans="2:31" x14ac:dyDescent="0.25">
      <c r="B284" s="16" t="s">
        <v>95</v>
      </c>
    </row>
    <row r="285" spans="2:31" x14ac:dyDescent="0.25">
      <c r="B285" s="8" t="s">
        <v>36</v>
      </c>
      <c r="C285" s="8" t="s">
        <v>37</v>
      </c>
      <c r="D285" s="25" t="s">
        <v>38</v>
      </c>
      <c r="E285" s="8" t="s">
        <v>96</v>
      </c>
      <c r="F285" s="8" t="s">
        <v>97</v>
      </c>
      <c r="G285" s="8" t="s">
        <v>98</v>
      </c>
      <c r="H285" s="8" t="s">
        <v>99</v>
      </c>
      <c r="I285" s="8" t="s">
        <v>100</v>
      </c>
      <c r="J285" s="8" t="s">
        <v>101</v>
      </c>
    </row>
    <row r="286" spans="2:31" x14ac:dyDescent="0.25">
      <c r="B286" s="17" t="s">
        <v>53</v>
      </c>
      <c r="C286" s="17" t="str">
        <f t="shared" ref="C286:C294" si="27">$C$247</f>
        <v>irn</v>
      </c>
      <c r="D286" s="26" t="s">
        <v>102</v>
      </c>
      <c r="E286" s="27">
        <f>ELAST("el_inc",$J286,Settings!$B$5)</f>
        <v>0.5</v>
      </c>
      <c r="F286" s="27">
        <f>ELAST("el_dem",$J286,Settings!$B$5)</f>
        <v>-0.3</v>
      </c>
      <c r="G286" s="27">
        <f>ELAST("el_eff",$J286,Settings!$B$5)</f>
        <v>-0.4</v>
      </c>
      <c r="H286" s="27">
        <f>ELAST("eff_imp",INDEX(Data_Elast!$K:$K,MATCH($B286,Data_Elast!$I:$I,0)),Settings!$B$5)</f>
        <v>5.0000000000000001E-3</v>
      </c>
      <c r="I286" s="27">
        <f>Settings!$B$7</f>
        <v>0</v>
      </c>
      <c r="J286" s="19" t="str">
        <f>INDEX(Data_Elast!$J:$J,MATCH($B286,Data_Elast!$I:$I,0))</f>
        <v>coa</v>
      </c>
    </row>
    <row r="287" spans="2:31" x14ac:dyDescent="0.25">
      <c r="B287" s="17" t="s">
        <v>57</v>
      </c>
      <c r="C287" s="17" t="str">
        <f t="shared" si="27"/>
        <v>irn</v>
      </c>
      <c r="D287" s="26" t="s">
        <v>103</v>
      </c>
      <c r="E287" s="27">
        <f>ELAST("el_inc",$J287,Settings!$B$5)</f>
        <v>1</v>
      </c>
      <c r="F287" s="27">
        <f>ELAST("el_dem",$J287,Settings!$B$5)</f>
        <v>-0.5</v>
      </c>
      <c r="G287" s="27">
        <f>ELAST("el_eff",$J287,Settings!$B$5)</f>
        <v>-0.5</v>
      </c>
      <c r="H287" s="27">
        <f>ELAST("eff_imp",INDEX(Data_Elast!$K:$K,MATCH($B287,Data_Elast!$I:$I,0)),Settings!$B$5)</f>
        <v>0.01</v>
      </c>
      <c r="I287" s="27">
        <f>Settings!$B$7</f>
        <v>0</v>
      </c>
      <c r="J287" s="19" t="str">
        <f>INDEX(Data_Elast!$J:$J,MATCH($B287,Data_Elast!$I:$I,0))</f>
        <v>nga</v>
      </c>
    </row>
    <row r="288" spans="2:31" x14ac:dyDescent="0.25">
      <c r="B288" s="17" t="s">
        <v>59</v>
      </c>
      <c r="C288" s="17" t="str">
        <f t="shared" si="27"/>
        <v>irn</v>
      </c>
      <c r="D288" s="26" t="s">
        <v>104</v>
      </c>
      <c r="E288" s="27">
        <f>ELAST("el_inc",$J288,Settings!$B$5)</f>
        <v>0.5</v>
      </c>
      <c r="F288" s="27">
        <f>ELAST("el_dem",$J288,Settings!$B$5)</f>
        <v>-0.4</v>
      </c>
      <c r="G288" s="27">
        <f>ELAST("el_eff",$J288,Settings!$B$5)</f>
        <v>-0.7</v>
      </c>
      <c r="H288" s="27">
        <f>ELAST("eff_imp",INDEX(Data_Elast!$K:$K,MATCH($B288,Data_Elast!$I:$I,0)),Settings!$B$5)</f>
        <v>5.0000000000000001E-3</v>
      </c>
      <c r="I288" s="27">
        <f>Settings!$B$7</f>
        <v>0</v>
      </c>
      <c r="J288" s="19" t="str">
        <f>INDEX(Data_Elast!$J:$J,MATCH($B288,Data_Elast!$I:$I,0))</f>
        <v>gso</v>
      </c>
    </row>
    <row r="289" spans="2:31" x14ac:dyDescent="0.25">
      <c r="B289" s="17" t="s">
        <v>62</v>
      </c>
      <c r="C289" s="17" t="str">
        <f t="shared" si="27"/>
        <v>irn</v>
      </c>
      <c r="D289" s="26" t="s">
        <v>105</v>
      </c>
      <c r="E289" s="27">
        <f>ELAST("el_inc",$J289,Settings!$B$5)</f>
        <v>0.5</v>
      </c>
      <c r="F289" s="27">
        <f>ELAST("el_dem",$J289,Settings!$B$5)</f>
        <v>-0.7</v>
      </c>
      <c r="G289" s="27">
        <f>ELAST("el_eff",$J289,Settings!$B$5)</f>
        <v>-1.2</v>
      </c>
      <c r="H289" s="27">
        <f>ELAST("eff_imp",INDEX(Data_Elast!$K:$K,MATCH($B289,Data_Elast!$I:$I,0)),Settings!$B$5)</f>
        <v>5.0000000000000001E-3</v>
      </c>
      <c r="I289" s="27">
        <f>Settings!$B$7</f>
        <v>0</v>
      </c>
      <c r="J289" s="19" t="str">
        <f>INDEX(Data_Elast!$J:$J,MATCH($B289,Data_Elast!$I:$I,0))</f>
        <v>die</v>
      </c>
    </row>
    <row r="290" spans="2:31" x14ac:dyDescent="0.25">
      <c r="B290" s="17" t="s">
        <v>64</v>
      </c>
      <c r="C290" s="17" t="str">
        <f t="shared" si="27"/>
        <v>irn</v>
      </c>
      <c r="D290" s="26" t="s">
        <v>106</v>
      </c>
      <c r="E290" s="27">
        <f>ELAST("el_inc",$J290,Settings!$B$5)</f>
        <v>0.8</v>
      </c>
      <c r="F290" s="27">
        <f>ELAST("el_dem",$J290,Settings!$B$5)</f>
        <v>-0.4</v>
      </c>
      <c r="G290" s="27">
        <f>ELAST("el_eff",$J290,Settings!$B$5)</f>
        <v>-0.4</v>
      </c>
      <c r="H290" s="27">
        <f>ELAST("eff_imp",INDEX(Data_Elast!$K:$K,MATCH($B290,Data_Elast!$I:$I,0)),Settings!$B$5)</f>
        <v>5.0000000000000001E-3</v>
      </c>
      <c r="I290" s="27">
        <f>Settings!$B$7</f>
        <v>0</v>
      </c>
      <c r="J290" s="19" t="str">
        <f>INDEX(Data_Elast!$J:$J,MATCH($B290,Data_Elast!$I:$I,0))</f>
        <v>oil</v>
      </c>
    </row>
    <row r="291" spans="2:31" x14ac:dyDescent="0.25">
      <c r="B291" s="17" t="s">
        <v>66</v>
      </c>
      <c r="C291" s="17" t="str">
        <f t="shared" si="27"/>
        <v>irn</v>
      </c>
      <c r="D291" s="26" t="s">
        <v>107</v>
      </c>
      <c r="E291" s="27">
        <f>ELAST("el_inc",$J291,Settings!$B$5)</f>
        <v>0.8</v>
      </c>
      <c r="F291" s="27">
        <f>ELAST("el_dem",$J291,Settings!$B$5)</f>
        <v>-0.4</v>
      </c>
      <c r="G291" s="27">
        <f>ELAST("el_eff",$J291,Settings!$B$5)</f>
        <v>-0.4</v>
      </c>
      <c r="H291" s="27">
        <f>ELAST("eff_imp",INDEX(Data_Elast!$K:$K,MATCH($B291,Data_Elast!$I:$I,0)),Settings!$B$5)</f>
        <v>5.0000000000000001E-3</v>
      </c>
      <c r="I291" s="27">
        <f>Settings!$B$7</f>
        <v>0</v>
      </c>
      <c r="J291" s="19" t="str">
        <f>INDEX(Data_Elast!$J:$J,MATCH($B291,Data_Elast!$I:$I,0))</f>
        <v>oil</v>
      </c>
    </row>
    <row r="292" spans="2:31" x14ac:dyDescent="0.25">
      <c r="B292" s="17" t="s">
        <v>68</v>
      </c>
      <c r="C292" s="17" t="str">
        <f t="shared" si="27"/>
        <v>irn</v>
      </c>
      <c r="D292" s="26" t="s">
        <v>108</v>
      </c>
      <c r="E292" s="27">
        <f>ELAST("el_inc",$J292,Settings!$B$5)</f>
        <v>0.8</v>
      </c>
      <c r="F292" s="27">
        <f>ELAST("el_dem",$J292,Settings!$B$5)</f>
        <v>-0.4</v>
      </c>
      <c r="G292" s="27">
        <f>ELAST("el_eff",$J292,Settings!$B$5)</f>
        <v>-0.4</v>
      </c>
      <c r="H292" s="27">
        <f>ELAST("eff_imp",INDEX(Data_Elast!$K:$K,MATCH($B292,Data_Elast!$I:$I,0)),Settings!$B$5)</f>
        <v>5.0000000000000001E-3</v>
      </c>
      <c r="I292" s="27">
        <f>Settings!$B$7</f>
        <v>0</v>
      </c>
      <c r="J292" s="19" t="str">
        <f>INDEX(Data_Elast!$J:$J,MATCH($B292,Data_Elast!$I:$I,0))</f>
        <v>oil</v>
      </c>
    </row>
    <row r="293" spans="2:31" x14ac:dyDescent="0.25">
      <c r="B293" s="17" t="s">
        <v>71</v>
      </c>
      <c r="C293" s="17" t="str">
        <f t="shared" si="27"/>
        <v>irn</v>
      </c>
      <c r="D293" s="26" t="s">
        <v>109</v>
      </c>
      <c r="E293" s="27">
        <f>ELAST("el_inc",$J293,Settings!$B$5)</f>
        <v>0.1</v>
      </c>
      <c r="F293" s="27">
        <f>ELAST("el_dem",$J293,Settings!$B$5)</f>
        <v>-0.3</v>
      </c>
      <c r="G293" s="27">
        <f>ELAST("el_eff",$J293,Settings!$B$5)</f>
        <v>-0.2</v>
      </c>
      <c r="H293" s="27">
        <f>ELAST("eff_imp",INDEX(Data_Elast!$K:$K,MATCH($B293,Data_Elast!$I:$I,0)),Settings!$B$5)</f>
        <v>5.0000000000000001E-3</v>
      </c>
      <c r="I293" s="27">
        <f>Settings!$B$7</f>
        <v>0</v>
      </c>
      <c r="J293" s="19" t="str">
        <f>INDEX(Data_Elast!$J:$J,MATCH($B293,Data_Elast!$I:$I,0))</f>
        <v>bio</v>
      </c>
    </row>
    <row r="294" spans="2:31" x14ac:dyDescent="0.25">
      <c r="B294" s="17" t="s">
        <v>73</v>
      </c>
      <c r="C294" s="17" t="str">
        <f t="shared" si="27"/>
        <v>irn</v>
      </c>
      <c r="D294" s="26" t="s">
        <v>110</v>
      </c>
      <c r="E294" s="27">
        <f>ELAST("el_inc",$J294,Settings!$B$5)</f>
        <v>0.8</v>
      </c>
      <c r="F294" s="27">
        <f>ELAST("el_dem",$J294,Settings!$B$5)</f>
        <v>-0.5</v>
      </c>
      <c r="G294" s="27">
        <f>ELAST("el_eff",$J294,Settings!$B$5)</f>
        <v>-0.4</v>
      </c>
      <c r="H294" s="27">
        <f>ELAST("eff_imp",INDEX(Data_Elast!$K:$K,MATCH($B294,Data_Elast!$I:$I,0)),Settings!$B$5)</f>
        <v>5.0000000000000001E-3</v>
      </c>
      <c r="I294" s="27">
        <f>Settings!$B$7</f>
        <v>0</v>
      </c>
      <c r="J294" s="19" t="str">
        <f>INDEX(Data_Elast!$J:$J,MATCH($B294,Data_Elast!$I:$I,0))</f>
        <v>ren</v>
      </c>
    </row>
    <row r="295" spans="2:31" x14ac:dyDescent="0.25">
      <c r="B295" s="16" t="s">
        <v>111</v>
      </c>
    </row>
    <row r="296" spans="2:31" x14ac:dyDescent="0.25">
      <c r="B296" s="17" t="s">
        <v>53</v>
      </c>
      <c r="C296" s="17" t="str">
        <f t="shared" ref="C296:C305" si="28">$C$247</f>
        <v>irn</v>
      </c>
      <c r="D296" s="18" t="s">
        <v>54</v>
      </c>
      <c r="E296" s="19" t="s">
        <v>112</v>
      </c>
      <c r="F296" s="17" t="s">
        <v>113</v>
      </c>
      <c r="G296" s="20" t="str">
        <f>Settings!$B$3&amp;".mit.enc."&amp;$B296</f>
        <v>egy.mit.enc.coa</v>
      </c>
      <c r="H296" s="21" t="str">
        <f>OUTCODE(Settings!$B$3,"ener",$C$247,$B296,$J$247)</f>
        <v>egy.mit.ener.irn.coa.e.2</v>
      </c>
      <c r="L296" s="28">
        <f>INDEX(Data_Energy!$D$3:$U$22,MATCH($B296,Data_Energy!$C$3:$C$22,0),MATCH($C296,Data_Energy!$D$2:$U$2,0))</f>
        <v>232.65735477013141</v>
      </c>
      <c r="M296" s="29">
        <f>FUELUSE(L296,L259,M259,L269,M269,M$281,M$282,M$283,$E286,$F286,$G286,$H286,$I286)</f>
        <v>189.45265610688728</v>
      </c>
      <c r="N296" s="29">
        <f>FUELUSE(M296,M259,N259,M269,N269,N$281,N$282,N$283,$E286,$F286,$G286,$H286,$I286)</f>
        <v>217.72883870914126</v>
      </c>
      <c r="O296" s="29">
        <f>FUELUSE(N296,N259,O259,N269,O269,O$281,O$282,O$283,$E286,$F286,$G286,$H286,$I286)</f>
        <v>237.89793015048934</v>
      </c>
      <c r="P296" s="29">
        <f>FUELUSE(O296,O259,P259,O269,P269,P$281,P$282,P$283,$E286,$F286,$G286,$H286,$I286)</f>
        <v>232.6500690312447</v>
      </c>
      <c r="Q296" s="29">
        <f>FUELUSE(P296,P259,Q259,P269,Q269,Q$281,Q$282,Q$283,$E286,$F286,$G286,$H286,$I286)</f>
        <v>218.61847136811502</v>
      </c>
      <c r="R296" s="29">
        <f>FUELUSE(Q296,Q259,R259,Q269,R269,R$281,R$282,R$283,$E286,$F286,$G286,$H286,$I286)</f>
        <v>210.28498690349537</v>
      </c>
      <c r="S296" s="29">
        <f>FUELUSE(R296,R259,S259,R269,S269,S$281,S$282,S$283,$E286,$F286,$G286,$H286,$I286)</f>
        <v>203.14643963897566</v>
      </c>
      <c r="T296" s="29">
        <f>FUELUSE(S296,S259,T259,S269,T269,T$281,T$282,T$283,$E286,$F286,$G286,$H286,$I286)</f>
        <v>196.84230886321831</v>
      </c>
      <c r="U296" s="29">
        <f>FUELUSE(T296,T259,U259,T269,U269,U$281,U$282,U$283,$E286,$F286,$G286,$H286,$I286)</f>
        <v>191.39075749538034</v>
      </c>
      <c r="V296" s="29">
        <f>FUELUSE(U296,U259,V259,U269,V269,V$281,V$282,V$283,$E286,$F286,$G286,$H286,$I286)</f>
        <v>186.21788114925641</v>
      </c>
      <c r="W296" s="29">
        <f>FUELUSE(V296,V259,W259,V269,W269,W$281,W$282,W$283,$E286,$F286,$G286,$H286,$I286)</f>
        <v>181.78008799508262</v>
      </c>
      <c r="X296" s="29">
        <f>FUELUSE(W296,W259,X259,W269,X269,X$281,X$282,X$283,$E286,$F286,$G286,$H286,$I286)</f>
        <v>177.97349187208511</v>
      </c>
      <c r="Y296" s="29">
        <f>FUELUSE(X296,X259,Y259,X269,Y269,Y$281,Y$282,Y$283,$E286,$F286,$G286,$H286,$I286)</f>
        <v>174.72635256308371</v>
      </c>
      <c r="Z296" s="29">
        <f>FUELUSE(Y296,Y259,Z259,Y269,Z269,Z$281,Z$282,Z$283,$E286,$F286,$G286,$H286,$I286)</f>
        <v>171.99928670368823</v>
      </c>
      <c r="AA296" s="29">
        <f>FUELUSE(Z296,Z259,AA259,Z269,AA269,AA$281,AA$282,AA$283,$E286,$F286,$G286,$H286,$I286)</f>
        <v>169.74391219112084</v>
      </c>
      <c r="AB296" s="29">
        <f>FUELUSE(AA296,AA259,AB259,AA269,AB269,AB$281,AB$282,AB$283,$E286,$F286,$G286,$H286,$I286)</f>
        <v>167.9146565250179</v>
      </c>
      <c r="AC296" s="29">
        <f>FUELUSE(AB296,AB259,AC259,AB269,AC269,AC$281,AC$282,AC$283,$E286,$F286,$G286,$H286,$I286)</f>
        <v>166.45600964782727</v>
      </c>
      <c r="AD296" s="29">
        <f>FUELUSE(AC296,AC259,AD259,AC269,AD269,AD$281,AD$282,AD$283,$E286,$F286,$G286,$H286,$I286)</f>
        <v>165.3212347116652</v>
      </c>
      <c r="AE296" s="29">
        <f>FUELUSE(AD296,AD259,AE259,AD269,AE269,AE$281,AE$282,AE$283,$E286,$F286,$G286,$H286,$I286)</f>
        <v>164.47316873515146</v>
      </c>
    </row>
    <row r="297" spans="2:31" x14ac:dyDescent="0.25">
      <c r="B297" s="17" t="s">
        <v>57</v>
      </c>
      <c r="C297" s="17" t="str">
        <f t="shared" si="28"/>
        <v>irn</v>
      </c>
      <c r="D297" s="18" t="s">
        <v>58</v>
      </c>
      <c r="E297" s="19" t="s">
        <v>112</v>
      </c>
      <c r="F297" s="17" t="s">
        <v>113</v>
      </c>
      <c r="G297" s="20" t="str">
        <f>Settings!$B$3&amp;".mit.enc."&amp;$B297</f>
        <v>egy.mit.enc.nga</v>
      </c>
      <c r="H297" s="21" t="str">
        <f>OUTCODE(Settings!$B$3,"ener",$C$247,$B297,$J$247)</f>
        <v>egy.mit.ener.irn.nga.e.2</v>
      </c>
      <c r="L297" s="28">
        <f>INDEX(Data_Energy!$D$3:$U$22,MATCH($B297,Data_Energy!$C$3:$C$22,0),MATCH($C297,Data_Energy!$D$2:$U$2,0))</f>
        <v>1669.056719042127</v>
      </c>
      <c r="M297" s="29">
        <f>FUELUSE(L297,L260,M260,L270,M270,M$281,M$282,M$283,$E287,$F287,$G287,$H287,$I287)</f>
        <v>1431.7775208824842</v>
      </c>
      <c r="N297" s="29">
        <f>FUELUSE(M297,M260,N260,M270,N270,N$281,N$282,N$283,$E287,$F287,$G287,$H287,$I287)</f>
        <v>1603.1180815212294</v>
      </c>
      <c r="O297" s="29">
        <f>FUELUSE(N297,N260,O260,N270,O270,O$281,O$282,O$283,$E287,$F287,$G287,$H287,$I287)</f>
        <v>1666.4691074748559</v>
      </c>
      <c r="P297" s="29">
        <f>FUELUSE(O297,O260,P260,O270,P270,P$281,P$282,P$283,$E287,$F287,$G287,$H287,$I287)</f>
        <v>1729.0519522219943</v>
      </c>
      <c r="Q297" s="29">
        <f>FUELUSE(P297,P260,Q260,P270,Q270,Q$281,Q$282,Q$283,$E287,$F287,$G287,$H287,$I287)</f>
        <v>1637.7863258003888</v>
      </c>
      <c r="R297" s="29">
        <f>FUELUSE(Q297,Q260,R260,Q270,R270,R$281,R$282,R$283,$E287,$F287,$G287,$H287,$I287)</f>
        <v>1578.664230292683</v>
      </c>
      <c r="S297" s="29">
        <f>FUELUSE(R297,R260,S260,R270,S270,S$281,S$282,S$283,$E287,$F287,$G287,$H287,$I287)</f>
        <v>1529.1864264578528</v>
      </c>
      <c r="T297" s="29">
        <f>FUELUSE(S297,S260,T260,S270,T270,T$281,T$282,T$283,$E287,$F287,$G287,$H287,$I287)</f>
        <v>1485.5462441642089</v>
      </c>
      <c r="U297" s="29">
        <f>FUELUSE(T297,T260,U260,T270,U270,U$281,U$282,U$283,$E287,$F287,$G287,$H287,$I287)</f>
        <v>1450.0773513762731</v>
      </c>
      <c r="V297" s="29">
        <f>FUELUSE(U297,U260,V260,U270,V270,V$281,V$282,V$283,$E287,$F287,$G287,$H287,$I287)</f>
        <v>1421.6889075958377</v>
      </c>
      <c r="W297" s="29">
        <f>FUELUSE(V297,V260,W260,V270,W270,W$281,W$282,W$283,$E287,$F287,$G287,$H287,$I287)</f>
        <v>1399.5811578972709</v>
      </c>
      <c r="X297" s="29">
        <f>FUELUSE(W297,W260,X260,W270,X270,X$281,X$282,X$283,$E287,$F287,$G287,$H287,$I287)</f>
        <v>1383.0540457815316</v>
      </c>
      <c r="Y297" s="29">
        <f>FUELUSE(X297,X260,Y260,X270,Y270,Y$281,Y$282,Y$283,$E287,$F287,$G287,$H287,$I287)</f>
        <v>1371.725436343296</v>
      </c>
      <c r="Z297" s="29">
        <f>FUELUSE(Y297,Y260,Z260,Y270,Z270,Z$281,Z$282,Z$283,$E287,$F287,$G287,$H287,$I287)</f>
        <v>1365.5951108489805</v>
      </c>
      <c r="AA297" s="29">
        <f>FUELUSE(Z297,Z260,AA260,Z270,AA270,AA$281,AA$282,AA$283,$E287,$F287,$G287,$H287,$I287)</f>
        <v>1364.4341895239857</v>
      </c>
      <c r="AB297" s="29">
        <f>FUELUSE(AA297,AA260,AB260,AA270,AB270,AB$281,AB$282,AB$283,$E287,$F287,$G287,$H287,$I287)</f>
        <v>1367.986352704786</v>
      </c>
      <c r="AC297" s="29">
        <f>FUELUSE(AB297,AB260,AC260,AB270,AC270,AC$281,AC$282,AC$283,$E287,$F287,$G287,$H287,$I287)</f>
        <v>1375.7703000424274</v>
      </c>
      <c r="AD297" s="29">
        <f>FUELUSE(AC297,AC260,AD260,AC270,AD270,AD$281,AD$282,AD$283,$E287,$F287,$G287,$H287,$I287)</f>
        <v>1387.3865840128005</v>
      </c>
      <c r="AE297" s="29">
        <f>FUELUSE(AD297,AD260,AE260,AD270,AE270,AE$281,AE$282,AE$283,$E287,$F287,$G287,$H287,$I287)</f>
        <v>1402.5434936423992</v>
      </c>
    </row>
    <row r="298" spans="2:31" x14ac:dyDescent="0.25">
      <c r="B298" s="17" t="s">
        <v>59</v>
      </c>
      <c r="C298" s="17" t="str">
        <f t="shared" si="28"/>
        <v>irn</v>
      </c>
      <c r="D298" s="18" t="s">
        <v>60</v>
      </c>
      <c r="E298" s="19" t="s">
        <v>112</v>
      </c>
      <c r="F298" s="17" t="s">
        <v>113</v>
      </c>
      <c r="G298" s="20" t="str">
        <f>Settings!$B$3&amp;".mit.enc."&amp;$B298</f>
        <v>egy.mit.enc.gso</v>
      </c>
      <c r="H298" s="21" t="str">
        <f>OUTCODE(Settings!$B$3,"ener",$C$247,$B298,$J$247)</f>
        <v>egy.mit.ener.irn.gso.e.2</v>
      </c>
      <c r="L298" s="28">
        <f>INDEX(Data_Energy!$D$3:$U$22,MATCH($B298,Data_Energy!$C$3:$C$22,0),MATCH($C298,Data_Energy!$D$2:$U$2,0))</f>
        <v>0</v>
      </c>
      <c r="M298" s="29">
        <f>FUELUSE(L298,L261,M261,L271,M271,M$281,M$282,M$283,$E288,$F288,$G288,$H288,$I288)</f>
        <v>0</v>
      </c>
      <c r="N298" s="29">
        <f>FUELUSE(M298,M261,N261,M271,N271,N$281,N$282,N$283,$E288,$F288,$G288,$H288,$I288)</f>
        <v>0</v>
      </c>
      <c r="O298" s="29">
        <f>FUELUSE(N298,N261,O261,N271,O271,O$281,O$282,O$283,$E288,$F288,$G288,$H288,$I288)</f>
        <v>0</v>
      </c>
      <c r="P298" s="29">
        <f>FUELUSE(O298,O261,P261,O271,P271,P$281,P$282,P$283,$E288,$F288,$G288,$H288,$I288)</f>
        <v>0</v>
      </c>
      <c r="Q298" s="29">
        <f>FUELUSE(P298,P261,Q261,P271,Q271,Q$281,Q$282,Q$283,$E288,$F288,$G288,$H288,$I288)</f>
        <v>0</v>
      </c>
      <c r="R298" s="29">
        <f>FUELUSE(Q298,Q261,R261,Q271,R271,R$281,R$282,R$283,$E288,$F288,$G288,$H288,$I288)</f>
        <v>0</v>
      </c>
      <c r="S298" s="29">
        <f>FUELUSE(R298,R261,S261,R271,S271,S$281,S$282,S$283,$E288,$F288,$G288,$H288,$I288)</f>
        <v>0</v>
      </c>
      <c r="T298" s="29">
        <f>FUELUSE(S298,S261,T261,S271,T271,T$281,T$282,T$283,$E288,$F288,$G288,$H288,$I288)</f>
        <v>0</v>
      </c>
      <c r="U298" s="29">
        <f>FUELUSE(T298,T261,U261,T271,U271,U$281,U$282,U$283,$E288,$F288,$G288,$H288,$I288)</f>
        <v>0</v>
      </c>
      <c r="V298" s="29">
        <f>FUELUSE(U298,U261,V261,U271,V271,V$281,V$282,V$283,$E288,$F288,$G288,$H288,$I288)</f>
        <v>0</v>
      </c>
      <c r="W298" s="29">
        <f>FUELUSE(V298,V261,W261,V271,W271,W$281,W$282,W$283,$E288,$F288,$G288,$H288,$I288)</f>
        <v>0</v>
      </c>
      <c r="X298" s="29">
        <f>FUELUSE(W298,W261,X261,W271,X271,X$281,X$282,X$283,$E288,$F288,$G288,$H288,$I288)</f>
        <v>0</v>
      </c>
      <c r="Y298" s="29">
        <f>FUELUSE(X298,X261,Y261,X271,Y271,Y$281,Y$282,Y$283,$E288,$F288,$G288,$H288,$I288)</f>
        <v>0</v>
      </c>
      <c r="Z298" s="29">
        <f>FUELUSE(Y298,Y261,Z261,Y271,Z271,Z$281,Z$282,Z$283,$E288,$F288,$G288,$H288,$I288)</f>
        <v>0</v>
      </c>
      <c r="AA298" s="29">
        <f>FUELUSE(Z298,Z261,AA261,Z271,AA271,AA$281,AA$282,AA$283,$E288,$F288,$G288,$H288,$I288)</f>
        <v>0</v>
      </c>
      <c r="AB298" s="29">
        <f>FUELUSE(AA298,AA261,AB261,AA271,AB271,AB$281,AB$282,AB$283,$E288,$F288,$G288,$H288,$I288)</f>
        <v>0</v>
      </c>
      <c r="AC298" s="29">
        <f>FUELUSE(AB298,AB261,AC261,AB271,AC271,AC$281,AC$282,AC$283,$E288,$F288,$G288,$H288,$I288)</f>
        <v>0</v>
      </c>
      <c r="AD298" s="29">
        <f>FUELUSE(AC298,AC261,AD261,AC271,AD271,AD$281,AD$282,AD$283,$E288,$F288,$G288,$H288,$I288)</f>
        <v>0</v>
      </c>
      <c r="AE298" s="29">
        <f>FUELUSE(AD298,AD261,AE261,AD271,AE271,AE$281,AE$282,AE$283,$E288,$F288,$G288,$H288,$I288)</f>
        <v>0</v>
      </c>
    </row>
    <row r="299" spans="2:31" x14ac:dyDescent="0.25">
      <c r="B299" s="17" t="s">
        <v>62</v>
      </c>
      <c r="C299" s="17" t="str">
        <f t="shared" si="28"/>
        <v>irn</v>
      </c>
      <c r="D299" s="18" t="s">
        <v>63</v>
      </c>
      <c r="E299" s="19" t="s">
        <v>112</v>
      </c>
      <c r="F299" s="17" t="s">
        <v>113</v>
      </c>
      <c r="G299" s="20" t="str">
        <f>Settings!$B$3&amp;".mit.enc."&amp;$B299</f>
        <v>egy.mit.enc.die</v>
      </c>
      <c r="H299" s="21" t="str">
        <f>OUTCODE(Settings!$B$3,"ener",$C$247,$B299,$J$247)</f>
        <v>egy.mit.ener.irn.die.e.2</v>
      </c>
      <c r="L299" s="28">
        <f>INDEX(Data_Energy!$D$3:$U$22,MATCH($B299,Data_Energy!$C$3:$C$22,0),MATCH($C299,Data_Energy!$D$2:$U$2,0))</f>
        <v>0</v>
      </c>
      <c r="M299" s="29">
        <f>FUELUSE(L299,L262,M262,L272,M272,M$281,M$282,M$283,$E289,$F289,$G289,$H289,$I289)</f>
        <v>0</v>
      </c>
      <c r="N299" s="29">
        <f>FUELUSE(M299,M262,N262,M272,N272,N$281,N$282,N$283,$E289,$F289,$G289,$H289,$I289)</f>
        <v>0</v>
      </c>
      <c r="O299" s="29">
        <f>FUELUSE(N299,N262,O262,N272,O272,O$281,O$282,O$283,$E289,$F289,$G289,$H289,$I289)</f>
        <v>0</v>
      </c>
      <c r="P299" s="29">
        <f>FUELUSE(O299,O262,P262,O272,P272,P$281,P$282,P$283,$E289,$F289,$G289,$H289,$I289)</f>
        <v>0</v>
      </c>
      <c r="Q299" s="29">
        <f>FUELUSE(P299,P262,Q262,P272,Q272,Q$281,Q$282,Q$283,$E289,$F289,$G289,$H289,$I289)</f>
        <v>0</v>
      </c>
      <c r="R299" s="29">
        <f>FUELUSE(Q299,Q262,R262,Q272,R272,R$281,R$282,R$283,$E289,$F289,$G289,$H289,$I289)</f>
        <v>0</v>
      </c>
      <c r="S299" s="29">
        <f>FUELUSE(R299,R262,S262,R272,S272,S$281,S$282,S$283,$E289,$F289,$G289,$H289,$I289)</f>
        <v>0</v>
      </c>
      <c r="T299" s="29">
        <f>FUELUSE(S299,S262,T262,S272,T272,T$281,T$282,T$283,$E289,$F289,$G289,$H289,$I289)</f>
        <v>0</v>
      </c>
      <c r="U299" s="29">
        <f>FUELUSE(T299,T262,U262,T272,U272,U$281,U$282,U$283,$E289,$F289,$G289,$H289,$I289)</f>
        <v>0</v>
      </c>
      <c r="V299" s="29">
        <f>FUELUSE(U299,U262,V262,U272,V272,V$281,V$282,V$283,$E289,$F289,$G289,$H289,$I289)</f>
        <v>0</v>
      </c>
      <c r="W299" s="29">
        <f>FUELUSE(V299,V262,W262,V272,W272,W$281,W$282,W$283,$E289,$F289,$G289,$H289,$I289)</f>
        <v>0</v>
      </c>
      <c r="X299" s="29">
        <f>FUELUSE(W299,W262,X262,W272,X272,X$281,X$282,X$283,$E289,$F289,$G289,$H289,$I289)</f>
        <v>0</v>
      </c>
      <c r="Y299" s="29">
        <f>FUELUSE(X299,X262,Y262,X272,Y272,Y$281,Y$282,Y$283,$E289,$F289,$G289,$H289,$I289)</f>
        <v>0</v>
      </c>
      <c r="Z299" s="29">
        <f>FUELUSE(Y299,Y262,Z262,Y272,Z272,Z$281,Z$282,Z$283,$E289,$F289,$G289,$H289,$I289)</f>
        <v>0</v>
      </c>
      <c r="AA299" s="29">
        <f>FUELUSE(Z299,Z262,AA262,Z272,AA272,AA$281,AA$282,AA$283,$E289,$F289,$G289,$H289,$I289)</f>
        <v>0</v>
      </c>
      <c r="AB299" s="29">
        <f>FUELUSE(AA299,AA262,AB262,AA272,AB272,AB$281,AB$282,AB$283,$E289,$F289,$G289,$H289,$I289)</f>
        <v>0</v>
      </c>
      <c r="AC299" s="29">
        <f>FUELUSE(AB299,AB262,AC262,AB272,AC272,AC$281,AC$282,AC$283,$E289,$F289,$G289,$H289,$I289)</f>
        <v>0</v>
      </c>
      <c r="AD299" s="29">
        <f>FUELUSE(AC299,AC262,AD262,AC272,AD272,AD$281,AD$282,AD$283,$E289,$F289,$G289,$H289,$I289)</f>
        <v>0</v>
      </c>
      <c r="AE299" s="29">
        <f>FUELUSE(AD299,AD262,AE262,AD272,AE272,AE$281,AE$282,AE$283,$E289,$F289,$G289,$H289,$I289)</f>
        <v>0</v>
      </c>
    </row>
    <row r="300" spans="2:31" x14ac:dyDescent="0.25">
      <c r="B300" s="17" t="s">
        <v>64</v>
      </c>
      <c r="C300" s="17" t="str">
        <f t="shared" si="28"/>
        <v>irn</v>
      </c>
      <c r="D300" s="18" t="s">
        <v>65</v>
      </c>
      <c r="E300" s="19" t="s">
        <v>112</v>
      </c>
      <c r="F300" s="17" t="s">
        <v>113</v>
      </c>
      <c r="G300" s="20" t="str">
        <f>Settings!$B$3&amp;".mit.enc."&amp;$B300</f>
        <v>egy.mit.enc.lpg</v>
      </c>
      <c r="H300" s="21" t="str">
        <f>OUTCODE(Settings!$B$3,"ener",$C$247,$B300,$J$247)</f>
        <v>egy.mit.ener.irn.lpg.e.2</v>
      </c>
      <c r="L300" s="28">
        <f>INDEX(Data_Energy!$D$3:$U$22,MATCH($B300,Data_Energy!$C$3:$C$22,0),MATCH($C300,Data_Energy!$D$2:$U$2,0))</f>
        <v>0</v>
      </c>
      <c r="M300" s="29">
        <f>FUELUSE(L300,L263,M263,L273,M273,M$281,M$282,M$283,$E290,$F290,$G290,$H290,$I290)</f>
        <v>0</v>
      </c>
      <c r="N300" s="29">
        <f>FUELUSE(M300,M263,N263,M273,N273,N$281,N$282,N$283,$E290,$F290,$G290,$H290,$I290)</f>
        <v>0</v>
      </c>
      <c r="O300" s="29">
        <f>FUELUSE(N300,N263,O263,N273,O273,O$281,O$282,O$283,$E290,$F290,$G290,$H290,$I290)</f>
        <v>0</v>
      </c>
      <c r="P300" s="29">
        <f>FUELUSE(O300,O263,P263,O273,P273,P$281,P$282,P$283,$E290,$F290,$G290,$H290,$I290)</f>
        <v>0</v>
      </c>
      <c r="Q300" s="29">
        <f>FUELUSE(P300,P263,Q263,P273,Q273,Q$281,Q$282,Q$283,$E290,$F290,$G290,$H290,$I290)</f>
        <v>0</v>
      </c>
      <c r="R300" s="29">
        <f>FUELUSE(Q300,Q263,R263,Q273,R273,R$281,R$282,R$283,$E290,$F290,$G290,$H290,$I290)</f>
        <v>0</v>
      </c>
      <c r="S300" s="29">
        <f>FUELUSE(R300,R263,S263,R273,S273,S$281,S$282,S$283,$E290,$F290,$G290,$H290,$I290)</f>
        <v>0</v>
      </c>
      <c r="T300" s="29">
        <f>FUELUSE(S300,S263,T263,S273,T273,T$281,T$282,T$283,$E290,$F290,$G290,$H290,$I290)</f>
        <v>0</v>
      </c>
      <c r="U300" s="29">
        <f>FUELUSE(T300,T263,U263,T273,U273,U$281,U$282,U$283,$E290,$F290,$G290,$H290,$I290)</f>
        <v>0</v>
      </c>
      <c r="V300" s="29">
        <f>FUELUSE(U300,U263,V263,U273,V273,V$281,V$282,V$283,$E290,$F290,$G290,$H290,$I290)</f>
        <v>0</v>
      </c>
      <c r="W300" s="29">
        <f>FUELUSE(V300,V263,W263,V273,W273,W$281,W$282,W$283,$E290,$F290,$G290,$H290,$I290)</f>
        <v>0</v>
      </c>
      <c r="X300" s="29">
        <f>FUELUSE(W300,W263,X263,W273,X273,X$281,X$282,X$283,$E290,$F290,$G290,$H290,$I290)</f>
        <v>0</v>
      </c>
      <c r="Y300" s="29">
        <f>FUELUSE(X300,X263,Y263,X273,Y273,Y$281,Y$282,Y$283,$E290,$F290,$G290,$H290,$I290)</f>
        <v>0</v>
      </c>
      <c r="Z300" s="29">
        <f>FUELUSE(Y300,Y263,Z263,Y273,Z273,Z$281,Z$282,Z$283,$E290,$F290,$G290,$H290,$I290)</f>
        <v>0</v>
      </c>
      <c r="AA300" s="29">
        <f>FUELUSE(Z300,Z263,AA263,Z273,AA273,AA$281,AA$282,AA$283,$E290,$F290,$G290,$H290,$I290)</f>
        <v>0</v>
      </c>
      <c r="AB300" s="29">
        <f>FUELUSE(AA300,AA263,AB263,AA273,AB273,AB$281,AB$282,AB$283,$E290,$F290,$G290,$H290,$I290)</f>
        <v>0</v>
      </c>
      <c r="AC300" s="29">
        <f>FUELUSE(AB300,AB263,AC263,AB273,AC273,AC$281,AC$282,AC$283,$E290,$F290,$G290,$H290,$I290)</f>
        <v>0</v>
      </c>
      <c r="AD300" s="29">
        <f>FUELUSE(AC300,AC263,AD263,AC273,AD273,AD$281,AD$282,AD$283,$E290,$F290,$G290,$H290,$I290)</f>
        <v>0</v>
      </c>
      <c r="AE300" s="29">
        <f>FUELUSE(AD300,AD263,AE263,AD273,AE273,AE$281,AE$282,AE$283,$E290,$F290,$G290,$H290,$I290)</f>
        <v>0</v>
      </c>
    </row>
    <row r="301" spans="2:31" x14ac:dyDescent="0.25">
      <c r="B301" s="17" t="s">
        <v>66</v>
      </c>
      <c r="C301" s="17" t="str">
        <f t="shared" si="28"/>
        <v>irn</v>
      </c>
      <c r="D301" s="18" t="s">
        <v>67</v>
      </c>
      <c r="E301" s="19" t="s">
        <v>112</v>
      </c>
      <c r="F301" s="17" t="s">
        <v>113</v>
      </c>
      <c r="G301" s="20" t="str">
        <f>Settings!$B$3&amp;".mit.enc."&amp;$B301</f>
        <v>egy.mit.enc.ker</v>
      </c>
      <c r="H301" s="21" t="str">
        <f>OUTCODE(Settings!$B$3,"ener",$C$247,$B301,$J$247)</f>
        <v>egy.mit.ener.irn.ker.e.2</v>
      </c>
      <c r="L301" s="28">
        <f>INDEX(Data_Energy!$D$3:$U$22,MATCH($B301,Data_Energy!$C$3:$C$22,0),MATCH($C301,Data_Energy!$D$2:$U$2,0))</f>
        <v>0</v>
      </c>
      <c r="M301" s="29">
        <f>FUELUSE(L301,L264,M264,L274,M274,M$281,M$282,M$283,$E291,$F291,$G291,$H291,$I291)</f>
        <v>0</v>
      </c>
      <c r="N301" s="29">
        <f>FUELUSE(M301,M264,N264,M274,N274,N$281,N$282,N$283,$E291,$F291,$G291,$H291,$I291)</f>
        <v>0</v>
      </c>
      <c r="O301" s="29">
        <f>FUELUSE(N301,N264,O264,N274,O274,O$281,O$282,O$283,$E291,$F291,$G291,$H291,$I291)</f>
        <v>0</v>
      </c>
      <c r="P301" s="29">
        <f>FUELUSE(O301,O264,P264,O274,P274,P$281,P$282,P$283,$E291,$F291,$G291,$H291,$I291)</f>
        <v>0</v>
      </c>
      <c r="Q301" s="29">
        <f>FUELUSE(P301,P264,Q264,P274,Q274,Q$281,Q$282,Q$283,$E291,$F291,$G291,$H291,$I291)</f>
        <v>0</v>
      </c>
      <c r="R301" s="29">
        <f>FUELUSE(Q301,Q264,R264,Q274,R274,R$281,R$282,R$283,$E291,$F291,$G291,$H291,$I291)</f>
        <v>0</v>
      </c>
      <c r="S301" s="29">
        <f>FUELUSE(R301,R264,S264,R274,S274,S$281,S$282,S$283,$E291,$F291,$G291,$H291,$I291)</f>
        <v>0</v>
      </c>
      <c r="T301" s="29">
        <f>FUELUSE(S301,S264,T264,S274,T274,T$281,T$282,T$283,$E291,$F291,$G291,$H291,$I291)</f>
        <v>0</v>
      </c>
      <c r="U301" s="29">
        <f>FUELUSE(T301,T264,U264,T274,U274,U$281,U$282,U$283,$E291,$F291,$G291,$H291,$I291)</f>
        <v>0</v>
      </c>
      <c r="V301" s="29">
        <f>FUELUSE(U301,U264,V264,U274,V274,V$281,V$282,V$283,$E291,$F291,$G291,$H291,$I291)</f>
        <v>0</v>
      </c>
      <c r="W301" s="29">
        <f>FUELUSE(V301,V264,W264,V274,W274,W$281,W$282,W$283,$E291,$F291,$G291,$H291,$I291)</f>
        <v>0</v>
      </c>
      <c r="X301" s="29">
        <f>FUELUSE(W301,W264,X264,W274,X274,X$281,X$282,X$283,$E291,$F291,$G291,$H291,$I291)</f>
        <v>0</v>
      </c>
      <c r="Y301" s="29">
        <f>FUELUSE(X301,X264,Y264,X274,Y274,Y$281,Y$282,Y$283,$E291,$F291,$G291,$H291,$I291)</f>
        <v>0</v>
      </c>
      <c r="Z301" s="29">
        <f>FUELUSE(Y301,Y264,Z264,Y274,Z274,Z$281,Z$282,Z$283,$E291,$F291,$G291,$H291,$I291)</f>
        <v>0</v>
      </c>
      <c r="AA301" s="29">
        <f>FUELUSE(Z301,Z264,AA264,Z274,AA274,AA$281,AA$282,AA$283,$E291,$F291,$G291,$H291,$I291)</f>
        <v>0</v>
      </c>
      <c r="AB301" s="29">
        <f>FUELUSE(AA301,AA264,AB264,AA274,AB274,AB$281,AB$282,AB$283,$E291,$F291,$G291,$H291,$I291)</f>
        <v>0</v>
      </c>
      <c r="AC301" s="29">
        <f>FUELUSE(AB301,AB264,AC264,AB274,AC274,AC$281,AC$282,AC$283,$E291,$F291,$G291,$H291,$I291)</f>
        <v>0</v>
      </c>
      <c r="AD301" s="29">
        <f>FUELUSE(AC301,AC264,AD264,AC274,AD274,AD$281,AD$282,AD$283,$E291,$F291,$G291,$H291,$I291)</f>
        <v>0</v>
      </c>
      <c r="AE301" s="29">
        <f>FUELUSE(AD301,AD264,AE264,AD274,AE274,AE$281,AE$282,AE$283,$E291,$F291,$G291,$H291,$I291)</f>
        <v>0</v>
      </c>
    </row>
    <row r="302" spans="2:31" x14ac:dyDescent="0.25">
      <c r="B302" s="17" t="s">
        <v>68</v>
      </c>
      <c r="C302" s="17" t="str">
        <f t="shared" si="28"/>
        <v>irn</v>
      </c>
      <c r="D302" s="18" t="s">
        <v>69</v>
      </c>
      <c r="E302" s="19" t="s">
        <v>112</v>
      </c>
      <c r="F302" s="17" t="s">
        <v>113</v>
      </c>
      <c r="G302" s="20" t="str">
        <f>Settings!$B$3&amp;".mit.enc."&amp;$B302</f>
        <v>egy.mit.enc.oop</v>
      </c>
      <c r="H302" s="21" t="str">
        <f>OUTCODE(Settings!$B$3,"ener",$C$247,$B302,$J$247)</f>
        <v>egy.mit.ener.irn.oop.e.2</v>
      </c>
      <c r="L302" s="28">
        <f>INDEX(Data_Energy!$D$3:$U$22,MATCH($B302,Data_Energy!$C$3:$C$22,0),MATCH($C302,Data_Energy!$D$2:$U$2,0))</f>
        <v>0</v>
      </c>
      <c r="M302" s="29">
        <f>FUELUSE(L302,L265,M265,L275,M275,M$281,M$282,M$283,$E292,$F292,$G292,$H292,$I292)</f>
        <v>0</v>
      </c>
      <c r="N302" s="29">
        <f>FUELUSE(M302,M265,N265,M275,N275,N$281,N$282,N$283,$E292,$F292,$G292,$H292,$I292)</f>
        <v>0</v>
      </c>
      <c r="O302" s="29">
        <f>FUELUSE(N302,N265,O265,N275,O275,O$281,O$282,O$283,$E292,$F292,$G292,$H292,$I292)</f>
        <v>0</v>
      </c>
      <c r="P302" s="29">
        <f>FUELUSE(O302,O265,P265,O275,P275,P$281,P$282,P$283,$E292,$F292,$G292,$H292,$I292)</f>
        <v>0</v>
      </c>
      <c r="Q302" s="29">
        <f>FUELUSE(P302,P265,Q265,P275,Q275,Q$281,Q$282,Q$283,$E292,$F292,$G292,$H292,$I292)</f>
        <v>0</v>
      </c>
      <c r="R302" s="29">
        <f>FUELUSE(Q302,Q265,R265,Q275,R275,R$281,R$282,R$283,$E292,$F292,$G292,$H292,$I292)</f>
        <v>0</v>
      </c>
      <c r="S302" s="29">
        <f>FUELUSE(R302,R265,S265,R275,S275,S$281,S$282,S$283,$E292,$F292,$G292,$H292,$I292)</f>
        <v>0</v>
      </c>
      <c r="T302" s="29">
        <f>FUELUSE(S302,S265,T265,S275,T275,T$281,T$282,T$283,$E292,$F292,$G292,$H292,$I292)</f>
        <v>0</v>
      </c>
      <c r="U302" s="29">
        <f>FUELUSE(T302,T265,U265,T275,U275,U$281,U$282,U$283,$E292,$F292,$G292,$H292,$I292)</f>
        <v>0</v>
      </c>
      <c r="V302" s="29">
        <f>FUELUSE(U302,U265,V265,U275,V275,V$281,V$282,V$283,$E292,$F292,$G292,$H292,$I292)</f>
        <v>0</v>
      </c>
      <c r="W302" s="29">
        <f>FUELUSE(V302,V265,W265,V275,W275,W$281,W$282,W$283,$E292,$F292,$G292,$H292,$I292)</f>
        <v>0</v>
      </c>
      <c r="X302" s="29">
        <f>FUELUSE(W302,W265,X265,W275,X275,X$281,X$282,X$283,$E292,$F292,$G292,$H292,$I292)</f>
        <v>0</v>
      </c>
      <c r="Y302" s="29">
        <f>FUELUSE(X302,X265,Y265,X275,Y275,Y$281,Y$282,Y$283,$E292,$F292,$G292,$H292,$I292)</f>
        <v>0</v>
      </c>
      <c r="Z302" s="29">
        <f>FUELUSE(Y302,Y265,Z265,Y275,Z275,Z$281,Z$282,Z$283,$E292,$F292,$G292,$H292,$I292)</f>
        <v>0</v>
      </c>
      <c r="AA302" s="29">
        <f>FUELUSE(Z302,Z265,AA265,Z275,AA275,AA$281,AA$282,AA$283,$E292,$F292,$G292,$H292,$I292)</f>
        <v>0</v>
      </c>
      <c r="AB302" s="29">
        <f>FUELUSE(AA302,AA265,AB265,AA275,AB275,AB$281,AB$282,AB$283,$E292,$F292,$G292,$H292,$I292)</f>
        <v>0</v>
      </c>
      <c r="AC302" s="29">
        <f>FUELUSE(AB302,AB265,AC265,AB275,AC275,AC$281,AC$282,AC$283,$E292,$F292,$G292,$H292,$I292)</f>
        <v>0</v>
      </c>
      <c r="AD302" s="29">
        <f>FUELUSE(AC302,AC265,AD265,AC275,AD275,AD$281,AD$282,AD$283,$E292,$F292,$G292,$H292,$I292)</f>
        <v>0</v>
      </c>
      <c r="AE302" s="29">
        <f>FUELUSE(AD302,AD265,AE265,AD275,AE275,AE$281,AE$282,AE$283,$E292,$F292,$G292,$H292,$I292)</f>
        <v>0</v>
      </c>
    </row>
    <row r="303" spans="2:31" x14ac:dyDescent="0.25">
      <c r="B303" s="17" t="s">
        <v>71</v>
      </c>
      <c r="C303" s="17" t="str">
        <f t="shared" si="28"/>
        <v>irn</v>
      </c>
      <c r="D303" s="18" t="s">
        <v>72</v>
      </c>
      <c r="E303" s="19" t="s">
        <v>112</v>
      </c>
      <c r="F303" s="17" t="s">
        <v>113</v>
      </c>
      <c r="G303" s="20" t="str">
        <f>Settings!$B$3&amp;".mit.enc."&amp;$B303</f>
        <v>egy.mit.enc.bio</v>
      </c>
      <c r="H303" s="21" t="str">
        <f>OUTCODE(Settings!$B$3,"ener",$C$247,$B303,$J$247)</f>
        <v>egy.mit.ener.irn.bio.e.2</v>
      </c>
      <c r="L303" s="28">
        <f>INDEX(Data_Energy!$D$3:$U$22,MATCH($B303,Data_Energy!$C$3:$C$22,0),MATCH($C303,Data_Energy!$D$2:$U$2,0))</f>
        <v>0</v>
      </c>
      <c r="M303" s="29">
        <f>FUELUSE(L303,L266,M266,L276,M276,M$281,M$282,M$283,$E293,$F293,$G293,$H293,$I293)</f>
        <v>0</v>
      </c>
      <c r="N303" s="29">
        <f>FUELUSE(M303,M266,N266,M276,N276,N$281,N$282,N$283,$E293,$F293,$G293,$H293,$I293)</f>
        <v>0</v>
      </c>
      <c r="O303" s="29">
        <f>FUELUSE(N303,N266,O266,N276,O276,O$281,O$282,O$283,$E293,$F293,$G293,$H293,$I293)</f>
        <v>0</v>
      </c>
      <c r="P303" s="29">
        <f>FUELUSE(O303,O266,P266,O276,P276,P$281,P$282,P$283,$E293,$F293,$G293,$H293,$I293)</f>
        <v>0</v>
      </c>
      <c r="Q303" s="29">
        <f>FUELUSE(P303,P266,Q266,P276,Q276,Q$281,Q$282,Q$283,$E293,$F293,$G293,$H293,$I293)</f>
        <v>0</v>
      </c>
      <c r="R303" s="29">
        <f>FUELUSE(Q303,Q266,R266,Q276,R276,R$281,R$282,R$283,$E293,$F293,$G293,$H293,$I293)</f>
        <v>0</v>
      </c>
      <c r="S303" s="29">
        <f>FUELUSE(R303,R266,S266,R276,S276,S$281,S$282,S$283,$E293,$F293,$G293,$H293,$I293)</f>
        <v>0</v>
      </c>
      <c r="T303" s="29">
        <f>FUELUSE(S303,S266,T266,S276,T276,T$281,T$282,T$283,$E293,$F293,$G293,$H293,$I293)</f>
        <v>0</v>
      </c>
      <c r="U303" s="29">
        <f>FUELUSE(T303,T266,U266,T276,U276,U$281,U$282,U$283,$E293,$F293,$G293,$H293,$I293)</f>
        <v>0</v>
      </c>
      <c r="V303" s="29">
        <f>FUELUSE(U303,U266,V266,U276,V276,V$281,V$282,V$283,$E293,$F293,$G293,$H293,$I293)</f>
        <v>0</v>
      </c>
      <c r="W303" s="29">
        <f>FUELUSE(V303,V266,W266,V276,W276,W$281,W$282,W$283,$E293,$F293,$G293,$H293,$I293)</f>
        <v>0</v>
      </c>
      <c r="X303" s="29">
        <f>FUELUSE(W303,W266,X266,W276,X276,X$281,X$282,X$283,$E293,$F293,$G293,$H293,$I293)</f>
        <v>0</v>
      </c>
      <c r="Y303" s="29">
        <f>FUELUSE(X303,X266,Y266,X276,Y276,Y$281,Y$282,Y$283,$E293,$F293,$G293,$H293,$I293)</f>
        <v>0</v>
      </c>
      <c r="Z303" s="29">
        <f>FUELUSE(Y303,Y266,Z266,Y276,Z276,Z$281,Z$282,Z$283,$E293,$F293,$G293,$H293,$I293)</f>
        <v>0</v>
      </c>
      <c r="AA303" s="29">
        <f>FUELUSE(Z303,Z266,AA266,Z276,AA276,AA$281,AA$282,AA$283,$E293,$F293,$G293,$H293,$I293)</f>
        <v>0</v>
      </c>
      <c r="AB303" s="29">
        <f>FUELUSE(AA303,AA266,AB266,AA276,AB276,AB$281,AB$282,AB$283,$E293,$F293,$G293,$H293,$I293)</f>
        <v>0</v>
      </c>
      <c r="AC303" s="29">
        <f>FUELUSE(AB303,AB266,AC266,AB276,AC276,AC$281,AC$282,AC$283,$E293,$F293,$G293,$H293,$I293)</f>
        <v>0</v>
      </c>
      <c r="AD303" s="29">
        <f>FUELUSE(AC303,AC266,AD266,AC276,AD276,AD$281,AD$282,AD$283,$E293,$F293,$G293,$H293,$I293)</f>
        <v>0</v>
      </c>
      <c r="AE303" s="29">
        <f>FUELUSE(AD303,AD266,AE266,AD276,AE276,AE$281,AE$282,AE$283,$E293,$F293,$G293,$H293,$I293)</f>
        <v>0</v>
      </c>
    </row>
    <row r="304" spans="2:31" x14ac:dyDescent="0.25">
      <c r="B304" s="17" t="s">
        <v>73</v>
      </c>
      <c r="C304" s="17" t="str">
        <f t="shared" si="28"/>
        <v>irn</v>
      </c>
      <c r="D304" s="18" t="s">
        <v>74</v>
      </c>
      <c r="E304" s="19" t="s">
        <v>112</v>
      </c>
      <c r="F304" s="17" t="s">
        <v>113</v>
      </c>
      <c r="G304" s="20" t="str">
        <f>Settings!$B$3&amp;".mit.enc."&amp;$B304</f>
        <v>egy.mit.enc.ren</v>
      </c>
      <c r="H304" s="21" t="str">
        <f>OUTCODE(Settings!$B$3,"ener",$C$247,$B304,$J$247)</f>
        <v>egy.mit.ener.irn.ren.e.2</v>
      </c>
      <c r="L304" s="28">
        <f>INDEX(Data_Energy!$D$3:$U$22,MATCH($B304,Data_Energy!$C$3:$C$22,0),MATCH($C304,Data_Energy!$D$2:$U$2,0))</f>
        <v>0</v>
      </c>
      <c r="M304" s="29">
        <f>FUELUSE(L304,L267,M267,L277,M277,M$281,M$282,M$283,$E294,$F294,$G294,$H294,$I294)</f>
        <v>0</v>
      </c>
      <c r="N304" s="29">
        <f>FUELUSE(M304,M267,N267,M277,N277,N$281,N$282,N$283,$E294,$F294,$G294,$H294,$I294)</f>
        <v>0</v>
      </c>
      <c r="O304" s="29">
        <f>FUELUSE(N304,N267,O267,N277,O277,O$281,O$282,O$283,$E294,$F294,$G294,$H294,$I294)</f>
        <v>0</v>
      </c>
      <c r="P304" s="29">
        <f>FUELUSE(O304,O267,P267,O277,P277,P$281,P$282,P$283,$E294,$F294,$G294,$H294,$I294)</f>
        <v>0</v>
      </c>
      <c r="Q304" s="29">
        <f>FUELUSE(P304,P267,Q267,P277,Q277,Q$281,Q$282,Q$283,$E294,$F294,$G294,$H294,$I294)</f>
        <v>0</v>
      </c>
      <c r="R304" s="29">
        <f>FUELUSE(Q304,Q267,R267,Q277,R277,R$281,R$282,R$283,$E294,$F294,$G294,$H294,$I294)</f>
        <v>0</v>
      </c>
      <c r="S304" s="29">
        <f>FUELUSE(R304,R267,S267,R277,S277,S$281,S$282,S$283,$E294,$F294,$G294,$H294,$I294)</f>
        <v>0</v>
      </c>
      <c r="T304" s="29">
        <f>FUELUSE(S304,S267,T267,S277,T277,T$281,T$282,T$283,$E294,$F294,$G294,$H294,$I294)</f>
        <v>0</v>
      </c>
      <c r="U304" s="29">
        <f>FUELUSE(T304,T267,U267,T277,U277,U$281,U$282,U$283,$E294,$F294,$G294,$H294,$I294)</f>
        <v>0</v>
      </c>
      <c r="V304" s="29">
        <f>FUELUSE(U304,U267,V267,U277,V277,V$281,V$282,V$283,$E294,$F294,$G294,$H294,$I294)</f>
        <v>0</v>
      </c>
      <c r="W304" s="29">
        <f>FUELUSE(V304,V267,W267,V277,W277,W$281,W$282,W$283,$E294,$F294,$G294,$H294,$I294)</f>
        <v>0</v>
      </c>
      <c r="X304" s="29">
        <f>FUELUSE(W304,W267,X267,W277,X277,X$281,X$282,X$283,$E294,$F294,$G294,$H294,$I294)</f>
        <v>0</v>
      </c>
      <c r="Y304" s="29">
        <f>FUELUSE(X304,X267,Y267,X277,Y277,Y$281,Y$282,Y$283,$E294,$F294,$G294,$H294,$I294)</f>
        <v>0</v>
      </c>
      <c r="Z304" s="29">
        <f>FUELUSE(Y304,Y267,Z267,Y277,Z277,Z$281,Z$282,Z$283,$E294,$F294,$G294,$H294,$I294)</f>
        <v>0</v>
      </c>
      <c r="AA304" s="29">
        <f>FUELUSE(Z304,Z267,AA267,Z277,AA277,AA$281,AA$282,AA$283,$E294,$F294,$G294,$H294,$I294)</f>
        <v>0</v>
      </c>
      <c r="AB304" s="29">
        <f>FUELUSE(AA304,AA267,AB267,AA277,AB277,AB$281,AB$282,AB$283,$E294,$F294,$G294,$H294,$I294)</f>
        <v>0</v>
      </c>
      <c r="AC304" s="29">
        <f>FUELUSE(AB304,AB267,AC267,AB277,AC277,AC$281,AC$282,AC$283,$E294,$F294,$G294,$H294,$I294)</f>
        <v>0</v>
      </c>
      <c r="AD304" s="29">
        <f>FUELUSE(AC304,AC267,AD267,AC277,AD277,AD$281,AD$282,AD$283,$E294,$F294,$G294,$H294,$I294)</f>
        <v>0</v>
      </c>
      <c r="AE304" s="29">
        <f>FUELUSE(AD304,AD267,AE267,AD277,AE277,AE$281,AE$282,AE$283,$E294,$F294,$G294,$H294,$I294)</f>
        <v>0</v>
      </c>
    </row>
    <row r="305" spans="1:35" x14ac:dyDescent="0.25">
      <c r="B305" s="17" t="s">
        <v>114</v>
      </c>
      <c r="C305" s="17" t="str">
        <f t="shared" si="28"/>
        <v>irn</v>
      </c>
      <c r="D305" s="30" t="s">
        <v>115</v>
      </c>
      <c r="E305" s="19" t="s">
        <v>112</v>
      </c>
      <c r="F305" s="17" t="s">
        <v>113</v>
      </c>
      <c r="H305" s="21" t="str">
        <f>OUTCODE(Settings!$B$3,"ener",$C$247,"tot",$J$247)</f>
        <v>egy.mit.ener.irn.tot.e.2</v>
      </c>
      <c r="L305" s="31">
        <f t="shared" ref="L305:AE305" si="29">SUM(L296:L304)</f>
        <v>1901.7140738122584</v>
      </c>
      <c r="M305" s="31">
        <f t="shared" si="29"/>
        <v>1621.2301769893716</v>
      </c>
      <c r="N305" s="31">
        <f t="shared" si="29"/>
        <v>1820.8469202303706</v>
      </c>
      <c r="O305" s="31">
        <f t="shared" si="29"/>
        <v>1904.3670376253453</v>
      </c>
      <c r="P305" s="31">
        <f t="shared" si="29"/>
        <v>1961.7020212532389</v>
      </c>
      <c r="Q305" s="31">
        <f t="shared" si="29"/>
        <v>1856.4047971685038</v>
      </c>
      <c r="R305" s="31">
        <f t="shared" si="29"/>
        <v>1788.9492171961783</v>
      </c>
      <c r="S305" s="31">
        <f t="shared" si="29"/>
        <v>1732.3328660968284</v>
      </c>
      <c r="T305" s="31">
        <f t="shared" si="29"/>
        <v>1682.3885530274272</v>
      </c>
      <c r="U305" s="31">
        <f t="shared" si="29"/>
        <v>1641.4681088716534</v>
      </c>
      <c r="V305" s="31">
        <f t="shared" si="29"/>
        <v>1607.9067887450942</v>
      </c>
      <c r="W305" s="31">
        <f t="shared" si="29"/>
        <v>1581.3612458923535</v>
      </c>
      <c r="X305" s="31">
        <f t="shared" si="29"/>
        <v>1561.0275376536167</v>
      </c>
      <c r="Y305" s="31">
        <f t="shared" si="29"/>
        <v>1546.4517889063798</v>
      </c>
      <c r="Z305" s="31">
        <f t="shared" si="29"/>
        <v>1537.5943975526689</v>
      </c>
      <c r="AA305" s="31">
        <f t="shared" si="29"/>
        <v>1534.1781017151065</v>
      </c>
      <c r="AB305" s="31">
        <f t="shared" si="29"/>
        <v>1535.901009229804</v>
      </c>
      <c r="AC305" s="31">
        <f t="shared" si="29"/>
        <v>1542.2263096902548</v>
      </c>
      <c r="AD305" s="31">
        <f t="shared" si="29"/>
        <v>1552.7078187244658</v>
      </c>
      <c r="AE305" s="31">
        <f t="shared" si="29"/>
        <v>1567.0166623775506</v>
      </c>
    </row>
    <row r="307" spans="1:35" x14ac:dyDescent="0.25">
      <c r="A307" s="12"/>
      <c r="B307" s="7" t="s">
        <v>116</v>
      </c>
      <c r="C307" s="8" t="s">
        <v>117</v>
      </c>
      <c r="D307" s="7" t="s">
        <v>48</v>
      </c>
      <c r="E307" s="8" t="s">
        <v>39</v>
      </c>
      <c r="F307" s="8" t="s">
        <v>49</v>
      </c>
      <c r="G307" s="8" t="s">
        <v>50</v>
      </c>
      <c r="H307" s="13" t="s">
        <v>42</v>
      </c>
      <c r="I307" s="7" t="s">
        <v>51</v>
      </c>
      <c r="J307" s="14">
        <v>2</v>
      </c>
      <c r="K307" s="7">
        <v>2021</v>
      </c>
      <c r="L307" s="15">
        <v>2022</v>
      </c>
      <c r="M307" s="7">
        <v>2023</v>
      </c>
      <c r="N307" s="7">
        <v>2024</v>
      </c>
      <c r="O307" s="7">
        <v>2025</v>
      </c>
      <c r="P307" s="7">
        <v>2026</v>
      </c>
      <c r="Q307" s="7">
        <v>2027</v>
      </c>
      <c r="R307" s="7">
        <v>2028</v>
      </c>
      <c r="S307" s="7">
        <v>2029</v>
      </c>
      <c r="T307" s="7">
        <v>2030</v>
      </c>
      <c r="U307" s="7">
        <v>2031</v>
      </c>
      <c r="V307" s="7">
        <v>2032</v>
      </c>
      <c r="W307" s="7">
        <v>2033</v>
      </c>
      <c r="X307" s="7">
        <v>2034</v>
      </c>
      <c r="Y307" s="7">
        <v>2035</v>
      </c>
      <c r="Z307" s="7">
        <v>2036</v>
      </c>
      <c r="AA307" s="7">
        <v>2037</v>
      </c>
      <c r="AB307" s="7">
        <v>2038</v>
      </c>
      <c r="AC307" s="7">
        <v>2039</v>
      </c>
      <c r="AD307" s="7">
        <v>2040</v>
      </c>
      <c r="AE307" s="7">
        <v>2041</v>
      </c>
      <c r="AF307" s="7">
        <v>2042</v>
      </c>
      <c r="AG307" s="7">
        <v>2043</v>
      </c>
      <c r="AH307" s="7">
        <v>2044</v>
      </c>
      <c r="AI307" s="7">
        <v>2045</v>
      </c>
    </row>
    <row r="308" spans="1:35" x14ac:dyDescent="0.25">
      <c r="B308" s="16" t="s">
        <v>52</v>
      </c>
    </row>
    <row r="309" spans="1:35" x14ac:dyDescent="0.25">
      <c r="B309" s="17" t="s">
        <v>53</v>
      </c>
      <c r="C309" s="17" t="str">
        <f t="shared" ref="C309:C317" si="30">$C$307</f>
        <v>cem</v>
      </c>
      <c r="D309" s="18" t="s">
        <v>54</v>
      </c>
      <c r="E309" s="19" t="s">
        <v>55</v>
      </c>
      <c r="F309" s="17" t="s">
        <v>56</v>
      </c>
      <c r="G309" s="20" t="str">
        <f>Settings!$B$3&amp;".mit.pbc."&amp;Settings!$B$4&amp;"."&amp;$B309&amp;".a."&amp;$J$307</f>
        <v>egy.mit.pbc.ind.coa.a.2</v>
      </c>
      <c r="H309" s="21" t="str">
        <f>OUTCODE(Settings!$B$3,"ptp",$C$307,$B309,$J$307)</f>
        <v>egy.mit.ptp.cem.coa.e.2</v>
      </c>
      <c r="K309" s="22">
        <f>INDEX(Data_Prices!K:K,MATCH($G309,Data_Prices!$A:$A,0))</f>
        <v>11.18290158924394</v>
      </c>
      <c r="L309" s="22">
        <f>INDEX(Data_Prices!L:L,MATCH($G309,Data_Prices!$A:$A,0))</f>
        <v>10.52336134543121</v>
      </c>
      <c r="M309" s="22">
        <f>INDEX(Data_Prices!M:M,MATCH($G309,Data_Prices!$A:$A,0))</f>
        <v>10.299560827444211</v>
      </c>
      <c r="N309" s="22">
        <f>INDEX(Data_Prices!N:N,MATCH($G309,Data_Prices!$A:$A,0))</f>
        <v>9.5775283595382632</v>
      </c>
      <c r="O309" s="22">
        <f>INDEX(Data_Prices!O:O,MATCH($G309,Data_Prices!$A:$A,0))</f>
        <v>8.4854782869580454</v>
      </c>
      <c r="P309" s="22">
        <f>INDEX(Data_Prices!P:P,MATCH($G309,Data_Prices!$A:$A,0))</f>
        <v>9.0871922352498604</v>
      </c>
      <c r="Q309" s="22">
        <f>INDEX(Data_Prices!Q:Q,MATCH($G309,Data_Prices!$A:$A,0))</f>
        <v>9.2229237289326811</v>
      </c>
      <c r="R309" s="22">
        <f>INDEX(Data_Prices!R:R,MATCH($G309,Data_Prices!$A:$A,0))</f>
        <v>9.1585649555096875</v>
      </c>
      <c r="S309" s="22">
        <f>INDEX(Data_Prices!S:S,MATCH($G309,Data_Prices!$A:$A,0))</f>
        <v>9.0895478773973775</v>
      </c>
      <c r="T309" s="22">
        <f>INDEX(Data_Prices!T:T,MATCH($G309,Data_Prices!$A:$A,0))</f>
        <v>9.0156816660228305</v>
      </c>
      <c r="U309" s="22">
        <f>INDEX(Data_Prices!U:U,MATCH($G309,Data_Prices!$A:$A,0))</f>
        <v>8.9443977655571061</v>
      </c>
      <c r="V309" s="22">
        <f>INDEX(Data_Prices!V:V,MATCH($G309,Data_Prices!$A:$A,0))</f>
        <v>8.9443977655571061</v>
      </c>
      <c r="W309" s="22">
        <f>INDEX(Data_Prices!W:W,MATCH($G309,Data_Prices!$A:$A,0))</f>
        <v>8.9443977655571061</v>
      </c>
      <c r="X309" s="22">
        <f>INDEX(Data_Prices!X:X,MATCH($G309,Data_Prices!$A:$A,0))</f>
        <v>8.9443977655571061</v>
      </c>
      <c r="Y309" s="22">
        <f>INDEX(Data_Prices!Y:Y,MATCH($G309,Data_Prices!$A:$A,0))</f>
        <v>8.9443977655571061</v>
      </c>
      <c r="Z309" s="22">
        <f>INDEX(Data_Prices!Z:Z,MATCH($G309,Data_Prices!$A:$A,0))</f>
        <v>8.9443977655571061</v>
      </c>
      <c r="AA309" s="22">
        <f>INDEX(Data_Prices!AA:AA,MATCH($G309,Data_Prices!$A:$A,0))</f>
        <v>8.9443977655571061</v>
      </c>
      <c r="AB309" s="22">
        <f>INDEX(Data_Prices!AB:AB,MATCH($G309,Data_Prices!$A:$A,0))</f>
        <v>8.9443977655571061</v>
      </c>
      <c r="AC309" s="22">
        <f>INDEX(Data_Prices!AC:AC,MATCH($G309,Data_Prices!$A:$A,0))</f>
        <v>8.9443977655571061</v>
      </c>
      <c r="AD309" s="22">
        <f>INDEX(Data_Prices!AD:AD,MATCH($G309,Data_Prices!$A:$A,0))</f>
        <v>8.9443977655571061</v>
      </c>
      <c r="AE309" s="22">
        <f>INDEX(Data_Prices!AE:AE,MATCH($G309,Data_Prices!$A:$A,0))</f>
        <v>8.9443977655571061</v>
      </c>
    </row>
    <row r="310" spans="1:35" x14ac:dyDescent="0.25">
      <c r="B310" s="17" t="s">
        <v>57</v>
      </c>
      <c r="C310" s="17" t="str">
        <f t="shared" si="30"/>
        <v>cem</v>
      </c>
      <c r="D310" s="18" t="s">
        <v>58</v>
      </c>
      <c r="E310" s="19" t="s">
        <v>55</v>
      </c>
      <c r="F310" s="17" t="s">
        <v>56</v>
      </c>
      <c r="G310" s="20" t="str">
        <f>Settings!$B$3&amp;".mit.pbc."&amp;Settings!$B$4&amp;"."&amp;$B310&amp;".a."&amp;$J$307</f>
        <v>egy.mit.pbc.ind.nga.a.2</v>
      </c>
      <c r="H310" s="21" t="str">
        <f>OUTCODE(Settings!$B$3,"ptp",$C$307,$B310,$J$307)</f>
        <v>egy.mit.ptp.cem.nga.e.2</v>
      </c>
      <c r="K310" s="22">
        <f>INDEX(Data_Prices!K:K,MATCH($G310,Data_Prices!$A:$A,0))</f>
        <v>6.0634636156729131</v>
      </c>
      <c r="L310" s="22">
        <f>INDEX(Data_Prices!L:L,MATCH($G310,Data_Prices!$A:$A,0))</f>
        <v>5.4510150816191896</v>
      </c>
      <c r="M310" s="22">
        <f>INDEX(Data_Prices!M:M,MATCH($G310,Data_Prices!$A:$A,0))</f>
        <v>5.1193563062624818</v>
      </c>
      <c r="N310" s="22">
        <f>INDEX(Data_Prices!N:N,MATCH($G310,Data_Prices!$A:$A,0))</f>
        <v>5.0821845864040727</v>
      </c>
      <c r="O310" s="22">
        <f>INDEX(Data_Prices!O:O,MATCH($G310,Data_Prices!$A:$A,0))</f>
        <v>5.0821845864040727</v>
      </c>
      <c r="P310" s="22">
        <f>INDEX(Data_Prices!P:P,MATCH($G310,Data_Prices!$A:$A,0))</f>
        <v>5.0821845864040727</v>
      </c>
      <c r="Q310" s="22">
        <f>INDEX(Data_Prices!Q:Q,MATCH($G310,Data_Prices!$A:$A,0))</f>
        <v>5.0821845864040727</v>
      </c>
      <c r="R310" s="22">
        <f>INDEX(Data_Prices!R:R,MATCH($G310,Data_Prices!$A:$A,0))</f>
        <v>5.0821845864040727</v>
      </c>
      <c r="S310" s="22">
        <f>INDEX(Data_Prices!S:S,MATCH($G310,Data_Prices!$A:$A,0))</f>
        <v>5.0821845864040736</v>
      </c>
      <c r="T310" s="22">
        <f>INDEX(Data_Prices!T:T,MATCH($G310,Data_Prices!$A:$A,0))</f>
        <v>5.0821845864040736</v>
      </c>
      <c r="U310" s="22">
        <f>INDEX(Data_Prices!U:U,MATCH($G310,Data_Prices!$A:$A,0))</f>
        <v>5.0821845864040727</v>
      </c>
      <c r="V310" s="22">
        <f>INDEX(Data_Prices!V:V,MATCH($G310,Data_Prices!$A:$A,0))</f>
        <v>5.0821845864040727</v>
      </c>
      <c r="W310" s="22">
        <f>INDEX(Data_Prices!W:W,MATCH($G310,Data_Prices!$A:$A,0))</f>
        <v>5.0821845864040727</v>
      </c>
      <c r="X310" s="22">
        <f>INDEX(Data_Prices!X:X,MATCH($G310,Data_Prices!$A:$A,0))</f>
        <v>5.0821845864040727</v>
      </c>
      <c r="Y310" s="22">
        <f>INDEX(Data_Prices!Y:Y,MATCH($G310,Data_Prices!$A:$A,0))</f>
        <v>5.0821845864040718</v>
      </c>
      <c r="Z310" s="22">
        <f>INDEX(Data_Prices!Z:Z,MATCH($G310,Data_Prices!$A:$A,0))</f>
        <v>5.0821845864040736</v>
      </c>
      <c r="AA310" s="22">
        <f>INDEX(Data_Prices!AA:AA,MATCH($G310,Data_Prices!$A:$A,0))</f>
        <v>5.0821845864040718</v>
      </c>
      <c r="AB310" s="22">
        <f>INDEX(Data_Prices!AB:AB,MATCH($G310,Data_Prices!$A:$A,0))</f>
        <v>5.0821845864040736</v>
      </c>
      <c r="AC310" s="22">
        <f>INDEX(Data_Prices!AC:AC,MATCH($G310,Data_Prices!$A:$A,0))</f>
        <v>5.0821845864040718</v>
      </c>
      <c r="AD310" s="22">
        <f>INDEX(Data_Prices!AD:AD,MATCH($G310,Data_Prices!$A:$A,0))</f>
        <v>5.0821845864040736</v>
      </c>
      <c r="AE310" s="22">
        <f>INDEX(Data_Prices!AE:AE,MATCH($G310,Data_Prices!$A:$A,0))</f>
        <v>5.0821845864040718</v>
      </c>
    </row>
    <row r="311" spans="1:35" x14ac:dyDescent="0.25">
      <c r="B311" s="17" t="s">
        <v>59</v>
      </c>
      <c r="C311" s="17" t="str">
        <f t="shared" si="30"/>
        <v>cem</v>
      </c>
      <c r="D311" s="18" t="s">
        <v>60</v>
      </c>
      <c r="E311" s="19" t="s">
        <v>61</v>
      </c>
      <c r="F311" s="17" t="s">
        <v>56</v>
      </c>
      <c r="G311" s="20" t="str">
        <f>Settings!$B$3&amp;".mit.pbc."&amp;Settings!$B$4&amp;"."&amp;$B311&amp;".a."&amp;$J$307</f>
        <v>egy.mit.pbc.ind.gso.a.2</v>
      </c>
      <c r="H311" s="21" t="str">
        <f>OUTCODE(Settings!$B$3,"ptp",$C$307,$B311,$J$307)</f>
        <v>egy.mit.ptp.cem.gso.e.2</v>
      </c>
      <c r="K311" s="22">
        <f>INDEX(Data_Prices!K:K,MATCH($G311,Data_Prices!$A:$A,0))</f>
        <v>0.67114653332181606</v>
      </c>
      <c r="L311" s="22">
        <f>INDEX(Data_Prices!L:L,MATCH($G311,Data_Prices!$A:$A,0))</f>
        <v>0.61197797679140631</v>
      </c>
      <c r="M311" s="22">
        <f>INDEX(Data_Prices!M:M,MATCH($G311,Data_Prices!$A:$A,0))</f>
        <v>0.61180974964187596</v>
      </c>
      <c r="N311" s="22">
        <f>INDEX(Data_Prices!N:N,MATCH($G311,Data_Prices!$A:$A,0))</f>
        <v>0.60358310017790551</v>
      </c>
      <c r="O311" s="22">
        <f>INDEX(Data_Prices!O:O,MATCH($G311,Data_Prices!$A:$A,0))</f>
        <v>0.60358310017790551</v>
      </c>
      <c r="P311" s="22">
        <f>INDEX(Data_Prices!P:P,MATCH($G311,Data_Prices!$A:$A,0))</f>
        <v>0.60358310017790551</v>
      </c>
      <c r="Q311" s="22">
        <f>INDEX(Data_Prices!Q:Q,MATCH($G311,Data_Prices!$A:$A,0))</f>
        <v>0.60358310017790551</v>
      </c>
      <c r="R311" s="22">
        <f>INDEX(Data_Prices!R:R,MATCH($G311,Data_Prices!$A:$A,0))</f>
        <v>0.60358310017790551</v>
      </c>
      <c r="S311" s="22">
        <f>INDEX(Data_Prices!S:S,MATCH($G311,Data_Prices!$A:$A,0))</f>
        <v>0.60358310017790551</v>
      </c>
      <c r="T311" s="22">
        <f>INDEX(Data_Prices!T:T,MATCH($G311,Data_Prices!$A:$A,0))</f>
        <v>0.60358310017790551</v>
      </c>
      <c r="U311" s="22">
        <f>INDEX(Data_Prices!U:U,MATCH($G311,Data_Prices!$A:$A,0))</f>
        <v>0.60358310017790551</v>
      </c>
      <c r="V311" s="22">
        <f>INDEX(Data_Prices!V:V,MATCH($G311,Data_Prices!$A:$A,0))</f>
        <v>0.60358310017790551</v>
      </c>
      <c r="W311" s="22">
        <f>INDEX(Data_Prices!W:W,MATCH($G311,Data_Prices!$A:$A,0))</f>
        <v>0.60358310017790551</v>
      </c>
      <c r="X311" s="22">
        <f>INDEX(Data_Prices!X:X,MATCH($G311,Data_Prices!$A:$A,0))</f>
        <v>0.60358310017790551</v>
      </c>
      <c r="Y311" s="22">
        <f>INDEX(Data_Prices!Y:Y,MATCH($G311,Data_Prices!$A:$A,0))</f>
        <v>0.60358310017790551</v>
      </c>
      <c r="Z311" s="22">
        <f>INDEX(Data_Prices!Z:Z,MATCH($G311,Data_Prices!$A:$A,0))</f>
        <v>0.60358310017790551</v>
      </c>
      <c r="AA311" s="22">
        <f>INDEX(Data_Prices!AA:AA,MATCH($G311,Data_Prices!$A:$A,0))</f>
        <v>0.60358310017790551</v>
      </c>
      <c r="AB311" s="22">
        <f>INDEX(Data_Prices!AB:AB,MATCH($G311,Data_Prices!$A:$A,0))</f>
        <v>0.60358310017790551</v>
      </c>
      <c r="AC311" s="22">
        <f>INDEX(Data_Prices!AC:AC,MATCH($G311,Data_Prices!$A:$A,0))</f>
        <v>0.60358310017790551</v>
      </c>
      <c r="AD311" s="22">
        <f>INDEX(Data_Prices!AD:AD,MATCH($G311,Data_Prices!$A:$A,0))</f>
        <v>0.60358310017790551</v>
      </c>
      <c r="AE311" s="22">
        <f>INDEX(Data_Prices!AE:AE,MATCH($G311,Data_Prices!$A:$A,0))</f>
        <v>0.60358310017790562</v>
      </c>
    </row>
    <row r="312" spans="1:35" x14ac:dyDescent="0.25">
      <c r="B312" s="17" t="s">
        <v>62</v>
      </c>
      <c r="C312" s="17" t="str">
        <f t="shared" si="30"/>
        <v>cem</v>
      </c>
      <c r="D312" s="18" t="s">
        <v>63</v>
      </c>
      <c r="E312" s="19" t="s">
        <v>61</v>
      </c>
      <c r="F312" s="17" t="s">
        <v>56</v>
      </c>
      <c r="G312" s="20" t="str">
        <f>Settings!$B$3&amp;".mit.pbc."&amp;Settings!$B$4&amp;"."&amp;$B312&amp;".a."&amp;$J$307</f>
        <v>egy.mit.pbc.ind.die.a.2</v>
      </c>
      <c r="H312" s="21" t="str">
        <f>OUTCODE(Settings!$B$3,"ptp",$C$307,$B312,$J$307)</f>
        <v>egy.mit.ptp.cem.die.e.2</v>
      </c>
      <c r="K312" s="22">
        <f>INDEX(Data_Prices!K:K,MATCH($G312,Data_Prices!$A:$A,0))</f>
        <v>0.55971121315568761</v>
      </c>
      <c r="L312" s="22">
        <f>INDEX(Data_Prices!L:L,MATCH($G312,Data_Prices!$A:$A,0))</f>
        <v>0.49458873084106802</v>
      </c>
      <c r="M312" s="22">
        <f>INDEX(Data_Prices!M:M,MATCH($G312,Data_Prices!$A:$A,0))</f>
        <v>0.50778654720250049</v>
      </c>
      <c r="N312" s="22">
        <f>INDEX(Data_Prices!N:N,MATCH($G312,Data_Prices!$A:$A,0))</f>
        <v>0.47043642679561742</v>
      </c>
      <c r="O312" s="22">
        <f>INDEX(Data_Prices!O:O,MATCH($G312,Data_Prices!$A:$A,0))</f>
        <v>0.47043642679561742</v>
      </c>
      <c r="P312" s="22">
        <f>INDEX(Data_Prices!P:P,MATCH($G312,Data_Prices!$A:$A,0))</f>
        <v>0.47043642679561742</v>
      </c>
      <c r="Q312" s="22">
        <f>INDEX(Data_Prices!Q:Q,MATCH($G312,Data_Prices!$A:$A,0))</f>
        <v>0.47043642679561742</v>
      </c>
      <c r="R312" s="22">
        <f>INDEX(Data_Prices!R:R,MATCH($G312,Data_Prices!$A:$A,0))</f>
        <v>0.47043642679561742</v>
      </c>
      <c r="S312" s="22">
        <f>INDEX(Data_Prices!S:S,MATCH($G312,Data_Prices!$A:$A,0))</f>
        <v>0.47043642679561742</v>
      </c>
      <c r="T312" s="22">
        <f>INDEX(Data_Prices!T:T,MATCH($G312,Data_Prices!$A:$A,0))</f>
        <v>0.47043642679561742</v>
      </c>
      <c r="U312" s="22">
        <f>INDEX(Data_Prices!U:U,MATCH($G312,Data_Prices!$A:$A,0))</f>
        <v>0.47043642679561742</v>
      </c>
      <c r="V312" s="22">
        <f>INDEX(Data_Prices!V:V,MATCH($G312,Data_Prices!$A:$A,0))</f>
        <v>0.47043642679561742</v>
      </c>
      <c r="W312" s="22">
        <f>INDEX(Data_Prices!W:W,MATCH($G312,Data_Prices!$A:$A,0))</f>
        <v>0.47043642679561742</v>
      </c>
      <c r="X312" s="22">
        <f>INDEX(Data_Prices!X:X,MATCH($G312,Data_Prices!$A:$A,0))</f>
        <v>0.47043642679561742</v>
      </c>
      <c r="Y312" s="22">
        <f>INDEX(Data_Prices!Y:Y,MATCH($G312,Data_Prices!$A:$A,0))</f>
        <v>0.47043642679561731</v>
      </c>
      <c r="Z312" s="22">
        <f>INDEX(Data_Prices!Z:Z,MATCH($G312,Data_Prices!$A:$A,0))</f>
        <v>0.47043642679561731</v>
      </c>
      <c r="AA312" s="22">
        <f>INDEX(Data_Prices!AA:AA,MATCH($G312,Data_Prices!$A:$A,0))</f>
        <v>0.47043642679561731</v>
      </c>
      <c r="AB312" s="22">
        <f>INDEX(Data_Prices!AB:AB,MATCH($G312,Data_Prices!$A:$A,0))</f>
        <v>0.47043642679561731</v>
      </c>
      <c r="AC312" s="22">
        <f>INDEX(Data_Prices!AC:AC,MATCH($G312,Data_Prices!$A:$A,0))</f>
        <v>0.47043642679561731</v>
      </c>
      <c r="AD312" s="22">
        <f>INDEX(Data_Prices!AD:AD,MATCH($G312,Data_Prices!$A:$A,0))</f>
        <v>0.47043642679561731</v>
      </c>
      <c r="AE312" s="22">
        <f>INDEX(Data_Prices!AE:AE,MATCH($G312,Data_Prices!$A:$A,0))</f>
        <v>0.47043642679561731</v>
      </c>
    </row>
    <row r="313" spans="1:35" x14ac:dyDescent="0.25">
      <c r="B313" s="17" t="s">
        <v>64</v>
      </c>
      <c r="C313" s="17" t="str">
        <f t="shared" si="30"/>
        <v>cem</v>
      </c>
      <c r="D313" s="18" t="s">
        <v>65</v>
      </c>
      <c r="E313" s="19" t="s">
        <v>61</v>
      </c>
      <c r="F313" s="17" t="s">
        <v>56</v>
      </c>
      <c r="G313" s="20" t="str">
        <f>Settings!$B$3&amp;".mit.pbc."&amp;Settings!$B$4&amp;"."&amp;$B313&amp;".a."&amp;$J$307</f>
        <v>egy.mit.pbc.ind.lpg.a.2</v>
      </c>
      <c r="H313" s="21" t="str">
        <f>OUTCODE(Settings!$B$3,"ptp",$C$307,$B313,$J$307)</f>
        <v>egy.mit.ptp.cem.lpg.e.2</v>
      </c>
      <c r="K313" s="22">
        <f>INDEX(Data_Prices!K:K,MATCH($G313,Data_Prices!$A:$A,0))</f>
        <v>0.20036669112673841</v>
      </c>
      <c r="L313" s="22">
        <f>INDEX(Data_Prices!L:L,MATCH($G313,Data_Prices!$A:$A,0))</f>
        <v>0.1573447362522738</v>
      </c>
      <c r="M313" s="22">
        <f>INDEX(Data_Prices!M:M,MATCH($G313,Data_Prices!$A:$A,0))</f>
        <v>0.1644840377592767</v>
      </c>
      <c r="N313" s="22">
        <f>INDEX(Data_Prices!N:N,MATCH($G313,Data_Prices!$A:$A,0))</f>
        <v>0.1507090778070489</v>
      </c>
      <c r="O313" s="22">
        <f>INDEX(Data_Prices!O:O,MATCH($G313,Data_Prices!$A:$A,0))</f>
        <v>0.1507090778070489</v>
      </c>
      <c r="P313" s="22">
        <f>INDEX(Data_Prices!P:P,MATCH($G313,Data_Prices!$A:$A,0))</f>
        <v>0.1507090778070489</v>
      </c>
      <c r="Q313" s="22">
        <f>INDEX(Data_Prices!Q:Q,MATCH($G313,Data_Prices!$A:$A,0))</f>
        <v>0.1507090778070489</v>
      </c>
      <c r="R313" s="22">
        <f>INDEX(Data_Prices!R:R,MATCH($G313,Data_Prices!$A:$A,0))</f>
        <v>0.1507090778070489</v>
      </c>
      <c r="S313" s="22">
        <f>INDEX(Data_Prices!S:S,MATCH($G313,Data_Prices!$A:$A,0))</f>
        <v>0.1507090778070489</v>
      </c>
      <c r="T313" s="22">
        <f>INDEX(Data_Prices!T:T,MATCH($G313,Data_Prices!$A:$A,0))</f>
        <v>0.1507090778070489</v>
      </c>
      <c r="U313" s="22">
        <f>INDEX(Data_Prices!U:U,MATCH($G313,Data_Prices!$A:$A,0))</f>
        <v>0.1507090778070489</v>
      </c>
      <c r="V313" s="22">
        <f>INDEX(Data_Prices!V:V,MATCH($G313,Data_Prices!$A:$A,0))</f>
        <v>0.1507090778070489</v>
      </c>
      <c r="W313" s="22">
        <f>INDEX(Data_Prices!W:W,MATCH($G313,Data_Prices!$A:$A,0))</f>
        <v>0.1507090778070489</v>
      </c>
      <c r="X313" s="22">
        <f>INDEX(Data_Prices!X:X,MATCH($G313,Data_Prices!$A:$A,0))</f>
        <v>0.1507090778070489</v>
      </c>
      <c r="Y313" s="22">
        <f>INDEX(Data_Prices!Y:Y,MATCH($G313,Data_Prices!$A:$A,0))</f>
        <v>0.1507090778070489</v>
      </c>
      <c r="Z313" s="22">
        <f>INDEX(Data_Prices!Z:Z,MATCH($G313,Data_Prices!$A:$A,0))</f>
        <v>0.1507090778070489</v>
      </c>
      <c r="AA313" s="22">
        <f>INDEX(Data_Prices!AA:AA,MATCH($G313,Data_Prices!$A:$A,0))</f>
        <v>0.1507090778070489</v>
      </c>
      <c r="AB313" s="22">
        <f>INDEX(Data_Prices!AB:AB,MATCH($G313,Data_Prices!$A:$A,0))</f>
        <v>0.1507090778070489</v>
      </c>
      <c r="AC313" s="22">
        <f>INDEX(Data_Prices!AC:AC,MATCH($G313,Data_Prices!$A:$A,0))</f>
        <v>0.1507090778070489</v>
      </c>
      <c r="AD313" s="22">
        <f>INDEX(Data_Prices!AD:AD,MATCH($G313,Data_Prices!$A:$A,0))</f>
        <v>0.1507090778070489</v>
      </c>
      <c r="AE313" s="22">
        <f>INDEX(Data_Prices!AE:AE,MATCH($G313,Data_Prices!$A:$A,0))</f>
        <v>0.1507090778070489</v>
      </c>
    </row>
    <row r="314" spans="1:35" x14ac:dyDescent="0.25">
      <c r="B314" s="17" t="s">
        <v>66</v>
      </c>
      <c r="C314" s="17" t="str">
        <f t="shared" si="30"/>
        <v>cem</v>
      </c>
      <c r="D314" s="18" t="s">
        <v>67</v>
      </c>
      <c r="E314" s="19" t="s">
        <v>61</v>
      </c>
      <c r="F314" s="17" t="s">
        <v>56</v>
      </c>
      <c r="G314" s="20" t="str">
        <f>Settings!$B$3&amp;".mit.pbc."&amp;Settings!$B$4&amp;"."&amp;$B314&amp;".a."&amp;$J$307</f>
        <v>egy.mit.pbc.ind.ker.a.2</v>
      </c>
      <c r="H314" s="21" t="str">
        <f>OUTCODE(Settings!$B$3,"ptp",$C$307,$B314,$J$307)</f>
        <v>egy.mit.ptp.cem.ker.e.2</v>
      </c>
      <c r="K314" s="22">
        <f>INDEX(Data_Prices!K:K,MATCH($G314,Data_Prices!$A:$A,0))</f>
        <v>0.48429424097343482</v>
      </c>
      <c r="L314" s="22">
        <f>INDEX(Data_Prices!L:L,MATCH($G314,Data_Prices!$A:$A,0))</f>
        <v>0.45642817050012813</v>
      </c>
      <c r="M314" s="22">
        <f>INDEX(Data_Prices!M:M,MATCH($G314,Data_Prices!$A:$A,0))</f>
        <v>0.43168920195599519</v>
      </c>
      <c r="N314" s="22">
        <f>INDEX(Data_Prices!N:N,MATCH($G314,Data_Prices!$A:$A,0))</f>
        <v>0.42507558395596989</v>
      </c>
      <c r="O314" s="22">
        <f>INDEX(Data_Prices!O:O,MATCH($G314,Data_Prices!$A:$A,0))</f>
        <v>0.42507558395596989</v>
      </c>
      <c r="P314" s="22">
        <f>INDEX(Data_Prices!P:P,MATCH($G314,Data_Prices!$A:$A,0))</f>
        <v>0.42507558395596989</v>
      </c>
      <c r="Q314" s="22">
        <f>INDEX(Data_Prices!Q:Q,MATCH($G314,Data_Prices!$A:$A,0))</f>
        <v>0.42507558395596989</v>
      </c>
      <c r="R314" s="22">
        <f>INDEX(Data_Prices!R:R,MATCH($G314,Data_Prices!$A:$A,0))</f>
        <v>0.42507558395596989</v>
      </c>
      <c r="S314" s="22">
        <f>INDEX(Data_Prices!S:S,MATCH($G314,Data_Prices!$A:$A,0))</f>
        <v>0.42507558395597</v>
      </c>
      <c r="T314" s="22">
        <f>INDEX(Data_Prices!T:T,MATCH($G314,Data_Prices!$A:$A,0))</f>
        <v>0.42507558395596989</v>
      </c>
      <c r="U314" s="22">
        <f>INDEX(Data_Prices!U:U,MATCH($G314,Data_Prices!$A:$A,0))</f>
        <v>0.42507558395597</v>
      </c>
      <c r="V314" s="22">
        <f>INDEX(Data_Prices!V:V,MATCH($G314,Data_Prices!$A:$A,0))</f>
        <v>0.42507558395596989</v>
      </c>
      <c r="W314" s="22">
        <f>INDEX(Data_Prices!W:W,MATCH($G314,Data_Prices!$A:$A,0))</f>
        <v>0.42507558395596989</v>
      </c>
      <c r="X314" s="22">
        <f>INDEX(Data_Prices!X:X,MATCH($G314,Data_Prices!$A:$A,0))</f>
        <v>0.42507558395596989</v>
      </c>
      <c r="Y314" s="22">
        <f>INDEX(Data_Prices!Y:Y,MATCH($G314,Data_Prices!$A:$A,0))</f>
        <v>0.42507558395597</v>
      </c>
      <c r="Z314" s="22">
        <f>INDEX(Data_Prices!Z:Z,MATCH($G314,Data_Prices!$A:$A,0))</f>
        <v>0.42507558395596989</v>
      </c>
      <c r="AA314" s="22">
        <f>INDEX(Data_Prices!AA:AA,MATCH($G314,Data_Prices!$A:$A,0))</f>
        <v>0.42507558395596989</v>
      </c>
      <c r="AB314" s="22">
        <f>INDEX(Data_Prices!AB:AB,MATCH($G314,Data_Prices!$A:$A,0))</f>
        <v>0.42507558395597</v>
      </c>
      <c r="AC314" s="22">
        <f>INDEX(Data_Prices!AC:AC,MATCH($G314,Data_Prices!$A:$A,0))</f>
        <v>0.42507558395596989</v>
      </c>
      <c r="AD314" s="22">
        <f>INDEX(Data_Prices!AD:AD,MATCH($G314,Data_Prices!$A:$A,0))</f>
        <v>0.42507558395596989</v>
      </c>
      <c r="AE314" s="22">
        <f>INDEX(Data_Prices!AE:AE,MATCH($G314,Data_Prices!$A:$A,0))</f>
        <v>0.42507558395596989</v>
      </c>
    </row>
    <row r="315" spans="1:35" x14ac:dyDescent="0.25">
      <c r="B315" s="17" t="s">
        <v>68</v>
      </c>
      <c r="C315" s="17" t="str">
        <f t="shared" si="30"/>
        <v>cem</v>
      </c>
      <c r="D315" s="18" t="s">
        <v>69</v>
      </c>
      <c r="E315" s="19" t="s">
        <v>70</v>
      </c>
      <c r="F315" s="17" t="s">
        <v>56</v>
      </c>
      <c r="G315" s="20" t="str">
        <f>Settings!$B$3&amp;".mit.pbc."&amp;Settings!$B$4&amp;"."&amp;$B315&amp;".a."&amp;$J$307</f>
        <v>egy.mit.pbc.ind.oop.a.2</v>
      </c>
      <c r="H315" s="21" t="str">
        <f>OUTCODE(Settings!$B$3,"ptp",$C$307,$B315,$J$307)</f>
        <v>egy.mit.ptp.cem.oop.e.2</v>
      </c>
      <c r="K315" s="22">
        <f>INDEX(Data_Prices!K:K,MATCH($G315,Data_Prices!$A:$A,0))</f>
        <v>41.50033849886843</v>
      </c>
      <c r="L315" s="22">
        <f>INDEX(Data_Prices!L:L,MATCH($G315,Data_Prices!$A:$A,0))</f>
        <v>34.415370304313228</v>
      </c>
      <c r="M315" s="22">
        <f>INDEX(Data_Prices!M:M,MATCH($G315,Data_Prices!$A:$A,0))</f>
        <v>37.368960690432033</v>
      </c>
      <c r="N315" s="22">
        <f>INDEX(Data_Prices!N:N,MATCH($G315,Data_Prices!$A:$A,0))</f>
        <v>28.982761101477251</v>
      </c>
      <c r="O315" s="22">
        <f>INDEX(Data_Prices!O:O,MATCH($G315,Data_Prices!$A:$A,0))</f>
        <v>15</v>
      </c>
      <c r="P315" s="22">
        <f>INDEX(Data_Prices!P:P,MATCH($G315,Data_Prices!$A:$A,0))</f>
        <v>24.2586300842555</v>
      </c>
      <c r="Q315" s="22">
        <f>INDEX(Data_Prices!Q:Q,MATCH($G315,Data_Prices!$A:$A,0))</f>
        <v>13.09620819613245</v>
      </c>
      <c r="R315" s="22">
        <f>INDEX(Data_Prices!R:R,MATCH($G315,Data_Prices!$A:$A,0))</f>
        <v>10.02524511401058</v>
      </c>
      <c r="S315" s="22">
        <f>INDEX(Data_Prices!S:S,MATCH($G315,Data_Prices!$A:$A,0))</f>
        <v>8.4772306913736166</v>
      </c>
      <c r="T315" s="22">
        <f>INDEX(Data_Prices!T:T,MATCH($G315,Data_Prices!$A:$A,0))</f>
        <v>7.1234824452092234</v>
      </c>
      <c r="U315" s="22">
        <f>INDEX(Data_Prices!U:U,MATCH($G315,Data_Prices!$A:$A,0))</f>
        <v>5.6527597394100546</v>
      </c>
      <c r="V315" s="22">
        <f>INDEX(Data_Prices!V:V,MATCH($G315,Data_Prices!$A:$A,0))</f>
        <v>5.6527597394100582</v>
      </c>
      <c r="W315" s="22">
        <f>INDEX(Data_Prices!W:W,MATCH($G315,Data_Prices!$A:$A,0))</f>
        <v>5.6527597394100582</v>
      </c>
      <c r="X315" s="22">
        <f>INDEX(Data_Prices!X:X,MATCH($G315,Data_Prices!$A:$A,0))</f>
        <v>5.6527597394100582</v>
      </c>
      <c r="Y315" s="22">
        <f>INDEX(Data_Prices!Y:Y,MATCH($G315,Data_Prices!$A:$A,0))</f>
        <v>5.6527597394100582</v>
      </c>
      <c r="Z315" s="22">
        <f>INDEX(Data_Prices!Z:Z,MATCH($G315,Data_Prices!$A:$A,0))</f>
        <v>5.6527597394100653</v>
      </c>
      <c r="AA315" s="22">
        <f>INDEX(Data_Prices!AA:AA,MATCH($G315,Data_Prices!$A:$A,0))</f>
        <v>5.6527597394100582</v>
      </c>
      <c r="AB315" s="22">
        <f>INDEX(Data_Prices!AB:AB,MATCH($G315,Data_Prices!$A:$A,0))</f>
        <v>5.6527597394100582</v>
      </c>
      <c r="AC315" s="22">
        <f>INDEX(Data_Prices!AC:AC,MATCH($G315,Data_Prices!$A:$A,0))</f>
        <v>5.6527597394100439</v>
      </c>
      <c r="AD315" s="22">
        <f>INDEX(Data_Prices!AD:AD,MATCH($G315,Data_Prices!$A:$A,0))</f>
        <v>5.6527597394100582</v>
      </c>
      <c r="AE315" s="22">
        <f>INDEX(Data_Prices!AE:AE,MATCH($G315,Data_Prices!$A:$A,0))</f>
        <v>5.6527597394100439</v>
      </c>
    </row>
    <row r="316" spans="1:35" x14ac:dyDescent="0.25">
      <c r="B316" s="17" t="s">
        <v>71</v>
      </c>
      <c r="C316" s="17" t="str">
        <f t="shared" si="30"/>
        <v>cem</v>
      </c>
      <c r="D316" s="18" t="s">
        <v>72</v>
      </c>
      <c r="E316" s="19" t="s">
        <v>55</v>
      </c>
      <c r="F316" s="17" t="s">
        <v>56</v>
      </c>
      <c r="G316" s="20" t="str">
        <f>Settings!$B$3&amp;".mit.pbc."&amp;Settings!$B$4&amp;"."&amp;$B316&amp;".a."&amp;$J$307</f>
        <v>egy.mit.pbc.ind.bio.a.2</v>
      </c>
      <c r="H316" s="21" t="str">
        <f>OUTCODE(Settings!$B$3,"ptp",$C$307,$B316,$J$307)</f>
        <v>egy.mit.ptp.cem.bio.e.2</v>
      </c>
      <c r="K316" s="22">
        <f>INDEX(Data_Prices!K:K,MATCH($G316,Data_Prices!$A:$A,0))</f>
        <v>15.33455052931693</v>
      </c>
      <c r="L316" s="22">
        <f>INDEX(Data_Prices!L:L,MATCH($G316,Data_Prices!$A:$A,0))</f>
        <v>14.199528390634921</v>
      </c>
      <c r="M316" s="22">
        <f>INDEX(Data_Prices!M:M,MATCH($G316,Data_Prices!$A:$A,0))</f>
        <v>13.840441613315161</v>
      </c>
      <c r="N316" s="22">
        <f>INDEX(Data_Prices!N:N,MATCH($G316,Data_Prices!$A:$A,0))</f>
        <v>13.5677269404465</v>
      </c>
      <c r="O316" s="22">
        <f>INDEX(Data_Prices!O:O,MATCH($G316,Data_Prices!$A:$A,0))</f>
        <v>13.5677269404465</v>
      </c>
      <c r="P316" s="22">
        <f>INDEX(Data_Prices!P:P,MATCH($G316,Data_Prices!$A:$A,0))</f>
        <v>13.5677269404465</v>
      </c>
      <c r="Q316" s="22">
        <f>INDEX(Data_Prices!Q:Q,MATCH($G316,Data_Prices!$A:$A,0))</f>
        <v>13.5677269404465</v>
      </c>
      <c r="R316" s="22">
        <f>INDEX(Data_Prices!R:R,MATCH($G316,Data_Prices!$A:$A,0))</f>
        <v>13.5677269404465</v>
      </c>
      <c r="S316" s="22">
        <f>INDEX(Data_Prices!S:S,MATCH($G316,Data_Prices!$A:$A,0))</f>
        <v>13.5677269404465</v>
      </c>
      <c r="T316" s="22">
        <f>INDEX(Data_Prices!T:T,MATCH($G316,Data_Prices!$A:$A,0))</f>
        <v>13.5677269404465</v>
      </c>
      <c r="U316" s="22">
        <f>INDEX(Data_Prices!U:U,MATCH($G316,Data_Prices!$A:$A,0))</f>
        <v>13.5677269404465</v>
      </c>
      <c r="V316" s="22">
        <f>INDEX(Data_Prices!V:V,MATCH($G316,Data_Prices!$A:$A,0))</f>
        <v>13.5677269404465</v>
      </c>
      <c r="W316" s="22">
        <f>INDEX(Data_Prices!W:W,MATCH($G316,Data_Prices!$A:$A,0))</f>
        <v>13.5677269404465</v>
      </c>
      <c r="X316" s="22">
        <f>INDEX(Data_Prices!X:X,MATCH($G316,Data_Prices!$A:$A,0))</f>
        <v>13.5677269404465</v>
      </c>
      <c r="Y316" s="22">
        <f>INDEX(Data_Prices!Y:Y,MATCH($G316,Data_Prices!$A:$A,0))</f>
        <v>13.5677269404465</v>
      </c>
      <c r="Z316" s="22">
        <f>INDEX(Data_Prices!Z:Z,MATCH($G316,Data_Prices!$A:$A,0))</f>
        <v>13.5677269404465</v>
      </c>
      <c r="AA316" s="22">
        <f>INDEX(Data_Prices!AA:AA,MATCH($G316,Data_Prices!$A:$A,0))</f>
        <v>13.5677269404465</v>
      </c>
      <c r="AB316" s="22">
        <f>INDEX(Data_Prices!AB:AB,MATCH($G316,Data_Prices!$A:$A,0))</f>
        <v>13.5677269404465</v>
      </c>
      <c r="AC316" s="22">
        <f>INDEX(Data_Prices!AC:AC,MATCH($G316,Data_Prices!$A:$A,0))</f>
        <v>13.5677269404465</v>
      </c>
      <c r="AD316" s="22">
        <f>INDEX(Data_Prices!AD:AD,MATCH($G316,Data_Prices!$A:$A,0))</f>
        <v>13.5677269404465</v>
      </c>
      <c r="AE316" s="22">
        <f>INDEX(Data_Prices!AE:AE,MATCH($G316,Data_Prices!$A:$A,0))</f>
        <v>13.5677269404465</v>
      </c>
    </row>
    <row r="317" spans="1:35" x14ac:dyDescent="0.25">
      <c r="B317" s="17" t="s">
        <v>73</v>
      </c>
      <c r="C317" s="17" t="str">
        <f t="shared" si="30"/>
        <v>cem</v>
      </c>
      <c r="D317" s="18" t="s">
        <v>74</v>
      </c>
      <c r="E317" s="19" t="s">
        <v>75</v>
      </c>
      <c r="F317" s="17" t="s">
        <v>56</v>
      </c>
      <c r="G317" s="20" t="str">
        <f>Settings!$B$3&amp;".mit.pbc."&amp;Settings!$B$4&amp;"."&amp;$B317&amp;".a."&amp;$J$307</f>
        <v>egy.mit.pbc.ind.ren.a.2</v>
      </c>
      <c r="H317" s="21" t="str">
        <f>OUTCODE(Settings!$B$3,"ptp",$C$307,$B317,$J$307)</f>
        <v>egy.mit.ptp.cem.ren.e.2</v>
      </c>
      <c r="K317" s="22">
        <f>INDEX(Data_Prices!K:K,MATCH($G317,Data_Prices!$A:$A,0))</f>
        <v>0</v>
      </c>
      <c r="L317" s="22">
        <f>INDEX(Data_Prices!L:L,MATCH($G317,Data_Prices!$A:$A,0))</f>
        <v>0.14404498679319799</v>
      </c>
      <c r="M317" s="22">
        <f>INDEX(Data_Prices!M:M,MATCH($G317,Data_Prices!$A:$A,0))</f>
        <v>0.14138624175135939</v>
      </c>
      <c r="N317" s="22">
        <f>INDEX(Data_Prices!N:N,MATCH($G317,Data_Prices!$A:$A,0))</f>
        <v>0.1353975654437313</v>
      </c>
      <c r="O317" s="22">
        <f>INDEX(Data_Prices!O:O,MATCH($G317,Data_Prices!$A:$A,0))</f>
        <v>0.13152288542065141</v>
      </c>
      <c r="P317" s="22">
        <f>INDEX(Data_Prices!P:P,MATCH($G317,Data_Prices!$A:$A,0))</f>
        <v>0.12882610848523129</v>
      </c>
      <c r="Q317" s="22">
        <f>INDEX(Data_Prices!Q:Q,MATCH($G317,Data_Prices!$A:$A,0))</f>
        <v>0.1259420097647401</v>
      </c>
      <c r="R317" s="22">
        <f>INDEX(Data_Prices!R:R,MATCH($G317,Data_Prices!$A:$A,0))</f>
        <v>0.1231132657018609</v>
      </c>
      <c r="S317" s="22">
        <f>INDEX(Data_Prices!S:S,MATCH($G317,Data_Prices!$A:$A,0))</f>
        <v>0.1193917380890684</v>
      </c>
      <c r="T317" s="22">
        <f>INDEX(Data_Prices!T:T,MATCH($G317,Data_Prices!$A:$A,0))</f>
        <v>0.1155441904679203</v>
      </c>
      <c r="U317" s="22">
        <f>INDEX(Data_Prices!U:U,MATCH($G317,Data_Prices!$A:$A,0))</f>
        <v>0.11492423065415899</v>
      </c>
      <c r="V317" s="22">
        <f>INDEX(Data_Prices!V:V,MATCH($G317,Data_Prices!$A:$A,0))</f>
        <v>0.11434691211673639</v>
      </c>
      <c r="W317" s="22">
        <f>INDEX(Data_Prices!W:W,MATCH($G317,Data_Prices!$A:$A,0))</f>
        <v>0.1137387111726635</v>
      </c>
      <c r="X317" s="22">
        <f>INDEX(Data_Prices!X:X,MATCH($G317,Data_Prices!$A:$A,0))</f>
        <v>0.1129999004875214</v>
      </c>
      <c r="Y317" s="22">
        <f>INDEX(Data_Prices!Y:Y,MATCH($G317,Data_Prices!$A:$A,0))</f>
        <v>0.11217768583553429</v>
      </c>
      <c r="Z317" s="22">
        <f>INDEX(Data_Prices!Z:Z,MATCH($G317,Data_Prices!$A:$A,0))</f>
        <v>0.1114179032504042</v>
      </c>
      <c r="AA317" s="22">
        <f>INDEX(Data_Prices!AA:AA,MATCH($G317,Data_Prices!$A:$A,0))</f>
        <v>0.1105258199854538</v>
      </c>
      <c r="AB317" s="22">
        <f>INDEX(Data_Prices!AB:AB,MATCH($G317,Data_Prices!$A:$A,0))</f>
        <v>0.1096995652348958</v>
      </c>
      <c r="AC317" s="22">
        <f>INDEX(Data_Prices!AC:AC,MATCH($G317,Data_Prices!$A:$A,0))</f>
        <v>0.1077267889639492</v>
      </c>
      <c r="AD317" s="22">
        <f>INDEX(Data_Prices!AD:AD,MATCH($G317,Data_Prices!$A:$A,0))</f>
        <v>0.1058209244509353</v>
      </c>
      <c r="AE317" s="22">
        <f>INDEX(Data_Prices!AE:AE,MATCH($G317,Data_Prices!$A:$A,0))</f>
        <v>0.1038555957057212</v>
      </c>
    </row>
    <row r="318" spans="1:35" x14ac:dyDescent="0.25">
      <c r="B318" s="16" t="s">
        <v>76</v>
      </c>
    </row>
    <row r="319" spans="1:35" x14ac:dyDescent="0.25">
      <c r="B319" s="17" t="s">
        <v>53</v>
      </c>
      <c r="C319" s="17" t="str">
        <f t="shared" ref="C319:C327" si="31">$C$307</f>
        <v>cem</v>
      </c>
      <c r="D319" s="18" t="s">
        <v>54</v>
      </c>
      <c r="E319" s="19" t="s">
        <v>55</v>
      </c>
      <c r="F319" s="17" t="s">
        <v>77</v>
      </c>
      <c r="G319" s="20" t="str">
        <f>Settings!$B$3&amp;".mit.nce."&amp;Settings!$B$4&amp;"."&amp;$B319&amp;".a."&amp;$J$307</f>
        <v>egy.mit.nce.ind.coa.a.2</v>
      </c>
      <c r="H319" s="21" t="str">
        <f>OUTCODE(Settings!$B$3,"atp",$C$307,$B319,$J$307)</f>
        <v>egy.mit.atp.cem.coa.e.2</v>
      </c>
      <c r="K319" s="22">
        <f>POSTTAX(K309,INDEX(Data_Prices!K:K,MATCH($G319,Data_Prices!$A:$A,0)),K$339)</f>
        <v>11.18290158924394</v>
      </c>
      <c r="L319" s="22">
        <f>POSTTAX(L309,INDEX(Data_Prices!L:L,MATCH($G319,Data_Prices!$A:$A,0)),L$339)</f>
        <v>10.52336134543121</v>
      </c>
      <c r="M319" s="22">
        <f>POSTTAX(M309,INDEX(Data_Prices!M:M,MATCH($G319,Data_Prices!$A:$A,0)),M$339)</f>
        <v>10.299560827444211</v>
      </c>
      <c r="N319" s="22">
        <f>POSTTAX(N309,INDEX(Data_Prices!N:N,MATCH($G319,Data_Prices!$A:$A,0)),N$339)</f>
        <v>9.5775283595382632</v>
      </c>
      <c r="O319" s="22">
        <f>POSTTAX(O309,INDEX(Data_Prices!O:O,MATCH($G319,Data_Prices!$A:$A,0)),O$339)</f>
        <v>8.4854782869580454</v>
      </c>
      <c r="P319" s="22">
        <f>POSTTAX(P309,INDEX(Data_Prices!P:P,MATCH($G319,Data_Prices!$A:$A,0)),P$339)</f>
        <v>9.0871922352498604</v>
      </c>
      <c r="Q319" s="22">
        <f>POSTTAX(Q309,INDEX(Data_Prices!Q:Q,MATCH($G319,Data_Prices!$A:$A,0)),Q$339)</f>
        <v>10.472923728932681</v>
      </c>
      <c r="R319" s="22">
        <f>POSTTAX(R309,INDEX(Data_Prices!R:R,MATCH($G319,Data_Prices!$A:$A,0)),R$339)</f>
        <v>11.658564955509688</v>
      </c>
      <c r="S319" s="22">
        <f>POSTTAX(S309,INDEX(Data_Prices!S:S,MATCH($G319,Data_Prices!$A:$A,0)),S$339)</f>
        <v>12.839547877397377</v>
      </c>
      <c r="T319" s="22">
        <f>POSTTAX(T309,INDEX(Data_Prices!T:T,MATCH($G319,Data_Prices!$A:$A,0)),T$339)</f>
        <v>14.01568166602283</v>
      </c>
      <c r="U319" s="22">
        <f>POSTTAX(U309,INDEX(Data_Prices!U:U,MATCH($G319,Data_Prices!$A:$A,0)),U$339)</f>
        <v>15.194397765557106</v>
      </c>
      <c r="V319" s="22">
        <f>POSTTAX(V309,INDEX(Data_Prices!V:V,MATCH($G319,Data_Prices!$A:$A,0)),V$339)</f>
        <v>16.444397765557106</v>
      </c>
      <c r="W319" s="22">
        <f>POSTTAX(W309,INDEX(Data_Prices!W:W,MATCH($G319,Data_Prices!$A:$A,0)),W$339)</f>
        <v>17.694397765557106</v>
      </c>
      <c r="X319" s="22">
        <f>POSTTAX(X309,INDEX(Data_Prices!X:X,MATCH($G319,Data_Prices!$A:$A,0)),X$339)</f>
        <v>18.944397765557106</v>
      </c>
      <c r="Y319" s="22">
        <f>POSTTAX(Y309,INDEX(Data_Prices!Y:Y,MATCH($G319,Data_Prices!$A:$A,0)),Y$339)</f>
        <v>20.194397765557106</v>
      </c>
      <c r="Z319" s="22">
        <f>POSTTAX(Z309,INDEX(Data_Prices!Z:Z,MATCH($G319,Data_Prices!$A:$A,0)),Z$339)</f>
        <v>21.444397765557106</v>
      </c>
      <c r="AA319" s="22">
        <f>POSTTAX(AA309,INDEX(Data_Prices!AA:AA,MATCH($G319,Data_Prices!$A:$A,0)),AA$339)</f>
        <v>22.694397765557106</v>
      </c>
      <c r="AB319" s="22">
        <f>POSTTAX(AB309,INDEX(Data_Prices!AB:AB,MATCH($G319,Data_Prices!$A:$A,0)),AB$339)</f>
        <v>23.944397765557106</v>
      </c>
      <c r="AC319" s="22">
        <f>POSTTAX(AC309,INDEX(Data_Prices!AC:AC,MATCH($G319,Data_Prices!$A:$A,0)),AC$339)</f>
        <v>25.194397765557106</v>
      </c>
      <c r="AD319" s="22">
        <f>POSTTAX(AD309,INDEX(Data_Prices!AD:AD,MATCH($G319,Data_Prices!$A:$A,0)),AD$339)</f>
        <v>26.444397765557106</v>
      </c>
      <c r="AE319" s="22">
        <f>POSTTAX(AE309,INDEX(Data_Prices!AE:AE,MATCH($G319,Data_Prices!$A:$A,0)),AE$339)</f>
        <v>27.694397765557106</v>
      </c>
    </row>
    <row r="320" spans="1:35" x14ac:dyDescent="0.25">
      <c r="B320" s="17" t="s">
        <v>57</v>
      </c>
      <c r="C320" s="17" t="str">
        <f t="shared" si="31"/>
        <v>cem</v>
      </c>
      <c r="D320" s="18" t="s">
        <v>58</v>
      </c>
      <c r="E320" s="19" t="s">
        <v>55</v>
      </c>
      <c r="F320" s="17" t="s">
        <v>77</v>
      </c>
      <c r="G320" s="20" t="str">
        <f>Settings!$B$3&amp;".mit.nce."&amp;Settings!$B$4&amp;"."&amp;$B320&amp;".a."&amp;$J$307</f>
        <v>egy.mit.nce.ind.nga.a.2</v>
      </c>
      <c r="H320" s="21" t="str">
        <f>OUTCODE(Settings!$B$3,"atp",$C$307,$B320,$J$307)</f>
        <v>egy.mit.atp.cem.nga.e.2</v>
      </c>
      <c r="K320" s="22">
        <f>POSTTAX(K310,INDEX(Data_Prices!K:K,MATCH($G320,Data_Prices!$A:$A,0)),K$339)</f>
        <v>6.0634636156729131</v>
      </c>
      <c r="L320" s="22">
        <f>POSTTAX(L310,INDEX(Data_Prices!L:L,MATCH($G320,Data_Prices!$A:$A,0)),L$339)</f>
        <v>5.4510150816191896</v>
      </c>
      <c r="M320" s="22">
        <f>POSTTAX(M310,INDEX(Data_Prices!M:M,MATCH($G320,Data_Prices!$A:$A,0)),M$339)</f>
        <v>5.1193563062624818</v>
      </c>
      <c r="N320" s="22">
        <f>POSTTAX(N310,INDEX(Data_Prices!N:N,MATCH($G320,Data_Prices!$A:$A,0)),N$339)</f>
        <v>5.0821845864040727</v>
      </c>
      <c r="O320" s="22">
        <f>POSTTAX(O310,INDEX(Data_Prices!O:O,MATCH($G320,Data_Prices!$A:$A,0)),O$339)</f>
        <v>5.0821845864040727</v>
      </c>
      <c r="P320" s="22">
        <f>POSTTAX(P310,INDEX(Data_Prices!P:P,MATCH($G320,Data_Prices!$A:$A,0)),P$339)</f>
        <v>5.0821845864040727</v>
      </c>
      <c r="Q320" s="22">
        <f>POSTTAX(Q310,INDEX(Data_Prices!Q:Q,MATCH($G320,Data_Prices!$A:$A,0)),Q$339)</f>
        <v>5.7796845864040725</v>
      </c>
      <c r="R320" s="22">
        <f>POSTTAX(R310,INDEX(Data_Prices!R:R,MATCH($G320,Data_Prices!$A:$A,0)),R$339)</f>
        <v>6.4771845864040731</v>
      </c>
      <c r="S320" s="22">
        <f>POSTTAX(S310,INDEX(Data_Prices!S:S,MATCH($G320,Data_Prices!$A:$A,0)),S$339)</f>
        <v>7.1746845864040729</v>
      </c>
      <c r="T320" s="22">
        <f>POSTTAX(T310,INDEX(Data_Prices!T:T,MATCH($G320,Data_Prices!$A:$A,0)),T$339)</f>
        <v>7.8721845864040736</v>
      </c>
      <c r="U320" s="22">
        <f>POSTTAX(U310,INDEX(Data_Prices!U:U,MATCH($G320,Data_Prices!$A:$A,0)),U$339)</f>
        <v>8.5696845864040725</v>
      </c>
      <c r="V320" s="22">
        <f>POSTTAX(V310,INDEX(Data_Prices!V:V,MATCH($G320,Data_Prices!$A:$A,0)),V$339)</f>
        <v>9.2671845864040723</v>
      </c>
      <c r="W320" s="22">
        <f>POSTTAX(W310,INDEX(Data_Prices!W:W,MATCH($G320,Data_Prices!$A:$A,0)),W$339)</f>
        <v>9.9646845864040721</v>
      </c>
      <c r="X320" s="22">
        <f>POSTTAX(X310,INDEX(Data_Prices!X:X,MATCH($G320,Data_Prices!$A:$A,0)),X$339)</f>
        <v>10.662184586404072</v>
      </c>
      <c r="Y320" s="22">
        <f>POSTTAX(Y310,INDEX(Data_Prices!Y:Y,MATCH($G320,Data_Prices!$A:$A,0)),Y$339)</f>
        <v>11.359684586404072</v>
      </c>
      <c r="Z320" s="22">
        <f>POSTTAX(Z310,INDEX(Data_Prices!Z:Z,MATCH($G320,Data_Prices!$A:$A,0)),Z$339)</f>
        <v>12.057184586404073</v>
      </c>
      <c r="AA320" s="22">
        <f>POSTTAX(AA310,INDEX(Data_Prices!AA:AA,MATCH($G320,Data_Prices!$A:$A,0)),AA$339)</f>
        <v>12.754684586404071</v>
      </c>
      <c r="AB320" s="22">
        <f>POSTTAX(AB310,INDEX(Data_Prices!AB:AB,MATCH($G320,Data_Prices!$A:$A,0)),AB$339)</f>
        <v>13.452184586404073</v>
      </c>
      <c r="AC320" s="22">
        <f>POSTTAX(AC310,INDEX(Data_Prices!AC:AC,MATCH($G320,Data_Prices!$A:$A,0)),AC$339)</f>
        <v>14.149684586404071</v>
      </c>
      <c r="AD320" s="22">
        <f>POSTTAX(AD310,INDEX(Data_Prices!AD:AD,MATCH($G320,Data_Prices!$A:$A,0)),AD$339)</f>
        <v>14.847184586404072</v>
      </c>
      <c r="AE320" s="22">
        <f>POSTTAX(AE310,INDEX(Data_Prices!AE:AE,MATCH($G320,Data_Prices!$A:$A,0)),AE$339)</f>
        <v>15.544684586404072</v>
      </c>
    </row>
    <row r="321" spans="2:31" x14ac:dyDescent="0.25">
      <c r="B321" s="17" t="s">
        <v>59</v>
      </c>
      <c r="C321" s="17" t="str">
        <f t="shared" si="31"/>
        <v>cem</v>
      </c>
      <c r="D321" s="18" t="s">
        <v>60</v>
      </c>
      <c r="E321" s="19" t="s">
        <v>61</v>
      </c>
      <c r="F321" s="17" t="s">
        <v>77</v>
      </c>
      <c r="G321" s="20" t="str">
        <f>Settings!$B$3&amp;".mit.nce."&amp;Settings!$B$4&amp;"."&amp;$B321&amp;".a."&amp;$J$307</f>
        <v>egy.mit.nce.ind.gso.a.2</v>
      </c>
      <c r="H321" s="21" t="str">
        <f>OUTCODE(Settings!$B$3,"atp",$C$307,$B321,$J$307)</f>
        <v>egy.mit.atp.cem.gso.e.2</v>
      </c>
      <c r="K321" s="22">
        <f>POSTTAX(K311,INDEX(Data_Prices!K:K,MATCH($G321,Data_Prices!$A:$A,0)),K$339)</f>
        <v>0.67114653332181606</v>
      </c>
      <c r="L321" s="22">
        <f>POSTTAX(L311,INDEX(Data_Prices!L:L,MATCH($G321,Data_Prices!$A:$A,0)),L$339)</f>
        <v>0.61197797679140631</v>
      </c>
      <c r="M321" s="22">
        <f>POSTTAX(M311,INDEX(Data_Prices!M:M,MATCH($G321,Data_Prices!$A:$A,0)),M$339)</f>
        <v>0.61180974964187596</v>
      </c>
      <c r="N321" s="22">
        <f>POSTTAX(N311,INDEX(Data_Prices!N:N,MATCH($G321,Data_Prices!$A:$A,0)),N$339)</f>
        <v>0.60358310017790551</v>
      </c>
      <c r="O321" s="22">
        <f>POSTTAX(O311,INDEX(Data_Prices!O:O,MATCH($G321,Data_Prices!$A:$A,0)),O$339)</f>
        <v>0.60358310017790551</v>
      </c>
      <c r="P321" s="22">
        <f>POSTTAX(P311,INDEX(Data_Prices!P:P,MATCH($G321,Data_Prices!$A:$A,0)),P$339)</f>
        <v>0.60358310017790551</v>
      </c>
      <c r="Q321" s="22">
        <f>POSTTAX(Q311,INDEX(Data_Prices!Q:Q,MATCH($G321,Data_Prices!$A:$A,0)),Q$339)</f>
        <v>0.6325109433494055</v>
      </c>
      <c r="R321" s="22">
        <f>POSTTAX(R311,INDEX(Data_Prices!R:R,MATCH($G321,Data_Prices!$A:$A,0)),R$339)</f>
        <v>0.66143878652090549</v>
      </c>
      <c r="S321" s="22">
        <f>POSTTAX(S311,INDEX(Data_Prices!S:S,MATCH($G321,Data_Prices!$A:$A,0)),S$339)</f>
        <v>0.69036662969240548</v>
      </c>
      <c r="T321" s="22">
        <f>POSTTAX(T311,INDEX(Data_Prices!T:T,MATCH($G321,Data_Prices!$A:$A,0)),T$339)</f>
        <v>0.71929447286390547</v>
      </c>
      <c r="U321" s="22">
        <f>POSTTAX(U311,INDEX(Data_Prices!U:U,MATCH($G321,Data_Prices!$A:$A,0)),U$339)</f>
        <v>0.74822231603540557</v>
      </c>
      <c r="V321" s="22">
        <f>POSTTAX(V311,INDEX(Data_Prices!V:V,MATCH($G321,Data_Prices!$A:$A,0)),V$339)</f>
        <v>0.77715015920690544</v>
      </c>
      <c r="W321" s="22">
        <f>POSTTAX(W311,INDEX(Data_Prices!W:W,MATCH($G321,Data_Prices!$A:$A,0)),W$339)</f>
        <v>0.80607800237840554</v>
      </c>
      <c r="X321" s="22">
        <f>POSTTAX(X311,INDEX(Data_Prices!X:X,MATCH($G321,Data_Prices!$A:$A,0)),X$339)</f>
        <v>0.83500584554990553</v>
      </c>
      <c r="Y321" s="22">
        <f>POSTTAX(Y311,INDEX(Data_Prices!Y:Y,MATCH($G321,Data_Prices!$A:$A,0)),Y$339)</f>
        <v>0.86393368872140552</v>
      </c>
      <c r="Z321" s="22">
        <f>POSTTAX(Z311,INDEX(Data_Prices!Z:Z,MATCH($G321,Data_Prices!$A:$A,0)),Z$339)</f>
        <v>0.89286153189290551</v>
      </c>
      <c r="AA321" s="22">
        <f>POSTTAX(AA311,INDEX(Data_Prices!AA:AA,MATCH($G321,Data_Prices!$A:$A,0)),AA$339)</f>
        <v>0.92178937506440561</v>
      </c>
      <c r="AB321" s="22">
        <f>POSTTAX(AB311,INDEX(Data_Prices!AB:AB,MATCH($G321,Data_Prices!$A:$A,0)),AB$339)</f>
        <v>0.95071721823590549</v>
      </c>
      <c r="AC321" s="22">
        <f>POSTTAX(AC311,INDEX(Data_Prices!AC:AC,MATCH($G321,Data_Prices!$A:$A,0)),AC$339)</f>
        <v>0.97964506140740548</v>
      </c>
      <c r="AD321" s="22">
        <f>POSTTAX(AD311,INDEX(Data_Prices!AD:AD,MATCH($G321,Data_Prices!$A:$A,0)),AD$339)</f>
        <v>1.0085729045789056</v>
      </c>
      <c r="AE321" s="22">
        <f>POSTTAX(AE311,INDEX(Data_Prices!AE:AE,MATCH($G321,Data_Prices!$A:$A,0)),AE$339)</f>
        <v>1.0375007477504057</v>
      </c>
    </row>
    <row r="322" spans="2:31" x14ac:dyDescent="0.25">
      <c r="B322" s="17" t="s">
        <v>62</v>
      </c>
      <c r="C322" s="17" t="str">
        <f t="shared" si="31"/>
        <v>cem</v>
      </c>
      <c r="D322" s="18" t="s">
        <v>63</v>
      </c>
      <c r="E322" s="19" t="s">
        <v>61</v>
      </c>
      <c r="F322" s="17" t="s">
        <v>77</v>
      </c>
      <c r="G322" s="20" t="str">
        <f>Settings!$B$3&amp;".mit.nce."&amp;Settings!$B$4&amp;"."&amp;$B322&amp;".a."&amp;$J$307</f>
        <v>egy.mit.nce.ind.die.a.2</v>
      </c>
      <c r="H322" s="21" t="str">
        <f>OUTCODE(Settings!$B$3,"atp",$C$307,$B322,$J$307)</f>
        <v>egy.mit.atp.cem.die.e.2</v>
      </c>
      <c r="K322" s="22">
        <f>POSTTAX(K312,INDEX(Data_Prices!K:K,MATCH($G322,Data_Prices!$A:$A,0)),K$339)</f>
        <v>0.55971121315568761</v>
      </c>
      <c r="L322" s="22">
        <f>POSTTAX(L312,INDEX(Data_Prices!L:L,MATCH($G322,Data_Prices!$A:$A,0)),L$339)</f>
        <v>0.49458873084106802</v>
      </c>
      <c r="M322" s="22">
        <f>POSTTAX(M312,INDEX(Data_Prices!M:M,MATCH($G322,Data_Prices!$A:$A,0)),M$339)</f>
        <v>0.50778654720250049</v>
      </c>
      <c r="N322" s="22">
        <f>POSTTAX(N312,INDEX(Data_Prices!N:N,MATCH($G322,Data_Prices!$A:$A,0)),N$339)</f>
        <v>0.47043642679561742</v>
      </c>
      <c r="O322" s="22">
        <f>POSTTAX(O312,INDEX(Data_Prices!O:O,MATCH($G322,Data_Prices!$A:$A,0)),O$339)</f>
        <v>0.47043642679561742</v>
      </c>
      <c r="P322" s="22">
        <f>POSTTAX(P312,INDEX(Data_Prices!P:P,MATCH($G322,Data_Prices!$A:$A,0)),P$339)</f>
        <v>0.47043642679561742</v>
      </c>
      <c r="Q322" s="22">
        <f>POSTTAX(Q312,INDEX(Data_Prices!Q:Q,MATCH($G322,Data_Prices!$A:$A,0)),Q$339)</f>
        <v>0.50344686565449237</v>
      </c>
      <c r="R322" s="22">
        <f>POSTTAX(R312,INDEX(Data_Prices!R:R,MATCH($G322,Data_Prices!$A:$A,0)),R$339)</f>
        <v>0.53645730451336737</v>
      </c>
      <c r="S322" s="22">
        <f>POSTTAX(S312,INDEX(Data_Prices!S:S,MATCH($G322,Data_Prices!$A:$A,0)),S$339)</f>
        <v>0.56946774337224249</v>
      </c>
      <c r="T322" s="22">
        <f>POSTTAX(T312,INDEX(Data_Prices!T:T,MATCH($G322,Data_Prices!$A:$A,0)),T$339)</f>
        <v>0.60247818223111738</v>
      </c>
      <c r="U322" s="22">
        <f>POSTTAX(U312,INDEX(Data_Prices!U:U,MATCH($G322,Data_Prices!$A:$A,0)),U$339)</f>
        <v>0.63548862108999238</v>
      </c>
      <c r="V322" s="22">
        <f>POSTTAX(V312,INDEX(Data_Prices!V:V,MATCH($G322,Data_Prices!$A:$A,0)),V$339)</f>
        <v>0.66849905994886738</v>
      </c>
      <c r="W322" s="22">
        <f>POSTTAX(W312,INDEX(Data_Prices!W:W,MATCH($G322,Data_Prices!$A:$A,0)),W$339)</f>
        <v>0.70150949880774238</v>
      </c>
      <c r="X322" s="22">
        <f>POSTTAX(X312,INDEX(Data_Prices!X:X,MATCH($G322,Data_Prices!$A:$A,0)),X$339)</f>
        <v>0.73451993766661738</v>
      </c>
      <c r="Y322" s="22">
        <f>POSTTAX(Y312,INDEX(Data_Prices!Y:Y,MATCH($G322,Data_Prices!$A:$A,0)),Y$339)</f>
        <v>0.76753037652549239</v>
      </c>
      <c r="Z322" s="22">
        <f>POSTTAX(Z312,INDEX(Data_Prices!Z:Z,MATCH($G322,Data_Prices!$A:$A,0)),Z$339)</f>
        <v>0.80054081538436739</v>
      </c>
      <c r="AA322" s="22">
        <f>POSTTAX(AA312,INDEX(Data_Prices!AA:AA,MATCH($G322,Data_Prices!$A:$A,0)),AA$339)</f>
        <v>0.83355125424324239</v>
      </c>
      <c r="AB322" s="22">
        <f>POSTTAX(AB312,INDEX(Data_Prices!AB:AB,MATCH($G322,Data_Prices!$A:$A,0)),AB$339)</f>
        <v>0.86656169310211739</v>
      </c>
      <c r="AC322" s="22">
        <f>POSTTAX(AC312,INDEX(Data_Prices!AC:AC,MATCH($G322,Data_Prices!$A:$A,0)),AC$339)</f>
        <v>0.89957213196099239</v>
      </c>
      <c r="AD322" s="22">
        <f>POSTTAX(AD312,INDEX(Data_Prices!AD:AD,MATCH($G322,Data_Prices!$A:$A,0)),AD$339)</f>
        <v>0.9325825708198674</v>
      </c>
      <c r="AE322" s="22">
        <f>POSTTAX(AE312,INDEX(Data_Prices!AE:AE,MATCH($G322,Data_Prices!$A:$A,0)),AE$339)</f>
        <v>0.9655930096787424</v>
      </c>
    </row>
    <row r="323" spans="2:31" x14ac:dyDescent="0.25">
      <c r="B323" s="17" t="s">
        <v>64</v>
      </c>
      <c r="C323" s="17" t="str">
        <f t="shared" si="31"/>
        <v>cem</v>
      </c>
      <c r="D323" s="18" t="s">
        <v>65</v>
      </c>
      <c r="E323" s="19" t="s">
        <v>61</v>
      </c>
      <c r="F323" s="17" t="s">
        <v>77</v>
      </c>
      <c r="G323" s="20" t="str">
        <f>Settings!$B$3&amp;".mit.nce."&amp;Settings!$B$4&amp;"."&amp;$B323&amp;".a."&amp;$J$307</f>
        <v>egy.mit.nce.ind.lpg.a.2</v>
      </c>
      <c r="H323" s="21" t="str">
        <f>OUTCODE(Settings!$B$3,"atp",$C$307,$B323,$J$307)</f>
        <v>egy.mit.atp.cem.lpg.e.2</v>
      </c>
      <c r="K323" s="22">
        <f>POSTTAX(K313,INDEX(Data_Prices!K:K,MATCH($G323,Data_Prices!$A:$A,0)),K$339)</f>
        <v>0.20036669112673841</v>
      </c>
      <c r="L323" s="22">
        <f>POSTTAX(L313,INDEX(Data_Prices!L:L,MATCH($G323,Data_Prices!$A:$A,0)),L$339)</f>
        <v>0.1573447362522738</v>
      </c>
      <c r="M323" s="22">
        <f>POSTTAX(M313,INDEX(Data_Prices!M:M,MATCH($G323,Data_Prices!$A:$A,0)),M$339)</f>
        <v>0.1644840377592767</v>
      </c>
      <c r="N323" s="22">
        <f>POSTTAX(N313,INDEX(Data_Prices!N:N,MATCH($G323,Data_Prices!$A:$A,0)),N$339)</f>
        <v>0.1507090778070489</v>
      </c>
      <c r="O323" s="22">
        <f>POSTTAX(O313,INDEX(Data_Prices!O:O,MATCH($G323,Data_Prices!$A:$A,0)),O$339)</f>
        <v>0.1507090778070489</v>
      </c>
      <c r="P323" s="22">
        <f>POSTTAX(P313,INDEX(Data_Prices!P:P,MATCH($G323,Data_Prices!$A:$A,0)),P$339)</f>
        <v>0.1507090778070489</v>
      </c>
      <c r="Q323" s="22">
        <f>POSTTAX(Q313,INDEX(Data_Prices!Q:Q,MATCH($G323,Data_Prices!$A:$A,0)),Q$339)</f>
        <v>0.17281516073434458</v>
      </c>
      <c r="R323" s="22">
        <f>POSTTAX(R313,INDEX(Data_Prices!R:R,MATCH($G323,Data_Prices!$A:$A,0)),R$339)</f>
        <v>0.19492124366164029</v>
      </c>
      <c r="S323" s="22">
        <f>POSTTAX(S313,INDEX(Data_Prices!S:S,MATCH($G323,Data_Prices!$A:$A,0)),S$339)</f>
        <v>0.21702732658893598</v>
      </c>
      <c r="T323" s="22">
        <f>POSTTAX(T313,INDEX(Data_Prices!T:T,MATCH($G323,Data_Prices!$A:$A,0)),T$339)</f>
        <v>0.23913340951623169</v>
      </c>
      <c r="U323" s="22">
        <f>POSTTAX(U313,INDEX(Data_Prices!U:U,MATCH($G323,Data_Prices!$A:$A,0)),U$339)</f>
        <v>0.2612394924435274</v>
      </c>
      <c r="V323" s="22">
        <f>POSTTAX(V313,INDEX(Data_Prices!V:V,MATCH($G323,Data_Prices!$A:$A,0)),V$339)</f>
        <v>0.28334557537082311</v>
      </c>
      <c r="W323" s="22">
        <f>POSTTAX(W313,INDEX(Data_Prices!W:W,MATCH($G323,Data_Prices!$A:$A,0)),W$339)</f>
        <v>0.30545165829811882</v>
      </c>
      <c r="X323" s="22">
        <f>POSTTAX(X313,INDEX(Data_Prices!X:X,MATCH($G323,Data_Prices!$A:$A,0)),X$339)</f>
        <v>0.32755774122541448</v>
      </c>
      <c r="Y323" s="22">
        <f>POSTTAX(Y313,INDEX(Data_Prices!Y:Y,MATCH($G323,Data_Prices!$A:$A,0)),Y$339)</f>
        <v>0.34966382415271013</v>
      </c>
      <c r="Z323" s="22">
        <f>POSTTAX(Z313,INDEX(Data_Prices!Z:Z,MATCH($G323,Data_Prices!$A:$A,0)),Z$339)</f>
        <v>0.37176990708000579</v>
      </c>
      <c r="AA323" s="22">
        <f>POSTTAX(AA313,INDEX(Data_Prices!AA:AA,MATCH($G323,Data_Prices!$A:$A,0)),AA$339)</f>
        <v>0.3938759900073015</v>
      </c>
      <c r="AB323" s="22">
        <f>POSTTAX(AB313,INDEX(Data_Prices!AB:AB,MATCH($G323,Data_Prices!$A:$A,0)),AB$339)</f>
        <v>0.41598207293459721</v>
      </c>
      <c r="AC323" s="22">
        <f>POSTTAX(AC313,INDEX(Data_Prices!AC:AC,MATCH($G323,Data_Prices!$A:$A,0)),AC$339)</f>
        <v>0.43808815586189287</v>
      </c>
      <c r="AD323" s="22">
        <f>POSTTAX(AD313,INDEX(Data_Prices!AD:AD,MATCH($G323,Data_Prices!$A:$A,0)),AD$339)</f>
        <v>0.46019423878918858</v>
      </c>
      <c r="AE323" s="22">
        <f>POSTTAX(AE313,INDEX(Data_Prices!AE:AE,MATCH($G323,Data_Prices!$A:$A,0)),AE$339)</f>
        <v>0.48230032171648429</v>
      </c>
    </row>
    <row r="324" spans="2:31" x14ac:dyDescent="0.25">
      <c r="B324" s="17" t="s">
        <v>66</v>
      </c>
      <c r="C324" s="17" t="str">
        <f t="shared" si="31"/>
        <v>cem</v>
      </c>
      <c r="D324" s="18" t="s">
        <v>67</v>
      </c>
      <c r="E324" s="19" t="s">
        <v>61</v>
      </c>
      <c r="F324" s="17" t="s">
        <v>77</v>
      </c>
      <c r="G324" s="20" t="str">
        <f>Settings!$B$3&amp;".mit.nce."&amp;Settings!$B$4&amp;"."&amp;$B324&amp;".a."&amp;$J$307</f>
        <v>egy.mit.nce.ind.ker.a.2</v>
      </c>
      <c r="H324" s="21" t="str">
        <f>OUTCODE(Settings!$B$3,"atp",$C$307,$B324,$J$307)</f>
        <v>egy.mit.atp.cem.ker.e.2</v>
      </c>
      <c r="K324" s="22">
        <f>POSTTAX(K314,INDEX(Data_Prices!K:K,MATCH($G324,Data_Prices!$A:$A,0)),K$339)</f>
        <v>0.48429424097343482</v>
      </c>
      <c r="L324" s="22">
        <f>POSTTAX(L314,INDEX(Data_Prices!L:L,MATCH($G324,Data_Prices!$A:$A,0)),L$339)</f>
        <v>0.45642817050012813</v>
      </c>
      <c r="M324" s="22">
        <f>POSTTAX(M314,INDEX(Data_Prices!M:M,MATCH($G324,Data_Prices!$A:$A,0)),M$339)</f>
        <v>0.43168920195599519</v>
      </c>
      <c r="N324" s="22">
        <f>POSTTAX(N314,INDEX(Data_Prices!N:N,MATCH($G324,Data_Prices!$A:$A,0)),N$339)</f>
        <v>0.42507558395596989</v>
      </c>
      <c r="O324" s="22">
        <f>POSTTAX(O314,INDEX(Data_Prices!O:O,MATCH($G324,Data_Prices!$A:$A,0)),O$339)</f>
        <v>0.42507558395596989</v>
      </c>
      <c r="P324" s="22">
        <f>POSTTAX(P314,INDEX(Data_Prices!P:P,MATCH($G324,Data_Prices!$A:$A,0)),P$339)</f>
        <v>0.42507558395596989</v>
      </c>
      <c r="Q324" s="22">
        <f>POSTTAX(Q314,INDEX(Data_Prices!Q:Q,MATCH($G324,Data_Prices!$A:$A,0)),Q$339)</f>
        <v>0.45706441406607839</v>
      </c>
      <c r="R324" s="22">
        <f>POSTTAX(R314,INDEX(Data_Prices!R:R,MATCH($G324,Data_Prices!$A:$A,0)),R$339)</f>
        <v>0.4890532441761869</v>
      </c>
      <c r="S324" s="22">
        <f>POSTTAX(S314,INDEX(Data_Prices!S:S,MATCH($G324,Data_Prices!$A:$A,0)),S$339)</f>
        <v>0.52104207428629545</v>
      </c>
      <c r="T324" s="22">
        <f>POSTTAX(T314,INDEX(Data_Prices!T:T,MATCH($G324,Data_Prices!$A:$A,0)),T$339)</f>
        <v>0.5530309043964039</v>
      </c>
      <c r="U324" s="22">
        <f>POSTTAX(U314,INDEX(Data_Prices!U:U,MATCH($G324,Data_Prices!$A:$A,0)),U$339)</f>
        <v>0.58501973450651246</v>
      </c>
      <c r="V324" s="22">
        <f>POSTTAX(V314,INDEX(Data_Prices!V:V,MATCH($G324,Data_Prices!$A:$A,0)),V$339)</f>
        <v>0.6170085646166209</v>
      </c>
      <c r="W324" s="22">
        <f>POSTTAX(W314,INDEX(Data_Prices!W:W,MATCH($G324,Data_Prices!$A:$A,0)),W$339)</f>
        <v>0.64899739472672935</v>
      </c>
      <c r="X324" s="22">
        <f>POSTTAX(X314,INDEX(Data_Prices!X:X,MATCH($G324,Data_Prices!$A:$A,0)),X$339)</f>
        <v>0.68098622483683791</v>
      </c>
      <c r="Y324" s="22">
        <f>POSTTAX(Y314,INDEX(Data_Prices!Y:Y,MATCH($G324,Data_Prices!$A:$A,0)),Y$339)</f>
        <v>0.71297505494694646</v>
      </c>
      <c r="Z324" s="22">
        <f>POSTTAX(Z314,INDEX(Data_Prices!Z:Z,MATCH($G324,Data_Prices!$A:$A,0)),Z$339)</f>
        <v>0.7449638850570548</v>
      </c>
      <c r="AA324" s="22">
        <f>POSTTAX(AA314,INDEX(Data_Prices!AA:AA,MATCH($G324,Data_Prices!$A:$A,0)),AA$339)</f>
        <v>0.77695271516716335</v>
      </c>
      <c r="AB324" s="22">
        <f>POSTTAX(AB314,INDEX(Data_Prices!AB:AB,MATCH($G324,Data_Prices!$A:$A,0)),AB$339)</f>
        <v>0.80894154527727191</v>
      </c>
      <c r="AC324" s="22">
        <f>POSTTAX(AC314,INDEX(Data_Prices!AC:AC,MATCH($G324,Data_Prices!$A:$A,0)),AC$339)</f>
        <v>0.84093037538738025</v>
      </c>
      <c r="AD324" s="22">
        <f>POSTTAX(AD314,INDEX(Data_Prices!AD:AD,MATCH($G324,Data_Prices!$A:$A,0)),AD$339)</f>
        <v>0.8729192054974888</v>
      </c>
      <c r="AE324" s="22">
        <f>POSTTAX(AE314,INDEX(Data_Prices!AE:AE,MATCH($G324,Data_Prices!$A:$A,0)),AE$339)</f>
        <v>0.90490803560759736</v>
      </c>
    </row>
    <row r="325" spans="2:31" x14ac:dyDescent="0.25">
      <c r="B325" s="17" t="s">
        <v>68</v>
      </c>
      <c r="C325" s="17" t="str">
        <f t="shared" si="31"/>
        <v>cem</v>
      </c>
      <c r="D325" s="18" t="s">
        <v>69</v>
      </c>
      <c r="E325" s="19" t="s">
        <v>70</v>
      </c>
      <c r="F325" s="17" t="s">
        <v>77</v>
      </c>
      <c r="G325" s="20" t="str">
        <f>Settings!$B$3&amp;".mit.nce."&amp;Settings!$B$4&amp;"."&amp;$B325&amp;".a."&amp;$J$307</f>
        <v>egy.mit.nce.ind.oop.a.2</v>
      </c>
      <c r="H325" s="21" t="str">
        <f>OUTCODE(Settings!$B$3,"atp",$C$307,$B325,$J$307)</f>
        <v>egy.mit.atp.cem.oop.e.2</v>
      </c>
      <c r="K325" s="22">
        <f>POSTTAX(K315,INDEX(Data_Prices!K:K,MATCH($G325,Data_Prices!$A:$A,0)),K$339)</f>
        <v>41.50033849886843</v>
      </c>
      <c r="L325" s="22">
        <f>POSTTAX(L315,INDEX(Data_Prices!L:L,MATCH($G325,Data_Prices!$A:$A,0)),L$339)</f>
        <v>34.415370304313228</v>
      </c>
      <c r="M325" s="22">
        <f>POSTTAX(M315,INDEX(Data_Prices!M:M,MATCH($G325,Data_Prices!$A:$A,0)),M$339)</f>
        <v>37.368960690432033</v>
      </c>
      <c r="N325" s="22">
        <f>POSTTAX(N315,INDEX(Data_Prices!N:N,MATCH($G325,Data_Prices!$A:$A,0)),N$339)</f>
        <v>28.982761101477251</v>
      </c>
      <c r="O325" s="22">
        <f>POSTTAX(O315,INDEX(Data_Prices!O:O,MATCH($G325,Data_Prices!$A:$A,0)),O$339)</f>
        <v>15</v>
      </c>
      <c r="P325" s="22">
        <f>POSTTAX(P315,INDEX(Data_Prices!P:P,MATCH($G325,Data_Prices!$A:$A,0)),P$339)</f>
        <v>24.2586300842555</v>
      </c>
      <c r="Q325" s="22">
        <f>POSTTAX(Q315,INDEX(Data_Prices!Q:Q,MATCH($G325,Data_Prices!$A:$A,0)),Q$339)</f>
        <v>18.963758196132449</v>
      </c>
      <c r="R325" s="22">
        <f>POSTTAX(R315,INDEX(Data_Prices!R:R,MATCH($G325,Data_Prices!$A:$A,0)),R$339)</f>
        <v>21.76034511401058</v>
      </c>
      <c r="S325" s="22">
        <f>POSTTAX(S315,INDEX(Data_Prices!S:S,MATCH($G325,Data_Prices!$A:$A,0)),S$339)</f>
        <v>26.079880691373617</v>
      </c>
      <c r="T325" s="22">
        <f>POSTTAX(T315,INDEX(Data_Prices!T:T,MATCH($G325,Data_Prices!$A:$A,0)),T$339)</f>
        <v>30.593682445209222</v>
      </c>
      <c r="U325" s="22">
        <f>POSTTAX(U315,INDEX(Data_Prices!U:U,MATCH($G325,Data_Prices!$A:$A,0)),U$339)</f>
        <v>34.990509739410058</v>
      </c>
      <c r="V325" s="22">
        <f>POSTTAX(V315,INDEX(Data_Prices!V:V,MATCH($G325,Data_Prices!$A:$A,0)),V$339)</f>
        <v>40.858059739410059</v>
      </c>
      <c r="W325" s="22">
        <f>POSTTAX(W315,INDEX(Data_Prices!W:W,MATCH($G325,Data_Prices!$A:$A,0)),W$339)</f>
        <v>46.725609739410061</v>
      </c>
      <c r="X325" s="22">
        <f>POSTTAX(X315,INDEX(Data_Prices!X:X,MATCH($G325,Data_Prices!$A:$A,0)),X$339)</f>
        <v>52.593159739410055</v>
      </c>
      <c r="Y325" s="22">
        <f>POSTTAX(Y315,INDEX(Data_Prices!Y:Y,MATCH($G325,Data_Prices!$A:$A,0)),Y$339)</f>
        <v>58.460709739410071</v>
      </c>
      <c r="Z325" s="22">
        <f>POSTTAX(Z315,INDEX(Data_Prices!Z:Z,MATCH($G325,Data_Prices!$A:$A,0)),Z$339)</f>
        <v>64.328259739410072</v>
      </c>
      <c r="AA325" s="22">
        <f>POSTTAX(AA315,INDEX(Data_Prices!AA:AA,MATCH($G325,Data_Prices!$A:$A,0)),AA$339)</f>
        <v>70.195809739410066</v>
      </c>
      <c r="AB325" s="22">
        <f>POSTTAX(AB315,INDEX(Data_Prices!AB:AB,MATCH($G325,Data_Prices!$A:$A,0)),AB$339)</f>
        <v>76.06335973941006</v>
      </c>
      <c r="AC325" s="22">
        <f>POSTTAX(AC315,INDEX(Data_Prices!AC:AC,MATCH($G325,Data_Prices!$A:$A,0)),AC$339)</f>
        <v>81.930909739410055</v>
      </c>
      <c r="AD325" s="22">
        <f>POSTTAX(AD315,INDEX(Data_Prices!AD:AD,MATCH($G325,Data_Prices!$A:$A,0)),AD$339)</f>
        <v>87.798459739410063</v>
      </c>
      <c r="AE325" s="22">
        <f>POSTTAX(AE315,INDEX(Data_Prices!AE:AE,MATCH($G325,Data_Prices!$A:$A,0)),AE$339)</f>
        <v>93.666009739410057</v>
      </c>
    </row>
    <row r="326" spans="2:31" x14ac:dyDescent="0.25">
      <c r="B326" s="17" t="s">
        <v>71</v>
      </c>
      <c r="C326" s="17" t="str">
        <f t="shared" si="31"/>
        <v>cem</v>
      </c>
      <c r="D326" s="18" t="s">
        <v>72</v>
      </c>
      <c r="E326" s="19" t="s">
        <v>55</v>
      </c>
      <c r="F326" s="17" t="s">
        <v>77</v>
      </c>
      <c r="G326" s="20" t="str">
        <f>Settings!$B$3&amp;".mit.nce."&amp;Settings!$B$4&amp;"."&amp;$B326&amp;".a."&amp;$J$307</f>
        <v>egy.mit.nce.ind.bio.a.2</v>
      </c>
      <c r="H326" s="21" t="str">
        <f>OUTCODE(Settings!$B$3,"atp",$C$307,$B326,$J$307)</f>
        <v>egy.mit.atp.cem.bio.e.2</v>
      </c>
      <c r="K326" s="22">
        <f>POSTTAX(K316,INDEX(Data_Prices!K:K,MATCH($G326,Data_Prices!$A:$A,0)),K$339)</f>
        <v>15.33455052931693</v>
      </c>
      <c r="L326" s="22">
        <f>POSTTAX(L316,INDEX(Data_Prices!L:L,MATCH($G326,Data_Prices!$A:$A,0)),L$339)</f>
        <v>14.199528390634921</v>
      </c>
      <c r="M326" s="22">
        <f>POSTTAX(M316,INDEX(Data_Prices!M:M,MATCH($G326,Data_Prices!$A:$A,0)),M$339)</f>
        <v>13.840441613315161</v>
      </c>
      <c r="N326" s="22">
        <f>POSTTAX(N316,INDEX(Data_Prices!N:N,MATCH($G326,Data_Prices!$A:$A,0)),N$339)</f>
        <v>13.5677269404465</v>
      </c>
      <c r="O326" s="22">
        <f>POSTTAX(O316,INDEX(Data_Prices!O:O,MATCH($G326,Data_Prices!$A:$A,0)),O$339)</f>
        <v>13.5677269404465</v>
      </c>
      <c r="P326" s="22">
        <f>POSTTAX(P316,INDEX(Data_Prices!P:P,MATCH($G326,Data_Prices!$A:$A,0)),P$339)</f>
        <v>13.5677269404465</v>
      </c>
      <c r="Q326" s="22">
        <f>POSTTAX(Q316,INDEX(Data_Prices!Q:Q,MATCH($G326,Data_Prices!$A:$A,0)),Q$339)</f>
        <v>13.5677269404465</v>
      </c>
      <c r="R326" s="22">
        <f>POSTTAX(R316,INDEX(Data_Prices!R:R,MATCH($G326,Data_Prices!$A:$A,0)),R$339)</f>
        <v>13.5677269404465</v>
      </c>
      <c r="S326" s="22">
        <f>POSTTAX(S316,INDEX(Data_Prices!S:S,MATCH($G326,Data_Prices!$A:$A,0)),S$339)</f>
        <v>13.5677269404465</v>
      </c>
      <c r="T326" s="22">
        <f>POSTTAX(T316,INDEX(Data_Prices!T:T,MATCH($G326,Data_Prices!$A:$A,0)),T$339)</f>
        <v>13.5677269404465</v>
      </c>
      <c r="U326" s="22">
        <f>POSTTAX(U316,INDEX(Data_Prices!U:U,MATCH($G326,Data_Prices!$A:$A,0)),U$339)</f>
        <v>13.5677269404465</v>
      </c>
      <c r="V326" s="22">
        <f>POSTTAX(V316,INDEX(Data_Prices!V:V,MATCH($G326,Data_Prices!$A:$A,0)),V$339)</f>
        <v>13.5677269404465</v>
      </c>
      <c r="W326" s="22">
        <f>POSTTAX(W316,INDEX(Data_Prices!W:W,MATCH($G326,Data_Prices!$A:$A,0)),W$339)</f>
        <v>13.5677269404465</v>
      </c>
      <c r="X326" s="22">
        <f>POSTTAX(X316,INDEX(Data_Prices!X:X,MATCH($G326,Data_Prices!$A:$A,0)),X$339)</f>
        <v>13.5677269404465</v>
      </c>
      <c r="Y326" s="22">
        <f>POSTTAX(Y316,INDEX(Data_Prices!Y:Y,MATCH($G326,Data_Prices!$A:$A,0)),Y$339)</f>
        <v>13.5677269404465</v>
      </c>
      <c r="Z326" s="22">
        <f>POSTTAX(Z316,INDEX(Data_Prices!Z:Z,MATCH($G326,Data_Prices!$A:$A,0)),Z$339)</f>
        <v>13.5677269404465</v>
      </c>
      <c r="AA326" s="22">
        <f>POSTTAX(AA316,INDEX(Data_Prices!AA:AA,MATCH($G326,Data_Prices!$A:$A,0)),AA$339)</f>
        <v>13.5677269404465</v>
      </c>
      <c r="AB326" s="22">
        <f>POSTTAX(AB316,INDEX(Data_Prices!AB:AB,MATCH($G326,Data_Prices!$A:$A,0)),AB$339)</f>
        <v>13.5677269404465</v>
      </c>
      <c r="AC326" s="22">
        <f>POSTTAX(AC316,INDEX(Data_Prices!AC:AC,MATCH($G326,Data_Prices!$A:$A,0)),AC$339)</f>
        <v>13.5677269404465</v>
      </c>
      <c r="AD326" s="22">
        <f>POSTTAX(AD316,INDEX(Data_Prices!AD:AD,MATCH($G326,Data_Prices!$A:$A,0)),AD$339)</f>
        <v>13.5677269404465</v>
      </c>
      <c r="AE326" s="22">
        <f>POSTTAX(AE316,INDEX(Data_Prices!AE:AE,MATCH($G326,Data_Prices!$A:$A,0)),AE$339)</f>
        <v>13.5677269404465</v>
      </c>
    </row>
    <row r="327" spans="2:31" x14ac:dyDescent="0.25">
      <c r="B327" s="17" t="s">
        <v>73</v>
      </c>
      <c r="C327" s="17" t="str">
        <f t="shared" si="31"/>
        <v>cem</v>
      </c>
      <c r="D327" s="18" t="s">
        <v>74</v>
      </c>
      <c r="E327" s="19" t="s">
        <v>75</v>
      </c>
      <c r="F327" s="17" t="s">
        <v>77</v>
      </c>
      <c r="G327" s="20" t="str">
        <f>Settings!$B$3&amp;".mit.nce."&amp;Settings!$B$4&amp;"."&amp;$B327&amp;".a."&amp;$J$307</f>
        <v>egy.mit.nce.ind.ren.a.2</v>
      </c>
      <c r="H327" s="21" t="str">
        <f>OUTCODE(Settings!$B$3,"atp",$C$307,$B327,$J$307)</f>
        <v>egy.mit.atp.cem.ren.e.2</v>
      </c>
      <c r="K327" s="22">
        <f>POSTTAX(K317,INDEX(Data_Prices!K:K,MATCH($G327,Data_Prices!$A:$A,0)),K$339)</f>
        <v>0</v>
      </c>
      <c r="L327" s="22">
        <f>POSTTAX(L317,INDEX(Data_Prices!L:L,MATCH($G327,Data_Prices!$A:$A,0)),L$339)</f>
        <v>0.14404498679319799</v>
      </c>
      <c r="M327" s="22">
        <f>POSTTAX(M317,INDEX(Data_Prices!M:M,MATCH($G327,Data_Prices!$A:$A,0)),M$339)</f>
        <v>0.14138624175135939</v>
      </c>
      <c r="N327" s="22">
        <f>POSTTAX(N317,INDEX(Data_Prices!N:N,MATCH($G327,Data_Prices!$A:$A,0)),N$339)</f>
        <v>0.1353975654437313</v>
      </c>
      <c r="O327" s="22">
        <f>POSTTAX(O317,INDEX(Data_Prices!O:O,MATCH($G327,Data_Prices!$A:$A,0)),O$339)</f>
        <v>0.13152288542065141</v>
      </c>
      <c r="P327" s="22">
        <f>POSTTAX(P317,INDEX(Data_Prices!P:P,MATCH($G327,Data_Prices!$A:$A,0)),P$339)</f>
        <v>0.12882610848523129</v>
      </c>
      <c r="Q327" s="22">
        <f>POSTTAX(Q317,INDEX(Data_Prices!Q:Q,MATCH($G327,Data_Prices!$A:$A,0)),Q$339)</f>
        <v>0.1259420097647401</v>
      </c>
      <c r="R327" s="22">
        <f>POSTTAX(R317,INDEX(Data_Prices!R:R,MATCH($G327,Data_Prices!$A:$A,0)),R$339)</f>
        <v>0.1231132657018609</v>
      </c>
      <c r="S327" s="22">
        <f>POSTTAX(S317,INDEX(Data_Prices!S:S,MATCH($G327,Data_Prices!$A:$A,0)),S$339)</f>
        <v>0.1193917380890684</v>
      </c>
      <c r="T327" s="22">
        <f>POSTTAX(T317,INDEX(Data_Prices!T:T,MATCH($G327,Data_Prices!$A:$A,0)),T$339)</f>
        <v>0.1155441904679203</v>
      </c>
      <c r="U327" s="22">
        <f>POSTTAX(U317,INDEX(Data_Prices!U:U,MATCH($G327,Data_Prices!$A:$A,0)),U$339)</f>
        <v>0.11492423065415899</v>
      </c>
      <c r="V327" s="22">
        <f>POSTTAX(V317,INDEX(Data_Prices!V:V,MATCH($G327,Data_Prices!$A:$A,0)),V$339)</f>
        <v>0.11434691211673639</v>
      </c>
      <c r="W327" s="22">
        <f>POSTTAX(W317,INDEX(Data_Prices!W:W,MATCH($G327,Data_Prices!$A:$A,0)),W$339)</f>
        <v>0.1137387111726635</v>
      </c>
      <c r="X327" s="22">
        <f>POSTTAX(X317,INDEX(Data_Prices!X:X,MATCH($G327,Data_Prices!$A:$A,0)),X$339)</f>
        <v>0.1129999004875214</v>
      </c>
      <c r="Y327" s="22">
        <f>POSTTAX(Y317,INDEX(Data_Prices!Y:Y,MATCH($G327,Data_Prices!$A:$A,0)),Y$339)</f>
        <v>0.11217768583553429</v>
      </c>
      <c r="Z327" s="22">
        <f>POSTTAX(Z317,INDEX(Data_Prices!Z:Z,MATCH($G327,Data_Prices!$A:$A,0)),Z$339)</f>
        <v>0.1114179032504042</v>
      </c>
      <c r="AA327" s="22">
        <f>POSTTAX(AA317,INDEX(Data_Prices!AA:AA,MATCH($G327,Data_Prices!$A:$A,0)),AA$339)</f>
        <v>0.1105258199854538</v>
      </c>
      <c r="AB327" s="22">
        <f>POSTTAX(AB317,INDEX(Data_Prices!AB:AB,MATCH($G327,Data_Prices!$A:$A,0)),AB$339)</f>
        <v>0.1096995652348958</v>
      </c>
      <c r="AC327" s="22">
        <f>POSTTAX(AC317,INDEX(Data_Prices!AC:AC,MATCH($G327,Data_Prices!$A:$A,0)),AC$339)</f>
        <v>0.1077267889639492</v>
      </c>
      <c r="AD327" s="22">
        <f>POSTTAX(AD317,INDEX(Data_Prices!AD:AD,MATCH($G327,Data_Prices!$A:$A,0)),AD$339)</f>
        <v>0.1058209244509353</v>
      </c>
      <c r="AE327" s="22">
        <f>POSTTAX(AE317,INDEX(Data_Prices!AE:AE,MATCH($G327,Data_Prices!$A:$A,0)),AE$339)</f>
        <v>0.1038555957057212</v>
      </c>
    </row>
    <row r="328" spans="2:31" x14ac:dyDescent="0.25">
      <c r="B328" s="16" t="s">
        <v>78</v>
      </c>
    </row>
    <row r="329" spans="2:31" x14ac:dyDescent="0.25">
      <c r="B329" s="17" t="s">
        <v>53</v>
      </c>
      <c r="C329" s="17" t="str">
        <f t="shared" ref="C329:C337" si="32">$C$307</f>
        <v>cem</v>
      </c>
      <c r="D329" s="18" t="s">
        <v>54</v>
      </c>
      <c r="E329" s="19" t="s">
        <v>55</v>
      </c>
      <c r="F329" s="17" t="s">
        <v>79</v>
      </c>
      <c r="G329" s="20" t="str">
        <f>Settings!$B$3&amp;".mit.shp."&amp;$B329&amp;"."&amp;Settings!$B$4&amp;"."&amp;$J$307</f>
        <v>egy.mit.shp.coa.ind.2</v>
      </c>
      <c r="H329" s="21" t="str">
        <f>OUTCODE(Settings!$B$3,"shp",$C$307,$B329,$J$307)</f>
        <v>egy.mit.shp.cem.coa.e.2</v>
      </c>
      <c r="K329" s="23">
        <f>SHADOW(K319,INDEX(Data_Prices!K:K,MATCH($G329,Data_Prices!$A:$A,0)),K$340)</f>
        <v>11.18290158924394</v>
      </c>
      <c r="L329" s="23">
        <f>SHADOW(L319,INDEX(Data_Prices!L:L,MATCH($G329,Data_Prices!$A:$A,0)),L$340)</f>
        <v>10.52336134543121</v>
      </c>
      <c r="M329" s="23">
        <f>SHADOW(M319,INDEX(Data_Prices!M:M,MATCH($G329,Data_Prices!$A:$A,0)),M$340)</f>
        <v>10.299560827444211</v>
      </c>
      <c r="N329" s="23">
        <f>SHADOW(N319,INDEX(Data_Prices!N:N,MATCH($G329,Data_Prices!$A:$A,0)),N$340)</f>
        <v>9.5775283595382632</v>
      </c>
      <c r="O329" s="23">
        <f>SHADOW(O319,INDEX(Data_Prices!O:O,MATCH($G329,Data_Prices!$A:$A,0)),O$340)</f>
        <v>8.4854782869580454</v>
      </c>
      <c r="P329" s="23">
        <f>SHADOW(P319,INDEX(Data_Prices!P:P,MATCH($G329,Data_Prices!$A:$A,0)),P$340)</f>
        <v>9.0871922352498604</v>
      </c>
      <c r="Q329" s="23">
        <f>SHADOW(Q319,INDEX(Data_Prices!Q:Q,MATCH($G329,Data_Prices!$A:$A,0)),Q$340)</f>
        <v>10.472923728932681</v>
      </c>
      <c r="R329" s="23">
        <f>SHADOW(R319,INDEX(Data_Prices!R:R,MATCH($G329,Data_Prices!$A:$A,0)),R$340)</f>
        <v>11.658564955509688</v>
      </c>
      <c r="S329" s="23">
        <f>SHADOW(S319,INDEX(Data_Prices!S:S,MATCH($G329,Data_Prices!$A:$A,0)),S$340)</f>
        <v>12.839547877397377</v>
      </c>
      <c r="T329" s="23">
        <f>SHADOW(T319,INDEX(Data_Prices!T:T,MATCH($G329,Data_Prices!$A:$A,0)),T$340)</f>
        <v>14.01568166602283</v>
      </c>
      <c r="U329" s="23">
        <f>SHADOW(U319,INDEX(Data_Prices!U:U,MATCH($G329,Data_Prices!$A:$A,0)),U$340)</f>
        <v>15.194397765557106</v>
      </c>
      <c r="V329" s="23">
        <f>SHADOW(V319,INDEX(Data_Prices!V:V,MATCH($G329,Data_Prices!$A:$A,0)),V$340)</f>
        <v>16.444397765557106</v>
      </c>
      <c r="W329" s="23">
        <f>SHADOW(W319,INDEX(Data_Prices!W:W,MATCH($G329,Data_Prices!$A:$A,0)),W$340)</f>
        <v>17.694397765557106</v>
      </c>
      <c r="X329" s="23">
        <f>SHADOW(X319,INDEX(Data_Prices!X:X,MATCH($G329,Data_Prices!$A:$A,0)),X$340)</f>
        <v>18.944397765557106</v>
      </c>
      <c r="Y329" s="23">
        <f>SHADOW(Y319,INDEX(Data_Prices!Y:Y,MATCH($G329,Data_Prices!$A:$A,0)),Y$340)</f>
        <v>20.194397765557106</v>
      </c>
      <c r="Z329" s="23">
        <f>SHADOW(Z319,INDEX(Data_Prices!Z:Z,MATCH($G329,Data_Prices!$A:$A,0)),Z$340)</f>
        <v>21.444397765557106</v>
      </c>
      <c r="AA329" s="23">
        <f>SHADOW(AA319,INDEX(Data_Prices!AA:AA,MATCH($G329,Data_Prices!$A:$A,0)),AA$340)</f>
        <v>22.694397765557106</v>
      </c>
      <c r="AB329" s="23">
        <f>SHADOW(AB319,INDEX(Data_Prices!AB:AB,MATCH($G329,Data_Prices!$A:$A,0)),AB$340)</f>
        <v>23.944397765557106</v>
      </c>
      <c r="AC329" s="23">
        <f>SHADOW(AC319,INDEX(Data_Prices!AC:AC,MATCH($G329,Data_Prices!$A:$A,0)),AC$340)</f>
        <v>25.194397765557106</v>
      </c>
      <c r="AD329" s="23">
        <f>SHADOW(AD319,INDEX(Data_Prices!AD:AD,MATCH($G329,Data_Prices!$A:$A,0)),AD$340)</f>
        <v>26.444397765557106</v>
      </c>
      <c r="AE329" s="23">
        <f>SHADOW(AE319,INDEX(Data_Prices!AE:AE,MATCH($G329,Data_Prices!$A:$A,0)),AE$340)</f>
        <v>27.694397765557106</v>
      </c>
    </row>
    <row r="330" spans="2:31" x14ac:dyDescent="0.25">
      <c r="B330" s="17" t="s">
        <v>57</v>
      </c>
      <c r="C330" s="17" t="str">
        <f t="shared" si="32"/>
        <v>cem</v>
      </c>
      <c r="D330" s="18" t="s">
        <v>58</v>
      </c>
      <c r="E330" s="19" t="s">
        <v>55</v>
      </c>
      <c r="F330" s="17" t="s">
        <v>79</v>
      </c>
      <c r="G330" s="20" t="str">
        <f>Settings!$B$3&amp;".mit.shp."&amp;$B330&amp;"."&amp;Settings!$B$4&amp;"."&amp;$J$307</f>
        <v>egy.mit.shp.nga.ind.2</v>
      </c>
      <c r="H330" s="21" t="str">
        <f>OUTCODE(Settings!$B$3,"shp",$C$307,$B330,$J$307)</f>
        <v>egy.mit.shp.cem.nga.e.2</v>
      </c>
      <c r="K330" s="23">
        <f>SHADOW(K320,INDEX(Data_Prices!K:K,MATCH($G330,Data_Prices!$A:$A,0)),K$340)</f>
        <v>6.0634636156729131</v>
      </c>
      <c r="L330" s="23">
        <f>SHADOW(L320,INDEX(Data_Prices!L:L,MATCH($G330,Data_Prices!$A:$A,0)),L$340)</f>
        <v>5.4510150816191896</v>
      </c>
      <c r="M330" s="23">
        <f>SHADOW(M320,INDEX(Data_Prices!M:M,MATCH($G330,Data_Prices!$A:$A,0)),M$340)</f>
        <v>5.1193563062624818</v>
      </c>
      <c r="N330" s="23">
        <f>SHADOW(N320,INDEX(Data_Prices!N:N,MATCH($G330,Data_Prices!$A:$A,0)),N$340)</f>
        <v>5.0821845864040727</v>
      </c>
      <c r="O330" s="23">
        <f>SHADOW(O320,INDEX(Data_Prices!O:O,MATCH($G330,Data_Prices!$A:$A,0)),O$340)</f>
        <v>5.0821845864040727</v>
      </c>
      <c r="P330" s="23">
        <f>SHADOW(P320,INDEX(Data_Prices!P:P,MATCH($G330,Data_Prices!$A:$A,0)),P$340)</f>
        <v>5.0821845864040727</v>
      </c>
      <c r="Q330" s="23">
        <f>SHADOW(Q320,INDEX(Data_Prices!Q:Q,MATCH($G330,Data_Prices!$A:$A,0)),Q$340)</f>
        <v>5.7796845864040725</v>
      </c>
      <c r="R330" s="23">
        <f>SHADOW(R320,INDEX(Data_Prices!R:R,MATCH($G330,Data_Prices!$A:$A,0)),R$340)</f>
        <v>6.4771845864040731</v>
      </c>
      <c r="S330" s="23">
        <f>SHADOW(S320,INDEX(Data_Prices!S:S,MATCH($G330,Data_Prices!$A:$A,0)),S$340)</f>
        <v>7.1746845864040729</v>
      </c>
      <c r="T330" s="23">
        <f>SHADOW(T320,INDEX(Data_Prices!T:T,MATCH($G330,Data_Prices!$A:$A,0)),T$340)</f>
        <v>7.8721845864040736</v>
      </c>
      <c r="U330" s="23">
        <f>SHADOW(U320,INDEX(Data_Prices!U:U,MATCH($G330,Data_Prices!$A:$A,0)),U$340)</f>
        <v>8.5696845864040725</v>
      </c>
      <c r="V330" s="23">
        <f>SHADOW(V320,INDEX(Data_Prices!V:V,MATCH($G330,Data_Prices!$A:$A,0)),V$340)</f>
        <v>9.2671845864040723</v>
      </c>
      <c r="W330" s="23">
        <f>SHADOW(W320,INDEX(Data_Prices!W:W,MATCH($G330,Data_Prices!$A:$A,0)),W$340)</f>
        <v>9.9646845864040721</v>
      </c>
      <c r="X330" s="23">
        <f>SHADOW(X320,INDEX(Data_Prices!X:X,MATCH($G330,Data_Prices!$A:$A,0)),X$340)</f>
        <v>10.662184586404072</v>
      </c>
      <c r="Y330" s="23">
        <f>SHADOW(Y320,INDEX(Data_Prices!Y:Y,MATCH($G330,Data_Prices!$A:$A,0)),Y$340)</f>
        <v>11.359684586404072</v>
      </c>
      <c r="Z330" s="23">
        <f>SHADOW(Z320,INDEX(Data_Prices!Z:Z,MATCH($G330,Data_Prices!$A:$A,0)),Z$340)</f>
        <v>12.057184586404073</v>
      </c>
      <c r="AA330" s="23">
        <f>SHADOW(AA320,INDEX(Data_Prices!AA:AA,MATCH($G330,Data_Prices!$A:$A,0)),AA$340)</f>
        <v>12.754684586404071</v>
      </c>
      <c r="AB330" s="23">
        <f>SHADOW(AB320,INDEX(Data_Prices!AB:AB,MATCH($G330,Data_Prices!$A:$A,0)),AB$340)</f>
        <v>13.452184586404073</v>
      </c>
      <c r="AC330" s="23">
        <f>SHADOW(AC320,INDEX(Data_Prices!AC:AC,MATCH($G330,Data_Prices!$A:$A,0)),AC$340)</f>
        <v>14.149684586404071</v>
      </c>
      <c r="AD330" s="23">
        <f>SHADOW(AD320,INDEX(Data_Prices!AD:AD,MATCH($G330,Data_Prices!$A:$A,0)),AD$340)</f>
        <v>14.847184586404072</v>
      </c>
      <c r="AE330" s="23">
        <f>SHADOW(AE320,INDEX(Data_Prices!AE:AE,MATCH($G330,Data_Prices!$A:$A,0)),AE$340)</f>
        <v>15.544684586404072</v>
      </c>
    </row>
    <row r="331" spans="2:31" x14ac:dyDescent="0.25">
      <c r="B331" s="17" t="s">
        <v>59</v>
      </c>
      <c r="C331" s="17" t="str">
        <f t="shared" si="32"/>
        <v>cem</v>
      </c>
      <c r="D331" s="18" t="s">
        <v>60</v>
      </c>
      <c r="E331" s="19" t="s">
        <v>61</v>
      </c>
      <c r="F331" s="17" t="s">
        <v>79</v>
      </c>
      <c r="G331" s="20" t="str">
        <f>Settings!$B$3&amp;".mit.shp."&amp;$B331&amp;"."&amp;Settings!$B$4&amp;"."&amp;$J$307</f>
        <v>egy.mit.shp.gso.ind.2</v>
      </c>
      <c r="H331" s="21" t="str">
        <f>OUTCODE(Settings!$B$3,"shp",$C$307,$B331,$J$307)</f>
        <v>egy.mit.shp.cem.gso.e.2</v>
      </c>
      <c r="K331" s="23">
        <f>SHADOW(K321,INDEX(Data_Prices!K:K,MATCH($G331,Data_Prices!$A:$A,0)),K$340)</f>
        <v>0.67114653332181606</v>
      </c>
      <c r="L331" s="23">
        <f>SHADOW(L321,INDEX(Data_Prices!L:L,MATCH($G331,Data_Prices!$A:$A,0)),L$340)</f>
        <v>0.61197797679140631</v>
      </c>
      <c r="M331" s="23">
        <f>SHADOW(M321,INDEX(Data_Prices!M:M,MATCH($G331,Data_Prices!$A:$A,0)),M$340)</f>
        <v>0.61180974964187596</v>
      </c>
      <c r="N331" s="23">
        <f>SHADOW(N321,INDEX(Data_Prices!N:N,MATCH($G331,Data_Prices!$A:$A,0)),N$340)</f>
        <v>0.60358310017790551</v>
      </c>
      <c r="O331" s="23">
        <f>SHADOW(O321,INDEX(Data_Prices!O:O,MATCH($G331,Data_Prices!$A:$A,0)),O$340)</f>
        <v>0.60358310017790551</v>
      </c>
      <c r="P331" s="23">
        <f>SHADOW(P321,INDEX(Data_Prices!P:P,MATCH($G331,Data_Prices!$A:$A,0)),P$340)</f>
        <v>0.60358310017790551</v>
      </c>
      <c r="Q331" s="23">
        <f>SHADOW(Q321,INDEX(Data_Prices!Q:Q,MATCH($G331,Data_Prices!$A:$A,0)),Q$340)</f>
        <v>0.6325109433494055</v>
      </c>
      <c r="R331" s="23">
        <f>SHADOW(R321,INDEX(Data_Prices!R:R,MATCH($G331,Data_Prices!$A:$A,0)),R$340)</f>
        <v>0.66143878652090549</v>
      </c>
      <c r="S331" s="23">
        <f>SHADOW(S321,INDEX(Data_Prices!S:S,MATCH($G331,Data_Prices!$A:$A,0)),S$340)</f>
        <v>0.69036662969240548</v>
      </c>
      <c r="T331" s="23">
        <f>SHADOW(T321,INDEX(Data_Prices!T:T,MATCH($G331,Data_Prices!$A:$A,0)),T$340)</f>
        <v>0.71929447286390547</v>
      </c>
      <c r="U331" s="23">
        <f>SHADOW(U321,INDEX(Data_Prices!U:U,MATCH($G331,Data_Prices!$A:$A,0)),U$340)</f>
        <v>0.74822231603540557</v>
      </c>
      <c r="V331" s="23">
        <f>SHADOW(V321,INDEX(Data_Prices!V:V,MATCH($G331,Data_Prices!$A:$A,0)),V$340)</f>
        <v>0.77715015920690544</v>
      </c>
      <c r="W331" s="23">
        <f>SHADOW(W321,INDEX(Data_Prices!W:W,MATCH($G331,Data_Prices!$A:$A,0)),W$340)</f>
        <v>0.80607800237840554</v>
      </c>
      <c r="X331" s="23">
        <f>SHADOW(X321,INDEX(Data_Prices!X:X,MATCH($G331,Data_Prices!$A:$A,0)),X$340)</f>
        <v>0.83500584554990553</v>
      </c>
      <c r="Y331" s="23">
        <f>SHADOW(Y321,INDEX(Data_Prices!Y:Y,MATCH($G331,Data_Prices!$A:$A,0)),Y$340)</f>
        <v>0.86393368872140552</v>
      </c>
      <c r="Z331" s="23">
        <f>SHADOW(Z321,INDEX(Data_Prices!Z:Z,MATCH($G331,Data_Prices!$A:$A,0)),Z$340)</f>
        <v>0.89286153189290551</v>
      </c>
      <c r="AA331" s="23">
        <f>SHADOW(AA321,INDEX(Data_Prices!AA:AA,MATCH($G331,Data_Prices!$A:$A,0)),AA$340)</f>
        <v>0.92178937506440561</v>
      </c>
      <c r="AB331" s="23">
        <f>SHADOW(AB321,INDEX(Data_Prices!AB:AB,MATCH($G331,Data_Prices!$A:$A,0)),AB$340)</f>
        <v>0.95071721823590549</v>
      </c>
      <c r="AC331" s="23">
        <f>SHADOW(AC321,INDEX(Data_Prices!AC:AC,MATCH($G331,Data_Prices!$A:$A,0)),AC$340)</f>
        <v>0.97964506140740548</v>
      </c>
      <c r="AD331" s="23">
        <f>SHADOW(AD321,INDEX(Data_Prices!AD:AD,MATCH($G331,Data_Prices!$A:$A,0)),AD$340)</f>
        <v>1.0085729045789056</v>
      </c>
      <c r="AE331" s="23">
        <f>SHADOW(AE321,INDEX(Data_Prices!AE:AE,MATCH($G331,Data_Prices!$A:$A,0)),AE$340)</f>
        <v>1.0375007477504057</v>
      </c>
    </row>
    <row r="332" spans="2:31" x14ac:dyDescent="0.25">
      <c r="B332" s="17" t="s">
        <v>62</v>
      </c>
      <c r="C332" s="17" t="str">
        <f t="shared" si="32"/>
        <v>cem</v>
      </c>
      <c r="D332" s="18" t="s">
        <v>63</v>
      </c>
      <c r="E332" s="19" t="s">
        <v>61</v>
      </c>
      <c r="F332" s="17" t="s">
        <v>79</v>
      </c>
      <c r="G332" s="20" t="str">
        <f>Settings!$B$3&amp;".mit.shp."&amp;$B332&amp;"."&amp;Settings!$B$4&amp;"."&amp;$J$307</f>
        <v>egy.mit.shp.die.ind.2</v>
      </c>
      <c r="H332" s="21" t="str">
        <f>OUTCODE(Settings!$B$3,"shp",$C$307,$B332,$J$307)</f>
        <v>egy.mit.shp.cem.die.e.2</v>
      </c>
      <c r="K332" s="23">
        <f>SHADOW(K322,INDEX(Data_Prices!K:K,MATCH($G332,Data_Prices!$A:$A,0)),K$340)</f>
        <v>0.55971121315568761</v>
      </c>
      <c r="L332" s="23">
        <f>SHADOW(L322,INDEX(Data_Prices!L:L,MATCH($G332,Data_Prices!$A:$A,0)),L$340)</f>
        <v>0.49458873084106802</v>
      </c>
      <c r="M332" s="23">
        <f>SHADOW(M322,INDEX(Data_Prices!M:M,MATCH($G332,Data_Prices!$A:$A,0)),M$340)</f>
        <v>0.50778654720250049</v>
      </c>
      <c r="N332" s="23">
        <f>SHADOW(N322,INDEX(Data_Prices!N:N,MATCH($G332,Data_Prices!$A:$A,0)),N$340)</f>
        <v>0.47043642679561742</v>
      </c>
      <c r="O332" s="23">
        <f>SHADOW(O322,INDEX(Data_Prices!O:O,MATCH($G332,Data_Prices!$A:$A,0)),O$340)</f>
        <v>0.47043642679561742</v>
      </c>
      <c r="P332" s="23">
        <f>SHADOW(P322,INDEX(Data_Prices!P:P,MATCH($G332,Data_Prices!$A:$A,0)),P$340)</f>
        <v>0.47043642679561742</v>
      </c>
      <c r="Q332" s="23">
        <f>SHADOW(Q322,INDEX(Data_Prices!Q:Q,MATCH($G332,Data_Prices!$A:$A,0)),Q$340)</f>
        <v>0.50344686565449237</v>
      </c>
      <c r="R332" s="23">
        <f>SHADOW(R322,INDEX(Data_Prices!R:R,MATCH($G332,Data_Prices!$A:$A,0)),R$340)</f>
        <v>0.53645730451336737</v>
      </c>
      <c r="S332" s="23">
        <f>SHADOW(S322,INDEX(Data_Prices!S:S,MATCH($G332,Data_Prices!$A:$A,0)),S$340)</f>
        <v>0.56946774337224249</v>
      </c>
      <c r="T332" s="23">
        <f>SHADOW(T322,INDEX(Data_Prices!T:T,MATCH($G332,Data_Prices!$A:$A,0)),T$340)</f>
        <v>0.60247818223111738</v>
      </c>
      <c r="U332" s="23">
        <f>SHADOW(U322,INDEX(Data_Prices!U:U,MATCH($G332,Data_Prices!$A:$A,0)),U$340)</f>
        <v>0.63548862108999238</v>
      </c>
      <c r="V332" s="23">
        <f>SHADOW(V322,INDEX(Data_Prices!V:V,MATCH($G332,Data_Prices!$A:$A,0)),V$340)</f>
        <v>0.66849905994886738</v>
      </c>
      <c r="W332" s="23">
        <f>SHADOW(W322,INDEX(Data_Prices!W:W,MATCH($G332,Data_Prices!$A:$A,0)),W$340)</f>
        <v>0.70150949880774238</v>
      </c>
      <c r="X332" s="23">
        <f>SHADOW(X322,INDEX(Data_Prices!X:X,MATCH($G332,Data_Prices!$A:$A,0)),X$340)</f>
        <v>0.73451993766661738</v>
      </c>
      <c r="Y332" s="23">
        <f>SHADOW(Y322,INDEX(Data_Prices!Y:Y,MATCH($G332,Data_Prices!$A:$A,0)),Y$340)</f>
        <v>0.76753037652549239</v>
      </c>
      <c r="Z332" s="23">
        <f>SHADOW(Z322,INDEX(Data_Prices!Z:Z,MATCH($G332,Data_Prices!$A:$A,0)),Z$340)</f>
        <v>0.80054081538436739</v>
      </c>
      <c r="AA332" s="23">
        <f>SHADOW(AA322,INDEX(Data_Prices!AA:AA,MATCH($G332,Data_Prices!$A:$A,0)),AA$340)</f>
        <v>0.83355125424324239</v>
      </c>
      <c r="AB332" s="23">
        <f>SHADOW(AB322,INDEX(Data_Prices!AB:AB,MATCH($G332,Data_Prices!$A:$A,0)),AB$340)</f>
        <v>0.86656169310211739</v>
      </c>
      <c r="AC332" s="23">
        <f>SHADOW(AC322,INDEX(Data_Prices!AC:AC,MATCH($G332,Data_Prices!$A:$A,0)),AC$340)</f>
        <v>0.89957213196099239</v>
      </c>
      <c r="AD332" s="23">
        <f>SHADOW(AD322,INDEX(Data_Prices!AD:AD,MATCH($G332,Data_Prices!$A:$A,0)),AD$340)</f>
        <v>0.9325825708198674</v>
      </c>
      <c r="AE332" s="23">
        <f>SHADOW(AE322,INDEX(Data_Prices!AE:AE,MATCH($G332,Data_Prices!$A:$A,0)),AE$340)</f>
        <v>0.9655930096787424</v>
      </c>
    </row>
    <row r="333" spans="2:31" x14ac:dyDescent="0.25">
      <c r="B333" s="17" t="s">
        <v>64</v>
      </c>
      <c r="C333" s="17" t="str">
        <f t="shared" si="32"/>
        <v>cem</v>
      </c>
      <c r="D333" s="18" t="s">
        <v>65</v>
      </c>
      <c r="E333" s="19" t="s">
        <v>61</v>
      </c>
      <c r="F333" s="17" t="s">
        <v>79</v>
      </c>
      <c r="G333" s="20" t="str">
        <f>Settings!$B$3&amp;".mit.shp."&amp;$B333&amp;"."&amp;Settings!$B$4&amp;"."&amp;$J$307</f>
        <v>egy.mit.shp.lpg.ind.2</v>
      </c>
      <c r="H333" s="21" t="str">
        <f>OUTCODE(Settings!$B$3,"shp",$C$307,$B333,$J$307)</f>
        <v>egy.mit.shp.cem.lpg.e.2</v>
      </c>
      <c r="K333" s="23">
        <f>SHADOW(K323,INDEX(Data_Prices!K:K,MATCH($G333,Data_Prices!$A:$A,0)),K$340)</f>
        <v>0.20036669112673841</v>
      </c>
      <c r="L333" s="23">
        <f>SHADOW(L323,INDEX(Data_Prices!L:L,MATCH($G333,Data_Prices!$A:$A,0)),L$340)</f>
        <v>0.1573447362522738</v>
      </c>
      <c r="M333" s="23">
        <f>SHADOW(M323,INDEX(Data_Prices!M:M,MATCH($G333,Data_Prices!$A:$A,0)),M$340)</f>
        <v>0.1644840377592767</v>
      </c>
      <c r="N333" s="23">
        <f>SHADOW(N323,INDEX(Data_Prices!N:N,MATCH($G333,Data_Prices!$A:$A,0)),N$340)</f>
        <v>0.1507090778070489</v>
      </c>
      <c r="O333" s="23">
        <f>SHADOW(O323,INDEX(Data_Prices!O:O,MATCH($G333,Data_Prices!$A:$A,0)),O$340)</f>
        <v>0.1507090778070489</v>
      </c>
      <c r="P333" s="23">
        <f>SHADOW(P323,INDEX(Data_Prices!P:P,MATCH($G333,Data_Prices!$A:$A,0)),P$340)</f>
        <v>0.1507090778070489</v>
      </c>
      <c r="Q333" s="23">
        <f>SHADOW(Q323,INDEX(Data_Prices!Q:Q,MATCH($G333,Data_Prices!$A:$A,0)),Q$340)</f>
        <v>0.17281516073434458</v>
      </c>
      <c r="R333" s="23">
        <f>SHADOW(R323,INDEX(Data_Prices!R:R,MATCH($G333,Data_Prices!$A:$A,0)),R$340)</f>
        <v>0.19492124366164029</v>
      </c>
      <c r="S333" s="23">
        <f>SHADOW(S323,INDEX(Data_Prices!S:S,MATCH($G333,Data_Prices!$A:$A,0)),S$340)</f>
        <v>0.21702732658893598</v>
      </c>
      <c r="T333" s="23">
        <f>SHADOW(T323,INDEX(Data_Prices!T:T,MATCH($G333,Data_Prices!$A:$A,0)),T$340)</f>
        <v>0.23913340951623169</v>
      </c>
      <c r="U333" s="23">
        <f>SHADOW(U323,INDEX(Data_Prices!U:U,MATCH($G333,Data_Prices!$A:$A,0)),U$340)</f>
        <v>0.2612394924435274</v>
      </c>
      <c r="V333" s="23">
        <f>SHADOW(V323,INDEX(Data_Prices!V:V,MATCH($G333,Data_Prices!$A:$A,0)),V$340)</f>
        <v>0.28334557537082311</v>
      </c>
      <c r="W333" s="23">
        <f>SHADOW(W323,INDEX(Data_Prices!W:W,MATCH($G333,Data_Prices!$A:$A,0)),W$340)</f>
        <v>0.30545165829811882</v>
      </c>
      <c r="X333" s="23">
        <f>SHADOW(X323,INDEX(Data_Prices!X:X,MATCH($G333,Data_Prices!$A:$A,0)),X$340)</f>
        <v>0.32755774122541448</v>
      </c>
      <c r="Y333" s="23">
        <f>SHADOW(Y323,INDEX(Data_Prices!Y:Y,MATCH($G333,Data_Prices!$A:$A,0)),Y$340)</f>
        <v>0.34966382415271013</v>
      </c>
      <c r="Z333" s="23">
        <f>SHADOW(Z323,INDEX(Data_Prices!Z:Z,MATCH($G333,Data_Prices!$A:$A,0)),Z$340)</f>
        <v>0.37176990708000579</v>
      </c>
      <c r="AA333" s="23">
        <f>SHADOW(AA323,INDEX(Data_Prices!AA:AA,MATCH($G333,Data_Prices!$A:$A,0)),AA$340)</f>
        <v>0.3938759900073015</v>
      </c>
      <c r="AB333" s="23">
        <f>SHADOW(AB323,INDEX(Data_Prices!AB:AB,MATCH($G333,Data_Prices!$A:$A,0)),AB$340)</f>
        <v>0.41598207293459721</v>
      </c>
      <c r="AC333" s="23">
        <f>SHADOW(AC323,INDEX(Data_Prices!AC:AC,MATCH($G333,Data_Prices!$A:$A,0)),AC$340)</f>
        <v>0.43808815586189287</v>
      </c>
      <c r="AD333" s="23">
        <f>SHADOW(AD323,INDEX(Data_Prices!AD:AD,MATCH($G333,Data_Prices!$A:$A,0)),AD$340)</f>
        <v>0.46019423878918858</v>
      </c>
      <c r="AE333" s="23">
        <f>SHADOW(AE323,INDEX(Data_Prices!AE:AE,MATCH($G333,Data_Prices!$A:$A,0)),AE$340)</f>
        <v>0.48230032171648429</v>
      </c>
    </row>
    <row r="334" spans="2:31" x14ac:dyDescent="0.25">
      <c r="B334" s="17" t="s">
        <v>66</v>
      </c>
      <c r="C334" s="17" t="str">
        <f t="shared" si="32"/>
        <v>cem</v>
      </c>
      <c r="D334" s="18" t="s">
        <v>67</v>
      </c>
      <c r="E334" s="19" t="s">
        <v>61</v>
      </c>
      <c r="F334" s="17" t="s">
        <v>79</v>
      </c>
      <c r="G334" s="20" t="str">
        <f>Settings!$B$3&amp;".mit.shp."&amp;$B334&amp;"."&amp;Settings!$B$4&amp;"."&amp;$J$307</f>
        <v>egy.mit.shp.ker.ind.2</v>
      </c>
      <c r="H334" s="21" t="str">
        <f>OUTCODE(Settings!$B$3,"shp",$C$307,$B334,$J$307)</f>
        <v>egy.mit.shp.cem.ker.e.2</v>
      </c>
      <c r="K334" s="23">
        <f>SHADOW(K324,INDEX(Data_Prices!K:K,MATCH($G334,Data_Prices!$A:$A,0)),K$340)</f>
        <v>0.48429424097343482</v>
      </c>
      <c r="L334" s="23">
        <f>SHADOW(L324,INDEX(Data_Prices!L:L,MATCH($G334,Data_Prices!$A:$A,0)),L$340)</f>
        <v>0.45642817050012813</v>
      </c>
      <c r="M334" s="23">
        <f>SHADOW(M324,INDEX(Data_Prices!M:M,MATCH($G334,Data_Prices!$A:$A,0)),M$340)</f>
        <v>0.43168920195599519</v>
      </c>
      <c r="N334" s="23">
        <f>SHADOW(N324,INDEX(Data_Prices!N:N,MATCH($G334,Data_Prices!$A:$A,0)),N$340)</f>
        <v>0.42507558395596989</v>
      </c>
      <c r="O334" s="23">
        <f>SHADOW(O324,INDEX(Data_Prices!O:O,MATCH($G334,Data_Prices!$A:$A,0)),O$340)</f>
        <v>0.42507558395596989</v>
      </c>
      <c r="P334" s="23">
        <f>SHADOW(P324,INDEX(Data_Prices!P:P,MATCH($G334,Data_Prices!$A:$A,0)),P$340)</f>
        <v>0.42507558395596989</v>
      </c>
      <c r="Q334" s="23">
        <f>SHADOW(Q324,INDEX(Data_Prices!Q:Q,MATCH($G334,Data_Prices!$A:$A,0)),Q$340)</f>
        <v>0.45706441406607839</v>
      </c>
      <c r="R334" s="23">
        <f>SHADOW(R324,INDEX(Data_Prices!R:R,MATCH($G334,Data_Prices!$A:$A,0)),R$340)</f>
        <v>0.4890532441761869</v>
      </c>
      <c r="S334" s="23">
        <f>SHADOW(S324,INDEX(Data_Prices!S:S,MATCH($G334,Data_Prices!$A:$A,0)),S$340)</f>
        <v>0.52104207428629545</v>
      </c>
      <c r="T334" s="23">
        <f>SHADOW(T324,INDEX(Data_Prices!T:T,MATCH($G334,Data_Prices!$A:$A,0)),T$340)</f>
        <v>0.5530309043964039</v>
      </c>
      <c r="U334" s="23">
        <f>SHADOW(U324,INDEX(Data_Prices!U:U,MATCH($G334,Data_Prices!$A:$A,0)),U$340)</f>
        <v>0.58501973450651246</v>
      </c>
      <c r="V334" s="23">
        <f>SHADOW(V324,INDEX(Data_Prices!V:V,MATCH($G334,Data_Prices!$A:$A,0)),V$340)</f>
        <v>0.6170085646166209</v>
      </c>
      <c r="W334" s="23">
        <f>SHADOW(W324,INDEX(Data_Prices!W:W,MATCH($G334,Data_Prices!$A:$A,0)),W$340)</f>
        <v>0.64899739472672935</v>
      </c>
      <c r="X334" s="23">
        <f>SHADOW(X324,INDEX(Data_Prices!X:X,MATCH($G334,Data_Prices!$A:$A,0)),X$340)</f>
        <v>0.68098622483683791</v>
      </c>
      <c r="Y334" s="23">
        <f>SHADOW(Y324,INDEX(Data_Prices!Y:Y,MATCH($G334,Data_Prices!$A:$A,0)),Y$340)</f>
        <v>0.71297505494694646</v>
      </c>
      <c r="Z334" s="23">
        <f>SHADOW(Z324,INDEX(Data_Prices!Z:Z,MATCH($G334,Data_Prices!$A:$A,0)),Z$340)</f>
        <v>0.7449638850570548</v>
      </c>
      <c r="AA334" s="23">
        <f>SHADOW(AA324,INDEX(Data_Prices!AA:AA,MATCH($G334,Data_Prices!$A:$A,0)),AA$340)</f>
        <v>0.77695271516716335</v>
      </c>
      <c r="AB334" s="23">
        <f>SHADOW(AB324,INDEX(Data_Prices!AB:AB,MATCH($G334,Data_Prices!$A:$A,0)),AB$340)</f>
        <v>0.80894154527727191</v>
      </c>
      <c r="AC334" s="23">
        <f>SHADOW(AC324,INDEX(Data_Prices!AC:AC,MATCH($G334,Data_Prices!$A:$A,0)),AC$340)</f>
        <v>0.84093037538738025</v>
      </c>
      <c r="AD334" s="23">
        <f>SHADOW(AD324,INDEX(Data_Prices!AD:AD,MATCH($G334,Data_Prices!$A:$A,0)),AD$340)</f>
        <v>0.8729192054974888</v>
      </c>
      <c r="AE334" s="23">
        <f>SHADOW(AE324,INDEX(Data_Prices!AE:AE,MATCH($G334,Data_Prices!$A:$A,0)),AE$340)</f>
        <v>0.90490803560759736</v>
      </c>
    </row>
    <row r="335" spans="2:31" x14ac:dyDescent="0.25">
      <c r="B335" s="17" t="s">
        <v>68</v>
      </c>
      <c r="C335" s="17" t="str">
        <f t="shared" si="32"/>
        <v>cem</v>
      </c>
      <c r="D335" s="18" t="s">
        <v>69</v>
      </c>
      <c r="E335" s="19" t="s">
        <v>70</v>
      </c>
      <c r="F335" s="17" t="s">
        <v>79</v>
      </c>
      <c r="G335" s="20" t="str">
        <f>Settings!$B$3&amp;".mit.shp."&amp;$B335&amp;"."&amp;Settings!$B$4&amp;"."&amp;$J$307</f>
        <v>egy.mit.shp.oop.ind.2</v>
      </c>
      <c r="H335" s="21" t="str">
        <f>OUTCODE(Settings!$B$3,"shp",$C$307,$B335,$J$307)</f>
        <v>egy.mit.shp.cem.oop.e.2</v>
      </c>
      <c r="K335" s="23">
        <f>SHADOW(K325,INDEX(Data_Prices!K:K,MATCH($G335,Data_Prices!$A:$A,0)),K$340)</f>
        <v>41.50033849886843</v>
      </c>
      <c r="L335" s="23">
        <f>SHADOW(L325,INDEX(Data_Prices!L:L,MATCH($G335,Data_Prices!$A:$A,0)),L$340)</f>
        <v>34.415370304313228</v>
      </c>
      <c r="M335" s="23">
        <f>SHADOW(M325,INDEX(Data_Prices!M:M,MATCH($G335,Data_Prices!$A:$A,0)),M$340)</f>
        <v>37.368960690432033</v>
      </c>
      <c r="N335" s="23">
        <f>SHADOW(N325,INDEX(Data_Prices!N:N,MATCH($G335,Data_Prices!$A:$A,0)),N$340)</f>
        <v>28.982761101477251</v>
      </c>
      <c r="O335" s="23">
        <f>SHADOW(O325,INDEX(Data_Prices!O:O,MATCH($G335,Data_Prices!$A:$A,0)),O$340)</f>
        <v>15</v>
      </c>
      <c r="P335" s="23">
        <f>SHADOW(P325,INDEX(Data_Prices!P:P,MATCH($G335,Data_Prices!$A:$A,0)),P$340)</f>
        <v>24.2586300842555</v>
      </c>
      <c r="Q335" s="23">
        <f>SHADOW(Q325,INDEX(Data_Prices!Q:Q,MATCH($G335,Data_Prices!$A:$A,0)),Q$340)</f>
        <v>18.963758196132449</v>
      </c>
      <c r="R335" s="23">
        <f>SHADOW(R325,INDEX(Data_Prices!R:R,MATCH($G335,Data_Prices!$A:$A,0)),R$340)</f>
        <v>21.76034511401058</v>
      </c>
      <c r="S335" s="23">
        <f>SHADOW(S325,INDEX(Data_Prices!S:S,MATCH($G335,Data_Prices!$A:$A,0)),S$340)</f>
        <v>26.079880691373617</v>
      </c>
      <c r="T335" s="23">
        <f>SHADOW(T325,INDEX(Data_Prices!T:T,MATCH($G335,Data_Prices!$A:$A,0)),T$340)</f>
        <v>30.593682445209222</v>
      </c>
      <c r="U335" s="23">
        <f>SHADOW(U325,INDEX(Data_Prices!U:U,MATCH($G335,Data_Prices!$A:$A,0)),U$340)</f>
        <v>34.990509739410058</v>
      </c>
      <c r="V335" s="23">
        <f>SHADOW(V325,INDEX(Data_Prices!V:V,MATCH($G335,Data_Prices!$A:$A,0)),V$340)</f>
        <v>40.858059739410059</v>
      </c>
      <c r="W335" s="23">
        <f>SHADOW(W325,INDEX(Data_Prices!W:W,MATCH($G335,Data_Prices!$A:$A,0)),W$340)</f>
        <v>46.725609739410061</v>
      </c>
      <c r="X335" s="23">
        <f>SHADOW(X325,INDEX(Data_Prices!X:X,MATCH($G335,Data_Prices!$A:$A,0)),X$340)</f>
        <v>52.593159739410055</v>
      </c>
      <c r="Y335" s="23">
        <f>SHADOW(Y325,INDEX(Data_Prices!Y:Y,MATCH($G335,Data_Prices!$A:$A,0)),Y$340)</f>
        <v>58.460709739410071</v>
      </c>
      <c r="Z335" s="23">
        <f>SHADOW(Z325,INDEX(Data_Prices!Z:Z,MATCH($G335,Data_Prices!$A:$A,0)),Z$340)</f>
        <v>64.328259739410072</v>
      </c>
      <c r="AA335" s="23">
        <f>SHADOW(AA325,INDEX(Data_Prices!AA:AA,MATCH($G335,Data_Prices!$A:$A,0)),AA$340)</f>
        <v>70.195809739410066</v>
      </c>
      <c r="AB335" s="23">
        <f>SHADOW(AB325,INDEX(Data_Prices!AB:AB,MATCH($G335,Data_Prices!$A:$A,0)),AB$340)</f>
        <v>76.06335973941006</v>
      </c>
      <c r="AC335" s="23">
        <f>SHADOW(AC325,INDEX(Data_Prices!AC:AC,MATCH($G335,Data_Prices!$A:$A,0)),AC$340)</f>
        <v>81.930909739410055</v>
      </c>
      <c r="AD335" s="23">
        <f>SHADOW(AD325,INDEX(Data_Prices!AD:AD,MATCH($G335,Data_Prices!$A:$A,0)),AD$340)</f>
        <v>87.798459739410063</v>
      </c>
      <c r="AE335" s="23">
        <f>SHADOW(AE325,INDEX(Data_Prices!AE:AE,MATCH($G335,Data_Prices!$A:$A,0)),AE$340)</f>
        <v>93.666009739410057</v>
      </c>
    </row>
    <row r="336" spans="2:31" x14ac:dyDescent="0.25">
      <c r="B336" s="17" t="s">
        <v>71</v>
      </c>
      <c r="C336" s="17" t="str">
        <f t="shared" si="32"/>
        <v>cem</v>
      </c>
      <c r="D336" s="18" t="s">
        <v>72</v>
      </c>
      <c r="E336" s="19" t="s">
        <v>55</v>
      </c>
      <c r="F336" s="17" t="s">
        <v>79</v>
      </c>
      <c r="G336" s="20" t="str">
        <f>Settings!$B$3&amp;".mit.shp."&amp;$B336&amp;"."&amp;Settings!$B$4&amp;"."&amp;$J$307</f>
        <v>egy.mit.shp.bio.ind.2</v>
      </c>
      <c r="H336" s="21" t="str">
        <f>OUTCODE(Settings!$B$3,"shp",$C$307,$B336,$J$307)</f>
        <v>egy.mit.shp.cem.bio.e.2</v>
      </c>
      <c r="K336" s="23">
        <f>SHADOW(K326,INDEX(Data_Prices!K:K,MATCH($G336,Data_Prices!$A:$A,0)),K$340)</f>
        <v>15.33455052931693</v>
      </c>
      <c r="L336" s="23">
        <f>SHADOW(L326,INDEX(Data_Prices!L:L,MATCH($G336,Data_Prices!$A:$A,0)),L$340)</f>
        <v>14.199528390634921</v>
      </c>
      <c r="M336" s="23">
        <f>SHADOW(M326,INDEX(Data_Prices!M:M,MATCH($G336,Data_Prices!$A:$A,0)),M$340)</f>
        <v>13.840441613315161</v>
      </c>
      <c r="N336" s="23">
        <f>SHADOW(N326,INDEX(Data_Prices!N:N,MATCH($G336,Data_Prices!$A:$A,0)),N$340)</f>
        <v>13.5677269404465</v>
      </c>
      <c r="O336" s="23">
        <f>SHADOW(O326,INDEX(Data_Prices!O:O,MATCH($G336,Data_Prices!$A:$A,0)),O$340)</f>
        <v>13.5677269404465</v>
      </c>
      <c r="P336" s="23">
        <f>SHADOW(P326,INDEX(Data_Prices!P:P,MATCH($G336,Data_Prices!$A:$A,0)),P$340)</f>
        <v>13.5677269404465</v>
      </c>
      <c r="Q336" s="23">
        <f>SHADOW(Q326,INDEX(Data_Prices!Q:Q,MATCH($G336,Data_Prices!$A:$A,0)),Q$340)</f>
        <v>13.5677269404465</v>
      </c>
      <c r="R336" s="23">
        <f>SHADOW(R326,INDEX(Data_Prices!R:R,MATCH($G336,Data_Prices!$A:$A,0)),R$340)</f>
        <v>13.5677269404465</v>
      </c>
      <c r="S336" s="23">
        <f>SHADOW(S326,INDEX(Data_Prices!S:S,MATCH($G336,Data_Prices!$A:$A,0)),S$340)</f>
        <v>13.5677269404465</v>
      </c>
      <c r="T336" s="23">
        <f>SHADOW(T326,INDEX(Data_Prices!T:T,MATCH($G336,Data_Prices!$A:$A,0)),T$340)</f>
        <v>13.5677269404465</v>
      </c>
      <c r="U336" s="23">
        <f>SHADOW(U326,INDEX(Data_Prices!U:U,MATCH($G336,Data_Prices!$A:$A,0)),U$340)</f>
        <v>13.5677269404465</v>
      </c>
      <c r="V336" s="23">
        <f>SHADOW(V326,INDEX(Data_Prices!V:V,MATCH($G336,Data_Prices!$A:$A,0)),V$340)</f>
        <v>13.5677269404465</v>
      </c>
      <c r="W336" s="23">
        <f>SHADOW(W326,INDEX(Data_Prices!W:W,MATCH($G336,Data_Prices!$A:$A,0)),W$340)</f>
        <v>13.5677269404465</v>
      </c>
      <c r="X336" s="23">
        <f>SHADOW(X326,INDEX(Data_Prices!X:X,MATCH($G336,Data_Prices!$A:$A,0)),X$340)</f>
        <v>13.5677269404465</v>
      </c>
      <c r="Y336" s="23">
        <f>SHADOW(Y326,INDEX(Data_Prices!Y:Y,MATCH($G336,Data_Prices!$A:$A,0)),Y$340)</f>
        <v>13.5677269404465</v>
      </c>
      <c r="Z336" s="23">
        <f>SHADOW(Z326,INDEX(Data_Prices!Z:Z,MATCH($G336,Data_Prices!$A:$A,0)),Z$340)</f>
        <v>13.5677269404465</v>
      </c>
      <c r="AA336" s="23">
        <f>SHADOW(AA326,INDEX(Data_Prices!AA:AA,MATCH($G336,Data_Prices!$A:$A,0)),AA$340)</f>
        <v>13.5677269404465</v>
      </c>
      <c r="AB336" s="23">
        <f>SHADOW(AB326,INDEX(Data_Prices!AB:AB,MATCH($G336,Data_Prices!$A:$A,0)),AB$340)</f>
        <v>13.5677269404465</v>
      </c>
      <c r="AC336" s="23">
        <f>SHADOW(AC326,INDEX(Data_Prices!AC:AC,MATCH($G336,Data_Prices!$A:$A,0)),AC$340)</f>
        <v>13.5677269404465</v>
      </c>
      <c r="AD336" s="23">
        <f>SHADOW(AD326,INDEX(Data_Prices!AD:AD,MATCH($G336,Data_Prices!$A:$A,0)),AD$340)</f>
        <v>13.5677269404465</v>
      </c>
      <c r="AE336" s="23">
        <f>SHADOW(AE326,INDEX(Data_Prices!AE:AE,MATCH($G336,Data_Prices!$A:$A,0)),AE$340)</f>
        <v>13.5677269404465</v>
      </c>
    </row>
    <row r="337" spans="2:31" x14ac:dyDescent="0.25">
      <c r="B337" s="17" t="s">
        <v>73</v>
      </c>
      <c r="C337" s="17" t="str">
        <f t="shared" si="32"/>
        <v>cem</v>
      </c>
      <c r="D337" s="18" t="s">
        <v>74</v>
      </c>
      <c r="E337" s="19" t="s">
        <v>75</v>
      </c>
      <c r="F337" s="17" t="s">
        <v>79</v>
      </c>
      <c r="G337" s="20" t="str">
        <f>Settings!$B$3&amp;".mit.shp."&amp;$B337&amp;"."&amp;Settings!$B$4&amp;"."&amp;$J$307</f>
        <v>egy.mit.shp.ren.ind.2</v>
      </c>
      <c r="H337" s="21" t="str">
        <f>OUTCODE(Settings!$B$3,"shp",$C$307,$B337,$J$307)</f>
        <v>egy.mit.shp.cem.ren.e.2</v>
      </c>
      <c r="K337" s="23">
        <f>SHADOW(K327,INDEX(Data_Prices!K:K,MATCH($G337,Data_Prices!$A:$A,0)),K$340)</f>
        <v>0</v>
      </c>
      <c r="L337" s="23">
        <f>SHADOW(L327,INDEX(Data_Prices!L:L,MATCH($G337,Data_Prices!$A:$A,0)),L$340)</f>
        <v>0.14404498679319799</v>
      </c>
      <c r="M337" s="23">
        <f>SHADOW(M327,INDEX(Data_Prices!M:M,MATCH($G337,Data_Prices!$A:$A,0)),M$340)</f>
        <v>0.14138624175135939</v>
      </c>
      <c r="N337" s="23">
        <f>SHADOW(N327,INDEX(Data_Prices!N:N,MATCH($G337,Data_Prices!$A:$A,0)),N$340)</f>
        <v>0.1353975654437313</v>
      </c>
      <c r="O337" s="23">
        <f>SHADOW(O327,INDEX(Data_Prices!O:O,MATCH($G337,Data_Prices!$A:$A,0)),O$340)</f>
        <v>0.13152288542065141</v>
      </c>
      <c r="P337" s="23">
        <f>SHADOW(P327,INDEX(Data_Prices!P:P,MATCH($G337,Data_Prices!$A:$A,0)),P$340)</f>
        <v>0.12882610848523129</v>
      </c>
      <c r="Q337" s="23">
        <f>SHADOW(Q327,INDEX(Data_Prices!Q:Q,MATCH($G337,Data_Prices!$A:$A,0)),Q$340)</f>
        <v>0.1259420097647401</v>
      </c>
      <c r="R337" s="23">
        <f>SHADOW(R327,INDEX(Data_Prices!R:R,MATCH($G337,Data_Prices!$A:$A,0)),R$340)</f>
        <v>0.1231132657018609</v>
      </c>
      <c r="S337" s="23">
        <f>SHADOW(S327,INDEX(Data_Prices!S:S,MATCH($G337,Data_Prices!$A:$A,0)),S$340)</f>
        <v>0.1193917380890684</v>
      </c>
      <c r="T337" s="23">
        <f>SHADOW(T327,INDEX(Data_Prices!T:T,MATCH($G337,Data_Prices!$A:$A,0)),T$340)</f>
        <v>0.1155441904679203</v>
      </c>
      <c r="U337" s="23">
        <f>SHADOW(U327,INDEX(Data_Prices!U:U,MATCH($G337,Data_Prices!$A:$A,0)),U$340)</f>
        <v>0.11492423065415899</v>
      </c>
      <c r="V337" s="23">
        <f>SHADOW(V327,INDEX(Data_Prices!V:V,MATCH($G337,Data_Prices!$A:$A,0)),V$340)</f>
        <v>0.11434691211673639</v>
      </c>
      <c r="W337" s="23">
        <f>SHADOW(W327,INDEX(Data_Prices!W:W,MATCH($G337,Data_Prices!$A:$A,0)),W$340)</f>
        <v>0.1137387111726635</v>
      </c>
      <c r="X337" s="23">
        <f>SHADOW(X327,INDEX(Data_Prices!X:X,MATCH($G337,Data_Prices!$A:$A,0)),X$340)</f>
        <v>0.1129999004875214</v>
      </c>
      <c r="Y337" s="23">
        <f>SHADOW(Y327,INDEX(Data_Prices!Y:Y,MATCH($G337,Data_Prices!$A:$A,0)),Y$340)</f>
        <v>0.11217768583553429</v>
      </c>
      <c r="Z337" s="23">
        <f>SHADOW(Z327,INDEX(Data_Prices!Z:Z,MATCH($G337,Data_Prices!$A:$A,0)),Z$340)</f>
        <v>0.1114179032504042</v>
      </c>
      <c r="AA337" s="23">
        <f>SHADOW(AA327,INDEX(Data_Prices!AA:AA,MATCH($G337,Data_Prices!$A:$A,0)),AA$340)</f>
        <v>0.1105258199854538</v>
      </c>
      <c r="AB337" s="23">
        <f>SHADOW(AB327,INDEX(Data_Prices!AB:AB,MATCH($G337,Data_Prices!$A:$A,0)),AB$340)</f>
        <v>0.1096995652348958</v>
      </c>
      <c r="AC337" s="23">
        <f>SHADOW(AC327,INDEX(Data_Prices!AC:AC,MATCH($G337,Data_Prices!$A:$A,0)),AC$340)</f>
        <v>0.1077267889639492</v>
      </c>
      <c r="AD337" s="23">
        <f>SHADOW(AD327,INDEX(Data_Prices!AD:AD,MATCH($G337,Data_Prices!$A:$A,0)),AD$340)</f>
        <v>0.1058209244509353</v>
      </c>
      <c r="AE337" s="23">
        <f>SHADOW(AE327,INDEX(Data_Prices!AE:AE,MATCH($G337,Data_Prices!$A:$A,0)),AE$340)</f>
        <v>0.1038555957057212</v>
      </c>
    </row>
    <row r="338" spans="2:31" x14ac:dyDescent="0.25">
      <c r="B338" s="16" t="s">
        <v>80</v>
      </c>
    </row>
    <row r="339" spans="2:31" x14ac:dyDescent="0.25">
      <c r="B339" s="17" t="s">
        <v>81</v>
      </c>
      <c r="C339" s="17" t="str">
        <f>$C$307</f>
        <v>cem</v>
      </c>
      <c r="D339" s="18" t="s">
        <v>82</v>
      </c>
      <c r="E339" s="19" t="s">
        <v>83</v>
      </c>
      <c r="F339" s="17" t="s">
        <v>84</v>
      </c>
      <c r="G339" s="20" t="str">
        <f>Settings!$B$3&amp;".mit.tcf."&amp;$C$307&amp;"."&amp;$J$307</f>
        <v>egy.mit.tcf.cem.2</v>
      </c>
      <c r="K339" s="23">
        <f>INDEX(Data_Prices!K:K,MATCH($G339,Data_Prices!$A:$A,0))</f>
        <v>0</v>
      </c>
      <c r="L339" s="23">
        <f>INDEX(Data_Prices!L:L,MATCH($G339,Data_Prices!$A:$A,0))</f>
        <v>0</v>
      </c>
      <c r="M339" s="23">
        <f>INDEX(Data_Prices!M:M,MATCH($G339,Data_Prices!$A:$A,0))</f>
        <v>0</v>
      </c>
      <c r="N339" s="23">
        <f>INDEX(Data_Prices!N:N,MATCH($G339,Data_Prices!$A:$A,0))</f>
        <v>0</v>
      </c>
      <c r="O339" s="23">
        <f>INDEX(Data_Prices!O:O,MATCH($G339,Data_Prices!$A:$A,0))</f>
        <v>0</v>
      </c>
      <c r="P339" s="23">
        <f>INDEX(Data_Prices!P:P,MATCH($G339,Data_Prices!$A:$A,0))</f>
        <v>1</v>
      </c>
      <c r="Q339" s="23">
        <f>INDEX(Data_Prices!Q:Q,MATCH($G339,Data_Prices!$A:$A,0))</f>
        <v>1</v>
      </c>
      <c r="R339" s="23">
        <f>INDEX(Data_Prices!R:R,MATCH($G339,Data_Prices!$A:$A,0))</f>
        <v>1</v>
      </c>
      <c r="S339" s="23">
        <f>INDEX(Data_Prices!S:S,MATCH($G339,Data_Prices!$A:$A,0))</f>
        <v>1</v>
      </c>
      <c r="T339" s="23">
        <f>INDEX(Data_Prices!T:T,MATCH($G339,Data_Prices!$A:$A,0))</f>
        <v>1</v>
      </c>
      <c r="U339" s="23">
        <f>INDEX(Data_Prices!U:U,MATCH($G339,Data_Prices!$A:$A,0))</f>
        <v>1</v>
      </c>
      <c r="V339" s="23">
        <f>INDEX(Data_Prices!V:V,MATCH($G339,Data_Prices!$A:$A,0))</f>
        <v>1</v>
      </c>
      <c r="W339" s="23">
        <f>INDEX(Data_Prices!W:W,MATCH($G339,Data_Prices!$A:$A,0))</f>
        <v>1</v>
      </c>
      <c r="X339" s="23">
        <f>INDEX(Data_Prices!X:X,MATCH($G339,Data_Prices!$A:$A,0))</f>
        <v>1</v>
      </c>
      <c r="Y339" s="23">
        <f>INDEX(Data_Prices!Y:Y,MATCH($G339,Data_Prices!$A:$A,0))</f>
        <v>1</v>
      </c>
      <c r="Z339" s="23">
        <f>INDEX(Data_Prices!Z:Z,MATCH($G339,Data_Prices!$A:$A,0))</f>
        <v>1</v>
      </c>
      <c r="AA339" s="23">
        <f>INDEX(Data_Prices!AA:AA,MATCH($G339,Data_Prices!$A:$A,0))</f>
        <v>1</v>
      </c>
      <c r="AB339" s="23">
        <f>INDEX(Data_Prices!AB:AB,MATCH($G339,Data_Prices!$A:$A,0))</f>
        <v>1</v>
      </c>
      <c r="AC339" s="23">
        <f>INDEX(Data_Prices!AC:AC,MATCH($G339,Data_Prices!$A:$A,0))</f>
        <v>1</v>
      </c>
      <c r="AD339" s="23">
        <f>INDEX(Data_Prices!AD:AD,MATCH($G339,Data_Prices!$A:$A,0))</f>
        <v>1</v>
      </c>
      <c r="AE339" s="23">
        <f>INDEX(Data_Prices!AE:AE,MATCH($G339,Data_Prices!$A:$A,0))</f>
        <v>1</v>
      </c>
    </row>
    <row r="340" spans="2:31" x14ac:dyDescent="0.25">
      <c r="B340" s="17" t="s">
        <v>81</v>
      </c>
      <c r="C340" s="17" t="str">
        <f>$C$307</f>
        <v>cem</v>
      </c>
      <c r="D340" s="18" t="s">
        <v>85</v>
      </c>
      <c r="E340" s="19" t="s">
        <v>83</v>
      </c>
      <c r="F340" s="17" t="s">
        <v>86</v>
      </c>
      <c r="G340" s="20" t="str">
        <f>Settings!$B$3&amp;".mit.ssc."&amp;$C$307&amp;"."&amp;$J$307</f>
        <v>egy.mit.ssc.cem.2</v>
      </c>
      <c r="K340" s="23">
        <f>INDEX(Data_Prices!K:K,MATCH($G340,Data_Prices!$A:$A,0))</f>
        <v>0</v>
      </c>
      <c r="L340" s="23">
        <f>INDEX(Data_Prices!L:L,MATCH($G340,Data_Prices!$A:$A,0))</f>
        <v>0</v>
      </c>
      <c r="M340" s="23">
        <f>INDEX(Data_Prices!M:M,MATCH($G340,Data_Prices!$A:$A,0))</f>
        <v>0</v>
      </c>
      <c r="N340" s="23">
        <f>INDEX(Data_Prices!N:N,MATCH($G340,Data_Prices!$A:$A,0))</f>
        <v>0</v>
      </c>
      <c r="O340" s="23">
        <f>INDEX(Data_Prices!O:O,MATCH($G340,Data_Prices!$A:$A,0))</f>
        <v>0</v>
      </c>
      <c r="P340" s="23">
        <f>INDEX(Data_Prices!P:P,MATCH($G340,Data_Prices!$A:$A,0))</f>
        <v>0</v>
      </c>
      <c r="Q340" s="23">
        <f>INDEX(Data_Prices!Q:Q,MATCH($G340,Data_Prices!$A:$A,0))</f>
        <v>0</v>
      </c>
      <c r="R340" s="23">
        <f>INDEX(Data_Prices!R:R,MATCH($G340,Data_Prices!$A:$A,0))</f>
        <v>0</v>
      </c>
      <c r="S340" s="23">
        <f>INDEX(Data_Prices!S:S,MATCH($G340,Data_Prices!$A:$A,0))</f>
        <v>0</v>
      </c>
      <c r="T340" s="23">
        <f>INDEX(Data_Prices!T:T,MATCH($G340,Data_Prices!$A:$A,0))</f>
        <v>0</v>
      </c>
      <c r="U340" s="23">
        <f>INDEX(Data_Prices!U:U,MATCH($G340,Data_Prices!$A:$A,0))</f>
        <v>0</v>
      </c>
      <c r="V340" s="23">
        <f>INDEX(Data_Prices!V:V,MATCH($G340,Data_Prices!$A:$A,0))</f>
        <v>0</v>
      </c>
      <c r="W340" s="23">
        <f>INDEX(Data_Prices!W:W,MATCH($G340,Data_Prices!$A:$A,0))</f>
        <v>0</v>
      </c>
      <c r="X340" s="23">
        <f>INDEX(Data_Prices!X:X,MATCH($G340,Data_Prices!$A:$A,0))</f>
        <v>0</v>
      </c>
      <c r="Y340" s="23">
        <f>INDEX(Data_Prices!Y:Y,MATCH($G340,Data_Prices!$A:$A,0))</f>
        <v>0</v>
      </c>
      <c r="Z340" s="23">
        <f>INDEX(Data_Prices!Z:Z,MATCH($G340,Data_Prices!$A:$A,0))</f>
        <v>0</v>
      </c>
      <c r="AA340" s="23">
        <f>INDEX(Data_Prices!AA:AA,MATCH($G340,Data_Prices!$A:$A,0))</f>
        <v>0</v>
      </c>
      <c r="AB340" s="23">
        <f>INDEX(Data_Prices!AB:AB,MATCH($G340,Data_Prices!$A:$A,0))</f>
        <v>0</v>
      </c>
      <c r="AC340" s="23">
        <f>INDEX(Data_Prices!AC:AC,MATCH($G340,Data_Prices!$A:$A,0))</f>
        <v>0</v>
      </c>
      <c r="AD340" s="23">
        <f>INDEX(Data_Prices!AD:AD,MATCH($G340,Data_Prices!$A:$A,0))</f>
        <v>0</v>
      </c>
      <c r="AE340" s="23">
        <f>INDEX(Data_Prices!AE:AE,MATCH($G340,Data_Prices!$A:$A,0))</f>
        <v>0</v>
      </c>
    </row>
    <row r="341" spans="2:31" x14ac:dyDescent="0.25">
      <c r="B341" s="17" t="s">
        <v>81</v>
      </c>
      <c r="C341" s="17" t="str">
        <f>$C$307</f>
        <v>cem</v>
      </c>
      <c r="D341" s="18" t="s">
        <v>87</v>
      </c>
      <c r="E341" s="19" t="s">
        <v>88</v>
      </c>
      <c r="F341" s="17" t="s">
        <v>89</v>
      </c>
      <c r="G341" s="20" t="str">
        <f>Settings!$B$3&amp;".mit.gdp.pos.pct."&amp;$J$307</f>
        <v>egy.mit.gdp.pos.pct.2</v>
      </c>
      <c r="K341" s="24">
        <f>INDEX(Data_Macro!K:K,MATCH($G341,Data_Macro!$A:$A,0))</f>
        <v>0</v>
      </c>
      <c r="L341" s="24">
        <f>INDEX(Data_Macro!L:L,MATCH($G341,Data_Macro!$A:$A,0))</f>
        <v>6.6513450000000002E-2</v>
      </c>
      <c r="M341" s="24">
        <f>INDEX(Data_Macro!M:M,MATCH($G341,Data_Macro!$A:$A,0))</f>
        <v>3.760281E-2</v>
      </c>
      <c r="N341" s="24">
        <f>INDEX(Data_Macro!N:N,MATCH($G341,Data_Macro!$A:$A,0))</f>
        <v>2.3988010000000001E-2</v>
      </c>
      <c r="O341" s="24">
        <f>INDEX(Data_Macro!O:O,MATCH($G341,Data_Macro!$A:$A,0))</f>
        <v>4.3923869999999997E-2</v>
      </c>
      <c r="P341" s="24">
        <f>INDEX(Data_Macro!P:P,MATCH($G341,Data_Macro!$A:$A,0))</f>
        <v>4.239706E-2</v>
      </c>
      <c r="Q341" s="24">
        <f>INDEX(Data_Macro!Q:Q,MATCH($G341,Data_Macro!$A:$A,0))</f>
        <v>4.8298383783007638E-2</v>
      </c>
      <c r="R341" s="24">
        <f>INDEX(Data_Macro!R:R,MATCH($G341,Data_Macro!$A:$A,0))</f>
        <v>5.55905477124225E-2</v>
      </c>
      <c r="S341" s="24">
        <f>INDEX(Data_Macro!S:S,MATCH($G341,Data_Macro!$A:$A,0))</f>
        <v>5.2137235389631359E-2</v>
      </c>
      <c r="T341" s="24">
        <f>INDEX(Data_Macro!T:T,MATCH($G341,Data_Macro!$A:$A,0))</f>
        <v>4.8124907491929908E-2</v>
      </c>
      <c r="U341" s="24">
        <f>INDEX(Data_Macro!U:U,MATCH($G341,Data_Macro!$A:$A,0))</f>
        <v>4.720879652652131E-2</v>
      </c>
      <c r="V341" s="24">
        <f>INDEX(Data_Macro!V:V,MATCH($G341,Data_Macro!$A:$A,0))</f>
        <v>4.6689043300676421E-2</v>
      </c>
      <c r="W341" s="24">
        <f>INDEX(Data_Macro!W:W,MATCH($G341,Data_Macro!$A:$A,0))</f>
        <v>4.6632750147029209E-2</v>
      </c>
      <c r="X341" s="24">
        <f>INDEX(Data_Macro!X:X,MATCH($G341,Data_Macro!$A:$A,0))</f>
        <v>4.6872723264421517E-2</v>
      </c>
      <c r="Y341" s="24">
        <f>INDEX(Data_Macro!Y:Y,MATCH($G341,Data_Macro!$A:$A,0))</f>
        <v>4.746992175304874E-2</v>
      </c>
      <c r="Z341" s="24">
        <f>INDEX(Data_Macro!Z:Z,MATCH($G341,Data_Macro!$A:$A,0))</f>
        <v>4.8590713024028988E-2</v>
      </c>
      <c r="AA341" s="24">
        <f>INDEX(Data_Macro!AA:AA,MATCH($G341,Data_Macro!$A:$A,0))</f>
        <v>4.9941182078066387E-2</v>
      </c>
      <c r="AB341" s="24">
        <f>INDEX(Data_Macro!AB:AB,MATCH($G341,Data_Macro!$A:$A,0))</f>
        <v>5.13941835424786E-2</v>
      </c>
      <c r="AC341" s="24">
        <f>INDEX(Data_Macro!AC:AC,MATCH($G341,Data_Macro!$A:$A,0))</f>
        <v>5.2681763019776687E-2</v>
      </c>
      <c r="AD341" s="24">
        <f>INDEX(Data_Macro!AD:AD,MATCH($G341,Data_Macro!$A:$A,0))</f>
        <v>5.3800711336350331E-2</v>
      </c>
      <c r="AE341" s="24">
        <f>INDEX(Data_Macro!AE:AE,MATCH($G341,Data_Macro!$A:$A,0))</f>
        <v>5.4789398044337592E-2</v>
      </c>
    </row>
    <row r="342" spans="2:31" x14ac:dyDescent="0.25">
      <c r="B342" s="17" t="s">
        <v>81</v>
      </c>
      <c r="C342" s="17" t="str">
        <f>$C$307</f>
        <v>cem</v>
      </c>
      <c r="D342" s="18" t="s">
        <v>90</v>
      </c>
      <c r="E342" s="19" t="s">
        <v>91</v>
      </c>
      <c r="F342" s="17" t="s">
        <v>92</v>
      </c>
      <c r="G342" s="20" t="str">
        <f>Settings!$B$3&amp;".mit.inc.ela.adj."&amp;$J$307</f>
        <v>egy.mit.inc.ela.adj.2</v>
      </c>
      <c r="K342" s="23">
        <f>INDEX(Data_Macro!K:K,MATCH($G342,Data_Macro!$A:$A,0))</f>
        <v>0</v>
      </c>
      <c r="L342" s="23">
        <f>INDEX(Data_Macro!L:L,MATCH($G342,Data_Macro!$A:$A,0))</f>
        <v>1.0271517247196089</v>
      </c>
      <c r="M342" s="23">
        <f>INDEX(Data_Macro!M:M,MATCH($G342,Data_Macro!$A:$A,0))</f>
        <v>1.0271517247196089</v>
      </c>
      <c r="N342" s="23">
        <f>INDEX(Data_Macro!N:N,MATCH($G342,Data_Macro!$A:$A,0))</f>
        <v>1.0205698358851201</v>
      </c>
      <c r="O342" s="23">
        <f>INDEX(Data_Macro!O:O,MATCH($G342,Data_Macro!$A:$A,0))</f>
        <v>1.017334428852344</v>
      </c>
      <c r="P342" s="23">
        <f>INDEX(Data_Macro!P:P,MATCH($G342,Data_Macro!$A:$A,0))</f>
        <v>1.007668332253824</v>
      </c>
      <c r="Q342" s="23">
        <f>INDEX(Data_Macro!Q:Q,MATCH($G342,Data_Macro!$A:$A,0))</f>
        <v>1.000744287175529</v>
      </c>
      <c r="R342" s="23">
        <f>INDEX(Data_Macro!R:R,MATCH($G342,Data_Macro!$A:$A,0))</f>
        <v>0.99188455719464341</v>
      </c>
      <c r="S342" s="23">
        <f>INDEX(Data_Macro!S:S,MATCH($G342,Data_Macro!$A:$A,0))</f>
        <v>0.9805805650786027</v>
      </c>
      <c r="T342" s="23">
        <f>INDEX(Data_Macro!T:T,MATCH($G342,Data_Macro!$A:$A,0))</f>
        <v>0.97025078971778123</v>
      </c>
      <c r="U342" s="23">
        <f>INDEX(Data_Macro!U:U,MATCH($G342,Data_Macro!$A:$A,0))</f>
        <v>0.96428820815964844</v>
      </c>
      <c r="V342" s="23">
        <f>INDEX(Data_Macro!V:V,MATCH($G342,Data_Macro!$A:$A,0))</f>
        <v>0.96183439341951105</v>
      </c>
      <c r="W342" s="23">
        <f>INDEX(Data_Macro!W:W,MATCH($G342,Data_Macro!$A:$A,0))</f>
        <v>0.95941695116164427</v>
      </c>
      <c r="X342" s="23">
        <f>INDEX(Data_Macro!X:X,MATCH($G342,Data_Macro!$A:$A,0))</f>
        <v>0.95701429252188364</v>
      </c>
      <c r="Y342" s="23">
        <f>INDEX(Data_Macro!Y:Y,MATCH($G342,Data_Macro!$A:$A,0))</f>
        <v>0.95468193722552219</v>
      </c>
      <c r="Z342" s="23">
        <f>INDEX(Data_Macro!Z:Z,MATCH($G342,Data_Macro!$A:$A,0))</f>
        <v>0.95240071158774575</v>
      </c>
      <c r="AA342" s="23">
        <f>INDEX(Data_Macro!AA:AA,MATCH($G342,Data_Macro!$A:$A,0))</f>
        <v>0.95011647499405472</v>
      </c>
      <c r="AB342" s="23">
        <f>INDEX(Data_Macro!AB:AB,MATCH($G342,Data_Macro!$A:$A,0))</f>
        <v>0.947927358499145</v>
      </c>
      <c r="AC342" s="23">
        <f>INDEX(Data_Macro!AC:AC,MATCH($G342,Data_Macro!$A:$A,0))</f>
        <v>0.94587674776299657</v>
      </c>
      <c r="AD342" s="23">
        <f>INDEX(Data_Macro!AD:AD,MATCH($G342,Data_Macro!$A:$A,0))</f>
        <v>0.94405480582839263</v>
      </c>
      <c r="AE342" s="23">
        <f>INDEX(Data_Macro!AE:AE,MATCH($G342,Data_Macro!$A:$A,0))</f>
        <v>0.94246391225206505</v>
      </c>
    </row>
    <row r="343" spans="2:31" x14ac:dyDescent="0.25">
      <c r="B343" s="17" t="s">
        <v>81</v>
      </c>
      <c r="C343" s="17" t="str">
        <f>$C$307</f>
        <v>cem</v>
      </c>
      <c r="D343" s="18" t="s">
        <v>93</v>
      </c>
      <c r="E343" s="19" t="s">
        <v>91</v>
      </c>
      <c r="F343" s="17" t="s">
        <v>94</v>
      </c>
      <c r="G343" s="20" t="str">
        <f>Settings!$B$3&amp;".mit.shock."&amp;$J$307</f>
        <v>egy.mit.shock.2</v>
      </c>
      <c r="K343" s="23">
        <f>INDEX(Data_Macro!K:K,MATCH($G343,Data_Macro!$A:$A,0))</f>
        <v>0</v>
      </c>
      <c r="L343" s="23">
        <f>INDEX(Data_Macro!L:L,MATCH($G343,Data_Macro!$A:$A,0))</f>
        <v>0</v>
      </c>
      <c r="M343" s="23">
        <f>INDEX(Data_Macro!M:M,MATCH($G343,Data_Macro!$A:$A,0))</f>
        <v>-0.2081330830204422</v>
      </c>
      <c r="N343" s="23">
        <f>INDEX(Data_Macro!N:N,MATCH($G343,Data_Macro!$A:$A,0))</f>
        <v>9.2371428571428563E-2</v>
      </c>
      <c r="O343" s="23">
        <f>INDEX(Data_Macro!O:O,MATCH($G343,Data_Macro!$A:$A,0))</f>
        <v>0</v>
      </c>
      <c r="P343" s="23">
        <f>INDEX(Data_Macro!P:P,MATCH($G343,Data_Macro!$A:$A,0))</f>
        <v>0</v>
      </c>
      <c r="Q343" s="23">
        <f>INDEX(Data_Macro!Q:Q,MATCH($G343,Data_Macro!$A:$A,0))</f>
        <v>0</v>
      </c>
      <c r="R343" s="23">
        <f>INDEX(Data_Macro!R:R,MATCH($G343,Data_Macro!$A:$A,0))</f>
        <v>0</v>
      </c>
      <c r="S343" s="23">
        <f>INDEX(Data_Macro!S:S,MATCH($G343,Data_Macro!$A:$A,0))</f>
        <v>0</v>
      </c>
      <c r="T343" s="23">
        <f>INDEX(Data_Macro!T:T,MATCH($G343,Data_Macro!$A:$A,0))</f>
        <v>0</v>
      </c>
      <c r="U343" s="23">
        <f>INDEX(Data_Macro!U:U,MATCH($G343,Data_Macro!$A:$A,0))</f>
        <v>0</v>
      </c>
      <c r="V343" s="23">
        <f>INDEX(Data_Macro!V:V,MATCH($G343,Data_Macro!$A:$A,0))</f>
        <v>0</v>
      </c>
      <c r="W343" s="23">
        <f>INDEX(Data_Macro!W:W,MATCH($G343,Data_Macro!$A:$A,0))</f>
        <v>0</v>
      </c>
      <c r="X343" s="23">
        <f>INDEX(Data_Macro!X:X,MATCH($G343,Data_Macro!$A:$A,0))</f>
        <v>0</v>
      </c>
      <c r="Y343" s="23">
        <f>INDEX(Data_Macro!Y:Y,MATCH($G343,Data_Macro!$A:$A,0))</f>
        <v>0</v>
      </c>
      <c r="Z343" s="23">
        <f>INDEX(Data_Macro!Z:Z,MATCH($G343,Data_Macro!$A:$A,0))</f>
        <v>0</v>
      </c>
      <c r="AA343" s="23">
        <f>INDEX(Data_Macro!AA:AA,MATCH($G343,Data_Macro!$A:$A,0))</f>
        <v>0</v>
      </c>
      <c r="AB343" s="23">
        <f>INDEX(Data_Macro!AB:AB,MATCH($G343,Data_Macro!$A:$A,0))</f>
        <v>0</v>
      </c>
      <c r="AC343" s="23">
        <f>INDEX(Data_Macro!AC:AC,MATCH($G343,Data_Macro!$A:$A,0))</f>
        <v>0</v>
      </c>
      <c r="AD343" s="23">
        <f>INDEX(Data_Macro!AD:AD,MATCH($G343,Data_Macro!$A:$A,0))</f>
        <v>0</v>
      </c>
      <c r="AE343" s="23">
        <f>INDEX(Data_Macro!AE:AE,MATCH($G343,Data_Macro!$A:$A,0))</f>
        <v>0</v>
      </c>
    </row>
    <row r="344" spans="2:31" x14ac:dyDescent="0.25">
      <c r="B344" s="16" t="s">
        <v>95</v>
      </c>
    </row>
    <row r="345" spans="2:31" x14ac:dyDescent="0.25">
      <c r="B345" s="8" t="s">
        <v>36</v>
      </c>
      <c r="C345" s="8" t="s">
        <v>37</v>
      </c>
      <c r="D345" s="25" t="s">
        <v>38</v>
      </c>
      <c r="E345" s="8" t="s">
        <v>96</v>
      </c>
      <c r="F345" s="8" t="s">
        <v>97</v>
      </c>
      <c r="G345" s="8" t="s">
        <v>98</v>
      </c>
      <c r="H345" s="8" t="s">
        <v>99</v>
      </c>
      <c r="I345" s="8" t="s">
        <v>100</v>
      </c>
      <c r="J345" s="8" t="s">
        <v>101</v>
      </c>
    </row>
    <row r="346" spans="2:31" x14ac:dyDescent="0.25">
      <c r="B346" s="17" t="s">
        <v>53</v>
      </c>
      <c r="C346" s="17" t="str">
        <f t="shared" ref="C346:C354" si="33">$C$307</f>
        <v>cem</v>
      </c>
      <c r="D346" s="26" t="s">
        <v>102</v>
      </c>
      <c r="E346" s="27">
        <f>ELAST("el_inc",$J346,Settings!$B$5)</f>
        <v>0.5</v>
      </c>
      <c r="F346" s="27">
        <f>ELAST("el_dem",$J346,Settings!$B$5)</f>
        <v>-0.3</v>
      </c>
      <c r="G346" s="27">
        <f>ELAST("el_eff",$J346,Settings!$B$5)</f>
        <v>-0.4</v>
      </c>
      <c r="H346" s="27">
        <f>ELAST("eff_imp",INDEX(Data_Elast!$K:$K,MATCH($B346,Data_Elast!$I:$I,0)),Settings!$B$5)</f>
        <v>5.0000000000000001E-3</v>
      </c>
      <c r="I346" s="27">
        <f>Settings!$B$7</f>
        <v>0</v>
      </c>
      <c r="J346" s="19" t="str">
        <f>INDEX(Data_Elast!$J:$J,MATCH($B346,Data_Elast!$I:$I,0))</f>
        <v>coa</v>
      </c>
    </row>
    <row r="347" spans="2:31" x14ac:dyDescent="0.25">
      <c r="B347" s="17" t="s">
        <v>57</v>
      </c>
      <c r="C347" s="17" t="str">
        <f t="shared" si="33"/>
        <v>cem</v>
      </c>
      <c r="D347" s="26" t="s">
        <v>103</v>
      </c>
      <c r="E347" s="27">
        <f>ELAST("el_inc",$J347,Settings!$B$5)</f>
        <v>1</v>
      </c>
      <c r="F347" s="27">
        <f>ELAST("el_dem",$J347,Settings!$B$5)</f>
        <v>-0.5</v>
      </c>
      <c r="G347" s="27">
        <f>ELAST("el_eff",$J347,Settings!$B$5)</f>
        <v>-0.5</v>
      </c>
      <c r="H347" s="27">
        <f>ELAST("eff_imp",INDEX(Data_Elast!$K:$K,MATCH($B347,Data_Elast!$I:$I,0)),Settings!$B$5)</f>
        <v>0.01</v>
      </c>
      <c r="I347" s="27">
        <f>Settings!$B$7</f>
        <v>0</v>
      </c>
      <c r="J347" s="19" t="str">
        <f>INDEX(Data_Elast!$J:$J,MATCH($B347,Data_Elast!$I:$I,0))</f>
        <v>nga</v>
      </c>
    </row>
    <row r="348" spans="2:31" x14ac:dyDescent="0.25">
      <c r="B348" s="17" t="s">
        <v>59</v>
      </c>
      <c r="C348" s="17" t="str">
        <f t="shared" si="33"/>
        <v>cem</v>
      </c>
      <c r="D348" s="26" t="s">
        <v>104</v>
      </c>
      <c r="E348" s="27">
        <f>ELAST("el_inc",$J348,Settings!$B$5)</f>
        <v>0.5</v>
      </c>
      <c r="F348" s="27">
        <f>ELAST("el_dem",$J348,Settings!$B$5)</f>
        <v>-0.4</v>
      </c>
      <c r="G348" s="27">
        <f>ELAST("el_eff",$J348,Settings!$B$5)</f>
        <v>-0.7</v>
      </c>
      <c r="H348" s="27">
        <f>ELAST("eff_imp",INDEX(Data_Elast!$K:$K,MATCH($B348,Data_Elast!$I:$I,0)),Settings!$B$5)</f>
        <v>5.0000000000000001E-3</v>
      </c>
      <c r="I348" s="27">
        <f>Settings!$B$7</f>
        <v>0</v>
      </c>
      <c r="J348" s="19" t="str">
        <f>INDEX(Data_Elast!$J:$J,MATCH($B348,Data_Elast!$I:$I,0))</f>
        <v>gso</v>
      </c>
    </row>
    <row r="349" spans="2:31" x14ac:dyDescent="0.25">
      <c r="B349" s="17" t="s">
        <v>62</v>
      </c>
      <c r="C349" s="17" t="str">
        <f t="shared" si="33"/>
        <v>cem</v>
      </c>
      <c r="D349" s="26" t="s">
        <v>105</v>
      </c>
      <c r="E349" s="27">
        <f>ELAST("el_inc",$J349,Settings!$B$5)</f>
        <v>0.5</v>
      </c>
      <c r="F349" s="27">
        <f>ELAST("el_dem",$J349,Settings!$B$5)</f>
        <v>-0.7</v>
      </c>
      <c r="G349" s="27">
        <f>ELAST("el_eff",$J349,Settings!$B$5)</f>
        <v>-1.2</v>
      </c>
      <c r="H349" s="27">
        <f>ELAST("eff_imp",INDEX(Data_Elast!$K:$K,MATCH($B349,Data_Elast!$I:$I,0)),Settings!$B$5)</f>
        <v>5.0000000000000001E-3</v>
      </c>
      <c r="I349" s="27">
        <f>Settings!$B$7</f>
        <v>0</v>
      </c>
      <c r="J349" s="19" t="str">
        <f>INDEX(Data_Elast!$J:$J,MATCH($B349,Data_Elast!$I:$I,0))</f>
        <v>die</v>
      </c>
    </row>
    <row r="350" spans="2:31" x14ac:dyDescent="0.25">
      <c r="B350" s="17" t="s">
        <v>64</v>
      </c>
      <c r="C350" s="17" t="str">
        <f t="shared" si="33"/>
        <v>cem</v>
      </c>
      <c r="D350" s="26" t="s">
        <v>106</v>
      </c>
      <c r="E350" s="27">
        <f>ELAST("el_inc",$J350,Settings!$B$5)</f>
        <v>0.8</v>
      </c>
      <c r="F350" s="27">
        <f>ELAST("el_dem",$J350,Settings!$B$5)</f>
        <v>-0.4</v>
      </c>
      <c r="G350" s="27">
        <f>ELAST("el_eff",$J350,Settings!$B$5)</f>
        <v>-0.4</v>
      </c>
      <c r="H350" s="27">
        <f>ELAST("eff_imp",INDEX(Data_Elast!$K:$K,MATCH($B350,Data_Elast!$I:$I,0)),Settings!$B$5)</f>
        <v>5.0000000000000001E-3</v>
      </c>
      <c r="I350" s="27">
        <f>Settings!$B$7</f>
        <v>0</v>
      </c>
      <c r="J350" s="19" t="str">
        <f>INDEX(Data_Elast!$J:$J,MATCH($B350,Data_Elast!$I:$I,0))</f>
        <v>oil</v>
      </c>
    </row>
    <row r="351" spans="2:31" x14ac:dyDescent="0.25">
      <c r="B351" s="17" t="s">
        <v>66</v>
      </c>
      <c r="C351" s="17" t="str">
        <f t="shared" si="33"/>
        <v>cem</v>
      </c>
      <c r="D351" s="26" t="s">
        <v>107</v>
      </c>
      <c r="E351" s="27">
        <f>ELAST("el_inc",$J351,Settings!$B$5)</f>
        <v>0.8</v>
      </c>
      <c r="F351" s="27">
        <f>ELAST("el_dem",$J351,Settings!$B$5)</f>
        <v>-0.4</v>
      </c>
      <c r="G351" s="27">
        <f>ELAST("el_eff",$J351,Settings!$B$5)</f>
        <v>-0.4</v>
      </c>
      <c r="H351" s="27">
        <f>ELAST("eff_imp",INDEX(Data_Elast!$K:$K,MATCH($B351,Data_Elast!$I:$I,0)),Settings!$B$5)</f>
        <v>5.0000000000000001E-3</v>
      </c>
      <c r="I351" s="27">
        <f>Settings!$B$7</f>
        <v>0</v>
      </c>
      <c r="J351" s="19" t="str">
        <f>INDEX(Data_Elast!$J:$J,MATCH($B351,Data_Elast!$I:$I,0))</f>
        <v>oil</v>
      </c>
    </row>
    <row r="352" spans="2:31" x14ac:dyDescent="0.25">
      <c r="B352" s="17" t="s">
        <v>68</v>
      </c>
      <c r="C352" s="17" t="str">
        <f t="shared" si="33"/>
        <v>cem</v>
      </c>
      <c r="D352" s="26" t="s">
        <v>108</v>
      </c>
      <c r="E352" s="27">
        <f>ELAST("el_inc",$J352,Settings!$B$5)</f>
        <v>0.8</v>
      </c>
      <c r="F352" s="27">
        <f>ELAST("el_dem",$J352,Settings!$B$5)</f>
        <v>-0.4</v>
      </c>
      <c r="G352" s="27">
        <f>ELAST("el_eff",$J352,Settings!$B$5)</f>
        <v>-0.4</v>
      </c>
      <c r="H352" s="27">
        <f>ELAST("eff_imp",INDEX(Data_Elast!$K:$K,MATCH($B352,Data_Elast!$I:$I,0)),Settings!$B$5)</f>
        <v>5.0000000000000001E-3</v>
      </c>
      <c r="I352" s="27">
        <f>Settings!$B$7</f>
        <v>0</v>
      </c>
      <c r="J352" s="19" t="str">
        <f>INDEX(Data_Elast!$J:$J,MATCH($B352,Data_Elast!$I:$I,0))</f>
        <v>oil</v>
      </c>
    </row>
    <row r="353" spans="1:35" x14ac:dyDescent="0.25">
      <c r="B353" s="17" t="s">
        <v>71</v>
      </c>
      <c r="C353" s="17" t="str">
        <f t="shared" si="33"/>
        <v>cem</v>
      </c>
      <c r="D353" s="26" t="s">
        <v>109</v>
      </c>
      <c r="E353" s="27">
        <f>ELAST("el_inc",$J353,Settings!$B$5)</f>
        <v>0.1</v>
      </c>
      <c r="F353" s="27">
        <f>ELAST("el_dem",$J353,Settings!$B$5)</f>
        <v>-0.3</v>
      </c>
      <c r="G353" s="27">
        <f>ELAST("el_eff",$J353,Settings!$B$5)</f>
        <v>-0.2</v>
      </c>
      <c r="H353" s="27">
        <f>ELAST("eff_imp",INDEX(Data_Elast!$K:$K,MATCH($B353,Data_Elast!$I:$I,0)),Settings!$B$5)</f>
        <v>5.0000000000000001E-3</v>
      </c>
      <c r="I353" s="27">
        <f>Settings!$B$7</f>
        <v>0</v>
      </c>
      <c r="J353" s="19" t="str">
        <f>INDEX(Data_Elast!$J:$J,MATCH($B353,Data_Elast!$I:$I,0))</f>
        <v>bio</v>
      </c>
    </row>
    <row r="354" spans="1:35" x14ac:dyDescent="0.25">
      <c r="B354" s="17" t="s">
        <v>73</v>
      </c>
      <c r="C354" s="17" t="str">
        <f t="shared" si="33"/>
        <v>cem</v>
      </c>
      <c r="D354" s="26" t="s">
        <v>110</v>
      </c>
      <c r="E354" s="27">
        <f>ELAST("el_inc",$J354,Settings!$B$5)</f>
        <v>0.8</v>
      </c>
      <c r="F354" s="27">
        <f>ELAST("el_dem",$J354,Settings!$B$5)</f>
        <v>-0.5</v>
      </c>
      <c r="G354" s="27">
        <f>ELAST("el_eff",$J354,Settings!$B$5)</f>
        <v>-0.4</v>
      </c>
      <c r="H354" s="27">
        <f>ELAST("eff_imp",INDEX(Data_Elast!$K:$K,MATCH($B354,Data_Elast!$I:$I,0)),Settings!$B$5)</f>
        <v>5.0000000000000001E-3</v>
      </c>
      <c r="I354" s="27">
        <f>Settings!$B$7</f>
        <v>0</v>
      </c>
      <c r="J354" s="19" t="str">
        <f>INDEX(Data_Elast!$J:$J,MATCH($B354,Data_Elast!$I:$I,0))</f>
        <v>ren</v>
      </c>
    </row>
    <row r="355" spans="1:35" x14ac:dyDescent="0.25">
      <c r="B355" s="16" t="s">
        <v>111</v>
      </c>
    </row>
    <row r="356" spans="1:35" x14ac:dyDescent="0.25">
      <c r="B356" s="17" t="s">
        <v>53</v>
      </c>
      <c r="C356" s="17" t="str">
        <f t="shared" ref="C356:C365" si="34">$C$307</f>
        <v>cem</v>
      </c>
      <c r="D356" s="18" t="s">
        <v>54</v>
      </c>
      <c r="E356" s="19" t="s">
        <v>112</v>
      </c>
      <c r="F356" s="17" t="s">
        <v>113</v>
      </c>
      <c r="G356" s="20" t="str">
        <f>Settings!$B$3&amp;".mit.enc."&amp;$B356</f>
        <v>egy.mit.enc.coa</v>
      </c>
      <c r="H356" s="21" t="str">
        <f>OUTCODE(Settings!$B$3,"ener",$C$307,$B356,$J$307)</f>
        <v>egy.mit.ener.cem.coa.e.2</v>
      </c>
      <c r="L356" s="28">
        <f>INDEX(Data_Energy!$D$3:$U$22,MATCH($B356,Data_Energy!$C$3:$C$22,0),MATCH($C356,Data_Energy!$D$2:$U$2,0))</f>
        <v>1463.0552244627891</v>
      </c>
      <c r="M356" s="29">
        <f>FUELUSE(L356,L319,M319,L329,M329,M$341,M$342,M$343,$E346,$F346,$G346,$H346,$I346)</f>
        <v>1191.3644362517177</v>
      </c>
      <c r="N356" s="29">
        <f>FUELUSE(M356,M319,N319,M329,N329,N$341,N$342,N$343,$E346,$F346,$G346,$H346,$I346)</f>
        <v>1369.177928221337</v>
      </c>
      <c r="O356" s="29">
        <f>FUELUSE(N356,N319,O319,N329,O329,O$341,O$342,O$343,$E346,$F346,$G346,$H346,$I346)</f>
        <v>1496.0103450821184</v>
      </c>
      <c r="P356" s="29">
        <f>FUELUSE(O356,O319,P319,O329,P329,P$341,P$342,P$343,$E346,$F346,$G346,$H346,$I346)</f>
        <v>1463.0094084242082</v>
      </c>
      <c r="Q356" s="29">
        <f>FUELUSE(P356,P319,Q319,P329,Q329,Q$341,Q$342,Q$343,$E346,$F346,$G346,$H346,$I346)</f>
        <v>1374.7723428524596</v>
      </c>
      <c r="R356" s="29">
        <f>FUELUSE(Q356,Q319,R319,Q329,R329,R$341,R$342,R$343,$E346,$F346,$G346,$H346,$I346)</f>
        <v>1322.3676037201528</v>
      </c>
      <c r="S356" s="29">
        <f>FUELUSE(R356,R319,S319,R329,S329,S$341,S$342,S$343,$E346,$F346,$G346,$H346,$I346)</f>
        <v>1277.4771729802821</v>
      </c>
      <c r="T356" s="29">
        <f>FUELUSE(S356,S319,T319,S329,T329,T$341,T$342,T$343,$E346,$F346,$G346,$H346,$I346)</f>
        <v>1237.8339324892124</v>
      </c>
      <c r="U356" s="29">
        <f>FUELUSE(T356,T319,U319,T329,U329,U$341,U$342,U$343,$E346,$F346,$G346,$H346,$I346)</f>
        <v>1203.5520989403744</v>
      </c>
      <c r="V356" s="29">
        <f>FUELUSE(U356,U319,V319,U329,V329,V$341,V$342,V$343,$E346,$F346,$G346,$H346,$I346)</f>
        <v>1171.022700627675</v>
      </c>
      <c r="W356" s="29">
        <f>FUELUSE(V356,V319,W319,V329,W329,W$341,W$342,W$343,$E346,$F346,$G346,$H346,$I346)</f>
        <v>1143.1158396315373</v>
      </c>
      <c r="X356" s="29">
        <f>FUELUSE(W356,W319,X319,W329,X329,X$341,X$342,X$343,$E346,$F346,$G346,$H346,$I346)</f>
        <v>1119.1782325411712</v>
      </c>
      <c r="Y356" s="29">
        <f>FUELUSE(X356,X319,Y319,X329,Y329,Y$341,Y$342,Y$343,$E346,$F346,$G346,$H346,$I346)</f>
        <v>1098.7587442542576</v>
      </c>
      <c r="Z356" s="29">
        <f>FUELUSE(Y356,Y319,Z319,Y329,Z329,Z$341,Z$342,Z$343,$E346,$F346,$G346,$H346,$I346)</f>
        <v>1081.6097142698641</v>
      </c>
      <c r="AA356" s="29">
        <f>FUELUSE(Z356,Z319,AA319,Z329,AA329,AA$341,AA$342,AA$343,$E346,$F346,$G346,$H346,$I346)</f>
        <v>1067.4268939288004</v>
      </c>
      <c r="AB356" s="29">
        <f>FUELUSE(AA356,AA319,AB319,AA329,AB329,AB$341,AB$342,AB$343,$E346,$F346,$G346,$H346,$I346)</f>
        <v>1055.9237026292419</v>
      </c>
      <c r="AC356" s="29">
        <f>FUELUSE(AB356,AB319,AC319,AB329,AC329,AC$341,AC$342,AC$343,$E346,$F346,$G346,$H346,$I346)</f>
        <v>1046.7510678916528</v>
      </c>
      <c r="AD356" s="29">
        <f>FUELUSE(AC356,AC319,AD319,AC329,AD329,AD$341,AD$342,AD$343,$E346,$F346,$G346,$H346,$I346)</f>
        <v>1039.6150871676318</v>
      </c>
      <c r="AE356" s="29">
        <f>FUELUSE(AD356,AD319,AE319,AD329,AE329,AE$341,AE$342,AE$343,$E346,$F346,$G346,$H346,$I346)</f>
        <v>1034.2820627341105</v>
      </c>
    </row>
    <row r="357" spans="1:35" x14ac:dyDescent="0.25">
      <c r="B357" s="17" t="s">
        <v>57</v>
      </c>
      <c r="C357" s="17" t="str">
        <f t="shared" si="34"/>
        <v>cem</v>
      </c>
      <c r="D357" s="18" t="s">
        <v>58</v>
      </c>
      <c r="E357" s="19" t="s">
        <v>112</v>
      </c>
      <c r="F357" s="17" t="s">
        <v>113</v>
      </c>
      <c r="G357" s="20" t="str">
        <f>Settings!$B$3&amp;".mit.enc."&amp;$B357</f>
        <v>egy.mit.enc.nga</v>
      </c>
      <c r="H357" s="21" t="str">
        <f>OUTCODE(Settings!$B$3,"ener",$C$307,$B357,$J$307)</f>
        <v>egy.mit.ener.cem.nga.e.2</v>
      </c>
      <c r="L357" s="28">
        <f>INDEX(Data_Energy!$D$3:$U$22,MATCH($B357,Data_Energy!$C$3:$C$22,0),MATCH($C357,Data_Energy!$D$2:$U$2,0))</f>
        <v>1747.3915347620809</v>
      </c>
      <c r="M357" s="29">
        <f>FUELUSE(L357,L320,M320,L330,M330,M$341,M$342,M$343,$E347,$F347,$G347,$H347,$I347)</f>
        <v>1498.9759731403972</v>
      </c>
      <c r="N357" s="29">
        <f>FUELUSE(M357,M320,N320,M330,N330,N$341,N$342,N$343,$E347,$F347,$G347,$H347,$I347)</f>
        <v>1678.3581605793943</v>
      </c>
      <c r="O357" s="29">
        <f>FUELUSE(N357,N320,O320,N330,O330,O$341,O$342,O$343,$E347,$F347,$G347,$H347,$I347)</f>
        <v>1744.6824773068631</v>
      </c>
      <c r="P357" s="29">
        <f>FUELUSE(O357,O320,P320,O330,P330,P$341,P$342,P$343,$E347,$F347,$G347,$H347,$I347)</f>
        <v>1810.2025593297433</v>
      </c>
      <c r="Q357" s="29">
        <f>FUELUSE(P357,P320,Q320,P330,Q330,Q$341,Q$342,Q$343,$E347,$F347,$G347,$H347,$I347)</f>
        <v>1714.6535098550221</v>
      </c>
      <c r="R357" s="29">
        <f>FUELUSE(Q357,Q320,R320,Q330,R330,R$341,R$342,R$343,$E347,$F347,$G347,$H347,$I347)</f>
        <v>1652.7566024408452</v>
      </c>
      <c r="S357" s="29">
        <f>FUELUSE(R357,R320,S320,R330,S330,S$341,S$342,S$343,$E347,$F347,$G347,$H347,$I347)</f>
        <v>1600.9566278844268</v>
      </c>
      <c r="T357" s="29">
        <f>FUELUSE(S357,S320,T320,S330,T330,T$341,T$342,T$343,$E347,$F347,$G347,$H347,$I347)</f>
        <v>1555.2682553771394</v>
      </c>
      <c r="U357" s="29">
        <f>FUELUSE(T357,T320,U320,T330,U330,U$341,U$342,U$343,$E347,$F347,$G347,$H347,$I347)</f>
        <v>1518.1346802877367</v>
      </c>
      <c r="V357" s="29">
        <f>FUELUSE(U357,U320,V320,U330,V330,V$341,V$342,V$343,$E347,$F347,$G347,$H347,$I347)</f>
        <v>1488.413865062553</v>
      </c>
      <c r="W357" s="29">
        <f>FUELUSE(V357,V320,W320,V330,W330,W$341,W$342,W$343,$E347,$F347,$G347,$H347,$I347)</f>
        <v>1465.2685194100191</v>
      </c>
      <c r="X357" s="29">
        <f>FUELUSE(W357,W320,X320,W330,X330,X$341,X$342,X$343,$E347,$F347,$G347,$H347,$I347)</f>
        <v>1447.9657306697536</v>
      </c>
      <c r="Y357" s="29">
        <f>FUELUSE(X357,X320,Y320,X330,Y330,Y$341,Y$342,Y$343,$E347,$F347,$G347,$H347,$I347)</f>
        <v>1436.1054289752972</v>
      </c>
      <c r="Z357" s="29">
        <f>FUELUSE(Y357,Y320,Z320,Y330,Z330,Z$341,Z$342,Z$343,$E347,$F347,$G347,$H347,$I347)</f>
        <v>1429.6873853271159</v>
      </c>
      <c r="AA357" s="29">
        <f>FUELUSE(Z357,Z320,AA320,Z330,AA330,AA$341,AA$342,AA$343,$E347,$F347,$G347,$H347,$I347)</f>
        <v>1428.4719778022086</v>
      </c>
      <c r="AB357" s="29">
        <f>FUELUSE(AA357,AA320,AB320,AA330,AB330,AB$341,AB$342,AB$343,$E347,$F347,$G347,$H347,$I347)</f>
        <v>1432.190856736285</v>
      </c>
      <c r="AC357" s="29">
        <f>FUELUSE(AB357,AB320,AC320,AB330,AC330,AC$341,AC$342,AC$343,$E347,$F347,$G347,$H347,$I347)</f>
        <v>1440.3401326294579</v>
      </c>
      <c r="AD357" s="29">
        <f>FUELUSE(AC357,AC320,AD320,AC330,AD330,AD$341,AD$342,AD$343,$E347,$F347,$G347,$H347,$I347)</f>
        <v>1452.5016104532144</v>
      </c>
      <c r="AE357" s="29">
        <f>FUELUSE(AD357,AD320,AE320,AD330,AE330,AE$341,AE$342,AE$343,$E347,$F347,$G347,$H347,$I347)</f>
        <v>1468.3698881922205</v>
      </c>
    </row>
    <row r="358" spans="1:35" x14ac:dyDescent="0.25">
      <c r="B358" s="17" t="s">
        <v>59</v>
      </c>
      <c r="C358" s="17" t="str">
        <f t="shared" si="34"/>
        <v>cem</v>
      </c>
      <c r="D358" s="18" t="s">
        <v>60</v>
      </c>
      <c r="E358" s="19" t="s">
        <v>112</v>
      </c>
      <c r="F358" s="17" t="s">
        <v>113</v>
      </c>
      <c r="G358" s="20" t="str">
        <f>Settings!$B$3&amp;".mit.enc."&amp;$B358</f>
        <v>egy.mit.enc.gso</v>
      </c>
      <c r="H358" s="21" t="str">
        <f>OUTCODE(Settings!$B$3,"ener",$C$307,$B358,$J$307)</f>
        <v>egy.mit.ener.cem.gso.e.2</v>
      </c>
      <c r="L358" s="28">
        <f>INDEX(Data_Energy!$D$3:$U$22,MATCH($B358,Data_Energy!$C$3:$C$22,0),MATCH($C358,Data_Energy!$D$2:$U$2,0))</f>
        <v>0</v>
      </c>
      <c r="M358" s="29">
        <f>FUELUSE(L358,L321,M321,L331,M331,M$341,M$342,M$343,$E348,$F348,$G348,$H348,$I348)</f>
        <v>0</v>
      </c>
      <c r="N358" s="29">
        <f>FUELUSE(M358,M321,N321,M331,N331,N$341,N$342,N$343,$E348,$F348,$G348,$H348,$I348)</f>
        <v>0</v>
      </c>
      <c r="O358" s="29">
        <f>FUELUSE(N358,N321,O321,N331,O331,O$341,O$342,O$343,$E348,$F348,$G348,$H348,$I348)</f>
        <v>0</v>
      </c>
      <c r="P358" s="29">
        <f>FUELUSE(O358,O321,P321,O331,P331,P$341,P$342,P$343,$E348,$F348,$G348,$H348,$I348)</f>
        <v>0</v>
      </c>
      <c r="Q358" s="29">
        <f>FUELUSE(P358,P321,Q321,P331,Q331,Q$341,Q$342,Q$343,$E348,$F348,$G348,$H348,$I348)</f>
        <v>0</v>
      </c>
      <c r="R358" s="29">
        <f>FUELUSE(Q358,Q321,R321,Q331,R331,R$341,R$342,R$343,$E348,$F348,$G348,$H348,$I348)</f>
        <v>0</v>
      </c>
      <c r="S358" s="29">
        <f>FUELUSE(R358,R321,S321,R331,S331,S$341,S$342,S$343,$E348,$F348,$G348,$H348,$I348)</f>
        <v>0</v>
      </c>
      <c r="T358" s="29">
        <f>FUELUSE(S358,S321,T321,S331,T331,T$341,T$342,T$343,$E348,$F348,$G348,$H348,$I348)</f>
        <v>0</v>
      </c>
      <c r="U358" s="29">
        <f>FUELUSE(T358,T321,U321,T331,U331,U$341,U$342,U$343,$E348,$F348,$G348,$H348,$I348)</f>
        <v>0</v>
      </c>
      <c r="V358" s="29">
        <f>FUELUSE(U358,U321,V321,U331,V331,V$341,V$342,V$343,$E348,$F348,$G348,$H348,$I348)</f>
        <v>0</v>
      </c>
      <c r="W358" s="29">
        <f>FUELUSE(V358,V321,W321,V331,W331,W$341,W$342,W$343,$E348,$F348,$G348,$H348,$I348)</f>
        <v>0</v>
      </c>
      <c r="X358" s="29">
        <f>FUELUSE(W358,W321,X321,W331,X331,X$341,X$342,X$343,$E348,$F348,$G348,$H348,$I348)</f>
        <v>0</v>
      </c>
      <c r="Y358" s="29">
        <f>FUELUSE(X358,X321,Y321,X331,Y331,Y$341,Y$342,Y$343,$E348,$F348,$G348,$H348,$I348)</f>
        <v>0</v>
      </c>
      <c r="Z358" s="29">
        <f>FUELUSE(Y358,Y321,Z321,Y331,Z331,Z$341,Z$342,Z$343,$E348,$F348,$G348,$H348,$I348)</f>
        <v>0</v>
      </c>
      <c r="AA358" s="29">
        <f>FUELUSE(Z358,Z321,AA321,Z331,AA331,AA$341,AA$342,AA$343,$E348,$F348,$G348,$H348,$I348)</f>
        <v>0</v>
      </c>
      <c r="AB358" s="29">
        <f>FUELUSE(AA358,AA321,AB321,AA331,AB331,AB$341,AB$342,AB$343,$E348,$F348,$G348,$H348,$I348)</f>
        <v>0</v>
      </c>
      <c r="AC358" s="29">
        <f>FUELUSE(AB358,AB321,AC321,AB331,AC331,AC$341,AC$342,AC$343,$E348,$F348,$G348,$H348,$I348)</f>
        <v>0</v>
      </c>
      <c r="AD358" s="29">
        <f>FUELUSE(AC358,AC321,AD321,AC331,AD331,AD$341,AD$342,AD$343,$E348,$F348,$G348,$H348,$I348)</f>
        <v>0</v>
      </c>
      <c r="AE358" s="29">
        <f>FUELUSE(AD358,AD321,AE321,AD331,AE331,AE$341,AE$342,AE$343,$E348,$F348,$G348,$H348,$I348)</f>
        <v>0</v>
      </c>
    </row>
    <row r="359" spans="1:35" x14ac:dyDescent="0.25">
      <c r="B359" s="17" t="s">
        <v>62</v>
      </c>
      <c r="C359" s="17" t="str">
        <f t="shared" si="34"/>
        <v>cem</v>
      </c>
      <c r="D359" s="18" t="s">
        <v>63</v>
      </c>
      <c r="E359" s="19" t="s">
        <v>112</v>
      </c>
      <c r="F359" s="17" t="s">
        <v>113</v>
      </c>
      <c r="G359" s="20" t="str">
        <f>Settings!$B$3&amp;".mit.enc."&amp;$B359</f>
        <v>egy.mit.enc.die</v>
      </c>
      <c r="H359" s="21" t="str">
        <f>OUTCODE(Settings!$B$3,"ener",$C$307,$B359,$J$307)</f>
        <v>egy.mit.ener.cem.die.e.2</v>
      </c>
      <c r="L359" s="28">
        <f>INDEX(Data_Energy!$D$3:$U$22,MATCH($B359,Data_Energy!$C$3:$C$22,0),MATCH($C359,Data_Energy!$D$2:$U$2,0))</f>
        <v>0</v>
      </c>
      <c r="M359" s="29">
        <f>FUELUSE(L359,L322,M322,L332,M332,M$341,M$342,M$343,$E349,$F349,$G349,$H349,$I349)</f>
        <v>0</v>
      </c>
      <c r="N359" s="29">
        <f>FUELUSE(M359,M322,N322,M332,N332,N$341,N$342,N$343,$E349,$F349,$G349,$H349,$I349)</f>
        <v>0</v>
      </c>
      <c r="O359" s="29">
        <f>FUELUSE(N359,N322,O322,N332,O332,O$341,O$342,O$343,$E349,$F349,$G349,$H349,$I349)</f>
        <v>0</v>
      </c>
      <c r="P359" s="29">
        <f>FUELUSE(O359,O322,P322,O332,P332,P$341,P$342,P$343,$E349,$F349,$G349,$H349,$I349)</f>
        <v>0</v>
      </c>
      <c r="Q359" s="29">
        <f>FUELUSE(P359,P322,Q322,P332,Q332,Q$341,Q$342,Q$343,$E349,$F349,$G349,$H349,$I349)</f>
        <v>0</v>
      </c>
      <c r="R359" s="29">
        <f>FUELUSE(Q359,Q322,R322,Q332,R332,R$341,R$342,R$343,$E349,$F349,$G349,$H349,$I349)</f>
        <v>0</v>
      </c>
      <c r="S359" s="29">
        <f>FUELUSE(R359,R322,S322,R332,S332,S$341,S$342,S$343,$E349,$F349,$G349,$H349,$I349)</f>
        <v>0</v>
      </c>
      <c r="T359" s="29">
        <f>FUELUSE(S359,S322,T322,S332,T332,T$341,T$342,T$343,$E349,$F349,$G349,$H349,$I349)</f>
        <v>0</v>
      </c>
      <c r="U359" s="29">
        <f>FUELUSE(T359,T322,U322,T332,U332,U$341,U$342,U$343,$E349,$F349,$G349,$H349,$I349)</f>
        <v>0</v>
      </c>
      <c r="V359" s="29">
        <f>FUELUSE(U359,U322,V322,U332,V332,V$341,V$342,V$343,$E349,$F349,$G349,$H349,$I349)</f>
        <v>0</v>
      </c>
      <c r="W359" s="29">
        <f>FUELUSE(V359,V322,W322,V332,W332,W$341,W$342,W$343,$E349,$F349,$G349,$H349,$I349)</f>
        <v>0</v>
      </c>
      <c r="X359" s="29">
        <f>FUELUSE(W359,W322,X322,W332,X332,X$341,X$342,X$343,$E349,$F349,$G349,$H349,$I349)</f>
        <v>0</v>
      </c>
      <c r="Y359" s="29">
        <f>FUELUSE(X359,X322,Y322,X332,Y332,Y$341,Y$342,Y$343,$E349,$F349,$G349,$H349,$I349)</f>
        <v>0</v>
      </c>
      <c r="Z359" s="29">
        <f>FUELUSE(Y359,Y322,Z322,Y332,Z332,Z$341,Z$342,Z$343,$E349,$F349,$G349,$H349,$I349)</f>
        <v>0</v>
      </c>
      <c r="AA359" s="29">
        <f>FUELUSE(Z359,Z322,AA322,Z332,AA332,AA$341,AA$342,AA$343,$E349,$F349,$G349,$H349,$I349)</f>
        <v>0</v>
      </c>
      <c r="AB359" s="29">
        <f>FUELUSE(AA359,AA322,AB322,AA332,AB332,AB$341,AB$342,AB$343,$E349,$F349,$G349,$H349,$I349)</f>
        <v>0</v>
      </c>
      <c r="AC359" s="29">
        <f>FUELUSE(AB359,AB322,AC322,AB332,AC332,AC$341,AC$342,AC$343,$E349,$F349,$G349,$H349,$I349)</f>
        <v>0</v>
      </c>
      <c r="AD359" s="29">
        <f>FUELUSE(AC359,AC322,AD322,AC332,AD332,AD$341,AD$342,AD$343,$E349,$F349,$G349,$H349,$I349)</f>
        <v>0</v>
      </c>
      <c r="AE359" s="29">
        <f>FUELUSE(AD359,AD322,AE322,AD332,AE332,AE$341,AE$342,AE$343,$E349,$F349,$G349,$H349,$I349)</f>
        <v>0</v>
      </c>
    </row>
    <row r="360" spans="1:35" x14ac:dyDescent="0.25">
      <c r="B360" s="17" t="s">
        <v>64</v>
      </c>
      <c r="C360" s="17" t="str">
        <f t="shared" si="34"/>
        <v>cem</v>
      </c>
      <c r="D360" s="18" t="s">
        <v>65</v>
      </c>
      <c r="E360" s="19" t="s">
        <v>112</v>
      </c>
      <c r="F360" s="17" t="s">
        <v>113</v>
      </c>
      <c r="G360" s="20" t="str">
        <f>Settings!$B$3&amp;".mit.enc."&amp;$B360</f>
        <v>egy.mit.enc.lpg</v>
      </c>
      <c r="H360" s="21" t="str">
        <f>OUTCODE(Settings!$B$3,"ener",$C$307,$B360,$J$307)</f>
        <v>egy.mit.ener.cem.lpg.e.2</v>
      </c>
      <c r="L360" s="28">
        <f>INDEX(Data_Energy!$D$3:$U$22,MATCH($B360,Data_Energy!$C$3:$C$22,0),MATCH($C360,Data_Energy!$D$2:$U$2,0))</f>
        <v>0</v>
      </c>
      <c r="M360" s="29">
        <f>FUELUSE(L360,L323,M323,L333,M333,M$341,M$342,M$343,$E350,$F350,$G350,$H350,$I350)</f>
        <v>0</v>
      </c>
      <c r="N360" s="29">
        <f>FUELUSE(M360,M323,N323,M333,N333,N$341,N$342,N$343,$E350,$F350,$G350,$H350,$I350)</f>
        <v>0</v>
      </c>
      <c r="O360" s="29">
        <f>FUELUSE(N360,N323,O323,N333,O333,O$341,O$342,O$343,$E350,$F350,$G350,$H350,$I350)</f>
        <v>0</v>
      </c>
      <c r="P360" s="29">
        <f>FUELUSE(O360,O323,P323,O333,P333,P$341,P$342,P$343,$E350,$F350,$G350,$H350,$I350)</f>
        <v>0</v>
      </c>
      <c r="Q360" s="29">
        <f>FUELUSE(P360,P323,Q323,P333,Q333,Q$341,Q$342,Q$343,$E350,$F350,$G350,$H350,$I350)</f>
        <v>0</v>
      </c>
      <c r="R360" s="29">
        <f>FUELUSE(Q360,Q323,R323,Q333,R333,R$341,R$342,R$343,$E350,$F350,$G350,$H350,$I350)</f>
        <v>0</v>
      </c>
      <c r="S360" s="29">
        <f>FUELUSE(R360,R323,S323,R333,S333,S$341,S$342,S$343,$E350,$F350,$G350,$H350,$I350)</f>
        <v>0</v>
      </c>
      <c r="T360" s="29">
        <f>FUELUSE(S360,S323,T323,S333,T333,T$341,T$342,T$343,$E350,$F350,$G350,$H350,$I350)</f>
        <v>0</v>
      </c>
      <c r="U360" s="29">
        <f>FUELUSE(T360,T323,U323,T333,U333,U$341,U$342,U$343,$E350,$F350,$G350,$H350,$I350)</f>
        <v>0</v>
      </c>
      <c r="V360" s="29">
        <f>FUELUSE(U360,U323,V323,U333,V333,V$341,V$342,V$343,$E350,$F350,$G350,$H350,$I350)</f>
        <v>0</v>
      </c>
      <c r="W360" s="29">
        <f>FUELUSE(V360,V323,W323,V333,W333,W$341,W$342,W$343,$E350,$F350,$G350,$H350,$I350)</f>
        <v>0</v>
      </c>
      <c r="X360" s="29">
        <f>FUELUSE(W360,W323,X323,W333,X333,X$341,X$342,X$343,$E350,$F350,$G350,$H350,$I350)</f>
        <v>0</v>
      </c>
      <c r="Y360" s="29">
        <f>FUELUSE(X360,X323,Y323,X333,Y333,Y$341,Y$342,Y$343,$E350,$F350,$G350,$H350,$I350)</f>
        <v>0</v>
      </c>
      <c r="Z360" s="29">
        <f>FUELUSE(Y360,Y323,Z323,Y333,Z333,Z$341,Z$342,Z$343,$E350,$F350,$G350,$H350,$I350)</f>
        <v>0</v>
      </c>
      <c r="AA360" s="29">
        <f>FUELUSE(Z360,Z323,AA323,Z333,AA333,AA$341,AA$342,AA$343,$E350,$F350,$G350,$H350,$I350)</f>
        <v>0</v>
      </c>
      <c r="AB360" s="29">
        <f>FUELUSE(AA360,AA323,AB323,AA333,AB333,AB$341,AB$342,AB$343,$E350,$F350,$G350,$H350,$I350)</f>
        <v>0</v>
      </c>
      <c r="AC360" s="29">
        <f>FUELUSE(AB360,AB323,AC323,AB333,AC333,AC$341,AC$342,AC$343,$E350,$F350,$G350,$H350,$I350)</f>
        <v>0</v>
      </c>
      <c r="AD360" s="29">
        <f>FUELUSE(AC360,AC323,AD323,AC333,AD333,AD$341,AD$342,AD$343,$E350,$F350,$G350,$H350,$I350)</f>
        <v>0</v>
      </c>
      <c r="AE360" s="29">
        <f>FUELUSE(AD360,AD323,AE323,AD333,AE333,AE$341,AE$342,AE$343,$E350,$F350,$G350,$H350,$I350)</f>
        <v>0</v>
      </c>
    </row>
    <row r="361" spans="1:35" x14ac:dyDescent="0.25">
      <c r="B361" s="17" t="s">
        <v>66</v>
      </c>
      <c r="C361" s="17" t="str">
        <f t="shared" si="34"/>
        <v>cem</v>
      </c>
      <c r="D361" s="18" t="s">
        <v>67</v>
      </c>
      <c r="E361" s="19" t="s">
        <v>112</v>
      </c>
      <c r="F361" s="17" t="s">
        <v>113</v>
      </c>
      <c r="G361" s="20" t="str">
        <f>Settings!$B$3&amp;".mit.enc."&amp;$B361</f>
        <v>egy.mit.enc.ker</v>
      </c>
      <c r="H361" s="21" t="str">
        <f>OUTCODE(Settings!$B$3,"ener",$C$307,$B361,$J$307)</f>
        <v>egy.mit.ener.cem.ker.e.2</v>
      </c>
      <c r="L361" s="28">
        <f>INDEX(Data_Energy!$D$3:$U$22,MATCH($B361,Data_Energy!$C$3:$C$22,0),MATCH($C361,Data_Energy!$D$2:$U$2,0))</f>
        <v>0</v>
      </c>
      <c r="M361" s="29">
        <f>FUELUSE(L361,L324,M324,L334,M334,M$341,M$342,M$343,$E351,$F351,$G351,$H351,$I351)</f>
        <v>0</v>
      </c>
      <c r="N361" s="29">
        <f>FUELUSE(M361,M324,N324,M334,N334,N$341,N$342,N$343,$E351,$F351,$G351,$H351,$I351)</f>
        <v>0</v>
      </c>
      <c r="O361" s="29">
        <f>FUELUSE(N361,N324,O324,N334,O334,O$341,O$342,O$343,$E351,$F351,$G351,$H351,$I351)</f>
        <v>0</v>
      </c>
      <c r="P361" s="29">
        <f>FUELUSE(O361,O324,P324,O334,P334,P$341,P$342,P$343,$E351,$F351,$G351,$H351,$I351)</f>
        <v>0</v>
      </c>
      <c r="Q361" s="29">
        <f>FUELUSE(P361,P324,Q324,P334,Q334,Q$341,Q$342,Q$343,$E351,$F351,$G351,$H351,$I351)</f>
        <v>0</v>
      </c>
      <c r="R361" s="29">
        <f>FUELUSE(Q361,Q324,R324,Q334,R334,R$341,R$342,R$343,$E351,$F351,$G351,$H351,$I351)</f>
        <v>0</v>
      </c>
      <c r="S361" s="29">
        <f>FUELUSE(R361,R324,S324,R334,S334,S$341,S$342,S$343,$E351,$F351,$G351,$H351,$I351)</f>
        <v>0</v>
      </c>
      <c r="T361" s="29">
        <f>FUELUSE(S361,S324,T324,S334,T334,T$341,T$342,T$343,$E351,$F351,$G351,$H351,$I351)</f>
        <v>0</v>
      </c>
      <c r="U361" s="29">
        <f>FUELUSE(T361,T324,U324,T334,U334,U$341,U$342,U$343,$E351,$F351,$G351,$H351,$I351)</f>
        <v>0</v>
      </c>
      <c r="V361" s="29">
        <f>FUELUSE(U361,U324,V324,U334,V334,V$341,V$342,V$343,$E351,$F351,$G351,$H351,$I351)</f>
        <v>0</v>
      </c>
      <c r="W361" s="29">
        <f>FUELUSE(V361,V324,W324,V334,W334,W$341,W$342,W$343,$E351,$F351,$G351,$H351,$I351)</f>
        <v>0</v>
      </c>
      <c r="X361" s="29">
        <f>FUELUSE(W361,W324,X324,W334,X334,X$341,X$342,X$343,$E351,$F351,$G351,$H351,$I351)</f>
        <v>0</v>
      </c>
      <c r="Y361" s="29">
        <f>FUELUSE(X361,X324,Y324,X334,Y334,Y$341,Y$342,Y$343,$E351,$F351,$G351,$H351,$I351)</f>
        <v>0</v>
      </c>
      <c r="Z361" s="29">
        <f>FUELUSE(Y361,Y324,Z324,Y334,Z334,Z$341,Z$342,Z$343,$E351,$F351,$G351,$H351,$I351)</f>
        <v>0</v>
      </c>
      <c r="AA361" s="29">
        <f>FUELUSE(Z361,Z324,AA324,Z334,AA334,AA$341,AA$342,AA$343,$E351,$F351,$G351,$H351,$I351)</f>
        <v>0</v>
      </c>
      <c r="AB361" s="29">
        <f>FUELUSE(AA361,AA324,AB324,AA334,AB334,AB$341,AB$342,AB$343,$E351,$F351,$G351,$H351,$I351)</f>
        <v>0</v>
      </c>
      <c r="AC361" s="29">
        <f>FUELUSE(AB361,AB324,AC324,AB334,AC334,AC$341,AC$342,AC$343,$E351,$F351,$G351,$H351,$I351)</f>
        <v>0</v>
      </c>
      <c r="AD361" s="29">
        <f>FUELUSE(AC361,AC324,AD324,AC334,AD334,AD$341,AD$342,AD$343,$E351,$F351,$G351,$H351,$I351)</f>
        <v>0</v>
      </c>
      <c r="AE361" s="29">
        <f>FUELUSE(AD361,AD324,AE324,AD334,AE334,AE$341,AE$342,AE$343,$E351,$F351,$G351,$H351,$I351)</f>
        <v>0</v>
      </c>
    </row>
    <row r="362" spans="1:35" x14ac:dyDescent="0.25">
      <c r="B362" s="17" t="s">
        <v>68</v>
      </c>
      <c r="C362" s="17" t="str">
        <f t="shared" si="34"/>
        <v>cem</v>
      </c>
      <c r="D362" s="18" t="s">
        <v>69</v>
      </c>
      <c r="E362" s="19" t="s">
        <v>112</v>
      </c>
      <c r="F362" s="17" t="s">
        <v>113</v>
      </c>
      <c r="G362" s="20" t="str">
        <f>Settings!$B$3&amp;".mit.enc."&amp;$B362</f>
        <v>egy.mit.enc.oop</v>
      </c>
      <c r="H362" s="21" t="str">
        <f>OUTCODE(Settings!$B$3,"ener",$C$307,$B362,$J$307)</f>
        <v>egy.mit.ener.cem.oop.e.2</v>
      </c>
      <c r="L362" s="28">
        <f>INDEX(Data_Energy!$D$3:$U$22,MATCH($B362,Data_Energy!$C$3:$C$22,0),MATCH($C362,Data_Energy!$D$2:$U$2,0))</f>
        <v>0</v>
      </c>
      <c r="M362" s="29">
        <f>FUELUSE(L362,L325,M325,L335,M335,M$341,M$342,M$343,$E352,$F352,$G352,$H352,$I352)</f>
        <v>0</v>
      </c>
      <c r="N362" s="29">
        <f>FUELUSE(M362,M325,N325,M335,N335,N$341,N$342,N$343,$E352,$F352,$G352,$H352,$I352)</f>
        <v>0</v>
      </c>
      <c r="O362" s="29">
        <f>FUELUSE(N362,N325,O325,N335,O335,O$341,O$342,O$343,$E352,$F352,$G352,$H352,$I352)</f>
        <v>0</v>
      </c>
      <c r="P362" s="29">
        <f>FUELUSE(O362,O325,P325,O335,P335,P$341,P$342,P$343,$E352,$F352,$G352,$H352,$I352)</f>
        <v>0</v>
      </c>
      <c r="Q362" s="29">
        <f>FUELUSE(P362,P325,Q325,P335,Q335,Q$341,Q$342,Q$343,$E352,$F352,$G352,$H352,$I352)</f>
        <v>0</v>
      </c>
      <c r="R362" s="29">
        <f>FUELUSE(Q362,Q325,R325,Q335,R335,R$341,R$342,R$343,$E352,$F352,$G352,$H352,$I352)</f>
        <v>0</v>
      </c>
      <c r="S362" s="29">
        <f>FUELUSE(R362,R325,S325,R335,S335,S$341,S$342,S$343,$E352,$F352,$G352,$H352,$I352)</f>
        <v>0</v>
      </c>
      <c r="T362" s="29">
        <f>FUELUSE(S362,S325,T325,S335,T335,T$341,T$342,T$343,$E352,$F352,$G352,$H352,$I352)</f>
        <v>0</v>
      </c>
      <c r="U362" s="29">
        <f>FUELUSE(T362,T325,U325,T335,U335,U$341,U$342,U$343,$E352,$F352,$G352,$H352,$I352)</f>
        <v>0</v>
      </c>
      <c r="V362" s="29">
        <f>FUELUSE(U362,U325,V325,U335,V335,V$341,V$342,V$343,$E352,$F352,$G352,$H352,$I352)</f>
        <v>0</v>
      </c>
      <c r="W362" s="29">
        <f>FUELUSE(V362,V325,W325,V335,W335,W$341,W$342,W$343,$E352,$F352,$G352,$H352,$I352)</f>
        <v>0</v>
      </c>
      <c r="X362" s="29">
        <f>FUELUSE(W362,W325,X325,W335,X335,X$341,X$342,X$343,$E352,$F352,$G352,$H352,$I352)</f>
        <v>0</v>
      </c>
      <c r="Y362" s="29">
        <f>FUELUSE(X362,X325,Y325,X335,Y335,Y$341,Y$342,Y$343,$E352,$F352,$G352,$H352,$I352)</f>
        <v>0</v>
      </c>
      <c r="Z362" s="29">
        <f>FUELUSE(Y362,Y325,Z325,Y335,Z335,Z$341,Z$342,Z$343,$E352,$F352,$G352,$H352,$I352)</f>
        <v>0</v>
      </c>
      <c r="AA362" s="29">
        <f>FUELUSE(Z362,Z325,AA325,Z335,AA335,AA$341,AA$342,AA$343,$E352,$F352,$G352,$H352,$I352)</f>
        <v>0</v>
      </c>
      <c r="AB362" s="29">
        <f>FUELUSE(AA362,AA325,AB325,AA335,AB335,AB$341,AB$342,AB$343,$E352,$F352,$G352,$H352,$I352)</f>
        <v>0</v>
      </c>
      <c r="AC362" s="29">
        <f>FUELUSE(AB362,AB325,AC325,AB335,AC335,AC$341,AC$342,AC$343,$E352,$F352,$G352,$H352,$I352)</f>
        <v>0</v>
      </c>
      <c r="AD362" s="29">
        <f>FUELUSE(AC362,AC325,AD325,AC335,AD335,AD$341,AD$342,AD$343,$E352,$F352,$G352,$H352,$I352)</f>
        <v>0</v>
      </c>
      <c r="AE362" s="29">
        <f>FUELUSE(AD362,AD325,AE325,AD335,AE335,AE$341,AE$342,AE$343,$E352,$F352,$G352,$H352,$I352)</f>
        <v>0</v>
      </c>
    </row>
    <row r="363" spans="1:35" x14ac:dyDescent="0.25">
      <c r="B363" s="17" t="s">
        <v>71</v>
      </c>
      <c r="C363" s="17" t="str">
        <f t="shared" si="34"/>
        <v>cem</v>
      </c>
      <c r="D363" s="18" t="s">
        <v>72</v>
      </c>
      <c r="E363" s="19" t="s">
        <v>112</v>
      </c>
      <c r="F363" s="17" t="s">
        <v>113</v>
      </c>
      <c r="G363" s="20" t="str">
        <f>Settings!$B$3&amp;".mit.enc."&amp;$B363</f>
        <v>egy.mit.enc.bio</v>
      </c>
      <c r="H363" s="21" t="str">
        <f>OUTCODE(Settings!$B$3,"ener",$C$307,$B363,$J$307)</f>
        <v>egy.mit.ener.cem.bio.e.2</v>
      </c>
      <c r="L363" s="28">
        <f>INDEX(Data_Energy!$D$3:$U$22,MATCH($B363,Data_Energy!$C$3:$C$22,0),MATCH($C363,Data_Energy!$D$2:$U$2,0))</f>
        <v>0</v>
      </c>
      <c r="M363" s="29">
        <f>FUELUSE(L363,L326,M326,L336,M336,M$341,M$342,M$343,$E353,$F353,$G353,$H353,$I353)</f>
        <v>0</v>
      </c>
      <c r="N363" s="29">
        <f>FUELUSE(M363,M326,N326,M336,N336,N$341,N$342,N$343,$E353,$F353,$G353,$H353,$I353)</f>
        <v>0</v>
      </c>
      <c r="O363" s="29">
        <f>FUELUSE(N363,N326,O326,N336,O336,O$341,O$342,O$343,$E353,$F353,$G353,$H353,$I353)</f>
        <v>0</v>
      </c>
      <c r="P363" s="29">
        <f>FUELUSE(O363,O326,P326,O336,P336,P$341,P$342,P$343,$E353,$F353,$G353,$H353,$I353)</f>
        <v>0</v>
      </c>
      <c r="Q363" s="29">
        <f>FUELUSE(P363,P326,Q326,P336,Q336,Q$341,Q$342,Q$343,$E353,$F353,$G353,$H353,$I353)</f>
        <v>0</v>
      </c>
      <c r="R363" s="29">
        <f>FUELUSE(Q363,Q326,R326,Q336,R336,R$341,R$342,R$343,$E353,$F353,$G353,$H353,$I353)</f>
        <v>0</v>
      </c>
      <c r="S363" s="29">
        <f>FUELUSE(R363,R326,S326,R336,S336,S$341,S$342,S$343,$E353,$F353,$G353,$H353,$I353)</f>
        <v>0</v>
      </c>
      <c r="T363" s="29">
        <f>FUELUSE(S363,S326,T326,S336,T336,T$341,T$342,T$343,$E353,$F353,$G353,$H353,$I353)</f>
        <v>0</v>
      </c>
      <c r="U363" s="29">
        <f>FUELUSE(T363,T326,U326,T336,U336,U$341,U$342,U$343,$E353,$F353,$G353,$H353,$I353)</f>
        <v>0</v>
      </c>
      <c r="V363" s="29">
        <f>FUELUSE(U363,U326,V326,U336,V336,V$341,V$342,V$343,$E353,$F353,$G353,$H353,$I353)</f>
        <v>0</v>
      </c>
      <c r="W363" s="29">
        <f>FUELUSE(V363,V326,W326,V336,W336,W$341,W$342,W$343,$E353,$F353,$G353,$H353,$I353)</f>
        <v>0</v>
      </c>
      <c r="X363" s="29">
        <f>FUELUSE(W363,W326,X326,W336,X336,X$341,X$342,X$343,$E353,$F353,$G353,$H353,$I353)</f>
        <v>0</v>
      </c>
      <c r="Y363" s="29">
        <f>FUELUSE(X363,X326,Y326,X336,Y336,Y$341,Y$342,Y$343,$E353,$F353,$G353,$H353,$I353)</f>
        <v>0</v>
      </c>
      <c r="Z363" s="29">
        <f>FUELUSE(Y363,Y326,Z326,Y336,Z336,Z$341,Z$342,Z$343,$E353,$F353,$G353,$H353,$I353)</f>
        <v>0</v>
      </c>
      <c r="AA363" s="29">
        <f>FUELUSE(Z363,Z326,AA326,Z336,AA336,AA$341,AA$342,AA$343,$E353,$F353,$G353,$H353,$I353)</f>
        <v>0</v>
      </c>
      <c r="AB363" s="29">
        <f>FUELUSE(AA363,AA326,AB326,AA336,AB336,AB$341,AB$342,AB$343,$E353,$F353,$G353,$H353,$I353)</f>
        <v>0</v>
      </c>
      <c r="AC363" s="29">
        <f>FUELUSE(AB363,AB326,AC326,AB336,AC336,AC$341,AC$342,AC$343,$E353,$F353,$G353,$H353,$I353)</f>
        <v>0</v>
      </c>
      <c r="AD363" s="29">
        <f>FUELUSE(AC363,AC326,AD326,AC336,AD336,AD$341,AD$342,AD$343,$E353,$F353,$G353,$H353,$I353)</f>
        <v>0</v>
      </c>
      <c r="AE363" s="29">
        <f>FUELUSE(AD363,AD326,AE326,AD336,AE336,AE$341,AE$342,AE$343,$E353,$F353,$G353,$H353,$I353)</f>
        <v>0</v>
      </c>
    </row>
    <row r="364" spans="1:35" x14ac:dyDescent="0.25">
      <c r="B364" s="17" t="s">
        <v>73</v>
      </c>
      <c r="C364" s="17" t="str">
        <f t="shared" si="34"/>
        <v>cem</v>
      </c>
      <c r="D364" s="18" t="s">
        <v>74</v>
      </c>
      <c r="E364" s="19" t="s">
        <v>112</v>
      </c>
      <c r="F364" s="17" t="s">
        <v>113</v>
      </c>
      <c r="G364" s="20" t="str">
        <f>Settings!$B$3&amp;".mit.enc."&amp;$B364</f>
        <v>egy.mit.enc.ren</v>
      </c>
      <c r="H364" s="21" t="str">
        <f>OUTCODE(Settings!$B$3,"ener",$C$307,$B364,$J$307)</f>
        <v>egy.mit.ener.cem.ren.e.2</v>
      </c>
      <c r="L364" s="28">
        <f>INDEX(Data_Energy!$D$3:$U$22,MATCH($B364,Data_Energy!$C$3:$C$22,0),MATCH($C364,Data_Energy!$D$2:$U$2,0))</f>
        <v>0</v>
      </c>
      <c r="M364" s="29">
        <f>FUELUSE(L364,L327,M327,L337,M337,M$341,M$342,M$343,$E354,$F354,$G354,$H354,$I354)</f>
        <v>0</v>
      </c>
      <c r="N364" s="29">
        <f>FUELUSE(M364,M327,N327,M337,N337,N$341,N$342,N$343,$E354,$F354,$G354,$H354,$I354)</f>
        <v>0</v>
      </c>
      <c r="O364" s="29">
        <f>FUELUSE(N364,N327,O327,N337,O337,O$341,O$342,O$343,$E354,$F354,$G354,$H354,$I354)</f>
        <v>0</v>
      </c>
      <c r="P364" s="29">
        <f>FUELUSE(O364,O327,P327,O337,P337,P$341,P$342,P$343,$E354,$F354,$G354,$H354,$I354)</f>
        <v>0</v>
      </c>
      <c r="Q364" s="29">
        <f>FUELUSE(P364,P327,Q327,P337,Q337,Q$341,Q$342,Q$343,$E354,$F354,$G354,$H354,$I354)</f>
        <v>0</v>
      </c>
      <c r="R364" s="29">
        <f>FUELUSE(Q364,Q327,R327,Q337,R337,R$341,R$342,R$343,$E354,$F354,$G354,$H354,$I354)</f>
        <v>0</v>
      </c>
      <c r="S364" s="29">
        <f>FUELUSE(R364,R327,S327,R337,S337,S$341,S$342,S$343,$E354,$F354,$G354,$H354,$I354)</f>
        <v>0</v>
      </c>
      <c r="T364" s="29">
        <f>FUELUSE(S364,S327,T327,S337,T337,T$341,T$342,T$343,$E354,$F354,$G354,$H354,$I354)</f>
        <v>0</v>
      </c>
      <c r="U364" s="29">
        <f>FUELUSE(T364,T327,U327,T337,U337,U$341,U$342,U$343,$E354,$F354,$G354,$H354,$I354)</f>
        <v>0</v>
      </c>
      <c r="V364" s="29">
        <f>FUELUSE(U364,U327,V327,U337,V337,V$341,V$342,V$343,$E354,$F354,$G354,$H354,$I354)</f>
        <v>0</v>
      </c>
      <c r="W364" s="29">
        <f>FUELUSE(V364,V327,W327,V337,W337,W$341,W$342,W$343,$E354,$F354,$G354,$H354,$I354)</f>
        <v>0</v>
      </c>
      <c r="X364" s="29">
        <f>FUELUSE(W364,W327,X327,W337,X337,X$341,X$342,X$343,$E354,$F354,$G354,$H354,$I354)</f>
        <v>0</v>
      </c>
      <c r="Y364" s="29">
        <f>FUELUSE(X364,X327,Y327,X337,Y337,Y$341,Y$342,Y$343,$E354,$F354,$G354,$H354,$I354)</f>
        <v>0</v>
      </c>
      <c r="Z364" s="29">
        <f>FUELUSE(Y364,Y327,Z327,Y337,Z337,Z$341,Z$342,Z$343,$E354,$F354,$G354,$H354,$I354)</f>
        <v>0</v>
      </c>
      <c r="AA364" s="29">
        <f>FUELUSE(Z364,Z327,AA327,Z337,AA337,AA$341,AA$342,AA$343,$E354,$F354,$G354,$H354,$I354)</f>
        <v>0</v>
      </c>
      <c r="AB364" s="29">
        <f>FUELUSE(AA364,AA327,AB327,AA337,AB337,AB$341,AB$342,AB$343,$E354,$F354,$G354,$H354,$I354)</f>
        <v>0</v>
      </c>
      <c r="AC364" s="29">
        <f>FUELUSE(AB364,AB327,AC327,AB337,AC337,AC$341,AC$342,AC$343,$E354,$F354,$G354,$H354,$I354)</f>
        <v>0</v>
      </c>
      <c r="AD364" s="29">
        <f>FUELUSE(AC364,AC327,AD327,AC337,AD337,AD$341,AD$342,AD$343,$E354,$F354,$G354,$H354,$I354)</f>
        <v>0</v>
      </c>
      <c r="AE364" s="29">
        <f>FUELUSE(AD364,AD327,AE327,AD337,AE337,AE$341,AE$342,AE$343,$E354,$F354,$G354,$H354,$I354)</f>
        <v>0</v>
      </c>
    </row>
    <row r="365" spans="1:35" x14ac:dyDescent="0.25">
      <c r="B365" s="17" t="s">
        <v>114</v>
      </c>
      <c r="C365" s="17" t="str">
        <f t="shared" si="34"/>
        <v>cem</v>
      </c>
      <c r="D365" s="30" t="s">
        <v>115</v>
      </c>
      <c r="E365" s="19" t="s">
        <v>112</v>
      </c>
      <c r="F365" s="17" t="s">
        <v>113</v>
      </c>
      <c r="H365" s="21" t="str">
        <f>OUTCODE(Settings!$B$3,"ener",$C$307,"tot",$J$307)</f>
        <v>egy.mit.ener.cem.tot.e.2</v>
      </c>
      <c r="L365" s="31">
        <f t="shared" ref="L365:AE365" si="35">SUM(L356:L364)</f>
        <v>3210.4467592248702</v>
      </c>
      <c r="M365" s="31">
        <f t="shared" si="35"/>
        <v>2690.3404093921149</v>
      </c>
      <c r="N365" s="31">
        <f t="shared" si="35"/>
        <v>3047.5360888007312</v>
      </c>
      <c r="O365" s="31">
        <f t="shared" si="35"/>
        <v>3240.6928223889818</v>
      </c>
      <c r="P365" s="31">
        <f t="shared" si="35"/>
        <v>3273.2119677539513</v>
      </c>
      <c r="Q365" s="31">
        <f t="shared" si="35"/>
        <v>3089.4258527074817</v>
      </c>
      <c r="R365" s="31">
        <f t="shared" si="35"/>
        <v>2975.1242061609983</v>
      </c>
      <c r="S365" s="31">
        <f t="shared" si="35"/>
        <v>2878.4338008647092</v>
      </c>
      <c r="T365" s="31">
        <f t="shared" si="35"/>
        <v>2793.1021878663519</v>
      </c>
      <c r="U365" s="31">
        <f t="shared" si="35"/>
        <v>2721.6867792281109</v>
      </c>
      <c r="V365" s="31">
        <f t="shared" si="35"/>
        <v>2659.4365656902282</v>
      </c>
      <c r="W365" s="31">
        <f t="shared" si="35"/>
        <v>2608.3843590415563</v>
      </c>
      <c r="X365" s="31">
        <f t="shared" si="35"/>
        <v>2567.143963210925</v>
      </c>
      <c r="Y365" s="31">
        <f t="shared" si="35"/>
        <v>2534.8641732295546</v>
      </c>
      <c r="Z365" s="31">
        <f t="shared" si="35"/>
        <v>2511.2970995969799</v>
      </c>
      <c r="AA365" s="31">
        <f t="shared" si="35"/>
        <v>2495.898871731009</v>
      </c>
      <c r="AB365" s="31">
        <f t="shared" si="35"/>
        <v>2488.1145593655269</v>
      </c>
      <c r="AC365" s="31">
        <f t="shared" si="35"/>
        <v>2487.0912005211107</v>
      </c>
      <c r="AD365" s="31">
        <f t="shared" si="35"/>
        <v>2492.116697620846</v>
      </c>
      <c r="AE365" s="31">
        <f t="shared" si="35"/>
        <v>2502.6519509263308</v>
      </c>
    </row>
    <row r="367" spans="1:35" x14ac:dyDescent="0.25">
      <c r="A367" s="12"/>
      <c r="B367" s="7" t="s">
        <v>118</v>
      </c>
      <c r="C367" s="8" t="s">
        <v>119</v>
      </c>
      <c r="D367" s="7" t="s">
        <v>48</v>
      </c>
      <c r="E367" s="8" t="s">
        <v>39</v>
      </c>
      <c r="F367" s="8" t="s">
        <v>49</v>
      </c>
      <c r="G367" s="8" t="s">
        <v>50</v>
      </c>
      <c r="H367" s="13" t="s">
        <v>42</v>
      </c>
      <c r="I367" s="7" t="s">
        <v>51</v>
      </c>
      <c r="J367" s="14">
        <v>2</v>
      </c>
      <c r="K367" s="7">
        <v>2021</v>
      </c>
      <c r="L367" s="15">
        <v>2022</v>
      </c>
      <c r="M367" s="7">
        <v>2023</v>
      </c>
      <c r="N367" s="7">
        <v>2024</v>
      </c>
      <c r="O367" s="7">
        <v>2025</v>
      </c>
      <c r="P367" s="7">
        <v>2026</v>
      </c>
      <c r="Q367" s="7">
        <v>2027</v>
      </c>
      <c r="R367" s="7">
        <v>2028</v>
      </c>
      <c r="S367" s="7">
        <v>2029</v>
      </c>
      <c r="T367" s="7">
        <v>2030</v>
      </c>
      <c r="U367" s="7">
        <v>2031</v>
      </c>
      <c r="V367" s="7">
        <v>2032</v>
      </c>
      <c r="W367" s="7">
        <v>2033</v>
      </c>
      <c r="X367" s="7">
        <v>2034</v>
      </c>
      <c r="Y367" s="7">
        <v>2035</v>
      </c>
      <c r="Z367" s="7">
        <v>2036</v>
      </c>
      <c r="AA367" s="7">
        <v>2037</v>
      </c>
      <c r="AB367" s="7">
        <v>2038</v>
      </c>
      <c r="AC367" s="7">
        <v>2039</v>
      </c>
      <c r="AD367" s="7">
        <v>2040</v>
      </c>
      <c r="AE367" s="7">
        <v>2041</v>
      </c>
      <c r="AF367" s="7">
        <v>2042</v>
      </c>
      <c r="AG367" s="7">
        <v>2043</v>
      </c>
      <c r="AH367" s="7">
        <v>2044</v>
      </c>
      <c r="AI367" s="7">
        <v>2045</v>
      </c>
    </row>
    <row r="368" spans="1:35" x14ac:dyDescent="0.25">
      <c r="B368" s="16" t="s">
        <v>52</v>
      </c>
    </row>
    <row r="369" spans="2:31" x14ac:dyDescent="0.25">
      <c r="B369" s="17" t="s">
        <v>53</v>
      </c>
      <c r="C369" s="17" t="str">
        <f t="shared" ref="C369:C377" si="36">$C$367</f>
        <v>nfm</v>
      </c>
      <c r="D369" s="18" t="s">
        <v>54</v>
      </c>
      <c r="E369" s="19" t="s">
        <v>55</v>
      </c>
      <c r="F369" s="17" t="s">
        <v>56</v>
      </c>
      <c r="G369" s="20" t="str">
        <f>Settings!$B$3&amp;".mit.pbc."&amp;Settings!$B$4&amp;"."&amp;$B369&amp;".a."&amp;$J$367</f>
        <v>egy.mit.pbc.ind.coa.a.2</v>
      </c>
      <c r="H369" s="21" t="str">
        <f>OUTCODE(Settings!$B$3,"ptp",$C$367,$B369,$J$367)</f>
        <v>egy.mit.ptp.nfm.coa.e.2</v>
      </c>
      <c r="K369" s="22">
        <f>INDEX(Data_Prices!K:K,MATCH($G369,Data_Prices!$A:$A,0))</f>
        <v>11.18290158924394</v>
      </c>
      <c r="L369" s="22">
        <f>INDEX(Data_Prices!L:L,MATCH($G369,Data_Prices!$A:$A,0))</f>
        <v>10.52336134543121</v>
      </c>
      <c r="M369" s="22">
        <f>INDEX(Data_Prices!M:M,MATCH($G369,Data_Prices!$A:$A,0))</f>
        <v>10.299560827444211</v>
      </c>
      <c r="N369" s="22">
        <f>INDEX(Data_Prices!N:N,MATCH($G369,Data_Prices!$A:$A,0))</f>
        <v>9.5775283595382632</v>
      </c>
      <c r="O369" s="22">
        <f>INDEX(Data_Prices!O:O,MATCH($G369,Data_Prices!$A:$A,0))</f>
        <v>8.4854782869580454</v>
      </c>
      <c r="P369" s="22">
        <f>INDEX(Data_Prices!P:P,MATCH($G369,Data_Prices!$A:$A,0))</f>
        <v>9.0871922352498604</v>
      </c>
      <c r="Q369" s="22">
        <f>INDEX(Data_Prices!Q:Q,MATCH($G369,Data_Prices!$A:$A,0))</f>
        <v>9.2229237289326811</v>
      </c>
      <c r="R369" s="22">
        <f>INDEX(Data_Prices!R:R,MATCH($G369,Data_Prices!$A:$A,0))</f>
        <v>9.1585649555096875</v>
      </c>
      <c r="S369" s="22">
        <f>INDEX(Data_Prices!S:S,MATCH($G369,Data_Prices!$A:$A,0))</f>
        <v>9.0895478773973775</v>
      </c>
      <c r="T369" s="22">
        <f>INDEX(Data_Prices!T:T,MATCH($G369,Data_Prices!$A:$A,0))</f>
        <v>9.0156816660228305</v>
      </c>
      <c r="U369" s="22">
        <f>INDEX(Data_Prices!U:U,MATCH($G369,Data_Prices!$A:$A,0))</f>
        <v>8.9443977655571061</v>
      </c>
      <c r="V369" s="22">
        <f>INDEX(Data_Prices!V:V,MATCH($G369,Data_Prices!$A:$A,0))</f>
        <v>8.9443977655571061</v>
      </c>
      <c r="W369" s="22">
        <f>INDEX(Data_Prices!W:W,MATCH($G369,Data_Prices!$A:$A,0))</f>
        <v>8.9443977655571061</v>
      </c>
      <c r="X369" s="22">
        <f>INDEX(Data_Prices!X:X,MATCH($G369,Data_Prices!$A:$A,0))</f>
        <v>8.9443977655571061</v>
      </c>
      <c r="Y369" s="22">
        <f>INDEX(Data_Prices!Y:Y,MATCH($G369,Data_Prices!$A:$A,0))</f>
        <v>8.9443977655571061</v>
      </c>
      <c r="Z369" s="22">
        <f>INDEX(Data_Prices!Z:Z,MATCH($G369,Data_Prices!$A:$A,0))</f>
        <v>8.9443977655571061</v>
      </c>
      <c r="AA369" s="22">
        <f>INDEX(Data_Prices!AA:AA,MATCH($G369,Data_Prices!$A:$A,0))</f>
        <v>8.9443977655571061</v>
      </c>
      <c r="AB369" s="22">
        <f>INDEX(Data_Prices!AB:AB,MATCH($G369,Data_Prices!$A:$A,0))</f>
        <v>8.9443977655571061</v>
      </c>
      <c r="AC369" s="22">
        <f>INDEX(Data_Prices!AC:AC,MATCH($G369,Data_Prices!$A:$A,0))</f>
        <v>8.9443977655571061</v>
      </c>
      <c r="AD369" s="22">
        <f>INDEX(Data_Prices!AD:AD,MATCH($G369,Data_Prices!$A:$A,0))</f>
        <v>8.9443977655571061</v>
      </c>
      <c r="AE369" s="22">
        <f>INDEX(Data_Prices!AE:AE,MATCH($G369,Data_Prices!$A:$A,0))</f>
        <v>8.9443977655571061</v>
      </c>
    </row>
    <row r="370" spans="2:31" x14ac:dyDescent="0.25">
      <c r="B370" s="17" t="s">
        <v>57</v>
      </c>
      <c r="C370" s="17" t="str">
        <f t="shared" si="36"/>
        <v>nfm</v>
      </c>
      <c r="D370" s="18" t="s">
        <v>58</v>
      </c>
      <c r="E370" s="19" t="s">
        <v>55</v>
      </c>
      <c r="F370" s="17" t="s">
        <v>56</v>
      </c>
      <c r="G370" s="20" t="str">
        <f>Settings!$B$3&amp;".mit.pbc."&amp;Settings!$B$4&amp;"."&amp;$B370&amp;".a."&amp;$J$367</f>
        <v>egy.mit.pbc.ind.nga.a.2</v>
      </c>
      <c r="H370" s="21" t="str">
        <f>OUTCODE(Settings!$B$3,"ptp",$C$367,$B370,$J$367)</f>
        <v>egy.mit.ptp.nfm.nga.e.2</v>
      </c>
      <c r="K370" s="22">
        <f>INDEX(Data_Prices!K:K,MATCH($G370,Data_Prices!$A:$A,0))</f>
        <v>6.0634636156729131</v>
      </c>
      <c r="L370" s="22">
        <f>INDEX(Data_Prices!L:L,MATCH($G370,Data_Prices!$A:$A,0))</f>
        <v>5.4510150816191896</v>
      </c>
      <c r="M370" s="22">
        <f>INDEX(Data_Prices!M:M,MATCH($G370,Data_Prices!$A:$A,0))</f>
        <v>5.1193563062624818</v>
      </c>
      <c r="N370" s="22">
        <f>INDEX(Data_Prices!N:N,MATCH($G370,Data_Prices!$A:$A,0))</f>
        <v>5.0821845864040727</v>
      </c>
      <c r="O370" s="22">
        <f>INDEX(Data_Prices!O:O,MATCH($G370,Data_Prices!$A:$A,0))</f>
        <v>5.0821845864040727</v>
      </c>
      <c r="P370" s="22">
        <f>INDEX(Data_Prices!P:P,MATCH($G370,Data_Prices!$A:$A,0))</f>
        <v>5.0821845864040727</v>
      </c>
      <c r="Q370" s="22">
        <f>INDEX(Data_Prices!Q:Q,MATCH($G370,Data_Prices!$A:$A,0))</f>
        <v>5.0821845864040727</v>
      </c>
      <c r="R370" s="22">
        <f>INDEX(Data_Prices!R:R,MATCH($G370,Data_Prices!$A:$A,0))</f>
        <v>5.0821845864040727</v>
      </c>
      <c r="S370" s="22">
        <f>INDEX(Data_Prices!S:S,MATCH($G370,Data_Prices!$A:$A,0))</f>
        <v>5.0821845864040736</v>
      </c>
      <c r="T370" s="22">
        <f>INDEX(Data_Prices!T:T,MATCH($G370,Data_Prices!$A:$A,0))</f>
        <v>5.0821845864040736</v>
      </c>
      <c r="U370" s="22">
        <f>INDEX(Data_Prices!U:U,MATCH($G370,Data_Prices!$A:$A,0))</f>
        <v>5.0821845864040727</v>
      </c>
      <c r="V370" s="22">
        <f>INDEX(Data_Prices!V:V,MATCH($G370,Data_Prices!$A:$A,0))</f>
        <v>5.0821845864040727</v>
      </c>
      <c r="W370" s="22">
        <f>INDEX(Data_Prices!W:W,MATCH($G370,Data_Prices!$A:$A,0))</f>
        <v>5.0821845864040727</v>
      </c>
      <c r="X370" s="22">
        <f>INDEX(Data_Prices!X:X,MATCH($G370,Data_Prices!$A:$A,0))</f>
        <v>5.0821845864040727</v>
      </c>
      <c r="Y370" s="22">
        <f>INDEX(Data_Prices!Y:Y,MATCH($G370,Data_Prices!$A:$A,0))</f>
        <v>5.0821845864040718</v>
      </c>
      <c r="Z370" s="22">
        <f>INDEX(Data_Prices!Z:Z,MATCH($G370,Data_Prices!$A:$A,0))</f>
        <v>5.0821845864040736</v>
      </c>
      <c r="AA370" s="22">
        <f>INDEX(Data_Prices!AA:AA,MATCH($G370,Data_Prices!$A:$A,0))</f>
        <v>5.0821845864040718</v>
      </c>
      <c r="AB370" s="22">
        <f>INDEX(Data_Prices!AB:AB,MATCH($G370,Data_Prices!$A:$A,0))</f>
        <v>5.0821845864040736</v>
      </c>
      <c r="AC370" s="22">
        <f>INDEX(Data_Prices!AC:AC,MATCH($G370,Data_Prices!$A:$A,0))</f>
        <v>5.0821845864040718</v>
      </c>
      <c r="AD370" s="22">
        <f>INDEX(Data_Prices!AD:AD,MATCH($G370,Data_Prices!$A:$A,0))</f>
        <v>5.0821845864040736</v>
      </c>
      <c r="AE370" s="22">
        <f>INDEX(Data_Prices!AE:AE,MATCH($G370,Data_Prices!$A:$A,0))</f>
        <v>5.0821845864040718</v>
      </c>
    </row>
    <row r="371" spans="2:31" x14ac:dyDescent="0.25">
      <c r="B371" s="17" t="s">
        <v>59</v>
      </c>
      <c r="C371" s="17" t="str">
        <f t="shared" si="36"/>
        <v>nfm</v>
      </c>
      <c r="D371" s="18" t="s">
        <v>60</v>
      </c>
      <c r="E371" s="19" t="s">
        <v>61</v>
      </c>
      <c r="F371" s="17" t="s">
        <v>56</v>
      </c>
      <c r="G371" s="20" t="str">
        <f>Settings!$B$3&amp;".mit.pbc."&amp;Settings!$B$4&amp;"."&amp;$B371&amp;".a."&amp;$J$367</f>
        <v>egy.mit.pbc.ind.gso.a.2</v>
      </c>
      <c r="H371" s="21" t="str">
        <f>OUTCODE(Settings!$B$3,"ptp",$C$367,$B371,$J$367)</f>
        <v>egy.mit.ptp.nfm.gso.e.2</v>
      </c>
      <c r="K371" s="22">
        <f>INDEX(Data_Prices!K:K,MATCH($G371,Data_Prices!$A:$A,0))</f>
        <v>0.67114653332181606</v>
      </c>
      <c r="L371" s="22">
        <f>INDEX(Data_Prices!L:L,MATCH($G371,Data_Prices!$A:$A,0))</f>
        <v>0.61197797679140631</v>
      </c>
      <c r="M371" s="22">
        <f>INDEX(Data_Prices!M:M,MATCH($G371,Data_Prices!$A:$A,0))</f>
        <v>0.61180974964187596</v>
      </c>
      <c r="N371" s="22">
        <f>INDEX(Data_Prices!N:N,MATCH($G371,Data_Prices!$A:$A,0))</f>
        <v>0.60358310017790551</v>
      </c>
      <c r="O371" s="22">
        <f>INDEX(Data_Prices!O:O,MATCH($G371,Data_Prices!$A:$A,0))</f>
        <v>0.60358310017790551</v>
      </c>
      <c r="P371" s="22">
        <f>INDEX(Data_Prices!P:P,MATCH($G371,Data_Prices!$A:$A,0))</f>
        <v>0.60358310017790551</v>
      </c>
      <c r="Q371" s="22">
        <f>INDEX(Data_Prices!Q:Q,MATCH($G371,Data_Prices!$A:$A,0))</f>
        <v>0.60358310017790551</v>
      </c>
      <c r="R371" s="22">
        <f>INDEX(Data_Prices!R:R,MATCH($G371,Data_Prices!$A:$A,0))</f>
        <v>0.60358310017790551</v>
      </c>
      <c r="S371" s="22">
        <f>INDEX(Data_Prices!S:S,MATCH($G371,Data_Prices!$A:$A,0))</f>
        <v>0.60358310017790551</v>
      </c>
      <c r="T371" s="22">
        <f>INDEX(Data_Prices!T:T,MATCH($G371,Data_Prices!$A:$A,0))</f>
        <v>0.60358310017790551</v>
      </c>
      <c r="U371" s="22">
        <f>INDEX(Data_Prices!U:U,MATCH($G371,Data_Prices!$A:$A,0))</f>
        <v>0.60358310017790551</v>
      </c>
      <c r="V371" s="22">
        <f>INDEX(Data_Prices!V:V,MATCH($G371,Data_Prices!$A:$A,0))</f>
        <v>0.60358310017790551</v>
      </c>
      <c r="W371" s="22">
        <f>INDEX(Data_Prices!W:W,MATCH($G371,Data_Prices!$A:$A,0))</f>
        <v>0.60358310017790551</v>
      </c>
      <c r="X371" s="22">
        <f>INDEX(Data_Prices!X:X,MATCH($G371,Data_Prices!$A:$A,0))</f>
        <v>0.60358310017790551</v>
      </c>
      <c r="Y371" s="22">
        <f>INDEX(Data_Prices!Y:Y,MATCH($G371,Data_Prices!$A:$A,0))</f>
        <v>0.60358310017790551</v>
      </c>
      <c r="Z371" s="22">
        <f>INDEX(Data_Prices!Z:Z,MATCH($G371,Data_Prices!$A:$A,0))</f>
        <v>0.60358310017790551</v>
      </c>
      <c r="AA371" s="22">
        <f>INDEX(Data_Prices!AA:AA,MATCH($G371,Data_Prices!$A:$A,0))</f>
        <v>0.60358310017790551</v>
      </c>
      <c r="AB371" s="22">
        <f>INDEX(Data_Prices!AB:AB,MATCH($G371,Data_Prices!$A:$A,0))</f>
        <v>0.60358310017790551</v>
      </c>
      <c r="AC371" s="22">
        <f>INDEX(Data_Prices!AC:AC,MATCH($G371,Data_Prices!$A:$A,0))</f>
        <v>0.60358310017790551</v>
      </c>
      <c r="AD371" s="22">
        <f>INDEX(Data_Prices!AD:AD,MATCH($G371,Data_Prices!$A:$A,0))</f>
        <v>0.60358310017790551</v>
      </c>
      <c r="AE371" s="22">
        <f>INDEX(Data_Prices!AE:AE,MATCH($G371,Data_Prices!$A:$A,0))</f>
        <v>0.60358310017790562</v>
      </c>
    </row>
    <row r="372" spans="2:31" x14ac:dyDescent="0.25">
      <c r="B372" s="17" t="s">
        <v>62</v>
      </c>
      <c r="C372" s="17" t="str">
        <f t="shared" si="36"/>
        <v>nfm</v>
      </c>
      <c r="D372" s="18" t="s">
        <v>63</v>
      </c>
      <c r="E372" s="19" t="s">
        <v>61</v>
      </c>
      <c r="F372" s="17" t="s">
        <v>56</v>
      </c>
      <c r="G372" s="20" t="str">
        <f>Settings!$B$3&amp;".mit.pbc."&amp;Settings!$B$4&amp;"."&amp;$B372&amp;".a."&amp;$J$367</f>
        <v>egy.mit.pbc.ind.die.a.2</v>
      </c>
      <c r="H372" s="21" t="str">
        <f>OUTCODE(Settings!$B$3,"ptp",$C$367,$B372,$J$367)</f>
        <v>egy.mit.ptp.nfm.die.e.2</v>
      </c>
      <c r="K372" s="22">
        <f>INDEX(Data_Prices!K:K,MATCH($G372,Data_Prices!$A:$A,0))</f>
        <v>0.55971121315568761</v>
      </c>
      <c r="L372" s="22">
        <f>INDEX(Data_Prices!L:L,MATCH($G372,Data_Prices!$A:$A,0))</f>
        <v>0.49458873084106802</v>
      </c>
      <c r="M372" s="22">
        <f>INDEX(Data_Prices!M:M,MATCH($G372,Data_Prices!$A:$A,0))</f>
        <v>0.50778654720250049</v>
      </c>
      <c r="N372" s="22">
        <f>INDEX(Data_Prices!N:N,MATCH($G372,Data_Prices!$A:$A,0))</f>
        <v>0.47043642679561742</v>
      </c>
      <c r="O372" s="22">
        <f>INDEX(Data_Prices!O:O,MATCH($G372,Data_Prices!$A:$A,0))</f>
        <v>0.47043642679561742</v>
      </c>
      <c r="P372" s="22">
        <f>INDEX(Data_Prices!P:P,MATCH($G372,Data_Prices!$A:$A,0))</f>
        <v>0.47043642679561742</v>
      </c>
      <c r="Q372" s="22">
        <f>INDEX(Data_Prices!Q:Q,MATCH($G372,Data_Prices!$A:$A,0))</f>
        <v>0.47043642679561742</v>
      </c>
      <c r="R372" s="22">
        <f>INDEX(Data_Prices!R:R,MATCH($G372,Data_Prices!$A:$A,0))</f>
        <v>0.47043642679561742</v>
      </c>
      <c r="S372" s="22">
        <f>INDEX(Data_Prices!S:S,MATCH($G372,Data_Prices!$A:$A,0))</f>
        <v>0.47043642679561742</v>
      </c>
      <c r="T372" s="22">
        <f>INDEX(Data_Prices!T:T,MATCH($G372,Data_Prices!$A:$A,0))</f>
        <v>0.47043642679561742</v>
      </c>
      <c r="U372" s="22">
        <f>INDEX(Data_Prices!U:U,MATCH($G372,Data_Prices!$A:$A,0))</f>
        <v>0.47043642679561742</v>
      </c>
      <c r="V372" s="22">
        <f>INDEX(Data_Prices!V:V,MATCH($G372,Data_Prices!$A:$A,0))</f>
        <v>0.47043642679561742</v>
      </c>
      <c r="W372" s="22">
        <f>INDEX(Data_Prices!W:W,MATCH($G372,Data_Prices!$A:$A,0))</f>
        <v>0.47043642679561742</v>
      </c>
      <c r="X372" s="22">
        <f>INDEX(Data_Prices!X:X,MATCH($G372,Data_Prices!$A:$A,0))</f>
        <v>0.47043642679561742</v>
      </c>
      <c r="Y372" s="22">
        <f>INDEX(Data_Prices!Y:Y,MATCH($G372,Data_Prices!$A:$A,0))</f>
        <v>0.47043642679561731</v>
      </c>
      <c r="Z372" s="22">
        <f>INDEX(Data_Prices!Z:Z,MATCH($G372,Data_Prices!$A:$A,0))</f>
        <v>0.47043642679561731</v>
      </c>
      <c r="AA372" s="22">
        <f>INDEX(Data_Prices!AA:AA,MATCH($G372,Data_Prices!$A:$A,0))</f>
        <v>0.47043642679561731</v>
      </c>
      <c r="AB372" s="22">
        <f>INDEX(Data_Prices!AB:AB,MATCH($G372,Data_Prices!$A:$A,0))</f>
        <v>0.47043642679561731</v>
      </c>
      <c r="AC372" s="22">
        <f>INDEX(Data_Prices!AC:AC,MATCH($G372,Data_Prices!$A:$A,0))</f>
        <v>0.47043642679561731</v>
      </c>
      <c r="AD372" s="22">
        <f>INDEX(Data_Prices!AD:AD,MATCH($G372,Data_Prices!$A:$A,0))</f>
        <v>0.47043642679561731</v>
      </c>
      <c r="AE372" s="22">
        <f>INDEX(Data_Prices!AE:AE,MATCH($G372,Data_Prices!$A:$A,0))</f>
        <v>0.47043642679561731</v>
      </c>
    </row>
    <row r="373" spans="2:31" x14ac:dyDescent="0.25">
      <c r="B373" s="17" t="s">
        <v>64</v>
      </c>
      <c r="C373" s="17" t="str">
        <f t="shared" si="36"/>
        <v>nfm</v>
      </c>
      <c r="D373" s="18" t="s">
        <v>65</v>
      </c>
      <c r="E373" s="19" t="s">
        <v>61</v>
      </c>
      <c r="F373" s="17" t="s">
        <v>56</v>
      </c>
      <c r="G373" s="20" t="str">
        <f>Settings!$B$3&amp;".mit.pbc."&amp;Settings!$B$4&amp;"."&amp;$B373&amp;".a."&amp;$J$367</f>
        <v>egy.mit.pbc.ind.lpg.a.2</v>
      </c>
      <c r="H373" s="21" t="str">
        <f>OUTCODE(Settings!$B$3,"ptp",$C$367,$B373,$J$367)</f>
        <v>egy.mit.ptp.nfm.lpg.e.2</v>
      </c>
      <c r="K373" s="22">
        <f>INDEX(Data_Prices!K:K,MATCH($G373,Data_Prices!$A:$A,0))</f>
        <v>0.20036669112673841</v>
      </c>
      <c r="L373" s="22">
        <f>INDEX(Data_Prices!L:L,MATCH($G373,Data_Prices!$A:$A,0))</f>
        <v>0.1573447362522738</v>
      </c>
      <c r="M373" s="22">
        <f>INDEX(Data_Prices!M:M,MATCH($G373,Data_Prices!$A:$A,0))</f>
        <v>0.1644840377592767</v>
      </c>
      <c r="N373" s="22">
        <f>INDEX(Data_Prices!N:N,MATCH($G373,Data_Prices!$A:$A,0))</f>
        <v>0.1507090778070489</v>
      </c>
      <c r="O373" s="22">
        <f>INDEX(Data_Prices!O:O,MATCH($G373,Data_Prices!$A:$A,0))</f>
        <v>0.1507090778070489</v>
      </c>
      <c r="P373" s="22">
        <f>INDEX(Data_Prices!P:P,MATCH($G373,Data_Prices!$A:$A,0))</f>
        <v>0.1507090778070489</v>
      </c>
      <c r="Q373" s="22">
        <f>INDEX(Data_Prices!Q:Q,MATCH($G373,Data_Prices!$A:$A,0))</f>
        <v>0.1507090778070489</v>
      </c>
      <c r="R373" s="22">
        <f>INDEX(Data_Prices!R:R,MATCH($G373,Data_Prices!$A:$A,0))</f>
        <v>0.1507090778070489</v>
      </c>
      <c r="S373" s="22">
        <f>INDEX(Data_Prices!S:S,MATCH($G373,Data_Prices!$A:$A,0))</f>
        <v>0.1507090778070489</v>
      </c>
      <c r="T373" s="22">
        <f>INDEX(Data_Prices!T:T,MATCH($G373,Data_Prices!$A:$A,0))</f>
        <v>0.1507090778070489</v>
      </c>
      <c r="U373" s="22">
        <f>INDEX(Data_Prices!U:U,MATCH($G373,Data_Prices!$A:$A,0))</f>
        <v>0.1507090778070489</v>
      </c>
      <c r="V373" s="22">
        <f>INDEX(Data_Prices!V:V,MATCH($G373,Data_Prices!$A:$A,0))</f>
        <v>0.1507090778070489</v>
      </c>
      <c r="W373" s="22">
        <f>INDEX(Data_Prices!W:W,MATCH($G373,Data_Prices!$A:$A,0))</f>
        <v>0.1507090778070489</v>
      </c>
      <c r="X373" s="22">
        <f>INDEX(Data_Prices!X:X,MATCH($G373,Data_Prices!$A:$A,0))</f>
        <v>0.1507090778070489</v>
      </c>
      <c r="Y373" s="22">
        <f>INDEX(Data_Prices!Y:Y,MATCH($G373,Data_Prices!$A:$A,0))</f>
        <v>0.1507090778070489</v>
      </c>
      <c r="Z373" s="22">
        <f>INDEX(Data_Prices!Z:Z,MATCH($G373,Data_Prices!$A:$A,0))</f>
        <v>0.1507090778070489</v>
      </c>
      <c r="AA373" s="22">
        <f>INDEX(Data_Prices!AA:AA,MATCH($G373,Data_Prices!$A:$A,0))</f>
        <v>0.1507090778070489</v>
      </c>
      <c r="AB373" s="22">
        <f>INDEX(Data_Prices!AB:AB,MATCH($G373,Data_Prices!$A:$A,0))</f>
        <v>0.1507090778070489</v>
      </c>
      <c r="AC373" s="22">
        <f>INDEX(Data_Prices!AC:AC,MATCH($G373,Data_Prices!$A:$A,0))</f>
        <v>0.1507090778070489</v>
      </c>
      <c r="AD373" s="22">
        <f>INDEX(Data_Prices!AD:AD,MATCH($G373,Data_Prices!$A:$A,0))</f>
        <v>0.1507090778070489</v>
      </c>
      <c r="AE373" s="22">
        <f>INDEX(Data_Prices!AE:AE,MATCH($G373,Data_Prices!$A:$A,0))</f>
        <v>0.1507090778070489</v>
      </c>
    </row>
    <row r="374" spans="2:31" x14ac:dyDescent="0.25">
      <c r="B374" s="17" t="s">
        <v>66</v>
      </c>
      <c r="C374" s="17" t="str">
        <f t="shared" si="36"/>
        <v>nfm</v>
      </c>
      <c r="D374" s="18" t="s">
        <v>67</v>
      </c>
      <c r="E374" s="19" t="s">
        <v>61</v>
      </c>
      <c r="F374" s="17" t="s">
        <v>56</v>
      </c>
      <c r="G374" s="20" t="str">
        <f>Settings!$B$3&amp;".mit.pbc."&amp;Settings!$B$4&amp;"."&amp;$B374&amp;".a."&amp;$J$367</f>
        <v>egy.mit.pbc.ind.ker.a.2</v>
      </c>
      <c r="H374" s="21" t="str">
        <f>OUTCODE(Settings!$B$3,"ptp",$C$367,$B374,$J$367)</f>
        <v>egy.mit.ptp.nfm.ker.e.2</v>
      </c>
      <c r="K374" s="22">
        <f>INDEX(Data_Prices!K:K,MATCH($G374,Data_Prices!$A:$A,0))</f>
        <v>0.48429424097343482</v>
      </c>
      <c r="L374" s="22">
        <f>INDEX(Data_Prices!L:L,MATCH($G374,Data_Prices!$A:$A,0))</f>
        <v>0.45642817050012813</v>
      </c>
      <c r="M374" s="22">
        <f>INDEX(Data_Prices!M:M,MATCH($G374,Data_Prices!$A:$A,0))</f>
        <v>0.43168920195599519</v>
      </c>
      <c r="N374" s="22">
        <f>INDEX(Data_Prices!N:N,MATCH($G374,Data_Prices!$A:$A,0))</f>
        <v>0.42507558395596989</v>
      </c>
      <c r="O374" s="22">
        <f>INDEX(Data_Prices!O:O,MATCH($G374,Data_Prices!$A:$A,0))</f>
        <v>0.42507558395596989</v>
      </c>
      <c r="P374" s="22">
        <f>INDEX(Data_Prices!P:P,MATCH($G374,Data_Prices!$A:$A,0))</f>
        <v>0.42507558395596989</v>
      </c>
      <c r="Q374" s="22">
        <f>INDEX(Data_Prices!Q:Q,MATCH($G374,Data_Prices!$A:$A,0))</f>
        <v>0.42507558395596989</v>
      </c>
      <c r="R374" s="22">
        <f>INDEX(Data_Prices!R:R,MATCH($G374,Data_Prices!$A:$A,0))</f>
        <v>0.42507558395596989</v>
      </c>
      <c r="S374" s="22">
        <f>INDEX(Data_Prices!S:S,MATCH($G374,Data_Prices!$A:$A,0))</f>
        <v>0.42507558395597</v>
      </c>
      <c r="T374" s="22">
        <f>INDEX(Data_Prices!T:T,MATCH($G374,Data_Prices!$A:$A,0))</f>
        <v>0.42507558395596989</v>
      </c>
      <c r="U374" s="22">
        <f>INDEX(Data_Prices!U:U,MATCH($G374,Data_Prices!$A:$A,0))</f>
        <v>0.42507558395597</v>
      </c>
      <c r="V374" s="22">
        <f>INDEX(Data_Prices!V:V,MATCH($G374,Data_Prices!$A:$A,0))</f>
        <v>0.42507558395596989</v>
      </c>
      <c r="W374" s="22">
        <f>INDEX(Data_Prices!W:W,MATCH($G374,Data_Prices!$A:$A,0))</f>
        <v>0.42507558395596989</v>
      </c>
      <c r="X374" s="22">
        <f>INDEX(Data_Prices!X:X,MATCH($G374,Data_Prices!$A:$A,0))</f>
        <v>0.42507558395596989</v>
      </c>
      <c r="Y374" s="22">
        <f>INDEX(Data_Prices!Y:Y,MATCH($G374,Data_Prices!$A:$A,0))</f>
        <v>0.42507558395597</v>
      </c>
      <c r="Z374" s="22">
        <f>INDEX(Data_Prices!Z:Z,MATCH($G374,Data_Prices!$A:$A,0))</f>
        <v>0.42507558395596989</v>
      </c>
      <c r="AA374" s="22">
        <f>INDEX(Data_Prices!AA:AA,MATCH($G374,Data_Prices!$A:$A,0))</f>
        <v>0.42507558395596989</v>
      </c>
      <c r="AB374" s="22">
        <f>INDEX(Data_Prices!AB:AB,MATCH($G374,Data_Prices!$A:$A,0))</f>
        <v>0.42507558395597</v>
      </c>
      <c r="AC374" s="22">
        <f>INDEX(Data_Prices!AC:AC,MATCH($G374,Data_Prices!$A:$A,0))</f>
        <v>0.42507558395596989</v>
      </c>
      <c r="AD374" s="22">
        <f>INDEX(Data_Prices!AD:AD,MATCH($G374,Data_Prices!$A:$A,0))</f>
        <v>0.42507558395596989</v>
      </c>
      <c r="AE374" s="22">
        <f>INDEX(Data_Prices!AE:AE,MATCH($G374,Data_Prices!$A:$A,0))</f>
        <v>0.42507558395596989</v>
      </c>
    </row>
    <row r="375" spans="2:31" x14ac:dyDescent="0.25">
      <c r="B375" s="17" t="s">
        <v>68</v>
      </c>
      <c r="C375" s="17" t="str">
        <f t="shared" si="36"/>
        <v>nfm</v>
      </c>
      <c r="D375" s="18" t="s">
        <v>69</v>
      </c>
      <c r="E375" s="19" t="s">
        <v>70</v>
      </c>
      <c r="F375" s="17" t="s">
        <v>56</v>
      </c>
      <c r="G375" s="20" t="str">
        <f>Settings!$B$3&amp;".mit.pbc."&amp;Settings!$B$4&amp;"."&amp;$B375&amp;".a."&amp;$J$367</f>
        <v>egy.mit.pbc.ind.oop.a.2</v>
      </c>
      <c r="H375" s="21" t="str">
        <f>OUTCODE(Settings!$B$3,"ptp",$C$367,$B375,$J$367)</f>
        <v>egy.mit.ptp.nfm.oop.e.2</v>
      </c>
      <c r="K375" s="22">
        <f>INDEX(Data_Prices!K:K,MATCH($G375,Data_Prices!$A:$A,0))</f>
        <v>41.50033849886843</v>
      </c>
      <c r="L375" s="22">
        <f>INDEX(Data_Prices!L:L,MATCH($G375,Data_Prices!$A:$A,0))</f>
        <v>34.415370304313228</v>
      </c>
      <c r="M375" s="22">
        <f>INDEX(Data_Prices!M:M,MATCH($G375,Data_Prices!$A:$A,0))</f>
        <v>37.368960690432033</v>
      </c>
      <c r="N375" s="22">
        <f>INDEX(Data_Prices!N:N,MATCH($G375,Data_Prices!$A:$A,0))</f>
        <v>28.982761101477251</v>
      </c>
      <c r="O375" s="22">
        <f>INDEX(Data_Prices!O:O,MATCH($G375,Data_Prices!$A:$A,0))</f>
        <v>15</v>
      </c>
      <c r="P375" s="22">
        <f>INDEX(Data_Prices!P:P,MATCH($G375,Data_Prices!$A:$A,0))</f>
        <v>24.2586300842555</v>
      </c>
      <c r="Q375" s="22">
        <f>INDEX(Data_Prices!Q:Q,MATCH($G375,Data_Prices!$A:$A,0))</f>
        <v>13.09620819613245</v>
      </c>
      <c r="R375" s="22">
        <f>INDEX(Data_Prices!R:R,MATCH($G375,Data_Prices!$A:$A,0))</f>
        <v>10.02524511401058</v>
      </c>
      <c r="S375" s="22">
        <f>INDEX(Data_Prices!S:S,MATCH($G375,Data_Prices!$A:$A,0))</f>
        <v>8.4772306913736166</v>
      </c>
      <c r="T375" s="22">
        <f>INDEX(Data_Prices!T:T,MATCH($G375,Data_Prices!$A:$A,0))</f>
        <v>7.1234824452092234</v>
      </c>
      <c r="U375" s="22">
        <f>INDEX(Data_Prices!U:U,MATCH($G375,Data_Prices!$A:$A,0))</f>
        <v>5.6527597394100546</v>
      </c>
      <c r="V375" s="22">
        <f>INDEX(Data_Prices!V:V,MATCH($G375,Data_Prices!$A:$A,0))</f>
        <v>5.6527597394100582</v>
      </c>
      <c r="W375" s="22">
        <f>INDEX(Data_Prices!W:W,MATCH($G375,Data_Prices!$A:$A,0))</f>
        <v>5.6527597394100582</v>
      </c>
      <c r="X375" s="22">
        <f>INDEX(Data_Prices!X:X,MATCH($G375,Data_Prices!$A:$A,0))</f>
        <v>5.6527597394100582</v>
      </c>
      <c r="Y375" s="22">
        <f>INDEX(Data_Prices!Y:Y,MATCH($G375,Data_Prices!$A:$A,0))</f>
        <v>5.6527597394100582</v>
      </c>
      <c r="Z375" s="22">
        <f>INDEX(Data_Prices!Z:Z,MATCH($G375,Data_Prices!$A:$A,0))</f>
        <v>5.6527597394100653</v>
      </c>
      <c r="AA375" s="22">
        <f>INDEX(Data_Prices!AA:AA,MATCH($G375,Data_Prices!$A:$A,0))</f>
        <v>5.6527597394100582</v>
      </c>
      <c r="AB375" s="22">
        <f>INDEX(Data_Prices!AB:AB,MATCH($G375,Data_Prices!$A:$A,0))</f>
        <v>5.6527597394100582</v>
      </c>
      <c r="AC375" s="22">
        <f>INDEX(Data_Prices!AC:AC,MATCH($G375,Data_Prices!$A:$A,0))</f>
        <v>5.6527597394100439</v>
      </c>
      <c r="AD375" s="22">
        <f>INDEX(Data_Prices!AD:AD,MATCH($G375,Data_Prices!$A:$A,0))</f>
        <v>5.6527597394100582</v>
      </c>
      <c r="AE375" s="22">
        <f>INDEX(Data_Prices!AE:AE,MATCH($G375,Data_Prices!$A:$A,0))</f>
        <v>5.6527597394100439</v>
      </c>
    </row>
    <row r="376" spans="2:31" x14ac:dyDescent="0.25">
      <c r="B376" s="17" t="s">
        <v>71</v>
      </c>
      <c r="C376" s="17" t="str">
        <f t="shared" si="36"/>
        <v>nfm</v>
      </c>
      <c r="D376" s="18" t="s">
        <v>72</v>
      </c>
      <c r="E376" s="19" t="s">
        <v>55</v>
      </c>
      <c r="F376" s="17" t="s">
        <v>56</v>
      </c>
      <c r="G376" s="20" t="str">
        <f>Settings!$B$3&amp;".mit.pbc."&amp;Settings!$B$4&amp;"."&amp;$B376&amp;".a."&amp;$J$367</f>
        <v>egy.mit.pbc.ind.bio.a.2</v>
      </c>
      <c r="H376" s="21" t="str">
        <f>OUTCODE(Settings!$B$3,"ptp",$C$367,$B376,$J$367)</f>
        <v>egy.mit.ptp.nfm.bio.e.2</v>
      </c>
      <c r="K376" s="22">
        <f>INDEX(Data_Prices!K:K,MATCH($G376,Data_Prices!$A:$A,0))</f>
        <v>15.33455052931693</v>
      </c>
      <c r="L376" s="22">
        <f>INDEX(Data_Prices!L:L,MATCH($G376,Data_Prices!$A:$A,0))</f>
        <v>14.199528390634921</v>
      </c>
      <c r="M376" s="22">
        <f>INDEX(Data_Prices!M:M,MATCH($G376,Data_Prices!$A:$A,0))</f>
        <v>13.840441613315161</v>
      </c>
      <c r="N376" s="22">
        <f>INDEX(Data_Prices!N:N,MATCH($G376,Data_Prices!$A:$A,0))</f>
        <v>13.5677269404465</v>
      </c>
      <c r="O376" s="22">
        <f>INDEX(Data_Prices!O:O,MATCH($G376,Data_Prices!$A:$A,0))</f>
        <v>13.5677269404465</v>
      </c>
      <c r="P376" s="22">
        <f>INDEX(Data_Prices!P:P,MATCH($G376,Data_Prices!$A:$A,0))</f>
        <v>13.5677269404465</v>
      </c>
      <c r="Q376" s="22">
        <f>INDEX(Data_Prices!Q:Q,MATCH($G376,Data_Prices!$A:$A,0))</f>
        <v>13.5677269404465</v>
      </c>
      <c r="R376" s="22">
        <f>INDEX(Data_Prices!R:R,MATCH($G376,Data_Prices!$A:$A,0))</f>
        <v>13.5677269404465</v>
      </c>
      <c r="S376" s="22">
        <f>INDEX(Data_Prices!S:S,MATCH($G376,Data_Prices!$A:$A,0))</f>
        <v>13.5677269404465</v>
      </c>
      <c r="T376" s="22">
        <f>INDEX(Data_Prices!T:T,MATCH($G376,Data_Prices!$A:$A,0))</f>
        <v>13.5677269404465</v>
      </c>
      <c r="U376" s="22">
        <f>INDEX(Data_Prices!U:U,MATCH($G376,Data_Prices!$A:$A,0))</f>
        <v>13.5677269404465</v>
      </c>
      <c r="V376" s="22">
        <f>INDEX(Data_Prices!V:V,MATCH($G376,Data_Prices!$A:$A,0))</f>
        <v>13.5677269404465</v>
      </c>
      <c r="W376" s="22">
        <f>INDEX(Data_Prices!W:W,MATCH($G376,Data_Prices!$A:$A,0))</f>
        <v>13.5677269404465</v>
      </c>
      <c r="X376" s="22">
        <f>INDEX(Data_Prices!X:X,MATCH($G376,Data_Prices!$A:$A,0))</f>
        <v>13.5677269404465</v>
      </c>
      <c r="Y376" s="22">
        <f>INDEX(Data_Prices!Y:Y,MATCH($G376,Data_Prices!$A:$A,0))</f>
        <v>13.5677269404465</v>
      </c>
      <c r="Z376" s="22">
        <f>INDEX(Data_Prices!Z:Z,MATCH($G376,Data_Prices!$A:$A,0))</f>
        <v>13.5677269404465</v>
      </c>
      <c r="AA376" s="22">
        <f>INDEX(Data_Prices!AA:AA,MATCH($G376,Data_Prices!$A:$A,0))</f>
        <v>13.5677269404465</v>
      </c>
      <c r="AB376" s="22">
        <f>INDEX(Data_Prices!AB:AB,MATCH($G376,Data_Prices!$A:$A,0))</f>
        <v>13.5677269404465</v>
      </c>
      <c r="AC376" s="22">
        <f>INDEX(Data_Prices!AC:AC,MATCH($G376,Data_Prices!$A:$A,0))</f>
        <v>13.5677269404465</v>
      </c>
      <c r="AD376" s="22">
        <f>INDEX(Data_Prices!AD:AD,MATCH($G376,Data_Prices!$A:$A,0))</f>
        <v>13.5677269404465</v>
      </c>
      <c r="AE376" s="22">
        <f>INDEX(Data_Prices!AE:AE,MATCH($G376,Data_Prices!$A:$A,0))</f>
        <v>13.5677269404465</v>
      </c>
    </row>
    <row r="377" spans="2:31" x14ac:dyDescent="0.25">
      <c r="B377" s="17" t="s">
        <v>73</v>
      </c>
      <c r="C377" s="17" t="str">
        <f t="shared" si="36"/>
        <v>nfm</v>
      </c>
      <c r="D377" s="18" t="s">
        <v>74</v>
      </c>
      <c r="E377" s="19" t="s">
        <v>75</v>
      </c>
      <c r="F377" s="17" t="s">
        <v>56</v>
      </c>
      <c r="G377" s="20" t="str">
        <f>Settings!$B$3&amp;".mit.pbc."&amp;Settings!$B$4&amp;"."&amp;$B377&amp;".a."&amp;$J$367</f>
        <v>egy.mit.pbc.ind.ren.a.2</v>
      </c>
      <c r="H377" s="21" t="str">
        <f>OUTCODE(Settings!$B$3,"ptp",$C$367,$B377,$J$367)</f>
        <v>egy.mit.ptp.nfm.ren.e.2</v>
      </c>
      <c r="K377" s="22">
        <f>INDEX(Data_Prices!K:K,MATCH($G377,Data_Prices!$A:$A,0))</f>
        <v>0</v>
      </c>
      <c r="L377" s="22">
        <f>INDEX(Data_Prices!L:L,MATCH($G377,Data_Prices!$A:$A,0))</f>
        <v>0.14404498679319799</v>
      </c>
      <c r="M377" s="22">
        <f>INDEX(Data_Prices!M:M,MATCH($G377,Data_Prices!$A:$A,0))</f>
        <v>0.14138624175135939</v>
      </c>
      <c r="N377" s="22">
        <f>INDEX(Data_Prices!N:N,MATCH($G377,Data_Prices!$A:$A,0))</f>
        <v>0.1353975654437313</v>
      </c>
      <c r="O377" s="22">
        <f>INDEX(Data_Prices!O:O,MATCH($G377,Data_Prices!$A:$A,0))</f>
        <v>0.13152288542065141</v>
      </c>
      <c r="P377" s="22">
        <f>INDEX(Data_Prices!P:P,MATCH($G377,Data_Prices!$A:$A,0))</f>
        <v>0.12882610848523129</v>
      </c>
      <c r="Q377" s="22">
        <f>INDEX(Data_Prices!Q:Q,MATCH($G377,Data_Prices!$A:$A,0))</f>
        <v>0.1259420097647401</v>
      </c>
      <c r="R377" s="22">
        <f>INDEX(Data_Prices!R:R,MATCH($G377,Data_Prices!$A:$A,0))</f>
        <v>0.1231132657018609</v>
      </c>
      <c r="S377" s="22">
        <f>INDEX(Data_Prices!S:S,MATCH($G377,Data_Prices!$A:$A,0))</f>
        <v>0.1193917380890684</v>
      </c>
      <c r="T377" s="22">
        <f>INDEX(Data_Prices!T:T,MATCH($G377,Data_Prices!$A:$A,0))</f>
        <v>0.1155441904679203</v>
      </c>
      <c r="U377" s="22">
        <f>INDEX(Data_Prices!U:U,MATCH($G377,Data_Prices!$A:$A,0))</f>
        <v>0.11492423065415899</v>
      </c>
      <c r="V377" s="22">
        <f>INDEX(Data_Prices!V:V,MATCH($G377,Data_Prices!$A:$A,0))</f>
        <v>0.11434691211673639</v>
      </c>
      <c r="W377" s="22">
        <f>INDEX(Data_Prices!W:W,MATCH($G377,Data_Prices!$A:$A,0))</f>
        <v>0.1137387111726635</v>
      </c>
      <c r="X377" s="22">
        <f>INDEX(Data_Prices!X:X,MATCH($G377,Data_Prices!$A:$A,0))</f>
        <v>0.1129999004875214</v>
      </c>
      <c r="Y377" s="22">
        <f>INDEX(Data_Prices!Y:Y,MATCH($G377,Data_Prices!$A:$A,0))</f>
        <v>0.11217768583553429</v>
      </c>
      <c r="Z377" s="22">
        <f>INDEX(Data_Prices!Z:Z,MATCH($G377,Data_Prices!$A:$A,0))</f>
        <v>0.1114179032504042</v>
      </c>
      <c r="AA377" s="22">
        <f>INDEX(Data_Prices!AA:AA,MATCH($G377,Data_Prices!$A:$A,0))</f>
        <v>0.1105258199854538</v>
      </c>
      <c r="AB377" s="22">
        <f>INDEX(Data_Prices!AB:AB,MATCH($G377,Data_Prices!$A:$A,0))</f>
        <v>0.1096995652348958</v>
      </c>
      <c r="AC377" s="22">
        <f>INDEX(Data_Prices!AC:AC,MATCH($G377,Data_Prices!$A:$A,0))</f>
        <v>0.1077267889639492</v>
      </c>
      <c r="AD377" s="22">
        <f>INDEX(Data_Prices!AD:AD,MATCH($G377,Data_Prices!$A:$A,0))</f>
        <v>0.1058209244509353</v>
      </c>
      <c r="AE377" s="22">
        <f>INDEX(Data_Prices!AE:AE,MATCH($G377,Data_Prices!$A:$A,0))</f>
        <v>0.1038555957057212</v>
      </c>
    </row>
    <row r="378" spans="2:31" x14ac:dyDescent="0.25">
      <c r="B378" s="16" t="s">
        <v>76</v>
      </c>
    </row>
    <row r="379" spans="2:31" x14ac:dyDescent="0.25">
      <c r="B379" s="17" t="s">
        <v>53</v>
      </c>
      <c r="C379" s="17" t="str">
        <f t="shared" ref="C379:C387" si="37">$C$367</f>
        <v>nfm</v>
      </c>
      <c r="D379" s="18" t="s">
        <v>54</v>
      </c>
      <c r="E379" s="19" t="s">
        <v>55</v>
      </c>
      <c r="F379" s="17" t="s">
        <v>77</v>
      </c>
      <c r="G379" s="20" t="str">
        <f>Settings!$B$3&amp;".mit.nce."&amp;Settings!$B$4&amp;"."&amp;$B379&amp;".a."&amp;$J$367</f>
        <v>egy.mit.nce.ind.coa.a.2</v>
      </c>
      <c r="H379" s="21" t="str">
        <f>OUTCODE(Settings!$B$3,"atp",$C$367,$B379,$J$367)</f>
        <v>egy.mit.atp.nfm.coa.e.2</v>
      </c>
      <c r="K379" s="22">
        <f>POSTTAX(K369,INDEX(Data_Prices!K:K,MATCH($G379,Data_Prices!$A:$A,0)),K$399)</f>
        <v>11.18290158924394</v>
      </c>
      <c r="L379" s="22">
        <f>POSTTAX(L369,INDEX(Data_Prices!L:L,MATCH($G379,Data_Prices!$A:$A,0)),L$399)</f>
        <v>10.52336134543121</v>
      </c>
      <c r="M379" s="22">
        <f>POSTTAX(M369,INDEX(Data_Prices!M:M,MATCH($G379,Data_Prices!$A:$A,0)),M$399)</f>
        <v>10.299560827444211</v>
      </c>
      <c r="N379" s="22">
        <f>POSTTAX(N369,INDEX(Data_Prices!N:N,MATCH($G379,Data_Prices!$A:$A,0)),N$399)</f>
        <v>9.5775283595382632</v>
      </c>
      <c r="O379" s="22">
        <f>POSTTAX(O369,INDEX(Data_Prices!O:O,MATCH($G379,Data_Prices!$A:$A,0)),O$399)</f>
        <v>8.4854782869580454</v>
      </c>
      <c r="P379" s="22">
        <f>POSTTAX(P369,INDEX(Data_Prices!P:P,MATCH($G379,Data_Prices!$A:$A,0)),P$399)</f>
        <v>9.0871922352498604</v>
      </c>
      <c r="Q379" s="22">
        <f>POSTTAX(Q369,INDEX(Data_Prices!Q:Q,MATCH($G379,Data_Prices!$A:$A,0)),Q$399)</f>
        <v>10.472923728932681</v>
      </c>
      <c r="R379" s="22">
        <f>POSTTAX(R369,INDEX(Data_Prices!R:R,MATCH($G379,Data_Prices!$A:$A,0)),R$399)</f>
        <v>11.658564955509688</v>
      </c>
      <c r="S379" s="22">
        <f>POSTTAX(S369,INDEX(Data_Prices!S:S,MATCH($G379,Data_Prices!$A:$A,0)),S$399)</f>
        <v>12.839547877397377</v>
      </c>
      <c r="T379" s="22">
        <f>POSTTAX(T369,INDEX(Data_Prices!T:T,MATCH($G379,Data_Prices!$A:$A,0)),T$399)</f>
        <v>14.01568166602283</v>
      </c>
      <c r="U379" s="22">
        <f>POSTTAX(U369,INDEX(Data_Prices!U:U,MATCH($G379,Data_Prices!$A:$A,0)),U$399)</f>
        <v>15.194397765557106</v>
      </c>
      <c r="V379" s="22">
        <f>POSTTAX(V369,INDEX(Data_Prices!V:V,MATCH($G379,Data_Prices!$A:$A,0)),V$399)</f>
        <v>16.444397765557106</v>
      </c>
      <c r="W379" s="22">
        <f>POSTTAX(W369,INDEX(Data_Prices!W:W,MATCH($G379,Data_Prices!$A:$A,0)),W$399)</f>
        <v>17.694397765557106</v>
      </c>
      <c r="X379" s="22">
        <f>POSTTAX(X369,INDEX(Data_Prices!X:X,MATCH($G379,Data_Prices!$A:$A,0)),X$399)</f>
        <v>18.944397765557106</v>
      </c>
      <c r="Y379" s="22">
        <f>POSTTAX(Y369,INDEX(Data_Prices!Y:Y,MATCH($G379,Data_Prices!$A:$A,0)),Y$399)</f>
        <v>20.194397765557106</v>
      </c>
      <c r="Z379" s="22">
        <f>POSTTAX(Z369,INDEX(Data_Prices!Z:Z,MATCH($G379,Data_Prices!$A:$A,0)),Z$399)</f>
        <v>21.444397765557106</v>
      </c>
      <c r="AA379" s="22">
        <f>POSTTAX(AA369,INDEX(Data_Prices!AA:AA,MATCH($G379,Data_Prices!$A:$A,0)),AA$399)</f>
        <v>22.694397765557106</v>
      </c>
      <c r="AB379" s="22">
        <f>POSTTAX(AB369,INDEX(Data_Prices!AB:AB,MATCH($G379,Data_Prices!$A:$A,0)),AB$399)</f>
        <v>23.944397765557106</v>
      </c>
      <c r="AC379" s="22">
        <f>POSTTAX(AC369,INDEX(Data_Prices!AC:AC,MATCH($G379,Data_Prices!$A:$A,0)),AC$399)</f>
        <v>25.194397765557106</v>
      </c>
      <c r="AD379" s="22">
        <f>POSTTAX(AD369,INDEX(Data_Prices!AD:AD,MATCH($G379,Data_Prices!$A:$A,0)),AD$399)</f>
        <v>26.444397765557106</v>
      </c>
      <c r="AE379" s="22">
        <f>POSTTAX(AE369,INDEX(Data_Prices!AE:AE,MATCH($G379,Data_Prices!$A:$A,0)),AE$399)</f>
        <v>27.694397765557106</v>
      </c>
    </row>
    <row r="380" spans="2:31" x14ac:dyDescent="0.25">
      <c r="B380" s="17" t="s">
        <v>57</v>
      </c>
      <c r="C380" s="17" t="str">
        <f t="shared" si="37"/>
        <v>nfm</v>
      </c>
      <c r="D380" s="18" t="s">
        <v>58</v>
      </c>
      <c r="E380" s="19" t="s">
        <v>55</v>
      </c>
      <c r="F380" s="17" t="s">
        <v>77</v>
      </c>
      <c r="G380" s="20" t="str">
        <f>Settings!$B$3&amp;".mit.nce."&amp;Settings!$B$4&amp;"."&amp;$B380&amp;".a."&amp;$J$367</f>
        <v>egy.mit.nce.ind.nga.a.2</v>
      </c>
      <c r="H380" s="21" t="str">
        <f>OUTCODE(Settings!$B$3,"atp",$C$367,$B380,$J$367)</f>
        <v>egy.mit.atp.nfm.nga.e.2</v>
      </c>
      <c r="K380" s="22">
        <f>POSTTAX(K370,INDEX(Data_Prices!K:K,MATCH($G380,Data_Prices!$A:$A,0)),K$399)</f>
        <v>6.0634636156729131</v>
      </c>
      <c r="L380" s="22">
        <f>POSTTAX(L370,INDEX(Data_Prices!L:L,MATCH($G380,Data_Prices!$A:$A,0)),L$399)</f>
        <v>5.4510150816191896</v>
      </c>
      <c r="M380" s="22">
        <f>POSTTAX(M370,INDEX(Data_Prices!M:M,MATCH($G380,Data_Prices!$A:$A,0)),M$399)</f>
        <v>5.1193563062624818</v>
      </c>
      <c r="N380" s="22">
        <f>POSTTAX(N370,INDEX(Data_Prices!N:N,MATCH($G380,Data_Prices!$A:$A,0)),N$399)</f>
        <v>5.0821845864040727</v>
      </c>
      <c r="O380" s="22">
        <f>POSTTAX(O370,INDEX(Data_Prices!O:O,MATCH($G380,Data_Prices!$A:$A,0)),O$399)</f>
        <v>5.0821845864040727</v>
      </c>
      <c r="P380" s="22">
        <f>POSTTAX(P370,INDEX(Data_Prices!P:P,MATCH($G380,Data_Prices!$A:$A,0)),P$399)</f>
        <v>5.0821845864040727</v>
      </c>
      <c r="Q380" s="22">
        <f>POSTTAX(Q370,INDEX(Data_Prices!Q:Q,MATCH($G380,Data_Prices!$A:$A,0)),Q$399)</f>
        <v>5.7796845864040725</v>
      </c>
      <c r="R380" s="22">
        <f>POSTTAX(R370,INDEX(Data_Prices!R:R,MATCH($G380,Data_Prices!$A:$A,0)),R$399)</f>
        <v>6.4771845864040731</v>
      </c>
      <c r="S380" s="22">
        <f>POSTTAX(S370,INDEX(Data_Prices!S:S,MATCH($G380,Data_Prices!$A:$A,0)),S$399)</f>
        <v>7.1746845864040729</v>
      </c>
      <c r="T380" s="22">
        <f>POSTTAX(T370,INDEX(Data_Prices!T:T,MATCH($G380,Data_Prices!$A:$A,0)),T$399)</f>
        <v>7.8721845864040736</v>
      </c>
      <c r="U380" s="22">
        <f>POSTTAX(U370,INDEX(Data_Prices!U:U,MATCH($G380,Data_Prices!$A:$A,0)),U$399)</f>
        <v>8.5696845864040725</v>
      </c>
      <c r="V380" s="22">
        <f>POSTTAX(V370,INDEX(Data_Prices!V:V,MATCH($G380,Data_Prices!$A:$A,0)),V$399)</f>
        <v>9.2671845864040723</v>
      </c>
      <c r="W380" s="22">
        <f>POSTTAX(W370,INDEX(Data_Prices!W:W,MATCH($G380,Data_Prices!$A:$A,0)),W$399)</f>
        <v>9.9646845864040721</v>
      </c>
      <c r="X380" s="22">
        <f>POSTTAX(X370,INDEX(Data_Prices!X:X,MATCH($G380,Data_Prices!$A:$A,0)),X$399)</f>
        <v>10.662184586404072</v>
      </c>
      <c r="Y380" s="22">
        <f>POSTTAX(Y370,INDEX(Data_Prices!Y:Y,MATCH($G380,Data_Prices!$A:$A,0)),Y$399)</f>
        <v>11.359684586404072</v>
      </c>
      <c r="Z380" s="22">
        <f>POSTTAX(Z370,INDEX(Data_Prices!Z:Z,MATCH($G380,Data_Prices!$A:$A,0)),Z$399)</f>
        <v>12.057184586404073</v>
      </c>
      <c r="AA380" s="22">
        <f>POSTTAX(AA370,INDEX(Data_Prices!AA:AA,MATCH($G380,Data_Prices!$A:$A,0)),AA$399)</f>
        <v>12.754684586404071</v>
      </c>
      <c r="AB380" s="22">
        <f>POSTTAX(AB370,INDEX(Data_Prices!AB:AB,MATCH($G380,Data_Prices!$A:$A,0)),AB$399)</f>
        <v>13.452184586404073</v>
      </c>
      <c r="AC380" s="22">
        <f>POSTTAX(AC370,INDEX(Data_Prices!AC:AC,MATCH($G380,Data_Prices!$A:$A,0)),AC$399)</f>
        <v>14.149684586404071</v>
      </c>
      <c r="AD380" s="22">
        <f>POSTTAX(AD370,INDEX(Data_Prices!AD:AD,MATCH($G380,Data_Prices!$A:$A,0)),AD$399)</f>
        <v>14.847184586404072</v>
      </c>
      <c r="AE380" s="22">
        <f>POSTTAX(AE370,INDEX(Data_Prices!AE:AE,MATCH($G380,Data_Prices!$A:$A,0)),AE$399)</f>
        <v>15.544684586404072</v>
      </c>
    </row>
    <row r="381" spans="2:31" x14ac:dyDescent="0.25">
      <c r="B381" s="17" t="s">
        <v>59</v>
      </c>
      <c r="C381" s="17" t="str">
        <f t="shared" si="37"/>
        <v>nfm</v>
      </c>
      <c r="D381" s="18" t="s">
        <v>60</v>
      </c>
      <c r="E381" s="19" t="s">
        <v>61</v>
      </c>
      <c r="F381" s="17" t="s">
        <v>77</v>
      </c>
      <c r="G381" s="20" t="str">
        <f>Settings!$B$3&amp;".mit.nce."&amp;Settings!$B$4&amp;"."&amp;$B381&amp;".a."&amp;$J$367</f>
        <v>egy.mit.nce.ind.gso.a.2</v>
      </c>
      <c r="H381" s="21" t="str">
        <f>OUTCODE(Settings!$B$3,"atp",$C$367,$B381,$J$367)</f>
        <v>egy.mit.atp.nfm.gso.e.2</v>
      </c>
      <c r="K381" s="22">
        <f>POSTTAX(K371,INDEX(Data_Prices!K:K,MATCH($G381,Data_Prices!$A:$A,0)),K$399)</f>
        <v>0.67114653332181606</v>
      </c>
      <c r="L381" s="22">
        <f>POSTTAX(L371,INDEX(Data_Prices!L:L,MATCH($G381,Data_Prices!$A:$A,0)),L$399)</f>
        <v>0.61197797679140631</v>
      </c>
      <c r="M381" s="22">
        <f>POSTTAX(M371,INDEX(Data_Prices!M:M,MATCH($G381,Data_Prices!$A:$A,0)),M$399)</f>
        <v>0.61180974964187596</v>
      </c>
      <c r="N381" s="22">
        <f>POSTTAX(N371,INDEX(Data_Prices!N:N,MATCH($G381,Data_Prices!$A:$A,0)),N$399)</f>
        <v>0.60358310017790551</v>
      </c>
      <c r="O381" s="22">
        <f>POSTTAX(O371,INDEX(Data_Prices!O:O,MATCH($G381,Data_Prices!$A:$A,0)),O$399)</f>
        <v>0.60358310017790551</v>
      </c>
      <c r="P381" s="22">
        <f>POSTTAX(P371,INDEX(Data_Prices!P:P,MATCH($G381,Data_Prices!$A:$A,0)),P$399)</f>
        <v>0.60358310017790551</v>
      </c>
      <c r="Q381" s="22">
        <f>POSTTAX(Q371,INDEX(Data_Prices!Q:Q,MATCH($G381,Data_Prices!$A:$A,0)),Q$399)</f>
        <v>0.6325109433494055</v>
      </c>
      <c r="R381" s="22">
        <f>POSTTAX(R371,INDEX(Data_Prices!R:R,MATCH($G381,Data_Prices!$A:$A,0)),R$399)</f>
        <v>0.66143878652090549</v>
      </c>
      <c r="S381" s="22">
        <f>POSTTAX(S371,INDEX(Data_Prices!S:S,MATCH($G381,Data_Prices!$A:$A,0)),S$399)</f>
        <v>0.69036662969240548</v>
      </c>
      <c r="T381" s="22">
        <f>POSTTAX(T371,INDEX(Data_Prices!T:T,MATCH($G381,Data_Prices!$A:$A,0)),T$399)</f>
        <v>0.71929447286390547</v>
      </c>
      <c r="U381" s="22">
        <f>POSTTAX(U371,INDEX(Data_Prices!U:U,MATCH($G381,Data_Prices!$A:$A,0)),U$399)</f>
        <v>0.74822231603540557</v>
      </c>
      <c r="V381" s="22">
        <f>POSTTAX(V371,INDEX(Data_Prices!V:V,MATCH($G381,Data_Prices!$A:$A,0)),V$399)</f>
        <v>0.77715015920690544</v>
      </c>
      <c r="W381" s="22">
        <f>POSTTAX(W371,INDEX(Data_Prices!W:W,MATCH($G381,Data_Prices!$A:$A,0)),W$399)</f>
        <v>0.80607800237840554</v>
      </c>
      <c r="X381" s="22">
        <f>POSTTAX(X371,INDEX(Data_Prices!X:X,MATCH($G381,Data_Prices!$A:$A,0)),X$399)</f>
        <v>0.83500584554990553</v>
      </c>
      <c r="Y381" s="22">
        <f>POSTTAX(Y371,INDEX(Data_Prices!Y:Y,MATCH($G381,Data_Prices!$A:$A,0)),Y$399)</f>
        <v>0.86393368872140552</v>
      </c>
      <c r="Z381" s="22">
        <f>POSTTAX(Z371,INDEX(Data_Prices!Z:Z,MATCH($G381,Data_Prices!$A:$A,0)),Z$399)</f>
        <v>0.89286153189290551</v>
      </c>
      <c r="AA381" s="22">
        <f>POSTTAX(AA371,INDEX(Data_Prices!AA:AA,MATCH($G381,Data_Prices!$A:$A,0)),AA$399)</f>
        <v>0.92178937506440561</v>
      </c>
      <c r="AB381" s="22">
        <f>POSTTAX(AB371,INDEX(Data_Prices!AB:AB,MATCH($G381,Data_Prices!$A:$A,0)),AB$399)</f>
        <v>0.95071721823590549</v>
      </c>
      <c r="AC381" s="22">
        <f>POSTTAX(AC371,INDEX(Data_Prices!AC:AC,MATCH($G381,Data_Prices!$A:$A,0)),AC$399)</f>
        <v>0.97964506140740548</v>
      </c>
      <c r="AD381" s="22">
        <f>POSTTAX(AD371,INDEX(Data_Prices!AD:AD,MATCH($G381,Data_Prices!$A:$A,0)),AD$399)</f>
        <v>1.0085729045789056</v>
      </c>
      <c r="AE381" s="22">
        <f>POSTTAX(AE371,INDEX(Data_Prices!AE:AE,MATCH($G381,Data_Prices!$A:$A,0)),AE$399)</f>
        <v>1.0375007477504057</v>
      </c>
    </row>
    <row r="382" spans="2:31" x14ac:dyDescent="0.25">
      <c r="B382" s="17" t="s">
        <v>62</v>
      </c>
      <c r="C382" s="17" t="str">
        <f t="shared" si="37"/>
        <v>nfm</v>
      </c>
      <c r="D382" s="18" t="s">
        <v>63</v>
      </c>
      <c r="E382" s="19" t="s">
        <v>61</v>
      </c>
      <c r="F382" s="17" t="s">
        <v>77</v>
      </c>
      <c r="G382" s="20" t="str">
        <f>Settings!$B$3&amp;".mit.nce."&amp;Settings!$B$4&amp;"."&amp;$B382&amp;".a."&amp;$J$367</f>
        <v>egy.mit.nce.ind.die.a.2</v>
      </c>
      <c r="H382" s="21" t="str">
        <f>OUTCODE(Settings!$B$3,"atp",$C$367,$B382,$J$367)</f>
        <v>egy.mit.atp.nfm.die.e.2</v>
      </c>
      <c r="K382" s="22">
        <f>POSTTAX(K372,INDEX(Data_Prices!K:K,MATCH($G382,Data_Prices!$A:$A,0)),K$399)</f>
        <v>0.55971121315568761</v>
      </c>
      <c r="L382" s="22">
        <f>POSTTAX(L372,INDEX(Data_Prices!L:L,MATCH($G382,Data_Prices!$A:$A,0)),L$399)</f>
        <v>0.49458873084106802</v>
      </c>
      <c r="M382" s="22">
        <f>POSTTAX(M372,INDEX(Data_Prices!M:M,MATCH($G382,Data_Prices!$A:$A,0)),M$399)</f>
        <v>0.50778654720250049</v>
      </c>
      <c r="N382" s="22">
        <f>POSTTAX(N372,INDEX(Data_Prices!N:N,MATCH($G382,Data_Prices!$A:$A,0)),N$399)</f>
        <v>0.47043642679561742</v>
      </c>
      <c r="O382" s="22">
        <f>POSTTAX(O372,INDEX(Data_Prices!O:O,MATCH($G382,Data_Prices!$A:$A,0)),O$399)</f>
        <v>0.47043642679561742</v>
      </c>
      <c r="P382" s="22">
        <f>POSTTAX(P372,INDEX(Data_Prices!P:P,MATCH($G382,Data_Prices!$A:$A,0)),P$399)</f>
        <v>0.47043642679561742</v>
      </c>
      <c r="Q382" s="22">
        <f>POSTTAX(Q372,INDEX(Data_Prices!Q:Q,MATCH($G382,Data_Prices!$A:$A,0)),Q$399)</f>
        <v>0.50344686565449237</v>
      </c>
      <c r="R382" s="22">
        <f>POSTTAX(R372,INDEX(Data_Prices!R:R,MATCH($G382,Data_Prices!$A:$A,0)),R$399)</f>
        <v>0.53645730451336737</v>
      </c>
      <c r="S382" s="22">
        <f>POSTTAX(S372,INDEX(Data_Prices!S:S,MATCH($G382,Data_Prices!$A:$A,0)),S$399)</f>
        <v>0.56946774337224249</v>
      </c>
      <c r="T382" s="22">
        <f>POSTTAX(T372,INDEX(Data_Prices!T:T,MATCH($G382,Data_Prices!$A:$A,0)),T$399)</f>
        <v>0.60247818223111738</v>
      </c>
      <c r="U382" s="22">
        <f>POSTTAX(U372,INDEX(Data_Prices!U:U,MATCH($G382,Data_Prices!$A:$A,0)),U$399)</f>
        <v>0.63548862108999238</v>
      </c>
      <c r="V382" s="22">
        <f>POSTTAX(V372,INDEX(Data_Prices!V:V,MATCH($G382,Data_Prices!$A:$A,0)),V$399)</f>
        <v>0.66849905994886738</v>
      </c>
      <c r="W382" s="22">
        <f>POSTTAX(W372,INDEX(Data_Prices!W:W,MATCH($G382,Data_Prices!$A:$A,0)),W$399)</f>
        <v>0.70150949880774238</v>
      </c>
      <c r="X382" s="22">
        <f>POSTTAX(X372,INDEX(Data_Prices!X:X,MATCH($G382,Data_Prices!$A:$A,0)),X$399)</f>
        <v>0.73451993766661738</v>
      </c>
      <c r="Y382" s="22">
        <f>POSTTAX(Y372,INDEX(Data_Prices!Y:Y,MATCH($G382,Data_Prices!$A:$A,0)),Y$399)</f>
        <v>0.76753037652549239</v>
      </c>
      <c r="Z382" s="22">
        <f>POSTTAX(Z372,INDEX(Data_Prices!Z:Z,MATCH($G382,Data_Prices!$A:$A,0)),Z$399)</f>
        <v>0.80054081538436739</v>
      </c>
      <c r="AA382" s="22">
        <f>POSTTAX(AA372,INDEX(Data_Prices!AA:AA,MATCH($G382,Data_Prices!$A:$A,0)),AA$399)</f>
        <v>0.83355125424324239</v>
      </c>
      <c r="AB382" s="22">
        <f>POSTTAX(AB372,INDEX(Data_Prices!AB:AB,MATCH($G382,Data_Prices!$A:$A,0)),AB$399)</f>
        <v>0.86656169310211739</v>
      </c>
      <c r="AC382" s="22">
        <f>POSTTAX(AC372,INDEX(Data_Prices!AC:AC,MATCH($G382,Data_Prices!$A:$A,0)),AC$399)</f>
        <v>0.89957213196099239</v>
      </c>
      <c r="AD382" s="22">
        <f>POSTTAX(AD372,INDEX(Data_Prices!AD:AD,MATCH($G382,Data_Prices!$A:$A,0)),AD$399)</f>
        <v>0.9325825708198674</v>
      </c>
      <c r="AE382" s="22">
        <f>POSTTAX(AE372,INDEX(Data_Prices!AE:AE,MATCH($G382,Data_Prices!$A:$A,0)),AE$399)</f>
        <v>0.9655930096787424</v>
      </c>
    </row>
    <row r="383" spans="2:31" x14ac:dyDescent="0.25">
      <c r="B383" s="17" t="s">
        <v>64</v>
      </c>
      <c r="C383" s="17" t="str">
        <f t="shared" si="37"/>
        <v>nfm</v>
      </c>
      <c r="D383" s="18" t="s">
        <v>65</v>
      </c>
      <c r="E383" s="19" t="s">
        <v>61</v>
      </c>
      <c r="F383" s="17" t="s">
        <v>77</v>
      </c>
      <c r="G383" s="20" t="str">
        <f>Settings!$B$3&amp;".mit.nce."&amp;Settings!$B$4&amp;"."&amp;$B383&amp;".a."&amp;$J$367</f>
        <v>egy.mit.nce.ind.lpg.a.2</v>
      </c>
      <c r="H383" s="21" t="str">
        <f>OUTCODE(Settings!$B$3,"atp",$C$367,$B383,$J$367)</f>
        <v>egy.mit.atp.nfm.lpg.e.2</v>
      </c>
      <c r="K383" s="22">
        <f>POSTTAX(K373,INDEX(Data_Prices!K:K,MATCH($G383,Data_Prices!$A:$A,0)),K$399)</f>
        <v>0.20036669112673841</v>
      </c>
      <c r="L383" s="22">
        <f>POSTTAX(L373,INDEX(Data_Prices!L:L,MATCH($G383,Data_Prices!$A:$A,0)),L$399)</f>
        <v>0.1573447362522738</v>
      </c>
      <c r="M383" s="22">
        <f>POSTTAX(M373,INDEX(Data_Prices!M:M,MATCH($G383,Data_Prices!$A:$A,0)),M$399)</f>
        <v>0.1644840377592767</v>
      </c>
      <c r="N383" s="22">
        <f>POSTTAX(N373,INDEX(Data_Prices!N:N,MATCH($G383,Data_Prices!$A:$A,0)),N$399)</f>
        <v>0.1507090778070489</v>
      </c>
      <c r="O383" s="22">
        <f>POSTTAX(O373,INDEX(Data_Prices!O:O,MATCH($G383,Data_Prices!$A:$A,0)),O$399)</f>
        <v>0.1507090778070489</v>
      </c>
      <c r="P383" s="22">
        <f>POSTTAX(P373,INDEX(Data_Prices!P:P,MATCH($G383,Data_Prices!$A:$A,0)),P$399)</f>
        <v>0.1507090778070489</v>
      </c>
      <c r="Q383" s="22">
        <f>POSTTAX(Q373,INDEX(Data_Prices!Q:Q,MATCH($G383,Data_Prices!$A:$A,0)),Q$399)</f>
        <v>0.17281516073434458</v>
      </c>
      <c r="R383" s="22">
        <f>POSTTAX(R373,INDEX(Data_Prices!R:R,MATCH($G383,Data_Prices!$A:$A,0)),R$399)</f>
        <v>0.19492124366164029</v>
      </c>
      <c r="S383" s="22">
        <f>POSTTAX(S373,INDEX(Data_Prices!S:S,MATCH($G383,Data_Prices!$A:$A,0)),S$399)</f>
        <v>0.21702732658893598</v>
      </c>
      <c r="T383" s="22">
        <f>POSTTAX(T373,INDEX(Data_Prices!T:T,MATCH($G383,Data_Prices!$A:$A,0)),T$399)</f>
        <v>0.23913340951623169</v>
      </c>
      <c r="U383" s="22">
        <f>POSTTAX(U373,INDEX(Data_Prices!U:U,MATCH($G383,Data_Prices!$A:$A,0)),U$399)</f>
        <v>0.2612394924435274</v>
      </c>
      <c r="V383" s="22">
        <f>POSTTAX(V373,INDEX(Data_Prices!V:V,MATCH($G383,Data_Prices!$A:$A,0)),V$399)</f>
        <v>0.28334557537082311</v>
      </c>
      <c r="W383" s="22">
        <f>POSTTAX(W373,INDEX(Data_Prices!W:W,MATCH($G383,Data_Prices!$A:$A,0)),W$399)</f>
        <v>0.30545165829811882</v>
      </c>
      <c r="X383" s="22">
        <f>POSTTAX(X373,INDEX(Data_Prices!X:X,MATCH($G383,Data_Prices!$A:$A,0)),X$399)</f>
        <v>0.32755774122541448</v>
      </c>
      <c r="Y383" s="22">
        <f>POSTTAX(Y373,INDEX(Data_Prices!Y:Y,MATCH($G383,Data_Prices!$A:$A,0)),Y$399)</f>
        <v>0.34966382415271013</v>
      </c>
      <c r="Z383" s="22">
        <f>POSTTAX(Z373,INDEX(Data_Prices!Z:Z,MATCH($G383,Data_Prices!$A:$A,0)),Z$399)</f>
        <v>0.37176990708000579</v>
      </c>
      <c r="AA383" s="22">
        <f>POSTTAX(AA373,INDEX(Data_Prices!AA:AA,MATCH($G383,Data_Prices!$A:$A,0)),AA$399)</f>
        <v>0.3938759900073015</v>
      </c>
      <c r="AB383" s="22">
        <f>POSTTAX(AB373,INDEX(Data_Prices!AB:AB,MATCH($G383,Data_Prices!$A:$A,0)),AB$399)</f>
        <v>0.41598207293459721</v>
      </c>
      <c r="AC383" s="22">
        <f>POSTTAX(AC373,INDEX(Data_Prices!AC:AC,MATCH($G383,Data_Prices!$A:$A,0)),AC$399)</f>
        <v>0.43808815586189287</v>
      </c>
      <c r="AD383" s="22">
        <f>POSTTAX(AD373,INDEX(Data_Prices!AD:AD,MATCH($G383,Data_Prices!$A:$A,0)),AD$399)</f>
        <v>0.46019423878918858</v>
      </c>
      <c r="AE383" s="22">
        <f>POSTTAX(AE373,INDEX(Data_Prices!AE:AE,MATCH($G383,Data_Prices!$A:$A,0)),AE$399)</f>
        <v>0.48230032171648429</v>
      </c>
    </row>
    <row r="384" spans="2:31" x14ac:dyDescent="0.25">
      <c r="B384" s="17" t="s">
        <v>66</v>
      </c>
      <c r="C384" s="17" t="str">
        <f t="shared" si="37"/>
        <v>nfm</v>
      </c>
      <c r="D384" s="18" t="s">
        <v>67</v>
      </c>
      <c r="E384" s="19" t="s">
        <v>61</v>
      </c>
      <c r="F384" s="17" t="s">
        <v>77</v>
      </c>
      <c r="G384" s="20" t="str">
        <f>Settings!$B$3&amp;".mit.nce."&amp;Settings!$B$4&amp;"."&amp;$B384&amp;".a."&amp;$J$367</f>
        <v>egy.mit.nce.ind.ker.a.2</v>
      </c>
      <c r="H384" s="21" t="str">
        <f>OUTCODE(Settings!$B$3,"atp",$C$367,$B384,$J$367)</f>
        <v>egy.mit.atp.nfm.ker.e.2</v>
      </c>
      <c r="K384" s="22">
        <f>POSTTAX(K374,INDEX(Data_Prices!K:K,MATCH($G384,Data_Prices!$A:$A,0)),K$399)</f>
        <v>0.48429424097343482</v>
      </c>
      <c r="L384" s="22">
        <f>POSTTAX(L374,INDEX(Data_Prices!L:L,MATCH($G384,Data_Prices!$A:$A,0)),L$399)</f>
        <v>0.45642817050012813</v>
      </c>
      <c r="M384" s="22">
        <f>POSTTAX(M374,INDEX(Data_Prices!M:M,MATCH($G384,Data_Prices!$A:$A,0)),M$399)</f>
        <v>0.43168920195599519</v>
      </c>
      <c r="N384" s="22">
        <f>POSTTAX(N374,INDEX(Data_Prices!N:N,MATCH($G384,Data_Prices!$A:$A,0)),N$399)</f>
        <v>0.42507558395596989</v>
      </c>
      <c r="O384" s="22">
        <f>POSTTAX(O374,INDEX(Data_Prices!O:O,MATCH($G384,Data_Prices!$A:$A,0)),O$399)</f>
        <v>0.42507558395596989</v>
      </c>
      <c r="P384" s="22">
        <f>POSTTAX(P374,INDEX(Data_Prices!P:P,MATCH($G384,Data_Prices!$A:$A,0)),P$399)</f>
        <v>0.42507558395596989</v>
      </c>
      <c r="Q384" s="22">
        <f>POSTTAX(Q374,INDEX(Data_Prices!Q:Q,MATCH($G384,Data_Prices!$A:$A,0)),Q$399)</f>
        <v>0.45706441406607839</v>
      </c>
      <c r="R384" s="22">
        <f>POSTTAX(R374,INDEX(Data_Prices!R:R,MATCH($G384,Data_Prices!$A:$A,0)),R$399)</f>
        <v>0.4890532441761869</v>
      </c>
      <c r="S384" s="22">
        <f>POSTTAX(S374,INDEX(Data_Prices!S:S,MATCH($G384,Data_Prices!$A:$A,0)),S$399)</f>
        <v>0.52104207428629545</v>
      </c>
      <c r="T384" s="22">
        <f>POSTTAX(T374,INDEX(Data_Prices!T:T,MATCH($G384,Data_Prices!$A:$A,0)),T$399)</f>
        <v>0.5530309043964039</v>
      </c>
      <c r="U384" s="22">
        <f>POSTTAX(U374,INDEX(Data_Prices!U:U,MATCH($G384,Data_Prices!$A:$A,0)),U$399)</f>
        <v>0.58501973450651246</v>
      </c>
      <c r="V384" s="22">
        <f>POSTTAX(V374,INDEX(Data_Prices!V:V,MATCH($G384,Data_Prices!$A:$A,0)),V$399)</f>
        <v>0.6170085646166209</v>
      </c>
      <c r="W384" s="22">
        <f>POSTTAX(W374,INDEX(Data_Prices!W:W,MATCH($G384,Data_Prices!$A:$A,0)),W$399)</f>
        <v>0.64899739472672935</v>
      </c>
      <c r="X384" s="22">
        <f>POSTTAX(X374,INDEX(Data_Prices!X:X,MATCH($G384,Data_Prices!$A:$A,0)),X$399)</f>
        <v>0.68098622483683791</v>
      </c>
      <c r="Y384" s="22">
        <f>POSTTAX(Y374,INDEX(Data_Prices!Y:Y,MATCH($G384,Data_Prices!$A:$A,0)),Y$399)</f>
        <v>0.71297505494694646</v>
      </c>
      <c r="Z384" s="22">
        <f>POSTTAX(Z374,INDEX(Data_Prices!Z:Z,MATCH($G384,Data_Prices!$A:$A,0)),Z$399)</f>
        <v>0.7449638850570548</v>
      </c>
      <c r="AA384" s="22">
        <f>POSTTAX(AA374,INDEX(Data_Prices!AA:AA,MATCH($G384,Data_Prices!$A:$A,0)),AA$399)</f>
        <v>0.77695271516716335</v>
      </c>
      <c r="AB384" s="22">
        <f>POSTTAX(AB374,INDEX(Data_Prices!AB:AB,MATCH($G384,Data_Prices!$A:$A,0)),AB$399)</f>
        <v>0.80894154527727191</v>
      </c>
      <c r="AC384" s="22">
        <f>POSTTAX(AC374,INDEX(Data_Prices!AC:AC,MATCH($G384,Data_Prices!$A:$A,0)),AC$399)</f>
        <v>0.84093037538738025</v>
      </c>
      <c r="AD384" s="22">
        <f>POSTTAX(AD374,INDEX(Data_Prices!AD:AD,MATCH($G384,Data_Prices!$A:$A,0)),AD$399)</f>
        <v>0.8729192054974888</v>
      </c>
      <c r="AE384" s="22">
        <f>POSTTAX(AE374,INDEX(Data_Prices!AE:AE,MATCH($G384,Data_Prices!$A:$A,0)),AE$399)</f>
        <v>0.90490803560759736</v>
      </c>
    </row>
    <row r="385" spans="2:31" x14ac:dyDescent="0.25">
      <c r="B385" s="17" t="s">
        <v>68</v>
      </c>
      <c r="C385" s="17" t="str">
        <f t="shared" si="37"/>
        <v>nfm</v>
      </c>
      <c r="D385" s="18" t="s">
        <v>69</v>
      </c>
      <c r="E385" s="19" t="s">
        <v>70</v>
      </c>
      <c r="F385" s="17" t="s">
        <v>77</v>
      </c>
      <c r="G385" s="20" t="str">
        <f>Settings!$B$3&amp;".mit.nce."&amp;Settings!$B$4&amp;"."&amp;$B385&amp;".a."&amp;$J$367</f>
        <v>egy.mit.nce.ind.oop.a.2</v>
      </c>
      <c r="H385" s="21" t="str">
        <f>OUTCODE(Settings!$B$3,"atp",$C$367,$B385,$J$367)</f>
        <v>egy.mit.atp.nfm.oop.e.2</v>
      </c>
      <c r="K385" s="22">
        <f>POSTTAX(K375,INDEX(Data_Prices!K:K,MATCH($G385,Data_Prices!$A:$A,0)),K$399)</f>
        <v>41.50033849886843</v>
      </c>
      <c r="L385" s="22">
        <f>POSTTAX(L375,INDEX(Data_Prices!L:L,MATCH($G385,Data_Prices!$A:$A,0)),L$399)</f>
        <v>34.415370304313228</v>
      </c>
      <c r="M385" s="22">
        <f>POSTTAX(M375,INDEX(Data_Prices!M:M,MATCH($G385,Data_Prices!$A:$A,0)),M$399)</f>
        <v>37.368960690432033</v>
      </c>
      <c r="N385" s="22">
        <f>POSTTAX(N375,INDEX(Data_Prices!N:N,MATCH($G385,Data_Prices!$A:$A,0)),N$399)</f>
        <v>28.982761101477251</v>
      </c>
      <c r="O385" s="22">
        <f>POSTTAX(O375,INDEX(Data_Prices!O:O,MATCH($G385,Data_Prices!$A:$A,0)),O$399)</f>
        <v>15</v>
      </c>
      <c r="P385" s="22">
        <f>POSTTAX(P375,INDEX(Data_Prices!P:P,MATCH($G385,Data_Prices!$A:$A,0)),P$399)</f>
        <v>24.2586300842555</v>
      </c>
      <c r="Q385" s="22">
        <f>POSTTAX(Q375,INDEX(Data_Prices!Q:Q,MATCH($G385,Data_Prices!$A:$A,0)),Q$399)</f>
        <v>18.963758196132449</v>
      </c>
      <c r="R385" s="22">
        <f>POSTTAX(R375,INDEX(Data_Prices!R:R,MATCH($G385,Data_Prices!$A:$A,0)),R$399)</f>
        <v>21.76034511401058</v>
      </c>
      <c r="S385" s="22">
        <f>POSTTAX(S375,INDEX(Data_Prices!S:S,MATCH($G385,Data_Prices!$A:$A,0)),S$399)</f>
        <v>26.079880691373617</v>
      </c>
      <c r="T385" s="22">
        <f>POSTTAX(T375,INDEX(Data_Prices!T:T,MATCH($G385,Data_Prices!$A:$A,0)),T$399)</f>
        <v>30.593682445209222</v>
      </c>
      <c r="U385" s="22">
        <f>POSTTAX(U375,INDEX(Data_Prices!U:U,MATCH($G385,Data_Prices!$A:$A,0)),U$399)</f>
        <v>34.990509739410058</v>
      </c>
      <c r="V385" s="22">
        <f>POSTTAX(V375,INDEX(Data_Prices!V:V,MATCH($G385,Data_Prices!$A:$A,0)),V$399)</f>
        <v>40.858059739410059</v>
      </c>
      <c r="W385" s="22">
        <f>POSTTAX(W375,INDEX(Data_Prices!W:W,MATCH($G385,Data_Prices!$A:$A,0)),W$399)</f>
        <v>46.725609739410061</v>
      </c>
      <c r="X385" s="22">
        <f>POSTTAX(X375,INDEX(Data_Prices!X:X,MATCH($G385,Data_Prices!$A:$A,0)),X$399)</f>
        <v>52.593159739410055</v>
      </c>
      <c r="Y385" s="22">
        <f>POSTTAX(Y375,INDEX(Data_Prices!Y:Y,MATCH($G385,Data_Prices!$A:$A,0)),Y$399)</f>
        <v>58.460709739410071</v>
      </c>
      <c r="Z385" s="22">
        <f>POSTTAX(Z375,INDEX(Data_Prices!Z:Z,MATCH($G385,Data_Prices!$A:$A,0)),Z$399)</f>
        <v>64.328259739410072</v>
      </c>
      <c r="AA385" s="22">
        <f>POSTTAX(AA375,INDEX(Data_Prices!AA:AA,MATCH($G385,Data_Prices!$A:$A,0)),AA$399)</f>
        <v>70.195809739410066</v>
      </c>
      <c r="AB385" s="22">
        <f>POSTTAX(AB375,INDEX(Data_Prices!AB:AB,MATCH($G385,Data_Prices!$A:$A,0)),AB$399)</f>
        <v>76.06335973941006</v>
      </c>
      <c r="AC385" s="22">
        <f>POSTTAX(AC375,INDEX(Data_Prices!AC:AC,MATCH($G385,Data_Prices!$A:$A,0)),AC$399)</f>
        <v>81.930909739410055</v>
      </c>
      <c r="AD385" s="22">
        <f>POSTTAX(AD375,INDEX(Data_Prices!AD:AD,MATCH($G385,Data_Prices!$A:$A,0)),AD$399)</f>
        <v>87.798459739410063</v>
      </c>
      <c r="AE385" s="22">
        <f>POSTTAX(AE375,INDEX(Data_Prices!AE:AE,MATCH($G385,Data_Prices!$A:$A,0)),AE$399)</f>
        <v>93.666009739410057</v>
      </c>
    </row>
    <row r="386" spans="2:31" x14ac:dyDescent="0.25">
      <c r="B386" s="17" t="s">
        <v>71</v>
      </c>
      <c r="C386" s="17" t="str">
        <f t="shared" si="37"/>
        <v>nfm</v>
      </c>
      <c r="D386" s="18" t="s">
        <v>72</v>
      </c>
      <c r="E386" s="19" t="s">
        <v>55</v>
      </c>
      <c r="F386" s="17" t="s">
        <v>77</v>
      </c>
      <c r="G386" s="20" t="str">
        <f>Settings!$B$3&amp;".mit.nce."&amp;Settings!$B$4&amp;"."&amp;$B386&amp;".a."&amp;$J$367</f>
        <v>egy.mit.nce.ind.bio.a.2</v>
      </c>
      <c r="H386" s="21" t="str">
        <f>OUTCODE(Settings!$B$3,"atp",$C$367,$B386,$J$367)</f>
        <v>egy.mit.atp.nfm.bio.e.2</v>
      </c>
      <c r="K386" s="22">
        <f>POSTTAX(K376,INDEX(Data_Prices!K:K,MATCH($G386,Data_Prices!$A:$A,0)),K$399)</f>
        <v>15.33455052931693</v>
      </c>
      <c r="L386" s="22">
        <f>POSTTAX(L376,INDEX(Data_Prices!L:L,MATCH($G386,Data_Prices!$A:$A,0)),L$399)</f>
        <v>14.199528390634921</v>
      </c>
      <c r="M386" s="22">
        <f>POSTTAX(M376,INDEX(Data_Prices!M:M,MATCH($G386,Data_Prices!$A:$A,0)),M$399)</f>
        <v>13.840441613315161</v>
      </c>
      <c r="N386" s="22">
        <f>POSTTAX(N376,INDEX(Data_Prices!N:N,MATCH($G386,Data_Prices!$A:$A,0)),N$399)</f>
        <v>13.5677269404465</v>
      </c>
      <c r="O386" s="22">
        <f>POSTTAX(O376,INDEX(Data_Prices!O:O,MATCH($G386,Data_Prices!$A:$A,0)),O$399)</f>
        <v>13.5677269404465</v>
      </c>
      <c r="P386" s="22">
        <f>POSTTAX(P376,INDEX(Data_Prices!P:P,MATCH($G386,Data_Prices!$A:$A,0)),P$399)</f>
        <v>13.5677269404465</v>
      </c>
      <c r="Q386" s="22">
        <f>POSTTAX(Q376,INDEX(Data_Prices!Q:Q,MATCH($G386,Data_Prices!$A:$A,0)),Q$399)</f>
        <v>13.5677269404465</v>
      </c>
      <c r="R386" s="22">
        <f>POSTTAX(R376,INDEX(Data_Prices!R:R,MATCH($G386,Data_Prices!$A:$A,0)),R$399)</f>
        <v>13.5677269404465</v>
      </c>
      <c r="S386" s="22">
        <f>POSTTAX(S376,INDEX(Data_Prices!S:S,MATCH($G386,Data_Prices!$A:$A,0)),S$399)</f>
        <v>13.5677269404465</v>
      </c>
      <c r="T386" s="22">
        <f>POSTTAX(T376,INDEX(Data_Prices!T:T,MATCH($G386,Data_Prices!$A:$A,0)),T$399)</f>
        <v>13.5677269404465</v>
      </c>
      <c r="U386" s="22">
        <f>POSTTAX(U376,INDEX(Data_Prices!U:U,MATCH($G386,Data_Prices!$A:$A,0)),U$399)</f>
        <v>13.5677269404465</v>
      </c>
      <c r="V386" s="22">
        <f>POSTTAX(V376,INDEX(Data_Prices!V:V,MATCH($G386,Data_Prices!$A:$A,0)),V$399)</f>
        <v>13.5677269404465</v>
      </c>
      <c r="W386" s="22">
        <f>POSTTAX(W376,INDEX(Data_Prices!W:W,MATCH($G386,Data_Prices!$A:$A,0)),W$399)</f>
        <v>13.5677269404465</v>
      </c>
      <c r="X386" s="22">
        <f>POSTTAX(X376,INDEX(Data_Prices!X:X,MATCH($G386,Data_Prices!$A:$A,0)),X$399)</f>
        <v>13.5677269404465</v>
      </c>
      <c r="Y386" s="22">
        <f>POSTTAX(Y376,INDEX(Data_Prices!Y:Y,MATCH($G386,Data_Prices!$A:$A,0)),Y$399)</f>
        <v>13.5677269404465</v>
      </c>
      <c r="Z386" s="22">
        <f>POSTTAX(Z376,INDEX(Data_Prices!Z:Z,MATCH($G386,Data_Prices!$A:$A,0)),Z$399)</f>
        <v>13.5677269404465</v>
      </c>
      <c r="AA386" s="22">
        <f>POSTTAX(AA376,INDEX(Data_Prices!AA:AA,MATCH($G386,Data_Prices!$A:$A,0)),AA$399)</f>
        <v>13.5677269404465</v>
      </c>
      <c r="AB386" s="22">
        <f>POSTTAX(AB376,INDEX(Data_Prices!AB:AB,MATCH($G386,Data_Prices!$A:$A,0)),AB$399)</f>
        <v>13.5677269404465</v>
      </c>
      <c r="AC386" s="22">
        <f>POSTTAX(AC376,INDEX(Data_Prices!AC:AC,MATCH($G386,Data_Prices!$A:$A,0)),AC$399)</f>
        <v>13.5677269404465</v>
      </c>
      <c r="AD386" s="22">
        <f>POSTTAX(AD376,INDEX(Data_Prices!AD:AD,MATCH($G386,Data_Prices!$A:$A,0)),AD$399)</f>
        <v>13.5677269404465</v>
      </c>
      <c r="AE386" s="22">
        <f>POSTTAX(AE376,INDEX(Data_Prices!AE:AE,MATCH($G386,Data_Prices!$A:$A,0)),AE$399)</f>
        <v>13.5677269404465</v>
      </c>
    </row>
    <row r="387" spans="2:31" x14ac:dyDescent="0.25">
      <c r="B387" s="17" t="s">
        <v>73</v>
      </c>
      <c r="C387" s="17" t="str">
        <f t="shared" si="37"/>
        <v>nfm</v>
      </c>
      <c r="D387" s="18" t="s">
        <v>74</v>
      </c>
      <c r="E387" s="19" t="s">
        <v>75</v>
      </c>
      <c r="F387" s="17" t="s">
        <v>77</v>
      </c>
      <c r="G387" s="20" t="str">
        <f>Settings!$B$3&amp;".mit.nce."&amp;Settings!$B$4&amp;"."&amp;$B387&amp;".a."&amp;$J$367</f>
        <v>egy.mit.nce.ind.ren.a.2</v>
      </c>
      <c r="H387" s="21" t="str">
        <f>OUTCODE(Settings!$B$3,"atp",$C$367,$B387,$J$367)</f>
        <v>egy.mit.atp.nfm.ren.e.2</v>
      </c>
      <c r="K387" s="22">
        <f>POSTTAX(K377,INDEX(Data_Prices!K:K,MATCH($G387,Data_Prices!$A:$A,0)),K$399)</f>
        <v>0</v>
      </c>
      <c r="L387" s="22">
        <f>POSTTAX(L377,INDEX(Data_Prices!L:L,MATCH($G387,Data_Prices!$A:$A,0)),L$399)</f>
        <v>0.14404498679319799</v>
      </c>
      <c r="M387" s="22">
        <f>POSTTAX(M377,INDEX(Data_Prices!M:M,MATCH($G387,Data_Prices!$A:$A,0)),M$399)</f>
        <v>0.14138624175135939</v>
      </c>
      <c r="N387" s="22">
        <f>POSTTAX(N377,INDEX(Data_Prices!N:N,MATCH($G387,Data_Prices!$A:$A,0)),N$399)</f>
        <v>0.1353975654437313</v>
      </c>
      <c r="O387" s="22">
        <f>POSTTAX(O377,INDEX(Data_Prices!O:O,MATCH($G387,Data_Prices!$A:$A,0)),O$399)</f>
        <v>0.13152288542065141</v>
      </c>
      <c r="P387" s="22">
        <f>POSTTAX(P377,INDEX(Data_Prices!P:P,MATCH($G387,Data_Prices!$A:$A,0)),P$399)</f>
        <v>0.12882610848523129</v>
      </c>
      <c r="Q387" s="22">
        <f>POSTTAX(Q377,INDEX(Data_Prices!Q:Q,MATCH($G387,Data_Prices!$A:$A,0)),Q$399)</f>
        <v>0.1259420097647401</v>
      </c>
      <c r="R387" s="22">
        <f>POSTTAX(R377,INDEX(Data_Prices!R:R,MATCH($G387,Data_Prices!$A:$A,0)),R$399)</f>
        <v>0.1231132657018609</v>
      </c>
      <c r="S387" s="22">
        <f>POSTTAX(S377,INDEX(Data_Prices!S:S,MATCH($G387,Data_Prices!$A:$A,0)),S$399)</f>
        <v>0.1193917380890684</v>
      </c>
      <c r="T387" s="22">
        <f>POSTTAX(T377,INDEX(Data_Prices!T:T,MATCH($G387,Data_Prices!$A:$A,0)),T$399)</f>
        <v>0.1155441904679203</v>
      </c>
      <c r="U387" s="22">
        <f>POSTTAX(U377,INDEX(Data_Prices!U:U,MATCH($G387,Data_Prices!$A:$A,0)),U$399)</f>
        <v>0.11492423065415899</v>
      </c>
      <c r="V387" s="22">
        <f>POSTTAX(V377,INDEX(Data_Prices!V:V,MATCH($G387,Data_Prices!$A:$A,0)),V$399)</f>
        <v>0.11434691211673639</v>
      </c>
      <c r="W387" s="22">
        <f>POSTTAX(W377,INDEX(Data_Prices!W:W,MATCH($G387,Data_Prices!$A:$A,0)),W$399)</f>
        <v>0.1137387111726635</v>
      </c>
      <c r="X387" s="22">
        <f>POSTTAX(X377,INDEX(Data_Prices!X:X,MATCH($G387,Data_Prices!$A:$A,0)),X$399)</f>
        <v>0.1129999004875214</v>
      </c>
      <c r="Y387" s="22">
        <f>POSTTAX(Y377,INDEX(Data_Prices!Y:Y,MATCH($G387,Data_Prices!$A:$A,0)),Y$399)</f>
        <v>0.11217768583553429</v>
      </c>
      <c r="Z387" s="22">
        <f>POSTTAX(Z377,INDEX(Data_Prices!Z:Z,MATCH($G387,Data_Prices!$A:$A,0)),Z$399)</f>
        <v>0.1114179032504042</v>
      </c>
      <c r="AA387" s="22">
        <f>POSTTAX(AA377,INDEX(Data_Prices!AA:AA,MATCH($G387,Data_Prices!$A:$A,0)),AA$399)</f>
        <v>0.1105258199854538</v>
      </c>
      <c r="AB387" s="22">
        <f>POSTTAX(AB377,INDEX(Data_Prices!AB:AB,MATCH($G387,Data_Prices!$A:$A,0)),AB$399)</f>
        <v>0.1096995652348958</v>
      </c>
      <c r="AC387" s="22">
        <f>POSTTAX(AC377,INDEX(Data_Prices!AC:AC,MATCH($G387,Data_Prices!$A:$A,0)),AC$399)</f>
        <v>0.1077267889639492</v>
      </c>
      <c r="AD387" s="22">
        <f>POSTTAX(AD377,INDEX(Data_Prices!AD:AD,MATCH($G387,Data_Prices!$A:$A,0)),AD$399)</f>
        <v>0.1058209244509353</v>
      </c>
      <c r="AE387" s="22">
        <f>POSTTAX(AE377,INDEX(Data_Prices!AE:AE,MATCH($G387,Data_Prices!$A:$A,0)),AE$399)</f>
        <v>0.1038555957057212</v>
      </c>
    </row>
    <row r="388" spans="2:31" x14ac:dyDescent="0.25">
      <c r="B388" s="16" t="s">
        <v>78</v>
      </c>
    </row>
    <row r="389" spans="2:31" x14ac:dyDescent="0.25">
      <c r="B389" s="17" t="s">
        <v>53</v>
      </c>
      <c r="C389" s="17" t="str">
        <f t="shared" ref="C389:C397" si="38">$C$367</f>
        <v>nfm</v>
      </c>
      <c r="D389" s="18" t="s">
        <v>54</v>
      </c>
      <c r="E389" s="19" t="s">
        <v>55</v>
      </c>
      <c r="F389" s="17" t="s">
        <v>79</v>
      </c>
      <c r="G389" s="20" t="str">
        <f>Settings!$B$3&amp;".mit.shp."&amp;$B389&amp;"."&amp;Settings!$B$4&amp;"."&amp;$J$367</f>
        <v>egy.mit.shp.coa.ind.2</v>
      </c>
      <c r="H389" s="21" t="str">
        <f>OUTCODE(Settings!$B$3,"shp",$C$367,$B389,$J$367)</f>
        <v>egy.mit.shp.nfm.coa.e.2</v>
      </c>
      <c r="K389" s="23">
        <f>SHADOW(K379,INDEX(Data_Prices!K:K,MATCH($G389,Data_Prices!$A:$A,0)),K$400)</f>
        <v>11.18290158924394</v>
      </c>
      <c r="L389" s="23">
        <f>SHADOW(L379,INDEX(Data_Prices!L:L,MATCH($G389,Data_Prices!$A:$A,0)),L$400)</f>
        <v>10.52336134543121</v>
      </c>
      <c r="M389" s="23">
        <f>SHADOW(M379,INDEX(Data_Prices!M:M,MATCH($G389,Data_Prices!$A:$A,0)),M$400)</f>
        <v>10.299560827444211</v>
      </c>
      <c r="N389" s="23">
        <f>SHADOW(N379,INDEX(Data_Prices!N:N,MATCH($G389,Data_Prices!$A:$A,0)),N$400)</f>
        <v>9.5775283595382632</v>
      </c>
      <c r="O389" s="23">
        <f>SHADOW(O379,INDEX(Data_Prices!O:O,MATCH($G389,Data_Prices!$A:$A,0)),O$400)</f>
        <v>8.4854782869580454</v>
      </c>
      <c r="P389" s="23">
        <f>SHADOW(P379,INDEX(Data_Prices!P:P,MATCH($G389,Data_Prices!$A:$A,0)),P$400)</f>
        <v>9.0871922352498604</v>
      </c>
      <c r="Q389" s="23">
        <f>SHADOW(Q379,INDEX(Data_Prices!Q:Q,MATCH($G389,Data_Prices!$A:$A,0)),Q$400)</f>
        <v>10.472923728932681</v>
      </c>
      <c r="R389" s="23">
        <f>SHADOW(R379,INDEX(Data_Prices!R:R,MATCH($G389,Data_Prices!$A:$A,0)),R$400)</f>
        <v>11.658564955509688</v>
      </c>
      <c r="S389" s="23">
        <f>SHADOW(S379,INDEX(Data_Prices!S:S,MATCH($G389,Data_Prices!$A:$A,0)),S$400)</f>
        <v>12.839547877397377</v>
      </c>
      <c r="T389" s="23">
        <f>SHADOW(T379,INDEX(Data_Prices!T:T,MATCH($G389,Data_Prices!$A:$A,0)),T$400)</f>
        <v>14.01568166602283</v>
      </c>
      <c r="U389" s="23">
        <f>SHADOW(U379,INDEX(Data_Prices!U:U,MATCH($G389,Data_Prices!$A:$A,0)),U$400)</f>
        <v>15.194397765557106</v>
      </c>
      <c r="V389" s="23">
        <f>SHADOW(V379,INDEX(Data_Prices!V:V,MATCH($G389,Data_Prices!$A:$A,0)),V$400)</f>
        <v>16.444397765557106</v>
      </c>
      <c r="W389" s="23">
        <f>SHADOW(W379,INDEX(Data_Prices!W:W,MATCH($G389,Data_Prices!$A:$A,0)),W$400)</f>
        <v>17.694397765557106</v>
      </c>
      <c r="X389" s="23">
        <f>SHADOW(X379,INDEX(Data_Prices!X:X,MATCH($G389,Data_Prices!$A:$A,0)),X$400)</f>
        <v>18.944397765557106</v>
      </c>
      <c r="Y389" s="23">
        <f>SHADOW(Y379,INDEX(Data_Prices!Y:Y,MATCH($G389,Data_Prices!$A:$A,0)),Y$400)</f>
        <v>20.194397765557106</v>
      </c>
      <c r="Z389" s="23">
        <f>SHADOW(Z379,INDEX(Data_Prices!Z:Z,MATCH($G389,Data_Prices!$A:$A,0)),Z$400)</f>
        <v>21.444397765557106</v>
      </c>
      <c r="AA389" s="23">
        <f>SHADOW(AA379,INDEX(Data_Prices!AA:AA,MATCH($G389,Data_Prices!$A:$A,0)),AA$400)</f>
        <v>22.694397765557106</v>
      </c>
      <c r="AB389" s="23">
        <f>SHADOW(AB379,INDEX(Data_Prices!AB:AB,MATCH($G389,Data_Prices!$A:$A,0)),AB$400)</f>
        <v>23.944397765557106</v>
      </c>
      <c r="AC389" s="23">
        <f>SHADOW(AC379,INDEX(Data_Prices!AC:AC,MATCH($G389,Data_Prices!$A:$A,0)),AC$400)</f>
        <v>25.194397765557106</v>
      </c>
      <c r="AD389" s="23">
        <f>SHADOW(AD379,INDEX(Data_Prices!AD:AD,MATCH($G389,Data_Prices!$A:$A,0)),AD$400)</f>
        <v>26.444397765557106</v>
      </c>
      <c r="AE389" s="23">
        <f>SHADOW(AE379,INDEX(Data_Prices!AE:AE,MATCH($G389,Data_Prices!$A:$A,0)),AE$400)</f>
        <v>27.694397765557106</v>
      </c>
    </row>
    <row r="390" spans="2:31" x14ac:dyDescent="0.25">
      <c r="B390" s="17" t="s">
        <v>57</v>
      </c>
      <c r="C390" s="17" t="str">
        <f t="shared" si="38"/>
        <v>nfm</v>
      </c>
      <c r="D390" s="18" t="s">
        <v>58</v>
      </c>
      <c r="E390" s="19" t="s">
        <v>55</v>
      </c>
      <c r="F390" s="17" t="s">
        <v>79</v>
      </c>
      <c r="G390" s="20" t="str">
        <f>Settings!$B$3&amp;".mit.shp."&amp;$B390&amp;"."&amp;Settings!$B$4&amp;"."&amp;$J$367</f>
        <v>egy.mit.shp.nga.ind.2</v>
      </c>
      <c r="H390" s="21" t="str">
        <f>OUTCODE(Settings!$B$3,"shp",$C$367,$B390,$J$367)</f>
        <v>egy.mit.shp.nfm.nga.e.2</v>
      </c>
      <c r="K390" s="23">
        <f>SHADOW(K380,INDEX(Data_Prices!K:K,MATCH($G390,Data_Prices!$A:$A,0)),K$400)</f>
        <v>6.0634636156729131</v>
      </c>
      <c r="L390" s="23">
        <f>SHADOW(L380,INDEX(Data_Prices!L:L,MATCH($G390,Data_Prices!$A:$A,0)),L$400)</f>
        <v>5.4510150816191896</v>
      </c>
      <c r="M390" s="23">
        <f>SHADOW(M380,INDEX(Data_Prices!M:M,MATCH($G390,Data_Prices!$A:$A,0)),M$400)</f>
        <v>5.1193563062624818</v>
      </c>
      <c r="N390" s="23">
        <f>SHADOW(N380,INDEX(Data_Prices!N:N,MATCH($G390,Data_Prices!$A:$A,0)),N$400)</f>
        <v>5.0821845864040727</v>
      </c>
      <c r="O390" s="23">
        <f>SHADOW(O380,INDEX(Data_Prices!O:O,MATCH($G390,Data_Prices!$A:$A,0)),O$400)</f>
        <v>5.0821845864040727</v>
      </c>
      <c r="P390" s="23">
        <f>SHADOW(P380,INDEX(Data_Prices!P:P,MATCH($G390,Data_Prices!$A:$A,0)),P$400)</f>
        <v>5.0821845864040727</v>
      </c>
      <c r="Q390" s="23">
        <f>SHADOW(Q380,INDEX(Data_Prices!Q:Q,MATCH($G390,Data_Prices!$A:$A,0)),Q$400)</f>
        <v>5.7796845864040725</v>
      </c>
      <c r="R390" s="23">
        <f>SHADOW(R380,INDEX(Data_Prices!R:R,MATCH($G390,Data_Prices!$A:$A,0)),R$400)</f>
        <v>6.4771845864040731</v>
      </c>
      <c r="S390" s="23">
        <f>SHADOW(S380,INDEX(Data_Prices!S:S,MATCH($G390,Data_Prices!$A:$A,0)),S$400)</f>
        <v>7.1746845864040729</v>
      </c>
      <c r="T390" s="23">
        <f>SHADOW(T380,INDEX(Data_Prices!T:T,MATCH($G390,Data_Prices!$A:$A,0)),T$400)</f>
        <v>7.8721845864040736</v>
      </c>
      <c r="U390" s="23">
        <f>SHADOW(U380,INDEX(Data_Prices!U:U,MATCH($G390,Data_Prices!$A:$A,0)),U$400)</f>
        <v>8.5696845864040725</v>
      </c>
      <c r="V390" s="23">
        <f>SHADOW(V380,INDEX(Data_Prices!V:V,MATCH($G390,Data_Prices!$A:$A,0)),V$400)</f>
        <v>9.2671845864040723</v>
      </c>
      <c r="W390" s="23">
        <f>SHADOW(W380,INDEX(Data_Prices!W:W,MATCH($G390,Data_Prices!$A:$A,0)),W$400)</f>
        <v>9.9646845864040721</v>
      </c>
      <c r="X390" s="23">
        <f>SHADOW(X380,INDEX(Data_Prices!X:X,MATCH($G390,Data_Prices!$A:$A,0)),X$400)</f>
        <v>10.662184586404072</v>
      </c>
      <c r="Y390" s="23">
        <f>SHADOW(Y380,INDEX(Data_Prices!Y:Y,MATCH($G390,Data_Prices!$A:$A,0)),Y$400)</f>
        <v>11.359684586404072</v>
      </c>
      <c r="Z390" s="23">
        <f>SHADOW(Z380,INDEX(Data_Prices!Z:Z,MATCH($G390,Data_Prices!$A:$A,0)),Z$400)</f>
        <v>12.057184586404073</v>
      </c>
      <c r="AA390" s="23">
        <f>SHADOW(AA380,INDEX(Data_Prices!AA:AA,MATCH($G390,Data_Prices!$A:$A,0)),AA$400)</f>
        <v>12.754684586404071</v>
      </c>
      <c r="AB390" s="23">
        <f>SHADOW(AB380,INDEX(Data_Prices!AB:AB,MATCH($G390,Data_Prices!$A:$A,0)),AB$400)</f>
        <v>13.452184586404073</v>
      </c>
      <c r="AC390" s="23">
        <f>SHADOW(AC380,INDEX(Data_Prices!AC:AC,MATCH($G390,Data_Prices!$A:$A,0)),AC$400)</f>
        <v>14.149684586404071</v>
      </c>
      <c r="AD390" s="23">
        <f>SHADOW(AD380,INDEX(Data_Prices!AD:AD,MATCH($G390,Data_Prices!$A:$A,0)),AD$400)</f>
        <v>14.847184586404072</v>
      </c>
      <c r="AE390" s="23">
        <f>SHADOW(AE380,INDEX(Data_Prices!AE:AE,MATCH($G390,Data_Prices!$A:$A,0)),AE$400)</f>
        <v>15.544684586404072</v>
      </c>
    </row>
    <row r="391" spans="2:31" x14ac:dyDescent="0.25">
      <c r="B391" s="17" t="s">
        <v>59</v>
      </c>
      <c r="C391" s="17" t="str">
        <f t="shared" si="38"/>
        <v>nfm</v>
      </c>
      <c r="D391" s="18" t="s">
        <v>60</v>
      </c>
      <c r="E391" s="19" t="s">
        <v>61</v>
      </c>
      <c r="F391" s="17" t="s">
        <v>79</v>
      </c>
      <c r="G391" s="20" t="str">
        <f>Settings!$B$3&amp;".mit.shp."&amp;$B391&amp;"."&amp;Settings!$B$4&amp;"."&amp;$J$367</f>
        <v>egy.mit.shp.gso.ind.2</v>
      </c>
      <c r="H391" s="21" t="str">
        <f>OUTCODE(Settings!$B$3,"shp",$C$367,$B391,$J$367)</f>
        <v>egy.mit.shp.nfm.gso.e.2</v>
      </c>
      <c r="K391" s="23">
        <f>SHADOW(K381,INDEX(Data_Prices!K:K,MATCH($G391,Data_Prices!$A:$A,0)),K$400)</f>
        <v>0.67114653332181606</v>
      </c>
      <c r="L391" s="23">
        <f>SHADOW(L381,INDEX(Data_Prices!L:L,MATCH($G391,Data_Prices!$A:$A,0)),L$400)</f>
        <v>0.61197797679140631</v>
      </c>
      <c r="M391" s="23">
        <f>SHADOW(M381,INDEX(Data_Prices!M:M,MATCH($G391,Data_Prices!$A:$A,0)),M$400)</f>
        <v>0.61180974964187596</v>
      </c>
      <c r="N391" s="23">
        <f>SHADOW(N381,INDEX(Data_Prices!N:N,MATCH($G391,Data_Prices!$A:$A,0)),N$400)</f>
        <v>0.60358310017790551</v>
      </c>
      <c r="O391" s="23">
        <f>SHADOW(O381,INDEX(Data_Prices!O:O,MATCH($G391,Data_Prices!$A:$A,0)),O$400)</f>
        <v>0.60358310017790551</v>
      </c>
      <c r="P391" s="23">
        <f>SHADOW(P381,INDEX(Data_Prices!P:P,MATCH($G391,Data_Prices!$A:$A,0)),P$400)</f>
        <v>0.60358310017790551</v>
      </c>
      <c r="Q391" s="23">
        <f>SHADOW(Q381,INDEX(Data_Prices!Q:Q,MATCH($G391,Data_Prices!$A:$A,0)),Q$400)</f>
        <v>0.6325109433494055</v>
      </c>
      <c r="R391" s="23">
        <f>SHADOW(R381,INDEX(Data_Prices!R:R,MATCH($G391,Data_Prices!$A:$A,0)),R$400)</f>
        <v>0.66143878652090549</v>
      </c>
      <c r="S391" s="23">
        <f>SHADOW(S381,INDEX(Data_Prices!S:S,MATCH($G391,Data_Prices!$A:$A,0)),S$400)</f>
        <v>0.69036662969240548</v>
      </c>
      <c r="T391" s="23">
        <f>SHADOW(T381,INDEX(Data_Prices!T:T,MATCH($G391,Data_Prices!$A:$A,0)),T$400)</f>
        <v>0.71929447286390547</v>
      </c>
      <c r="U391" s="23">
        <f>SHADOW(U381,INDEX(Data_Prices!U:U,MATCH($G391,Data_Prices!$A:$A,0)),U$400)</f>
        <v>0.74822231603540557</v>
      </c>
      <c r="V391" s="23">
        <f>SHADOW(V381,INDEX(Data_Prices!V:V,MATCH($G391,Data_Prices!$A:$A,0)),V$400)</f>
        <v>0.77715015920690544</v>
      </c>
      <c r="W391" s="23">
        <f>SHADOW(W381,INDEX(Data_Prices!W:W,MATCH($G391,Data_Prices!$A:$A,0)),W$400)</f>
        <v>0.80607800237840554</v>
      </c>
      <c r="X391" s="23">
        <f>SHADOW(X381,INDEX(Data_Prices!X:X,MATCH($G391,Data_Prices!$A:$A,0)),X$400)</f>
        <v>0.83500584554990553</v>
      </c>
      <c r="Y391" s="23">
        <f>SHADOW(Y381,INDEX(Data_Prices!Y:Y,MATCH($G391,Data_Prices!$A:$A,0)),Y$400)</f>
        <v>0.86393368872140552</v>
      </c>
      <c r="Z391" s="23">
        <f>SHADOW(Z381,INDEX(Data_Prices!Z:Z,MATCH($G391,Data_Prices!$A:$A,0)),Z$400)</f>
        <v>0.89286153189290551</v>
      </c>
      <c r="AA391" s="23">
        <f>SHADOW(AA381,INDEX(Data_Prices!AA:AA,MATCH($G391,Data_Prices!$A:$A,0)),AA$400)</f>
        <v>0.92178937506440561</v>
      </c>
      <c r="AB391" s="23">
        <f>SHADOW(AB381,INDEX(Data_Prices!AB:AB,MATCH($G391,Data_Prices!$A:$A,0)),AB$400)</f>
        <v>0.95071721823590549</v>
      </c>
      <c r="AC391" s="23">
        <f>SHADOW(AC381,INDEX(Data_Prices!AC:AC,MATCH($G391,Data_Prices!$A:$A,0)),AC$400)</f>
        <v>0.97964506140740548</v>
      </c>
      <c r="AD391" s="23">
        <f>SHADOW(AD381,INDEX(Data_Prices!AD:AD,MATCH($G391,Data_Prices!$A:$A,0)),AD$400)</f>
        <v>1.0085729045789056</v>
      </c>
      <c r="AE391" s="23">
        <f>SHADOW(AE381,INDEX(Data_Prices!AE:AE,MATCH($G391,Data_Prices!$A:$A,0)),AE$400)</f>
        <v>1.0375007477504057</v>
      </c>
    </row>
    <row r="392" spans="2:31" x14ac:dyDescent="0.25">
      <c r="B392" s="17" t="s">
        <v>62</v>
      </c>
      <c r="C392" s="17" t="str">
        <f t="shared" si="38"/>
        <v>nfm</v>
      </c>
      <c r="D392" s="18" t="s">
        <v>63</v>
      </c>
      <c r="E392" s="19" t="s">
        <v>61</v>
      </c>
      <c r="F392" s="17" t="s">
        <v>79</v>
      </c>
      <c r="G392" s="20" t="str">
        <f>Settings!$B$3&amp;".mit.shp."&amp;$B392&amp;"."&amp;Settings!$B$4&amp;"."&amp;$J$367</f>
        <v>egy.mit.shp.die.ind.2</v>
      </c>
      <c r="H392" s="21" t="str">
        <f>OUTCODE(Settings!$B$3,"shp",$C$367,$B392,$J$367)</f>
        <v>egy.mit.shp.nfm.die.e.2</v>
      </c>
      <c r="K392" s="23">
        <f>SHADOW(K382,INDEX(Data_Prices!K:K,MATCH($G392,Data_Prices!$A:$A,0)),K$400)</f>
        <v>0.55971121315568761</v>
      </c>
      <c r="L392" s="23">
        <f>SHADOW(L382,INDEX(Data_Prices!L:L,MATCH($G392,Data_Prices!$A:$A,0)),L$400)</f>
        <v>0.49458873084106802</v>
      </c>
      <c r="M392" s="23">
        <f>SHADOW(M382,INDEX(Data_Prices!M:M,MATCH($G392,Data_Prices!$A:$A,0)),M$400)</f>
        <v>0.50778654720250049</v>
      </c>
      <c r="N392" s="23">
        <f>SHADOW(N382,INDEX(Data_Prices!N:N,MATCH($G392,Data_Prices!$A:$A,0)),N$400)</f>
        <v>0.47043642679561742</v>
      </c>
      <c r="O392" s="23">
        <f>SHADOW(O382,INDEX(Data_Prices!O:O,MATCH($G392,Data_Prices!$A:$A,0)),O$400)</f>
        <v>0.47043642679561742</v>
      </c>
      <c r="P392" s="23">
        <f>SHADOW(P382,INDEX(Data_Prices!P:P,MATCH($G392,Data_Prices!$A:$A,0)),P$400)</f>
        <v>0.47043642679561742</v>
      </c>
      <c r="Q392" s="23">
        <f>SHADOW(Q382,INDEX(Data_Prices!Q:Q,MATCH($G392,Data_Prices!$A:$A,0)),Q$400)</f>
        <v>0.50344686565449237</v>
      </c>
      <c r="R392" s="23">
        <f>SHADOW(R382,INDEX(Data_Prices!R:R,MATCH($G392,Data_Prices!$A:$A,0)),R$400)</f>
        <v>0.53645730451336737</v>
      </c>
      <c r="S392" s="23">
        <f>SHADOW(S382,INDEX(Data_Prices!S:S,MATCH($G392,Data_Prices!$A:$A,0)),S$400)</f>
        <v>0.56946774337224249</v>
      </c>
      <c r="T392" s="23">
        <f>SHADOW(T382,INDEX(Data_Prices!T:T,MATCH($G392,Data_Prices!$A:$A,0)),T$400)</f>
        <v>0.60247818223111738</v>
      </c>
      <c r="U392" s="23">
        <f>SHADOW(U382,INDEX(Data_Prices!U:U,MATCH($G392,Data_Prices!$A:$A,0)),U$400)</f>
        <v>0.63548862108999238</v>
      </c>
      <c r="V392" s="23">
        <f>SHADOW(V382,INDEX(Data_Prices!V:V,MATCH($G392,Data_Prices!$A:$A,0)),V$400)</f>
        <v>0.66849905994886738</v>
      </c>
      <c r="W392" s="23">
        <f>SHADOW(W382,INDEX(Data_Prices!W:W,MATCH($G392,Data_Prices!$A:$A,0)),W$400)</f>
        <v>0.70150949880774238</v>
      </c>
      <c r="X392" s="23">
        <f>SHADOW(X382,INDEX(Data_Prices!X:X,MATCH($G392,Data_Prices!$A:$A,0)),X$400)</f>
        <v>0.73451993766661738</v>
      </c>
      <c r="Y392" s="23">
        <f>SHADOW(Y382,INDEX(Data_Prices!Y:Y,MATCH($G392,Data_Prices!$A:$A,0)),Y$400)</f>
        <v>0.76753037652549239</v>
      </c>
      <c r="Z392" s="23">
        <f>SHADOW(Z382,INDEX(Data_Prices!Z:Z,MATCH($G392,Data_Prices!$A:$A,0)),Z$400)</f>
        <v>0.80054081538436739</v>
      </c>
      <c r="AA392" s="23">
        <f>SHADOW(AA382,INDEX(Data_Prices!AA:AA,MATCH($G392,Data_Prices!$A:$A,0)),AA$400)</f>
        <v>0.83355125424324239</v>
      </c>
      <c r="AB392" s="23">
        <f>SHADOW(AB382,INDEX(Data_Prices!AB:AB,MATCH($G392,Data_Prices!$A:$A,0)),AB$400)</f>
        <v>0.86656169310211739</v>
      </c>
      <c r="AC392" s="23">
        <f>SHADOW(AC382,INDEX(Data_Prices!AC:AC,MATCH($G392,Data_Prices!$A:$A,0)),AC$400)</f>
        <v>0.89957213196099239</v>
      </c>
      <c r="AD392" s="23">
        <f>SHADOW(AD382,INDEX(Data_Prices!AD:AD,MATCH($G392,Data_Prices!$A:$A,0)),AD$400)</f>
        <v>0.9325825708198674</v>
      </c>
      <c r="AE392" s="23">
        <f>SHADOW(AE382,INDEX(Data_Prices!AE:AE,MATCH($G392,Data_Prices!$A:$A,0)),AE$400)</f>
        <v>0.9655930096787424</v>
      </c>
    </row>
    <row r="393" spans="2:31" x14ac:dyDescent="0.25">
      <c r="B393" s="17" t="s">
        <v>64</v>
      </c>
      <c r="C393" s="17" t="str">
        <f t="shared" si="38"/>
        <v>nfm</v>
      </c>
      <c r="D393" s="18" t="s">
        <v>65</v>
      </c>
      <c r="E393" s="19" t="s">
        <v>61</v>
      </c>
      <c r="F393" s="17" t="s">
        <v>79</v>
      </c>
      <c r="G393" s="20" t="str">
        <f>Settings!$B$3&amp;".mit.shp."&amp;$B393&amp;"."&amp;Settings!$B$4&amp;"."&amp;$J$367</f>
        <v>egy.mit.shp.lpg.ind.2</v>
      </c>
      <c r="H393" s="21" t="str">
        <f>OUTCODE(Settings!$B$3,"shp",$C$367,$B393,$J$367)</f>
        <v>egy.mit.shp.nfm.lpg.e.2</v>
      </c>
      <c r="K393" s="23">
        <f>SHADOW(K383,INDEX(Data_Prices!K:K,MATCH($G393,Data_Prices!$A:$A,0)),K$400)</f>
        <v>0.20036669112673841</v>
      </c>
      <c r="L393" s="23">
        <f>SHADOW(L383,INDEX(Data_Prices!L:L,MATCH($G393,Data_Prices!$A:$A,0)),L$400)</f>
        <v>0.1573447362522738</v>
      </c>
      <c r="M393" s="23">
        <f>SHADOW(M383,INDEX(Data_Prices!M:M,MATCH($G393,Data_Prices!$A:$A,0)),M$400)</f>
        <v>0.1644840377592767</v>
      </c>
      <c r="N393" s="23">
        <f>SHADOW(N383,INDEX(Data_Prices!N:N,MATCH($G393,Data_Prices!$A:$A,0)),N$400)</f>
        <v>0.1507090778070489</v>
      </c>
      <c r="O393" s="23">
        <f>SHADOW(O383,INDEX(Data_Prices!O:O,MATCH($G393,Data_Prices!$A:$A,0)),O$400)</f>
        <v>0.1507090778070489</v>
      </c>
      <c r="P393" s="23">
        <f>SHADOW(P383,INDEX(Data_Prices!P:P,MATCH($G393,Data_Prices!$A:$A,0)),P$400)</f>
        <v>0.1507090778070489</v>
      </c>
      <c r="Q393" s="23">
        <f>SHADOW(Q383,INDEX(Data_Prices!Q:Q,MATCH($G393,Data_Prices!$A:$A,0)),Q$400)</f>
        <v>0.17281516073434458</v>
      </c>
      <c r="R393" s="23">
        <f>SHADOW(R383,INDEX(Data_Prices!R:R,MATCH($G393,Data_Prices!$A:$A,0)),R$400)</f>
        <v>0.19492124366164029</v>
      </c>
      <c r="S393" s="23">
        <f>SHADOW(S383,INDEX(Data_Prices!S:S,MATCH($G393,Data_Prices!$A:$A,0)),S$400)</f>
        <v>0.21702732658893598</v>
      </c>
      <c r="T393" s="23">
        <f>SHADOW(T383,INDEX(Data_Prices!T:T,MATCH($G393,Data_Prices!$A:$A,0)),T$400)</f>
        <v>0.23913340951623169</v>
      </c>
      <c r="U393" s="23">
        <f>SHADOW(U383,INDEX(Data_Prices!U:U,MATCH($G393,Data_Prices!$A:$A,0)),U$400)</f>
        <v>0.2612394924435274</v>
      </c>
      <c r="V393" s="23">
        <f>SHADOW(V383,INDEX(Data_Prices!V:V,MATCH($G393,Data_Prices!$A:$A,0)),V$400)</f>
        <v>0.28334557537082311</v>
      </c>
      <c r="W393" s="23">
        <f>SHADOW(W383,INDEX(Data_Prices!W:W,MATCH($G393,Data_Prices!$A:$A,0)),W$400)</f>
        <v>0.30545165829811882</v>
      </c>
      <c r="X393" s="23">
        <f>SHADOW(X383,INDEX(Data_Prices!X:X,MATCH($G393,Data_Prices!$A:$A,0)),X$400)</f>
        <v>0.32755774122541448</v>
      </c>
      <c r="Y393" s="23">
        <f>SHADOW(Y383,INDEX(Data_Prices!Y:Y,MATCH($G393,Data_Prices!$A:$A,0)),Y$400)</f>
        <v>0.34966382415271013</v>
      </c>
      <c r="Z393" s="23">
        <f>SHADOW(Z383,INDEX(Data_Prices!Z:Z,MATCH($G393,Data_Prices!$A:$A,0)),Z$400)</f>
        <v>0.37176990708000579</v>
      </c>
      <c r="AA393" s="23">
        <f>SHADOW(AA383,INDEX(Data_Prices!AA:AA,MATCH($G393,Data_Prices!$A:$A,0)),AA$400)</f>
        <v>0.3938759900073015</v>
      </c>
      <c r="AB393" s="23">
        <f>SHADOW(AB383,INDEX(Data_Prices!AB:AB,MATCH($G393,Data_Prices!$A:$A,0)),AB$400)</f>
        <v>0.41598207293459721</v>
      </c>
      <c r="AC393" s="23">
        <f>SHADOW(AC383,INDEX(Data_Prices!AC:AC,MATCH($G393,Data_Prices!$A:$A,0)),AC$400)</f>
        <v>0.43808815586189287</v>
      </c>
      <c r="AD393" s="23">
        <f>SHADOW(AD383,INDEX(Data_Prices!AD:AD,MATCH($G393,Data_Prices!$A:$A,0)),AD$400)</f>
        <v>0.46019423878918858</v>
      </c>
      <c r="AE393" s="23">
        <f>SHADOW(AE383,INDEX(Data_Prices!AE:AE,MATCH($G393,Data_Prices!$A:$A,0)),AE$400)</f>
        <v>0.48230032171648429</v>
      </c>
    </row>
    <row r="394" spans="2:31" x14ac:dyDescent="0.25">
      <c r="B394" s="17" t="s">
        <v>66</v>
      </c>
      <c r="C394" s="17" t="str">
        <f t="shared" si="38"/>
        <v>nfm</v>
      </c>
      <c r="D394" s="18" t="s">
        <v>67</v>
      </c>
      <c r="E394" s="19" t="s">
        <v>61</v>
      </c>
      <c r="F394" s="17" t="s">
        <v>79</v>
      </c>
      <c r="G394" s="20" t="str">
        <f>Settings!$B$3&amp;".mit.shp."&amp;$B394&amp;"."&amp;Settings!$B$4&amp;"."&amp;$J$367</f>
        <v>egy.mit.shp.ker.ind.2</v>
      </c>
      <c r="H394" s="21" t="str">
        <f>OUTCODE(Settings!$B$3,"shp",$C$367,$B394,$J$367)</f>
        <v>egy.mit.shp.nfm.ker.e.2</v>
      </c>
      <c r="K394" s="23">
        <f>SHADOW(K384,INDEX(Data_Prices!K:K,MATCH($G394,Data_Prices!$A:$A,0)),K$400)</f>
        <v>0.48429424097343482</v>
      </c>
      <c r="L394" s="23">
        <f>SHADOW(L384,INDEX(Data_Prices!L:L,MATCH($G394,Data_Prices!$A:$A,0)),L$400)</f>
        <v>0.45642817050012813</v>
      </c>
      <c r="M394" s="23">
        <f>SHADOW(M384,INDEX(Data_Prices!M:M,MATCH($G394,Data_Prices!$A:$A,0)),M$400)</f>
        <v>0.43168920195599519</v>
      </c>
      <c r="N394" s="23">
        <f>SHADOW(N384,INDEX(Data_Prices!N:N,MATCH($G394,Data_Prices!$A:$A,0)),N$400)</f>
        <v>0.42507558395596989</v>
      </c>
      <c r="O394" s="23">
        <f>SHADOW(O384,INDEX(Data_Prices!O:O,MATCH($G394,Data_Prices!$A:$A,0)),O$400)</f>
        <v>0.42507558395596989</v>
      </c>
      <c r="P394" s="23">
        <f>SHADOW(P384,INDEX(Data_Prices!P:P,MATCH($G394,Data_Prices!$A:$A,0)),P$400)</f>
        <v>0.42507558395596989</v>
      </c>
      <c r="Q394" s="23">
        <f>SHADOW(Q384,INDEX(Data_Prices!Q:Q,MATCH($G394,Data_Prices!$A:$A,0)),Q$400)</f>
        <v>0.45706441406607839</v>
      </c>
      <c r="R394" s="23">
        <f>SHADOW(R384,INDEX(Data_Prices!R:R,MATCH($G394,Data_Prices!$A:$A,0)),R$400)</f>
        <v>0.4890532441761869</v>
      </c>
      <c r="S394" s="23">
        <f>SHADOW(S384,INDEX(Data_Prices!S:S,MATCH($G394,Data_Prices!$A:$A,0)),S$400)</f>
        <v>0.52104207428629545</v>
      </c>
      <c r="T394" s="23">
        <f>SHADOW(T384,INDEX(Data_Prices!T:T,MATCH($G394,Data_Prices!$A:$A,0)),T$400)</f>
        <v>0.5530309043964039</v>
      </c>
      <c r="U394" s="23">
        <f>SHADOW(U384,INDEX(Data_Prices!U:U,MATCH($G394,Data_Prices!$A:$A,0)),U$400)</f>
        <v>0.58501973450651246</v>
      </c>
      <c r="V394" s="23">
        <f>SHADOW(V384,INDEX(Data_Prices!V:V,MATCH($G394,Data_Prices!$A:$A,0)),V$400)</f>
        <v>0.6170085646166209</v>
      </c>
      <c r="W394" s="23">
        <f>SHADOW(W384,INDEX(Data_Prices!W:W,MATCH($G394,Data_Prices!$A:$A,0)),W$400)</f>
        <v>0.64899739472672935</v>
      </c>
      <c r="X394" s="23">
        <f>SHADOW(X384,INDEX(Data_Prices!X:X,MATCH($G394,Data_Prices!$A:$A,0)),X$400)</f>
        <v>0.68098622483683791</v>
      </c>
      <c r="Y394" s="23">
        <f>SHADOW(Y384,INDEX(Data_Prices!Y:Y,MATCH($G394,Data_Prices!$A:$A,0)),Y$400)</f>
        <v>0.71297505494694646</v>
      </c>
      <c r="Z394" s="23">
        <f>SHADOW(Z384,INDEX(Data_Prices!Z:Z,MATCH($G394,Data_Prices!$A:$A,0)),Z$400)</f>
        <v>0.7449638850570548</v>
      </c>
      <c r="AA394" s="23">
        <f>SHADOW(AA384,INDEX(Data_Prices!AA:AA,MATCH($G394,Data_Prices!$A:$A,0)),AA$400)</f>
        <v>0.77695271516716335</v>
      </c>
      <c r="AB394" s="23">
        <f>SHADOW(AB384,INDEX(Data_Prices!AB:AB,MATCH($G394,Data_Prices!$A:$A,0)),AB$400)</f>
        <v>0.80894154527727191</v>
      </c>
      <c r="AC394" s="23">
        <f>SHADOW(AC384,INDEX(Data_Prices!AC:AC,MATCH($G394,Data_Prices!$A:$A,0)),AC$400)</f>
        <v>0.84093037538738025</v>
      </c>
      <c r="AD394" s="23">
        <f>SHADOW(AD384,INDEX(Data_Prices!AD:AD,MATCH($G394,Data_Prices!$A:$A,0)),AD$400)</f>
        <v>0.8729192054974888</v>
      </c>
      <c r="AE394" s="23">
        <f>SHADOW(AE384,INDEX(Data_Prices!AE:AE,MATCH($G394,Data_Prices!$A:$A,0)),AE$400)</f>
        <v>0.90490803560759736</v>
      </c>
    </row>
    <row r="395" spans="2:31" x14ac:dyDescent="0.25">
      <c r="B395" s="17" t="s">
        <v>68</v>
      </c>
      <c r="C395" s="17" t="str">
        <f t="shared" si="38"/>
        <v>nfm</v>
      </c>
      <c r="D395" s="18" t="s">
        <v>69</v>
      </c>
      <c r="E395" s="19" t="s">
        <v>70</v>
      </c>
      <c r="F395" s="17" t="s">
        <v>79</v>
      </c>
      <c r="G395" s="20" t="str">
        <f>Settings!$B$3&amp;".mit.shp."&amp;$B395&amp;"."&amp;Settings!$B$4&amp;"."&amp;$J$367</f>
        <v>egy.mit.shp.oop.ind.2</v>
      </c>
      <c r="H395" s="21" t="str">
        <f>OUTCODE(Settings!$B$3,"shp",$C$367,$B395,$J$367)</f>
        <v>egy.mit.shp.nfm.oop.e.2</v>
      </c>
      <c r="K395" s="23">
        <f>SHADOW(K385,INDEX(Data_Prices!K:K,MATCH($G395,Data_Prices!$A:$A,0)),K$400)</f>
        <v>41.50033849886843</v>
      </c>
      <c r="L395" s="23">
        <f>SHADOW(L385,INDEX(Data_Prices!L:L,MATCH($G395,Data_Prices!$A:$A,0)),L$400)</f>
        <v>34.415370304313228</v>
      </c>
      <c r="M395" s="23">
        <f>SHADOW(M385,INDEX(Data_Prices!M:M,MATCH($G395,Data_Prices!$A:$A,0)),M$400)</f>
        <v>37.368960690432033</v>
      </c>
      <c r="N395" s="23">
        <f>SHADOW(N385,INDEX(Data_Prices!N:N,MATCH($G395,Data_Prices!$A:$A,0)),N$400)</f>
        <v>28.982761101477251</v>
      </c>
      <c r="O395" s="23">
        <f>SHADOW(O385,INDEX(Data_Prices!O:O,MATCH($G395,Data_Prices!$A:$A,0)),O$400)</f>
        <v>15</v>
      </c>
      <c r="P395" s="23">
        <f>SHADOW(P385,INDEX(Data_Prices!P:P,MATCH($G395,Data_Prices!$A:$A,0)),P$400)</f>
        <v>24.2586300842555</v>
      </c>
      <c r="Q395" s="23">
        <f>SHADOW(Q385,INDEX(Data_Prices!Q:Q,MATCH($G395,Data_Prices!$A:$A,0)),Q$400)</f>
        <v>18.963758196132449</v>
      </c>
      <c r="R395" s="23">
        <f>SHADOW(R385,INDEX(Data_Prices!R:R,MATCH($G395,Data_Prices!$A:$A,0)),R$400)</f>
        <v>21.76034511401058</v>
      </c>
      <c r="S395" s="23">
        <f>SHADOW(S385,INDEX(Data_Prices!S:S,MATCH($G395,Data_Prices!$A:$A,0)),S$400)</f>
        <v>26.079880691373617</v>
      </c>
      <c r="T395" s="23">
        <f>SHADOW(T385,INDEX(Data_Prices!T:T,MATCH($G395,Data_Prices!$A:$A,0)),T$400)</f>
        <v>30.593682445209222</v>
      </c>
      <c r="U395" s="23">
        <f>SHADOW(U385,INDEX(Data_Prices!U:U,MATCH($G395,Data_Prices!$A:$A,0)),U$400)</f>
        <v>34.990509739410058</v>
      </c>
      <c r="V395" s="23">
        <f>SHADOW(V385,INDEX(Data_Prices!V:V,MATCH($G395,Data_Prices!$A:$A,0)),V$400)</f>
        <v>40.858059739410059</v>
      </c>
      <c r="W395" s="23">
        <f>SHADOW(W385,INDEX(Data_Prices!W:W,MATCH($G395,Data_Prices!$A:$A,0)),W$400)</f>
        <v>46.725609739410061</v>
      </c>
      <c r="X395" s="23">
        <f>SHADOW(X385,INDEX(Data_Prices!X:X,MATCH($G395,Data_Prices!$A:$A,0)),X$400)</f>
        <v>52.593159739410055</v>
      </c>
      <c r="Y395" s="23">
        <f>SHADOW(Y385,INDEX(Data_Prices!Y:Y,MATCH($G395,Data_Prices!$A:$A,0)),Y$400)</f>
        <v>58.460709739410071</v>
      </c>
      <c r="Z395" s="23">
        <f>SHADOW(Z385,INDEX(Data_Prices!Z:Z,MATCH($G395,Data_Prices!$A:$A,0)),Z$400)</f>
        <v>64.328259739410072</v>
      </c>
      <c r="AA395" s="23">
        <f>SHADOW(AA385,INDEX(Data_Prices!AA:AA,MATCH($G395,Data_Prices!$A:$A,0)),AA$400)</f>
        <v>70.195809739410066</v>
      </c>
      <c r="AB395" s="23">
        <f>SHADOW(AB385,INDEX(Data_Prices!AB:AB,MATCH($G395,Data_Prices!$A:$A,0)),AB$400)</f>
        <v>76.06335973941006</v>
      </c>
      <c r="AC395" s="23">
        <f>SHADOW(AC385,INDEX(Data_Prices!AC:AC,MATCH($G395,Data_Prices!$A:$A,0)),AC$400)</f>
        <v>81.930909739410055</v>
      </c>
      <c r="AD395" s="23">
        <f>SHADOW(AD385,INDEX(Data_Prices!AD:AD,MATCH($G395,Data_Prices!$A:$A,0)),AD$400)</f>
        <v>87.798459739410063</v>
      </c>
      <c r="AE395" s="23">
        <f>SHADOW(AE385,INDEX(Data_Prices!AE:AE,MATCH($G395,Data_Prices!$A:$A,0)),AE$400)</f>
        <v>93.666009739410057</v>
      </c>
    </row>
    <row r="396" spans="2:31" x14ac:dyDescent="0.25">
      <c r="B396" s="17" t="s">
        <v>71</v>
      </c>
      <c r="C396" s="17" t="str">
        <f t="shared" si="38"/>
        <v>nfm</v>
      </c>
      <c r="D396" s="18" t="s">
        <v>72</v>
      </c>
      <c r="E396" s="19" t="s">
        <v>55</v>
      </c>
      <c r="F396" s="17" t="s">
        <v>79</v>
      </c>
      <c r="G396" s="20" t="str">
        <f>Settings!$B$3&amp;".mit.shp."&amp;$B396&amp;"."&amp;Settings!$B$4&amp;"."&amp;$J$367</f>
        <v>egy.mit.shp.bio.ind.2</v>
      </c>
      <c r="H396" s="21" t="str">
        <f>OUTCODE(Settings!$B$3,"shp",$C$367,$B396,$J$367)</f>
        <v>egy.mit.shp.nfm.bio.e.2</v>
      </c>
      <c r="K396" s="23">
        <f>SHADOW(K386,INDEX(Data_Prices!K:K,MATCH($G396,Data_Prices!$A:$A,0)),K$400)</f>
        <v>15.33455052931693</v>
      </c>
      <c r="L396" s="23">
        <f>SHADOW(L386,INDEX(Data_Prices!L:L,MATCH($G396,Data_Prices!$A:$A,0)),L$400)</f>
        <v>14.199528390634921</v>
      </c>
      <c r="M396" s="23">
        <f>SHADOW(M386,INDEX(Data_Prices!M:M,MATCH($G396,Data_Prices!$A:$A,0)),M$400)</f>
        <v>13.840441613315161</v>
      </c>
      <c r="N396" s="23">
        <f>SHADOW(N386,INDEX(Data_Prices!N:N,MATCH($G396,Data_Prices!$A:$A,0)),N$400)</f>
        <v>13.5677269404465</v>
      </c>
      <c r="O396" s="23">
        <f>SHADOW(O386,INDEX(Data_Prices!O:O,MATCH($G396,Data_Prices!$A:$A,0)),O$400)</f>
        <v>13.5677269404465</v>
      </c>
      <c r="P396" s="23">
        <f>SHADOW(P386,INDEX(Data_Prices!P:P,MATCH($G396,Data_Prices!$A:$A,0)),P$400)</f>
        <v>13.5677269404465</v>
      </c>
      <c r="Q396" s="23">
        <f>SHADOW(Q386,INDEX(Data_Prices!Q:Q,MATCH($G396,Data_Prices!$A:$A,0)),Q$400)</f>
        <v>13.5677269404465</v>
      </c>
      <c r="R396" s="23">
        <f>SHADOW(R386,INDEX(Data_Prices!R:R,MATCH($G396,Data_Prices!$A:$A,0)),R$400)</f>
        <v>13.5677269404465</v>
      </c>
      <c r="S396" s="23">
        <f>SHADOW(S386,INDEX(Data_Prices!S:S,MATCH($G396,Data_Prices!$A:$A,0)),S$400)</f>
        <v>13.5677269404465</v>
      </c>
      <c r="T396" s="23">
        <f>SHADOW(T386,INDEX(Data_Prices!T:T,MATCH($G396,Data_Prices!$A:$A,0)),T$400)</f>
        <v>13.5677269404465</v>
      </c>
      <c r="U396" s="23">
        <f>SHADOW(U386,INDEX(Data_Prices!U:U,MATCH($G396,Data_Prices!$A:$A,0)),U$400)</f>
        <v>13.5677269404465</v>
      </c>
      <c r="V396" s="23">
        <f>SHADOW(V386,INDEX(Data_Prices!V:V,MATCH($G396,Data_Prices!$A:$A,0)),V$400)</f>
        <v>13.5677269404465</v>
      </c>
      <c r="W396" s="23">
        <f>SHADOW(W386,INDEX(Data_Prices!W:W,MATCH($G396,Data_Prices!$A:$A,0)),W$400)</f>
        <v>13.5677269404465</v>
      </c>
      <c r="X396" s="23">
        <f>SHADOW(X386,INDEX(Data_Prices!X:X,MATCH($G396,Data_Prices!$A:$A,0)),X$400)</f>
        <v>13.5677269404465</v>
      </c>
      <c r="Y396" s="23">
        <f>SHADOW(Y386,INDEX(Data_Prices!Y:Y,MATCH($G396,Data_Prices!$A:$A,0)),Y$400)</f>
        <v>13.5677269404465</v>
      </c>
      <c r="Z396" s="23">
        <f>SHADOW(Z386,INDEX(Data_Prices!Z:Z,MATCH($G396,Data_Prices!$A:$A,0)),Z$400)</f>
        <v>13.5677269404465</v>
      </c>
      <c r="AA396" s="23">
        <f>SHADOW(AA386,INDEX(Data_Prices!AA:AA,MATCH($G396,Data_Prices!$A:$A,0)),AA$400)</f>
        <v>13.5677269404465</v>
      </c>
      <c r="AB396" s="23">
        <f>SHADOW(AB386,INDEX(Data_Prices!AB:AB,MATCH($G396,Data_Prices!$A:$A,0)),AB$400)</f>
        <v>13.5677269404465</v>
      </c>
      <c r="AC396" s="23">
        <f>SHADOW(AC386,INDEX(Data_Prices!AC:AC,MATCH($G396,Data_Prices!$A:$A,0)),AC$400)</f>
        <v>13.5677269404465</v>
      </c>
      <c r="AD396" s="23">
        <f>SHADOW(AD386,INDEX(Data_Prices!AD:AD,MATCH($G396,Data_Prices!$A:$A,0)),AD$400)</f>
        <v>13.5677269404465</v>
      </c>
      <c r="AE396" s="23">
        <f>SHADOW(AE386,INDEX(Data_Prices!AE:AE,MATCH($G396,Data_Prices!$A:$A,0)),AE$400)</f>
        <v>13.5677269404465</v>
      </c>
    </row>
    <row r="397" spans="2:31" x14ac:dyDescent="0.25">
      <c r="B397" s="17" t="s">
        <v>73</v>
      </c>
      <c r="C397" s="17" t="str">
        <f t="shared" si="38"/>
        <v>nfm</v>
      </c>
      <c r="D397" s="18" t="s">
        <v>74</v>
      </c>
      <c r="E397" s="19" t="s">
        <v>75</v>
      </c>
      <c r="F397" s="17" t="s">
        <v>79</v>
      </c>
      <c r="G397" s="20" t="str">
        <f>Settings!$B$3&amp;".mit.shp."&amp;$B397&amp;"."&amp;Settings!$B$4&amp;"."&amp;$J$367</f>
        <v>egy.mit.shp.ren.ind.2</v>
      </c>
      <c r="H397" s="21" t="str">
        <f>OUTCODE(Settings!$B$3,"shp",$C$367,$B397,$J$367)</f>
        <v>egy.mit.shp.nfm.ren.e.2</v>
      </c>
      <c r="K397" s="23">
        <f>SHADOW(K387,INDEX(Data_Prices!K:K,MATCH($G397,Data_Prices!$A:$A,0)),K$400)</f>
        <v>0</v>
      </c>
      <c r="L397" s="23">
        <f>SHADOW(L387,INDEX(Data_Prices!L:L,MATCH($G397,Data_Prices!$A:$A,0)),L$400)</f>
        <v>0.14404498679319799</v>
      </c>
      <c r="M397" s="23">
        <f>SHADOW(M387,INDEX(Data_Prices!M:M,MATCH($G397,Data_Prices!$A:$A,0)),M$400)</f>
        <v>0.14138624175135939</v>
      </c>
      <c r="N397" s="23">
        <f>SHADOW(N387,INDEX(Data_Prices!N:N,MATCH($G397,Data_Prices!$A:$A,0)),N$400)</f>
        <v>0.1353975654437313</v>
      </c>
      <c r="O397" s="23">
        <f>SHADOW(O387,INDEX(Data_Prices!O:O,MATCH($G397,Data_Prices!$A:$A,0)),O$400)</f>
        <v>0.13152288542065141</v>
      </c>
      <c r="P397" s="23">
        <f>SHADOW(P387,INDEX(Data_Prices!P:P,MATCH($G397,Data_Prices!$A:$A,0)),P$400)</f>
        <v>0.12882610848523129</v>
      </c>
      <c r="Q397" s="23">
        <f>SHADOW(Q387,INDEX(Data_Prices!Q:Q,MATCH($G397,Data_Prices!$A:$A,0)),Q$400)</f>
        <v>0.1259420097647401</v>
      </c>
      <c r="R397" s="23">
        <f>SHADOW(R387,INDEX(Data_Prices!R:R,MATCH($G397,Data_Prices!$A:$A,0)),R$400)</f>
        <v>0.1231132657018609</v>
      </c>
      <c r="S397" s="23">
        <f>SHADOW(S387,INDEX(Data_Prices!S:S,MATCH($G397,Data_Prices!$A:$A,0)),S$400)</f>
        <v>0.1193917380890684</v>
      </c>
      <c r="T397" s="23">
        <f>SHADOW(T387,INDEX(Data_Prices!T:T,MATCH($G397,Data_Prices!$A:$A,0)),T$400)</f>
        <v>0.1155441904679203</v>
      </c>
      <c r="U397" s="23">
        <f>SHADOW(U387,INDEX(Data_Prices!U:U,MATCH($G397,Data_Prices!$A:$A,0)),U$400)</f>
        <v>0.11492423065415899</v>
      </c>
      <c r="V397" s="23">
        <f>SHADOW(V387,INDEX(Data_Prices!V:V,MATCH($G397,Data_Prices!$A:$A,0)),V$400)</f>
        <v>0.11434691211673639</v>
      </c>
      <c r="W397" s="23">
        <f>SHADOW(W387,INDEX(Data_Prices!W:W,MATCH($G397,Data_Prices!$A:$A,0)),W$400)</f>
        <v>0.1137387111726635</v>
      </c>
      <c r="X397" s="23">
        <f>SHADOW(X387,INDEX(Data_Prices!X:X,MATCH($G397,Data_Prices!$A:$A,0)),X$400)</f>
        <v>0.1129999004875214</v>
      </c>
      <c r="Y397" s="23">
        <f>SHADOW(Y387,INDEX(Data_Prices!Y:Y,MATCH($G397,Data_Prices!$A:$A,0)),Y$400)</f>
        <v>0.11217768583553429</v>
      </c>
      <c r="Z397" s="23">
        <f>SHADOW(Z387,INDEX(Data_Prices!Z:Z,MATCH($G397,Data_Prices!$A:$A,0)),Z$400)</f>
        <v>0.1114179032504042</v>
      </c>
      <c r="AA397" s="23">
        <f>SHADOW(AA387,INDEX(Data_Prices!AA:AA,MATCH($G397,Data_Prices!$A:$A,0)),AA$400)</f>
        <v>0.1105258199854538</v>
      </c>
      <c r="AB397" s="23">
        <f>SHADOW(AB387,INDEX(Data_Prices!AB:AB,MATCH($G397,Data_Prices!$A:$A,0)),AB$400)</f>
        <v>0.1096995652348958</v>
      </c>
      <c r="AC397" s="23">
        <f>SHADOW(AC387,INDEX(Data_Prices!AC:AC,MATCH($G397,Data_Prices!$A:$A,0)),AC$400)</f>
        <v>0.1077267889639492</v>
      </c>
      <c r="AD397" s="23">
        <f>SHADOW(AD387,INDEX(Data_Prices!AD:AD,MATCH($G397,Data_Prices!$A:$A,0)),AD$400)</f>
        <v>0.1058209244509353</v>
      </c>
      <c r="AE397" s="23">
        <f>SHADOW(AE387,INDEX(Data_Prices!AE:AE,MATCH($G397,Data_Prices!$A:$A,0)),AE$400)</f>
        <v>0.1038555957057212</v>
      </c>
    </row>
    <row r="398" spans="2:31" x14ac:dyDescent="0.25">
      <c r="B398" s="16" t="s">
        <v>80</v>
      </c>
    </row>
    <row r="399" spans="2:31" x14ac:dyDescent="0.25">
      <c r="B399" s="17" t="s">
        <v>81</v>
      </c>
      <c r="C399" s="17" t="str">
        <f>$C$367</f>
        <v>nfm</v>
      </c>
      <c r="D399" s="18" t="s">
        <v>82</v>
      </c>
      <c r="E399" s="19" t="s">
        <v>83</v>
      </c>
      <c r="F399" s="17" t="s">
        <v>84</v>
      </c>
      <c r="G399" s="20" t="str">
        <f>Settings!$B$3&amp;".mit.tcf."&amp;$C$367&amp;"."&amp;$J$367</f>
        <v>egy.mit.tcf.nfm.2</v>
      </c>
      <c r="K399" s="23">
        <f>INDEX(Data_Prices!K:K,MATCH($G399,Data_Prices!$A:$A,0))</f>
        <v>0</v>
      </c>
      <c r="L399" s="23">
        <f>INDEX(Data_Prices!L:L,MATCH($G399,Data_Prices!$A:$A,0))</f>
        <v>0</v>
      </c>
      <c r="M399" s="23">
        <f>INDEX(Data_Prices!M:M,MATCH($G399,Data_Prices!$A:$A,0))</f>
        <v>0</v>
      </c>
      <c r="N399" s="23">
        <f>INDEX(Data_Prices!N:N,MATCH($G399,Data_Prices!$A:$A,0))</f>
        <v>0</v>
      </c>
      <c r="O399" s="23">
        <f>INDEX(Data_Prices!O:O,MATCH($G399,Data_Prices!$A:$A,0))</f>
        <v>0</v>
      </c>
      <c r="P399" s="23">
        <f>INDEX(Data_Prices!P:P,MATCH($G399,Data_Prices!$A:$A,0))</f>
        <v>1</v>
      </c>
      <c r="Q399" s="23">
        <f>INDEX(Data_Prices!Q:Q,MATCH($G399,Data_Prices!$A:$A,0))</f>
        <v>1</v>
      </c>
      <c r="R399" s="23">
        <f>INDEX(Data_Prices!R:R,MATCH($G399,Data_Prices!$A:$A,0))</f>
        <v>1</v>
      </c>
      <c r="S399" s="23">
        <f>INDEX(Data_Prices!S:S,MATCH($G399,Data_Prices!$A:$A,0))</f>
        <v>1</v>
      </c>
      <c r="T399" s="23">
        <f>INDEX(Data_Prices!T:T,MATCH($G399,Data_Prices!$A:$A,0))</f>
        <v>1</v>
      </c>
      <c r="U399" s="23">
        <f>INDEX(Data_Prices!U:U,MATCH($G399,Data_Prices!$A:$A,0))</f>
        <v>1</v>
      </c>
      <c r="V399" s="23">
        <f>INDEX(Data_Prices!V:V,MATCH($G399,Data_Prices!$A:$A,0))</f>
        <v>1</v>
      </c>
      <c r="W399" s="23">
        <f>INDEX(Data_Prices!W:W,MATCH($G399,Data_Prices!$A:$A,0))</f>
        <v>1</v>
      </c>
      <c r="X399" s="23">
        <f>INDEX(Data_Prices!X:X,MATCH($G399,Data_Prices!$A:$A,0))</f>
        <v>1</v>
      </c>
      <c r="Y399" s="23">
        <f>INDEX(Data_Prices!Y:Y,MATCH($G399,Data_Prices!$A:$A,0))</f>
        <v>1</v>
      </c>
      <c r="Z399" s="23">
        <f>INDEX(Data_Prices!Z:Z,MATCH($G399,Data_Prices!$A:$A,0))</f>
        <v>1</v>
      </c>
      <c r="AA399" s="23">
        <f>INDEX(Data_Prices!AA:AA,MATCH($G399,Data_Prices!$A:$A,0))</f>
        <v>1</v>
      </c>
      <c r="AB399" s="23">
        <f>INDEX(Data_Prices!AB:AB,MATCH($G399,Data_Prices!$A:$A,0))</f>
        <v>1</v>
      </c>
      <c r="AC399" s="23">
        <f>INDEX(Data_Prices!AC:AC,MATCH($G399,Data_Prices!$A:$A,0))</f>
        <v>1</v>
      </c>
      <c r="AD399" s="23">
        <f>INDEX(Data_Prices!AD:AD,MATCH($G399,Data_Prices!$A:$A,0))</f>
        <v>1</v>
      </c>
      <c r="AE399" s="23">
        <f>INDEX(Data_Prices!AE:AE,MATCH($G399,Data_Prices!$A:$A,0))</f>
        <v>1</v>
      </c>
    </row>
    <row r="400" spans="2:31" x14ac:dyDescent="0.25">
      <c r="B400" s="17" t="s">
        <v>81</v>
      </c>
      <c r="C400" s="17" t="str">
        <f>$C$367</f>
        <v>nfm</v>
      </c>
      <c r="D400" s="18" t="s">
        <v>85</v>
      </c>
      <c r="E400" s="19" t="s">
        <v>83</v>
      </c>
      <c r="F400" s="17" t="s">
        <v>86</v>
      </c>
      <c r="G400" s="20" t="str">
        <f>Settings!$B$3&amp;".mit.ssc."&amp;$C$367&amp;"."&amp;$J$367</f>
        <v>egy.mit.ssc.nfm.2</v>
      </c>
      <c r="K400" s="23">
        <f>INDEX(Data_Prices!K:K,MATCH($G400,Data_Prices!$A:$A,0))</f>
        <v>0</v>
      </c>
      <c r="L400" s="23">
        <f>INDEX(Data_Prices!L:L,MATCH($G400,Data_Prices!$A:$A,0))</f>
        <v>0</v>
      </c>
      <c r="M400" s="23">
        <f>INDEX(Data_Prices!M:M,MATCH($G400,Data_Prices!$A:$A,0))</f>
        <v>0</v>
      </c>
      <c r="N400" s="23">
        <f>INDEX(Data_Prices!N:N,MATCH($G400,Data_Prices!$A:$A,0))</f>
        <v>0</v>
      </c>
      <c r="O400" s="23">
        <f>INDEX(Data_Prices!O:O,MATCH($G400,Data_Prices!$A:$A,0))</f>
        <v>0</v>
      </c>
      <c r="P400" s="23">
        <f>INDEX(Data_Prices!P:P,MATCH($G400,Data_Prices!$A:$A,0))</f>
        <v>0</v>
      </c>
      <c r="Q400" s="23">
        <f>INDEX(Data_Prices!Q:Q,MATCH($G400,Data_Prices!$A:$A,0))</f>
        <v>0</v>
      </c>
      <c r="R400" s="23">
        <f>INDEX(Data_Prices!R:R,MATCH($G400,Data_Prices!$A:$A,0))</f>
        <v>0</v>
      </c>
      <c r="S400" s="23">
        <f>INDEX(Data_Prices!S:S,MATCH($G400,Data_Prices!$A:$A,0))</f>
        <v>0</v>
      </c>
      <c r="T400" s="23">
        <f>INDEX(Data_Prices!T:T,MATCH($G400,Data_Prices!$A:$A,0))</f>
        <v>0</v>
      </c>
      <c r="U400" s="23">
        <f>INDEX(Data_Prices!U:U,MATCH($G400,Data_Prices!$A:$A,0))</f>
        <v>0</v>
      </c>
      <c r="V400" s="23">
        <f>INDEX(Data_Prices!V:V,MATCH($G400,Data_Prices!$A:$A,0))</f>
        <v>0</v>
      </c>
      <c r="W400" s="23">
        <f>INDEX(Data_Prices!W:W,MATCH($G400,Data_Prices!$A:$A,0))</f>
        <v>0</v>
      </c>
      <c r="X400" s="23">
        <f>INDEX(Data_Prices!X:X,MATCH($G400,Data_Prices!$A:$A,0))</f>
        <v>0</v>
      </c>
      <c r="Y400" s="23">
        <f>INDEX(Data_Prices!Y:Y,MATCH($G400,Data_Prices!$A:$A,0))</f>
        <v>0</v>
      </c>
      <c r="Z400" s="23">
        <f>INDEX(Data_Prices!Z:Z,MATCH($G400,Data_Prices!$A:$A,0))</f>
        <v>0</v>
      </c>
      <c r="AA400" s="23">
        <f>INDEX(Data_Prices!AA:AA,MATCH($G400,Data_Prices!$A:$A,0))</f>
        <v>0</v>
      </c>
      <c r="AB400" s="23">
        <f>INDEX(Data_Prices!AB:AB,MATCH($G400,Data_Prices!$A:$A,0))</f>
        <v>0</v>
      </c>
      <c r="AC400" s="23">
        <f>INDEX(Data_Prices!AC:AC,MATCH($G400,Data_Prices!$A:$A,0))</f>
        <v>0</v>
      </c>
      <c r="AD400" s="23">
        <f>INDEX(Data_Prices!AD:AD,MATCH($G400,Data_Prices!$A:$A,0))</f>
        <v>0</v>
      </c>
      <c r="AE400" s="23">
        <f>INDEX(Data_Prices!AE:AE,MATCH($G400,Data_Prices!$A:$A,0))</f>
        <v>0</v>
      </c>
    </row>
    <row r="401" spans="2:31" x14ac:dyDescent="0.25">
      <c r="B401" s="17" t="s">
        <v>81</v>
      </c>
      <c r="C401" s="17" t="str">
        <f>$C$367</f>
        <v>nfm</v>
      </c>
      <c r="D401" s="18" t="s">
        <v>87</v>
      </c>
      <c r="E401" s="19" t="s">
        <v>88</v>
      </c>
      <c r="F401" s="17" t="s">
        <v>89</v>
      </c>
      <c r="G401" s="20" t="str">
        <f>Settings!$B$3&amp;".mit.gdp.pos.pct."&amp;$J$367</f>
        <v>egy.mit.gdp.pos.pct.2</v>
      </c>
      <c r="K401" s="24">
        <f>INDEX(Data_Macro!K:K,MATCH($G401,Data_Macro!$A:$A,0))</f>
        <v>0</v>
      </c>
      <c r="L401" s="24">
        <f>INDEX(Data_Macro!L:L,MATCH($G401,Data_Macro!$A:$A,0))</f>
        <v>6.6513450000000002E-2</v>
      </c>
      <c r="M401" s="24">
        <f>INDEX(Data_Macro!M:M,MATCH($G401,Data_Macro!$A:$A,0))</f>
        <v>3.760281E-2</v>
      </c>
      <c r="N401" s="24">
        <f>INDEX(Data_Macro!N:N,MATCH($G401,Data_Macro!$A:$A,0))</f>
        <v>2.3988010000000001E-2</v>
      </c>
      <c r="O401" s="24">
        <f>INDEX(Data_Macro!O:O,MATCH($G401,Data_Macro!$A:$A,0))</f>
        <v>4.3923869999999997E-2</v>
      </c>
      <c r="P401" s="24">
        <f>INDEX(Data_Macro!P:P,MATCH($G401,Data_Macro!$A:$A,0))</f>
        <v>4.239706E-2</v>
      </c>
      <c r="Q401" s="24">
        <f>INDEX(Data_Macro!Q:Q,MATCH($G401,Data_Macro!$A:$A,0))</f>
        <v>4.8298383783007638E-2</v>
      </c>
      <c r="R401" s="24">
        <f>INDEX(Data_Macro!R:R,MATCH($G401,Data_Macro!$A:$A,0))</f>
        <v>5.55905477124225E-2</v>
      </c>
      <c r="S401" s="24">
        <f>INDEX(Data_Macro!S:S,MATCH($G401,Data_Macro!$A:$A,0))</f>
        <v>5.2137235389631359E-2</v>
      </c>
      <c r="T401" s="24">
        <f>INDEX(Data_Macro!T:T,MATCH($G401,Data_Macro!$A:$A,0))</f>
        <v>4.8124907491929908E-2</v>
      </c>
      <c r="U401" s="24">
        <f>INDEX(Data_Macro!U:U,MATCH($G401,Data_Macro!$A:$A,0))</f>
        <v>4.720879652652131E-2</v>
      </c>
      <c r="V401" s="24">
        <f>INDEX(Data_Macro!V:V,MATCH($G401,Data_Macro!$A:$A,0))</f>
        <v>4.6689043300676421E-2</v>
      </c>
      <c r="W401" s="24">
        <f>INDEX(Data_Macro!W:W,MATCH($G401,Data_Macro!$A:$A,0))</f>
        <v>4.6632750147029209E-2</v>
      </c>
      <c r="X401" s="24">
        <f>INDEX(Data_Macro!X:X,MATCH($G401,Data_Macro!$A:$A,0))</f>
        <v>4.6872723264421517E-2</v>
      </c>
      <c r="Y401" s="24">
        <f>INDEX(Data_Macro!Y:Y,MATCH($G401,Data_Macro!$A:$A,0))</f>
        <v>4.746992175304874E-2</v>
      </c>
      <c r="Z401" s="24">
        <f>INDEX(Data_Macro!Z:Z,MATCH($G401,Data_Macro!$A:$A,0))</f>
        <v>4.8590713024028988E-2</v>
      </c>
      <c r="AA401" s="24">
        <f>INDEX(Data_Macro!AA:AA,MATCH($G401,Data_Macro!$A:$A,0))</f>
        <v>4.9941182078066387E-2</v>
      </c>
      <c r="AB401" s="24">
        <f>INDEX(Data_Macro!AB:AB,MATCH($G401,Data_Macro!$A:$A,0))</f>
        <v>5.13941835424786E-2</v>
      </c>
      <c r="AC401" s="24">
        <f>INDEX(Data_Macro!AC:AC,MATCH($G401,Data_Macro!$A:$A,0))</f>
        <v>5.2681763019776687E-2</v>
      </c>
      <c r="AD401" s="24">
        <f>INDEX(Data_Macro!AD:AD,MATCH($G401,Data_Macro!$A:$A,0))</f>
        <v>5.3800711336350331E-2</v>
      </c>
      <c r="AE401" s="24">
        <f>INDEX(Data_Macro!AE:AE,MATCH($G401,Data_Macro!$A:$A,0))</f>
        <v>5.4789398044337592E-2</v>
      </c>
    </row>
    <row r="402" spans="2:31" x14ac:dyDescent="0.25">
      <c r="B402" s="17" t="s">
        <v>81</v>
      </c>
      <c r="C402" s="17" t="str">
        <f>$C$367</f>
        <v>nfm</v>
      </c>
      <c r="D402" s="18" t="s">
        <v>90</v>
      </c>
      <c r="E402" s="19" t="s">
        <v>91</v>
      </c>
      <c r="F402" s="17" t="s">
        <v>92</v>
      </c>
      <c r="G402" s="20" t="str">
        <f>Settings!$B$3&amp;".mit.inc.ela.adj."&amp;$J$367</f>
        <v>egy.mit.inc.ela.adj.2</v>
      </c>
      <c r="K402" s="23">
        <f>INDEX(Data_Macro!K:K,MATCH($G402,Data_Macro!$A:$A,0))</f>
        <v>0</v>
      </c>
      <c r="L402" s="23">
        <f>INDEX(Data_Macro!L:L,MATCH($G402,Data_Macro!$A:$A,0))</f>
        <v>1.0271517247196089</v>
      </c>
      <c r="M402" s="23">
        <f>INDEX(Data_Macro!M:M,MATCH($G402,Data_Macro!$A:$A,0))</f>
        <v>1.0271517247196089</v>
      </c>
      <c r="N402" s="23">
        <f>INDEX(Data_Macro!N:N,MATCH($G402,Data_Macro!$A:$A,0))</f>
        <v>1.0205698358851201</v>
      </c>
      <c r="O402" s="23">
        <f>INDEX(Data_Macro!O:O,MATCH($G402,Data_Macro!$A:$A,0))</f>
        <v>1.017334428852344</v>
      </c>
      <c r="P402" s="23">
        <f>INDEX(Data_Macro!P:P,MATCH($G402,Data_Macro!$A:$A,0))</f>
        <v>1.007668332253824</v>
      </c>
      <c r="Q402" s="23">
        <f>INDEX(Data_Macro!Q:Q,MATCH($G402,Data_Macro!$A:$A,0))</f>
        <v>1.000744287175529</v>
      </c>
      <c r="R402" s="23">
        <f>INDEX(Data_Macro!R:R,MATCH($G402,Data_Macro!$A:$A,0))</f>
        <v>0.99188455719464341</v>
      </c>
      <c r="S402" s="23">
        <f>INDEX(Data_Macro!S:S,MATCH($G402,Data_Macro!$A:$A,0))</f>
        <v>0.9805805650786027</v>
      </c>
      <c r="T402" s="23">
        <f>INDEX(Data_Macro!T:T,MATCH($G402,Data_Macro!$A:$A,0))</f>
        <v>0.97025078971778123</v>
      </c>
      <c r="U402" s="23">
        <f>INDEX(Data_Macro!U:U,MATCH($G402,Data_Macro!$A:$A,0))</f>
        <v>0.96428820815964844</v>
      </c>
      <c r="V402" s="23">
        <f>INDEX(Data_Macro!V:V,MATCH($G402,Data_Macro!$A:$A,0))</f>
        <v>0.96183439341951105</v>
      </c>
      <c r="W402" s="23">
        <f>INDEX(Data_Macro!W:W,MATCH($G402,Data_Macro!$A:$A,0))</f>
        <v>0.95941695116164427</v>
      </c>
      <c r="X402" s="23">
        <f>INDEX(Data_Macro!X:X,MATCH($G402,Data_Macro!$A:$A,0))</f>
        <v>0.95701429252188364</v>
      </c>
      <c r="Y402" s="23">
        <f>INDEX(Data_Macro!Y:Y,MATCH($G402,Data_Macro!$A:$A,0))</f>
        <v>0.95468193722552219</v>
      </c>
      <c r="Z402" s="23">
        <f>INDEX(Data_Macro!Z:Z,MATCH($G402,Data_Macro!$A:$A,0))</f>
        <v>0.95240071158774575</v>
      </c>
      <c r="AA402" s="23">
        <f>INDEX(Data_Macro!AA:AA,MATCH($G402,Data_Macro!$A:$A,0))</f>
        <v>0.95011647499405472</v>
      </c>
      <c r="AB402" s="23">
        <f>INDEX(Data_Macro!AB:AB,MATCH($G402,Data_Macro!$A:$A,0))</f>
        <v>0.947927358499145</v>
      </c>
      <c r="AC402" s="23">
        <f>INDEX(Data_Macro!AC:AC,MATCH($G402,Data_Macro!$A:$A,0))</f>
        <v>0.94587674776299657</v>
      </c>
      <c r="AD402" s="23">
        <f>INDEX(Data_Macro!AD:AD,MATCH($G402,Data_Macro!$A:$A,0))</f>
        <v>0.94405480582839263</v>
      </c>
      <c r="AE402" s="23">
        <f>INDEX(Data_Macro!AE:AE,MATCH($G402,Data_Macro!$A:$A,0))</f>
        <v>0.94246391225206505</v>
      </c>
    </row>
    <row r="403" spans="2:31" x14ac:dyDescent="0.25">
      <c r="B403" s="17" t="s">
        <v>81</v>
      </c>
      <c r="C403" s="17" t="str">
        <f>$C$367</f>
        <v>nfm</v>
      </c>
      <c r="D403" s="18" t="s">
        <v>93</v>
      </c>
      <c r="E403" s="19" t="s">
        <v>91</v>
      </c>
      <c r="F403" s="17" t="s">
        <v>94</v>
      </c>
      <c r="G403" s="20" t="str">
        <f>Settings!$B$3&amp;".mit.shock."&amp;$J$367</f>
        <v>egy.mit.shock.2</v>
      </c>
      <c r="K403" s="23">
        <f>INDEX(Data_Macro!K:K,MATCH($G403,Data_Macro!$A:$A,0))</f>
        <v>0</v>
      </c>
      <c r="L403" s="23">
        <f>INDEX(Data_Macro!L:L,MATCH($G403,Data_Macro!$A:$A,0))</f>
        <v>0</v>
      </c>
      <c r="M403" s="23">
        <f>INDEX(Data_Macro!M:M,MATCH($G403,Data_Macro!$A:$A,0))</f>
        <v>-0.2081330830204422</v>
      </c>
      <c r="N403" s="23">
        <f>INDEX(Data_Macro!N:N,MATCH($G403,Data_Macro!$A:$A,0))</f>
        <v>9.2371428571428563E-2</v>
      </c>
      <c r="O403" s="23">
        <f>INDEX(Data_Macro!O:O,MATCH($G403,Data_Macro!$A:$A,0))</f>
        <v>0</v>
      </c>
      <c r="P403" s="23">
        <f>INDEX(Data_Macro!P:P,MATCH($G403,Data_Macro!$A:$A,0))</f>
        <v>0</v>
      </c>
      <c r="Q403" s="23">
        <f>INDEX(Data_Macro!Q:Q,MATCH($G403,Data_Macro!$A:$A,0))</f>
        <v>0</v>
      </c>
      <c r="R403" s="23">
        <f>INDEX(Data_Macro!R:R,MATCH($G403,Data_Macro!$A:$A,0))</f>
        <v>0</v>
      </c>
      <c r="S403" s="23">
        <f>INDEX(Data_Macro!S:S,MATCH($G403,Data_Macro!$A:$A,0))</f>
        <v>0</v>
      </c>
      <c r="T403" s="23">
        <f>INDEX(Data_Macro!T:T,MATCH($G403,Data_Macro!$A:$A,0))</f>
        <v>0</v>
      </c>
      <c r="U403" s="23">
        <f>INDEX(Data_Macro!U:U,MATCH($G403,Data_Macro!$A:$A,0))</f>
        <v>0</v>
      </c>
      <c r="V403" s="23">
        <f>INDEX(Data_Macro!V:V,MATCH($G403,Data_Macro!$A:$A,0))</f>
        <v>0</v>
      </c>
      <c r="W403" s="23">
        <f>INDEX(Data_Macro!W:W,MATCH($G403,Data_Macro!$A:$A,0))</f>
        <v>0</v>
      </c>
      <c r="X403" s="23">
        <f>INDEX(Data_Macro!X:X,MATCH($G403,Data_Macro!$A:$A,0))</f>
        <v>0</v>
      </c>
      <c r="Y403" s="23">
        <f>INDEX(Data_Macro!Y:Y,MATCH($G403,Data_Macro!$A:$A,0))</f>
        <v>0</v>
      </c>
      <c r="Z403" s="23">
        <f>INDEX(Data_Macro!Z:Z,MATCH($G403,Data_Macro!$A:$A,0))</f>
        <v>0</v>
      </c>
      <c r="AA403" s="23">
        <f>INDEX(Data_Macro!AA:AA,MATCH($G403,Data_Macro!$A:$A,0))</f>
        <v>0</v>
      </c>
      <c r="AB403" s="23">
        <f>INDEX(Data_Macro!AB:AB,MATCH($G403,Data_Macro!$A:$A,0))</f>
        <v>0</v>
      </c>
      <c r="AC403" s="23">
        <f>INDEX(Data_Macro!AC:AC,MATCH($G403,Data_Macro!$A:$A,0))</f>
        <v>0</v>
      </c>
      <c r="AD403" s="23">
        <f>INDEX(Data_Macro!AD:AD,MATCH($G403,Data_Macro!$A:$A,0))</f>
        <v>0</v>
      </c>
      <c r="AE403" s="23">
        <f>INDEX(Data_Macro!AE:AE,MATCH($G403,Data_Macro!$A:$A,0))</f>
        <v>0</v>
      </c>
    </row>
    <row r="404" spans="2:31" x14ac:dyDescent="0.25">
      <c r="B404" s="16" t="s">
        <v>95</v>
      </c>
    </row>
    <row r="405" spans="2:31" x14ac:dyDescent="0.25">
      <c r="B405" s="8" t="s">
        <v>36</v>
      </c>
      <c r="C405" s="8" t="s">
        <v>37</v>
      </c>
      <c r="D405" s="25" t="s">
        <v>38</v>
      </c>
      <c r="E405" s="8" t="s">
        <v>96</v>
      </c>
      <c r="F405" s="8" t="s">
        <v>97</v>
      </c>
      <c r="G405" s="8" t="s">
        <v>98</v>
      </c>
      <c r="H405" s="8" t="s">
        <v>99</v>
      </c>
      <c r="I405" s="8" t="s">
        <v>100</v>
      </c>
      <c r="J405" s="8" t="s">
        <v>101</v>
      </c>
    </row>
    <row r="406" spans="2:31" x14ac:dyDescent="0.25">
      <c r="B406" s="17" t="s">
        <v>53</v>
      </c>
      <c r="C406" s="17" t="str">
        <f t="shared" ref="C406:C414" si="39">$C$367</f>
        <v>nfm</v>
      </c>
      <c r="D406" s="26" t="s">
        <v>102</v>
      </c>
      <c r="E406" s="27">
        <f>ELAST("el_inc",$J406,Settings!$B$5)</f>
        <v>0.5</v>
      </c>
      <c r="F406" s="27">
        <f>ELAST("el_dem",$J406,Settings!$B$5)</f>
        <v>-0.3</v>
      </c>
      <c r="G406" s="27">
        <f>ELAST("el_eff",$J406,Settings!$B$5)</f>
        <v>-0.4</v>
      </c>
      <c r="H406" s="27">
        <f>ELAST("eff_imp",INDEX(Data_Elast!$K:$K,MATCH($B406,Data_Elast!$I:$I,0)),Settings!$B$5)</f>
        <v>5.0000000000000001E-3</v>
      </c>
      <c r="I406" s="27">
        <f>Settings!$B$7</f>
        <v>0</v>
      </c>
      <c r="J406" s="19" t="str">
        <f>INDEX(Data_Elast!$J:$J,MATCH($B406,Data_Elast!$I:$I,0))</f>
        <v>coa</v>
      </c>
    </row>
    <row r="407" spans="2:31" x14ac:dyDescent="0.25">
      <c r="B407" s="17" t="s">
        <v>57</v>
      </c>
      <c r="C407" s="17" t="str">
        <f t="shared" si="39"/>
        <v>nfm</v>
      </c>
      <c r="D407" s="26" t="s">
        <v>103</v>
      </c>
      <c r="E407" s="27">
        <f>ELAST("el_inc",$J407,Settings!$B$5)</f>
        <v>1</v>
      </c>
      <c r="F407" s="27">
        <f>ELAST("el_dem",$J407,Settings!$B$5)</f>
        <v>-0.5</v>
      </c>
      <c r="G407" s="27">
        <f>ELAST("el_eff",$J407,Settings!$B$5)</f>
        <v>-0.5</v>
      </c>
      <c r="H407" s="27">
        <f>ELAST("eff_imp",INDEX(Data_Elast!$K:$K,MATCH($B407,Data_Elast!$I:$I,0)),Settings!$B$5)</f>
        <v>0.01</v>
      </c>
      <c r="I407" s="27">
        <f>Settings!$B$7</f>
        <v>0</v>
      </c>
      <c r="J407" s="19" t="str">
        <f>INDEX(Data_Elast!$J:$J,MATCH($B407,Data_Elast!$I:$I,0))</f>
        <v>nga</v>
      </c>
    </row>
    <row r="408" spans="2:31" x14ac:dyDescent="0.25">
      <c r="B408" s="17" t="s">
        <v>59</v>
      </c>
      <c r="C408" s="17" t="str">
        <f t="shared" si="39"/>
        <v>nfm</v>
      </c>
      <c r="D408" s="26" t="s">
        <v>104</v>
      </c>
      <c r="E408" s="27">
        <f>ELAST("el_inc",$J408,Settings!$B$5)</f>
        <v>0.5</v>
      </c>
      <c r="F408" s="27">
        <f>ELAST("el_dem",$J408,Settings!$B$5)</f>
        <v>-0.4</v>
      </c>
      <c r="G408" s="27">
        <f>ELAST("el_eff",$J408,Settings!$B$5)</f>
        <v>-0.7</v>
      </c>
      <c r="H408" s="27">
        <f>ELAST("eff_imp",INDEX(Data_Elast!$K:$K,MATCH($B408,Data_Elast!$I:$I,0)),Settings!$B$5)</f>
        <v>5.0000000000000001E-3</v>
      </c>
      <c r="I408" s="27">
        <f>Settings!$B$7</f>
        <v>0</v>
      </c>
      <c r="J408" s="19" t="str">
        <f>INDEX(Data_Elast!$J:$J,MATCH($B408,Data_Elast!$I:$I,0))</f>
        <v>gso</v>
      </c>
    </row>
    <row r="409" spans="2:31" x14ac:dyDescent="0.25">
      <c r="B409" s="17" t="s">
        <v>62</v>
      </c>
      <c r="C409" s="17" t="str">
        <f t="shared" si="39"/>
        <v>nfm</v>
      </c>
      <c r="D409" s="26" t="s">
        <v>105</v>
      </c>
      <c r="E409" s="27">
        <f>ELAST("el_inc",$J409,Settings!$B$5)</f>
        <v>0.5</v>
      </c>
      <c r="F409" s="27">
        <f>ELAST("el_dem",$J409,Settings!$B$5)</f>
        <v>-0.7</v>
      </c>
      <c r="G409" s="27">
        <f>ELAST("el_eff",$J409,Settings!$B$5)</f>
        <v>-1.2</v>
      </c>
      <c r="H409" s="27">
        <f>ELAST("eff_imp",INDEX(Data_Elast!$K:$K,MATCH($B409,Data_Elast!$I:$I,0)),Settings!$B$5)</f>
        <v>5.0000000000000001E-3</v>
      </c>
      <c r="I409" s="27">
        <f>Settings!$B$7</f>
        <v>0</v>
      </c>
      <c r="J409" s="19" t="str">
        <f>INDEX(Data_Elast!$J:$J,MATCH($B409,Data_Elast!$I:$I,0))</f>
        <v>die</v>
      </c>
    </row>
    <row r="410" spans="2:31" x14ac:dyDescent="0.25">
      <c r="B410" s="17" t="s">
        <v>64</v>
      </c>
      <c r="C410" s="17" t="str">
        <f t="shared" si="39"/>
        <v>nfm</v>
      </c>
      <c r="D410" s="26" t="s">
        <v>106</v>
      </c>
      <c r="E410" s="27">
        <f>ELAST("el_inc",$J410,Settings!$B$5)</f>
        <v>0.8</v>
      </c>
      <c r="F410" s="27">
        <f>ELAST("el_dem",$J410,Settings!$B$5)</f>
        <v>-0.4</v>
      </c>
      <c r="G410" s="27">
        <f>ELAST("el_eff",$J410,Settings!$B$5)</f>
        <v>-0.4</v>
      </c>
      <c r="H410" s="27">
        <f>ELAST("eff_imp",INDEX(Data_Elast!$K:$K,MATCH($B410,Data_Elast!$I:$I,0)),Settings!$B$5)</f>
        <v>5.0000000000000001E-3</v>
      </c>
      <c r="I410" s="27">
        <f>Settings!$B$7</f>
        <v>0</v>
      </c>
      <c r="J410" s="19" t="str">
        <f>INDEX(Data_Elast!$J:$J,MATCH($B410,Data_Elast!$I:$I,0))</f>
        <v>oil</v>
      </c>
    </row>
    <row r="411" spans="2:31" x14ac:dyDescent="0.25">
      <c r="B411" s="17" t="s">
        <v>66</v>
      </c>
      <c r="C411" s="17" t="str">
        <f t="shared" si="39"/>
        <v>nfm</v>
      </c>
      <c r="D411" s="26" t="s">
        <v>107</v>
      </c>
      <c r="E411" s="27">
        <f>ELAST("el_inc",$J411,Settings!$B$5)</f>
        <v>0.8</v>
      </c>
      <c r="F411" s="27">
        <f>ELAST("el_dem",$J411,Settings!$B$5)</f>
        <v>-0.4</v>
      </c>
      <c r="G411" s="27">
        <f>ELAST("el_eff",$J411,Settings!$B$5)</f>
        <v>-0.4</v>
      </c>
      <c r="H411" s="27">
        <f>ELAST("eff_imp",INDEX(Data_Elast!$K:$K,MATCH($B411,Data_Elast!$I:$I,0)),Settings!$B$5)</f>
        <v>5.0000000000000001E-3</v>
      </c>
      <c r="I411" s="27">
        <f>Settings!$B$7</f>
        <v>0</v>
      </c>
      <c r="J411" s="19" t="str">
        <f>INDEX(Data_Elast!$J:$J,MATCH($B411,Data_Elast!$I:$I,0))</f>
        <v>oil</v>
      </c>
    </row>
    <row r="412" spans="2:31" x14ac:dyDescent="0.25">
      <c r="B412" s="17" t="s">
        <v>68</v>
      </c>
      <c r="C412" s="17" t="str">
        <f t="shared" si="39"/>
        <v>nfm</v>
      </c>
      <c r="D412" s="26" t="s">
        <v>108</v>
      </c>
      <c r="E412" s="27">
        <f>ELAST("el_inc",$J412,Settings!$B$5)</f>
        <v>0.8</v>
      </c>
      <c r="F412" s="27">
        <f>ELAST("el_dem",$J412,Settings!$B$5)</f>
        <v>-0.4</v>
      </c>
      <c r="G412" s="27">
        <f>ELAST("el_eff",$J412,Settings!$B$5)</f>
        <v>-0.4</v>
      </c>
      <c r="H412" s="27">
        <f>ELAST("eff_imp",INDEX(Data_Elast!$K:$K,MATCH($B412,Data_Elast!$I:$I,0)),Settings!$B$5)</f>
        <v>5.0000000000000001E-3</v>
      </c>
      <c r="I412" s="27">
        <f>Settings!$B$7</f>
        <v>0</v>
      </c>
      <c r="J412" s="19" t="str">
        <f>INDEX(Data_Elast!$J:$J,MATCH($B412,Data_Elast!$I:$I,0))</f>
        <v>oil</v>
      </c>
    </row>
    <row r="413" spans="2:31" x14ac:dyDescent="0.25">
      <c r="B413" s="17" t="s">
        <v>71</v>
      </c>
      <c r="C413" s="17" t="str">
        <f t="shared" si="39"/>
        <v>nfm</v>
      </c>
      <c r="D413" s="26" t="s">
        <v>109</v>
      </c>
      <c r="E413" s="27">
        <f>ELAST("el_inc",$J413,Settings!$B$5)</f>
        <v>0.1</v>
      </c>
      <c r="F413" s="27">
        <f>ELAST("el_dem",$J413,Settings!$B$5)</f>
        <v>-0.3</v>
      </c>
      <c r="G413" s="27">
        <f>ELAST("el_eff",$J413,Settings!$B$5)</f>
        <v>-0.2</v>
      </c>
      <c r="H413" s="27">
        <f>ELAST("eff_imp",INDEX(Data_Elast!$K:$K,MATCH($B413,Data_Elast!$I:$I,0)),Settings!$B$5)</f>
        <v>5.0000000000000001E-3</v>
      </c>
      <c r="I413" s="27">
        <f>Settings!$B$7</f>
        <v>0</v>
      </c>
      <c r="J413" s="19" t="str">
        <f>INDEX(Data_Elast!$J:$J,MATCH($B413,Data_Elast!$I:$I,0))</f>
        <v>bio</v>
      </c>
    </row>
    <row r="414" spans="2:31" x14ac:dyDescent="0.25">
      <c r="B414" s="17" t="s">
        <v>73</v>
      </c>
      <c r="C414" s="17" t="str">
        <f t="shared" si="39"/>
        <v>nfm</v>
      </c>
      <c r="D414" s="26" t="s">
        <v>110</v>
      </c>
      <c r="E414" s="27">
        <f>ELAST("el_inc",$J414,Settings!$B$5)</f>
        <v>0.8</v>
      </c>
      <c r="F414" s="27">
        <f>ELAST("el_dem",$J414,Settings!$B$5)</f>
        <v>-0.5</v>
      </c>
      <c r="G414" s="27">
        <f>ELAST("el_eff",$J414,Settings!$B$5)</f>
        <v>-0.4</v>
      </c>
      <c r="H414" s="27">
        <f>ELAST("eff_imp",INDEX(Data_Elast!$K:$K,MATCH($B414,Data_Elast!$I:$I,0)),Settings!$B$5)</f>
        <v>5.0000000000000001E-3</v>
      </c>
      <c r="I414" s="27">
        <f>Settings!$B$7</f>
        <v>0</v>
      </c>
      <c r="J414" s="19" t="str">
        <f>INDEX(Data_Elast!$J:$J,MATCH($B414,Data_Elast!$I:$I,0))</f>
        <v>ren</v>
      </c>
    </row>
    <row r="415" spans="2:31" x14ac:dyDescent="0.25">
      <c r="B415" s="16" t="s">
        <v>111</v>
      </c>
    </row>
    <row r="416" spans="2:31" x14ac:dyDescent="0.25">
      <c r="B416" s="17" t="s">
        <v>53</v>
      </c>
      <c r="C416" s="17" t="str">
        <f t="shared" ref="C416:C425" si="40">$C$367</f>
        <v>nfm</v>
      </c>
      <c r="D416" s="18" t="s">
        <v>54</v>
      </c>
      <c r="E416" s="19" t="s">
        <v>112</v>
      </c>
      <c r="F416" s="17" t="s">
        <v>113</v>
      </c>
      <c r="G416" s="20" t="str">
        <f>Settings!$B$3&amp;".mit.enc."&amp;$B416</f>
        <v>egy.mit.enc.coa</v>
      </c>
      <c r="H416" s="21" t="str">
        <f>OUTCODE(Settings!$B$3,"ener",$C$367,$B416,$J$367)</f>
        <v>egy.mit.ener.nfm.coa.e.2</v>
      </c>
      <c r="L416" s="28">
        <f>INDEX(Data_Energy!$D$3:$U$22,MATCH($B416,Data_Energy!$C$3:$C$22,0),MATCH($C416,Data_Energy!$D$2:$U$2,0))</f>
        <v>0</v>
      </c>
      <c r="M416" s="29">
        <f>FUELUSE(L416,L379,M379,L389,M389,M$401,M$402,M$403,$E406,$F406,$G406,$H406,$I406)</f>
        <v>0</v>
      </c>
      <c r="N416" s="29">
        <f>FUELUSE(M416,M379,N379,M389,N389,N$401,N$402,N$403,$E406,$F406,$G406,$H406,$I406)</f>
        <v>0</v>
      </c>
      <c r="O416" s="29">
        <f>FUELUSE(N416,N379,O379,N389,O389,O$401,O$402,O$403,$E406,$F406,$G406,$H406,$I406)</f>
        <v>0</v>
      </c>
      <c r="P416" s="29">
        <f>FUELUSE(O416,O379,P379,O389,P389,P$401,P$402,P$403,$E406,$F406,$G406,$H406,$I406)</f>
        <v>0</v>
      </c>
      <c r="Q416" s="29">
        <f>FUELUSE(P416,P379,Q379,P389,Q389,Q$401,Q$402,Q$403,$E406,$F406,$G406,$H406,$I406)</f>
        <v>0</v>
      </c>
      <c r="R416" s="29">
        <f>FUELUSE(Q416,Q379,R379,Q389,R389,R$401,R$402,R$403,$E406,$F406,$G406,$H406,$I406)</f>
        <v>0</v>
      </c>
      <c r="S416" s="29">
        <f>FUELUSE(R416,R379,S379,R389,S389,S$401,S$402,S$403,$E406,$F406,$G406,$H406,$I406)</f>
        <v>0</v>
      </c>
      <c r="T416" s="29">
        <f>FUELUSE(S416,S379,T379,S389,T389,T$401,T$402,T$403,$E406,$F406,$G406,$H406,$I406)</f>
        <v>0</v>
      </c>
      <c r="U416" s="29">
        <f>FUELUSE(T416,T379,U379,T389,U389,U$401,U$402,U$403,$E406,$F406,$G406,$H406,$I406)</f>
        <v>0</v>
      </c>
      <c r="V416" s="29">
        <f>FUELUSE(U416,U379,V379,U389,V389,V$401,V$402,V$403,$E406,$F406,$G406,$H406,$I406)</f>
        <v>0</v>
      </c>
      <c r="W416" s="29">
        <f>FUELUSE(V416,V379,W379,V389,W389,W$401,W$402,W$403,$E406,$F406,$G406,$H406,$I406)</f>
        <v>0</v>
      </c>
      <c r="X416" s="29">
        <f>FUELUSE(W416,W379,X379,W389,X389,X$401,X$402,X$403,$E406,$F406,$G406,$H406,$I406)</f>
        <v>0</v>
      </c>
      <c r="Y416" s="29">
        <f>FUELUSE(X416,X379,Y379,X389,Y389,Y$401,Y$402,Y$403,$E406,$F406,$G406,$H406,$I406)</f>
        <v>0</v>
      </c>
      <c r="Z416" s="29">
        <f>FUELUSE(Y416,Y379,Z379,Y389,Z389,Z$401,Z$402,Z$403,$E406,$F406,$G406,$H406,$I406)</f>
        <v>0</v>
      </c>
      <c r="AA416" s="29">
        <f>FUELUSE(Z416,Z379,AA379,Z389,AA389,AA$401,AA$402,AA$403,$E406,$F406,$G406,$H406,$I406)</f>
        <v>0</v>
      </c>
      <c r="AB416" s="29">
        <f>FUELUSE(AA416,AA379,AB379,AA389,AB389,AB$401,AB$402,AB$403,$E406,$F406,$G406,$H406,$I406)</f>
        <v>0</v>
      </c>
      <c r="AC416" s="29">
        <f>FUELUSE(AB416,AB379,AC379,AB389,AC389,AC$401,AC$402,AC$403,$E406,$F406,$G406,$H406,$I406)</f>
        <v>0</v>
      </c>
      <c r="AD416" s="29">
        <f>FUELUSE(AC416,AC379,AD379,AC389,AD389,AD$401,AD$402,AD$403,$E406,$F406,$G406,$H406,$I406)</f>
        <v>0</v>
      </c>
      <c r="AE416" s="29">
        <f>FUELUSE(AD416,AD379,AE379,AD389,AE389,AE$401,AE$402,AE$403,$E406,$F406,$G406,$H406,$I406)</f>
        <v>0</v>
      </c>
    </row>
    <row r="417" spans="1:35" x14ac:dyDescent="0.25">
      <c r="B417" s="17" t="s">
        <v>57</v>
      </c>
      <c r="C417" s="17" t="str">
        <f t="shared" si="40"/>
        <v>nfm</v>
      </c>
      <c r="D417" s="18" t="s">
        <v>58</v>
      </c>
      <c r="E417" s="19" t="s">
        <v>112</v>
      </c>
      <c r="F417" s="17" t="s">
        <v>113</v>
      </c>
      <c r="G417" s="20" t="str">
        <f>Settings!$B$3&amp;".mit.enc."&amp;$B417</f>
        <v>egy.mit.enc.nga</v>
      </c>
      <c r="H417" s="21" t="str">
        <f>OUTCODE(Settings!$B$3,"ener",$C$367,$B417,$J$367)</f>
        <v>egy.mit.ener.nfm.nga.e.2</v>
      </c>
      <c r="L417" s="28">
        <f>INDEX(Data_Energy!$D$3:$U$22,MATCH($B417,Data_Energy!$C$3:$C$22,0),MATCH($C417,Data_Energy!$D$2:$U$2,0))</f>
        <v>0</v>
      </c>
      <c r="M417" s="29">
        <f>FUELUSE(L417,L380,M380,L390,M390,M$401,M$402,M$403,$E407,$F407,$G407,$H407,$I407)</f>
        <v>0</v>
      </c>
      <c r="N417" s="29">
        <f>FUELUSE(M417,M380,N380,M390,N390,N$401,N$402,N$403,$E407,$F407,$G407,$H407,$I407)</f>
        <v>0</v>
      </c>
      <c r="O417" s="29">
        <f>FUELUSE(N417,N380,O380,N390,O390,O$401,O$402,O$403,$E407,$F407,$G407,$H407,$I407)</f>
        <v>0</v>
      </c>
      <c r="P417" s="29">
        <f>FUELUSE(O417,O380,P380,O390,P390,P$401,P$402,P$403,$E407,$F407,$G407,$H407,$I407)</f>
        <v>0</v>
      </c>
      <c r="Q417" s="29">
        <f>FUELUSE(P417,P380,Q380,P390,Q390,Q$401,Q$402,Q$403,$E407,$F407,$G407,$H407,$I407)</f>
        <v>0</v>
      </c>
      <c r="R417" s="29">
        <f>FUELUSE(Q417,Q380,R380,Q390,R390,R$401,R$402,R$403,$E407,$F407,$G407,$H407,$I407)</f>
        <v>0</v>
      </c>
      <c r="S417" s="29">
        <f>FUELUSE(R417,R380,S380,R390,S390,S$401,S$402,S$403,$E407,$F407,$G407,$H407,$I407)</f>
        <v>0</v>
      </c>
      <c r="T417" s="29">
        <f>FUELUSE(S417,S380,T380,S390,T390,T$401,T$402,T$403,$E407,$F407,$G407,$H407,$I407)</f>
        <v>0</v>
      </c>
      <c r="U417" s="29">
        <f>FUELUSE(T417,T380,U380,T390,U390,U$401,U$402,U$403,$E407,$F407,$G407,$H407,$I407)</f>
        <v>0</v>
      </c>
      <c r="V417" s="29">
        <f>FUELUSE(U417,U380,V380,U390,V390,V$401,V$402,V$403,$E407,$F407,$G407,$H407,$I407)</f>
        <v>0</v>
      </c>
      <c r="W417" s="29">
        <f>FUELUSE(V417,V380,W380,V390,W390,W$401,W$402,W$403,$E407,$F407,$G407,$H407,$I407)</f>
        <v>0</v>
      </c>
      <c r="X417" s="29">
        <f>FUELUSE(W417,W380,X380,W390,X390,X$401,X$402,X$403,$E407,$F407,$G407,$H407,$I407)</f>
        <v>0</v>
      </c>
      <c r="Y417" s="29">
        <f>FUELUSE(X417,X380,Y380,X390,Y390,Y$401,Y$402,Y$403,$E407,$F407,$G407,$H407,$I407)</f>
        <v>0</v>
      </c>
      <c r="Z417" s="29">
        <f>FUELUSE(Y417,Y380,Z380,Y390,Z390,Z$401,Z$402,Z$403,$E407,$F407,$G407,$H407,$I407)</f>
        <v>0</v>
      </c>
      <c r="AA417" s="29">
        <f>FUELUSE(Z417,Z380,AA380,Z390,AA390,AA$401,AA$402,AA$403,$E407,$F407,$G407,$H407,$I407)</f>
        <v>0</v>
      </c>
      <c r="AB417" s="29">
        <f>FUELUSE(AA417,AA380,AB380,AA390,AB390,AB$401,AB$402,AB$403,$E407,$F407,$G407,$H407,$I407)</f>
        <v>0</v>
      </c>
      <c r="AC417" s="29">
        <f>FUELUSE(AB417,AB380,AC380,AB390,AC390,AC$401,AC$402,AC$403,$E407,$F407,$G407,$H407,$I407)</f>
        <v>0</v>
      </c>
      <c r="AD417" s="29">
        <f>FUELUSE(AC417,AC380,AD380,AC390,AD390,AD$401,AD$402,AD$403,$E407,$F407,$G407,$H407,$I407)</f>
        <v>0</v>
      </c>
      <c r="AE417" s="29">
        <f>FUELUSE(AD417,AD380,AE380,AD390,AE390,AE$401,AE$402,AE$403,$E407,$F407,$G407,$H407,$I407)</f>
        <v>0</v>
      </c>
    </row>
    <row r="418" spans="1:35" x14ac:dyDescent="0.25">
      <c r="B418" s="17" t="s">
        <v>59</v>
      </c>
      <c r="C418" s="17" t="str">
        <f t="shared" si="40"/>
        <v>nfm</v>
      </c>
      <c r="D418" s="18" t="s">
        <v>60</v>
      </c>
      <c r="E418" s="19" t="s">
        <v>112</v>
      </c>
      <c r="F418" s="17" t="s">
        <v>113</v>
      </c>
      <c r="G418" s="20" t="str">
        <f>Settings!$B$3&amp;".mit.enc."&amp;$B418</f>
        <v>egy.mit.enc.gso</v>
      </c>
      <c r="H418" s="21" t="str">
        <f>OUTCODE(Settings!$B$3,"ener",$C$367,$B418,$J$367)</f>
        <v>egy.mit.ener.nfm.gso.e.2</v>
      </c>
      <c r="L418" s="28">
        <f>INDEX(Data_Energy!$D$3:$U$22,MATCH($B418,Data_Energy!$C$3:$C$22,0),MATCH($C418,Data_Energy!$D$2:$U$2,0))</f>
        <v>0</v>
      </c>
      <c r="M418" s="29">
        <f>FUELUSE(L418,L381,M381,L391,M391,M$401,M$402,M$403,$E408,$F408,$G408,$H408,$I408)</f>
        <v>0</v>
      </c>
      <c r="N418" s="29">
        <f>FUELUSE(M418,M381,N381,M391,N391,N$401,N$402,N$403,$E408,$F408,$G408,$H408,$I408)</f>
        <v>0</v>
      </c>
      <c r="O418" s="29">
        <f>FUELUSE(N418,N381,O381,N391,O391,O$401,O$402,O$403,$E408,$F408,$G408,$H408,$I408)</f>
        <v>0</v>
      </c>
      <c r="P418" s="29">
        <f>FUELUSE(O418,O381,P381,O391,P391,P$401,P$402,P$403,$E408,$F408,$G408,$H408,$I408)</f>
        <v>0</v>
      </c>
      <c r="Q418" s="29">
        <f>FUELUSE(P418,P381,Q381,P391,Q391,Q$401,Q$402,Q$403,$E408,$F408,$G408,$H408,$I408)</f>
        <v>0</v>
      </c>
      <c r="R418" s="29">
        <f>FUELUSE(Q418,Q381,R381,Q391,R391,R$401,R$402,R$403,$E408,$F408,$G408,$H408,$I408)</f>
        <v>0</v>
      </c>
      <c r="S418" s="29">
        <f>FUELUSE(R418,R381,S381,R391,S391,S$401,S$402,S$403,$E408,$F408,$G408,$H408,$I408)</f>
        <v>0</v>
      </c>
      <c r="T418" s="29">
        <f>FUELUSE(S418,S381,T381,S391,T391,T$401,T$402,T$403,$E408,$F408,$G408,$H408,$I408)</f>
        <v>0</v>
      </c>
      <c r="U418" s="29">
        <f>FUELUSE(T418,T381,U381,T391,U391,U$401,U$402,U$403,$E408,$F408,$G408,$H408,$I408)</f>
        <v>0</v>
      </c>
      <c r="V418" s="29">
        <f>FUELUSE(U418,U381,V381,U391,V391,V$401,V$402,V$403,$E408,$F408,$G408,$H408,$I408)</f>
        <v>0</v>
      </c>
      <c r="W418" s="29">
        <f>FUELUSE(V418,V381,W381,V391,W391,W$401,W$402,W$403,$E408,$F408,$G408,$H408,$I408)</f>
        <v>0</v>
      </c>
      <c r="X418" s="29">
        <f>FUELUSE(W418,W381,X381,W391,X391,X$401,X$402,X$403,$E408,$F408,$G408,$H408,$I408)</f>
        <v>0</v>
      </c>
      <c r="Y418" s="29">
        <f>FUELUSE(X418,X381,Y381,X391,Y391,Y$401,Y$402,Y$403,$E408,$F408,$G408,$H408,$I408)</f>
        <v>0</v>
      </c>
      <c r="Z418" s="29">
        <f>FUELUSE(Y418,Y381,Z381,Y391,Z391,Z$401,Z$402,Z$403,$E408,$F408,$G408,$H408,$I408)</f>
        <v>0</v>
      </c>
      <c r="AA418" s="29">
        <f>FUELUSE(Z418,Z381,AA381,Z391,AA391,AA$401,AA$402,AA$403,$E408,$F408,$G408,$H408,$I408)</f>
        <v>0</v>
      </c>
      <c r="AB418" s="29">
        <f>FUELUSE(AA418,AA381,AB381,AA391,AB391,AB$401,AB$402,AB$403,$E408,$F408,$G408,$H408,$I408)</f>
        <v>0</v>
      </c>
      <c r="AC418" s="29">
        <f>FUELUSE(AB418,AB381,AC381,AB391,AC391,AC$401,AC$402,AC$403,$E408,$F408,$G408,$H408,$I408)</f>
        <v>0</v>
      </c>
      <c r="AD418" s="29">
        <f>FUELUSE(AC418,AC381,AD381,AC391,AD391,AD$401,AD$402,AD$403,$E408,$F408,$G408,$H408,$I408)</f>
        <v>0</v>
      </c>
      <c r="AE418" s="29">
        <f>FUELUSE(AD418,AD381,AE381,AD391,AE391,AE$401,AE$402,AE$403,$E408,$F408,$G408,$H408,$I408)</f>
        <v>0</v>
      </c>
    </row>
    <row r="419" spans="1:35" x14ac:dyDescent="0.25">
      <c r="B419" s="17" t="s">
        <v>62</v>
      </c>
      <c r="C419" s="17" t="str">
        <f t="shared" si="40"/>
        <v>nfm</v>
      </c>
      <c r="D419" s="18" t="s">
        <v>63</v>
      </c>
      <c r="E419" s="19" t="s">
        <v>112</v>
      </c>
      <c r="F419" s="17" t="s">
        <v>113</v>
      </c>
      <c r="G419" s="20" t="str">
        <f>Settings!$B$3&amp;".mit.enc."&amp;$B419</f>
        <v>egy.mit.enc.die</v>
      </c>
      <c r="H419" s="21" t="str">
        <f>OUTCODE(Settings!$B$3,"ener",$C$367,$B419,$J$367)</f>
        <v>egy.mit.ener.nfm.die.e.2</v>
      </c>
      <c r="L419" s="28">
        <f>INDEX(Data_Energy!$D$3:$U$22,MATCH($B419,Data_Energy!$C$3:$C$22,0),MATCH($C419,Data_Energy!$D$2:$U$2,0))</f>
        <v>0</v>
      </c>
      <c r="M419" s="29">
        <f>FUELUSE(L419,L382,M382,L392,M392,M$401,M$402,M$403,$E409,$F409,$G409,$H409,$I409)</f>
        <v>0</v>
      </c>
      <c r="N419" s="29">
        <f>FUELUSE(M419,M382,N382,M392,N392,N$401,N$402,N$403,$E409,$F409,$G409,$H409,$I409)</f>
        <v>0</v>
      </c>
      <c r="O419" s="29">
        <f>FUELUSE(N419,N382,O382,N392,O392,O$401,O$402,O$403,$E409,$F409,$G409,$H409,$I409)</f>
        <v>0</v>
      </c>
      <c r="P419" s="29">
        <f>FUELUSE(O419,O382,P382,O392,P392,P$401,P$402,P$403,$E409,$F409,$G409,$H409,$I409)</f>
        <v>0</v>
      </c>
      <c r="Q419" s="29">
        <f>FUELUSE(P419,P382,Q382,P392,Q392,Q$401,Q$402,Q$403,$E409,$F409,$G409,$H409,$I409)</f>
        <v>0</v>
      </c>
      <c r="R419" s="29">
        <f>FUELUSE(Q419,Q382,R382,Q392,R392,R$401,R$402,R$403,$E409,$F409,$G409,$H409,$I409)</f>
        <v>0</v>
      </c>
      <c r="S419" s="29">
        <f>FUELUSE(R419,R382,S382,R392,S392,S$401,S$402,S$403,$E409,$F409,$G409,$H409,$I409)</f>
        <v>0</v>
      </c>
      <c r="T419" s="29">
        <f>FUELUSE(S419,S382,T382,S392,T392,T$401,T$402,T$403,$E409,$F409,$G409,$H409,$I409)</f>
        <v>0</v>
      </c>
      <c r="U419" s="29">
        <f>FUELUSE(T419,T382,U382,T392,U392,U$401,U$402,U$403,$E409,$F409,$G409,$H409,$I409)</f>
        <v>0</v>
      </c>
      <c r="V419" s="29">
        <f>FUELUSE(U419,U382,V382,U392,V392,V$401,V$402,V$403,$E409,$F409,$G409,$H409,$I409)</f>
        <v>0</v>
      </c>
      <c r="W419" s="29">
        <f>FUELUSE(V419,V382,W382,V392,W392,W$401,W$402,W$403,$E409,$F409,$G409,$H409,$I409)</f>
        <v>0</v>
      </c>
      <c r="X419" s="29">
        <f>FUELUSE(W419,W382,X382,W392,X392,X$401,X$402,X$403,$E409,$F409,$G409,$H409,$I409)</f>
        <v>0</v>
      </c>
      <c r="Y419" s="29">
        <f>FUELUSE(X419,X382,Y382,X392,Y392,Y$401,Y$402,Y$403,$E409,$F409,$G409,$H409,$I409)</f>
        <v>0</v>
      </c>
      <c r="Z419" s="29">
        <f>FUELUSE(Y419,Y382,Z382,Y392,Z392,Z$401,Z$402,Z$403,$E409,$F409,$G409,$H409,$I409)</f>
        <v>0</v>
      </c>
      <c r="AA419" s="29">
        <f>FUELUSE(Z419,Z382,AA382,Z392,AA392,AA$401,AA$402,AA$403,$E409,$F409,$G409,$H409,$I409)</f>
        <v>0</v>
      </c>
      <c r="AB419" s="29">
        <f>FUELUSE(AA419,AA382,AB382,AA392,AB392,AB$401,AB$402,AB$403,$E409,$F409,$G409,$H409,$I409)</f>
        <v>0</v>
      </c>
      <c r="AC419" s="29">
        <f>FUELUSE(AB419,AB382,AC382,AB392,AC392,AC$401,AC$402,AC$403,$E409,$F409,$G409,$H409,$I409)</f>
        <v>0</v>
      </c>
      <c r="AD419" s="29">
        <f>FUELUSE(AC419,AC382,AD382,AC392,AD392,AD$401,AD$402,AD$403,$E409,$F409,$G409,$H409,$I409)</f>
        <v>0</v>
      </c>
      <c r="AE419" s="29">
        <f>FUELUSE(AD419,AD382,AE382,AD392,AE392,AE$401,AE$402,AE$403,$E409,$F409,$G409,$H409,$I409)</f>
        <v>0</v>
      </c>
    </row>
    <row r="420" spans="1:35" x14ac:dyDescent="0.25">
      <c r="B420" s="17" t="s">
        <v>64</v>
      </c>
      <c r="C420" s="17" t="str">
        <f t="shared" si="40"/>
        <v>nfm</v>
      </c>
      <c r="D420" s="18" t="s">
        <v>65</v>
      </c>
      <c r="E420" s="19" t="s">
        <v>112</v>
      </c>
      <c r="F420" s="17" t="s">
        <v>113</v>
      </c>
      <c r="G420" s="20" t="str">
        <f>Settings!$B$3&amp;".mit.enc."&amp;$B420</f>
        <v>egy.mit.enc.lpg</v>
      </c>
      <c r="H420" s="21" t="str">
        <f>OUTCODE(Settings!$B$3,"ener",$C$367,$B420,$J$367)</f>
        <v>egy.mit.ener.nfm.lpg.e.2</v>
      </c>
      <c r="L420" s="28">
        <f>INDEX(Data_Energy!$D$3:$U$22,MATCH($B420,Data_Energy!$C$3:$C$22,0),MATCH($C420,Data_Energy!$D$2:$U$2,0))</f>
        <v>0</v>
      </c>
      <c r="M420" s="29">
        <f>FUELUSE(L420,L383,M383,L393,M393,M$401,M$402,M$403,$E410,$F410,$G410,$H410,$I410)</f>
        <v>0</v>
      </c>
      <c r="N420" s="29">
        <f>FUELUSE(M420,M383,N383,M393,N393,N$401,N$402,N$403,$E410,$F410,$G410,$H410,$I410)</f>
        <v>0</v>
      </c>
      <c r="O420" s="29">
        <f>FUELUSE(N420,N383,O383,N393,O393,O$401,O$402,O$403,$E410,$F410,$G410,$H410,$I410)</f>
        <v>0</v>
      </c>
      <c r="P420" s="29">
        <f>FUELUSE(O420,O383,P383,O393,P393,P$401,P$402,P$403,$E410,$F410,$G410,$H410,$I410)</f>
        <v>0</v>
      </c>
      <c r="Q420" s="29">
        <f>FUELUSE(P420,P383,Q383,P393,Q393,Q$401,Q$402,Q$403,$E410,$F410,$G410,$H410,$I410)</f>
        <v>0</v>
      </c>
      <c r="R420" s="29">
        <f>FUELUSE(Q420,Q383,R383,Q393,R393,R$401,R$402,R$403,$E410,$F410,$G410,$H410,$I410)</f>
        <v>0</v>
      </c>
      <c r="S420" s="29">
        <f>FUELUSE(R420,R383,S383,R393,S393,S$401,S$402,S$403,$E410,$F410,$G410,$H410,$I410)</f>
        <v>0</v>
      </c>
      <c r="T420" s="29">
        <f>FUELUSE(S420,S383,T383,S393,T393,T$401,T$402,T$403,$E410,$F410,$G410,$H410,$I410)</f>
        <v>0</v>
      </c>
      <c r="U420" s="29">
        <f>FUELUSE(T420,T383,U383,T393,U393,U$401,U$402,U$403,$E410,$F410,$G410,$H410,$I410)</f>
        <v>0</v>
      </c>
      <c r="V420" s="29">
        <f>FUELUSE(U420,U383,V383,U393,V393,V$401,V$402,V$403,$E410,$F410,$G410,$H410,$I410)</f>
        <v>0</v>
      </c>
      <c r="W420" s="29">
        <f>FUELUSE(V420,V383,W383,V393,W393,W$401,W$402,W$403,$E410,$F410,$G410,$H410,$I410)</f>
        <v>0</v>
      </c>
      <c r="X420" s="29">
        <f>FUELUSE(W420,W383,X383,W393,X393,X$401,X$402,X$403,$E410,$F410,$G410,$H410,$I410)</f>
        <v>0</v>
      </c>
      <c r="Y420" s="29">
        <f>FUELUSE(X420,X383,Y383,X393,Y393,Y$401,Y$402,Y$403,$E410,$F410,$G410,$H410,$I410)</f>
        <v>0</v>
      </c>
      <c r="Z420" s="29">
        <f>FUELUSE(Y420,Y383,Z383,Y393,Z393,Z$401,Z$402,Z$403,$E410,$F410,$G410,$H410,$I410)</f>
        <v>0</v>
      </c>
      <c r="AA420" s="29">
        <f>FUELUSE(Z420,Z383,AA383,Z393,AA393,AA$401,AA$402,AA$403,$E410,$F410,$G410,$H410,$I410)</f>
        <v>0</v>
      </c>
      <c r="AB420" s="29">
        <f>FUELUSE(AA420,AA383,AB383,AA393,AB393,AB$401,AB$402,AB$403,$E410,$F410,$G410,$H410,$I410)</f>
        <v>0</v>
      </c>
      <c r="AC420" s="29">
        <f>FUELUSE(AB420,AB383,AC383,AB393,AC393,AC$401,AC$402,AC$403,$E410,$F410,$G410,$H410,$I410)</f>
        <v>0</v>
      </c>
      <c r="AD420" s="29">
        <f>FUELUSE(AC420,AC383,AD383,AC393,AD393,AD$401,AD$402,AD$403,$E410,$F410,$G410,$H410,$I410)</f>
        <v>0</v>
      </c>
      <c r="AE420" s="29">
        <f>FUELUSE(AD420,AD383,AE383,AD393,AE393,AE$401,AE$402,AE$403,$E410,$F410,$G410,$H410,$I410)</f>
        <v>0</v>
      </c>
    </row>
    <row r="421" spans="1:35" x14ac:dyDescent="0.25">
      <c r="B421" s="17" t="s">
        <v>66</v>
      </c>
      <c r="C421" s="17" t="str">
        <f t="shared" si="40"/>
        <v>nfm</v>
      </c>
      <c r="D421" s="18" t="s">
        <v>67</v>
      </c>
      <c r="E421" s="19" t="s">
        <v>112</v>
      </c>
      <c r="F421" s="17" t="s">
        <v>113</v>
      </c>
      <c r="G421" s="20" t="str">
        <f>Settings!$B$3&amp;".mit.enc."&amp;$B421</f>
        <v>egy.mit.enc.ker</v>
      </c>
      <c r="H421" s="21" t="str">
        <f>OUTCODE(Settings!$B$3,"ener",$C$367,$B421,$J$367)</f>
        <v>egy.mit.ener.nfm.ker.e.2</v>
      </c>
      <c r="L421" s="28">
        <f>INDEX(Data_Energy!$D$3:$U$22,MATCH($B421,Data_Energy!$C$3:$C$22,0),MATCH($C421,Data_Energy!$D$2:$U$2,0))</f>
        <v>0</v>
      </c>
      <c r="M421" s="29">
        <f>FUELUSE(L421,L384,M384,L394,M394,M$401,M$402,M$403,$E411,$F411,$G411,$H411,$I411)</f>
        <v>0</v>
      </c>
      <c r="N421" s="29">
        <f>FUELUSE(M421,M384,N384,M394,N394,N$401,N$402,N$403,$E411,$F411,$G411,$H411,$I411)</f>
        <v>0</v>
      </c>
      <c r="O421" s="29">
        <f>FUELUSE(N421,N384,O384,N394,O394,O$401,O$402,O$403,$E411,$F411,$G411,$H411,$I411)</f>
        <v>0</v>
      </c>
      <c r="P421" s="29">
        <f>FUELUSE(O421,O384,P384,O394,P394,P$401,P$402,P$403,$E411,$F411,$G411,$H411,$I411)</f>
        <v>0</v>
      </c>
      <c r="Q421" s="29">
        <f>FUELUSE(P421,P384,Q384,P394,Q394,Q$401,Q$402,Q$403,$E411,$F411,$G411,$H411,$I411)</f>
        <v>0</v>
      </c>
      <c r="R421" s="29">
        <f>FUELUSE(Q421,Q384,R384,Q394,R394,R$401,R$402,R$403,$E411,$F411,$G411,$H411,$I411)</f>
        <v>0</v>
      </c>
      <c r="S421" s="29">
        <f>FUELUSE(R421,R384,S384,R394,S394,S$401,S$402,S$403,$E411,$F411,$G411,$H411,$I411)</f>
        <v>0</v>
      </c>
      <c r="T421" s="29">
        <f>FUELUSE(S421,S384,T384,S394,T394,T$401,T$402,T$403,$E411,$F411,$G411,$H411,$I411)</f>
        <v>0</v>
      </c>
      <c r="U421" s="29">
        <f>FUELUSE(T421,T384,U384,T394,U394,U$401,U$402,U$403,$E411,$F411,$G411,$H411,$I411)</f>
        <v>0</v>
      </c>
      <c r="V421" s="29">
        <f>FUELUSE(U421,U384,V384,U394,V394,V$401,V$402,V$403,$E411,$F411,$G411,$H411,$I411)</f>
        <v>0</v>
      </c>
      <c r="W421" s="29">
        <f>FUELUSE(V421,V384,W384,V394,W394,W$401,W$402,W$403,$E411,$F411,$G411,$H411,$I411)</f>
        <v>0</v>
      </c>
      <c r="X421" s="29">
        <f>FUELUSE(W421,W384,X384,W394,X394,X$401,X$402,X$403,$E411,$F411,$G411,$H411,$I411)</f>
        <v>0</v>
      </c>
      <c r="Y421" s="29">
        <f>FUELUSE(X421,X384,Y384,X394,Y394,Y$401,Y$402,Y$403,$E411,$F411,$G411,$H411,$I411)</f>
        <v>0</v>
      </c>
      <c r="Z421" s="29">
        <f>FUELUSE(Y421,Y384,Z384,Y394,Z394,Z$401,Z$402,Z$403,$E411,$F411,$G411,$H411,$I411)</f>
        <v>0</v>
      </c>
      <c r="AA421" s="29">
        <f>FUELUSE(Z421,Z384,AA384,Z394,AA394,AA$401,AA$402,AA$403,$E411,$F411,$G411,$H411,$I411)</f>
        <v>0</v>
      </c>
      <c r="AB421" s="29">
        <f>FUELUSE(AA421,AA384,AB384,AA394,AB394,AB$401,AB$402,AB$403,$E411,$F411,$G411,$H411,$I411)</f>
        <v>0</v>
      </c>
      <c r="AC421" s="29">
        <f>FUELUSE(AB421,AB384,AC384,AB394,AC394,AC$401,AC$402,AC$403,$E411,$F411,$G411,$H411,$I411)</f>
        <v>0</v>
      </c>
      <c r="AD421" s="29">
        <f>FUELUSE(AC421,AC384,AD384,AC394,AD394,AD$401,AD$402,AD$403,$E411,$F411,$G411,$H411,$I411)</f>
        <v>0</v>
      </c>
      <c r="AE421" s="29">
        <f>FUELUSE(AD421,AD384,AE384,AD394,AE394,AE$401,AE$402,AE$403,$E411,$F411,$G411,$H411,$I411)</f>
        <v>0</v>
      </c>
    </row>
    <row r="422" spans="1:35" x14ac:dyDescent="0.25">
      <c r="B422" s="17" t="s">
        <v>68</v>
      </c>
      <c r="C422" s="17" t="str">
        <f t="shared" si="40"/>
        <v>nfm</v>
      </c>
      <c r="D422" s="18" t="s">
        <v>69</v>
      </c>
      <c r="E422" s="19" t="s">
        <v>112</v>
      </c>
      <c r="F422" s="17" t="s">
        <v>113</v>
      </c>
      <c r="G422" s="20" t="str">
        <f>Settings!$B$3&amp;".mit.enc."&amp;$B422</f>
        <v>egy.mit.enc.oop</v>
      </c>
      <c r="H422" s="21" t="str">
        <f>OUTCODE(Settings!$B$3,"ener",$C$367,$B422,$J$367)</f>
        <v>egy.mit.ener.nfm.oop.e.2</v>
      </c>
      <c r="L422" s="28">
        <f>INDEX(Data_Energy!$D$3:$U$22,MATCH($B422,Data_Energy!$C$3:$C$22,0),MATCH($C422,Data_Energy!$D$2:$U$2,0))</f>
        <v>0</v>
      </c>
      <c r="M422" s="29">
        <f>FUELUSE(L422,L385,M385,L395,M395,M$401,M$402,M$403,$E412,$F412,$G412,$H412,$I412)</f>
        <v>0</v>
      </c>
      <c r="N422" s="29">
        <f>FUELUSE(M422,M385,N385,M395,N395,N$401,N$402,N$403,$E412,$F412,$G412,$H412,$I412)</f>
        <v>0</v>
      </c>
      <c r="O422" s="29">
        <f>FUELUSE(N422,N385,O385,N395,O395,O$401,O$402,O$403,$E412,$F412,$G412,$H412,$I412)</f>
        <v>0</v>
      </c>
      <c r="P422" s="29">
        <f>FUELUSE(O422,O385,P385,O395,P395,P$401,P$402,P$403,$E412,$F412,$G412,$H412,$I412)</f>
        <v>0</v>
      </c>
      <c r="Q422" s="29">
        <f>FUELUSE(P422,P385,Q385,P395,Q395,Q$401,Q$402,Q$403,$E412,$F412,$G412,$H412,$I412)</f>
        <v>0</v>
      </c>
      <c r="R422" s="29">
        <f>FUELUSE(Q422,Q385,R385,Q395,R395,R$401,R$402,R$403,$E412,$F412,$G412,$H412,$I412)</f>
        <v>0</v>
      </c>
      <c r="S422" s="29">
        <f>FUELUSE(R422,R385,S385,R395,S395,S$401,S$402,S$403,$E412,$F412,$G412,$H412,$I412)</f>
        <v>0</v>
      </c>
      <c r="T422" s="29">
        <f>FUELUSE(S422,S385,T385,S395,T395,T$401,T$402,T$403,$E412,$F412,$G412,$H412,$I412)</f>
        <v>0</v>
      </c>
      <c r="U422" s="29">
        <f>FUELUSE(T422,T385,U385,T395,U395,U$401,U$402,U$403,$E412,$F412,$G412,$H412,$I412)</f>
        <v>0</v>
      </c>
      <c r="V422" s="29">
        <f>FUELUSE(U422,U385,V385,U395,V395,V$401,V$402,V$403,$E412,$F412,$G412,$H412,$I412)</f>
        <v>0</v>
      </c>
      <c r="W422" s="29">
        <f>FUELUSE(V422,V385,W385,V395,W395,W$401,W$402,W$403,$E412,$F412,$G412,$H412,$I412)</f>
        <v>0</v>
      </c>
      <c r="X422" s="29">
        <f>FUELUSE(W422,W385,X385,W395,X395,X$401,X$402,X$403,$E412,$F412,$G412,$H412,$I412)</f>
        <v>0</v>
      </c>
      <c r="Y422" s="29">
        <f>FUELUSE(X422,X385,Y385,X395,Y395,Y$401,Y$402,Y$403,$E412,$F412,$G412,$H412,$I412)</f>
        <v>0</v>
      </c>
      <c r="Z422" s="29">
        <f>FUELUSE(Y422,Y385,Z385,Y395,Z395,Z$401,Z$402,Z$403,$E412,$F412,$G412,$H412,$I412)</f>
        <v>0</v>
      </c>
      <c r="AA422" s="29">
        <f>FUELUSE(Z422,Z385,AA385,Z395,AA395,AA$401,AA$402,AA$403,$E412,$F412,$G412,$H412,$I412)</f>
        <v>0</v>
      </c>
      <c r="AB422" s="29">
        <f>FUELUSE(AA422,AA385,AB385,AA395,AB395,AB$401,AB$402,AB$403,$E412,$F412,$G412,$H412,$I412)</f>
        <v>0</v>
      </c>
      <c r="AC422" s="29">
        <f>FUELUSE(AB422,AB385,AC385,AB395,AC395,AC$401,AC$402,AC$403,$E412,$F412,$G412,$H412,$I412)</f>
        <v>0</v>
      </c>
      <c r="AD422" s="29">
        <f>FUELUSE(AC422,AC385,AD385,AC395,AD395,AD$401,AD$402,AD$403,$E412,$F412,$G412,$H412,$I412)</f>
        <v>0</v>
      </c>
      <c r="AE422" s="29">
        <f>FUELUSE(AD422,AD385,AE385,AD395,AE395,AE$401,AE$402,AE$403,$E412,$F412,$G412,$H412,$I412)</f>
        <v>0</v>
      </c>
    </row>
    <row r="423" spans="1:35" x14ac:dyDescent="0.25">
      <c r="B423" s="17" t="s">
        <v>71</v>
      </c>
      <c r="C423" s="17" t="str">
        <f t="shared" si="40"/>
        <v>nfm</v>
      </c>
      <c r="D423" s="18" t="s">
        <v>72</v>
      </c>
      <c r="E423" s="19" t="s">
        <v>112</v>
      </c>
      <c r="F423" s="17" t="s">
        <v>113</v>
      </c>
      <c r="G423" s="20" t="str">
        <f>Settings!$B$3&amp;".mit.enc."&amp;$B423</f>
        <v>egy.mit.enc.bio</v>
      </c>
      <c r="H423" s="21" t="str">
        <f>OUTCODE(Settings!$B$3,"ener",$C$367,$B423,$J$367)</f>
        <v>egy.mit.ener.nfm.bio.e.2</v>
      </c>
      <c r="L423" s="28">
        <f>INDEX(Data_Energy!$D$3:$U$22,MATCH($B423,Data_Energy!$C$3:$C$22,0),MATCH($C423,Data_Energy!$D$2:$U$2,0))</f>
        <v>0</v>
      </c>
      <c r="M423" s="29">
        <f>FUELUSE(L423,L386,M386,L396,M396,M$401,M$402,M$403,$E413,$F413,$G413,$H413,$I413)</f>
        <v>0</v>
      </c>
      <c r="N423" s="29">
        <f>FUELUSE(M423,M386,N386,M396,N396,N$401,N$402,N$403,$E413,$F413,$G413,$H413,$I413)</f>
        <v>0</v>
      </c>
      <c r="O423" s="29">
        <f>FUELUSE(N423,N386,O386,N396,O396,O$401,O$402,O$403,$E413,$F413,$G413,$H413,$I413)</f>
        <v>0</v>
      </c>
      <c r="P423" s="29">
        <f>FUELUSE(O423,O386,P386,O396,P396,P$401,P$402,P$403,$E413,$F413,$G413,$H413,$I413)</f>
        <v>0</v>
      </c>
      <c r="Q423" s="29">
        <f>FUELUSE(P423,P386,Q386,P396,Q396,Q$401,Q$402,Q$403,$E413,$F413,$G413,$H413,$I413)</f>
        <v>0</v>
      </c>
      <c r="R423" s="29">
        <f>FUELUSE(Q423,Q386,R386,Q396,R396,R$401,R$402,R$403,$E413,$F413,$G413,$H413,$I413)</f>
        <v>0</v>
      </c>
      <c r="S423" s="29">
        <f>FUELUSE(R423,R386,S386,R396,S396,S$401,S$402,S$403,$E413,$F413,$G413,$H413,$I413)</f>
        <v>0</v>
      </c>
      <c r="T423" s="29">
        <f>FUELUSE(S423,S386,T386,S396,T396,T$401,T$402,T$403,$E413,$F413,$G413,$H413,$I413)</f>
        <v>0</v>
      </c>
      <c r="U423" s="29">
        <f>FUELUSE(T423,T386,U386,T396,U396,U$401,U$402,U$403,$E413,$F413,$G413,$H413,$I413)</f>
        <v>0</v>
      </c>
      <c r="V423" s="29">
        <f>FUELUSE(U423,U386,V386,U396,V396,V$401,V$402,V$403,$E413,$F413,$G413,$H413,$I413)</f>
        <v>0</v>
      </c>
      <c r="W423" s="29">
        <f>FUELUSE(V423,V386,W386,V396,W396,W$401,W$402,W$403,$E413,$F413,$G413,$H413,$I413)</f>
        <v>0</v>
      </c>
      <c r="X423" s="29">
        <f>FUELUSE(W423,W386,X386,W396,X396,X$401,X$402,X$403,$E413,$F413,$G413,$H413,$I413)</f>
        <v>0</v>
      </c>
      <c r="Y423" s="29">
        <f>FUELUSE(X423,X386,Y386,X396,Y396,Y$401,Y$402,Y$403,$E413,$F413,$G413,$H413,$I413)</f>
        <v>0</v>
      </c>
      <c r="Z423" s="29">
        <f>FUELUSE(Y423,Y386,Z386,Y396,Z396,Z$401,Z$402,Z$403,$E413,$F413,$G413,$H413,$I413)</f>
        <v>0</v>
      </c>
      <c r="AA423" s="29">
        <f>FUELUSE(Z423,Z386,AA386,Z396,AA396,AA$401,AA$402,AA$403,$E413,$F413,$G413,$H413,$I413)</f>
        <v>0</v>
      </c>
      <c r="AB423" s="29">
        <f>FUELUSE(AA423,AA386,AB386,AA396,AB396,AB$401,AB$402,AB$403,$E413,$F413,$G413,$H413,$I413)</f>
        <v>0</v>
      </c>
      <c r="AC423" s="29">
        <f>FUELUSE(AB423,AB386,AC386,AB396,AC396,AC$401,AC$402,AC$403,$E413,$F413,$G413,$H413,$I413)</f>
        <v>0</v>
      </c>
      <c r="AD423" s="29">
        <f>FUELUSE(AC423,AC386,AD386,AC396,AD396,AD$401,AD$402,AD$403,$E413,$F413,$G413,$H413,$I413)</f>
        <v>0</v>
      </c>
      <c r="AE423" s="29">
        <f>FUELUSE(AD423,AD386,AE386,AD396,AE396,AE$401,AE$402,AE$403,$E413,$F413,$G413,$H413,$I413)</f>
        <v>0</v>
      </c>
    </row>
    <row r="424" spans="1:35" x14ac:dyDescent="0.25">
      <c r="B424" s="17" t="s">
        <v>73</v>
      </c>
      <c r="C424" s="17" t="str">
        <f t="shared" si="40"/>
        <v>nfm</v>
      </c>
      <c r="D424" s="18" t="s">
        <v>74</v>
      </c>
      <c r="E424" s="19" t="s">
        <v>112</v>
      </c>
      <c r="F424" s="17" t="s">
        <v>113</v>
      </c>
      <c r="G424" s="20" t="str">
        <f>Settings!$B$3&amp;".mit.enc."&amp;$B424</f>
        <v>egy.mit.enc.ren</v>
      </c>
      <c r="H424" s="21" t="str">
        <f>OUTCODE(Settings!$B$3,"ener",$C$367,$B424,$J$367)</f>
        <v>egy.mit.ener.nfm.ren.e.2</v>
      </c>
      <c r="L424" s="28">
        <f>INDEX(Data_Energy!$D$3:$U$22,MATCH($B424,Data_Energy!$C$3:$C$22,0),MATCH($C424,Data_Energy!$D$2:$U$2,0))</f>
        <v>0</v>
      </c>
      <c r="M424" s="29">
        <f>FUELUSE(L424,L387,M387,L397,M397,M$401,M$402,M$403,$E414,$F414,$G414,$H414,$I414)</f>
        <v>0</v>
      </c>
      <c r="N424" s="29">
        <f>FUELUSE(M424,M387,N387,M397,N397,N$401,N$402,N$403,$E414,$F414,$G414,$H414,$I414)</f>
        <v>0</v>
      </c>
      <c r="O424" s="29">
        <f>FUELUSE(N424,N387,O387,N397,O397,O$401,O$402,O$403,$E414,$F414,$G414,$H414,$I414)</f>
        <v>0</v>
      </c>
      <c r="P424" s="29">
        <f>FUELUSE(O424,O387,P387,O397,P397,P$401,P$402,P$403,$E414,$F414,$G414,$H414,$I414)</f>
        <v>0</v>
      </c>
      <c r="Q424" s="29">
        <f>FUELUSE(P424,P387,Q387,P397,Q397,Q$401,Q$402,Q$403,$E414,$F414,$G414,$H414,$I414)</f>
        <v>0</v>
      </c>
      <c r="R424" s="29">
        <f>FUELUSE(Q424,Q387,R387,Q397,R397,R$401,R$402,R$403,$E414,$F414,$G414,$H414,$I414)</f>
        <v>0</v>
      </c>
      <c r="S424" s="29">
        <f>FUELUSE(R424,R387,S387,R397,S397,S$401,S$402,S$403,$E414,$F414,$G414,$H414,$I414)</f>
        <v>0</v>
      </c>
      <c r="T424" s="29">
        <f>FUELUSE(S424,S387,T387,S397,T397,T$401,T$402,T$403,$E414,$F414,$G414,$H414,$I414)</f>
        <v>0</v>
      </c>
      <c r="U424" s="29">
        <f>FUELUSE(T424,T387,U387,T397,U397,U$401,U$402,U$403,$E414,$F414,$G414,$H414,$I414)</f>
        <v>0</v>
      </c>
      <c r="V424" s="29">
        <f>FUELUSE(U424,U387,V387,U397,V397,V$401,V$402,V$403,$E414,$F414,$G414,$H414,$I414)</f>
        <v>0</v>
      </c>
      <c r="W424" s="29">
        <f>FUELUSE(V424,V387,W387,V397,W397,W$401,W$402,W$403,$E414,$F414,$G414,$H414,$I414)</f>
        <v>0</v>
      </c>
      <c r="X424" s="29">
        <f>FUELUSE(W424,W387,X387,W397,X397,X$401,X$402,X$403,$E414,$F414,$G414,$H414,$I414)</f>
        <v>0</v>
      </c>
      <c r="Y424" s="29">
        <f>FUELUSE(X424,X387,Y387,X397,Y397,Y$401,Y$402,Y$403,$E414,$F414,$G414,$H414,$I414)</f>
        <v>0</v>
      </c>
      <c r="Z424" s="29">
        <f>FUELUSE(Y424,Y387,Z387,Y397,Z397,Z$401,Z$402,Z$403,$E414,$F414,$G414,$H414,$I414)</f>
        <v>0</v>
      </c>
      <c r="AA424" s="29">
        <f>FUELUSE(Z424,Z387,AA387,Z397,AA397,AA$401,AA$402,AA$403,$E414,$F414,$G414,$H414,$I414)</f>
        <v>0</v>
      </c>
      <c r="AB424" s="29">
        <f>FUELUSE(AA424,AA387,AB387,AA397,AB397,AB$401,AB$402,AB$403,$E414,$F414,$G414,$H414,$I414)</f>
        <v>0</v>
      </c>
      <c r="AC424" s="29">
        <f>FUELUSE(AB424,AB387,AC387,AB397,AC397,AC$401,AC$402,AC$403,$E414,$F414,$G414,$H414,$I414)</f>
        <v>0</v>
      </c>
      <c r="AD424" s="29">
        <f>FUELUSE(AC424,AC387,AD387,AC397,AD397,AD$401,AD$402,AD$403,$E414,$F414,$G414,$H414,$I414)</f>
        <v>0</v>
      </c>
      <c r="AE424" s="29">
        <f>FUELUSE(AD424,AD387,AE387,AD397,AE397,AE$401,AE$402,AE$403,$E414,$F414,$G414,$H414,$I414)</f>
        <v>0</v>
      </c>
    </row>
    <row r="425" spans="1:35" x14ac:dyDescent="0.25">
      <c r="B425" s="17" t="s">
        <v>114</v>
      </c>
      <c r="C425" s="17" t="str">
        <f t="shared" si="40"/>
        <v>nfm</v>
      </c>
      <c r="D425" s="30" t="s">
        <v>115</v>
      </c>
      <c r="E425" s="19" t="s">
        <v>112</v>
      </c>
      <c r="F425" s="17" t="s">
        <v>113</v>
      </c>
      <c r="H425" s="21" t="str">
        <f>OUTCODE(Settings!$B$3,"ener",$C$367,"tot",$J$367)</f>
        <v>egy.mit.ener.nfm.tot.e.2</v>
      </c>
      <c r="L425" s="31">
        <f t="shared" ref="L425:AE425" si="41">SUM(L416:L424)</f>
        <v>0</v>
      </c>
      <c r="M425" s="31">
        <f t="shared" si="41"/>
        <v>0</v>
      </c>
      <c r="N425" s="31">
        <f t="shared" si="41"/>
        <v>0</v>
      </c>
      <c r="O425" s="31">
        <f t="shared" si="41"/>
        <v>0</v>
      </c>
      <c r="P425" s="31">
        <f t="shared" si="41"/>
        <v>0</v>
      </c>
      <c r="Q425" s="31">
        <f t="shared" si="41"/>
        <v>0</v>
      </c>
      <c r="R425" s="31">
        <f t="shared" si="41"/>
        <v>0</v>
      </c>
      <c r="S425" s="31">
        <f t="shared" si="41"/>
        <v>0</v>
      </c>
      <c r="T425" s="31">
        <f t="shared" si="41"/>
        <v>0</v>
      </c>
      <c r="U425" s="31">
        <f t="shared" si="41"/>
        <v>0</v>
      </c>
      <c r="V425" s="31">
        <f t="shared" si="41"/>
        <v>0</v>
      </c>
      <c r="W425" s="31">
        <f t="shared" si="41"/>
        <v>0</v>
      </c>
      <c r="X425" s="31">
        <f t="shared" si="41"/>
        <v>0</v>
      </c>
      <c r="Y425" s="31">
        <f t="shared" si="41"/>
        <v>0</v>
      </c>
      <c r="Z425" s="31">
        <f t="shared" si="41"/>
        <v>0</v>
      </c>
      <c r="AA425" s="31">
        <f t="shared" si="41"/>
        <v>0</v>
      </c>
      <c r="AB425" s="31">
        <f t="shared" si="41"/>
        <v>0</v>
      </c>
      <c r="AC425" s="31">
        <f t="shared" si="41"/>
        <v>0</v>
      </c>
      <c r="AD425" s="31">
        <f t="shared" si="41"/>
        <v>0</v>
      </c>
      <c r="AE425" s="31">
        <f t="shared" si="41"/>
        <v>0</v>
      </c>
    </row>
    <row r="427" spans="1:35" x14ac:dyDescent="0.25">
      <c r="A427" s="12"/>
      <c r="B427" s="7" t="s">
        <v>120</v>
      </c>
      <c r="C427" s="8" t="s">
        <v>121</v>
      </c>
      <c r="D427" s="7" t="s">
        <v>48</v>
      </c>
      <c r="E427" s="8" t="s">
        <v>39</v>
      </c>
      <c r="F427" s="8" t="s">
        <v>49</v>
      </c>
      <c r="G427" s="8" t="s">
        <v>50</v>
      </c>
      <c r="H427" s="13" t="s">
        <v>42</v>
      </c>
      <c r="I427" s="7" t="s">
        <v>51</v>
      </c>
      <c r="J427" s="14">
        <v>2</v>
      </c>
      <c r="K427" s="7">
        <v>2021</v>
      </c>
      <c r="L427" s="15">
        <v>2022</v>
      </c>
      <c r="M427" s="7">
        <v>2023</v>
      </c>
      <c r="N427" s="7">
        <v>2024</v>
      </c>
      <c r="O427" s="7">
        <v>2025</v>
      </c>
      <c r="P427" s="7">
        <v>2026</v>
      </c>
      <c r="Q427" s="7">
        <v>2027</v>
      </c>
      <c r="R427" s="7">
        <v>2028</v>
      </c>
      <c r="S427" s="7">
        <v>2029</v>
      </c>
      <c r="T427" s="7">
        <v>2030</v>
      </c>
      <c r="U427" s="7">
        <v>2031</v>
      </c>
      <c r="V427" s="7">
        <v>2032</v>
      </c>
      <c r="W427" s="7">
        <v>2033</v>
      </c>
      <c r="X427" s="7">
        <v>2034</v>
      </c>
      <c r="Y427" s="7">
        <v>2035</v>
      </c>
      <c r="Z427" s="7">
        <v>2036</v>
      </c>
      <c r="AA427" s="7">
        <v>2037</v>
      </c>
      <c r="AB427" s="7">
        <v>2038</v>
      </c>
      <c r="AC427" s="7">
        <v>2039</v>
      </c>
      <c r="AD427" s="7">
        <v>2040</v>
      </c>
      <c r="AE427" s="7">
        <v>2041</v>
      </c>
      <c r="AF427" s="7">
        <v>2042</v>
      </c>
      <c r="AG427" s="7">
        <v>2043</v>
      </c>
      <c r="AH427" s="7">
        <v>2044</v>
      </c>
      <c r="AI427" s="7">
        <v>2045</v>
      </c>
    </row>
    <row r="428" spans="1:35" x14ac:dyDescent="0.25">
      <c r="B428" s="16" t="s">
        <v>52</v>
      </c>
    </row>
    <row r="429" spans="1:35" x14ac:dyDescent="0.25">
      <c r="B429" s="17" t="s">
        <v>53</v>
      </c>
      <c r="C429" s="17" t="str">
        <f t="shared" ref="C429:C437" si="42">$C$427</f>
        <v>mch</v>
      </c>
      <c r="D429" s="18" t="s">
        <v>54</v>
      </c>
      <c r="E429" s="19" t="s">
        <v>55</v>
      </c>
      <c r="F429" s="17" t="s">
        <v>56</v>
      </c>
      <c r="G429" s="20" t="str">
        <f>Settings!$B$3&amp;".mit.pbc."&amp;Settings!$B$4&amp;"."&amp;$B429&amp;".a."&amp;$J$427</f>
        <v>egy.mit.pbc.ind.coa.a.2</v>
      </c>
      <c r="H429" s="21" t="str">
        <f>OUTCODE(Settings!$B$3,"ptp",$C$427,$B429,$J$427)</f>
        <v>egy.mit.ptp.mch.coa.e.2</v>
      </c>
      <c r="K429" s="22">
        <f>INDEX(Data_Prices!K:K,MATCH($G429,Data_Prices!$A:$A,0))</f>
        <v>11.18290158924394</v>
      </c>
      <c r="L429" s="22">
        <f>INDEX(Data_Prices!L:L,MATCH($G429,Data_Prices!$A:$A,0))</f>
        <v>10.52336134543121</v>
      </c>
      <c r="M429" s="22">
        <f>INDEX(Data_Prices!M:M,MATCH($G429,Data_Prices!$A:$A,0))</f>
        <v>10.299560827444211</v>
      </c>
      <c r="N429" s="22">
        <f>INDEX(Data_Prices!N:N,MATCH($G429,Data_Prices!$A:$A,0))</f>
        <v>9.5775283595382632</v>
      </c>
      <c r="O429" s="22">
        <f>INDEX(Data_Prices!O:O,MATCH($G429,Data_Prices!$A:$A,0))</f>
        <v>8.4854782869580454</v>
      </c>
      <c r="P429" s="22">
        <f>INDEX(Data_Prices!P:P,MATCH($G429,Data_Prices!$A:$A,0))</f>
        <v>9.0871922352498604</v>
      </c>
      <c r="Q429" s="22">
        <f>INDEX(Data_Prices!Q:Q,MATCH($G429,Data_Prices!$A:$A,0))</f>
        <v>9.2229237289326811</v>
      </c>
      <c r="R429" s="22">
        <f>INDEX(Data_Prices!R:R,MATCH($G429,Data_Prices!$A:$A,0))</f>
        <v>9.1585649555096875</v>
      </c>
      <c r="S429" s="22">
        <f>INDEX(Data_Prices!S:S,MATCH($G429,Data_Prices!$A:$A,0))</f>
        <v>9.0895478773973775</v>
      </c>
      <c r="T429" s="22">
        <f>INDEX(Data_Prices!T:T,MATCH($G429,Data_Prices!$A:$A,0))</f>
        <v>9.0156816660228305</v>
      </c>
      <c r="U429" s="22">
        <f>INDEX(Data_Prices!U:U,MATCH($G429,Data_Prices!$A:$A,0))</f>
        <v>8.9443977655571061</v>
      </c>
      <c r="V429" s="22">
        <f>INDEX(Data_Prices!V:V,MATCH($G429,Data_Prices!$A:$A,0))</f>
        <v>8.9443977655571061</v>
      </c>
      <c r="W429" s="22">
        <f>INDEX(Data_Prices!W:W,MATCH($G429,Data_Prices!$A:$A,0))</f>
        <v>8.9443977655571061</v>
      </c>
      <c r="X429" s="22">
        <f>INDEX(Data_Prices!X:X,MATCH($G429,Data_Prices!$A:$A,0))</f>
        <v>8.9443977655571061</v>
      </c>
      <c r="Y429" s="22">
        <f>INDEX(Data_Prices!Y:Y,MATCH($G429,Data_Prices!$A:$A,0))</f>
        <v>8.9443977655571061</v>
      </c>
      <c r="Z429" s="22">
        <f>INDEX(Data_Prices!Z:Z,MATCH($G429,Data_Prices!$A:$A,0))</f>
        <v>8.9443977655571061</v>
      </c>
      <c r="AA429" s="22">
        <f>INDEX(Data_Prices!AA:AA,MATCH($G429,Data_Prices!$A:$A,0))</f>
        <v>8.9443977655571061</v>
      </c>
      <c r="AB429" s="22">
        <f>INDEX(Data_Prices!AB:AB,MATCH($G429,Data_Prices!$A:$A,0))</f>
        <v>8.9443977655571061</v>
      </c>
      <c r="AC429" s="22">
        <f>INDEX(Data_Prices!AC:AC,MATCH($G429,Data_Prices!$A:$A,0))</f>
        <v>8.9443977655571061</v>
      </c>
      <c r="AD429" s="22">
        <f>INDEX(Data_Prices!AD:AD,MATCH($G429,Data_Prices!$A:$A,0))</f>
        <v>8.9443977655571061</v>
      </c>
      <c r="AE429" s="22">
        <f>INDEX(Data_Prices!AE:AE,MATCH($G429,Data_Prices!$A:$A,0))</f>
        <v>8.9443977655571061</v>
      </c>
    </row>
    <row r="430" spans="1:35" x14ac:dyDescent="0.25">
      <c r="B430" s="17" t="s">
        <v>57</v>
      </c>
      <c r="C430" s="17" t="str">
        <f t="shared" si="42"/>
        <v>mch</v>
      </c>
      <c r="D430" s="18" t="s">
        <v>58</v>
      </c>
      <c r="E430" s="19" t="s">
        <v>55</v>
      </c>
      <c r="F430" s="17" t="s">
        <v>56</v>
      </c>
      <c r="G430" s="20" t="str">
        <f>Settings!$B$3&amp;".mit.pbc."&amp;Settings!$B$4&amp;"."&amp;$B430&amp;".a."&amp;$J$427</f>
        <v>egy.mit.pbc.ind.nga.a.2</v>
      </c>
      <c r="H430" s="21" t="str">
        <f>OUTCODE(Settings!$B$3,"ptp",$C$427,$B430,$J$427)</f>
        <v>egy.mit.ptp.mch.nga.e.2</v>
      </c>
      <c r="K430" s="22">
        <f>INDEX(Data_Prices!K:K,MATCH($G430,Data_Prices!$A:$A,0))</f>
        <v>6.0634636156729131</v>
      </c>
      <c r="L430" s="22">
        <f>INDEX(Data_Prices!L:L,MATCH($G430,Data_Prices!$A:$A,0))</f>
        <v>5.4510150816191896</v>
      </c>
      <c r="M430" s="22">
        <f>INDEX(Data_Prices!M:M,MATCH($G430,Data_Prices!$A:$A,0))</f>
        <v>5.1193563062624818</v>
      </c>
      <c r="N430" s="22">
        <f>INDEX(Data_Prices!N:N,MATCH($G430,Data_Prices!$A:$A,0))</f>
        <v>5.0821845864040727</v>
      </c>
      <c r="O430" s="22">
        <f>INDEX(Data_Prices!O:O,MATCH($G430,Data_Prices!$A:$A,0))</f>
        <v>5.0821845864040727</v>
      </c>
      <c r="P430" s="22">
        <f>INDEX(Data_Prices!P:P,MATCH($G430,Data_Prices!$A:$A,0))</f>
        <v>5.0821845864040727</v>
      </c>
      <c r="Q430" s="22">
        <f>INDEX(Data_Prices!Q:Q,MATCH($G430,Data_Prices!$A:$A,0))</f>
        <v>5.0821845864040727</v>
      </c>
      <c r="R430" s="22">
        <f>INDEX(Data_Prices!R:R,MATCH($G430,Data_Prices!$A:$A,0))</f>
        <v>5.0821845864040727</v>
      </c>
      <c r="S430" s="22">
        <f>INDEX(Data_Prices!S:S,MATCH($G430,Data_Prices!$A:$A,0))</f>
        <v>5.0821845864040736</v>
      </c>
      <c r="T430" s="22">
        <f>INDEX(Data_Prices!T:T,MATCH($G430,Data_Prices!$A:$A,0))</f>
        <v>5.0821845864040736</v>
      </c>
      <c r="U430" s="22">
        <f>INDEX(Data_Prices!U:U,MATCH($G430,Data_Prices!$A:$A,0))</f>
        <v>5.0821845864040727</v>
      </c>
      <c r="V430" s="22">
        <f>INDEX(Data_Prices!V:V,MATCH($G430,Data_Prices!$A:$A,0))</f>
        <v>5.0821845864040727</v>
      </c>
      <c r="W430" s="22">
        <f>INDEX(Data_Prices!W:W,MATCH($G430,Data_Prices!$A:$A,0))</f>
        <v>5.0821845864040727</v>
      </c>
      <c r="X430" s="22">
        <f>INDEX(Data_Prices!X:X,MATCH($G430,Data_Prices!$A:$A,0))</f>
        <v>5.0821845864040727</v>
      </c>
      <c r="Y430" s="22">
        <f>INDEX(Data_Prices!Y:Y,MATCH($G430,Data_Prices!$A:$A,0))</f>
        <v>5.0821845864040718</v>
      </c>
      <c r="Z430" s="22">
        <f>INDEX(Data_Prices!Z:Z,MATCH($G430,Data_Prices!$A:$A,0))</f>
        <v>5.0821845864040736</v>
      </c>
      <c r="AA430" s="22">
        <f>INDEX(Data_Prices!AA:AA,MATCH($G430,Data_Prices!$A:$A,0))</f>
        <v>5.0821845864040718</v>
      </c>
      <c r="AB430" s="22">
        <f>INDEX(Data_Prices!AB:AB,MATCH($G430,Data_Prices!$A:$A,0))</f>
        <v>5.0821845864040736</v>
      </c>
      <c r="AC430" s="22">
        <f>INDEX(Data_Prices!AC:AC,MATCH($G430,Data_Prices!$A:$A,0))</f>
        <v>5.0821845864040718</v>
      </c>
      <c r="AD430" s="22">
        <f>INDEX(Data_Prices!AD:AD,MATCH($G430,Data_Prices!$A:$A,0))</f>
        <v>5.0821845864040736</v>
      </c>
      <c r="AE430" s="22">
        <f>INDEX(Data_Prices!AE:AE,MATCH($G430,Data_Prices!$A:$A,0))</f>
        <v>5.0821845864040718</v>
      </c>
    </row>
    <row r="431" spans="1:35" x14ac:dyDescent="0.25">
      <c r="B431" s="17" t="s">
        <v>59</v>
      </c>
      <c r="C431" s="17" t="str">
        <f t="shared" si="42"/>
        <v>mch</v>
      </c>
      <c r="D431" s="18" t="s">
        <v>60</v>
      </c>
      <c r="E431" s="19" t="s">
        <v>61</v>
      </c>
      <c r="F431" s="17" t="s">
        <v>56</v>
      </c>
      <c r="G431" s="20" t="str">
        <f>Settings!$B$3&amp;".mit.pbc."&amp;Settings!$B$4&amp;"."&amp;$B431&amp;".a."&amp;$J$427</f>
        <v>egy.mit.pbc.ind.gso.a.2</v>
      </c>
      <c r="H431" s="21" t="str">
        <f>OUTCODE(Settings!$B$3,"ptp",$C$427,$B431,$J$427)</f>
        <v>egy.mit.ptp.mch.gso.e.2</v>
      </c>
      <c r="K431" s="22">
        <f>INDEX(Data_Prices!K:K,MATCH($G431,Data_Prices!$A:$A,0))</f>
        <v>0.67114653332181606</v>
      </c>
      <c r="L431" s="22">
        <f>INDEX(Data_Prices!L:L,MATCH($G431,Data_Prices!$A:$A,0))</f>
        <v>0.61197797679140631</v>
      </c>
      <c r="M431" s="22">
        <f>INDEX(Data_Prices!M:M,MATCH($G431,Data_Prices!$A:$A,0))</f>
        <v>0.61180974964187596</v>
      </c>
      <c r="N431" s="22">
        <f>INDEX(Data_Prices!N:N,MATCH($G431,Data_Prices!$A:$A,0))</f>
        <v>0.60358310017790551</v>
      </c>
      <c r="O431" s="22">
        <f>INDEX(Data_Prices!O:O,MATCH($G431,Data_Prices!$A:$A,0))</f>
        <v>0.60358310017790551</v>
      </c>
      <c r="P431" s="22">
        <f>INDEX(Data_Prices!P:P,MATCH($G431,Data_Prices!$A:$A,0))</f>
        <v>0.60358310017790551</v>
      </c>
      <c r="Q431" s="22">
        <f>INDEX(Data_Prices!Q:Q,MATCH($G431,Data_Prices!$A:$A,0))</f>
        <v>0.60358310017790551</v>
      </c>
      <c r="R431" s="22">
        <f>INDEX(Data_Prices!R:R,MATCH($G431,Data_Prices!$A:$A,0))</f>
        <v>0.60358310017790551</v>
      </c>
      <c r="S431" s="22">
        <f>INDEX(Data_Prices!S:S,MATCH($G431,Data_Prices!$A:$A,0))</f>
        <v>0.60358310017790551</v>
      </c>
      <c r="T431" s="22">
        <f>INDEX(Data_Prices!T:T,MATCH($G431,Data_Prices!$A:$A,0))</f>
        <v>0.60358310017790551</v>
      </c>
      <c r="U431" s="22">
        <f>INDEX(Data_Prices!U:U,MATCH($G431,Data_Prices!$A:$A,0))</f>
        <v>0.60358310017790551</v>
      </c>
      <c r="V431" s="22">
        <f>INDEX(Data_Prices!V:V,MATCH($G431,Data_Prices!$A:$A,0))</f>
        <v>0.60358310017790551</v>
      </c>
      <c r="W431" s="22">
        <f>INDEX(Data_Prices!W:W,MATCH($G431,Data_Prices!$A:$A,0))</f>
        <v>0.60358310017790551</v>
      </c>
      <c r="X431" s="22">
        <f>INDEX(Data_Prices!X:X,MATCH($G431,Data_Prices!$A:$A,0))</f>
        <v>0.60358310017790551</v>
      </c>
      <c r="Y431" s="22">
        <f>INDEX(Data_Prices!Y:Y,MATCH($G431,Data_Prices!$A:$A,0))</f>
        <v>0.60358310017790551</v>
      </c>
      <c r="Z431" s="22">
        <f>INDEX(Data_Prices!Z:Z,MATCH($G431,Data_Prices!$A:$A,0))</f>
        <v>0.60358310017790551</v>
      </c>
      <c r="AA431" s="22">
        <f>INDEX(Data_Prices!AA:AA,MATCH($G431,Data_Prices!$A:$A,0))</f>
        <v>0.60358310017790551</v>
      </c>
      <c r="AB431" s="22">
        <f>INDEX(Data_Prices!AB:AB,MATCH($G431,Data_Prices!$A:$A,0))</f>
        <v>0.60358310017790551</v>
      </c>
      <c r="AC431" s="22">
        <f>INDEX(Data_Prices!AC:AC,MATCH($G431,Data_Prices!$A:$A,0))</f>
        <v>0.60358310017790551</v>
      </c>
      <c r="AD431" s="22">
        <f>INDEX(Data_Prices!AD:AD,MATCH($G431,Data_Prices!$A:$A,0))</f>
        <v>0.60358310017790551</v>
      </c>
      <c r="AE431" s="22">
        <f>INDEX(Data_Prices!AE:AE,MATCH($G431,Data_Prices!$A:$A,0))</f>
        <v>0.60358310017790562</v>
      </c>
    </row>
    <row r="432" spans="1:35" x14ac:dyDescent="0.25">
      <c r="B432" s="17" t="s">
        <v>62</v>
      </c>
      <c r="C432" s="17" t="str">
        <f t="shared" si="42"/>
        <v>mch</v>
      </c>
      <c r="D432" s="18" t="s">
        <v>63</v>
      </c>
      <c r="E432" s="19" t="s">
        <v>61</v>
      </c>
      <c r="F432" s="17" t="s">
        <v>56</v>
      </c>
      <c r="G432" s="20" t="str">
        <f>Settings!$B$3&amp;".mit.pbc."&amp;Settings!$B$4&amp;"."&amp;$B432&amp;".a."&amp;$J$427</f>
        <v>egy.mit.pbc.ind.die.a.2</v>
      </c>
      <c r="H432" s="21" t="str">
        <f>OUTCODE(Settings!$B$3,"ptp",$C$427,$B432,$J$427)</f>
        <v>egy.mit.ptp.mch.die.e.2</v>
      </c>
      <c r="K432" s="22">
        <f>INDEX(Data_Prices!K:K,MATCH($G432,Data_Prices!$A:$A,0))</f>
        <v>0.55971121315568761</v>
      </c>
      <c r="L432" s="22">
        <f>INDEX(Data_Prices!L:L,MATCH($G432,Data_Prices!$A:$A,0))</f>
        <v>0.49458873084106802</v>
      </c>
      <c r="M432" s="22">
        <f>INDEX(Data_Prices!M:M,MATCH($G432,Data_Prices!$A:$A,0))</f>
        <v>0.50778654720250049</v>
      </c>
      <c r="N432" s="22">
        <f>INDEX(Data_Prices!N:N,MATCH($G432,Data_Prices!$A:$A,0))</f>
        <v>0.47043642679561742</v>
      </c>
      <c r="O432" s="22">
        <f>INDEX(Data_Prices!O:O,MATCH($G432,Data_Prices!$A:$A,0))</f>
        <v>0.47043642679561742</v>
      </c>
      <c r="P432" s="22">
        <f>INDEX(Data_Prices!P:P,MATCH($G432,Data_Prices!$A:$A,0))</f>
        <v>0.47043642679561742</v>
      </c>
      <c r="Q432" s="22">
        <f>INDEX(Data_Prices!Q:Q,MATCH($G432,Data_Prices!$A:$A,0))</f>
        <v>0.47043642679561742</v>
      </c>
      <c r="R432" s="22">
        <f>INDEX(Data_Prices!R:R,MATCH($G432,Data_Prices!$A:$A,0))</f>
        <v>0.47043642679561742</v>
      </c>
      <c r="S432" s="22">
        <f>INDEX(Data_Prices!S:S,MATCH($G432,Data_Prices!$A:$A,0))</f>
        <v>0.47043642679561742</v>
      </c>
      <c r="T432" s="22">
        <f>INDEX(Data_Prices!T:T,MATCH($G432,Data_Prices!$A:$A,0))</f>
        <v>0.47043642679561742</v>
      </c>
      <c r="U432" s="22">
        <f>INDEX(Data_Prices!U:U,MATCH($G432,Data_Prices!$A:$A,0))</f>
        <v>0.47043642679561742</v>
      </c>
      <c r="V432" s="22">
        <f>INDEX(Data_Prices!V:V,MATCH($G432,Data_Prices!$A:$A,0))</f>
        <v>0.47043642679561742</v>
      </c>
      <c r="W432" s="22">
        <f>INDEX(Data_Prices!W:W,MATCH($G432,Data_Prices!$A:$A,0))</f>
        <v>0.47043642679561742</v>
      </c>
      <c r="X432" s="22">
        <f>INDEX(Data_Prices!X:X,MATCH($G432,Data_Prices!$A:$A,0))</f>
        <v>0.47043642679561742</v>
      </c>
      <c r="Y432" s="22">
        <f>INDEX(Data_Prices!Y:Y,MATCH($G432,Data_Prices!$A:$A,0))</f>
        <v>0.47043642679561731</v>
      </c>
      <c r="Z432" s="22">
        <f>INDEX(Data_Prices!Z:Z,MATCH($G432,Data_Prices!$A:$A,0))</f>
        <v>0.47043642679561731</v>
      </c>
      <c r="AA432" s="22">
        <f>INDEX(Data_Prices!AA:AA,MATCH($G432,Data_Prices!$A:$A,0))</f>
        <v>0.47043642679561731</v>
      </c>
      <c r="AB432" s="22">
        <f>INDEX(Data_Prices!AB:AB,MATCH($G432,Data_Prices!$A:$A,0))</f>
        <v>0.47043642679561731</v>
      </c>
      <c r="AC432" s="22">
        <f>INDEX(Data_Prices!AC:AC,MATCH($G432,Data_Prices!$A:$A,0))</f>
        <v>0.47043642679561731</v>
      </c>
      <c r="AD432" s="22">
        <f>INDEX(Data_Prices!AD:AD,MATCH($G432,Data_Prices!$A:$A,0))</f>
        <v>0.47043642679561731</v>
      </c>
      <c r="AE432" s="22">
        <f>INDEX(Data_Prices!AE:AE,MATCH($G432,Data_Prices!$A:$A,0))</f>
        <v>0.47043642679561731</v>
      </c>
    </row>
    <row r="433" spans="2:31" x14ac:dyDescent="0.25">
      <c r="B433" s="17" t="s">
        <v>64</v>
      </c>
      <c r="C433" s="17" t="str">
        <f t="shared" si="42"/>
        <v>mch</v>
      </c>
      <c r="D433" s="18" t="s">
        <v>65</v>
      </c>
      <c r="E433" s="19" t="s">
        <v>61</v>
      </c>
      <c r="F433" s="17" t="s">
        <v>56</v>
      </c>
      <c r="G433" s="20" t="str">
        <f>Settings!$B$3&amp;".mit.pbc."&amp;Settings!$B$4&amp;"."&amp;$B433&amp;".a."&amp;$J$427</f>
        <v>egy.mit.pbc.ind.lpg.a.2</v>
      </c>
      <c r="H433" s="21" t="str">
        <f>OUTCODE(Settings!$B$3,"ptp",$C$427,$B433,$J$427)</f>
        <v>egy.mit.ptp.mch.lpg.e.2</v>
      </c>
      <c r="K433" s="22">
        <f>INDEX(Data_Prices!K:K,MATCH($G433,Data_Prices!$A:$A,0))</f>
        <v>0.20036669112673841</v>
      </c>
      <c r="L433" s="22">
        <f>INDEX(Data_Prices!L:L,MATCH($G433,Data_Prices!$A:$A,0))</f>
        <v>0.1573447362522738</v>
      </c>
      <c r="M433" s="22">
        <f>INDEX(Data_Prices!M:M,MATCH($G433,Data_Prices!$A:$A,0))</f>
        <v>0.1644840377592767</v>
      </c>
      <c r="N433" s="22">
        <f>INDEX(Data_Prices!N:N,MATCH($G433,Data_Prices!$A:$A,0))</f>
        <v>0.1507090778070489</v>
      </c>
      <c r="O433" s="22">
        <f>INDEX(Data_Prices!O:O,MATCH($G433,Data_Prices!$A:$A,0))</f>
        <v>0.1507090778070489</v>
      </c>
      <c r="P433" s="22">
        <f>INDEX(Data_Prices!P:P,MATCH($G433,Data_Prices!$A:$A,0))</f>
        <v>0.1507090778070489</v>
      </c>
      <c r="Q433" s="22">
        <f>INDEX(Data_Prices!Q:Q,MATCH($G433,Data_Prices!$A:$A,0))</f>
        <v>0.1507090778070489</v>
      </c>
      <c r="R433" s="22">
        <f>INDEX(Data_Prices!R:R,MATCH($G433,Data_Prices!$A:$A,0))</f>
        <v>0.1507090778070489</v>
      </c>
      <c r="S433" s="22">
        <f>INDEX(Data_Prices!S:S,MATCH($G433,Data_Prices!$A:$A,0))</f>
        <v>0.1507090778070489</v>
      </c>
      <c r="T433" s="22">
        <f>INDEX(Data_Prices!T:T,MATCH($G433,Data_Prices!$A:$A,0))</f>
        <v>0.1507090778070489</v>
      </c>
      <c r="U433" s="22">
        <f>INDEX(Data_Prices!U:U,MATCH($G433,Data_Prices!$A:$A,0))</f>
        <v>0.1507090778070489</v>
      </c>
      <c r="V433" s="22">
        <f>INDEX(Data_Prices!V:V,MATCH($G433,Data_Prices!$A:$A,0))</f>
        <v>0.1507090778070489</v>
      </c>
      <c r="W433" s="22">
        <f>INDEX(Data_Prices!W:W,MATCH($G433,Data_Prices!$A:$A,0))</f>
        <v>0.1507090778070489</v>
      </c>
      <c r="X433" s="22">
        <f>INDEX(Data_Prices!X:X,MATCH($G433,Data_Prices!$A:$A,0))</f>
        <v>0.1507090778070489</v>
      </c>
      <c r="Y433" s="22">
        <f>INDEX(Data_Prices!Y:Y,MATCH($G433,Data_Prices!$A:$A,0))</f>
        <v>0.1507090778070489</v>
      </c>
      <c r="Z433" s="22">
        <f>INDEX(Data_Prices!Z:Z,MATCH($G433,Data_Prices!$A:$A,0))</f>
        <v>0.1507090778070489</v>
      </c>
      <c r="AA433" s="22">
        <f>INDEX(Data_Prices!AA:AA,MATCH($G433,Data_Prices!$A:$A,0))</f>
        <v>0.1507090778070489</v>
      </c>
      <c r="AB433" s="22">
        <f>INDEX(Data_Prices!AB:AB,MATCH($G433,Data_Prices!$A:$A,0))</f>
        <v>0.1507090778070489</v>
      </c>
      <c r="AC433" s="22">
        <f>INDEX(Data_Prices!AC:AC,MATCH($G433,Data_Prices!$A:$A,0))</f>
        <v>0.1507090778070489</v>
      </c>
      <c r="AD433" s="22">
        <f>INDEX(Data_Prices!AD:AD,MATCH($G433,Data_Prices!$A:$A,0))</f>
        <v>0.1507090778070489</v>
      </c>
      <c r="AE433" s="22">
        <f>INDEX(Data_Prices!AE:AE,MATCH($G433,Data_Prices!$A:$A,0))</f>
        <v>0.1507090778070489</v>
      </c>
    </row>
    <row r="434" spans="2:31" x14ac:dyDescent="0.25">
      <c r="B434" s="17" t="s">
        <v>66</v>
      </c>
      <c r="C434" s="17" t="str">
        <f t="shared" si="42"/>
        <v>mch</v>
      </c>
      <c r="D434" s="18" t="s">
        <v>67</v>
      </c>
      <c r="E434" s="19" t="s">
        <v>61</v>
      </c>
      <c r="F434" s="17" t="s">
        <v>56</v>
      </c>
      <c r="G434" s="20" t="str">
        <f>Settings!$B$3&amp;".mit.pbc."&amp;Settings!$B$4&amp;"."&amp;$B434&amp;".a."&amp;$J$427</f>
        <v>egy.mit.pbc.ind.ker.a.2</v>
      </c>
      <c r="H434" s="21" t="str">
        <f>OUTCODE(Settings!$B$3,"ptp",$C$427,$B434,$J$427)</f>
        <v>egy.mit.ptp.mch.ker.e.2</v>
      </c>
      <c r="K434" s="22">
        <f>INDEX(Data_Prices!K:K,MATCH($G434,Data_Prices!$A:$A,0))</f>
        <v>0.48429424097343482</v>
      </c>
      <c r="L434" s="22">
        <f>INDEX(Data_Prices!L:L,MATCH($G434,Data_Prices!$A:$A,0))</f>
        <v>0.45642817050012813</v>
      </c>
      <c r="M434" s="22">
        <f>INDEX(Data_Prices!M:M,MATCH($G434,Data_Prices!$A:$A,0))</f>
        <v>0.43168920195599519</v>
      </c>
      <c r="N434" s="22">
        <f>INDEX(Data_Prices!N:N,MATCH($G434,Data_Prices!$A:$A,0))</f>
        <v>0.42507558395596989</v>
      </c>
      <c r="O434" s="22">
        <f>INDEX(Data_Prices!O:O,MATCH($G434,Data_Prices!$A:$A,0))</f>
        <v>0.42507558395596989</v>
      </c>
      <c r="P434" s="22">
        <f>INDEX(Data_Prices!P:P,MATCH($G434,Data_Prices!$A:$A,0))</f>
        <v>0.42507558395596989</v>
      </c>
      <c r="Q434" s="22">
        <f>INDEX(Data_Prices!Q:Q,MATCH($G434,Data_Prices!$A:$A,0))</f>
        <v>0.42507558395596989</v>
      </c>
      <c r="R434" s="22">
        <f>INDEX(Data_Prices!R:R,MATCH($G434,Data_Prices!$A:$A,0))</f>
        <v>0.42507558395596989</v>
      </c>
      <c r="S434" s="22">
        <f>INDEX(Data_Prices!S:S,MATCH($G434,Data_Prices!$A:$A,0))</f>
        <v>0.42507558395597</v>
      </c>
      <c r="T434" s="22">
        <f>INDEX(Data_Prices!T:T,MATCH($G434,Data_Prices!$A:$A,0))</f>
        <v>0.42507558395596989</v>
      </c>
      <c r="U434" s="22">
        <f>INDEX(Data_Prices!U:U,MATCH($G434,Data_Prices!$A:$A,0))</f>
        <v>0.42507558395597</v>
      </c>
      <c r="V434" s="22">
        <f>INDEX(Data_Prices!V:V,MATCH($G434,Data_Prices!$A:$A,0))</f>
        <v>0.42507558395596989</v>
      </c>
      <c r="W434" s="22">
        <f>INDEX(Data_Prices!W:W,MATCH($G434,Data_Prices!$A:$A,0))</f>
        <v>0.42507558395596989</v>
      </c>
      <c r="X434" s="22">
        <f>INDEX(Data_Prices!X:X,MATCH($G434,Data_Prices!$A:$A,0))</f>
        <v>0.42507558395596989</v>
      </c>
      <c r="Y434" s="22">
        <f>INDEX(Data_Prices!Y:Y,MATCH($G434,Data_Prices!$A:$A,0))</f>
        <v>0.42507558395597</v>
      </c>
      <c r="Z434" s="22">
        <f>INDEX(Data_Prices!Z:Z,MATCH($G434,Data_Prices!$A:$A,0))</f>
        <v>0.42507558395596989</v>
      </c>
      <c r="AA434" s="22">
        <f>INDEX(Data_Prices!AA:AA,MATCH($G434,Data_Prices!$A:$A,0))</f>
        <v>0.42507558395596989</v>
      </c>
      <c r="AB434" s="22">
        <f>INDEX(Data_Prices!AB:AB,MATCH($G434,Data_Prices!$A:$A,0))</f>
        <v>0.42507558395597</v>
      </c>
      <c r="AC434" s="22">
        <f>INDEX(Data_Prices!AC:AC,MATCH($G434,Data_Prices!$A:$A,0))</f>
        <v>0.42507558395596989</v>
      </c>
      <c r="AD434" s="22">
        <f>INDEX(Data_Prices!AD:AD,MATCH($G434,Data_Prices!$A:$A,0))</f>
        <v>0.42507558395596989</v>
      </c>
      <c r="AE434" s="22">
        <f>INDEX(Data_Prices!AE:AE,MATCH($G434,Data_Prices!$A:$A,0))</f>
        <v>0.42507558395596989</v>
      </c>
    </row>
    <row r="435" spans="2:31" x14ac:dyDescent="0.25">
      <c r="B435" s="17" t="s">
        <v>68</v>
      </c>
      <c r="C435" s="17" t="str">
        <f t="shared" si="42"/>
        <v>mch</v>
      </c>
      <c r="D435" s="18" t="s">
        <v>69</v>
      </c>
      <c r="E435" s="19" t="s">
        <v>70</v>
      </c>
      <c r="F435" s="17" t="s">
        <v>56</v>
      </c>
      <c r="G435" s="20" t="str">
        <f>Settings!$B$3&amp;".mit.pbc."&amp;Settings!$B$4&amp;"."&amp;$B435&amp;".a."&amp;$J$427</f>
        <v>egy.mit.pbc.ind.oop.a.2</v>
      </c>
      <c r="H435" s="21" t="str">
        <f>OUTCODE(Settings!$B$3,"ptp",$C$427,$B435,$J$427)</f>
        <v>egy.mit.ptp.mch.oop.e.2</v>
      </c>
      <c r="K435" s="22">
        <f>INDEX(Data_Prices!K:K,MATCH($G435,Data_Prices!$A:$A,0))</f>
        <v>41.50033849886843</v>
      </c>
      <c r="L435" s="22">
        <f>INDEX(Data_Prices!L:L,MATCH($G435,Data_Prices!$A:$A,0))</f>
        <v>34.415370304313228</v>
      </c>
      <c r="M435" s="22">
        <f>INDEX(Data_Prices!M:M,MATCH($G435,Data_Prices!$A:$A,0))</f>
        <v>37.368960690432033</v>
      </c>
      <c r="N435" s="22">
        <f>INDEX(Data_Prices!N:N,MATCH($G435,Data_Prices!$A:$A,0))</f>
        <v>28.982761101477251</v>
      </c>
      <c r="O435" s="22">
        <f>INDEX(Data_Prices!O:O,MATCH($G435,Data_Prices!$A:$A,0))</f>
        <v>15</v>
      </c>
      <c r="P435" s="22">
        <f>INDEX(Data_Prices!P:P,MATCH($G435,Data_Prices!$A:$A,0))</f>
        <v>24.2586300842555</v>
      </c>
      <c r="Q435" s="22">
        <f>INDEX(Data_Prices!Q:Q,MATCH($G435,Data_Prices!$A:$A,0))</f>
        <v>13.09620819613245</v>
      </c>
      <c r="R435" s="22">
        <f>INDEX(Data_Prices!R:R,MATCH($G435,Data_Prices!$A:$A,0))</f>
        <v>10.02524511401058</v>
      </c>
      <c r="S435" s="22">
        <f>INDEX(Data_Prices!S:S,MATCH($G435,Data_Prices!$A:$A,0))</f>
        <v>8.4772306913736166</v>
      </c>
      <c r="T435" s="22">
        <f>INDEX(Data_Prices!T:T,MATCH($G435,Data_Prices!$A:$A,0))</f>
        <v>7.1234824452092234</v>
      </c>
      <c r="U435" s="22">
        <f>INDEX(Data_Prices!U:U,MATCH($G435,Data_Prices!$A:$A,0))</f>
        <v>5.6527597394100546</v>
      </c>
      <c r="V435" s="22">
        <f>INDEX(Data_Prices!V:V,MATCH($G435,Data_Prices!$A:$A,0))</f>
        <v>5.6527597394100582</v>
      </c>
      <c r="W435" s="22">
        <f>INDEX(Data_Prices!W:W,MATCH($G435,Data_Prices!$A:$A,0))</f>
        <v>5.6527597394100582</v>
      </c>
      <c r="X435" s="22">
        <f>INDEX(Data_Prices!X:X,MATCH($G435,Data_Prices!$A:$A,0))</f>
        <v>5.6527597394100582</v>
      </c>
      <c r="Y435" s="22">
        <f>INDEX(Data_Prices!Y:Y,MATCH($G435,Data_Prices!$A:$A,0))</f>
        <v>5.6527597394100582</v>
      </c>
      <c r="Z435" s="22">
        <f>INDEX(Data_Prices!Z:Z,MATCH($G435,Data_Prices!$A:$A,0))</f>
        <v>5.6527597394100653</v>
      </c>
      <c r="AA435" s="22">
        <f>INDEX(Data_Prices!AA:AA,MATCH($G435,Data_Prices!$A:$A,0))</f>
        <v>5.6527597394100582</v>
      </c>
      <c r="AB435" s="22">
        <f>INDEX(Data_Prices!AB:AB,MATCH($G435,Data_Prices!$A:$A,0))</f>
        <v>5.6527597394100582</v>
      </c>
      <c r="AC435" s="22">
        <f>INDEX(Data_Prices!AC:AC,MATCH($G435,Data_Prices!$A:$A,0))</f>
        <v>5.6527597394100439</v>
      </c>
      <c r="AD435" s="22">
        <f>INDEX(Data_Prices!AD:AD,MATCH($G435,Data_Prices!$A:$A,0))</f>
        <v>5.6527597394100582</v>
      </c>
      <c r="AE435" s="22">
        <f>INDEX(Data_Prices!AE:AE,MATCH($G435,Data_Prices!$A:$A,0))</f>
        <v>5.6527597394100439</v>
      </c>
    </row>
    <row r="436" spans="2:31" x14ac:dyDescent="0.25">
      <c r="B436" s="17" t="s">
        <v>71</v>
      </c>
      <c r="C436" s="17" t="str">
        <f t="shared" si="42"/>
        <v>mch</v>
      </c>
      <c r="D436" s="18" t="s">
        <v>72</v>
      </c>
      <c r="E436" s="19" t="s">
        <v>55</v>
      </c>
      <c r="F436" s="17" t="s">
        <v>56</v>
      </c>
      <c r="G436" s="20" t="str">
        <f>Settings!$B$3&amp;".mit.pbc."&amp;Settings!$B$4&amp;"."&amp;$B436&amp;".a."&amp;$J$427</f>
        <v>egy.mit.pbc.ind.bio.a.2</v>
      </c>
      <c r="H436" s="21" t="str">
        <f>OUTCODE(Settings!$B$3,"ptp",$C$427,$B436,$J$427)</f>
        <v>egy.mit.ptp.mch.bio.e.2</v>
      </c>
      <c r="K436" s="22">
        <f>INDEX(Data_Prices!K:K,MATCH($G436,Data_Prices!$A:$A,0))</f>
        <v>15.33455052931693</v>
      </c>
      <c r="L436" s="22">
        <f>INDEX(Data_Prices!L:L,MATCH($G436,Data_Prices!$A:$A,0))</f>
        <v>14.199528390634921</v>
      </c>
      <c r="M436" s="22">
        <f>INDEX(Data_Prices!M:M,MATCH($G436,Data_Prices!$A:$A,0))</f>
        <v>13.840441613315161</v>
      </c>
      <c r="N436" s="22">
        <f>INDEX(Data_Prices!N:N,MATCH($G436,Data_Prices!$A:$A,0))</f>
        <v>13.5677269404465</v>
      </c>
      <c r="O436" s="22">
        <f>INDEX(Data_Prices!O:O,MATCH($G436,Data_Prices!$A:$A,0))</f>
        <v>13.5677269404465</v>
      </c>
      <c r="P436" s="22">
        <f>INDEX(Data_Prices!P:P,MATCH($G436,Data_Prices!$A:$A,0))</f>
        <v>13.5677269404465</v>
      </c>
      <c r="Q436" s="22">
        <f>INDEX(Data_Prices!Q:Q,MATCH($G436,Data_Prices!$A:$A,0))</f>
        <v>13.5677269404465</v>
      </c>
      <c r="R436" s="22">
        <f>INDEX(Data_Prices!R:R,MATCH($G436,Data_Prices!$A:$A,0))</f>
        <v>13.5677269404465</v>
      </c>
      <c r="S436" s="22">
        <f>INDEX(Data_Prices!S:S,MATCH($G436,Data_Prices!$A:$A,0))</f>
        <v>13.5677269404465</v>
      </c>
      <c r="T436" s="22">
        <f>INDEX(Data_Prices!T:T,MATCH($G436,Data_Prices!$A:$A,0))</f>
        <v>13.5677269404465</v>
      </c>
      <c r="U436" s="22">
        <f>INDEX(Data_Prices!U:U,MATCH($G436,Data_Prices!$A:$A,0))</f>
        <v>13.5677269404465</v>
      </c>
      <c r="V436" s="22">
        <f>INDEX(Data_Prices!V:V,MATCH($G436,Data_Prices!$A:$A,0))</f>
        <v>13.5677269404465</v>
      </c>
      <c r="W436" s="22">
        <f>INDEX(Data_Prices!W:W,MATCH($G436,Data_Prices!$A:$A,0))</f>
        <v>13.5677269404465</v>
      </c>
      <c r="X436" s="22">
        <f>INDEX(Data_Prices!X:X,MATCH($G436,Data_Prices!$A:$A,0))</f>
        <v>13.5677269404465</v>
      </c>
      <c r="Y436" s="22">
        <f>INDEX(Data_Prices!Y:Y,MATCH($G436,Data_Prices!$A:$A,0))</f>
        <v>13.5677269404465</v>
      </c>
      <c r="Z436" s="22">
        <f>INDEX(Data_Prices!Z:Z,MATCH($G436,Data_Prices!$A:$A,0))</f>
        <v>13.5677269404465</v>
      </c>
      <c r="AA436" s="22">
        <f>INDEX(Data_Prices!AA:AA,MATCH($G436,Data_Prices!$A:$A,0))</f>
        <v>13.5677269404465</v>
      </c>
      <c r="AB436" s="22">
        <f>INDEX(Data_Prices!AB:AB,MATCH($G436,Data_Prices!$A:$A,0))</f>
        <v>13.5677269404465</v>
      </c>
      <c r="AC436" s="22">
        <f>INDEX(Data_Prices!AC:AC,MATCH($G436,Data_Prices!$A:$A,0))</f>
        <v>13.5677269404465</v>
      </c>
      <c r="AD436" s="22">
        <f>INDEX(Data_Prices!AD:AD,MATCH($G436,Data_Prices!$A:$A,0))</f>
        <v>13.5677269404465</v>
      </c>
      <c r="AE436" s="22">
        <f>INDEX(Data_Prices!AE:AE,MATCH($G436,Data_Prices!$A:$A,0))</f>
        <v>13.5677269404465</v>
      </c>
    </row>
    <row r="437" spans="2:31" x14ac:dyDescent="0.25">
      <c r="B437" s="17" t="s">
        <v>73</v>
      </c>
      <c r="C437" s="17" t="str">
        <f t="shared" si="42"/>
        <v>mch</v>
      </c>
      <c r="D437" s="18" t="s">
        <v>74</v>
      </c>
      <c r="E437" s="19" t="s">
        <v>75</v>
      </c>
      <c r="F437" s="17" t="s">
        <v>56</v>
      </c>
      <c r="G437" s="20" t="str">
        <f>Settings!$B$3&amp;".mit.pbc."&amp;Settings!$B$4&amp;"."&amp;$B437&amp;".a."&amp;$J$427</f>
        <v>egy.mit.pbc.ind.ren.a.2</v>
      </c>
      <c r="H437" s="21" t="str">
        <f>OUTCODE(Settings!$B$3,"ptp",$C$427,$B437,$J$427)</f>
        <v>egy.mit.ptp.mch.ren.e.2</v>
      </c>
      <c r="K437" s="22">
        <f>INDEX(Data_Prices!K:K,MATCH($G437,Data_Prices!$A:$A,0))</f>
        <v>0</v>
      </c>
      <c r="L437" s="22">
        <f>INDEX(Data_Prices!L:L,MATCH($G437,Data_Prices!$A:$A,0))</f>
        <v>0.14404498679319799</v>
      </c>
      <c r="M437" s="22">
        <f>INDEX(Data_Prices!M:M,MATCH($G437,Data_Prices!$A:$A,0))</f>
        <v>0.14138624175135939</v>
      </c>
      <c r="N437" s="22">
        <f>INDEX(Data_Prices!N:N,MATCH($G437,Data_Prices!$A:$A,0))</f>
        <v>0.1353975654437313</v>
      </c>
      <c r="O437" s="22">
        <f>INDEX(Data_Prices!O:O,MATCH($G437,Data_Prices!$A:$A,0))</f>
        <v>0.13152288542065141</v>
      </c>
      <c r="P437" s="22">
        <f>INDEX(Data_Prices!P:P,MATCH($G437,Data_Prices!$A:$A,0))</f>
        <v>0.12882610848523129</v>
      </c>
      <c r="Q437" s="22">
        <f>INDEX(Data_Prices!Q:Q,MATCH($G437,Data_Prices!$A:$A,0))</f>
        <v>0.1259420097647401</v>
      </c>
      <c r="R437" s="22">
        <f>INDEX(Data_Prices!R:R,MATCH($G437,Data_Prices!$A:$A,0))</f>
        <v>0.1231132657018609</v>
      </c>
      <c r="S437" s="22">
        <f>INDEX(Data_Prices!S:S,MATCH($G437,Data_Prices!$A:$A,0))</f>
        <v>0.1193917380890684</v>
      </c>
      <c r="T437" s="22">
        <f>INDEX(Data_Prices!T:T,MATCH($G437,Data_Prices!$A:$A,0))</f>
        <v>0.1155441904679203</v>
      </c>
      <c r="U437" s="22">
        <f>INDEX(Data_Prices!U:U,MATCH($G437,Data_Prices!$A:$A,0))</f>
        <v>0.11492423065415899</v>
      </c>
      <c r="V437" s="22">
        <f>INDEX(Data_Prices!V:V,MATCH($G437,Data_Prices!$A:$A,0))</f>
        <v>0.11434691211673639</v>
      </c>
      <c r="W437" s="22">
        <f>INDEX(Data_Prices!W:W,MATCH($G437,Data_Prices!$A:$A,0))</f>
        <v>0.1137387111726635</v>
      </c>
      <c r="X437" s="22">
        <f>INDEX(Data_Prices!X:X,MATCH($G437,Data_Prices!$A:$A,0))</f>
        <v>0.1129999004875214</v>
      </c>
      <c r="Y437" s="22">
        <f>INDEX(Data_Prices!Y:Y,MATCH($G437,Data_Prices!$A:$A,0))</f>
        <v>0.11217768583553429</v>
      </c>
      <c r="Z437" s="22">
        <f>INDEX(Data_Prices!Z:Z,MATCH($G437,Data_Prices!$A:$A,0))</f>
        <v>0.1114179032504042</v>
      </c>
      <c r="AA437" s="22">
        <f>INDEX(Data_Prices!AA:AA,MATCH($G437,Data_Prices!$A:$A,0))</f>
        <v>0.1105258199854538</v>
      </c>
      <c r="AB437" s="22">
        <f>INDEX(Data_Prices!AB:AB,MATCH($G437,Data_Prices!$A:$A,0))</f>
        <v>0.1096995652348958</v>
      </c>
      <c r="AC437" s="22">
        <f>INDEX(Data_Prices!AC:AC,MATCH($G437,Data_Prices!$A:$A,0))</f>
        <v>0.1077267889639492</v>
      </c>
      <c r="AD437" s="22">
        <f>INDEX(Data_Prices!AD:AD,MATCH($G437,Data_Prices!$A:$A,0))</f>
        <v>0.1058209244509353</v>
      </c>
      <c r="AE437" s="22">
        <f>INDEX(Data_Prices!AE:AE,MATCH($G437,Data_Prices!$A:$A,0))</f>
        <v>0.1038555957057212</v>
      </c>
    </row>
    <row r="438" spans="2:31" x14ac:dyDescent="0.25">
      <c r="B438" s="16" t="s">
        <v>76</v>
      </c>
    </row>
    <row r="439" spans="2:31" x14ac:dyDescent="0.25">
      <c r="B439" s="17" t="s">
        <v>53</v>
      </c>
      <c r="C439" s="17" t="str">
        <f t="shared" ref="C439:C447" si="43">$C$427</f>
        <v>mch</v>
      </c>
      <c r="D439" s="18" t="s">
        <v>54</v>
      </c>
      <c r="E439" s="19" t="s">
        <v>55</v>
      </c>
      <c r="F439" s="17" t="s">
        <v>77</v>
      </c>
      <c r="G439" s="20" t="str">
        <f>Settings!$B$3&amp;".mit.nce."&amp;Settings!$B$4&amp;"."&amp;$B439&amp;".a."&amp;$J$427</f>
        <v>egy.mit.nce.ind.coa.a.2</v>
      </c>
      <c r="H439" s="21" t="str">
        <f>OUTCODE(Settings!$B$3,"atp",$C$427,$B439,$J$427)</f>
        <v>egy.mit.atp.mch.coa.e.2</v>
      </c>
      <c r="K439" s="22">
        <f>POSTTAX(K429,INDEX(Data_Prices!K:K,MATCH($G439,Data_Prices!$A:$A,0)),K$459)</f>
        <v>11.18290158924394</v>
      </c>
      <c r="L439" s="22">
        <f>POSTTAX(L429,INDEX(Data_Prices!L:L,MATCH($G439,Data_Prices!$A:$A,0)),L$459)</f>
        <v>10.52336134543121</v>
      </c>
      <c r="M439" s="22">
        <f>POSTTAX(M429,INDEX(Data_Prices!M:M,MATCH($G439,Data_Prices!$A:$A,0)),M$459)</f>
        <v>10.299560827444211</v>
      </c>
      <c r="N439" s="22">
        <f>POSTTAX(N429,INDEX(Data_Prices!N:N,MATCH($G439,Data_Prices!$A:$A,0)),N$459)</f>
        <v>9.5775283595382632</v>
      </c>
      <c r="O439" s="22">
        <f>POSTTAX(O429,INDEX(Data_Prices!O:O,MATCH($G439,Data_Prices!$A:$A,0)),O$459)</f>
        <v>8.4854782869580454</v>
      </c>
      <c r="P439" s="22">
        <f>POSTTAX(P429,INDEX(Data_Prices!P:P,MATCH($G439,Data_Prices!$A:$A,0)),P$459)</f>
        <v>9.0871922352498604</v>
      </c>
      <c r="Q439" s="22">
        <f>POSTTAX(Q429,INDEX(Data_Prices!Q:Q,MATCH($G439,Data_Prices!$A:$A,0)),Q$459)</f>
        <v>10.472923728932681</v>
      </c>
      <c r="R439" s="22">
        <f>POSTTAX(R429,INDEX(Data_Prices!R:R,MATCH($G439,Data_Prices!$A:$A,0)),R$459)</f>
        <v>11.658564955509688</v>
      </c>
      <c r="S439" s="22">
        <f>POSTTAX(S429,INDEX(Data_Prices!S:S,MATCH($G439,Data_Prices!$A:$A,0)),S$459)</f>
        <v>12.839547877397377</v>
      </c>
      <c r="T439" s="22">
        <f>POSTTAX(T429,INDEX(Data_Prices!T:T,MATCH($G439,Data_Prices!$A:$A,0)),T$459)</f>
        <v>14.01568166602283</v>
      </c>
      <c r="U439" s="22">
        <f>POSTTAX(U429,INDEX(Data_Prices!U:U,MATCH($G439,Data_Prices!$A:$A,0)),U$459)</f>
        <v>15.194397765557106</v>
      </c>
      <c r="V439" s="22">
        <f>POSTTAX(V429,INDEX(Data_Prices!V:V,MATCH($G439,Data_Prices!$A:$A,0)),V$459)</f>
        <v>16.444397765557106</v>
      </c>
      <c r="W439" s="22">
        <f>POSTTAX(W429,INDEX(Data_Prices!W:W,MATCH($G439,Data_Prices!$A:$A,0)),W$459)</f>
        <v>17.694397765557106</v>
      </c>
      <c r="X439" s="22">
        <f>POSTTAX(X429,INDEX(Data_Prices!X:X,MATCH($G439,Data_Prices!$A:$A,0)),X$459)</f>
        <v>18.944397765557106</v>
      </c>
      <c r="Y439" s="22">
        <f>POSTTAX(Y429,INDEX(Data_Prices!Y:Y,MATCH($G439,Data_Prices!$A:$A,0)),Y$459)</f>
        <v>20.194397765557106</v>
      </c>
      <c r="Z439" s="22">
        <f>POSTTAX(Z429,INDEX(Data_Prices!Z:Z,MATCH($G439,Data_Prices!$A:$A,0)),Z$459)</f>
        <v>21.444397765557106</v>
      </c>
      <c r="AA439" s="22">
        <f>POSTTAX(AA429,INDEX(Data_Prices!AA:AA,MATCH($G439,Data_Prices!$A:$A,0)),AA$459)</f>
        <v>22.694397765557106</v>
      </c>
      <c r="AB439" s="22">
        <f>POSTTAX(AB429,INDEX(Data_Prices!AB:AB,MATCH($G439,Data_Prices!$A:$A,0)),AB$459)</f>
        <v>23.944397765557106</v>
      </c>
      <c r="AC439" s="22">
        <f>POSTTAX(AC429,INDEX(Data_Prices!AC:AC,MATCH($G439,Data_Prices!$A:$A,0)),AC$459)</f>
        <v>25.194397765557106</v>
      </c>
      <c r="AD439" s="22">
        <f>POSTTAX(AD429,INDEX(Data_Prices!AD:AD,MATCH($G439,Data_Prices!$A:$A,0)),AD$459)</f>
        <v>26.444397765557106</v>
      </c>
      <c r="AE439" s="22">
        <f>POSTTAX(AE429,INDEX(Data_Prices!AE:AE,MATCH($G439,Data_Prices!$A:$A,0)),AE$459)</f>
        <v>27.694397765557106</v>
      </c>
    </row>
    <row r="440" spans="2:31" x14ac:dyDescent="0.25">
      <c r="B440" s="17" t="s">
        <v>57</v>
      </c>
      <c r="C440" s="17" t="str">
        <f t="shared" si="43"/>
        <v>mch</v>
      </c>
      <c r="D440" s="18" t="s">
        <v>58</v>
      </c>
      <c r="E440" s="19" t="s">
        <v>55</v>
      </c>
      <c r="F440" s="17" t="s">
        <v>77</v>
      </c>
      <c r="G440" s="20" t="str">
        <f>Settings!$B$3&amp;".mit.nce."&amp;Settings!$B$4&amp;"."&amp;$B440&amp;".a."&amp;$J$427</f>
        <v>egy.mit.nce.ind.nga.a.2</v>
      </c>
      <c r="H440" s="21" t="str">
        <f>OUTCODE(Settings!$B$3,"atp",$C$427,$B440,$J$427)</f>
        <v>egy.mit.atp.mch.nga.e.2</v>
      </c>
      <c r="K440" s="22">
        <f>POSTTAX(K430,INDEX(Data_Prices!K:K,MATCH($G440,Data_Prices!$A:$A,0)),K$459)</f>
        <v>6.0634636156729131</v>
      </c>
      <c r="L440" s="22">
        <f>POSTTAX(L430,INDEX(Data_Prices!L:L,MATCH($G440,Data_Prices!$A:$A,0)),L$459)</f>
        <v>5.4510150816191896</v>
      </c>
      <c r="M440" s="22">
        <f>POSTTAX(M430,INDEX(Data_Prices!M:M,MATCH($G440,Data_Prices!$A:$A,0)),M$459)</f>
        <v>5.1193563062624818</v>
      </c>
      <c r="N440" s="22">
        <f>POSTTAX(N430,INDEX(Data_Prices!N:N,MATCH($G440,Data_Prices!$A:$A,0)),N$459)</f>
        <v>5.0821845864040727</v>
      </c>
      <c r="O440" s="22">
        <f>POSTTAX(O430,INDEX(Data_Prices!O:O,MATCH($G440,Data_Prices!$A:$A,0)),O$459)</f>
        <v>5.0821845864040727</v>
      </c>
      <c r="P440" s="22">
        <f>POSTTAX(P430,INDEX(Data_Prices!P:P,MATCH($G440,Data_Prices!$A:$A,0)),P$459)</f>
        <v>5.0821845864040727</v>
      </c>
      <c r="Q440" s="22">
        <f>POSTTAX(Q430,INDEX(Data_Prices!Q:Q,MATCH($G440,Data_Prices!$A:$A,0)),Q$459)</f>
        <v>5.7796845864040725</v>
      </c>
      <c r="R440" s="22">
        <f>POSTTAX(R430,INDEX(Data_Prices!R:R,MATCH($G440,Data_Prices!$A:$A,0)),R$459)</f>
        <v>6.4771845864040731</v>
      </c>
      <c r="S440" s="22">
        <f>POSTTAX(S430,INDEX(Data_Prices!S:S,MATCH($G440,Data_Prices!$A:$A,0)),S$459)</f>
        <v>7.1746845864040729</v>
      </c>
      <c r="T440" s="22">
        <f>POSTTAX(T430,INDEX(Data_Prices!T:T,MATCH($G440,Data_Prices!$A:$A,0)),T$459)</f>
        <v>7.8721845864040736</v>
      </c>
      <c r="U440" s="22">
        <f>POSTTAX(U430,INDEX(Data_Prices!U:U,MATCH($G440,Data_Prices!$A:$A,0)),U$459)</f>
        <v>8.5696845864040725</v>
      </c>
      <c r="V440" s="22">
        <f>POSTTAX(V430,INDEX(Data_Prices!V:V,MATCH($G440,Data_Prices!$A:$A,0)),V$459)</f>
        <v>9.2671845864040723</v>
      </c>
      <c r="W440" s="22">
        <f>POSTTAX(W430,INDEX(Data_Prices!W:W,MATCH($G440,Data_Prices!$A:$A,0)),W$459)</f>
        <v>9.9646845864040721</v>
      </c>
      <c r="X440" s="22">
        <f>POSTTAX(X430,INDEX(Data_Prices!X:X,MATCH($G440,Data_Prices!$A:$A,0)),X$459)</f>
        <v>10.662184586404072</v>
      </c>
      <c r="Y440" s="22">
        <f>POSTTAX(Y430,INDEX(Data_Prices!Y:Y,MATCH($G440,Data_Prices!$A:$A,0)),Y$459)</f>
        <v>11.359684586404072</v>
      </c>
      <c r="Z440" s="22">
        <f>POSTTAX(Z430,INDEX(Data_Prices!Z:Z,MATCH($G440,Data_Prices!$A:$A,0)),Z$459)</f>
        <v>12.057184586404073</v>
      </c>
      <c r="AA440" s="22">
        <f>POSTTAX(AA430,INDEX(Data_Prices!AA:AA,MATCH($G440,Data_Prices!$A:$A,0)),AA$459)</f>
        <v>12.754684586404071</v>
      </c>
      <c r="AB440" s="22">
        <f>POSTTAX(AB430,INDEX(Data_Prices!AB:AB,MATCH($G440,Data_Prices!$A:$A,0)),AB$459)</f>
        <v>13.452184586404073</v>
      </c>
      <c r="AC440" s="22">
        <f>POSTTAX(AC430,INDEX(Data_Prices!AC:AC,MATCH($G440,Data_Prices!$A:$A,0)),AC$459)</f>
        <v>14.149684586404071</v>
      </c>
      <c r="AD440" s="22">
        <f>POSTTAX(AD430,INDEX(Data_Prices!AD:AD,MATCH($G440,Data_Prices!$A:$A,0)),AD$459)</f>
        <v>14.847184586404072</v>
      </c>
      <c r="AE440" s="22">
        <f>POSTTAX(AE430,INDEX(Data_Prices!AE:AE,MATCH($G440,Data_Prices!$A:$A,0)),AE$459)</f>
        <v>15.544684586404072</v>
      </c>
    </row>
    <row r="441" spans="2:31" x14ac:dyDescent="0.25">
      <c r="B441" s="17" t="s">
        <v>59</v>
      </c>
      <c r="C441" s="17" t="str">
        <f t="shared" si="43"/>
        <v>mch</v>
      </c>
      <c r="D441" s="18" t="s">
        <v>60</v>
      </c>
      <c r="E441" s="19" t="s">
        <v>61</v>
      </c>
      <c r="F441" s="17" t="s">
        <v>77</v>
      </c>
      <c r="G441" s="20" t="str">
        <f>Settings!$B$3&amp;".mit.nce."&amp;Settings!$B$4&amp;"."&amp;$B441&amp;".a."&amp;$J$427</f>
        <v>egy.mit.nce.ind.gso.a.2</v>
      </c>
      <c r="H441" s="21" t="str">
        <f>OUTCODE(Settings!$B$3,"atp",$C$427,$B441,$J$427)</f>
        <v>egy.mit.atp.mch.gso.e.2</v>
      </c>
      <c r="K441" s="22">
        <f>POSTTAX(K431,INDEX(Data_Prices!K:K,MATCH($G441,Data_Prices!$A:$A,0)),K$459)</f>
        <v>0.67114653332181606</v>
      </c>
      <c r="L441" s="22">
        <f>POSTTAX(L431,INDEX(Data_Prices!L:L,MATCH($G441,Data_Prices!$A:$A,0)),L$459)</f>
        <v>0.61197797679140631</v>
      </c>
      <c r="M441" s="22">
        <f>POSTTAX(M431,INDEX(Data_Prices!M:M,MATCH($G441,Data_Prices!$A:$A,0)),M$459)</f>
        <v>0.61180974964187596</v>
      </c>
      <c r="N441" s="22">
        <f>POSTTAX(N431,INDEX(Data_Prices!N:N,MATCH($G441,Data_Prices!$A:$A,0)),N$459)</f>
        <v>0.60358310017790551</v>
      </c>
      <c r="O441" s="22">
        <f>POSTTAX(O431,INDEX(Data_Prices!O:O,MATCH($G441,Data_Prices!$A:$A,0)),O$459)</f>
        <v>0.60358310017790551</v>
      </c>
      <c r="P441" s="22">
        <f>POSTTAX(P431,INDEX(Data_Prices!P:P,MATCH($G441,Data_Prices!$A:$A,0)),P$459)</f>
        <v>0.60358310017790551</v>
      </c>
      <c r="Q441" s="22">
        <f>POSTTAX(Q431,INDEX(Data_Prices!Q:Q,MATCH($G441,Data_Prices!$A:$A,0)),Q$459)</f>
        <v>0.6325109433494055</v>
      </c>
      <c r="R441" s="22">
        <f>POSTTAX(R431,INDEX(Data_Prices!R:R,MATCH($G441,Data_Prices!$A:$A,0)),R$459)</f>
        <v>0.66143878652090549</v>
      </c>
      <c r="S441" s="22">
        <f>POSTTAX(S431,INDEX(Data_Prices!S:S,MATCH($G441,Data_Prices!$A:$A,0)),S$459)</f>
        <v>0.69036662969240548</v>
      </c>
      <c r="T441" s="22">
        <f>POSTTAX(T431,INDEX(Data_Prices!T:T,MATCH($G441,Data_Prices!$A:$A,0)),T$459)</f>
        <v>0.71929447286390547</v>
      </c>
      <c r="U441" s="22">
        <f>POSTTAX(U431,INDEX(Data_Prices!U:U,MATCH($G441,Data_Prices!$A:$A,0)),U$459)</f>
        <v>0.74822231603540557</v>
      </c>
      <c r="V441" s="22">
        <f>POSTTAX(V431,INDEX(Data_Prices!V:V,MATCH($G441,Data_Prices!$A:$A,0)),V$459)</f>
        <v>0.77715015920690544</v>
      </c>
      <c r="W441" s="22">
        <f>POSTTAX(W431,INDEX(Data_Prices!W:W,MATCH($G441,Data_Prices!$A:$A,0)),W$459)</f>
        <v>0.80607800237840554</v>
      </c>
      <c r="X441" s="22">
        <f>POSTTAX(X431,INDEX(Data_Prices!X:X,MATCH($G441,Data_Prices!$A:$A,0)),X$459)</f>
        <v>0.83500584554990553</v>
      </c>
      <c r="Y441" s="22">
        <f>POSTTAX(Y431,INDEX(Data_Prices!Y:Y,MATCH($G441,Data_Prices!$A:$A,0)),Y$459)</f>
        <v>0.86393368872140552</v>
      </c>
      <c r="Z441" s="22">
        <f>POSTTAX(Z431,INDEX(Data_Prices!Z:Z,MATCH($G441,Data_Prices!$A:$A,0)),Z$459)</f>
        <v>0.89286153189290551</v>
      </c>
      <c r="AA441" s="22">
        <f>POSTTAX(AA431,INDEX(Data_Prices!AA:AA,MATCH($G441,Data_Prices!$A:$A,0)),AA$459)</f>
        <v>0.92178937506440561</v>
      </c>
      <c r="AB441" s="22">
        <f>POSTTAX(AB431,INDEX(Data_Prices!AB:AB,MATCH($G441,Data_Prices!$A:$A,0)),AB$459)</f>
        <v>0.95071721823590549</v>
      </c>
      <c r="AC441" s="22">
        <f>POSTTAX(AC431,INDEX(Data_Prices!AC:AC,MATCH($G441,Data_Prices!$A:$A,0)),AC$459)</f>
        <v>0.97964506140740548</v>
      </c>
      <c r="AD441" s="22">
        <f>POSTTAX(AD431,INDEX(Data_Prices!AD:AD,MATCH($G441,Data_Prices!$A:$A,0)),AD$459)</f>
        <v>1.0085729045789056</v>
      </c>
      <c r="AE441" s="22">
        <f>POSTTAX(AE431,INDEX(Data_Prices!AE:AE,MATCH($G441,Data_Prices!$A:$A,0)),AE$459)</f>
        <v>1.0375007477504057</v>
      </c>
    </row>
    <row r="442" spans="2:31" x14ac:dyDescent="0.25">
      <c r="B442" s="17" t="s">
        <v>62</v>
      </c>
      <c r="C442" s="17" t="str">
        <f t="shared" si="43"/>
        <v>mch</v>
      </c>
      <c r="D442" s="18" t="s">
        <v>63</v>
      </c>
      <c r="E442" s="19" t="s">
        <v>61</v>
      </c>
      <c r="F442" s="17" t="s">
        <v>77</v>
      </c>
      <c r="G442" s="20" t="str">
        <f>Settings!$B$3&amp;".mit.nce."&amp;Settings!$B$4&amp;"."&amp;$B442&amp;".a."&amp;$J$427</f>
        <v>egy.mit.nce.ind.die.a.2</v>
      </c>
      <c r="H442" s="21" t="str">
        <f>OUTCODE(Settings!$B$3,"atp",$C$427,$B442,$J$427)</f>
        <v>egy.mit.atp.mch.die.e.2</v>
      </c>
      <c r="K442" s="22">
        <f>POSTTAX(K432,INDEX(Data_Prices!K:K,MATCH($G442,Data_Prices!$A:$A,0)),K$459)</f>
        <v>0.55971121315568761</v>
      </c>
      <c r="L442" s="22">
        <f>POSTTAX(L432,INDEX(Data_Prices!L:L,MATCH($G442,Data_Prices!$A:$A,0)),L$459)</f>
        <v>0.49458873084106802</v>
      </c>
      <c r="M442" s="22">
        <f>POSTTAX(M432,INDEX(Data_Prices!M:M,MATCH($G442,Data_Prices!$A:$A,0)),M$459)</f>
        <v>0.50778654720250049</v>
      </c>
      <c r="N442" s="22">
        <f>POSTTAX(N432,INDEX(Data_Prices!N:N,MATCH($G442,Data_Prices!$A:$A,0)),N$459)</f>
        <v>0.47043642679561742</v>
      </c>
      <c r="O442" s="22">
        <f>POSTTAX(O432,INDEX(Data_Prices!O:O,MATCH($G442,Data_Prices!$A:$A,0)),O$459)</f>
        <v>0.47043642679561742</v>
      </c>
      <c r="P442" s="22">
        <f>POSTTAX(P432,INDEX(Data_Prices!P:P,MATCH($G442,Data_Prices!$A:$A,0)),P$459)</f>
        <v>0.47043642679561742</v>
      </c>
      <c r="Q442" s="22">
        <f>POSTTAX(Q432,INDEX(Data_Prices!Q:Q,MATCH($G442,Data_Prices!$A:$A,0)),Q$459)</f>
        <v>0.50344686565449237</v>
      </c>
      <c r="R442" s="22">
        <f>POSTTAX(R432,INDEX(Data_Prices!R:R,MATCH($G442,Data_Prices!$A:$A,0)),R$459)</f>
        <v>0.53645730451336737</v>
      </c>
      <c r="S442" s="22">
        <f>POSTTAX(S432,INDEX(Data_Prices!S:S,MATCH($G442,Data_Prices!$A:$A,0)),S$459)</f>
        <v>0.56946774337224249</v>
      </c>
      <c r="T442" s="22">
        <f>POSTTAX(T432,INDEX(Data_Prices!T:T,MATCH($G442,Data_Prices!$A:$A,0)),T$459)</f>
        <v>0.60247818223111738</v>
      </c>
      <c r="U442" s="22">
        <f>POSTTAX(U432,INDEX(Data_Prices!U:U,MATCH($G442,Data_Prices!$A:$A,0)),U$459)</f>
        <v>0.63548862108999238</v>
      </c>
      <c r="V442" s="22">
        <f>POSTTAX(V432,INDEX(Data_Prices!V:V,MATCH($G442,Data_Prices!$A:$A,0)),V$459)</f>
        <v>0.66849905994886738</v>
      </c>
      <c r="W442" s="22">
        <f>POSTTAX(W432,INDEX(Data_Prices!W:W,MATCH($G442,Data_Prices!$A:$A,0)),W$459)</f>
        <v>0.70150949880774238</v>
      </c>
      <c r="X442" s="22">
        <f>POSTTAX(X432,INDEX(Data_Prices!X:X,MATCH($G442,Data_Prices!$A:$A,0)),X$459)</f>
        <v>0.73451993766661738</v>
      </c>
      <c r="Y442" s="22">
        <f>POSTTAX(Y432,INDEX(Data_Prices!Y:Y,MATCH($G442,Data_Prices!$A:$A,0)),Y$459)</f>
        <v>0.76753037652549239</v>
      </c>
      <c r="Z442" s="22">
        <f>POSTTAX(Z432,INDEX(Data_Prices!Z:Z,MATCH($G442,Data_Prices!$A:$A,0)),Z$459)</f>
        <v>0.80054081538436739</v>
      </c>
      <c r="AA442" s="22">
        <f>POSTTAX(AA432,INDEX(Data_Prices!AA:AA,MATCH($G442,Data_Prices!$A:$A,0)),AA$459)</f>
        <v>0.83355125424324239</v>
      </c>
      <c r="AB442" s="22">
        <f>POSTTAX(AB432,INDEX(Data_Prices!AB:AB,MATCH($G442,Data_Prices!$A:$A,0)),AB$459)</f>
        <v>0.86656169310211739</v>
      </c>
      <c r="AC442" s="22">
        <f>POSTTAX(AC432,INDEX(Data_Prices!AC:AC,MATCH($G442,Data_Prices!$A:$A,0)),AC$459)</f>
        <v>0.89957213196099239</v>
      </c>
      <c r="AD442" s="22">
        <f>POSTTAX(AD432,INDEX(Data_Prices!AD:AD,MATCH($G442,Data_Prices!$A:$A,0)),AD$459)</f>
        <v>0.9325825708198674</v>
      </c>
      <c r="AE442" s="22">
        <f>POSTTAX(AE432,INDEX(Data_Prices!AE:AE,MATCH($G442,Data_Prices!$A:$A,0)),AE$459)</f>
        <v>0.9655930096787424</v>
      </c>
    </row>
    <row r="443" spans="2:31" x14ac:dyDescent="0.25">
      <c r="B443" s="17" t="s">
        <v>64</v>
      </c>
      <c r="C443" s="17" t="str">
        <f t="shared" si="43"/>
        <v>mch</v>
      </c>
      <c r="D443" s="18" t="s">
        <v>65</v>
      </c>
      <c r="E443" s="19" t="s">
        <v>61</v>
      </c>
      <c r="F443" s="17" t="s">
        <v>77</v>
      </c>
      <c r="G443" s="20" t="str">
        <f>Settings!$B$3&amp;".mit.nce."&amp;Settings!$B$4&amp;"."&amp;$B443&amp;".a."&amp;$J$427</f>
        <v>egy.mit.nce.ind.lpg.a.2</v>
      </c>
      <c r="H443" s="21" t="str">
        <f>OUTCODE(Settings!$B$3,"atp",$C$427,$B443,$J$427)</f>
        <v>egy.mit.atp.mch.lpg.e.2</v>
      </c>
      <c r="K443" s="22">
        <f>POSTTAX(K433,INDEX(Data_Prices!K:K,MATCH($G443,Data_Prices!$A:$A,0)),K$459)</f>
        <v>0.20036669112673841</v>
      </c>
      <c r="L443" s="22">
        <f>POSTTAX(L433,INDEX(Data_Prices!L:L,MATCH($G443,Data_Prices!$A:$A,0)),L$459)</f>
        <v>0.1573447362522738</v>
      </c>
      <c r="M443" s="22">
        <f>POSTTAX(M433,INDEX(Data_Prices!M:M,MATCH($G443,Data_Prices!$A:$A,0)),M$459)</f>
        <v>0.1644840377592767</v>
      </c>
      <c r="N443" s="22">
        <f>POSTTAX(N433,INDEX(Data_Prices!N:N,MATCH($G443,Data_Prices!$A:$A,0)),N$459)</f>
        <v>0.1507090778070489</v>
      </c>
      <c r="O443" s="22">
        <f>POSTTAX(O433,INDEX(Data_Prices!O:O,MATCH($G443,Data_Prices!$A:$A,0)),O$459)</f>
        <v>0.1507090778070489</v>
      </c>
      <c r="P443" s="22">
        <f>POSTTAX(P433,INDEX(Data_Prices!P:P,MATCH($G443,Data_Prices!$A:$A,0)),P$459)</f>
        <v>0.1507090778070489</v>
      </c>
      <c r="Q443" s="22">
        <f>POSTTAX(Q433,INDEX(Data_Prices!Q:Q,MATCH($G443,Data_Prices!$A:$A,0)),Q$459)</f>
        <v>0.17281516073434458</v>
      </c>
      <c r="R443" s="22">
        <f>POSTTAX(R433,INDEX(Data_Prices!R:R,MATCH($G443,Data_Prices!$A:$A,0)),R$459)</f>
        <v>0.19492124366164029</v>
      </c>
      <c r="S443" s="22">
        <f>POSTTAX(S433,INDEX(Data_Prices!S:S,MATCH($G443,Data_Prices!$A:$A,0)),S$459)</f>
        <v>0.21702732658893598</v>
      </c>
      <c r="T443" s="22">
        <f>POSTTAX(T433,INDEX(Data_Prices!T:T,MATCH($G443,Data_Prices!$A:$A,0)),T$459)</f>
        <v>0.23913340951623169</v>
      </c>
      <c r="U443" s="22">
        <f>POSTTAX(U433,INDEX(Data_Prices!U:U,MATCH($G443,Data_Prices!$A:$A,0)),U$459)</f>
        <v>0.2612394924435274</v>
      </c>
      <c r="V443" s="22">
        <f>POSTTAX(V433,INDEX(Data_Prices!V:V,MATCH($G443,Data_Prices!$A:$A,0)),V$459)</f>
        <v>0.28334557537082311</v>
      </c>
      <c r="W443" s="22">
        <f>POSTTAX(W433,INDEX(Data_Prices!W:W,MATCH($G443,Data_Prices!$A:$A,0)),W$459)</f>
        <v>0.30545165829811882</v>
      </c>
      <c r="X443" s="22">
        <f>POSTTAX(X433,INDEX(Data_Prices!X:X,MATCH($G443,Data_Prices!$A:$A,0)),X$459)</f>
        <v>0.32755774122541448</v>
      </c>
      <c r="Y443" s="22">
        <f>POSTTAX(Y433,INDEX(Data_Prices!Y:Y,MATCH($G443,Data_Prices!$A:$A,0)),Y$459)</f>
        <v>0.34966382415271013</v>
      </c>
      <c r="Z443" s="22">
        <f>POSTTAX(Z433,INDEX(Data_Prices!Z:Z,MATCH($G443,Data_Prices!$A:$A,0)),Z$459)</f>
        <v>0.37176990708000579</v>
      </c>
      <c r="AA443" s="22">
        <f>POSTTAX(AA433,INDEX(Data_Prices!AA:AA,MATCH($G443,Data_Prices!$A:$A,0)),AA$459)</f>
        <v>0.3938759900073015</v>
      </c>
      <c r="AB443" s="22">
        <f>POSTTAX(AB433,INDEX(Data_Prices!AB:AB,MATCH($G443,Data_Prices!$A:$A,0)),AB$459)</f>
        <v>0.41598207293459721</v>
      </c>
      <c r="AC443" s="22">
        <f>POSTTAX(AC433,INDEX(Data_Prices!AC:AC,MATCH($G443,Data_Prices!$A:$A,0)),AC$459)</f>
        <v>0.43808815586189287</v>
      </c>
      <c r="AD443" s="22">
        <f>POSTTAX(AD433,INDEX(Data_Prices!AD:AD,MATCH($G443,Data_Prices!$A:$A,0)),AD$459)</f>
        <v>0.46019423878918858</v>
      </c>
      <c r="AE443" s="22">
        <f>POSTTAX(AE433,INDEX(Data_Prices!AE:AE,MATCH($G443,Data_Prices!$A:$A,0)),AE$459)</f>
        <v>0.48230032171648429</v>
      </c>
    </row>
    <row r="444" spans="2:31" x14ac:dyDescent="0.25">
      <c r="B444" s="17" t="s">
        <v>66</v>
      </c>
      <c r="C444" s="17" t="str">
        <f t="shared" si="43"/>
        <v>mch</v>
      </c>
      <c r="D444" s="18" t="s">
        <v>67</v>
      </c>
      <c r="E444" s="19" t="s">
        <v>61</v>
      </c>
      <c r="F444" s="17" t="s">
        <v>77</v>
      </c>
      <c r="G444" s="20" t="str">
        <f>Settings!$B$3&amp;".mit.nce."&amp;Settings!$B$4&amp;"."&amp;$B444&amp;".a."&amp;$J$427</f>
        <v>egy.mit.nce.ind.ker.a.2</v>
      </c>
      <c r="H444" s="21" t="str">
        <f>OUTCODE(Settings!$B$3,"atp",$C$427,$B444,$J$427)</f>
        <v>egy.mit.atp.mch.ker.e.2</v>
      </c>
      <c r="K444" s="22">
        <f>POSTTAX(K434,INDEX(Data_Prices!K:K,MATCH($G444,Data_Prices!$A:$A,0)),K$459)</f>
        <v>0.48429424097343482</v>
      </c>
      <c r="L444" s="22">
        <f>POSTTAX(L434,INDEX(Data_Prices!L:L,MATCH($G444,Data_Prices!$A:$A,0)),L$459)</f>
        <v>0.45642817050012813</v>
      </c>
      <c r="M444" s="22">
        <f>POSTTAX(M434,INDEX(Data_Prices!M:M,MATCH($G444,Data_Prices!$A:$A,0)),M$459)</f>
        <v>0.43168920195599519</v>
      </c>
      <c r="N444" s="22">
        <f>POSTTAX(N434,INDEX(Data_Prices!N:N,MATCH($G444,Data_Prices!$A:$A,0)),N$459)</f>
        <v>0.42507558395596989</v>
      </c>
      <c r="O444" s="22">
        <f>POSTTAX(O434,INDEX(Data_Prices!O:O,MATCH($G444,Data_Prices!$A:$A,0)),O$459)</f>
        <v>0.42507558395596989</v>
      </c>
      <c r="P444" s="22">
        <f>POSTTAX(P434,INDEX(Data_Prices!P:P,MATCH($G444,Data_Prices!$A:$A,0)),P$459)</f>
        <v>0.42507558395596989</v>
      </c>
      <c r="Q444" s="22">
        <f>POSTTAX(Q434,INDEX(Data_Prices!Q:Q,MATCH($G444,Data_Prices!$A:$A,0)),Q$459)</f>
        <v>0.45706441406607839</v>
      </c>
      <c r="R444" s="22">
        <f>POSTTAX(R434,INDEX(Data_Prices!R:R,MATCH($G444,Data_Prices!$A:$A,0)),R$459)</f>
        <v>0.4890532441761869</v>
      </c>
      <c r="S444" s="22">
        <f>POSTTAX(S434,INDEX(Data_Prices!S:S,MATCH($G444,Data_Prices!$A:$A,0)),S$459)</f>
        <v>0.52104207428629545</v>
      </c>
      <c r="T444" s="22">
        <f>POSTTAX(T434,INDEX(Data_Prices!T:T,MATCH($G444,Data_Prices!$A:$A,0)),T$459)</f>
        <v>0.5530309043964039</v>
      </c>
      <c r="U444" s="22">
        <f>POSTTAX(U434,INDEX(Data_Prices!U:U,MATCH($G444,Data_Prices!$A:$A,0)),U$459)</f>
        <v>0.58501973450651246</v>
      </c>
      <c r="V444" s="22">
        <f>POSTTAX(V434,INDEX(Data_Prices!V:V,MATCH($G444,Data_Prices!$A:$A,0)),V$459)</f>
        <v>0.6170085646166209</v>
      </c>
      <c r="W444" s="22">
        <f>POSTTAX(W434,INDEX(Data_Prices!W:W,MATCH($G444,Data_Prices!$A:$A,0)),W$459)</f>
        <v>0.64899739472672935</v>
      </c>
      <c r="X444" s="22">
        <f>POSTTAX(X434,INDEX(Data_Prices!X:X,MATCH($G444,Data_Prices!$A:$A,0)),X$459)</f>
        <v>0.68098622483683791</v>
      </c>
      <c r="Y444" s="22">
        <f>POSTTAX(Y434,INDEX(Data_Prices!Y:Y,MATCH($G444,Data_Prices!$A:$A,0)),Y$459)</f>
        <v>0.71297505494694646</v>
      </c>
      <c r="Z444" s="22">
        <f>POSTTAX(Z434,INDEX(Data_Prices!Z:Z,MATCH($G444,Data_Prices!$A:$A,0)),Z$459)</f>
        <v>0.7449638850570548</v>
      </c>
      <c r="AA444" s="22">
        <f>POSTTAX(AA434,INDEX(Data_Prices!AA:AA,MATCH($G444,Data_Prices!$A:$A,0)),AA$459)</f>
        <v>0.77695271516716335</v>
      </c>
      <c r="AB444" s="22">
        <f>POSTTAX(AB434,INDEX(Data_Prices!AB:AB,MATCH($G444,Data_Prices!$A:$A,0)),AB$459)</f>
        <v>0.80894154527727191</v>
      </c>
      <c r="AC444" s="22">
        <f>POSTTAX(AC434,INDEX(Data_Prices!AC:AC,MATCH($G444,Data_Prices!$A:$A,0)),AC$459)</f>
        <v>0.84093037538738025</v>
      </c>
      <c r="AD444" s="22">
        <f>POSTTAX(AD434,INDEX(Data_Prices!AD:AD,MATCH($G444,Data_Prices!$A:$A,0)),AD$459)</f>
        <v>0.8729192054974888</v>
      </c>
      <c r="AE444" s="22">
        <f>POSTTAX(AE434,INDEX(Data_Prices!AE:AE,MATCH($G444,Data_Prices!$A:$A,0)),AE$459)</f>
        <v>0.90490803560759736</v>
      </c>
    </row>
    <row r="445" spans="2:31" x14ac:dyDescent="0.25">
      <c r="B445" s="17" t="s">
        <v>68</v>
      </c>
      <c r="C445" s="17" t="str">
        <f t="shared" si="43"/>
        <v>mch</v>
      </c>
      <c r="D445" s="18" t="s">
        <v>69</v>
      </c>
      <c r="E445" s="19" t="s">
        <v>70</v>
      </c>
      <c r="F445" s="17" t="s">
        <v>77</v>
      </c>
      <c r="G445" s="20" t="str">
        <f>Settings!$B$3&amp;".mit.nce."&amp;Settings!$B$4&amp;"."&amp;$B445&amp;".a."&amp;$J$427</f>
        <v>egy.mit.nce.ind.oop.a.2</v>
      </c>
      <c r="H445" s="21" t="str">
        <f>OUTCODE(Settings!$B$3,"atp",$C$427,$B445,$J$427)</f>
        <v>egy.mit.atp.mch.oop.e.2</v>
      </c>
      <c r="K445" s="22">
        <f>POSTTAX(K435,INDEX(Data_Prices!K:K,MATCH($G445,Data_Prices!$A:$A,0)),K$459)</f>
        <v>41.50033849886843</v>
      </c>
      <c r="L445" s="22">
        <f>POSTTAX(L435,INDEX(Data_Prices!L:L,MATCH($G445,Data_Prices!$A:$A,0)),L$459)</f>
        <v>34.415370304313228</v>
      </c>
      <c r="M445" s="22">
        <f>POSTTAX(M435,INDEX(Data_Prices!M:M,MATCH($G445,Data_Prices!$A:$A,0)),M$459)</f>
        <v>37.368960690432033</v>
      </c>
      <c r="N445" s="22">
        <f>POSTTAX(N435,INDEX(Data_Prices!N:N,MATCH($G445,Data_Prices!$A:$A,0)),N$459)</f>
        <v>28.982761101477251</v>
      </c>
      <c r="O445" s="22">
        <f>POSTTAX(O435,INDEX(Data_Prices!O:O,MATCH($G445,Data_Prices!$A:$A,0)),O$459)</f>
        <v>15</v>
      </c>
      <c r="P445" s="22">
        <f>POSTTAX(P435,INDEX(Data_Prices!P:P,MATCH($G445,Data_Prices!$A:$A,0)),P$459)</f>
        <v>24.2586300842555</v>
      </c>
      <c r="Q445" s="22">
        <f>POSTTAX(Q435,INDEX(Data_Prices!Q:Q,MATCH($G445,Data_Prices!$A:$A,0)),Q$459)</f>
        <v>18.963758196132449</v>
      </c>
      <c r="R445" s="22">
        <f>POSTTAX(R435,INDEX(Data_Prices!R:R,MATCH($G445,Data_Prices!$A:$A,0)),R$459)</f>
        <v>21.76034511401058</v>
      </c>
      <c r="S445" s="22">
        <f>POSTTAX(S435,INDEX(Data_Prices!S:S,MATCH($G445,Data_Prices!$A:$A,0)),S$459)</f>
        <v>26.079880691373617</v>
      </c>
      <c r="T445" s="22">
        <f>POSTTAX(T435,INDEX(Data_Prices!T:T,MATCH($G445,Data_Prices!$A:$A,0)),T$459)</f>
        <v>30.593682445209222</v>
      </c>
      <c r="U445" s="22">
        <f>POSTTAX(U435,INDEX(Data_Prices!U:U,MATCH($G445,Data_Prices!$A:$A,0)),U$459)</f>
        <v>34.990509739410058</v>
      </c>
      <c r="V445" s="22">
        <f>POSTTAX(V435,INDEX(Data_Prices!V:V,MATCH($G445,Data_Prices!$A:$A,0)),V$459)</f>
        <v>40.858059739410059</v>
      </c>
      <c r="W445" s="22">
        <f>POSTTAX(W435,INDEX(Data_Prices!W:W,MATCH($G445,Data_Prices!$A:$A,0)),W$459)</f>
        <v>46.725609739410061</v>
      </c>
      <c r="X445" s="22">
        <f>POSTTAX(X435,INDEX(Data_Prices!X:X,MATCH($G445,Data_Prices!$A:$A,0)),X$459)</f>
        <v>52.593159739410055</v>
      </c>
      <c r="Y445" s="22">
        <f>POSTTAX(Y435,INDEX(Data_Prices!Y:Y,MATCH($G445,Data_Prices!$A:$A,0)),Y$459)</f>
        <v>58.460709739410071</v>
      </c>
      <c r="Z445" s="22">
        <f>POSTTAX(Z435,INDEX(Data_Prices!Z:Z,MATCH($G445,Data_Prices!$A:$A,0)),Z$459)</f>
        <v>64.328259739410072</v>
      </c>
      <c r="AA445" s="22">
        <f>POSTTAX(AA435,INDEX(Data_Prices!AA:AA,MATCH($G445,Data_Prices!$A:$A,0)),AA$459)</f>
        <v>70.195809739410066</v>
      </c>
      <c r="AB445" s="22">
        <f>POSTTAX(AB435,INDEX(Data_Prices!AB:AB,MATCH($G445,Data_Prices!$A:$A,0)),AB$459)</f>
        <v>76.06335973941006</v>
      </c>
      <c r="AC445" s="22">
        <f>POSTTAX(AC435,INDEX(Data_Prices!AC:AC,MATCH($G445,Data_Prices!$A:$A,0)),AC$459)</f>
        <v>81.930909739410055</v>
      </c>
      <c r="AD445" s="22">
        <f>POSTTAX(AD435,INDEX(Data_Prices!AD:AD,MATCH($G445,Data_Prices!$A:$A,0)),AD$459)</f>
        <v>87.798459739410063</v>
      </c>
      <c r="AE445" s="22">
        <f>POSTTAX(AE435,INDEX(Data_Prices!AE:AE,MATCH($G445,Data_Prices!$A:$A,0)),AE$459)</f>
        <v>93.666009739410057</v>
      </c>
    </row>
    <row r="446" spans="2:31" x14ac:dyDescent="0.25">
      <c r="B446" s="17" t="s">
        <v>71</v>
      </c>
      <c r="C446" s="17" t="str">
        <f t="shared" si="43"/>
        <v>mch</v>
      </c>
      <c r="D446" s="18" t="s">
        <v>72</v>
      </c>
      <c r="E446" s="19" t="s">
        <v>55</v>
      </c>
      <c r="F446" s="17" t="s">
        <v>77</v>
      </c>
      <c r="G446" s="20" t="str">
        <f>Settings!$B$3&amp;".mit.nce."&amp;Settings!$B$4&amp;"."&amp;$B446&amp;".a."&amp;$J$427</f>
        <v>egy.mit.nce.ind.bio.a.2</v>
      </c>
      <c r="H446" s="21" t="str">
        <f>OUTCODE(Settings!$B$3,"atp",$C$427,$B446,$J$427)</f>
        <v>egy.mit.atp.mch.bio.e.2</v>
      </c>
      <c r="K446" s="22">
        <f>POSTTAX(K436,INDEX(Data_Prices!K:K,MATCH($G446,Data_Prices!$A:$A,0)),K$459)</f>
        <v>15.33455052931693</v>
      </c>
      <c r="L446" s="22">
        <f>POSTTAX(L436,INDEX(Data_Prices!L:L,MATCH($G446,Data_Prices!$A:$A,0)),L$459)</f>
        <v>14.199528390634921</v>
      </c>
      <c r="M446" s="22">
        <f>POSTTAX(M436,INDEX(Data_Prices!M:M,MATCH($G446,Data_Prices!$A:$A,0)),M$459)</f>
        <v>13.840441613315161</v>
      </c>
      <c r="N446" s="22">
        <f>POSTTAX(N436,INDEX(Data_Prices!N:N,MATCH($G446,Data_Prices!$A:$A,0)),N$459)</f>
        <v>13.5677269404465</v>
      </c>
      <c r="O446" s="22">
        <f>POSTTAX(O436,INDEX(Data_Prices!O:O,MATCH($G446,Data_Prices!$A:$A,0)),O$459)</f>
        <v>13.5677269404465</v>
      </c>
      <c r="P446" s="22">
        <f>POSTTAX(P436,INDEX(Data_Prices!P:P,MATCH($G446,Data_Prices!$A:$A,0)),P$459)</f>
        <v>13.5677269404465</v>
      </c>
      <c r="Q446" s="22">
        <f>POSTTAX(Q436,INDEX(Data_Prices!Q:Q,MATCH($G446,Data_Prices!$A:$A,0)),Q$459)</f>
        <v>13.5677269404465</v>
      </c>
      <c r="R446" s="22">
        <f>POSTTAX(R436,INDEX(Data_Prices!R:R,MATCH($G446,Data_Prices!$A:$A,0)),R$459)</f>
        <v>13.5677269404465</v>
      </c>
      <c r="S446" s="22">
        <f>POSTTAX(S436,INDEX(Data_Prices!S:S,MATCH($G446,Data_Prices!$A:$A,0)),S$459)</f>
        <v>13.5677269404465</v>
      </c>
      <c r="T446" s="22">
        <f>POSTTAX(T436,INDEX(Data_Prices!T:T,MATCH($G446,Data_Prices!$A:$A,0)),T$459)</f>
        <v>13.5677269404465</v>
      </c>
      <c r="U446" s="22">
        <f>POSTTAX(U436,INDEX(Data_Prices!U:U,MATCH($G446,Data_Prices!$A:$A,0)),U$459)</f>
        <v>13.5677269404465</v>
      </c>
      <c r="V446" s="22">
        <f>POSTTAX(V436,INDEX(Data_Prices!V:V,MATCH($G446,Data_Prices!$A:$A,0)),V$459)</f>
        <v>13.5677269404465</v>
      </c>
      <c r="W446" s="22">
        <f>POSTTAX(W436,INDEX(Data_Prices!W:W,MATCH($G446,Data_Prices!$A:$A,0)),W$459)</f>
        <v>13.5677269404465</v>
      </c>
      <c r="X446" s="22">
        <f>POSTTAX(X436,INDEX(Data_Prices!X:X,MATCH($G446,Data_Prices!$A:$A,0)),X$459)</f>
        <v>13.5677269404465</v>
      </c>
      <c r="Y446" s="22">
        <f>POSTTAX(Y436,INDEX(Data_Prices!Y:Y,MATCH($G446,Data_Prices!$A:$A,0)),Y$459)</f>
        <v>13.5677269404465</v>
      </c>
      <c r="Z446" s="22">
        <f>POSTTAX(Z436,INDEX(Data_Prices!Z:Z,MATCH($G446,Data_Prices!$A:$A,0)),Z$459)</f>
        <v>13.5677269404465</v>
      </c>
      <c r="AA446" s="22">
        <f>POSTTAX(AA436,INDEX(Data_Prices!AA:AA,MATCH($G446,Data_Prices!$A:$A,0)),AA$459)</f>
        <v>13.5677269404465</v>
      </c>
      <c r="AB446" s="22">
        <f>POSTTAX(AB436,INDEX(Data_Prices!AB:AB,MATCH($G446,Data_Prices!$A:$A,0)),AB$459)</f>
        <v>13.5677269404465</v>
      </c>
      <c r="AC446" s="22">
        <f>POSTTAX(AC436,INDEX(Data_Prices!AC:AC,MATCH($G446,Data_Prices!$A:$A,0)),AC$459)</f>
        <v>13.5677269404465</v>
      </c>
      <c r="AD446" s="22">
        <f>POSTTAX(AD436,INDEX(Data_Prices!AD:AD,MATCH($G446,Data_Prices!$A:$A,0)),AD$459)</f>
        <v>13.5677269404465</v>
      </c>
      <c r="AE446" s="22">
        <f>POSTTAX(AE436,INDEX(Data_Prices!AE:AE,MATCH($G446,Data_Prices!$A:$A,0)),AE$459)</f>
        <v>13.5677269404465</v>
      </c>
    </row>
    <row r="447" spans="2:31" x14ac:dyDescent="0.25">
      <c r="B447" s="17" t="s">
        <v>73</v>
      </c>
      <c r="C447" s="17" t="str">
        <f t="shared" si="43"/>
        <v>mch</v>
      </c>
      <c r="D447" s="18" t="s">
        <v>74</v>
      </c>
      <c r="E447" s="19" t="s">
        <v>75</v>
      </c>
      <c r="F447" s="17" t="s">
        <v>77</v>
      </c>
      <c r="G447" s="20" t="str">
        <f>Settings!$B$3&amp;".mit.nce."&amp;Settings!$B$4&amp;"."&amp;$B447&amp;".a."&amp;$J$427</f>
        <v>egy.mit.nce.ind.ren.a.2</v>
      </c>
      <c r="H447" s="21" t="str">
        <f>OUTCODE(Settings!$B$3,"atp",$C$427,$B447,$J$427)</f>
        <v>egy.mit.atp.mch.ren.e.2</v>
      </c>
      <c r="K447" s="22">
        <f>POSTTAX(K437,INDEX(Data_Prices!K:K,MATCH($G447,Data_Prices!$A:$A,0)),K$459)</f>
        <v>0</v>
      </c>
      <c r="L447" s="22">
        <f>POSTTAX(L437,INDEX(Data_Prices!L:L,MATCH($G447,Data_Prices!$A:$A,0)),L$459)</f>
        <v>0.14404498679319799</v>
      </c>
      <c r="M447" s="22">
        <f>POSTTAX(M437,INDEX(Data_Prices!M:M,MATCH($G447,Data_Prices!$A:$A,0)),M$459)</f>
        <v>0.14138624175135939</v>
      </c>
      <c r="N447" s="22">
        <f>POSTTAX(N437,INDEX(Data_Prices!N:N,MATCH($G447,Data_Prices!$A:$A,0)),N$459)</f>
        <v>0.1353975654437313</v>
      </c>
      <c r="O447" s="22">
        <f>POSTTAX(O437,INDEX(Data_Prices!O:O,MATCH($G447,Data_Prices!$A:$A,0)),O$459)</f>
        <v>0.13152288542065141</v>
      </c>
      <c r="P447" s="22">
        <f>POSTTAX(P437,INDEX(Data_Prices!P:P,MATCH($G447,Data_Prices!$A:$A,0)),P$459)</f>
        <v>0.12882610848523129</v>
      </c>
      <c r="Q447" s="22">
        <f>POSTTAX(Q437,INDEX(Data_Prices!Q:Q,MATCH($G447,Data_Prices!$A:$A,0)),Q$459)</f>
        <v>0.1259420097647401</v>
      </c>
      <c r="R447" s="22">
        <f>POSTTAX(R437,INDEX(Data_Prices!R:R,MATCH($G447,Data_Prices!$A:$A,0)),R$459)</f>
        <v>0.1231132657018609</v>
      </c>
      <c r="S447" s="22">
        <f>POSTTAX(S437,INDEX(Data_Prices!S:S,MATCH($G447,Data_Prices!$A:$A,0)),S$459)</f>
        <v>0.1193917380890684</v>
      </c>
      <c r="T447" s="22">
        <f>POSTTAX(T437,INDEX(Data_Prices!T:T,MATCH($G447,Data_Prices!$A:$A,0)),T$459)</f>
        <v>0.1155441904679203</v>
      </c>
      <c r="U447" s="22">
        <f>POSTTAX(U437,INDEX(Data_Prices!U:U,MATCH($G447,Data_Prices!$A:$A,0)),U$459)</f>
        <v>0.11492423065415899</v>
      </c>
      <c r="V447" s="22">
        <f>POSTTAX(V437,INDEX(Data_Prices!V:V,MATCH($G447,Data_Prices!$A:$A,0)),V$459)</f>
        <v>0.11434691211673639</v>
      </c>
      <c r="W447" s="22">
        <f>POSTTAX(W437,INDEX(Data_Prices!W:W,MATCH($G447,Data_Prices!$A:$A,0)),W$459)</f>
        <v>0.1137387111726635</v>
      </c>
      <c r="X447" s="22">
        <f>POSTTAX(X437,INDEX(Data_Prices!X:X,MATCH($G447,Data_Prices!$A:$A,0)),X$459)</f>
        <v>0.1129999004875214</v>
      </c>
      <c r="Y447" s="22">
        <f>POSTTAX(Y437,INDEX(Data_Prices!Y:Y,MATCH($G447,Data_Prices!$A:$A,0)),Y$459)</f>
        <v>0.11217768583553429</v>
      </c>
      <c r="Z447" s="22">
        <f>POSTTAX(Z437,INDEX(Data_Prices!Z:Z,MATCH($G447,Data_Prices!$A:$A,0)),Z$459)</f>
        <v>0.1114179032504042</v>
      </c>
      <c r="AA447" s="22">
        <f>POSTTAX(AA437,INDEX(Data_Prices!AA:AA,MATCH($G447,Data_Prices!$A:$A,0)),AA$459)</f>
        <v>0.1105258199854538</v>
      </c>
      <c r="AB447" s="22">
        <f>POSTTAX(AB437,INDEX(Data_Prices!AB:AB,MATCH($G447,Data_Prices!$A:$A,0)),AB$459)</f>
        <v>0.1096995652348958</v>
      </c>
      <c r="AC447" s="22">
        <f>POSTTAX(AC437,INDEX(Data_Prices!AC:AC,MATCH($G447,Data_Prices!$A:$A,0)),AC$459)</f>
        <v>0.1077267889639492</v>
      </c>
      <c r="AD447" s="22">
        <f>POSTTAX(AD437,INDEX(Data_Prices!AD:AD,MATCH($G447,Data_Prices!$A:$A,0)),AD$459)</f>
        <v>0.1058209244509353</v>
      </c>
      <c r="AE447" s="22">
        <f>POSTTAX(AE437,INDEX(Data_Prices!AE:AE,MATCH($G447,Data_Prices!$A:$A,0)),AE$459)</f>
        <v>0.1038555957057212</v>
      </c>
    </row>
    <row r="448" spans="2:31" x14ac:dyDescent="0.25">
      <c r="B448" s="16" t="s">
        <v>78</v>
      </c>
    </row>
    <row r="449" spans="2:31" x14ac:dyDescent="0.25">
      <c r="B449" s="17" t="s">
        <v>53</v>
      </c>
      <c r="C449" s="17" t="str">
        <f t="shared" ref="C449:C457" si="44">$C$427</f>
        <v>mch</v>
      </c>
      <c r="D449" s="18" t="s">
        <v>54</v>
      </c>
      <c r="E449" s="19" t="s">
        <v>55</v>
      </c>
      <c r="F449" s="17" t="s">
        <v>79</v>
      </c>
      <c r="G449" s="20" t="str">
        <f>Settings!$B$3&amp;".mit.shp."&amp;$B449&amp;"."&amp;Settings!$B$4&amp;"."&amp;$J$427</f>
        <v>egy.mit.shp.coa.ind.2</v>
      </c>
      <c r="H449" s="21" t="str">
        <f>OUTCODE(Settings!$B$3,"shp",$C$427,$B449,$J$427)</f>
        <v>egy.mit.shp.mch.coa.e.2</v>
      </c>
      <c r="K449" s="23">
        <f>SHADOW(K439,INDEX(Data_Prices!K:K,MATCH($G449,Data_Prices!$A:$A,0)),K$460)</f>
        <v>11.18290158924394</v>
      </c>
      <c r="L449" s="23">
        <f>SHADOW(L439,INDEX(Data_Prices!L:L,MATCH($G449,Data_Prices!$A:$A,0)),L$460)</f>
        <v>10.52336134543121</v>
      </c>
      <c r="M449" s="23">
        <f>SHADOW(M439,INDEX(Data_Prices!M:M,MATCH($G449,Data_Prices!$A:$A,0)),M$460)</f>
        <v>10.299560827444211</v>
      </c>
      <c r="N449" s="23">
        <f>SHADOW(N439,INDEX(Data_Prices!N:N,MATCH($G449,Data_Prices!$A:$A,0)),N$460)</f>
        <v>9.5775283595382632</v>
      </c>
      <c r="O449" s="23">
        <f>SHADOW(O439,INDEX(Data_Prices!O:O,MATCH($G449,Data_Prices!$A:$A,0)),O$460)</f>
        <v>8.4854782869580454</v>
      </c>
      <c r="P449" s="23">
        <f>SHADOW(P439,INDEX(Data_Prices!P:P,MATCH($G449,Data_Prices!$A:$A,0)),P$460)</f>
        <v>9.0871922352498604</v>
      </c>
      <c r="Q449" s="23">
        <f>SHADOW(Q439,INDEX(Data_Prices!Q:Q,MATCH($G449,Data_Prices!$A:$A,0)),Q$460)</f>
        <v>10.472923728932681</v>
      </c>
      <c r="R449" s="23">
        <f>SHADOW(R439,INDEX(Data_Prices!R:R,MATCH($G449,Data_Prices!$A:$A,0)),R$460)</f>
        <v>11.658564955509688</v>
      </c>
      <c r="S449" s="23">
        <f>SHADOW(S439,INDEX(Data_Prices!S:S,MATCH($G449,Data_Prices!$A:$A,0)),S$460)</f>
        <v>12.839547877397377</v>
      </c>
      <c r="T449" s="23">
        <f>SHADOW(T439,INDEX(Data_Prices!T:T,MATCH($G449,Data_Prices!$A:$A,0)),T$460)</f>
        <v>14.01568166602283</v>
      </c>
      <c r="U449" s="23">
        <f>SHADOW(U439,INDEX(Data_Prices!U:U,MATCH($G449,Data_Prices!$A:$A,0)),U$460)</f>
        <v>15.194397765557106</v>
      </c>
      <c r="V449" s="23">
        <f>SHADOW(V439,INDEX(Data_Prices!V:V,MATCH($G449,Data_Prices!$A:$A,0)),V$460)</f>
        <v>16.444397765557106</v>
      </c>
      <c r="W449" s="23">
        <f>SHADOW(W439,INDEX(Data_Prices!W:W,MATCH($G449,Data_Prices!$A:$A,0)),W$460)</f>
        <v>17.694397765557106</v>
      </c>
      <c r="X449" s="23">
        <f>SHADOW(X439,INDEX(Data_Prices!X:X,MATCH($G449,Data_Prices!$A:$A,0)),X$460)</f>
        <v>18.944397765557106</v>
      </c>
      <c r="Y449" s="23">
        <f>SHADOW(Y439,INDEX(Data_Prices!Y:Y,MATCH($G449,Data_Prices!$A:$A,0)),Y$460)</f>
        <v>20.194397765557106</v>
      </c>
      <c r="Z449" s="23">
        <f>SHADOW(Z439,INDEX(Data_Prices!Z:Z,MATCH($G449,Data_Prices!$A:$A,0)),Z$460)</f>
        <v>21.444397765557106</v>
      </c>
      <c r="AA449" s="23">
        <f>SHADOW(AA439,INDEX(Data_Prices!AA:AA,MATCH($G449,Data_Prices!$A:$A,0)),AA$460)</f>
        <v>22.694397765557106</v>
      </c>
      <c r="AB449" s="23">
        <f>SHADOW(AB439,INDEX(Data_Prices!AB:AB,MATCH($G449,Data_Prices!$A:$A,0)),AB$460)</f>
        <v>23.944397765557106</v>
      </c>
      <c r="AC449" s="23">
        <f>SHADOW(AC439,INDEX(Data_Prices!AC:AC,MATCH($G449,Data_Prices!$A:$A,0)),AC$460)</f>
        <v>25.194397765557106</v>
      </c>
      <c r="AD449" s="23">
        <f>SHADOW(AD439,INDEX(Data_Prices!AD:AD,MATCH($G449,Data_Prices!$A:$A,0)),AD$460)</f>
        <v>26.444397765557106</v>
      </c>
      <c r="AE449" s="23">
        <f>SHADOW(AE439,INDEX(Data_Prices!AE:AE,MATCH($G449,Data_Prices!$A:$A,0)),AE$460)</f>
        <v>27.694397765557106</v>
      </c>
    </row>
    <row r="450" spans="2:31" x14ac:dyDescent="0.25">
      <c r="B450" s="17" t="s">
        <v>57</v>
      </c>
      <c r="C450" s="17" t="str">
        <f t="shared" si="44"/>
        <v>mch</v>
      </c>
      <c r="D450" s="18" t="s">
        <v>58</v>
      </c>
      <c r="E450" s="19" t="s">
        <v>55</v>
      </c>
      <c r="F450" s="17" t="s">
        <v>79</v>
      </c>
      <c r="G450" s="20" t="str">
        <f>Settings!$B$3&amp;".mit.shp."&amp;$B450&amp;"."&amp;Settings!$B$4&amp;"."&amp;$J$427</f>
        <v>egy.mit.shp.nga.ind.2</v>
      </c>
      <c r="H450" s="21" t="str">
        <f>OUTCODE(Settings!$B$3,"shp",$C$427,$B450,$J$427)</f>
        <v>egy.mit.shp.mch.nga.e.2</v>
      </c>
      <c r="K450" s="23">
        <f>SHADOW(K440,INDEX(Data_Prices!K:K,MATCH($G450,Data_Prices!$A:$A,0)),K$460)</f>
        <v>6.0634636156729131</v>
      </c>
      <c r="L450" s="23">
        <f>SHADOW(L440,INDEX(Data_Prices!L:L,MATCH($G450,Data_Prices!$A:$A,0)),L$460)</f>
        <v>5.4510150816191896</v>
      </c>
      <c r="M450" s="23">
        <f>SHADOW(M440,INDEX(Data_Prices!M:M,MATCH($G450,Data_Prices!$A:$A,0)),M$460)</f>
        <v>5.1193563062624818</v>
      </c>
      <c r="N450" s="23">
        <f>SHADOW(N440,INDEX(Data_Prices!N:N,MATCH($G450,Data_Prices!$A:$A,0)),N$460)</f>
        <v>5.0821845864040727</v>
      </c>
      <c r="O450" s="23">
        <f>SHADOW(O440,INDEX(Data_Prices!O:O,MATCH($G450,Data_Prices!$A:$A,0)),O$460)</f>
        <v>5.0821845864040727</v>
      </c>
      <c r="P450" s="23">
        <f>SHADOW(P440,INDEX(Data_Prices!P:P,MATCH($G450,Data_Prices!$A:$A,0)),P$460)</f>
        <v>5.0821845864040727</v>
      </c>
      <c r="Q450" s="23">
        <f>SHADOW(Q440,INDEX(Data_Prices!Q:Q,MATCH($G450,Data_Prices!$A:$A,0)),Q$460)</f>
        <v>5.7796845864040725</v>
      </c>
      <c r="R450" s="23">
        <f>SHADOW(R440,INDEX(Data_Prices!R:R,MATCH($G450,Data_Prices!$A:$A,0)),R$460)</f>
        <v>6.4771845864040731</v>
      </c>
      <c r="S450" s="23">
        <f>SHADOW(S440,INDEX(Data_Prices!S:S,MATCH($G450,Data_Prices!$A:$A,0)),S$460)</f>
        <v>7.1746845864040729</v>
      </c>
      <c r="T450" s="23">
        <f>SHADOW(T440,INDEX(Data_Prices!T:T,MATCH($G450,Data_Prices!$A:$A,0)),T$460)</f>
        <v>7.8721845864040736</v>
      </c>
      <c r="U450" s="23">
        <f>SHADOW(U440,INDEX(Data_Prices!U:U,MATCH($G450,Data_Prices!$A:$A,0)),U$460)</f>
        <v>8.5696845864040725</v>
      </c>
      <c r="V450" s="23">
        <f>SHADOW(V440,INDEX(Data_Prices!V:V,MATCH($G450,Data_Prices!$A:$A,0)),V$460)</f>
        <v>9.2671845864040723</v>
      </c>
      <c r="W450" s="23">
        <f>SHADOW(W440,INDEX(Data_Prices!W:W,MATCH($G450,Data_Prices!$A:$A,0)),W$460)</f>
        <v>9.9646845864040721</v>
      </c>
      <c r="X450" s="23">
        <f>SHADOW(X440,INDEX(Data_Prices!X:X,MATCH($G450,Data_Prices!$A:$A,0)),X$460)</f>
        <v>10.662184586404072</v>
      </c>
      <c r="Y450" s="23">
        <f>SHADOW(Y440,INDEX(Data_Prices!Y:Y,MATCH($G450,Data_Prices!$A:$A,0)),Y$460)</f>
        <v>11.359684586404072</v>
      </c>
      <c r="Z450" s="23">
        <f>SHADOW(Z440,INDEX(Data_Prices!Z:Z,MATCH($G450,Data_Prices!$A:$A,0)),Z$460)</f>
        <v>12.057184586404073</v>
      </c>
      <c r="AA450" s="23">
        <f>SHADOW(AA440,INDEX(Data_Prices!AA:AA,MATCH($G450,Data_Prices!$A:$A,0)),AA$460)</f>
        <v>12.754684586404071</v>
      </c>
      <c r="AB450" s="23">
        <f>SHADOW(AB440,INDEX(Data_Prices!AB:AB,MATCH($G450,Data_Prices!$A:$A,0)),AB$460)</f>
        <v>13.452184586404073</v>
      </c>
      <c r="AC450" s="23">
        <f>SHADOW(AC440,INDEX(Data_Prices!AC:AC,MATCH($G450,Data_Prices!$A:$A,0)),AC$460)</f>
        <v>14.149684586404071</v>
      </c>
      <c r="AD450" s="23">
        <f>SHADOW(AD440,INDEX(Data_Prices!AD:AD,MATCH($G450,Data_Prices!$A:$A,0)),AD$460)</f>
        <v>14.847184586404072</v>
      </c>
      <c r="AE450" s="23">
        <f>SHADOW(AE440,INDEX(Data_Prices!AE:AE,MATCH($G450,Data_Prices!$A:$A,0)),AE$460)</f>
        <v>15.544684586404072</v>
      </c>
    </row>
    <row r="451" spans="2:31" x14ac:dyDescent="0.25">
      <c r="B451" s="17" t="s">
        <v>59</v>
      </c>
      <c r="C451" s="17" t="str">
        <f t="shared" si="44"/>
        <v>mch</v>
      </c>
      <c r="D451" s="18" t="s">
        <v>60</v>
      </c>
      <c r="E451" s="19" t="s">
        <v>61</v>
      </c>
      <c r="F451" s="17" t="s">
        <v>79</v>
      </c>
      <c r="G451" s="20" t="str">
        <f>Settings!$B$3&amp;".mit.shp."&amp;$B451&amp;"."&amp;Settings!$B$4&amp;"."&amp;$J$427</f>
        <v>egy.mit.shp.gso.ind.2</v>
      </c>
      <c r="H451" s="21" t="str">
        <f>OUTCODE(Settings!$B$3,"shp",$C$427,$B451,$J$427)</f>
        <v>egy.mit.shp.mch.gso.e.2</v>
      </c>
      <c r="K451" s="23">
        <f>SHADOW(K441,INDEX(Data_Prices!K:K,MATCH($G451,Data_Prices!$A:$A,0)),K$460)</f>
        <v>0.67114653332181606</v>
      </c>
      <c r="L451" s="23">
        <f>SHADOW(L441,INDEX(Data_Prices!L:L,MATCH($G451,Data_Prices!$A:$A,0)),L$460)</f>
        <v>0.61197797679140631</v>
      </c>
      <c r="M451" s="23">
        <f>SHADOW(M441,INDEX(Data_Prices!M:M,MATCH($G451,Data_Prices!$A:$A,0)),M$460)</f>
        <v>0.61180974964187596</v>
      </c>
      <c r="N451" s="23">
        <f>SHADOW(N441,INDEX(Data_Prices!N:N,MATCH($G451,Data_Prices!$A:$A,0)),N$460)</f>
        <v>0.60358310017790551</v>
      </c>
      <c r="O451" s="23">
        <f>SHADOW(O441,INDEX(Data_Prices!O:O,MATCH($G451,Data_Prices!$A:$A,0)),O$460)</f>
        <v>0.60358310017790551</v>
      </c>
      <c r="P451" s="23">
        <f>SHADOW(P441,INDEX(Data_Prices!P:P,MATCH($G451,Data_Prices!$A:$A,0)),P$460)</f>
        <v>0.60358310017790551</v>
      </c>
      <c r="Q451" s="23">
        <f>SHADOW(Q441,INDEX(Data_Prices!Q:Q,MATCH($G451,Data_Prices!$A:$A,0)),Q$460)</f>
        <v>0.6325109433494055</v>
      </c>
      <c r="R451" s="23">
        <f>SHADOW(R441,INDEX(Data_Prices!R:R,MATCH($G451,Data_Prices!$A:$A,0)),R$460)</f>
        <v>0.66143878652090549</v>
      </c>
      <c r="S451" s="23">
        <f>SHADOW(S441,INDEX(Data_Prices!S:S,MATCH($G451,Data_Prices!$A:$A,0)),S$460)</f>
        <v>0.69036662969240548</v>
      </c>
      <c r="T451" s="23">
        <f>SHADOW(T441,INDEX(Data_Prices!T:T,MATCH($G451,Data_Prices!$A:$A,0)),T$460)</f>
        <v>0.71929447286390547</v>
      </c>
      <c r="U451" s="23">
        <f>SHADOW(U441,INDEX(Data_Prices!U:U,MATCH($G451,Data_Prices!$A:$A,0)),U$460)</f>
        <v>0.74822231603540557</v>
      </c>
      <c r="V451" s="23">
        <f>SHADOW(V441,INDEX(Data_Prices!V:V,MATCH($G451,Data_Prices!$A:$A,0)),V$460)</f>
        <v>0.77715015920690544</v>
      </c>
      <c r="W451" s="23">
        <f>SHADOW(W441,INDEX(Data_Prices!W:W,MATCH($G451,Data_Prices!$A:$A,0)),W$460)</f>
        <v>0.80607800237840554</v>
      </c>
      <c r="X451" s="23">
        <f>SHADOW(X441,INDEX(Data_Prices!X:X,MATCH($G451,Data_Prices!$A:$A,0)),X$460)</f>
        <v>0.83500584554990553</v>
      </c>
      <c r="Y451" s="23">
        <f>SHADOW(Y441,INDEX(Data_Prices!Y:Y,MATCH($G451,Data_Prices!$A:$A,0)),Y$460)</f>
        <v>0.86393368872140552</v>
      </c>
      <c r="Z451" s="23">
        <f>SHADOW(Z441,INDEX(Data_Prices!Z:Z,MATCH($G451,Data_Prices!$A:$A,0)),Z$460)</f>
        <v>0.89286153189290551</v>
      </c>
      <c r="AA451" s="23">
        <f>SHADOW(AA441,INDEX(Data_Prices!AA:AA,MATCH($G451,Data_Prices!$A:$A,0)),AA$460)</f>
        <v>0.92178937506440561</v>
      </c>
      <c r="AB451" s="23">
        <f>SHADOW(AB441,INDEX(Data_Prices!AB:AB,MATCH($G451,Data_Prices!$A:$A,0)),AB$460)</f>
        <v>0.95071721823590549</v>
      </c>
      <c r="AC451" s="23">
        <f>SHADOW(AC441,INDEX(Data_Prices!AC:AC,MATCH($G451,Data_Prices!$A:$A,0)),AC$460)</f>
        <v>0.97964506140740548</v>
      </c>
      <c r="AD451" s="23">
        <f>SHADOW(AD441,INDEX(Data_Prices!AD:AD,MATCH($G451,Data_Prices!$A:$A,0)),AD$460)</f>
        <v>1.0085729045789056</v>
      </c>
      <c r="AE451" s="23">
        <f>SHADOW(AE441,INDEX(Data_Prices!AE:AE,MATCH($G451,Data_Prices!$A:$A,0)),AE$460)</f>
        <v>1.0375007477504057</v>
      </c>
    </row>
    <row r="452" spans="2:31" x14ac:dyDescent="0.25">
      <c r="B452" s="17" t="s">
        <v>62</v>
      </c>
      <c r="C452" s="17" t="str">
        <f t="shared" si="44"/>
        <v>mch</v>
      </c>
      <c r="D452" s="18" t="s">
        <v>63</v>
      </c>
      <c r="E452" s="19" t="s">
        <v>61</v>
      </c>
      <c r="F452" s="17" t="s">
        <v>79</v>
      </c>
      <c r="G452" s="20" t="str">
        <f>Settings!$B$3&amp;".mit.shp."&amp;$B452&amp;"."&amp;Settings!$B$4&amp;"."&amp;$J$427</f>
        <v>egy.mit.shp.die.ind.2</v>
      </c>
      <c r="H452" s="21" t="str">
        <f>OUTCODE(Settings!$B$3,"shp",$C$427,$B452,$J$427)</f>
        <v>egy.mit.shp.mch.die.e.2</v>
      </c>
      <c r="K452" s="23">
        <f>SHADOW(K442,INDEX(Data_Prices!K:K,MATCH($G452,Data_Prices!$A:$A,0)),K$460)</f>
        <v>0.55971121315568761</v>
      </c>
      <c r="L452" s="23">
        <f>SHADOW(L442,INDEX(Data_Prices!L:L,MATCH($G452,Data_Prices!$A:$A,0)),L$460)</f>
        <v>0.49458873084106802</v>
      </c>
      <c r="M452" s="23">
        <f>SHADOW(M442,INDEX(Data_Prices!M:M,MATCH($G452,Data_Prices!$A:$A,0)),M$460)</f>
        <v>0.50778654720250049</v>
      </c>
      <c r="N452" s="23">
        <f>SHADOW(N442,INDEX(Data_Prices!N:N,MATCH($G452,Data_Prices!$A:$A,0)),N$460)</f>
        <v>0.47043642679561742</v>
      </c>
      <c r="O452" s="23">
        <f>SHADOW(O442,INDEX(Data_Prices!O:O,MATCH($G452,Data_Prices!$A:$A,0)),O$460)</f>
        <v>0.47043642679561742</v>
      </c>
      <c r="P452" s="23">
        <f>SHADOW(P442,INDEX(Data_Prices!P:P,MATCH($G452,Data_Prices!$A:$A,0)),P$460)</f>
        <v>0.47043642679561742</v>
      </c>
      <c r="Q452" s="23">
        <f>SHADOW(Q442,INDEX(Data_Prices!Q:Q,MATCH($G452,Data_Prices!$A:$A,0)),Q$460)</f>
        <v>0.50344686565449237</v>
      </c>
      <c r="R452" s="23">
        <f>SHADOW(R442,INDEX(Data_Prices!R:R,MATCH($G452,Data_Prices!$A:$A,0)),R$460)</f>
        <v>0.53645730451336737</v>
      </c>
      <c r="S452" s="23">
        <f>SHADOW(S442,INDEX(Data_Prices!S:S,MATCH($G452,Data_Prices!$A:$A,0)),S$460)</f>
        <v>0.56946774337224249</v>
      </c>
      <c r="T452" s="23">
        <f>SHADOW(T442,INDEX(Data_Prices!T:T,MATCH($G452,Data_Prices!$A:$A,0)),T$460)</f>
        <v>0.60247818223111738</v>
      </c>
      <c r="U452" s="23">
        <f>SHADOW(U442,INDEX(Data_Prices!U:U,MATCH($G452,Data_Prices!$A:$A,0)),U$460)</f>
        <v>0.63548862108999238</v>
      </c>
      <c r="V452" s="23">
        <f>SHADOW(V442,INDEX(Data_Prices!V:V,MATCH($G452,Data_Prices!$A:$A,0)),V$460)</f>
        <v>0.66849905994886738</v>
      </c>
      <c r="W452" s="23">
        <f>SHADOW(W442,INDEX(Data_Prices!W:W,MATCH($G452,Data_Prices!$A:$A,0)),W$460)</f>
        <v>0.70150949880774238</v>
      </c>
      <c r="X452" s="23">
        <f>SHADOW(X442,INDEX(Data_Prices!X:X,MATCH($G452,Data_Prices!$A:$A,0)),X$460)</f>
        <v>0.73451993766661738</v>
      </c>
      <c r="Y452" s="23">
        <f>SHADOW(Y442,INDEX(Data_Prices!Y:Y,MATCH($G452,Data_Prices!$A:$A,0)),Y$460)</f>
        <v>0.76753037652549239</v>
      </c>
      <c r="Z452" s="23">
        <f>SHADOW(Z442,INDEX(Data_Prices!Z:Z,MATCH($G452,Data_Prices!$A:$A,0)),Z$460)</f>
        <v>0.80054081538436739</v>
      </c>
      <c r="AA452" s="23">
        <f>SHADOW(AA442,INDEX(Data_Prices!AA:AA,MATCH($G452,Data_Prices!$A:$A,0)),AA$460)</f>
        <v>0.83355125424324239</v>
      </c>
      <c r="AB452" s="23">
        <f>SHADOW(AB442,INDEX(Data_Prices!AB:AB,MATCH($G452,Data_Prices!$A:$A,0)),AB$460)</f>
        <v>0.86656169310211739</v>
      </c>
      <c r="AC452" s="23">
        <f>SHADOW(AC442,INDEX(Data_Prices!AC:AC,MATCH($G452,Data_Prices!$A:$A,0)),AC$460)</f>
        <v>0.89957213196099239</v>
      </c>
      <c r="AD452" s="23">
        <f>SHADOW(AD442,INDEX(Data_Prices!AD:AD,MATCH($G452,Data_Prices!$A:$A,0)),AD$460)</f>
        <v>0.9325825708198674</v>
      </c>
      <c r="AE452" s="23">
        <f>SHADOW(AE442,INDEX(Data_Prices!AE:AE,MATCH($G452,Data_Prices!$A:$A,0)),AE$460)</f>
        <v>0.9655930096787424</v>
      </c>
    </row>
    <row r="453" spans="2:31" x14ac:dyDescent="0.25">
      <c r="B453" s="17" t="s">
        <v>64</v>
      </c>
      <c r="C453" s="17" t="str">
        <f t="shared" si="44"/>
        <v>mch</v>
      </c>
      <c r="D453" s="18" t="s">
        <v>65</v>
      </c>
      <c r="E453" s="19" t="s">
        <v>61</v>
      </c>
      <c r="F453" s="17" t="s">
        <v>79</v>
      </c>
      <c r="G453" s="20" t="str">
        <f>Settings!$B$3&amp;".mit.shp."&amp;$B453&amp;"."&amp;Settings!$B$4&amp;"."&amp;$J$427</f>
        <v>egy.mit.shp.lpg.ind.2</v>
      </c>
      <c r="H453" s="21" t="str">
        <f>OUTCODE(Settings!$B$3,"shp",$C$427,$B453,$J$427)</f>
        <v>egy.mit.shp.mch.lpg.e.2</v>
      </c>
      <c r="K453" s="23">
        <f>SHADOW(K443,INDEX(Data_Prices!K:K,MATCH($G453,Data_Prices!$A:$A,0)),K$460)</f>
        <v>0.20036669112673841</v>
      </c>
      <c r="L453" s="23">
        <f>SHADOW(L443,INDEX(Data_Prices!L:L,MATCH($G453,Data_Prices!$A:$A,0)),L$460)</f>
        <v>0.1573447362522738</v>
      </c>
      <c r="M453" s="23">
        <f>SHADOW(M443,INDEX(Data_Prices!M:M,MATCH($G453,Data_Prices!$A:$A,0)),M$460)</f>
        <v>0.1644840377592767</v>
      </c>
      <c r="N453" s="23">
        <f>SHADOW(N443,INDEX(Data_Prices!N:N,MATCH($G453,Data_Prices!$A:$A,0)),N$460)</f>
        <v>0.1507090778070489</v>
      </c>
      <c r="O453" s="23">
        <f>SHADOW(O443,INDEX(Data_Prices!O:O,MATCH($G453,Data_Prices!$A:$A,0)),O$460)</f>
        <v>0.1507090778070489</v>
      </c>
      <c r="P453" s="23">
        <f>SHADOW(P443,INDEX(Data_Prices!P:P,MATCH($G453,Data_Prices!$A:$A,0)),P$460)</f>
        <v>0.1507090778070489</v>
      </c>
      <c r="Q453" s="23">
        <f>SHADOW(Q443,INDEX(Data_Prices!Q:Q,MATCH($G453,Data_Prices!$A:$A,0)),Q$460)</f>
        <v>0.17281516073434458</v>
      </c>
      <c r="R453" s="23">
        <f>SHADOW(R443,INDEX(Data_Prices!R:R,MATCH($G453,Data_Prices!$A:$A,0)),R$460)</f>
        <v>0.19492124366164029</v>
      </c>
      <c r="S453" s="23">
        <f>SHADOW(S443,INDEX(Data_Prices!S:S,MATCH($G453,Data_Prices!$A:$A,0)),S$460)</f>
        <v>0.21702732658893598</v>
      </c>
      <c r="T453" s="23">
        <f>SHADOW(T443,INDEX(Data_Prices!T:T,MATCH($G453,Data_Prices!$A:$A,0)),T$460)</f>
        <v>0.23913340951623169</v>
      </c>
      <c r="U453" s="23">
        <f>SHADOW(U443,INDEX(Data_Prices!U:U,MATCH($G453,Data_Prices!$A:$A,0)),U$460)</f>
        <v>0.2612394924435274</v>
      </c>
      <c r="V453" s="23">
        <f>SHADOW(V443,INDEX(Data_Prices!V:V,MATCH($G453,Data_Prices!$A:$A,0)),V$460)</f>
        <v>0.28334557537082311</v>
      </c>
      <c r="W453" s="23">
        <f>SHADOW(W443,INDEX(Data_Prices!W:W,MATCH($G453,Data_Prices!$A:$A,0)),W$460)</f>
        <v>0.30545165829811882</v>
      </c>
      <c r="X453" s="23">
        <f>SHADOW(X443,INDEX(Data_Prices!X:X,MATCH($G453,Data_Prices!$A:$A,0)),X$460)</f>
        <v>0.32755774122541448</v>
      </c>
      <c r="Y453" s="23">
        <f>SHADOW(Y443,INDEX(Data_Prices!Y:Y,MATCH($G453,Data_Prices!$A:$A,0)),Y$460)</f>
        <v>0.34966382415271013</v>
      </c>
      <c r="Z453" s="23">
        <f>SHADOW(Z443,INDEX(Data_Prices!Z:Z,MATCH($G453,Data_Prices!$A:$A,0)),Z$460)</f>
        <v>0.37176990708000579</v>
      </c>
      <c r="AA453" s="23">
        <f>SHADOW(AA443,INDEX(Data_Prices!AA:AA,MATCH($G453,Data_Prices!$A:$A,0)),AA$460)</f>
        <v>0.3938759900073015</v>
      </c>
      <c r="AB453" s="23">
        <f>SHADOW(AB443,INDEX(Data_Prices!AB:AB,MATCH($G453,Data_Prices!$A:$A,0)),AB$460)</f>
        <v>0.41598207293459721</v>
      </c>
      <c r="AC453" s="23">
        <f>SHADOW(AC443,INDEX(Data_Prices!AC:AC,MATCH($G453,Data_Prices!$A:$A,0)),AC$460)</f>
        <v>0.43808815586189287</v>
      </c>
      <c r="AD453" s="23">
        <f>SHADOW(AD443,INDEX(Data_Prices!AD:AD,MATCH($G453,Data_Prices!$A:$A,0)),AD$460)</f>
        <v>0.46019423878918858</v>
      </c>
      <c r="AE453" s="23">
        <f>SHADOW(AE443,INDEX(Data_Prices!AE:AE,MATCH($G453,Data_Prices!$A:$A,0)),AE$460)</f>
        <v>0.48230032171648429</v>
      </c>
    </row>
    <row r="454" spans="2:31" x14ac:dyDescent="0.25">
      <c r="B454" s="17" t="s">
        <v>66</v>
      </c>
      <c r="C454" s="17" t="str">
        <f t="shared" si="44"/>
        <v>mch</v>
      </c>
      <c r="D454" s="18" t="s">
        <v>67</v>
      </c>
      <c r="E454" s="19" t="s">
        <v>61</v>
      </c>
      <c r="F454" s="17" t="s">
        <v>79</v>
      </c>
      <c r="G454" s="20" t="str">
        <f>Settings!$B$3&amp;".mit.shp."&amp;$B454&amp;"."&amp;Settings!$B$4&amp;"."&amp;$J$427</f>
        <v>egy.mit.shp.ker.ind.2</v>
      </c>
      <c r="H454" s="21" t="str">
        <f>OUTCODE(Settings!$B$3,"shp",$C$427,$B454,$J$427)</f>
        <v>egy.mit.shp.mch.ker.e.2</v>
      </c>
      <c r="K454" s="23">
        <f>SHADOW(K444,INDEX(Data_Prices!K:K,MATCH($G454,Data_Prices!$A:$A,0)),K$460)</f>
        <v>0.48429424097343482</v>
      </c>
      <c r="L454" s="23">
        <f>SHADOW(L444,INDEX(Data_Prices!L:L,MATCH($G454,Data_Prices!$A:$A,0)),L$460)</f>
        <v>0.45642817050012813</v>
      </c>
      <c r="M454" s="23">
        <f>SHADOW(M444,INDEX(Data_Prices!M:M,MATCH($G454,Data_Prices!$A:$A,0)),M$460)</f>
        <v>0.43168920195599519</v>
      </c>
      <c r="N454" s="23">
        <f>SHADOW(N444,INDEX(Data_Prices!N:N,MATCH($G454,Data_Prices!$A:$A,0)),N$460)</f>
        <v>0.42507558395596989</v>
      </c>
      <c r="O454" s="23">
        <f>SHADOW(O444,INDEX(Data_Prices!O:O,MATCH($G454,Data_Prices!$A:$A,0)),O$460)</f>
        <v>0.42507558395596989</v>
      </c>
      <c r="P454" s="23">
        <f>SHADOW(P444,INDEX(Data_Prices!P:P,MATCH($G454,Data_Prices!$A:$A,0)),P$460)</f>
        <v>0.42507558395596989</v>
      </c>
      <c r="Q454" s="23">
        <f>SHADOW(Q444,INDEX(Data_Prices!Q:Q,MATCH($G454,Data_Prices!$A:$A,0)),Q$460)</f>
        <v>0.45706441406607839</v>
      </c>
      <c r="R454" s="23">
        <f>SHADOW(R444,INDEX(Data_Prices!R:R,MATCH($G454,Data_Prices!$A:$A,0)),R$460)</f>
        <v>0.4890532441761869</v>
      </c>
      <c r="S454" s="23">
        <f>SHADOW(S444,INDEX(Data_Prices!S:S,MATCH($G454,Data_Prices!$A:$A,0)),S$460)</f>
        <v>0.52104207428629545</v>
      </c>
      <c r="T454" s="23">
        <f>SHADOW(T444,INDEX(Data_Prices!T:T,MATCH($G454,Data_Prices!$A:$A,0)),T$460)</f>
        <v>0.5530309043964039</v>
      </c>
      <c r="U454" s="23">
        <f>SHADOW(U444,INDEX(Data_Prices!U:U,MATCH($G454,Data_Prices!$A:$A,0)),U$460)</f>
        <v>0.58501973450651246</v>
      </c>
      <c r="V454" s="23">
        <f>SHADOW(V444,INDEX(Data_Prices!V:V,MATCH($G454,Data_Prices!$A:$A,0)),V$460)</f>
        <v>0.6170085646166209</v>
      </c>
      <c r="W454" s="23">
        <f>SHADOW(W444,INDEX(Data_Prices!W:W,MATCH($G454,Data_Prices!$A:$A,0)),W$460)</f>
        <v>0.64899739472672935</v>
      </c>
      <c r="X454" s="23">
        <f>SHADOW(X444,INDEX(Data_Prices!X:X,MATCH($G454,Data_Prices!$A:$A,0)),X$460)</f>
        <v>0.68098622483683791</v>
      </c>
      <c r="Y454" s="23">
        <f>SHADOW(Y444,INDEX(Data_Prices!Y:Y,MATCH($G454,Data_Prices!$A:$A,0)),Y$460)</f>
        <v>0.71297505494694646</v>
      </c>
      <c r="Z454" s="23">
        <f>SHADOW(Z444,INDEX(Data_Prices!Z:Z,MATCH($G454,Data_Prices!$A:$A,0)),Z$460)</f>
        <v>0.7449638850570548</v>
      </c>
      <c r="AA454" s="23">
        <f>SHADOW(AA444,INDEX(Data_Prices!AA:AA,MATCH($G454,Data_Prices!$A:$A,0)),AA$460)</f>
        <v>0.77695271516716335</v>
      </c>
      <c r="AB454" s="23">
        <f>SHADOW(AB444,INDEX(Data_Prices!AB:AB,MATCH($G454,Data_Prices!$A:$A,0)),AB$460)</f>
        <v>0.80894154527727191</v>
      </c>
      <c r="AC454" s="23">
        <f>SHADOW(AC444,INDEX(Data_Prices!AC:AC,MATCH($G454,Data_Prices!$A:$A,0)),AC$460)</f>
        <v>0.84093037538738025</v>
      </c>
      <c r="AD454" s="23">
        <f>SHADOW(AD444,INDEX(Data_Prices!AD:AD,MATCH($G454,Data_Prices!$A:$A,0)),AD$460)</f>
        <v>0.8729192054974888</v>
      </c>
      <c r="AE454" s="23">
        <f>SHADOW(AE444,INDEX(Data_Prices!AE:AE,MATCH($G454,Data_Prices!$A:$A,0)),AE$460)</f>
        <v>0.90490803560759736</v>
      </c>
    </row>
    <row r="455" spans="2:31" x14ac:dyDescent="0.25">
      <c r="B455" s="17" t="s">
        <v>68</v>
      </c>
      <c r="C455" s="17" t="str">
        <f t="shared" si="44"/>
        <v>mch</v>
      </c>
      <c r="D455" s="18" t="s">
        <v>69</v>
      </c>
      <c r="E455" s="19" t="s">
        <v>70</v>
      </c>
      <c r="F455" s="17" t="s">
        <v>79</v>
      </c>
      <c r="G455" s="20" t="str">
        <f>Settings!$B$3&amp;".mit.shp."&amp;$B455&amp;"."&amp;Settings!$B$4&amp;"."&amp;$J$427</f>
        <v>egy.mit.shp.oop.ind.2</v>
      </c>
      <c r="H455" s="21" t="str">
        <f>OUTCODE(Settings!$B$3,"shp",$C$427,$B455,$J$427)</f>
        <v>egy.mit.shp.mch.oop.e.2</v>
      </c>
      <c r="K455" s="23">
        <f>SHADOW(K445,INDEX(Data_Prices!K:K,MATCH($G455,Data_Prices!$A:$A,0)),K$460)</f>
        <v>41.50033849886843</v>
      </c>
      <c r="L455" s="23">
        <f>SHADOW(L445,INDEX(Data_Prices!L:L,MATCH($G455,Data_Prices!$A:$A,0)),L$460)</f>
        <v>34.415370304313228</v>
      </c>
      <c r="M455" s="23">
        <f>SHADOW(M445,INDEX(Data_Prices!M:M,MATCH($G455,Data_Prices!$A:$A,0)),M$460)</f>
        <v>37.368960690432033</v>
      </c>
      <c r="N455" s="23">
        <f>SHADOW(N445,INDEX(Data_Prices!N:N,MATCH($G455,Data_Prices!$A:$A,0)),N$460)</f>
        <v>28.982761101477251</v>
      </c>
      <c r="O455" s="23">
        <f>SHADOW(O445,INDEX(Data_Prices!O:O,MATCH($G455,Data_Prices!$A:$A,0)),O$460)</f>
        <v>15</v>
      </c>
      <c r="P455" s="23">
        <f>SHADOW(P445,INDEX(Data_Prices!P:P,MATCH($G455,Data_Prices!$A:$A,0)),P$460)</f>
        <v>24.2586300842555</v>
      </c>
      <c r="Q455" s="23">
        <f>SHADOW(Q445,INDEX(Data_Prices!Q:Q,MATCH($G455,Data_Prices!$A:$A,0)),Q$460)</f>
        <v>18.963758196132449</v>
      </c>
      <c r="R455" s="23">
        <f>SHADOW(R445,INDEX(Data_Prices!R:R,MATCH($G455,Data_Prices!$A:$A,0)),R$460)</f>
        <v>21.76034511401058</v>
      </c>
      <c r="S455" s="23">
        <f>SHADOW(S445,INDEX(Data_Prices!S:S,MATCH($G455,Data_Prices!$A:$A,0)),S$460)</f>
        <v>26.079880691373617</v>
      </c>
      <c r="T455" s="23">
        <f>SHADOW(T445,INDEX(Data_Prices!T:T,MATCH($G455,Data_Prices!$A:$A,0)),T$460)</f>
        <v>30.593682445209222</v>
      </c>
      <c r="U455" s="23">
        <f>SHADOW(U445,INDEX(Data_Prices!U:U,MATCH($G455,Data_Prices!$A:$A,0)),U$460)</f>
        <v>34.990509739410058</v>
      </c>
      <c r="V455" s="23">
        <f>SHADOW(V445,INDEX(Data_Prices!V:V,MATCH($G455,Data_Prices!$A:$A,0)),V$460)</f>
        <v>40.858059739410059</v>
      </c>
      <c r="W455" s="23">
        <f>SHADOW(W445,INDEX(Data_Prices!W:W,MATCH($G455,Data_Prices!$A:$A,0)),W$460)</f>
        <v>46.725609739410061</v>
      </c>
      <c r="X455" s="23">
        <f>SHADOW(X445,INDEX(Data_Prices!X:X,MATCH($G455,Data_Prices!$A:$A,0)),X$460)</f>
        <v>52.593159739410055</v>
      </c>
      <c r="Y455" s="23">
        <f>SHADOW(Y445,INDEX(Data_Prices!Y:Y,MATCH($G455,Data_Prices!$A:$A,0)),Y$460)</f>
        <v>58.460709739410071</v>
      </c>
      <c r="Z455" s="23">
        <f>SHADOW(Z445,INDEX(Data_Prices!Z:Z,MATCH($G455,Data_Prices!$A:$A,0)),Z$460)</f>
        <v>64.328259739410072</v>
      </c>
      <c r="AA455" s="23">
        <f>SHADOW(AA445,INDEX(Data_Prices!AA:AA,MATCH($G455,Data_Prices!$A:$A,0)),AA$460)</f>
        <v>70.195809739410066</v>
      </c>
      <c r="AB455" s="23">
        <f>SHADOW(AB445,INDEX(Data_Prices!AB:AB,MATCH($G455,Data_Prices!$A:$A,0)),AB$460)</f>
        <v>76.06335973941006</v>
      </c>
      <c r="AC455" s="23">
        <f>SHADOW(AC445,INDEX(Data_Prices!AC:AC,MATCH($G455,Data_Prices!$A:$A,0)),AC$460)</f>
        <v>81.930909739410055</v>
      </c>
      <c r="AD455" s="23">
        <f>SHADOW(AD445,INDEX(Data_Prices!AD:AD,MATCH($G455,Data_Prices!$A:$A,0)),AD$460)</f>
        <v>87.798459739410063</v>
      </c>
      <c r="AE455" s="23">
        <f>SHADOW(AE445,INDEX(Data_Prices!AE:AE,MATCH($G455,Data_Prices!$A:$A,0)),AE$460)</f>
        <v>93.666009739410057</v>
      </c>
    </row>
    <row r="456" spans="2:31" x14ac:dyDescent="0.25">
      <c r="B456" s="17" t="s">
        <v>71</v>
      </c>
      <c r="C456" s="17" t="str">
        <f t="shared" si="44"/>
        <v>mch</v>
      </c>
      <c r="D456" s="18" t="s">
        <v>72</v>
      </c>
      <c r="E456" s="19" t="s">
        <v>55</v>
      </c>
      <c r="F456" s="17" t="s">
        <v>79</v>
      </c>
      <c r="G456" s="20" t="str">
        <f>Settings!$B$3&amp;".mit.shp."&amp;$B456&amp;"."&amp;Settings!$B$4&amp;"."&amp;$J$427</f>
        <v>egy.mit.shp.bio.ind.2</v>
      </c>
      <c r="H456" s="21" t="str">
        <f>OUTCODE(Settings!$B$3,"shp",$C$427,$B456,$J$427)</f>
        <v>egy.mit.shp.mch.bio.e.2</v>
      </c>
      <c r="K456" s="23">
        <f>SHADOW(K446,INDEX(Data_Prices!K:K,MATCH($G456,Data_Prices!$A:$A,0)),K$460)</f>
        <v>15.33455052931693</v>
      </c>
      <c r="L456" s="23">
        <f>SHADOW(L446,INDEX(Data_Prices!L:L,MATCH($G456,Data_Prices!$A:$A,0)),L$460)</f>
        <v>14.199528390634921</v>
      </c>
      <c r="M456" s="23">
        <f>SHADOW(M446,INDEX(Data_Prices!M:M,MATCH($G456,Data_Prices!$A:$A,0)),M$460)</f>
        <v>13.840441613315161</v>
      </c>
      <c r="N456" s="23">
        <f>SHADOW(N446,INDEX(Data_Prices!N:N,MATCH($G456,Data_Prices!$A:$A,0)),N$460)</f>
        <v>13.5677269404465</v>
      </c>
      <c r="O456" s="23">
        <f>SHADOW(O446,INDEX(Data_Prices!O:O,MATCH($G456,Data_Prices!$A:$A,0)),O$460)</f>
        <v>13.5677269404465</v>
      </c>
      <c r="P456" s="23">
        <f>SHADOW(P446,INDEX(Data_Prices!P:P,MATCH($G456,Data_Prices!$A:$A,0)),P$460)</f>
        <v>13.5677269404465</v>
      </c>
      <c r="Q456" s="23">
        <f>SHADOW(Q446,INDEX(Data_Prices!Q:Q,MATCH($G456,Data_Prices!$A:$A,0)),Q$460)</f>
        <v>13.5677269404465</v>
      </c>
      <c r="R456" s="23">
        <f>SHADOW(R446,INDEX(Data_Prices!R:R,MATCH($G456,Data_Prices!$A:$A,0)),R$460)</f>
        <v>13.5677269404465</v>
      </c>
      <c r="S456" s="23">
        <f>SHADOW(S446,INDEX(Data_Prices!S:S,MATCH($G456,Data_Prices!$A:$A,0)),S$460)</f>
        <v>13.5677269404465</v>
      </c>
      <c r="T456" s="23">
        <f>SHADOW(T446,INDEX(Data_Prices!T:T,MATCH($G456,Data_Prices!$A:$A,0)),T$460)</f>
        <v>13.5677269404465</v>
      </c>
      <c r="U456" s="23">
        <f>SHADOW(U446,INDEX(Data_Prices!U:U,MATCH($G456,Data_Prices!$A:$A,0)),U$460)</f>
        <v>13.5677269404465</v>
      </c>
      <c r="V456" s="23">
        <f>SHADOW(V446,INDEX(Data_Prices!V:V,MATCH($G456,Data_Prices!$A:$A,0)),V$460)</f>
        <v>13.5677269404465</v>
      </c>
      <c r="W456" s="23">
        <f>SHADOW(W446,INDEX(Data_Prices!W:W,MATCH($G456,Data_Prices!$A:$A,0)),W$460)</f>
        <v>13.5677269404465</v>
      </c>
      <c r="X456" s="23">
        <f>SHADOW(X446,INDEX(Data_Prices!X:X,MATCH($G456,Data_Prices!$A:$A,0)),X$460)</f>
        <v>13.5677269404465</v>
      </c>
      <c r="Y456" s="23">
        <f>SHADOW(Y446,INDEX(Data_Prices!Y:Y,MATCH($G456,Data_Prices!$A:$A,0)),Y$460)</f>
        <v>13.5677269404465</v>
      </c>
      <c r="Z456" s="23">
        <f>SHADOW(Z446,INDEX(Data_Prices!Z:Z,MATCH($G456,Data_Prices!$A:$A,0)),Z$460)</f>
        <v>13.5677269404465</v>
      </c>
      <c r="AA456" s="23">
        <f>SHADOW(AA446,INDEX(Data_Prices!AA:AA,MATCH($G456,Data_Prices!$A:$A,0)),AA$460)</f>
        <v>13.5677269404465</v>
      </c>
      <c r="AB456" s="23">
        <f>SHADOW(AB446,INDEX(Data_Prices!AB:AB,MATCH($G456,Data_Prices!$A:$A,0)),AB$460)</f>
        <v>13.5677269404465</v>
      </c>
      <c r="AC456" s="23">
        <f>SHADOW(AC446,INDEX(Data_Prices!AC:AC,MATCH($G456,Data_Prices!$A:$A,0)),AC$460)</f>
        <v>13.5677269404465</v>
      </c>
      <c r="AD456" s="23">
        <f>SHADOW(AD446,INDEX(Data_Prices!AD:AD,MATCH($G456,Data_Prices!$A:$A,0)),AD$460)</f>
        <v>13.5677269404465</v>
      </c>
      <c r="AE456" s="23">
        <f>SHADOW(AE446,INDEX(Data_Prices!AE:AE,MATCH($G456,Data_Prices!$A:$A,0)),AE$460)</f>
        <v>13.5677269404465</v>
      </c>
    </row>
    <row r="457" spans="2:31" x14ac:dyDescent="0.25">
      <c r="B457" s="17" t="s">
        <v>73</v>
      </c>
      <c r="C457" s="17" t="str">
        <f t="shared" si="44"/>
        <v>mch</v>
      </c>
      <c r="D457" s="18" t="s">
        <v>74</v>
      </c>
      <c r="E457" s="19" t="s">
        <v>75</v>
      </c>
      <c r="F457" s="17" t="s">
        <v>79</v>
      </c>
      <c r="G457" s="20" t="str">
        <f>Settings!$B$3&amp;".mit.shp."&amp;$B457&amp;"."&amp;Settings!$B$4&amp;"."&amp;$J$427</f>
        <v>egy.mit.shp.ren.ind.2</v>
      </c>
      <c r="H457" s="21" t="str">
        <f>OUTCODE(Settings!$B$3,"shp",$C$427,$B457,$J$427)</f>
        <v>egy.mit.shp.mch.ren.e.2</v>
      </c>
      <c r="K457" s="23">
        <f>SHADOW(K447,INDEX(Data_Prices!K:K,MATCH($G457,Data_Prices!$A:$A,0)),K$460)</f>
        <v>0</v>
      </c>
      <c r="L457" s="23">
        <f>SHADOW(L447,INDEX(Data_Prices!L:L,MATCH($G457,Data_Prices!$A:$A,0)),L$460)</f>
        <v>0.14404498679319799</v>
      </c>
      <c r="M457" s="23">
        <f>SHADOW(M447,INDEX(Data_Prices!M:M,MATCH($G457,Data_Prices!$A:$A,0)),M$460)</f>
        <v>0.14138624175135939</v>
      </c>
      <c r="N457" s="23">
        <f>SHADOW(N447,INDEX(Data_Prices!N:N,MATCH($G457,Data_Prices!$A:$A,0)),N$460)</f>
        <v>0.1353975654437313</v>
      </c>
      <c r="O457" s="23">
        <f>SHADOW(O447,INDEX(Data_Prices!O:O,MATCH($G457,Data_Prices!$A:$A,0)),O$460)</f>
        <v>0.13152288542065141</v>
      </c>
      <c r="P457" s="23">
        <f>SHADOW(P447,INDEX(Data_Prices!P:P,MATCH($G457,Data_Prices!$A:$A,0)),P$460)</f>
        <v>0.12882610848523129</v>
      </c>
      <c r="Q457" s="23">
        <f>SHADOW(Q447,INDEX(Data_Prices!Q:Q,MATCH($G457,Data_Prices!$A:$A,0)),Q$460)</f>
        <v>0.1259420097647401</v>
      </c>
      <c r="R457" s="23">
        <f>SHADOW(R447,INDEX(Data_Prices!R:R,MATCH($G457,Data_Prices!$A:$A,0)),R$460)</f>
        <v>0.1231132657018609</v>
      </c>
      <c r="S457" s="23">
        <f>SHADOW(S447,INDEX(Data_Prices!S:S,MATCH($G457,Data_Prices!$A:$A,0)),S$460)</f>
        <v>0.1193917380890684</v>
      </c>
      <c r="T457" s="23">
        <f>SHADOW(T447,INDEX(Data_Prices!T:T,MATCH($G457,Data_Prices!$A:$A,0)),T$460)</f>
        <v>0.1155441904679203</v>
      </c>
      <c r="U457" s="23">
        <f>SHADOW(U447,INDEX(Data_Prices!U:U,MATCH($G457,Data_Prices!$A:$A,0)),U$460)</f>
        <v>0.11492423065415899</v>
      </c>
      <c r="V457" s="23">
        <f>SHADOW(V447,INDEX(Data_Prices!V:V,MATCH($G457,Data_Prices!$A:$A,0)),V$460)</f>
        <v>0.11434691211673639</v>
      </c>
      <c r="W457" s="23">
        <f>SHADOW(W447,INDEX(Data_Prices!W:W,MATCH($G457,Data_Prices!$A:$A,0)),W$460)</f>
        <v>0.1137387111726635</v>
      </c>
      <c r="X457" s="23">
        <f>SHADOW(X447,INDEX(Data_Prices!X:X,MATCH($G457,Data_Prices!$A:$A,0)),X$460)</f>
        <v>0.1129999004875214</v>
      </c>
      <c r="Y457" s="23">
        <f>SHADOW(Y447,INDEX(Data_Prices!Y:Y,MATCH($G457,Data_Prices!$A:$A,0)),Y$460)</f>
        <v>0.11217768583553429</v>
      </c>
      <c r="Z457" s="23">
        <f>SHADOW(Z447,INDEX(Data_Prices!Z:Z,MATCH($G457,Data_Prices!$A:$A,0)),Z$460)</f>
        <v>0.1114179032504042</v>
      </c>
      <c r="AA457" s="23">
        <f>SHADOW(AA447,INDEX(Data_Prices!AA:AA,MATCH($G457,Data_Prices!$A:$A,0)),AA$460)</f>
        <v>0.1105258199854538</v>
      </c>
      <c r="AB457" s="23">
        <f>SHADOW(AB447,INDEX(Data_Prices!AB:AB,MATCH($G457,Data_Prices!$A:$A,0)),AB$460)</f>
        <v>0.1096995652348958</v>
      </c>
      <c r="AC457" s="23">
        <f>SHADOW(AC447,INDEX(Data_Prices!AC:AC,MATCH($G457,Data_Prices!$A:$A,0)),AC$460)</f>
        <v>0.1077267889639492</v>
      </c>
      <c r="AD457" s="23">
        <f>SHADOW(AD447,INDEX(Data_Prices!AD:AD,MATCH($G457,Data_Prices!$A:$A,0)),AD$460)</f>
        <v>0.1058209244509353</v>
      </c>
      <c r="AE457" s="23">
        <f>SHADOW(AE447,INDEX(Data_Prices!AE:AE,MATCH($G457,Data_Prices!$A:$A,0)),AE$460)</f>
        <v>0.1038555957057212</v>
      </c>
    </row>
    <row r="458" spans="2:31" x14ac:dyDescent="0.25">
      <c r="B458" s="16" t="s">
        <v>80</v>
      </c>
    </row>
    <row r="459" spans="2:31" x14ac:dyDescent="0.25">
      <c r="B459" s="17" t="s">
        <v>81</v>
      </c>
      <c r="C459" s="17" t="str">
        <f>$C$427</f>
        <v>mch</v>
      </c>
      <c r="D459" s="18" t="s">
        <v>82</v>
      </c>
      <c r="E459" s="19" t="s">
        <v>83</v>
      </c>
      <c r="F459" s="17" t="s">
        <v>84</v>
      </c>
      <c r="G459" s="20" t="str">
        <f>Settings!$B$3&amp;".mit.tcf."&amp;$C$427&amp;"."&amp;$J$427</f>
        <v>egy.mit.tcf.mch.2</v>
      </c>
      <c r="K459" s="23">
        <f>INDEX(Data_Prices!K:K,MATCH($G459,Data_Prices!$A:$A,0))</f>
        <v>0</v>
      </c>
      <c r="L459" s="23">
        <f>INDEX(Data_Prices!L:L,MATCH($G459,Data_Prices!$A:$A,0))</f>
        <v>0</v>
      </c>
      <c r="M459" s="23">
        <f>INDEX(Data_Prices!M:M,MATCH($G459,Data_Prices!$A:$A,0))</f>
        <v>0</v>
      </c>
      <c r="N459" s="23">
        <f>INDEX(Data_Prices!N:N,MATCH($G459,Data_Prices!$A:$A,0))</f>
        <v>0</v>
      </c>
      <c r="O459" s="23">
        <f>INDEX(Data_Prices!O:O,MATCH($G459,Data_Prices!$A:$A,0))</f>
        <v>0</v>
      </c>
      <c r="P459" s="23">
        <f>INDEX(Data_Prices!P:P,MATCH($G459,Data_Prices!$A:$A,0))</f>
        <v>1</v>
      </c>
      <c r="Q459" s="23">
        <f>INDEX(Data_Prices!Q:Q,MATCH($G459,Data_Prices!$A:$A,0))</f>
        <v>1</v>
      </c>
      <c r="R459" s="23">
        <f>INDEX(Data_Prices!R:R,MATCH($G459,Data_Prices!$A:$A,0))</f>
        <v>1</v>
      </c>
      <c r="S459" s="23">
        <f>INDEX(Data_Prices!S:S,MATCH($G459,Data_Prices!$A:$A,0))</f>
        <v>1</v>
      </c>
      <c r="T459" s="23">
        <f>INDEX(Data_Prices!T:T,MATCH($G459,Data_Prices!$A:$A,0))</f>
        <v>1</v>
      </c>
      <c r="U459" s="23">
        <f>INDEX(Data_Prices!U:U,MATCH($G459,Data_Prices!$A:$A,0))</f>
        <v>1</v>
      </c>
      <c r="V459" s="23">
        <f>INDEX(Data_Prices!V:V,MATCH($G459,Data_Prices!$A:$A,0))</f>
        <v>1</v>
      </c>
      <c r="W459" s="23">
        <f>INDEX(Data_Prices!W:W,MATCH($G459,Data_Prices!$A:$A,0))</f>
        <v>1</v>
      </c>
      <c r="X459" s="23">
        <f>INDEX(Data_Prices!X:X,MATCH($G459,Data_Prices!$A:$A,0))</f>
        <v>1</v>
      </c>
      <c r="Y459" s="23">
        <f>INDEX(Data_Prices!Y:Y,MATCH($G459,Data_Prices!$A:$A,0))</f>
        <v>1</v>
      </c>
      <c r="Z459" s="23">
        <f>INDEX(Data_Prices!Z:Z,MATCH($G459,Data_Prices!$A:$A,0))</f>
        <v>1</v>
      </c>
      <c r="AA459" s="23">
        <f>INDEX(Data_Prices!AA:AA,MATCH($G459,Data_Prices!$A:$A,0))</f>
        <v>1</v>
      </c>
      <c r="AB459" s="23">
        <f>INDEX(Data_Prices!AB:AB,MATCH($G459,Data_Prices!$A:$A,0))</f>
        <v>1</v>
      </c>
      <c r="AC459" s="23">
        <f>INDEX(Data_Prices!AC:AC,MATCH($G459,Data_Prices!$A:$A,0))</f>
        <v>1</v>
      </c>
      <c r="AD459" s="23">
        <f>INDEX(Data_Prices!AD:AD,MATCH($G459,Data_Prices!$A:$A,0))</f>
        <v>1</v>
      </c>
      <c r="AE459" s="23">
        <f>INDEX(Data_Prices!AE:AE,MATCH($G459,Data_Prices!$A:$A,0))</f>
        <v>1</v>
      </c>
    </row>
    <row r="460" spans="2:31" x14ac:dyDescent="0.25">
      <c r="B460" s="17" t="s">
        <v>81</v>
      </c>
      <c r="C460" s="17" t="str">
        <f>$C$427</f>
        <v>mch</v>
      </c>
      <c r="D460" s="18" t="s">
        <v>85</v>
      </c>
      <c r="E460" s="19" t="s">
        <v>83</v>
      </c>
      <c r="F460" s="17" t="s">
        <v>86</v>
      </c>
      <c r="G460" s="20" t="str">
        <f>Settings!$B$3&amp;".mit.ssc."&amp;$C$427&amp;"."&amp;$J$427</f>
        <v>egy.mit.ssc.mch.2</v>
      </c>
      <c r="K460" s="23">
        <f>INDEX(Data_Prices!K:K,MATCH($G460,Data_Prices!$A:$A,0))</f>
        <v>0</v>
      </c>
      <c r="L460" s="23">
        <f>INDEX(Data_Prices!L:L,MATCH($G460,Data_Prices!$A:$A,0))</f>
        <v>0</v>
      </c>
      <c r="M460" s="23">
        <f>INDEX(Data_Prices!M:M,MATCH($G460,Data_Prices!$A:$A,0))</f>
        <v>0</v>
      </c>
      <c r="N460" s="23">
        <f>INDEX(Data_Prices!N:N,MATCH($G460,Data_Prices!$A:$A,0))</f>
        <v>0</v>
      </c>
      <c r="O460" s="23">
        <f>INDEX(Data_Prices!O:O,MATCH($G460,Data_Prices!$A:$A,0))</f>
        <v>0</v>
      </c>
      <c r="P460" s="23">
        <f>INDEX(Data_Prices!P:P,MATCH($G460,Data_Prices!$A:$A,0))</f>
        <v>0</v>
      </c>
      <c r="Q460" s="23">
        <f>INDEX(Data_Prices!Q:Q,MATCH($G460,Data_Prices!$A:$A,0))</f>
        <v>0</v>
      </c>
      <c r="R460" s="23">
        <f>INDEX(Data_Prices!R:R,MATCH($G460,Data_Prices!$A:$A,0))</f>
        <v>0</v>
      </c>
      <c r="S460" s="23">
        <f>INDEX(Data_Prices!S:S,MATCH($G460,Data_Prices!$A:$A,0))</f>
        <v>0</v>
      </c>
      <c r="T460" s="23">
        <f>INDEX(Data_Prices!T:T,MATCH($G460,Data_Prices!$A:$A,0))</f>
        <v>0</v>
      </c>
      <c r="U460" s="23">
        <f>INDEX(Data_Prices!U:U,MATCH($G460,Data_Prices!$A:$A,0))</f>
        <v>0</v>
      </c>
      <c r="V460" s="23">
        <f>INDEX(Data_Prices!V:V,MATCH($G460,Data_Prices!$A:$A,0))</f>
        <v>0</v>
      </c>
      <c r="W460" s="23">
        <f>INDEX(Data_Prices!W:W,MATCH($G460,Data_Prices!$A:$A,0))</f>
        <v>0</v>
      </c>
      <c r="X460" s="23">
        <f>INDEX(Data_Prices!X:X,MATCH($G460,Data_Prices!$A:$A,0))</f>
        <v>0</v>
      </c>
      <c r="Y460" s="23">
        <f>INDEX(Data_Prices!Y:Y,MATCH($G460,Data_Prices!$A:$A,0))</f>
        <v>0</v>
      </c>
      <c r="Z460" s="23">
        <f>INDEX(Data_Prices!Z:Z,MATCH($G460,Data_Prices!$A:$A,0))</f>
        <v>0</v>
      </c>
      <c r="AA460" s="23">
        <f>INDEX(Data_Prices!AA:AA,MATCH($G460,Data_Prices!$A:$A,0))</f>
        <v>0</v>
      </c>
      <c r="AB460" s="23">
        <f>INDEX(Data_Prices!AB:AB,MATCH($G460,Data_Prices!$A:$A,0))</f>
        <v>0</v>
      </c>
      <c r="AC460" s="23">
        <f>INDEX(Data_Prices!AC:AC,MATCH($G460,Data_Prices!$A:$A,0))</f>
        <v>0</v>
      </c>
      <c r="AD460" s="23">
        <f>INDEX(Data_Prices!AD:AD,MATCH($G460,Data_Prices!$A:$A,0))</f>
        <v>0</v>
      </c>
      <c r="AE460" s="23">
        <f>INDEX(Data_Prices!AE:AE,MATCH($G460,Data_Prices!$A:$A,0))</f>
        <v>0</v>
      </c>
    </row>
    <row r="461" spans="2:31" x14ac:dyDescent="0.25">
      <c r="B461" s="17" t="s">
        <v>81</v>
      </c>
      <c r="C461" s="17" t="str">
        <f>$C$427</f>
        <v>mch</v>
      </c>
      <c r="D461" s="18" t="s">
        <v>87</v>
      </c>
      <c r="E461" s="19" t="s">
        <v>88</v>
      </c>
      <c r="F461" s="17" t="s">
        <v>89</v>
      </c>
      <c r="G461" s="20" t="str">
        <f>Settings!$B$3&amp;".mit.gdp.pos.pct."&amp;$J$427</f>
        <v>egy.mit.gdp.pos.pct.2</v>
      </c>
      <c r="K461" s="24">
        <f>INDEX(Data_Macro!K:K,MATCH($G461,Data_Macro!$A:$A,0))</f>
        <v>0</v>
      </c>
      <c r="L461" s="24">
        <f>INDEX(Data_Macro!L:L,MATCH($G461,Data_Macro!$A:$A,0))</f>
        <v>6.6513450000000002E-2</v>
      </c>
      <c r="M461" s="24">
        <f>INDEX(Data_Macro!M:M,MATCH($G461,Data_Macro!$A:$A,0))</f>
        <v>3.760281E-2</v>
      </c>
      <c r="N461" s="24">
        <f>INDEX(Data_Macro!N:N,MATCH($G461,Data_Macro!$A:$A,0))</f>
        <v>2.3988010000000001E-2</v>
      </c>
      <c r="O461" s="24">
        <f>INDEX(Data_Macro!O:O,MATCH($G461,Data_Macro!$A:$A,0))</f>
        <v>4.3923869999999997E-2</v>
      </c>
      <c r="P461" s="24">
        <f>INDEX(Data_Macro!P:P,MATCH($G461,Data_Macro!$A:$A,0))</f>
        <v>4.239706E-2</v>
      </c>
      <c r="Q461" s="24">
        <f>INDEX(Data_Macro!Q:Q,MATCH($G461,Data_Macro!$A:$A,0))</f>
        <v>4.8298383783007638E-2</v>
      </c>
      <c r="R461" s="24">
        <f>INDEX(Data_Macro!R:R,MATCH($G461,Data_Macro!$A:$A,0))</f>
        <v>5.55905477124225E-2</v>
      </c>
      <c r="S461" s="24">
        <f>INDEX(Data_Macro!S:S,MATCH($G461,Data_Macro!$A:$A,0))</f>
        <v>5.2137235389631359E-2</v>
      </c>
      <c r="T461" s="24">
        <f>INDEX(Data_Macro!T:T,MATCH($G461,Data_Macro!$A:$A,0))</f>
        <v>4.8124907491929908E-2</v>
      </c>
      <c r="U461" s="24">
        <f>INDEX(Data_Macro!U:U,MATCH($G461,Data_Macro!$A:$A,0))</f>
        <v>4.720879652652131E-2</v>
      </c>
      <c r="V461" s="24">
        <f>INDEX(Data_Macro!V:V,MATCH($G461,Data_Macro!$A:$A,0))</f>
        <v>4.6689043300676421E-2</v>
      </c>
      <c r="W461" s="24">
        <f>INDEX(Data_Macro!W:W,MATCH($G461,Data_Macro!$A:$A,0))</f>
        <v>4.6632750147029209E-2</v>
      </c>
      <c r="X461" s="24">
        <f>INDEX(Data_Macro!X:X,MATCH($G461,Data_Macro!$A:$A,0))</f>
        <v>4.6872723264421517E-2</v>
      </c>
      <c r="Y461" s="24">
        <f>INDEX(Data_Macro!Y:Y,MATCH($G461,Data_Macro!$A:$A,0))</f>
        <v>4.746992175304874E-2</v>
      </c>
      <c r="Z461" s="24">
        <f>INDEX(Data_Macro!Z:Z,MATCH($G461,Data_Macro!$A:$A,0))</f>
        <v>4.8590713024028988E-2</v>
      </c>
      <c r="AA461" s="24">
        <f>INDEX(Data_Macro!AA:AA,MATCH($G461,Data_Macro!$A:$A,0))</f>
        <v>4.9941182078066387E-2</v>
      </c>
      <c r="AB461" s="24">
        <f>INDEX(Data_Macro!AB:AB,MATCH($G461,Data_Macro!$A:$A,0))</f>
        <v>5.13941835424786E-2</v>
      </c>
      <c r="AC461" s="24">
        <f>INDEX(Data_Macro!AC:AC,MATCH($G461,Data_Macro!$A:$A,0))</f>
        <v>5.2681763019776687E-2</v>
      </c>
      <c r="AD461" s="24">
        <f>INDEX(Data_Macro!AD:AD,MATCH($G461,Data_Macro!$A:$A,0))</f>
        <v>5.3800711336350331E-2</v>
      </c>
      <c r="AE461" s="24">
        <f>INDEX(Data_Macro!AE:AE,MATCH($G461,Data_Macro!$A:$A,0))</f>
        <v>5.4789398044337592E-2</v>
      </c>
    </row>
    <row r="462" spans="2:31" x14ac:dyDescent="0.25">
      <c r="B462" s="17" t="s">
        <v>81</v>
      </c>
      <c r="C462" s="17" t="str">
        <f>$C$427</f>
        <v>mch</v>
      </c>
      <c r="D462" s="18" t="s">
        <v>90</v>
      </c>
      <c r="E462" s="19" t="s">
        <v>91</v>
      </c>
      <c r="F462" s="17" t="s">
        <v>92</v>
      </c>
      <c r="G462" s="20" t="str">
        <f>Settings!$B$3&amp;".mit.inc.ela.adj."&amp;$J$427</f>
        <v>egy.mit.inc.ela.adj.2</v>
      </c>
      <c r="K462" s="23">
        <f>INDEX(Data_Macro!K:K,MATCH($G462,Data_Macro!$A:$A,0))</f>
        <v>0</v>
      </c>
      <c r="L462" s="23">
        <f>INDEX(Data_Macro!L:L,MATCH($G462,Data_Macro!$A:$A,0))</f>
        <v>1.0271517247196089</v>
      </c>
      <c r="M462" s="23">
        <f>INDEX(Data_Macro!M:M,MATCH($G462,Data_Macro!$A:$A,0))</f>
        <v>1.0271517247196089</v>
      </c>
      <c r="N462" s="23">
        <f>INDEX(Data_Macro!N:N,MATCH($G462,Data_Macro!$A:$A,0))</f>
        <v>1.0205698358851201</v>
      </c>
      <c r="O462" s="23">
        <f>INDEX(Data_Macro!O:O,MATCH($G462,Data_Macro!$A:$A,0))</f>
        <v>1.017334428852344</v>
      </c>
      <c r="P462" s="23">
        <f>INDEX(Data_Macro!P:P,MATCH($G462,Data_Macro!$A:$A,0))</f>
        <v>1.007668332253824</v>
      </c>
      <c r="Q462" s="23">
        <f>INDEX(Data_Macro!Q:Q,MATCH($G462,Data_Macro!$A:$A,0))</f>
        <v>1.000744287175529</v>
      </c>
      <c r="R462" s="23">
        <f>INDEX(Data_Macro!R:R,MATCH($G462,Data_Macro!$A:$A,0))</f>
        <v>0.99188455719464341</v>
      </c>
      <c r="S462" s="23">
        <f>INDEX(Data_Macro!S:S,MATCH($G462,Data_Macro!$A:$A,0))</f>
        <v>0.9805805650786027</v>
      </c>
      <c r="T462" s="23">
        <f>INDEX(Data_Macro!T:T,MATCH($G462,Data_Macro!$A:$A,0))</f>
        <v>0.97025078971778123</v>
      </c>
      <c r="U462" s="23">
        <f>INDEX(Data_Macro!U:U,MATCH($G462,Data_Macro!$A:$A,0))</f>
        <v>0.96428820815964844</v>
      </c>
      <c r="V462" s="23">
        <f>INDEX(Data_Macro!V:V,MATCH($G462,Data_Macro!$A:$A,0))</f>
        <v>0.96183439341951105</v>
      </c>
      <c r="W462" s="23">
        <f>INDEX(Data_Macro!W:W,MATCH($G462,Data_Macro!$A:$A,0))</f>
        <v>0.95941695116164427</v>
      </c>
      <c r="X462" s="23">
        <f>INDEX(Data_Macro!X:X,MATCH($G462,Data_Macro!$A:$A,0))</f>
        <v>0.95701429252188364</v>
      </c>
      <c r="Y462" s="23">
        <f>INDEX(Data_Macro!Y:Y,MATCH($G462,Data_Macro!$A:$A,0))</f>
        <v>0.95468193722552219</v>
      </c>
      <c r="Z462" s="23">
        <f>INDEX(Data_Macro!Z:Z,MATCH($G462,Data_Macro!$A:$A,0))</f>
        <v>0.95240071158774575</v>
      </c>
      <c r="AA462" s="23">
        <f>INDEX(Data_Macro!AA:AA,MATCH($G462,Data_Macro!$A:$A,0))</f>
        <v>0.95011647499405472</v>
      </c>
      <c r="AB462" s="23">
        <f>INDEX(Data_Macro!AB:AB,MATCH($G462,Data_Macro!$A:$A,0))</f>
        <v>0.947927358499145</v>
      </c>
      <c r="AC462" s="23">
        <f>INDEX(Data_Macro!AC:AC,MATCH($G462,Data_Macro!$A:$A,0))</f>
        <v>0.94587674776299657</v>
      </c>
      <c r="AD462" s="23">
        <f>INDEX(Data_Macro!AD:AD,MATCH($G462,Data_Macro!$A:$A,0))</f>
        <v>0.94405480582839263</v>
      </c>
      <c r="AE462" s="23">
        <f>INDEX(Data_Macro!AE:AE,MATCH($G462,Data_Macro!$A:$A,0))</f>
        <v>0.94246391225206505</v>
      </c>
    </row>
    <row r="463" spans="2:31" x14ac:dyDescent="0.25">
      <c r="B463" s="17" t="s">
        <v>81</v>
      </c>
      <c r="C463" s="17" t="str">
        <f>$C$427</f>
        <v>mch</v>
      </c>
      <c r="D463" s="18" t="s">
        <v>93</v>
      </c>
      <c r="E463" s="19" t="s">
        <v>91</v>
      </c>
      <c r="F463" s="17" t="s">
        <v>94</v>
      </c>
      <c r="G463" s="20" t="str">
        <f>Settings!$B$3&amp;".mit.shock."&amp;$J$427</f>
        <v>egy.mit.shock.2</v>
      </c>
      <c r="K463" s="23">
        <f>INDEX(Data_Macro!K:K,MATCH($G463,Data_Macro!$A:$A,0))</f>
        <v>0</v>
      </c>
      <c r="L463" s="23">
        <f>INDEX(Data_Macro!L:L,MATCH($G463,Data_Macro!$A:$A,0))</f>
        <v>0</v>
      </c>
      <c r="M463" s="23">
        <f>INDEX(Data_Macro!M:M,MATCH($G463,Data_Macro!$A:$A,0))</f>
        <v>-0.2081330830204422</v>
      </c>
      <c r="N463" s="23">
        <f>INDEX(Data_Macro!N:N,MATCH($G463,Data_Macro!$A:$A,0))</f>
        <v>9.2371428571428563E-2</v>
      </c>
      <c r="O463" s="23">
        <f>INDEX(Data_Macro!O:O,MATCH($G463,Data_Macro!$A:$A,0))</f>
        <v>0</v>
      </c>
      <c r="P463" s="23">
        <f>INDEX(Data_Macro!P:P,MATCH($G463,Data_Macro!$A:$A,0))</f>
        <v>0</v>
      </c>
      <c r="Q463" s="23">
        <f>INDEX(Data_Macro!Q:Q,MATCH($G463,Data_Macro!$A:$A,0))</f>
        <v>0</v>
      </c>
      <c r="R463" s="23">
        <f>INDEX(Data_Macro!R:R,MATCH($G463,Data_Macro!$A:$A,0))</f>
        <v>0</v>
      </c>
      <c r="S463" s="23">
        <f>INDEX(Data_Macro!S:S,MATCH($G463,Data_Macro!$A:$A,0))</f>
        <v>0</v>
      </c>
      <c r="T463" s="23">
        <f>INDEX(Data_Macro!T:T,MATCH($G463,Data_Macro!$A:$A,0))</f>
        <v>0</v>
      </c>
      <c r="U463" s="23">
        <f>INDEX(Data_Macro!U:U,MATCH($G463,Data_Macro!$A:$A,0))</f>
        <v>0</v>
      </c>
      <c r="V463" s="23">
        <f>INDEX(Data_Macro!V:V,MATCH($G463,Data_Macro!$A:$A,0))</f>
        <v>0</v>
      </c>
      <c r="W463" s="23">
        <f>INDEX(Data_Macro!W:W,MATCH($G463,Data_Macro!$A:$A,0))</f>
        <v>0</v>
      </c>
      <c r="X463" s="23">
        <f>INDEX(Data_Macro!X:X,MATCH($G463,Data_Macro!$A:$A,0))</f>
        <v>0</v>
      </c>
      <c r="Y463" s="23">
        <f>INDEX(Data_Macro!Y:Y,MATCH($G463,Data_Macro!$A:$A,0))</f>
        <v>0</v>
      </c>
      <c r="Z463" s="23">
        <f>INDEX(Data_Macro!Z:Z,MATCH($G463,Data_Macro!$A:$A,0))</f>
        <v>0</v>
      </c>
      <c r="AA463" s="23">
        <f>INDEX(Data_Macro!AA:AA,MATCH($G463,Data_Macro!$A:$A,0))</f>
        <v>0</v>
      </c>
      <c r="AB463" s="23">
        <f>INDEX(Data_Macro!AB:AB,MATCH($G463,Data_Macro!$A:$A,0))</f>
        <v>0</v>
      </c>
      <c r="AC463" s="23">
        <f>INDEX(Data_Macro!AC:AC,MATCH($G463,Data_Macro!$A:$A,0))</f>
        <v>0</v>
      </c>
      <c r="AD463" s="23">
        <f>INDEX(Data_Macro!AD:AD,MATCH($G463,Data_Macro!$A:$A,0))</f>
        <v>0</v>
      </c>
      <c r="AE463" s="23">
        <f>INDEX(Data_Macro!AE:AE,MATCH($G463,Data_Macro!$A:$A,0))</f>
        <v>0</v>
      </c>
    </row>
    <row r="464" spans="2:31" x14ac:dyDescent="0.25">
      <c r="B464" s="16" t="s">
        <v>95</v>
      </c>
    </row>
    <row r="465" spans="2:31" x14ac:dyDescent="0.25">
      <c r="B465" s="8" t="s">
        <v>36</v>
      </c>
      <c r="C465" s="8" t="s">
        <v>37</v>
      </c>
      <c r="D465" s="25" t="s">
        <v>38</v>
      </c>
      <c r="E465" s="8" t="s">
        <v>96</v>
      </c>
      <c r="F465" s="8" t="s">
        <v>97</v>
      </c>
      <c r="G465" s="8" t="s">
        <v>98</v>
      </c>
      <c r="H465" s="8" t="s">
        <v>99</v>
      </c>
      <c r="I465" s="8" t="s">
        <v>100</v>
      </c>
      <c r="J465" s="8" t="s">
        <v>101</v>
      </c>
    </row>
    <row r="466" spans="2:31" x14ac:dyDescent="0.25">
      <c r="B466" s="17" t="s">
        <v>53</v>
      </c>
      <c r="C466" s="17" t="str">
        <f t="shared" ref="C466:C474" si="45">$C$427</f>
        <v>mch</v>
      </c>
      <c r="D466" s="26" t="s">
        <v>102</v>
      </c>
      <c r="E466" s="27">
        <f>ELAST("el_inc",$J466,Settings!$B$5)</f>
        <v>0.5</v>
      </c>
      <c r="F466" s="27">
        <f>ELAST("el_dem",$J466,Settings!$B$5)</f>
        <v>-0.3</v>
      </c>
      <c r="G466" s="27">
        <f>ELAST("el_eff",$J466,Settings!$B$5)</f>
        <v>-0.4</v>
      </c>
      <c r="H466" s="27">
        <f>ELAST("eff_imp",INDEX(Data_Elast!$K:$K,MATCH($B466,Data_Elast!$I:$I,0)),Settings!$B$5)</f>
        <v>5.0000000000000001E-3</v>
      </c>
      <c r="I466" s="27">
        <f>Settings!$B$7</f>
        <v>0</v>
      </c>
      <c r="J466" s="19" t="str">
        <f>INDEX(Data_Elast!$J:$J,MATCH($B466,Data_Elast!$I:$I,0))</f>
        <v>coa</v>
      </c>
    </row>
    <row r="467" spans="2:31" x14ac:dyDescent="0.25">
      <c r="B467" s="17" t="s">
        <v>57</v>
      </c>
      <c r="C467" s="17" t="str">
        <f t="shared" si="45"/>
        <v>mch</v>
      </c>
      <c r="D467" s="26" t="s">
        <v>103</v>
      </c>
      <c r="E467" s="27">
        <f>ELAST("el_inc",$J467,Settings!$B$5)</f>
        <v>1</v>
      </c>
      <c r="F467" s="27">
        <f>ELAST("el_dem",$J467,Settings!$B$5)</f>
        <v>-0.5</v>
      </c>
      <c r="G467" s="27">
        <f>ELAST("el_eff",$J467,Settings!$B$5)</f>
        <v>-0.5</v>
      </c>
      <c r="H467" s="27">
        <f>ELAST("eff_imp",INDEX(Data_Elast!$K:$K,MATCH($B467,Data_Elast!$I:$I,0)),Settings!$B$5)</f>
        <v>0.01</v>
      </c>
      <c r="I467" s="27">
        <f>Settings!$B$7</f>
        <v>0</v>
      </c>
      <c r="J467" s="19" t="str">
        <f>INDEX(Data_Elast!$J:$J,MATCH($B467,Data_Elast!$I:$I,0))</f>
        <v>nga</v>
      </c>
    </row>
    <row r="468" spans="2:31" x14ac:dyDescent="0.25">
      <c r="B468" s="17" t="s">
        <v>59</v>
      </c>
      <c r="C468" s="17" t="str">
        <f t="shared" si="45"/>
        <v>mch</v>
      </c>
      <c r="D468" s="26" t="s">
        <v>104</v>
      </c>
      <c r="E468" s="27">
        <f>ELAST("el_inc",$J468,Settings!$B$5)</f>
        <v>0.5</v>
      </c>
      <c r="F468" s="27">
        <f>ELAST("el_dem",$J468,Settings!$B$5)</f>
        <v>-0.4</v>
      </c>
      <c r="G468" s="27">
        <f>ELAST("el_eff",$J468,Settings!$B$5)</f>
        <v>-0.7</v>
      </c>
      <c r="H468" s="27">
        <f>ELAST("eff_imp",INDEX(Data_Elast!$K:$K,MATCH($B468,Data_Elast!$I:$I,0)),Settings!$B$5)</f>
        <v>5.0000000000000001E-3</v>
      </c>
      <c r="I468" s="27">
        <f>Settings!$B$7</f>
        <v>0</v>
      </c>
      <c r="J468" s="19" t="str">
        <f>INDEX(Data_Elast!$J:$J,MATCH($B468,Data_Elast!$I:$I,0))</f>
        <v>gso</v>
      </c>
    </row>
    <row r="469" spans="2:31" x14ac:dyDescent="0.25">
      <c r="B469" s="17" t="s">
        <v>62</v>
      </c>
      <c r="C469" s="17" t="str">
        <f t="shared" si="45"/>
        <v>mch</v>
      </c>
      <c r="D469" s="26" t="s">
        <v>105</v>
      </c>
      <c r="E469" s="27">
        <f>ELAST("el_inc",$J469,Settings!$B$5)</f>
        <v>0.5</v>
      </c>
      <c r="F469" s="27">
        <f>ELAST("el_dem",$J469,Settings!$B$5)</f>
        <v>-0.7</v>
      </c>
      <c r="G469" s="27">
        <f>ELAST("el_eff",$J469,Settings!$B$5)</f>
        <v>-1.2</v>
      </c>
      <c r="H469" s="27">
        <f>ELAST("eff_imp",INDEX(Data_Elast!$K:$K,MATCH($B469,Data_Elast!$I:$I,0)),Settings!$B$5)</f>
        <v>5.0000000000000001E-3</v>
      </c>
      <c r="I469" s="27">
        <f>Settings!$B$7</f>
        <v>0</v>
      </c>
      <c r="J469" s="19" t="str">
        <f>INDEX(Data_Elast!$J:$J,MATCH($B469,Data_Elast!$I:$I,0))</f>
        <v>die</v>
      </c>
    </row>
    <row r="470" spans="2:31" x14ac:dyDescent="0.25">
      <c r="B470" s="17" t="s">
        <v>64</v>
      </c>
      <c r="C470" s="17" t="str">
        <f t="shared" si="45"/>
        <v>mch</v>
      </c>
      <c r="D470" s="26" t="s">
        <v>106</v>
      </c>
      <c r="E470" s="27">
        <f>ELAST("el_inc",$J470,Settings!$B$5)</f>
        <v>0.8</v>
      </c>
      <c r="F470" s="27">
        <f>ELAST("el_dem",$J470,Settings!$B$5)</f>
        <v>-0.4</v>
      </c>
      <c r="G470" s="27">
        <f>ELAST("el_eff",$J470,Settings!$B$5)</f>
        <v>-0.4</v>
      </c>
      <c r="H470" s="27">
        <f>ELAST("eff_imp",INDEX(Data_Elast!$K:$K,MATCH($B470,Data_Elast!$I:$I,0)),Settings!$B$5)</f>
        <v>5.0000000000000001E-3</v>
      </c>
      <c r="I470" s="27">
        <f>Settings!$B$7</f>
        <v>0</v>
      </c>
      <c r="J470" s="19" t="str">
        <f>INDEX(Data_Elast!$J:$J,MATCH($B470,Data_Elast!$I:$I,0))</f>
        <v>oil</v>
      </c>
    </row>
    <row r="471" spans="2:31" x14ac:dyDescent="0.25">
      <c r="B471" s="17" t="s">
        <v>66</v>
      </c>
      <c r="C471" s="17" t="str">
        <f t="shared" si="45"/>
        <v>mch</v>
      </c>
      <c r="D471" s="26" t="s">
        <v>107</v>
      </c>
      <c r="E471" s="27">
        <f>ELAST("el_inc",$J471,Settings!$B$5)</f>
        <v>0.8</v>
      </c>
      <c r="F471" s="27">
        <f>ELAST("el_dem",$J471,Settings!$B$5)</f>
        <v>-0.4</v>
      </c>
      <c r="G471" s="27">
        <f>ELAST("el_eff",$J471,Settings!$B$5)</f>
        <v>-0.4</v>
      </c>
      <c r="H471" s="27">
        <f>ELAST("eff_imp",INDEX(Data_Elast!$K:$K,MATCH($B471,Data_Elast!$I:$I,0)),Settings!$B$5)</f>
        <v>5.0000000000000001E-3</v>
      </c>
      <c r="I471" s="27">
        <f>Settings!$B$7</f>
        <v>0</v>
      </c>
      <c r="J471" s="19" t="str">
        <f>INDEX(Data_Elast!$J:$J,MATCH($B471,Data_Elast!$I:$I,0))</f>
        <v>oil</v>
      </c>
    </row>
    <row r="472" spans="2:31" x14ac:dyDescent="0.25">
      <c r="B472" s="17" t="s">
        <v>68</v>
      </c>
      <c r="C472" s="17" t="str">
        <f t="shared" si="45"/>
        <v>mch</v>
      </c>
      <c r="D472" s="26" t="s">
        <v>108</v>
      </c>
      <c r="E472" s="27">
        <f>ELAST("el_inc",$J472,Settings!$B$5)</f>
        <v>0.8</v>
      </c>
      <c r="F472" s="27">
        <f>ELAST("el_dem",$J472,Settings!$B$5)</f>
        <v>-0.4</v>
      </c>
      <c r="G472" s="27">
        <f>ELAST("el_eff",$J472,Settings!$B$5)</f>
        <v>-0.4</v>
      </c>
      <c r="H472" s="27">
        <f>ELAST("eff_imp",INDEX(Data_Elast!$K:$K,MATCH($B472,Data_Elast!$I:$I,0)),Settings!$B$5)</f>
        <v>5.0000000000000001E-3</v>
      </c>
      <c r="I472" s="27">
        <f>Settings!$B$7</f>
        <v>0</v>
      </c>
      <c r="J472" s="19" t="str">
        <f>INDEX(Data_Elast!$J:$J,MATCH($B472,Data_Elast!$I:$I,0))</f>
        <v>oil</v>
      </c>
    </row>
    <row r="473" spans="2:31" x14ac:dyDescent="0.25">
      <c r="B473" s="17" t="s">
        <v>71</v>
      </c>
      <c r="C473" s="17" t="str">
        <f t="shared" si="45"/>
        <v>mch</v>
      </c>
      <c r="D473" s="26" t="s">
        <v>109</v>
      </c>
      <c r="E473" s="27">
        <f>ELAST("el_inc",$J473,Settings!$B$5)</f>
        <v>0.1</v>
      </c>
      <c r="F473" s="27">
        <f>ELAST("el_dem",$J473,Settings!$B$5)</f>
        <v>-0.3</v>
      </c>
      <c r="G473" s="27">
        <f>ELAST("el_eff",$J473,Settings!$B$5)</f>
        <v>-0.2</v>
      </c>
      <c r="H473" s="27">
        <f>ELAST("eff_imp",INDEX(Data_Elast!$K:$K,MATCH($B473,Data_Elast!$I:$I,0)),Settings!$B$5)</f>
        <v>5.0000000000000001E-3</v>
      </c>
      <c r="I473" s="27">
        <f>Settings!$B$7</f>
        <v>0</v>
      </c>
      <c r="J473" s="19" t="str">
        <f>INDEX(Data_Elast!$J:$J,MATCH($B473,Data_Elast!$I:$I,0))</f>
        <v>bio</v>
      </c>
    </row>
    <row r="474" spans="2:31" x14ac:dyDescent="0.25">
      <c r="B474" s="17" t="s">
        <v>73</v>
      </c>
      <c r="C474" s="17" t="str">
        <f t="shared" si="45"/>
        <v>mch</v>
      </c>
      <c r="D474" s="26" t="s">
        <v>110</v>
      </c>
      <c r="E474" s="27">
        <f>ELAST("el_inc",$J474,Settings!$B$5)</f>
        <v>0.8</v>
      </c>
      <c r="F474" s="27">
        <f>ELAST("el_dem",$J474,Settings!$B$5)</f>
        <v>-0.5</v>
      </c>
      <c r="G474" s="27">
        <f>ELAST("el_eff",$J474,Settings!$B$5)</f>
        <v>-0.4</v>
      </c>
      <c r="H474" s="27">
        <f>ELAST("eff_imp",INDEX(Data_Elast!$K:$K,MATCH($B474,Data_Elast!$I:$I,0)),Settings!$B$5)</f>
        <v>5.0000000000000001E-3</v>
      </c>
      <c r="I474" s="27">
        <f>Settings!$B$7</f>
        <v>0</v>
      </c>
      <c r="J474" s="19" t="str">
        <f>INDEX(Data_Elast!$J:$J,MATCH($B474,Data_Elast!$I:$I,0))</f>
        <v>ren</v>
      </c>
    </row>
    <row r="475" spans="2:31" x14ac:dyDescent="0.25">
      <c r="B475" s="16" t="s">
        <v>111</v>
      </c>
    </row>
    <row r="476" spans="2:31" x14ac:dyDescent="0.25">
      <c r="B476" s="17" t="s">
        <v>53</v>
      </c>
      <c r="C476" s="17" t="str">
        <f t="shared" ref="C476:C485" si="46">$C$427</f>
        <v>mch</v>
      </c>
      <c r="D476" s="18" t="s">
        <v>54</v>
      </c>
      <c r="E476" s="19" t="s">
        <v>112</v>
      </c>
      <c r="F476" s="17" t="s">
        <v>113</v>
      </c>
      <c r="G476" s="20" t="str">
        <f>Settings!$B$3&amp;".mit.enc."&amp;$B476</f>
        <v>egy.mit.enc.coa</v>
      </c>
      <c r="H476" s="21" t="str">
        <f>OUTCODE(Settings!$B$3,"ener",$C$427,$B476,$J$427)</f>
        <v>egy.mit.ener.mch.coa.e.2</v>
      </c>
      <c r="L476" s="28">
        <f>INDEX(Data_Energy!$D$3:$U$22,MATCH($B476,Data_Energy!$C$3:$C$22,0),MATCH($C476,Data_Energy!$D$2:$U$2,0))</f>
        <v>0</v>
      </c>
      <c r="M476" s="29">
        <f>FUELUSE(L476,L439,M439,L449,M449,M$461,M$462,M$463,$E466,$F466,$G466,$H466,$I466)</f>
        <v>0</v>
      </c>
      <c r="N476" s="29">
        <f>FUELUSE(M476,M439,N439,M449,N449,N$461,N$462,N$463,$E466,$F466,$G466,$H466,$I466)</f>
        <v>0</v>
      </c>
      <c r="O476" s="29">
        <f>FUELUSE(N476,N439,O439,N449,O449,O$461,O$462,O$463,$E466,$F466,$G466,$H466,$I466)</f>
        <v>0</v>
      </c>
      <c r="P476" s="29">
        <f>FUELUSE(O476,O439,P439,O449,P449,P$461,P$462,P$463,$E466,$F466,$G466,$H466,$I466)</f>
        <v>0</v>
      </c>
      <c r="Q476" s="29">
        <f>FUELUSE(P476,P439,Q439,P449,Q449,Q$461,Q$462,Q$463,$E466,$F466,$G466,$H466,$I466)</f>
        <v>0</v>
      </c>
      <c r="R476" s="29">
        <f>FUELUSE(Q476,Q439,R439,Q449,R449,R$461,R$462,R$463,$E466,$F466,$G466,$H466,$I466)</f>
        <v>0</v>
      </c>
      <c r="S476" s="29">
        <f>FUELUSE(R476,R439,S439,R449,S449,S$461,S$462,S$463,$E466,$F466,$G466,$H466,$I466)</f>
        <v>0</v>
      </c>
      <c r="T476" s="29">
        <f>FUELUSE(S476,S439,T439,S449,T449,T$461,T$462,T$463,$E466,$F466,$G466,$H466,$I466)</f>
        <v>0</v>
      </c>
      <c r="U476" s="29">
        <f>FUELUSE(T476,T439,U439,T449,U449,U$461,U$462,U$463,$E466,$F466,$G466,$H466,$I466)</f>
        <v>0</v>
      </c>
      <c r="V476" s="29">
        <f>FUELUSE(U476,U439,V439,U449,V449,V$461,V$462,V$463,$E466,$F466,$G466,$H466,$I466)</f>
        <v>0</v>
      </c>
      <c r="W476" s="29">
        <f>FUELUSE(V476,V439,W439,V449,W449,W$461,W$462,W$463,$E466,$F466,$G466,$H466,$I466)</f>
        <v>0</v>
      </c>
      <c r="X476" s="29">
        <f>FUELUSE(W476,W439,X439,W449,X449,X$461,X$462,X$463,$E466,$F466,$G466,$H466,$I466)</f>
        <v>0</v>
      </c>
      <c r="Y476" s="29">
        <f>FUELUSE(X476,X439,Y439,X449,Y449,Y$461,Y$462,Y$463,$E466,$F466,$G466,$H466,$I466)</f>
        <v>0</v>
      </c>
      <c r="Z476" s="29">
        <f>FUELUSE(Y476,Y439,Z439,Y449,Z449,Z$461,Z$462,Z$463,$E466,$F466,$G466,$H466,$I466)</f>
        <v>0</v>
      </c>
      <c r="AA476" s="29">
        <f>FUELUSE(Z476,Z439,AA439,Z449,AA449,AA$461,AA$462,AA$463,$E466,$F466,$G466,$H466,$I466)</f>
        <v>0</v>
      </c>
      <c r="AB476" s="29">
        <f>FUELUSE(AA476,AA439,AB439,AA449,AB449,AB$461,AB$462,AB$463,$E466,$F466,$G466,$H466,$I466)</f>
        <v>0</v>
      </c>
      <c r="AC476" s="29">
        <f>FUELUSE(AB476,AB439,AC439,AB449,AC449,AC$461,AC$462,AC$463,$E466,$F466,$G466,$H466,$I466)</f>
        <v>0</v>
      </c>
      <c r="AD476" s="29">
        <f>FUELUSE(AC476,AC439,AD439,AC449,AD449,AD$461,AD$462,AD$463,$E466,$F466,$G466,$H466,$I466)</f>
        <v>0</v>
      </c>
      <c r="AE476" s="29">
        <f>FUELUSE(AD476,AD439,AE439,AD449,AE449,AE$461,AE$462,AE$463,$E466,$F466,$G466,$H466,$I466)</f>
        <v>0</v>
      </c>
    </row>
    <row r="477" spans="2:31" x14ac:dyDescent="0.25">
      <c r="B477" s="17" t="s">
        <v>57</v>
      </c>
      <c r="C477" s="17" t="str">
        <f t="shared" si="46"/>
        <v>mch</v>
      </c>
      <c r="D477" s="18" t="s">
        <v>58</v>
      </c>
      <c r="E477" s="19" t="s">
        <v>112</v>
      </c>
      <c r="F477" s="17" t="s">
        <v>113</v>
      </c>
      <c r="G477" s="20" t="str">
        <f>Settings!$B$3&amp;".mit.enc."&amp;$B477</f>
        <v>egy.mit.enc.nga</v>
      </c>
      <c r="H477" s="21" t="str">
        <f>OUTCODE(Settings!$B$3,"ener",$C$427,$B477,$J$427)</f>
        <v>egy.mit.ener.mch.nga.e.2</v>
      </c>
      <c r="L477" s="28">
        <f>INDEX(Data_Energy!$D$3:$U$22,MATCH($B477,Data_Energy!$C$3:$C$22,0),MATCH($C477,Data_Energy!$D$2:$U$2,0))</f>
        <v>0</v>
      </c>
      <c r="M477" s="29">
        <f>FUELUSE(L477,L440,M440,L450,M450,M$461,M$462,M$463,$E467,$F467,$G467,$H467,$I467)</f>
        <v>0</v>
      </c>
      <c r="N477" s="29">
        <f>FUELUSE(M477,M440,N440,M450,N450,N$461,N$462,N$463,$E467,$F467,$G467,$H467,$I467)</f>
        <v>0</v>
      </c>
      <c r="O477" s="29">
        <f>FUELUSE(N477,N440,O440,N450,O450,O$461,O$462,O$463,$E467,$F467,$G467,$H467,$I467)</f>
        <v>0</v>
      </c>
      <c r="P477" s="29">
        <f>FUELUSE(O477,O440,P440,O450,P450,P$461,P$462,P$463,$E467,$F467,$G467,$H467,$I467)</f>
        <v>0</v>
      </c>
      <c r="Q477" s="29">
        <f>FUELUSE(P477,P440,Q440,P450,Q450,Q$461,Q$462,Q$463,$E467,$F467,$G467,$H467,$I467)</f>
        <v>0</v>
      </c>
      <c r="R477" s="29">
        <f>FUELUSE(Q477,Q440,R440,Q450,R450,R$461,R$462,R$463,$E467,$F467,$G467,$H467,$I467)</f>
        <v>0</v>
      </c>
      <c r="S477" s="29">
        <f>FUELUSE(R477,R440,S440,R450,S450,S$461,S$462,S$463,$E467,$F467,$G467,$H467,$I467)</f>
        <v>0</v>
      </c>
      <c r="T477" s="29">
        <f>FUELUSE(S477,S440,T440,S450,T450,T$461,T$462,T$463,$E467,$F467,$G467,$H467,$I467)</f>
        <v>0</v>
      </c>
      <c r="U477" s="29">
        <f>FUELUSE(T477,T440,U440,T450,U450,U$461,U$462,U$463,$E467,$F467,$G467,$H467,$I467)</f>
        <v>0</v>
      </c>
      <c r="V477" s="29">
        <f>FUELUSE(U477,U440,V440,U450,V450,V$461,V$462,V$463,$E467,$F467,$G467,$H467,$I467)</f>
        <v>0</v>
      </c>
      <c r="W477" s="29">
        <f>FUELUSE(V477,V440,W440,V450,W450,W$461,W$462,W$463,$E467,$F467,$G467,$H467,$I467)</f>
        <v>0</v>
      </c>
      <c r="X477" s="29">
        <f>FUELUSE(W477,W440,X440,W450,X450,X$461,X$462,X$463,$E467,$F467,$G467,$H467,$I467)</f>
        <v>0</v>
      </c>
      <c r="Y477" s="29">
        <f>FUELUSE(X477,X440,Y440,X450,Y450,Y$461,Y$462,Y$463,$E467,$F467,$G467,$H467,$I467)</f>
        <v>0</v>
      </c>
      <c r="Z477" s="29">
        <f>FUELUSE(Y477,Y440,Z440,Y450,Z450,Z$461,Z$462,Z$463,$E467,$F467,$G467,$H467,$I467)</f>
        <v>0</v>
      </c>
      <c r="AA477" s="29">
        <f>FUELUSE(Z477,Z440,AA440,Z450,AA450,AA$461,AA$462,AA$463,$E467,$F467,$G467,$H467,$I467)</f>
        <v>0</v>
      </c>
      <c r="AB477" s="29">
        <f>FUELUSE(AA477,AA440,AB440,AA450,AB450,AB$461,AB$462,AB$463,$E467,$F467,$G467,$H467,$I467)</f>
        <v>0</v>
      </c>
      <c r="AC477" s="29">
        <f>FUELUSE(AB477,AB440,AC440,AB450,AC450,AC$461,AC$462,AC$463,$E467,$F467,$G467,$H467,$I467)</f>
        <v>0</v>
      </c>
      <c r="AD477" s="29">
        <f>FUELUSE(AC477,AC440,AD440,AC450,AD450,AD$461,AD$462,AD$463,$E467,$F467,$G467,$H467,$I467)</f>
        <v>0</v>
      </c>
      <c r="AE477" s="29">
        <f>FUELUSE(AD477,AD440,AE440,AD450,AE450,AE$461,AE$462,AE$463,$E467,$F467,$G467,$H467,$I467)</f>
        <v>0</v>
      </c>
    </row>
    <row r="478" spans="2:31" x14ac:dyDescent="0.25">
      <c r="B478" s="17" t="s">
        <v>59</v>
      </c>
      <c r="C478" s="17" t="str">
        <f t="shared" si="46"/>
        <v>mch</v>
      </c>
      <c r="D478" s="18" t="s">
        <v>60</v>
      </c>
      <c r="E478" s="19" t="s">
        <v>112</v>
      </c>
      <c r="F478" s="17" t="s">
        <v>113</v>
      </c>
      <c r="G478" s="20" t="str">
        <f>Settings!$B$3&amp;".mit.enc."&amp;$B478</f>
        <v>egy.mit.enc.gso</v>
      </c>
      <c r="H478" s="21" t="str">
        <f>OUTCODE(Settings!$B$3,"ener",$C$427,$B478,$J$427)</f>
        <v>egy.mit.ener.mch.gso.e.2</v>
      </c>
      <c r="L478" s="28">
        <f>INDEX(Data_Energy!$D$3:$U$22,MATCH($B478,Data_Energy!$C$3:$C$22,0),MATCH($C478,Data_Energy!$D$2:$U$2,0))</f>
        <v>0</v>
      </c>
      <c r="M478" s="29">
        <f>FUELUSE(L478,L441,M441,L451,M451,M$461,M$462,M$463,$E468,$F468,$G468,$H468,$I468)</f>
        <v>0</v>
      </c>
      <c r="N478" s="29">
        <f>FUELUSE(M478,M441,N441,M451,N451,N$461,N$462,N$463,$E468,$F468,$G468,$H468,$I468)</f>
        <v>0</v>
      </c>
      <c r="O478" s="29">
        <f>FUELUSE(N478,N441,O441,N451,O451,O$461,O$462,O$463,$E468,$F468,$G468,$H468,$I468)</f>
        <v>0</v>
      </c>
      <c r="P478" s="29">
        <f>FUELUSE(O478,O441,P441,O451,P451,P$461,P$462,P$463,$E468,$F468,$G468,$H468,$I468)</f>
        <v>0</v>
      </c>
      <c r="Q478" s="29">
        <f>FUELUSE(P478,P441,Q441,P451,Q451,Q$461,Q$462,Q$463,$E468,$F468,$G468,$H468,$I468)</f>
        <v>0</v>
      </c>
      <c r="R478" s="29">
        <f>FUELUSE(Q478,Q441,R441,Q451,R451,R$461,R$462,R$463,$E468,$F468,$G468,$H468,$I468)</f>
        <v>0</v>
      </c>
      <c r="S478" s="29">
        <f>FUELUSE(R478,R441,S441,R451,S451,S$461,S$462,S$463,$E468,$F468,$G468,$H468,$I468)</f>
        <v>0</v>
      </c>
      <c r="T478" s="29">
        <f>FUELUSE(S478,S441,T441,S451,T451,T$461,T$462,T$463,$E468,$F468,$G468,$H468,$I468)</f>
        <v>0</v>
      </c>
      <c r="U478" s="29">
        <f>FUELUSE(T478,T441,U441,T451,U451,U$461,U$462,U$463,$E468,$F468,$G468,$H468,$I468)</f>
        <v>0</v>
      </c>
      <c r="V478" s="29">
        <f>FUELUSE(U478,U441,V441,U451,V451,V$461,V$462,V$463,$E468,$F468,$G468,$H468,$I468)</f>
        <v>0</v>
      </c>
      <c r="W478" s="29">
        <f>FUELUSE(V478,V441,W441,V451,W451,W$461,W$462,W$463,$E468,$F468,$G468,$H468,$I468)</f>
        <v>0</v>
      </c>
      <c r="X478" s="29">
        <f>FUELUSE(W478,W441,X441,W451,X451,X$461,X$462,X$463,$E468,$F468,$G468,$H468,$I468)</f>
        <v>0</v>
      </c>
      <c r="Y478" s="29">
        <f>FUELUSE(X478,X441,Y441,X451,Y451,Y$461,Y$462,Y$463,$E468,$F468,$G468,$H468,$I468)</f>
        <v>0</v>
      </c>
      <c r="Z478" s="29">
        <f>FUELUSE(Y478,Y441,Z441,Y451,Z451,Z$461,Z$462,Z$463,$E468,$F468,$G468,$H468,$I468)</f>
        <v>0</v>
      </c>
      <c r="AA478" s="29">
        <f>FUELUSE(Z478,Z441,AA441,Z451,AA451,AA$461,AA$462,AA$463,$E468,$F468,$G468,$H468,$I468)</f>
        <v>0</v>
      </c>
      <c r="AB478" s="29">
        <f>FUELUSE(AA478,AA441,AB441,AA451,AB451,AB$461,AB$462,AB$463,$E468,$F468,$G468,$H468,$I468)</f>
        <v>0</v>
      </c>
      <c r="AC478" s="29">
        <f>FUELUSE(AB478,AB441,AC441,AB451,AC451,AC$461,AC$462,AC$463,$E468,$F468,$G468,$H468,$I468)</f>
        <v>0</v>
      </c>
      <c r="AD478" s="29">
        <f>FUELUSE(AC478,AC441,AD441,AC451,AD451,AD$461,AD$462,AD$463,$E468,$F468,$G468,$H468,$I468)</f>
        <v>0</v>
      </c>
      <c r="AE478" s="29">
        <f>FUELUSE(AD478,AD441,AE441,AD451,AE451,AE$461,AE$462,AE$463,$E468,$F468,$G468,$H468,$I468)</f>
        <v>0</v>
      </c>
    </row>
    <row r="479" spans="2:31" x14ac:dyDescent="0.25">
      <c r="B479" s="17" t="s">
        <v>62</v>
      </c>
      <c r="C479" s="17" t="str">
        <f t="shared" si="46"/>
        <v>mch</v>
      </c>
      <c r="D479" s="18" t="s">
        <v>63</v>
      </c>
      <c r="E479" s="19" t="s">
        <v>112</v>
      </c>
      <c r="F479" s="17" t="s">
        <v>113</v>
      </c>
      <c r="G479" s="20" t="str">
        <f>Settings!$B$3&amp;".mit.enc."&amp;$B479</f>
        <v>egy.mit.enc.die</v>
      </c>
      <c r="H479" s="21" t="str">
        <f>OUTCODE(Settings!$B$3,"ener",$C$427,$B479,$J$427)</f>
        <v>egy.mit.ener.mch.die.e.2</v>
      </c>
      <c r="L479" s="28">
        <f>INDEX(Data_Energy!$D$3:$U$22,MATCH($B479,Data_Energy!$C$3:$C$22,0),MATCH($C479,Data_Energy!$D$2:$U$2,0))</f>
        <v>0</v>
      </c>
      <c r="M479" s="29">
        <f>FUELUSE(L479,L442,M442,L452,M452,M$461,M$462,M$463,$E469,$F469,$G469,$H469,$I469)</f>
        <v>0</v>
      </c>
      <c r="N479" s="29">
        <f>FUELUSE(M479,M442,N442,M452,N452,N$461,N$462,N$463,$E469,$F469,$G469,$H469,$I469)</f>
        <v>0</v>
      </c>
      <c r="O479" s="29">
        <f>FUELUSE(N479,N442,O442,N452,O452,O$461,O$462,O$463,$E469,$F469,$G469,$H469,$I469)</f>
        <v>0</v>
      </c>
      <c r="P479" s="29">
        <f>FUELUSE(O479,O442,P442,O452,P452,P$461,P$462,P$463,$E469,$F469,$G469,$H469,$I469)</f>
        <v>0</v>
      </c>
      <c r="Q479" s="29">
        <f>FUELUSE(P479,P442,Q442,P452,Q452,Q$461,Q$462,Q$463,$E469,$F469,$G469,$H469,$I469)</f>
        <v>0</v>
      </c>
      <c r="R479" s="29">
        <f>FUELUSE(Q479,Q442,R442,Q452,R452,R$461,R$462,R$463,$E469,$F469,$G469,$H469,$I469)</f>
        <v>0</v>
      </c>
      <c r="S479" s="29">
        <f>FUELUSE(R479,R442,S442,R452,S452,S$461,S$462,S$463,$E469,$F469,$G469,$H469,$I469)</f>
        <v>0</v>
      </c>
      <c r="T479" s="29">
        <f>FUELUSE(S479,S442,T442,S452,T452,T$461,T$462,T$463,$E469,$F469,$G469,$H469,$I469)</f>
        <v>0</v>
      </c>
      <c r="U479" s="29">
        <f>FUELUSE(T479,T442,U442,T452,U452,U$461,U$462,U$463,$E469,$F469,$G469,$H469,$I469)</f>
        <v>0</v>
      </c>
      <c r="V479" s="29">
        <f>FUELUSE(U479,U442,V442,U452,V452,V$461,V$462,V$463,$E469,$F469,$G469,$H469,$I469)</f>
        <v>0</v>
      </c>
      <c r="W479" s="29">
        <f>FUELUSE(V479,V442,W442,V452,W452,W$461,W$462,W$463,$E469,$F469,$G469,$H469,$I469)</f>
        <v>0</v>
      </c>
      <c r="X479" s="29">
        <f>FUELUSE(W479,W442,X442,W452,X452,X$461,X$462,X$463,$E469,$F469,$G469,$H469,$I469)</f>
        <v>0</v>
      </c>
      <c r="Y479" s="29">
        <f>FUELUSE(X479,X442,Y442,X452,Y452,Y$461,Y$462,Y$463,$E469,$F469,$G469,$H469,$I469)</f>
        <v>0</v>
      </c>
      <c r="Z479" s="29">
        <f>FUELUSE(Y479,Y442,Z442,Y452,Z452,Z$461,Z$462,Z$463,$E469,$F469,$G469,$H469,$I469)</f>
        <v>0</v>
      </c>
      <c r="AA479" s="29">
        <f>FUELUSE(Z479,Z442,AA442,Z452,AA452,AA$461,AA$462,AA$463,$E469,$F469,$G469,$H469,$I469)</f>
        <v>0</v>
      </c>
      <c r="AB479" s="29">
        <f>FUELUSE(AA479,AA442,AB442,AA452,AB452,AB$461,AB$462,AB$463,$E469,$F469,$G469,$H469,$I469)</f>
        <v>0</v>
      </c>
      <c r="AC479" s="29">
        <f>FUELUSE(AB479,AB442,AC442,AB452,AC452,AC$461,AC$462,AC$463,$E469,$F469,$G469,$H469,$I469)</f>
        <v>0</v>
      </c>
      <c r="AD479" s="29">
        <f>FUELUSE(AC479,AC442,AD442,AC452,AD452,AD$461,AD$462,AD$463,$E469,$F469,$G469,$H469,$I469)</f>
        <v>0</v>
      </c>
      <c r="AE479" s="29">
        <f>FUELUSE(AD479,AD442,AE442,AD452,AE452,AE$461,AE$462,AE$463,$E469,$F469,$G469,$H469,$I469)</f>
        <v>0</v>
      </c>
    </row>
    <row r="480" spans="2:31" x14ac:dyDescent="0.25">
      <c r="B480" s="17" t="s">
        <v>64</v>
      </c>
      <c r="C480" s="17" t="str">
        <f t="shared" si="46"/>
        <v>mch</v>
      </c>
      <c r="D480" s="18" t="s">
        <v>65</v>
      </c>
      <c r="E480" s="19" t="s">
        <v>112</v>
      </c>
      <c r="F480" s="17" t="s">
        <v>113</v>
      </c>
      <c r="G480" s="20" t="str">
        <f>Settings!$B$3&amp;".mit.enc."&amp;$B480</f>
        <v>egy.mit.enc.lpg</v>
      </c>
      <c r="H480" s="21" t="str">
        <f>OUTCODE(Settings!$B$3,"ener",$C$427,$B480,$J$427)</f>
        <v>egy.mit.ener.mch.lpg.e.2</v>
      </c>
      <c r="L480" s="28">
        <f>INDEX(Data_Energy!$D$3:$U$22,MATCH($B480,Data_Energy!$C$3:$C$22,0),MATCH($C480,Data_Energy!$D$2:$U$2,0))</f>
        <v>0</v>
      </c>
      <c r="M480" s="29">
        <f>FUELUSE(L480,L443,M443,L453,M453,M$461,M$462,M$463,$E470,$F470,$G470,$H470,$I470)</f>
        <v>0</v>
      </c>
      <c r="N480" s="29">
        <f>FUELUSE(M480,M443,N443,M453,N453,N$461,N$462,N$463,$E470,$F470,$G470,$H470,$I470)</f>
        <v>0</v>
      </c>
      <c r="O480" s="29">
        <f>FUELUSE(N480,N443,O443,N453,O453,O$461,O$462,O$463,$E470,$F470,$G470,$H470,$I470)</f>
        <v>0</v>
      </c>
      <c r="P480" s="29">
        <f>FUELUSE(O480,O443,P443,O453,P453,P$461,P$462,P$463,$E470,$F470,$G470,$H470,$I470)</f>
        <v>0</v>
      </c>
      <c r="Q480" s="29">
        <f>FUELUSE(P480,P443,Q443,P453,Q453,Q$461,Q$462,Q$463,$E470,$F470,$G470,$H470,$I470)</f>
        <v>0</v>
      </c>
      <c r="R480" s="29">
        <f>FUELUSE(Q480,Q443,R443,Q453,R453,R$461,R$462,R$463,$E470,$F470,$G470,$H470,$I470)</f>
        <v>0</v>
      </c>
      <c r="S480" s="29">
        <f>FUELUSE(R480,R443,S443,R453,S453,S$461,S$462,S$463,$E470,$F470,$G470,$H470,$I470)</f>
        <v>0</v>
      </c>
      <c r="T480" s="29">
        <f>FUELUSE(S480,S443,T443,S453,T453,T$461,T$462,T$463,$E470,$F470,$G470,$H470,$I470)</f>
        <v>0</v>
      </c>
      <c r="U480" s="29">
        <f>FUELUSE(T480,T443,U443,T453,U453,U$461,U$462,U$463,$E470,$F470,$G470,$H470,$I470)</f>
        <v>0</v>
      </c>
      <c r="V480" s="29">
        <f>FUELUSE(U480,U443,V443,U453,V453,V$461,V$462,V$463,$E470,$F470,$G470,$H470,$I470)</f>
        <v>0</v>
      </c>
      <c r="W480" s="29">
        <f>FUELUSE(V480,V443,W443,V453,W453,W$461,W$462,W$463,$E470,$F470,$G470,$H470,$I470)</f>
        <v>0</v>
      </c>
      <c r="X480" s="29">
        <f>FUELUSE(W480,W443,X443,W453,X453,X$461,X$462,X$463,$E470,$F470,$G470,$H470,$I470)</f>
        <v>0</v>
      </c>
      <c r="Y480" s="29">
        <f>FUELUSE(X480,X443,Y443,X453,Y453,Y$461,Y$462,Y$463,$E470,$F470,$G470,$H470,$I470)</f>
        <v>0</v>
      </c>
      <c r="Z480" s="29">
        <f>FUELUSE(Y480,Y443,Z443,Y453,Z453,Z$461,Z$462,Z$463,$E470,$F470,$G470,$H470,$I470)</f>
        <v>0</v>
      </c>
      <c r="AA480" s="29">
        <f>FUELUSE(Z480,Z443,AA443,Z453,AA453,AA$461,AA$462,AA$463,$E470,$F470,$G470,$H470,$I470)</f>
        <v>0</v>
      </c>
      <c r="AB480" s="29">
        <f>FUELUSE(AA480,AA443,AB443,AA453,AB453,AB$461,AB$462,AB$463,$E470,$F470,$G470,$H470,$I470)</f>
        <v>0</v>
      </c>
      <c r="AC480" s="29">
        <f>FUELUSE(AB480,AB443,AC443,AB453,AC453,AC$461,AC$462,AC$463,$E470,$F470,$G470,$H470,$I470)</f>
        <v>0</v>
      </c>
      <c r="AD480" s="29">
        <f>FUELUSE(AC480,AC443,AD443,AC453,AD453,AD$461,AD$462,AD$463,$E470,$F470,$G470,$H470,$I470)</f>
        <v>0</v>
      </c>
      <c r="AE480" s="29">
        <f>FUELUSE(AD480,AD443,AE443,AD453,AE453,AE$461,AE$462,AE$463,$E470,$F470,$G470,$H470,$I470)</f>
        <v>0</v>
      </c>
    </row>
    <row r="481" spans="2:31" x14ac:dyDescent="0.25">
      <c r="B481" s="17" t="s">
        <v>66</v>
      </c>
      <c r="C481" s="17" t="str">
        <f t="shared" si="46"/>
        <v>mch</v>
      </c>
      <c r="D481" s="18" t="s">
        <v>67</v>
      </c>
      <c r="E481" s="19" t="s">
        <v>112</v>
      </c>
      <c r="F481" s="17" t="s">
        <v>113</v>
      </c>
      <c r="G481" s="20" t="str">
        <f>Settings!$B$3&amp;".mit.enc."&amp;$B481</f>
        <v>egy.mit.enc.ker</v>
      </c>
      <c r="H481" s="21" t="str">
        <f>OUTCODE(Settings!$B$3,"ener",$C$427,$B481,$J$427)</f>
        <v>egy.mit.ener.mch.ker.e.2</v>
      </c>
      <c r="L481" s="28">
        <f>INDEX(Data_Energy!$D$3:$U$22,MATCH($B481,Data_Energy!$C$3:$C$22,0),MATCH($C481,Data_Energy!$D$2:$U$2,0))</f>
        <v>0</v>
      </c>
      <c r="M481" s="29">
        <f>FUELUSE(L481,L444,M444,L454,M454,M$461,M$462,M$463,$E471,$F471,$G471,$H471,$I471)</f>
        <v>0</v>
      </c>
      <c r="N481" s="29">
        <f>FUELUSE(M481,M444,N444,M454,N454,N$461,N$462,N$463,$E471,$F471,$G471,$H471,$I471)</f>
        <v>0</v>
      </c>
      <c r="O481" s="29">
        <f>FUELUSE(N481,N444,O444,N454,O454,O$461,O$462,O$463,$E471,$F471,$G471,$H471,$I471)</f>
        <v>0</v>
      </c>
      <c r="P481" s="29">
        <f>FUELUSE(O481,O444,P444,O454,P454,P$461,P$462,P$463,$E471,$F471,$G471,$H471,$I471)</f>
        <v>0</v>
      </c>
      <c r="Q481" s="29">
        <f>FUELUSE(P481,P444,Q444,P454,Q454,Q$461,Q$462,Q$463,$E471,$F471,$G471,$H471,$I471)</f>
        <v>0</v>
      </c>
      <c r="R481" s="29">
        <f>FUELUSE(Q481,Q444,R444,Q454,R454,R$461,R$462,R$463,$E471,$F471,$G471,$H471,$I471)</f>
        <v>0</v>
      </c>
      <c r="S481" s="29">
        <f>FUELUSE(R481,R444,S444,R454,S454,S$461,S$462,S$463,$E471,$F471,$G471,$H471,$I471)</f>
        <v>0</v>
      </c>
      <c r="T481" s="29">
        <f>FUELUSE(S481,S444,T444,S454,T454,T$461,T$462,T$463,$E471,$F471,$G471,$H471,$I471)</f>
        <v>0</v>
      </c>
      <c r="U481" s="29">
        <f>FUELUSE(T481,T444,U444,T454,U454,U$461,U$462,U$463,$E471,$F471,$G471,$H471,$I471)</f>
        <v>0</v>
      </c>
      <c r="V481" s="29">
        <f>FUELUSE(U481,U444,V444,U454,V454,V$461,V$462,V$463,$E471,$F471,$G471,$H471,$I471)</f>
        <v>0</v>
      </c>
      <c r="W481" s="29">
        <f>FUELUSE(V481,V444,W444,V454,W454,W$461,W$462,W$463,$E471,$F471,$G471,$H471,$I471)</f>
        <v>0</v>
      </c>
      <c r="X481" s="29">
        <f>FUELUSE(W481,W444,X444,W454,X454,X$461,X$462,X$463,$E471,$F471,$G471,$H471,$I471)</f>
        <v>0</v>
      </c>
      <c r="Y481" s="29">
        <f>FUELUSE(X481,X444,Y444,X454,Y454,Y$461,Y$462,Y$463,$E471,$F471,$G471,$H471,$I471)</f>
        <v>0</v>
      </c>
      <c r="Z481" s="29">
        <f>FUELUSE(Y481,Y444,Z444,Y454,Z454,Z$461,Z$462,Z$463,$E471,$F471,$G471,$H471,$I471)</f>
        <v>0</v>
      </c>
      <c r="AA481" s="29">
        <f>FUELUSE(Z481,Z444,AA444,Z454,AA454,AA$461,AA$462,AA$463,$E471,$F471,$G471,$H471,$I471)</f>
        <v>0</v>
      </c>
      <c r="AB481" s="29">
        <f>FUELUSE(AA481,AA444,AB444,AA454,AB454,AB$461,AB$462,AB$463,$E471,$F471,$G471,$H471,$I471)</f>
        <v>0</v>
      </c>
      <c r="AC481" s="29">
        <f>FUELUSE(AB481,AB444,AC444,AB454,AC454,AC$461,AC$462,AC$463,$E471,$F471,$G471,$H471,$I471)</f>
        <v>0</v>
      </c>
      <c r="AD481" s="29">
        <f>FUELUSE(AC481,AC444,AD444,AC454,AD454,AD$461,AD$462,AD$463,$E471,$F471,$G471,$H471,$I471)</f>
        <v>0</v>
      </c>
      <c r="AE481" s="29">
        <f>FUELUSE(AD481,AD444,AE444,AD454,AE454,AE$461,AE$462,AE$463,$E471,$F471,$G471,$H471,$I471)</f>
        <v>0</v>
      </c>
    </row>
    <row r="482" spans="2:31" x14ac:dyDescent="0.25">
      <c r="B482" s="17" t="s">
        <v>68</v>
      </c>
      <c r="C482" s="17" t="str">
        <f t="shared" si="46"/>
        <v>mch</v>
      </c>
      <c r="D482" s="18" t="s">
        <v>69</v>
      </c>
      <c r="E482" s="19" t="s">
        <v>112</v>
      </c>
      <c r="F482" s="17" t="s">
        <v>113</v>
      </c>
      <c r="G482" s="20" t="str">
        <f>Settings!$B$3&amp;".mit.enc."&amp;$B482</f>
        <v>egy.mit.enc.oop</v>
      </c>
      <c r="H482" s="21" t="str">
        <f>OUTCODE(Settings!$B$3,"ener",$C$427,$B482,$J$427)</f>
        <v>egy.mit.ener.mch.oop.e.2</v>
      </c>
      <c r="L482" s="28">
        <f>INDEX(Data_Energy!$D$3:$U$22,MATCH($B482,Data_Energy!$C$3:$C$22,0),MATCH($C482,Data_Energy!$D$2:$U$2,0))</f>
        <v>0</v>
      </c>
      <c r="M482" s="29">
        <f>FUELUSE(L482,L445,M445,L455,M455,M$461,M$462,M$463,$E472,$F472,$G472,$H472,$I472)</f>
        <v>0</v>
      </c>
      <c r="N482" s="29">
        <f>FUELUSE(M482,M445,N445,M455,N455,N$461,N$462,N$463,$E472,$F472,$G472,$H472,$I472)</f>
        <v>0</v>
      </c>
      <c r="O482" s="29">
        <f>FUELUSE(N482,N445,O445,N455,O455,O$461,O$462,O$463,$E472,$F472,$G472,$H472,$I472)</f>
        <v>0</v>
      </c>
      <c r="P482" s="29">
        <f>FUELUSE(O482,O445,P445,O455,P455,P$461,P$462,P$463,$E472,$F472,$G472,$H472,$I472)</f>
        <v>0</v>
      </c>
      <c r="Q482" s="29">
        <f>FUELUSE(P482,P445,Q445,P455,Q455,Q$461,Q$462,Q$463,$E472,$F472,$G472,$H472,$I472)</f>
        <v>0</v>
      </c>
      <c r="R482" s="29">
        <f>FUELUSE(Q482,Q445,R445,Q455,R455,R$461,R$462,R$463,$E472,$F472,$G472,$H472,$I472)</f>
        <v>0</v>
      </c>
      <c r="S482" s="29">
        <f>FUELUSE(R482,R445,S445,R455,S455,S$461,S$462,S$463,$E472,$F472,$G472,$H472,$I472)</f>
        <v>0</v>
      </c>
      <c r="T482" s="29">
        <f>FUELUSE(S482,S445,T445,S455,T455,T$461,T$462,T$463,$E472,$F472,$G472,$H472,$I472)</f>
        <v>0</v>
      </c>
      <c r="U482" s="29">
        <f>FUELUSE(T482,T445,U445,T455,U455,U$461,U$462,U$463,$E472,$F472,$G472,$H472,$I472)</f>
        <v>0</v>
      </c>
      <c r="V482" s="29">
        <f>FUELUSE(U482,U445,V445,U455,V455,V$461,V$462,V$463,$E472,$F472,$G472,$H472,$I472)</f>
        <v>0</v>
      </c>
      <c r="W482" s="29">
        <f>FUELUSE(V482,V445,W445,V455,W455,W$461,W$462,W$463,$E472,$F472,$G472,$H472,$I472)</f>
        <v>0</v>
      </c>
      <c r="X482" s="29">
        <f>FUELUSE(W482,W445,X445,W455,X455,X$461,X$462,X$463,$E472,$F472,$G472,$H472,$I472)</f>
        <v>0</v>
      </c>
      <c r="Y482" s="29">
        <f>FUELUSE(X482,X445,Y445,X455,Y455,Y$461,Y$462,Y$463,$E472,$F472,$G472,$H472,$I472)</f>
        <v>0</v>
      </c>
      <c r="Z482" s="29">
        <f>FUELUSE(Y482,Y445,Z445,Y455,Z455,Z$461,Z$462,Z$463,$E472,$F472,$G472,$H472,$I472)</f>
        <v>0</v>
      </c>
      <c r="AA482" s="29">
        <f>FUELUSE(Z482,Z445,AA445,Z455,AA455,AA$461,AA$462,AA$463,$E472,$F472,$G472,$H472,$I472)</f>
        <v>0</v>
      </c>
      <c r="AB482" s="29">
        <f>FUELUSE(AA482,AA445,AB445,AA455,AB455,AB$461,AB$462,AB$463,$E472,$F472,$G472,$H472,$I472)</f>
        <v>0</v>
      </c>
      <c r="AC482" s="29">
        <f>FUELUSE(AB482,AB445,AC445,AB455,AC455,AC$461,AC$462,AC$463,$E472,$F472,$G472,$H472,$I472)</f>
        <v>0</v>
      </c>
      <c r="AD482" s="29">
        <f>FUELUSE(AC482,AC445,AD445,AC455,AD455,AD$461,AD$462,AD$463,$E472,$F472,$G472,$H472,$I472)</f>
        <v>0</v>
      </c>
      <c r="AE482" s="29">
        <f>FUELUSE(AD482,AD445,AE445,AD455,AE455,AE$461,AE$462,AE$463,$E472,$F472,$G472,$H472,$I472)</f>
        <v>0</v>
      </c>
    </row>
    <row r="483" spans="2:31" x14ac:dyDescent="0.25">
      <c r="B483" s="17" t="s">
        <v>71</v>
      </c>
      <c r="C483" s="17" t="str">
        <f t="shared" si="46"/>
        <v>mch</v>
      </c>
      <c r="D483" s="18" t="s">
        <v>72</v>
      </c>
      <c r="E483" s="19" t="s">
        <v>112</v>
      </c>
      <c r="F483" s="17" t="s">
        <v>113</v>
      </c>
      <c r="G483" s="20" t="str">
        <f>Settings!$B$3&amp;".mit.enc."&amp;$B483</f>
        <v>egy.mit.enc.bio</v>
      </c>
      <c r="H483" s="21" t="str">
        <f>OUTCODE(Settings!$B$3,"ener",$C$427,$B483,$J$427)</f>
        <v>egy.mit.ener.mch.bio.e.2</v>
      </c>
      <c r="L483" s="28">
        <f>INDEX(Data_Energy!$D$3:$U$22,MATCH($B483,Data_Energy!$C$3:$C$22,0),MATCH($C483,Data_Energy!$D$2:$U$2,0))</f>
        <v>0</v>
      </c>
      <c r="M483" s="29">
        <f>FUELUSE(L483,L446,M446,L456,M456,M$461,M$462,M$463,$E473,$F473,$G473,$H473,$I473)</f>
        <v>0</v>
      </c>
      <c r="N483" s="29">
        <f>FUELUSE(M483,M446,N446,M456,N456,N$461,N$462,N$463,$E473,$F473,$G473,$H473,$I473)</f>
        <v>0</v>
      </c>
      <c r="O483" s="29">
        <f>FUELUSE(N483,N446,O446,N456,O456,O$461,O$462,O$463,$E473,$F473,$G473,$H473,$I473)</f>
        <v>0</v>
      </c>
      <c r="P483" s="29">
        <f>FUELUSE(O483,O446,P446,O456,P456,P$461,P$462,P$463,$E473,$F473,$G473,$H473,$I473)</f>
        <v>0</v>
      </c>
      <c r="Q483" s="29">
        <f>FUELUSE(P483,P446,Q446,P456,Q456,Q$461,Q$462,Q$463,$E473,$F473,$G473,$H473,$I473)</f>
        <v>0</v>
      </c>
      <c r="R483" s="29">
        <f>FUELUSE(Q483,Q446,R446,Q456,R456,R$461,R$462,R$463,$E473,$F473,$G473,$H473,$I473)</f>
        <v>0</v>
      </c>
      <c r="S483" s="29">
        <f>FUELUSE(R483,R446,S446,R456,S456,S$461,S$462,S$463,$E473,$F473,$G473,$H473,$I473)</f>
        <v>0</v>
      </c>
      <c r="T483" s="29">
        <f>FUELUSE(S483,S446,T446,S456,T456,T$461,T$462,T$463,$E473,$F473,$G473,$H473,$I473)</f>
        <v>0</v>
      </c>
      <c r="U483" s="29">
        <f>FUELUSE(T483,T446,U446,T456,U456,U$461,U$462,U$463,$E473,$F473,$G473,$H473,$I473)</f>
        <v>0</v>
      </c>
      <c r="V483" s="29">
        <f>FUELUSE(U483,U446,V446,U456,V456,V$461,V$462,V$463,$E473,$F473,$G473,$H473,$I473)</f>
        <v>0</v>
      </c>
      <c r="W483" s="29">
        <f>FUELUSE(V483,V446,W446,V456,W456,W$461,W$462,W$463,$E473,$F473,$G473,$H473,$I473)</f>
        <v>0</v>
      </c>
      <c r="X483" s="29">
        <f>FUELUSE(W483,W446,X446,W456,X456,X$461,X$462,X$463,$E473,$F473,$G473,$H473,$I473)</f>
        <v>0</v>
      </c>
      <c r="Y483" s="29">
        <f>FUELUSE(X483,X446,Y446,X456,Y456,Y$461,Y$462,Y$463,$E473,$F473,$G473,$H473,$I473)</f>
        <v>0</v>
      </c>
      <c r="Z483" s="29">
        <f>FUELUSE(Y483,Y446,Z446,Y456,Z456,Z$461,Z$462,Z$463,$E473,$F473,$G473,$H473,$I473)</f>
        <v>0</v>
      </c>
      <c r="AA483" s="29">
        <f>FUELUSE(Z483,Z446,AA446,Z456,AA456,AA$461,AA$462,AA$463,$E473,$F473,$G473,$H473,$I473)</f>
        <v>0</v>
      </c>
      <c r="AB483" s="29">
        <f>FUELUSE(AA483,AA446,AB446,AA456,AB456,AB$461,AB$462,AB$463,$E473,$F473,$G473,$H473,$I473)</f>
        <v>0</v>
      </c>
      <c r="AC483" s="29">
        <f>FUELUSE(AB483,AB446,AC446,AB456,AC456,AC$461,AC$462,AC$463,$E473,$F473,$G473,$H473,$I473)</f>
        <v>0</v>
      </c>
      <c r="AD483" s="29">
        <f>FUELUSE(AC483,AC446,AD446,AC456,AD456,AD$461,AD$462,AD$463,$E473,$F473,$G473,$H473,$I473)</f>
        <v>0</v>
      </c>
      <c r="AE483" s="29">
        <f>FUELUSE(AD483,AD446,AE446,AD456,AE456,AE$461,AE$462,AE$463,$E473,$F473,$G473,$H473,$I473)</f>
        <v>0</v>
      </c>
    </row>
    <row r="484" spans="2:31" x14ac:dyDescent="0.25">
      <c r="B484" s="17" t="s">
        <v>73</v>
      </c>
      <c r="C484" s="17" t="str">
        <f t="shared" si="46"/>
        <v>mch</v>
      </c>
      <c r="D484" s="18" t="s">
        <v>74</v>
      </c>
      <c r="E484" s="19" t="s">
        <v>112</v>
      </c>
      <c r="F484" s="17" t="s">
        <v>113</v>
      </c>
      <c r="G484" s="20" t="str">
        <f>Settings!$B$3&amp;".mit.enc."&amp;$B484</f>
        <v>egy.mit.enc.ren</v>
      </c>
      <c r="H484" s="21" t="str">
        <f>OUTCODE(Settings!$B$3,"ener",$C$427,$B484,$J$427)</f>
        <v>egy.mit.ener.mch.ren.e.2</v>
      </c>
      <c r="L484" s="28">
        <f>INDEX(Data_Energy!$D$3:$U$22,MATCH($B484,Data_Energy!$C$3:$C$22,0),MATCH($C484,Data_Energy!$D$2:$U$2,0))</f>
        <v>0</v>
      </c>
      <c r="M484" s="29">
        <f>FUELUSE(L484,L447,M447,L457,M457,M$461,M$462,M$463,$E474,$F474,$G474,$H474,$I474)</f>
        <v>0</v>
      </c>
      <c r="N484" s="29">
        <f>FUELUSE(M484,M447,N447,M457,N457,N$461,N$462,N$463,$E474,$F474,$G474,$H474,$I474)</f>
        <v>0</v>
      </c>
      <c r="O484" s="29">
        <f>FUELUSE(N484,N447,O447,N457,O457,O$461,O$462,O$463,$E474,$F474,$G474,$H474,$I474)</f>
        <v>0</v>
      </c>
      <c r="P484" s="29">
        <f>FUELUSE(O484,O447,P447,O457,P457,P$461,P$462,P$463,$E474,$F474,$G474,$H474,$I474)</f>
        <v>0</v>
      </c>
      <c r="Q484" s="29">
        <f>FUELUSE(P484,P447,Q447,P457,Q457,Q$461,Q$462,Q$463,$E474,$F474,$G474,$H474,$I474)</f>
        <v>0</v>
      </c>
      <c r="R484" s="29">
        <f>FUELUSE(Q484,Q447,R447,Q457,R457,R$461,R$462,R$463,$E474,$F474,$G474,$H474,$I474)</f>
        <v>0</v>
      </c>
      <c r="S484" s="29">
        <f>FUELUSE(R484,R447,S447,R457,S457,S$461,S$462,S$463,$E474,$F474,$G474,$H474,$I474)</f>
        <v>0</v>
      </c>
      <c r="T484" s="29">
        <f>FUELUSE(S484,S447,T447,S457,T457,T$461,T$462,T$463,$E474,$F474,$G474,$H474,$I474)</f>
        <v>0</v>
      </c>
      <c r="U484" s="29">
        <f>FUELUSE(T484,T447,U447,T457,U457,U$461,U$462,U$463,$E474,$F474,$G474,$H474,$I474)</f>
        <v>0</v>
      </c>
      <c r="V484" s="29">
        <f>FUELUSE(U484,U447,V447,U457,V457,V$461,V$462,V$463,$E474,$F474,$G474,$H474,$I474)</f>
        <v>0</v>
      </c>
      <c r="W484" s="29">
        <f>FUELUSE(V484,V447,W447,V457,W457,W$461,W$462,W$463,$E474,$F474,$G474,$H474,$I474)</f>
        <v>0</v>
      </c>
      <c r="X484" s="29">
        <f>FUELUSE(W484,W447,X447,W457,X457,X$461,X$462,X$463,$E474,$F474,$G474,$H474,$I474)</f>
        <v>0</v>
      </c>
      <c r="Y484" s="29">
        <f>FUELUSE(X484,X447,Y447,X457,Y457,Y$461,Y$462,Y$463,$E474,$F474,$G474,$H474,$I474)</f>
        <v>0</v>
      </c>
      <c r="Z484" s="29">
        <f>FUELUSE(Y484,Y447,Z447,Y457,Z457,Z$461,Z$462,Z$463,$E474,$F474,$G474,$H474,$I474)</f>
        <v>0</v>
      </c>
      <c r="AA484" s="29">
        <f>FUELUSE(Z484,Z447,AA447,Z457,AA457,AA$461,AA$462,AA$463,$E474,$F474,$G474,$H474,$I474)</f>
        <v>0</v>
      </c>
      <c r="AB484" s="29">
        <f>FUELUSE(AA484,AA447,AB447,AA457,AB457,AB$461,AB$462,AB$463,$E474,$F474,$G474,$H474,$I474)</f>
        <v>0</v>
      </c>
      <c r="AC484" s="29">
        <f>FUELUSE(AB484,AB447,AC447,AB457,AC457,AC$461,AC$462,AC$463,$E474,$F474,$G474,$H474,$I474)</f>
        <v>0</v>
      </c>
      <c r="AD484" s="29">
        <f>FUELUSE(AC484,AC447,AD447,AC457,AD457,AD$461,AD$462,AD$463,$E474,$F474,$G474,$H474,$I474)</f>
        <v>0</v>
      </c>
      <c r="AE484" s="29">
        <f>FUELUSE(AD484,AD447,AE447,AD457,AE457,AE$461,AE$462,AE$463,$E474,$F474,$G474,$H474,$I474)</f>
        <v>0</v>
      </c>
    </row>
    <row r="485" spans="2:31" x14ac:dyDescent="0.25">
      <c r="B485" s="17" t="s">
        <v>114</v>
      </c>
      <c r="C485" s="17" t="str">
        <f t="shared" si="46"/>
        <v>mch</v>
      </c>
      <c r="D485" s="30" t="s">
        <v>115</v>
      </c>
      <c r="E485" s="19" t="s">
        <v>112</v>
      </c>
      <c r="F485" s="17" t="s">
        <v>113</v>
      </c>
      <c r="H485" s="21" t="str">
        <f>OUTCODE(Settings!$B$3,"ener",$C$427,"tot",$J$427)</f>
        <v>egy.mit.ener.mch.tot.e.2</v>
      </c>
      <c r="L485" s="31">
        <f t="shared" ref="L485:AE485" si="47">SUM(L476:L484)</f>
        <v>0</v>
      </c>
      <c r="M485" s="31">
        <f t="shared" si="47"/>
        <v>0</v>
      </c>
      <c r="N485" s="31">
        <f t="shared" si="47"/>
        <v>0</v>
      </c>
      <c r="O485" s="31">
        <f t="shared" si="47"/>
        <v>0</v>
      </c>
      <c r="P485" s="31">
        <f t="shared" si="47"/>
        <v>0</v>
      </c>
      <c r="Q485" s="31">
        <f t="shared" si="47"/>
        <v>0</v>
      </c>
      <c r="R485" s="31">
        <f t="shared" si="47"/>
        <v>0</v>
      </c>
      <c r="S485" s="31">
        <f t="shared" si="47"/>
        <v>0</v>
      </c>
      <c r="T485" s="31">
        <f t="shared" si="47"/>
        <v>0</v>
      </c>
      <c r="U485" s="31">
        <f t="shared" si="47"/>
        <v>0</v>
      </c>
      <c r="V485" s="31">
        <f t="shared" si="47"/>
        <v>0</v>
      </c>
      <c r="W485" s="31">
        <f t="shared" si="47"/>
        <v>0</v>
      </c>
      <c r="X485" s="31">
        <f t="shared" si="47"/>
        <v>0</v>
      </c>
      <c r="Y485" s="31">
        <f t="shared" si="47"/>
        <v>0</v>
      </c>
      <c r="Z485" s="31">
        <f t="shared" si="47"/>
        <v>0</v>
      </c>
      <c r="AA485" s="31">
        <f t="shared" si="47"/>
        <v>0</v>
      </c>
      <c r="AB485" s="31">
        <f t="shared" si="47"/>
        <v>0</v>
      </c>
      <c r="AC485" s="31">
        <f t="shared" si="47"/>
        <v>0</v>
      </c>
      <c r="AD485" s="31">
        <f t="shared" si="47"/>
        <v>0</v>
      </c>
      <c r="AE485" s="31">
        <f t="shared" si="47"/>
        <v>0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workbookViewId="0">
      <selection activeCell="C5" sqref="C5"/>
    </sheetView>
  </sheetViews>
  <sheetFormatPr defaultRowHeight="15" x14ac:dyDescent="0.25"/>
  <cols>
    <col min="1" max="1" width="16" customWidth="1"/>
    <col min="2" max="2" width="40" customWidth="1"/>
    <col min="3" max="3" width="29.28515625" customWidth="1"/>
    <col min="4" max="4" width="60" customWidth="1"/>
    <col min="5" max="5" width="80" customWidth="1"/>
  </cols>
  <sheetData>
    <row r="1" spans="1:5" ht="15.75" x14ac:dyDescent="0.25">
      <c r="A1" s="32" t="s">
        <v>123</v>
      </c>
    </row>
    <row r="2" spans="1:5" x14ac:dyDescent="0.25">
      <c r="A2" s="4" t="s">
        <v>124</v>
      </c>
    </row>
    <row r="4" spans="1:5" x14ac:dyDescent="0.25">
      <c r="A4" s="33" t="s">
        <v>125</v>
      </c>
      <c r="B4" s="33" t="s">
        <v>126</v>
      </c>
      <c r="C4" s="33" t="s">
        <v>127</v>
      </c>
      <c r="D4" s="33" t="s">
        <v>128</v>
      </c>
      <c r="E4" s="33" t="s">
        <v>129</v>
      </c>
    </row>
    <row r="5" spans="1:5" ht="72" x14ac:dyDescent="0.25">
      <c r="A5" s="34" t="s">
        <v>130</v>
      </c>
      <c r="B5" s="35" t="s">
        <v>131</v>
      </c>
      <c r="C5" s="35" t="e">
        <f ca="1">_xludf.LAMBDA(F_prev, p_prev, p_now, s_prev, s_now, g, dlt, psi, eY, eU, eF, a, a_add, _xludf.LET(pr, IF(p_prev&lt;=0,1,p_now/p_prev), sr, IF(s_prev&lt;=0,1,s_now/s_prev), F_prev*(1+g)^(eY*dlt)*(1+psi)*pr^eU*((sr^eF)/(1+a+a_add))^(1+eU)))</f>
        <v>#NAME?</v>
      </c>
      <c r="D5" s="36" t="s">
        <v>132</v>
      </c>
      <c r="E5" s="37" t="s">
        <v>133</v>
      </c>
    </row>
    <row r="6" spans="1:5" ht="42.75" x14ac:dyDescent="0.25">
      <c r="A6" s="34" t="s">
        <v>134</v>
      </c>
      <c r="B6" s="35" t="s">
        <v>135</v>
      </c>
      <c r="C6" s="35" t="e">
        <f ca="1">_xludf.LAMBDA(kind, fuel, group, INDEX(Data_Elast!$D:$G, MATCH(kind&amp;"_"&amp;fuel, Data_Elast!$A:$A, 0), MATCH(group, Data_Elast!$D$1:$G$1, 0)))</f>
        <v>#NAME?</v>
      </c>
      <c r="D6" s="36" t="s">
        <v>136</v>
      </c>
      <c r="E6" s="37" t="s">
        <v>137</v>
      </c>
    </row>
    <row r="7" spans="1:5" ht="28.5" x14ac:dyDescent="0.25">
      <c r="A7" s="34" t="s">
        <v>138</v>
      </c>
      <c r="B7" s="35" t="s">
        <v>139</v>
      </c>
      <c r="C7" s="35" t="e">
        <f ca="1">_xludf.LAMBDA(ptp, nce, tcf, ptp+nce*tcf)</f>
        <v>#NAME?</v>
      </c>
      <c r="D7" s="36" t="s">
        <v>140</v>
      </c>
      <c r="E7" s="37" t="s">
        <v>141</v>
      </c>
    </row>
    <row r="8" spans="1:5" ht="28.5" x14ac:dyDescent="0.25">
      <c r="A8" s="34" t="s">
        <v>142</v>
      </c>
      <c r="B8" s="35" t="s">
        <v>143</v>
      </c>
      <c r="C8" s="35" t="e">
        <f ca="1">_xludf.LAMBDA(atp, sigma, ssc, atp+sigma*ssc)</f>
        <v>#NAME?</v>
      </c>
      <c r="D8" s="36" t="s">
        <v>144</v>
      </c>
      <c r="E8" s="37" t="s">
        <v>145</v>
      </c>
    </row>
    <row r="9" spans="1:5" ht="36" x14ac:dyDescent="0.25">
      <c r="A9" s="34" t="s">
        <v>146</v>
      </c>
      <c r="B9" s="35" t="s">
        <v>147</v>
      </c>
      <c r="C9" s="35" t="e">
        <f ca="1">_xludf.LAMBDA(country, vname, sector, fuel, scen, country&amp;".mit."&amp;vname&amp;"."&amp;sector&amp;"."&amp;fuel&amp;".e."&amp;scen)</f>
        <v>#NAME?</v>
      </c>
      <c r="D9" s="36" t="s">
        <v>148</v>
      </c>
      <c r="E9" s="37" t="s">
        <v>149</v>
      </c>
    </row>
    <row r="11" spans="1:5" x14ac:dyDescent="0.25">
      <c r="A11" s="2" t="s">
        <v>150</v>
      </c>
    </row>
    <row r="12" spans="1:5" x14ac:dyDescent="0.25">
      <c r="A12" s="6" t="s">
        <v>151</v>
      </c>
      <c r="B12" s="5">
        <v>232.65735477013101</v>
      </c>
    </row>
    <row r="13" spans="1:5" x14ac:dyDescent="0.25">
      <c r="A13" s="6" t="s">
        <v>152</v>
      </c>
      <c r="B13" s="5" t="s">
        <v>153</v>
      </c>
    </row>
    <row r="14" spans="1:5" x14ac:dyDescent="0.25">
      <c r="A14" s="6" t="s">
        <v>154</v>
      </c>
      <c r="B14" s="5" t="s">
        <v>153</v>
      </c>
    </row>
    <row r="15" spans="1:5" x14ac:dyDescent="0.25">
      <c r="A15" s="6" t="s">
        <v>155</v>
      </c>
      <c r="B15" s="5" t="s">
        <v>156</v>
      </c>
    </row>
    <row r="16" spans="1:5" x14ac:dyDescent="0.25">
      <c r="A16" s="6" t="s">
        <v>157</v>
      </c>
      <c r="B16" s="5" t="s">
        <v>158</v>
      </c>
    </row>
    <row r="17" spans="1:2" x14ac:dyDescent="0.25">
      <c r="A17" s="6" t="s">
        <v>159</v>
      </c>
      <c r="B17" s="5" t="s">
        <v>160</v>
      </c>
    </row>
    <row r="18" spans="1:2" x14ac:dyDescent="0.25">
      <c r="A18" s="6" t="s">
        <v>161</v>
      </c>
      <c r="B18" s="38">
        <f>FUELUSE(232.657354770131,10.5233613454312,10.2995608274442,10.5233613454312,10.2995608274442,0.03760281,1.02715172471961,-0.208133083020442,0.5,-0.3,-0.4,0.005,0)</f>
        <v>189.45265610688699</v>
      </c>
    </row>
    <row r="20" spans="1:2" x14ac:dyDescent="0.25">
      <c r="A20" s="2" t="s">
        <v>162</v>
      </c>
    </row>
    <row r="21" spans="1:2" x14ac:dyDescent="0.25">
      <c r="A21" s="5" t="s">
        <v>163</v>
      </c>
    </row>
    <row r="22" spans="1:2" x14ac:dyDescent="0.25">
      <c r="A22" s="5" t="s">
        <v>164</v>
      </c>
    </row>
    <row r="23" spans="1:2" x14ac:dyDescent="0.25">
      <c r="A23" s="5" t="s">
        <v>165</v>
      </c>
    </row>
    <row r="24" spans="1:2" x14ac:dyDescent="0.25">
      <c r="A24" s="5" t="s">
        <v>166</v>
      </c>
    </row>
    <row r="25" spans="1:2" x14ac:dyDescent="0.25">
      <c r="A25" s="5" t="s">
        <v>167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5"/>
  <sheetViews>
    <sheetView workbookViewId="0">
      <pane ySplit="7" topLeftCell="A8" activePane="bottomLeft" state="frozen"/>
      <selection pane="bottomLeft"/>
    </sheetView>
  </sheetViews>
  <sheetFormatPr defaultRowHeight="15" x14ac:dyDescent="0.25"/>
  <cols>
    <col min="1" max="1" width="3" customWidth="1"/>
    <col min="2" max="2" width="70" customWidth="1"/>
    <col min="3" max="3" width="14" customWidth="1"/>
    <col min="4" max="5" width="16" customWidth="1"/>
    <col min="6" max="6" width="18" customWidth="1"/>
    <col min="7" max="7" width="14" customWidth="1"/>
    <col min="8" max="8" width="42" customWidth="1"/>
    <col min="9" max="9" width="14" customWidth="1"/>
  </cols>
  <sheetData>
    <row r="1" spans="2:9" x14ac:dyDescent="0.25">
      <c r="B1" s="39" t="s">
        <v>168</v>
      </c>
      <c r="E1" s="39" t="s">
        <v>169</v>
      </c>
      <c r="F1" s="39" t="s">
        <v>170</v>
      </c>
    </row>
    <row r="2" spans="2:9" x14ac:dyDescent="0.25">
      <c r="B2" s="39" t="s">
        <v>171</v>
      </c>
    </row>
    <row r="3" spans="2:9" x14ac:dyDescent="0.25">
      <c r="B3" s="39" t="s">
        <v>172</v>
      </c>
    </row>
    <row r="5" spans="2:9" x14ac:dyDescent="0.25">
      <c r="C5" s="39" t="b">
        <v>0</v>
      </c>
      <c r="D5" s="39" t="s">
        <v>173</v>
      </c>
    </row>
    <row r="6" spans="2:9" x14ac:dyDescent="0.25">
      <c r="D6" s="39">
        <v>6</v>
      </c>
    </row>
    <row r="7" spans="2:9" x14ac:dyDescent="0.25">
      <c r="B7" s="2" t="s">
        <v>174</v>
      </c>
      <c r="C7" s="2" t="s">
        <v>175</v>
      </c>
      <c r="D7" s="2" t="s">
        <v>176</v>
      </c>
      <c r="E7" s="2" t="s">
        <v>177</v>
      </c>
      <c r="F7" s="2" t="s">
        <v>178</v>
      </c>
      <c r="G7" s="2" t="s">
        <v>179</v>
      </c>
      <c r="H7" s="2" t="s">
        <v>180</v>
      </c>
      <c r="I7" s="2" t="s">
        <v>181</v>
      </c>
    </row>
    <row r="8" spans="2:9" x14ac:dyDescent="0.25">
      <c r="B8" s="39" t="s">
        <v>182</v>
      </c>
      <c r="D8" s="39">
        <v>0</v>
      </c>
      <c r="E8" s="39" t="s">
        <v>183</v>
      </c>
      <c r="F8" s="39" t="s">
        <v>183</v>
      </c>
      <c r="G8" s="39" t="s">
        <v>183</v>
      </c>
      <c r="H8" s="39" t="s">
        <v>184</v>
      </c>
      <c r="I8" s="39" t="s">
        <v>185</v>
      </c>
    </row>
    <row r="9" spans="2:9" x14ac:dyDescent="0.25">
      <c r="B9" s="39" t="s">
        <v>186</v>
      </c>
    </row>
    <row r="10" spans="2:9" x14ac:dyDescent="0.25">
      <c r="B10" s="39" t="s">
        <v>187</v>
      </c>
      <c r="C10" s="39" t="s">
        <v>188</v>
      </c>
      <c r="D10" s="39">
        <v>0</v>
      </c>
      <c r="E10" s="39" t="s">
        <v>189</v>
      </c>
      <c r="F10" s="39" t="s">
        <v>189</v>
      </c>
      <c r="G10" s="39" t="s">
        <v>189</v>
      </c>
      <c r="H10" s="39" t="s">
        <v>190</v>
      </c>
    </row>
    <row r="11" spans="2:9" x14ac:dyDescent="0.25">
      <c r="B11" s="39" t="s">
        <v>191</v>
      </c>
      <c r="C11" s="39" t="s">
        <v>192</v>
      </c>
      <c r="D11" s="39">
        <v>0</v>
      </c>
      <c r="E11" s="39" t="s">
        <v>189</v>
      </c>
      <c r="F11" s="39" t="s">
        <v>189</v>
      </c>
      <c r="G11" s="39" t="s">
        <v>189</v>
      </c>
    </row>
    <row r="12" spans="2:9" x14ac:dyDescent="0.25">
      <c r="B12" s="39" t="s">
        <v>193</v>
      </c>
      <c r="C12" s="39" t="s">
        <v>194</v>
      </c>
      <c r="D12" s="39">
        <v>0</v>
      </c>
      <c r="E12" s="39" t="s">
        <v>189</v>
      </c>
      <c r="F12" s="39" t="s">
        <v>189</v>
      </c>
      <c r="G12" s="39" t="s">
        <v>189</v>
      </c>
    </row>
    <row r="13" spans="2:9" x14ac:dyDescent="0.25">
      <c r="B13" s="39" t="s">
        <v>195</v>
      </c>
      <c r="C13" s="39" t="s">
        <v>192</v>
      </c>
      <c r="D13" s="39">
        <v>0</v>
      </c>
      <c r="E13" s="39" t="s">
        <v>196</v>
      </c>
      <c r="F13" s="39" t="s">
        <v>196</v>
      </c>
      <c r="G13" s="39" t="s">
        <v>196</v>
      </c>
      <c r="H13" s="39" t="s">
        <v>197</v>
      </c>
    </row>
    <row r="14" spans="2:9" x14ac:dyDescent="0.25">
      <c r="B14" s="39" t="s">
        <v>198</v>
      </c>
      <c r="C14" s="39" t="s">
        <v>188</v>
      </c>
      <c r="D14" s="39">
        <v>0</v>
      </c>
      <c r="E14" s="39" t="s">
        <v>189</v>
      </c>
      <c r="F14" s="39" t="s">
        <v>189</v>
      </c>
      <c r="G14" s="39" t="s">
        <v>189</v>
      </c>
    </row>
    <row r="15" spans="2:9" x14ac:dyDescent="0.25">
      <c r="B15" s="39" t="s">
        <v>199</v>
      </c>
      <c r="C15" s="39" t="s">
        <v>188</v>
      </c>
      <c r="D15" s="39">
        <v>0</v>
      </c>
      <c r="E15" s="39" t="s">
        <v>189</v>
      </c>
      <c r="F15" s="39" t="s">
        <v>189</v>
      </c>
      <c r="G15" s="39" t="s">
        <v>189</v>
      </c>
    </row>
    <row r="16" spans="2:9" x14ac:dyDescent="0.25">
      <c r="B16" s="39" t="s">
        <v>200</v>
      </c>
      <c r="C16" s="39" t="s">
        <v>192</v>
      </c>
      <c r="D16" s="39">
        <v>0</v>
      </c>
      <c r="E16" s="39" t="s">
        <v>201</v>
      </c>
      <c r="F16" s="39" t="s">
        <v>201</v>
      </c>
      <c r="G16" s="39" t="s">
        <v>201</v>
      </c>
      <c r="H16" s="39" t="s">
        <v>202</v>
      </c>
    </row>
    <row r="17" spans="1:9" x14ac:dyDescent="0.25">
      <c r="B17" s="39" t="s">
        <v>203</v>
      </c>
    </row>
    <row r="18" spans="1:9" x14ac:dyDescent="0.25">
      <c r="A18" s="39" t="s">
        <v>204</v>
      </c>
      <c r="B18" s="39" t="s">
        <v>205</v>
      </c>
      <c r="C18" s="39" t="s">
        <v>206</v>
      </c>
      <c r="D18" s="39">
        <v>0</v>
      </c>
      <c r="E18" s="39">
        <v>2026</v>
      </c>
      <c r="F18" s="39">
        <v>2026</v>
      </c>
      <c r="G18" s="39">
        <v>2027</v>
      </c>
      <c r="H18" s="39" t="s">
        <v>207</v>
      </c>
      <c r="I18" s="39" t="s">
        <v>185</v>
      </c>
    </row>
    <row r="19" spans="1:9" x14ac:dyDescent="0.25">
      <c r="A19" s="39" t="s">
        <v>204</v>
      </c>
      <c r="B19" s="39" t="s">
        <v>208</v>
      </c>
      <c r="C19" s="39" t="s">
        <v>209</v>
      </c>
      <c r="D19" s="39">
        <v>0</v>
      </c>
      <c r="E19" s="39">
        <v>0</v>
      </c>
      <c r="F19" s="39">
        <v>0</v>
      </c>
      <c r="G19" s="39">
        <v>20</v>
      </c>
      <c r="H19" s="39" t="s">
        <v>210</v>
      </c>
      <c r="I19" s="39" t="s">
        <v>185</v>
      </c>
    </row>
    <row r="20" spans="1:9" x14ac:dyDescent="0.25">
      <c r="A20" s="39"/>
      <c r="B20" s="39" t="s">
        <v>211</v>
      </c>
      <c r="C20" s="39" t="s">
        <v>209</v>
      </c>
      <c r="D20" s="39">
        <v>0</v>
      </c>
      <c r="E20" s="39">
        <v>50</v>
      </c>
      <c r="F20" s="39">
        <v>50</v>
      </c>
      <c r="G20" s="39">
        <v>50</v>
      </c>
      <c r="H20" s="39" t="s">
        <v>212</v>
      </c>
      <c r="I20" s="39" t="s">
        <v>185</v>
      </c>
    </row>
    <row r="21" spans="1:9" x14ac:dyDescent="0.25">
      <c r="A21" s="39" t="s">
        <v>204</v>
      </c>
      <c r="B21" s="39" t="s">
        <v>213</v>
      </c>
      <c r="C21" s="39" t="s">
        <v>206</v>
      </c>
      <c r="D21" s="39">
        <v>0</v>
      </c>
      <c r="E21" s="39">
        <v>2030</v>
      </c>
      <c r="F21" s="39">
        <v>2030</v>
      </c>
      <c r="G21" s="39">
        <v>2035</v>
      </c>
      <c r="H21" s="39" t="s">
        <v>214</v>
      </c>
      <c r="I21" s="39" t="s">
        <v>185</v>
      </c>
    </row>
    <row r="22" spans="1:9" x14ac:dyDescent="0.25">
      <c r="A22" s="39"/>
      <c r="B22" s="39" t="s">
        <v>215</v>
      </c>
    </row>
    <row r="23" spans="1:9" x14ac:dyDescent="0.25">
      <c r="A23" s="39"/>
      <c r="B23" s="39" t="s">
        <v>216</v>
      </c>
      <c r="C23" s="39" t="s">
        <v>192</v>
      </c>
      <c r="D23" s="39">
        <v>0</v>
      </c>
      <c r="E23" s="39" t="b">
        <v>1</v>
      </c>
      <c r="F23" s="39" t="b">
        <v>1</v>
      </c>
      <c r="G23" s="39" t="b">
        <v>1</v>
      </c>
      <c r="H23" s="39" t="s">
        <v>217</v>
      </c>
      <c r="I23" s="39" t="s">
        <v>185</v>
      </c>
    </row>
    <row r="24" spans="1:9" x14ac:dyDescent="0.25">
      <c r="A24" s="39"/>
      <c r="B24" s="39" t="s">
        <v>218</v>
      </c>
      <c r="C24" s="39" t="s">
        <v>192</v>
      </c>
      <c r="D24" s="39">
        <v>0</v>
      </c>
      <c r="E24" s="39" t="b">
        <v>1</v>
      </c>
      <c r="F24" s="39" t="b">
        <v>1</v>
      </c>
      <c r="G24" s="39" t="b">
        <v>1</v>
      </c>
      <c r="H24" s="39" t="s">
        <v>219</v>
      </c>
      <c r="I24" s="39" t="s">
        <v>185</v>
      </c>
    </row>
    <row r="25" spans="1:9" x14ac:dyDescent="0.25">
      <c r="A25" s="39"/>
      <c r="B25" s="39" t="s">
        <v>220</v>
      </c>
      <c r="C25" s="39" t="s">
        <v>192</v>
      </c>
      <c r="D25" s="39">
        <v>0</v>
      </c>
      <c r="E25" s="39" t="b">
        <v>1</v>
      </c>
      <c r="F25" s="39" t="b">
        <v>1</v>
      </c>
      <c r="G25" s="39" t="b">
        <v>1</v>
      </c>
      <c r="H25" s="39" t="s">
        <v>221</v>
      </c>
      <c r="I25" s="39" t="s">
        <v>185</v>
      </c>
    </row>
    <row r="26" spans="1:9" x14ac:dyDescent="0.25">
      <c r="A26" s="39"/>
      <c r="B26" s="39" t="s">
        <v>222</v>
      </c>
      <c r="C26" s="39" t="s">
        <v>192</v>
      </c>
      <c r="D26" s="39">
        <v>0</v>
      </c>
      <c r="E26" s="39" t="b">
        <v>1</v>
      </c>
      <c r="F26" s="39" t="b">
        <v>1</v>
      </c>
      <c r="G26" s="39" t="b">
        <v>1</v>
      </c>
      <c r="H26" s="39" t="s">
        <v>223</v>
      </c>
      <c r="I26" s="39" t="s">
        <v>185</v>
      </c>
    </row>
    <row r="27" spans="1:9" x14ac:dyDescent="0.25">
      <c r="A27" s="39"/>
      <c r="B27" s="39" t="s">
        <v>224</v>
      </c>
      <c r="C27" s="39" t="s">
        <v>192</v>
      </c>
      <c r="D27" s="39">
        <v>0</v>
      </c>
      <c r="E27" s="39" t="b">
        <v>1</v>
      </c>
      <c r="F27" s="39" t="b">
        <v>1</v>
      </c>
      <c r="G27" s="39" t="b">
        <v>1</v>
      </c>
      <c r="H27" s="39" t="s">
        <v>225</v>
      </c>
      <c r="I27" s="39" t="s">
        <v>185</v>
      </c>
    </row>
    <row r="28" spans="1:9" x14ac:dyDescent="0.25">
      <c r="A28" s="39"/>
      <c r="B28" s="39" t="s">
        <v>226</v>
      </c>
      <c r="C28" s="39" t="s">
        <v>192</v>
      </c>
      <c r="D28" s="39">
        <v>0</v>
      </c>
      <c r="E28" s="39" t="b">
        <v>1</v>
      </c>
      <c r="F28" s="39" t="b">
        <v>1</v>
      </c>
      <c r="G28" s="39" t="b">
        <v>1</v>
      </c>
      <c r="H28" s="39" t="s">
        <v>227</v>
      </c>
      <c r="I28" s="39" t="s">
        <v>185</v>
      </c>
    </row>
    <row r="29" spans="1:9" x14ac:dyDescent="0.25">
      <c r="A29" s="39"/>
      <c r="B29" s="39" t="s">
        <v>228</v>
      </c>
      <c r="C29" s="39" t="s">
        <v>192</v>
      </c>
      <c r="D29" s="39">
        <v>0</v>
      </c>
      <c r="E29" s="39" t="b">
        <v>1</v>
      </c>
      <c r="F29" s="39" t="b">
        <v>1</v>
      </c>
      <c r="G29" s="39" t="b">
        <v>1</v>
      </c>
      <c r="H29" s="39" t="s">
        <v>229</v>
      </c>
      <c r="I29" s="39" t="s">
        <v>185</v>
      </c>
    </row>
    <row r="30" spans="1:9" x14ac:dyDescent="0.25">
      <c r="A30" s="39"/>
      <c r="B30" s="39" t="s">
        <v>230</v>
      </c>
    </row>
    <row r="31" spans="1:9" x14ac:dyDescent="0.25">
      <c r="A31" s="39"/>
      <c r="B31" s="39" t="s">
        <v>231</v>
      </c>
      <c r="C31" s="39" t="s">
        <v>192</v>
      </c>
      <c r="D31" s="39">
        <v>0</v>
      </c>
      <c r="E31" s="39" t="b">
        <v>1</v>
      </c>
      <c r="F31" s="39" t="b">
        <v>1</v>
      </c>
      <c r="G31" s="39" t="b">
        <v>1</v>
      </c>
      <c r="H31" s="39" t="s">
        <v>232</v>
      </c>
      <c r="I31" s="39" t="s">
        <v>185</v>
      </c>
    </row>
    <row r="32" spans="1:9" x14ac:dyDescent="0.25">
      <c r="A32" s="39"/>
      <c r="B32" s="39" t="s">
        <v>233</v>
      </c>
      <c r="C32" s="39" t="s">
        <v>192</v>
      </c>
      <c r="D32" s="39">
        <v>0</v>
      </c>
      <c r="E32" s="39" t="b">
        <v>1</v>
      </c>
      <c r="F32" s="39" t="b">
        <v>1</v>
      </c>
      <c r="G32" s="39" t="b">
        <v>1</v>
      </c>
      <c r="H32" s="39" t="s">
        <v>234</v>
      </c>
      <c r="I32" s="39" t="s">
        <v>185</v>
      </c>
    </row>
    <row r="33" spans="1:9" x14ac:dyDescent="0.25">
      <c r="A33" s="39"/>
      <c r="B33" s="39" t="s">
        <v>235</v>
      </c>
      <c r="C33" s="39" t="s">
        <v>192</v>
      </c>
      <c r="D33" s="39">
        <v>0</v>
      </c>
      <c r="E33" s="39" t="b">
        <v>1</v>
      </c>
      <c r="F33" s="39" t="b">
        <v>1</v>
      </c>
      <c r="G33" s="39" t="b">
        <v>1</v>
      </c>
      <c r="H33" s="39" t="s">
        <v>236</v>
      </c>
      <c r="I33" s="39" t="s">
        <v>185</v>
      </c>
    </row>
    <row r="34" spans="1:9" x14ac:dyDescent="0.25">
      <c r="A34" s="39"/>
      <c r="B34" s="39" t="s">
        <v>237</v>
      </c>
      <c r="C34" s="39" t="s">
        <v>192</v>
      </c>
      <c r="D34" s="39">
        <v>0</v>
      </c>
      <c r="E34" s="39" t="b">
        <v>1</v>
      </c>
      <c r="F34" s="39" t="b">
        <v>1</v>
      </c>
      <c r="G34" s="39" t="b">
        <v>1</v>
      </c>
      <c r="H34" s="39" t="s">
        <v>238</v>
      </c>
      <c r="I34" s="39" t="s">
        <v>185</v>
      </c>
    </row>
    <row r="35" spans="1:9" x14ac:dyDescent="0.25">
      <c r="A35" s="39"/>
      <c r="B35" s="39" t="s">
        <v>239</v>
      </c>
      <c r="C35" s="39" t="s">
        <v>192</v>
      </c>
      <c r="D35" s="39">
        <v>0</v>
      </c>
      <c r="E35" s="39" t="b">
        <v>1</v>
      </c>
      <c r="F35" s="39" t="b">
        <v>1</v>
      </c>
      <c r="G35" s="39" t="b">
        <v>1</v>
      </c>
      <c r="H35" s="39" t="s">
        <v>240</v>
      </c>
      <c r="I35" s="39" t="s">
        <v>185</v>
      </c>
    </row>
    <row r="36" spans="1:9" x14ac:dyDescent="0.25">
      <c r="A36" s="39"/>
      <c r="B36" s="39" t="s">
        <v>241</v>
      </c>
      <c r="C36" s="39" t="s">
        <v>192</v>
      </c>
      <c r="D36" s="39">
        <v>0</v>
      </c>
      <c r="E36" s="39" t="b">
        <v>1</v>
      </c>
      <c r="F36" s="39" t="b">
        <v>1</v>
      </c>
      <c r="G36" s="39" t="b">
        <v>1</v>
      </c>
      <c r="H36" s="39" t="s">
        <v>242</v>
      </c>
      <c r="I36" s="39" t="s">
        <v>185</v>
      </c>
    </row>
    <row r="37" spans="1:9" x14ac:dyDescent="0.25">
      <c r="A37" s="39"/>
      <c r="B37" s="39" t="s">
        <v>243</v>
      </c>
      <c r="C37" s="39" t="s">
        <v>192</v>
      </c>
      <c r="D37" s="39">
        <v>0</v>
      </c>
      <c r="E37" s="39" t="b">
        <v>1</v>
      </c>
      <c r="F37" s="39" t="b">
        <v>1</v>
      </c>
      <c r="G37" s="39" t="b">
        <v>1</v>
      </c>
      <c r="H37" s="39" t="s">
        <v>244</v>
      </c>
      <c r="I37" s="39" t="s">
        <v>185</v>
      </c>
    </row>
    <row r="38" spans="1:9" x14ac:dyDescent="0.25">
      <c r="A38" s="39"/>
      <c r="B38" s="39" t="s">
        <v>245</v>
      </c>
      <c r="C38" s="39" t="s">
        <v>192</v>
      </c>
      <c r="D38" s="39">
        <v>0</v>
      </c>
      <c r="E38" s="39" t="b">
        <v>1</v>
      </c>
      <c r="F38" s="39" t="b">
        <v>1</v>
      </c>
      <c r="G38" s="39" t="b">
        <v>1</v>
      </c>
      <c r="H38" s="39" t="s">
        <v>246</v>
      </c>
      <c r="I38" s="39" t="s">
        <v>185</v>
      </c>
    </row>
    <row r="39" spans="1:9" x14ac:dyDescent="0.25">
      <c r="A39" s="39"/>
      <c r="B39" s="39" t="s">
        <v>247</v>
      </c>
      <c r="C39" s="39" t="s">
        <v>192</v>
      </c>
      <c r="D39" s="39">
        <v>0</v>
      </c>
      <c r="E39" s="39" t="b">
        <v>1</v>
      </c>
      <c r="F39" s="39" t="b">
        <v>1</v>
      </c>
      <c r="G39" s="39" t="b">
        <v>1</v>
      </c>
      <c r="H39" s="39" t="s">
        <v>248</v>
      </c>
      <c r="I39" s="39" t="s">
        <v>185</v>
      </c>
    </row>
    <row r="40" spans="1:9" x14ac:dyDescent="0.25">
      <c r="A40" s="39"/>
      <c r="B40" s="39" t="s">
        <v>249</v>
      </c>
      <c r="C40" s="39" t="s">
        <v>192</v>
      </c>
      <c r="D40" s="39">
        <v>0</v>
      </c>
      <c r="E40" s="39" t="b">
        <v>1</v>
      </c>
      <c r="F40" s="39" t="b">
        <v>1</v>
      </c>
      <c r="G40" s="39" t="b">
        <v>1</v>
      </c>
      <c r="H40" s="39" t="s">
        <v>250</v>
      </c>
      <c r="I40" s="39" t="s">
        <v>185</v>
      </c>
    </row>
    <row r="41" spans="1:9" x14ac:dyDescent="0.25">
      <c r="A41" s="39"/>
      <c r="B41" s="39" t="s">
        <v>251</v>
      </c>
      <c r="C41" s="39" t="s">
        <v>192</v>
      </c>
      <c r="D41" s="39">
        <v>0</v>
      </c>
      <c r="E41" s="39" t="b">
        <v>1</v>
      </c>
      <c r="F41" s="39" t="b">
        <v>1</v>
      </c>
      <c r="G41" s="39" t="b">
        <v>1</v>
      </c>
      <c r="H41" s="39" t="s">
        <v>252</v>
      </c>
      <c r="I41" s="39" t="s">
        <v>185</v>
      </c>
    </row>
    <row r="42" spans="1:9" x14ac:dyDescent="0.25">
      <c r="A42" s="39"/>
      <c r="B42" s="39" t="s">
        <v>253</v>
      </c>
      <c r="C42" s="39" t="s">
        <v>192</v>
      </c>
      <c r="D42" s="39">
        <v>0</v>
      </c>
      <c r="E42" s="39" t="b">
        <v>1</v>
      </c>
      <c r="F42" s="39" t="b">
        <v>1</v>
      </c>
      <c r="G42" s="39" t="b">
        <v>1</v>
      </c>
      <c r="H42" s="39" t="s">
        <v>254</v>
      </c>
      <c r="I42" s="39" t="s">
        <v>185</v>
      </c>
    </row>
    <row r="43" spans="1:9" x14ac:dyDescent="0.25">
      <c r="A43" s="39"/>
      <c r="B43" s="39" t="s">
        <v>255</v>
      </c>
      <c r="C43" s="39" t="s">
        <v>192</v>
      </c>
      <c r="D43" s="39">
        <v>0</v>
      </c>
      <c r="E43" s="39" t="b">
        <v>1</v>
      </c>
      <c r="F43" s="39" t="b">
        <v>1</v>
      </c>
      <c r="G43" s="39" t="b">
        <v>1</v>
      </c>
      <c r="H43" s="39" t="s">
        <v>256</v>
      </c>
      <c r="I43" s="39" t="s">
        <v>185</v>
      </c>
    </row>
    <row r="44" spans="1:9" x14ac:dyDescent="0.25">
      <c r="A44" s="39"/>
      <c r="B44" s="39" t="s">
        <v>257</v>
      </c>
      <c r="C44" s="39" t="s">
        <v>192</v>
      </c>
      <c r="D44" s="39">
        <v>0</v>
      </c>
      <c r="E44" s="39" t="b">
        <v>1</v>
      </c>
      <c r="F44" s="39" t="b">
        <v>1</v>
      </c>
      <c r="G44" s="39" t="b">
        <v>1</v>
      </c>
      <c r="H44" s="39" t="s">
        <v>258</v>
      </c>
      <c r="I44" s="39" t="s">
        <v>185</v>
      </c>
    </row>
    <row r="45" spans="1:9" x14ac:dyDescent="0.25">
      <c r="A45" s="39"/>
      <c r="B45" s="39" t="s">
        <v>259</v>
      </c>
      <c r="C45" s="39" t="s">
        <v>192</v>
      </c>
      <c r="D45" s="39">
        <v>0</v>
      </c>
      <c r="E45" s="39" t="b">
        <v>1</v>
      </c>
      <c r="F45" s="39" t="b">
        <v>1</v>
      </c>
      <c r="G45" s="39" t="b">
        <v>1</v>
      </c>
      <c r="H45" s="39" t="s">
        <v>260</v>
      </c>
      <c r="I45" s="39" t="s">
        <v>185</v>
      </c>
    </row>
    <row r="46" spans="1:9" x14ac:dyDescent="0.25">
      <c r="A46" s="39"/>
      <c r="B46" s="39" t="s">
        <v>261</v>
      </c>
      <c r="C46" s="39" t="s">
        <v>192</v>
      </c>
      <c r="D46" s="39">
        <v>0</v>
      </c>
      <c r="E46" s="39" t="b">
        <v>1</v>
      </c>
      <c r="F46" s="39" t="b">
        <v>1</v>
      </c>
      <c r="G46" s="39" t="b">
        <v>1</v>
      </c>
      <c r="H46" s="39" t="s">
        <v>262</v>
      </c>
      <c r="I46" s="39" t="s">
        <v>185</v>
      </c>
    </row>
    <row r="47" spans="1:9" x14ac:dyDescent="0.25">
      <c r="A47" s="39"/>
      <c r="B47" s="39" t="s">
        <v>263</v>
      </c>
      <c r="C47" s="39" t="s">
        <v>192</v>
      </c>
      <c r="D47" s="39">
        <v>0</v>
      </c>
      <c r="E47" s="39" t="b">
        <v>1</v>
      </c>
      <c r="F47" s="39" t="b">
        <v>1</v>
      </c>
      <c r="G47" s="39" t="b">
        <v>1</v>
      </c>
      <c r="H47" s="39" t="s">
        <v>264</v>
      </c>
      <c r="I47" s="39" t="s">
        <v>185</v>
      </c>
    </row>
    <row r="48" spans="1:9" x14ac:dyDescent="0.25">
      <c r="A48" s="39"/>
      <c r="B48" s="39" t="s">
        <v>265</v>
      </c>
    </row>
    <row r="49" spans="1:9" x14ac:dyDescent="0.25">
      <c r="A49" s="39"/>
      <c r="B49" s="39" t="s">
        <v>266</v>
      </c>
      <c r="C49" s="39" t="s">
        <v>192</v>
      </c>
      <c r="D49" s="39">
        <v>0</v>
      </c>
      <c r="E49" s="39" t="b">
        <v>0</v>
      </c>
      <c r="F49" s="39" t="b">
        <v>0</v>
      </c>
      <c r="G49" s="39" t="b">
        <v>0</v>
      </c>
      <c r="H49" s="39" t="s">
        <v>267</v>
      </c>
      <c r="I49" s="39" t="s">
        <v>185</v>
      </c>
    </row>
    <row r="50" spans="1:9" x14ac:dyDescent="0.25">
      <c r="A50" s="39"/>
      <c r="B50" s="39" t="s">
        <v>268</v>
      </c>
      <c r="C50" s="39" t="s">
        <v>206</v>
      </c>
      <c r="D50" s="39">
        <v>0</v>
      </c>
      <c r="E50" s="39">
        <v>2027</v>
      </c>
      <c r="F50" s="39">
        <v>2027</v>
      </c>
      <c r="G50" s="39">
        <v>2027</v>
      </c>
      <c r="H50" s="39" t="s">
        <v>269</v>
      </c>
      <c r="I50" s="39" t="s">
        <v>185</v>
      </c>
    </row>
    <row r="51" spans="1:9" x14ac:dyDescent="0.25">
      <c r="A51" s="39"/>
      <c r="B51" s="39" t="s">
        <v>270</v>
      </c>
      <c r="C51" s="39" t="s">
        <v>206</v>
      </c>
      <c r="D51" s="39">
        <v>0</v>
      </c>
      <c r="E51" s="39">
        <v>5</v>
      </c>
      <c r="F51" s="39">
        <v>5</v>
      </c>
      <c r="G51" s="39">
        <v>5</v>
      </c>
      <c r="H51" s="39" t="s">
        <v>271</v>
      </c>
      <c r="I51" s="39" t="s">
        <v>185</v>
      </c>
    </row>
    <row r="52" spans="1:9" x14ac:dyDescent="0.25">
      <c r="A52" s="39"/>
      <c r="B52" s="39" t="s">
        <v>272</v>
      </c>
    </row>
    <row r="53" spans="1:9" x14ac:dyDescent="0.25">
      <c r="A53" s="39"/>
      <c r="B53" s="39" t="s">
        <v>273</v>
      </c>
      <c r="D53" s="39">
        <v>0</v>
      </c>
      <c r="E53" s="39">
        <v>2027</v>
      </c>
      <c r="F53" s="39">
        <v>2027</v>
      </c>
      <c r="G53" s="39">
        <v>2027</v>
      </c>
      <c r="H53" s="39" t="s">
        <v>274</v>
      </c>
    </row>
    <row r="54" spans="1:9" x14ac:dyDescent="0.25">
      <c r="A54" s="39"/>
      <c r="B54" s="39" t="s">
        <v>275</v>
      </c>
      <c r="D54" s="39">
        <v>0</v>
      </c>
      <c r="E54" s="39">
        <v>2035</v>
      </c>
      <c r="F54" s="39">
        <v>2035</v>
      </c>
      <c r="G54" s="39">
        <v>2035</v>
      </c>
      <c r="H54" s="39" t="s">
        <v>276</v>
      </c>
    </row>
    <row r="55" spans="1:9" x14ac:dyDescent="0.25">
      <c r="A55" s="39"/>
      <c r="B55" s="39" t="s">
        <v>277</v>
      </c>
    </row>
    <row r="56" spans="1:9" x14ac:dyDescent="0.25">
      <c r="A56" s="39"/>
      <c r="B56" s="39" t="s">
        <v>278</v>
      </c>
      <c r="C56" s="39" t="s">
        <v>279</v>
      </c>
      <c r="D56" s="39">
        <v>0</v>
      </c>
      <c r="E56" s="39">
        <v>0</v>
      </c>
      <c r="F56" s="39">
        <v>0</v>
      </c>
      <c r="G56" s="39">
        <v>0</v>
      </c>
      <c r="H56" s="39" t="s">
        <v>280</v>
      </c>
    </row>
    <row r="57" spans="1:9" x14ac:dyDescent="0.25">
      <c r="A57" s="39"/>
      <c r="B57" s="39" t="s">
        <v>281</v>
      </c>
      <c r="C57" s="39" t="s">
        <v>279</v>
      </c>
      <c r="D57" s="39">
        <v>0</v>
      </c>
      <c r="E57" s="39">
        <v>0</v>
      </c>
      <c r="F57" s="39">
        <v>0</v>
      </c>
      <c r="G57" s="39">
        <v>0</v>
      </c>
      <c r="H57" s="39" t="s">
        <v>282</v>
      </c>
    </row>
    <row r="58" spans="1:9" x14ac:dyDescent="0.25">
      <c r="A58" s="39"/>
      <c r="B58" s="39" t="s">
        <v>283</v>
      </c>
      <c r="C58" s="39" t="s">
        <v>279</v>
      </c>
      <c r="D58" s="39">
        <v>0</v>
      </c>
      <c r="E58" s="39">
        <v>0</v>
      </c>
      <c r="F58" s="39">
        <v>0</v>
      </c>
      <c r="G58" s="39">
        <v>0</v>
      </c>
      <c r="H58" s="39" t="s">
        <v>284</v>
      </c>
    </row>
    <row r="59" spans="1:9" x14ac:dyDescent="0.25">
      <c r="A59" s="39"/>
      <c r="B59" s="39" t="s">
        <v>285</v>
      </c>
      <c r="C59" s="39" t="s">
        <v>279</v>
      </c>
      <c r="D59" s="39">
        <v>0</v>
      </c>
      <c r="F59" s="39">
        <v>0</v>
      </c>
      <c r="G59" s="39">
        <v>0</v>
      </c>
      <c r="H59" s="39" t="s">
        <v>286</v>
      </c>
    </row>
    <row r="60" spans="1:9" x14ac:dyDescent="0.25">
      <c r="A60" s="39"/>
      <c r="B60" s="39" t="s">
        <v>287</v>
      </c>
    </row>
    <row r="61" spans="1:9" x14ac:dyDescent="0.25">
      <c r="A61" s="39"/>
      <c r="B61" s="39" t="s">
        <v>278</v>
      </c>
      <c r="C61" s="39" t="s">
        <v>279</v>
      </c>
      <c r="D61" s="39">
        <v>0</v>
      </c>
      <c r="E61" s="39">
        <v>0</v>
      </c>
      <c r="F61" s="39">
        <v>0</v>
      </c>
      <c r="G61" s="39">
        <v>0</v>
      </c>
      <c r="H61" s="39" t="s">
        <v>288</v>
      </c>
    </row>
    <row r="62" spans="1:9" x14ac:dyDescent="0.25">
      <c r="A62" s="39"/>
      <c r="B62" s="39" t="s">
        <v>281</v>
      </c>
      <c r="C62" s="39" t="s">
        <v>279</v>
      </c>
      <c r="D62" s="39">
        <v>0</v>
      </c>
      <c r="E62" s="39">
        <v>0</v>
      </c>
      <c r="F62" s="39">
        <v>0</v>
      </c>
      <c r="G62" s="39">
        <v>0</v>
      </c>
      <c r="H62" s="39" t="s">
        <v>289</v>
      </c>
    </row>
    <row r="63" spans="1:9" x14ac:dyDescent="0.25">
      <c r="A63" s="39"/>
      <c r="B63" s="39" t="s">
        <v>283</v>
      </c>
      <c r="C63" s="39" t="s">
        <v>279</v>
      </c>
      <c r="D63" s="39">
        <v>0</v>
      </c>
      <c r="E63" s="39">
        <v>0</v>
      </c>
      <c r="F63" s="39">
        <v>0</v>
      </c>
      <c r="G63" s="39">
        <v>0</v>
      </c>
      <c r="H63" s="39" t="s">
        <v>290</v>
      </c>
    </row>
    <row r="64" spans="1:9" x14ac:dyDescent="0.25">
      <c r="A64" s="39"/>
      <c r="B64" s="39" t="s">
        <v>285</v>
      </c>
      <c r="C64" s="39" t="s">
        <v>279</v>
      </c>
      <c r="D64" s="39">
        <v>0</v>
      </c>
      <c r="F64" s="39">
        <v>0</v>
      </c>
      <c r="G64" s="39">
        <v>0</v>
      </c>
      <c r="H64" s="39" t="s">
        <v>291</v>
      </c>
    </row>
    <row r="65" spans="2:9" x14ac:dyDescent="0.25">
      <c r="B65" s="39" t="s">
        <v>292</v>
      </c>
    </row>
    <row r="66" spans="2:9" x14ac:dyDescent="0.25">
      <c r="B66" s="39" t="s">
        <v>231</v>
      </c>
      <c r="C66" s="39" t="s">
        <v>192</v>
      </c>
      <c r="D66" s="39">
        <v>0</v>
      </c>
      <c r="E66" s="39" t="b">
        <v>0</v>
      </c>
      <c r="F66" s="39" t="b">
        <v>0</v>
      </c>
      <c r="G66" s="39" t="b">
        <v>1</v>
      </c>
      <c r="I66" s="39" t="s">
        <v>185</v>
      </c>
    </row>
    <row r="67" spans="2:9" x14ac:dyDescent="0.25">
      <c r="B67" s="39" t="s">
        <v>233</v>
      </c>
      <c r="D67" s="39">
        <v>0</v>
      </c>
      <c r="E67" s="39" t="b">
        <v>0</v>
      </c>
      <c r="F67" s="39" t="b">
        <v>0</v>
      </c>
      <c r="G67" s="39" t="b">
        <v>0</v>
      </c>
      <c r="I67" s="39" t="s">
        <v>185</v>
      </c>
    </row>
    <row r="68" spans="2:9" x14ac:dyDescent="0.25">
      <c r="B68" s="39" t="s">
        <v>235</v>
      </c>
      <c r="D68" s="39">
        <v>0</v>
      </c>
      <c r="E68" s="39" t="b">
        <v>0</v>
      </c>
      <c r="F68" s="39" t="b">
        <v>0</v>
      </c>
      <c r="G68" s="39" t="b">
        <v>0</v>
      </c>
      <c r="I68" s="39" t="s">
        <v>185</v>
      </c>
    </row>
    <row r="69" spans="2:9" x14ac:dyDescent="0.25">
      <c r="B69" s="39" t="s">
        <v>237</v>
      </c>
      <c r="D69" s="39">
        <v>0</v>
      </c>
      <c r="E69" s="39" t="b">
        <v>0</v>
      </c>
      <c r="F69" s="39" t="b">
        <v>0</v>
      </c>
      <c r="G69" s="39" t="b">
        <v>0</v>
      </c>
      <c r="I69" s="39" t="s">
        <v>185</v>
      </c>
    </row>
    <row r="70" spans="2:9" x14ac:dyDescent="0.25">
      <c r="B70" s="39" t="s">
        <v>239</v>
      </c>
      <c r="D70" s="39">
        <v>0</v>
      </c>
      <c r="E70" s="39" t="b">
        <v>0</v>
      </c>
      <c r="F70" s="39" t="b">
        <v>0</v>
      </c>
      <c r="G70" s="39" t="b">
        <v>0</v>
      </c>
      <c r="I70" s="39" t="s">
        <v>185</v>
      </c>
    </row>
    <row r="71" spans="2:9" x14ac:dyDescent="0.25">
      <c r="B71" s="39" t="s">
        <v>241</v>
      </c>
      <c r="C71" s="39" t="s">
        <v>192</v>
      </c>
      <c r="D71" s="39">
        <v>0</v>
      </c>
      <c r="E71" s="39" t="b">
        <v>0</v>
      </c>
      <c r="F71" s="39" t="b">
        <v>0</v>
      </c>
      <c r="G71" s="39" t="b">
        <v>1</v>
      </c>
      <c r="I71" s="39" t="s">
        <v>185</v>
      </c>
    </row>
    <row r="72" spans="2:9" x14ac:dyDescent="0.25">
      <c r="B72" s="39" t="s">
        <v>243</v>
      </c>
      <c r="D72" s="39">
        <v>0</v>
      </c>
      <c r="E72" s="39" t="b">
        <v>0</v>
      </c>
      <c r="F72" s="39" t="b">
        <v>0</v>
      </c>
      <c r="G72" s="39" t="b">
        <v>1</v>
      </c>
      <c r="I72" s="39" t="s">
        <v>185</v>
      </c>
    </row>
    <row r="73" spans="2:9" x14ac:dyDescent="0.25">
      <c r="B73" s="39" t="s">
        <v>245</v>
      </c>
      <c r="D73" s="39">
        <v>0</v>
      </c>
      <c r="E73" s="39" t="b">
        <v>0</v>
      </c>
      <c r="F73" s="39" t="b">
        <v>0</v>
      </c>
      <c r="G73" s="39" t="b">
        <v>1</v>
      </c>
      <c r="I73" s="39" t="s">
        <v>185</v>
      </c>
    </row>
    <row r="74" spans="2:9" x14ac:dyDescent="0.25">
      <c r="B74" s="39" t="s">
        <v>247</v>
      </c>
      <c r="D74" s="39">
        <v>0</v>
      </c>
      <c r="E74" s="39" t="b">
        <v>1</v>
      </c>
      <c r="F74" s="39" t="b">
        <v>1</v>
      </c>
      <c r="G74" s="39" t="b">
        <v>1</v>
      </c>
      <c r="I74" s="39" t="s">
        <v>185</v>
      </c>
    </row>
    <row r="75" spans="2:9" x14ac:dyDescent="0.25">
      <c r="B75" s="39" t="s">
        <v>249</v>
      </c>
      <c r="D75" s="39">
        <v>0</v>
      </c>
      <c r="E75" s="39" t="b">
        <v>0</v>
      </c>
      <c r="F75" s="39" t="b">
        <v>0</v>
      </c>
      <c r="G75" s="39" t="b">
        <v>1</v>
      </c>
      <c r="I75" s="39" t="s">
        <v>185</v>
      </c>
    </row>
    <row r="76" spans="2:9" x14ac:dyDescent="0.25">
      <c r="B76" s="39" t="s">
        <v>251</v>
      </c>
      <c r="D76" s="39">
        <v>0</v>
      </c>
      <c r="E76" s="39" t="b">
        <v>1</v>
      </c>
      <c r="F76" s="39" t="b">
        <v>1</v>
      </c>
      <c r="G76" s="39" t="b">
        <v>1</v>
      </c>
      <c r="I76" s="39" t="s">
        <v>185</v>
      </c>
    </row>
    <row r="77" spans="2:9" x14ac:dyDescent="0.25">
      <c r="B77" s="39" t="s">
        <v>253</v>
      </c>
      <c r="D77" s="39">
        <v>0</v>
      </c>
      <c r="E77" s="39" t="b">
        <v>1</v>
      </c>
      <c r="F77" s="39" t="b">
        <v>1</v>
      </c>
      <c r="G77" s="39" t="b">
        <v>1</v>
      </c>
      <c r="I77" s="39" t="s">
        <v>185</v>
      </c>
    </row>
    <row r="78" spans="2:9" x14ac:dyDescent="0.25">
      <c r="B78" s="39" t="s">
        <v>255</v>
      </c>
      <c r="D78" s="39">
        <v>0</v>
      </c>
      <c r="E78" s="39" t="b">
        <v>1</v>
      </c>
      <c r="F78" s="39" t="b">
        <v>1</v>
      </c>
      <c r="G78" s="39" t="b">
        <v>1</v>
      </c>
      <c r="I78" s="39" t="s">
        <v>185</v>
      </c>
    </row>
    <row r="79" spans="2:9" x14ac:dyDescent="0.25">
      <c r="B79" s="39" t="s">
        <v>257</v>
      </c>
      <c r="D79" s="39">
        <v>0</v>
      </c>
      <c r="E79" s="39" t="b">
        <v>1</v>
      </c>
      <c r="F79" s="39" t="b">
        <v>1</v>
      </c>
      <c r="G79" s="39" t="b">
        <v>1</v>
      </c>
      <c r="I79" s="39" t="s">
        <v>185</v>
      </c>
    </row>
    <row r="80" spans="2:9" x14ac:dyDescent="0.25">
      <c r="B80" s="39" t="s">
        <v>259</v>
      </c>
      <c r="D80" s="39">
        <v>0</v>
      </c>
      <c r="E80" s="39" t="b">
        <v>1</v>
      </c>
      <c r="F80" s="39" t="b">
        <v>1</v>
      </c>
      <c r="G80" s="39" t="b">
        <v>1</v>
      </c>
      <c r="I80" s="39" t="s">
        <v>185</v>
      </c>
    </row>
    <row r="81" spans="1:8" x14ac:dyDescent="0.25">
      <c r="B81" s="39" t="s">
        <v>261</v>
      </c>
      <c r="D81" s="39">
        <v>0</v>
      </c>
      <c r="E81" s="39" t="b">
        <v>1</v>
      </c>
      <c r="F81" s="39" t="b">
        <v>1</v>
      </c>
      <c r="G81" s="39" t="b">
        <v>1</v>
      </c>
    </row>
    <row r="82" spans="1:8" x14ac:dyDescent="0.25">
      <c r="B82" s="39" t="s">
        <v>263</v>
      </c>
      <c r="D82" s="39">
        <v>0</v>
      </c>
      <c r="E82" s="39" t="b">
        <v>1</v>
      </c>
      <c r="F82" s="39" t="b">
        <v>1</v>
      </c>
      <c r="G82" s="39" t="b">
        <v>1</v>
      </c>
    </row>
    <row r="83" spans="1:8" x14ac:dyDescent="0.25">
      <c r="A83" s="39"/>
      <c r="B83" s="39" t="s">
        <v>293</v>
      </c>
    </row>
    <row r="84" spans="1:8" x14ac:dyDescent="0.25">
      <c r="B84" s="39" t="s">
        <v>294</v>
      </c>
      <c r="D84" s="39">
        <v>0</v>
      </c>
      <c r="E84" s="39" t="s">
        <v>295</v>
      </c>
      <c r="F84" s="39" t="s">
        <v>295</v>
      </c>
      <c r="G84" s="39" t="s">
        <v>295</v>
      </c>
      <c r="H84" s="39" t="s">
        <v>296</v>
      </c>
    </row>
    <row r="85" spans="1:8" x14ac:dyDescent="0.25">
      <c r="B85" s="39" t="s">
        <v>297</v>
      </c>
      <c r="D85" s="39">
        <v>0</v>
      </c>
      <c r="E85" s="39">
        <v>0</v>
      </c>
      <c r="F85" s="39">
        <v>0</v>
      </c>
      <c r="G85" s="39">
        <v>0</v>
      </c>
      <c r="H85" s="39" t="s">
        <v>298</v>
      </c>
    </row>
    <row r="86" spans="1:8" x14ac:dyDescent="0.25">
      <c r="B86" s="39" t="s">
        <v>299</v>
      </c>
      <c r="D86" s="39">
        <v>0</v>
      </c>
      <c r="E86" s="39">
        <v>0</v>
      </c>
      <c r="F86" s="39">
        <v>0</v>
      </c>
      <c r="G86" s="39">
        <v>0</v>
      </c>
      <c r="H86" s="39" t="s">
        <v>300</v>
      </c>
    </row>
    <row r="87" spans="1:8" x14ac:dyDescent="0.25">
      <c r="B87" s="39" t="s">
        <v>301</v>
      </c>
      <c r="D87" s="39">
        <v>0</v>
      </c>
      <c r="E87" s="39" t="s">
        <v>302</v>
      </c>
      <c r="F87" s="39" t="s">
        <v>302</v>
      </c>
      <c r="G87" s="39" t="s">
        <v>303</v>
      </c>
      <c r="H87" s="39" t="s">
        <v>304</v>
      </c>
    </row>
    <row r="88" spans="1:8" x14ac:dyDescent="0.25">
      <c r="B88" s="39" t="s">
        <v>305</v>
      </c>
      <c r="D88" s="39">
        <v>0</v>
      </c>
      <c r="E88" s="39">
        <v>2027</v>
      </c>
      <c r="F88" s="39">
        <v>2027</v>
      </c>
      <c r="G88" s="39">
        <v>2026</v>
      </c>
      <c r="H88" s="39" t="s">
        <v>306</v>
      </c>
    </row>
    <row r="89" spans="1:8" x14ac:dyDescent="0.25">
      <c r="B89" s="39" t="s">
        <v>307</v>
      </c>
      <c r="D89" s="39">
        <v>0</v>
      </c>
      <c r="E89" s="39">
        <v>2035</v>
      </c>
      <c r="F89" s="39">
        <v>2035</v>
      </c>
      <c r="G89" s="39">
        <v>2035</v>
      </c>
      <c r="H89" s="39" t="s">
        <v>308</v>
      </c>
    </row>
    <row r="90" spans="1:8" x14ac:dyDescent="0.25">
      <c r="B90" s="39" t="s">
        <v>309</v>
      </c>
      <c r="D90" s="39">
        <v>0</v>
      </c>
      <c r="E90" s="39">
        <v>0</v>
      </c>
      <c r="F90" s="39">
        <v>0</v>
      </c>
      <c r="G90" s="39">
        <v>0</v>
      </c>
      <c r="H90" s="39" t="s">
        <v>310</v>
      </c>
    </row>
    <row r="91" spans="1:8" x14ac:dyDescent="0.25">
      <c r="B91" s="39" t="s">
        <v>311</v>
      </c>
      <c r="D91" s="39">
        <v>0</v>
      </c>
      <c r="E91" s="39">
        <v>0</v>
      </c>
      <c r="F91" s="39">
        <v>0</v>
      </c>
      <c r="G91" s="39">
        <v>1</v>
      </c>
      <c r="H91" s="39" t="s">
        <v>312</v>
      </c>
    </row>
    <row r="92" spans="1:8" x14ac:dyDescent="0.25">
      <c r="B92" s="39" t="s">
        <v>313</v>
      </c>
      <c r="D92" s="39">
        <v>0</v>
      </c>
      <c r="E92" s="39" t="s">
        <v>302</v>
      </c>
      <c r="F92" s="39" t="s">
        <v>302</v>
      </c>
      <c r="G92" s="39" t="s">
        <v>302</v>
      </c>
      <c r="H92" s="39" t="s">
        <v>314</v>
      </c>
    </row>
    <row r="93" spans="1:8" x14ac:dyDescent="0.25">
      <c r="B93" s="39" t="s">
        <v>315</v>
      </c>
      <c r="D93" s="39">
        <v>0</v>
      </c>
      <c r="E93" s="39" t="s">
        <v>295</v>
      </c>
      <c r="F93" s="39" t="s">
        <v>295</v>
      </c>
      <c r="G93" s="39" t="s">
        <v>295</v>
      </c>
      <c r="H93" s="39" t="s">
        <v>316</v>
      </c>
    </row>
    <row r="94" spans="1:8" x14ac:dyDescent="0.25">
      <c r="B94" s="39" t="s">
        <v>317</v>
      </c>
    </row>
    <row r="95" spans="1:8" x14ac:dyDescent="0.25">
      <c r="B95" s="39" t="s">
        <v>318</v>
      </c>
      <c r="D95" s="39">
        <v>0</v>
      </c>
      <c r="E95" s="39" t="s">
        <v>319</v>
      </c>
      <c r="F95" s="39" t="s">
        <v>319</v>
      </c>
      <c r="G95" s="39" t="s">
        <v>319</v>
      </c>
      <c r="H95" s="39" t="s">
        <v>320</v>
      </c>
    </row>
    <row r="96" spans="1:8" x14ac:dyDescent="0.25">
      <c r="B96" s="39" t="s">
        <v>321</v>
      </c>
      <c r="D96" s="39">
        <v>0</v>
      </c>
      <c r="E96" s="39" t="s">
        <v>319</v>
      </c>
      <c r="F96" s="39" t="s">
        <v>319</v>
      </c>
      <c r="G96" s="39" t="s">
        <v>319</v>
      </c>
      <c r="H96" s="39" t="s">
        <v>322</v>
      </c>
    </row>
    <row r="97" spans="2:9" x14ac:dyDescent="0.25">
      <c r="B97" s="39" t="s">
        <v>323</v>
      </c>
      <c r="D97" s="39">
        <v>0</v>
      </c>
      <c r="E97" s="39">
        <v>0.2</v>
      </c>
      <c r="F97" s="39">
        <v>0.2</v>
      </c>
      <c r="G97" s="39">
        <v>0.2</v>
      </c>
      <c r="H97" s="39" t="s">
        <v>324</v>
      </c>
    </row>
    <row r="98" spans="2:9" x14ac:dyDescent="0.25">
      <c r="B98" s="39" t="s">
        <v>325</v>
      </c>
    </row>
    <row r="99" spans="2:9" x14ac:dyDescent="0.25">
      <c r="B99" s="39" t="s">
        <v>326</v>
      </c>
      <c r="C99" s="39" t="s">
        <v>192</v>
      </c>
      <c r="D99" s="39">
        <v>0</v>
      </c>
      <c r="E99" s="39" t="b">
        <v>1</v>
      </c>
      <c r="F99" s="39" t="b">
        <v>1</v>
      </c>
      <c r="G99" s="39" t="b">
        <v>1</v>
      </c>
      <c r="I99" s="39" t="s">
        <v>185</v>
      </c>
    </row>
    <row r="100" spans="2:9" x14ac:dyDescent="0.25">
      <c r="B100" s="39" t="s">
        <v>327</v>
      </c>
      <c r="D100" s="39">
        <v>0</v>
      </c>
      <c r="E100" s="39" t="b">
        <v>0</v>
      </c>
      <c r="F100" s="39" t="b">
        <v>0</v>
      </c>
      <c r="G100" s="39" t="b">
        <v>1</v>
      </c>
      <c r="I100" s="39" t="s">
        <v>185</v>
      </c>
    </row>
    <row r="101" spans="2:9" x14ac:dyDescent="0.25">
      <c r="B101" s="39" t="s">
        <v>328</v>
      </c>
      <c r="D101" s="39">
        <v>0</v>
      </c>
      <c r="E101" s="39" t="b">
        <v>0</v>
      </c>
      <c r="F101" s="39" t="b">
        <v>0</v>
      </c>
      <c r="G101" s="39" t="b">
        <v>1</v>
      </c>
      <c r="I101" s="39" t="s">
        <v>185</v>
      </c>
    </row>
    <row r="102" spans="2:9" x14ac:dyDescent="0.25">
      <c r="B102" s="39" t="s">
        <v>329</v>
      </c>
      <c r="D102" s="39">
        <v>0</v>
      </c>
      <c r="E102" s="39" t="b">
        <v>0</v>
      </c>
      <c r="F102" s="39" t="b">
        <v>0</v>
      </c>
      <c r="G102" s="39" t="b">
        <v>1</v>
      </c>
      <c r="I102" s="39" t="s">
        <v>185</v>
      </c>
    </row>
    <row r="103" spans="2:9" x14ac:dyDescent="0.25">
      <c r="B103" s="39" t="s">
        <v>330</v>
      </c>
      <c r="D103" s="39">
        <v>0</v>
      </c>
      <c r="E103" s="39" t="b">
        <v>0</v>
      </c>
      <c r="F103" s="39" t="b">
        <v>0</v>
      </c>
      <c r="G103" s="39" t="b">
        <v>1</v>
      </c>
      <c r="I103" s="39" t="s">
        <v>185</v>
      </c>
    </row>
    <row r="104" spans="2:9" x14ac:dyDescent="0.25">
      <c r="B104" s="39" t="s">
        <v>331</v>
      </c>
      <c r="C104" s="39" t="s">
        <v>192</v>
      </c>
      <c r="D104" s="39">
        <v>0</v>
      </c>
      <c r="E104" s="39" t="b">
        <v>0</v>
      </c>
      <c r="F104" s="39" t="b">
        <v>0</v>
      </c>
      <c r="G104" s="39" t="b">
        <v>1</v>
      </c>
      <c r="I104" s="39" t="s">
        <v>185</v>
      </c>
    </row>
    <row r="105" spans="2:9" x14ac:dyDescent="0.25">
      <c r="B105" s="39" t="s">
        <v>332</v>
      </c>
      <c r="D105" s="39">
        <v>0</v>
      </c>
      <c r="E105" s="39" t="b">
        <v>0</v>
      </c>
      <c r="F105" s="39" t="b">
        <v>0</v>
      </c>
      <c r="G105" s="39" t="b">
        <v>1</v>
      </c>
      <c r="I105" s="39" t="s">
        <v>185</v>
      </c>
    </row>
    <row r="106" spans="2:9" x14ac:dyDescent="0.25">
      <c r="B106" s="39" t="s">
        <v>333</v>
      </c>
      <c r="D106" s="39">
        <v>0</v>
      </c>
      <c r="E106" s="39" t="b">
        <v>0</v>
      </c>
      <c r="F106" s="39" t="b">
        <v>0</v>
      </c>
      <c r="G106" s="39" t="b">
        <v>1</v>
      </c>
      <c r="I106" s="39" t="s">
        <v>185</v>
      </c>
    </row>
    <row r="107" spans="2:9" x14ac:dyDescent="0.25">
      <c r="B107" s="39" t="s">
        <v>334</v>
      </c>
      <c r="D107" s="39">
        <v>0</v>
      </c>
      <c r="E107" s="39" t="b">
        <v>1</v>
      </c>
      <c r="F107" s="39" t="b">
        <v>1</v>
      </c>
      <c r="G107" s="39" t="b">
        <v>1</v>
      </c>
      <c r="I107" s="39" t="s">
        <v>185</v>
      </c>
    </row>
    <row r="108" spans="2:9" x14ac:dyDescent="0.25">
      <c r="B108" s="39" t="s">
        <v>335</v>
      </c>
      <c r="D108" s="39">
        <v>0</v>
      </c>
      <c r="E108" s="39" t="b">
        <v>1</v>
      </c>
      <c r="F108" s="39" t="b">
        <v>1</v>
      </c>
      <c r="G108" s="39" t="b">
        <v>1</v>
      </c>
      <c r="I108" s="39" t="s">
        <v>185</v>
      </c>
    </row>
    <row r="109" spans="2:9" x14ac:dyDescent="0.25">
      <c r="B109" s="39" t="s">
        <v>336</v>
      </c>
      <c r="D109" s="39">
        <v>0</v>
      </c>
      <c r="E109" s="39" t="b">
        <v>1</v>
      </c>
      <c r="F109" s="39" t="b">
        <v>1</v>
      </c>
      <c r="G109" s="39" t="b">
        <v>1</v>
      </c>
      <c r="I109" s="39" t="s">
        <v>185</v>
      </c>
    </row>
    <row r="110" spans="2:9" x14ac:dyDescent="0.25">
      <c r="B110" s="39" t="s">
        <v>337</v>
      </c>
      <c r="D110" s="39">
        <v>0</v>
      </c>
      <c r="E110" s="39" t="b">
        <v>0</v>
      </c>
      <c r="F110" s="39" t="b">
        <v>0</v>
      </c>
      <c r="G110" s="39" t="b">
        <v>1</v>
      </c>
      <c r="I110" s="39" t="s">
        <v>185</v>
      </c>
    </row>
    <row r="111" spans="2:9" x14ac:dyDescent="0.25">
      <c r="B111" s="39" t="s">
        <v>338</v>
      </c>
      <c r="D111" s="39">
        <v>0</v>
      </c>
      <c r="E111" s="39" t="b">
        <v>1</v>
      </c>
      <c r="F111" s="39" t="b">
        <v>1</v>
      </c>
      <c r="G111" s="39" t="b">
        <v>1</v>
      </c>
      <c r="I111" s="39" t="s">
        <v>185</v>
      </c>
    </row>
    <row r="112" spans="2:9" x14ac:dyDescent="0.25">
      <c r="B112" s="39" t="s">
        <v>339</v>
      </c>
      <c r="D112" s="39">
        <v>0</v>
      </c>
      <c r="E112" s="39" t="b">
        <v>0</v>
      </c>
      <c r="F112" s="39" t="b">
        <v>0</v>
      </c>
      <c r="G112" s="39" t="b">
        <v>1</v>
      </c>
      <c r="I112" s="39" t="s">
        <v>185</v>
      </c>
    </row>
    <row r="113" spans="1:9" x14ac:dyDescent="0.25">
      <c r="B113" s="39" t="s">
        <v>340</v>
      </c>
      <c r="D113" s="39">
        <v>0</v>
      </c>
      <c r="E113" s="39" t="b">
        <v>0</v>
      </c>
      <c r="F113" s="39" t="b">
        <v>0</v>
      </c>
      <c r="G113" s="39" t="b">
        <v>1</v>
      </c>
      <c r="I113" s="39" t="s">
        <v>185</v>
      </c>
    </row>
    <row r="114" spans="1:9" x14ac:dyDescent="0.25">
      <c r="B114" s="39" t="s">
        <v>341</v>
      </c>
      <c r="D114" s="39">
        <v>0</v>
      </c>
      <c r="E114" s="39" t="b">
        <v>0</v>
      </c>
      <c r="F114" s="39" t="b">
        <v>0</v>
      </c>
      <c r="G114" s="39" t="b">
        <v>1</v>
      </c>
      <c r="I114" s="39" t="s">
        <v>185</v>
      </c>
    </row>
    <row r="115" spans="1:9" x14ac:dyDescent="0.25">
      <c r="B115" s="39" t="s">
        <v>342</v>
      </c>
      <c r="D115" s="39">
        <v>0</v>
      </c>
      <c r="E115" s="39" t="b">
        <v>0</v>
      </c>
      <c r="F115" s="39" t="b">
        <v>0</v>
      </c>
      <c r="G115" s="39" t="b">
        <v>1</v>
      </c>
      <c r="I115" s="39" t="s">
        <v>185</v>
      </c>
    </row>
    <row r="116" spans="1:9" x14ac:dyDescent="0.25">
      <c r="B116" s="39" t="s">
        <v>343</v>
      </c>
    </row>
    <row r="117" spans="1:9" x14ac:dyDescent="0.25">
      <c r="B117" s="39" t="s">
        <v>334</v>
      </c>
      <c r="D117" s="39">
        <v>0</v>
      </c>
      <c r="E117" s="39" t="b">
        <v>0</v>
      </c>
      <c r="F117" s="39" t="b">
        <v>0</v>
      </c>
      <c r="G117" s="39" t="b">
        <v>1</v>
      </c>
    </row>
    <row r="118" spans="1:9" x14ac:dyDescent="0.25">
      <c r="B118" s="39" t="s">
        <v>335</v>
      </c>
      <c r="D118" s="39">
        <v>0</v>
      </c>
      <c r="E118" s="39" t="b">
        <v>0</v>
      </c>
      <c r="F118" s="39" t="b">
        <v>0</v>
      </c>
      <c r="G118" s="39" t="b">
        <v>1</v>
      </c>
    </row>
    <row r="119" spans="1:9" x14ac:dyDescent="0.25">
      <c r="B119" s="39" t="s">
        <v>336</v>
      </c>
      <c r="D119" s="39">
        <v>0</v>
      </c>
      <c r="E119" s="39" t="b">
        <v>0</v>
      </c>
      <c r="F119" s="39" t="b">
        <v>0</v>
      </c>
      <c r="G119" s="39" t="b">
        <v>1</v>
      </c>
    </row>
    <row r="120" spans="1:9" x14ac:dyDescent="0.25">
      <c r="B120" s="39" t="s">
        <v>337</v>
      </c>
      <c r="D120" s="39">
        <v>0</v>
      </c>
      <c r="E120" s="39" t="b">
        <v>0</v>
      </c>
      <c r="F120" s="39" t="b">
        <v>0</v>
      </c>
      <c r="G120" s="39" t="b">
        <v>0</v>
      </c>
    </row>
    <row r="121" spans="1:9" x14ac:dyDescent="0.25">
      <c r="B121" s="39" t="s">
        <v>338</v>
      </c>
      <c r="D121" s="39">
        <v>0</v>
      </c>
      <c r="E121" s="39" t="b">
        <v>0</v>
      </c>
      <c r="F121" s="39" t="b">
        <v>0</v>
      </c>
      <c r="G121" s="39" t="b">
        <v>1</v>
      </c>
    </row>
    <row r="122" spans="1:9" x14ac:dyDescent="0.25">
      <c r="A122" s="39"/>
      <c r="B122" s="39" t="s">
        <v>344</v>
      </c>
    </row>
    <row r="123" spans="1:9" x14ac:dyDescent="0.25">
      <c r="A123" s="39"/>
      <c r="B123" s="39" t="s">
        <v>345</v>
      </c>
      <c r="C123" s="39" t="s">
        <v>346</v>
      </c>
      <c r="D123" s="39">
        <v>0</v>
      </c>
      <c r="E123" s="39" t="b">
        <v>0</v>
      </c>
      <c r="F123" s="39" t="b">
        <v>0</v>
      </c>
      <c r="G123" s="39" t="b">
        <v>0</v>
      </c>
      <c r="H123" s="39" t="s">
        <v>347</v>
      </c>
      <c r="I123" s="39" t="s">
        <v>185</v>
      </c>
    </row>
    <row r="124" spans="1:9" x14ac:dyDescent="0.25">
      <c r="A124" s="39"/>
      <c r="B124" s="39" t="s">
        <v>348</v>
      </c>
      <c r="C124" s="39" t="s">
        <v>206</v>
      </c>
      <c r="D124" s="39">
        <v>0</v>
      </c>
      <c r="E124" s="39">
        <v>2027</v>
      </c>
      <c r="F124" s="39">
        <v>2027</v>
      </c>
      <c r="G124" s="39">
        <v>2027</v>
      </c>
      <c r="H124" s="39" t="s">
        <v>349</v>
      </c>
      <c r="I124" s="39" t="s">
        <v>185</v>
      </c>
    </row>
    <row r="125" spans="1:9" x14ac:dyDescent="0.25">
      <c r="A125" s="39"/>
      <c r="B125" s="39" t="s">
        <v>350</v>
      </c>
      <c r="C125" s="39" t="s">
        <v>206</v>
      </c>
      <c r="D125" s="39">
        <v>0</v>
      </c>
      <c r="E125" s="39">
        <v>5</v>
      </c>
      <c r="F125" s="39">
        <v>5</v>
      </c>
      <c r="G125" s="39">
        <v>5</v>
      </c>
      <c r="H125" s="39" t="s">
        <v>351</v>
      </c>
      <c r="I125" s="39" t="s">
        <v>185</v>
      </c>
    </row>
    <row r="126" spans="1:9" x14ac:dyDescent="0.25">
      <c r="A126" s="39"/>
      <c r="B126" s="39" t="s">
        <v>352</v>
      </c>
      <c r="C126" s="39" t="s">
        <v>88</v>
      </c>
      <c r="D126" s="39">
        <v>0</v>
      </c>
      <c r="E126" s="39">
        <v>1</v>
      </c>
      <c r="F126" s="39">
        <v>1</v>
      </c>
      <c r="G126" s="39">
        <v>1</v>
      </c>
      <c r="H126" s="39" t="s">
        <v>353</v>
      </c>
    </row>
    <row r="127" spans="1:9" x14ac:dyDescent="0.25">
      <c r="A127" s="39"/>
      <c r="B127" s="39" t="s">
        <v>354</v>
      </c>
      <c r="C127" s="39" t="s">
        <v>355</v>
      </c>
      <c r="D127" s="39">
        <v>0</v>
      </c>
      <c r="E127" s="39" t="s">
        <v>295</v>
      </c>
      <c r="F127" s="39" t="s">
        <v>295</v>
      </c>
      <c r="G127" s="39" t="s">
        <v>295</v>
      </c>
      <c r="H127" s="39" t="s">
        <v>356</v>
      </c>
    </row>
    <row r="128" spans="1:9" x14ac:dyDescent="0.25">
      <c r="A128" s="39"/>
      <c r="B128" s="39" t="s">
        <v>357</v>
      </c>
      <c r="C128" s="39" t="s">
        <v>206</v>
      </c>
      <c r="D128" s="39">
        <v>0</v>
      </c>
      <c r="E128" s="39">
        <v>5</v>
      </c>
      <c r="F128" s="39">
        <v>5</v>
      </c>
      <c r="G128" s="39">
        <v>5</v>
      </c>
      <c r="H128" s="39" t="s">
        <v>358</v>
      </c>
    </row>
    <row r="129" spans="1:9" x14ac:dyDescent="0.25">
      <c r="A129" s="39"/>
      <c r="B129" s="39" t="s">
        <v>359</v>
      </c>
      <c r="C129" s="39" t="s">
        <v>88</v>
      </c>
      <c r="D129" s="39">
        <v>0</v>
      </c>
      <c r="E129" s="39">
        <v>0</v>
      </c>
      <c r="F129" s="39">
        <v>0</v>
      </c>
      <c r="G129" s="39">
        <v>0</v>
      </c>
      <c r="H129" s="39" t="s">
        <v>360</v>
      </c>
    </row>
    <row r="130" spans="1:9" x14ac:dyDescent="0.25">
      <c r="A130" s="39"/>
      <c r="B130" s="39" t="s">
        <v>361</v>
      </c>
    </row>
    <row r="131" spans="1:9" x14ac:dyDescent="0.25">
      <c r="A131" s="39"/>
      <c r="B131" s="39" t="s">
        <v>362</v>
      </c>
      <c r="C131" s="39" t="s">
        <v>346</v>
      </c>
      <c r="D131" s="39">
        <v>0</v>
      </c>
      <c r="E131" s="39" t="b">
        <v>0</v>
      </c>
      <c r="F131" s="39" t="b">
        <v>0</v>
      </c>
      <c r="G131" s="39" t="b">
        <v>0</v>
      </c>
      <c r="H131" s="39" t="s">
        <v>363</v>
      </c>
      <c r="I131" s="39" t="s">
        <v>185</v>
      </c>
    </row>
    <row r="132" spans="1:9" x14ac:dyDescent="0.25">
      <c r="A132" s="39"/>
      <c r="B132" s="39" t="s">
        <v>364</v>
      </c>
      <c r="C132" s="39" t="s">
        <v>206</v>
      </c>
      <c r="D132" s="39">
        <v>0</v>
      </c>
      <c r="E132" s="39">
        <v>2027</v>
      </c>
      <c r="F132" s="39">
        <v>2027</v>
      </c>
      <c r="G132" s="39">
        <v>2027</v>
      </c>
      <c r="H132" s="39" t="s">
        <v>365</v>
      </c>
      <c r="I132" s="39" t="s">
        <v>185</v>
      </c>
    </row>
    <row r="133" spans="1:9" x14ac:dyDescent="0.25">
      <c r="A133" s="39"/>
      <c r="B133" s="39" t="s">
        <v>366</v>
      </c>
      <c r="C133" s="39" t="s">
        <v>206</v>
      </c>
      <c r="D133" s="39">
        <v>0</v>
      </c>
      <c r="E133" s="39">
        <v>5</v>
      </c>
      <c r="F133" s="39">
        <v>5</v>
      </c>
      <c r="G133" s="39">
        <v>5</v>
      </c>
      <c r="H133" s="39" t="s">
        <v>367</v>
      </c>
      <c r="I133" s="39" t="s">
        <v>185</v>
      </c>
    </row>
    <row r="134" spans="1:9" x14ac:dyDescent="0.25">
      <c r="A134" s="39"/>
      <c r="B134" s="39" t="s">
        <v>368</v>
      </c>
      <c r="C134" s="39" t="s">
        <v>88</v>
      </c>
      <c r="D134" s="39">
        <v>0</v>
      </c>
      <c r="E134" s="39">
        <v>1</v>
      </c>
      <c r="F134" s="39">
        <v>1</v>
      </c>
      <c r="G134" s="39">
        <v>1</v>
      </c>
      <c r="H134" s="39" t="s">
        <v>369</v>
      </c>
    </row>
    <row r="135" spans="1:9" x14ac:dyDescent="0.25">
      <c r="A135" s="39"/>
      <c r="B135" s="39" t="s">
        <v>370</v>
      </c>
      <c r="C135" s="39" t="s">
        <v>355</v>
      </c>
      <c r="D135" s="39">
        <v>0</v>
      </c>
      <c r="E135" s="39" t="s">
        <v>295</v>
      </c>
      <c r="F135" s="39" t="s">
        <v>295</v>
      </c>
      <c r="G135" s="39" t="s">
        <v>295</v>
      </c>
      <c r="H135" s="39" t="s">
        <v>371</v>
      </c>
    </row>
    <row r="136" spans="1:9" x14ac:dyDescent="0.25">
      <c r="A136" s="39"/>
      <c r="B136" s="39" t="s">
        <v>372</v>
      </c>
      <c r="C136" s="39" t="s">
        <v>206</v>
      </c>
      <c r="D136" s="39">
        <v>0</v>
      </c>
      <c r="E136" s="39">
        <v>5</v>
      </c>
      <c r="F136" s="39">
        <v>5</v>
      </c>
      <c r="G136" s="39">
        <v>5</v>
      </c>
      <c r="H136" s="39" t="s">
        <v>373</v>
      </c>
    </row>
    <row r="137" spans="1:9" x14ac:dyDescent="0.25">
      <c r="A137" s="39"/>
      <c r="B137" s="39" t="s">
        <v>374</v>
      </c>
      <c r="C137" s="39" t="s">
        <v>88</v>
      </c>
      <c r="D137" s="39">
        <v>0</v>
      </c>
      <c r="E137" s="39">
        <v>0</v>
      </c>
      <c r="F137" s="39">
        <v>0</v>
      </c>
      <c r="G137" s="39">
        <v>0</v>
      </c>
      <c r="H137" s="39" t="s">
        <v>375</v>
      </c>
    </row>
    <row r="138" spans="1:9" x14ac:dyDescent="0.25">
      <c r="A138" s="39"/>
      <c r="B138" s="39" t="s">
        <v>376</v>
      </c>
      <c r="C138" s="39" t="s">
        <v>377</v>
      </c>
      <c r="D138" s="39">
        <v>0</v>
      </c>
      <c r="E138" s="39" t="s">
        <v>378</v>
      </c>
      <c r="F138" s="39" t="s">
        <v>378</v>
      </c>
      <c r="G138" s="39" t="s">
        <v>378</v>
      </c>
      <c r="H138" s="39" t="s">
        <v>379</v>
      </c>
    </row>
    <row r="139" spans="1:9" x14ac:dyDescent="0.25">
      <c r="B139" s="39" t="s">
        <v>380</v>
      </c>
    </row>
    <row r="140" spans="1:9" x14ac:dyDescent="0.25">
      <c r="B140" s="39" t="s">
        <v>381</v>
      </c>
      <c r="D140" s="39">
        <v>0</v>
      </c>
      <c r="E140" s="39">
        <v>2027</v>
      </c>
      <c r="F140" s="39">
        <v>2027</v>
      </c>
      <c r="G140" s="39">
        <v>2027</v>
      </c>
      <c r="I140" s="39" t="s">
        <v>185</v>
      </c>
    </row>
    <row r="141" spans="1:9" x14ac:dyDescent="0.25">
      <c r="B141" s="39" t="s">
        <v>382</v>
      </c>
      <c r="D141" s="39">
        <v>0</v>
      </c>
      <c r="E141" s="39">
        <v>2035</v>
      </c>
      <c r="F141" s="39">
        <v>2035</v>
      </c>
      <c r="G141" s="39">
        <v>2035</v>
      </c>
      <c r="I141" s="39" t="s">
        <v>185</v>
      </c>
    </row>
    <row r="142" spans="1:9" x14ac:dyDescent="0.25">
      <c r="B142" s="39" t="s">
        <v>383</v>
      </c>
      <c r="D142" s="39">
        <v>0</v>
      </c>
      <c r="E142" s="39">
        <v>0</v>
      </c>
      <c r="F142" s="39">
        <v>0</v>
      </c>
      <c r="G142" s="39">
        <v>0</v>
      </c>
      <c r="I142" s="39" t="s">
        <v>185</v>
      </c>
    </row>
    <row r="143" spans="1:9" x14ac:dyDescent="0.25">
      <c r="B143" s="39" t="s">
        <v>384</v>
      </c>
      <c r="D143" s="39">
        <v>0</v>
      </c>
      <c r="E143" s="39">
        <v>0</v>
      </c>
      <c r="F143" s="39">
        <v>0</v>
      </c>
      <c r="G143" s="39">
        <v>0</v>
      </c>
      <c r="I143" s="39" t="s">
        <v>185</v>
      </c>
    </row>
    <row r="144" spans="1:9" x14ac:dyDescent="0.25">
      <c r="B144" s="39" t="s">
        <v>385</v>
      </c>
      <c r="D144" s="39">
        <v>0</v>
      </c>
      <c r="E144" s="39">
        <v>0</v>
      </c>
      <c r="F144" s="39">
        <v>0</v>
      </c>
      <c r="G144" s="39">
        <v>0</v>
      </c>
      <c r="I144" s="39" t="s">
        <v>185</v>
      </c>
    </row>
    <row r="145" spans="2:9" x14ac:dyDescent="0.25">
      <c r="B145" s="39" t="s">
        <v>386</v>
      </c>
      <c r="D145" s="39">
        <v>0</v>
      </c>
      <c r="E145" s="39">
        <v>0</v>
      </c>
      <c r="F145" s="39">
        <v>0</v>
      </c>
      <c r="G145" s="39">
        <v>0</v>
      </c>
      <c r="I145" s="39" t="s">
        <v>185</v>
      </c>
    </row>
    <row r="146" spans="2:9" x14ac:dyDescent="0.25">
      <c r="B146" s="39" t="s">
        <v>387</v>
      </c>
      <c r="D146" s="39">
        <v>0</v>
      </c>
      <c r="E146" s="39">
        <v>0</v>
      </c>
      <c r="F146" s="39">
        <v>0</v>
      </c>
      <c r="G146" s="39">
        <v>0</v>
      </c>
      <c r="I146" s="39" t="s">
        <v>185</v>
      </c>
    </row>
    <row r="147" spans="2:9" x14ac:dyDescent="0.25">
      <c r="B147" s="39" t="s">
        <v>388</v>
      </c>
      <c r="D147" s="39">
        <v>0</v>
      </c>
      <c r="E147" s="39">
        <v>0</v>
      </c>
      <c r="F147" s="39">
        <v>0</v>
      </c>
      <c r="G147" s="39">
        <v>0</v>
      </c>
      <c r="I147" s="39" t="s">
        <v>185</v>
      </c>
    </row>
    <row r="148" spans="2:9" x14ac:dyDescent="0.25">
      <c r="B148" s="39" t="s">
        <v>389</v>
      </c>
      <c r="D148" s="39">
        <v>0</v>
      </c>
      <c r="E148" s="39">
        <v>0</v>
      </c>
      <c r="F148" s="39">
        <v>0</v>
      </c>
      <c r="G148" s="39">
        <v>0</v>
      </c>
      <c r="I148" s="39" t="s">
        <v>185</v>
      </c>
    </row>
    <row r="149" spans="2:9" x14ac:dyDescent="0.25">
      <c r="B149" s="39" t="s">
        <v>390</v>
      </c>
      <c r="D149" s="39">
        <v>0</v>
      </c>
      <c r="E149" s="39">
        <v>0</v>
      </c>
      <c r="F149" s="39">
        <v>0</v>
      </c>
      <c r="G149" s="39">
        <v>0</v>
      </c>
      <c r="I149" s="39" t="s">
        <v>185</v>
      </c>
    </row>
    <row r="150" spans="2:9" x14ac:dyDescent="0.25">
      <c r="B150" s="39" t="s">
        <v>391</v>
      </c>
      <c r="D150" s="39">
        <v>0</v>
      </c>
      <c r="E150" s="39">
        <v>0</v>
      </c>
      <c r="F150" s="39">
        <v>0</v>
      </c>
      <c r="G150" s="39">
        <v>0</v>
      </c>
      <c r="I150" s="39" t="s">
        <v>185</v>
      </c>
    </row>
    <row r="151" spans="2:9" x14ac:dyDescent="0.25">
      <c r="B151" s="39" t="s">
        <v>392</v>
      </c>
      <c r="D151" s="39">
        <v>0</v>
      </c>
      <c r="E151" s="39">
        <v>0</v>
      </c>
      <c r="F151" s="39">
        <v>0</v>
      </c>
      <c r="G151" s="39">
        <v>0</v>
      </c>
      <c r="I151" s="39" t="s">
        <v>185</v>
      </c>
    </row>
    <row r="152" spans="2:9" x14ac:dyDescent="0.25">
      <c r="B152" s="39" t="s">
        <v>393</v>
      </c>
      <c r="D152" s="39">
        <v>0</v>
      </c>
      <c r="E152" s="39">
        <v>0</v>
      </c>
      <c r="F152" s="39">
        <v>0</v>
      </c>
      <c r="G152" s="39">
        <v>0</v>
      </c>
      <c r="I152" s="39" t="s">
        <v>185</v>
      </c>
    </row>
    <row r="153" spans="2:9" x14ac:dyDescent="0.25">
      <c r="B153" s="39" t="s">
        <v>394</v>
      </c>
      <c r="D153" s="39">
        <v>0</v>
      </c>
      <c r="E153" s="39">
        <v>0</v>
      </c>
      <c r="F153" s="39">
        <v>0</v>
      </c>
      <c r="G153" s="39">
        <v>0</v>
      </c>
      <c r="I153" s="39" t="s">
        <v>185</v>
      </c>
    </row>
    <row r="154" spans="2:9" x14ac:dyDescent="0.25">
      <c r="B154" s="39" t="s">
        <v>395</v>
      </c>
      <c r="D154" s="39">
        <v>0</v>
      </c>
      <c r="E154" s="39">
        <v>0</v>
      </c>
      <c r="F154" s="39">
        <v>0</v>
      </c>
      <c r="G154" s="39">
        <v>0</v>
      </c>
      <c r="I154" s="39" t="s">
        <v>185</v>
      </c>
    </row>
    <row r="155" spans="2:9" x14ac:dyDescent="0.25">
      <c r="B155" s="39" t="s">
        <v>396</v>
      </c>
      <c r="D155" s="39">
        <v>0</v>
      </c>
      <c r="E155" s="39">
        <v>0</v>
      </c>
      <c r="F155" s="39">
        <v>0</v>
      </c>
      <c r="G155" s="39">
        <v>0</v>
      </c>
      <c r="I155" s="39" t="s">
        <v>185</v>
      </c>
    </row>
    <row r="156" spans="2:9" x14ac:dyDescent="0.25">
      <c r="B156" s="39" t="s">
        <v>397</v>
      </c>
      <c r="D156" s="39">
        <v>0</v>
      </c>
      <c r="E156" s="39">
        <v>0</v>
      </c>
      <c r="F156" s="39">
        <v>0</v>
      </c>
      <c r="G156" s="39">
        <v>0</v>
      </c>
      <c r="I156" s="39" t="s">
        <v>185</v>
      </c>
    </row>
    <row r="157" spans="2:9" x14ac:dyDescent="0.25">
      <c r="B157" s="39" t="s">
        <v>398</v>
      </c>
      <c r="D157" s="39">
        <v>0</v>
      </c>
      <c r="E157" s="39">
        <v>0</v>
      </c>
      <c r="F157" s="39">
        <v>0</v>
      </c>
      <c r="G157" s="39">
        <v>0</v>
      </c>
      <c r="I157" s="39" t="s">
        <v>185</v>
      </c>
    </row>
    <row r="158" spans="2:9" x14ac:dyDescent="0.25">
      <c r="B158" s="39" t="s">
        <v>399</v>
      </c>
      <c r="D158" s="39">
        <v>0</v>
      </c>
      <c r="E158" s="39">
        <v>0</v>
      </c>
      <c r="F158" s="39">
        <v>0</v>
      </c>
      <c r="G158" s="39">
        <v>0</v>
      </c>
      <c r="I158" s="39" t="s">
        <v>185</v>
      </c>
    </row>
    <row r="159" spans="2:9" x14ac:dyDescent="0.25">
      <c r="B159" s="39" t="s">
        <v>400</v>
      </c>
      <c r="D159" s="39">
        <v>0</v>
      </c>
      <c r="E159" s="39">
        <v>0</v>
      </c>
      <c r="F159" s="39">
        <v>0</v>
      </c>
      <c r="G159" s="39">
        <v>0</v>
      </c>
      <c r="I159" s="39" t="s">
        <v>185</v>
      </c>
    </row>
    <row r="160" spans="2:9" x14ac:dyDescent="0.25">
      <c r="B160" s="39" t="s">
        <v>401</v>
      </c>
      <c r="D160" s="39">
        <v>0</v>
      </c>
      <c r="E160" s="39">
        <v>0</v>
      </c>
      <c r="F160" s="39">
        <v>0</v>
      </c>
      <c r="G160" s="39">
        <v>0</v>
      </c>
      <c r="I160" s="39" t="s">
        <v>185</v>
      </c>
    </row>
    <row r="161" spans="2:9" x14ac:dyDescent="0.25">
      <c r="B161" s="39" t="s">
        <v>402</v>
      </c>
      <c r="D161" s="39">
        <v>0</v>
      </c>
      <c r="E161" s="39">
        <v>0</v>
      </c>
      <c r="F161" s="39">
        <v>0</v>
      </c>
      <c r="G161" s="39">
        <v>0</v>
      </c>
      <c r="I161" s="39" t="s">
        <v>185</v>
      </c>
    </row>
    <row r="162" spans="2:9" x14ac:dyDescent="0.25">
      <c r="B162" s="39" t="s">
        <v>403</v>
      </c>
      <c r="D162" s="39">
        <v>0</v>
      </c>
      <c r="E162" s="39">
        <v>0</v>
      </c>
      <c r="F162" s="39">
        <v>0</v>
      </c>
      <c r="G162" s="39">
        <v>0</v>
      </c>
      <c r="I162" s="39" t="s">
        <v>185</v>
      </c>
    </row>
    <row r="163" spans="2:9" x14ac:dyDescent="0.25">
      <c r="B163" s="39" t="s">
        <v>404</v>
      </c>
      <c r="D163" s="39">
        <v>0</v>
      </c>
      <c r="E163" s="39">
        <v>0</v>
      </c>
      <c r="F163" s="39">
        <v>0</v>
      </c>
      <c r="G163" s="39">
        <v>0</v>
      </c>
      <c r="I163" s="39" t="s">
        <v>185</v>
      </c>
    </row>
    <row r="164" spans="2:9" x14ac:dyDescent="0.25">
      <c r="B164" s="39" t="s">
        <v>405</v>
      </c>
      <c r="D164" s="39">
        <v>0</v>
      </c>
      <c r="E164" s="39">
        <v>0</v>
      </c>
      <c r="F164" s="39">
        <v>0</v>
      </c>
      <c r="G164" s="39">
        <v>0</v>
      </c>
      <c r="I164" s="39" t="s">
        <v>185</v>
      </c>
    </row>
    <row r="165" spans="2:9" x14ac:dyDescent="0.25">
      <c r="B165" s="39" t="s">
        <v>406</v>
      </c>
      <c r="D165" s="39">
        <v>0</v>
      </c>
      <c r="E165" s="39">
        <v>0</v>
      </c>
      <c r="F165" s="39">
        <v>0</v>
      </c>
      <c r="G165" s="39">
        <v>0</v>
      </c>
      <c r="I165" s="39" t="s">
        <v>185</v>
      </c>
    </row>
    <row r="166" spans="2:9" x14ac:dyDescent="0.25">
      <c r="B166" s="39" t="s">
        <v>407</v>
      </c>
      <c r="D166" s="39">
        <v>0</v>
      </c>
      <c r="E166" s="39">
        <v>0</v>
      </c>
      <c r="F166" s="39">
        <v>0</v>
      </c>
      <c r="G166" s="39">
        <v>0</v>
      </c>
      <c r="I166" s="39" t="s">
        <v>185</v>
      </c>
    </row>
    <row r="167" spans="2:9" x14ac:dyDescent="0.25">
      <c r="B167" s="39" t="s">
        <v>408</v>
      </c>
      <c r="D167" s="39">
        <v>0</v>
      </c>
      <c r="E167" s="39">
        <v>0</v>
      </c>
      <c r="F167" s="39">
        <v>0</v>
      </c>
      <c r="G167" s="39">
        <v>0</v>
      </c>
      <c r="I167" s="39" t="s">
        <v>185</v>
      </c>
    </row>
    <row r="168" spans="2:9" x14ac:dyDescent="0.25">
      <c r="B168" s="39" t="s">
        <v>409</v>
      </c>
      <c r="D168" s="39">
        <v>0</v>
      </c>
      <c r="E168" s="39">
        <v>0</v>
      </c>
      <c r="F168" s="39">
        <v>0</v>
      </c>
      <c r="G168" s="39">
        <v>0</v>
      </c>
      <c r="I168" s="39" t="s">
        <v>185</v>
      </c>
    </row>
    <row r="169" spans="2:9" x14ac:dyDescent="0.25">
      <c r="B169" s="39" t="s">
        <v>410</v>
      </c>
      <c r="D169" s="39">
        <v>0</v>
      </c>
      <c r="E169" s="39">
        <v>0</v>
      </c>
      <c r="F169" s="39">
        <v>0</v>
      </c>
      <c r="G169" s="39">
        <v>0</v>
      </c>
      <c r="I169" s="39" t="s">
        <v>185</v>
      </c>
    </row>
    <row r="170" spans="2:9" x14ac:dyDescent="0.25">
      <c r="B170" s="39" t="s">
        <v>411</v>
      </c>
      <c r="D170" s="39">
        <v>0</v>
      </c>
      <c r="E170" s="39" t="s">
        <v>55</v>
      </c>
      <c r="F170" s="39" t="s">
        <v>55</v>
      </c>
      <c r="G170" s="39" t="s">
        <v>55</v>
      </c>
      <c r="I170" s="39" t="s">
        <v>185</v>
      </c>
    </row>
    <row r="171" spans="2:9" x14ac:dyDescent="0.25">
      <c r="B171" s="39" t="s">
        <v>412</v>
      </c>
      <c r="D171" s="39">
        <v>0</v>
      </c>
      <c r="E171" s="39" t="s">
        <v>55</v>
      </c>
      <c r="F171" s="39" t="s">
        <v>55</v>
      </c>
      <c r="G171" s="39" t="s">
        <v>55</v>
      </c>
      <c r="I171" s="39" t="s">
        <v>185</v>
      </c>
    </row>
    <row r="172" spans="2:9" x14ac:dyDescent="0.25">
      <c r="B172" s="39" t="s">
        <v>413</v>
      </c>
      <c r="D172" s="39">
        <v>0</v>
      </c>
      <c r="E172" s="39" t="s">
        <v>55</v>
      </c>
      <c r="F172" s="39" t="s">
        <v>55</v>
      </c>
      <c r="G172" s="39" t="s">
        <v>55</v>
      </c>
      <c r="I172" s="39" t="s">
        <v>185</v>
      </c>
    </row>
    <row r="173" spans="2:9" x14ac:dyDescent="0.25">
      <c r="B173" s="39" t="s">
        <v>414</v>
      </c>
      <c r="D173" s="39">
        <v>0</v>
      </c>
      <c r="E173" s="39" t="s">
        <v>55</v>
      </c>
      <c r="F173" s="39" t="s">
        <v>55</v>
      </c>
      <c r="G173" s="39" t="s">
        <v>55</v>
      </c>
      <c r="I173" s="39" t="s">
        <v>185</v>
      </c>
    </row>
    <row r="174" spans="2:9" x14ac:dyDescent="0.25">
      <c r="B174" s="39" t="s">
        <v>415</v>
      </c>
      <c r="D174" s="39">
        <v>0</v>
      </c>
      <c r="E174" s="39" t="s">
        <v>55</v>
      </c>
      <c r="F174" s="39" t="s">
        <v>55</v>
      </c>
      <c r="G174" s="39" t="s">
        <v>55</v>
      </c>
      <c r="I174" s="39" t="s">
        <v>185</v>
      </c>
    </row>
    <row r="175" spans="2:9" x14ac:dyDescent="0.25">
      <c r="B175" s="39" t="s">
        <v>416</v>
      </c>
      <c r="D175" s="39">
        <v>0</v>
      </c>
      <c r="E175" s="39" t="s">
        <v>55</v>
      </c>
      <c r="F175" s="39" t="s">
        <v>55</v>
      </c>
      <c r="G175" s="39" t="s">
        <v>55</v>
      </c>
      <c r="I175" s="39" t="s">
        <v>185</v>
      </c>
    </row>
    <row r="176" spans="2:9" x14ac:dyDescent="0.25">
      <c r="B176" s="39" t="s">
        <v>417</v>
      </c>
      <c r="D176" s="39">
        <v>0</v>
      </c>
      <c r="E176" s="39" t="s">
        <v>75</v>
      </c>
      <c r="F176" s="39" t="s">
        <v>75</v>
      </c>
      <c r="G176" s="39" t="s">
        <v>75</v>
      </c>
      <c r="I176" s="39" t="s">
        <v>185</v>
      </c>
    </row>
    <row r="177" spans="1:9" x14ac:dyDescent="0.25">
      <c r="B177" s="39" t="s">
        <v>418</v>
      </c>
      <c r="D177" s="39">
        <v>0</v>
      </c>
      <c r="E177" s="39" t="s">
        <v>75</v>
      </c>
      <c r="F177" s="39" t="s">
        <v>75</v>
      </c>
      <c r="G177" s="39" t="s">
        <v>75</v>
      </c>
      <c r="I177" s="39" t="s">
        <v>185</v>
      </c>
    </row>
    <row r="178" spans="1:9" x14ac:dyDescent="0.25">
      <c r="B178" s="39" t="s">
        <v>419</v>
      </c>
      <c r="D178" s="39">
        <v>0</v>
      </c>
      <c r="E178" s="39" t="s">
        <v>61</v>
      </c>
      <c r="F178" s="39" t="s">
        <v>61</v>
      </c>
      <c r="G178" s="39" t="s">
        <v>61</v>
      </c>
      <c r="I178" s="39" t="s">
        <v>185</v>
      </c>
    </row>
    <row r="179" spans="1:9" x14ac:dyDescent="0.25">
      <c r="B179" s="39" t="s">
        <v>420</v>
      </c>
      <c r="D179" s="39">
        <v>0</v>
      </c>
      <c r="E179" s="39" t="s">
        <v>61</v>
      </c>
      <c r="F179" s="39" t="s">
        <v>61</v>
      </c>
      <c r="G179" s="39" t="s">
        <v>61</v>
      </c>
      <c r="I179" s="39" t="s">
        <v>185</v>
      </c>
    </row>
    <row r="180" spans="1:9" x14ac:dyDescent="0.25">
      <c r="B180" s="39" t="s">
        <v>421</v>
      </c>
      <c r="D180" s="39">
        <v>0</v>
      </c>
      <c r="E180" s="39" t="s">
        <v>61</v>
      </c>
      <c r="F180" s="39" t="s">
        <v>61</v>
      </c>
      <c r="G180" s="39" t="s">
        <v>61</v>
      </c>
      <c r="I180" s="39" t="s">
        <v>185</v>
      </c>
    </row>
    <row r="181" spans="1:9" x14ac:dyDescent="0.25">
      <c r="B181" s="39" t="s">
        <v>422</v>
      </c>
      <c r="D181" s="39">
        <v>0</v>
      </c>
      <c r="E181" s="39" t="s">
        <v>61</v>
      </c>
      <c r="F181" s="39" t="s">
        <v>61</v>
      </c>
      <c r="G181" s="39" t="s">
        <v>61</v>
      </c>
      <c r="I181" s="39" t="s">
        <v>185</v>
      </c>
    </row>
    <row r="182" spans="1:9" x14ac:dyDescent="0.25">
      <c r="B182" s="39" t="s">
        <v>423</v>
      </c>
      <c r="D182" s="39">
        <v>0</v>
      </c>
      <c r="E182" s="39" t="s">
        <v>424</v>
      </c>
      <c r="F182" s="39" t="s">
        <v>424</v>
      </c>
      <c r="G182" s="39" t="s">
        <v>61</v>
      </c>
      <c r="I182" s="39" t="s">
        <v>185</v>
      </c>
    </row>
    <row r="183" spans="1:9" x14ac:dyDescent="0.25">
      <c r="B183" s="39" t="s">
        <v>425</v>
      </c>
      <c r="D183" s="39">
        <v>0</v>
      </c>
      <c r="E183" s="39" t="s">
        <v>55</v>
      </c>
      <c r="F183" s="39" t="s">
        <v>55</v>
      </c>
      <c r="G183" s="39" t="s">
        <v>61</v>
      </c>
      <c r="I183" s="39" t="s">
        <v>185</v>
      </c>
    </row>
    <row r="184" spans="1:9" x14ac:dyDescent="0.25">
      <c r="A184" s="39"/>
      <c r="B184" s="39" t="s">
        <v>426</v>
      </c>
    </row>
    <row r="185" spans="1:9" x14ac:dyDescent="0.25">
      <c r="A185" s="39"/>
      <c r="B185" s="39" t="s">
        <v>427</v>
      </c>
      <c r="C185" s="39" t="s">
        <v>192</v>
      </c>
      <c r="D185" s="39">
        <v>0</v>
      </c>
      <c r="E185" s="39" t="s">
        <v>295</v>
      </c>
      <c r="F185" s="39" t="s">
        <v>295</v>
      </c>
      <c r="G185" s="39" t="s">
        <v>295</v>
      </c>
      <c r="H185" s="39" t="s">
        <v>428</v>
      </c>
      <c r="I185" s="39" t="s">
        <v>185</v>
      </c>
    </row>
    <row r="186" spans="1:9" x14ac:dyDescent="0.25">
      <c r="A186" s="39"/>
      <c r="B186" s="39" t="s">
        <v>429</v>
      </c>
      <c r="C186" s="39" t="s">
        <v>206</v>
      </c>
      <c r="D186" s="39">
        <v>0</v>
      </c>
      <c r="E186" s="39">
        <v>2027</v>
      </c>
      <c r="F186" s="39">
        <v>2027</v>
      </c>
      <c r="G186" s="39">
        <v>2027</v>
      </c>
      <c r="H186" s="39" t="s">
        <v>430</v>
      </c>
      <c r="I186" s="39" t="s">
        <v>185</v>
      </c>
    </row>
    <row r="187" spans="1:9" x14ac:dyDescent="0.25">
      <c r="A187" s="39"/>
      <c r="B187" s="39" t="s">
        <v>431</v>
      </c>
      <c r="C187" s="39" t="s">
        <v>432</v>
      </c>
      <c r="D187" s="39">
        <v>0</v>
      </c>
      <c r="E187" s="39">
        <v>0</v>
      </c>
      <c r="F187" s="39">
        <v>0</v>
      </c>
      <c r="G187" s="39">
        <v>0</v>
      </c>
      <c r="H187" s="39" t="s">
        <v>433</v>
      </c>
      <c r="I187" s="39" t="s">
        <v>185</v>
      </c>
    </row>
    <row r="188" spans="1:9" x14ac:dyDescent="0.25">
      <c r="A188" s="39"/>
      <c r="B188" s="39" t="s">
        <v>434</v>
      </c>
      <c r="C188" s="39" t="s">
        <v>432</v>
      </c>
      <c r="D188" s="39">
        <v>0</v>
      </c>
      <c r="E188" s="39">
        <v>0</v>
      </c>
      <c r="F188" s="39">
        <v>0</v>
      </c>
      <c r="G188" s="39">
        <v>0</v>
      </c>
      <c r="H188" s="39" t="s">
        <v>435</v>
      </c>
      <c r="I188" s="39" t="s">
        <v>185</v>
      </c>
    </row>
    <row r="189" spans="1:9" x14ac:dyDescent="0.25">
      <c r="A189" s="39"/>
      <c r="B189" s="39" t="s">
        <v>436</v>
      </c>
      <c r="C189" s="39" t="s">
        <v>206</v>
      </c>
      <c r="D189" s="39">
        <v>0</v>
      </c>
      <c r="E189" s="39">
        <v>2030</v>
      </c>
      <c r="F189" s="39">
        <v>2030</v>
      </c>
      <c r="G189" s="39">
        <v>2030</v>
      </c>
      <c r="H189" s="39" t="s">
        <v>437</v>
      </c>
      <c r="I189" s="39" t="s">
        <v>185</v>
      </c>
    </row>
    <row r="190" spans="1:9" x14ac:dyDescent="0.25">
      <c r="A190" s="39"/>
      <c r="B190" s="39" t="s">
        <v>438</v>
      </c>
    </row>
    <row r="191" spans="1:9" x14ac:dyDescent="0.25">
      <c r="A191" s="39"/>
      <c r="B191" s="39" t="s">
        <v>439</v>
      </c>
      <c r="C191" s="39" t="s">
        <v>192</v>
      </c>
      <c r="D191" s="39">
        <v>0</v>
      </c>
      <c r="E191" s="39" t="b">
        <v>0</v>
      </c>
      <c r="F191" s="39" t="b">
        <v>0</v>
      </c>
      <c r="G191" s="39" t="b">
        <v>0</v>
      </c>
      <c r="H191" s="39" t="s">
        <v>440</v>
      </c>
      <c r="I191" s="39" t="s">
        <v>185</v>
      </c>
    </row>
    <row r="192" spans="1:9" x14ac:dyDescent="0.25">
      <c r="A192" s="39"/>
      <c r="B192" s="39" t="s">
        <v>441</v>
      </c>
      <c r="C192" s="39" t="s">
        <v>206</v>
      </c>
      <c r="D192" s="39">
        <v>0</v>
      </c>
      <c r="E192" s="39">
        <v>2027</v>
      </c>
      <c r="F192" s="39">
        <v>2027</v>
      </c>
      <c r="G192" s="39">
        <v>2027</v>
      </c>
      <c r="H192" s="39" t="s">
        <v>442</v>
      </c>
      <c r="I192" s="39" t="s">
        <v>185</v>
      </c>
    </row>
    <row r="193" spans="1:9" x14ac:dyDescent="0.25">
      <c r="A193" s="39"/>
      <c r="B193" s="39" t="s">
        <v>443</v>
      </c>
      <c r="C193" s="39" t="s">
        <v>206</v>
      </c>
      <c r="D193" s="39">
        <v>0</v>
      </c>
      <c r="E193" s="39">
        <v>5</v>
      </c>
      <c r="F193" s="39">
        <v>5</v>
      </c>
      <c r="G193" s="39">
        <v>5</v>
      </c>
      <c r="H193" s="39" t="s">
        <v>444</v>
      </c>
      <c r="I193" s="39" t="s">
        <v>185</v>
      </c>
    </row>
    <row r="194" spans="1:9" x14ac:dyDescent="0.25">
      <c r="A194" s="39"/>
      <c r="B194" s="39" t="s">
        <v>445</v>
      </c>
      <c r="C194" s="39" t="s">
        <v>192</v>
      </c>
      <c r="D194" s="39">
        <v>0</v>
      </c>
      <c r="E194" s="39" t="s">
        <v>446</v>
      </c>
      <c r="F194" s="39" t="s">
        <v>446</v>
      </c>
      <c r="G194" s="39" t="s">
        <v>446</v>
      </c>
      <c r="H194" s="39" t="s">
        <v>447</v>
      </c>
    </row>
    <row r="195" spans="1:9" x14ac:dyDescent="0.25">
      <c r="A195" s="39"/>
      <c r="B195" s="39" t="s">
        <v>448</v>
      </c>
      <c r="C195" s="39" t="s">
        <v>192</v>
      </c>
      <c r="D195" s="39">
        <v>0</v>
      </c>
      <c r="E195" s="39" t="s">
        <v>295</v>
      </c>
      <c r="F195" s="39" t="s">
        <v>295</v>
      </c>
      <c r="G195" s="39" t="s">
        <v>295</v>
      </c>
      <c r="H195" s="39" t="s">
        <v>449</v>
      </c>
    </row>
    <row r="196" spans="1:9" x14ac:dyDescent="0.25">
      <c r="A196" s="39"/>
      <c r="B196" s="39" t="s">
        <v>450</v>
      </c>
    </row>
    <row r="197" spans="1:9" x14ac:dyDescent="0.25">
      <c r="A197" s="39"/>
      <c r="B197" s="39" t="s">
        <v>451</v>
      </c>
      <c r="C197" s="39" t="s">
        <v>452</v>
      </c>
      <c r="D197" s="39">
        <v>0</v>
      </c>
      <c r="E197" s="39">
        <v>30</v>
      </c>
      <c r="F197" s="39">
        <v>30</v>
      </c>
      <c r="G197" s="39">
        <v>30</v>
      </c>
      <c r="H197" s="39" t="s">
        <v>453</v>
      </c>
    </row>
    <row r="198" spans="1:9" x14ac:dyDescent="0.25">
      <c r="A198" s="39"/>
      <c r="B198" s="39" t="s">
        <v>454</v>
      </c>
      <c r="C198" s="39" t="s">
        <v>452</v>
      </c>
      <c r="D198" s="39">
        <v>0</v>
      </c>
      <c r="E198" s="39">
        <v>0</v>
      </c>
      <c r="F198" s="39">
        <v>0</v>
      </c>
      <c r="G198" s="39">
        <v>0</v>
      </c>
      <c r="H198" s="39" t="s">
        <v>455</v>
      </c>
    </row>
    <row r="199" spans="1:9" x14ac:dyDescent="0.25">
      <c r="A199" s="39"/>
      <c r="B199" s="39" t="s">
        <v>456</v>
      </c>
      <c r="C199" s="39" t="s">
        <v>452</v>
      </c>
      <c r="D199" s="39">
        <v>0</v>
      </c>
      <c r="E199" s="39">
        <v>50</v>
      </c>
      <c r="F199" s="39">
        <v>50</v>
      </c>
      <c r="G199" s="39">
        <v>50</v>
      </c>
      <c r="H199" s="39" t="s">
        <v>457</v>
      </c>
    </row>
    <row r="200" spans="1:9" x14ac:dyDescent="0.25">
      <c r="A200" s="39"/>
      <c r="B200" s="39" t="s">
        <v>458</v>
      </c>
      <c r="C200" s="39" t="s">
        <v>452</v>
      </c>
      <c r="D200" s="39">
        <v>0</v>
      </c>
      <c r="E200" s="39">
        <v>0</v>
      </c>
      <c r="F200" s="39">
        <v>0</v>
      </c>
      <c r="G200" s="39">
        <v>0</v>
      </c>
      <c r="H200" s="39" t="s">
        <v>459</v>
      </c>
    </row>
    <row r="201" spans="1:9" x14ac:dyDescent="0.25">
      <c r="A201" s="39"/>
      <c r="B201" s="39" t="s">
        <v>460</v>
      </c>
      <c r="C201" s="39" t="s">
        <v>452</v>
      </c>
      <c r="D201" s="39">
        <v>0</v>
      </c>
      <c r="E201" s="39">
        <v>20</v>
      </c>
      <c r="F201" s="39">
        <v>20</v>
      </c>
      <c r="G201" s="39">
        <v>20</v>
      </c>
      <c r="H201" s="39" t="s">
        <v>461</v>
      </c>
    </row>
    <row r="202" spans="1:9" x14ac:dyDescent="0.25">
      <c r="A202" s="39"/>
      <c r="B202" s="39" t="s">
        <v>462</v>
      </c>
    </row>
    <row r="203" spans="1:9" x14ac:dyDescent="0.25">
      <c r="A203" s="39"/>
      <c r="B203" s="39" t="s">
        <v>463</v>
      </c>
      <c r="C203" s="39" t="s">
        <v>464</v>
      </c>
      <c r="D203" s="39">
        <v>0</v>
      </c>
      <c r="E203" s="39">
        <v>40</v>
      </c>
      <c r="F203" s="39">
        <v>40</v>
      </c>
      <c r="G203" s="39">
        <v>40</v>
      </c>
      <c r="H203" s="39" t="s">
        <v>465</v>
      </c>
    </row>
    <row r="204" spans="1:9" x14ac:dyDescent="0.25">
      <c r="A204" s="39"/>
      <c r="B204" s="39" t="s">
        <v>466</v>
      </c>
      <c r="C204" s="39" t="s">
        <v>467</v>
      </c>
      <c r="D204" s="39">
        <v>0</v>
      </c>
      <c r="E204" s="39">
        <v>100</v>
      </c>
      <c r="F204" s="39">
        <v>100</v>
      </c>
      <c r="G204" s="39">
        <v>100</v>
      </c>
      <c r="H204" s="39" t="s">
        <v>468</v>
      </c>
    </row>
    <row r="205" spans="1:9" x14ac:dyDescent="0.25">
      <c r="A205" s="39"/>
      <c r="B205" s="39" t="s">
        <v>469</v>
      </c>
      <c r="C205" s="39" t="s">
        <v>470</v>
      </c>
      <c r="D205" s="39">
        <v>0</v>
      </c>
      <c r="E205" s="39">
        <v>0</v>
      </c>
      <c r="F205" s="39">
        <v>0</v>
      </c>
      <c r="G205" s="39">
        <v>0</v>
      </c>
      <c r="H205" s="39" t="s">
        <v>471</v>
      </c>
    </row>
    <row r="206" spans="1:9" x14ac:dyDescent="0.25">
      <c r="A206" s="39"/>
      <c r="B206" s="39" t="s">
        <v>472</v>
      </c>
    </row>
    <row r="207" spans="1:9" x14ac:dyDescent="0.25">
      <c r="A207" s="39" t="s">
        <v>204</v>
      </c>
      <c r="B207" s="39" t="s">
        <v>473</v>
      </c>
      <c r="C207" s="39" t="s">
        <v>192</v>
      </c>
      <c r="D207" s="39">
        <v>0</v>
      </c>
      <c r="E207" s="39" t="s">
        <v>474</v>
      </c>
      <c r="F207" s="39" t="s">
        <v>474</v>
      </c>
      <c r="G207" s="39" t="s">
        <v>475</v>
      </c>
      <c r="H207" s="39" t="s">
        <v>476</v>
      </c>
    </row>
    <row r="208" spans="1:9" x14ac:dyDescent="0.25">
      <c r="A208" s="39"/>
      <c r="B208" s="39" t="s">
        <v>477</v>
      </c>
      <c r="C208" s="39" t="s">
        <v>192</v>
      </c>
      <c r="D208" s="39">
        <v>0</v>
      </c>
      <c r="E208" s="39" t="s">
        <v>475</v>
      </c>
      <c r="F208" s="39" t="s">
        <v>475</v>
      </c>
      <c r="G208" s="39" t="s">
        <v>475</v>
      </c>
      <c r="H208" s="39" t="s">
        <v>478</v>
      </c>
    </row>
    <row r="209" spans="1:8" x14ac:dyDescent="0.25">
      <c r="A209" s="39"/>
      <c r="B209" s="39" t="s">
        <v>479</v>
      </c>
      <c r="C209" s="39" t="s">
        <v>480</v>
      </c>
      <c r="D209" s="39">
        <v>0</v>
      </c>
      <c r="E209" s="39">
        <v>0</v>
      </c>
      <c r="F209" s="39">
        <v>0</v>
      </c>
      <c r="G209" s="39">
        <v>0</v>
      </c>
      <c r="H209" s="39" t="s">
        <v>481</v>
      </c>
    </row>
    <row r="210" spans="1:8" x14ac:dyDescent="0.25">
      <c r="A210" s="39"/>
      <c r="B210" s="39" t="s">
        <v>482</v>
      </c>
      <c r="C210" s="39" t="s">
        <v>192</v>
      </c>
      <c r="D210" s="39">
        <v>0</v>
      </c>
      <c r="E210" s="39" t="s">
        <v>474</v>
      </c>
      <c r="F210" s="39" t="s">
        <v>474</v>
      </c>
      <c r="G210" s="39" t="s">
        <v>474</v>
      </c>
      <c r="H210" s="39" t="s">
        <v>483</v>
      </c>
    </row>
    <row r="211" spans="1:8" x14ac:dyDescent="0.25">
      <c r="A211" s="39"/>
      <c r="B211" s="39" t="s">
        <v>484</v>
      </c>
      <c r="C211" s="39" t="s">
        <v>88</v>
      </c>
      <c r="D211" s="39">
        <v>0</v>
      </c>
      <c r="E211" s="39">
        <v>0.9</v>
      </c>
      <c r="F211" s="39">
        <v>0.9</v>
      </c>
      <c r="G211" s="39">
        <v>0.9</v>
      </c>
      <c r="H211" s="39" t="s">
        <v>485</v>
      </c>
    </row>
    <row r="212" spans="1:8" x14ac:dyDescent="0.25">
      <c r="A212" s="39"/>
      <c r="B212" s="39" t="s">
        <v>486</v>
      </c>
      <c r="C212" s="39" t="s">
        <v>206</v>
      </c>
      <c r="D212" s="39">
        <v>0</v>
      </c>
      <c r="E212" s="39">
        <v>5</v>
      </c>
      <c r="F212" s="39">
        <v>5</v>
      </c>
      <c r="G212" s="39">
        <v>5</v>
      </c>
      <c r="H212" s="39" t="s">
        <v>487</v>
      </c>
    </row>
    <row r="213" spans="1:8" x14ac:dyDescent="0.25">
      <c r="A213" s="39"/>
      <c r="B213" s="39" t="s">
        <v>488</v>
      </c>
      <c r="C213" s="39" t="s">
        <v>192</v>
      </c>
      <c r="D213" s="39">
        <v>0</v>
      </c>
      <c r="E213" s="39" t="s">
        <v>475</v>
      </c>
      <c r="F213" s="39" t="s">
        <v>475</v>
      </c>
      <c r="G213" s="39" t="s">
        <v>475</v>
      </c>
      <c r="H213" s="39" t="s">
        <v>489</v>
      </c>
    </row>
    <row r="214" spans="1:8" x14ac:dyDescent="0.25">
      <c r="A214" s="39"/>
      <c r="B214" s="39" t="s">
        <v>490</v>
      </c>
      <c r="C214" s="39" t="s">
        <v>480</v>
      </c>
      <c r="D214" s="39">
        <v>0</v>
      </c>
      <c r="E214" s="39">
        <v>0</v>
      </c>
      <c r="F214" s="39">
        <v>0</v>
      </c>
      <c r="G214" s="39">
        <v>0</v>
      </c>
      <c r="H214" s="39" t="s">
        <v>491</v>
      </c>
    </row>
    <row r="215" spans="1:8" x14ac:dyDescent="0.25">
      <c r="A215" s="39"/>
      <c r="B215" s="39" t="s">
        <v>492</v>
      </c>
      <c r="C215" s="39" t="s">
        <v>192</v>
      </c>
      <c r="D215" s="39">
        <v>0</v>
      </c>
      <c r="E215" s="39" t="s">
        <v>474</v>
      </c>
      <c r="F215" s="39" t="s">
        <v>474</v>
      </c>
      <c r="G215" s="39" t="s">
        <v>474</v>
      </c>
      <c r="H215" s="39" t="s">
        <v>493</v>
      </c>
    </row>
    <row r="216" spans="1:8" x14ac:dyDescent="0.25">
      <c r="B216" s="39" t="s">
        <v>494</v>
      </c>
      <c r="C216" s="39" t="s">
        <v>192</v>
      </c>
      <c r="D216" s="39">
        <v>0</v>
      </c>
      <c r="E216" s="39" t="s">
        <v>475</v>
      </c>
      <c r="F216" s="39" t="s">
        <v>475</v>
      </c>
      <c r="G216" s="39" t="s">
        <v>475</v>
      </c>
      <c r="H216" s="39" t="s">
        <v>495</v>
      </c>
    </row>
    <row r="217" spans="1:8" x14ac:dyDescent="0.25">
      <c r="A217" s="39"/>
      <c r="B217" s="39" t="s">
        <v>496</v>
      </c>
      <c r="C217" s="39" t="s">
        <v>192</v>
      </c>
      <c r="D217" s="39">
        <v>0</v>
      </c>
      <c r="E217" s="39" t="s">
        <v>474</v>
      </c>
      <c r="F217" s="39" t="s">
        <v>474</v>
      </c>
      <c r="G217" s="39" t="s">
        <v>474</v>
      </c>
      <c r="H217" s="39" t="s">
        <v>497</v>
      </c>
    </row>
    <row r="218" spans="1:8" x14ac:dyDescent="0.25">
      <c r="A218" s="39"/>
      <c r="B218" s="39" t="s">
        <v>498</v>
      </c>
      <c r="C218" s="39" t="s">
        <v>192</v>
      </c>
      <c r="D218" s="39">
        <v>0</v>
      </c>
      <c r="E218" s="39" t="s">
        <v>475</v>
      </c>
      <c r="F218" s="39" t="s">
        <v>475</v>
      </c>
      <c r="G218" s="39" t="s">
        <v>475</v>
      </c>
      <c r="H218" s="39" t="s">
        <v>499</v>
      </c>
    </row>
    <row r="219" spans="1:8" x14ac:dyDescent="0.25">
      <c r="A219" s="39"/>
      <c r="B219" s="39" t="s">
        <v>500</v>
      </c>
    </row>
    <row r="220" spans="1:8" x14ac:dyDescent="0.25">
      <c r="A220" s="39" t="s">
        <v>204</v>
      </c>
      <c r="B220" s="39" t="s">
        <v>501</v>
      </c>
      <c r="C220" s="39" t="s">
        <v>192</v>
      </c>
      <c r="D220" s="39">
        <v>0</v>
      </c>
      <c r="E220" s="39" t="s">
        <v>502</v>
      </c>
      <c r="F220" s="39" t="s">
        <v>502</v>
      </c>
      <c r="G220" s="39" t="s">
        <v>503</v>
      </c>
      <c r="H220" s="39" t="s">
        <v>504</v>
      </c>
    </row>
    <row r="221" spans="1:8" x14ac:dyDescent="0.25">
      <c r="A221" s="39"/>
      <c r="B221" s="39" t="s">
        <v>505</v>
      </c>
      <c r="C221" s="39" t="s">
        <v>192</v>
      </c>
      <c r="D221" s="39">
        <v>0</v>
      </c>
      <c r="E221" s="39" t="s">
        <v>506</v>
      </c>
      <c r="F221" s="39" t="s">
        <v>506</v>
      </c>
      <c r="G221" s="39" t="s">
        <v>506</v>
      </c>
      <c r="H221" s="39" t="s">
        <v>507</v>
      </c>
    </row>
    <row r="222" spans="1:8" x14ac:dyDescent="0.25">
      <c r="A222" s="39"/>
      <c r="B222" s="39" t="s">
        <v>508</v>
      </c>
      <c r="C222" s="39" t="s">
        <v>192</v>
      </c>
      <c r="D222" s="39">
        <v>0</v>
      </c>
      <c r="E222" s="39" t="s">
        <v>509</v>
      </c>
      <c r="F222" s="39" t="s">
        <v>509</v>
      </c>
      <c r="G222" s="39" t="s">
        <v>509</v>
      </c>
      <c r="H222" s="39" t="s">
        <v>510</v>
      </c>
    </row>
    <row r="223" spans="1:8" x14ac:dyDescent="0.25">
      <c r="A223" s="39"/>
      <c r="B223" s="39" t="s">
        <v>511</v>
      </c>
      <c r="C223" s="39" t="s">
        <v>192</v>
      </c>
      <c r="D223" s="39">
        <v>0</v>
      </c>
      <c r="E223" s="39" t="s">
        <v>512</v>
      </c>
      <c r="F223" s="39" t="s">
        <v>512</v>
      </c>
      <c r="G223" s="39" t="s">
        <v>512</v>
      </c>
      <c r="H223" s="39" t="s">
        <v>513</v>
      </c>
    </row>
    <row r="224" spans="1:8" x14ac:dyDescent="0.25">
      <c r="A224" s="39"/>
      <c r="B224" s="39" t="s">
        <v>514</v>
      </c>
      <c r="C224" s="39" t="s">
        <v>192</v>
      </c>
      <c r="D224" s="39">
        <v>0</v>
      </c>
      <c r="E224" s="39" t="s">
        <v>512</v>
      </c>
      <c r="F224" s="39" t="s">
        <v>512</v>
      </c>
      <c r="G224" s="39" t="s">
        <v>512</v>
      </c>
      <c r="H224" s="39" t="s">
        <v>515</v>
      </c>
    </row>
    <row r="225" spans="1:8" x14ac:dyDescent="0.25">
      <c r="A225" s="39"/>
      <c r="B225" s="39" t="s">
        <v>516</v>
      </c>
      <c r="C225" s="39" t="s">
        <v>192</v>
      </c>
      <c r="D225" s="39">
        <v>0</v>
      </c>
      <c r="E225" s="39" t="s">
        <v>517</v>
      </c>
      <c r="F225" s="39" t="s">
        <v>517</v>
      </c>
      <c r="G225" s="39" t="s">
        <v>517</v>
      </c>
      <c r="H225" s="39" t="s">
        <v>518</v>
      </c>
    </row>
    <row r="226" spans="1:8" x14ac:dyDescent="0.25">
      <c r="A226" s="39"/>
      <c r="B226" s="39" t="s">
        <v>519</v>
      </c>
      <c r="C226" s="39" t="s">
        <v>192</v>
      </c>
      <c r="D226" s="39">
        <v>0</v>
      </c>
      <c r="E226" s="39" t="s">
        <v>520</v>
      </c>
      <c r="F226" s="39" t="s">
        <v>520</v>
      </c>
      <c r="G226" s="39" t="s">
        <v>520</v>
      </c>
      <c r="H226" s="39" t="s">
        <v>521</v>
      </c>
    </row>
    <row r="227" spans="1:8" x14ac:dyDescent="0.25">
      <c r="A227" s="39"/>
      <c r="B227" s="39" t="s">
        <v>522</v>
      </c>
      <c r="C227" s="39" t="s">
        <v>192</v>
      </c>
      <c r="D227" s="39">
        <v>0</v>
      </c>
      <c r="E227" s="39" t="s">
        <v>523</v>
      </c>
      <c r="F227" s="39" t="s">
        <v>523</v>
      </c>
      <c r="G227" s="39" t="s">
        <v>523</v>
      </c>
      <c r="H227" s="39" t="s">
        <v>524</v>
      </c>
    </row>
    <row r="228" spans="1:8" x14ac:dyDescent="0.25">
      <c r="A228" s="39"/>
      <c r="B228" s="39" t="s">
        <v>525</v>
      </c>
      <c r="C228" s="39" t="s">
        <v>192</v>
      </c>
      <c r="D228" s="39">
        <v>0</v>
      </c>
      <c r="E228" s="39" t="s">
        <v>526</v>
      </c>
      <c r="F228" s="39" t="s">
        <v>526</v>
      </c>
      <c r="G228" s="39" t="s">
        <v>526</v>
      </c>
      <c r="H228" s="39" t="s">
        <v>527</v>
      </c>
    </row>
    <row r="229" spans="1:8" x14ac:dyDescent="0.25">
      <c r="A229" s="39"/>
      <c r="B229" s="39" t="s">
        <v>528</v>
      </c>
      <c r="C229" s="39" t="s">
        <v>192</v>
      </c>
      <c r="D229" s="39">
        <v>0</v>
      </c>
      <c r="E229" s="39" t="s">
        <v>529</v>
      </c>
      <c r="F229" s="39" t="s">
        <v>529</v>
      </c>
      <c r="G229" s="39" t="s">
        <v>529</v>
      </c>
      <c r="H229" s="39" t="s">
        <v>530</v>
      </c>
    </row>
    <row r="230" spans="1:8" x14ac:dyDescent="0.25">
      <c r="A230" s="39"/>
      <c r="B230" s="39" t="s">
        <v>531</v>
      </c>
      <c r="C230" s="39" t="s">
        <v>192</v>
      </c>
      <c r="D230" s="39">
        <v>0</v>
      </c>
      <c r="E230" s="39" t="s">
        <v>532</v>
      </c>
      <c r="F230" s="39" t="s">
        <v>532</v>
      </c>
      <c r="G230" s="39" t="s">
        <v>532</v>
      </c>
      <c r="H230" s="39" t="s">
        <v>533</v>
      </c>
    </row>
    <row r="231" spans="1:8" x14ac:dyDescent="0.25">
      <c r="A231" s="39"/>
      <c r="B231" s="39" t="s">
        <v>534</v>
      </c>
    </row>
    <row r="232" spans="1:8" x14ac:dyDescent="0.25">
      <c r="A232" s="39"/>
      <c r="B232" s="39" t="s">
        <v>535</v>
      </c>
      <c r="C232" s="39" t="s">
        <v>206</v>
      </c>
      <c r="D232" s="39">
        <v>0</v>
      </c>
      <c r="E232" s="39">
        <v>2022</v>
      </c>
      <c r="F232" s="39">
        <v>2022</v>
      </c>
      <c r="G232" s="39">
        <v>2022</v>
      </c>
      <c r="H232" s="39" t="s">
        <v>536</v>
      </c>
    </row>
    <row r="233" spans="1:8" x14ac:dyDescent="0.25">
      <c r="A233" s="39"/>
      <c r="B233" s="39" t="s">
        <v>537</v>
      </c>
      <c r="C233" s="39" t="s">
        <v>206</v>
      </c>
      <c r="D233" s="39">
        <v>0</v>
      </c>
      <c r="E233" s="39">
        <v>2026</v>
      </c>
      <c r="F233" s="39">
        <v>2026</v>
      </c>
      <c r="G233" s="39">
        <v>2026</v>
      </c>
      <c r="H233" s="39" t="s">
        <v>538</v>
      </c>
    </row>
    <row r="234" spans="1:8" x14ac:dyDescent="0.25">
      <c r="A234" s="39"/>
      <c r="B234" s="39" t="s">
        <v>539</v>
      </c>
      <c r="C234" s="39" t="s">
        <v>206</v>
      </c>
      <c r="D234" s="39">
        <v>0</v>
      </c>
      <c r="E234" s="39" t="s">
        <v>540</v>
      </c>
      <c r="F234" s="39" t="s">
        <v>540</v>
      </c>
      <c r="G234" s="39" t="s">
        <v>540</v>
      </c>
      <c r="H234" s="39" t="s">
        <v>541</v>
      </c>
    </row>
    <row r="235" spans="1:8" x14ac:dyDescent="0.25">
      <c r="A235" s="39"/>
      <c r="B235" s="39" t="s">
        <v>542</v>
      </c>
      <c r="C235" s="39" t="s">
        <v>206</v>
      </c>
      <c r="D235" s="39">
        <v>0</v>
      </c>
      <c r="E235" s="39">
        <v>2026</v>
      </c>
      <c r="F235" s="39">
        <v>2026</v>
      </c>
      <c r="G235" s="39">
        <v>2026</v>
      </c>
      <c r="H235" s="39" t="s">
        <v>543</v>
      </c>
    </row>
    <row r="236" spans="1:8" x14ac:dyDescent="0.25">
      <c r="A236" s="39" t="s">
        <v>204</v>
      </c>
      <c r="B236" s="39" t="s">
        <v>544</v>
      </c>
      <c r="C236" s="39" t="s">
        <v>206</v>
      </c>
      <c r="D236" s="39">
        <v>0</v>
      </c>
      <c r="E236" s="39">
        <v>2025</v>
      </c>
      <c r="F236" s="39">
        <v>2025</v>
      </c>
      <c r="G236" s="39">
        <v>2024</v>
      </c>
      <c r="H236" s="39" t="s">
        <v>545</v>
      </c>
    </row>
    <row r="237" spans="1:8" x14ac:dyDescent="0.25">
      <c r="A237" s="39"/>
      <c r="B237" s="39" t="s">
        <v>546</v>
      </c>
      <c r="C237" s="39" t="s">
        <v>192</v>
      </c>
      <c r="D237" s="39">
        <v>0</v>
      </c>
      <c r="E237" s="39" t="s">
        <v>475</v>
      </c>
      <c r="F237" s="39" t="s">
        <v>475</v>
      </c>
      <c r="G237" s="39" t="s">
        <v>475</v>
      </c>
      <c r="H237" s="39" t="s">
        <v>547</v>
      </c>
    </row>
    <row r="238" spans="1:8" x14ac:dyDescent="0.25">
      <c r="A238" s="39"/>
      <c r="B238" s="39" t="s">
        <v>548</v>
      </c>
      <c r="C238" s="39" t="s">
        <v>192</v>
      </c>
      <c r="D238" s="39">
        <v>0</v>
      </c>
      <c r="E238" s="39" t="s">
        <v>475</v>
      </c>
      <c r="F238" s="39" t="s">
        <v>475</v>
      </c>
      <c r="G238" s="39" t="s">
        <v>475</v>
      </c>
      <c r="H238" s="39" t="s">
        <v>549</v>
      </c>
    </row>
    <row r="239" spans="1:8" x14ac:dyDescent="0.25">
      <c r="A239" s="39"/>
      <c r="B239" s="39" t="s">
        <v>550</v>
      </c>
      <c r="C239" s="39" t="s">
        <v>192</v>
      </c>
      <c r="D239" s="39">
        <v>0</v>
      </c>
      <c r="E239" s="39" t="s">
        <v>475</v>
      </c>
      <c r="F239" s="39" t="s">
        <v>475</v>
      </c>
      <c r="G239" s="39" t="s">
        <v>475</v>
      </c>
      <c r="H239" s="39" t="s">
        <v>551</v>
      </c>
    </row>
    <row r="240" spans="1:8" x14ac:dyDescent="0.25">
      <c r="A240" s="39"/>
      <c r="B240" s="39" t="s">
        <v>552</v>
      </c>
      <c r="C240" s="39" t="s">
        <v>88</v>
      </c>
      <c r="D240" s="39">
        <v>0</v>
      </c>
      <c r="E240" s="39">
        <v>2.5000000000000001E-2</v>
      </c>
      <c r="F240" s="39">
        <v>2.5000000000000001E-2</v>
      </c>
      <c r="G240" s="39">
        <v>2.5000000000000001E-2</v>
      </c>
      <c r="H240" s="39" t="s">
        <v>553</v>
      </c>
    </row>
    <row r="241" spans="1:8" x14ac:dyDescent="0.25">
      <c r="A241" s="39"/>
      <c r="B241" s="39" t="s">
        <v>554</v>
      </c>
    </row>
    <row r="242" spans="1:8" x14ac:dyDescent="0.25">
      <c r="A242" s="39"/>
      <c r="B242" s="39" t="s">
        <v>555</v>
      </c>
      <c r="D242" s="39">
        <v>0</v>
      </c>
      <c r="E242" s="39">
        <v>0</v>
      </c>
      <c r="F242" s="39">
        <v>0</v>
      </c>
      <c r="G242" s="39">
        <v>0</v>
      </c>
      <c r="H242" s="39" t="s">
        <v>556</v>
      </c>
    </row>
    <row r="243" spans="1:8" x14ac:dyDescent="0.25">
      <c r="A243" s="39"/>
      <c r="B243" s="39" t="s">
        <v>557</v>
      </c>
      <c r="D243" s="39">
        <v>0</v>
      </c>
      <c r="E243" s="39">
        <v>0</v>
      </c>
      <c r="F243" s="39">
        <v>0</v>
      </c>
      <c r="G243" s="39">
        <v>0</v>
      </c>
      <c r="H243" s="39" t="s">
        <v>558</v>
      </c>
    </row>
    <row r="244" spans="1:8" x14ac:dyDescent="0.25">
      <c r="A244" s="39"/>
      <c r="B244" s="39" t="s">
        <v>283</v>
      </c>
      <c r="D244" s="39">
        <v>0</v>
      </c>
      <c r="E244" s="39">
        <v>0</v>
      </c>
      <c r="F244" s="39">
        <v>0</v>
      </c>
      <c r="G244" s="39">
        <v>0</v>
      </c>
      <c r="H244" s="39" t="s">
        <v>559</v>
      </c>
    </row>
    <row r="245" spans="1:8" x14ac:dyDescent="0.25">
      <c r="A245" s="39"/>
      <c r="B245" s="39" t="s">
        <v>560</v>
      </c>
      <c r="D245" s="39">
        <v>0</v>
      </c>
      <c r="E245" s="39">
        <v>0</v>
      </c>
      <c r="F245" s="39">
        <v>0</v>
      </c>
      <c r="G245" s="39">
        <v>0</v>
      </c>
      <c r="H245" s="39" t="s">
        <v>561</v>
      </c>
    </row>
    <row r="246" spans="1:8" x14ac:dyDescent="0.25">
      <c r="A246" s="39"/>
      <c r="B246" s="39" t="s">
        <v>562</v>
      </c>
    </row>
    <row r="247" spans="1:8" x14ac:dyDescent="0.25">
      <c r="A247" s="39"/>
      <c r="B247" s="39" t="s">
        <v>563</v>
      </c>
      <c r="D247" s="39">
        <v>0</v>
      </c>
      <c r="E247" s="39">
        <v>0.7</v>
      </c>
      <c r="F247" s="39">
        <v>0.7</v>
      </c>
      <c r="G247" s="39">
        <v>0.7</v>
      </c>
      <c r="H247" s="39" t="s">
        <v>564</v>
      </c>
    </row>
    <row r="248" spans="1:8" x14ac:dyDescent="0.25">
      <c r="A248" s="39"/>
      <c r="B248" s="39" t="s">
        <v>565</v>
      </c>
      <c r="D248" s="39">
        <v>0</v>
      </c>
      <c r="E248" s="39">
        <v>0.7</v>
      </c>
      <c r="F248" s="39">
        <v>0.7</v>
      </c>
      <c r="G248" s="39">
        <v>0.7</v>
      </c>
      <c r="H248" s="39" t="s">
        <v>566</v>
      </c>
    </row>
    <row r="249" spans="1:8" x14ac:dyDescent="0.25">
      <c r="A249" s="39"/>
      <c r="B249" s="39" t="s">
        <v>567</v>
      </c>
      <c r="D249" s="39">
        <v>0</v>
      </c>
      <c r="E249" s="39">
        <v>0.7</v>
      </c>
      <c r="F249" s="39">
        <v>0.7</v>
      </c>
      <c r="G249" s="39">
        <v>0.7</v>
      </c>
      <c r="H249" s="39" t="s">
        <v>568</v>
      </c>
    </row>
    <row r="250" spans="1:8" x14ac:dyDescent="0.25">
      <c r="A250" s="39"/>
      <c r="B250" s="39" t="s">
        <v>569</v>
      </c>
      <c r="D250" s="39">
        <v>0</v>
      </c>
      <c r="E250" s="39">
        <v>0.7</v>
      </c>
      <c r="F250" s="39">
        <v>0.7</v>
      </c>
      <c r="G250" s="39">
        <v>0.7</v>
      </c>
      <c r="H250" s="39" t="s">
        <v>570</v>
      </c>
    </row>
    <row r="251" spans="1:8" x14ac:dyDescent="0.25">
      <c r="A251" s="39"/>
      <c r="B251" s="39" t="s">
        <v>571</v>
      </c>
      <c r="D251" s="39">
        <v>0</v>
      </c>
      <c r="E251" s="39">
        <v>1</v>
      </c>
      <c r="F251" s="39">
        <v>1</v>
      </c>
      <c r="G251" s="39">
        <v>1</v>
      </c>
      <c r="H251" s="39" t="s">
        <v>572</v>
      </c>
    </row>
    <row r="252" spans="1:8" x14ac:dyDescent="0.25">
      <c r="A252" s="39"/>
      <c r="B252" s="39" t="s">
        <v>573</v>
      </c>
    </row>
    <row r="253" spans="1:8" x14ac:dyDescent="0.25">
      <c r="A253" s="39"/>
      <c r="B253" s="39" t="s">
        <v>65</v>
      </c>
      <c r="D253" s="39">
        <v>0</v>
      </c>
      <c r="E253" s="39">
        <v>0.56000000000000005</v>
      </c>
      <c r="F253" s="39">
        <v>0.56000000000000005</v>
      </c>
      <c r="G253" s="39">
        <v>0.56000000000000005</v>
      </c>
      <c r="H253" s="39" t="s">
        <v>574</v>
      </c>
    </row>
    <row r="254" spans="1:8" x14ac:dyDescent="0.25">
      <c r="A254" s="39"/>
      <c r="B254" s="39" t="s">
        <v>67</v>
      </c>
      <c r="D254" s="39">
        <v>0</v>
      </c>
      <c r="E254" s="39">
        <v>0.45</v>
      </c>
      <c r="F254" s="39">
        <v>0.45</v>
      </c>
      <c r="G254" s="39">
        <v>0.45</v>
      </c>
      <c r="H254" s="39" t="s">
        <v>575</v>
      </c>
    </row>
    <row r="255" spans="1:8" x14ac:dyDescent="0.25">
      <c r="A255" s="39"/>
      <c r="B255" s="39" t="s">
        <v>72</v>
      </c>
      <c r="D255" s="39">
        <v>0</v>
      </c>
      <c r="E255" s="39">
        <v>0.2</v>
      </c>
      <c r="F255" s="39">
        <v>0.2</v>
      </c>
      <c r="G255" s="39">
        <v>0.2</v>
      </c>
      <c r="H255" s="39" t="s">
        <v>576</v>
      </c>
    </row>
    <row r="256" spans="1:8" x14ac:dyDescent="0.25">
      <c r="A256" s="39"/>
      <c r="B256" s="39" t="s">
        <v>577</v>
      </c>
      <c r="D256" s="39">
        <v>0</v>
      </c>
      <c r="E256" s="39">
        <v>0.57999999999999996</v>
      </c>
      <c r="F256" s="39">
        <v>0.57999999999999996</v>
      </c>
      <c r="G256" s="39">
        <v>0.57999999999999996</v>
      </c>
      <c r="H256" s="39" t="s">
        <v>578</v>
      </c>
    </row>
    <row r="257" spans="1:8" x14ac:dyDescent="0.25">
      <c r="A257" s="39"/>
      <c r="B257" s="39" t="s">
        <v>579</v>
      </c>
    </row>
    <row r="258" spans="1:8" x14ac:dyDescent="0.25">
      <c r="A258" s="39"/>
      <c r="B258" s="39" t="s">
        <v>580</v>
      </c>
      <c r="C258" s="39" t="s">
        <v>192</v>
      </c>
      <c r="D258" s="39">
        <v>0</v>
      </c>
      <c r="E258" s="39" t="s">
        <v>581</v>
      </c>
      <c r="F258" s="39" t="s">
        <v>581</v>
      </c>
      <c r="G258" s="39" t="s">
        <v>581</v>
      </c>
      <c r="H258" s="39" t="s">
        <v>582</v>
      </c>
    </row>
    <row r="259" spans="1:8" x14ac:dyDescent="0.25">
      <c r="A259" s="39"/>
      <c r="B259" s="39" t="s">
        <v>583</v>
      </c>
      <c r="C259" s="39" t="s">
        <v>192</v>
      </c>
      <c r="D259" s="39">
        <v>0</v>
      </c>
      <c r="E259" s="39" t="s">
        <v>581</v>
      </c>
      <c r="F259" s="39" t="s">
        <v>581</v>
      </c>
      <c r="G259" s="39" t="s">
        <v>581</v>
      </c>
      <c r="H259" s="39" t="s">
        <v>584</v>
      </c>
    </row>
    <row r="260" spans="1:8" x14ac:dyDescent="0.25">
      <c r="A260" s="39"/>
      <c r="B260" s="39" t="s">
        <v>585</v>
      </c>
      <c r="C260" s="39" t="s">
        <v>192</v>
      </c>
      <c r="D260" s="39">
        <v>0</v>
      </c>
      <c r="E260" s="39" t="s">
        <v>581</v>
      </c>
      <c r="F260" s="39" t="s">
        <v>581</v>
      </c>
      <c r="G260" s="39" t="s">
        <v>581</v>
      </c>
      <c r="H260" s="39" t="s">
        <v>586</v>
      </c>
    </row>
    <row r="261" spans="1:8" x14ac:dyDescent="0.25">
      <c r="A261" s="39"/>
      <c r="B261" s="39" t="s">
        <v>587</v>
      </c>
      <c r="C261" s="39" t="s">
        <v>192</v>
      </c>
      <c r="D261" s="39">
        <v>0</v>
      </c>
      <c r="E261" s="39" t="s">
        <v>581</v>
      </c>
      <c r="F261" s="39" t="s">
        <v>581</v>
      </c>
      <c r="G261" s="39" t="s">
        <v>581</v>
      </c>
      <c r="H261" s="39" t="s">
        <v>588</v>
      </c>
    </row>
    <row r="262" spans="1:8" x14ac:dyDescent="0.25">
      <c r="A262" s="39"/>
      <c r="B262" s="39" t="s">
        <v>589</v>
      </c>
      <c r="C262" s="39" t="s">
        <v>192</v>
      </c>
      <c r="D262" s="39">
        <v>0</v>
      </c>
      <c r="E262" s="39" t="s">
        <v>475</v>
      </c>
      <c r="F262" s="39" t="s">
        <v>475</v>
      </c>
      <c r="G262" s="39" t="s">
        <v>475</v>
      </c>
      <c r="H262" s="39" t="s">
        <v>590</v>
      </c>
    </row>
    <row r="263" spans="1:8" x14ac:dyDescent="0.25">
      <c r="A263" s="39"/>
      <c r="B263" s="39" t="s">
        <v>591</v>
      </c>
      <c r="C263" s="39" t="s">
        <v>192</v>
      </c>
      <c r="D263" s="39">
        <v>0</v>
      </c>
      <c r="E263" s="39" t="s">
        <v>581</v>
      </c>
      <c r="F263" s="39" t="s">
        <v>581</v>
      </c>
      <c r="G263" s="39" t="s">
        <v>581</v>
      </c>
      <c r="H263" s="39" t="s">
        <v>592</v>
      </c>
    </row>
    <row r="264" spans="1:8" x14ac:dyDescent="0.25">
      <c r="A264" s="39"/>
      <c r="B264" s="39" t="s">
        <v>593</v>
      </c>
    </row>
    <row r="265" spans="1:8" x14ac:dyDescent="0.25">
      <c r="A265" s="39"/>
      <c r="B265" s="39" t="s">
        <v>594</v>
      </c>
      <c r="C265" s="39" t="s">
        <v>192</v>
      </c>
      <c r="D265" s="39">
        <v>0</v>
      </c>
      <c r="E265" s="39" t="s">
        <v>595</v>
      </c>
      <c r="F265" s="39" t="s">
        <v>595</v>
      </c>
      <c r="G265" s="39" t="s">
        <v>595</v>
      </c>
      <c r="H265" s="39" t="s">
        <v>596</v>
      </c>
    </row>
    <row r="266" spans="1:8" x14ac:dyDescent="0.25">
      <c r="A266" s="39"/>
      <c r="B266" s="39" t="s">
        <v>597</v>
      </c>
      <c r="C266" s="39" t="s">
        <v>192</v>
      </c>
      <c r="D266" s="39">
        <v>0</v>
      </c>
      <c r="E266" s="39" t="s">
        <v>598</v>
      </c>
      <c r="F266" s="39" t="s">
        <v>598</v>
      </c>
      <c r="G266" s="39" t="s">
        <v>598</v>
      </c>
      <c r="H266" s="39" t="s">
        <v>599</v>
      </c>
    </row>
    <row r="267" spans="1:8" x14ac:dyDescent="0.25">
      <c r="A267" s="39"/>
      <c r="B267" s="39" t="s">
        <v>600</v>
      </c>
      <c r="C267" s="39" t="s">
        <v>192</v>
      </c>
      <c r="D267" s="39">
        <v>0</v>
      </c>
      <c r="E267" s="39" t="s">
        <v>475</v>
      </c>
      <c r="F267" s="39" t="s">
        <v>475</v>
      </c>
      <c r="G267" s="39" t="s">
        <v>475</v>
      </c>
      <c r="H267" s="39" t="s">
        <v>601</v>
      </c>
    </row>
    <row r="268" spans="1:8" x14ac:dyDescent="0.25">
      <c r="A268" s="39"/>
      <c r="B268" s="39" t="s">
        <v>602</v>
      </c>
      <c r="C268" s="39" t="s">
        <v>192</v>
      </c>
      <c r="D268" s="39">
        <v>0</v>
      </c>
      <c r="E268" s="39" t="s">
        <v>474</v>
      </c>
      <c r="F268" s="39" t="s">
        <v>474</v>
      </c>
      <c r="G268" s="39" t="s">
        <v>474</v>
      </c>
      <c r="H268" s="39" t="s">
        <v>603</v>
      </c>
    </row>
    <row r="269" spans="1:8" x14ac:dyDescent="0.25">
      <c r="A269" s="39"/>
      <c r="B269" s="39" t="s">
        <v>604</v>
      </c>
      <c r="C269" s="39" t="s">
        <v>192</v>
      </c>
      <c r="D269" s="39">
        <v>0</v>
      </c>
      <c r="E269" s="39" t="s">
        <v>605</v>
      </c>
      <c r="F269" s="39" t="s">
        <v>605</v>
      </c>
      <c r="G269" s="39" t="s">
        <v>605</v>
      </c>
      <c r="H269" s="39" t="s">
        <v>606</v>
      </c>
    </row>
    <row r="270" spans="1:8" x14ac:dyDescent="0.25">
      <c r="A270" s="39"/>
      <c r="B270" s="39" t="s">
        <v>607</v>
      </c>
      <c r="D270" s="39">
        <v>0</v>
      </c>
      <c r="E270" s="39" t="s">
        <v>595</v>
      </c>
      <c r="F270" s="39" t="s">
        <v>595</v>
      </c>
      <c r="G270" s="39" t="s">
        <v>595</v>
      </c>
      <c r="H270" s="39" t="s">
        <v>608</v>
      </c>
    </row>
    <row r="271" spans="1:8" x14ac:dyDescent="0.25">
      <c r="A271" s="39"/>
      <c r="B271" s="39" t="s">
        <v>609</v>
      </c>
      <c r="D271" s="39">
        <v>0</v>
      </c>
      <c r="E271" s="39">
        <v>0</v>
      </c>
      <c r="F271" s="39">
        <v>0</v>
      </c>
      <c r="G271" s="39">
        <v>0</v>
      </c>
      <c r="H271" s="39" t="s">
        <v>610</v>
      </c>
    </row>
    <row r="272" spans="1:8" x14ac:dyDescent="0.25">
      <c r="A272" s="39"/>
      <c r="B272" s="39" t="s">
        <v>611</v>
      </c>
    </row>
    <row r="273" spans="1:9" x14ac:dyDescent="0.25">
      <c r="A273" s="39"/>
      <c r="B273" s="39" t="s">
        <v>612</v>
      </c>
      <c r="C273" s="39" t="s">
        <v>88</v>
      </c>
      <c r="D273" s="39">
        <v>0</v>
      </c>
      <c r="E273" s="39" t="s">
        <v>613</v>
      </c>
      <c r="F273" s="39" t="s">
        <v>613</v>
      </c>
      <c r="G273" s="39" t="s">
        <v>613</v>
      </c>
      <c r="H273" s="39" t="s">
        <v>614</v>
      </c>
    </row>
    <row r="274" spans="1:9" x14ac:dyDescent="0.25">
      <c r="A274" s="39"/>
      <c r="B274" s="39" t="s">
        <v>615</v>
      </c>
      <c r="C274" s="39" t="s">
        <v>88</v>
      </c>
      <c r="D274" s="39">
        <v>0</v>
      </c>
      <c r="E274" s="39" t="s">
        <v>616</v>
      </c>
      <c r="F274" s="39" t="s">
        <v>616</v>
      </c>
      <c r="G274" s="39" t="s">
        <v>616</v>
      </c>
      <c r="H274" s="39" t="s">
        <v>617</v>
      </c>
    </row>
    <row r="275" spans="1:9" x14ac:dyDescent="0.25">
      <c r="A275" s="39"/>
      <c r="B275" s="39" t="s">
        <v>618</v>
      </c>
      <c r="C275" s="39" t="s">
        <v>192</v>
      </c>
      <c r="D275" s="39">
        <v>0</v>
      </c>
      <c r="E275" s="39" t="s">
        <v>605</v>
      </c>
      <c r="F275" s="39" t="s">
        <v>605</v>
      </c>
      <c r="G275" s="39" t="s">
        <v>605</v>
      </c>
      <c r="H275" s="39" t="s">
        <v>619</v>
      </c>
    </row>
    <row r="276" spans="1:9" x14ac:dyDescent="0.25">
      <c r="A276" s="39"/>
      <c r="B276" s="39" t="s">
        <v>620</v>
      </c>
    </row>
    <row r="277" spans="1:9" x14ac:dyDescent="0.25">
      <c r="A277" s="39"/>
      <c r="B277" s="39" t="s">
        <v>621</v>
      </c>
      <c r="C277" s="39" t="s">
        <v>622</v>
      </c>
      <c r="D277" s="39">
        <v>0</v>
      </c>
      <c r="E277" s="39">
        <v>0.04</v>
      </c>
      <c r="F277" s="39">
        <v>0.04</v>
      </c>
      <c r="G277" s="39">
        <v>0.04</v>
      </c>
      <c r="H277" s="39" t="s">
        <v>623</v>
      </c>
    </row>
    <row r="278" spans="1:9" x14ac:dyDescent="0.25">
      <c r="A278" s="39"/>
      <c r="B278" s="39" t="s">
        <v>624</v>
      </c>
      <c r="D278" s="39">
        <v>0</v>
      </c>
      <c r="E278" s="39">
        <v>75</v>
      </c>
      <c r="F278" s="39">
        <v>75</v>
      </c>
      <c r="G278" s="39">
        <v>75</v>
      </c>
      <c r="H278" s="39" t="s">
        <v>625</v>
      </c>
    </row>
    <row r="279" spans="1:9" x14ac:dyDescent="0.25">
      <c r="A279" s="39"/>
      <c r="B279" s="39" t="s">
        <v>626</v>
      </c>
    </row>
    <row r="280" spans="1:9" x14ac:dyDescent="0.25">
      <c r="A280" s="39"/>
      <c r="B280" s="39" t="s">
        <v>627</v>
      </c>
      <c r="C280" s="39" t="s">
        <v>192</v>
      </c>
      <c r="D280" s="39">
        <v>0</v>
      </c>
      <c r="E280" s="39" t="s">
        <v>295</v>
      </c>
      <c r="F280" s="39" t="s">
        <v>295</v>
      </c>
      <c r="G280" s="39" t="s">
        <v>295</v>
      </c>
      <c r="H280" s="39" t="s">
        <v>628</v>
      </c>
    </row>
    <row r="281" spans="1:9" x14ac:dyDescent="0.25">
      <c r="A281" s="39"/>
      <c r="B281" s="39" t="s">
        <v>629</v>
      </c>
      <c r="C281" s="39" t="s">
        <v>192</v>
      </c>
      <c r="D281" s="39">
        <v>0</v>
      </c>
      <c r="E281" s="39" t="s">
        <v>295</v>
      </c>
      <c r="F281" s="39" t="s">
        <v>295</v>
      </c>
      <c r="G281" s="39" t="s">
        <v>295</v>
      </c>
      <c r="H281" s="39" t="s">
        <v>630</v>
      </c>
    </row>
    <row r="282" spans="1:9" x14ac:dyDescent="0.25">
      <c r="A282" s="39" t="s">
        <v>204</v>
      </c>
      <c r="B282" s="39" t="s">
        <v>631</v>
      </c>
      <c r="C282" s="39" t="s">
        <v>206</v>
      </c>
      <c r="D282" s="39">
        <v>0</v>
      </c>
      <c r="E282" s="39">
        <v>2025</v>
      </c>
      <c r="F282" s="39">
        <v>2025</v>
      </c>
      <c r="G282" s="39">
        <v>2030</v>
      </c>
      <c r="H282" s="39" t="s">
        <v>632</v>
      </c>
      <c r="I282" s="39" t="s">
        <v>185</v>
      </c>
    </row>
    <row r="283" spans="1:9" x14ac:dyDescent="0.25">
      <c r="A283" s="39"/>
      <c r="B283" s="39" t="s">
        <v>633</v>
      </c>
    </row>
    <row r="284" spans="1:9" x14ac:dyDescent="0.25">
      <c r="A284" s="39"/>
      <c r="B284" s="39" t="s">
        <v>634</v>
      </c>
      <c r="C284" s="39" t="s">
        <v>192</v>
      </c>
      <c r="D284" s="39">
        <v>0</v>
      </c>
      <c r="E284" s="39" t="s">
        <v>474</v>
      </c>
      <c r="F284" s="39" t="s">
        <v>474</v>
      </c>
      <c r="G284" s="39" t="s">
        <v>474</v>
      </c>
      <c r="H284" s="39" t="s">
        <v>635</v>
      </c>
    </row>
    <row r="285" spans="1:9" x14ac:dyDescent="0.25">
      <c r="A285" s="39"/>
      <c r="B285" s="39" t="s">
        <v>636</v>
      </c>
    </row>
    <row r="286" spans="1:9" x14ac:dyDescent="0.25">
      <c r="A286" s="39"/>
      <c r="B286" s="39" t="s">
        <v>637</v>
      </c>
      <c r="C286" s="39" t="s">
        <v>192</v>
      </c>
      <c r="D286" s="39">
        <v>0</v>
      </c>
      <c r="E286" s="39" t="s">
        <v>475</v>
      </c>
      <c r="F286" s="39" t="s">
        <v>475</v>
      </c>
      <c r="G286" s="39" t="s">
        <v>475</v>
      </c>
      <c r="H286" s="39" t="s">
        <v>638</v>
      </c>
    </row>
    <row r="287" spans="1:9" x14ac:dyDescent="0.25">
      <c r="A287" s="39"/>
      <c r="B287" s="39" t="s">
        <v>639</v>
      </c>
      <c r="C287" s="39" t="s">
        <v>192</v>
      </c>
      <c r="D287" s="39">
        <v>0</v>
      </c>
      <c r="E287" s="39" t="s">
        <v>475</v>
      </c>
      <c r="F287" s="39" t="s">
        <v>475</v>
      </c>
      <c r="G287" s="39" t="s">
        <v>475</v>
      </c>
      <c r="H287" s="39" t="s">
        <v>640</v>
      </c>
    </row>
    <row r="288" spans="1:9" x14ac:dyDescent="0.25">
      <c r="A288" s="39"/>
      <c r="B288" s="39" t="s">
        <v>641</v>
      </c>
      <c r="C288" s="39" t="s">
        <v>192</v>
      </c>
      <c r="D288" s="39">
        <v>0</v>
      </c>
      <c r="E288" s="39" t="s">
        <v>475</v>
      </c>
      <c r="F288" s="39" t="s">
        <v>475</v>
      </c>
      <c r="G288" s="39" t="s">
        <v>475</v>
      </c>
      <c r="H288" s="39" t="s">
        <v>642</v>
      </c>
    </row>
    <row r="289" spans="1:9" x14ac:dyDescent="0.25">
      <c r="A289" s="39"/>
      <c r="B289" s="39" t="s">
        <v>643</v>
      </c>
      <c r="C289" s="39" t="s">
        <v>192</v>
      </c>
      <c r="D289" s="39">
        <v>0</v>
      </c>
      <c r="E289" s="39" t="s">
        <v>475</v>
      </c>
      <c r="F289" s="39" t="s">
        <v>475</v>
      </c>
      <c r="G289" s="39" t="s">
        <v>475</v>
      </c>
      <c r="H289" s="39" t="s">
        <v>644</v>
      </c>
    </row>
    <row r="290" spans="1:9" x14ac:dyDescent="0.25">
      <c r="A290" s="39"/>
      <c r="B290" s="39" t="s">
        <v>645</v>
      </c>
      <c r="C290" s="39" t="s">
        <v>192</v>
      </c>
      <c r="D290" s="39">
        <v>0</v>
      </c>
      <c r="E290" s="39" t="s">
        <v>475</v>
      </c>
      <c r="F290" s="39" t="s">
        <v>475</v>
      </c>
      <c r="G290" s="39" t="s">
        <v>475</v>
      </c>
      <c r="H290" s="39" t="s">
        <v>646</v>
      </c>
    </row>
    <row r="291" spans="1:9" x14ac:dyDescent="0.25">
      <c r="A291" s="39"/>
      <c r="B291" s="39" t="s">
        <v>647</v>
      </c>
      <c r="C291" s="39" t="s">
        <v>192</v>
      </c>
      <c r="D291" s="39">
        <v>0</v>
      </c>
      <c r="E291" s="39" t="s">
        <v>475</v>
      </c>
      <c r="F291" s="39" t="s">
        <v>475</v>
      </c>
      <c r="G291" s="39" t="s">
        <v>475</v>
      </c>
      <c r="H291" s="39" t="s">
        <v>648</v>
      </c>
    </row>
    <row r="292" spans="1:9" x14ac:dyDescent="0.25">
      <c r="A292" s="39"/>
      <c r="B292" s="39" t="s">
        <v>649</v>
      </c>
      <c r="C292" s="39" t="s">
        <v>192</v>
      </c>
      <c r="D292" s="39">
        <v>0</v>
      </c>
      <c r="E292" s="39" t="s">
        <v>475</v>
      </c>
      <c r="F292" s="39" t="s">
        <v>475</v>
      </c>
      <c r="G292" s="39" t="s">
        <v>475</v>
      </c>
      <c r="H292" s="39" t="s">
        <v>650</v>
      </c>
    </row>
    <row r="293" spans="1:9" x14ac:dyDescent="0.25">
      <c r="A293" s="39"/>
      <c r="B293" s="39" t="s">
        <v>651</v>
      </c>
      <c r="C293" s="39" t="s">
        <v>192</v>
      </c>
      <c r="D293" s="39">
        <v>0</v>
      </c>
      <c r="E293" s="39" t="s">
        <v>475</v>
      </c>
      <c r="F293" s="39" t="s">
        <v>475</v>
      </c>
      <c r="G293" s="39" t="s">
        <v>475</v>
      </c>
      <c r="H293" s="39" t="s">
        <v>652</v>
      </c>
    </row>
    <row r="294" spans="1:9" x14ac:dyDescent="0.25">
      <c r="A294" s="39"/>
      <c r="B294" s="39" t="s">
        <v>653</v>
      </c>
      <c r="C294" s="39" t="s">
        <v>192</v>
      </c>
      <c r="D294" s="39">
        <v>0</v>
      </c>
      <c r="E294" s="39" t="s">
        <v>475</v>
      </c>
      <c r="F294" s="39" t="s">
        <v>475</v>
      </c>
      <c r="G294" s="39" t="s">
        <v>475</v>
      </c>
      <c r="H294" s="39" t="s">
        <v>654</v>
      </c>
    </row>
    <row r="295" spans="1:9" x14ac:dyDescent="0.25">
      <c r="A295" s="39"/>
      <c r="B295" s="39" t="s">
        <v>655</v>
      </c>
      <c r="D295" s="39">
        <v>0</v>
      </c>
      <c r="F295" s="39">
        <v>0</v>
      </c>
    </row>
    <row r="296" spans="1:9" x14ac:dyDescent="0.25">
      <c r="A296" s="39"/>
      <c r="B296" s="39" t="s">
        <v>656</v>
      </c>
      <c r="C296" s="39" t="s">
        <v>192</v>
      </c>
      <c r="D296" s="39">
        <v>0</v>
      </c>
      <c r="E296" s="39" t="s">
        <v>657</v>
      </c>
      <c r="F296" s="39" t="s">
        <v>657</v>
      </c>
      <c r="G296" s="39" t="s">
        <v>657</v>
      </c>
      <c r="H296" s="39" t="s">
        <v>658</v>
      </c>
    </row>
    <row r="297" spans="1:9" x14ac:dyDescent="0.25">
      <c r="A297" s="39"/>
      <c r="B297" s="39" t="s">
        <v>659</v>
      </c>
      <c r="C297" s="39" t="s">
        <v>192</v>
      </c>
      <c r="D297" s="39">
        <v>0</v>
      </c>
      <c r="E297" s="39" t="s">
        <v>660</v>
      </c>
      <c r="F297" s="39" t="s">
        <v>660</v>
      </c>
      <c r="G297" s="39" t="s">
        <v>660</v>
      </c>
      <c r="H297" s="39" t="s">
        <v>661</v>
      </c>
    </row>
    <row r="298" spans="1:9" x14ac:dyDescent="0.25">
      <c r="A298" s="39"/>
      <c r="B298" s="39" t="s">
        <v>662</v>
      </c>
      <c r="D298" s="39">
        <v>0</v>
      </c>
      <c r="E298" s="39">
        <v>0.56000000000000005</v>
      </c>
      <c r="F298" s="39">
        <v>0.56000000000000005</v>
      </c>
      <c r="G298" s="39">
        <v>0.56000000000000005</v>
      </c>
      <c r="H298" s="39" t="s">
        <v>663</v>
      </c>
    </row>
    <row r="299" spans="1:9" x14ac:dyDescent="0.25">
      <c r="A299" s="39"/>
      <c r="B299" s="39" t="s">
        <v>664</v>
      </c>
      <c r="D299" s="39">
        <v>0</v>
      </c>
      <c r="E299" s="39">
        <v>0.45</v>
      </c>
      <c r="F299" s="39">
        <v>0.45</v>
      </c>
      <c r="G299" s="39">
        <v>0.45</v>
      </c>
      <c r="H299" s="39" t="s">
        <v>665</v>
      </c>
    </row>
    <row r="300" spans="1:9" x14ac:dyDescent="0.25">
      <c r="A300" s="39"/>
      <c r="B300" s="39" t="s">
        <v>666</v>
      </c>
      <c r="D300" s="39">
        <v>0</v>
      </c>
      <c r="E300" s="39">
        <v>0.2</v>
      </c>
      <c r="F300" s="39">
        <v>0.2</v>
      </c>
      <c r="G300" s="39">
        <v>0.2</v>
      </c>
      <c r="H300" s="39" t="s">
        <v>667</v>
      </c>
    </row>
    <row r="301" spans="1:9" x14ac:dyDescent="0.25">
      <c r="A301" s="39"/>
      <c r="B301" s="39" t="s">
        <v>668</v>
      </c>
      <c r="D301" s="39">
        <v>0</v>
      </c>
      <c r="E301" s="39">
        <v>0.57999999999999996</v>
      </c>
      <c r="F301" s="39">
        <v>0.57999999999999996</v>
      </c>
      <c r="G301" s="39">
        <v>0.57999999999999996</v>
      </c>
      <c r="H301" s="39" t="s">
        <v>669</v>
      </c>
    </row>
    <row r="302" spans="1:9" x14ac:dyDescent="0.25">
      <c r="A302" s="39"/>
      <c r="B302" s="39" t="s">
        <v>670</v>
      </c>
      <c r="C302" s="39" t="s">
        <v>192</v>
      </c>
      <c r="D302" s="39">
        <v>0</v>
      </c>
      <c r="E302" s="39" t="s">
        <v>474</v>
      </c>
      <c r="F302" s="39" t="s">
        <v>474</v>
      </c>
      <c r="G302" s="39" t="s">
        <v>474</v>
      </c>
      <c r="H302" s="39" t="s">
        <v>671</v>
      </c>
    </row>
    <row r="303" spans="1:9" x14ac:dyDescent="0.25">
      <c r="A303" s="39"/>
      <c r="B303" s="39" t="s">
        <v>672</v>
      </c>
    </row>
    <row r="304" spans="1:9" x14ac:dyDescent="0.25">
      <c r="A304" s="39"/>
      <c r="B304" s="39" t="s">
        <v>673</v>
      </c>
      <c r="C304" s="39" t="s">
        <v>206</v>
      </c>
      <c r="D304" s="39">
        <v>0</v>
      </c>
      <c r="E304" s="39">
        <v>2030</v>
      </c>
      <c r="F304" s="39">
        <v>2030</v>
      </c>
      <c r="G304" s="39">
        <v>2030</v>
      </c>
      <c r="H304" s="39" t="s">
        <v>674</v>
      </c>
      <c r="I304" s="39" t="s">
        <v>185</v>
      </c>
    </row>
    <row r="305" spans="1:8" x14ac:dyDescent="0.25">
      <c r="A305" s="39"/>
      <c r="B305" s="39" t="s">
        <v>675</v>
      </c>
      <c r="C305" s="39" t="s">
        <v>192</v>
      </c>
      <c r="D305" s="39">
        <v>0</v>
      </c>
      <c r="E305" s="39" t="s">
        <v>676</v>
      </c>
      <c r="F305" s="39" t="s">
        <v>676</v>
      </c>
      <c r="G305" s="39" t="s">
        <v>676</v>
      </c>
      <c r="H305" s="39" t="s">
        <v>677</v>
      </c>
    </row>
    <row r="306" spans="1:8" x14ac:dyDescent="0.25">
      <c r="A306" s="39"/>
      <c r="B306" s="39" t="s">
        <v>678</v>
      </c>
      <c r="C306" s="39" t="s">
        <v>679</v>
      </c>
      <c r="D306" s="39">
        <v>0</v>
      </c>
      <c r="E306" s="39" t="s">
        <v>295</v>
      </c>
      <c r="F306" s="39" t="s">
        <v>295</v>
      </c>
      <c r="G306" s="39" t="s">
        <v>295</v>
      </c>
      <c r="H306" s="39" t="s">
        <v>680</v>
      </c>
    </row>
    <row r="307" spans="1:8" x14ac:dyDescent="0.25">
      <c r="A307" s="39"/>
      <c r="B307" s="39" t="s">
        <v>681</v>
      </c>
      <c r="C307" s="39" t="s">
        <v>192</v>
      </c>
      <c r="D307" s="39">
        <v>0</v>
      </c>
      <c r="E307" s="39" t="s">
        <v>682</v>
      </c>
      <c r="F307" s="39" t="s">
        <v>682</v>
      </c>
      <c r="G307" s="39" t="s">
        <v>682</v>
      </c>
      <c r="H307" s="39" t="s">
        <v>683</v>
      </c>
    </row>
    <row r="308" spans="1:8" x14ac:dyDescent="0.25">
      <c r="A308" s="39"/>
      <c r="B308" s="39" t="s">
        <v>684</v>
      </c>
      <c r="C308" s="39" t="s">
        <v>192</v>
      </c>
      <c r="D308" s="39">
        <v>0</v>
      </c>
      <c r="E308" s="39" t="s">
        <v>685</v>
      </c>
      <c r="F308" s="39" t="s">
        <v>685</v>
      </c>
      <c r="G308" s="39" t="s">
        <v>685</v>
      </c>
      <c r="H308" s="39" t="s">
        <v>686</v>
      </c>
    </row>
    <row r="309" spans="1:8" x14ac:dyDescent="0.25">
      <c r="A309" s="39"/>
      <c r="B309" s="39" t="s">
        <v>687</v>
      </c>
      <c r="C309" s="39" t="s">
        <v>192</v>
      </c>
      <c r="D309" s="39">
        <v>0</v>
      </c>
      <c r="E309" s="39" t="s">
        <v>688</v>
      </c>
      <c r="F309" s="39" t="s">
        <v>688</v>
      </c>
      <c r="G309" s="39" t="s">
        <v>688</v>
      </c>
      <c r="H309" s="39" t="s">
        <v>689</v>
      </c>
    </row>
    <row r="310" spans="1:8" x14ac:dyDescent="0.25">
      <c r="A310" s="39"/>
      <c r="B310" s="39" t="s">
        <v>690</v>
      </c>
      <c r="C310" s="39" t="s">
        <v>679</v>
      </c>
      <c r="D310" s="39">
        <v>0</v>
      </c>
      <c r="E310" s="39">
        <v>4</v>
      </c>
      <c r="F310" s="39">
        <v>4</v>
      </c>
      <c r="G310" s="39">
        <v>4</v>
      </c>
      <c r="H310" s="39" t="s">
        <v>691</v>
      </c>
    </row>
    <row r="311" spans="1:8" x14ac:dyDescent="0.25">
      <c r="A311" s="39"/>
      <c r="B311" s="39" t="s">
        <v>692</v>
      </c>
      <c r="C311" s="39" t="s">
        <v>192</v>
      </c>
      <c r="D311" s="39">
        <v>0</v>
      </c>
      <c r="E311" s="39" t="s">
        <v>693</v>
      </c>
      <c r="F311" s="39" t="s">
        <v>693</v>
      </c>
      <c r="G311" s="39" t="s">
        <v>693</v>
      </c>
      <c r="H311" s="39" t="s">
        <v>694</v>
      </c>
    </row>
    <row r="312" spans="1:8" x14ac:dyDescent="0.25">
      <c r="A312" s="39"/>
      <c r="B312" s="39" t="s">
        <v>695</v>
      </c>
      <c r="C312" s="39" t="s">
        <v>192</v>
      </c>
      <c r="D312" s="39">
        <v>0</v>
      </c>
      <c r="E312" s="39" t="s">
        <v>295</v>
      </c>
      <c r="F312" s="39" t="s">
        <v>295</v>
      </c>
      <c r="G312" s="39" t="s">
        <v>295</v>
      </c>
      <c r="H312" s="39" t="s">
        <v>696</v>
      </c>
    </row>
    <row r="313" spans="1:8" x14ac:dyDescent="0.25">
      <c r="A313" s="39"/>
      <c r="B313" s="39" t="s">
        <v>697</v>
      </c>
      <c r="C313" s="39" t="s">
        <v>192</v>
      </c>
      <c r="D313" s="39">
        <v>0</v>
      </c>
      <c r="E313" s="39">
        <v>4</v>
      </c>
      <c r="F313" s="39">
        <v>4</v>
      </c>
      <c r="G313" s="39">
        <v>4</v>
      </c>
      <c r="H313" s="39" t="s">
        <v>698</v>
      </c>
    </row>
    <row r="314" spans="1:8" x14ac:dyDescent="0.25">
      <c r="A314" s="39"/>
      <c r="B314" s="39" t="s">
        <v>699</v>
      </c>
      <c r="C314" s="39" t="s">
        <v>192</v>
      </c>
      <c r="D314" s="39">
        <v>0</v>
      </c>
      <c r="E314" s="39" t="s">
        <v>295</v>
      </c>
      <c r="F314" s="39" t="s">
        <v>295</v>
      </c>
      <c r="G314" s="39" t="s">
        <v>295</v>
      </c>
      <c r="H314" s="39" t="s">
        <v>700</v>
      </c>
    </row>
    <row r="315" spans="1:8" x14ac:dyDescent="0.25">
      <c r="A315" s="39"/>
      <c r="B315" s="39" t="s">
        <v>701</v>
      </c>
      <c r="C315" s="39" t="s">
        <v>192</v>
      </c>
      <c r="D315" s="39">
        <v>0</v>
      </c>
      <c r="E315" s="39" t="s">
        <v>702</v>
      </c>
      <c r="F315" s="39" t="s">
        <v>702</v>
      </c>
      <c r="G315" s="39" t="s">
        <v>702</v>
      </c>
      <c r="H315" s="39" t="s">
        <v>703</v>
      </c>
    </row>
    <row r="316" spans="1:8" x14ac:dyDescent="0.25">
      <c r="A316" s="39"/>
      <c r="B316" s="39" t="s">
        <v>704</v>
      </c>
      <c r="C316" s="39" t="s">
        <v>192</v>
      </c>
      <c r="D316" s="39">
        <v>0</v>
      </c>
      <c r="E316" s="39" t="s">
        <v>702</v>
      </c>
      <c r="F316" s="39" t="s">
        <v>702</v>
      </c>
      <c r="G316" s="39" t="s">
        <v>702</v>
      </c>
      <c r="H316" s="39" t="s">
        <v>705</v>
      </c>
    </row>
    <row r="317" spans="1:8" x14ac:dyDescent="0.25">
      <c r="A317" s="39"/>
      <c r="B317" s="39" t="s">
        <v>706</v>
      </c>
      <c r="C317" s="39" t="s">
        <v>192</v>
      </c>
      <c r="D317" s="39">
        <v>0</v>
      </c>
      <c r="E317" s="39" t="s">
        <v>295</v>
      </c>
      <c r="F317" s="39" t="s">
        <v>295</v>
      </c>
      <c r="G317" s="39" t="s">
        <v>295</v>
      </c>
      <c r="H317" s="39" t="s">
        <v>707</v>
      </c>
    </row>
    <row r="318" spans="1:8" x14ac:dyDescent="0.25">
      <c r="A318" s="39"/>
      <c r="B318" s="39" t="s">
        <v>708</v>
      </c>
      <c r="C318" s="39" t="s">
        <v>192</v>
      </c>
      <c r="D318" s="39">
        <v>0</v>
      </c>
      <c r="E318" s="39" t="s">
        <v>295</v>
      </c>
      <c r="F318" s="39" t="s">
        <v>295</v>
      </c>
      <c r="G318" s="39" t="s">
        <v>295</v>
      </c>
      <c r="H318" s="39" t="s">
        <v>709</v>
      </c>
    </row>
    <row r="319" spans="1:8" x14ac:dyDescent="0.25">
      <c r="A319" s="39"/>
      <c r="B319" s="39" t="s">
        <v>710</v>
      </c>
      <c r="C319" s="39" t="s">
        <v>192</v>
      </c>
      <c r="D319" s="39">
        <v>0</v>
      </c>
      <c r="E319" s="39" t="s">
        <v>711</v>
      </c>
      <c r="F319" s="39" t="s">
        <v>711</v>
      </c>
      <c r="G319" s="39" t="s">
        <v>711</v>
      </c>
      <c r="H319" s="39" t="s">
        <v>712</v>
      </c>
    </row>
    <row r="320" spans="1:8" x14ac:dyDescent="0.25">
      <c r="A320" s="39"/>
      <c r="B320" s="39" t="s">
        <v>713</v>
      </c>
      <c r="C320" s="39" t="s">
        <v>192</v>
      </c>
      <c r="D320" s="39">
        <v>0</v>
      </c>
      <c r="E320" s="39" t="s">
        <v>295</v>
      </c>
      <c r="F320" s="39" t="s">
        <v>295</v>
      </c>
      <c r="G320" s="39" t="s">
        <v>295</v>
      </c>
      <c r="H320" s="39" t="s">
        <v>714</v>
      </c>
    </row>
    <row r="321" spans="1:8" x14ac:dyDescent="0.25">
      <c r="A321" s="39"/>
      <c r="B321" s="39" t="s">
        <v>715</v>
      </c>
    </row>
    <row r="322" spans="1:8" x14ac:dyDescent="0.25">
      <c r="A322" s="39" t="s">
        <v>204</v>
      </c>
      <c r="B322" s="39" t="s">
        <v>716</v>
      </c>
      <c r="C322" s="39" t="s">
        <v>192</v>
      </c>
      <c r="D322" s="39">
        <v>0</v>
      </c>
      <c r="E322" s="39" t="s">
        <v>717</v>
      </c>
      <c r="F322" s="39" t="s">
        <v>717</v>
      </c>
      <c r="G322" s="39" t="s">
        <v>718</v>
      </c>
      <c r="H322" s="39" t="s">
        <v>719</v>
      </c>
    </row>
    <row r="323" spans="1:8" x14ac:dyDescent="0.25">
      <c r="A323" s="39"/>
      <c r="B323" s="39" t="s">
        <v>720</v>
      </c>
      <c r="C323" s="39" t="s">
        <v>192</v>
      </c>
      <c r="D323" s="39">
        <v>0</v>
      </c>
      <c r="E323" s="39" t="s">
        <v>721</v>
      </c>
      <c r="F323" s="39" t="s">
        <v>721</v>
      </c>
      <c r="G323" s="39" t="s">
        <v>721</v>
      </c>
      <c r="H323" s="39" t="s">
        <v>722</v>
      </c>
    </row>
    <row r="324" spans="1:8" x14ac:dyDescent="0.25">
      <c r="A324" s="39"/>
      <c r="B324" s="39" t="s">
        <v>723</v>
      </c>
      <c r="C324" s="39" t="s">
        <v>192</v>
      </c>
      <c r="D324" s="39">
        <v>0</v>
      </c>
      <c r="E324" s="39" t="s">
        <v>724</v>
      </c>
      <c r="F324" s="39" t="s">
        <v>724</v>
      </c>
      <c r="G324" s="39" t="s">
        <v>724</v>
      </c>
      <c r="H324" s="39" t="s">
        <v>725</v>
      </c>
    </row>
    <row r="325" spans="1:8" x14ac:dyDescent="0.25">
      <c r="A325" s="39"/>
      <c r="B325" s="39" t="s">
        <v>726</v>
      </c>
      <c r="C325" s="39" t="s">
        <v>192</v>
      </c>
      <c r="D325" s="39">
        <v>0</v>
      </c>
      <c r="E325" s="39" t="s">
        <v>295</v>
      </c>
      <c r="F325" s="39" t="s">
        <v>295</v>
      </c>
      <c r="G325" s="39" t="s">
        <v>295</v>
      </c>
      <c r="H325" s="39" t="s">
        <v>727</v>
      </c>
    </row>
    <row r="326" spans="1:8" x14ac:dyDescent="0.25">
      <c r="A326" s="39"/>
      <c r="B326" s="39" t="s">
        <v>728</v>
      </c>
      <c r="C326" s="39" t="s">
        <v>192</v>
      </c>
      <c r="D326" s="39">
        <v>0</v>
      </c>
      <c r="E326" s="39" t="s">
        <v>295</v>
      </c>
      <c r="F326" s="39" t="s">
        <v>295</v>
      </c>
      <c r="G326" s="39" t="s">
        <v>295</v>
      </c>
      <c r="H326" s="39" t="s">
        <v>729</v>
      </c>
    </row>
    <row r="327" spans="1:8" x14ac:dyDescent="0.25">
      <c r="A327" s="39" t="s">
        <v>204</v>
      </c>
      <c r="B327" s="39" t="s">
        <v>730</v>
      </c>
      <c r="C327" s="39" t="s">
        <v>192</v>
      </c>
      <c r="D327" s="39">
        <v>0</v>
      </c>
      <c r="E327" s="39" t="s">
        <v>731</v>
      </c>
      <c r="F327" s="39" t="s">
        <v>731</v>
      </c>
      <c r="G327" s="39" t="s">
        <v>732</v>
      </c>
      <c r="H327" s="39" t="s">
        <v>733</v>
      </c>
    </row>
    <row r="328" spans="1:8" x14ac:dyDescent="0.25">
      <c r="A328" s="39"/>
      <c r="B328" s="39" t="s">
        <v>734</v>
      </c>
      <c r="C328" s="39" t="s">
        <v>192</v>
      </c>
      <c r="D328" s="39">
        <v>0</v>
      </c>
      <c r="E328" s="39">
        <v>500000</v>
      </c>
      <c r="F328" s="39">
        <v>500000</v>
      </c>
      <c r="G328" s="39">
        <v>500000</v>
      </c>
      <c r="H328" s="39" t="s">
        <v>735</v>
      </c>
    </row>
    <row r="329" spans="1:8" x14ac:dyDescent="0.25">
      <c r="A329" s="39" t="s">
        <v>736</v>
      </c>
      <c r="B329" s="39" t="s">
        <v>737</v>
      </c>
      <c r="C329" s="39" t="s">
        <v>192</v>
      </c>
      <c r="D329" s="39">
        <v>0</v>
      </c>
      <c r="E329" s="39" t="s">
        <v>736</v>
      </c>
      <c r="F329" s="39" t="s">
        <v>736</v>
      </c>
      <c r="G329" s="39" t="s">
        <v>738</v>
      </c>
      <c r="H329" s="39" t="s">
        <v>739</v>
      </c>
    </row>
    <row r="330" spans="1:8" x14ac:dyDescent="0.25">
      <c r="A330" s="39" t="s">
        <v>736</v>
      </c>
      <c r="B330" s="39" t="s">
        <v>740</v>
      </c>
      <c r="C330" s="39" t="s">
        <v>192</v>
      </c>
      <c r="D330" s="39">
        <v>0</v>
      </c>
      <c r="E330" s="39" t="s">
        <v>736</v>
      </c>
      <c r="F330" s="39" t="s">
        <v>736</v>
      </c>
      <c r="G330" s="39">
        <v>1</v>
      </c>
      <c r="H330" s="39" t="s">
        <v>741</v>
      </c>
    </row>
    <row r="331" spans="1:8" x14ac:dyDescent="0.25">
      <c r="A331" s="39"/>
      <c r="B331" s="39" t="s">
        <v>742</v>
      </c>
      <c r="C331" s="39" t="s">
        <v>192</v>
      </c>
      <c r="D331" s="39">
        <v>0</v>
      </c>
      <c r="E331" s="39" t="s">
        <v>743</v>
      </c>
      <c r="F331" s="39" t="s">
        <v>743</v>
      </c>
      <c r="G331" s="39" t="s">
        <v>743</v>
      </c>
      <c r="H331" s="39" t="s">
        <v>744</v>
      </c>
    </row>
    <row r="332" spans="1:8" x14ac:dyDescent="0.25">
      <c r="A332" s="39"/>
      <c r="B332" s="39" t="s">
        <v>745</v>
      </c>
      <c r="C332" s="39" t="s">
        <v>192</v>
      </c>
      <c r="D332" s="39">
        <v>0</v>
      </c>
      <c r="E332" s="39">
        <v>0.03</v>
      </c>
      <c r="F332" s="39">
        <v>0.03</v>
      </c>
      <c r="G332" s="39">
        <v>0.03</v>
      </c>
      <c r="H332" s="39" t="s">
        <v>746</v>
      </c>
    </row>
    <row r="333" spans="1:8" x14ac:dyDescent="0.25">
      <c r="A333" s="39"/>
      <c r="B333" s="39" t="s">
        <v>747</v>
      </c>
    </row>
    <row r="334" spans="1:8" x14ac:dyDescent="0.25">
      <c r="A334" s="39"/>
      <c r="B334" s="39" t="s">
        <v>748</v>
      </c>
      <c r="C334" s="39" t="s">
        <v>749</v>
      </c>
      <c r="D334" s="39">
        <v>0</v>
      </c>
      <c r="E334" s="39">
        <v>20</v>
      </c>
      <c r="F334" s="39">
        <v>20</v>
      </c>
      <c r="G334" s="39">
        <v>20</v>
      </c>
      <c r="H334" s="39" t="s">
        <v>750</v>
      </c>
    </row>
    <row r="335" spans="1:8" x14ac:dyDescent="0.25">
      <c r="A335" s="39"/>
      <c r="B335" s="39" t="s">
        <v>751</v>
      </c>
      <c r="C335" s="39" t="s">
        <v>88</v>
      </c>
      <c r="D335" s="39">
        <v>0</v>
      </c>
      <c r="E335" s="39">
        <v>0.65</v>
      </c>
      <c r="F335" s="39">
        <v>0.65</v>
      </c>
      <c r="G335" s="39">
        <v>0.65</v>
      </c>
      <c r="H335" s="39" t="s">
        <v>752</v>
      </c>
    </row>
    <row r="336" spans="1:8" x14ac:dyDescent="0.25">
      <c r="A336" s="39"/>
      <c r="B336" s="39" t="s">
        <v>753</v>
      </c>
      <c r="C336" s="39" t="s">
        <v>88</v>
      </c>
      <c r="D336" s="39">
        <v>0</v>
      </c>
      <c r="E336" s="39">
        <v>0.99</v>
      </c>
      <c r="F336" s="39">
        <v>0.99</v>
      </c>
      <c r="G336" s="39">
        <v>0.99</v>
      </c>
      <c r="H336" s="39" t="s">
        <v>754</v>
      </c>
    </row>
    <row r="337" spans="1:9" x14ac:dyDescent="0.25">
      <c r="A337" s="39"/>
      <c r="B337" s="39" t="s">
        <v>755</v>
      </c>
      <c r="C337" s="39" t="s">
        <v>88</v>
      </c>
      <c r="D337" s="39">
        <v>0</v>
      </c>
      <c r="E337" s="39">
        <v>0.5</v>
      </c>
      <c r="F337" s="39">
        <v>0.5</v>
      </c>
      <c r="G337" s="39">
        <v>0.5</v>
      </c>
      <c r="H337" s="39" t="s">
        <v>756</v>
      </c>
    </row>
    <row r="338" spans="1:9" x14ac:dyDescent="0.25">
      <c r="A338" s="39"/>
      <c r="B338" s="39" t="s">
        <v>757</v>
      </c>
      <c r="C338" s="39" t="s">
        <v>192</v>
      </c>
      <c r="D338" s="39">
        <v>0</v>
      </c>
      <c r="E338" s="39" t="s">
        <v>702</v>
      </c>
      <c r="F338" s="39" t="s">
        <v>702</v>
      </c>
      <c r="G338" s="39" t="s">
        <v>702</v>
      </c>
      <c r="H338" s="39" t="s">
        <v>758</v>
      </c>
    </row>
    <row r="339" spans="1:9" x14ac:dyDescent="0.25">
      <c r="B339" s="39" t="s">
        <v>759</v>
      </c>
    </row>
    <row r="340" spans="1:9" x14ac:dyDescent="0.25">
      <c r="B340" s="39" t="s">
        <v>760</v>
      </c>
      <c r="C340" s="39" t="s">
        <v>761</v>
      </c>
      <c r="D340" s="39">
        <v>0</v>
      </c>
      <c r="E340" s="39" t="s">
        <v>762</v>
      </c>
      <c r="F340" s="39" t="s">
        <v>762</v>
      </c>
      <c r="G340" s="39" t="s">
        <v>523</v>
      </c>
      <c r="H340" s="39" t="s">
        <v>763</v>
      </c>
    </row>
    <row r="341" spans="1:9" x14ac:dyDescent="0.25">
      <c r="A341" s="39"/>
      <c r="B341" s="39" t="s">
        <v>764</v>
      </c>
    </row>
    <row r="342" spans="1:9" x14ac:dyDescent="0.25">
      <c r="A342" s="39"/>
      <c r="B342" s="39" t="s">
        <v>765</v>
      </c>
      <c r="C342" s="39" t="s">
        <v>192</v>
      </c>
      <c r="D342" s="39">
        <v>0</v>
      </c>
      <c r="E342" s="39" t="s">
        <v>474</v>
      </c>
      <c r="F342" s="39" t="s">
        <v>474</v>
      </c>
      <c r="G342" s="39" t="s">
        <v>474</v>
      </c>
      <c r="H342" s="39" t="s">
        <v>766</v>
      </c>
    </row>
    <row r="343" spans="1:9" x14ac:dyDescent="0.25">
      <c r="A343" s="39"/>
      <c r="B343" s="39" t="s">
        <v>767</v>
      </c>
      <c r="D343" s="39">
        <v>0</v>
      </c>
      <c r="E343" s="39">
        <v>1</v>
      </c>
      <c r="F343" s="39">
        <v>1</v>
      </c>
      <c r="G343" s="39">
        <v>1</v>
      </c>
      <c r="H343" s="39" t="s">
        <v>768</v>
      </c>
    </row>
    <row r="344" spans="1:9" x14ac:dyDescent="0.25">
      <c r="A344" s="39"/>
      <c r="B344" s="39" t="s">
        <v>769</v>
      </c>
      <c r="C344" s="39" t="s">
        <v>206</v>
      </c>
      <c r="D344" s="39">
        <v>0</v>
      </c>
      <c r="E344" s="39">
        <v>2030</v>
      </c>
      <c r="F344" s="39">
        <v>2030</v>
      </c>
      <c r="G344" s="39">
        <v>2030</v>
      </c>
      <c r="H344" s="39" t="s">
        <v>770</v>
      </c>
      <c r="I344" s="39" t="s">
        <v>185</v>
      </c>
    </row>
    <row r="345" spans="1:9" x14ac:dyDescent="0.25">
      <c r="A345" s="39"/>
      <c r="B345" s="39" t="s">
        <v>771</v>
      </c>
      <c r="C345" s="39" t="s">
        <v>192</v>
      </c>
      <c r="D345" s="39">
        <v>0</v>
      </c>
      <c r="E345" s="39" t="s">
        <v>772</v>
      </c>
      <c r="F345" s="39" t="s">
        <v>772</v>
      </c>
      <c r="G345" s="39" t="s">
        <v>772</v>
      </c>
      <c r="H345" s="39" t="s">
        <v>773</v>
      </c>
    </row>
    <row r="346" spans="1:9" x14ac:dyDescent="0.25">
      <c r="A346" s="39"/>
      <c r="B346" s="39" t="s">
        <v>774</v>
      </c>
      <c r="C346" s="39" t="s">
        <v>775</v>
      </c>
      <c r="D346" s="39">
        <v>0</v>
      </c>
      <c r="E346" s="39">
        <v>2</v>
      </c>
      <c r="F346" s="39">
        <v>2</v>
      </c>
      <c r="G346" s="39">
        <v>2</v>
      </c>
      <c r="H346" s="39" t="s">
        <v>776</v>
      </c>
    </row>
    <row r="347" spans="1:9" x14ac:dyDescent="0.25">
      <c r="A347" s="39"/>
      <c r="B347" s="39" t="s">
        <v>777</v>
      </c>
      <c r="C347" s="39" t="s">
        <v>775</v>
      </c>
      <c r="D347" s="39">
        <v>0</v>
      </c>
      <c r="E347" s="39">
        <v>2</v>
      </c>
      <c r="F347" s="39">
        <v>2</v>
      </c>
      <c r="G347" s="39">
        <v>2</v>
      </c>
      <c r="H347" s="39" t="s">
        <v>778</v>
      </c>
    </row>
    <row r="348" spans="1:9" x14ac:dyDescent="0.25">
      <c r="A348" s="39"/>
      <c r="B348" s="39" t="s">
        <v>779</v>
      </c>
      <c r="D348" s="39">
        <v>0</v>
      </c>
      <c r="E348" s="39">
        <v>0.01</v>
      </c>
      <c r="F348" s="39">
        <v>0.01</v>
      </c>
      <c r="G348" s="39">
        <v>0.01</v>
      </c>
      <c r="H348" s="39" t="s">
        <v>780</v>
      </c>
    </row>
    <row r="349" spans="1:9" x14ac:dyDescent="0.25">
      <c r="A349" s="39"/>
      <c r="B349" s="39" t="s">
        <v>781</v>
      </c>
      <c r="C349" s="39" t="s">
        <v>192</v>
      </c>
      <c r="D349" s="39">
        <v>0</v>
      </c>
      <c r="E349" s="39" t="s">
        <v>782</v>
      </c>
      <c r="F349" s="39" t="s">
        <v>782</v>
      </c>
      <c r="G349" s="39" t="s">
        <v>782</v>
      </c>
      <c r="H349" s="39" t="s">
        <v>783</v>
      </c>
    </row>
    <row r="350" spans="1:9" x14ac:dyDescent="0.25">
      <c r="A350" s="39"/>
      <c r="B350" s="39" t="s">
        <v>784</v>
      </c>
      <c r="D350" s="39">
        <v>0</v>
      </c>
      <c r="E350" s="39" t="s">
        <v>702</v>
      </c>
      <c r="F350" s="39" t="s">
        <v>702</v>
      </c>
      <c r="G350" s="39" t="s">
        <v>702</v>
      </c>
      <c r="H350" s="39" t="s">
        <v>785</v>
      </c>
    </row>
    <row r="351" spans="1:9" x14ac:dyDescent="0.25">
      <c r="A351" s="39"/>
      <c r="B351" s="39" t="s">
        <v>786</v>
      </c>
      <c r="D351" s="39">
        <v>0</v>
      </c>
      <c r="E351" s="39">
        <v>0.01</v>
      </c>
      <c r="F351" s="39">
        <v>0.01</v>
      </c>
      <c r="G351" s="39">
        <v>0.01</v>
      </c>
      <c r="H351" s="39" t="s">
        <v>787</v>
      </c>
    </row>
    <row r="352" spans="1:9" x14ac:dyDescent="0.25">
      <c r="A352" s="39"/>
      <c r="B352" s="39" t="s">
        <v>788</v>
      </c>
    </row>
    <row r="353" spans="1:8" x14ac:dyDescent="0.25">
      <c r="A353" s="39"/>
      <c r="B353" s="39" t="s">
        <v>789</v>
      </c>
      <c r="C353" s="39" t="s">
        <v>192</v>
      </c>
      <c r="D353" s="39">
        <v>0</v>
      </c>
      <c r="E353" s="39" t="s">
        <v>295</v>
      </c>
      <c r="F353" s="39" t="s">
        <v>295</v>
      </c>
      <c r="G353" s="39" t="s">
        <v>295</v>
      </c>
      <c r="H353" s="39" t="s">
        <v>790</v>
      </c>
    </row>
    <row r="354" spans="1:8" x14ac:dyDescent="0.25">
      <c r="A354" s="39"/>
      <c r="B354" s="39" t="s">
        <v>791</v>
      </c>
      <c r="C354" s="39" t="s">
        <v>792</v>
      </c>
      <c r="D354" s="39">
        <v>0</v>
      </c>
      <c r="E354" s="39">
        <v>0</v>
      </c>
      <c r="F354" s="39">
        <v>0</v>
      </c>
      <c r="G354" s="39">
        <v>0</v>
      </c>
      <c r="H354" s="39" t="s">
        <v>793</v>
      </c>
    </row>
    <row r="355" spans="1:8" x14ac:dyDescent="0.25">
      <c r="A355" s="39"/>
      <c r="B355" s="39" t="s">
        <v>794</v>
      </c>
      <c r="C355" s="39" t="s">
        <v>792</v>
      </c>
      <c r="D355" s="39">
        <v>0</v>
      </c>
      <c r="E355" s="39">
        <v>0</v>
      </c>
      <c r="F355" s="39">
        <v>0</v>
      </c>
      <c r="G355" s="39">
        <v>0</v>
      </c>
      <c r="H355" s="39" t="s">
        <v>795</v>
      </c>
    </row>
    <row r="356" spans="1:8" x14ac:dyDescent="0.25">
      <c r="A356" s="39"/>
      <c r="B356" s="39" t="s">
        <v>796</v>
      </c>
      <c r="C356" s="39" t="s">
        <v>797</v>
      </c>
      <c r="D356" s="39">
        <v>0</v>
      </c>
      <c r="E356" s="39">
        <v>10</v>
      </c>
      <c r="F356" s="39">
        <v>10</v>
      </c>
      <c r="G356" s="39">
        <v>10</v>
      </c>
      <c r="H356" s="39" t="s">
        <v>798</v>
      </c>
    </row>
    <row r="357" spans="1:8" x14ac:dyDescent="0.25">
      <c r="A357" s="39"/>
      <c r="B357" s="39" t="s">
        <v>799</v>
      </c>
      <c r="C357" s="39" t="s">
        <v>192</v>
      </c>
      <c r="D357" s="39">
        <v>0</v>
      </c>
      <c r="E357" s="39" t="s">
        <v>295</v>
      </c>
      <c r="F357" s="39" t="s">
        <v>295</v>
      </c>
      <c r="G357" s="39" t="s">
        <v>295</v>
      </c>
      <c r="H357" s="39" t="s">
        <v>800</v>
      </c>
    </row>
    <row r="358" spans="1:8" x14ac:dyDescent="0.25">
      <c r="A358" s="39"/>
      <c r="B358" s="39" t="s">
        <v>801</v>
      </c>
    </row>
    <row r="359" spans="1:8" x14ac:dyDescent="0.25">
      <c r="A359" s="39"/>
      <c r="B359" s="39" t="s">
        <v>802</v>
      </c>
      <c r="D359" s="39">
        <v>0</v>
      </c>
      <c r="E359" s="39">
        <v>0.05</v>
      </c>
      <c r="F359" s="39">
        <v>0.05</v>
      </c>
      <c r="G359" s="39">
        <v>0.05</v>
      </c>
      <c r="H359" s="39" t="s">
        <v>803</v>
      </c>
    </row>
    <row r="360" spans="1:8" x14ac:dyDescent="0.25">
      <c r="A360" s="39"/>
      <c r="B360" s="39" t="s">
        <v>804</v>
      </c>
      <c r="D360" s="39">
        <v>0</v>
      </c>
      <c r="E360" s="39">
        <v>0.02</v>
      </c>
      <c r="F360" s="39">
        <v>0.02</v>
      </c>
      <c r="G360" s="39">
        <v>0.02</v>
      </c>
      <c r="H360" s="39" t="s">
        <v>805</v>
      </c>
    </row>
    <row r="361" spans="1:8" x14ac:dyDescent="0.25">
      <c r="A361" s="39"/>
      <c r="B361" s="39" t="s">
        <v>806</v>
      </c>
      <c r="D361" s="39">
        <v>0</v>
      </c>
      <c r="E361" s="39">
        <v>0.05</v>
      </c>
      <c r="F361" s="39">
        <v>0.05</v>
      </c>
      <c r="G361" s="39">
        <v>0.05</v>
      </c>
      <c r="H361" s="39" t="s">
        <v>807</v>
      </c>
    </row>
    <row r="362" spans="1:8" x14ac:dyDescent="0.25">
      <c r="A362" s="39"/>
      <c r="B362" s="39" t="s">
        <v>808</v>
      </c>
      <c r="C362" s="39" t="s">
        <v>192</v>
      </c>
      <c r="D362" s="39">
        <v>0</v>
      </c>
      <c r="E362" s="39" t="s">
        <v>809</v>
      </c>
      <c r="F362" s="39" t="s">
        <v>809</v>
      </c>
      <c r="G362" s="39" t="s">
        <v>809</v>
      </c>
      <c r="H362" s="39" t="s">
        <v>810</v>
      </c>
    </row>
    <row r="363" spans="1:8" x14ac:dyDescent="0.25">
      <c r="A363" s="39"/>
      <c r="B363" s="39" t="s">
        <v>811</v>
      </c>
    </row>
    <row r="364" spans="1:8" x14ac:dyDescent="0.25">
      <c r="A364" s="39"/>
      <c r="B364" s="39" t="s">
        <v>812</v>
      </c>
      <c r="D364" s="39">
        <v>0</v>
      </c>
      <c r="E364" s="39" t="s">
        <v>474</v>
      </c>
      <c r="F364" s="39" t="s">
        <v>474</v>
      </c>
      <c r="G364" s="39" t="s">
        <v>474</v>
      </c>
      <c r="H364" s="39" t="s">
        <v>813</v>
      </c>
    </row>
    <row r="365" spans="1:8" x14ac:dyDescent="0.25">
      <c r="A365" s="39" t="s">
        <v>204</v>
      </c>
      <c r="B365" s="39" t="s">
        <v>814</v>
      </c>
      <c r="D365" s="39">
        <v>0</v>
      </c>
      <c r="E365" s="39" t="s">
        <v>815</v>
      </c>
      <c r="F365" s="39" t="s">
        <v>815</v>
      </c>
      <c r="G365" s="39" t="s">
        <v>816</v>
      </c>
      <c r="H365" s="39" t="s">
        <v>817</v>
      </c>
    </row>
    <row r="366" spans="1:8" x14ac:dyDescent="0.25">
      <c r="A366" s="39"/>
      <c r="B366" s="39" t="s">
        <v>818</v>
      </c>
      <c r="D366" s="39">
        <v>0</v>
      </c>
      <c r="E366" s="39">
        <v>7.4999999999999997E-2</v>
      </c>
      <c r="F366" s="39">
        <v>7.4999999999999997E-2</v>
      </c>
      <c r="G366" s="39">
        <v>7.4999999999999997E-2</v>
      </c>
      <c r="H366" s="39" t="s">
        <v>819</v>
      </c>
    </row>
    <row r="367" spans="1:8" x14ac:dyDescent="0.25">
      <c r="A367" s="39"/>
      <c r="B367" s="39" t="s">
        <v>820</v>
      </c>
      <c r="D367" s="39">
        <v>0</v>
      </c>
      <c r="E367" s="39" t="s">
        <v>319</v>
      </c>
      <c r="F367" s="39" t="s">
        <v>319</v>
      </c>
      <c r="G367" s="39" t="s">
        <v>319</v>
      </c>
      <c r="H367" s="39" t="s">
        <v>821</v>
      </c>
    </row>
    <row r="368" spans="1:8" x14ac:dyDescent="0.25">
      <c r="A368" s="39"/>
      <c r="B368" s="39" t="s">
        <v>822</v>
      </c>
      <c r="D368" s="39">
        <v>0</v>
      </c>
      <c r="E368" s="39" t="s">
        <v>474</v>
      </c>
      <c r="F368" s="39" t="s">
        <v>474</v>
      </c>
      <c r="G368" s="39" t="s">
        <v>474</v>
      </c>
      <c r="H368" s="39" t="s">
        <v>823</v>
      </c>
    </row>
    <row r="369" spans="1:8" x14ac:dyDescent="0.25">
      <c r="A369" s="39"/>
      <c r="B369" s="39" t="s">
        <v>824</v>
      </c>
      <c r="D369" s="39">
        <v>0</v>
      </c>
      <c r="E369" s="39" t="s">
        <v>475</v>
      </c>
      <c r="F369" s="39" t="s">
        <v>475</v>
      </c>
      <c r="G369" s="39" t="s">
        <v>475</v>
      </c>
      <c r="H369" s="39" t="s">
        <v>825</v>
      </c>
    </row>
    <row r="370" spans="1:8" x14ac:dyDescent="0.25">
      <c r="A370" s="39"/>
      <c r="B370" s="39" t="s">
        <v>826</v>
      </c>
      <c r="D370" s="39">
        <v>0</v>
      </c>
      <c r="E370" s="39">
        <v>0</v>
      </c>
      <c r="F370" s="39">
        <v>0</v>
      </c>
      <c r="G370" s="39">
        <v>0</v>
      </c>
      <c r="H370" s="39" t="s">
        <v>827</v>
      </c>
    </row>
    <row r="371" spans="1:8" x14ac:dyDescent="0.25">
      <c r="A371" s="39"/>
      <c r="B371" s="39" t="s">
        <v>828</v>
      </c>
      <c r="D371" s="39">
        <v>0</v>
      </c>
      <c r="E371" s="39">
        <v>0</v>
      </c>
      <c r="F371" s="39">
        <v>0</v>
      </c>
      <c r="G371" s="39">
        <v>0</v>
      </c>
      <c r="H371" s="39" t="s">
        <v>829</v>
      </c>
    </row>
    <row r="372" spans="1:8" x14ac:dyDescent="0.25">
      <c r="A372" s="39"/>
      <c r="B372" s="39" t="s">
        <v>830</v>
      </c>
      <c r="D372" s="39">
        <v>0</v>
      </c>
      <c r="E372" s="39">
        <v>0.9</v>
      </c>
      <c r="F372" s="39">
        <v>0.9</v>
      </c>
      <c r="G372" s="39">
        <v>0.9</v>
      </c>
      <c r="H372" s="39" t="s">
        <v>831</v>
      </c>
    </row>
    <row r="373" spans="1:8" x14ac:dyDescent="0.25">
      <c r="A373" s="39"/>
      <c r="B373" s="39" t="s">
        <v>832</v>
      </c>
      <c r="D373" s="39">
        <v>0</v>
      </c>
      <c r="E373" s="39">
        <v>0.9</v>
      </c>
      <c r="F373" s="39">
        <v>0.9</v>
      </c>
      <c r="G373" s="39">
        <v>0.9</v>
      </c>
      <c r="H373" s="39" t="s">
        <v>833</v>
      </c>
    </row>
    <row r="374" spans="1:8" x14ac:dyDescent="0.25">
      <c r="A374" s="39"/>
      <c r="B374" s="39" t="s">
        <v>834</v>
      </c>
      <c r="D374" s="39">
        <v>0</v>
      </c>
      <c r="E374" s="39">
        <v>1</v>
      </c>
      <c r="F374" s="39">
        <v>1</v>
      </c>
      <c r="G374" s="39">
        <v>1</v>
      </c>
      <c r="H374" s="39" t="s">
        <v>835</v>
      </c>
    </row>
    <row r="375" spans="1:8" x14ac:dyDescent="0.25">
      <c r="A375" s="39"/>
      <c r="B375" s="39" t="s">
        <v>836</v>
      </c>
      <c r="D375" s="39">
        <v>0</v>
      </c>
      <c r="E375" s="39">
        <v>0.1</v>
      </c>
      <c r="F375" s="39">
        <v>0.1</v>
      </c>
      <c r="G375" s="39">
        <v>0.1</v>
      </c>
      <c r="H375" s="39" t="s">
        <v>837</v>
      </c>
    </row>
    <row r="376" spans="1:8" x14ac:dyDescent="0.25">
      <c r="A376" s="39"/>
      <c r="B376" s="39" t="s">
        <v>838</v>
      </c>
      <c r="D376" s="39">
        <v>0</v>
      </c>
      <c r="E376" s="39">
        <v>0.01</v>
      </c>
      <c r="F376" s="39">
        <v>0.01</v>
      </c>
      <c r="G376" s="39">
        <v>0.01</v>
      </c>
      <c r="H376" s="39" t="s">
        <v>839</v>
      </c>
    </row>
    <row r="377" spans="1:8" x14ac:dyDescent="0.25">
      <c r="A377" s="39"/>
      <c r="B377" s="39" t="s">
        <v>840</v>
      </c>
      <c r="D377" s="39">
        <v>0</v>
      </c>
      <c r="E377" s="39">
        <v>1</v>
      </c>
      <c r="F377" s="39">
        <v>1</v>
      </c>
      <c r="G377" s="39">
        <v>1</v>
      </c>
      <c r="H377" s="39" t="s">
        <v>841</v>
      </c>
    </row>
    <row r="378" spans="1:8" x14ac:dyDescent="0.25">
      <c r="A378" s="39"/>
      <c r="B378" s="39" t="s">
        <v>842</v>
      </c>
      <c r="D378" s="39">
        <v>0</v>
      </c>
      <c r="E378" s="39">
        <v>0.8</v>
      </c>
      <c r="F378" s="39">
        <v>0.8</v>
      </c>
      <c r="G378" s="39">
        <v>0.8</v>
      </c>
      <c r="H378" s="39" t="s">
        <v>843</v>
      </c>
    </row>
    <row r="379" spans="1:8" x14ac:dyDescent="0.25">
      <c r="A379" s="39"/>
      <c r="B379" s="39" t="s">
        <v>844</v>
      </c>
      <c r="D379" s="39">
        <v>0</v>
      </c>
      <c r="E379" s="39" t="s">
        <v>702</v>
      </c>
      <c r="F379" s="39" t="s">
        <v>702</v>
      </c>
      <c r="G379" s="39" t="s">
        <v>702</v>
      </c>
      <c r="H379" s="39" t="s">
        <v>845</v>
      </c>
    </row>
    <row r="380" spans="1:8" x14ac:dyDescent="0.25">
      <c r="A380" s="39"/>
      <c r="B380" s="39" t="s">
        <v>846</v>
      </c>
      <c r="D380" s="39">
        <v>0</v>
      </c>
      <c r="E380" s="39">
        <v>0.1</v>
      </c>
      <c r="F380" s="39">
        <v>0.1</v>
      </c>
      <c r="G380" s="39">
        <v>0.1</v>
      </c>
      <c r="H380" s="39" t="s">
        <v>847</v>
      </c>
    </row>
    <row r="381" spans="1:8" x14ac:dyDescent="0.25">
      <c r="A381" s="39"/>
      <c r="B381" s="39" t="s">
        <v>848</v>
      </c>
    </row>
    <row r="382" spans="1:8" x14ac:dyDescent="0.25">
      <c r="A382" s="39"/>
      <c r="B382" s="39" t="s">
        <v>849</v>
      </c>
      <c r="D382" s="39">
        <v>0</v>
      </c>
      <c r="E382" s="39">
        <v>0</v>
      </c>
      <c r="F382" s="39">
        <v>0</v>
      </c>
      <c r="G382" s="39">
        <v>0</v>
      </c>
      <c r="H382" s="39" t="s">
        <v>850</v>
      </c>
    </row>
    <row r="383" spans="1:8" x14ac:dyDescent="0.25">
      <c r="A383" s="39"/>
      <c r="B383" s="39" t="s">
        <v>851</v>
      </c>
      <c r="D383" s="39">
        <v>0</v>
      </c>
      <c r="E383" s="39" t="s">
        <v>475</v>
      </c>
      <c r="F383" s="39" t="s">
        <v>475</v>
      </c>
      <c r="G383" s="39" t="s">
        <v>475</v>
      </c>
      <c r="H383" s="39" t="s">
        <v>852</v>
      </c>
    </row>
    <row r="384" spans="1:8" x14ac:dyDescent="0.25">
      <c r="A384" s="39"/>
      <c r="B384" s="39" t="s">
        <v>853</v>
      </c>
      <c r="D384" s="39">
        <v>0</v>
      </c>
      <c r="E384" s="39" t="s">
        <v>475</v>
      </c>
      <c r="F384" s="39" t="s">
        <v>475</v>
      </c>
      <c r="G384" s="39" t="s">
        <v>475</v>
      </c>
      <c r="H384" s="39" t="s">
        <v>854</v>
      </c>
    </row>
    <row r="385" spans="1:8" x14ac:dyDescent="0.25">
      <c r="A385" s="39"/>
      <c r="B385" s="39" t="s">
        <v>855</v>
      </c>
      <c r="D385" s="39">
        <v>0</v>
      </c>
      <c r="E385" s="39">
        <v>2027</v>
      </c>
      <c r="F385" s="39">
        <v>2027</v>
      </c>
      <c r="G385" s="39">
        <v>2027</v>
      </c>
      <c r="H385" s="39" t="s">
        <v>856</v>
      </c>
    </row>
    <row r="386" spans="1:8" x14ac:dyDescent="0.25">
      <c r="A386" s="39"/>
      <c r="B386" s="39" t="s">
        <v>857</v>
      </c>
      <c r="D386" s="39">
        <v>0</v>
      </c>
      <c r="E386" s="39">
        <v>5</v>
      </c>
      <c r="F386" s="39">
        <v>5</v>
      </c>
      <c r="G386" s="39">
        <v>5</v>
      </c>
      <c r="H386" s="39" t="s">
        <v>858</v>
      </c>
    </row>
    <row r="387" spans="1:8" x14ac:dyDescent="0.25">
      <c r="A387" s="39"/>
      <c r="B387" s="39" t="s">
        <v>859</v>
      </c>
    </row>
    <row r="388" spans="1:8" x14ac:dyDescent="0.25">
      <c r="A388" s="39"/>
      <c r="B388" s="39" t="s">
        <v>860</v>
      </c>
      <c r="C388" s="39" t="s">
        <v>88</v>
      </c>
      <c r="D388" s="39">
        <v>0</v>
      </c>
      <c r="E388" s="39">
        <v>1</v>
      </c>
      <c r="F388" s="39">
        <v>1</v>
      </c>
      <c r="G388" s="39">
        <v>1</v>
      </c>
      <c r="H388" s="39" t="s">
        <v>861</v>
      </c>
    </row>
    <row r="389" spans="1:8" x14ac:dyDescent="0.25">
      <c r="A389" s="39"/>
      <c r="B389" s="39" t="s">
        <v>862</v>
      </c>
      <c r="D389" s="39">
        <v>0</v>
      </c>
      <c r="E389" s="39">
        <v>9</v>
      </c>
      <c r="F389" s="39">
        <v>9</v>
      </c>
      <c r="G389" s="39">
        <v>9</v>
      </c>
      <c r="H389" s="39" t="s">
        <v>863</v>
      </c>
    </row>
    <row r="390" spans="1:8" x14ac:dyDescent="0.25">
      <c r="A390" s="39"/>
      <c r="B390" s="39" t="s">
        <v>864</v>
      </c>
      <c r="D390" s="39">
        <v>0</v>
      </c>
      <c r="E390" s="39">
        <v>2</v>
      </c>
      <c r="F390" s="39">
        <v>2</v>
      </c>
      <c r="G390" s="39">
        <v>2</v>
      </c>
      <c r="H390" s="39" t="s">
        <v>865</v>
      </c>
    </row>
    <row r="391" spans="1:8" x14ac:dyDescent="0.25">
      <c r="A391" s="39"/>
      <c r="B391" s="39" t="s">
        <v>866</v>
      </c>
    </row>
    <row r="392" spans="1:8" x14ac:dyDescent="0.25">
      <c r="A392" s="39"/>
      <c r="B392" s="39" t="s">
        <v>867</v>
      </c>
      <c r="D392" s="39">
        <v>0</v>
      </c>
      <c r="E392" s="39">
        <v>0.33</v>
      </c>
      <c r="F392" s="39">
        <v>0.33</v>
      </c>
      <c r="G392" s="39">
        <v>0.33</v>
      </c>
      <c r="H392" s="39" t="s">
        <v>868</v>
      </c>
    </row>
    <row r="393" spans="1:8" x14ac:dyDescent="0.25">
      <c r="A393" s="39"/>
      <c r="B393" s="39" t="s">
        <v>869</v>
      </c>
      <c r="C393" s="39" t="s">
        <v>88</v>
      </c>
      <c r="D393" s="39">
        <v>0</v>
      </c>
      <c r="E393" s="39">
        <v>0.75</v>
      </c>
      <c r="F393" s="39">
        <v>0.75</v>
      </c>
      <c r="G393" s="39">
        <v>0.75</v>
      </c>
      <c r="H393" s="39" t="s">
        <v>870</v>
      </c>
    </row>
    <row r="394" spans="1:8" x14ac:dyDescent="0.25">
      <c r="A394" s="39"/>
      <c r="B394" s="39" t="s">
        <v>871</v>
      </c>
      <c r="C394" s="39" t="s">
        <v>88</v>
      </c>
      <c r="D394" s="39">
        <v>0</v>
      </c>
      <c r="E394" s="39">
        <v>1</v>
      </c>
      <c r="F394" s="39">
        <v>1</v>
      </c>
      <c r="G394" s="39">
        <v>1</v>
      </c>
      <c r="H394" s="39" t="s">
        <v>872</v>
      </c>
    </row>
    <row r="395" spans="1:8" x14ac:dyDescent="0.25">
      <c r="A395" s="39"/>
      <c r="B395" s="39" t="s">
        <v>873</v>
      </c>
      <c r="D395" s="39">
        <v>0</v>
      </c>
      <c r="E395" s="39">
        <v>1000</v>
      </c>
      <c r="F395" s="39">
        <v>1000</v>
      </c>
      <c r="G395" s="39">
        <v>1000</v>
      </c>
      <c r="H395" s="39" t="s">
        <v>874</v>
      </c>
    </row>
    <row r="396" spans="1:8" x14ac:dyDescent="0.25">
      <c r="A396" s="39"/>
      <c r="B396" s="39" t="s">
        <v>875</v>
      </c>
    </row>
    <row r="397" spans="1:8" x14ac:dyDescent="0.25">
      <c r="A397" s="39"/>
      <c r="B397" s="39" t="s">
        <v>876</v>
      </c>
      <c r="C397" s="39" t="s">
        <v>877</v>
      </c>
      <c r="D397" s="39">
        <v>0</v>
      </c>
      <c r="E397" s="39" t="s">
        <v>878</v>
      </c>
      <c r="F397" s="39" t="s">
        <v>878</v>
      </c>
      <c r="G397" s="39" t="s">
        <v>878</v>
      </c>
      <c r="H397" s="39" t="s">
        <v>879</v>
      </c>
    </row>
    <row r="398" spans="1:8" x14ac:dyDescent="0.25">
      <c r="A398" s="39"/>
      <c r="B398" s="39" t="s">
        <v>880</v>
      </c>
      <c r="C398" s="39" t="s">
        <v>877</v>
      </c>
      <c r="D398" s="39">
        <v>0</v>
      </c>
      <c r="E398" s="39" t="s">
        <v>878</v>
      </c>
      <c r="F398" s="39" t="s">
        <v>878</v>
      </c>
      <c r="G398" s="39" t="s">
        <v>878</v>
      </c>
      <c r="H398" s="39" t="s">
        <v>881</v>
      </c>
    </row>
    <row r="399" spans="1:8" x14ac:dyDescent="0.25">
      <c r="A399" s="39"/>
      <c r="B399" s="39" t="s">
        <v>882</v>
      </c>
      <c r="C399" s="39" t="s">
        <v>877</v>
      </c>
      <c r="D399" s="39">
        <v>0</v>
      </c>
      <c r="E399" s="39" t="s">
        <v>878</v>
      </c>
      <c r="F399" s="39" t="s">
        <v>878</v>
      </c>
      <c r="G399" s="39" t="s">
        <v>878</v>
      </c>
      <c r="H399" s="39" t="s">
        <v>883</v>
      </c>
    </row>
    <row r="400" spans="1:8" x14ac:dyDescent="0.25">
      <c r="A400" s="39"/>
      <c r="B400" s="39" t="s">
        <v>884</v>
      </c>
      <c r="C400" s="39" t="s">
        <v>877</v>
      </c>
      <c r="D400" s="39">
        <v>0</v>
      </c>
      <c r="E400" s="39" t="s">
        <v>878</v>
      </c>
      <c r="F400" s="39" t="s">
        <v>878</v>
      </c>
      <c r="G400" s="39" t="s">
        <v>878</v>
      </c>
      <c r="H400" s="39" t="s">
        <v>885</v>
      </c>
    </row>
    <row r="401" spans="1:8" x14ac:dyDescent="0.25">
      <c r="A401" s="39"/>
      <c r="B401" s="39" t="s">
        <v>886</v>
      </c>
      <c r="C401" s="39" t="s">
        <v>877</v>
      </c>
      <c r="D401" s="39" t="s">
        <v>702</v>
      </c>
      <c r="E401" s="39" t="s">
        <v>702</v>
      </c>
      <c r="F401" s="39" t="s">
        <v>702</v>
      </c>
      <c r="G401" s="39" t="s">
        <v>702</v>
      </c>
      <c r="H401" s="39" t="s">
        <v>887</v>
      </c>
    </row>
    <row r="402" spans="1:8" x14ac:dyDescent="0.25">
      <c r="A402" s="39"/>
      <c r="B402" s="39" t="s">
        <v>888</v>
      </c>
      <c r="C402" s="39" t="s">
        <v>877</v>
      </c>
      <c r="D402" s="39" t="s">
        <v>702</v>
      </c>
      <c r="E402" s="39" t="s">
        <v>702</v>
      </c>
      <c r="F402" s="39" t="s">
        <v>702</v>
      </c>
      <c r="G402" s="39" t="s">
        <v>702</v>
      </c>
      <c r="H402" s="39" t="s">
        <v>889</v>
      </c>
    </row>
    <row r="403" spans="1:8" x14ac:dyDescent="0.25">
      <c r="A403" s="39"/>
      <c r="B403" s="39" t="s">
        <v>890</v>
      </c>
      <c r="C403" s="39" t="s">
        <v>877</v>
      </c>
      <c r="D403" s="39" t="s">
        <v>878</v>
      </c>
      <c r="E403" s="39" t="s">
        <v>878</v>
      </c>
      <c r="F403" s="39" t="s">
        <v>878</v>
      </c>
      <c r="G403" s="39" t="s">
        <v>878</v>
      </c>
      <c r="H403" s="39" t="s">
        <v>891</v>
      </c>
    </row>
    <row r="404" spans="1:8" x14ac:dyDescent="0.25">
      <c r="A404" s="39"/>
      <c r="B404" s="39" t="s">
        <v>892</v>
      </c>
      <c r="C404" s="39" t="s">
        <v>877</v>
      </c>
      <c r="D404" s="39" t="s">
        <v>878</v>
      </c>
      <c r="E404" s="39" t="s">
        <v>878</v>
      </c>
      <c r="F404" s="39" t="s">
        <v>878</v>
      </c>
      <c r="G404" s="39" t="s">
        <v>878</v>
      </c>
      <c r="H404" s="39" t="s">
        <v>893</v>
      </c>
    </row>
    <row r="405" spans="1:8" x14ac:dyDescent="0.25">
      <c r="A405" s="39"/>
      <c r="B405" s="39" t="s">
        <v>894</v>
      </c>
      <c r="C405" s="39" t="s">
        <v>877</v>
      </c>
      <c r="D405" s="39" t="s">
        <v>878</v>
      </c>
      <c r="E405" s="39" t="s">
        <v>878</v>
      </c>
      <c r="F405" s="39" t="s">
        <v>878</v>
      </c>
      <c r="G405" s="39" t="s">
        <v>878</v>
      </c>
      <c r="H405" s="39" t="s">
        <v>895</v>
      </c>
    </row>
    <row r="406" spans="1:8" x14ac:dyDescent="0.25">
      <c r="A406" s="39"/>
      <c r="B406" s="39" t="s">
        <v>896</v>
      </c>
    </row>
    <row r="407" spans="1:8" x14ac:dyDescent="0.25">
      <c r="A407" s="39"/>
      <c r="B407" s="39" t="s">
        <v>54</v>
      </c>
      <c r="C407" s="39" t="s">
        <v>897</v>
      </c>
      <c r="D407" s="39">
        <v>2022</v>
      </c>
      <c r="E407" s="39">
        <v>2022</v>
      </c>
      <c r="F407" s="39">
        <v>2022</v>
      </c>
      <c r="G407" s="39">
        <v>2022</v>
      </c>
      <c r="H407" s="39" t="s">
        <v>898</v>
      </c>
    </row>
    <row r="408" spans="1:8" x14ac:dyDescent="0.25">
      <c r="A408" s="39"/>
      <c r="B408" s="39" t="s">
        <v>58</v>
      </c>
      <c r="C408" s="39" t="s">
        <v>897</v>
      </c>
      <c r="D408" s="39">
        <v>2022</v>
      </c>
      <c r="E408" s="39">
        <v>2022</v>
      </c>
      <c r="F408" s="39">
        <v>2022</v>
      </c>
      <c r="G408" s="39">
        <v>2022</v>
      </c>
      <c r="H408" s="39" t="s">
        <v>899</v>
      </c>
    </row>
    <row r="409" spans="1:8" x14ac:dyDescent="0.25">
      <c r="A409" s="39"/>
      <c r="B409" s="39" t="s">
        <v>900</v>
      </c>
      <c r="C409" s="39" t="s">
        <v>897</v>
      </c>
      <c r="D409" s="39">
        <v>2022</v>
      </c>
      <c r="E409" s="39">
        <v>2022</v>
      </c>
      <c r="F409" s="39">
        <v>2022</v>
      </c>
      <c r="G409" s="39">
        <v>2022</v>
      </c>
      <c r="H409" s="39" t="s">
        <v>901</v>
      </c>
    </row>
    <row r="410" spans="1:8" x14ac:dyDescent="0.25">
      <c r="A410" s="39"/>
      <c r="B410" s="39" t="s">
        <v>902</v>
      </c>
      <c r="C410" s="39" t="s">
        <v>897</v>
      </c>
      <c r="D410" s="39">
        <v>2030</v>
      </c>
      <c r="E410" s="39">
        <v>2030</v>
      </c>
      <c r="F410" s="39">
        <v>2030</v>
      </c>
      <c r="G410" s="39">
        <v>2030</v>
      </c>
      <c r="H410" s="39" t="s">
        <v>903</v>
      </c>
    </row>
    <row r="411" spans="1:8" x14ac:dyDescent="0.25">
      <c r="A411" s="39"/>
      <c r="B411" s="39" t="s">
        <v>904</v>
      </c>
      <c r="C411" s="39" t="s">
        <v>897</v>
      </c>
      <c r="D411" s="39">
        <v>2022</v>
      </c>
      <c r="E411" s="39">
        <v>2022</v>
      </c>
      <c r="F411" s="39">
        <v>2022</v>
      </c>
      <c r="G411" s="39">
        <v>2022</v>
      </c>
      <c r="H411" s="39" t="s">
        <v>905</v>
      </c>
    </row>
    <row r="412" spans="1:8" x14ac:dyDescent="0.25">
      <c r="A412" s="39"/>
      <c r="B412" s="39" t="s">
        <v>906</v>
      </c>
      <c r="C412" s="39" t="s">
        <v>897</v>
      </c>
      <c r="D412" s="39">
        <v>2022</v>
      </c>
      <c r="E412" s="39">
        <v>2022</v>
      </c>
      <c r="F412" s="39">
        <v>2022</v>
      </c>
      <c r="G412" s="39">
        <v>2022</v>
      </c>
      <c r="H412" s="39" t="s">
        <v>907</v>
      </c>
    </row>
    <row r="413" spans="1:8" x14ac:dyDescent="0.25">
      <c r="A413" s="39"/>
      <c r="B413" s="39" t="s">
        <v>908</v>
      </c>
      <c r="C413" s="39" t="s">
        <v>897</v>
      </c>
      <c r="D413" s="39">
        <v>2030</v>
      </c>
      <c r="E413" s="39">
        <v>2030</v>
      </c>
      <c r="F413" s="39">
        <v>2030</v>
      </c>
      <c r="G413" s="39">
        <v>2030</v>
      </c>
      <c r="H413" s="39" t="s">
        <v>909</v>
      </c>
    </row>
    <row r="414" spans="1:8" x14ac:dyDescent="0.25">
      <c r="A414" s="39"/>
      <c r="B414" s="39" t="s">
        <v>910</v>
      </c>
      <c r="C414" s="39" t="s">
        <v>897</v>
      </c>
      <c r="D414" s="39">
        <v>2030</v>
      </c>
      <c r="E414" s="39">
        <v>2030</v>
      </c>
      <c r="F414" s="39">
        <v>2030</v>
      </c>
      <c r="G414" s="39">
        <v>2030</v>
      </c>
      <c r="H414" s="39" t="s">
        <v>911</v>
      </c>
    </row>
    <row r="415" spans="1:8" x14ac:dyDescent="0.25">
      <c r="A415" s="39"/>
      <c r="B415" s="39" t="s">
        <v>72</v>
      </c>
      <c r="C415" s="39" t="s">
        <v>897</v>
      </c>
      <c r="D415" s="39">
        <v>2022</v>
      </c>
      <c r="E415" s="39">
        <v>2022</v>
      </c>
      <c r="F415" s="39">
        <v>2022</v>
      </c>
      <c r="G415" s="39">
        <v>2022</v>
      </c>
      <c r="H415" s="39" t="s">
        <v>912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22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8" customWidth="1"/>
    <col min="2" max="2" width="30" customWidth="1"/>
  </cols>
  <sheetData>
    <row r="1" spans="1:21" x14ac:dyDescent="0.25">
      <c r="A1" s="2" t="s">
        <v>913</v>
      </c>
      <c r="D1" s="4" t="s">
        <v>914</v>
      </c>
      <c r="E1" s="4" t="s">
        <v>915</v>
      </c>
      <c r="F1" s="4" t="s">
        <v>916</v>
      </c>
      <c r="G1" s="4" t="s">
        <v>917</v>
      </c>
      <c r="H1" s="4" t="s">
        <v>918</v>
      </c>
      <c r="I1" s="4" t="s">
        <v>283</v>
      </c>
      <c r="J1" s="4" t="s">
        <v>919</v>
      </c>
      <c r="K1" s="4" t="s">
        <v>920</v>
      </c>
      <c r="L1" s="4" t="s">
        <v>120</v>
      </c>
      <c r="M1" s="4" t="s">
        <v>46</v>
      </c>
      <c r="N1" s="4" t="s">
        <v>921</v>
      </c>
      <c r="O1" s="4" t="s">
        <v>922</v>
      </c>
      <c r="P1" s="4" t="s">
        <v>116</v>
      </c>
      <c r="Q1" s="4" t="s">
        <v>923</v>
      </c>
      <c r="R1" s="4" t="s">
        <v>924</v>
      </c>
      <c r="S1" s="4" t="s">
        <v>925</v>
      </c>
      <c r="T1" s="4" t="s">
        <v>926</v>
      </c>
      <c r="U1" s="4" t="s">
        <v>927</v>
      </c>
    </row>
    <row r="2" spans="1:21" x14ac:dyDescent="0.25">
      <c r="A2" t="s">
        <v>928</v>
      </c>
      <c r="B2" t="s">
        <v>36</v>
      </c>
      <c r="C2" t="s">
        <v>929</v>
      </c>
      <c r="D2" s="40" t="s">
        <v>930</v>
      </c>
      <c r="E2" s="40" t="s">
        <v>931</v>
      </c>
      <c r="F2" s="40" t="s">
        <v>932</v>
      </c>
      <c r="G2" s="40" t="s">
        <v>933</v>
      </c>
      <c r="H2" s="40" t="s">
        <v>934</v>
      </c>
      <c r="I2" s="40" t="s">
        <v>935</v>
      </c>
      <c r="J2" s="40" t="s">
        <v>936</v>
      </c>
      <c r="K2" s="40" t="s">
        <v>937</v>
      </c>
      <c r="L2" s="40" t="s">
        <v>121</v>
      </c>
      <c r="M2" s="40" t="s">
        <v>47</v>
      </c>
      <c r="N2" s="40" t="s">
        <v>119</v>
      </c>
      <c r="O2" s="40" t="s">
        <v>938</v>
      </c>
      <c r="P2" s="40" t="s">
        <v>117</v>
      </c>
      <c r="Q2" s="40" t="s">
        <v>939</v>
      </c>
      <c r="R2" s="40" t="s">
        <v>940</v>
      </c>
      <c r="S2" s="40" t="s">
        <v>941</v>
      </c>
      <c r="T2" s="40" t="s">
        <v>942</v>
      </c>
      <c r="U2" s="40"/>
    </row>
    <row r="3" spans="1:21" x14ac:dyDescent="0.25">
      <c r="A3" s="41" t="s">
        <v>943</v>
      </c>
      <c r="B3" s="6" t="s">
        <v>944</v>
      </c>
      <c r="C3" s="2" t="s">
        <v>945</v>
      </c>
      <c r="D3" s="22">
        <v>-19492.335660505731</v>
      </c>
      <c r="E3" s="22">
        <v>0</v>
      </c>
      <c r="F3" s="22">
        <v>47.631869619438632</v>
      </c>
      <c r="G3" s="22">
        <v>0</v>
      </c>
      <c r="H3" s="22">
        <v>0</v>
      </c>
      <c r="I3" s="22">
        <v>6382.1424616876157</v>
      </c>
      <c r="J3" s="22">
        <v>1257.2944901716639</v>
      </c>
      <c r="K3" s="22">
        <v>4021.530867219366</v>
      </c>
      <c r="L3" s="22">
        <v>411.49545779030251</v>
      </c>
      <c r="M3" s="22">
        <v>751.85310984444732</v>
      </c>
      <c r="N3" s="22">
        <v>6.1925552619658104</v>
      </c>
      <c r="O3" s="22">
        <v>573.08411847807758</v>
      </c>
      <c r="P3" s="22">
        <v>1270.646091846922</v>
      </c>
      <c r="Q3" s="22">
        <v>773.84878850703467</v>
      </c>
      <c r="R3" s="22">
        <v>0</v>
      </c>
      <c r="S3" s="22">
        <v>591.84356547659195</v>
      </c>
      <c r="T3" s="22">
        <v>0</v>
      </c>
      <c r="U3" s="22">
        <v>-3573.4183469115328</v>
      </c>
    </row>
    <row r="4" spans="1:21" x14ac:dyDescent="0.25">
      <c r="A4" s="41" t="s">
        <v>946</v>
      </c>
      <c r="B4" s="6" t="s">
        <v>54</v>
      </c>
      <c r="C4" s="2" t="s">
        <v>53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1.67290731426795</v>
      </c>
      <c r="J4" s="22">
        <v>0</v>
      </c>
      <c r="K4" s="22">
        <v>0</v>
      </c>
      <c r="L4" s="22">
        <v>0</v>
      </c>
      <c r="M4" s="22">
        <v>232.65735477013141</v>
      </c>
      <c r="N4" s="22">
        <v>0</v>
      </c>
      <c r="O4" s="22">
        <v>0</v>
      </c>
      <c r="P4" s="22">
        <v>1463.0552244627891</v>
      </c>
      <c r="Q4" s="22">
        <v>0</v>
      </c>
      <c r="R4" s="22">
        <v>0</v>
      </c>
      <c r="S4" s="22">
        <v>0</v>
      </c>
      <c r="T4" s="22">
        <v>0</v>
      </c>
      <c r="U4" s="22">
        <v>-165.39924344298649</v>
      </c>
    </row>
    <row r="5" spans="1:21" x14ac:dyDescent="0.25">
      <c r="A5" s="41" t="s">
        <v>947</v>
      </c>
      <c r="B5" s="6" t="s">
        <v>58</v>
      </c>
      <c r="C5" s="2" t="s">
        <v>57</v>
      </c>
      <c r="D5" s="22">
        <v>31743.440587495199</v>
      </c>
      <c r="E5" s="22">
        <v>541.70399251623564</v>
      </c>
      <c r="F5" s="22">
        <v>0</v>
      </c>
      <c r="G5" s="22">
        <v>0</v>
      </c>
      <c r="H5" s="22">
        <v>0</v>
      </c>
      <c r="I5" s="22">
        <v>2035.460419772716</v>
      </c>
      <c r="J5" s="22">
        <v>0</v>
      </c>
      <c r="K5" s="22">
        <v>0</v>
      </c>
      <c r="L5" s="22">
        <v>0</v>
      </c>
      <c r="M5" s="22">
        <v>1669.056719042127</v>
      </c>
      <c r="N5" s="22">
        <v>0</v>
      </c>
      <c r="O5" s="22">
        <v>0</v>
      </c>
      <c r="P5" s="22">
        <v>1747.3915347620809</v>
      </c>
      <c r="Q5" s="22">
        <v>960.13003721478617</v>
      </c>
      <c r="R5" s="22">
        <v>0</v>
      </c>
      <c r="S5" s="22">
        <v>7454.0058294663477</v>
      </c>
      <c r="T5" s="22">
        <v>0</v>
      </c>
      <c r="U5" s="22">
        <v>8778.2669127344125</v>
      </c>
    </row>
    <row r="6" spans="1:21" x14ac:dyDescent="0.25">
      <c r="A6" s="41" t="s">
        <v>948</v>
      </c>
      <c r="B6" s="6" t="s">
        <v>69</v>
      </c>
      <c r="C6" s="2" t="s">
        <v>68</v>
      </c>
      <c r="D6" s="22">
        <v>4928.2673355245006</v>
      </c>
      <c r="E6" s="22">
        <v>0</v>
      </c>
      <c r="F6" s="22">
        <v>0</v>
      </c>
      <c r="G6" s="22">
        <v>0</v>
      </c>
      <c r="H6" s="22">
        <v>290.70949716970858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2347.5275440371438</v>
      </c>
      <c r="R6" s="22">
        <v>0</v>
      </c>
      <c r="S6" s="22">
        <v>293.09921221965612</v>
      </c>
      <c r="T6" s="22">
        <v>100.6788396751718</v>
      </c>
      <c r="U6" s="22">
        <v>-17958.526569829639</v>
      </c>
    </row>
    <row r="7" spans="1:21" x14ac:dyDescent="0.25">
      <c r="A7" s="41" t="s">
        <v>949</v>
      </c>
      <c r="B7" s="6" t="s">
        <v>60</v>
      </c>
      <c r="C7" s="2" t="s">
        <v>59</v>
      </c>
      <c r="D7" s="22">
        <v>0</v>
      </c>
      <c r="E7" s="22">
        <v>7577.2964433456209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5735.9845358294433</v>
      </c>
    </row>
    <row r="8" spans="1:21" x14ac:dyDescent="0.25">
      <c r="A8" s="41" t="s">
        <v>950</v>
      </c>
      <c r="B8" s="6" t="s">
        <v>63</v>
      </c>
      <c r="C8" s="2" t="s">
        <v>62</v>
      </c>
      <c r="D8" s="22">
        <v>21.62080719524776</v>
      </c>
      <c r="E8" s="22">
        <v>10207.632060143391</v>
      </c>
      <c r="F8" s="22">
        <v>0</v>
      </c>
      <c r="G8" s="22">
        <v>0</v>
      </c>
      <c r="H8" s="22">
        <v>0</v>
      </c>
      <c r="I8" s="22">
        <v>0</v>
      </c>
      <c r="J8" s="22">
        <v>927.02172817825783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3819.2341617507859</v>
      </c>
      <c r="R8" s="22">
        <v>0</v>
      </c>
      <c r="S8" s="22">
        <v>824.80009356756091</v>
      </c>
      <c r="T8" s="22">
        <v>0</v>
      </c>
      <c r="U8" s="22">
        <v>11791.230105899531</v>
      </c>
    </row>
    <row r="9" spans="1:21" x14ac:dyDescent="0.25">
      <c r="A9" s="41" t="s">
        <v>951</v>
      </c>
      <c r="B9" s="6" t="s">
        <v>67</v>
      </c>
      <c r="C9" s="2" t="s">
        <v>66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2.7690054069117269</v>
      </c>
      <c r="J9" s="22">
        <v>0.34429649428757908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4.3837261485752412</v>
      </c>
      <c r="R9" s="22">
        <v>0</v>
      </c>
      <c r="S9" s="22">
        <v>0</v>
      </c>
      <c r="T9" s="22">
        <v>0</v>
      </c>
      <c r="U9" s="22">
        <v>26.73832189618318</v>
      </c>
    </row>
    <row r="10" spans="1:21" x14ac:dyDescent="0.25">
      <c r="A10" s="41" t="s">
        <v>952</v>
      </c>
      <c r="B10" s="6" t="s">
        <v>65</v>
      </c>
      <c r="C10" s="2" t="s">
        <v>64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3182.2559195641002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17.432082843688491</v>
      </c>
      <c r="R10" s="22">
        <v>0</v>
      </c>
      <c r="S10" s="22">
        <v>2465.762355904903</v>
      </c>
      <c r="T10" s="22">
        <v>0</v>
      </c>
      <c r="U10" s="22">
        <v>6147.5678748376959</v>
      </c>
    </row>
    <row r="11" spans="1:21" x14ac:dyDescent="0.25">
      <c r="A11" s="41" t="s">
        <v>953</v>
      </c>
      <c r="B11" s="6" t="s">
        <v>954</v>
      </c>
      <c r="C11" s="2" t="s">
        <v>955</v>
      </c>
      <c r="D11" s="22">
        <v>0</v>
      </c>
      <c r="E11" s="22">
        <v>0</v>
      </c>
      <c r="F11" s="22">
        <v>0</v>
      </c>
      <c r="G11" s="22">
        <v>706.87671144972296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1730.0491338286829</v>
      </c>
    </row>
    <row r="12" spans="1:21" x14ac:dyDescent="0.25">
      <c r="A12" s="41" t="s">
        <v>956</v>
      </c>
      <c r="B12" s="6" t="s">
        <v>904</v>
      </c>
      <c r="C12" s="2" t="s">
        <v>957</v>
      </c>
      <c r="D12" s="22">
        <v>537.36938082440531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  <c r="R12" s="22">
        <v>0</v>
      </c>
      <c r="S12" s="22">
        <v>0</v>
      </c>
      <c r="T12" s="22">
        <v>0</v>
      </c>
      <c r="U12" s="22">
        <v>10.207472526682411</v>
      </c>
    </row>
    <row r="13" spans="1:21" x14ac:dyDescent="0.25">
      <c r="A13" s="41" t="s">
        <v>958</v>
      </c>
      <c r="B13" s="6" t="s">
        <v>906</v>
      </c>
      <c r="C13" s="2" t="s">
        <v>959</v>
      </c>
      <c r="D13" s="22">
        <v>439.51537228049358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-12.588175188656921</v>
      </c>
    </row>
    <row r="14" spans="1:21" x14ac:dyDescent="0.25">
      <c r="A14" s="41" t="s">
        <v>960</v>
      </c>
      <c r="B14" s="6" t="s">
        <v>908</v>
      </c>
      <c r="C14" s="2" t="s">
        <v>961</v>
      </c>
      <c r="D14" s="22">
        <v>1347.590283039119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25.92599325938431</v>
      </c>
    </row>
    <row r="15" spans="1:21" x14ac:dyDescent="0.25">
      <c r="A15" s="41" t="s">
        <v>962</v>
      </c>
      <c r="B15" s="6" t="s">
        <v>910</v>
      </c>
      <c r="C15" s="2" t="s">
        <v>963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</row>
    <row r="16" spans="1:21" x14ac:dyDescent="0.25">
      <c r="A16" s="41" t="s">
        <v>964</v>
      </c>
      <c r="B16" s="6" t="s">
        <v>902</v>
      </c>
      <c r="C16" s="2" t="s">
        <v>965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</row>
    <row r="17" spans="1:21" x14ac:dyDescent="0.25">
      <c r="A17" s="41" t="s">
        <v>966</v>
      </c>
      <c r="B17" s="6" t="s">
        <v>72</v>
      </c>
      <c r="C17" s="2" t="s">
        <v>71</v>
      </c>
      <c r="D17" s="22">
        <v>0</v>
      </c>
      <c r="E17" s="22">
        <v>0</v>
      </c>
      <c r="F17" s="22">
        <v>0</v>
      </c>
      <c r="G17" s="22">
        <v>0</v>
      </c>
      <c r="H17" s="22">
        <v>0</v>
      </c>
      <c r="I17" s="22">
        <v>1579.8307440756389</v>
      </c>
      <c r="J17" s="22">
        <v>0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-1882.4380498206381</v>
      </c>
    </row>
    <row r="18" spans="1:21" x14ac:dyDescent="0.25">
      <c r="A18" s="41" t="s">
        <v>967</v>
      </c>
      <c r="B18" s="6" t="s">
        <v>968</v>
      </c>
      <c r="C18" s="2" t="s">
        <v>969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>
        <v>0</v>
      </c>
    </row>
    <row r="19" spans="1:21" x14ac:dyDescent="0.25">
      <c r="A19" s="41" t="s">
        <v>970</v>
      </c>
      <c r="B19" s="6" t="s">
        <v>971</v>
      </c>
      <c r="C19" s="2" t="s">
        <v>972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</row>
    <row r="20" spans="1:21" x14ac:dyDescent="0.25">
      <c r="A20" s="41" t="s">
        <v>973</v>
      </c>
      <c r="B20" s="6" t="s">
        <v>974</v>
      </c>
      <c r="C20" s="2" t="s">
        <v>975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1654.122921004262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-1887.1926927024731</v>
      </c>
    </row>
    <row r="21" spans="1:21" x14ac:dyDescent="0.25">
      <c r="A21" s="41" t="s">
        <v>976</v>
      </c>
      <c r="B21" s="6" t="s">
        <v>977</v>
      </c>
      <c r="C21" s="2" t="s">
        <v>978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</row>
    <row r="22" spans="1:21" x14ac:dyDescent="0.25">
      <c r="A22" s="41"/>
      <c r="B22" s="6" t="s">
        <v>979</v>
      </c>
      <c r="C22" s="2" t="s">
        <v>73</v>
      </c>
      <c r="D22" s="22">
        <v>2324.4750361440169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/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3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2" max="2" width="6" customWidth="1"/>
    <col min="3" max="3" width="10" customWidth="1"/>
    <col min="4" max="6" width="8" customWidth="1"/>
    <col min="7" max="7" width="60" customWidth="1"/>
    <col min="8" max="8" width="10" customWidth="1"/>
    <col min="9" max="9" width="28" customWidth="1"/>
    <col min="10" max="10" width="4" customWidth="1"/>
  </cols>
  <sheetData>
    <row r="1" spans="1:35" x14ac:dyDescent="0.25">
      <c r="A1" s="33" t="s">
        <v>980</v>
      </c>
      <c r="B1" s="33" t="s">
        <v>36</v>
      </c>
      <c r="C1" s="33" t="s">
        <v>981</v>
      </c>
      <c r="D1" s="33" t="s">
        <v>982</v>
      </c>
      <c r="E1" s="33" t="s">
        <v>51</v>
      </c>
      <c r="F1" s="33" t="s">
        <v>39</v>
      </c>
      <c r="G1" s="33" t="s">
        <v>38</v>
      </c>
      <c r="H1" s="33" t="s">
        <v>983</v>
      </c>
      <c r="I1" s="33" t="s">
        <v>984</v>
      </c>
      <c r="J1" s="33" t="s">
        <v>44</v>
      </c>
      <c r="K1" s="33">
        <v>2021</v>
      </c>
      <c r="L1" s="33">
        <v>2022</v>
      </c>
      <c r="M1" s="33">
        <v>2023</v>
      </c>
      <c r="N1" s="33">
        <v>2024</v>
      </c>
      <c r="O1" s="33">
        <v>2025</v>
      </c>
      <c r="P1" s="33">
        <v>2026</v>
      </c>
      <c r="Q1" s="33">
        <v>2027</v>
      </c>
      <c r="R1" s="33">
        <v>2028</v>
      </c>
      <c r="S1" s="33">
        <v>2029</v>
      </c>
      <c r="T1" s="33">
        <v>2030</v>
      </c>
      <c r="U1" s="33">
        <v>2031</v>
      </c>
      <c r="V1" s="33">
        <v>2032</v>
      </c>
      <c r="W1" s="33">
        <v>2033</v>
      </c>
      <c r="X1" s="33">
        <v>2034</v>
      </c>
      <c r="Y1" s="33">
        <v>2035</v>
      </c>
      <c r="Z1" s="33">
        <v>2036</v>
      </c>
      <c r="AA1" s="33">
        <v>2037</v>
      </c>
      <c r="AB1" s="33">
        <v>2038</v>
      </c>
      <c r="AC1" s="33">
        <v>2039</v>
      </c>
      <c r="AD1" s="33">
        <v>2040</v>
      </c>
      <c r="AE1" s="33">
        <v>2041</v>
      </c>
      <c r="AF1" s="33">
        <v>2042</v>
      </c>
      <c r="AG1" s="33">
        <v>2043</v>
      </c>
      <c r="AH1" s="33">
        <v>2044</v>
      </c>
      <c r="AI1" s="33">
        <v>2045</v>
      </c>
    </row>
    <row r="2" spans="1:35" x14ac:dyDescent="0.25">
      <c r="A2" s="41" t="s">
        <v>985</v>
      </c>
      <c r="B2" s="6" t="s">
        <v>53</v>
      </c>
      <c r="C2" s="6" t="s">
        <v>5</v>
      </c>
      <c r="D2" s="6" t="s">
        <v>986</v>
      </c>
      <c r="E2" s="6">
        <v>1</v>
      </c>
      <c r="F2" s="6" t="s">
        <v>55</v>
      </c>
      <c r="G2" s="6" t="s">
        <v>987</v>
      </c>
      <c r="H2" s="6">
        <v>2513</v>
      </c>
      <c r="I2" s="41" t="s">
        <v>985</v>
      </c>
      <c r="K2" s="22">
        <v>11.18290158924394</v>
      </c>
      <c r="L2" s="22">
        <v>10.52336134543121</v>
      </c>
      <c r="M2" s="22">
        <v>10.299560827444211</v>
      </c>
      <c r="N2" s="22">
        <v>9.5775283595382632</v>
      </c>
      <c r="O2" s="22">
        <v>8.4854782869580454</v>
      </c>
      <c r="P2" s="22">
        <v>9.0871922352498604</v>
      </c>
      <c r="Q2" s="22">
        <v>9.2229237289326811</v>
      </c>
      <c r="R2" s="22">
        <v>9.1585649555096875</v>
      </c>
      <c r="S2" s="22">
        <v>9.0895478773973775</v>
      </c>
      <c r="T2" s="22">
        <v>9.0156816660228305</v>
      </c>
      <c r="U2" s="22">
        <v>8.9443977655571061</v>
      </c>
      <c r="V2" s="22">
        <v>8.9443977655571061</v>
      </c>
      <c r="W2" s="22">
        <v>8.9443977655571061</v>
      </c>
      <c r="X2" s="22">
        <v>8.9443977655571061</v>
      </c>
      <c r="Y2" s="22">
        <v>8.9443977655571061</v>
      </c>
      <c r="Z2" s="22">
        <v>8.9443977655571061</v>
      </c>
      <c r="AA2" s="22">
        <v>8.9443977655571061</v>
      </c>
      <c r="AB2" s="22">
        <v>8.9443977655571061</v>
      </c>
      <c r="AC2" s="22">
        <v>8.9443977655571061</v>
      </c>
      <c r="AD2" s="22">
        <v>8.9443977655571061</v>
      </c>
      <c r="AE2" s="22">
        <v>8.9443977655571061</v>
      </c>
    </row>
    <row r="3" spans="1:35" x14ac:dyDescent="0.25">
      <c r="A3" s="41" t="s">
        <v>988</v>
      </c>
      <c r="B3" s="6" t="s">
        <v>53</v>
      </c>
      <c r="C3" s="6" t="s">
        <v>5</v>
      </c>
      <c r="D3" s="6" t="s">
        <v>989</v>
      </c>
      <c r="E3" s="6">
        <v>1</v>
      </c>
      <c r="F3" s="6" t="s">
        <v>55</v>
      </c>
      <c r="G3" s="6" t="s">
        <v>990</v>
      </c>
      <c r="H3" s="6">
        <v>2514</v>
      </c>
      <c r="I3" s="41" t="s">
        <v>988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  <c r="R3" s="22">
        <v>0</v>
      </c>
      <c r="S3" s="22">
        <v>0</v>
      </c>
      <c r="T3" s="22">
        <v>0</v>
      </c>
      <c r="U3" s="22">
        <v>0</v>
      </c>
      <c r="V3" s="22">
        <v>0</v>
      </c>
      <c r="W3" s="22">
        <v>0</v>
      </c>
      <c r="X3" s="22">
        <v>0</v>
      </c>
      <c r="Y3" s="22">
        <v>0</v>
      </c>
      <c r="Z3" s="22">
        <v>0</v>
      </c>
      <c r="AA3" s="22">
        <v>0</v>
      </c>
      <c r="AB3" s="22">
        <v>0</v>
      </c>
      <c r="AC3" s="22">
        <v>0</v>
      </c>
      <c r="AD3" s="22">
        <v>0</v>
      </c>
      <c r="AE3" s="22">
        <v>0</v>
      </c>
    </row>
    <row r="4" spans="1:35" x14ac:dyDescent="0.25">
      <c r="A4" s="41" t="s">
        <v>991</v>
      </c>
      <c r="B4" s="6" t="s">
        <v>57</v>
      </c>
      <c r="C4" s="6" t="s">
        <v>5</v>
      </c>
      <c r="D4" s="6" t="s">
        <v>986</v>
      </c>
      <c r="E4" s="6">
        <v>1</v>
      </c>
      <c r="F4" s="6" t="s">
        <v>55</v>
      </c>
      <c r="G4" s="6" t="s">
        <v>987</v>
      </c>
      <c r="H4" s="6">
        <v>2582</v>
      </c>
      <c r="I4" s="41" t="s">
        <v>991</v>
      </c>
      <c r="K4" s="22">
        <v>6.0634636156729131</v>
      </c>
      <c r="L4" s="22">
        <v>5.4510150816191896</v>
      </c>
      <c r="M4" s="22">
        <v>5.1193563062624818</v>
      </c>
      <c r="N4" s="22">
        <v>5.0821845864040727</v>
      </c>
      <c r="O4" s="22">
        <v>5.0821845864040727</v>
      </c>
      <c r="P4" s="22">
        <v>5.0821845864040727</v>
      </c>
      <c r="Q4" s="22">
        <v>5.0821845864040727</v>
      </c>
      <c r="R4" s="22">
        <v>5.0821845864040727</v>
      </c>
      <c r="S4" s="22">
        <v>5.0821845864040727</v>
      </c>
      <c r="T4" s="22">
        <v>5.0821845864040727</v>
      </c>
      <c r="U4" s="22">
        <v>5.0821845864040727</v>
      </c>
      <c r="V4" s="22">
        <v>5.0821845864040727</v>
      </c>
      <c r="W4" s="22">
        <v>5.0821845864040727</v>
      </c>
      <c r="X4" s="22">
        <v>5.0821845864040727</v>
      </c>
      <c r="Y4" s="22">
        <v>5.0821845864040727</v>
      </c>
      <c r="Z4" s="22">
        <v>5.0821845864040727</v>
      </c>
      <c r="AA4" s="22">
        <v>5.0821845864040727</v>
      </c>
      <c r="AB4" s="22">
        <v>5.0821845864040727</v>
      </c>
      <c r="AC4" s="22">
        <v>5.0821845864040727</v>
      </c>
      <c r="AD4" s="22">
        <v>5.0821845864040727</v>
      </c>
      <c r="AE4" s="22">
        <v>5.0821845864040727</v>
      </c>
    </row>
    <row r="5" spans="1:35" x14ac:dyDescent="0.25">
      <c r="A5" s="41" t="s">
        <v>992</v>
      </c>
      <c r="B5" s="6" t="s">
        <v>57</v>
      </c>
      <c r="C5" s="6" t="s">
        <v>5</v>
      </c>
      <c r="D5" s="6" t="s">
        <v>989</v>
      </c>
      <c r="E5" s="6">
        <v>1</v>
      </c>
      <c r="F5" s="6" t="s">
        <v>55</v>
      </c>
      <c r="G5" s="6" t="s">
        <v>990</v>
      </c>
      <c r="H5" s="6">
        <v>2583</v>
      </c>
      <c r="I5" s="41" t="s">
        <v>992</v>
      </c>
      <c r="K5" s="22">
        <v>0</v>
      </c>
      <c r="L5" s="22">
        <v>0</v>
      </c>
      <c r="M5" s="22">
        <v>0</v>
      </c>
      <c r="N5" s="22">
        <v>0</v>
      </c>
      <c r="O5" s="22">
        <v>0</v>
      </c>
      <c r="P5" s="22">
        <v>0</v>
      </c>
      <c r="Q5" s="22">
        <v>0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</row>
    <row r="6" spans="1:35" x14ac:dyDescent="0.25">
      <c r="A6" s="41" t="s">
        <v>993</v>
      </c>
      <c r="B6" s="6" t="s">
        <v>59</v>
      </c>
      <c r="C6" s="6" t="s">
        <v>5</v>
      </c>
      <c r="D6" s="6" t="s">
        <v>986</v>
      </c>
      <c r="E6" s="6">
        <v>1</v>
      </c>
      <c r="F6" s="6" t="s">
        <v>61</v>
      </c>
      <c r="G6" s="6" t="s">
        <v>987</v>
      </c>
      <c r="H6" s="6">
        <v>2605</v>
      </c>
      <c r="I6" s="41" t="s">
        <v>994</v>
      </c>
      <c r="K6" s="22">
        <v>0.67114653332181606</v>
      </c>
      <c r="L6" s="22">
        <v>0.61197797679140631</v>
      </c>
      <c r="M6" s="22">
        <v>0.61180974964187596</v>
      </c>
      <c r="N6" s="22">
        <v>0.60358310017790551</v>
      </c>
      <c r="O6" s="22">
        <v>0.60358310017790551</v>
      </c>
      <c r="P6" s="22">
        <v>0.60358310017790551</v>
      </c>
      <c r="Q6" s="22">
        <v>0.60358310017790551</v>
      </c>
      <c r="R6" s="22">
        <v>0.60358310017790551</v>
      </c>
      <c r="S6" s="22">
        <v>0.60358310017790551</v>
      </c>
      <c r="T6" s="22">
        <v>0.60358310017790551</v>
      </c>
      <c r="U6" s="22">
        <v>0.60358310017790551</v>
      </c>
      <c r="V6" s="22">
        <v>0.60358310017790551</v>
      </c>
      <c r="W6" s="22">
        <v>0.60358310017790551</v>
      </c>
      <c r="X6" s="22">
        <v>0.60358310017790551</v>
      </c>
      <c r="Y6" s="22">
        <v>0.60358310017790551</v>
      </c>
      <c r="Z6" s="22">
        <v>0.60358310017790551</v>
      </c>
      <c r="AA6" s="22">
        <v>0.60358310017790551</v>
      </c>
      <c r="AB6" s="22">
        <v>0.60358310017790551</v>
      </c>
      <c r="AC6" s="22">
        <v>0.60358310017790551</v>
      </c>
      <c r="AD6" s="22">
        <v>0.60358310017790551</v>
      </c>
      <c r="AE6" s="22">
        <v>0.60358310017790551</v>
      </c>
    </row>
    <row r="7" spans="1:35" x14ac:dyDescent="0.25">
      <c r="A7" s="41" t="s">
        <v>995</v>
      </c>
      <c r="B7" s="6" t="s">
        <v>59</v>
      </c>
      <c r="C7" s="6" t="s">
        <v>5</v>
      </c>
      <c r="D7" s="6" t="s">
        <v>989</v>
      </c>
      <c r="E7" s="6">
        <v>1</v>
      </c>
      <c r="F7" s="6" t="s">
        <v>61</v>
      </c>
      <c r="G7" s="6" t="s">
        <v>990</v>
      </c>
      <c r="H7" s="6">
        <v>2606</v>
      </c>
      <c r="I7" s="41" t="s">
        <v>996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  <c r="R7" s="22">
        <v>0</v>
      </c>
      <c r="S7" s="22">
        <v>0</v>
      </c>
      <c r="T7" s="22">
        <v>0</v>
      </c>
      <c r="U7" s="22">
        <v>0</v>
      </c>
      <c r="V7" s="22">
        <v>0</v>
      </c>
      <c r="W7" s="22">
        <v>0</v>
      </c>
      <c r="X7" s="22">
        <v>0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</row>
    <row r="8" spans="1:35" x14ac:dyDescent="0.25">
      <c r="A8" s="41" t="s">
        <v>997</v>
      </c>
      <c r="B8" s="6" t="s">
        <v>62</v>
      </c>
      <c r="C8" s="6" t="s">
        <v>5</v>
      </c>
      <c r="D8" s="6" t="s">
        <v>986</v>
      </c>
      <c r="E8" s="6">
        <v>1</v>
      </c>
      <c r="F8" s="6" t="s">
        <v>61</v>
      </c>
      <c r="G8" s="6" t="s">
        <v>987</v>
      </c>
      <c r="H8" s="6">
        <v>2628</v>
      </c>
      <c r="I8" s="41" t="s">
        <v>998</v>
      </c>
      <c r="K8" s="22">
        <v>0.55971121315568761</v>
      </c>
      <c r="L8" s="22">
        <v>0.49458873084106802</v>
      </c>
      <c r="M8" s="22">
        <v>0.50778654720250049</v>
      </c>
      <c r="N8" s="22">
        <v>0.47043642679561742</v>
      </c>
      <c r="O8" s="22">
        <v>0.47043642679561742</v>
      </c>
      <c r="P8" s="22">
        <v>0.47043642679561742</v>
      </c>
      <c r="Q8" s="22">
        <v>0.47043642679561742</v>
      </c>
      <c r="R8" s="22">
        <v>0.47043642679561742</v>
      </c>
      <c r="S8" s="22">
        <v>0.47043642679561742</v>
      </c>
      <c r="T8" s="22">
        <v>0.47043642679561742</v>
      </c>
      <c r="U8" s="22">
        <v>0.47043642679561742</v>
      </c>
      <c r="V8" s="22">
        <v>0.47043642679561742</v>
      </c>
      <c r="W8" s="22">
        <v>0.47043642679561742</v>
      </c>
      <c r="X8" s="22">
        <v>0.47043642679561742</v>
      </c>
      <c r="Y8" s="22">
        <v>0.47043642679561742</v>
      </c>
      <c r="Z8" s="22">
        <v>0.47043642679561742</v>
      </c>
      <c r="AA8" s="22">
        <v>0.47043642679561742</v>
      </c>
      <c r="AB8" s="22">
        <v>0.47043642679561742</v>
      </c>
      <c r="AC8" s="22">
        <v>0.47043642679561742</v>
      </c>
      <c r="AD8" s="22">
        <v>0.47043642679561742</v>
      </c>
      <c r="AE8" s="22">
        <v>0.47043642679561742</v>
      </c>
    </row>
    <row r="9" spans="1:35" x14ac:dyDescent="0.25">
      <c r="A9" s="41" t="s">
        <v>999</v>
      </c>
      <c r="B9" s="6" t="s">
        <v>62</v>
      </c>
      <c r="C9" s="6" t="s">
        <v>5</v>
      </c>
      <c r="D9" s="6" t="s">
        <v>989</v>
      </c>
      <c r="E9" s="6">
        <v>1</v>
      </c>
      <c r="F9" s="6" t="s">
        <v>61</v>
      </c>
      <c r="G9" s="6" t="s">
        <v>990</v>
      </c>
      <c r="H9" s="6">
        <v>2629</v>
      </c>
      <c r="I9" s="41" t="s">
        <v>1000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22">
        <v>0</v>
      </c>
      <c r="X9" s="22">
        <v>0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</row>
    <row r="10" spans="1:35" x14ac:dyDescent="0.25">
      <c r="A10" s="41" t="s">
        <v>1001</v>
      </c>
      <c r="B10" s="6" t="s">
        <v>64</v>
      </c>
      <c r="C10" s="6" t="s">
        <v>5</v>
      </c>
      <c r="D10" s="6" t="s">
        <v>986</v>
      </c>
      <c r="E10" s="6">
        <v>1</v>
      </c>
      <c r="F10" s="6" t="s">
        <v>61</v>
      </c>
      <c r="G10" s="6" t="s">
        <v>987</v>
      </c>
      <c r="H10" s="6">
        <v>2651</v>
      </c>
      <c r="I10" s="41" t="s">
        <v>1002</v>
      </c>
      <c r="K10" s="22">
        <v>0.20036669112673841</v>
      </c>
      <c r="L10" s="22">
        <v>0.1573447362522738</v>
      </c>
      <c r="M10" s="22">
        <v>0.1644840377592767</v>
      </c>
      <c r="N10" s="22">
        <v>0.1507090778070489</v>
      </c>
      <c r="O10" s="22">
        <v>0.1507090778070489</v>
      </c>
      <c r="P10" s="22">
        <v>0.1507090778070489</v>
      </c>
      <c r="Q10" s="22">
        <v>0.1507090778070489</v>
      </c>
      <c r="R10" s="22">
        <v>0.1507090778070489</v>
      </c>
      <c r="S10" s="22">
        <v>0.1507090778070489</v>
      </c>
      <c r="T10" s="22">
        <v>0.1507090778070489</v>
      </c>
      <c r="U10" s="22">
        <v>0.1507090778070489</v>
      </c>
      <c r="V10" s="22">
        <v>0.1507090778070489</v>
      </c>
      <c r="W10" s="22">
        <v>0.1507090778070489</v>
      </c>
      <c r="X10" s="22">
        <v>0.1507090778070489</v>
      </c>
      <c r="Y10" s="22">
        <v>0.1507090778070489</v>
      </c>
      <c r="Z10" s="22">
        <v>0.1507090778070489</v>
      </c>
      <c r="AA10" s="22">
        <v>0.1507090778070489</v>
      </c>
      <c r="AB10" s="22">
        <v>0.1507090778070489</v>
      </c>
      <c r="AC10" s="22">
        <v>0.1507090778070489</v>
      </c>
      <c r="AD10" s="22">
        <v>0.1507090778070489</v>
      </c>
      <c r="AE10" s="22">
        <v>0.1507090778070489</v>
      </c>
    </row>
    <row r="11" spans="1:35" x14ac:dyDescent="0.25">
      <c r="A11" s="41" t="s">
        <v>1003</v>
      </c>
      <c r="B11" s="6" t="s">
        <v>64</v>
      </c>
      <c r="C11" s="6" t="s">
        <v>5</v>
      </c>
      <c r="D11" s="6" t="s">
        <v>989</v>
      </c>
      <c r="E11" s="6">
        <v>1</v>
      </c>
      <c r="F11" s="6" t="s">
        <v>61</v>
      </c>
      <c r="G11" s="6" t="s">
        <v>990</v>
      </c>
      <c r="H11" s="6">
        <v>2652</v>
      </c>
      <c r="I11" s="41" t="s">
        <v>1004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  <c r="R11" s="22">
        <v>0</v>
      </c>
      <c r="S11" s="22">
        <v>0</v>
      </c>
      <c r="T11" s="22">
        <v>0</v>
      </c>
      <c r="U11" s="22">
        <v>0</v>
      </c>
      <c r="V11" s="22">
        <v>0</v>
      </c>
      <c r="W11" s="22">
        <v>0</v>
      </c>
      <c r="X11" s="22">
        <v>0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</row>
    <row r="12" spans="1:35" x14ac:dyDescent="0.25">
      <c r="A12" s="41" t="s">
        <v>1005</v>
      </c>
      <c r="B12" s="6" t="s">
        <v>66</v>
      </c>
      <c r="C12" s="6" t="s">
        <v>5</v>
      </c>
      <c r="D12" s="6" t="s">
        <v>986</v>
      </c>
      <c r="E12" s="6">
        <v>1</v>
      </c>
      <c r="F12" s="6" t="s">
        <v>61</v>
      </c>
      <c r="G12" s="6" t="s">
        <v>987</v>
      </c>
      <c r="H12" s="6">
        <v>2674</v>
      </c>
      <c r="I12" s="41" t="s">
        <v>1006</v>
      </c>
      <c r="K12" s="22">
        <v>0.48429424097343482</v>
      </c>
      <c r="L12" s="22">
        <v>0.45642817050012813</v>
      </c>
      <c r="M12" s="22">
        <v>0.43168920195599519</v>
      </c>
      <c r="N12" s="22">
        <v>0.42507558395596989</v>
      </c>
      <c r="O12" s="22">
        <v>0.42507558395596989</v>
      </c>
      <c r="P12" s="22">
        <v>0.42507558395596989</v>
      </c>
      <c r="Q12" s="22">
        <v>0.42507558395596989</v>
      </c>
      <c r="R12" s="22">
        <v>0.42507558395596989</v>
      </c>
      <c r="S12" s="22">
        <v>0.42507558395596989</v>
      </c>
      <c r="T12" s="22">
        <v>0.42507558395596989</v>
      </c>
      <c r="U12" s="22">
        <v>0.42507558395596989</v>
      </c>
      <c r="V12" s="22">
        <v>0.42507558395596989</v>
      </c>
      <c r="W12" s="22">
        <v>0.42507558395596989</v>
      </c>
      <c r="X12" s="22">
        <v>0.42507558395596989</v>
      </c>
      <c r="Y12" s="22">
        <v>0.42507558395596989</v>
      </c>
      <c r="Z12" s="22">
        <v>0.42507558395596989</v>
      </c>
      <c r="AA12" s="22">
        <v>0.42507558395596989</v>
      </c>
      <c r="AB12" s="22">
        <v>0.42507558395596989</v>
      </c>
      <c r="AC12" s="22">
        <v>0.42507558395596989</v>
      </c>
      <c r="AD12" s="22">
        <v>0.42507558395596989</v>
      </c>
      <c r="AE12" s="22">
        <v>0.42507558395596989</v>
      </c>
    </row>
    <row r="13" spans="1:35" x14ac:dyDescent="0.25">
      <c r="A13" s="41" t="s">
        <v>1007</v>
      </c>
      <c r="B13" s="6" t="s">
        <v>66</v>
      </c>
      <c r="C13" s="6" t="s">
        <v>5</v>
      </c>
      <c r="D13" s="6" t="s">
        <v>989</v>
      </c>
      <c r="E13" s="6">
        <v>1</v>
      </c>
      <c r="F13" s="6" t="s">
        <v>61</v>
      </c>
      <c r="G13" s="6" t="s">
        <v>990</v>
      </c>
      <c r="H13" s="6">
        <v>2675</v>
      </c>
      <c r="I13" s="41" t="s">
        <v>1008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22">
        <v>0</v>
      </c>
      <c r="X13" s="22">
        <v>0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</row>
    <row r="14" spans="1:35" x14ac:dyDescent="0.25">
      <c r="A14" s="41" t="s">
        <v>1009</v>
      </c>
      <c r="B14" s="6" t="s">
        <v>68</v>
      </c>
      <c r="C14" s="6" t="s">
        <v>5</v>
      </c>
      <c r="D14" s="6" t="s">
        <v>986</v>
      </c>
      <c r="E14" s="6">
        <v>1</v>
      </c>
      <c r="F14" s="6" t="s">
        <v>70</v>
      </c>
      <c r="G14" s="6" t="s">
        <v>987</v>
      </c>
      <c r="H14" s="6">
        <v>2697</v>
      </c>
      <c r="I14" s="41" t="s">
        <v>1010</v>
      </c>
      <c r="K14" s="22">
        <v>41.50033849886843</v>
      </c>
      <c r="L14" s="22">
        <v>34.415370304313228</v>
      </c>
      <c r="M14" s="22">
        <v>37.368960690432033</v>
      </c>
      <c r="N14" s="22">
        <v>28.982761101477251</v>
      </c>
      <c r="O14" s="22">
        <v>15</v>
      </c>
      <c r="P14" s="22">
        <v>24.2586300842555</v>
      </c>
      <c r="Q14" s="22">
        <v>15</v>
      </c>
      <c r="R14" s="22">
        <v>15</v>
      </c>
      <c r="S14" s="22">
        <v>15</v>
      </c>
      <c r="T14" s="22">
        <v>15</v>
      </c>
      <c r="U14" s="22">
        <v>15</v>
      </c>
      <c r="V14" s="22">
        <v>15</v>
      </c>
      <c r="W14" s="22">
        <v>15</v>
      </c>
      <c r="X14" s="22">
        <v>15</v>
      </c>
      <c r="Y14" s="22">
        <v>15</v>
      </c>
      <c r="Z14" s="22">
        <v>15</v>
      </c>
      <c r="AA14" s="22">
        <v>15</v>
      </c>
      <c r="AB14" s="22">
        <v>15</v>
      </c>
      <c r="AC14" s="22">
        <v>15</v>
      </c>
      <c r="AD14" s="22">
        <v>15</v>
      </c>
      <c r="AE14" s="22">
        <v>15</v>
      </c>
    </row>
    <row r="15" spans="1:35" x14ac:dyDescent="0.25">
      <c r="A15" s="41" t="s">
        <v>1011</v>
      </c>
      <c r="B15" s="6" t="s">
        <v>68</v>
      </c>
      <c r="C15" s="6" t="s">
        <v>5</v>
      </c>
      <c r="D15" s="6" t="s">
        <v>989</v>
      </c>
      <c r="E15" s="6">
        <v>1</v>
      </c>
      <c r="F15" s="6" t="s">
        <v>70</v>
      </c>
      <c r="G15" s="6" t="s">
        <v>990</v>
      </c>
      <c r="H15" s="6">
        <v>2698</v>
      </c>
      <c r="I15" s="41" t="s">
        <v>1012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22">
        <v>0</v>
      </c>
      <c r="X15" s="22">
        <v>0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</row>
    <row r="16" spans="1:35" x14ac:dyDescent="0.25">
      <c r="A16" s="41" t="s">
        <v>1013</v>
      </c>
      <c r="B16" s="6" t="s">
        <v>71</v>
      </c>
      <c r="C16" s="6" t="s">
        <v>5</v>
      </c>
      <c r="D16" s="6" t="s">
        <v>986</v>
      </c>
      <c r="E16" s="6">
        <v>1</v>
      </c>
      <c r="F16" s="6" t="s">
        <v>55</v>
      </c>
      <c r="G16" s="6" t="s">
        <v>987</v>
      </c>
      <c r="H16" s="6">
        <v>2720</v>
      </c>
      <c r="I16" s="41" t="s">
        <v>1014</v>
      </c>
      <c r="K16" s="22">
        <v>15.33455052931693</v>
      </c>
      <c r="L16" s="22">
        <v>14.199528390634921</v>
      </c>
      <c r="M16" s="22">
        <v>13.840441613315161</v>
      </c>
      <c r="N16" s="22">
        <v>13.5677269404465</v>
      </c>
      <c r="O16" s="22">
        <v>13.5677269404465</v>
      </c>
      <c r="P16" s="22">
        <v>13.5677269404465</v>
      </c>
      <c r="Q16" s="22">
        <v>13.5677269404465</v>
      </c>
      <c r="R16" s="22">
        <v>13.5677269404465</v>
      </c>
      <c r="S16" s="22">
        <v>13.5677269404465</v>
      </c>
      <c r="T16" s="22">
        <v>13.5677269404465</v>
      </c>
      <c r="U16" s="22">
        <v>13.5677269404465</v>
      </c>
      <c r="V16" s="22">
        <v>13.5677269404465</v>
      </c>
      <c r="W16" s="22">
        <v>13.5677269404465</v>
      </c>
      <c r="X16" s="22">
        <v>13.5677269404465</v>
      </c>
      <c r="Y16" s="22">
        <v>13.5677269404465</v>
      </c>
      <c r="Z16" s="22">
        <v>13.5677269404465</v>
      </c>
      <c r="AA16" s="22">
        <v>13.5677269404465</v>
      </c>
      <c r="AB16" s="22">
        <v>13.5677269404465</v>
      </c>
      <c r="AC16" s="22">
        <v>13.5677269404465</v>
      </c>
      <c r="AD16" s="22">
        <v>13.5677269404465</v>
      </c>
      <c r="AE16" s="22">
        <v>13.5677269404465</v>
      </c>
    </row>
    <row r="17" spans="1:31" x14ac:dyDescent="0.25">
      <c r="A17" s="41" t="s">
        <v>1015</v>
      </c>
      <c r="B17" s="6" t="s">
        <v>71</v>
      </c>
      <c r="C17" s="6" t="s">
        <v>5</v>
      </c>
      <c r="D17" s="6" t="s">
        <v>989</v>
      </c>
      <c r="E17" s="6">
        <v>1</v>
      </c>
      <c r="F17" s="6" t="s">
        <v>55</v>
      </c>
      <c r="G17" s="6" t="s">
        <v>990</v>
      </c>
      <c r="H17" s="6">
        <v>2721</v>
      </c>
      <c r="I17" s="41" t="s">
        <v>1016</v>
      </c>
      <c r="K17" s="22">
        <v>0</v>
      </c>
      <c r="L17" s="22">
        <v>0</v>
      </c>
      <c r="M17" s="22">
        <v>0</v>
      </c>
      <c r="N17" s="22">
        <v>0</v>
      </c>
      <c r="O17" s="22">
        <v>0</v>
      </c>
      <c r="P17" s="22">
        <v>0</v>
      </c>
      <c r="Q17" s="22">
        <v>0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22">
        <v>0</v>
      </c>
      <c r="X17" s="22">
        <v>0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</row>
    <row r="18" spans="1:31" x14ac:dyDescent="0.25">
      <c r="A18" s="41" t="s">
        <v>1017</v>
      </c>
      <c r="B18" s="6" t="s">
        <v>73</v>
      </c>
      <c r="C18" s="6" t="s">
        <v>5</v>
      </c>
      <c r="D18" s="6" t="s">
        <v>986</v>
      </c>
      <c r="E18" s="6">
        <v>1</v>
      </c>
      <c r="F18" s="6" t="s">
        <v>75</v>
      </c>
      <c r="G18" s="6" t="s">
        <v>987</v>
      </c>
      <c r="H18" s="6">
        <v>2809</v>
      </c>
      <c r="I18" s="41" t="s">
        <v>1018</v>
      </c>
      <c r="K18" s="22"/>
      <c r="L18" s="22">
        <v>0.14404498679319799</v>
      </c>
      <c r="M18" s="22">
        <v>0.14102040965700391</v>
      </c>
      <c r="N18" s="22">
        <v>0.13511635959447599</v>
      </c>
      <c r="O18" s="22">
        <v>0.13098825698585639</v>
      </c>
      <c r="P18" s="22">
        <v>0.12790841608631831</v>
      </c>
      <c r="Q18" s="22">
        <v>0.124814310557813</v>
      </c>
      <c r="R18" s="22">
        <v>0.1214602571228779</v>
      </c>
      <c r="S18" s="22">
        <v>0.1179507441357863</v>
      </c>
      <c r="T18" s="22">
        <v>0.1141991610445974</v>
      </c>
      <c r="U18" s="22">
        <v>0.1136651000596645</v>
      </c>
      <c r="V18" s="22">
        <v>0.1130169296259568</v>
      </c>
      <c r="W18" s="22">
        <v>0.112314070507636</v>
      </c>
      <c r="X18" s="22">
        <v>0.1114220427328433</v>
      </c>
      <c r="Y18" s="22">
        <v>0.1104341236758091</v>
      </c>
      <c r="Z18" s="22">
        <v>0.10948397330447129</v>
      </c>
      <c r="AA18" s="22">
        <v>0.1083919210529401</v>
      </c>
      <c r="AB18" s="22">
        <v>0.1073544336267039</v>
      </c>
      <c r="AC18" s="22">
        <v>0.10516867544166079</v>
      </c>
      <c r="AD18" s="22">
        <v>0.1030579832560081</v>
      </c>
      <c r="AE18" s="22">
        <v>0.1009318389901144</v>
      </c>
    </row>
    <row r="19" spans="1:31" x14ac:dyDescent="0.25">
      <c r="A19" s="41" t="s">
        <v>1019</v>
      </c>
      <c r="B19" s="6" t="s">
        <v>73</v>
      </c>
      <c r="C19" s="6" t="s">
        <v>5</v>
      </c>
      <c r="D19" s="6" t="s">
        <v>989</v>
      </c>
      <c r="E19" s="6">
        <v>1</v>
      </c>
      <c r="F19" s="6" t="s">
        <v>75</v>
      </c>
      <c r="G19" s="6" t="s">
        <v>990</v>
      </c>
      <c r="H19" s="6">
        <v>2810</v>
      </c>
      <c r="I19" s="41" t="s">
        <v>1020</v>
      </c>
      <c r="K19" s="22"/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</row>
    <row r="20" spans="1:31" x14ac:dyDescent="0.25">
      <c r="A20" s="41" t="s">
        <v>1021</v>
      </c>
      <c r="B20" s="6" t="s">
        <v>53</v>
      </c>
      <c r="C20" s="6" t="s">
        <v>5</v>
      </c>
      <c r="D20" s="6" t="s">
        <v>79</v>
      </c>
      <c r="E20" s="6">
        <v>1</v>
      </c>
      <c r="F20" s="6" t="s">
        <v>55</v>
      </c>
      <c r="G20" s="6" t="s">
        <v>1022</v>
      </c>
      <c r="H20" s="6">
        <v>2379</v>
      </c>
      <c r="I20" s="41" t="s">
        <v>1021</v>
      </c>
      <c r="K20" s="22"/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  <c r="R20" s="22">
        <v>0</v>
      </c>
      <c r="S20" s="22">
        <v>0</v>
      </c>
      <c r="T20" s="22">
        <v>0</v>
      </c>
      <c r="U20" s="22">
        <v>0</v>
      </c>
      <c r="V20" s="22">
        <v>0</v>
      </c>
      <c r="W20" s="22">
        <v>0</v>
      </c>
      <c r="X20" s="22">
        <v>0</v>
      </c>
      <c r="Y20" s="22">
        <v>0</v>
      </c>
      <c r="Z20" s="22">
        <v>0</v>
      </c>
      <c r="AA20" s="22">
        <v>0</v>
      </c>
      <c r="AB20" s="22">
        <v>0</v>
      </c>
      <c r="AC20" s="22">
        <v>0</v>
      </c>
      <c r="AD20" s="22">
        <v>0</v>
      </c>
      <c r="AE20" s="22">
        <v>0</v>
      </c>
    </row>
    <row r="21" spans="1:31" x14ac:dyDescent="0.25">
      <c r="A21" s="41" t="s">
        <v>1023</v>
      </c>
      <c r="B21" s="6" t="s">
        <v>57</v>
      </c>
      <c r="C21" s="6" t="s">
        <v>5</v>
      </c>
      <c r="D21" s="6" t="s">
        <v>79</v>
      </c>
      <c r="E21" s="6">
        <v>1</v>
      </c>
      <c r="F21" s="6" t="s">
        <v>55</v>
      </c>
      <c r="G21" s="6" t="s">
        <v>1022</v>
      </c>
      <c r="H21" s="6">
        <v>2382</v>
      </c>
      <c r="I21" s="41" t="s">
        <v>1023</v>
      </c>
      <c r="K21" s="22"/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</row>
    <row r="22" spans="1:31" x14ac:dyDescent="0.25">
      <c r="A22" s="41" t="s">
        <v>1024</v>
      </c>
      <c r="B22" s="6" t="s">
        <v>59</v>
      </c>
      <c r="C22" s="6" t="s">
        <v>5</v>
      </c>
      <c r="D22" s="6" t="s">
        <v>79</v>
      </c>
      <c r="E22" s="6">
        <v>1</v>
      </c>
      <c r="F22" s="6" t="s">
        <v>61</v>
      </c>
      <c r="G22" s="6" t="s">
        <v>1022</v>
      </c>
      <c r="H22" s="6">
        <v>2383</v>
      </c>
      <c r="I22" s="41" t="s">
        <v>1025</v>
      </c>
      <c r="K22" s="22"/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  <c r="R22" s="22">
        <v>0</v>
      </c>
      <c r="S22" s="22">
        <v>0</v>
      </c>
      <c r="T22" s="22">
        <v>0</v>
      </c>
      <c r="U22" s="22">
        <v>0</v>
      </c>
      <c r="V22" s="22">
        <v>0</v>
      </c>
      <c r="W22" s="22">
        <v>0</v>
      </c>
      <c r="X22" s="22">
        <v>0</v>
      </c>
      <c r="Y22" s="22">
        <v>0</v>
      </c>
      <c r="Z22" s="22">
        <v>0</v>
      </c>
      <c r="AA22" s="22">
        <v>0</v>
      </c>
      <c r="AB22" s="22">
        <v>0</v>
      </c>
      <c r="AC22" s="22">
        <v>0</v>
      </c>
      <c r="AD22" s="22">
        <v>0</v>
      </c>
      <c r="AE22" s="22">
        <v>0</v>
      </c>
    </row>
    <row r="23" spans="1:31" x14ac:dyDescent="0.25">
      <c r="A23" s="41" t="s">
        <v>1026</v>
      </c>
      <c r="B23" s="6" t="s">
        <v>62</v>
      </c>
      <c r="C23" s="6" t="s">
        <v>5</v>
      </c>
      <c r="D23" s="6" t="s">
        <v>79</v>
      </c>
      <c r="E23" s="6">
        <v>1</v>
      </c>
      <c r="F23" s="6" t="s">
        <v>61</v>
      </c>
      <c r="G23" s="6" t="s">
        <v>1022</v>
      </c>
      <c r="H23" s="6">
        <v>2384</v>
      </c>
      <c r="I23" s="41" t="s">
        <v>1027</v>
      </c>
      <c r="K23" s="22"/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</row>
    <row r="24" spans="1:31" x14ac:dyDescent="0.25">
      <c r="A24" s="41" t="s">
        <v>1028</v>
      </c>
      <c r="B24" s="6" t="s">
        <v>64</v>
      </c>
      <c r="C24" s="6" t="s">
        <v>5</v>
      </c>
      <c r="D24" s="6" t="s">
        <v>79</v>
      </c>
      <c r="E24" s="6">
        <v>1</v>
      </c>
      <c r="F24" s="6" t="s">
        <v>61</v>
      </c>
      <c r="G24" s="6" t="s">
        <v>1022</v>
      </c>
      <c r="H24" s="6">
        <v>2385</v>
      </c>
      <c r="I24" s="41" t="s">
        <v>1029</v>
      </c>
      <c r="K24" s="22"/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  <c r="R24" s="22">
        <v>0</v>
      </c>
      <c r="S24" s="22">
        <v>0</v>
      </c>
      <c r="T24" s="22">
        <v>0</v>
      </c>
      <c r="U24" s="22">
        <v>0</v>
      </c>
      <c r="V24" s="22">
        <v>0</v>
      </c>
      <c r="W24" s="22">
        <v>0</v>
      </c>
      <c r="X24" s="22">
        <v>0</v>
      </c>
      <c r="Y24" s="22">
        <v>0</v>
      </c>
      <c r="Z24" s="22">
        <v>0</v>
      </c>
      <c r="AA24" s="22">
        <v>0</v>
      </c>
      <c r="AB24" s="22">
        <v>0</v>
      </c>
      <c r="AC24" s="22">
        <v>0</v>
      </c>
      <c r="AD24" s="22">
        <v>0</v>
      </c>
      <c r="AE24" s="22">
        <v>0</v>
      </c>
    </row>
    <row r="25" spans="1:31" x14ac:dyDescent="0.25">
      <c r="A25" s="41" t="s">
        <v>1030</v>
      </c>
      <c r="B25" s="6" t="s">
        <v>66</v>
      </c>
      <c r="C25" s="6" t="s">
        <v>5</v>
      </c>
      <c r="D25" s="6" t="s">
        <v>79</v>
      </c>
      <c r="E25" s="6">
        <v>1</v>
      </c>
      <c r="F25" s="6" t="s">
        <v>61</v>
      </c>
      <c r="G25" s="6" t="s">
        <v>1022</v>
      </c>
      <c r="H25" s="6">
        <v>2386</v>
      </c>
      <c r="I25" s="41" t="s">
        <v>1031</v>
      </c>
      <c r="K25" s="22"/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22">
        <v>0</v>
      </c>
      <c r="X25" s="22">
        <v>0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</row>
    <row r="26" spans="1:31" x14ac:dyDescent="0.25">
      <c r="A26" s="41" t="s">
        <v>1032</v>
      </c>
      <c r="B26" s="6" t="s">
        <v>68</v>
      </c>
      <c r="C26" s="6" t="s">
        <v>5</v>
      </c>
      <c r="D26" s="6" t="s">
        <v>79</v>
      </c>
      <c r="E26" s="6">
        <v>1</v>
      </c>
      <c r="F26" s="6" t="s">
        <v>70</v>
      </c>
      <c r="G26" s="6" t="s">
        <v>1022</v>
      </c>
      <c r="H26" s="6">
        <v>2387</v>
      </c>
      <c r="I26" s="41" t="s">
        <v>1033</v>
      </c>
      <c r="K26" s="22"/>
      <c r="L26" s="22">
        <v>0</v>
      </c>
      <c r="M26" s="22">
        <v>0</v>
      </c>
      <c r="N26" s="22">
        <v>0</v>
      </c>
      <c r="O26" s="22">
        <v>0</v>
      </c>
      <c r="P26" s="22">
        <v>0</v>
      </c>
      <c r="Q26" s="22">
        <v>0</v>
      </c>
      <c r="R26" s="22">
        <v>0</v>
      </c>
      <c r="S26" s="22">
        <v>0</v>
      </c>
      <c r="T26" s="22">
        <v>0</v>
      </c>
      <c r="U26" s="22">
        <v>0</v>
      </c>
      <c r="V26" s="22">
        <v>0</v>
      </c>
      <c r="W26" s="22">
        <v>0</v>
      </c>
      <c r="X26" s="22">
        <v>0</v>
      </c>
      <c r="Y26" s="22">
        <v>0</v>
      </c>
      <c r="Z26" s="22">
        <v>0</v>
      </c>
      <c r="AA26" s="22">
        <v>0</v>
      </c>
      <c r="AB26" s="22">
        <v>0</v>
      </c>
      <c r="AC26" s="22">
        <v>0</v>
      </c>
      <c r="AD26" s="22">
        <v>0</v>
      </c>
      <c r="AE26" s="22">
        <v>0</v>
      </c>
    </row>
    <row r="27" spans="1:31" x14ac:dyDescent="0.25">
      <c r="A27" s="41" t="s">
        <v>1034</v>
      </c>
      <c r="B27" s="6" t="s">
        <v>71</v>
      </c>
      <c r="C27" s="6" t="s">
        <v>5</v>
      </c>
      <c r="D27" s="6" t="s">
        <v>79</v>
      </c>
      <c r="E27" s="6">
        <v>1</v>
      </c>
      <c r="F27" s="6" t="s">
        <v>55</v>
      </c>
      <c r="G27" s="6" t="s">
        <v>1022</v>
      </c>
      <c r="H27" s="6">
        <v>2388</v>
      </c>
      <c r="I27" s="41" t="s">
        <v>1035</v>
      </c>
      <c r="K27" s="22"/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</row>
    <row r="28" spans="1:31" x14ac:dyDescent="0.25">
      <c r="A28" s="41" t="s">
        <v>1036</v>
      </c>
      <c r="B28" s="6" t="s">
        <v>73</v>
      </c>
      <c r="C28" s="6" t="s">
        <v>5</v>
      </c>
      <c r="D28" s="6" t="s">
        <v>79</v>
      </c>
      <c r="E28" s="6">
        <v>1</v>
      </c>
      <c r="F28" s="6" t="s">
        <v>75</v>
      </c>
      <c r="G28" s="6" t="s">
        <v>1037</v>
      </c>
      <c r="H28" s="6" t="s">
        <v>81</v>
      </c>
      <c r="I28" s="41" t="s">
        <v>81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0</v>
      </c>
      <c r="X28" s="22">
        <v>0</v>
      </c>
      <c r="Y28" s="22">
        <v>0</v>
      </c>
      <c r="Z28" s="22">
        <v>0</v>
      </c>
      <c r="AA28" s="22">
        <v>0</v>
      </c>
      <c r="AB28" s="22">
        <v>0</v>
      </c>
      <c r="AC28" s="22">
        <v>0</v>
      </c>
      <c r="AD28" s="22">
        <v>0</v>
      </c>
      <c r="AE28" s="22">
        <v>0</v>
      </c>
    </row>
    <row r="29" spans="1:31" x14ac:dyDescent="0.25">
      <c r="A29" s="41" t="s">
        <v>1038</v>
      </c>
      <c r="B29" s="6" t="s">
        <v>81</v>
      </c>
      <c r="C29" s="6" t="s">
        <v>930</v>
      </c>
      <c r="D29" s="6" t="s">
        <v>84</v>
      </c>
      <c r="E29" s="6">
        <v>1</v>
      </c>
      <c r="F29" s="6" t="s">
        <v>83</v>
      </c>
      <c r="G29" s="6" t="s">
        <v>1039</v>
      </c>
      <c r="H29" s="6">
        <v>2270</v>
      </c>
      <c r="I29" s="41" t="s">
        <v>1038</v>
      </c>
      <c r="K29" s="23"/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</row>
    <row r="30" spans="1:31" x14ac:dyDescent="0.25">
      <c r="A30" s="41" t="s">
        <v>1040</v>
      </c>
      <c r="B30" s="6" t="s">
        <v>81</v>
      </c>
      <c r="C30" s="6" t="s">
        <v>931</v>
      </c>
      <c r="D30" s="6" t="s">
        <v>84</v>
      </c>
      <c r="E30" s="6">
        <v>1</v>
      </c>
      <c r="F30" s="6" t="s">
        <v>83</v>
      </c>
      <c r="G30" s="6" t="s">
        <v>1039</v>
      </c>
      <c r="H30" s="6">
        <v>2271</v>
      </c>
      <c r="I30" s="41" t="s">
        <v>1040</v>
      </c>
      <c r="K30" s="23"/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</row>
    <row r="31" spans="1:31" x14ac:dyDescent="0.25">
      <c r="A31" s="41" t="s">
        <v>1041</v>
      </c>
      <c r="B31" s="6" t="s">
        <v>81</v>
      </c>
      <c r="C31" s="6" t="s">
        <v>932</v>
      </c>
      <c r="D31" s="6" t="s">
        <v>84</v>
      </c>
      <c r="E31" s="6">
        <v>1</v>
      </c>
      <c r="F31" s="6" t="s">
        <v>83</v>
      </c>
      <c r="G31" s="6" t="s">
        <v>1039</v>
      </c>
      <c r="H31" s="6">
        <v>2272</v>
      </c>
      <c r="I31" s="41" t="s">
        <v>1041</v>
      </c>
      <c r="K31" s="23"/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</row>
    <row r="32" spans="1:31" x14ac:dyDescent="0.25">
      <c r="A32" s="41" t="s">
        <v>1042</v>
      </c>
      <c r="B32" s="6" t="s">
        <v>81</v>
      </c>
      <c r="C32" s="6" t="s">
        <v>934</v>
      </c>
      <c r="D32" s="6" t="s">
        <v>84</v>
      </c>
      <c r="E32" s="6">
        <v>1</v>
      </c>
      <c r="F32" s="6" t="s">
        <v>83</v>
      </c>
      <c r="G32" s="6" t="s">
        <v>1039</v>
      </c>
      <c r="H32" s="6">
        <v>2273</v>
      </c>
      <c r="I32" s="41" t="s">
        <v>1042</v>
      </c>
      <c r="K32" s="23"/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</row>
    <row r="33" spans="1:31" x14ac:dyDescent="0.25">
      <c r="A33" s="41" t="s">
        <v>1043</v>
      </c>
      <c r="B33" s="6" t="s">
        <v>81</v>
      </c>
      <c r="C33" s="6" t="s">
        <v>933</v>
      </c>
      <c r="D33" s="6" t="s">
        <v>84</v>
      </c>
      <c r="E33" s="6">
        <v>1</v>
      </c>
      <c r="F33" s="6" t="s">
        <v>83</v>
      </c>
      <c r="G33" s="6" t="s">
        <v>1039</v>
      </c>
      <c r="H33" s="6">
        <v>2274</v>
      </c>
      <c r="I33" s="41" t="s">
        <v>1043</v>
      </c>
      <c r="K33" s="23"/>
      <c r="L33" s="23">
        <v>0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</row>
    <row r="34" spans="1:31" x14ac:dyDescent="0.25">
      <c r="A34" s="41" t="s">
        <v>1044</v>
      </c>
      <c r="B34" s="6" t="s">
        <v>81</v>
      </c>
      <c r="C34" s="6" t="s">
        <v>935</v>
      </c>
      <c r="D34" s="6" t="s">
        <v>84</v>
      </c>
      <c r="E34" s="6">
        <v>1</v>
      </c>
      <c r="F34" s="6" t="s">
        <v>83</v>
      </c>
      <c r="G34" s="6" t="s">
        <v>1039</v>
      </c>
      <c r="H34" s="6">
        <v>2275</v>
      </c>
      <c r="I34" s="41" t="s">
        <v>1044</v>
      </c>
      <c r="K34" s="23"/>
      <c r="L34" s="23">
        <v>0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</row>
    <row r="35" spans="1:31" x14ac:dyDescent="0.25">
      <c r="A35" s="41" t="s">
        <v>1045</v>
      </c>
      <c r="B35" s="6" t="s">
        <v>81</v>
      </c>
      <c r="C35" s="6" t="s">
        <v>936</v>
      </c>
      <c r="D35" s="6" t="s">
        <v>84</v>
      </c>
      <c r="E35" s="6">
        <v>1</v>
      </c>
      <c r="F35" s="6" t="s">
        <v>83</v>
      </c>
      <c r="G35" s="6" t="s">
        <v>1039</v>
      </c>
      <c r="H35" s="6">
        <v>2276</v>
      </c>
      <c r="I35" s="41" t="s">
        <v>1045</v>
      </c>
      <c r="K35" s="23"/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</row>
    <row r="36" spans="1:31" x14ac:dyDescent="0.25">
      <c r="A36" s="41" t="s">
        <v>1046</v>
      </c>
      <c r="B36" s="6" t="s">
        <v>81</v>
      </c>
      <c r="C36" s="6" t="s">
        <v>937</v>
      </c>
      <c r="D36" s="6" t="s">
        <v>84</v>
      </c>
      <c r="E36" s="6">
        <v>1</v>
      </c>
      <c r="F36" s="6" t="s">
        <v>83</v>
      </c>
      <c r="G36" s="6" t="s">
        <v>1039</v>
      </c>
      <c r="H36" s="6">
        <v>2277</v>
      </c>
      <c r="I36" s="41" t="s">
        <v>1046</v>
      </c>
      <c r="K36" s="23"/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</row>
    <row r="37" spans="1:31" x14ac:dyDescent="0.25">
      <c r="A37" s="41" t="s">
        <v>1047</v>
      </c>
      <c r="B37" s="6" t="s">
        <v>81</v>
      </c>
      <c r="C37" s="6" t="s">
        <v>121</v>
      </c>
      <c r="D37" s="6" t="s">
        <v>84</v>
      </c>
      <c r="E37" s="6">
        <v>1</v>
      </c>
      <c r="F37" s="6" t="s">
        <v>83</v>
      </c>
      <c r="G37" s="6" t="s">
        <v>1039</v>
      </c>
      <c r="H37" s="6">
        <v>2278</v>
      </c>
      <c r="I37" s="41" t="s">
        <v>1047</v>
      </c>
      <c r="K37" s="23"/>
      <c r="L37" s="23">
        <v>0</v>
      </c>
      <c r="M37" s="23">
        <v>0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</row>
    <row r="38" spans="1:31" x14ac:dyDescent="0.25">
      <c r="A38" s="41" t="s">
        <v>1048</v>
      </c>
      <c r="B38" s="6" t="s">
        <v>81</v>
      </c>
      <c r="C38" s="6" t="s">
        <v>47</v>
      </c>
      <c r="D38" s="6" t="s">
        <v>84</v>
      </c>
      <c r="E38" s="6">
        <v>1</v>
      </c>
      <c r="F38" s="6" t="s">
        <v>83</v>
      </c>
      <c r="G38" s="6" t="s">
        <v>1039</v>
      </c>
      <c r="H38" s="6">
        <v>2279</v>
      </c>
      <c r="I38" s="41" t="s">
        <v>1048</v>
      </c>
      <c r="K38" s="23"/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</row>
    <row r="39" spans="1:31" x14ac:dyDescent="0.25">
      <c r="A39" s="41" t="s">
        <v>1049</v>
      </c>
      <c r="B39" s="6" t="s">
        <v>81</v>
      </c>
      <c r="C39" s="6" t="s">
        <v>119</v>
      </c>
      <c r="D39" s="6" t="s">
        <v>84</v>
      </c>
      <c r="E39" s="6">
        <v>1</v>
      </c>
      <c r="F39" s="6" t="s">
        <v>83</v>
      </c>
      <c r="G39" s="6" t="s">
        <v>1039</v>
      </c>
      <c r="H39" s="6">
        <v>2280</v>
      </c>
      <c r="I39" s="41" t="s">
        <v>1049</v>
      </c>
      <c r="K39" s="23"/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</row>
    <row r="40" spans="1:31" x14ac:dyDescent="0.25">
      <c r="A40" s="41" t="s">
        <v>1050</v>
      </c>
      <c r="B40" s="6" t="s">
        <v>81</v>
      </c>
      <c r="C40" s="6" t="s">
        <v>938</v>
      </c>
      <c r="D40" s="6" t="s">
        <v>84</v>
      </c>
      <c r="E40" s="6">
        <v>1</v>
      </c>
      <c r="F40" s="6" t="s">
        <v>83</v>
      </c>
      <c r="G40" s="6" t="s">
        <v>1039</v>
      </c>
      <c r="H40" s="6">
        <v>2281</v>
      </c>
      <c r="I40" s="41" t="s">
        <v>1050</v>
      </c>
      <c r="K40" s="23"/>
      <c r="L40" s="23">
        <v>0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</row>
    <row r="41" spans="1:31" x14ac:dyDescent="0.25">
      <c r="A41" s="41" t="s">
        <v>1051</v>
      </c>
      <c r="B41" s="6" t="s">
        <v>81</v>
      </c>
      <c r="C41" s="6" t="s">
        <v>117</v>
      </c>
      <c r="D41" s="6" t="s">
        <v>84</v>
      </c>
      <c r="E41" s="6">
        <v>1</v>
      </c>
      <c r="F41" s="6" t="s">
        <v>83</v>
      </c>
      <c r="G41" s="6" t="s">
        <v>1039</v>
      </c>
      <c r="H41" s="6">
        <v>2282</v>
      </c>
      <c r="I41" s="41" t="s">
        <v>1051</v>
      </c>
      <c r="K41" s="23"/>
      <c r="L41" s="23">
        <v>0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</row>
    <row r="42" spans="1:31" x14ac:dyDescent="0.25">
      <c r="A42" s="41" t="s">
        <v>1052</v>
      </c>
      <c r="B42" s="6" t="s">
        <v>81</v>
      </c>
      <c r="C42" s="6" t="s">
        <v>939</v>
      </c>
      <c r="D42" s="6" t="s">
        <v>84</v>
      </c>
      <c r="E42" s="6">
        <v>1</v>
      </c>
      <c r="F42" s="6" t="s">
        <v>83</v>
      </c>
      <c r="G42" s="6" t="s">
        <v>1039</v>
      </c>
      <c r="H42" s="6">
        <v>2283</v>
      </c>
      <c r="I42" s="41" t="s">
        <v>1052</v>
      </c>
      <c r="K42" s="23"/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</row>
    <row r="43" spans="1:31" x14ac:dyDescent="0.25">
      <c r="A43" s="41" t="s">
        <v>1053</v>
      </c>
      <c r="B43" s="6" t="s">
        <v>81</v>
      </c>
      <c r="C43" s="6" t="s">
        <v>940</v>
      </c>
      <c r="D43" s="6" t="s">
        <v>84</v>
      </c>
      <c r="E43" s="6">
        <v>1</v>
      </c>
      <c r="F43" s="6" t="s">
        <v>83</v>
      </c>
      <c r="G43" s="6" t="s">
        <v>1039</v>
      </c>
      <c r="H43" s="6">
        <v>2284</v>
      </c>
      <c r="I43" s="41" t="s">
        <v>1053</v>
      </c>
      <c r="K43" s="23"/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</row>
    <row r="44" spans="1:31" x14ac:dyDescent="0.25">
      <c r="A44" s="41" t="s">
        <v>1054</v>
      </c>
      <c r="B44" s="6" t="s">
        <v>81</v>
      </c>
      <c r="C44" s="6" t="s">
        <v>941</v>
      </c>
      <c r="D44" s="6" t="s">
        <v>84</v>
      </c>
      <c r="E44" s="6">
        <v>1</v>
      </c>
      <c r="F44" s="6" t="s">
        <v>83</v>
      </c>
      <c r="G44" s="6" t="s">
        <v>1039</v>
      </c>
      <c r="H44" s="6">
        <v>2285</v>
      </c>
      <c r="I44" s="41" t="s">
        <v>1054</v>
      </c>
      <c r="K44" s="23"/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</row>
    <row r="45" spans="1:31" x14ac:dyDescent="0.25">
      <c r="A45" s="41" t="s">
        <v>1055</v>
      </c>
      <c r="B45" s="6" t="s">
        <v>81</v>
      </c>
      <c r="C45" s="6" t="s">
        <v>942</v>
      </c>
      <c r="D45" s="6" t="s">
        <v>84</v>
      </c>
      <c r="E45" s="6">
        <v>1</v>
      </c>
      <c r="F45" s="6" t="s">
        <v>83</v>
      </c>
      <c r="G45" s="6" t="s">
        <v>1039</v>
      </c>
      <c r="H45" s="6">
        <v>2286</v>
      </c>
      <c r="I45" s="41" t="s">
        <v>1055</v>
      </c>
      <c r="K45" s="23"/>
      <c r="L45" s="23">
        <v>0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</row>
    <row r="46" spans="1:31" x14ac:dyDescent="0.25">
      <c r="A46" s="41" t="s">
        <v>1056</v>
      </c>
      <c r="B46" s="6" t="s">
        <v>81</v>
      </c>
      <c r="C46" s="6" t="s">
        <v>930</v>
      </c>
      <c r="D46" s="6" t="s">
        <v>86</v>
      </c>
      <c r="E46" s="6">
        <v>1</v>
      </c>
      <c r="F46" s="6" t="s">
        <v>83</v>
      </c>
      <c r="G46" s="6" t="s">
        <v>85</v>
      </c>
      <c r="H46" s="6">
        <v>2403</v>
      </c>
      <c r="I46" s="41" t="s">
        <v>1056</v>
      </c>
      <c r="K46" s="23"/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</row>
    <row r="47" spans="1:31" x14ac:dyDescent="0.25">
      <c r="A47" s="41" t="s">
        <v>1057</v>
      </c>
      <c r="B47" s="6" t="s">
        <v>81</v>
      </c>
      <c r="C47" s="6" t="s">
        <v>931</v>
      </c>
      <c r="D47" s="6" t="s">
        <v>86</v>
      </c>
      <c r="E47" s="6">
        <v>1</v>
      </c>
      <c r="F47" s="6" t="s">
        <v>83</v>
      </c>
      <c r="G47" s="6" t="s">
        <v>85</v>
      </c>
      <c r="H47" s="6">
        <v>2404</v>
      </c>
      <c r="I47" s="41" t="s">
        <v>1057</v>
      </c>
      <c r="K47" s="23"/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</row>
    <row r="48" spans="1:31" x14ac:dyDescent="0.25">
      <c r="A48" s="41" t="s">
        <v>1058</v>
      </c>
      <c r="B48" s="6" t="s">
        <v>81</v>
      </c>
      <c r="C48" s="6" t="s">
        <v>932</v>
      </c>
      <c r="D48" s="6" t="s">
        <v>86</v>
      </c>
      <c r="E48" s="6">
        <v>1</v>
      </c>
      <c r="F48" s="6" t="s">
        <v>83</v>
      </c>
      <c r="G48" s="6" t="s">
        <v>85</v>
      </c>
      <c r="H48" s="6">
        <v>2405</v>
      </c>
      <c r="I48" s="41" t="s">
        <v>1058</v>
      </c>
      <c r="K48" s="23"/>
      <c r="L48" s="23">
        <v>0</v>
      </c>
      <c r="M48" s="23">
        <v>0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</row>
    <row r="49" spans="1:31" x14ac:dyDescent="0.25">
      <c r="A49" s="41" t="s">
        <v>1059</v>
      </c>
      <c r="B49" s="6" t="s">
        <v>81</v>
      </c>
      <c r="C49" s="6" t="s">
        <v>934</v>
      </c>
      <c r="D49" s="6" t="s">
        <v>86</v>
      </c>
      <c r="E49" s="6">
        <v>1</v>
      </c>
      <c r="F49" s="6" t="s">
        <v>83</v>
      </c>
      <c r="G49" s="6" t="s">
        <v>85</v>
      </c>
      <c r="H49" s="6">
        <v>2406</v>
      </c>
      <c r="I49" s="41" t="s">
        <v>1060</v>
      </c>
      <c r="K49" s="23"/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</row>
    <row r="50" spans="1:31" x14ac:dyDescent="0.25">
      <c r="A50" s="41" t="s">
        <v>1060</v>
      </c>
      <c r="B50" s="6" t="s">
        <v>81</v>
      </c>
      <c r="C50" s="6" t="s">
        <v>933</v>
      </c>
      <c r="D50" s="6" t="s">
        <v>86</v>
      </c>
      <c r="E50" s="6">
        <v>1</v>
      </c>
      <c r="F50" s="6" t="s">
        <v>83</v>
      </c>
      <c r="G50" s="6" t="s">
        <v>85</v>
      </c>
      <c r="H50" s="6">
        <v>2407</v>
      </c>
      <c r="I50" s="41" t="s">
        <v>1059</v>
      </c>
      <c r="K50" s="23"/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</row>
    <row r="51" spans="1:31" x14ac:dyDescent="0.25">
      <c r="A51" s="41" t="s">
        <v>1061</v>
      </c>
      <c r="B51" s="6" t="s">
        <v>81</v>
      </c>
      <c r="C51" s="6" t="s">
        <v>935</v>
      </c>
      <c r="D51" s="6" t="s">
        <v>86</v>
      </c>
      <c r="E51" s="6">
        <v>1</v>
      </c>
      <c r="F51" s="6" t="s">
        <v>83</v>
      </c>
      <c r="G51" s="6" t="s">
        <v>85</v>
      </c>
      <c r="H51" s="6">
        <v>2408</v>
      </c>
      <c r="I51" s="41" t="s">
        <v>1061</v>
      </c>
      <c r="K51" s="23"/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</row>
    <row r="52" spans="1:31" x14ac:dyDescent="0.25">
      <c r="A52" s="41" t="s">
        <v>1062</v>
      </c>
      <c r="B52" s="6" t="s">
        <v>81</v>
      </c>
      <c r="C52" s="6" t="s">
        <v>936</v>
      </c>
      <c r="D52" s="6" t="s">
        <v>86</v>
      </c>
      <c r="E52" s="6">
        <v>1</v>
      </c>
      <c r="F52" s="6" t="s">
        <v>83</v>
      </c>
      <c r="G52" s="6" t="s">
        <v>85</v>
      </c>
      <c r="H52" s="6">
        <v>2409</v>
      </c>
      <c r="I52" s="41" t="s">
        <v>1062</v>
      </c>
      <c r="K52" s="23"/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</row>
    <row r="53" spans="1:31" x14ac:dyDescent="0.25">
      <c r="A53" s="41" t="s">
        <v>1063</v>
      </c>
      <c r="B53" s="6" t="s">
        <v>81</v>
      </c>
      <c r="C53" s="6" t="s">
        <v>937</v>
      </c>
      <c r="D53" s="6" t="s">
        <v>86</v>
      </c>
      <c r="E53" s="6">
        <v>1</v>
      </c>
      <c r="F53" s="6" t="s">
        <v>83</v>
      </c>
      <c r="G53" s="6" t="s">
        <v>85</v>
      </c>
      <c r="H53" s="6">
        <v>2410</v>
      </c>
      <c r="I53" s="41" t="s">
        <v>1063</v>
      </c>
      <c r="K53" s="23"/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</row>
    <row r="54" spans="1:31" x14ac:dyDescent="0.25">
      <c r="A54" s="41" t="s">
        <v>1064</v>
      </c>
      <c r="B54" s="6" t="s">
        <v>81</v>
      </c>
      <c r="C54" s="6" t="s">
        <v>121</v>
      </c>
      <c r="D54" s="6" t="s">
        <v>86</v>
      </c>
      <c r="E54" s="6">
        <v>1</v>
      </c>
      <c r="F54" s="6" t="s">
        <v>83</v>
      </c>
      <c r="G54" s="6" t="s">
        <v>85</v>
      </c>
      <c r="H54" s="6">
        <v>2411</v>
      </c>
      <c r="I54" s="41" t="s">
        <v>1064</v>
      </c>
      <c r="K54" s="23"/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</row>
    <row r="55" spans="1:31" x14ac:dyDescent="0.25">
      <c r="A55" s="41" t="s">
        <v>1065</v>
      </c>
      <c r="B55" s="6" t="s">
        <v>81</v>
      </c>
      <c r="C55" s="6" t="s">
        <v>47</v>
      </c>
      <c r="D55" s="6" t="s">
        <v>86</v>
      </c>
      <c r="E55" s="6">
        <v>1</v>
      </c>
      <c r="F55" s="6" t="s">
        <v>83</v>
      </c>
      <c r="G55" s="6" t="s">
        <v>85</v>
      </c>
      <c r="H55" s="6">
        <v>2412</v>
      </c>
      <c r="I55" s="41" t="s">
        <v>1065</v>
      </c>
      <c r="K55" s="23"/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</row>
    <row r="56" spans="1:31" x14ac:dyDescent="0.25">
      <c r="A56" s="41" t="s">
        <v>1066</v>
      </c>
      <c r="B56" s="6" t="s">
        <v>81</v>
      </c>
      <c r="C56" s="6" t="s">
        <v>119</v>
      </c>
      <c r="D56" s="6" t="s">
        <v>86</v>
      </c>
      <c r="E56" s="6">
        <v>1</v>
      </c>
      <c r="F56" s="6" t="s">
        <v>83</v>
      </c>
      <c r="G56" s="6" t="s">
        <v>85</v>
      </c>
      <c r="H56" s="6">
        <v>2413</v>
      </c>
      <c r="I56" s="41" t="s">
        <v>1066</v>
      </c>
      <c r="K56" s="23"/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</row>
    <row r="57" spans="1:31" x14ac:dyDescent="0.25">
      <c r="A57" s="41" t="s">
        <v>1067</v>
      </c>
      <c r="B57" s="6" t="s">
        <v>81</v>
      </c>
      <c r="C57" s="6" t="s">
        <v>938</v>
      </c>
      <c r="D57" s="6" t="s">
        <v>86</v>
      </c>
      <c r="E57" s="6">
        <v>1</v>
      </c>
      <c r="F57" s="6" t="s">
        <v>83</v>
      </c>
      <c r="G57" s="6" t="s">
        <v>85</v>
      </c>
      <c r="H57" s="6">
        <v>2414</v>
      </c>
      <c r="I57" s="41" t="s">
        <v>1067</v>
      </c>
      <c r="K57" s="23"/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</row>
    <row r="58" spans="1:31" x14ac:dyDescent="0.25">
      <c r="A58" s="41" t="s">
        <v>1068</v>
      </c>
      <c r="B58" s="6" t="s">
        <v>81</v>
      </c>
      <c r="C58" s="6" t="s">
        <v>117</v>
      </c>
      <c r="D58" s="6" t="s">
        <v>86</v>
      </c>
      <c r="E58" s="6">
        <v>1</v>
      </c>
      <c r="F58" s="6" t="s">
        <v>83</v>
      </c>
      <c r="G58" s="6" t="s">
        <v>85</v>
      </c>
      <c r="H58" s="6">
        <v>2415</v>
      </c>
      <c r="I58" s="41" t="s">
        <v>1068</v>
      </c>
      <c r="K58" s="23"/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</row>
    <row r="59" spans="1:31" x14ac:dyDescent="0.25">
      <c r="A59" s="41" t="s">
        <v>1069</v>
      </c>
      <c r="B59" s="6" t="s">
        <v>81</v>
      </c>
      <c r="C59" s="6" t="s">
        <v>939</v>
      </c>
      <c r="D59" s="6" t="s">
        <v>86</v>
      </c>
      <c r="E59" s="6">
        <v>1</v>
      </c>
      <c r="F59" s="6" t="s">
        <v>83</v>
      </c>
      <c r="G59" s="6" t="s">
        <v>85</v>
      </c>
      <c r="H59" s="6">
        <v>2416</v>
      </c>
      <c r="I59" s="41" t="s">
        <v>1069</v>
      </c>
      <c r="K59" s="23"/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</row>
    <row r="60" spans="1:31" x14ac:dyDescent="0.25">
      <c r="A60" s="41" t="s">
        <v>1070</v>
      </c>
      <c r="B60" s="6" t="s">
        <v>81</v>
      </c>
      <c r="C60" s="6" t="s">
        <v>940</v>
      </c>
      <c r="D60" s="6" t="s">
        <v>86</v>
      </c>
      <c r="E60" s="6">
        <v>1</v>
      </c>
      <c r="F60" s="6" t="s">
        <v>83</v>
      </c>
      <c r="G60" s="6" t="s">
        <v>85</v>
      </c>
      <c r="H60" s="6">
        <v>2417</v>
      </c>
      <c r="I60" s="41" t="s">
        <v>1070</v>
      </c>
      <c r="K60" s="23"/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</row>
    <row r="61" spans="1:31" x14ac:dyDescent="0.25">
      <c r="A61" s="41" t="s">
        <v>1071</v>
      </c>
      <c r="B61" s="6" t="s">
        <v>81</v>
      </c>
      <c r="C61" s="6" t="s">
        <v>941</v>
      </c>
      <c r="D61" s="6" t="s">
        <v>86</v>
      </c>
      <c r="E61" s="6">
        <v>1</v>
      </c>
      <c r="F61" s="6" t="s">
        <v>83</v>
      </c>
      <c r="G61" s="6" t="s">
        <v>85</v>
      </c>
      <c r="H61" s="6">
        <v>2418</v>
      </c>
      <c r="I61" s="41" t="s">
        <v>1071</v>
      </c>
      <c r="K61" s="23"/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</row>
    <row r="62" spans="1:31" x14ac:dyDescent="0.25">
      <c r="A62" s="41" t="s">
        <v>1072</v>
      </c>
      <c r="B62" s="6" t="s">
        <v>81</v>
      </c>
      <c r="C62" s="6" t="s">
        <v>942</v>
      </c>
      <c r="D62" s="6" t="s">
        <v>86</v>
      </c>
      <c r="E62" s="6">
        <v>1</v>
      </c>
      <c r="F62" s="6" t="s">
        <v>83</v>
      </c>
      <c r="G62" s="6" t="s">
        <v>85</v>
      </c>
      <c r="H62" s="6">
        <v>2419</v>
      </c>
      <c r="I62" s="41" t="s">
        <v>1072</v>
      </c>
      <c r="K62" s="23"/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</row>
    <row r="63" spans="1:31" x14ac:dyDescent="0.25">
      <c r="A63" s="41" t="s">
        <v>1073</v>
      </c>
      <c r="B63" s="6" t="s">
        <v>53</v>
      </c>
      <c r="C63" s="6" t="s">
        <v>5</v>
      </c>
      <c r="D63" s="6" t="s">
        <v>986</v>
      </c>
      <c r="E63" s="6">
        <v>2</v>
      </c>
      <c r="F63" s="6" t="s">
        <v>55</v>
      </c>
      <c r="G63" s="6" t="s">
        <v>987</v>
      </c>
      <c r="H63" s="6">
        <v>8844</v>
      </c>
      <c r="I63" s="41" t="s">
        <v>1073</v>
      </c>
      <c r="K63" s="22">
        <v>11.18290158924394</v>
      </c>
      <c r="L63" s="22">
        <v>10.52336134543121</v>
      </c>
      <c r="M63" s="22">
        <v>10.299560827444211</v>
      </c>
      <c r="N63" s="22">
        <v>9.5775283595382632</v>
      </c>
      <c r="O63" s="22">
        <v>8.4854782869580454</v>
      </c>
      <c r="P63" s="22">
        <v>9.0871922352498604</v>
      </c>
      <c r="Q63" s="22">
        <v>9.2229237289326811</v>
      </c>
      <c r="R63" s="22">
        <v>9.1585649555096875</v>
      </c>
      <c r="S63" s="22">
        <v>9.0895478773973775</v>
      </c>
      <c r="T63" s="22">
        <v>9.0156816660228305</v>
      </c>
      <c r="U63" s="22">
        <v>8.9443977655571061</v>
      </c>
      <c r="V63" s="22">
        <v>8.9443977655571061</v>
      </c>
      <c r="W63" s="22">
        <v>8.9443977655571061</v>
      </c>
      <c r="X63" s="22">
        <v>8.9443977655571061</v>
      </c>
      <c r="Y63" s="22">
        <v>8.9443977655571061</v>
      </c>
      <c r="Z63" s="22">
        <v>8.9443977655571061</v>
      </c>
      <c r="AA63" s="22">
        <v>8.9443977655571061</v>
      </c>
      <c r="AB63" s="22">
        <v>8.9443977655571061</v>
      </c>
      <c r="AC63" s="22">
        <v>8.9443977655571061</v>
      </c>
      <c r="AD63" s="22">
        <v>8.9443977655571061</v>
      </c>
      <c r="AE63" s="22">
        <v>8.9443977655571061</v>
      </c>
    </row>
    <row r="64" spans="1:31" x14ac:dyDescent="0.25">
      <c r="A64" s="41" t="s">
        <v>1074</v>
      </c>
      <c r="B64" s="6" t="s">
        <v>53</v>
      </c>
      <c r="C64" s="6" t="s">
        <v>5</v>
      </c>
      <c r="D64" s="6" t="s">
        <v>989</v>
      </c>
      <c r="E64" s="6">
        <v>2</v>
      </c>
      <c r="F64" s="6" t="s">
        <v>55</v>
      </c>
      <c r="G64" s="6" t="s">
        <v>990</v>
      </c>
      <c r="H64" s="6">
        <v>8845</v>
      </c>
      <c r="I64" s="41" t="s">
        <v>1074</v>
      </c>
      <c r="K64" s="22">
        <v>0</v>
      </c>
      <c r="L64" s="22">
        <v>0</v>
      </c>
      <c r="M64" s="22">
        <v>0</v>
      </c>
      <c r="N64" s="22">
        <v>0</v>
      </c>
      <c r="O64" s="22">
        <v>0</v>
      </c>
      <c r="P64" s="22">
        <v>0</v>
      </c>
      <c r="Q64" s="22">
        <v>1.25</v>
      </c>
      <c r="R64" s="22">
        <v>2.5</v>
      </c>
      <c r="S64" s="22">
        <v>3.75</v>
      </c>
      <c r="T64" s="22">
        <v>5</v>
      </c>
      <c r="U64" s="22">
        <v>6.25</v>
      </c>
      <c r="V64" s="22">
        <v>7.5</v>
      </c>
      <c r="W64" s="22">
        <v>8.75</v>
      </c>
      <c r="X64" s="22">
        <v>10</v>
      </c>
      <c r="Y64" s="22">
        <v>11.25</v>
      </c>
      <c r="Z64" s="22">
        <v>12.5</v>
      </c>
      <c r="AA64" s="22">
        <v>13.75</v>
      </c>
      <c r="AB64" s="22">
        <v>15</v>
      </c>
      <c r="AC64" s="22">
        <v>16.25</v>
      </c>
      <c r="AD64" s="22">
        <v>17.5</v>
      </c>
      <c r="AE64" s="22">
        <v>18.75</v>
      </c>
    </row>
    <row r="65" spans="1:31" x14ac:dyDescent="0.25">
      <c r="A65" s="41" t="s">
        <v>1075</v>
      </c>
      <c r="B65" s="6" t="s">
        <v>57</v>
      </c>
      <c r="C65" s="6" t="s">
        <v>5</v>
      </c>
      <c r="D65" s="6" t="s">
        <v>986</v>
      </c>
      <c r="E65" s="6">
        <v>2</v>
      </c>
      <c r="F65" s="6" t="s">
        <v>55</v>
      </c>
      <c r="G65" s="6" t="s">
        <v>987</v>
      </c>
      <c r="H65" s="6">
        <v>8913</v>
      </c>
      <c r="I65" s="41" t="s">
        <v>1075</v>
      </c>
      <c r="K65" s="22">
        <v>6.0634636156729131</v>
      </c>
      <c r="L65" s="22">
        <v>5.4510150816191896</v>
      </c>
      <c r="M65" s="22">
        <v>5.1193563062624818</v>
      </c>
      <c r="N65" s="22">
        <v>5.0821845864040727</v>
      </c>
      <c r="O65" s="22">
        <v>5.0821845864040727</v>
      </c>
      <c r="P65" s="22">
        <v>5.0821845864040727</v>
      </c>
      <c r="Q65" s="22">
        <v>5.0821845864040727</v>
      </c>
      <c r="R65" s="22">
        <v>5.0821845864040727</v>
      </c>
      <c r="S65" s="22">
        <v>5.0821845864040736</v>
      </c>
      <c r="T65" s="22">
        <v>5.0821845864040736</v>
      </c>
      <c r="U65" s="22">
        <v>5.0821845864040727</v>
      </c>
      <c r="V65" s="22">
        <v>5.0821845864040727</v>
      </c>
      <c r="W65" s="22">
        <v>5.0821845864040727</v>
      </c>
      <c r="X65" s="22">
        <v>5.0821845864040727</v>
      </c>
      <c r="Y65" s="22">
        <v>5.0821845864040718</v>
      </c>
      <c r="Z65" s="22">
        <v>5.0821845864040736</v>
      </c>
      <c r="AA65" s="22">
        <v>5.0821845864040718</v>
      </c>
      <c r="AB65" s="22">
        <v>5.0821845864040736</v>
      </c>
      <c r="AC65" s="22">
        <v>5.0821845864040718</v>
      </c>
      <c r="AD65" s="22">
        <v>5.0821845864040736</v>
      </c>
      <c r="AE65" s="22">
        <v>5.0821845864040718</v>
      </c>
    </row>
    <row r="66" spans="1:31" x14ac:dyDescent="0.25">
      <c r="A66" s="41" t="s">
        <v>1076</v>
      </c>
      <c r="B66" s="6" t="s">
        <v>57</v>
      </c>
      <c r="C66" s="6" t="s">
        <v>5</v>
      </c>
      <c r="D66" s="6" t="s">
        <v>989</v>
      </c>
      <c r="E66" s="6">
        <v>2</v>
      </c>
      <c r="F66" s="6" t="s">
        <v>55</v>
      </c>
      <c r="G66" s="6" t="s">
        <v>990</v>
      </c>
      <c r="H66" s="6">
        <v>8914</v>
      </c>
      <c r="I66" s="41" t="s">
        <v>1076</v>
      </c>
      <c r="K66" s="22">
        <v>0</v>
      </c>
      <c r="L66" s="22">
        <v>0</v>
      </c>
      <c r="M66" s="22">
        <v>0</v>
      </c>
      <c r="N66" s="22">
        <v>0</v>
      </c>
      <c r="O66" s="22">
        <v>0</v>
      </c>
      <c r="P66" s="22">
        <v>0</v>
      </c>
      <c r="Q66" s="22">
        <v>0.6974999999999999</v>
      </c>
      <c r="R66" s="22">
        <v>1.395</v>
      </c>
      <c r="S66" s="22">
        <v>2.0924999999999998</v>
      </c>
      <c r="T66" s="22">
        <v>2.79</v>
      </c>
      <c r="U66" s="22">
        <v>3.4874999999999998</v>
      </c>
      <c r="V66" s="22">
        <v>4.1849999999999996</v>
      </c>
      <c r="W66" s="22">
        <v>4.8824999999999994</v>
      </c>
      <c r="X66" s="22">
        <v>5.5799999999999992</v>
      </c>
      <c r="Y66" s="22">
        <v>6.2774999999999999</v>
      </c>
      <c r="Z66" s="22">
        <v>6.9749999999999996</v>
      </c>
      <c r="AA66" s="22">
        <v>7.6724999999999994</v>
      </c>
      <c r="AB66" s="22">
        <v>8.3699999999999992</v>
      </c>
      <c r="AC66" s="22">
        <v>9.067499999999999</v>
      </c>
      <c r="AD66" s="22">
        <v>9.7649999999999988</v>
      </c>
      <c r="AE66" s="22">
        <v>10.4625</v>
      </c>
    </row>
    <row r="67" spans="1:31" x14ac:dyDescent="0.25">
      <c r="A67" s="41" t="s">
        <v>1077</v>
      </c>
      <c r="B67" s="6" t="s">
        <v>59</v>
      </c>
      <c r="C67" s="6" t="s">
        <v>5</v>
      </c>
      <c r="D67" s="6" t="s">
        <v>986</v>
      </c>
      <c r="E67" s="6">
        <v>2</v>
      </c>
      <c r="F67" s="6" t="s">
        <v>61</v>
      </c>
      <c r="G67" s="6" t="s">
        <v>987</v>
      </c>
      <c r="H67" s="6">
        <v>8936</v>
      </c>
      <c r="I67" s="41" t="s">
        <v>1078</v>
      </c>
      <c r="K67" s="22">
        <v>0.67114653332181606</v>
      </c>
      <c r="L67" s="22">
        <v>0.61197797679140631</v>
      </c>
      <c r="M67" s="22">
        <v>0.61180974964187596</v>
      </c>
      <c r="N67" s="22">
        <v>0.60358310017790551</v>
      </c>
      <c r="O67" s="22">
        <v>0.60358310017790551</v>
      </c>
      <c r="P67" s="22">
        <v>0.60358310017790551</v>
      </c>
      <c r="Q67" s="22">
        <v>0.60358310017790551</v>
      </c>
      <c r="R67" s="22">
        <v>0.60358310017790551</v>
      </c>
      <c r="S67" s="22">
        <v>0.60358310017790551</v>
      </c>
      <c r="T67" s="22">
        <v>0.60358310017790551</v>
      </c>
      <c r="U67" s="22">
        <v>0.60358310017790551</v>
      </c>
      <c r="V67" s="22">
        <v>0.60358310017790551</v>
      </c>
      <c r="W67" s="22">
        <v>0.60358310017790551</v>
      </c>
      <c r="X67" s="22">
        <v>0.60358310017790551</v>
      </c>
      <c r="Y67" s="22">
        <v>0.60358310017790551</v>
      </c>
      <c r="Z67" s="22">
        <v>0.60358310017790551</v>
      </c>
      <c r="AA67" s="22">
        <v>0.60358310017790551</v>
      </c>
      <c r="AB67" s="22">
        <v>0.60358310017790551</v>
      </c>
      <c r="AC67" s="22">
        <v>0.60358310017790551</v>
      </c>
      <c r="AD67" s="22">
        <v>0.60358310017790551</v>
      </c>
      <c r="AE67" s="22">
        <v>0.60358310017790562</v>
      </c>
    </row>
    <row r="68" spans="1:31" x14ac:dyDescent="0.25">
      <c r="A68" s="41" t="s">
        <v>1079</v>
      </c>
      <c r="B68" s="6" t="s">
        <v>59</v>
      </c>
      <c r="C68" s="6" t="s">
        <v>5</v>
      </c>
      <c r="D68" s="6" t="s">
        <v>989</v>
      </c>
      <c r="E68" s="6">
        <v>2</v>
      </c>
      <c r="F68" s="6" t="s">
        <v>61</v>
      </c>
      <c r="G68" s="6" t="s">
        <v>990</v>
      </c>
      <c r="H68" s="6">
        <v>8937</v>
      </c>
      <c r="I68" s="41" t="s">
        <v>1080</v>
      </c>
      <c r="K68" s="22">
        <v>0</v>
      </c>
      <c r="L68" s="22">
        <v>0</v>
      </c>
      <c r="M68" s="22">
        <v>0</v>
      </c>
      <c r="N68" s="22">
        <v>0</v>
      </c>
      <c r="O68" s="22">
        <v>0</v>
      </c>
      <c r="P68" s="22">
        <v>0</v>
      </c>
      <c r="Q68" s="22">
        <v>2.89278431715E-2</v>
      </c>
      <c r="R68" s="22">
        <v>5.7855686343000007E-2</v>
      </c>
      <c r="S68" s="22">
        <v>8.678352951450001E-2</v>
      </c>
      <c r="T68" s="22">
        <v>0.115711372686</v>
      </c>
      <c r="U68" s="22">
        <v>0.1446392158575</v>
      </c>
      <c r="V68" s="22">
        <v>0.17356705902899999</v>
      </c>
      <c r="W68" s="22">
        <v>0.20249490220050001</v>
      </c>
      <c r="X68" s="22">
        <v>0.231422745372</v>
      </c>
      <c r="Y68" s="22">
        <v>0.26035058854350002</v>
      </c>
      <c r="Z68" s="22">
        <v>0.28927843171500001</v>
      </c>
      <c r="AA68" s="22">
        <v>0.31820627488650011</v>
      </c>
      <c r="AB68" s="22">
        <v>0.34713411805799999</v>
      </c>
      <c r="AC68" s="22">
        <v>0.37606196122949997</v>
      </c>
      <c r="AD68" s="22">
        <v>0.40498980440100002</v>
      </c>
      <c r="AE68" s="22">
        <v>0.43391764757250012</v>
      </c>
    </row>
    <row r="69" spans="1:31" x14ac:dyDescent="0.25">
      <c r="A69" s="41" t="s">
        <v>1081</v>
      </c>
      <c r="B69" s="6" t="s">
        <v>62</v>
      </c>
      <c r="C69" s="6" t="s">
        <v>5</v>
      </c>
      <c r="D69" s="6" t="s">
        <v>986</v>
      </c>
      <c r="E69" s="6">
        <v>2</v>
      </c>
      <c r="F69" s="6" t="s">
        <v>61</v>
      </c>
      <c r="G69" s="6" t="s">
        <v>987</v>
      </c>
      <c r="H69" s="6">
        <v>8959</v>
      </c>
      <c r="I69" s="41" t="s">
        <v>1082</v>
      </c>
      <c r="K69" s="22">
        <v>0.55971121315568761</v>
      </c>
      <c r="L69" s="22">
        <v>0.49458873084106802</v>
      </c>
      <c r="M69" s="22">
        <v>0.50778654720250049</v>
      </c>
      <c r="N69" s="22">
        <v>0.47043642679561742</v>
      </c>
      <c r="O69" s="22">
        <v>0.47043642679561742</v>
      </c>
      <c r="P69" s="22">
        <v>0.47043642679561742</v>
      </c>
      <c r="Q69" s="22">
        <v>0.47043642679561742</v>
      </c>
      <c r="R69" s="22">
        <v>0.47043642679561742</v>
      </c>
      <c r="S69" s="22">
        <v>0.47043642679561742</v>
      </c>
      <c r="T69" s="22">
        <v>0.47043642679561742</v>
      </c>
      <c r="U69" s="22">
        <v>0.47043642679561742</v>
      </c>
      <c r="V69" s="22">
        <v>0.47043642679561742</v>
      </c>
      <c r="W69" s="22">
        <v>0.47043642679561742</v>
      </c>
      <c r="X69" s="22">
        <v>0.47043642679561742</v>
      </c>
      <c r="Y69" s="22">
        <v>0.47043642679561731</v>
      </c>
      <c r="Z69" s="22">
        <v>0.47043642679561731</v>
      </c>
      <c r="AA69" s="22">
        <v>0.47043642679561731</v>
      </c>
      <c r="AB69" s="22">
        <v>0.47043642679561731</v>
      </c>
      <c r="AC69" s="22">
        <v>0.47043642679561731</v>
      </c>
      <c r="AD69" s="22">
        <v>0.47043642679561731</v>
      </c>
      <c r="AE69" s="22">
        <v>0.47043642679561731</v>
      </c>
    </row>
    <row r="70" spans="1:31" x14ac:dyDescent="0.25">
      <c r="A70" s="41" t="s">
        <v>1083</v>
      </c>
      <c r="B70" s="6" t="s">
        <v>62</v>
      </c>
      <c r="C70" s="6" t="s">
        <v>5</v>
      </c>
      <c r="D70" s="6" t="s">
        <v>989</v>
      </c>
      <c r="E70" s="6">
        <v>2</v>
      </c>
      <c r="F70" s="6" t="s">
        <v>61</v>
      </c>
      <c r="G70" s="6" t="s">
        <v>990</v>
      </c>
      <c r="H70" s="6">
        <v>8960</v>
      </c>
      <c r="I70" s="41" t="s">
        <v>1084</v>
      </c>
      <c r="K70" s="22">
        <v>0</v>
      </c>
      <c r="L70" s="22">
        <v>0</v>
      </c>
      <c r="M70" s="22">
        <v>0</v>
      </c>
      <c r="N70" s="22">
        <v>0</v>
      </c>
      <c r="O70" s="22">
        <v>0</v>
      </c>
      <c r="P70" s="22">
        <v>0</v>
      </c>
      <c r="Q70" s="22">
        <v>3.3010438858875002E-2</v>
      </c>
      <c r="R70" s="22">
        <v>6.6020877717750004E-2</v>
      </c>
      <c r="S70" s="22">
        <v>9.903131657662502E-2</v>
      </c>
      <c r="T70" s="22">
        <v>0.13204175543550001</v>
      </c>
      <c r="U70" s="22">
        <v>0.16505219429437501</v>
      </c>
      <c r="V70" s="22">
        <v>0.19806263315325001</v>
      </c>
      <c r="W70" s="22">
        <v>0.23107307201212501</v>
      </c>
      <c r="X70" s="22">
        <v>0.26408351087100002</v>
      </c>
      <c r="Y70" s="22">
        <v>0.29709394972987507</v>
      </c>
      <c r="Z70" s="22">
        <v>0.33010438858875008</v>
      </c>
      <c r="AA70" s="22">
        <v>0.36311482744762508</v>
      </c>
      <c r="AB70" s="22">
        <v>0.39612526630650008</v>
      </c>
      <c r="AC70" s="22">
        <v>0.42913570516537508</v>
      </c>
      <c r="AD70" s="22">
        <v>0.46214614402425008</v>
      </c>
      <c r="AE70" s="22">
        <v>0.49515658288312508</v>
      </c>
    </row>
    <row r="71" spans="1:31" x14ac:dyDescent="0.25">
      <c r="A71" s="41" t="s">
        <v>1085</v>
      </c>
      <c r="B71" s="6" t="s">
        <v>64</v>
      </c>
      <c r="C71" s="6" t="s">
        <v>5</v>
      </c>
      <c r="D71" s="6" t="s">
        <v>986</v>
      </c>
      <c r="E71" s="6">
        <v>2</v>
      </c>
      <c r="F71" s="6" t="s">
        <v>61</v>
      </c>
      <c r="G71" s="6" t="s">
        <v>987</v>
      </c>
      <c r="H71" s="6">
        <v>8982</v>
      </c>
      <c r="I71" s="41" t="s">
        <v>1086</v>
      </c>
      <c r="K71" s="22">
        <v>0.20036669112673841</v>
      </c>
      <c r="L71" s="22">
        <v>0.1573447362522738</v>
      </c>
      <c r="M71" s="22">
        <v>0.1644840377592767</v>
      </c>
      <c r="N71" s="22">
        <v>0.1507090778070489</v>
      </c>
      <c r="O71" s="22">
        <v>0.1507090778070489</v>
      </c>
      <c r="P71" s="22">
        <v>0.1507090778070489</v>
      </c>
      <c r="Q71" s="22">
        <v>0.1507090778070489</v>
      </c>
      <c r="R71" s="22">
        <v>0.1507090778070489</v>
      </c>
      <c r="S71" s="22">
        <v>0.1507090778070489</v>
      </c>
      <c r="T71" s="22">
        <v>0.1507090778070489</v>
      </c>
      <c r="U71" s="22">
        <v>0.1507090778070489</v>
      </c>
      <c r="V71" s="22">
        <v>0.1507090778070489</v>
      </c>
      <c r="W71" s="22">
        <v>0.1507090778070489</v>
      </c>
      <c r="X71" s="22">
        <v>0.1507090778070489</v>
      </c>
      <c r="Y71" s="22">
        <v>0.1507090778070489</v>
      </c>
      <c r="Z71" s="22">
        <v>0.1507090778070489</v>
      </c>
      <c r="AA71" s="22">
        <v>0.1507090778070489</v>
      </c>
      <c r="AB71" s="22">
        <v>0.1507090778070489</v>
      </c>
      <c r="AC71" s="22">
        <v>0.1507090778070489</v>
      </c>
      <c r="AD71" s="22">
        <v>0.1507090778070489</v>
      </c>
      <c r="AE71" s="22">
        <v>0.1507090778070489</v>
      </c>
    </row>
    <row r="72" spans="1:31" x14ac:dyDescent="0.25">
      <c r="A72" s="41" t="s">
        <v>1087</v>
      </c>
      <c r="B72" s="6" t="s">
        <v>64</v>
      </c>
      <c r="C72" s="6" t="s">
        <v>5</v>
      </c>
      <c r="D72" s="6" t="s">
        <v>989</v>
      </c>
      <c r="E72" s="6">
        <v>2</v>
      </c>
      <c r="F72" s="6" t="s">
        <v>61</v>
      </c>
      <c r="G72" s="6" t="s">
        <v>990</v>
      </c>
      <c r="H72" s="6">
        <v>8983</v>
      </c>
      <c r="I72" s="41" t="s">
        <v>1088</v>
      </c>
      <c r="K72" s="22">
        <v>0</v>
      </c>
      <c r="L72" s="22">
        <v>0</v>
      </c>
      <c r="M72" s="22">
        <v>0</v>
      </c>
      <c r="N72" s="22">
        <v>0</v>
      </c>
      <c r="O72" s="22">
        <v>0</v>
      </c>
      <c r="P72" s="22">
        <v>0</v>
      </c>
      <c r="Q72" s="22">
        <v>2.2106082927295691E-2</v>
      </c>
      <c r="R72" s="22">
        <v>4.4212165854591388E-2</v>
      </c>
      <c r="S72" s="22">
        <v>6.6318248781887079E-2</v>
      </c>
      <c r="T72" s="22">
        <v>8.8424331709182777E-2</v>
      </c>
      <c r="U72" s="22">
        <v>0.1105304146364785</v>
      </c>
      <c r="V72" s="22">
        <v>0.13263649756377421</v>
      </c>
      <c r="W72" s="22">
        <v>0.1547425804910699</v>
      </c>
      <c r="X72" s="22">
        <v>0.17684866341836561</v>
      </c>
      <c r="Y72" s="22">
        <v>0.19895474634566121</v>
      </c>
      <c r="Z72" s="22">
        <v>0.22106082927295689</v>
      </c>
      <c r="AA72" s="22">
        <v>0.24316691220025261</v>
      </c>
      <c r="AB72" s="22">
        <v>0.26527299512754832</v>
      </c>
      <c r="AC72" s="22">
        <v>0.28737907805484397</v>
      </c>
      <c r="AD72" s="22">
        <v>0.30948516098213968</v>
      </c>
      <c r="AE72" s="22">
        <v>0.3315912439094354</v>
      </c>
    </row>
    <row r="73" spans="1:31" x14ac:dyDescent="0.25">
      <c r="A73" s="41" t="s">
        <v>1089</v>
      </c>
      <c r="B73" s="6" t="s">
        <v>66</v>
      </c>
      <c r="C73" s="6" t="s">
        <v>5</v>
      </c>
      <c r="D73" s="6" t="s">
        <v>986</v>
      </c>
      <c r="E73" s="6">
        <v>2</v>
      </c>
      <c r="F73" s="6" t="s">
        <v>61</v>
      </c>
      <c r="G73" s="6" t="s">
        <v>987</v>
      </c>
      <c r="H73" s="6">
        <v>9005</v>
      </c>
      <c r="I73" s="41" t="s">
        <v>1090</v>
      </c>
      <c r="K73" s="22">
        <v>0.48429424097343482</v>
      </c>
      <c r="L73" s="22">
        <v>0.45642817050012813</v>
      </c>
      <c r="M73" s="22">
        <v>0.43168920195599519</v>
      </c>
      <c r="N73" s="22">
        <v>0.42507558395596989</v>
      </c>
      <c r="O73" s="22">
        <v>0.42507558395596989</v>
      </c>
      <c r="P73" s="22">
        <v>0.42507558395596989</v>
      </c>
      <c r="Q73" s="22">
        <v>0.42507558395596989</v>
      </c>
      <c r="R73" s="22">
        <v>0.42507558395596989</v>
      </c>
      <c r="S73" s="22">
        <v>0.42507558395597</v>
      </c>
      <c r="T73" s="22">
        <v>0.42507558395596989</v>
      </c>
      <c r="U73" s="22">
        <v>0.42507558395597</v>
      </c>
      <c r="V73" s="22">
        <v>0.42507558395596989</v>
      </c>
      <c r="W73" s="22">
        <v>0.42507558395596989</v>
      </c>
      <c r="X73" s="22">
        <v>0.42507558395596989</v>
      </c>
      <c r="Y73" s="22">
        <v>0.42507558395597</v>
      </c>
      <c r="Z73" s="22">
        <v>0.42507558395596989</v>
      </c>
      <c r="AA73" s="22">
        <v>0.42507558395596989</v>
      </c>
      <c r="AB73" s="22">
        <v>0.42507558395597</v>
      </c>
      <c r="AC73" s="22">
        <v>0.42507558395596989</v>
      </c>
      <c r="AD73" s="22">
        <v>0.42507558395596989</v>
      </c>
      <c r="AE73" s="22">
        <v>0.42507558395596989</v>
      </c>
    </row>
    <row r="74" spans="1:31" x14ac:dyDescent="0.25">
      <c r="A74" s="41" t="s">
        <v>1091</v>
      </c>
      <c r="B74" s="6" t="s">
        <v>66</v>
      </c>
      <c r="C74" s="6" t="s">
        <v>5</v>
      </c>
      <c r="D74" s="6" t="s">
        <v>989</v>
      </c>
      <c r="E74" s="6">
        <v>2</v>
      </c>
      <c r="F74" s="6" t="s">
        <v>61</v>
      </c>
      <c r="G74" s="6" t="s">
        <v>990</v>
      </c>
      <c r="H74" s="6">
        <v>9006</v>
      </c>
      <c r="I74" s="41" t="s">
        <v>1092</v>
      </c>
      <c r="K74" s="22">
        <v>0</v>
      </c>
      <c r="L74" s="22">
        <v>0</v>
      </c>
      <c r="M74" s="22">
        <v>0</v>
      </c>
      <c r="N74" s="22">
        <v>0</v>
      </c>
      <c r="O74" s="22">
        <v>0</v>
      </c>
      <c r="P74" s="22">
        <v>0</v>
      </c>
      <c r="Q74" s="22">
        <v>3.1988830110108488E-2</v>
      </c>
      <c r="R74" s="22">
        <v>6.3977660220216989E-2</v>
      </c>
      <c r="S74" s="22">
        <v>9.5966490330325477E-2</v>
      </c>
      <c r="T74" s="22">
        <v>0.12795532044043401</v>
      </c>
      <c r="U74" s="22">
        <v>0.15994415055054251</v>
      </c>
      <c r="V74" s="22">
        <v>0.19193298066065101</v>
      </c>
      <c r="W74" s="22">
        <v>0.22392181077075951</v>
      </c>
      <c r="X74" s="22">
        <v>0.25591064088086801</v>
      </c>
      <c r="Y74" s="22">
        <v>0.28789947099097651</v>
      </c>
      <c r="Z74" s="22">
        <v>0.3198883011010849</v>
      </c>
      <c r="AA74" s="22">
        <v>0.35187713121119341</v>
      </c>
      <c r="AB74" s="22">
        <v>0.38386596132130191</v>
      </c>
      <c r="AC74" s="22">
        <v>0.41585479143141041</v>
      </c>
      <c r="AD74" s="22">
        <v>0.44784362154151891</v>
      </c>
      <c r="AE74" s="22">
        <v>0.47983245165162741</v>
      </c>
    </row>
    <row r="75" spans="1:31" x14ac:dyDescent="0.25">
      <c r="A75" s="41" t="s">
        <v>1093</v>
      </c>
      <c r="B75" s="6" t="s">
        <v>68</v>
      </c>
      <c r="C75" s="6" t="s">
        <v>5</v>
      </c>
      <c r="D75" s="6" t="s">
        <v>986</v>
      </c>
      <c r="E75" s="6">
        <v>2</v>
      </c>
      <c r="F75" s="6" t="s">
        <v>70</v>
      </c>
      <c r="G75" s="6" t="s">
        <v>987</v>
      </c>
      <c r="H75" s="6">
        <v>9028</v>
      </c>
      <c r="I75" s="41" t="s">
        <v>1094</v>
      </c>
      <c r="K75" s="22">
        <v>41.50033849886843</v>
      </c>
      <c r="L75" s="22">
        <v>34.415370304313228</v>
      </c>
      <c r="M75" s="22">
        <v>37.368960690432033</v>
      </c>
      <c r="N75" s="22">
        <v>28.982761101477251</v>
      </c>
      <c r="O75" s="22">
        <v>15</v>
      </c>
      <c r="P75" s="22">
        <v>24.2586300842555</v>
      </c>
      <c r="Q75" s="22">
        <v>13.09620819613245</v>
      </c>
      <c r="R75" s="22">
        <v>10.02524511401058</v>
      </c>
      <c r="S75" s="22">
        <v>8.4772306913736166</v>
      </c>
      <c r="T75" s="22">
        <v>7.1234824452092234</v>
      </c>
      <c r="U75" s="22">
        <v>5.6527597394100546</v>
      </c>
      <c r="V75" s="22">
        <v>5.6527597394100582</v>
      </c>
      <c r="W75" s="22">
        <v>5.6527597394100582</v>
      </c>
      <c r="X75" s="22">
        <v>5.6527597394100582</v>
      </c>
      <c r="Y75" s="22">
        <v>5.6527597394100582</v>
      </c>
      <c r="Z75" s="22">
        <v>5.6527597394100653</v>
      </c>
      <c r="AA75" s="22">
        <v>5.6527597394100582</v>
      </c>
      <c r="AB75" s="22">
        <v>5.6527597394100582</v>
      </c>
      <c r="AC75" s="22">
        <v>5.6527597394100439</v>
      </c>
      <c r="AD75" s="22">
        <v>5.6527597394100582</v>
      </c>
      <c r="AE75" s="22">
        <v>5.6527597394100439</v>
      </c>
    </row>
    <row r="76" spans="1:31" x14ac:dyDescent="0.25">
      <c r="A76" s="41" t="s">
        <v>1095</v>
      </c>
      <c r="B76" s="6" t="s">
        <v>68</v>
      </c>
      <c r="C76" s="6" t="s">
        <v>5</v>
      </c>
      <c r="D76" s="6" t="s">
        <v>989</v>
      </c>
      <c r="E76" s="6">
        <v>2</v>
      </c>
      <c r="F76" s="6" t="s">
        <v>70</v>
      </c>
      <c r="G76" s="6" t="s">
        <v>990</v>
      </c>
      <c r="H76" s="6">
        <v>9029</v>
      </c>
      <c r="I76" s="41" t="s">
        <v>1096</v>
      </c>
      <c r="K76" s="22">
        <v>0</v>
      </c>
      <c r="L76" s="22">
        <v>0</v>
      </c>
      <c r="M76" s="22">
        <v>0</v>
      </c>
      <c r="N76" s="22">
        <v>0</v>
      </c>
      <c r="O76" s="22">
        <v>0</v>
      </c>
      <c r="P76" s="22">
        <v>0</v>
      </c>
      <c r="Q76" s="22">
        <v>5.8675499999999996</v>
      </c>
      <c r="R76" s="22">
        <v>11.735099999999999</v>
      </c>
      <c r="S76" s="22">
        <v>17.602650000000001</v>
      </c>
      <c r="T76" s="22">
        <v>23.470199999999998</v>
      </c>
      <c r="U76" s="22">
        <v>29.33775</v>
      </c>
      <c r="V76" s="22">
        <v>35.205300000000001</v>
      </c>
      <c r="W76" s="22">
        <v>41.072850000000003</v>
      </c>
      <c r="X76" s="22">
        <v>46.940399999999997</v>
      </c>
      <c r="Y76" s="22">
        <v>52.807950000000012</v>
      </c>
      <c r="Z76" s="22">
        <v>58.675500000000007</v>
      </c>
      <c r="AA76" s="22">
        <v>64.543050000000008</v>
      </c>
      <c r="AB76" s="22">
        <v>70.410600000000002</v>
      </c>
      <c r="AC76" s="22">
        <v>76.278150000000011</v>
      </c>
      <c r="AD76" s="22">
        <v>82.145700000000005</v>
      </c>
      <c r="AE76" s="22">
        <v>88.013250000000014</v>
      </c>
    </row>
    <row r="77" spans="1:31" x14ac:dyDescent="0.25">
      <c r="A77" s="41" t="s">
        <v>1097</v>
      </c>
      <c r="B77" s="6" t="s">
        <v>71</v>
      </c>
      <c r="C77" s="6" t="s">
        <v>5</v>
      </c>
      <c r="D77" s="6" t="s">
        <v>986</v>
      </c>
      <c r="E77" s="6">
        <v>2</v>
      </c>
      <c r="F77" s="6" t="s">
        <v>55</v>
      </c>
      <c r="G77" s="6" t="s">
        <v>987</v>
      </c>
      <c r="H77" s="6">
        <v>9051</v>
      </c>
      <c r="I77" s="41" t="s">
        <v>1098</v>
      </c>
      <c r="K77" s="22">
        <v>15.33455052931693</v>
      </c>
      <c r="L77" s="22">
        <v>14.199528390634921</v>
      </c>
      <c r="M77" s="22">
        <v>13.840441613315161</v>
      </c>
      <c r="N77" s="22">
        <v>13.5677269404465</v>
      </c>
      <c r="O77" s="22">
        <v>13.5677269404465</v>
      </c>
      <c r="P77" s="22">
        <v>13.5677269404465</v>
      </c>
      <c r="Q77" s="22">
        <v>13.5677269404465</v>
      </c>
      <c r="R77" s="22">
        <v>13.5677269404465</v>
      </c>
      <c r="S77" s="22">
        <v>13.5677269404465</v>
      </c>
      <c r="T77" s="22">
        <v>13.5677269404465</v>
      </c>
      <c r="U77" s="22">
        <v>13.5677269404465</v>
      </c>
      <c r="V77" s="22">
        <v>13.5677269404465</v>
      </c>
      <c r="W77" s="22">
        <v>13.5677269404465</v>
      </c>
      <c r="X77" s="22">
        <v>13.5677269404465</v>
      </c>
      <c r="Y77" s="22">
        <v>13.5677269404465</v>
      </c>
      <c r="Z77" s="22">
        <v>13.5677269404465</v>
      </c>
      <c r="AA77" s="22">
        <v>13.5677269404465</v>
      </c>
      <c r="AB77" s="22">
        <v>13.5677269404465</v>
      </c>
      <c r="AC77" s="22">
        <v>13.5677269404465</v>
      </c>
      <c r="AD77" s="22">
        <v>13.5677269404465</v>
      </c>
      <c r="AE77" s="22">
        <v>13.5677269404465</v>
      </c>
    </row>
    <row r="78" spans="1:31" x14ac:dyDescent="0.25">
      <c r="A78" s="41" t="s">
        <v>1099</v>
      </c>
      <c r="B78" s="6" t="s">
        <v>71</v>
      </c>
      <c r="C78" s="6" t="s">
        <v>5</v>
      </c>
      <c r="D78" s="6" t="s">
        <v>989</v>
      </c>
      <c r="E78" s="6">
        <v>2</v>
      </c>
      <c r="F78" s="6" t="s">
        <v>55</v>
      </c>
      <c r="G78" s="6" t="s">
        <v>990</v>
      </c>
      <c r="H78" s="6">
        <v>9052</v>
      </c>
      <c r="I78" s="41" t="s">
        <v>1100</v>
      </c>
      <c r="K78" s="22">
        <v>0</v>
      </c>
      <c r="L78" s="22">
        <v>0</v>
      </c>
      <c r="M78" s="22">
        <v>0</v>
      </c>
      <c r="N78" s="22">
        <v>0</v>
      </c>
      <c r="O78" s="22">
        <v>0</v>
      </c>
      <c r="P78" s="22">
        <v>0</v>
      </c>
      <c r="Q78" s="22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2">
        <v>0</v>
      </c>
      <c r="Z78" s="22">
        <v>0</v>
      </c>
      <c r="AA78" s="22">
        <v>0</v>
      </c>
      <c r="AB78" s="22">
        <v>0</v>
      </c>
      <c r="AC78" s="22">
        <v>0</v>
      </c>
      <c r="AD78" s="22">
        <v>0</v>
      </c>
      <c r="AE78" s="22">
        <v>0</v>
      </c>
    </row>
    <row r="79" spans="1:31" x14ac:dyDescent="0.25">
      <c r="A79" s="41" t="s">
        <v>1101</v>
      </c>
      <c r="B79" s="6" t="s">
        <v>73</v>
      </c>
      <c r="C79" s="6" t="s">
        <v>5</v>
      </c>
      <c r="D79" s="6" t="s">
        <v>986</v>
      </c>
      <c r="E79" s="6">
        <v>2</v>
      </c>
      <c r="F79" s="6" t="s">
        <v>75</v>
      </c>
      <c r="G79" s="6" t="s">
        <v>987</v>
      </c>
      <c r="H79" s="6">
        <v>9140</v>
      </c>
      <c r="I79" s="41" t="s">
        <v>1102</v>
      </c>
      <c r="K79" s="22"/>
      <c r="L79" s="22">
        <v>0.14404498679319799</v>
      </c>
      <c r="M79" s="22">
        <v>0.14138624175135939</v>
      </c>
      <c r="N79" s="22">
        <v>0.1353975654437313</v>
      </c>
      <c r="O79" s="22">
        <v>0.13152288542065141</v>
      </c>
      <c r="P79" s="22">
        <v>0.12882610848523129</v>
      </c>
      <c r="Q79" s="22">
        <v>0.1259420097647401</v>
      </c>
      <c r="R79" s="22">
        <v>0.1231132657018609</v>
      </c>
      <c r="S79" s="22">
        <v>0.1193917380890684</v>
      </c>
      <c r="T79" s="22">
        <v>0.1155441904679203</v>
      </c>
      <c r="U79" s="22">
        <v>0.11492423065415899</v>
      </c>
      <c r="V79" s="22">
        <v>0.11434691211673639</v>
      </c>
      <c r="W79" s="22">
        <v>0.1137387111726635</v>
      </c>
      <c r="X79" s="22">
        <v>0.1129999004875214</v>
      </c>
      <c r="Y79" s="22">
        <v>0.11217768583553429</v>
      </c>
      <c r="Z79" s="22">
        <v>0.1114179032504042</v>
      </c>
      <c r="AA79" s="22">
        <v>0.1105258199854538</v>
      </c>
      <c r="AB79" s="22">
        <v>0.1096995652348958</v>
      </c>
      <c r="AC79" s="22">
        <v>0.1077267889639492</v>
      </c>
      <c r="AD79" s="22">
        <v>0.1058209244509353</v>
      </c>
      <c r="AE79" s="22">
        <v>0.1038555957057212</v>
      </c>
    </row>
    <row r="80" spans="1:31" x14ac:dyDescent="0.25">
      <c r="A80" s="41" t="s">
        <v>1103</v>
      </c>
      <c r="B80" s="6" t="s">
        <v>73</v>
      </c>
      <c r="C80" s="6" t="s">
        <v>5</v>
      </c>
      <c r="D80" s="6" t="s">
        <v>989</v>
      </c>
      <c r="E80" s="6">
        <v>2</v>
      </c>
      <c r="F80" s="6" t="s">
        <v>75</v>
      </c>
      <c r="G80" s="6" t="s">
        <v>990</v>
      </c>
      <c r="H80" s="6">
        <v>9141</v>
      </c>
      <c r="I80" s="41" t="s">
        <v>1104</v>
      </c>
      <c r="K80" s="22"/>
      <c r="L80" s="22">
        <v>0</v>
      </c>
      <c r="M80" s="22">
        <v>0</v>
      </c>
      <c r="N80" s="22">
        <v>0</v>
      </c>
      <c r="O80" s="22">
        <v>0</v>
      </c>
      <c r="P80" s="22">
        <v>0</v>
      </c>
      <c r="Q80" s="22">
        <v>0</v>
      </c>
      <c r="R80" s="22">
        <v>0</v>
      </c>
      <c r="S80" s="22">
        <v>0</v>
      </c>
      <c r="T80" s="22">
        <v>0</v>
      </c>
      <c r="U80" s="22">
        <v>0</v>
      </c>
      <c r="V80" s="22">
        <v>0</v>
      </c>
      <c r="W80" s="22">
        <v>0</v>
      </c>
      <c r="X80" s="22">
        <v>0</v>
      </c>
      <c r="Y80" s="22">
        <v>0</v>
      </c>
      <c r="Z80" s="22">
        <v>0</v>
      </c>
      <c r="AA80" s="22">
        <v>0</v>
      </c>
      <c r="AB80" s="22">
        <v>0</v>
      </c>
      <c r="AC80" s="22">
        <v>0</v>
      </c>
      <c r="AD80" s="22">
        <v>0</v>
      </c>
      <c r="AE80" s="22">
        <v>0</v>
      </c>
    </row>
    <row r="81" spans="1:31" x14ac:dyDescent="0.25">
      <c r="A81" s="41" t="s">
        <v>1105</v>
      </c>
      <c r="B81" s="6" t="s">
        <v>53</v>
      </c>
      <c r="C81" s="6" t="s">
        <v>5</v>
      </c>
      <c r="D81" s="6" t="s">
        <v>79</v>
      </c>
      <c r="E81" s="6">
        <v>2</v>
      </c>
      <c r="F81" s="6" t="s">
        <v>55</v>
      </c>
      <c r="G81" s="6" t="s">
        <v>1022</v>
      </c>
      <c r="H81" s="6">
        <v>8710</v>
      </c>
      <c r="I81" s="41" t="s">
        <v>1105</v>
      </c>
      <c r="K81" s="22"/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2">
        <v>0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</row>
    <row r="82" spans="1:31" x14ac:dyDescent="0.25">
      <c r="A82" s="41" t="s">
        <v>1106</v>
      </c>
      <c r="B82" s="6" t="s">
        <v>57</v>
      </c>
      <c r="C82" s="6" t="s">
        <v>5</v>
      </c>
      <c r="D82" s="6" t="s">
        <v>79</v>
      </c>
      <c r="E82" s="6">
        <v>2</v>
      </c>
      <c r="F82" s="6" t="s">
        <v>55</v>
      </c>
      <c r="G82" s="6" t="s">
        <v>1022</v>
      </c>
      <c r="H82" s="6">
        <v>8713</v>
      </c>
      <c r="I82" s="41" t="s">
        <v>1106</v>
      </c>
      <c r="K82" s="22"/>
      <c r="L82" s="22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2">
        <v>0</v>
      </c>
      <c r="Z82" s="22">
        <v>0</v>
      </c>
      <c r="AA82" s="22">
        <v>0</v>
      </c>
      <c r="AB82" s="22">
        <v>0</v>
      </c>
      <c r="AC82" s="22">
        <v>0</v>
      </c>
      <c r="AD82" s="22">
        <v>0</v>
      </c>
      <c r="AE82" s="22">
        <v>0</v>
      </c>
    </row>
    <row r="83" spans="1:31" x14ac:dyDescent="0.25">
      <c r="A83" s="41" t="s">
        <v>1107</v>
      </c>
      <c r="B83" s="6" t="s">
        <v>59</v>
      </c>
      <c r="C83" s="6" t="s">
        <v>5</v>
      </c>
      <c r="D83" s="6" t="s">
        <v>79</v>
      </c>
      <c r="E83" s="6">
        <v>2</v>
      </c>
      <c r="F83" s="6" t="s">
        <v>61</v>
      </c>
      <c r="G83" s="6" t="s">
        <v>1022</v>
      </c>
      <c r="H83" s="6">
        <v>8714</v>
      </c>
      <c r="I83" s="41" t="s">
        <v>1108</v>
      </c>
      <c r="K83" s="22"/>
      <c r="L83" s="22">
        <v>0</v>
      </c>
      <c r="M83" s="22">
        <v>0</v>
      </c>
      <c r="N83" s="22">
        <v>0</v>
      </c>
      <c r="O83" s="22">
        <v>0</v>
      </c>
      <c r="P83" s="22">
        <v>0</v>
      </c>
      <c r="Q83" s="22">
        <v>0</v>
      </c>
      <c r="R83" s="22">
        <v>0</v>
      </c>
      <c r="S83" s="22">
        <v>0</v>
      </c>
      <c r="T83" s="22">
        <v>0</v>
      </c>
      <c r="U83" s="22">
        <v>0</v>
      </c>
      <c r="V83" s="22">
        <v>0</v>
      </c>
      <c r="W83" s="22">
        <v>0</v>
      </c>
      <c r="X83" s="22">
        <v>0</v>
      </c>
      <c r="Y83" s="22">
        <v>0</v>
      </c>
      <c r="Z83" s="22">
        <v>0</v>
      </c>
      <c r="AA83" s="22">
        <v>0</v>
      </c>
      <c r="AB83" s="22">
        <v>0</v>
      </c>
      <c r="AC83" s="22">
        <v>0</v>
      </c>
      <c r="AD83" s="22">
        <v>0</v>
      </c>
      <c r="AE83" s="22">
        <v>0</v>
      </c>
    </row>
    <row r="84" spans="1:31" x14ac:dyDescent="0.25">
      <c r="A84" s="41" t="s">
        <v>1109</v>
      </c>
      <c r="B84" s="6" t="s">
        <v>62</v>
      </c>
      <c r="C84" s="6" t="s">
        <v>5</v>
      </c>
      <c r="D84" s="6" t="s">
        <v>79</v>
      </c>
      <c r="E84" s="6">
        <v>2</v>
      </c>
      <c r="F84" s="6" t="s">
        <v>61</v>
      </c>
      <c r="G84" s="6" t="s">
        <v>1022</v>
      </c>
      <c r="H84" s="6">
        <v>8715</v>
      </c>
      <c r="I84" s="41" t="s">
        <v>1110</v>
      </c>
      <c r="K84" s="22"/>
      <c r="L84" s="22">
        <v>0</v>
      </c>
      <c r="M84" s="22">
        <v>0</v>
      </c>
      <c r="N84" s="22">
        <v>0</v>
      </c>
      <c r="O84" s="22">
        <v>0</v>
      </c>
      <c r="P84" s="22">
        <v>0</v>
      </c>
      <c r="Q84" s="22">
        <v>0</v>
      </c>
      <c r="R84" s="22">
        <v>0</v>
      </c>
      <c r="S84" s="22">
        <v>0</v>
      </c>
      <c r="T84" s="22">
        <v>0</v>
      </c>
      <c r="U84" s="22">
        <v>0</v>
      </c>
      <c r="V84" s="22">
        <v>0</v>
      </c>
      <c r="W84" s="22">
        <v>0</v>
      </c>
      <c r="X84" s="22">
        <v>0</v>
      </c>
      <c r="Y84" s="22">
        <v>0</v>
      </c>
      <c r="Z84" s="22">
        <v>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</row>
    <row r="85" spans="1:31" x14ac:dyDescent="0.25">
      <c r="A85" s="41" t="s">
        <v>1111</v>
      </c>
      <c r="B85" s="6" t="s">
        <v>64</v>
      </c>
      <c r="C85" s="6" t="s">
        <v>5</v>
      </c>
      <c r="D85" s="6" t="s">
        <v>79</v>
      </c>
      <c r="E85" s="6">
        <v>2</v>
      </c>
      <c r="F85" s="6" t="s">
        <v>61</v>
      </c>
      <c r="G85" s="6" t="s">
        <v>1022</v>
      </c>
      <c r="H85" s="6">
        <v>8716</v>
      </c>
      <c r="I85" s="41" t="s">
        <v>1112</v>
      </c>
      <c r="K85" s="22"/>
      <c r="L85" s="22">
        <v>0</v>
      </c>
      <c r="M85" s="22">
        <v>0</v>
      </c>
      <c r="N85" s="22">
        <v>0</v>
      </c>
      <c r="O85" s="22">
        <v>0</v>
      </c>
      <c r="P85" s="22">
        <v>0</v>
      </c>
      <c r="Q85" s="22">
        <v>0</v>
      </c>
      <c r="R85" s="22">
        <v>0</v>
      </c>
      <c r="S85" s="22">
        <v>0</v>
      </c>
      <c r="T85" s="22">
        <v>0</v>
      </c>
      <c r="U85" s="22">
        <v>0</v>
      </c>
      <c r="V85" s="22">
        <v>0</v>
      </c>
      <c r="W85" s="22">
        <v>0</v>
      </c>
      <c r="X85" s="22">
        <v>0</v>
      </c>
      <c r="Y85" s="22">
        <v>0</v>
      </c>
      <c r="Z85" s="22">
        <v>0</v>
      </c>
      <c r="AA85" s="22">
        <v>0</v>
      </c>
      <c r="AB85" s="22">
        <v>0</v>
      </c>
      <c r="AC85" s="22">
        <v>0</v>
      </c>
      <c r="AD85" s="22">
        <v>0</v>
      </c>
      <c r="AE85" s="22">
        <v>0</v>
      </c>
    </row>
    <row r="86" spans="1:31" x14ac:dyDescent="0.25">
      <c r="A86" s="41" t="s">
        <v>1113</v>
      </c>
      <c r="B86" s="6" t="s">
        <v>66</v>
      </c>
      <c r="C86" s="6" t="s">
        <v>5</v>
      </c>
      <c r="D86" s="6" t="s">
        <v>79</v>
      </c>
      <c r="E86" s="6">
        <v>2</v>
      </c>
      <c r="F86" s="6" t="s">
        <v>61</v>
      </c>
      <c r="G86" s="6" t="s">
        <v>1022</v>
      </c>
      <c r="H86" s="6">
        <v>8717</v>
      </c>
      <c r="I86" s="41" t="s">
        <v>1114</v>
      </c>
      <c r="K86" s="22"/>
      <c r="L86" s="22">
        <v>0</v>
      </c>
      <c r="M86" s="22">
        <v>0</v>
      </c>
      <c r="N86" s="22">
        <v>0</v>
      </c>
      <c r="O86" s="22">
        <v>0</v>
      </c>
      <c r="P86" s="22">
        <v>0</v>
      </c>
      <c r="Q86" s="22">
        <v>0</v>
      </c>
      <c r="R86" s="22">
        <v>0</v>
      </c>
      <c r="S86" s="22">
        <v>0</v>
      </c>
      <c r="T86" s="22">
        <v>0</v>
      </c>
      <c r="U86" s="22">
        <v>0</v>
      </c>
      <c r="V86" s="22">
        <v>0</v>
      </c>
      <c r="W86" s="22">
        <v>0</v>
      </c>
      <c r="X86" s="22">
        <v>0</v>
      </c>
      <c r="Y86" s="22">
        <v>0</v>
      </c>
      <c r="Z86" s="22">
        <v>0</v>
      </c>
      <c r="AA86" s="22">
        <v>0</v>
      </c>
      <c r="AB86" s="22">
        <v>0</v>
      </c>
      <c r="AC86" s="22">
        <v>0</v>
      </c>
      <c r="AD86" s="22">
        <v>0</v>
      </c>
      <c r="AE86" s="22">
        <v>0</v>
      </c>
    </row>
    <row r="87" spans="1:31" x14ac:dyDescent="0.25">
      <c r="A87" s="41" t="s">
        <v>1115</v>
      </c>
      <c r="B87" s="6" t="s">
        <v>68</v>
      </c>
      <c r="C87" s="6" t="s">
        <v>5</v>
      </c>
      <c r="D87" s="6" t="s">
        <v>79</v>
      </c>
      <c r="E87" s="6">
        <v>2</v>
      </c>
      <c r="F87" s="6" t="s">
        <v>70</v>
      </c>
      <c r="G87" s="6" t="s">
        <v>1022</v>
      </c>
      <c r="H87" s="6">
        <v>8718</v>
      </c>
      <c r="I87" s="41" t="s">
        <v>1116</v>
      </c>
      <c r="K87" s="22"/>
      <c r="L87" s="22">
        <v>0</v>
      </c>
      <c r="M87" s="22">
        <v>0</v>
      </c>
      <c r="N87" s="22">
        <v>0</v>
      </c>
      <c r="O87" s="22">
        <v>0</v>
      </c>
      <c r="P87" s="22">
        <v>0</v>
      </c>
      <c r="Q87" s="22">
        <v>0</v>
      </c>
      <c r="R87" s="22">
        <v>0</v>
      </c>
      <c r="S87" s="22">
        <v>0</v>
      </c>
      <c r="T87" s="22">
        <v>0</v>
      </c>
      <c r="U87" s="22">
        <v>0</v>
      </c>
      <c r="V87" s="22">
        <v>0</v>
      </c>
      <c r="W87" s="22">
        <v>0</v>
      </c>
      <c r="X87" s="22">
        <v>0</v>
      </c>
      <c r="Y87" s="22">
        <v>0</v>
      </c>
      <c r="Z87" s="22">
        <v>0</v>
      </c>
      <c r="AA87" s="22">
        <v>0</v>
      </c>
      <c r="AB87" s="22">
        <v>0</v>
      </c>
      <c r="AC87" s="22">
        <v>0</v>
      </c>
      <c r="AD87" s="22">
        <v>0</v>
      </c>
      <c r="AE87" s="22">
        <v>0</v>
      </c>
    </row>
    <row r="88" spans="1:31" x14ac:dyDescent="0.25">
      <c r="A88" s="41" t="s">
        <v>1117</v>
      </c>
      <c r="B88" s="6" t="s">
        <v>71</v>
      </c>
      <c r="C88" s="6" t="s">
        <v>5</v>
      </c>
      <c r="D88" s="6" t="s">
        <v>79</v>
      </c>
      <c r="E88" s="6">
        <v>2</v>
      </c>
      <c r="F88" s="6" t="s">
        <v>55</v>
      </c>
      <c r="G88" s="6" t="s">
        <v>1022</v>
      </c>
      <c r="H88" s="6">
        <v>8719</v>
      </c>
      <c r="I88" s="41" t="s">
        <v>1118</v>
      </c>
      <c r="K88" s="22"/>
      <c r="L88" s="22">
        <v>0</v>
      </c>
      <c r="M88" s="22">
        <v>0</v>
      </c>
      <c r="N88" s="22">
        <v>0</v>
      </c>
      <c r="O88" s="22">
        <v>0</v>
      </c>
      <c r="P88" s="22">
        <v>0</v>
      </c>
      <c r="Q88" s="22">
        <v>0</v>
      </c>
      <c r="R88" s="22">
        <v>0</v>
      </c>
      <c r="S88" s="22">
        <v>0</v>
      </c>
      <c r="T88" s="22">
        <v>0</v>
      </c>
      <c r="U88" s="22">
        <v>0</v>
      </c>
      <c r="V88" s="22">
        <v>0</v>
      </c>
      <c r="W88" s="22">
        <v>0</v>
      </c>
      <c r="X88" s="22">
        <v>0</v>
      </c>
      <c r="Y88" s="22">
        <v>0</v>
      </c>
      <c r="Z88" s="22">
        <v>0</v>
      </c>
      <c r="AA88" s="22">
        <v>0</v>
      </c>
      <c r="AB88" s="22">
        <v>0</v>
      </c>
      <c r="AC88" s="22">
        <v>0</v>
      </c>
      <c r="AD88" s="22">
        <v>0</v>
      </c>
      <c r="AE88" s="22">
        <v>0</v>
      </c>
    </row>
    <row r="89" spans="1:31" x14ac:dyDescent="0.25">
      <c r="A89" s="41" t="s">
        <v>1119</v>
      </c>
      <c r="B89" s="6" t="s">
        <v>73</v>
      </c>
      <c r="C89" s="6" t="s">
        <v>5</v>
      </c>
      <c r="D89" s="6" t="s">
        <v>79</v>
      </c>
      <c r="E89" s="6">
        <v>2</v>
      </c>
      <c r="F89" s="6" t="s">
        <v>75</v>
      </c>
      <c r="G89" s="6" t="s">
        <v>1037</v>
      </c>
      <c r="H89" s="6" t="s">
        <v>81</v>
      </c>
      <c r="I89" s="41" t="s">
        <v>81</v>
      </c>
      <c r="K89" s="22">
        <v>0</v>
      </c>
      <c r="L89" s="22">
        <v>0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2">
        <v>0</v>
      </c>
      <c r="Z89" s="22">
        <v>0</v>
      </c>
      <c r="AA89" s="22">
        <v>0</v>
      </c>
      <c r="AB89" s="22">
        <v>0</v>
      </c>
      <c r="AC89" s="22">
        <v>0</v>
      </c>
      <c r="AD89" s="22">
        <v>0</v>
      </c>
      <c r="AE89" s="22">
        <v>0</v>
      </c>
    </row>
    <row r="90" spans="1:31" x14ac:dyDescent="0.25">
      <c r="A90" s="41" t="s">
        <v>1120</v>
      </c>
      <c r="B90" s="6" t="s">
        <v>81</v>
      </c>
      <c r="C90" s="6" t="s">
        <v>930</v>
      </c>
      <c r="D90" s="6" t="s">
        <v>84</v>
      </c>
      <c r="E90" s="6">
        <v>2</v>
      </c>
      <c r="F90" s="6" t="s">
        <v>83</v>
      </c>
      <c r="G90" s="6" t="s">
        <v>1039</v>
      </c>
      <c r="H90" s="6">
        <v>8601</v>
      </c>
      <c r="I90" s="41" t="s">
        <v>1120</v>
      </c>
      <c r="K90" s="23"/>
      <c r="L90" s="23">
        <v>0</v>
      </c>
      <c r="M90" s="23">
        <v>0</v>
      </c>
      <c r="N90" s="23">
        <v>0</v>
      </c>
      <c r="O90" s="23">
        <v>0</v>
      </c>
      <c r="P90" s="23">
        <v>1</v>
      </c>
      <c r="Q90" s="23">
        <v>1</v>
      </c>
      <c r="R90" s="23">
        <v>1</v>
      </c>
      <c r="S90" s="23">
        <v>1</v>
      </c>
      <c r="T90" s="23">
        <v>1</v>
      </c>
      <c r="U90" s="23">
        <v>1</v>
      </c>
      <c r="V90" s="23">
        <v>1</v>
      </c>
      <c r="W90" s="23">
        <v>1</v>
      </c>
      <c r="X90" s="23">
        <v>1</v>
      </c>
      <c r="Y90" s="23">
        <v>1</v>
      </c>
      <c r="Z90" s="23">
        <v>1</v>
      </c>
      <c r="AA90" s="23">
        <v>1</v>
      </c>
      <c r="AB90" s="23">
        <v>1</v>
      </c>
      <c r="AC90" s="23">
        <v>1</v>
      </c>
      <c r="AD90" s="23">
        <v>1</v>
      </c>
      <c r="AE90" s="23">
        <v>1</v>
      </c>
    </row>
    <row r="91" spans="1:31" x14ac:dyDescent="0.25">
      <c r="A91" s="41" t="s">
        <v>1121</v>
      </c>
      <c r="B91" s="6" t="s">
        <v>81</v>
      </c>
      <c r="C91" s="6" t="s">
        <v>931</v>
      </c>
      <c r="D91" s="6" t="s">
        <v>84</v>
      </c>
      <c r="E91" s="6">
        <v>2</v>
      </c>
      <c r="F91" s="6" t="s">
        <v>83</v>
      </c>
      <c r="G91" s="6" t="s">
        <v>1039</v>
      </c>
      <c r="H91" s="6">
        <v>8602</v>
      </c>
      <c r="I91" s="41" t="s">
        <v>1121</v>
      </c>
      <c r="K91" s="23"/>
      <c r="L91" s="23">
        <v>0</v>
      </c>
      <c r="M91" s="23">
        <v>0</v>
      </c>
      <c r="N91" s="23">
        <v>0</v>
      </c>
      <c r="O91" s="23">
        <v>0</v>
      </c>
      <c r="P91" s="23">
        <v>1</v>
      </c>
      <c r="Q91" s="23">
        <v>1</v>
      </c>
      <c r="R91" s="23">
        <v>1</v>
      </c>
      <c r="S91" s="23">
        <v>1</v>
      </c>
      <c r="T91" s="23">
        <v>1</v>
      </c>
      <c r="U91" s="23">
        <v>1</v>
      </c>
      <c r="V91" s="23">
        <v>1</v>
      </c>
      <c r="W91" s="23">
        <v>1</v>
      </c>
      <c r="X91" s="23">
        <v>1</v>
      </c>
      <c r="Y91" s="23">
        <v>1</v>
      </c>
      <c r="Z91" s="23">
        <v>1</v>
      </c>
      <c r="AA91" s="23">
        <v>1</v>
      </c>
      <c r="AB91" s="23">
        <v>1</v>
      </c>
      <c r="AC91" s="23">
        <v>1</v>
      </c>
      <c r="AD91" s="23">
        <v>1</v>
      </c>
      <c r="AE91" s="23">
        <v>1</v>
      </c>
    </row>
    <row r="92" spans="1:31" x14ac:dyDescent="0.25">
      <c r="A92" s="41" t="s">
        <v>1122</v>
      </c>
      <c r="B92" s="6" t="s">
        <v>81</v>
      </c>
      <c r="C92" s="6" t="s">
        <v>932</v>
      </c>
      <c r="D92" s="6" t="s">
        <v>84</v>
      </c>
      <c r="E92" s="6">
        <v>2</v>
      </c>
      <c r="F92" s="6" t="s">
        <v>83</v>
      </c>
      <c r="G92" s="6" t="s">
        <v>1039</v>
      </c>
      <c r="H92" s="6">
        <v>8603</v>
      </c>
      <c r="I92" s="41" t="s">
        <v>1122</v>
      </c>
      <c r="K92" s="23"/>
      <c r="L92" s="23">
        <v>0</v>
      </c>
      <c r="M92" s="23">
        <v>0</v>
      </c>
      <c r="N92" s="23">
        <v>0</v>
      </c>
      <c r="O92" s="23">
        <v>0</v>
      </c>
      <c r="P92" s="23">
        <v>1</v>
      </c>
      <c r="Q92" s="23">
        <v>1</v>
      </c>
      <c r="R92" s="23">
        <v>1</v>
      </c>
      <c r="S92" s="23">
        <v>1</v>
      </c>
      <c r="T92" s="23">
        <v>1</v>
      </c>
      <c r="U92" s="23">
        <v>1</v>
      </c>
      <c r="V92" s="23">
        <v>1</v>
      </c>
      <c r="W92" s="23">
        <v>1</v>
      </c>
      <c r="X92" s="23">
        <v>1</v>
      </c>
      <c r="Y92" s="23">
        <v>1</v>
      </c>
      <c r="Z92" s="23">
        <v>1</v>
      </c>
      <c r="AA92" s="23">
        <v>1</v>
      </c>
      <c r="AB92" s="23">
        <v>1</v>
      </c>
      <c r="AC92" s="23">
        <v>1</v>
      </c>
      <c r="AD92" s="23">
        <v>1</v>
      </c>
      <c r="AE92" s="23">
        <v>1</v>
      </c>
    </row>
    <row r="93" spans="1:31" x14ac:dyDescent="0.25">
      <c r="A93" s="41" t="s">
        <v>1123</v>
      </c>
      <c r="B93" s="6" t="s">
        <v>81</v>
      </c>
      <c r="C93" s="6" t="s">
        <v>934</v>
      </c>
      <c r="D93" s="6" t="s">
        <v>84</v>
      </c>
      <c r="E93" s="6">
        <v>2</v>
      </c>
      <c r="F93" s="6" t="s">
        <v>83</v>
      </c>
      <c r="G93" s="6" t="s">
        <v>1039</v>
      </c>
      <c r="H93" s="6">
        <v>8604</v>
      </c>
      <c r="I93" s="41" t="s">
        <v>1123</v>
      </c>
      <c r="K93" s="23"/>
      <c r="L93" s="23">
        <v>0</v>
      </c>
      <c r="M93" s="23">
        <v>0</v>
      </c>
      <c r="N93" s="23">
        <v>0</v>
      </c>
      <c r="O93" s="23">
        <v>0</v>
      </c>
      <c r="P93" s="23">
        <v>1</v>
      </c>
      <c r="Q93" s="23">
        <v>1</v>
      </c>
      <c r="R93" s="23">
        <v>1</v>
      </c>
      <c r="S93" s="23">
        <v>1</v>
      </c>
      <c r="T93" s="23">
        <v>1</v>
      </c>
      <c r="U93" s="23">
        <v>1</v>
      </c>
      <c r="V93" s="23">
        <v>1</v>
      </c>
      <c r="W93" s="23">
        <v>1</v>
      </c>
      <c r="X93" s="23">
        <v>1</v>
      </c>
      <c r="Y93" s="23">
        <v>1</v>
      </c>
      <c r="Z93" s="23">
        <v>1</v>
      </c>
      <c r="AA93" s="23">
        <v>1</v>
      </c>
      <c r="AB93" s="23">
        <v>1</v>
      </c>
      <c r="AC93" s="23">
        <v>1</v>
      </c>
      <c r="AD93" s="23">
        <v>1</v>
      </c>
      <c r="AE93" s="23">
        <v>1</v>
      </c>
    </row>
    <row r="94" spans="1:31" x14ac:dyDescent="0.25">
      <c r="A94" s="41" t="s">
        <v>1124</v>
      </c>
      <c r="B94" s="6" t="s">
        <v>81</v>
      </c>
      <c r="C94" s="6" t="s">
        <v>933</v>
      </c>
      <c r="D94" s="6" t="s">
        <v>84</v>
      </c>
      <c r="E94" s="6">
        <v>2</v>
      </c>
      <c r="F94" s="6" t="s">
        <v>83</v>
      </c>
      <c r="G94" s="6" t="s">
        <v>1039</v>
      </c>
      <c r="H94" s="6">
        <v>8605</v>
      </c>
      <c r="I94" s="41" t="s">
        <v>1124</v>
      </c>
      <c r="K94" s="23"/>
      <c r="L94" s="23">
        <v>0</v>
      </c>
      <c r="M94" s="23">
        <v>0</v>
      </c>
      <c r="N94" s="23">
        <v>0</v>
      </c>
      <c r="O94" s="23">
        <v>0</v>
      </c>
      <c r="P94" s="23">
        <v>1</v>
      </c>
      <c r="Q94" s="23">
        <v>1</v>
      </c>
      <c r="R94" s="23">
        <v>1</v>
      </c>
      <c r="S94" s="23">
        <v>1</v>
      </c>
      <c r="T94" s="23">
        <v>1</v>
      </c>
      <c r="U94" s="23">
        <v>1</v>
      </c>
      <c r="V94" s="23">
        <v>1</v>
      </c>
      <c r="W94" s="23">
        <v>1</v>
      </c>
      <c r="X94" s="23">
        <v>1</v>
      </c>
      <c r="Y94" s="23">
        <v>1</v>
      </c>
      <c r="Z94" s="23">
        <v>1</v>
      </c>
      <c r="AA94" s="23">
        <v>1</v>
      </c>
      <c r="AB94" s="23">
        <v>1</v>
      </c>
      <c r="AC94" s="23">
        <v>1</v>
      </c>
      <c r="AD94" s="23">
        <v>1</v>
      </c>
      <c r="AE94" s="23">
        <v>1</v>
      </c>
    </row>
    <row r="95" spans="1:31" x14ac:dyDescent="0.25">
      <c r="A95" s="41" t="s">
        <v>1125</v>
      </c>
      <c r="B95" s="6" t="s">
        <v>81</v>
      </c>
      <c r="C95" s="6" t="s">
        <v>935</v>
      </c>
      <c r="D95" s="6" t="s">
        <v>84</v>
      </c>
      <c r="E95" s="6">
        <v>2</v>
      </c>
      <c r="F95" s="6" t="s">
        <v>83</v>
      </c>
      <c r="G95" s="6" t="s">
        <v>1039</v>
      </c>
      <c r="H95" s="6">
        <v>8606</v>
      </c>
      <c r="I95" s="41" t="s">
        <v>1125</v>
      </c>
      <c r="K95" s="23"/>
      <c r="L95" s="23">
        <v>0</v>
      </c>
      <c r="M95" s="23">
        <v>0</v>
      </c>
      <c r="N95" s="23">
        <v>0</v>
      </c>
      <c r="O95" s="23">
        <v>0</v>
      </c>
      <c r="P95" s="23">
        <v>1</v>
      </c>
      <c r="Q95" s="23">
        <v>1</v>
      </c>
      <c r="R95" s="23">
        <v>1</v>
      </c>
      <c r="S95" s="23">
        <v>1</v>
      </c>
      <c r="T95" s="23">
        <v>1</v>
      </c>
      <c r="U95" s="23">
        <v>1</v>
      </c>
      <c r="V95" s="23">
        <v>1</v>
      </c>
      <c r="W95" s="23">
        <v>1</v>
      </c>
      <c r="X95" s="23">
        <v>1</v>
      </c>
      <c r="Y95" s="23">
        <v>1</v>
      </c>
      <c r="Z95" s="23">
        <v>1</v>
      </c>
      <c r="AA95" s="23">
        <v>1</v>
      </c>
      <c r="AB95" s="23">
        <v>1</v>
      </c>
      <c r="AC95" s="23">
        <v>1</v>
      </c>
      <c r="AD95" s="23">
        <v>1</v>
      </c>
      <c r="AE95" s="23">
        <v>1</v>
      </c>
    </row>
    <row r="96" spans="1:31" x14ac:dyDescent="0.25">
      <c r="A96" s="41" t="s">
        <v>1126</v>
      </c>
      <c r="B96" s="6" t="s">
        <v>81</v>
      </c>
      <c r="C96" s="6" t="s">
        <v>936</v>
      </c>
      <c r="D96" s="6" t="s">
        <v>84</v>
      </c>
      <c r="E96" s="6">
        <v>2</v>
      </c>
      <c r="F96" s="6" t="s">
        <v>83</v>
      </c>
      <c r="G96" s="6" t="s">
        <v>1039</v>
      </c>
      <c r="H96" s="6">
        <v>8607</v>
      </c>
      <c r="I96" s="41" t="s">
        <v>1126</v>
      </c>
      <c r="K96" s="23"/>
      <c r="L96" s="23">
        <v>0</v>
      </c>
      <c r="M96" s="23">
        <v>0</v>
      </c>
      <c r="N96" s="23">
        <v>0</v>
      </c>
      <c r="O96" s="23">
        <v>0</v>
      </c>
      <c r="P96" s="23">
        <v>1</v>
      </c>
      <c r="Q96" s="23">
        <v>1</v>
      </c>
      <c r="R96" s="23">
        <v>1</v>
      </c>
      <c r="S96" s="23">
        <v>1</v>
      </c>
      <c r="T96" s="23">
        <v>1</v>
      </c>
      <c r="U96" s="23">
        <v>1</v>
      </c>
      <c r="V96" s="23">
        <v>1</v>
      </c>
      <c r="W96" s="23">
        <v>1</v>
      </c>
      <c r="X96" s="23">
        <v>1</v>
      </c>
      <c r="Y96" s="23">
        <v>1</v>
      </c>
      <c r="Z96" s="23">
        <v>1</v>
      </c>
      <c r="AA96" s="23">
        <v>1</v>
      </c>
      <c r="AB96" s="23">
        <v>1</v>
      </c>
      <c r="AC96" s="23">
        <v>1</v>
      </c>
      <c r="AD96" s="23">
        <v>1</v>
      </c>
      <c r="AE96" s="23">
        <v>1</v>
      </c>
    </row>
    <row r="97" spans="1:31" x14ac:dyDescent="0.25">
      <c r="A97" s="41" t="s">
        <v>1127</v>
      </c>
      <c r="B97" s="6" t="s">
        <v>81</v>
      </c>
      <c r="C97" s="6" t="s">
        <v>937</v>
      </c>
      <c r="D97" s="6" t="s">
        <v>84</v>
      </c>
      <c r="E97" s="6">
        <v>2</v>
      </c>
      <c r="F97" s="6" t="s">
        <v>83</v>
      </c>
      <c r="G97" s="6" t="s">
        <v>1039</v>
      </c>
      <c r="H97" s="6">
        <v>8608</v>
      </c>
      <c r="I97" s="41" t="s">
        <v>1127</v>
      </c>
      <c r="K97" s="23"/>
      <c r="L97" s="23">
        <v>0</v>
      </c>
      <c r="M97" s="23">
        <v>0</v>
      </c>
      <c r="N97" s="23">
        <v>0</v>
      </c>
      <c r="O97" s="23">
        <v>0</v>
      </c>
      <c r="P97" s="23">
        <v>1</v>
      </c>
      <c r="Q97" s="23">
        <v>1</v>
      </c>
      <c r="R97" s="23">
        <v>1</v>
      </c>
      <c r="S97" s="23">
        <v>1</v>
      </c>
      <c r="T97" s="23">
        <v>1</v>
      </c>
      <c r="U97" s="23">
        <v>1</v>
      </c>
      <c r="V97" s="23">
        <v>1</v>
      </c>
      <c r="W97" s="23">
        <v>1</v>
      </c>
      <c r="X97" s="23">
        <v>1</v>
      </c>
      <c r="Y97" s="23">
        <v>1</v>
      </c>
      <c r="Z97" s="23">
        <v>1</v>
      </c>
      <c r="AA97" s="23">
        <v>1</v>
      </c>
      <c r="AB97" s="23">
        <v>1</v>
      </c>
      <c r="AC97" s="23">
        <v>1</v>
      </c>
      <c r="AD97" s="23">
        <v>1</v>
      </c>
      <c r="AE97" s="23">
        <v>1</v>
      </c>
    </row>
    <row r="98" spans="1:31" x14ac:dyDescent="0.25">
      <c r="A98" s="41" t="s">
        <v>1128</v>
      </c>
      <c r="B98" s="6" t="s">
        <v>81</v>
      </c>
      <c r="C98" s="6" t="s">
        <v>121</v>
      </c>
      <c r="D98" s="6" t="s">
        <v>84</v>
      </c>
      <c r="E98" s="6">
        <v>2</v>
      </c>
      <c r="F98" s="6" t="s">
        <v>83</v>
      </c>
      <c r="G98" s="6" t="s">
        <v>1039</v>
      </c>
      <c r="H98" s="6">
        <v>8609</v>
      </c>
      <c r="I98" s="41" t="s">
        <v>1128</v>
      </c>
      <c r="K98" s="23"/>
      <c r="L98" s="23">
        <v>0</v>
      </c>
      <c r="M98" s="23">
        <v>0</v>
      </c>
      <c r="N98" s="23">
        <v>0</v>
      </c>
      <c r="O98" s="23">
        <v>0</v>
      </c>
      <c r="P98" s="23">
        <v>1</v>
      </c>
      <c r="Q98" s="23">
        <v>1</v>
      </c>
      <c r="R98" s="23">
        <v>1</v>
      </c>
      <c r="S98" s="23">
        <v>1</v>
      </c>
      <c r="T98" s="23">
        <v>1</v>
      </c>
      <c r="U98" s="23">
        <v>1</v>
      </c>
      <c r="V98" s="23">
        <v>1</v>
      </c>
      <c r="W98" s="23">
        <v>1</v>
      </c>
      <c r="X98" s="23">
        <v>1</v>
      </c>
      <c r="Y98" s="23">
        <v>1</v>
      </c>
      <c r="Z98" s="23">
        <v>1</v>
      </c>
      <c r="AA98" s="23">
        <v>1</v>
      </c>
      <c r="AB98" s="23">
        <v>1</v>
      </c>
      <c r="AC98" s="23">
        <v>1</v>
      </c>
      <c r="AD98" s="23">
        <v>1</v>
      </c>
      <c r="AE98" s="23">
        <v>1</v>
      </c>
    </row>
    <row r="99" spans="1:31" x14ac:dyDescent="0.25">
      <c r="A99" s="41" t="s">
        <v>1129</v>
      </c>
      <c r="B99" s="6" t="s">
        <v>81</v>
      </c>
      <c r="C99" s="6" t="s">
        <v>47</v>
      </c>
      <c r="D99" s="6" t="s">
        <v>84</v>
      </c>
      <c r="E99" s="6">
        <v>2</v>
      </c>
      <c r="F99" s="6" t="s">
        <v>83</v>
      </c>
      <c r="G99" s="6" t="s">
        <v>1039</v>
      </c>
      <c r="H99" s="6">
        <v>8610</v>
      </c>
      <c r="I99" s="41" t="s">
        <v>1129</v>
      </c>
      <c r="K99" s="23"/>
      <c r="L99" s="23">
        <v>0</v>
      </c>
      <c r="M99" s="23">
        <v>0</v>
      </c>
      <c r="N99" s="23">
        <v>0</v>
      </c>
      <c r="O99" s="23">
        <v>0</v>
      </c>
      <c r="P99" s="23">
        <v>1</v>
      </c>
      <c r="Q99" s="23">
        <v>1</v>
      </c>
      <c r="R99" s="23">
        <v>1</v>
      </c>
      <c r="S99" s="23">
        <v>1</v>
      </c>
      <c r="T99" s="23">
        <v>1</v>
      </c>
      <c r="U99" s="23">
        <v>1</v>
      </c>
      <c r="V99" s="23">
        <v>1</v>
      </c>
      <c r="W99" s="23">
        <v>1</v>
      </c>
      <c r="X99" s="23">
        <v>1</v>
      </c>
      <c r="Y99" s="23">
        <v>1</v>
      </c>
      <c r="Z99" s="23">
        <v>1</v>
      </c>
      <c r="AA99" s="23">
        <v>1</v>
      </c>
      <c r="AB99" s="23">
        <v>1</v>
      </c>
      <c r="AC99" s="23">
        <v>1</v>
      </c>
      <c r="AD99" s="23">
        <v>1</v>
      </c>
      <c r="AE99" s="23">
        <v>1</v>
      </c>
    </row>
    <row r="100" spans="1:31" x14ac:dyDescent="0.25">
      <c r="A100" s="41" t="s">
        <v>1130</v>
      </c>
      <c r="B100" s="6" t="s">
        <v>81</v>
      </c>
      <c r="C100" s="6" t="s">
        <v>119</v>
      </c>
      <c r="D100" s="6" t="s">
        <v>84</v>
      </c>
      <c r="E100" s="6">
        <v>2</v>
      </c>
      <c r="F100" s="6" t="s">
        <v>83</v>
      </c>
      <c r="G100" s="6" t="s">
        <v>1039</v>
      </c>
      <c r="H100" s="6">
        <v>8611</v>
      </c>
      <c r="I100" s="41" t="s">
        <v>1130</v>
      </c>
      <c r="K100" s="23"/>
      <c r="L100" s="23">
        <v>0</v>
      </c>
      <c r="M100" s="23">
        <v>0</v>
      </c>
      <c r="N100" s="23">
        <v>0</v>
      </c>
      <c r="O100" s="23">
        <v>0</v>
      </c>
      <c r="P100" s="23">
        <v>1</v>
      </c>
      <c r="Q100" s="23">
        <v>1</v>
      </c>
      <c r="R100" s="23">
        <v>1</v>
      </c>
      <c r="S100" s="23">
        <v>1</v>
      </c>
      <c r="T100" s="23">
        <v>1</v>
      </c>
      <c r="U100" s="23">
        <v>1</v>
      </c>
      <c r="V100" s="23">
        <v>1</v>
      </c>
      <c r="W100" s="23">
        <v>1</v>
      </c>
      <c r="X100" s="23">
        <v>1</v>
      </c>
      <c r="Y100" s="23">
        <v>1</v>
      </c>
      <c r="Z100" s="23">
        <v>1</v>
      </c>
      <c r="AA100" s="23">
        <v>1</v>
      </c>
      <c r="AB100" s="23">
        <v>1</v>
      </c>
      <c r="AC100" s="23">
        <v>1</v>
      </c>
      <c r="AD100" s="23">
        <v>1</v>
      </c>
      <c r="AE100" s="23">
        <v>1</v>
      </c>
    </row>
    <row r="101" spans="1:31" x14ac:dyDescent="0.25">
      <c r="A101" s="41" t="s">
        <v>1131</v>
      </c>
      <c r="B101" s="6" t="s">
        <v>81</v>
      </c>
      <c r="C101" s="6" t="s">
        <v>938</v>
      </c>
      <c r="D101" s="6" t="s">
        <v>84</v>
      </c>
      <c r="E101" s="6">
        <v>2</v>
      </c>
      <c r="F101" s="6" t="s">
        <v>83</v>
      </c>
      <c r="G101" s="6" t="s">
        <v>1039</v>
      </c>
      <c r="H101" s="6">
        <v>8612</v>
      </c>
      <c r="I101" s="41" t="s">
        <v>1131</v>
      </c>
      <c r="K101" s="23"/>
      <c r="L101" s="23">
        <v>0</v>
      </c>
      <c r="M101" s="23">
        <v>0</v>
      </c>
      <c r="N101" s="23">
        <v>0</v>
      </c>
      <c r="O101" s="23">
        <v>0</v>
      </c>
      <c r="P101" s="23">
        <v>1</v>
      </c>
      <c r="Q101" s="23">
        <v>1</v>
      </c>
      <c r="R101" s="23">
        <v>1</v>
      </c>
      <c r="S101" s="23">
        <v>1</v>
      </c>
      <c r="T101" s="23">
        <v>1</v>
      </c>
      <c r="U101" s="23">
        <v>1</v>
      </c>
      <c r="V101" s="23">
        <v>1</v>
      </c>
      <c r="W101" s="23">
        <v>1</v>
      </c>
      <c r="X101" s="23">
        <v>1</v>
      </c>
      <c r="Y101" s="23">
        <v>1</v>
      </c>
      <c r="Z101" s="23">
        <v>1</v>
      </c>
      <c r="AA101" s="23">
        <v>1</v>
      </c>
      <c r="AB101" s="23">
        <v>1</v>
      </c>
      <c r="AC101" s="23">
        <v>1</v>
      </c>
      <c r="AD101" s="23">
        <v>1</v>
      </c>
      <c r="AE101" s="23">
        <v>1</v>
      </c>
    </row>
    <row r="102" spans="1:31" x14ac:dyDescent="0.25">
      <c r="A102" s="41" t="s">
        <v>1132</v>
      </c>
      <c r="B102" s="6" t="s">
        <v>81</v>
      </c>
      <c r="C102" s="6" t="s">
        <v>117</v>
      </c>
      <c r="D102" s="6" t="s">
        <v>84</v>
      </c>
      <c r="E102" s="6">
        <v>2</v>
      </c>
      <c r="F102" s="6" t="s">
        <v>83</v>
      </c>
      <c r="G102" s="6" t="s">
        <v>1039</v>
      </c>
      <c r="H102" s="6">
        <v>8613</v>
      </c>
      <c r="I102" s="41" t="s">
        <v>1132</v>
      </c>
      <c r="K102" s="23"/>
      <c r="L102" s="23">
        <v>0</v>
      </c>
      <c r="M102" s="23">
        <v>0</v>
      </c>
      <c r="N102" s="23">
        <v>0</v>
      </c>
      <c r="O102" s="23">
        <v>0</v>
      </c>
      <c r="P102" s="23">
        <v>1</v>
      </c>
      <c r="Q102" s="23">
        <v>1</v>
      </c>
      <c r="R102" s="23">
        <v>1</v>
      </c>
      <c r="S102" s="23">
        <v>1</v>
      </c>
      <c r="T102" s="23">
        <v>1</v>
      </c>
      <c r="U102" s="23">
        <v>1</v>
      </c>
      <c r="V102" s="23">
        <v>1</v>
      </c>
      <c r="W102" s="23">
        <v>1</v>
      </c>
      <c r="X102" s="23">
        <v>1</v>
      </c>
      <c r="Y102" s="23">
        <v>1</v>
      </c>
      <c r="Z102" s="23">
        <v>1</v>
      </c>
      <c r="AA102" s="23">
        <v>1</v>
      </c>
      <c r="AB102" s="23">
        <v>1</v>
      </c>
      <c r="AC102" s="23">
        <v>1</v>
      </c>
      <c r="AD102" s="23">
        <v>1</v>
      </c>
      <c r="AE102" s="23">
        <v>1</v>
      </c>
    </row>
    <row r="103" spans="1:31" x14ac:dyDescent="0.25">
      <c r="A103" s="41" t="s">
        <v>1133</v>
      </c>
      <c r="B103" s="6" t="s">
        <v>81</v>
      </c>
      <c r="C103" s="6" t="s">
        <v>939</v>
      </c>
      <c r="D103" s="6" t="s">
        <v>84</v>
      </c>
      <c r="E103" s="6">
        <v>2</v>
      </c>
      <c r="F103" s="6" t="s">
        <v>83</v>
      </c>
      <c r="G103" s="6" t="s">
        <v>1039</v>
      </c>
      <c r="H103" s="6">
        <v>8614</v>
      </c>
      <c r="I103" s="41" t="s">
        <v>1133</v>
      </c>
      <c r="K103" s="23"/>
      <c r="L103" s="23">
        <v>0</v>
      </c>
      <c r="M103" s="23">
        <v>0</v>
      </c>
      <c r="N103" s="23">
        <v>0</v>
      </c>
      <c r="O103" s="23">
        <v>0</v>
      </c>
      <c r="P103" s="23">
        <v>1</v>
      </c>
      <c r="Q103" s="23">
        <v>1</v>
      </c>
      <c r="R103" s="23">
        <v>1</v>
      </c>
      <c r="S103" s="23">
        <v>1</v>
      </c>
      <c r="T103" s="23">
        <v>1</v>
      </c>
      <c r="U103" s="23">
        <v>1</v>
      </c>
      <c r="V103" s="23">
        <v>1</v>
      </c>
      <c r="W103" s="23">
        <v>1</v>
      </c>
      <c r="X103" s="23">
        <v>1</v>
      </c>
      <c r="Y103" s="23">
        <v>1</v>
      </c>
      <c r="Z103" s="23">
        <v>1</v>
      </c>
      <c r="AA103" s="23">
        <v>1</v>
      </c>
      <c r="AB103" s="23">
        <v>1</v>
      </c>
      <c r="AC103" s="23">
        <v>1</v>
      </c>
      <c r="AD103" s="23">
        <v>1</v>
      </c>
      <c r="AE103" s="23">
        <v>1</v>
      </c>
    </row>
    <row r="104" spans="1:31" x14ac:dyDescent="0.25">
      <c r="A104" s="41" t="s">
        <v>1134</v>
      </c>
      <c r="B104" s="6" t="s">
        <v>81</v>
      </c>
      <c r="C104" s="6" t="s">
        <v>940</v>
      </c>
      <c r="D104" s="6" t="s">
        <v>84</v>
      </c>
      <c r="E104" s="6">
        <v>2</v>
      </c>
      <c r="F104" s="6" t="s">
        <v>83</v>
      </c>
      <c r="G104" s="6" t="s">
        <v>1039</v>
      </c>
      <c r="H104" s="6">
        <v>8615</v>
      </c>
      <c r="I104" s="41" t="s">
        <v>1134</v>
      </c>
      <c r="K104" s="23"/>
      <c r="L104" s="23">
        <v>0</v>
      </c>
      <c r="M104" s="23">
        <v>0</v>
      </c>
      <c r="N104" s="23">
        <v>0</v>
      </c>
      <c r="O104" s="23">
        <v>0</v>
      </c>
      <c r="P104" s="23">
        <v>1</v>
      </c>
      <c r="Q104" s="23">
        <v>1</v>
      </c>
      <c r="R104" s="23">
        <v>1</v>
      </c>
      <c r="S104" s="23">
        <v>1</v>
      </c>
      <c r="T104" s="23">
        <v>1</v>
      </c>
      <c r="U104" s="23">
        <v>1</v>
      </c>
      <c r="V104" s="23">
        <v>1</v>
      </c>
      <c r="W104" s="23">
        <v>1</v>
      </c>
      <c r="X104" s="23">
        <v>1</v>
      </c>
      <c r="Y104" s="23">
        <v>1</v>
      </c>
      <c r="Z104" s="23">
        <v>1</v>
      </c>
      <c r="AA104" s="23">
        <v>1</v>
      </c>
      <c r="AB104" s="23">
        <v>1</v>
      </c>
      <c r="AC104" s="23">
        <v>1</v>
      </c>
      <c r="AD104" s="23">
        <v>1</v>
      </c>
      <c r="AE104" s="23">
        <v>1</v>
      </c>
    </row>
    <row r="105" spans="1:31" x14ac:dyDescent="0.25">
      <c r="A105" s="41" t="s">
        <v>1135</v>
      </c>
      <c r="B105" s="6" t="s">
        <v>81</v>
      </c>
      <c r="C105" s="6" t="s">
        <v>941</v>
      </c>
      <c r="D105" s="6" t="s">
        <v>84</v>
      </c>
      <c r="E105" s="6">
        <v>2</v>
      </c>
      <c r="F105" s="6" t="s">
        <v>83</v>
      </c>
      <c r="G105" s="6" t="s">
        <v>1039</v>
      </c>
      <c r="H105" s="6">
        <v>8616</v>
      </c>
      <c r="I105" s="41" t="s">
        <v>1135</v>
      </c>
      <c r="K105" s="23"/>
      <c r="L105" s="23">
        <v>0</v>
      </c>
      <c r="M105" s="23">
        <v>0</v>
      </c>
      <c r="N105" s="23">
        <v>0</v>
      </c>
      <c r="O105" s="23">
        <v>0</v>
      </c>
      <c r="P105" s="23">
        <v>1</v>
      </c>
      <c r="Q105" s="23">
        <v>1</v>
      </c>
      <c r="R105" s="23">
        <v>1</v>
      </c>
      <c r="S105" s="23">
        <v>1</v>
      </c>
      <c r="T105" s="23">
        <v>1</v>
      </c>
      <c r="U105" s="23">
        <v>1</v>
      </c>
      <c r="V105" s="23">
        <v>1</v>
      </c>
      <c r="W105" s="23">
        <v>1</v>
      </c>
      <c r="X105" s="23">
        <v>1</v>
      </c>
      <c r="Y105" s="23">
        <v>1</v>
      </c>
      <c r="Z105" s="23">
        <v>1</v>
      </c>
      <c r="AA105" s="23">
        <v>1</v>
      </c>
      <c r="AB105" s="23">
        <v>1</v>
      </c>
      <c r="AC105" s="23">
        <v>1</v>
      </c>
      <c r="AD105" s="23">
        <v>1</v>
      </c>
      <c r="AE105" s="23">
        <v>1</v>
      </c>
    </row>
    <row r="106" spans="1:31" x14ac:dyDescent="0.25">
      <c r="A106" s="41" t="s">
        <v>1136</v>
      </c>
      <c r="B106" s="6" t="s">
        <v>81</v>
      </c>
      <c r="C106" s="6" t="s">
        <v>942</v>
      </c>
      <c r="D106" s="6" t="s">
        <v>84</v>
      </c>
      <c r="E106" s="6">
        <v>2</v>
      </c>
      <c r="F106" s="6" t="s">
        <v>83</v>
      </c>
      <c r="G106" s="6" t="s">
        <v>1039</v>
      </c>
      <c r="H106" s="6">
        <v>8617</v>
      </c>
      <c r="I106" s="41" t="s">
        <v>1136</v>
      </c>
      <c r="K106" s="23"/>
      <c r="L106" s="23">
        <v>0</v>
      </c>
      <c r="M106" s="23">
        <v>0</v>
      </c>
      <c r="N106" s="23">
        <v>0</v>
      </c>
      <c r="O106" s="23">
        <v>0</v>
      </c>
      <c r="P106" s="23">
        <v>1</v>
      </c>
      <c r="Q106" s="23">
        <v>1</v>
      </c>
      <c r="R106" s="23">
        <v>1</v>
      </c>
      <c r="S106" s="23">
        <v>1</v>
      </c>
      <c r="T106" s="23">
        <v>1</v>
      </c>
      <c r="U106" s="23">
        <v>1</v>
      </c>
      <c r="V106" s="23">
        <v>1</v>
      </c>
      <c r="W106" s="23">
        <v>1</v>
      </c>
      <c r="X106" s="23">
        <v>1</v>
      </c>
      <c r="Y106" s="23">
        <v>1</v>
      </c>
      <c r="Z106" s="23">
        <v>1</v>
      </c>
      <c r="AA106" s="23">
        <v>1</v>
      </c>
      <c r="AB106" s="23">
        <v>1</v>
      </c>
      <c r="AC106" s="23">
        <v>1</v>
      </c>
      <c r="AD106" s="23">
        <v>1</v>
      </c>
      <c r="AE106" s="23">
        <v>1</v>
      </c>
    </row>
    <row r="107" spans="1:31" x14ac:dyDescent="0.25">
      <c r="A107" s="41" t="s">
        <v>1137</v>
      </c>
      <c r="B107" s="6" t="s">
        <v>81</v>
      </c>
      <c r="C107" s="6" t="s">
        <v>930</v>
      </c>
      <c r="D107" s="6" t="s">
        <v>86</v>
      </c>
      <c r="E107" s="6">
        <v>2</v>
      </c>
      <c r="F107" s="6" t="s">
        <v>83</v>
      </c>
      <c r="G107" s="6" t="s">
        <v>85</v>
      </c>
      <c r="H107" s="6">
        <v>8734</v>
      </c>
      <c r="I107" s="41" t="s">
        <v>1137</v>
      </c>
      <c r="K107" s="23"/>
      <c r="L107" s="23">
        <v>0</v>
      </c>
      <c r="M107" s="23">
        <v>0</v>
      </c>
      <c r="N107" s="23">
        <v>0</v>
      </c>
      <c r="O107" s="23">
        <v>0</v>
      </c>
      <c r="P107" s="23">
        <v>0</v>
      </c>
      <c r="Q107" s="23">
        <v>0</v>
      </c>
      <c r="R107" s="23">
        <v>0</v>
      </c>
      <c r="S107" s="23">
        <v>0</v>
      </c>
      <c r="T107" s="23">
        <v>0</v>
      </c>
      <c r="U107" s="23">
        <v>0</v>
      </c>
      <c r="V107" s="23">
        <v>0</v>
      </c>
      <c r="W107" s="23">
        <v>0</v>
      </c>
      <c r="X107" s="23">
        <v>0</v>
      </c>
      <c r="Y107" s="23">
        <v>0</v>
      </c>
      <c r="Z107" s="23">
        <v>0</v>
      </c>
      <c r="AA107" s="23">
        <v>0</v>
      </c>
      <c r="AB107" s="23">
        <v>0</v>
      </c>
      <c r="AC107" s="23">
        <v>0</v>
      </c>
      <c r="AD107" s="23">
        <v>0</v>
      </c>
      <c r="AE107" s="23">
        <v>0</v>
      </c>
    </row>
    <row r="108" spans="1:31" x14ac:dyDescent="0.25">
      <c r="A108" s="41" t="s">
        <v>1138</v>
      </c>
      <c r="B108" s="6" t="s">
        <v>81</v>
      </c>
      <c r="C108" s="6" t="s">
        <v>931</v>
      </c>
      <c r="D108" s="6" t="s">
        <v>86</v>
      </c>
      <c r="E108" s="6">
        <v>2</v>
      </c>
      <c r="F108" s="6" t="s">
        <v>83</v>
      </c>
      <c r="G108" s="6" t="s">
        <v>85</v>
      </c>
      <c r="H108" s="6">
        <v>8735</v>
      </c>
      <c r="I108" s="41" t="s">
        <v>1138</v>
      </c>
      <c r="K108" s="23"/>
      <c r="L108" s="23">
        <v>0</v>
      </c>
      <c r="M108" s="23">
        <v>0</v>
      </c>
      <c r="N108" s="23">
        <v>0</v>
      </c>
      <c r="O108" s="23">
        <v>0</v>
      </c>
      <c r="P108" s="23">
        <v>0</v>
      </c>
      <c r="Q108" s="23">
        <v>0</v>
      </c>
      <c r="R108" s="23">
        <v>0</v>
      </c>
      <c r="S108" s="23">
        <v>0</v>
      </c>
      <c r="T108" s="23">
        <v>0</v>
      </c>
      <c r="U108" s="23">
        <v>0</v>
      </c>
      <c r="V108" s="23">
        <v>0</v>
      </c>
      <c r="W108" s="23">
        <v>0</v>
      </c>
      <c r="X108" s="23">
        <v>0</v>
      </c>
      <c r="Y108" s="23">
        <v>0</v>
      </c>
      <c r="Z108" s="23">
        <v>0</v>
      </c>
      <c r="AA108" s="23">
        <v>0</v>
      </c>
      <c r="AB108" s="23">
        <v>0</v>
      </c>
      <c r="AC108" s="23">
        <v>0</v>
      </c>
      <c r="AD108" s="23">
        <v>0</v>
      </c>
      <c r="AE108" s="23">
        <v>0</v>
      </c>
    </row>
    <row r="109" spans="1:31" x14ac:dyDescent="0.25">
      <c r="A109" s="41" t="s">
        <v>1139</v>
      </c>
      <c r="B109" s="6" t="s">
        <v>81</v>
      </c>
      <c r="C109" s="6" t="s">
        <v>932</v>
      </c>
      <c r="D109" s="6" t="s">
        <v>86</v>
      </c>
      <c r="E109" s="6">
        <v>2</v>
      </c>
      <c r="F109" s="6" t="s">
        <v>83</v>
      </c>
      <c r="G109" s="6" t="s">
        <v>85</v>
      </c>
      <c r="H109" s="6">
        <v>8736</v>
      </c>
      <c r="I109" s="41" t="s">
        <v>1139</v>
      </c>
      <c r="K109" s="23"/>
      <c r="L109" s="23">
        <v>0</v>
      </c>
      <c r="M109" s="23">
        <v>0</v>
      </c>
      <c r="N109" s="23">
        <v>0</v>
      </c>
      <c r="O109" s="23">
        <v>0</v>
      </c>
      <c r="P109" s="23">
        <v>0</v>
      </c>
      <c r="Q109" s="23">
        <v>0</v>
      </c>
      <c r="R109" s="23">
        <v>0</v>
      </c>
      <c r="S109" s="23">
        <v>0</v>
      </c>
      <c r="T109" s="23">
        <v>0</v>
      </c>
      <c r="U109" s="23">
        <v>0</v>
      </c>
      <c r="V109" s="23">
        <v>0</v>
      </c>
      <c r="W109" s="23">
        <v>0</v>
      </c>
      <c r="X109" s="23">
        <v>0</v>
      </c>
      <c r="Y109" s="23">
        <v>0</v>
      </c>
      <c r="Z109" s="23">
        <v>0</v>
      </c>
      <c r="AA109" s="23">
        <v>0</v>
      </c>
      <c r="AB109" s="23">
        <v>0</v>
      </c>
      <c r="AC109" s="23">
        <v>0</v>
      </c>
      <c r="AD109" s="23">
        <v>0</v>
      </c>
      <c r="AE109" s="23">
        <v>0</v>
      </c>
    </row>
    <row r="110" spans="1:31" x14ac:dyDescent="0.25">
      <c r="A110" s="41" t="s">
        <v>1140</v>
      </c>
      <c r="B110" s="6" t="s">
        <v>81</v>
      </c>
      <c r="C110" s="6" t="s">
        <v>934</v>
      </c>
      <c r="D110" s="6" t="s">
        <v>86</v>
      </c>
      <c r="E110" s="6">
        <v>2</v>
      </c>
      <c r="F110" s="6" t="s">
        <v>83</v>
      </c>
      <c r="G110" s="6" t="s">
        <v>85</v>
      </c>
      <c r="H110" s="6">
        <v>8737</v>
      </c>
      <c r="I110" s="41" t="s">
        <v>1141</v>
      </c>
      <c r="K110" s="23"/>
      <c r="L110" s="23">
        <v>0</v>
      </c>
      <c r="M110" s="23">
        <v>0</v>
      </c>
      <c r="N110" s="23">
        <v>0</v>
      </c>
      <c r="O110" s="23">
        <v>0</v>
      </c>
      <c r="P110" s="23">
        <v>0</v>
      </c>
      <c r="Q110" s="23">
        <v>0</v>
      </c>
      <c r="R110" s="23">
        <v>0</v>
      </c>
      <c r="S110" s="23">
        <v>0</v>
      </c>
      <c r="T110" s="23">
        <v>0</v>
      </c>
      <c r="U110" s="23">
        <v>0</v>
      </c>
      <c r="V110" s="23">
        <v>0</v>
      </c>
      <c r="W110" s="23">
        <v>0</v>
      </c>
      <c r="X110" s="23">
        <v>0</v>
      </c>
      <c r="Y110" s="23">
        <v>0</v>
      </c>
      <c r="Z110" s="23">
        <v>0</v>
      </c>
      <c r="AA110" s="23">
        <v>0</v>
      </c>
      <c r="AB110" s="23">
        <v>0</v>
      </c>
      <c r="AC110" s="23">
        <v>0</v>
      </c>
      <c r="AD110" s="23">
        <v>0</v>
      </c>
      <c r="AE110" s="23">
        <v>0</v>
      </c>
    </row>
    <row r="111" spans="1:31" x14ac:dyDescent="0.25">
      <c r="A111" s="41" t="s">
        <v>1141</v>
      </c>
      <c r="B111" s="6" t="s">
        <v>81</v>
      </c>
      <c r="C111" s="6" t="s">
        <v>933</v>
      </c>
      <c r="D111" s="6" t="s">
        <v>86</v>
      </c>
      <c r="E111" s="6">
        <v>2</v>
      </c>
      <c r="F111" s="6" t="s">
        <v>83</v>
      </c>
      <c r="G111" s="6" t="s">
        <v>85</v>
      </c>
      <c r="H111" s="6">
        <v>8738</v>
      </c>
      <c r="I111" s="41" t="s">
        <v>1140</v>
      </c>
      <c r="K111" s="23"/>
      <c r="L111" s="23">
        <v>0</v>
      </c>
      <c r="M111" s="23">
        <v>0</v>
      </c>
      <c r="N111" s="23">
        <v>0</v>
      </c>
      <c r="O111" s="23">
        <v>0</v>
      </c>
      <c r="P111" s="23">
        <v>0</v>
      </c>
      <c r="Q111" s="23">
        <v>0</v>
      </c>
      <c r="R111" s="23">
        <v>0</v>
      </c>
      <c r="S111" s="23">
        <v>0</v>
      </c>
      <c r="T111" s="23">
        <v>0</v>
      </c>
      <c r="U111" s="23">
        <v>0</v>
      </c>
      <c r="V111" s="23">
        <v>0</v>
      </c>
      <c r="W111" s="23">
        <v>0</v>
      </c>
      <c r="X111" s="23">
        <v>0</v>
      </c>
      <c r="Y111" s="23">
        <v>0</v>
      </c>
      <c r="Z111" s="23">
        <v>0</v>
      </c>
      <c r="AA111" s="23">
        <v>0</v>
      </c>
      <c r="AB111" s="23">
        <v>0</v>
      </c>
      <c r="AC111" s="23">
        <v>0</v>
      </c>
      <c r="AD111" s="23">
        <v>0</v>
      </c>
      <c r="AE111" s="23">
        <v>0</v>
      </c>
    </row>
    <row r="112" spans="1:31" x14ac:dyDescent="0.25">
      <c r="A112" s="41" t="s">
        <v>1142</v>
      </c>
      <c r="B112" s="6" t="s">
        <v>81</v>
      </c>
      <c r="C112" s="6" t="s">
        <v>935</v>
      </c>
      <c r="D112" s="6" t="s">
        <v>86</v>
      </c>
      <c r="E112" s="6">
        <v>2</v>
      </c>
      <c r="F112" s="6" t="s">
        <v>83</v>
      </c>
      <c r="G112" s="6" t="s">
        <v>85</v>
      </c>
      <c r="H112" s="6">
        <v>8739</v>
      </c>
      <c r="I112" s="41" t="s">
        <v>1142</v>
      </c>
      <c r="K112" s="23"/>
      <c r="L112" s="23">
        <v>0</v>
      </c>
      <c r="M112" s="23">
        <v>0</v>
      </c>
      <c r="N112" s="23">
        <v>0</v>
      </c>
      <c r="O112" s="23">
        <v>0</v>
      </c>
      <c r="P112" s="23">
        <v>0</v>
      </c>
      <c r="Q112" s="23">
        <v>0</v>
      </c>
      <c r="R112" s="23">
        <v>0</v>
      </c>
      <c r="S112" s="23">
        <v>0</v>
      </c>
      <c r="T112" s="23">
        <v>0</v>
      </c>
      <c r="U112" s="23">
        <v>0</v>
      </c>
      <c r="V112" s="23">
        <v>0</v>
      </c>
      <c r="W112" s="23">
        <v>0</v>
      </c>
      <c r="X112" s="23">
        <v>0</v>
      </c>
      <c r="Y112" s="23">
        <v>0</v>
      </c>
      <c r="Z112" s="23">
        <v>0</v>
      </c>
      <c r="AA112" s="23">
        <v>0</v>
      </c>
      <c r="AB112" s="23">
        <v>0</v>
      </c>
      <c r="AC112" s="23">
        <v>0</v>
      </c>
      <c r="AD112" s="23">
        <v>0</v>
      </c>
      <c r="AE112" s="23">
        <v>0</v>
      </c>
    </row>
    <row r="113" spans="1:31" x14ac:dyDescent="0.25">
      <c r="A113" s="41" t="s">
        <v>1143</v>
      </c>
      <c r="B113" s="6" t="s">
        <v>81</v>
      </c>
      <c r="C113" s="6" t="s">
        <v>936</v>
      </c>
      <c r="D113" s="6" t="s">
        <v>86</v>
      </c>
      <c r="E113" s="6">
        <v>2</v>
      </c>
      <c r="F113" s="6" t="s">
        <v>83</v>
      </c>
      <c r="G113" s="6" t="s">
        <v>85</v>
      </c>
      <c r="H113" s="6">
        <v>8740</v>
      </c>
      <c r="I113" s="41" t="s">
        <v>1143</v>
      </c>
      <c r="K113" s="23"/>
      <c r="L113" s="23">
        <v>0</v>
      </c>
      <c r="M113" s="23">
        <v>0</v>
      </c>
      <c r="N113" s="23">
        <v>0</v>
      </c>
      <c r="O113" s="23">
        <v>0</v>
      </c>
      <c r="P113" s="23">
        <v>0</v>
      </c>
      <c r="Q113" s="23">
        <v>0</v>
      </c>
      <c r="R113" s="23">
        <v>0</v>
      </c>
      <c r="S113" s="23">
        <v>0</v>
      </c>
      <c r="T113" s="23">
        <v>0</v>
      </c>
      <c r="U113" s="23">
        <v>0</v>
      </c>
      <c r="V113" s="23">
        <v>0</v>
      </c>
      <c r="W113" s="23">
        <v>0</v>
      </c>
      <c r="X113" s="23">
        <v>0</v>
      </c>
      <c r="Y113" s="23">
        <v>0</v>
      </c>
      <c r="Z113" s="23">
        <v>0</v>
      </c>
      <c r="AA113" s="23">
        <v>0</v>
      </c>
      <c r="AB113" s="23">
        <v>0</v>
      </c>
      <c r="AC113" s="23">
        <v>0</v>
      </c>
      <c r="AD113" s="23">
        <v>0</v>
      </c>
      <c r="AE113" s="23">
        <v>0</v>
      </c>
    </row>
    <row r="114" spans="1:31" x14ac:dyDescent="0.25">
      <c r="A114" s="41" t="s">
        <v>1144</v>
      </c>
      <c r="B114" s="6" t="s">
        <v>81</v>
      </c>
      <c r="C114" s="6" t="s">
        <v>937</v>
      </c>
      <c r="D114" s="6" t="s">
        <v>86</v>
      </c>
      <c r="E114" s="6">
        <v>2</v>
      </c>
      <c r="F114" s="6" t="s">
        <v>83</v>
      </c>
      <c r="G114" s="6" t="s">
        <v>85</v>
      </c>
      <c r="H114" s="6">
        <v>8741</v>
      </c>
      <c r="I114" s="41" t="s">
        <v>1144</v>
      </c>
      <c r="K114" s="23"/>
      <c r="L114" s="23">
        <v>0</v>
      </c>
      <c r="M114" s="23">
        <v>0</v>
      </c>
      <c r="N114" s="23">
        <v>0</v>
      </c>
      <c r="O114" s="23">
        <v>0</v>
      </c>
      <c r="P114" s="23">
        <v>0</v>
      </c>
      <c r="Q114" s="23">
        <v>0</v>
      </c>
      <c r="R114" s="23">
        <v>0</v>
      </c>
      <c r="S114" s="23">
        <v>0</v>
      </c>
      <c r="T114" s="23">
        <v>0</v>
      </c>
      <c r="U114" s="23">
        <v>0</v>
      </c>
      <c r="V114" s="23">
        <v>0</v>
      </c>
      <c r="W114" s="23">
        <v>0</v>
      </c>
      <c r="X114" s="23">
        <v>0</v>
      </c>
      <c r="Y114" s="23">
        <v>0</v>
      </c>
      <c r="Z114" s="23">
        <v>0</v>
      </c>
      <c r="AA114" s="23">
        <v>0</v>
      </c>
      <c r="AB114" s="23">
        <v>0</v>
      </c>
      <c r="AC114" s="23">
        <v>0</v>
      </c>
      <c r="AD114" s="23">
        <v>0</v>
      </c>
      <c r="AE114" s="23">
        <v>0</v>
      </c>
    </row>
    <row r="115" spans="1:31" x14ac:dyDescent="0.25">
      <c r="A115" s="41" t="s">
        <v>1145</v>
      </c>
      <c r="B115" s="6" t="s">
        <v>81</v>
      </c>
      <c r="C115" s="6" t="s">
        <v>121</v>
      </c>
      <c r="D115" s="6" t="s">
        <v>86</v>
      </c>
      <c r="E115" s="6">
        <v>2</v>
      </c>
      <c r="F115" s="6" t="s">
        <v>83</v>
      </c>
      <c r="G115" s="6" t="s">
        <v>85</v>
      </c>
      <c r="H115" s="6">
        <v>8742</v>
      </c>
      <c r="I115" s="41" t="s">
        <v>1145</v>
      </c>
      <c r="K115" s="23"/>
      <c r="L115" s="23">
        <v>0</v>
      </c>
      <c r="M115" s="23">
        <v>0</v>
      </c>
      <c r="N115" s="23">
        <v>0</v>
      </c>
      <c r="O115" s="23">
        <v>0</v>
      </c>
      <c r="P115" s="23">
        <v>0</v>
      </c>
      <c r="Q115" s="23">
        <v>0</v>
      </c>
      <c r="R115" s="23">
        <v>0</v>
      </c>
      <c r="S115" s="23">
        <v>0</v>
      </c>
      <c r="T115" s="23">
        <v>0</v>
      </c>
      <c r="U115" s="23">
        <v>0</v>
      </c>
      <c r="V115" s="23">
        <v>0</v>
      </c>
      <c r="W115" s="23">
        <v>0</v>
      </c>
      <c r="X115" s="23">
        <v>0</v>
      </c>
      <c r="Y115" s="23">
        <v>0</v>
      </c>
      <c r="Z115" s="23">
        <v>0</v>
      </c>
      <c r="AA115" s="23">
        <v>0</v>
      </c>
      <c r="AB115" s="23">
        <v>0</v>
      </c>
      <c r="AC115" s="23">
        <v>0</v>
      </c>
      <c r="AD115" s="23">
        <v>0</v>
      </c>
      <c r="AE115" s="23">
        <v>0</v>
      </c>
    </row>
    <row r="116" spans="1:31" x14ac:dyDescent="0.25">
      <c r="A116" s="41" t="s">
        <v>1146</v>
      </c>
      <c r="B116" s="6" t="s">
        <v>81</v>
      </c>
      <c r="C116" s="6" t="s">
        <v>47</v>
      </c>
      <c r="D116" s="6" t="s">
        <v>86</v>
      </c>
      <c r="E116" s="6">
        <v>2</v>
      </c>
      <c r="F116" s="6" t="s">
        <v>83</v>
      </c>
      <c r="G116" s="6" t="s">
        <v>85</v>
      </c>
      <c r="H116" s="6">
        <v>8743</v>
      </c>
      <c r="I116" s="41" t="s">
        <v>1146</v>
      </c>
      <c r="K116" s="23"/>
      <c r="L116" s="23">
        <v>0</v>
      </c>
      <c r="M116" s="23">
        <v>0</v>
      </c>
      <c r="N116" s="23">
        <v>0</v>
      </c>
      <c r="O116" s="23">
        <v>0</v>
      </c>
      <c r="P116" s="23">
        <v>0</v>
      </c>
      <c r="Q116" s="23">
        <v>0</v>
      </c>
      <c r="R116" s="23">
        <v>0</v>
      </c>
      <c r="S116" s="23">
        <v>0</v>
      </c>
      <c r="T116" s="23">
        <v>0</v>
      </c>
      <c r="U116" s="23">
        <v>0</v>
      </c>
      <c r="V116" s="23">
        <v>0</v>
      </c>
      <c r="W116" s="23">
        <v>0</v>
      </c>
      <c r="X116" s="23">
        <v>0</v>
      </c>
      <c r="Y116" s="23">
        <v>0</v>
      </c>
      <c r="Z116" s="23">
        <v>0</v>
      </c>
      <c r="AA116" s="23">
        <v>0</v>
      </c>
      <c r="AB116" s="23">
        <v>0</v>
      </c>
      <c r="AC116" s="23">
        <v>0</v>
      </c>
      <c r="AD116" s="23">
        <v>0</v>
      </c>
      <c r="AE116" s="23">
        <v>0</v>
      </c>
    </row>
    <row r="117" spans="1:31" x14ac:dyDescent="0.25">
      <c r="A117" s="41" t="s">
        <v>1147</v>
      </c>
      <c r="B117" s="6" t="s">
        <v>81</v>
      </c>
      <c r="C117" s="6" t="s">
        <v>119</v>
      </c>
      <c r="D117" s="6" t="s">
        <v>86</v>
      </c>
      <c r="E117" s="6">
        <v>2</v>
      </c>
      <c r="F117" s="6" t="s">
        <v>83</v>
      </c>
      <c r="G117" s="6" t="s">
        <v>85</v>
      </c>
      <c r="H117" s="6">
        <v>8744</v>
      </c>
      <c r="I117" s="41" t="s">
        <v>1147</v>
      </c>
      <c r="K117" s="23"/>
      <c r="L117" s="23">
        <v>0</v>
      </c>
      <c r="M117" s="23">
        <v>0</v>
      </c>
      <c r="N117" s="23">
        <v>0</v>
      </c>
      <c r="O117" s="23">
        <v>0</v>
      </c>
      <c r="P117" s="23">
        <v>0</v>
      </c>
      <c r="Q117" s="23">
        <v>0</v>
      </c>
      <c r="R117" s="23">
        <v>0</v>
      </c>
      <c r="S117" s="23">
        <v>0</v>
      </c>
      <c r="T117" s="23">
        <v>0</v>
      </c>
      <c r="U117" s="23">
        <v>0</v>
      </c>
      <c r="V117" s="23">
        <v>0</v>
      </c>
      <c r="W117" s="23">
        <v>0</v>
      </c>
      <c r="X117" s="23">
        <v>0</v>
      </c>
      <c r="Y117" s="23">
        <v>0</v>
      </c>
      <c r="Z117" s="23">
        <v>0</v>
      </c>
      <c r="AA117" s="23">
        <v>0</v>
      </c>
      <c r="AB117" s="23">
        <v>0</v>
      </c>
      <c r="AC117" s="23">
        <v>0</v>
      </c>
      <c r="AD117" s="23">
        <v>0</v>
      </c>
      <c r="AE117" s="23">
        <v>0</v>
      </c>
    </row>
    <row r="118" spans="1:31" x14ac:dyDescent="0.25">
      <c r="A118" s="41" t="s">
        <v>1148</v>
      </c>
      <c r="B118" s="6" t="s">
        <v>81</v>
      </c>
      <c r="C118" s="6" t="s">
        <v>938</v>
      </c>
      <c r="D118" s="6" t="s">
        <v>86</v>
      </c>
      <c r="E118" s="6">
        <v>2</v>
      </c>
      <c r="F118" s="6" t="s">
        <v>83</v>
      </c>
      <c r="G118" s="6" t="s">
        <v>85</v>
      </c>
      <c r="H118" s="6">
        <v>8745</v>
      </c>
      <c r="I118" s="41" t="s">
        <v>1148</v>
      </c>
      <c r="K118" s="23"/>
      <c r="L118" s="23">
        <v>0</v>
      </c>
      <c r="M118" s="23">
        <v>0</v>
      </c>
      <c r="N118" s="23">
        <v>0</v>
      </c>
      <c r="O118" s="23">
        <v>0</v>
      </c>
      <c r="P118" s="23">
        <v>0</v>
      </c>
      <c r="Q118" s="23">
        <v>0</v>
      </c>
      <c r="R118" s="23">
        <v>0</v>
      </c>
      <c r="S118" s="23">
        <v>0</v>
      </c>
      <c r="T118" s="23">
        <v>0</v>
      </c>
      <c r="U118" s="23">
        <v>0</v>
      </c>
      <c r="V118" s="23">
        <v>0</v>
      </c>
      <c r="W118" s="23">
        <v>0</v>
      </c>
      <c r="X118" s="23">
        <v>0</v>
      </c>
      <c r="Y118" s="23">
        <v>0</v>
      </c>
      <c r="Z118" s="23">
        <v>0</v>
      </c>
      <c r="AA118" s="23">
        <v>0</v>
      </c>
      <c r="AB118" s="23">
        <v>0</v>
      </c>
      <c r="AC118" s="23">
        <v>0</v>
      </c>
      <c r="AD118" s="23">
        <v>0</v>
      </c>
      <c r="AE118" s="23">
        <v>0</v>
      </c>
    </row>
    <row r="119" spans="1:31" x14ac:dyDescent="0.25">
      <c r="A119" s="41" t="s">
        <v>1149</v>
      </c>
      <c r="B119" s="6" t="s">
        <v>81</v>
      </c>
      <c r="C119" s="6" t="s">
        <v>117</v>
      </c>
      <c r="D119" s="6" t="s">
        <v>86</v>
      </c>
      <c r="E119" s="6">
        <v>2</v>
      </c>
      <c r="F119" s="6" t="s">
        <v>83</v>
      </c>
      <c r="G119" s="6" t="s">
        <v>85</v>
      </c>
      <c r="H119" s="6">
        <v>8746</v>
      </c>
      <c r="I119" s="41" t="s">
        <v>1149</v>
      </c>
      <c r="K119" s="23"/>
      <c r="L119" s="23">
        <v>0</v>
      </c>
      <c r="M119" s="23">
        <v>0</v>
      </c>
      <c r="N119" s="23">
        <v>0</v>
      </c>
      <c r="O119" s="23">
        <v>0</v>
      </c>
      <c r="P119" s="23">
        <v>0</v>
      </c>
      <c r="Q119" s="23">
        <v>0</v>
      </c>
      <c r="R119" s="23">
        <v>0</v>
      </c>
      <c r="S119" s="23">
        <v>0</v>
      </c>
      <c r="T119" s="23">
        <v>0</v>
      </c>
      <c r="U119" s="23">
        <v>0</v>
      </c>
      <c r="V119" s="23">
        <v>0</v>
      </c>
      <c r="W119" s="23">
        <v>0</v>
      </c>
      <c r="X119" s="23">
        <v>0</v>
      </c>
      <c r="Y119" s="23">
        <v>0</v>
      </c>
      <c r="Z119" s="23">
        <v>0</v>
      </c>
      <c r="AA119" s="23">
        <v>0</v>
      </c>
      <c r="AB119" s="23">
        <v>0</v>
      </c>
      <c r="AC119" s="23">
        <v>0</v>
      </c>
      <c r="AD119" s="23">
        <v>0</v>
      </c>
      <c r="AE119" s="23">
        <v>0</v>
      </c>
    </row>
    <row r="120" spans="1:31" x14ac:dyDescent="0.25">
      <c r="A120" s="41" t="s">
        <v>1150</v>
      </c>
      <c r="B120" s="6" t="s">
        <v>81</v>
      </c>
      <c r="C120" s="6" t="s">
        <v>939</v>
      </c>
      <c r="D120" s="6" t="s">
        <v>86</v>
      </c>
      <c r="E120" s="6">
        <v>2</v>
      </c>
      <c r="F120" s="6" t="s">
        <v>83</v>
      </c>
      <c r="G120" s="6" t="s">
        <v>85</v>
      </c>
      <c r="H120" s="6">
        <v>8747</v>
      </c>
      <c r="I120" s="41" t="s">
        <v>1150</v>
      </c>
      <c r="K120" s="23"/>
      <c r="L120" s="23">
        <v>0</v>
      </c>
      <c r="M120" s="23">
        <v>0</v>
      </c>
      <c r="N120" s="23">
        <v>0</v>
      </c>
      <c r="O120" s="23">
        <v>0</v>
      </c>
      <c r="P120" s="23">
        <v>0</v>
      </c>
      <c r="Q120" s="23">
        <v>0</v>
      </c>
      <c r="R120" s="23">
        <v>0</v>
      </c>
      <c r="S120" s="23">
        <v>0</v>
      </c>
      <c r="T120" s="23">
        <v>0</v>
      </c>
      <c r="U120" s="23">
        <v>0</v>
      </c>
      <c r="V120" s="23">
        <v>0</v>
      </c>
      <c r="W120" s="23">
        <v>0</v>
      </c>
      <c r="X120" s="23">
        <v>0</v>
      </c>
      <c r="Y120" s="23">
        <v>0</v>
      </c>
      <c r="Z120" s="23">
        <v>0</v>
      </c>
      <c r="AA120" s="23">
        <v>0</v>
      </c>
      <c r="AB120" s="23">
        <v>0</v>
      </c>
      <c r="AC120" s="23">
        <v>0</v>
      </c>
      <c r="AD120" s="23">
        <v>0</v>
      </c>
      <c r="AE120" s="23">
        <v>0</v>
      </c>
    </row>
    <row r="121" spans="1:31" x14ac:dyDescent="0.25">
      <c r="A121" s="41" t="s">
        <v>1151</v>
      </c>
      <c r="B121" s="6" t="s">
        <v>81</v>
      </c>
      <c r="C121" s="6" t="s">
        <v>940</v>
      </c>
      <c r="D121" s="6" t="s">
        <v>86</v>
      </c>
      <c r="E121" s="6">
        <v>2</v>
      </c>
      <c r="F121" s="6" t="s">
        <v>83</v>
      </c>
      <c r="G121" s="6" t="s">
        <v>85</v>
      </c>
      <c r="H121" s="6">
        <v>8748</v>
      </c>
      <c r="I121" s="41" t="s">
        <v>1151</v>
      </c>
      <c r="K121" s="23"/>
      <c r="L121" s="23">
        <v>0</v>
      </c>
      <c r="M121" s="23">
        <v>0</v>
      </c>
      <c r="N121" s="23">
        <v>0</v>
      </c>
      <c r="O121" s="23">
        <v>0</v>
      </c>
      <c r="P121" s="23">
        <v>0</v>
      </c>
      <c r="Q121" s="23">
        <v>0</v>
      </c>
      <c r="R121" s="23">
        <v>0</v>
      </c>
      <c r="S121" s="23">
        <v>0</v>
      </c>
      <c r="T121" s="23">
        <v>0</v>
      </c>
      <c r="U121" s="23">
        <v>0</v>
      </c>
      <c r="V121" s="23">
        <v>0</v>
      </c>
      <c r="W121" s="23">
        <v>0</v>
      </c>
      <c r="X121" s="23">
        <v>0</v>
      </c>
      <c r="Y121" s="23">
        <v>0</v>
      </c>
      <c r="Z121" s="23">
        <v>0</v>
      </c>
      <c r="AA121" s="23">
        <v>0</v>
      </c>
      <c r="AB121" s="23">
        <v>0</v>
      </c>
      <c r="AC121" s="23">
        <v>0</v>
      </c>
      <c r="AD121" s="23">
        <v>0</v>
      </c>
      <c r="AE121" s="23">
        <v>0</v>
      </c>
    </row>
    <row r="122" spans="1:31" x14ac:dyDescent="0.25">
      <c r="A122" s="41" t="s">
        <v>1152</v>
      </c>
      <c r="B122" s="6" t="s">
        <v>81</v>
      </c>
      <c r="C122" s="6" t="s">
        <v>941</v>
      </c>
      <c r="D122" s="6" t="s">
        <v>86</v>
      </c>
      <c r="E122" s="6">
        <v>2</v>
      </c>
      <c r="F122" s="6" t="s">
        <v>83</v>
      </c>
      <c r="G122" s="6" t="s">
        <v>85</v>
      </c>
      <c r="H122" s="6">
        <v>8749</v>
      </c>
      <c r="I122" s="41" t="s">
        <v>1152</v>
      </c>
      <c r="K122" s="23"/>
      <c r="L122" s="23">
        <v>0</v>
      </c>
      <c r="M122" s="23">
        <v>0</v>
      </c>
      <c r="N122" s="23">
        <v>0</v>
      </c>
      <c r="O122" s="23">
        <v>0</v>
      </c>
      <c r="P122" s="23">
        <v>0</v>
      </c>
      <c r="Q122" s="23">
        <v>0</v>
      </c>
      <c r="R122" s="23">
        <v>0</v>
      </c>
      <c r="S122" s="23">
        <v>0</v>
      </c>
      <c r="T122" s="23">
        <v>0</v>
      </c>
      <c r="U122" s="23">
        <v>0</v>
      </c>
      <c r="V122" s="23">
        <v>0</v>
      </c>
      <c r="W122" s="23">
        <v>0</v>
      </c>
      <c r="X122" s="23">
        <v>0</v>
      </c>
      <c r="Y122" s="23">
        <v>0</v>
      </c>
      <c r="Z122" s="23">
        <v>0</v>
      </c>
      <c r="AA122" s="23">
        <v>0</v>
      </c>
      <c r="AB122" s="23">
        <v>0</v>
      </c>
      <c r="AC122" s="23">
        <v>0</v>
      </c>
      <c r="AD122" s="23">
        <v>0</v>
      </c>
      <c r="AE122" s="23">
        <v>0</v>
      </c>
    </row>
    <row r="123" spans="1:31" x14ac:dyDescent="0.25">
      <c r="A123" s="41" t="s">
        <v>1153</v>
      </c>
      <c r="B123" s="6" t="s">
        <v>81</v>
      </c>
      <c r="C123" s="6" t="s">
        <v>942</v>
      </c>
      <c r="D123" s="6" t="s">
        <v>86</v>
      </c>
      <c r="E123" s="6">
        <v>2</v>
      </c>
      <c r="F123" s="6" t="s">
        <v>83</v>
      </c>
      <c r="G123" s="6" t="s">
        <v>85</v>
      </c>
      <c r="H123" s="6">
        <v>8750</v>
      </c>
      <c r="I123" s="41" t="s">
        <v>1153</v>
      </c>
      <c r="K123" s="23"/>
      <c r="L123" s="23">
        <v>0</v>
      </c>
      <c r="M123" s="23">
        <v>0</v>
      </c>
      <c r="N123" s="23">
        <v>0</v>
      </c>
      <c r="O123" s="23">
        <v>0</v>
      </c>
      <c r="P123" s="23">
        <v>0</v>
      </c>
      <c r="Q123" s="23">
        <v>0</v>
      </c>
      <c r="R123" s="23">
        <v>0</v>
      </c>
      <c r="S123" s="23">
        <v>0</v>
      </c>
      <c r="T123" s="23">
        <v>0</v>
      </c>
      <c r="U123" s="23">
        <v>0</v>
      </c>
      <c r="V123" s="23">
        <v>0</v>
      </c>
      <c r="W123" s="23">
        <v>0</v>
      </c>
      <c r="X123" s="23">
        <v>0</v>
      </c>
      <c r="Y123" s="23">
        <v>0</v>
      </c>
      <c r="Z123" s="23">
        <v>0</v>
      </c>
      <c r="AA123" s="23">
        <v>0</v>
      </c>
      <c r="AB123" s="23">
        <v>0</v>
      </c>
      <c r="AC123" s="23">
        <v>0</v>
      </c>
      <c r="AD123" s="23">
        <v>0</v>
      </c>
      <c r="AE123" s="23">
        <v>0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6" customWidth="1"/>
    <col min="4" max="4" width="60" customWidth="1"/>
  </cols>
  <sheetData>
    <row r="1" spans="1:35" x14ac:dyDescent="0.25">
      <c r="A1" s="33" t="s">
        <v>980</v>
      </c>
      <c r="B1" s="33" t="s">
        <v>982</v>
      </c>
      <c r="C1" s="33" t="s">
        <v>51</v>
      </c>
      <c r="D1" s="33" t="s">
        <v>38</v>
      </c>
      <c r="E1" s="33" t="s">
        <v>983</v>
      </c>
      <c r="F1" s="33"/>
      <c r="G1" s="33"/>
      <c r="H1" s="33"/>
      <c r="I1" s="33"/>
      <c r="J1" s="33"/>
      <c r="K1" s="33">
        <v>2021</v>
      </c>
      <c r="L1" s="33">
        <v>2022</v>
      </c>
      <c r="M1" s="33">
        <v>2023</v>
      </c>
      <c r="N1" s="33">
        <v>2024</v>
      </c>
      <c r="O1" s="33">
        <v>2025</v>
      </c>
      <c r="P1" s="33">
        <v>2026</v>
      </c>
      <c r="Q1" s="33">
        <v>2027</v>
      </c>
      <c r="R1" s="33">
        <v>2028</v>
      </c>
      <c r="S1" s="33">
        <v>2029</v>
      </c>
      <c r="T1" s="33">
        <v>2030</v>
      </c>
      <c r="U1" s="33">
        <v>2031</v>
      </c>
      <c r="V1" s="33">
        <v>2032</v>
      </c>
      <c r="W1" s="33">
        <v>2033</v>
      </c>
      <c r="X1" s="33">
        <v>2034</v>
      </c>
      <c r="Y1" s="33">
        <v>2035</v>
      </c>
      <c r="Z1" s="33">
        <v>2036</v>
      </c>
      <c r="AA1" s="33">
        <v>2037</v>
      </c>
      <c r="AB1" s="33">
        <v>2038</v>
      </c>
      <c r="AC1" s="33">
        <v>2039</v>
      </c>
      <c r="AD1" s="33">
        <v>2040</v>
      </c>
      <c r="AE1" s="33">
        <v>2041</v>
      </c>
      <c r="AF1" s="33">
        <v>2042</v>
      </c>
      <c r="AG1" s="33">
        <v>2043</v>
      </c>
      <c r="AH1" s="33">
        <v>2044</v>
      </c>
      <c r="AI1" s="33">
        <v>2045</v>
      </c>
    </row>
    <row r="2" spans="1:35" x14ac:dyDescent="0.25">
      <c r="A2" s="41" t="s">
        <v>1154</v>
      </c>
      <c r="B2" s="6" t="s">
        <v>89</v>
      </c>
      <c r="C2" s="6">
        <v>1</v>
      </c>
      <c r="D2" s="6" t="s">
        <v>87</v>
      </c>
      <c r="E2" s="6">
        <v>2446</v>
      </c>
      <c r="K2" s="24"/>
      <c r="L2" s="24">
        <v>6.6513450000000002E-2</v>
      </c>
      <c r="M2" s="24">
        <v>3.760281E-2</v>
      </c>
      <c r="N2" s="24">
        <v>2.3988010000000001E-2</v>
      </c>
      <c r="O2" s="24">
        <v>4.3923869999999997E-2</v>
      </c>
      <c r="P2" s="24">
        <v>4.239706E-2</v>
      </c>
      <c r="Q2" s="24">
        <v>4.8292179999999997E-2</v>
      </c>
      <c r="R2" s="24">
        <v>5.5353159999999998E-2</v>
      </c>
      <c r="S2" s="24">
        <v>5.2266060000000003E-2</v>
      </c>
      <c r="T2" s="24">
        <v>4.841877E-2</v>
      </c>
      <c r="U2" s="24">
        <v>4.7887359999999997E-2</v>
      </c>
      <c r="V2" s="24">
        <v>4.7355950000000008E-2</v>
      </c>
      <c r="W2" s="24">
        <v>4.6824540000000012E-2</v>
      </c>
      <c r="X2" s="24">
        <v>4.6293130000000023E-2</v>
      </c>
      <c r="Y2" s="24">
        <v>4.576172000000002E-2</v>
      </c>
      <c r="Z2" s="24">
        <v>4.5230310000000017E-2</v>
      </c>
      <c r="AA2" s="24">
        <v>4.4698900000000027E-2</v>
      </c>
      <c r="AB2" s="24">
        <v>4.4167490000000031E-2</v>
      </c>
      <c r="AC2" s="24">
        <v>4.3636080000000042E-2</v>
      </c>
      <c r="AD2" s="24">
        <v>4.3104670000000039E-2</v>
      </c>
      <c r="AE2" s="24">
        <v>4.2573260000000043E-2</v>
      </c>
    </row>
    <row r="3" spans="1:35" x14ac:dyDescent="0.25">
      <c r="A3" s="41" t="s">
        <v>1155</v>
      </c>
      <c r="B3" s="6" t="s">
        <v>92</v>
      </c>
      <c r="C3" s="6">
        <v>1</v>
      </c>
      <c r="D3" s="6" t="s">
        <v>1156</v>
      </c>
      <c r="E3" s="6">
        <v>2433</v>
      </c>
      <c r="K3" s="23"/>
      <c r="L3" s="23">
        <v>1.0271517247196089</v>
      </c>
      <c r="M3" s="23">
        <v>1.0271517247196089</v>
      </c>
      <c r="N3" s="23">
        <v>1.0205698358851201</v>
      </c>
      <c r="O3" s="23">
        <v>1.017334428852344</v>
      </c>
      <c r="P3" s="23">
        <v>1.007668332253824</v>
      </c>
      <c r="Q3" s="23">
        <v>1.000744287175529</v>
      </c>
      <c r="R3" s="23">
        <v>0.99188648901185772</v>
      </c>
      <c r="S3" s="23">
        <v>0.98065540330043011</v>
      </c>
      <c r="T3" s="23">
        <v>0.97020940399244326</v>
      </c>
      <c r="U3" s="23">
        <v>0.9641926590771045</v>
      </c>
      <c r="V3" s="23">
        <v>0.96161287122715211</v>
      </c>
      <c r="W3" s="23">
        <v>0.95919844785405028</v>
      </c>
      <c r="X3" s="23">
        <v>0.95695125444519591</v>
      </c>
      <c r="Y3" s="23">
        <v>0.95487297859577691</v>
      </c>
      <c r="Z3" s="23">
        <v>0.95296514086144846</v>
      </c>
      <c r="AA3" s="23">
        <v>0.95122910490338464</v>
      </c>
      <c r="AB3" s="23">
        <v>0.94966608689229326</v>
      </c>
      <c r="AC3" s="23">
        <v>0.94827716413797614</v>
      </c>
      <c r="AD3" s="23">
        <v>0.94706328291559227</v>
      </c>
      <c r="AE3" s="23">
        <v>0.94602526545851262</v>
      </c>
    </row>
    <row r="4" spans="1:35" x14ac:dyDescent="0.25">
      <c r="A4" s="41" t="s">
        <v>1157</v>
      </c>
      <c r="B4" s="6" t="s">
        <v>94</v>
      </c>
      <c r="C4" s="6">
        <v>1</v>
      </c>
      <c r="D4" s="6" t="s">
        <v>1158</v>
      </c>
      <c r="E4" s="6">
        <v>2439</v>
      </c>
      <c r="K4" s="23">
        <v>0</v>
      </c>
      <c r="L4" s="23">
        <v>0</v>
      </c>
      <c r="M4" s="23">
        <v>-0.2081330830204422</v>
      </c>
      <c r="N4" s="23">
        <v>9.2371428571428563E-2</v>
      </c>
      <c r="O4" s="23">
        <v>0</v>
      </c>
      <c r="P4" s="23">
        <v>0</v>
      </c>
      <c r="Q4" s="23">
        <v>0</v>
      </c>
      <c r="R4" s="23">
        <v>0</v>
      </c>
      <c r="S4" s="23">
        <v>0</v>
      </c>
      <c r="T4" s="23">
        <v>0</v>
      </c>
      <c r="U4" s="23">
        <v>0</v>
      </c>
      <c r="V4" s="23">
        <v>0</v>
      </c>
      <c r="W4" s="23">
        <v>0</v>
      </c>
      <c r="X4" s="23">
        <v>0</v>
      </c>
      <c r="Y4" s="23">
        <v>0</v>
      </c>
      <c r="Z4" s="23">
        <v>0</v>
      </c>
      <c r="AA4" s="23">
        <v>0</v>
      </c>
      <c r="AB4" s="23">
        <v>0</v>
      </c>
      <c r="AC4" s="23">
        <v>0</v>
      </c>
      <c r="AD4" s="23">
        <v>0</v>
      </c>
      <c r="AE4" s="23">
        <v>0</v>
      </c>
    </row>
    <row r="5" spans="1:35" x14ac:dyDescent="0.25">
      <c r="A5" s="41" t="s">
        <v>1159</v>
      </c>
      <c r="B5" s="6" t="s">
        <v>89</v>
      </c>
      <c r="C5" s="6">
        <v>2</v>
      </c>
      <c r="D5" s="6" t="s">
        <v>87</v>
      </c>
      <c r="E5" s="6">
        <v>8777</v>
      </c>
      <c r="K5" s="24"/>
      <c r="L5" s="24">
        <v>6.6513450000000002E-2</v>
      </c>
      <c r="M5" s="24">
        <v>3.760281E-2</v>
      </c>
      <c r="N5" s="24">
        <v>2.3988010000000001E-2</v>
      </c>
      <c r="O5" s="24">
        <v>4.3923869999999997E-2</v>
      </c>
      <c r="P5" s="24">
        <v>4.239706E-2</v>
      </c>
      <c r="Q5" s="24">
        <v>4.8298383783007638E-2</v>
      </c>
      <c r="R5" s="24">
        <v>5.55905477124225E-2</v>
      </c>
      <c r="S5" s="24">
        <v>5.2137235389631359E-2</v>
      </c>
      <c r="T5" s="24">
        <v>4.8124907491929908E-2</v>
      </c>
      <c r="U5" s="24">
        <v>4.720879652652131E-2</v>
      </c>
      <c r="V5" s="24">
        <v>4.6689043300676421E-2</v>
      </c>
      <c r="W5" s="24">
        <v>4.6632750147029209E-2</v>
      </c>
      <c r="X5" s="24">
        <v>4.6872723264421517E-2</v>
      </c>
      <c r="Y5" s="24">
        <v>4.746992175304874E-2</v>
      </c>
      <c r="Z5" s="24">
        <v>4.8590713024028988E-2</v>
      </c>
      <c r="AA5" s="24">
        <v>4.9941182078066387E-2</v>
      </c>
      <c r="AB5" s="24">
        <v>5.13941835424786E-2</v>
      </c>
      <c r="AC5" s="24">
        <v>5.2681763019776687E-2</v>
      </c>
      <c r="AD5" s="24">
        <v>5.3800711336350331E-2</v>
      </c>
      <c r="AE5" s="24">
        <v>5.4789398044337592E-2</v>
      </c>
    </row>
    <row r="6" spans="1:35" x14ac:dyDescent="0.25">
      <c r="A6" s="41" t="s">
        <v>1160</v>
      </c>
      <c r="B6" s="6" t="s">
        <v>92</v>
      </c>
      <c r="C6" s="6">
        <v>2</v>
      </c>
      <c r="D6" s="6" t="s">
        <v>1156</v>
      </c>
      <c r="E6" s="6">
        <v>8764</v>
      </c>
      <c r="K6" s="23"/>
      <c r="L6" s="23">
        <v>1.0271517247196089</v>
      </c>
      <c r="M6" s="23">
        <v>1.0271517247196089</v>
      </c>
      <c r="N6" s="23">
        <v>1.0205698358851201</v>
      </c>
      <c r="O6" s="23">
        <v>1.017334428852344</v>
      </c>
      <c r="P6" s="23">
        <v>1.007668332253824</v>
      </c>
      <c r="Q6" s="23">
        <v>1.000744287175529</v>
      </c>
      <c r="R6" s="23">
        <v>0.99188455719464341</v>
      </c>
      <c r="S6" s="23">
        <v>0.9805805650786027</v>
      </c>
      <c r="T6" s="23">
        <v>0.97025078971778123</v>
      </c>
      <c r="U6" s="23">
        <v>0.96428820815964844</v>
      </c>
      <c r="V6" s="23">
        <v>0.96183439341951105</v>
      </c>
      <c r="W6" s="23">
        <v>0.95941695116164427</v>
      </c>
      <c r="X6" s="23">
        <v>0.95701429252188364</v>
      </c>
      <c r="Y6" s="23">
        <v>0.95468193722552219</v>
      </c>
      <c r="Z6" s="23">
        <v>0.95240071158774575</v>
      </c>
      <c r="AA6" s="23">
        <v>0.95011647499405472</v>
      </c>
      <c r="AB6" s="23">
        <v>0.947927358499145</v>
      </c>
      <c r="AC6" s="23">
        <v>0.94587674776299657</v>
      </c>
      <c r="AD6" s="23">
        <v>0.94405480582839263</v>
      </c>
      <c r="AE6" s="23">
        <v>0.94246391225206505</v>
      </c>
    </row>
    <row r="7" spans="1:35" x14ac:dyDescent="0.25">
      <c r="A7" s="41" t="s">
        <v>1161</v>
      </c>
      <c r="B7" s="6" t="s">
        <v>94</v>
      </c>
      <c r="C7" s="6">
        <v>2</v>
      </c>
      <c r="D7" s="6" t="s">
        <v>1158</v>
      </c>
      <c r="E7" s="6">
        <v>8770</v>
      </c>
      <c r="K7" s="23">
        <v>0</v>
      </c>
      <c r="L7" s="23">
        <v>0</v>
      </c>
      <c r="M7" s="23">
        <v>-0.2081330830204422</v>
      </c>
      <c r="N7" s="23">
        <v>9.2371428571428563E-2</v>
      </c>
      <c r="O7" s="23">
        <v>0</v>
      </c>
      <c r="P7" s="23">
        <v>0</v>
      </c>
      <c r="Q7" s="23">
        <v>0</v>
      </c>
      <c r="R7" s="23">
        <v>0</v>
      </c>
      <c r="S7" s="23">
        <v>0</v>
      </c>
      <c r="T7" s="23">
        <v>0</v>
      </c>
      <c r="U7" s="23">
        <v>0</v>
      </c>
      <c r="V7" s="23">
        <v>0</v>
      </c>
      <c r="W7" s="23">
        <v>0</v>
      </c>
      <c r="X7" s="23">
        <v>0</v>
      </c>
      <c r="Y7" s="23">
        <v>0</v>
      </c>
      <c r="Z7" s="23">
        <v>0</v>
      </c>
      <c r="AA7" s="23">
        <v>0</v>
      </c>
      <c r="AB7" s="23">
        <v>0</v>
      </c>
      <c r="AC7" s="23">
        <v>0</v>
      </c>
      <c r="AD7" s="23">
        <v>0</v>
      </c>
      <c r="AE7" s="23">
        <v>0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3"/>
  <sheetViews>
    <sheetView workbookViewId="0"/>
  </sheetViews>
  <sheetFormatPr defaultRowHeight="15" x14ac:dyDescent="0.25"/>
  <cols>
    <col min="1" max="1" width="14" customWidth="1"/>
    <col min="10" max="10" width="16" customWidth="1"/>
    <col min="11" max="11" width="12" customWidth="1"/>
  </cols>
  <sheetData>
    <row r="1" spans="1:11" x14ac:dyDescent="0.25">
      <c r="A1" s="33" t="s">
        <v>980</v>
      </c>
      <c r="B1" s="33" t="s">
        <v>1162</v>
      </c>
      <c r="C1" s="33" t="s">
        <v>1163</v>
      </c>
      <c r="D1" s="33" t="s">
        <v>281</v>
      </c>
      <c r="E1" s="33" t="s">
        <v>283</v>
      </c>
      <c r="F1" s="33" t="s">
        <v>8</v>
      </c>
      <c r="G1" s="33" t="s">
        <v>1164</v>
      </c>
      <c r="H1" s="33"/>
      <c r="I1" s="33" t="s">
        <v>36</v>
      </c>
      <c r="J1" s="33" t="s">
        <v>1165</v>
      </c>
      <c r="K1" s="33" t="s">
        <v>1166</v>
      </c>
    </row>
    <row r="2" spans="1:11" x14ac:dyDescent="0.25">
      <c r="A2" s="41" t="s">
        <v>1167</v>
      </c>
      <c r="B2" s="6" t="s">
        <v>693</v>
      </c>
      <c r="C2" s="6" t="s">
        <v>53</v>
      </c>
      <c r="D2" s="27">
        <v>0</v>
      </c>
      <c r="E2" s="27">
        <v>0.3</v>
      </c>
      <c r="F2" s="27">
        <v>0.5</v>
      </c>
      <c r="G2" s="27">
        <v>0.7</v>
      </c>
      <c r="I2" s="2" t="s">
        <v>53</v>
      </c>
      <c r="J2" t="s">
        <v>53</v>
      </c>
      <c r="K2" t="s">
        <v>53</v>
      </c>
    </row>
    <row r="3" spans="1:11" x14ac:dyDescent="0.25">
      <c r="A3" s="41" t="s">
        <v>1168</v>
      </c>
      <c r="B3" s="6" t="s">
        <v>693</v>
      </c>
      <c r="C3" s="6" t="s">
        <v>57</v>
      </c>
      <c r="D3" s="27">
        <v>0.5</v>
      </c>
      <c r="E3" s="27">
        <v>0.3</v>
      </c>
      <c r="F3" s="27">
        <v>1</v>
      </c>
      <c r="G3" s="27">
        <v>1</v>
      </c>
      <c r="I3" s="2" t="s">
        <v>57</v>
      </c>
      <c r="J3" t="s">
        <v>57</v>
      </c>
      <c r="K3" t="s">
        <v>57</v>
      </c>
    </row>
    <row r="4" spans="1:11" x14ac:dyDescent="0.25">
      <c r="A4" s="41" t="s">
        <v>1169</v>
      </c>
      <c r="B4" s="6" t="s">
        <v>693</v>
      </c>
      <c r="C4" s="6" t="s">
        <v>59</v>
      </c>
      <c r="D4" s="27">
        <v>0.7</v>
      </c>
      <c r="E4" s="27">
        <v>0.5</v>
      </c>
      <c r="F4" s="27">
        <v>0.5</v>
      </c>
      <c r="G4" s="27">
        <v>0.5</v>
      </c>
      <c r="I4" s="2" t="s">
        <v>59</v>
      </c>
      <c r="J4" t="s">
        <v>59</v>
      </c>
      <c r="K4" t="s">
        <v>1170</v>
      </c>
    </row>
    <row r="5" spans="1:11" x14ac:dyDescent="0.25">
      <c r="A5" s="41" t="s">
        <v>1171</v>
      </c>
      <c r="B5" s="6" t="s">
        <v>693</v>
      </c>
      <c r="C5" s="6" t="s">
        <v>62</v>
      </c>
      <c r="D5" s="27">
        <v>0.6</v>
      </c>
      <c r="E5" s="27">
        <v>0.5</v>
      </c>
      <c r="F5" s="27">
        <v>0.5</v>
      </c>
      <c r="G5" s="27">
        <v>0.5</v>
      </c>
      <c r="I5" s="2" t="s">
        <v>62</v>
      </c>
      <c r="J5" t="s">
        <v>62</v>
      </c>
      <c r="K5" t="s">
        <v>1170</v>
      </c>
    </row>
    <row r="6" spans="1:11" x14ac:dyDescent="0.25">
      <c r="A6" s="41" t="s">
        <v>1172</v>
      </c>
      <c r="B6" s="6" t="s">
        <v>693</v>
      </c>
      <c r="C6" s="6" t="s">
        <v>1170</v>
      </c>
      <c r="D6" s="27">
        <v>0.8</v>
      </c>
      <c r="E6" s="27">
        <v>0.5</v>
      </c>
      <c r="F6" s="27">
        <v>0.8</v>
      </c>
      <c r="G6" s="27">
        <v>1.2</v>
      </c>
      <c r="I6" s="2" t="s">
        <v>64</v>
      </c>
      <c r="J6" t="s">
        <v>1170</v>
      </c>
      <c r="K6" t="s">
        <v>1170</v>
      </c>
    </row>
    <row r="7" spans="1:11" x14ac:dyDescent="0.25">
      <c r="A7" s="41" t="s">
        <v>1173</v>
      </c>
      <c r="B7" s="6" t="s">
        <v>693</v>
      </c>
      <c r="C7" s="6" t="s">
        <v>71</v>
      </c>
      <c r="D7" s="27">
        <v>0</v>
      </c>
      <c r="E7" s="27">
        <v>0.1</v>
      </c>
      <c r="F7" s="27">
        <v>0.1</v>
      </c>
      <c r="G7" s="27">
        <v>0.1</v>
      </c>
      <c r="I7" s="2" t="s">
        <v>66</v>
      </c>
      <c r="J7" t="s">
        <v>1170</v>
      </c>
      <c r="K7" t="s">
        <v>1170</v>
      </c>
    </row>
    <row r="8" spans="1:11" x14ac:dyDescent="0.25">
      <c r="A8" s="41" t="s">
        <v>1174</v>
      </c>
      <c r="B8" s="6" t="s">
        <v>693</v>
      </c>
      <c r="C8" s="6" t="s">
        <v>73</v>
      </c>
      <c r="D8" s="27">
        <v>1</v>
      </c>
      <c r="E8" s="27">
        <v>0.8</v>
      </c>
      <c r="F8" s="27">
        <v>0.8</v>
      </c>
      <c r="G8" s="27">
        <v>1</v>
      </c>
      <c r="I8" s="2" t="s">
        <v>68</v>
      </c>
      <c r="J8" t="s">
        <v>1170</v>
      </c>
      <c r="K8" t="s">
        <v>1170</v>
      </c>
    </row>
    <row r="9" spans="1:11" x14ac:dyDescent="0.25">
      <c r="A9" s="41" t="s">
        <v>1175</v>
      </c>
      <c r="B9" s="6" t="s">
        <v>693</v>
      </c>
      <c r="C9" s="6" t="s">
        <v>1176</v>
      </c>
      <c r="D9" s="27">
        <v>1.2</v>
      </c>
      <c r="E9" s="27">
        <v>0.8</v>
      </c>
      <c r="F9" s="27">
        <v>0.8</v>
      </c>
      <c r="G9" s="27">
        <v>1.1000000000000001</v>
      </c>
      <c r="I9" s="2" t="s">
        <v>71</v>
      </c>
      <c r="J9" t="s">
        <v>71</v>
      </c>
      <c r="K9" t="s">
        <v>71</v>
      </c>
    </row>
    <row r="10" spans="1:11" x14ac:dyDescent="0.25">
      <c r="A10" s="41" t="s">
        <v>1177</v>
      </c>
      <c r="B10" s="6" t="s">
        <v>1178</v>
      </c>
      <c r="C10" s="6" t="s">
        <v>53</v>
      </c>
      <c r="D10" s="27">
        <v>-0.3</v>
      </c>
      <c r="E10" s="27">
        <v>-0.3</v>
      </c>
      <c r="F10" s="27">
        <v>-0.3</v>
      </c>
      <c r="G10" s="27">
        <v>-0.4</v>
      </c>
      <c r="I10" s="2" t="s">
        <v>73</v>
      </c>
      <c r="J10" t="s">
        <v>73</v>
      </c>
      <c r="K10" t="s">
        <v>73</v>
      </c>
    </row>
    <row r="11" spans="1:11" x14ac:dyDescent="0.25">
      <c r="A11" s="41" t="s">
        <v>1179</v>
      </c>
      <c r="B11" s="6" t="s">
        <v>1178</v>
      </c>
      <c r="C11" s="6" t="s">
        <v>57</v>
      </c>
      <c r="D11" s="27">
        <v>-0.5</v>
      </c>
      <c r="E11" s="27">
        <v>-0.4</v>
      </c>
      <c r="F11" s="27">
        <v>-0.5</v>
      </c>
      <c r="G11" s="27">
        <v>-0.6</v>
      </c>
    </row>
    <row r="12" spans="1:11" x14ac:dyDescent="0.25">
      <c r="A12" s="41" t="s">
        <v>1180</v>
      </c>
      <c r="B12" s="6" t="s">
        <v>1178</v>
      </c>
      <c r="C12" s="6" t="s">
        <v>59</v>
      </c>
      <c r="D12" s="27">
        <v>-0.4</v>
      </c>
      <c r="E12" s="27">
        <v>-0.5</v>
      </c>
      <c r="F12" s="27">
        <v>-0.4</v>
      </c>
      <c r="G12" s="27">
        <v>-0.6</v>
      </c>
    </row>
    <row r="13" spans="1:11" x14ac:dyDescent="0.25">
      <c r="A13" s="41" t="s">
        <v>1181</v>
      </c>
      <c r="B13" s="6" t="s">
        <v>1178</v>
      </c>
      <c r="C13" s="6" t="s">
        <v>62</v>
      </c>
      <c r="D13" s="27">
        <v>-0.3</v>
      </c>
      <c r="E13" s="27">
        <v>-0.3</v>
      </c>
      <c r="F13" s="27">
        <v>-0.7</v>
      </c>
      <c r="G13" s="27">
        <v>-0.5</v>
      </c>
    </row>
    <row r="14" spans="1:11" x14ac:dyDescent="0.25">
      <c r="A14" s="41" t="s">
        <v>1182</v>
      </c>
      <c r="B14" s="6" t="s">
        <v>1178</v>
      </c>
      <c r="C14" s="6" t="s">
        <v>1170</v>
      </c>
      <c r="D14" s="27">
        <v>-0.3</v>
      </c>
      <c r="E14" s="27">
        <v>-0.3</v>
      </c>
      <c r="F14" s="27">
        <v>-0.4</v>
      </c>
      <c r="G14" s="27">
        <v>-0.5</v>
      </c>
    </row>
    <row r="15" spans="1:11" x14ac:dyDescent="0.25">
      <c r="A15" s="41" t="s">
        <v>1183</v>
      </c>
      <c r="B15" s="6" t="s">
        <v>1178</v>
      </c>
      <c r="C15" s="6" t="s">
        <v>71</v>
      </c>
      <c r="D15" s="27">
        <v>-0.3</v>
      </c>
      <c r="E15" s="27">
        <v>-0.3</v>
      </c>
      <c r="F15" s="27">
        <v>-0.3</v>
      </c>
      <c r="G15" s="27">
        <v>-0.4</v>
      </c>
    </row>
    <row r="16" spans="1:11" x14ac:dyDescent="0.25">
      <c r="A16" s="41" t="s">
        <v>1184</v>
      </c>
      <c r="B16" s="6" t="s">
        <v>1178</v>
      </c>
      <c r="C16" s="6" t="s">
        <v>73</v>
      </c>
      <c r="D16" s="27">
        <v>-0.5</v>
      </c>
      <c r="E16" s="27">
        <v>-0.5</v>
      </c>
      <c r="F16" s="27">
        <v>-0.5</v>
      </c>
      <c r="G16" s="27">
        <v>-0.7</v>
      </c>
    </row>
    <row r="17" spans="1:7" x14ac:dyDescent="0.25">
      <c r="A17" s="41" t="s">
        <v>1185</v>
      </c>
      <c r="B17" s="6" t="s">
        <v>1178</v>
      </c>
      <c r="C17" s="6" t="s">
        <v>1176</v>
      </c>
      <c r="D17" s="27">
        <v>-0.2</v>
      </c>
      <c r="E17" s="27">
        <v>-0.3</v>
      </c>
      <c r="F17" s="27">
        <v>-0.3</v>
      </c>
      <c r="G17" s="27">
        <v>-0.5</v>
      </c>
    </row>
    <row r="18" spans="1:7" x14ac:dyDescent="0.25">
      <c r="A18" s="41" t="s">
        <v>1186</v>
      </c>
      <c r="B18" s="6" t="s">
        <v>1187</v>
      </c>
      <c r="C18" s="6" t="s">
        <v>53</v>
      </c>
      <c r="D18" s="27">
        <v>-0.4</v>
      </c>
      <c r="E18" s="27">
        <v>-0.4</v>
      </c>
      <c r="F18" s="27">
        <v>-0.4</v>
      </c>
      <c r="G18" s="27">
        <v>-0.6</v>
      </c>
    </row>
    <row r="19" spans="1:7" x14ac:dyDescent="0.25">
      <c r="A19" s="41" t="s">
        <v>1188</v>
      </c>
      <c r="B19" s="6" t="s">
        <v>1187</v>
      </c>
      <c r="C19" s="6" t="s">
        <v>57</v>
      </c>
      <c r="D19" s="27">
        <v>-0.4</v>
      </c>
      <c r="E19" s="27">
        <v>-0.5</v>
      </c>
      <c r="F19" s="27">
        <v>-0.5</v>
      </c>
      <c r="G19" s="27">
        <v>-1</v>
      </c>
    </row>
    <row r="20" spans="1:7" x14ac:dyDescent="0.25">
      <c r="A20" s="41" t="s">
        <v>1189</v>
      </c>
      <c r="B20" s="6" t="s">
        <v>1187</v>
      </c>
      <c r="C20" s="6" t="s">
        <v>59</v>
      </c>
      <c r="D20" s="27">
        <v>-0.4</v>
      </c>
      <c r="E20" s="27">
        <v>-0.6</v>
      </c>
      <c r="F20" s="27">
        <v>-0.7</v>
      </c>
      <c r="G20" s="27">
        <v>-1.1000000000000001</v>
      </c>
    </row>
    <row r="21" spans="1:7" x14ac:dyDescent="0.25">
      <c r="A21" s="41" t="s">
        <v>1190</v>
      </c>
      <c r="B21" s="6" t="s">
        <v>1187</v>
      </c>
      <c r="C21" s="6" t="s">
        <v>62</v>
      </c>
      <c r="D21" s="27">
        <v>-0.3</v>
      </c>
      <c r="E21" s="27">
        <v>-0.3</v>
      </c>
      <c r="F21" s="27">
        <v>-1.2</v>
      </c>
      <c r="G21" s="27">
        <v>-0.4</v>
      </c>
    </row>
    <row r="22" spans="1:7" x14ac:dyDescent="0.25">
      <c r="A22" s="41" t="s">
        <v>1191</v>
      </c>
      <c r="B22" s="6" t="s">
        <v>1187</v>
      </c>
      <c r="C22" s="6" t="s">
        <v>1170</v>
      </c>
      <c r="D22" s="27">
        <v>-0.4</v>
      </c>
      <c r="E22" s="27">
        <v>-0.4</v>
      </c>
      <c r="F22" s="27">
        <v>-0.4</v>
      </c>
      <c r="G22" s="27">
        <v>-0.6</v>
      </c>
    </row>
    <row r="23" spans="1:7" x14ac:dyDescent="0.25">
      <c r="A23" s="41" t="s">
        <v>1192</v>
      </c>
      <c r="B23" s="6" t="s">
        <v>1187</v>
      </c>
      <c r="C23" s="6" t="s">
        <v>71</v>
      </c>
      <c r="D23" s="27">
        <v>-0.2</v>
      </c>
      <c r="E23" s="27">
        <v>-0.2</v>
      </c>
      <c r="F23" s="27">
        <v>-0.2</v>
      </c>
      <c r="G23" s="27">
        <v>-0.3</v>
      </c>
    </row>
    <row r="24" spans="1:7" x14ac:dyDescent="0.25">
      <c r="A24" s="41" t="s">
        <v>1193</v>
      </c>
      <c r="B24" s="6" t="s">
        <v>1187</v>
      </c>
      <c r="C24" s="6" t="s">
        <v>73</v>
      </c>
      <c r="D24" s="27">
        <v>-0.4</v>
      </c>
      <c r="E24" s="27">
        <v>-0.4</v>
      </c>
      <c r="F24" s="27">
        <v>-0.4</v>
      </c>
      <c r="G24" s="27">
        <v>-0.6</v>
      </c>
    </row>
    <row r="25" spans="1:7" x14ac:dyDescent="0.25">
      <c r="A25" s="41" t="s">
        <v>1194</v>
      </c>
      <c r="B25" s="6" t="s">
        <v>1187</v>
      </c>
      <c r="C25" s="6" t="s">
        <v>1176</v>
      </c>
      <c r="D25" s="27">
        <v>-0.2</v>
      </c>
      <c r="E25" s="27">
        <v>-0.2</v>
      </c>
      <c r="F25" s="27">
        <v>-0.2</v>
      </c>
      <c r="G25" s="27">
        <v>-0.4</v>
      </c>
    </row>
    <row r="26" spans="1:7" x14ac:dyDescent="0.25">
      <c r="A26" s="41" t="s">
        <v>1195</v>
      </c>
      <c r="B26" s="6" t="s">
        <v>1196</v>
      </c>
      <c r="C26" s="6" t="s">
        <v>53</v>
      </c>
      <c r="D26" s="27">
        <v>0.01</v>
      </c>
      <c r="E26" s="27">
        <v>5.0000000000000001E-3</v>
      </c>
      <c r="F26" s="27">
        <v>5.0000000000000001E-3</v>
      </c>
      <c r="G26" s="27">
        <v>5.0000000000000001E-3</v>
      </c>
    </row>
    <row r="27" spans="1:7" x14ac:dyDescent="0.25">
      <c r="A27" s="41" t="s">
        <v>1197</v>
      </c>
      <c r="B27" s="6" t="s">
        <v>1196</v>
      </c>
      <c r="C27" s="6" t="s">
        <v>57</v>
      </c>
      <c r="D27" s="27">
        <v>0.01</v>
      </c>
      <c r="E27" s="27">
        <v>0.01</v>
      </c>
      <c r="F27" s="27">
        <v>0.01</v>
      </c>
      <c r="G27" s="27">
        <v>0.01</v>
      </c>
    </row>
    <row r="28" spans="1:7" x14ac:dyDescent="0.25">
      <c r="A28" s="41" t="s">
        <v>1198</v>
      </c>
      <c r="B28" s="6" t="s">
        <v>1196</v>
      </c>
      <c r="C28" s="6" t="s">
        <v>1170</v>
      </c>
      <c r="D28" s="27">
        <v>0.01</v>
      </c>
      <c r="E28" s="27">
        <v>5.0000000000000001E-3</v>
      </c>
      <c r="F28" s="27">
        <v>5.0000000000000001E-3</v>
      </c>
      <c r="G28" s="27">
        <v>5.0000000000000001E-3</v>
      </c>
    </row>
    <row r="29" spans="1:7" x14ac:dyDescent="0.25">
      <c r="A29" s="41" t="s">
        <v>1199</v>
      </c>
      <c r="B29" s="6" t="s">
        <v>1196</v>
      </c>
      <c r="C29" s="6" t="s">
        <v>71</v>
      </c>
      <c r="D29" s="27">
        <v>0.01</v>
      </c>
      <c r="E29" s="27">
        <v>5.0000000000000001E-3</v>
      </c>
      <c r="F29" s="27">
        <v>5.0000000000000001E-3</v>
      </c>
      <c r="G29" s="27">
        <v>5.0000000000000001E-3</v>
      </c>
    </row>
    <row r="30" spans="1:7" x14ac:dyDescent="0.25">
      <c r="A30" s="41" t="s">
        <v>1200</v>
      </c>
      <c r="B30" s="6" t="s">
        <v>1196</v>
      </c>
      <c r="C30" s="6" t="s">
        <v>73</v>
      </c>
      <c r="D30" s="27">
        <v>0.01</v>
      </c>
      <c r="E30" s="27">
        <v>5.0000000000000001E-3</v>
      </c>
      <c r="F30" s="27">
        <v>5.0000000000000001E-3</v>
      </c>
      <c r="G30" s="27">
        <v>5.0000000000000001E-3</v>
      </c>
    </row>
    <row r="31" spans="1:7" x14ac:dyDescent="0.25">
      <c r="A31" s="41" t="s">
        <v>1201</v>
      </c>
      <c r="B31" s="6" t="s">
        <v>1196</v>
      </c>
      <c r="C31" s="6" t="s">
        <v>1176</v>
      </c>
      <c r="D31" s="27">
        <v>0.01</v>
      </c>
      <c r="E31" s="27">
        <v>5.0000000000000001E-3</v>
      </c>
      <c r="F31" s="27">
        <v>5.0000000000000001E-3</v>
      </c>
      <c r="G31" s="27">
        <v>5.0000000000000001E-3</v>
      </c>
    </row>
    <row r="33" spans="1:1" x14ac:dyDescent="0.25">
      <c r="A33" s="4" t="s">
        <v>1202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580"/>
  <sheetViews>
    <sheetView workbookViewId="0">
      <pane xSplit="5" ySplit="5" topLeftCell="F6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30" customWidth="1"/>
    <col min="5" max="5" width="10" customWidth="1"/>
    <col min="11" max="35" width="11" customWidth="1"/>
  </cols>
  <sheetData>
    <row r="1" spans="1:35" ht="15.75" x14ac:dyDescent="0.25">
      <c r="A1" s="32" t="s">
        <v>1203</v>
      </c>
    </row>
    <row r="2" spans="1:35" x14ac:dyDescent="0.25">
      <c r="A2" s="2" t="s">
        <v>1204</v>
      </c>
      <c r="D2" s="42">
        <f>MAX(F8,F12,F16,F20,F24,F28,F32,F36,F40,F44,F48,F52,F56,F60,F64,F68,F72,F76,F80,F84,F88,F92,F96,F100,F104,F108,F112,F116,F120,F124,F128,F132,F136,F140,F144,F148)</f>
        <v>2.7284841053187847E-12</v>
      </c>
    </row>
    <row r="3" spans="1:35" x14ac:dyDescent="0.25">
      <c r="A3" s="2" t="s">
        <v>1205</v>
      </c>
      <c r="D3" s="42">
        <f>MAX(F152,F156,F160,F164,F168,F172,F176,F180,F184,F188,F192,F196,F200,F204,F208,F212,F216,F220,F224,F228,F232,F236,F240,F244,F248,F252,F256,F260,F264,F268,F272,F276,F280,F284,F288,F292)</f>
        <v>1.5916157281026244E-12</v>
      </c>
    </row>
    <row r="4" spans="1:35" x14ac:dyDescent="0.25">
      <c r="A4" s="2" t="s">
        <v>1206</v>
      </c>
      <c r="D4" s="42">
        <f>MAX(F296,F300,F304,F308,F312,F316,F320,F324,F328,F332,F336,F340,F344,F348,F352,F356,F360,F364,F368,F372,F376,F380,F384,F388,F392,F396,F400,F404,F408,F412,F416,F420,F424,F428,F432,F436,F440,F444,F448,F452,F456,F460,F464,F468,F472,F476,F480,F484,F488,F492,F496,F500,F504,F508,F512,F516,F520,F524,F528,F532,F536,F540,F544,F548,F552,F556,F560,F564,F568,F572,F576,F580)</f>
        <v>7.1054273576010019E-15</v>
      </c>
    </row>
    <row r="5" spans="1:35" x14ac:dyDescent="0.25">
      <c r="A5" s="33" t="s">
        <v>42</v>
      </c>
      <c r="B5" s="33" t="s">
        <v>36</v>
      </c>
      <c r="C5" s="33" t="s">
        <v>37</v>
      </c>
      <c r="D5" s="33" t="s">
        <v>51</v>
      </c>
      <c r="E5" s="33" t="s">
        <v>1207</v>
      </c>
      <c r="F5" s="33" t="s">
        <v>1208</v>
      </c>
      <c r="G5" s="33"/>
      <c r="H5" s="33"/>
      <c r="I5" s="33"/>
      <c r="J5" s="33"/>
      <c r="K5" s="33">
        <v>2021</v>
      </c>
      <c r="L5" s="33">
        <v>2022</v>
      </c>
      <c r="M5" s="33">
        <v>2023</v>
      </c>
      <c r="N5" s="33">
        <v>2024</v>
      </c>
      <c r="O5" s="33">
        <v>2025</v>
      </c>
      <c r="P5" s="33">
        <v>2026</v>
      </c>
      <c r="Q5" s="33">
        <v>2027</v>
      </c>
      <c r="R5" s="33">
        <v>2028</v>
      </c>
      <c r="S5" s="33">
        <v>2029</v>
      </c>
      <c r="T5" s="33">
        <v>2030</v>
      </c>
      <c r="U5" s="33">
        <v>2031</v>
      </c>
      <c r="V5" s="33">
        <v>2032</v>
      </c>
      <c r="W5" s="33">
        <v>2033</v>
      </c>
      <c r="X5" s="33">
        <v>2034</v>
      </c>
      <c r="Y5" s="33">
        <v>2035</v>
      </c>
      <c r="Z5" s="33">
        <v>2036</v>
      </c>
      <c r="AA5" s="33">
        <v>2037</v>
      </c>
      <c r="AB5" s="33">
        <v>2038</v>
      </c>
      <c r="AC5" s="33">
        <v>2039</v>
      </c>
      <c r="AD5" s="33">
        <v>2040</v>
      </c>
      <c r="AE5" s="33">
        <v>2041</v>
      </c>
      <c r="AF5" s="33">
        <v>2042</v>
      </c>
      <c r="AG5" s="33">
        <v>2043</v>
      </c>
      <c r="AH5" s="33">
        <v>2044</v>
      </c>
      <c r="AI5" s="33">
        <v>2045</v>
      </c>
    </row>
    <row r="6" spans="1:35" x14ac:dyDescent="0.25">
      <c r="A6" s="41" t="s">
        <v>1209</v>
      </c>
      <c r="B6" s="6" t="s">
        <v>53</v>
      </c>
      <c r="C6" s="6" t="s">
        <v>47</v>
      </c>
      <c r="D6" s="6">
        <v>1</v>
      </c>
      <c r="E6" s="6" t="s">
        <v>1210</v>
      </c>
      <c r="K6" s="29">
        <v>0.19124790539894379</v>
      </c>
      <c r="L6" s="29">
        <v>232.65735477013141</v>
      </c>
      <c r="M6" s="29">
        <v>189.45265610688719</v>
      </c>
      <c r="N6" s="29">
        <v>217.72883870914129</v>
      </c>
      <c r="O6" s="29">
        <v>237.8979301504894</v>
      </c>
      <c r="P6" s="29">
        <v>232.65006903124481</v>
      </c>
      <c r="Q6" s="29">
        <v>235.3429402100362</v>
      </c>
      <c r="R6" s="29">
        <v>241.85374047418921</v>
      </c>
      <c r="S6" s="29">
        <v>248.19368529175671</v>
      </c>
      <c r="T6" s="29">
        <v>254.26779674013881</v>
      </c>
      <c r="U6" s="29">
        <v>260.35638985714348</v>
      </c>
      <c r="V6" s="29">
        <v>265.2854728630158</v>
      </c>
      <c r="W6" s="29">
        <v>270.22699380634299</v>
      </c>
      <c r="X6" s="29">
        <v>275.17954419786031</v>
      </c>
      <c r="Y6" s="29">
        <v>280.14172796099177</v>
      </c>
      <c r="Z6" s="29">
        <v>285.11216024955422</v>
      </c>
      <c r="AA6" s="29">
        <v>290.08946613853811</v>
      </c>
      <c r="AB6" s="29">
        <v>295.07227919448809</v>
      </c>
      <c r="AC6" s="29">
        <v>300.05923993157512</v>
      </c>
      <c r="AD6" s="29">
        <v>305.04899415904629</v>
      </c>
      <c r="AE6" s="29">
        <v>310.04019122530309</v>
      </c>
    </row>
    <row r="7" spans="1:35" x14ac:dyDescent="0.25">
      <c r="A7" s="41" t="s">
        <v>1209</v>
      </c>
      <c r="B7" s="6" t="s">
        <v>53</v>
      </c>
      <c r="C7" s="6" t="s">
        <v>47</v>
      </c>
      <c r="D7" s="6">
        <v>1</v>
      </c>
      <c r="E7" s="6" t="s">
        <v>1211</v>
      </c>
      <c r="K7" s="29">
        <f>INDEX(Mitigation_Industry!K:K,MATCH($A7,Mitigation_Industry!$H:$H,0))</f>
        <v>0</v>
      </c>
      <c r="L7" s="29">
        <f>INDEX(Mitigation_Industry!L:L,MATCH($A7,Mitigation_Industry!$H:$H,0))</f>
        <v>232.65735477013141</v>
      </c>
      <c r="M7" s="29">
        <f>INDEX(Mitigation_Industry!M:M,MATCH($A7,Mitigation_Industry!$H:$H,0))</f>
        <v>189.45265610688728</v>
      </c>
      <c r="N7" s="29">
        <f>INDEX(Mitigation_Industry!N:N,MATCH($A7,Mitigation_Industry!$H:$H,0))</f>
        <v>217.72883870914126</v>
      </c>
      <c r="O7" s="29">
        <f>INDEX(Mitigation_Industry!O:O,MATCH($A7,Mitigation_Industry!$H:$H,0))</f>
        <v>237.89793015048934</v>
      </c>
      <c r="P7" s="29">
        <f>INDEX(Mitigation_Industry!P:P,MATCH($A7,Mitigation_Industry!$H:$H,0))</f>
        <v>232.6500690312447</v>
      </c>
      <c r="Q7" s="29">
        <f>INDEX(Mitigation_Industry!Q:Q,MATCH($A7,Mitigation_Industry!$H:$H,0))</f>
        <v>235.34294021003615</v>
      </c>
      <c r="R7" s="29">
        <f>INDEX(Mitigation_Industry!R:R,MATCH($A7,Mitigation_Industry!$H:$H,0))</f>
        <v>241.85374047418912</v>
      </c>
      <c r="S7" s="29">
        <f>INDEX(Mitigation_Industry!S:S,MATCH($A7,Mitigation_Industry!$H:$H,0))</f>
        <v>248.19368529175665</v>
      </c>
      <c r="T7" s="29">
        <f>INDEX(Mitigation_Industry!T:T,MATCH($A7,Mitigation_Industry!$H:$H,0))</f>
        <v>254.26779674013872</v>
      </c>
      <c r="U7" s="29">
        <f>INDEX(Mitigation_Industry!U:U,MATCH($A7,Mitigation_Industry!$H:$H,0))</f>
        <v>260.35638985714348</v>
      </c>
      <c r="V7" s="29">
        <f>INDEX(Mitigation_Industry!V:V,MATCH($A7,Mitigation_Industry!$H:$H,0))</f>
        <v>265.28547286301574</v>
      </c>
      <c r="W7" s="29">
        <f>INDEX(Mitigation_Industry!W:W,MATCH($A7,Mitigation_Industry!$H:$H,0))</f>
        <v>270.22699380634299</v>
      </c>
      <c r="X7" s="29">
        <f>INDEX(Mitigation_Industry!X:X,MATCH($A7,Mitigation_Industry!$H:$H,0))</f>
        <v>275.1795441978602</v>
      </c>
      <c r="Y7" s="29">
        <f>INDEX(Mitigation_Industry!Y:Y,MATCH($A7,Mitigation_Industry!$H:$H,0))</f>
        <v>280.14172796099177</v>
      </c>
      <c r="Z7" s="29">
        <f>INDEX(Mitigation_Industry!Z:Z,MATCH($A7,Mitigation_Industry!$H:$H,0))</f>
        <v>285.11216024955411</v>
      </c>
      <c r="AA7" s="29">
        <f>INDEX(Mitigation_Industry!AA:AA,MATCH($A7,Mitigation_Industry!$H:$H,0))</f>
        <v>290.08946613853806</v>
      </c>
      <c r="AB7" s="29">
        <f>INDEX(Mitigation_Industry!AB:AB,MATCH($A7,Mitigation_Industry!$H:$H,0))</f>
        <v>295.07227919448803</v>
      </c>
      <c r="AC7" s="29">
        <f>INDEX(Mitigation_Industry!AC:AC,MATCH($A7,Mitigation_Industry!$H:$H,0))</f>
        <v>300.05923993157506</v>
      </c>
      <c r="AD7" s="29">
        <f>INDEX(Mitigation_Industry!AD:AD,MATCH($A7,Mitigation_Industry!$H:$H,0))</f>
        <v>305.04899415904629</v>
      </c>
      <c r="AE7" s="29">
        <f>INDEX(Mitigation_Industry!AE:AE,MATCH($A7,Mitigation_Industry!$H:$H,0))</f>
        <v>310.04019122530309</v>
      </c>
    </row>
    <row r="8" spans="1:35" x14ac:dyDescent="0.25">
      <c r="A8" s="41" t="s">
        <v>1209</v>
      </c>
      <c r="B8" s="6" t="s">
        <v>53</v>
      </c>
      <c r="C8" s="6" t="s">
        <v>47</v>
      </c>
      <c r="D8" s="6">
        <v>1</v>
      </c>
      <c r="E8" s="2" t="s">
        <v>1212</v>
      </c>
      <c r="F8" s="43">
        <f>MAX(MAX(L8:AE8),-MIN(L8:AE8))</f>
        <v>1.1368683772161603E-13</v>
      </c>
      <c r="K8" s="44">
        <f t="shared" ref="K8:AE8" si="0">IF(ISNUMBER(K6),IF(ISNUMBER(K7),K7-K6,999999),0)</f>
        <v>-0.19124790539894379</v>
      </c>
      <c r="L8" s="44">
        <f t="shared" si="0"/>
        <v>0</v>
      </c>
      <c r="M8" s="44">
        <f t="shared" si="0"/>
        <v>8.5265128291212022E-14</v>
      </c>
      <c r="N8" s="44">
        <f t="shared" si="0"/>
        <v>-2.8421709430404007E-14</v>
      </c>
      <c r="O8" s="44">
        <f t="shared" si="0"/>
        <v>-5.6843418860808015E-14</v>
      </c>
      <c r="P8" s="44">
        <f t="shared" si="0"/>
        <v>-1.1368683772161603E-13</v>
      </c>
      <c r="Q8" s="44">
        <f t="shared" si="0"/>
        <v>-5.6843418860808015E-14</v>
      </c>
      <c r="R8" s="44">
        <f t="shared" si="0"/>
        <v>-8.5265128291212022E-14</v>
      </c>
      <c r="S8" s="44">
        <f t="shared" si="0"/>
        <v>-5.6843418860808015E-14</v>
      </c>
      <c r="T8" s="44">
        <f t="shared" si="0"/>
        <v>-8.5265128291212022E-14</v>
      </c>
      <c r="U8" s="44">
        <f t="shared" si="0"/>
        <v>0</v>
      </c>
      <c r="V8" s="44">
        <f t="shared" si="0"/>
        <v>-5.6843418860808015E-14</v>
      </c>
      <c r="W8" s="44">
        <f t="shared" si="0"/>
        <v>0</v>
      </c>
      <c r="X8" s="44">
        <f t="shared" si="0"/>
        <v>-1.1368683772161603E-13</v>
      </c>
      <c r="Y8" s="44">
        <f t="shared" si="0"/>
        <v>0</v>
      </c>
      <c r="Z8" s="44">
        <f t="shared" si="0"/>
        <v>-1.1368683772161603E-13</v>
      </c>
      <c r="AA8" s="44">
        <f t="shared" si="0"/>
        <v>-5.6843418860808015E-14</v>
      </c>
      <c r="AB8" s="44">
        <f t="shared" si="0"/>
        <v>-5.6843418860808015E-14</v>
      </c>
      <c r="AC8" s="44">
        <f t="shared" si="0"/>
        <v>-5.6843418860808015E-14</v>
      </c>
      <c r="AD8" s="44">
        <f t="shared" si="0"/>
        <v>0</v>
      </c>
      <c r="AE8" s="44">
        <f t="shared" si="0"/>
        <v>0</v>
      </c>
    </row>
    <row r="10" spans="1:35" x14ac:dyDescent="0.25">
      <c r="A10" s="41" t="s">
        <v>1213</v>
      </c>
      <c r="B10" s="6" t="s">
        <v>57</v>
      </c>
      <c r="C10" s="6" t="s">
        <v>47</v>
      </c>
      <c r="D10" s="6">
        <v>1</v>
      </c>
      <c r="E10" s="6" t="s">
        <v>1210</v>
      </c>
      <c r="K10" s="29">
        <v>0.80875209460105613</v>
      </c>
      <c r="L10" s="29">
        <v>1669.056719042127</v>
      </c>
      <c r="M10" s="29">
        <v>1431.7775208824839</v>
      </c>
      <c r="N10" s="29">
        <v>1603.118081521229</v>
      </c>
      <c r="O10" s="29">
        <v>1666.4691074748559</v>
      </c>
      <c r="P10" s="29">
        <v>1729.051952221994</v>
      </c>
      <c r="Q10" s="29">
        <v>1803.6196014388549</v>
      </c>
      <c r="R10" s="29">
        <v>1893.1814307796601</v>
      </c>
      <c r="S10" s="29">
        <v>1980.291402052698</v>
      </c>
      <c r="T10" s="29">
        <v>2062.9630959218889</v>
      </c>
      <c r="U10" s="29">
        <v>2147.4247884614911</v>
      </c>
      <c r="V10" s="29">
        <v>2233.984814846282</v>
      </c>
      <c r="W10" s="29">
        <v>2322.6434118442571</v>
      </c>
      <c r="X10" s="29">
        <v>2413.399246519356</v>
      </c>
      <c r="Y10" s="29">
        <v>2506.249392535447</v>
      </c>
      <c r="Z10" s="29">
        <v>2601.1893032263938</v>
      </c>
      <c r="AA10" s="29">
        <v>2698.2127811658629</v>
      </c>
      <c r="AB10" s="29">
        <v>2797.3119439811439</v>
      </c>
      <c r="AC10" s="29">
        <v>2898.477186165318</v>
      </c>
      <c r="AD10" s="29">
        <v>3001.6971366522089</v>
      </c>
      <c r="AE10" s="29">
        <v>3106.958611928037</v>
      </c>
    </row>
    <row r="11" spans="1:35" x14ac:dyDescent="0.25">
      <c r="A11" s="41" t="s">
        <v>1213</v>
      </c>
      <c r="B11" s="6" t="s">
        <v>57</v>
      </c>
      <c r="C11" s="6" t="s">
        <v>47</v>
      </c>
      <c r="D11" s="6">
        <v>1</v>
      </c>
      <c r="E11" s="6" t="s">
        <v>1211</v>
      </c>
      <c r="K11" s="29">
        <f>INDEX(Mitigation_Industry!K:K,MATCH($A11,Mitigation_Industry!$H:$H,0))</f>
        <v>0</v>
      </c>
      <c r="L11" s="29">
        <f>INDEX(Mitigation_Industry!L:L,MATCH($A11,Mitigation_Industry!$H:$H,0))</f>
        <v>1669.056719042127</v>
      </c>
      <c r="M11" s="29">
        <f>INDEX(Mitigation_Industry!M:M,MATCH($A11,Mitigation_Industry!$H:$H,0))</f>
        <v>1431.7775208824842</v>
      </c>
      <c r="N11" s="29">
        <f>INDEX(Mitigation_Industry!N:N,MATCH($A11,Mitigation_Industry!$H:$H,0))</f>
        <v>1603.1180815212294</v>
      </c>
      <c r="O11" s="29">
        <f>INDEX(Mitigation_Industry!O:O,MATCH($A11,Mitigation_Industry!$H:$H,0))</f>
        <v>1666.4691074748559</v>
      </c>
      <c r="P11" s="29">
        <f>INDEX(Mitigation_Industry!P:P,MATCH($A11,Mitigation_Industry!$H:$H,0))</f>
        <v>1729.0519522219943</v>
      </c>
      <c r="Q11" s="29">
        <f>INDEX(Mitigation_Industry!Q:Q,MATCH($A11,Mitigation_Industry!$H:$H,0))</f>
        <v>1803.6196014388554</v>
      </c>
      <c r="R11" s="29">
        <f>INDEX(Mitigation_Industry!R:R,MATCH($A11,Mitigation_Industry!$H:$H,0))</f>
        <v>1893.1814307796601</v>
      </c>
      <c r="S11" s="29">
        <f>INDEX(Mitigation_Industry!S:S,MATCH($A11,Mitigation_Industry!$H:$H,0))</f>
        <v>1980.2914020526989</v>
      </c>
      <c r="T11" s="29">
        <f>INDEX(Mitigation_Industry!T:T,MATCH($A11,Mitigation_Industry!$H:$H,0))</f>
        <v>2062.9630959218894</v>
      </c>
      <c r="U11" s="29">
        <f>INDEX(Mitigation_Industry!U:U,MATCH($A11,Mitigation_Industry!$H:$H,0))</f>
        <v>2147.4247884614911</v>
      </c>
      <c r="V11" s="29">
        <f>INDEX(Mitigation_Industry!V:V,MATCH($A11,Mitigation_Industry!$H:$H,0))</f>
        <v>2233.9848148462829</v>
      </c>
      <c r="W11" s="29">
        <f>INDEX(Mitigation_Industry!W:W,MATCH($A11,Mitigation_Industry!$H:$H,0))</f>
        <v>2322.6434118442571</v>
      </c>
      <c r="X11" s="29">
        <f>INDEX(Mitigation_Industry!X:X,MATCH($A11,Mitigation_Industry!$H:$H,0))</f>
        <v>2413.3992465193564</v>
      </c>
      <c r="Y11" s="29">
        <f>INDEX(Mitigation_Industry!Y:Y,MATCH($A11,Mitigation_Industry!$H:$H,0))</f>
        <v>2506.2493925354479</v>
      </c>
      <c r="Z11" s="29">
        <f>INDEX(Mitigation_Industry!Z:Z,MATCH($A11,Mitigation_Industry!$H:$H,0))</f>
        <v>2601.1893032263947</v>
      </c>
      <c r="AA11" s="29">
        <f>INDEX(Mitigation_Industry!AA:AA,MATCH($A11,Mitigation_Industry!$H:$H,0))</f>
        <v>2698.2127811658643</v>
      </c>
      <c r="AB11" s="29">
        <f>INDEX(Mitigation_Industry!AB:AB,MATCH($A11,Mitigation_Industry!$H:$H,0))</f>
        <v>2797.3119439811449</v>
      </c>
      <c r="AC11" s="29">
        <f>INDEX(Mitigation_Industry!AC:AC,MATCH($A11,Mitigation_Industry!$H:$H,0))</f>
        <v>2898.4771861653189</v>
      </c>
      <c r="AD11" s="29">
        <f>INDEX(Mitigation_Industry!AD:AD,MATCH($A11,Mitigation_Industry!$H:$H,0))</f>
        <v>3001.6971366522098</v>
      </c>
      <c r="AE11" s="29">
        <f>INDEX(Mitigation_Industry!AE:AE,MATCH($A11,Mitigation_Industry!$H:$H,0))</f>
        <v>3106.9586119280375</v>
      </c>
    </row>
    <row r="12" spans="1:35" x14ac:dyDescent="0.25">
      <c r="A12" s="41" t="s">
        <v>1213</v>
      </c>
      <c r="B12" s="6" t="s">
        <v>57</v>
      </c>
      <c r="C12" s="6" t="s">
        <v>47</v>
      </c>
      <c r="D12" s="6">
        <v>1</v>
      </c>
      <c r="E12" s="2" t="s">
        <v>1212</v>
      </c>
      <c r="F12" s="43">
        <f>MAX(MAX(L12:AE12),-MIN(L12:AE12))</f>
        <v>1.3642420526593924E-12</v>
      </c>
      <c r="K12" s="44">
        <f t="shared" ref="K12:AE12" si="1">IF(ISNUMBER(K10),IF(ISNUMBER(K11),K11-K10,999999),0)</f>
        <v>-0.80875209460105613</v>
      </c>
      <c r="L12" s="44">
        <f t="shared" si="1"/>
        <v>0</v>
      </c>
      <c r="M12" s="44">
        <f t="shared" si="1"/>
        <v>2.2737367544323206E-13</v>
      </c>
      <c r="N12" s="44">
        <f t="shared" si="1"/>
        <v>4.5474735088646412E-13</v>
      </c>
      <c r="O12" s="44">
        <f t="shared" si="1"/>
        <v>0</v>
      </c>
      <c r="P12" s="44">
        <f t="shared" si="1"/>
        <v>2.2737367544323206E-13</v>
      </c>
      <c r="Q12" s="44">
        <f t="shared" si="1"/>
        <v>4.5474735088646412E-13</v>
      </c>
      <c r="R12" s="44">
        <f t="shared" si="1"/>
        <v>0</v>
      </c>
      <c r="S12" s="44">
        <f t="shared" si="1"/>
        <v>9.0949470177292824E-13</v>
      </c>
      <c r="T12" s="44">
        <f t="shared" si="1"/>
        <v>4.5474735088646412E-13</v>
      </c>
      <c r="U12" s="44">
        <f t="shared" si="1"/>
        <v>0</v>
      </c>
      <c r="V12" s="44">
        <f t="shared" si="1"/>
        <v>9.0949470177292824E-13</v>
      </c>
      <c r="W12" s="44">
        <f t="shared" si="1"/>
        <v>0</v>
      </c>
      <c r="X12" s="44">
        <f t="shared" si="1"/>
        <v>4.5474735088646412E-13</v>
      </c>
      <c r="Y12" s="44">
        <f t="shared" si="1"/>
        <v>9.0949470177292824E-13</v>
      </c>
      <c r="Z12" s="44">
        <f t="shared" si="1"/>
        <v>9.0949470177292824E-13</v>
      </c>
      <c r="AA12" s="44">
        <f t="shared" si="1"/>
        <v>1.3642420526593924E-12</v>
      </c>
      <c r="AB12" s="44">
        <f t="shared" si="1"/>
        <v>9.0949470177292824E-13</v>
      </c>
      <c r="AC12" s="44">
        <f t="shared" si="1"/>
        <v>9.0949470177292824E-13</v>
      </c>
      <c r="AD12" s="44">
        <f t="shared" si="1"/>
        <v>9.0949470177292824E-13</v>
      </c>
      <c r="AE12" s="44">
        <f t="shared" si="1"/>
        <v>4.5474735088646412E-13</v>
      </c>
    </row>
    <row r="14" spans="1:35" x14ac:dyDescent="0.25">
      <c r="A14" s="41" t="s">
        <v>1214</v>
      </c>
      <c r="B14" s="6" t="s">
        <v>59</v>
      </c>
      <c r="C14" s="6" t="s">
        <v>47</v>
      </c>
      <c r="D14" s="6">
        <v>1</v>
      </c>
      <c r="E14" s="6" t="s">
        <v>1210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  <c r="AC14" s="29">
        <v>0</v>
      </c>
      <c r="AD14" s="29">
        <v>0</v>
      </c>
      <c r="AE14" s="29">
        <v>0</v>
      </c>
    </row>
    <row r="15" spans="1:35" x14ac:dyDescent="0.25">
      <c r="A15" s="41" t="s">
        <v>1214</v>
      </c>
      <c r="B15" s="6" t="s">
        <v>59</v>
      </c>
      <c r="C15" s="6" t="s">
        <v>47</v>
      </c>
      <c r="D15" s="6">
        <v>1</v>
      </c>
      <c r="E15" s="6" t="s">
        <v>1211</v>
      </c>
      <c r="K15" s="29">
        <f>INDEX(Mitigation_Industry!K:K,MATCH($A15,Mitigation_Industry!$H:$H,0))</f>
        <v>0</v>
      </c>
      <c r="L15" s="29">
        <f>INDEX(Mitigation_Industry!L:L,MATCH($A15,Mitigation_Industry!$H:$H,0))</f>
        <v>0</v>
      </c>
      <c r="M15" s="29">
        <f>INDEX(Mitigation_Industry!M:M,MATCH($A15,Mitigation_Industry!$H:$H,0))</f>
        <v>0</v>
      </c>
      <c r="N15" s="29">
        <f>INDEX(Mitigation_Industry!N:N,MATCH($A15,Mitigation_Industry!$H:$H,0))</f>
        <v>0</v>
      </c>
      <c r="O15" s="29">
        <f>INDEX(Mitigation_Industry!O:O,MATCH($A15,Mitigation_Industry!$H:$H,0))</f>
        <v>0</v>
      </c>
      <c r="P15" s="29">
        <f>INDEX(Mitigation_Industry!P:P,MATCH($A15,Mitigation_Industry!$H:$H,0))</f>
        <v>0</v>
      </c>
      <c r="Q15" s="29">
        <f>INDEX(Mitigation_Industry!Q:Q,MATCH($A15,Mitigation_Industry!$H:$H,0))</f>
        <v>0</v>
      </c>
      <c r="R15" s="29">
        <f>INDEX(Mitigation_Industry!R:R,MATCH($A15,Mitigation_Industry!$H:$H,0))</f>
        <v>0</v>
      </c>
      <c r="S15" s="29">
        <f>INDEX(Mitigation_Industry!S:S,MATCH($A15,Mitigation_Industry!$H:$H,0))</f>
        <v>0</v>
      </c>
      <c r="T15" s="29">
        <f>INDEX(Mitigation_Industry!T:T,MATCH($A15,Mitigation_Industry!$H:$H,0))</f>
        <v>0</v>
      </c>
      <c r="U15" s="29">
        <f>INDEX(Mitigation_Industry!U:U,MATCH($A15,Mitigation_Industry!$H:$H,0))</f>
        <v>0</v>
      </c>
      <c r="V15" s="29">
        <f>INDEX(Mitigation_Industry!V:V,MATCH($A15,Mitigation_Industry!$H:$H,0))</f>
        <v>0</v>
      </c>
      <c r="W15" s="29">
        <f>INDEX(Mitigation_Industry!W:W,MATCH($A15,Mitigation_Industry!$H:$H,0))</f>
        <v>0</v>
      </c>
      <c r="X15" s="29">
        <f>INDEX(Mitigation_Industry!X:X,MATCH($A15,Mitigation_Industry!$H:$H,0))</f>
        <v>0</v>
      </c>
      <c r="Y15" s="29">
        <f>INDEX(Mitigation_Industry!Y:Y,MATCH($A15,Mitigation_Industry!$H:$H,0))</f>
        <v>0</v>
      </c>
      <c r="Z15" s="29">
        <f>INDEX(Mitigation_Industry!Z:Z,MATCH($A15,Mitigation_Industry!$H:$H,0))</f>
        <v>0</v>
      </c>
      <c r="AA15" s="29">
        <f>INDEX(Mitigation_Industry!AA:AA,MATCH($A15,Mitigation_Industry!$H:$H,0))</f>
        <v>0</v>
      </c>
      <c r="AB15" s="29">
        <f>INDEX(Mitigation_Industry!AB:AB,MATCH($A15,Mitigation_Industry!$H:$H,0))</f>
        <v>0</v>
      </c>
      <c r="AC15" s="29">
        <f>INDEX(Mitigation_Industry!AC:AC,MATCH($A15,Mitigation_Industry!$H:$H,0))</f>
        <v>0</v>
      </c>
      <c r="AD15" s="29">
        <f>INDEX(Mitigation_Industry!AD:AD,MATCH($A15,Mitigation_Industry!$H:$H,0))</f>
        <v>0</v>
      </c>
      <c r="AE15" s="29">
        <f>INDEX(Mitigation_Industry!AE:AE,MATCH($A15,Mitigation_Industry!$H:$H,0))</f>
        <v>0</v>
      </c>
    </row>
    <row r="16" spans="1:35" x14ac:dyDescent="0.25">
      <c r="A16" s="41" t="s">
        <v>1214</v>
      </c>
      <c r="B16" s="6" t="s">
        <v>59</v>
      </c>
      <c r="C16" s="6" t="s">
        <v>47</v>
      </c>
      <c r="D16" s="6">
        <v>1</v>
      </c>
      <c r="E16" s="2" t="s">
        <v>1212</v>
      </c>
      <c r="F16" s="43">
        <f>MAX(MAX(L16:AE16),-MIN(L16:AE16))</f>
        <v>0</v>
      </c>
      <c r="K16" s="44">
        <f t="shared" ref="K16:AE16" si="2">IF(ISNUMBER(K14),IF(ISNUMBER(K15),K15-K14,999999),0)</f>
        <v>0</v>
      </c>
      <c r="L16" s="44">
        <f t="shared" si="2"/>
        <v>0</v>
      </c>
      <c r="M16" s="44">
        <f t="shared" si="2"/>
        <v>0</v>
      </c>
      <c r="N16" s="44">
        <f t="shared" si="2"/>
        <v>0</v>
      </c>
      <c r="O16" s="44">
        <f t="shared" si="2"/>
        <v>0</v>
      </c>
      <c r="P16" s="44">
        <f t="shared" si="2"/>
        <v>0</v>
      </c>
      <c r="Q16" s="44">
        <f t="shared" si="2"/>
        <v>0</v>
      </c>
      <c r="R16" s="44">
        <f t="shared" si="2"/>
        <v>0</v>
      </c>
      <c r="S16" s="44">
        <f t="shared" si="2"/>
        <v>0</v>
      </c>
      <c r="T16" s="44">
        <f t="shared" si="2"/>
        <v>0</v>
      </c>
      <c r="U16" s="44">
        <f t="shared" si="2"/>
        <v>0</v>
      </c>
      <c r="V16" s="44">
        <f t="shared" si="2"/>
        <v>0</v>
      </c>
      <c r="W16" s="44">
        <f t="shared" si="2"/>
        <v>0</v>
      </c>
      <c r="X16" s="44">
        <f t="shared" si="2"/>
        <v>0</v>
      </c>
      <c r="Y16" s="44">
        <f t="shared" si="2"/>
        <v>0</v>
      </c>
      <c r="Z16" s="44">
        <f t="shared" si="2"/>
        <v>0</v>
      </c>
      <c r="AA16" s="44">
        <f t="shared" si="2"/>
        <v>0</v>
      </c>
      <c r="AB16" s="44">
        <f t="shared" si="2"/>
        <v>0</v>
      </c>
      <c r="AC16" s="44">
        <f t="shared" si="2"/>
        <v>0</v>
      </c>
      <c r="AD16" s="44">
        <f t="shared" si="2"/>
        <v>0</v>
      </c>
      <c r="AE16" s="44">
        <f t="shared" si="2"/>
        <v>0</v>
      </c>
    </row>
    <row r="18" spans="1:31" x14ac:dyDescent="0.25">
      <c r="A18" s="41" t="s">
        <v>1215</v>
      </c>
      <c r="B18" s="6" t="s">
        <v>62</v>
      </c>
      <c r="C18" s="6" t="s">
        <v>47</v>
      </c>
      <c r="D18" s="6">
        <v>1</v>
      </c>
      <c r="E18" s="6" t="s">
        <v>1210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29">
        <v>0</v>
      </c>
    </row>
    <row r="19" spans="1:31" x14ac:dyDescent="0.25">
      <c r="A19" s="41" t="s">
        <v>1215</v>
      </c>
      <c r="B19" s="6" t="s">
        <v>62</v>
      </c>
      <c r="C19" s="6" t="s">
        <v>47</v>
      </c>
      <c r="D19" s="6">
        <v>1</v>
      </c>
      <c r="E19" s="6" t="s">
        <v>1211</v>
      </c>
      <c r="K19" s="29">
        <f>INDEX(Mitigation_Industry!K:K,MATCH($A19,Mitigation_Industry!$H:$H,0))</f>
        <v>0</v>
      </c>
      <c r="L19" s="29">
        <f>INDEX(Mitigation_Industry!L:L,MATCH($A19,Mitigation_Industry!$H:$H,0))</f>
        <v>0</v>
      </c>
      <c r="M19" s="29">
        <f>INDEX(Mitigation_Industry!M:M,MATCH($A19,Mitigation_Industry!$H:$H,0))</f>
        <v>0</v>
      </c>
      <c r="N19" s="29">
        <f>INDEX(Mitigation_Industry!N:N,MATCH($A19,Mitigation_Industry!$H:$H,0))</f>
        <v>0</v>
      </c>
      <c r="O19" s="29">
        <f>INDEX(Mitigation_Industry!O:O,MATCH($A19,Mitigation_Industry!$H:$H,0))</f>
        <v>0</v>
      </c>
      <c r="P19" s="29">
        <f>INDEX(Mitigation_Industry!P:P,MATCH($A19,Mitigation_Industry!$H:$H,0))</f>
        <v>0</v>
      </c>
      <c r="Q19" s="29">
        <f>INDEX(Mitigation_Industry!Q:Q,MATCH($A19,Mitigation_Industry!$H:$H,0))</f>
        <v>0</v>
      </c>
      <c r="R19" s="29">
        <f>INDEX(Mitigation_Industry!R:R,MATCH($A19,Mitigation_Industry!$H:$H,0))</f>
        <v>0</v>
      </c>
      <c r="S19" s="29">
        <f>INDEX(Mitigation_Industry!S:S,MATCH($A19,Mitigation_Industry!$H:$H,0))</f>
        <v>0</v>
      </c>
      <c r="T19" s="29">
        <f>INDEX(Mitigation_Industry!T:T,MATCH($A19,Mitigation_Industry!$H:$H,0))</f>
        <v>0</v>
      </c>
      <c r="U19" s="29">
        <f>INDEX(Mitigation_Industry!U:U,MATCH($A19,Mitigation_Industry!$H:$H,0))</f>
        <v>0</v>
      </c>
      <c r="V19" s="29">
        <f>INDEX(Mitigation_Industry!V:V,MATCH($A19,Mitigation_Industry!$H:$H,0))</f>
        <v>0</v>
      </c>
      <c r="W19" s="29">
        <f>INDEX(Mitigation_Industry!W:W,MATCH($A19,Mitigation_Industry!$H:$H,0))</f>
        <v>0</v>
      </c>
      <c r="X19" s="29">
        <f>INDEX(Mitigation_Industry!X:X,MATCH($A19,Mitigation_Industry!$H:$H,0))</f>
        <v>0</v>
      </c>
      <c r="Y19" s="29">
        <f>INDEX(Mitigation_Industry!Y:Y,MATCH($A19,Mitigation_Industry!$H:$H,0))</f>
        <v>0</v>
      </c>
      <c r="Z19" s="29">
        <f>INDEX(Mitigation_Industry!Z:Z,MATCH($A19,Mitigation_Industry!$H:$H,0))</f>
        <v>0</v>
      </c>
      <c r="AA19" s="29">
        <f>INDEX(Mitigation_Industry!AA:AA,MATCH($A19,Mitigation_Industry!$H:$H,0))</f>
        <v>0</v>
      </c>
      <c r="AB19" s="29">
        <f>INDEX(Mitigation_Industry!AB:AB,MATCH($A19,Mitigation_Industry!$H:$H,0))</f>
        <v>0</v>
      </c>
      <c r="AC19" s="29">
        <f>INDEX(Mitigation_Industry!AC:AC,MATCH($A19,Mitigation_Industry!$H:$H,0))</f>
        <v>0</v>
      </c>
      <c r="AD19" s="29">
        <f>INDEX(Mitigation_Industry!AD:AD,MATCH($A19,Mitigation_Industry!$H:$H,0))</f>
        <v>0</v>
      </c>
      <c r="AE19" s="29">
        <f>INDEX(Mitigation_Industry!AE:AE,MATCH($A19,Mitigation_Industry!$H:$H,0))</f>
        <v>0</v>
      </c>
    </row>
    <row r="20" spans="1:31" x14ac:dyDescent="0.25">
      <c r="A20" s="41" t="s">
        <v>1215</v>
      </c>
      <c r="B20" s="6" t="s">
        <v>62</v>
      </c>
      <c r="C20" s="6" t="s">
        <v>47</v>
      </c>
      <c r="D20" s="6">
        <v>1</v>
      </c>
      <c r="E20" s="2" t="s">
        <v>1212</v>
      </c>
      <c r="F20" s="43">
        <f>MAX(MAX(L20:AE20),-MIN(L20:AE20))</f>
        <v>0</v>
      </c>
      <c r="K20" s="44">
        <f t="shared" ref="K20:AE20" si="3">IF(ISNUMBER(K18),IF(ISNUMBER(K19),K19-K18,999999),0)</f>
        <v>0</v>
      </c>
      <c r="L20" s="44">
        <f t="shared" si="3"/>
        <v>0</v>
      </c>
      <c r="M20" s="44">
        <f t="shared" si="3"/>
        <v>0</v>
      </c>
      <c r="N20" s="44">
        <f t="shared" si="3"/>
        <v>0</v>
      </c>
      <c r="O20" s="44">
        <f t="shared" si="3"/>
        <v>0</v>
      </c>
      <c r="P20" s="44">
        <f t="shared" si="3"/>
        <v>0</v>
      </c>
      <c r="Q20" s="44">
        <f t="shared" si="3"/>
        <v>0</v>
      </c>
      <c r="R20" s="44">
        <f t="shared" si="3"/>
        <v>0</v>
      </c>
      <c r="S20" s="44">
        <f t="shared" si="3"/>
        <v>0</v>
      </c>
      <c r="T20" s="44">
        <f t="shared" si="3"/>
        <v>0</v>
      </c>
      <c r="U20" s="44">
        <f t="shared" si="3"/>
        <v>0</v>
      </c>
      <c r="V20" s="44">
        <f t="shared" si="3"/>
        <v>0</v>
      </c>
      <c r="W20" s="44">
        <f t="shared" si="3"/>
        <v>0</v>
      </c>
      <c r="X20" s="44">
        <f t="shared" si="3"/>
        <v>0</v>
      </c>
      <c r="Y20" s="44">
        <f t="shared" si="3"/>
        <v>0</v>
      </c>
      <c r="Z20" s="44">
        <f t="shared" si="3"/>
        <v>0</v>
      </c>
      <c r="AA20" s="44">
        <f t="shared" si="3"/>
        <v>0</v>
      </c>
      <c r="AB20" s="44">
        <f t="shared" si="3"/>
        <v>0</v>
      </c>
      <c r="AC20" s="44">
        <f t="shared" si="3"/>
        <v>0</v>
      </c>
      <c r="AD20" s="44">
        <f t="shared" si="3"/>
        <v>0</v>
      </c>
      <c r="AE20" s="44">
        <f t="shared" si="3"/>
        <v>0</v>
      </c>
    </row>
    <row r="22" spans="1:31" x14ac:dyDescent="0.25">
      <c r="A22" s="41" t="s">
        <v>1216</v>
      </c>
      <c r="B22" s="6" t="s">
        <v>64</v>
      </c>
      <c r="C22" s="6" t="s">
        <v>47</v>
      </c>
      <c r="D22" s="6">
        <v>1</v>
      </c>
      <c r="E22" s="6" t="s">
        <v>1210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  <c r="AC22" s="29">
        <v>0</v>
      </c>
      <c r="AD22" s="29">
        <v>0</v>
      </c>
      <c r="AE22" s="29">
        <v>0</v>
      </c>
    </row>
    <row r="23" spans="1:31" x14ac:dyDescent="0.25">
      <c r="A23" s="41" t="s">
        <v>1216</v>
      </c>
      <c r="B23" s="6" t="s">
        <v>64</v>
      </c>
      <c r="C23" s="6" t="s">
        <v>47</v>
      </c>
      <c r="D23" s="6">
        <v>1</v>
      </c>
      <c r="E23" s="6" t="s">
        <v>1211</v>
      </c>
      <c r="K23" s="29">
        <f>INDEX(Mitigation_Industry!K:K,MATCH($A23,Mitigation_Industry!$H:$H,0))</f>
        <v>0</v>
      </c>
      <c r="L23" s="29">
        <f>INDEX(Mitigation_Industry!L:L,MATCH($A23,Mitigation_Industry!$H:$H,0))</f>
        <v>0</v>
      </c>
      <c r="M23" s="29">
        <f>INDEX(Mitigation_Industry!M:M,MATCH($A23,Mitigation_Industry!$H:$H,0))</f>
        <v>0</v>
      </c>
      <c r="N23" s="29">
        <f>INDEX(Mitigation_Industry!N:N,MATCH($A23,Mitigation_Industry!$H:$H,0))</f>
        <v>0</v>
      </c>
      <c r="O23" s="29">
        <f>INDEX(Mitigation_Industry!O:O,MATCH($A23,Mitigation_Industry!$H:$H,0))</f>
        <v>0</v>
      </c>
      <c r="P23" s="29">
        <f>INDEX(Mitigation_Industry!P:P,MATCH($A23,Mitigation_Industry!$H:$H,0))</f>
        <v>0</v>
      </c>
      <c r="Q23" s="29">
        <f>INDEX(Mitigation_Industry!Q:Q,MATCH($A23,Mitigation_Industry!$H:$H,0))</f>
        <v>0</v>
      </c>
      <c r="R23" s="29">
        <f>INDEX(Mitigation_Industry!R:R,MATCH($A23,Mitigation_Industry!$H:$H,0))</f>
        <v>0</v>
      </c>
      <c r="S23" s="29">
        <f>INDEX(Mitigation_Industry!S:S,MATCH($A23,Mitigation_Industry!$H:$H,0))</f>
        <v>0</v>
      </c>
      <c r="T23" s="29">
        <f>INDEX(Mitigation_Industry!T:T,MATCH($A23,Mitigation_Industry!$H:$H,0))</f>
        <v>0</v>
      </c>
      <c r="U23" s="29">
        <f>INDEX(Mitigation_Industry!U:U,MATCH($A23,Mitigation_Industry!$H:$H,0))</f>
        <v>0</v>
      </c>
      <c r="V23" s="29">
        <f>INDEX(Mitigation_Industry!V:V,MATCH($A23,Mitigation_Industry!$H:$H,0))</f>
        <v>0</v>
      </c>
      <c r="W23" s="29">
        <f>INDEX(Mitigation_Industry!W:W,MATCH($A23,Mitigation_Industry!$H:$H,0))</f>
        <v>0</v>
      </c>
      <c r="X23" s="29">
        <f>INDEX(Mitigation_Industry!X:X,MATCH($A23,Mitigation_Industry!$H:$H,0))</f>
        <v>0</v>
      </c>
      <c r="Y23" s="29">
        <f>INDEX(Mitigation_Industry!Y:Y,MATCH($A23,Mitigation_Industry!$H:$H,0))</f>
        <v>0</v>
      </c>
      <c r="Z23" s="29">
        <f>INDEX(Mitigation_Industry!Z:Z,MATCH($A23,Mitigation_Industry!$H:$H,0))</f>
        <v>0</v>
      </c>
      <c r="AA23" s="29">
        <f>INDEX(Mitigation_Industry!AA:AA,MATCH($A23,Mitigation_Industry!$H:$H,0))</f>
        <v>0</v>
      </c>
      <c r="AB23" s="29">
        <f>INDEX(Mitigation_Industry!AB:AB,MATCH($A23,Mitigation_Industry!$H:$H,0))</f>
        <v>0</v>
      </c>
      <c r="AC23" s="29">
        <f>INDEX(Mitigation_Industry!AC:AC,MATCH($A23,Mitigation_Industry!$H:$H,0))</f>
        <v>0</v>
      </c>
      <c r="AD23" s="29">
        <f>INDEX(Mitigation_Industry!AD:AD,MATCH($A23,Mitigation_Industry!$H:$H,0))</f>
        <v>0</v>
      </c>
      <c r="AE23" s="29">
        <f>INDEX(Mitigation_Industry!AE:AE,MATCH($A23,Mitigation_Industry!$H:$H,0))</f>
        <v>0</v>
      </c>
    </row>
    <row r="24" spans="1:31" x14ac:dyDescent="0.25">
      <c r="A24" s="41" t="s">
        <v>1216</v>
      </c>
      <c r="B24" s="6" t="s">
        <v>64</v>
      </c>
      <c r="C24" s="6" t="s">
        <v>47</v>
      </c>
      <c r="D24" s="6">
        <v>1</v>
      </c>
      <c r="E24" s="2" t="s">
        <v>1212</v>
      </c>
      <c r="F24" s="43">
        <f>MAX(MAX(L24:AE24),-MIN(L24:AE24))</f>
        <v>0</v>
      </c>
      <c r="K24" s="44">
        <f t="shared" ref="K24:AE24" si="4">IF(ISNUMBER(K22),IF(ISNUMBER(K23),K23-K22,999999),0)</f>
        <v>0</v>
      </c>
      <c r="L24" s="44">
        <f t="shared" si="4"/>
        <v>0</v>
      </c>
      <c r="M24" s="44">
        <f t="shared" si="4"/>
        <v>0</v>
      </c>
      <c r="N24" s="44">
        <f t="shared" si="4"/>
        <v>0</v>
      </c>
      <c r="O24" s="44">
        <f t="shared" si="4"/>
        <v>0</v>
      </c>
      <c r="P24" s="44">
        <f t="shared" si="4"/>
        <v>0</v>
      </c>
      <c r="Q24" s="44">
        <f t="shared" si="4"/>
        <v>0</v>
      </c>
      <c r="R24" s="44">
        <f t="shared" si="4"/>
        <v>0</v>
      </c>
      <c r="S24" s="44">
        <f t="shared" si="4"/>
        <v>0</v>
      </c>
      <c r="T24" s="44">
        <f t="shared" si="4"/>
        <v>0</v>
      </c>
      <c r="U24" s="44">
        <f t="shared" si="4"/>
        <v>0</v>
      </c>
      <c r="V24" s="44">
        <f t="shared" si="4"/>
        <v>0</v>
      </c>
      <c r="W24" s="44">
        <f t="shared" si="4"/>
        <v>0</v>
      </c>
      <c r="X24" s="44">
        <f t="shared" si="4"/>
        <v>0</v>
      </c>
      <c r="Y24" s="44">
        <f t="shared" si="4"/>
        <v>0</v>
      </c>
      <c r="Z24" s="44">
        <f t="shared" si="4"/>
        <v>0</v>
      </c>
      <c r="AA24" s="44">
        <f t="shared" si="4"/>
        <v>0</v>
      </c>
      <c r="AB24" s="44">
        <f t="shared" si="4"/>
        <v>0</v>
      </c>
      <c r="AC24" s="44">
        <f t="shared" si="4"/>
        <v>0</v>
      </c>
      <c r="AD24" s="44">
        <f t="shared" si="4"/>
        <v>0</v>
      </c>
      <c r="AE24" s="44">
        <f t="shared" si="4"/>
        <v>0</v>
      </c>
    </row>
    <row r="26" spans="1:31" x14ac:dyDescent="0.25">
      <c r="A26" s="41" t="s">
        <v>1217</v>
      </c>
      <c r="B26" s="6" t="s">
        <v>66</v>
      </c>
      <c r="C26" s="6" t="s">
        <v>47</v>
      </c>
      <c r="D26" s="6">
        <v>1</v>
      </c>
      <c r="E26" s="6" t="s">
        <v>1210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0</v>
      </c>
      <c r="AC26" s="29">
        <v>0</v>
      </c>
      <c r="AD26" s="29">
        <v>0</v>
      </c>
      <c r="AE26" s="29">
        <v>0</v>
      </c>
    </row>
    <row r="27" spans="1:31" x14ac:dyDescent="0.25">
      <c r="A27" s="41" t="s">
        <v>1217</v>
      </c>
      <c r="B27" s="6" t="s">
        <v>66</v>
      </c>
      <c r="C27" s="6" t="s">
        <v>47</v>
      </c>
      <c r="D27" s="6">
        <v>1</v>
      </c>
      <c r="E27" s="6" t="s">
        <v>1211</v>
      </c>
      <c r="K27" s="29">
        <f>INDEX(Mitigation_Industry!K:K,MATCH($A27,Mitigation_Industry!$H:$H,0))</f>
        <v>0</v>
      </c>
      <c r="L27" s="29">
        <f>INDEX(Mitigation_Industry!L:L,MATCH($A27,Mitigation_Industry!$H:$H,0))</f>
        <v>0</v>
      </c>
      <c r="M27" s="29">
        <f>INDEX(Mitigation_Industry!M:M,MATCH($A27,Mitigation_Industry!$H:$H,0))</f>
        <v>0</v>
      </c>
      <c r="N27" s="29">
        <f>INDEX(Mitigation_Industry!N:N,MATCH($A27,Mitigation_Industry!$H:$H,0))</f>
        <v>0</v>
      </c>
      <c r="O27" s="29">
        <f>INDEX(Mitigation_Industry!O:O,MATCH($A27,Mitigation_Industry!$H:$H,0))</f>
        <v>0</v>
      </c>
      <c r="P27" s="29">
        <f>INDEX(Mitigation_Industry!P:P,MATCH($A27,Mitigation_Industry!$H:$H,0))</f>
        <v>0</v>
      </c>
      <c r="Q27" s="29">
        <f>INDEX(Mitigation_Industry!Q:Q,MATCH($A27,Mitigation_Industry!$H:$H,0))</f>
        <v>0</v>
      </c>
      <c r="R27" s="29">
        <f>INDEX(Mitigation_Industry!R:R,MATCH($A27,Mitigation_Industry!$H:$H,0))</f>
        <v>0</v>
      </c>
      <c r="S27" s="29">
        <f>INDEX(Mitigation_Industry!S:S,MATCH($A27,Mitigation_Industry!$H:$H,0))</f>
        <v>0</v>
      </c>
      <c r="T27" s="29">
        <f>INDEX(Mitigation_Industry!T:T,MATCH($A27,Mitigation_Industry!$H:$H,0))</f>
        <v>0</v>
      </c>
      <c r="U27" s="29">
        <f>INDEX(Mitigation_Industry!U:U,MATCH($A27,Mitigation_Industry!$H:$H,0))</f>
        <v>0</v>
      </c>
      <c r="V27" s="29">
        <f>INDEX(Mitigation_Industry!V:V,MATCH($A27,Mitigation_Industry!$H:$H,0))</f>
        <v>0</v>
      </c>
      <c r="W27" s="29">
        <f>INDEX(Mitigation_Industry!W:W,MATCH($A27,Mitigation_Industry!$H:$H,0))</f>
        <v>0</v>
      </c>
      <c r="X27" s="29">
        <f>INDEX(Mitigation_Industry!X:X,MATCH($A27,Mitigation_Industry!$H:$H,0))</f>
        <v>0</v>
      </c>
      <c r="Y27" s="29">
        <f>INDEX(Mitigation_Industry!Y:Y,MATCH($A27,Mitigation_Industry!$H:$H,0))</f>
        <v>0</v>
      </c>
      <c r="Z27" s="29">
        <f>INDEX(Mitigation_Industry!Z:Z,MATCH($A27,Mitigation_Industry!$H:$H,0))</f>
        <v>0</v>
      </c>
      <c r="AA27" s="29">
        <f>INDEX(Mitigation_Industry!AA:AA,MATCH($A27,Mitigation_Industry!$H:$H,0))</f>
        <v>0</v>
      </c>
      <c r="AB27" s="29">
        <f>INDEX(Mitigation_Industry!AB:AB,MATCH($A27,Mitigation_Industry!$H:$H,0))</f>
        <v>0</v>
      </c>
      <c r="AC27" s="29">
        <f>INDEX(Mitigation_Industry!AC:AC,MATCH($A27,Mitigation_Industry!$H:$H,0))</f>
        <v>0</v>
      </c>
      <c r="AD27" s="29">
        <f>INDEX(Mitigation_Industry!AD:AD,MATCH($A27,Mitigation_Industry!$H:$H,0))</f>
        <v>0</v>
      </c>
      <c r="AE27" s="29">
        <f>INDEX(Mitigation_Industry!AE:AE,MATCH($A27,Mitigation_Industry!$H:$H,0))</f>
        <v>0</v>
      </c>
    </row>
    <row r="28" spans="1:31" x14ac:dyDescent="0.25">
      <c r="A28" s="41" t="s">
        <v>1217</v>
      </c>
      <c r="B28" s="6" t="s">
        <v>66</v>
      </c>
      <c r="C28" s="6" t="s">
        <v>47</v>
      </c>
      <c r="D28" s="6">
        <v>1</v>
      </c>
      <c r="E28" s="2" t="s">
        <v>1212</v>
      </c>
      <c r="F28" s="43">
        <f>MAX(MAX(L28:AE28),-MIN(L28:AE28))</f>
        <v>0</v>
      </c>
      <c r="K28" s="44">
        <f t="shared" ref="K28:AE28" si="5">IF(ISNUMBER(K26),IF(ISNUMBER(K27),K27-K26,999999),0)</f>
        <v>0</v>
      </c>
      <c r="L28" s="44">
        <f t="shared" si="5"/>
        <v>0</v>
      </c>
      <c r="M28" s="44">
        <f t="shared" si="5"/>
        <v>0</v>
      </c>
      <c r="N28" s="44">
        <f t="shared" si="5"/>
        <v>0</v>
      </c>
      <c r="O28" s="44">
        <f t="shared" si="5"/>
        <v>0</v>
      </c>
      <c r="P28" s="44">
        <f t="shared" si="5"/>
        <v>0</v>
      </c>
      <c r="Q28" s="44">
        <f t="shared" si="5"/>
        <v>0</v>
      </c>
      <c r="R28" s="44">
        <f t="shared" si="5"/>
        <v>0</v>
      </c>
      <c r="S28" s="44">
        <f t="shared" si="5"/>
        <v>0</v>
      </c>
      <c r="T28" s="44">
        <f t="shared" si="5"/>
        <v>0</v>
      </c>
      <c r="U28" s="44">
        <f t="shared" si="5"/>
        <v>0</v>
      </c>
      <c r="V28" s="44">
        <f t="shared" si="5"/>
        <v>0</v>
      </c>
      <c r="W28" s="44">
        <f t="shared" si="5"/>
        <v>0</v>
      </c>
      <c r="X28" s="44">
        <f t="shared" si="5"/>
        <v>0</v>
      </c>
      <c r="Y28" s="44">
        <f t="shared" si="5"/>
        <v>0</v>
      </c>
      <c r="Z28" s="44">
        <f t="shared" si="5"/>
        <v>0</v>
      </c>
      <c r="AA28" s="44">
        <f t="shared" si="5"/>
        <v>0</v>
      </c>
      <c r="AB28" s="44">
        <f t="shared" si="5"/>
        <v>0</v>
      </c>
      <c r="AC28" s="44">
        <f t="shared" si="5"/>
        <v>0</v>
      </c>
      <c r="AD28" s="44">
        <f t="shared" si="5"/>
        <v>0</v>
      </c>
      <c r="AE28" s="44">
        <f t="shared" si="5"/>
        <v>0</v>
      </c>
    </row>
    <row r="30" spans="1:31" x14ac:dyDescent="0.25">
      <c r="A30" s="41" t="s">
        <v>1218</v>
      </c>
      <c r="B30" s="6" t="s">
        <v>68</v>
      </c>
      <c r="C30" s="6" t="s">
        <v>47</v>
      </c>
      <c r="D30" s="6">
        <v>1</v>
      </c>
      <c r="E30" s="6" t="s">
        <v>1210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0</v>
      </c>
      <c r="AC30" s="29">
        <v>0</v>
      </c>
      <c r="AD30" s="29">
        <v>0</v>
      </c>
      <c r="AE30" s="29">
        <v>0</v>
      </c>
    </row>
    <row r="31" spans="1:31" x14ac:dyDescent="0.25">
      <c r="A31" s="41" t="s">
        <v>1218</v>
      </c>
      <c r="B31" s="6" t="s">
        <v>68</v>
      </c>
      <c r="C31" s="6" t="s">
        <v>47</v>
      </c>
      <c r="D31" s="6">
        <v>1</v>
      </c>
      <c r="E31" s="6" t="s">
        <v>1211</v>
      </c>
      <c r="K31" s="29">
        <f>INDEX(Mitigation_Industry!K:K,MATCH($A31,Mitigation_Industry!$H:$H,0))</f>
        <v>0</v>
      </c>
      <c r="L31" s="29">
        <f>INDEX(Mitigation_Industry!L:L,MATCH($A31,Mitigation_Industry!$H:$H,0))</f>
        <v>0</v>
      </c>
      <c r="M31" s="29">
        <f>INDEX(Mitigation_Industry!M:M,MATCH($A31,Mitigation_Industry!$H:$H,0))</f>
        <v>0</v>
      </c>
      <c r="N31" s="29">
        <f>INDEX(Mitigation_Industry!N:N,MATCH($A31,Mitigation_Industry!$H:$H,0))</f>
        <v>0</v>
      </c>
      <c r="O31" s="29">
        <f>INDEX(Mitigation_Industry!O:O,MATCH($A31,Mitigation_Industry!$H:$H,0))</f>
        <v>0</v>
      </c>
      <c r="P31" s="29">
        <f>INDEX(Mitigation_Industry!P:P,MATCH($A31,Mitigation_Industry!$H:$H,0))</f>
        <v>0</v>
      </c>
      <c r="Q31" s="29">
        <f>INDEX(Mitigation_Industry!Q:Q,MATCH($A31,Mitigation_Industry!$H:$H,0))</f>
        <v>0</v>
      </c>
      <c r="R31" s="29">
        <f>INDEX(Mitigation_Industry!R:R,MATCH($A31,Mitigation_Industry!$H:$H,0))</f>
        <v>0</v>
      </c>
      <c r="S31" s="29">
        <f>INDEX(Mitigation_Industry!S:S,MATCH($A31,Mitigation_Industry!$H:$H,0))</f>
        <v>0</v>
      </c>
      <c r="T31" s="29">
        <f>INDEX(Mitigation_Industry!T:T,MATCH($A31,Mitigation_Industry!$H:$H,0))</f>
        <v>0</v>
      </c>
      <c r="U31" s="29">
        <f>INDEX(Mitigation_Industry!U:U,MATCH($A31,Mitigation_Industry!$H:$H,0))</f>
        <v>0</v>
      </c>
      <c r="V31" s="29">
        <f>INDEX(Mitigation_Industry!V:V,MATCH($A31,Mitigation_Industry!$H:$H,0))</f>
        <v>0</v>
      </c>
      <c r="W31" s="29">
        <f>INDEX(Mitigation_Industry!W:W,MATCH($A31,Mitigation_Industry!$H:$H,0))</f>
        <v>0</v>
      </c>
      <c r="X31" s="29">
        <f>INDEX(Mitigation_Industry!X:X,MATCH($A31,Mitigation_Industry!$H:$H,0))</f>
        <v>0</v>
      </c>
      <c r="Y31" s="29">
        <f>INDEX(Mitigation_Industry!Y:Y,MATCH($A31,Mitigation_Industry!$H:$H,0))</f>
        <v>0</v>
      </c>
      <c r="Z31" s="29">
        <f>INDEX(Mitigation_Industry!Z:Z,MATCH($A31,Mitigation_Industry!$H:$H,0))</f>
        <v>0</v>
      </c>
      <c r="AA31" s="29">
        <f>INDEX(Mitigation_Industry!AA:AA,MATCH($A31,Mitigation_Industry!$H:$H,0))</f>
        <v>0</v>
      </c>
      <c r="AB31" s="29">
        <f>INDEX(Mitigation_Industry!AB:AB,MATCH($A31,Mitigation_Industry!$H:$H,0))</f>
        <v>0</v>
      </c>
      <c r="AC31" s="29">
        <f>INDEX(Mitigation_Industry!AC:AC,MATCH($A31,Mitigation_Industry!$H:$H,0))</f>
        <v>0</v>
      </c>
      <c r="AD31" s="29">
        <f>INDEX(Mitigation_Industry!AD:AD,MATCH($A31,Mitigation_Industry!$H:$H,0))</f>
        <v>0</v>
      </c>
      <c r="AE31" s="29">
        <f>INDEX(Mitigation_Industry!AE:AE,MATCH($A31,Mitigation_Industry!$H:$H,0))</f>
        <v>0</v>
      </c>
    </row>
    <row r="32" spans="1:31" x14ac:dyDescent="0.25">
      <c r="A32" s="41" t="s">
        <v>1218</v>
      </c>
      <c r="B32" s="6" t="s">
        <v>68</v>
      </c>
      <c r="C32" s="6" t="s">
        <v>47</v>
      </c>
      <c r="D32" s="6">
        <v>1</v>
      </c>
      <c r="E32" s="2" t="s">
        <v>1212</v>
      </c>
      <c r="F32" s="43">
        <f>MAX(MAX(L32:AE32),-MIN(L32:AE32))</f>
        <v>0</v>
      </c>
      <c r="K32" s="44">
        <f t="shared" ref="K32:AE32" si="6">IF(ISNUMBER(K30),IF(ISNUMBER(K31),K31-K30,999999),0)</f>
        <v>0</v>
      </c>
      <c r="L32" s="44">
        <f t="shared" si="6"/>
        <v>0</v>
      </c>
      <c r="M32" s="44">
        <f t="shared" si="6"/>
        <v>0</v>
      </c>
      <c r="N32" s="44">
        <f t="shared" si="6"/>
        <v>0</v>
      </c>
      <c r="O32" s="44">
        <f t="shared" si="6"/>
        <v>0</v>
      </c>
      <c r="P32" s="44">
        <f t="shared" si="6"/>
        <v>0</v>
      </c>
      <c r="Q32" s="44">
        <f t="shared" si="6"/>
        <v>0</v>
      </c>
      <c r="R32" s="44">
        <f t="shared" si="6"/>
        <v>0</v>
      </c>
      <c r="S32" s="44">
        <f t="shared" si="6"/>
        <v>0</v>
      </c>
      <c r="T32" s="44">
        <f t="shared" si="6"/>
        <v>0</v>
      </c>
      <c r="U32" s="44">
        <f t="shared" si="6"/>
        <v>0</v>
      </c>
      <c r="V32" s="44">
        <f t="shared" si="6"/>
        <v>0</v>
      </c>
      <c r="W32" s="44">
        <f t="shared" si="6"/>
        <v>0</v>
      </c>
      <c r="X32" s="44">
        <f t="shared" si="6"/>
        <v>0</v>
      </c>
      <c r="Y32" s="44">
        <f t="shared" si="6"/>
        <v>0</v>
      </c>
      <c r="Z32" s="44">
        <f t="shared" si="6"/>
        <v>0</v>
      </c>
      <c r="AA32" s="44">
        <f t="shared" si="6"/>
        <v>0</v>
      </c>
      <c r="AB32" s="44">
        <f t="shared" si="6"/>
        <v>0</v>
      </c>
      <c r="AC32" s="44">
        <f t="shared" si="6"/>
        <v>0</v>
      </c>
      <c r="AD32" s="44">
        <f t="shared" si="6"/>
        <v>0</v>
      </c>
      <c r="AE32" s="44">
        <f t="shared" si="6"/>
        <v>0</v>
      </c>
    </row>
    <row r="34" spans="1:31" x14ac:dyDescent="0.25">
      <c r="A34" s="41" t="s">
        <v>1219</v>
      </c>
      <c r="B34" s="6" t="s">
        <v>71</v>
      </c>
      <c r="C34" s="6" t="s">
        <v>47</v>
      </c>
      <c r="D34" s="6">
        <v>1</v>
      </c>
      <c r="E34" s="6" t="s">
        <v>1210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  <c r="AC34" s="29">
        <v>0</v>
      </c>
      <c r="AD34" s="29">
        <v>0</v>
      </c>
      <c r="AE34" s="29">
        <v>0</v>
      </c>
    </row>
    <row r="35" spans="1:31" x14ac:dyDescent="0.25">
      <c r="A35" s="41" t="s">
        <v>1219</v>
      </c>
      <c r="B35" s="6" t="s">
        <v>71</v>
      </c>
      <c r="C35" s="6" t="s">
        <v>47</v>
      </c>
      <c r="D35" s="6">
        <v>1</v>
      </c>
      <c r="E35" s="6" t="s">
        <v>1211</v>
      </c>
      <c r="K35" s="29">
        <f>INDEX(Mitigation_Industry!K:K,MATCH($A35,Mitigation_Industry!$H:$H,0))</f>
        <v>0</v>
      </c>
      <c r="L35" s="29">
        <f>INDEX(Mitigation_Industry!L:L,MATCH($A35,Mitigation_Industry!$H:$H,0))</f>
        <v>0</v>
      </c>
      <c r="M35" s="29">
        <f>INDEX(Mitigation_Industry!M:M,MATCH($A35,Mitigation_Industry!$H:$H,0))</f>
        <v>0</v>
      </c>
      <c r="N35" s="29">
        <f>INDEX(Mitigation_Industry!N:N,MATCH($A35,Mitigation_Industry!$H:$H,0))</f>
        <v>0</v>
      </c>
      <c r="O35" s="29">
        <f>INDEX(Mitigation_Industry!O:O,MATCH($A35,Mitigation_Industry!$H:$H,0))</f>
        <v>0</v>
      </c>
      <c r="P35" s="29">
        <f>INDEX(Mitigation_Industry!P:P,MATCH($A35,Mitigation_Industry!$H:$H,0))</f>
        <v>0</v>
      </c>
      <c r="Q35" s="29">
        <f>INDEX(Mitigation_Industry!Q:Q,MATCH($A35,Mitigation_Industry!$H:$H,0))</f>
        <v>0</v>
      </c>
      <c r="R35" s="29">
        <f>INDEX(Mitigation_Industry!R:R,MATCH($A35,Mitigation_Industry!$H:$H,0))</f>
        <v>0</v>
      </c>
      <c r="S35" s="29">
        <f>INDEX(Mitigation_Industry!S:S,MATCH($A35,Mitigation_Industry!$H:$H,0))</f>
        <v>0</v>
      </c>
      <c r="T35" s="29">
        <f>INDEX(Mitigation_Industry!T:T,MATCH($A35,Mitigation_Industry!$H:$H,0))</f>
        <v>0</v>
      </c>
      <c r="U35" s="29">
        <f>INDEX(Mitigation_Industry!U:U,MATCH($A35,Mitigation_Industry!$H:$H,0))</f>
        <v>0</v>
      </c>
      <c r="V35" s="29">
        <f>INDEX(Mitigation_Industry!V:V,MATCH($A35,Mitigation_Industry!$H:$H,0))</f>
        <v>0</v>
      </c>
      <c r="W35" s="29">
        <f>INDEX(Mitigation_Industry!W:W,MATCH($A35,Mitigation_Industry!$H:$H,0))</f>
        <v>0</v>
      </c>
      <c r="X35" s="29">
        <f>INDEX(Mitigation_Industry!X:X,MATCH($A35,Mitigation_Industry!$H:$H,0))</f>
        <v>0</v>
      </c>
      <c r="Y35" s="29">
        <f>INDEX(Mitigation_Industry!Y:Y,MATCH($A35,Mitigation_Industry!$H:$H,0))</f>
        <v>0</v>
      </c>
      <c r="Z35" s="29">
        <f>INDEX(Mitigation_Industry!Z:Z,MATCH($A35,Mitigation_Industry!$H:$H,0))</f>
        <v>0</v>
      </c>
      <c r="AA35" s="29">
        <f>INDEX(Mitigation_Industry!AA:AA,MATCH($A35,Mitigation_Industry!$H:$H,0))</f>
        <v>0</v>
      </c>
      <c r="AB35" s="29">
        <f>INDEX(Mitigation_Industry!AB:AB,MATCH($A35,Mitigation_Industry!$H:$H,0))</f>
        <v>0</v>
      </c>
      <c r="AC35" s="29">
        <f>INDEX(Mitigation_Industry!AC:AC,MATCH($A35,Mitigation_Industry!$H:$H,0))</f>
        <v>0</v>
      </c>
      <c r="AD35" s="29">
        <f>INDEX(Mitigation_Industry!AD:AD,MATCH($A35,Mitigation_Industry!$H:$H,0))</f>
        <v>0</v>
      </c>
      <c r="AE35" s="29">
        <f>INDEX(Mitigation_Industry!AE:AE,MATCH($A35,Mitigation_Industry!$H:$H,0))</f>
        <v>0</v>
      </c>
    </row>
    <row r="36" spans="1:31" x14ac:dyDescent="0.25">
      <c r="A36" s="41" t="s">
        <v>1219</v>
      </c>
      <c r="B36" s="6" t="s">
        <v>71</v>
      </c>
      <c r="C36" s="6" t="s">
        <v>47</v>
      </c>
      <c r="D36" s="6">
        <v>1</v>
      </c>
      <c r="E36" s="2" t="s">
        <v>1212</v>
      </c>
      <c r="F36" s="43">
        <f>MAX(MAX(L36:AE36),-MIN(L36:AE36))</f>
        <v>0</v>
      </c>
      <c r="K36" s="44">
        <f t="shared" ref="K36:AE36" si="7">IF(ISNUMBER(K34),IF(ISNUMBER(K35),K35-K34,999999),0)</f>
        <v>0</v>
      </c>
      <c r="L36" s="44">
        <f t="shared" si="7"/>
        <v>0</v>
      </c>
      <c r="M36" s="44">
        <f t="shared" si="7"/>
        <v>0</v>
      </c>
      <c r="N36" s="44">
        <f t="shared" si="7"/>
        <v>0</v>
      </c>
      <c r="O36" s="44">
        <f t="shared" si="7"/>
        <v>0</v>
      </c>
      <c r="P36" s="44">
        <f t="shared" si="7"/>
        <v>0</v>
      </c>
      <c r="Q36" s="44">
        <f t="shared" si="7"/>
        <v>0</v>
      </c>
      <c r="R36" s="44">
        <f t="shared" si="7"/>
        <v>0</v>
      </c>
      <c r="S36" s="44">
        <f t="shared" si="7"/>
        <v>0</v>
      </c>
      <c r="T36" s="44">
        <f t="shared" si="7"/>
        <v>0</v>
      </c>
      <c r="U36" s="44">
        <f t="shared" si="7"/>
        <v>0</v>
      </c>
      <c r="V36" s="44">
        <f t="shared" si="7"/>
        <v>0</v>
      </c>
      <c r="W36" s="44">
        <f t="shared" si="7"/>
        <v>0</v>
      </c>
      <c r="X36" s="44">
        <f t="shared" si="7"/>
        <v>0</v>
      </c>
      <c r="Y36" s="44">
        <f t="shared" si="7"/>
        <v>0</v>
      </c>
      <c r="Z36" s="44">
        <f t="shared" si="7"/>
        <v>0</v>
      </c>
      <c r="AA36" s="44">
        <f t="shared" si="7"/>
        <v>0</v>
      </c>
      <c r="AB36" s="44">
        <f t="shared" si="7"/>
        <v>0</v>
      </c>
      <c r="AC36" s="44">
        <f t="shared" si="7"/>
        <v>0</v>
      </c>
      <c r="AD36" s="44">
        <f t="shared" si="7"/>
        <v>0</v>
      </c>
      <c r="AE36" s="44">
        <f t="shared" si="7"/>
        <v>0</v>
      </c>
    </row>
    <row r="38" spans="1:31" x14ac:dyDescent="0.25">
      <c r="A38" s="41" t="s">
        <v>1220</v>
      </c>
      <c r="B38" s="6" t="s">
        <v>73</v>
      </c>
      <c r="C38" s="6" t="s">
        <v>47</v>
      </c>
      <c r="D38" s="6">
        <v>1</v>
      </c>
      <c r="E38" s="6" t="s">
        <v>1210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  <c r="AC38" s="29">
        <v>0</v>
      </c>
      <c r="AD38" s="29">
        <v>0</v>
      </c>
      <c r="AE38" s="29">
        <v>0</v>
      </c>
    </row>
    <row r="39" spans="1:31" x14ac:dyDescent="0.25">
      <c r="A39" s="41" t="s">
        <v>1220</v>
      </c>
      <c r="B39" s="6" t="s">
        <v>73</v>
      </c>
      <c r="C39" s="6" t="s">
        <v>47</v>
      </c>
      <c r="D39" s="6">
        <v>1</v>
      </c>
      <c r="E39" s="6" t="s">
        <v>1211</v>
      </c>
      <c r="K39" s="29">
        <f>INDEX(Mitigation_Industry!K:K,MATCH($A39,Mitigation_Industry!$H:$H,0))</f>
        <v>0</v>
      </c>
      <c r="L39" s="29">
        <f>INDEX(Mitigation_Industry!L:L,MATCH($A39,Mitigation_Industry!$H:$H,0))</f>
        <v>0</v>
      </c>
      <c r="M39" s="29">
        <f>INDEX(Mitigation_Industry!M:M,MATCH($A39,Mitigation_Industry!$H:$H,0))</f>
        <v>0</v>
      </c>
      <c r="N39" s="29">
        <f>INDEX(Mitigation_Industry!N:N,MATCH($A39,Mitigation_Industry!$H:$H,0))</f>
        <v>0</v>
      </c>
      <c r="O39" s="29">
        <f>INDEX(Mitigation_Industry!O:O,MATCH($A39,Mitigation_Industry!$H:$H,0))</f>
        <v>0</v>
      </c>
      <c r="P39" s="29">
        <f>INDEX(Mitigation_Industry!P:P,MATCH($A39,Mitigation_Industry!$H:$H,0))</f>
        <v>0</v>
      </c>
      <c r="Q39" s="29">
        <f>INDEX(Mitigation_Industry!Q:Q,MATCH($A39,Mitigation_Industry!$H:$H,0))</f>
        <v>0</v>
      </c>
      <c r="R39" s="29">
        <f>INDEX(Mitigation_Industry!R:R,MATCH($A39,Mitigation_Industry!$H:$H,0))</f>
        <v>0</v>
      </c>
      <c r="S39" s="29">
        <f>INDEX(Mitigation_Industry!S:S,MATCH($A39,Mitigation_Industry!$H:$H,0))</f>
        <v>0</v>
      </c>
      <c r="T39" s="29">
        <f>INDEX(Mitigation_Industry!T:T,MATCH($A39,Mitigation_Industry!$H:$H,0))</f>
        <v>0</v>
      </c>
      <c r="U39" s="29">
        <f>INDEX(Mitigation_Industry!U:U,MATCH($A39,Mitigation_Industry!$H:$H,0))</f>
        <v>0</v>
      </c>
      <c r="V39" s="29">
        <f>INDEX(Mitigation_Industry!V:V,MATCH($A39,Mitigation_Industry!$H:$H,0))</f>
        <v>0</v>
      </c>
      <c r="W39" s="29">
        <f>INDEX(Mitigation_Industry!W:W,MATCH($A39,Mitigation_Industry!$H:$H,0))</f>
        <v>0</v>
      </c>
      <c r="X39" s="29">
        <f>INDEX(Mitigation_Industry!X:X,MATCH($A39,Mitigation_Industry!$H:$H,0))</f>
        <v>0</v>
      </c>
      <c r="Y39" s="29">
        <f>INDEX(Mitigation_Industry!Y:Y,MATCH($A39,Mitigation_Industry!$H:$H,0))</f>
        <v>0</v>
      </c>
      <c r="Z39" s="29">
        <f>INDEX(Mitigation_Industry!Z:Z,MATCH($A39,Mitigation_Industry!$H:$H,0))</f>
        <v>0</v>
      </c>
      <c r="AA39" s="29">
        <f>INDEX(Mitigation_Industry!AA:AA,MATCH($A39,Mitigation_Industry!$H:$H,0))</f>
        <v>0</v>
      </c>
      <c r="AB39" s="29">
        <f>INDEX(Mitigation_Industry!AB:AB,MATCH($A39,Mitigation_Industry!$H:$H,0))</f>
        <v>0</v>
      </c>
      <c r="AC39" s="29">
        <f>INDEX(Mitigation_Industry!AC:AC,MATCH($A39,Mitigation_Industry!$H:$H,0))</f>
        <v>0</v>
      </c>
      <c r="AD39" s="29">
        <f>INDEX(Mitigation_Industry!AD:AD,MATCH($A39,Mitigation_Industry!$H:$H,0))</f>
        <v>0</v>
      </c>
      <c r="AE39" s="29">
        <f>INDEX(Mitigation_Industry!AE:AE,MATCH($A39,Mitigation_Industry!$H:$H,0))</f>
        <v>0</v>
      </c>
    </row>
    <row r="40" spans="1:31" x14ac:dyDescent="0.25">
      <c r="A40" s="41" t="s">
        <v>1220</v>
      </c>
      <c r="B40" s="6" t="s">
        <v>73</v>
      </c>
      <c r="C40" s="6" t="s">
        <v>47</v>
      </c>
      <c r="D40" s="6">
        <v>1</v>
      </c>
      <c r="E40" s="2" t="s">
        <v>1212</v>
      </c>
      <c r="F40" s="43">
        <f>MAX(MAX(L40:AE40),-MIN(L40:AE40))</f>
        <v>0</v>
      </c>
      <c r="K40" s="44">
        <f t="shared" ref="K40:AE40" si="8">IF(ISNUMBER(K38),IF(ISNUMBER(K39),K39-K38,999999),0)</f>
        <v>0</v>
      </c>
      <c r="L40" s="44">
        <f t="shared" si="8"/>
        <v>0</v>
      </c>
      <c r="M40" s="44">
        <f t="shared" si="8"/>
        <v>0</v>
      </c>
      <c r="N40" s="44">
        <f t="shared" si="8"/>
        <v>0</v>
      </c>
      <c r="O40" s="44">
        <f t="shared" si="8"/>
        <v>0</v>
      </c>
      <c r="P40" s="44">
        <f t="shared" si="8"/>
        <v>0</v>
      </c>
      <c r="Q40" s="44">
        <f t="shared" si="8"/>
        <v>0</v>
      </c>
      <c r="R40" s="44">
        <f t="shared" si="8"/>
        <v>0</v>
      </c>
      <c r="S40" s="44">
        <f t="shared" si="8"/>
        <v>0</v>
      </c>
      <c r="T40" s="44">
        <f t="shared" si="8"/>
        <v>0</v>
      </c>
      <c r="U40" s="44">
        <f t="shared" si="8"/>
        <v>0</v>
      </c>
      <c r="V40" s="44">
        <f t="shared" si="8"/>
        <v>0</v>
      </c>
      <c r="W40" s="44">
        <f t="shared" si="8"/>
        <v>0</v>
      </c>
      <c r="X40" s="44">
        <f t="shared" si="8"/>
        <v>0</v>
      </c>
      <c r="Y40" s="44">
        <f t="shared" si="8"/>
        <v>0</v>
      </c>
      <c r="Z40" s="44">
        <f t="shared" si="8"/>
        <v>0</v>
      </c>
      <c r="AA40" s="44">
        <f t="shared" si="8"/>
        <v>0</v>
      </c>
      <c r="AB40" s="44">
        <f t="shared" si="8"/>
        <v>0</v>
      </c>
      <c r="AC40" s="44">
        <f t="shared" si="8"/>
        <v>0</v>
      </c>
      <c r="AD40" s="44">
        <f t="shared" si="8"/>
        <v>0</v>
      </c>
      <c r="AE40" s="44">
        <f t="shared" si="8"/>
        <v>0</v>
      </c>
    </row>
    <row r="42" spans="1:31" x14ac:dyDescent="0.25">
      <c r="A42" s="41" t="s">
        <v>1221</v>
      </c>
      <c r="B42" s="6" t="s">
        <v>53</v>
      </c>
      <c r="C42" s="6" t="s">
        <v>117</v>
      </c>
      <c r="D42" s="6">
        <v>1</v>
      </c>
      <c r="E42" s="6" t="s">
        <v>1210</v>
      </c>
      <c r="K42" s="29"/>
      <c r="L42" s="29">
        <v>1463.0552244627891</v>
      </c>
      <c r="M42" s="29">
        <v>1191.3644362517171</v>
      </c>
      <c r="N42" s="29">
        <v>1369.177928221337</v>
      </c>
      <c r="O42" s="29">
        <v>1496.010345082118</v>
      </c>
      <c r="P42" s="29">
        <v>1463.009408424208</v>
      </c>
      <c r="Q42" s="29">
        <v>1479.9434067103521</v>
      </c>
      <c r="R42" s="29">
        <v>1520.886278906738</v>
      </c>
      <c r="S42" s="29">
        <v>1560.7547343755641</v>
      </c>
      <c r="T42" s="29">
        <v>1598.9515087578091</v>
      </c>
      <c r="U42" s="29">
        <v>1637.239350456445</v>
      </c>
      <c r="V42" s="29">
        <v>1668.235665404997</v>
      </c>
      <c r="W42" s="29">
        <v>1699.310195759175</v>
      </c>
      <c r="X42" s="29">
        <v>1730.454084298111</v>
      </c>
      <c r="Y42" s="29">
        <v>1761.65855185757</v>
      </c>
      <c r="Z42" s="29">
        <v>1792.9148898951289</v>
      </c>
      <c r="AA42" s="29">
        <v>1824.2144522572221</v>
      </c>
      <c r="AB42" s="29">
        <v>1855.5486461890321</v>
      </c>
      <c r="AC42" s="29">
        <v>1886.908922625574</v>
      </c>
      <c r="AD42" s="29">
        <v>1918.2867657997119</v>
      </c>
      <c r="AE42" s="29">
        <v>1949.673682200121</v>
      </c>
    </row>
    <row r="43" spans="1:31" x14ac:dyDescent="0.25">
      <c r="A43" s="41" t="s">
        <v>1221</v>
      </c>
      <c r="B43" s="6" t="s">
        <v>53</v>
      </c>
      <c r="C43" s="6" t="s">
        <v>117</v>
      </c>
      <c r="D43" s="6">
        <v>1</v>
      </c>
      <c r="E43" s="6" t="s">
        <v>1211</v>
      </c>
      <c r="K43" s="29">
        <f>INDEX(Mitigation_Industry!K:K,MATCH($A43,Mitigation_Industry!$H:$H,0))</f>
        <v>0</v>
      </c>
      <c r="L43" s="29">
        <f>INDEX(Mitigation_Industry!L:L,MATCH($A43,Mitigation_Industry!$H:$H,0))</f>
        <v>1463.0552244627891</v>
      </c>
      <c r="M43" s="29">
        <f>INDEX(Mitigation_Industry!M:M,MATCH($A43,Mitigation_Industry!$H:$H,0))</f>
        <v>1191.3644362517177</v>
      </c>
      <c r="N43" s="29">
        <f>INDEX(Mitigation_Industry!N:N,MATCH($A43,Mitigation_Industry!$H:$H,0))</f>
        <v>1369.177928221337</v>
      </c>
      <c r="O43" s="29">
        <f>INDEX(Mitigation_Industry!O:O,MATCH($A43,Mitigation_Industry!$H:$H,0))</f>
        <v>1496.0103450821184</v>
      </c>
      <c r="P43" s="29">
        <f>INDEX(Mitigation_Industry!P:P,MATCH($A43,Mitigation_Industry!$H:$H,0))</f>
        <v>1463.0094084242082</v>
      </c>
      <c r="Q43" s="29">
        <f>INDEX(Mitigation_Industry!Q:Q,MATCH($A43,Mitigation_Industry!$H:$H,0))</f>
        <v>1479.9434067103518</v>
      </c>
      <c r="R43" s="29">
        <f>INDEX(Mitigation_Industry!R:R,MATCH($A43,Mitigation_Industry!$H:$H,0))</f>
        <v>1520.8862789067377</v>
      </c>
      <c r="S43" s="29">
        <f>INDEX(Mitigation_Industry!S:S,MATCH($A43,Mitigation_Industry!$H:$H,0))</f>
        <v>1560.7547343755643</v>
      </c>
      <c r="T43" s="29">
        <f>INDEX(Mitigation_Industry!T:T,MATCH($A43,Mitigation_Industry!$H:$H,0))</f>
        <v>1598.9515087578093</v>
      </c>
      <c r="U43" s="29">
        <f>INDEX(Mitigation_Industry!U:U,MATCH($A43,Mitigation_Industry!$H:$H,0))</f>
        <v>1637.2393504564448</v>
      </c>
      <c r="V43" s="29">
        <f>INDEX(Mitigation_Industry!V:V,MATCH($A43,Mitigation_Industry!$H:$H,0))</f>
        <v>1668.2356654049975</v>
      </c>
      <c r="W43" s="29">
        <f>INDEX(Mitigation_Industry!W:W,MATCH($A43,Mitigation_Industry!$H:$H,0))</f>
        <v>1699.3101957591757</v>
      </c>
      <c r="X43" s="29">
        <f>INDEX(Mitigation_Industry!X:X,MATCH($A43,Mitigation_Industry!$H:$H,0))</f>
        <v>1730.4540842981112</v>
      </c>
      <c r="Y43" s="29">
        <f>INDEX(Mitigation_Industry!Y:Y,MATCH($A43,Mitigation_Industry!$H:$H,0))</f>
        <v>1761.65855185757</v>
      </c>
      <c r="Z43" s="29">
        <f>INDEX(Mitigation_Industry!Z:Z,MATCH($A43,Mitigation_Industry!$H:$H,0))</f>
        <v>1792.9148898951296</v>
      </c>
      <c r="AA43" s="29">
        <f>INDEX(Mitigation_Industry!AA:AA,MATCH($A43,Mitigation_Industry!$H:$H,0))</f>
        <v>1824.2144522572228</v>
      </c>
      <c r="AB43" s="29">
        <f>INDEX(Mitigation_Industry!AB:AB,MATCH($A43,Mitigation_Industry!$H:$H,0))</f>
        <v>1855.5486461890321</v>
      </c>
      <c r="AC43" s="29">
        <f>INDEX(Mitigation_Industry!AC:AC,MATCH($A43,Mitigation_Industry!$H:$H,0))</f>
        <v>1886.9089226255742</v>
      </c>
      <c r="AD43" s="29">
        <f>INDEX(Mitigation_Industry!AD:AD,MATCH($A43,Mitigation_Industry!$H:$H,0))</f>
        <v>1918.2867657997124</v>
      </c>
      <c r="AE43" s="29">
        <f>INDEX(Mitigation_Industry!AE:AE,MATCH($A43,Mitigation_Industry!$H:$H,0))</f>
        <v>1949.673682200121</v>
      </c>
    </row>
    <row r="44" spans="1:31" x14ac:dyDescent="0.25">
      <c r="A44" s="41" t="s">
        <v>1221</v>
      </c>
      <c r="B44" s="6" t="s">
        <v>53</v>
      </c>
      <c r="C44" s="6" t="s">
        <v>117</v>
      </c>
      <c r="D44" s="6">
        <v>1</v>
      </c>
      <c r="E44" s="2" t="s">
        <v>1212</v>
      </c>
      <c r="F44" s="43">
        <f>MAX(MAX(L44:AE44),-MIN(L44:AE44))</f>
        <v>6.8212102632969618E-13</v>
      </c>
      <c r="K44" s="44">
        <f t="shared" ref="K44:AE44" si="9">IF(ISNUMBER(K42),IF(ISNUMBER(K43),K43-K42,999999),0)</f>
        <v>0</v>
      </c>
      <c r="L44" s="44">
        <f t="shared" si="9"/>
        <v>0</v>
      </c>
      <c r="M44" s="44">
        <f t="shared" si="9"/>
        <v>6.8212102632969618E-13</v>
      </c>
      <c r="N44" s="44">
        <f t="shared" si="9"/>
        <v>0</v>
      </c>
      <c r="O44" s="44">
        <f t="shared" si="9"/>
        <v>4.5474735088646412E-13</v>
      </c>
      <c r="P44" s="44">
        <f t="shared" si="9"/>
        <v>2.2737367544323206E-13</v>
      </c>
      <c r="Q44" s="44">
        <f t="shared" si="9"/>
        <v>-2.2737367544323206E-13</v>
      </c>
      <c r="R44" s="44">
        <f t="shared" si="9"/>
        <v>-2.2737367544323206E-13</v>
      </c>
      <c r="S44" s="44">
        <f t="shared" si="9"/>
        <v>2.2737367544323206E-13</v>
      </c>
      <c r="T44" s="44">
        <f t="shared" si="9"/>
        <v>2.2737367544323206E-13</v>
      </c>
      <c r="U44" s="44">
        <f t="shared" si="9"/>
        <v>-2.2737367544323206E-13</v>
      </c>
      <c r="V44" s="44">
        <f t="shared" si="9"/>
        <v>4.5474735088646412E-13</v>
      </c>
      <c r="W44" s="44">
        <f t="shared" si="9"/>
        <v>6.8212102632969618E-13</v>
      </c>
      <c r="X44" s="44">
        <f t="shared" si="9"/>
        <v>2.2737367544323206E-13</v>
      </c>
      <c r="Y44" s="44">
        <f t="shared" si="9"/>
        <v>0</v>
      </c>
      <c r="Z44" s="44">
        <f t="shared" si="9"/>
        <v>6.8212102632969618E-13</v>
      </c>
      <c r="AA44" s="44">
        <f t="shared" si="9"/>
        <v>6.8212102632969618E-13</v>
      </c>
      <c r="AB44" s="44">
        <f t="shared" si="9"/>
        <v>0</v>
      </c>
      <c r="AC44" s="44">
        <f t="shared" si="9"/>
        <v>2.2737367544323206E-13</v>
      </c>
      <c r="AD44" s="44">
        <f t="shared" si="9"/>
        <v>4.5474735088646412E-13</v>
      </c>
      <c r="AE44" s="44">
        <f t="shared" si="9"/>
        <v>0</v>
      </c>
    </row>
    <row r="46" spans="1:31" x14ac:dyDescent="0.25">
      <c r="A46" s="41" t="s">
        <v>1222</v>
      </c>
      <c r="B46" s="6" t="s">
        <v>57</v>
      </c>
      <c r="C46" s="6" t="s">
        <v>117</v>
      </c>
      <c r="D46" s="6">
        <v>1</v>
      </c>
      <c r="E46" s="6" t="s">
        <v>1210</v>
      </c>
      <c r="K46" s="29"/>
      <c r="L46" s="29">
        <v>1747.3915347620809</v>
      </c>
      <c r="M46" s="29">
        <v>1498.9759731403981</v>
      </c>
      <c r="N46" s="29">
        <v>1678.358160579395</v>
      </c>
      <c r="O46" s="29">
        <v>1744.682477306864</v>
      </c>
      <c r="P46" s="29">
        <v>1810.202559329744</v>
      </c>
      <c r="Q46" s="29">
        <v>1888.269935663983</v>
      </c>
      <c r="R46" s="29">
        <v>1982.035222752455</v>
      </c>
      <c r="S46" s="29">
        <v>2073.2335772836491</v>
      </c>
      <c r="T46" s="29">
        <v>2159.7853501403388</v>
      </c>
      <c r="U46" s="29">
        <v>2248.211132722538</v>
      </c>
      <c r="V46" s="29">
        <v>2338.8337314802202</v>
      </c>
      <c r="W46" s="29">
        <v>2431.6533942937481</v>
      </c>
      <c r="X46" s="29">
        <v>2526.6687256675968</v>
      </c>
      <c r="Y46" s="29">
        <v>2623.876661922186</v>
      </c>
      <c r="Z46" s="29">
        <v>2723.272443000038</v>
      </c>
      <c r="AA46" s="29">
        <v>2824.849580607382</v>
      </c>
      <c r="AB46" s="29">
        <v>2928.5998224234959</v>
      </c>
      <c r="AC46" s="29">
        <v>3034.513112120585</v>
      </c>
      <c r="AD46" s="29">
        <v>3142.5775449475691</v>
      </c>
      <c r="AE46" s="29">
        <v>3252.7793186411009</v>
      </c>
    </row>
    <row r="47" spans="1:31" x14ac:dyDescent="0.25">
      <c r="A47" s="41" t="s">
        <v>1222</v>
      </c>
      <c r="B47" s="6" t="s">
        <v>57</v>
      </c>
      <c r="C47" s="6" t="s">
        <v>117</v>
      </c>
      <c r="D47" s="6">
        <v>1</v>
      </c>
      <c r="E47" s="6" t="s">
        <v>1211</v>
      </c>
      <c r="K47" s="29">
        <f>INDEX(Mitigation_Industry!K:K,MATCH($A47,Mitigation_Industry!$H:$H,0))</f>
        <v>0</v>
      </c>
      <c r="L47" s="29">
        <f>INDEX(Mitigation_Industry!L:L,MATCH($A47,Mitigation_Industry!$H:$H,0))</f>
        <v>1747.3915347620809</v>
      </c>
      <c r="M47" s="29">
        <f>INDEX(Mitigation_Industry!M:M,MATCH($A47,Mitigation_Industry!$H:$H,0))</f>
        <v>1498.9759731403972</v>
      </c>
      <c r="N47" s="29">
        <f>INDEX(Mitigation_Industry!N:N,MATCH($A47,Mitigation_Industry!$H:$H,0))</f>
        <v>1678.3581605793943</v>
      </c>
      <c r="O47" s="29">
        <f>INDEX(Mitigation_Industry!O:O,MATCH($A47,Mitigation_Industry!$H:$H,0))</f>
        <v>1744.6824773068631</v>
      </c>
      <c r="P47" s="29">
        <f>INDEX(Mitigation_Industry!P:P,MATCH($A47,Mitigation_Industry!$H:$H,0))</f>
        <v>1810.2025593297433</v>
      </c>
      <c r="Q47" s="29">
        <f>INDEX(Mitigation_Industry!Q:Q,MATCH($A47,Mitigation_Industry!$H:$H,0))</f>
        <v>1888.2699356639821</v>
      </c>
      <c r="R47" s="29">
        <f>INDEX(Mitigation_Industry!R:R,MATCH($A47,Mitigation_Industry!$H:$H,0))</f>
        <v>1982.035222752454</v>
      </c>
      <c r="S47" s="29">
        <f>INDEX(Mitigation_Industry!S:S,MATCH($A47,Mitigation_Industry!$H:$H,0))</f>
        <v>2073.2335772836482</v>
      </c>
      <c r="T47" s="29">
        <f>INDEX(Mitigation_Industry!T:T,MATCH($A47,Mitigation_Industry!$H:$H,0))</f>
        <v>2159.7853501403379</v>
      </c>
      <c r="U47" s="29">
        <f>INDEX(Mitigation_Industry!U:U,MATCH($A47,Mitigation_Industry!$H:$H,0))</f>
        <v>2248.2111327225371</v>
      </c>
      <c r="V47" s="29">
        <f>INDEX(Mitigation_Industry!V:V,MATCH($A47,Mitigation_Industry!$H:$H,0))</f>
        <v>2338.8337314802193</v>
      </c>
      <c r="W47" s="29">
        <f>INDEX(Mitigation_Industry!W:W,MATCH($A47,Mitigation_Industry!$H:$H,0))</f>
        <v>2431.6533942937472</v>
      </c>
      <c r="X47" s="29">
        <f>INDEX(Mitigation_Industry!X:X,MATCH($A47,Mitigation_Industry!$H:$H,0))</f>
        <v>2526.6687256675955</v>
      </c>
      <c r="Y47" s="29">
        <f>INDEX(Mitigation_Industry!Y:Y,MATCH($A47,Mitigation_Industry!$H:$H,0))</f>
        <v>2623.8766619221847</v>
      </c>
      <c r="Z47" s="29">
        <f>INDEX(Mitigation_Industry!Z:Z,MATCH($A47,Mitigation_Industry!$H:$H,0))</f>
        <v>2723.2724430000362</v>
      </c>
      <c r="AA47" s="29">
        <f>INDEX(Mitigation_Industry!AA:AA,MATCH($A47,Mitigation_Industry!$H:$H,0))</f>
        <v>2824.8495806073797</v>
      </c>
      <c r="AB47" s="29">
        <f>INDEX(Mitigation_Industry!AB:AB,MATCH($A47,Mitigation_Industry!$H:$H,0))</f>
        <v>2928.5998224234936</v>
      </c>
      <c r="AC47" s="29">
        <f>INDEX(Mitigation_Industry!AC:AC,MATCH($A47,Mitigation_Industry!$H:$H,0))</f>
        <v>3034.5131121205823</v>
      </c>
      <c r="AD47" s="29">
        <f>INDEX(Mitigation_Industry!AD:AD,MATCH($A47,Mitigation_Industry!$H:$H,0))</f>
        <v>3142.5775449475668</v>
      </c>
      <c r="AE47" s="29">
        <f>INDEX(Mitigation_Industry!AE:AE,MATCH($A47,Mitigation_Industry!$H:$H,0))</f>
        <v>3252.7793186410991</v>
      </c>
    </row>
    <row r="48" spans="1:31" x14ac:dyDescent="0.25">
      <c r="A48" s="41" t="s">
        <v>1222</v>
      </c>
      <c r="B48" s="6" t="s">
        <v>57</v>
      </c>
      <c r="C48" s="6" t="s">
        <v>117</v>
      </c>
      <c r="D48" s="6">
        <v>1</v>
      </c>
      <c r="E48" s="2" t="s">
        <v>1212</v>
      </c>
      <c r="F48" s="43">
        <f>MAX(MAX(L48:AE48),-MIN(L48:AE48))</f>
        <v>2.7284841053187847E-12</v>
      </c>
      <c r="K48" s="44">
        <f t="shared" ref="K48:AE48" si="10">IF(ISNUMBER(K46),IF(ISNUMBER(K47),K47-K46,999999),0)</f>
        <v>0</v>
      </c>
      <c r="L48" s="44">
        <f t="shared" si="10"/>
        <v>0</v>
      </c>
      <c r="M48" s="44">
        <f t="shared" si="10"/>
        <v>-9.0949470177292824E-13</v>
      </c>
      <c r="N48" s="44">
        <f t="shared" si="10"/>
        <v>-6.8212102632969618E-13</v>
      </c>
      <c r="O48" s="44">
        <f t="shared" si="10"/>
        <v>-9.0949470177292824E-13</v>
      </c>
      <c r="P48" s="44">
        <f t="shared" si="10"/>
        <v>-6.8212102632969618E-13</v>
      </c>
      <c r="Q48" s="44">
        <f t="shared" si="10"/>
        <v>-9.0949470177292824E-13</v>
      </c>
      <c r="R48" s="44">
        <f t="shared" si="10"/>
        <v>-9.0949470177292824E-13</v>
      </c>
      <c r="S48" s="44">
        <f t="shared" si="10"/>
        <v>-9.0949470177292824E-13</v>
      </c>
      <c r="T48" s="44">
        <f t="shared" si="10"/>
        <v>-9.0949470177292824E-13</v>
      </c>
      <c r="U48" s="44">
        <f t="shared" si="10"/>
        <v>-9.0949470177292824E-13</v>
      </c>
      <c r="V48" s="44">
        <f t="shared" si="10"/>
        <v>-9.0949470177292824E-13</v>
      </c>
      <c r="W48" s="44">
        <f t="shared" si="10"/>
        <v>-9.0949470177292824E-13</v>
      </c>
      <c r="X48" s="44">
        <f t="shared" si="10"/>
        <v>-1.3642420526593924E-12</v>
      </c>
      <c r="Y48" s="44">
        <f t="shared" si="10"/>
        <v>-1.3642420526593924E-12</v>
      </c>
      <c r="Z48" s="44">
        <f t="shared" si="10"/>
        <v>-1.8189894035458565E-12</v>
      </c>
      <c r="AA48" s="44">
        <f t="shared" si="10"/>
        <v>-2.2737367544323206E-12</v>
      </c>
      <c r="AB48" s="44">
        <f t="shared" si="10"/>
        <v>-2.2737367544323206E-12</v>
      </c>
      <c r="AC48" s="44">
        <f t="shared" si="10"/>
        <v>-2.7284841053187847E-12</v>
      </c>
      <c r="AD48" s="44">
        <f t="shared" si="10"/>
        <v>-2.2737367544323206E-12</v>
      </c>
      <c r="AE48" s="44">
        <f t="shared" si="10"/>
        <v>-1.8189894035458565E-12</v>
      </c>
    </row>
    <row r="50" spans="1:31" x14ac:dyDescent="0.25">
      <c r="A50" s="41" t="s">
        <v>1223</v>
      </c>
      <c r="B50" s="6" t="s">
        <v>59</v>
      </c>
      <c r="C50" s="6" t="s">
        <v>117</v>
      </c>
      <c r="D50" s="6">
        <v>1</v>
      </c>
      <c r="E50" s="6" t="s">
        <v>1210</v>
      </c>
      <c r="K50" s="29"/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  <c r="AC50" s="29">
        <v>0</v>
      </c>
      <c r="AD50" s="29">
        <v>0</v>
      </c>
      <c r="AE50" s="29">
        <v>0</v>
      </c>
    </row>
    <row r="51" spans="1:31" x14ac:dyDescent="0.25">
      <c r="A51" s="41" t="s">
        <v>1223</v>
      </c>
      <c r="B51" s="6" t="s">
        <v>59</v>
      </c>
      <c r="C51" s="6" t="s">
        <v>117</v>
      </c>
      <c r="D51" s="6">
        <v>1</v>
      </c>
      <c r="E51" s="6" t="s">
        <v>1211</v>
      </c>
      <c r="K51" s="29">
        <f>INDEX(Mitigation_Industry!K:K,MATCH($A51,Mitigation_Industry!$H:$H,0))</f>
        <v>0</v>
      </c>
      <c r="L51" s="29">
        <f>INDEX(Mitigation_Industry!L:L,MATCH($A51,Mitigation_Industry!$H:$H,0))</f>
        <v>0</v>
      </c>
      <c r="M51" s="29">
        <f>INDEX(Mitigation_Industry!M:M,MATCH($A51,Mitigation_Industry!$H:$H,0))</f>
        <v>0</v>
      </c>
      <c r="N51" s="29">
        <f>INDEX(Mitigation_Industry!N:N,MATCH($A51,Mitigation_Industry!$H:$H,0))</f>
        <v>0</v>
      </c>
      <c r="O51" s="29">
        <f>INDEX(Mitigation_Industry!O:O,MATCH($A51,Mitigation_Industry!$H:$H,0))</f>
        <v>0</v>
      </c>
      <c r="P51" s="29">
        <f>INDEX(Mitigation_Industry!P:P,MATCH($A51,Mitigation_Industry!$H:$H,0))</f>
        <v>0</v>
      </c>
      <c r="Q51" s="29">
        <f>INDEX(Mitigation_Industry!Q:Q,MATCH($A51,Mitigation_Industry!$H:$H,0))</f>
        <v>0</v>
      </c>
      <c r="R51" s="29">
        <f>INDEX(Mitigation_Industry!R:R,MATCH($A51,Mitigation_Industry!$H:$H,0))</f>
        <v>0</v>
      </c>
      <c r="S51" s="29">
        <f>INDEX(Mitigation_Industry!S:S,MATCH($A51,Mitigation_Industry!$H:$H,0))</f>
        <v>0</v>
      </c>
      <c r="T51" s="29">
        <f>INDEX(Mitigation_Industry!T:T,MATCH($A51,Mitigation_Industry!$H:$H,0))</f>
        <v>0</v>
      </c>
      <c r="U51" s="29">
        <f>INDEX(Mitigation_Industry!U:U,MATCH($A51,Mitigation_Industry!$H:$H,0))</f>
        <v>0</v>
      </c>
      <c r="V51" s="29">
        <f>INDEX(Mitigation_Industry!V:V,MATCH($A51,Mitigation_Industry!$H:$H,0))</f>
        <v>0</v>
      </c>
      <c r="W51" s="29">
        <f>INDEX(Mitigation_Industry!W:W,MATCH($A51,Mitigation_Industry!$H:$H,0))</f>
        <v>0</v>
      </c>
      <c r="X51" s="29">
        <f>INDEX(Mitigation_Industry!X:X,MATCH($A51,Mitigation_Industry!$H:$H,0))</f>
        <v>0</v>
      </c>
      <c r="Y51" s="29">
        <f>INDEX(Mitigation_Industry!Y:Y,MATCH($A51,Mitigation_Industry!$H:$H,0))</f>
        <v>0</v>
      </c>
      <c r="Z51" s="29">
        <f>INDEX(Mitigation_Industry!Z:Z,MATCH($A51,Mitigation_Industry!$H:$H,0))</f>
        <v>0</v>
      </c>
      <c r="AA51" s="29">
        <f>INDEX(Mitigation_Industry!AA:AA,MATCH($A51,Mitigation_Industry!$H:$H,0))</f>
        <v>0</v>
      </c>
      <c r="AB51" s="29">
        <f>INDEX(Mitigation_Industry!AB:AB,MATCH($A51,Mitigation_Industry!$H:$H,0))</f>
        <v>0</v>
      </c>
      <c r="AC51" s="29">
        <f>INDEX(Mitigation_Industry!AC:AC,MATCH($A51,Mitigation_Industry!$H:$H,0))</f>
        <v>0</v>
      </c>
      <c r="AD51" s="29">
        <f>INDEX(Mitigation_Industry!AD:AD,MATCH($A51,Mitigation_Industry!$H:$H,0))</f>
        <v>0</v>
      </c>
      <c r="AE51" s="29">
        <f>INDEX(Mitigation_Industry!AE:AE,MATCH($A51,Mitigation_Industry!$H:$H,0))</f>
        <v>0</v>
      </c>
    </row>
    <row r="52" spans="1:31" x14ac:dyDescent="0.25">
      <c r="A52" s="41" t="s">
        <v>1223</v>
      </c>
      <c r="B52" s="6" t="s">
        <v>59</v>
      </c>
      <c r="C52" s="6" t="s">
        <v>117</v>
      </c>
      <c r="D52" s="6">
        <v>1</v>
      </c>
      <c r="E52" s="2" t="s">
        <v>1212</v>
      </c>
      <c r="F52" s="43">
        <f>MAX(MAX(L52:AE52),-MIN(L52:AE52))</f>
        <v>0</v>
      </c>
      <c r="K52" s="44">
        <f t="shared" ref="K52:AE52" si="11">IF(ISNUMBER(K50),IF(ISNUMBER(K51),K51-K50,999999),0)</f>
        <v>0</v>
      </c>
      <c r="L52" s="44">
        <f t="shared" si="11"/>
        <v>0</v>
      </c>
      <c r="M52" s="44">
        <f t="shared" si="11"/>
        <v>0</v>
      </c>
      <c r="N52" s="44">
        <f t="shared" si="11"/>
        <v>0</v>
      </c>
      <c r="O52" s="44">
        <f t="shared" si="11"/>
        <v>0</v>
      </c>
      <c r="P52" s="44">
        <f t="shared" si="11"/>
        <v>0</v>
      </c>
      <c r="Q52" s="44">
        <f t="shared" si="11"/>
        <v>0</v>
      </c>
      <c r="R52" s="44">
        <f t="shared" si="11"/>
        <v>0</v>
      </c>
      <c r="S52" s="44">
        <f t="shared" si="11"/>
        <v>0</v>
      </c>
      <c r="T52" s="44">
        <f t="shared" si="11"/>
        <v>0</v>
      </c>
      <c r="U52" s="44">
        <f t="shared" si="11"/>
        <v>0</v>
      </c>
      <c r="V52" s="44">
        <f t="shared" si="11"/>
        <v>0</v>
      </c>
      <c r="W52" s="44">
        <f t="shared" si="11"/>
        <v>0</v>
      </c>
      <c r="X52" s="44">
        <f t="shared" si="11"/>
        <v>0</v>
      </c>
      <c r="Y52" s="44">
        <f t="shared" si="11"/>
        <v>0</v>
      </c>
      <c r="Z52" s="44">
        <f t="shared" si="11"/>
        <v>0</v>
      </c>
      <c r="AA52" s="44">
        <f t="shared" si="11"/>
        <v>0</v>
      </c>
      <c r="AB52" s="44">
        <f t="shared" si="11"/>
        <v>0</v>
      </c>
      <c r="AC52" s="44">
        <f t="shared" si="11"/>
        <v>0</v>
      </c>
      <c r="AD52" s="44">
        <f t="shared" si="11"/>
        <v>0</v>
      </c>
      <c r="AE52" s="44">
        <f t="shared" si="11"/>
        <v>0</v>
      </c>
    </row>
    <row r="54" spans="1:31" x14ac:dyDescent="0.25">
      <c r="A54" s="41" t="s">
        <v>1224</v>
      </c>
      <c r="B54" s="6" t="s">
        <v>62</v>
      </c>
      <c r="C54" s="6" t="s">
        <v>117</v>
      </c>
      <c r="D54" s="6">
        <v>1</v>
      </c>
      <c r="E54" s="6" t="s">
        <v>1210</v>
      </c>
      <c r="K54" s="29"/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  <c r="AC54" s="29">
        <v>0</v>
      </c>
      <c r="AD54" s="29">
        <v>0</v>
      </c>
      <c r="AE54" s="29">
        <v>0</v>
      </c>
    </row>
    <row r="55" spans="1:31" x14ac:dyDescent="0.25">
      <c r="A55" s="41" t="s">
        <v>1224</v>
      </c>
      <c r="B55" s="6" t="s">
        <v>62</v>
      </c>
      <c r="C55" s="6" t="s">
        <v>117</v>
      </c>
      <c r="D55" s="6">
        <v>1</v>
      </c>
      <c r="E55" s="6" t="s">
        <v>1211</v>
      </c>
      <c r="K55" s="29">
        <f>INDEX(Mitigation_Industry!K:K,MATCH($A55,Mitigation_Industry!$H:$H,0))</f>
        <v>0</v>
      </c>
      <c r="L55" s="29">
        <f>INDEX(Mitigation_Industry!L:L,MATCH($A55,Mitigation_Industry!$H:$H,0))</f>
        <v>0</v>
      </c>
      <c r="M55" s="29">
        <f>INDEX(Mitigation_Industry!M:M,MATCH($A55,Mitigation_Industry!$H:$H,0))</f>
        <v>0</v>
      </c>
      <c r="N55" s="29">
        <f>INDEX(Mitigation_Industry!N:N,MATCH($A55,Mitigation_Industry!$H:$H,0))</f>
        <v>0</v>
      </c>
      <c r="O55" s="29">
        <f>INDEX(Mitigation_Industry!O:O,MATCH($A55,Mitigation_Industry!$H:$H,0))</f>
        <v>0</v>
      </c>
      <c r="P55" s="29">
        <f>INDEX(Mitigation_Industry!P:P,MATCH($A55,Mitigation_Industry!$H:$H,0))</f>
        <v>0</v>
      </c>
      <c r="Q55" s="29">
        <f>INDEX(Mitigation_Industry!Q:Q,MATCH($A55,Mitigation_Industry!$H:$H,0))</f>
        <v>0</v>
      </c>
      <c r="R55" s="29">
        <f>INDEX(Mitigation_Industry!R:R,MATCH($A55,Mitigation_Industry!$H:$H,0))</f>
        <v>0</v>
      </c>
      <c r="S55" s="29">
        <f>INDEX(Mitigation_Industry!S:S,MATCH($A55,Mitigation_Industry!$H:$H,0))</f>
        <v>0</v>
      </c>
      <c r="T55" s="29">
        <f>INDEX(Mitigation_Industry!T:T,MATCH($A55,Mitigation_Industry!$H:$H,0))</f>
        <v>0</v>
      </c>
      <c r="U55" s="29">
        <f>INDEX(Mitigation_Industry!U:U,MATCH($A55,Mitigation_Industry!$H:$H,0))</f>
        <v>0</v>
      </c>
      <c r="V55" s="29">
        <f>INDEX(Mitigation_Industry!V:V,MATCH($A55,Mitigation_Industry!$H:$H,0))</f>
        <v>0</v>
      </c>
      <c r="W55" s="29">
        <f>INDEX(Mitigation_Industry!W:W,MATCH($A55,Mitigation_Industry!$H:$H,0))</f>
        <v>0</v>
      </c>
      <c r="X55" s="29">
        <f>INDEX(Mitigation_Industry!X:X,MATCH($A55,Mitigation_Industry!$H:$H,0))</f>
        <v>0</v>
      </c>
      <c r="Y55" s="29">
        <f>INDEX(Mitigation_Industry!Y:Y,MATCH($A55,Mitigation_Industry!$H:$H,0))</f>
        <v>0</v>
      </c>
      <c r="Z55" s="29">
        <f>INDEX(Mitigation_Industry!Z:Z,MATCH($A55,Mitigation_Industry!$H:$H,0))</f>
        <v>0</v>
      </c>
      <c r="AA55" s="29">
        <f>INDEX(Mitigation_Industry!AA:AA,MATCH($A55,Mitigation_Industry!$H:$H,0))</f>
        <v>0</v>
      </c>
      <c r="AB55" s="29">
        <f>INDEX(Mitigation_Industry!AB:AB,MATCH($A55,Mitigation_Industry!$H:$H,0))</f>
        <v>0</v>
      </c>
      <c r="AC55" s="29">
        <f>INDEX(Mitigation_Industry!AC:AC,MATCH($A55,Mitigation_Industry!$H:$H,0))</f>
        <v>0</v>
      </c>
      <c r="AD55" s="29">
        <f>INDEX(Mitigation_Industry!AD:AD,MATCH($A55,Mitigation_Industry!$H:$H,0))</f>
        <v>0</v>
      </c>
      <c r="AE55" s="29">
        <f>INDEX(Mitigation_Industry!AE:AE,MATCH($A55,Mitigation_Industry!$H:$H,0))</f>
        <v>0</v>
      </c>
    </row>
    <row r="56" spans="1:31" x14ac:dyDescent="0.25">
      <c r="A56" s="41" t="s">
        <v>1224</v>
      </c>
      <c r="B56" s="6" t="s">
        <v>62</v>
      </c>
      <c r="C56" s="6" t="s">
        <v>117</v>
      </c>
      <c r="D56" s="6">
        <v>1</v>
      </c>
      <c r="E56" s="2" t="s">
        <v>1212</v>
      </c>
      <c r="F56" s="43">
        <f>MAX(MAX(L56:AE56),-MIN(L56:AE56))</f>
        <v>0</v>
      </c>
      <c r="K56" s="44">
        <f t="shared" ref="K56:AE56" si="12">IF(ISNUMBER(K54),IF(ISNUMBER(K55),K55-K54,999999),0)</f>
        <v>0</v>
      </c>
      <c r="L56" s="44">
        <f t="shared" si="12"/>
        <v>0</v>
      </c>
      <c r="M56" s="44">
        <f t="shared" si="12"/>
        <v>0</v>
      </c>
      <c r="N56" s="44">
        <f t="shared" si="12"/>
        <v>0</v>
      </c>
      <c r="O56" s="44">
        <f t="shared" si="12"/>
        <v>0</v>
      </c>
      <c r="P56" s="44">
        <f t="shared" si="12"/>
        <v>0</v>
      </c>
      <c r="Q56" s="44">
        <f t="shared" si="12"/>
        <v>0</v>
      </c>
      <c r="R56" s="44">
        <f t="shared" si="12"/>
        <v>0</v>
      </c>
      <c r="S56" s="44">
        <f t="shared" si="12"/>
        <v>0</v>
      </c>
      <c r="T56" s="44">
        <f t="shared" si="12"/>
        <v>0</v>
      </c>
      <c r="U56" s="44">
        <f t="shared" si="12"/>
        <v>0</v>
      </c>
      <c r="V56" s="44">
        <f t="shared" si="12"/>
        <v>0</v>
      </c>
      <c r="W56" s="44">
        <f t="shared" si="12"/>
        <v>0</v>
      </c>
      <c r="X56" s="44">
        <f t="shared" si="12"/>
        <v>0</v>
      </c>
      <c r="Y56" s="44">
        <f t="shared" si="12"/>
        <v>0</v>
      </c>
      <c r="Z56" s="44">
        <f t="shared" si="12"/>
        <v>0</v>
      </c>
      <c r="AA56" s="44">
        <f t="shared" si="12"/>
        <v>0</v>
      </c>
      <c r="AB56" s="44">
        <f t="shared" si="12"/>
        <v>0</v>
      </c>
      <c r="AC56" s="44">
        <f t="shared" si="12"/>
        <v>0</v>
      </c>
      <c r="AD56" s="44">
        <f t="shared" si="12"/>
        <v>0</v>
      </c>
      <c r="AE56" s="44">
        <f t="shared" si="12"/>
        <v>0</v>
      </c>
    </row>
    <row r="58" spans="1:31" x14ac:dyDescent="0.25">
      <c r="A58" s="41" t="s">
        <v>1225</v>
      </c>
      <c r="B58" s="6" t="s">
        <v>64</v>
      </c>
      <c r="C58" s="6" t="s">
        <v>117</v>
      </c>
      <c r="D58" s="6">
        <v>1</v>
      </c>
      <c r="E58" s="6" t="s">
        <v>1210</v>
      </c>
      <c r="K58" s="29"/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  <c r="AC58" s="29">
        <v>0</v>
      </c>
      <c r="AD58" s="29">
        <v>0</v>
      </c>
      <c r="AE58" s="29">
        <v>0</v>
      </c>
    </row>
    <row r="59" spans="1:31" x14ac:dyDescent="0.25">
      <c r="A59" s="41" t="s">
        <v>1225</v>
      </c>
      <c r="B59" s="6" t="s">
        <v>64</v>
      </c>
      <c r="C59" s="6" t="s">
        <v>117</v>
      </c>
      <c r="D59" s="6">
        <v>1</v>
      </c>
      <c r="E59" s="6" t="s">
        <v>1211</v>
      </c>
      <c r="K59" s="29">
        <f>INDEX(Mitigation_Industry!K:K,MATCH($A59,Mitigation_Industry!$H:$H,0))</f>
        <v>0</v>
      </c>
      <c r="L59" s="29">
        <f>INDEX(Mitigation_Industry!L:L,MATCH($A59,Mitigation_Industry!$H:$H,0))</f>
        <v>0</v>
      </c>
      <c r="M59" s="29">
        <f>INDEX(Mitigation_Industry!M:M,MATCH($A59,Mitigation_Industry!$H:$H,0))</f>
        <v>0</v>
      </c>
      <c r="N59" s="29">
        <f>INDEX(Mitigation_Industry!N:N,MATCH($A59,Mitigation_Industry!$H:$H,0))</f>
        <v>0</v>
      </c>
      <c r="O59" s="29">
        <f>INDEX(Mitigation_Industry!O:O,MATCH($A59,Mitigation_Industry!$H:$H,0))</f>
        <v>0</v>
      </c>
      <c r="P59" s="29">
        <f>INDEX(Mitigation_Industry!P:P,MATCH($A59,Mitigation_Industry!$H:$H,0))</f>
        <v>0</v>
      </c>
      <c r="Q59" s="29">
        <f>INDEX(Mitigation_Industry!Q:Q,MATCH($A59,Mitigation_Industry!$H:$H,0))</f>
        <v>0</v>
      </c>
      <c r="R59" s="29">
        <f>INDEX(Mitigation_Industry!R:R,MATCH($A59,Mitigation_Industry!$H:$H,0))</f>
        <v>0</v>
      </c>
      <c r="S59" s="29">
        <f>INDEX(Mitigation_Industry!S:S,MATCH($A59,Mitigation_Industry!$H:$H,0))</f>
        <v>0</v>
      </c>
      <c r="T59" s="29">
        <f>INDEX(Mitigation_Industry!T:T,MATCH($A59,Mitigation_Industry!$H:$H,0))</f>
        <v>0</v>
      </c>
      <c r="U59" s="29">
        <f>INDEX(Mitigation_Industry!U:U,MATCH($A59,Mitigation_Industry!$H:$H,0))</f>
        <v>0</v>
      </c>
      <c r="V59" s="29">
        <f>INDEX(Mitigation_Industry!V:V,MATCH($A59,Mitigation_Industry!$H:$H,0))</f>
        <v>0</v>
      </c>
      <c r="W59" s="29">
        <f>INDEX(Mitigation_Industry!W:W,MATCH($A59,Mitigation_Industry!$H:$H,0))</f>
        <v>0</v>
      </c>
      <c r="X59" s="29">
        <f>INDEX(Mitigation_Industry!X:X,MATCH($A59,Mitigation_Industry!$H:$H,0))</f>
        <v>0</v>
      </c>
      <c r="Y59" s="29">
        <f>INDEX(Mitigation_Industry!Y:Y,MATCH($A59,Mitigation_Industry!$H:$H,0))</f>
        <v>0</v>
      </c>
      <c r="Z59" s="29">
        <f>INDEX(Mitigation_Industry!Z:Z,MATCH($A59,Mitigation_Industry!$H:$H,0))</f>
        <v>0</v>
      </c>
      <c r="AA59" s="29">
        <f>INDEX(Mitigation_Industry!AA:AA,MATCH($A59,Mitigation_Industry!$H:$H,0))</f>
        <v>0</v>
      </c>
      <c r="AB59" s="29">
        <f>INDEX(Mitigation_Industry!AB:AB,MATCH($A59,Mitigation_Industry!$H:$H,0))</f>
        <v>0</v>
      </c>
      <c r="AC59" s="29">
        <f>INDEX(Mitigation_Industry!AC:AC,MATCH($A59,Mitigation_Industry!$H:$H,0))</f>
        <v>0</v>
      </c>
      <c r="AD59" s="29">
        <f>INDEX(Mitigation_Industry!AD:AD,MATCH($A59,Mitigation_Industry!$H:$H,0))</f>
        <v>0</v>
      </c>
      <c r="AE59" s="29">
        <f>INDEX(Mitigation_Industry!AE:AE,MATCH($A59,Mitigation_Industry!$H:$H,0))</f>
        <v>0</v>
      </c>
    </row>
    <row r="60" spans="1:31" x14ac:dyDescent="0.25">
      <c r="A60" s="41" t="s">
        <v>1225</v>
      </c>
      <c r="B60" s="6" t="s">
        <v>64</v>
      </c>
      <c r="C60" s="6" t="s">
        <v>117</v>
      </c>
      <c r="D60" s="6">
        <v>1</v>
      </c>
      <c r="E60" s="2" t="s">
        <v>1212</v>
      </c>
      <c r="F60" s="43">
        <f>MAX(MAX(L60:AE60),-MIN(L60:AE60))</f>
        <v>0</v>
      </c>
      <c r="K60" s="44">
        <f t="shared" ref="K60:AE60" si="13">IF(ISNUMBER(K58),IF(ISNUMBER(K59),K59-K58,999999),0)</f>
        <v>0</v>
      </c>
      <c r="L60" s="44">
        <f t="shared" si="13"/>
        <v>0</v>
      </c>
      <c r="M60" s="44">
        <f t="shared" si="13"/>
        <v>0</v>
      </c>
      <c r="N60" s="44">
        <f t="shared" si="13"/>
        <v>0</v>
      </c>
      <c r="O60" s="44">
        <f t="shared" si="13"/>
        <v>0</v>
      </c>
      <c r="P60" s="44">
        <f t="shared" si="13"/>
        <v>0</v>
      </c>
      <c r="Q60" s="44">
        <f t="shared" si="13"/>
        <v>0</v>
      </c>
      <c r="R60" s="44">
        <f t="shared" si="13"/>
        <v>0</v>
      </c>
      <c r="S60" s="44">
        <f t="shared" si="13"/>
        <v>0</v>
      </c>
      <c r="T60" s="44">
        <f t="shared" si="13"/>
        <v>0</v>
      </c>
      <c r="U60" s="44">
        <f t="shared" si="13"/>
        <v>0</v>
      </c>
      <c r="V60" s="44">
        <f t="shared" si="13"/>
        <v>0</v>
      </c>
      <c r="W60" s="44">
        <f t="shared" si="13"/>
        <v>0</v>
      </c>
      <c r="X60" s="44">
        <f t="shared" si="13"/>
        <v>0</v>
      </c>
      <c r="Y60" s="44">
        <f t="shared" si="13"/>
        <v>0</v>
      </c>
      <c r="Z60" s="44">
        <f t="shared" si="13"/>
        <v>0</v>
      </c>
      <c r="AA60" s="44">
        <f t="shared" si="13"/>
        <v>0</v>
      </c>
      <c r="AB60" s="44">
        <f t="shared" si="13"/>
        <v>0</v>
      </c>
      <c r="AC60" s="44">
        <f t="shared" si="13"/>
        <v>0</v>
      </c>
      <c r="AD60" s="44">
        <f t="shared" si="13"/>
        <v>0</v>
      </c>
      <c r="AE60" s="44">
        <f t="shared" si="13"/>
        <v>0</v>
      </c>
    </row>
    <row r="62" spans="1:31" x14ac:dyDescent="0.25">
      <c r="A62" s="41" t="s">
        <v>1226</v>
      </c>
      <c r="B62" s="6" t="s">
        <v>66</v>
      </c>
      <c r="C62" s="6" t="s">
        <v>117</v>
      </c>
      <c r="D62" s="6">
        <v>1</v>
      </c>
      <c r="E62" s="6" t="s">
        <v>1210</v>
      </c>
      <c r="K62" s="29"/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>
        <v>0</v>
      </c>
      <c r="AE62" s="29">
        <v>0</v>
      </c>
    </row>
    <row r="63" spans="1:31" x14ac:dyDescent="0.25">
      <c r="A63" s="41" t="s">
        <v>1226</v>
      </c>
      <c r="B63" s="6" t="s">
        <v>66</v>
      </c>
      <c r="C63" s="6" t="s">
        <v>117</v>
      </c>
      <c r="D63" s="6">
        <v>1</v>
      </c>
      <c r="E63" s="6" t="s">
        <v>1211</v>
      </c>
      <c r="K63" s="29">
        <f>INDEX(Mitigation_Industry!K:K,MATCH($A63,Mitigation_Industry!$H:$H,0))</f>
        <v>0</v>
      </c>
      <c r="L63" s="29">
        <f>INDEX(Mitigation_Industry!L:L,MATCH($A63,Mitigation_Industry!$H:$H,0))</f>
        <v>0</v>
      </c>
      <c r="M63" s="29">
        <f>INDEX(Mitigation_Industry!M:M,MATCH($A63,Mitigation_Industry!$H:$H,0))</f>
        <v>0</v>
      </c>
      <c r="N63" s="29">
        <f>INDEX(Mitigation_Industry!N:N,MATCH($A63,Mitigation_Industry!$H:$H,0))</f>
        <v>0</v>
      </c>
      <c r="O63" s="29">
        <f>INDEX(Mitigation_Industry!O:O,MATCH($A63,Mitigation_Industry!$H:$H,0))</f>
        <v>0</v>
      </c>
      <c r="P63" s="29">
        <f>INDEX(Mitigation_Industry!P:P,MATCH($A63,Mitigation_Industry!$H:$H,0))</f>
        <v>0</v>
      </c>
      <c r="Q63" s="29">
        <f>INDEX(Mitigation_Industry!Q:Q,MATCH($A63,Mitigation_Industry!$H:$H,0))</f>
        <v>0</v>
      </c>
      <c r="R63" s="29">
        <f>INDEX(Mitigation_Industry!R:R,MATCH($A63,Mitigation_Industry!$H:$H,0))</f>
        <v>0</v>
      </c>
      <c r="S63" s="29">
        <f>INDEX(Mitigation_Industry!S:S,MATCH($A63,Mitigation_Industry!$H:$H,0))</f>
        <v>0</v>
      </c>
      <c r="T63" s="29">
        <f>INDEX(Mitigation_Industry!T:T,MATCH($A63,Mitigation_Industry!$H:$H,0))</f>
        <v>0</v>
      </c>
      <c r="U63" s="29">
        <f>INDEX(Mitigation_Industry!U:U,MATCH($A63,Mitigation_Industry!$H:$H,0))</f>
        <v>0</v>
      </c>
      <c r="V63" s="29">
        <f>INDEX(Mitigation_Industry!V:V,MATCH($A63,Mitigation_Industry!$H:$H,0))</f>
        <v>0</v>
      </c>
      <c r="W63" s="29">
        <f>INDEX(Mitigation_Industry!W:W,MATCH($A63,Mitigation_Industry!$H:$H,0))</f>
        <v>0</v>
      </c>
      <c r="X63" s="29">
        <f>INDEX(Mitigation_Industry!X:X,MATCH($A63,Mitigation_Industry!$H:$H,0))</f>
        <v>0</v>
      </c>
      <c r="Y63" s="29">
        <f>INDEX(Mitigation_Industry!Y:Y,MATCH($A63,Mitigation_Industry!$H:$H,0))</f>
        <v>0</v>
      </c>
      <c r="Z63" s="29">
        <f>INDEX(Mitigation_Industry!Z:Z,MATCH($A63,Mitigation_Industry!$H:$H,0))</f>
        <v>0</v>
      </c>
      <c r="AA63" s="29">
        <f>INDEX(Mitigation_Industry!AA:AA,MATCH($A63,Mitigation_Industry!$H:$H,0))</f>
        <v>0</v>
      </c>
      <c r="AB63" s="29">
        <f>INDEX(Mitigation_Industry!AB:AB,MATCH($A63,Mitigation_Industry!$H:$H,0))</f>
        <v>0</v>
      </c>
      <c r="AC63" s="29">
        <f>INDEX(Mitigation_Industry!AC:AC,MATCH($A63,Mitigation_Industry!$H:$H,0))</f>
        <v>0</v>
      </c>
      <c r="AD63" s="29">
        <f>INDEX(Mitigation_Industry!AD:AD,MATCH($A63,Mitigation_Industry!$H:$H,0))</f>
        <v>0</v>
      </c>
      <c r="AE63" s="29">
        <f>INDEX(Mitigation_Industry!AE:AE,MATCH($A63,Mitigation_Industry!$H:$H,0))</f>
        <v>0</v>
      </c>
    </row>
    <row r="64" spans="1:31" x14ac:dyDescent="0.25">
      <c r="A64" s="41" t="s">
        <v>1226</v>
      </c>
      <c r="B64" s="6" t="s">
        <v>66</v>
      </c>
      <c r="C64" s="6" t="s">
        <v>117</v>
      </c>
      <c r="D64" s="6">
        <v>1</v>
      </c>
      <c r="E64" s="2" t="s">
        <v>1212</v>
      </c>
      <c r="F64" s="43">
        <f>MAX(MAX(L64:AE64),-MIN(L64:AE64))</f>
        <v>0</v>
      </c>
      <c r="K64" s="44">
        <f t="shared" ref="K64:AE64" si="14">IF(ISNUMBER(K62),IF(ISNUMBER(K63),K63-K62,999999),0)</f>
        <v>0</v>
      </c>
      <c r="L64" s="44">
        <f t="shared" si="14"/>
        <v>0</v>
      </c>
      <c r="M64" s="44">
        <f t="shared" si="14"/>
        <v>0</v>
      </c>
      <c r="N64" s="44">
        <f t="shared" si="14"/>
        <v>0</v>
      </c>
      <c r="O64" s="44">
        <f t="shared" si="14"/>
        <v>0</v>
      </c>
      <c r="P64" s="44">
        <f t="shared" si="14"/>
        <v>0</v>
      </c>
      <c r="Q64" s="44">
        <f t="shared" si="14"/>
        <v>0</v>
      </c>
      <c r="R64" s="44">
        <f t="shared" si="14"/>
        <v>0</v>
      </c>
      <c r="S64" s="44">
        <f t="shared" si="14"/>
        <v>0</v>
      </c>
      <c r="T64" s="44">
        <f t="shared" si="14"/>
        <v>0</v>
      </c>
      <c r="U64" s="44">
        <f t="shared" si="14"/>
        <v>0</v>
      </c>
      <c r="V64" s="44">
        <f t="shared" si="14"/>
        <v>0</v>
      </c>
      <c r="W64" s="44">
        <f t="shared" si="14"/>
        <v>0</v>
      </c>
      <c r="X64" s="44">
        <f t="shared" si="14"/>
        <v>0</v>
      </c>
      <c r="Y64" s="44">
        <f t="shared" si="14"/>
        <v>0</v>
      </c>
      <c r="Z64" s="44">
        <f t="shared" si="14"/>
        <v>0</v>
      </c>
      <c r="AA64" s="44">
        <f t="shared" si="14"/>
        <v>0</v>
      </c>
      <c r="AB64" s="44">
        <f t="shared" si="14"/>
        <v>0</v>
      </c>
      <c r="AC64" s="44">
        <f t="shared" si="14"/>
        <v>0</v>
      </c>
      <c r="AD64" s="44">
        <f t="shared" si="14"/>
        <v>0</v>
      </c>
      <c r="AE64" s="44">
        <f t="shared" si="14"/>
        <v>0</v>
      </c>
    </row>
    <row r="66" spans="1:31" x14ac:dyDescent="0.25">
      <c r="A66" s="41" t="s">
        <v>1227</v>
      </c>
      <c r="B66" s="6" t="s">
        <v>68</v>
      </c>
      <c r="C66" s="6" t="s">
        <v>117</v>
      </c>
      <c r="D66" s="6">
        <v>1</v>
      </c>
      <c r="E66" s="6" t="s">
        <v>1210</v>
      </c>
      <c r="K66" s="29"/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  <c r="AC66" s="29">
        <v>0</v>
      </c>
      <c r="AD66" s="29">
        <v>0</v>
      </c>
      <c r="AE66" s="29">
        <v>0</v>
      </c>
    </row>
    <row r="67" spans="1:31" x14ac:dyDescent="0.25">
      <c r="A67" s="41" t="s">
        <v>1227</v>
      </c>
      <c r="B67" s="6" t="s">
        <v>68</v>
      </c>
      <c r="C67" s="6" t="s">
        <v>117</v>
      </c>
      <c r="D67" s="6">
        <v>1</v>
      </c>
      <c r="E67" s="6" t="s">
        <v>1211</v>
      </c>
      <c r="K67" s="29">
        <f>INDEX(Mitigation_Industry!K:K,MATCH($A67,Mitigation_Industry!$H:$H,0))</f>
        <v>0</v>
      </c>
      <c r="L67" s="29">
        <f>INDEX(Mitigation_Industry!L:L,MATCH($A67,Mitigation_Industry!$H:$H,0))</f>
        <v>0</v>
      </c>
      <c r="M67" s="29">
        <f>INDEX(Mitigation_Industry!M:M,MATCH($A67,Mitigation_Industry!$H:$H,0))</f>
        <v>0</v>
      </c>
      <c r="N67" s="29">
        <f>INDEX(Mitigation_Industry!N:N,MATCH($A67,Mitigation_Industry!$H:$H,0))</f>
        <v>0</v>
      </c>
      <c r="O67" s="29">
        <f>INDEX(Mitigation_Industry!O:O,MATCH($A67,Mitigation_Industry!$H:$H,0))</f>
        <v>0</v>
      </c>
      <c r="P67" s="29">
        <f>INDEX(Mitigation_Industry!P:P,MATCH($A67,Mitigation_Industry!$H:$H,0))</f>
        <v>0</v>
      </c>
      <c r="Q67" s="29">
        <f>INDEX(Mitigation_Industry!Q:Q,MATCH($A67,Mitigation_Industry!$H:$H,0))</f>
        <v>0</v>
      </c>
      <c r="R67" s="29">
        <f>INDEX(Mitigation_Industry!R:R,MATCH($A67,Mitigation_Industry!$H:$H,0))</f>
        <v>0</v>
      </c>
      <c r="S67" s="29">
        <f>INDEX(Mitigation_Industry!S:S,MATCH($A67,Mitigation_Industry!$H:$H,0))</f>
        <v>0</v>
      </c>
      <c r="T67" s="29">
        <f>INDEX(Mitigation_Industry!T:T,MATCH($A67,Mitigation_Industry!$H:$H,0))</f>
        <v>0</v>
      </c>
      <c r="U67" s="29">
        <f>INDEX(Mitigation_Industry!U:U,MATCH($A67,Mitigation_Industry!$H:$H,0))</f>
        <v>0</v>
      </c>
      <c r="V67" s="29">
        <f>INDEX(Mitigation_Industry!V:V,MATCH($A67,Mitigation_Industry!$H:$H,0))</f>
        <v>0</v>
      </c>
      <c r="W67" s="29">
        <f>INDEX(Mitigation_Industry!W:W,MATCH($A67,Mitigation_Industry!$H:$H,0))</f>
        <v>0</v>
      </c>
      <c r="X67" s="29">
        <f>INDEX(Mitigation_Industry!X:X,MATCH($A67,Mitigation_Industry!$H:$H,0))</f>
        <v>0</v>
      </c>
      <c r="Y67" s="29">
        <f>INDEX(Mitigation_Industry!Y:Y,MATCH($A67,Mitigation_Industry!$H:$H,0))</f>
        <v>0</v>
      </c>
      <c r="Z67" s="29">
        <f>INDEX(Mitigation_Industry!Z:Z,MATCH($A67,Mitigation_Industry!$H:$H,0))</f>
        <v>0</v>
      </c>
      <c r="AA67" s="29">
        <f>INDEX(Mitigation_Industry!AA:AA,MATCH($A67,Mitigation_Industry!$H:$H,0))</f>
        <v>0</v>
      </c>
      <c r="AB67" s="29">
        <f>INDEX(Mitigation_Industry!AB:AB,MATCH($A67,Mitigation_Industry!$H:$H,0))</f>
        <v>0</v>
      </c>
      <c r="AC67" s="29">
        <f>INDEX(Mitigation_Industry!AC:AC,MATCH($A67,Mitigation_Industry!$H:$H,0))</f>
        <v>0</v>
      </c>
      <c r="AD67" s="29">
        <f>INDEX(Mitigation_Industry!AD:AD,MATCH($A67,Mitigation_Industry!$H:$H,0))</f>
        <v>0</v>
      </c>
      <c r="AE67" s="29">
        <f>INDEX(Mitigation_Industry!AE:AE,MATCH($A67,Mitigation_Industry!$H:$H,0))</f>
        <v>0</v>
      </c>
    </row>
    <row r="68" spans="1:31" x14ac:dyDescent="0.25">
      <c r="A68" s="41" t="s">
        <v>1227</v>
      </c>
      <c r="B68" s="6" t="s">
        <v>68</v>
      </c>
      <c r="C68" s="6" t="s">
        <v>117</v>
      </c>
      <c r="D68" s="6">
        <v>1</v>
      </c>
      <c r="E68" s="2" t="s">
        <v>1212</v>
      </c>
      <c r="F68" s="43">
        <f>MAX(MAX(L68:AE68),-MIN(L68:AE68))</f>
        <v>0</v>
      </c>
      <c r="K68" s="44">
        <f t="shared" ref="K68:AE68" si="15">IF(ISNUMBER(K66),IF(ISNUMBER(K67),K67-K66,999999),0)</f>
        <v>0</v>
      </c>
      <c r="L68" s="44">
        <f t="shared" si="15"/>
        <v>0</v>
      </c>
      <c r="M68" s="44">
        <f t="shared" si="15"/>
        <v>0</v>
      </c>
      <c r="N68" s="44">
        <f t="shared" si="15"/>
        <v>0</v>
      </c>
      <c r="O68" s="44">
        <f t="shared" si="15"/>
        <v>0</v>
      </c>
      <c r="P68" s="44">
        <f t="shared" si="15"/>
        <v>0</v>
      </c>
      <c r="Q68" s="44">
        <f t="shared" si="15"/>
        <v>0</v>
      </c>
      <c r="R68" s="44">
        <f t="shared" si="15"/>
        <v>0</v>
      </c>
      <c r="S68" s="44">
        <f t="shared" si="15"/>
        <v>0</v>
      </c>
      <c r="T68" s="44">
        <f t="shared" si="15"/>
        <v>0</v>
      </c>
      <c r="U68" s="44">
        <f t="shared" si="15"/>
        <v>0</v>
      </c>
      <c r="V68" s="44">
        <f t="shared" si="15"/>
        <v>0</v>
      </c>
      <c r="W68" s="44">
        <f t="shared" si="15"/>
        <v>0</v>
      </c>
      <c r="X68" s="44">
        <f t="shared" si="15"/>
        <v>0</v>
      </c>
      <c r="Y68" s="44">
        <f t="shared" si="15"/>
        <v>0</v>
      </c>
      <c r="Z68" s="44">
        <f t="shared" si="15"/>
        <v>0</v>
      </c>
      <c r="AA68" s="44">
        <f t="shared" si="15"/>
        <v>0</v>
      </c>
      <c r="AB68" s="44">
        <f t="shared" si="15"/>
        <v>0</v>
      </c>
      <c r="AC68" s="44">
        <f t="shared" si="15"/>
        <v>0</v>
      </c>
      <c r="AD68" s="44">
        <f t="shared" si="15"/>
        <v>0</v>
      </c>
      <c r="AE68" s="44">
        <f t="shared" si="15"/>
        <v>0</v>
      </c>
    </row>
    <row r="70" spans="1:31" x14ac:dyDescent="0.25">
      <c r="A70" s="41" t="s">
        <v>1228</v>
      </c>
      <c r="B70" s="6" t="s">
        <v>71</v>
      </c>
      <c r="C70" s="6" t="s">
        <v>117</v>
      </c>
      <c r="D70" s="6">
        <v>1</v>
      </c>
      <c r="E70" s="6" t="s">
        <v>1210</v>
      </c>
      <c r="K70" s="29"/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  <c r="AC70" s="29">
        <v>0</v>
      </c>
      <c r="AD70" s="29">
        <v>0</v>
      </c>
      <c r="AE70" s="29">
        <v>0</v>
      </c>
    </row>
    <row r="71" spans="1:31" x14ac:dyDescent="0.25">
      <c r="A71" s="41" t="s">
        <v>1228</v>
      </c>
      <c r="B71" s="6" t="s">
        <v>71</v>
      </c>
      <c r="C71" s="6" t="s">
        <v>117</v>
      </c>
      <c r="D71" s="6">
        <v>1</v>
      </c>
      <c r="E71" s="6" t="s">
        <v>1211</v>
      </c>
      <c r="K71" s="29">
        <f>INDEX(Mitigation_Industry!K:K,MATCH($A71,Mitigation_Industry!$H:$H,0))</f>
        <v>0</v>
      </c>
      <c r="L71" s="29">
        <f>INDEX(Mitigation_Industry!L:L,MATCH($A71,Mitigation_Industry!$H:$H,0))</f>
        <v>0</v>
      </c>
      <c r="M71" s="29">
        <f>INDEX(Mitigation_Industry!M:M,MATCH($A71,Mitigation_Industry!$H:$H,0))</f>
        <v>0</v>
      </c>
      <c r="N71" s="29">
        <f>INDEX(Mitigation_Industry!N:N,MATCH($A71,Mitigation_Industry!$H:$H,0))</f>
        <v>0</v>
      </c>
      <c r="O71" s="29">
        <f>INDEX(Mitigation_Industry!O:O,MATCH($A71,Mitigation_Industry!$H:$H,0))</f>
        <v>0</v>
      </c>
      <c r="P71" s="29">
        <f>INDEX(Mitigation_Industry!P:P,MATCH($A71,Mitigation_Industry!$H:$H,0))</f>
        <v>0</v>
      </c>
      <c r="Q71" s="29">
        <f>INDEX(Mitigation_Industry!Q:Q,MATCH($A71,Mitigation_Industry!$H:$H,0))</f>
        <v>0</v>
      </c>
      <c r="R71" s="29">
        <f>INDEX(Mitigation_Industry!R:R,MATCH($A71,Mitigation_Industry!$H:$H,0))</f>
        <v>0</v>
      </c>
      <c r="S71" s="29">
        <f>INDEX(Mitigation_Industry!S:S,MATCH($A71,Mitigation_Industry!$H:$H,0))</f>
        <v>0</v>
      </c>
      <c r="T71" s="29">
        <f>INDEX(Mitigation_Industry!T:T,MATCH($A71,Mitigation_Industry!$H:$H,0))</f>
        <v>0</v>
      </c>
      <c r="U71" s="29">
        <f>INDEX(Mitigation_Industry!U:U,MATCH($A71,Mitigation_Industry!$H:$H,0))</f>
        <v>0</v>
      </c>
      <c r="V71" s="29">
        <f>INDEX(Mitigation_Industry!V:V,MATCH($A71,Mitigation_Industry!$H:$H,0))</f>
        <v>0</v>
      </c>
      <c r="W71" s="29">
        <f>INDEX(Mitigation_Industry!W:W,MATCH($A71,Mitigation_Industry!$H:$H,0))</f>
        <v>0</v>
      </c>
      <c r="X71" s="29">
        <f>INDEX(Mitigation_Industry!X:X,MATCH($A71,Mitigation_Industry!$H:$H,0))</f>
        <v>0</v>
      </c>
      <c r="Y71" s="29">
        <f>INDEX(Mitigation_Industry!Y:Y,MATCH($A71,Mitigation_Industry!$H:$H,0))</f>
        <v>0</v>
      </c>
      <c r="Z71" s="29">
        <f>INDEX(Mitigation_Industry!Z:Z,MATCH($A71,Mitigation_Industry!$H:$H,0))</f>
        <v>0</v>
      </c>
      <c r="AA71" s="29">
        <f>INDEX(Mitigation_Industry!AA:AA,MATCH($A71,Mitigation_Industry!$H:$H,0))</f>
        <v>0</v>
      </c>
      <c r="AB71" s="29">
        <f>INDEX(Mitigation_Industry!AB:AB,MATCH($A71,Mitigation_Industry!$H:$H,0))</f>
        <v>0</v>
      </c>
      <c r="AC71" s="29">
        <f>INDEX(Mitigation_Industry!AC:AC,MATCH($A71,Mitigation_Industry!$H:$H,0))</f>
        <v>0</v>
      </c>
      <c r="AD71" s="29">
        <f>INDEX(Mitigation_Industry!AD:AD,MATCH($A71,Mitigation_Industry!$H:$H,0))</f>
        <v>0</v>
      </c>
      <c r="AE71" s="29">
        <f>INDEX(Mitigation_Industry!AE:AE,MATCH($A71,Mitigation_Industry!$H:$H,0))</f>
        <v>0</v>
      </c>
    </row>
    <row r="72" spans="1:31" x14ac:dyDescent="0.25">
      <c r="A72" s="41" t="s">
        <v>1228</v>
      </c>
      <c r="B72" s="6" t="s">
        <v>71</v>
      </c>
      <c r="C72" s="6" t="s">
        <v>117</v>
      </c>
      <c r="D72" s="6">
        <v>1</v>
      </c>
      <c r="E72" s="2" t="s">
        <v>1212</v>
      </c>
      <c r="F72" s="43">
        <f>MAX(MAX(L72:AE72),-MIN(L72:AE72))</f>
        <v>0</v>
      </c>
      <c r="K72" s="44">
        <f t="shared" ref="K72:AE72" si="16">IF(ISNUMBER(K70),IF(ISNUMBER(K71),K71-K70,999999),0)</f>
        <v>0</v>
      </c>
      <c r="L72" s="44">
        <f t="shared" si="16"/>
        <v>0</v>
      </c>
      <c r="M72" s="44">
        <f t="shared" si="16"/>
        <v>0</v>
      </c>
      <c r="N72" s="44">
        <f t="shared" si="16"/>
        <v>0</v>
      </c>
      <c r="O72" s="44">
        <f t="shared" si="16"/>
        <v>0</v>
      </c>
      <c r="P72" s="44">
        <f t="shared" si="16"/>
        <v>0</v>
      </c>
      <c r="Q72" s="44">
        <f t="shared" si="16"/>
        <v>0</v>
      </c>
      <c r="R72" s="44">
        <f t="shared" si="16"/>
        <v>0</v>
      </c>
      <c r="S72" s="44">
        <f t="shared" si="16"/>
        <v>0</v>
      </c>
      <c r="T72" s="44">
        <f t="shared" si="16"/>
        <v>0</v>
      </c>
      <c r="U72" s="44">
        <f t="shared" si="16"/>
        <v>0</v>
      </c>
      <c r="V72" s="44">
        <f t="shared" si="16"/>
        <v>0</v>
      </c>
      <c r="W72" s="44">
        <f t="shared" si="16"/>
        <v>0</v>
      </c>
      <c r="X72" s="44">
        <f t="shared" si="16"/>
        <v>0</v>
      </c>
      <c r="Y72" s="44">
        <f t="shared" si="16"/>
        <v>0</v>
      </c>
      <c r="Z72" s="44">
        <f t="shared" si="16"/>
        <v>0</v>
      </c>
      <c r="AA72" s="44">
        <f t="shared" si="16"/>
        <v>0</v>
      </c>
      <c r="AB72" s="44">
        <f t="shared" si="16"/>
        <v>0</v>
      </c>
      <c r="AC72" s="44">
        <f t="shared" si="16"/>
        <v>0</v>
      </c>
      <c r="AD72" s="44">
        <f t="shared" si="16"/>
        <v>0</v>
      </c>
      <c r="AE72" s="44">
        <f t="shared" si="16"/>
        <v>0</v>
      </c>
    </row>
    <row r="74" spans="1:31" x14ac:dyDescent="0.25">
      <c r="A74" s="41" t="s">
        <v>1229</v>
      </c>
      <c r="B74" s="6" t="s">
        <v>73</v>
      </c>
      <c r="C74" s="6" t="s">
        <v>117</v>
      </c>
      <c r="D74" s="6">
        <v>1</v>
      </c>
      <c r="E74" s="6" t="s">
        <v>1210</v>
      </c>
      <c r="K74" s="29"/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  <c r="AC74" s="29">
        <v>0</v>
      </c>
      <c r="AD74" s="29">
        <v>0</v>
      </c>
      <c r="AE74" s="29">
        <v>0</v>
      </c>
    </row>
    <row r="75" spans="1:31" x14ac:dyDescent="0.25">
      <c r="A75" s="41" t="s">
        <v>1229</v>
      </c>
      <c r="B75" s="6" t="s">
        <v>73</v>
      </c>
      <c r="C75" s="6" t="s">
        <v>117</v>
      </c>
      <c r="D75" s="6">
        <v>1</v>
      </c>
      <c r="E75" s="6" t="s">
        <v>1211</v>
      </c>
      <c r="K75" s="29">
        <f>INDEX(Mitigation_Industry!K:K,MATCH($A75,Mitigation_Industry!$H:$H,0))</f>
        <v>0</v>
      </c>
      <c r="L75" s="29">
        <f>INDEX(Mitigation_Industry!L:L,MATCH($A75,Mitigation_Industry!$H:$H,0))</f>
        <v>0</v>
      </c>
      <c r="M75" s="29">
        <f>INDEX(Mitigation_Industry!M:M,MATCH($A75,Mitigation_Industry!$H:$H,0))</f>
        <v>0</v>
      </c>
      <c r="N75" s="29">
        <f>INDEX(Mitigation_Industry!N:N,MATCH($A75,Mitigation_Industry!$H:$H,0))</f>
        <v>0</v>
      </c>
      <c r="O75" s="29">
        <f>INDEX(Mitigation_Industry!O:O,MATCH($A75,Mitigation_Industry!$H:$H,0))</f>
        <v>0</v>
      </c>
      <c r="P75" s="29">
        <f>INDEX(Mitigation_Industry!P:P,MATCH($A75,Mitigation_Industry!$H:$H,0))</f>
        <v>0</v>
      </c>
      <c r="Q75" s="29">
        <f>INDEX(Mitigation_Industry!Q:Q,MATCH($A75,Mitigation_Industry!$H:$H,0))</f>
        <v>0</v>
      </c>
      <c r="R75" s="29">
        <f>INDEX(Mitigation_Industry!R:R,MATCH($A75,Mitigation_Industry!$H:$H,0))</f>
        <v>0</v>
      </c>
      <c r="S75" s="29">
        <f>INDEX(Mitigation_Industry!S:S,MATCH($A75,Mitigation_Industry!$H:$H,0))</f>
        <v>0</v>
      </c>
      <c r="T75" s="29">
        <f>INDEX(Mitigation_Industry!T:T,MATCH($A75,Mitigation_Industry!$H:$H,0))</f>
        <v>0</v>
      </c>
      <c r="U75" s="29">
        <f>INDEX(Mitigation_Industry!U:U,MATCH($A75,Mitigation_Industry!$H:$H,0))</f>
        <v>0</v>
      </c>
      <c r="V75" s="29">
        <f>INDEX(Mitigation_Industry!V:V,MATCH($A75,Mitigation_Industry!$H:$H,0))</f>
        <v>0</v>
      </c>
      <c r="W75" s="29">
        <f>INDEX(Mitigation_Industry!W:W,MATCH($A75,Mitigation_Industry!$H:$H,0))</f>
        <v>0</v>
      </c>
      <c r="X75" s="29">
        <f>INDEX(Mitigation_Industry!X:X,MATCH($A75,Mitigation_Industry!$H:$H,0))</f>
        <v>0</v>
      </c>
      <c r="Y75" s="29">
        <f>INDEX(Mitigation_Industry!Y:Y,MATCH($A75,Mitigation_Industry!$H:$H,0))</f>
        <v>0</v>
      </c>
      <c r="Z75" s="29">
        <f>INDEX(Mitigation_Industry!Z:Z,MATCH($A75,Mitigation_Industry!$H:$H,0))</f>
        <v>0</v>
      </c>
      <c r="AA75" s="29">
        <f>INDEX(Mitigation_Industry!AA:AA,MATCH($A75,Mitigation_Industry!$H:$H,0))</f>
        <v>0</v>
      </c>
      <c r="AB75" s="29">
        <f>INDEX(Mitigation_Industry!AB:AB,MATCH($A75,Mitigation_Industry!$H:$H,0))</f>
        <v>0</v>
      </c>
      <c r="AC75" s="29">
        <f>INDEX(Mitigation_Industry!AC:AC,MATCH($A75,Mitigation_Industry!$H:$H,0))</f>
        <v>0</v>
      </c>
      <c r="AD75" s="29">
        <f>INDEX(Mitigation_Industry!AD:AD,MATCH($A75,Mitigation_Industry!$H:$H,0))</f>
        <v>0</v>
      </c>
      <c r="AE75" s="29">
        <f>INDEX(Mitigation_Industry!AE:AE,MATCH($A75,Mitigation_Industry!$H:$H,0))</f>
        <v>0</v>
      </c>
    </row>
    <row r="76" spans="1:31" x14ac:dyDescent="0.25">
      <c r="A76" s="41" t="s">
        <v>1229</v>
      </c>
      <c r="B76" s="6" t="s">
        <v>73</v>
      </c>
      <c r="C76" s="6" t="s">
        <v>117</v>
      </c>
      <c r="D76" s="6">
        <v>1</v>
      </c>
      <c r="E76" s="2" t="s">
        <v>1212</v>
      </c>
      <c r="F76" s="43">
        <f>MAX(MAX(L76:AE76),-MIN(L76:AE76))</f>
        <v>0</v>
      </c>
      <c r="K76" s="44">
        <f t="shared" ref="K76:AE76" si="17">IF(ISNUMBER(K74),IF(ISNUMBER(K75),K75-K74,999999),0)</f>
        <v>0</v>
      </c>
      <c r="L76" s="44">
        <f t="shared" si="17"/>
        <v>0</v>
      </c>
      <c r="M76" s="44">
        <f t="shared" si="17"/>
        <v>0</v>
      </c>
      <c r="N76" s="44">
        <f t="shared" si="17"/>
        <v>0</v>
      </c>
      <c r="O76" s="44">
        <f t="shared" si="17"/>
        <v>0</v>
      </c>
      <c r="P76" s="44">
        <f t="shared" si="17"/>
        <v>0</v>
      </c>
      <c r="Q76" s="44">
        <f t="shared" si="17"/>
        <v>0</v>
      </c>
      <c r="R76" s="44">
        <f t="shared" si="17"/>
        <v>0</v>
      </c>
      <c r="S76" s="44">
        <f t="shared" si="17"/>
        <v>0</v>
      </c>
      <c r="T76" s="44">
        <f t="shared" si="17"/>
        <v>0</v>
      </c>
      <c r="U76" s="44">
        <f t="shared" si="17"/>
        <v>0</v>
      </c>
      <c r="V76" s="44">
        <f t="shared" si="17"/>
        <v>0</v>
      </c>
      <c r="W76" s="44">
        <f t="shared" si="17"/>
        <v>0</v>
      </c>
      <c r="X76" s="44">
        <f t="shared" si="17"/>
        <v>0</v>
      </c>
      <c r="Y76" s="44">
        <f t="shared" si="17"/>
        <v>0</v>
      </c>
      <c r="Z76" s="44">
        <f t="shared" si="17"/>
        <v>0</v>
      </c>
      <c r="AA76" s="44">
        <f t="shared" si="17"/>
        <v>0</v>
      </c>
      <c r="AB76" s="44">
        <f t="shared" si="17"/>
        <v>0</v>
      </c>
      <c r="AC76" s="44">
        <f t="shared" si="17"/>
        <v>0</v>
      </c>
      <c r="AD76" s="44">
        <f t="shared" si="17"/>
        <v>0</v>
      </c>
      <c r="AE76" s="44">
        <f t="shared" si="17"/>
        <v>0</v>
      </c>
    </row>
    <row r="78" spans="1:31" x14ac:dyDescent="0.25">
      <c r="A78" s="41" t="s">
        <v>1230</v>
      </c>
      <c r="B78" s="6" t="s">
        <v>53</v>
      </c>
      <c r="C78" s="6" t="s">
        <v>119</v>
      </c>
      <c r="D78" s="6">
        <v>1</v>
      </c>
      <c r="E78" s="6" t="s">
        <v>1210</v>
      </c>
      <c r="K78" s="29"/>
      <c r="L78" s="29">
        <v>0</v>
      </c>
      <c r="M78" s="29">
        <v>0</v>
      </c>
      <c r="N78" s="29">
        <v>0</v>
      </c>
      <c r="O78" s="29">
        <v>0</v>
      </c>
      <c r="P78" s="29">
        <v>0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>
        <v>0</v>
      </c>
      <c r="AC78" s="29">
        <v>0</v>
      </c>
      <c r="AD78" s="29">
        <v>0</v>
      </c>
      <c r="AE78" s="29">
        <v>0</v>
      </c>
    </row>
    <row r="79" spans="1:31" x14ac:dyDescent="0.25">
      <c r="A79" s="41" t="s">
        <v>1230</v>
      </c>
      <c r="B79" s="6" t="s">
        <v>53</v>
      </c>
      <c r="C79" s="6" t="s">
        <v>119</v>
      </c>
      <c r="D79" s="6">
        <v>1</v>
      </c>
      <c r="E79" s="6" t="s">
        <v>1211</v>
      </c>
      <c r="K79" s="29">
        <f>INDEX(Mitigation_Industry!K:K,MATCH($A79,Mitigation_Industry!$H:$H,0))</f>
        <v>0</v>
      </c>
      <c r="L79" s="29">
        <f>INDEX(Mitigation_Industry!L:L,MATCH($A79,Mitigation_Industry!$H:$H,0))</f>
        <v>0</v>
      </c>
      <c r="M79" s="29">
        <f>INDEX(Mitigation_Industry!M:M,MATCH($A79,Mitigation_Industry!$H:$H,0))</f>
        <v>0</v>
      </c>
      <c r="N79" s="29">
        <f>INDEX(Mitigation_Industry!N:N,MATCH($A79,Mitigation_Industry!$H:$H,0))</f>
        <v>0</v>
      </c>
      <c r="O79" s="29">
        <f>INDEX(Mitigation_Industry!O:O,MATCH($A79,Mitigation_Industry!$H:$H,0))</f>
        <v>0</v>
      </c>
      <c r="P79" s="29">
        <f>INDEX(Mitigation_Industry!P:P,MATCH($A79,Mitigation_Industry!$H:$H,0))</f>
        <v>0</v>
      </c>
      <c r="Q79" s="29">
        <f>INDEX(Mitigation_Industry!Q:Q,MATCH($A79,Mitigation_Industry!$H:$H,0))</f>
        <v>0</v>
      </c>
      <c r="R79" s="29">
        <f>INDEX(Mitigation_Industry!R:R,MATCH($A79,Mitigation_Industry!$H:$H,0))</f>
        <v>0</v>
      </c>
      <c r="S79" s="29">
        <f>INDEX(Mitigation_Industry!S:S,MATCH($A79,Mitigation_Industry!$H:$H,0))</f>
        <v>0</v>
      </c>
      <c r="T79" s="29">
        <f>INDEX(Mitigation_Industry!T:T,MATCH($A79,Mitigation_Industry!$H:$H,0))</f>
        <v>0</v>
      </c>
      <c r="U79" s="29">
        <f>INDEX(Mitigation_Industry!U:U,MATCH($A79,Mitigation_Industry!$H:$H,0))</f>
        <v>0</v>
      </c>
      <c r="V79" s="29">
        <f>INDEX(Mitigation_Industry!V:V,MATCH($A79,Mitigation_Industry!$H:$H,0))</f>
        <v>0</v>
      </c>
      <c r="W79" s="29">
        <f>INDEX(Mitigation_Industry!W:W,MATCH($A79,Mitigation_Industry!$H:$H,0))</f>
        <v>0</v>
      </c>
      <c r="X79" s="29">
        <f>INDEX(Mitigation_Industry!X:X,MATCH($A79,Mitigation_Industry!$H:$H,0))</f>
        <v>0</v>
      </c>
      <c r="Y79" s="29">
        <f>INDEX(Mitigation_Industry!Y:Y,MATCH($A79,Mitigation_Industry!$H:$H,0))</f>
        <v>0</v>
      </c>
      <c r="Z79" s="29">
        <f>INDEX(Mitigation_Industry!Z:Z,MATCH($A79,Mitigation_Industry!$H:$H,0))</f>
        <v>0</v>
      </c>
      <c r="AA79" s="29">
        <f>INDEX(Mitigation_Industry!AA:AA,MATCH($A79,Mitigation_Industry!$H:$H,0))</f>
        <v>0</v>
      </c>
      <c r="AB79" s="29">
        <f>INDEX(Mitigation_Industry!AB:AB,MATCH($A79,Mitigation_Industry!$H:$H,0))</f>
        <v>0</v>
      </c>
      <c r="AC79" s="29">
        <f>INDEX(Mitigation_Industry!AC:AC,MATCH($A79,Mitigation_Industry!$H:$H,0))</f>
        <v>0</v>
      </c>
      <c r="AD79" s="29">
        <f>INDEX(Mitigation_Industry!AD:AD,MATCH($A79,Mitigation_Industry!$H:$H,0))</f>
        <v>0</v>
      </c>
      <c r="AE79" s="29">
        <f>INDEX(Mitigation_Industry!AE:AE,MATCH($A79,Mitigation_Industry!$H:$H,0))</f>
        <v>0</v>
      </c>
    </row>
    <row r="80" spans="1:31" x14ac:dyDescent="0.25">
      <c r="A80" s="41" t="s">
        <v>1230</v>
      </c>
      <c r="B80" s="6" t="s">
        <v>53</v>
      </c>
      <c r="C80" s="6" t="s">
        <v>119</v>
      </c>
      <c r="D80" s="6">
        <v>1</v>
      </c>
      <c r="E80" s="2" t="s">
        <v>1212</v>
      </c>
      <c r="F80" s="43">
        <f>MAX(MAX(L80:AE80),-MIN(L80:AE80))</f>
        <v>0</v>
      </c>
      <c r="K80" s="44">
        <f t="shared" ref="K80:AE80" si="18">IF(ISNUMBER(K78),IF(ISNUMBER(K79),K79-K78,999999),0)</f>
        <v>0</v>
      </c>
      <c r="L80" s="44">
        <f t="shared" si="18"/>
        <v>0</v>
      </c>
      <c r="M80" s="44">
        <f t="shared" si="18"/>
        <v>0</v>
      </c>
      <c r="N80" s="44">
        <f t="shared" si="18"/>
        <v>0</v>
      </c>
      <c r="O80" s="44">
        <f t="shared" si="18"/>
        <v>0</v>
      </c>
      <c r="P80" s="44">
        <f t="shared" si="18"/>
        <v>0</v>
      </c>
      <c r="Q80" s="44">
        <f t="shared" si="18"/>
        <v>0</v>
      </c>
      <c r="R80" s="44">
        <f t="shared" si="18"/>
        <v>0</v>
      </c>
      <c r="S80" s="44">
        <f t="shared" si="18"/>
        <v>0</v>
      </c>
      <c r="T80" s="44">
        <f t="shared" si="18"/>
        <v>0</v>
      </c>
      <c r="U80" s="44">
        <f t="shared" si="18"/>
        <v>0</v>
      </c>
      <c r="V80" s="44">
        <f t="shared" si="18"/>
        <v>0</v>
      </c>
      <c r="W80" s="44">
        <f t="shared" si="18"/>
        <v>0</v>
      </c>
      <c r="X80" s="44">
        <f t="shared" si="18"/>
        <v>0</v>
      </c>
      <c r="Y80" s="44">
        <f t="shared" si="18"/>
        <v>0</v>
      </c>
      <c r="Z80" s="44">
        <f t="shared" si="18"/>
        <v>0</v>
      </c>
      <c r="AA80" s="44">
        <f t="shared" si="18"/>
        <v>0</v>
      </c>
      <c r="AB80" s="44">
        <f t="shared" si="18"/>
        <v>0</v>
      </c>
      <c r="AC80" s="44">
        <f t="shared" si="18"/>
        <v>0</v>
      </c>
      <c r="AD80" s="44">
        <f t="shared" si="18"/>
        <v>0</v>
      </c>
      <c r="AE80" s="44">
        <f t="shared" si="18"/>
        <v>0</v>
      </c>
    </row>
    <row r="82" spans="1:31" x14ac:dyDescent="0.25">
      <c r="A82" s="41" t="s">
        <v>1231</v>
      </c>
      <c r="B82" s="6" t="s">
        <v>57</v>
      </c>
      <c r="C82" s="6" t="s">
        <v>119</v>
      </c>
      <c r="D82" s="6">
        <v>1</v>
      </c>
      <c r="E82" s="6" t="s">
        <v>1210</v>
      </c>
      <c r="K82" s="29"/>
      <c r="L82" s="29">
        <v>0</v>
      </c>
      <c r="M82" s="29">
        <v>0</v>
      </c>
      <c r="N82" s="29">
        <v>0</v>
      </c>
      <c r="O82" s="29">
        <v>0</v>
      </c>
      <c r="P82" s="29">
        <v>0</v>
      </c>
      <c r="Q82" s="29">
        <v>0</v>
      </c>
      <c r="R82" s="29">
        <v>0</v>
      </c>
      <c r="S82" s="29">
        <v>0</v>
      </c>
      <c r="T82" s="29">
        <v>0</v>
      </c>
      <c r="U82" s="29">
        <v>0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>
        <v>0</v>
      </c>
      <c r="AC82" s="29">
        <v>0</v>
      </c>
      <c r="AD82" s="29">
        <v>0</v>
      </c>
      <c r="AE82" s="29">
        <v>0</v>
      </c>
    </row>
    <row r="83" spans="1:31" x14ac:dyDescent="0.25">
      <c r="A83" s="41" t="s">
        <v>1231</v>
      </c>
      <c r="B83" s="6" t="s">
        <v>57</v>
      </c>
      <c r="C83" s="6" t="s">
        <v>119</v>
      </c>
      <c r="D83" s="6">
        <v>1</v>
      </c>
      <c r="E83" s="6" t="s">
        <v>1211</v>
      </c>
      <c r="K83" s="29">
        <f>INDEX(Mitigation_Industry!K:K,MATCH($A83,Mitigation_Industry!$H:$H,0))</f>
        <v>0</v>
      </c>
      <c r="L83" s="29">
        <f>INDEX(Mitigation_Industry!L:L,MATCH($A83,Mitigation_Industry!$H:$H,0))</f>
        <v>0</v>
      </c>
      <c r="M83" s="29">
        <f>INDEX(Mitigation_Industry!M:M,MATCH($A83,Mitigation_Industry!$H:$H,0))</f>
        <v>0</v>
      </c>
      <c r="N83" s="29">
        <f>INDEX(Mitigation_Industry!N:N,MATCH($A83,Mitigation_Industry!$H:$H,0))</f>
        <v>0</v>
      </c>
      <c r="O83" s="29">
        <f>INDEX(Mitigation_Industry!O:O,MATCH($A83,Mitigation_Industry!$H:$H,0))</f>
        <v>0</v>
      </c>
      <c r="P83" s="29">
        <f>INDEX(Mitigation_Industry!P:P,MATCH($A83,Mitigation_Industry!$H:$H,0))</f>
        <v>0</v>
      </c>
      <c r="Q83" s="29">
        <f>INDEX(Mitigation_Industry!Q:Q,MATCH($A83,Mitigation_Industry!$H:$H,0))</f>
        <v>0</v>
      </c>
      <c r="R83" s="29">
        <f>INDEX(Mitigation_Industry!R:R,MATCH($A83,Mitigation_Industry!$H:$H,0))</f>
        <v>0</v>
      </c>
      <c r="S83" s="29">
        <f>INDEX(Mitigation_Industry!S:S,MATCH($A83,Mitigation_Industry!$H:$H,0))</f>
        <v>0</v>
      </c>
      <c r="T83" s="29">
        <f>INDEX(Mitigation_Industry!T:T,MATCH($A83,Mitigation_Industry!$H:$H,0))</f>
        <v>0</v>
      </c>
      <c r="U83" s="29">
        <f>INDEX(Mitigation_Industry!U:U,MATCH($A83,Mitigation_Industry!$H:$H,0))</f>
        <v>0</v>
      </c>
      <c r="V83" s="29">
        <f>INDEX(Mitigation_Industry!V:V,MATCH($A83,Mitigation_Industry!$H:$H,0))</f>
        <v>0</v>
      </c>
      <c r="W83" s="29">
        <f>INDEX(Mitigation_Industry!W:W,MATCH($A83,Mitigation_Industry!$H:$H,0))</f>
        <v>0</v>
      </c>
      <c r="X83" s="29">
        <f>INDEX(Mitigation_Industry!X:X,MATCH($A83,Mitigation_Industry!$H:$H,0))</f>
        <v>0</v>
      </c>
      <c r="Y83" s="29">
        <f>INDEX(Mitigation_Industry!Y:Y,MATCH($A83,Mitigation_Industry!$H:$H,0))</f>
        <v>0</v>
      </c>
      <c r="Z83" s="29">
        <f>INDEX(Mitigation_Industry!Z:Z,MATCH($A83,Mitigation_Industry!$H:$H,0))</f>
        <v>0</v>
      </c>
      <c r="AA83" s="29">
        <f>INDEX(Mitigation_Industry!AA:AA,MATCH($A83,Mitigation_Industry!$H:$H,0))</f>
        <v>0</v>
      </c>
      <c r="AB83" s="29">
        <f>INDEX(Mitigation_Industry!AB:AB,MATCH($A83,Mitigation_Industry!$H:$H,0))</f>
        <v>0</v>
      </c>
      <c r="AC83" s="29">
        <f>INDEX(Mitigation_Industry!AC:AC,MATCH($A83,Mitigation_Industry!$H:$H,0))</f>
        <v>0</v>
      </c>
      <c r="AD83" s="29">
        <f>INDEX(Mitigation_Industry!AD:AD,MATCH($A83,Mitigation_Industry!$H:$H,0))</f>
        <v>0</v>
      </c>
      <c r="AE83" s="29">
        <f>INDEX(Mitigation_Industry!AE:AE,MATCH($A83,Mitigation_Industry!$H:$H,0))</f>
        <v>0</v>
      </c>
    </row>
    <row r="84" spans="1:31" x14ac:dyDescent="0.25">
      <c r="A84" s="41" t="s">
        <v>1231</v>
      </c>
      <c r="B84" s="6" t="s">
        <v>57</v>
      </c>
      <c r="C84" s="6" t="s">
        <v>119</v>
      </c>
      <c r="D84" s="6">
        <v>1</v>
      </c>
      <c r="E84" s="2" t="s">
        <v>1212</v>
      </c>
      <c r="F84" s="43">
        <f>MAX(MAX(L84:AE84),-MIN(L84:AE84))</f>
        <v>0</v>
      </c>
      <c r="K84" s="44">
        <f t="shared" ref="K84:AE84" si="19">IF(ISNUMBER(K82),IF(ISNUMBER(K83),K83-K82,999999),0)</f>
        <v>0</v>
      </c>
      <c r="L84" s="44">
        <f t="shared" si="19"/>
        <v>0</v>
      </c>
      <c r="M84" s="44">
        <f t="shared" si="19"/>
        <v>0</v>
      </c>
      <c r="N84" s="44">
        <f t="shared" si="19"/>
        <v>0</v>
      </c>
      <c r="O84" s="44">
        <f t="shared" si="19"/>
        <v>0</v>
      </c>
      <c r="P84" s="44">
        <f t="shared" si="19"/>
        <v>0</v>
      </c>
      <c r="Q84" s="44">
        <f t="shared" si="19"/>
        <v>0</v>
      </c>
      <c r="R84" s="44">
        <f t="shared" si="19"/>
        <v>0</v>
      </c>
      <c r="S84" s="44">
        <f t="shared" si="19"/>
        <v>0</v>
      </c>
      <c r="T84" s="44">
        <f t="shared" si="19"/>
        <v>0</v>
      </c>
      <c r="U84" s="44">
        <f t="shared" si="19"/>
        <v>0</v>
      </c>
      <c r="V84" s="44">
        <f t="shared" si="19"/>
        <v>0</v>
      </c>
      <c r="W84" s="44">
        <f t="shared" si="19"/>
        <v>0</v>
      </c>
      <c r="X84" s="44">
        <f t="shared" si="19"/>
        <v>0</v>
      </c>
      <c r="Y84" s="44">
        <f t="shared" si="19"/>
        <v>0</v>
      </c>
      <c r="Z84" s="44">
        <f t="shared" si="19"/>
        <v>0</v>
      </c>
      <c r="AA84" s="44">
        <f t="shared" si="19"/>
        <v>0</v>
      </c>
      <c r="AB84" s="44">
        <f t="shared" si="19"/>
        <v>0</v>
      </c>
      <c r="AC84" s="44">
        <f t="shared" si="19"/>
        <v>0</v>
      </c>
      <c r="AD84" s="44">
        <f t="shared" si="19"/>
        <v>0</v>
      </c>
      <c r="AE84" s="44">
        <f t="shared" si="19"/>
        <v>0</v>
      </c>
    </row>
    <row r="86" spans="1:31" x14ac:dyDescent="0.25">
      <c r="A86" s="41" t="s">
        <v>1232</v>
      </c>
      <c r="B86" s="6" t="s">
        <v>59</v>
      </c>
      <c r="C86" s="6" t="s">
        <v>119</v>
      </c>
      <c r="D86" s="6">
        <v>1</v>
      </c>
      <c r="E86" s="6" t="s">
        <v>1210</v>
      </c>
      <c r="K86" s="29"/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>
        <v>0</v>
      </c>
      <c r="AC86" s="29">
        <v>0</v>
      </c>
      <c r="AD86" s="29">
        <v>0</v>
      </c>
      <c r="AE86" s="29">
        <v>0</v>
      </c>
    </row>
    <row r="87" spans="1:31" x14ac:dyDescent="0.25">
      <c r="A87" s="41" t="s">
        <v>1232</v>
      </c>
      <c r="B87" s="6" t="s">
        <v>59</v>
      </c>
      <c r="C87" s="6" t="s">
        <v>119</v>
      </c>
      <c r="D87" s="6">
        <v>1</v>
      </c>
      <c r="E87" s="6" t="s">
        <v>1211</v>
      </c>
      <c r="K87" s="29">
        <f>INDEX(Mitigation_Industry!K:K,MATCH($A87,Mitigation_Industry!$H:$H,0))</f>
        <v>0</v>
      </c>
      <c r="L87" s="29">
        <f>INDEX(Mitigation_Industry!L:L,MATCH($A87,Mitigation_Industry!$H:$H,0))</f>
        <v>0</v>
      </c>
      <c r="M87" s="29">
        <f>INDEX(Mitigation_Industry!M:M,MATCH($A87,Mitigation_Industry!$H:$H,0))</f>
        <v>0</v>
      </c>
      <c r="N87" s="29">
        <f>INDEX(Mitigation_Industry!N:N,MATCH($A87,Mitigation_Industry!$H:$H,0))</f>
        <v>0</v>
      </c>
      <c r="O87" s="29">
        <f>INDEX(Mitigation_Industry!O:O,MATCH($A87,Mitigation_Industry!$H:$H,0))</f>
        <v>0</v>
      </c>
      <c r="P87" s="29">
        <f>INDEX(Mitigation_Industry!P:P,MATCH($A87,Mitigation_Industry!$H:$H,0))</f>
        <v>0</v>
      </c>
      <c r="Q87" s="29">
        <f>INDEX(Mitigation_Industry!Q:Q,MATCH($A87,Mitigation_Industry!$H:$H,0))</f>
        <v>0</v>
      </c>
      <c r="R87" s="29">
        <f>INDEX(Mitigation_Industry!R:R,MATCH($A87,Mitigation_Industry!$H:$H,0))</f>
        <v>0</v>
      </c>
      <c r="S87" s="29">
        <f>INDEX(Mitigation_Industry!S:S,MATCH($A87,Mitigation_Industry!$H:$H,0))</f>
        <v>0</v>
      </c>
      <c r="T87" s="29">
        <f>INDEX(Mitigation_Industry!T:T,MATCH($A87,Mitigation_Industry!$H:$H,0))</f>
        <v>0</v>
      </c>
      <c r="U87" s="29">
        <f>INDEX(Mitigation_Industry!U:U,MATCH($A87,Mitigation_Industry!$H:$H,0))</f>
        <v>0</v>
      </c>
      <c r="V87" s="29">
        <f>INDEX(Mitigation_Industry!V:V,MATCH($A87,Mitigation_Industry!$H:$H,0))</f>
        <v>0</v>
      </c>
      <c r="W87" s="29">
        <f>INDEX(Mitigation_Industry!W:W,MATCH($A87,Mitigation_Industry!$H:$H,0))</f>
        <v>0</v>
      </c>
      <c r="X87" s="29">
        <f>INDEX(Mitigation_Industry!X:X,MATCH($A87,Mitigation_Industry!$H:$H,0))</f>
        <v>0</v>
      </c>
      <c r="Y87" s="29">
        <f>INDEX(Mitigation_Industry!Y:Y,MATCH($A87,Mitigation_Industry!$H:$H,0))</f>
        <v>0</v>
      </c>
      <c r="Z87" s="29">
        <f>INDEX(Mitigation_Industry!Z:Z,MATCH($A87,Mitigation_Industry!$H:$H,0))</f>
        <v>0</v>
      </c>
      <c r="AA87" s="29">
        <f>INDEX(Mitigation_Industry!AA:AA,MATCH($A87,Mitigation_Industry!$H:$H,0))</f>
        <v>0</v>
      </c>
      <c r="AB87" s="29">
        <f>INDEX(Mitigation_Industry!AB:AB,MATCH($A87,Mitigation_Industry!$H:$H,0))</f>
        <v>0</v>
      </c>
      <c r="AC87" s="29">
        <f>INDEX(Mitigation_Industry!AC:AC,MATCH($A87,Mitigation_Industry!$H:$H,0))</f>
        <v>0</v>
      </c>
      <c r="AD87" s="29">
        <f>INDEX(Mitigation_Industry!AD:AD,MATCH($A87,Mitigation_Industry!$H:$H,0))</f>
        <v>0</v>
      </c>
      <c r="AE87" s="29">
        <f>INDEX(Mitigation_Industry!AE:AE,MATCH($A87,Mitigation_Industry!$H:$H,0))</f>
        <v>0</v>
      </c>
    </row>
    <row r="88" spans="1:31" x14ac:dyDescent="0.25">
      <c r="A88" s="41" t="s">
        <v>1232</v>
      </c>
      <c r="B88" s="6" t="s">
        <v>59</v>
      </c>
      <c r="C88" s="6" t="s">
        <v>119</v>
      </c>
      <c r="D88" s="6">
        <v>1</v>
      </c>
      <c r="E88" s="2" t="s">
        <v>1212</v>
      </c>
      <c r="F88" s="43">
        <f>MAX(MAX(L88:AE88),-MIN(L88:AE88))</f>
        <v>0</v>
      </c>
      <c r="K88" s="44">
        <f t="shared" ref="K88:AE88" si="20">IF(ISNUMBER(K86),IF(ISNUMBER(K87),K87-K86,999999),0)</f>
        <v>0</v>
      </c>
      <c r="L88" s="44">
        <f t="shared" si="20"/>
        <v>0</v>
      </c>
      <c r="M88" s="44">
        <f t="shared" si="20"/>
        <v>0</v>
      </c>
      <c r="N88" s="44">
        <f t="shared" si="20"/>
        <v>0</v>
      </c>
      <c r="O88" s="44">
        <f t="shared" si="20"/>
        <v>0</v>
      </c>
      <c r="P88" s="44">
        <f t="shared" si="20"/>
        <v>0</v>
      </c>
      <c r="Q88" s="44">
        <f t="shared" si="20"/>
        <v>0</v>
      </c>
      <c r="R88" s="44">
        <f t="shared" si="20"/>
        <v>0</v>
      </c>
      <c r="S88" s="44">
        <f t="shared" si="20"/>
        <v>0</v>
      </c>
      <c r="T88" s="44">
        <f t="shared" si="20"/>
        <v>0</v>
      </c>
      <c r="U88" s="44">
        <f t="shared" si="20"/>
        <v>0</v>
      </c>
      <c r="V88" s="44">
        <f t="shared" si="20"/>
        <v>0</v>
      </c>
      <c r="W88" s="44">
        <f t="shared" si="20"/>
        <v>0</v>
      </c>
      <c r="X88" s="44">
        <f t="shared" si="20"/>
        <v>0</v>
      </c>
      <c r="Y88" s="44">
        <f t="shared" si="20"/>
        <v>0</v>
      </c>
      <c r="Z88" s="44">
        <f t="shared" si="20"/>
        <v>0</v>
      </c>
      <c r="AA88" s="44">
        <f t="shared" si="20"/>
        <v>0</v>
      </c>
      <c r="AB88" s="44">
        <f t="shared" si="20"/>
        <v>0</v>
      </c>
      <c r="AC88" s="44">
        <f t="shared" si="20"/>
        <v>0</v>
      </c>
      <c r="AD88" s="44">
        <f t="shared" si="20"/>
        <v>0</v>
      </c>
      <c r="AE88" s="44">
        <f t="shared" si="20"/>
        <v>0</v>
      </c>
    </row>
    <row r="90" spans="1:31" x14ac:dyDescent="0.25">
      <c r="A90" s="41" t="s">
        <v>1233</v>
      </c>
      <c r="B90" s="6" t="s">
        <v>62</v>
      </c>
      <c r="C90" s="6" t="s">
        <v>119</v>
      </c>
      <c r="D90" s="6">
        <v>1</v>
      </c>
      <c r="E90" s="6" t="s">
        <v>1210</v>
      </c>
      <c r="K90" s="29"/>
      <c r="L90" s="29">
        <v>0</v>
      </c>
      <c r="M90" s="29">
        <v>0</v>
      </c>
      <c r="N90" s="29">
        <v>0</v>
      </c>
      <c r="O90" s="29">
        <v>0</v>
      </c>
      <c r="P90" s="29">
        <v>0</v>
      </c>
      <c r="Q90" s="29">
        <v>0</v>
      </c>
      <c r="R90" s="29">
        <v>0</v>
      </c>
      <c r="S90" s="29">
        <v>0</v>
      </c>
      <c r="T90" s="29">
        <v>0</v>
      </c>
      <c r="U90" s="29">
        <v>0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>
        <v>0</v>
      </c>
      <c r="AC90" s="29">
        <v>0</v>
      </c>
      <c r="AD90" s="29">
        <v>0</v>
      </c>
      <c r="AE90" s="29">
        <v>0</v>
      </c>
    </row>
    <row r="91" spans="1:31" x14ac:dyDescent="0.25">
      <c r="A91" s="41" t="s">
        <v>1233</v>
      </c>
      <c r="B91" s="6" t="s">
        <v>62</v>
      </c>
      <c r="C91" s="6" t="s">
        <v>119</v>
      </c>
      <c r="D91" s="6">
        <v>1</v>
      </c>
      <c r="E91" s="6" t="s">
        <v>1211</v>
      </c>
      <c r="K91" s="29">
        <f>INDEX(Mitigation_Industry!K:K,MATCH($A91,Mitigation_Industry!$H:$H,0))</f>
        <v>0</v>
      </c>
      <c r="L91" s="29">
        <f>INDEX(Mitigation_Industry!L:L,MATCH($A91,Mitigation_Industry!$H:$H,0))</f>
        <v>0</v>
      </c>
      <c r="M91" s="29">
        <f>INDEX(Mitigation_Industry!M:M,MATCH($A91,Mitigation_Industry!$H:$H,0))</f>
        <v>0</v>
      </c>
      <c r="N91" s="29">
        <f>INDEX(Mitigation_Industry!N:N,MATCH($A91,Mitigation_Industry!$H:$H,0))</f>
        <v>0</v>
      </c>
      <c r="O91" s="29">
        <f>INDEX(Mitigation_Industry!O:O,MATCH($A91,Mitigation_Industry!$H:$H,0))</f>
        <v>0</v>
      </c>
      <c r="P91" s="29">
        <f>INDEX(Mitigation_Industry!P:P,MATCH($A91,Mitigation_Industry!$H:$H,0))</f>
        <v>0</v>
      </c>
      <c r="Q91" s="29">
        <f>INDEX(Mitigation_Industry!Q:Q,MATCH($A91,Mitigation_Industry!$H:$H,0))</f>
        <v>0</v>
      </c>
      <c r="R91" s="29">
        <f>INDEX(Mitigation_Industry!R:R,MATCH($A91,Mitigation_Industry!$H:$H,0))</f>
        <v>0</v>
      </c>
      <c r="S91" s="29">
        <f>INDEX(Mitigation_Industry!S:S,MATCH($A91,Mitigation_Industry!$H:$H,0))</f>
        <v>0</v>
      </c>
      <c r="T91" s="29">
        <f>INDEX(Mitigation_Industry!T:T,MATCH($A91,Mitigation_Industry!$H:$H,0))</f>
        <v>0</v>
      </c>
      <c r="U91" s="29">
        <f>INDEX(Mitigation_Industry!U:U,MATCH($A91,Mitigation_Industry!$H:$H,0))</f>
        <v>0</v>
      </c>
      <c r="V91" s="29">
        <f>INDEX(Mitigation_Industry!V:V,MATCH($A91,Mitigation_Industry!$H:$H,0))</f>
        <v>0</v>
      </c>
      <c r="W91" s="29">
        <f>INDEX(Mitigation_Industry!W:W,MATCH($A91,Mitigation_Industry!$H:$H,0))</f>
        <v>0</v>
      </c>
      <c r="X91" s="29">
        <f>INDEX(Mitigation_Industry!X:X,MATCH($A91,Mitigation_Industry!$H:$H,0))</f>
        <v>0</v>
      </c>
      <c r="Y91" s="29">
        <f>INDEX(Mitigation_Industry!Y:Y,MATCH($A91,Mitigation_Industry!$H:$H,0))</f>
        <v>0</v>
      </c>
      <c r="Z91" s="29">
        <f>INDEX(Mitigation_Industry!Z:Z,MATCH($A91,Mitigation_Industry!$H:$H,0))</f>
        <v>0</v>
      </c>
      <c r="AA91" s="29">
        <f>INDEX(Mitigation_Industry!AA:AA,MATCH($A91,Mitigation_Industry!$H:$H,0))</f>
        <v>0</v>
      </c>
      <c r="AB91" s="29">
        <f>INDEX(Mitigation_Industry!AB:AB,MATCH($A91,Mitigation_Industry!$H:$H,0))</f>
        <v>0</v>
      </c>
      <c r="AC91" s="29">
        <f>INDEX(Mitigation_Industry!AC:AC,MATCH($A91,Mitigation_Industry!$H:$H,0))</f>
        <v>0</v>
      </c>
      <c r="AD91" s="29">
        <f>INDEX(Mitigation_Industry!AD:AD,MATCH($A91,Mitigation_Industry!$H:$H,0))</f>
        <v>0</v>
      </c>
      <c r="AE91" s="29">
        <f>INDEX(Mitigation_Industry!AE:AE,MATCH($A91,Mitigation_Industry!$H:$H,0))</f>
        <v>0</v>
      </c>
    </row>
    <row r="92" spans="1:31" x14ac:dyDescent="0.25">
      <c r="A92" s="41" t="s">
        <v>1233</v>
      </c>
      <c r="B92" s="6" t="s">
        <v>62</v>
      </c>
      <c r="C92" s="6" t="s">
        <v>119</v>
      </c>
      <c r="D92" s="6">
        <v>1</v>
      </c>
      <c r="E92" s="2" t="s">
        <v>1212</v>
      </c>
      <c r="F92" s="43">
        <f>MAX(MAX(L92:AE92),-MIN(L92:AE92))</f>
        <v>0</v>
      </c>
      <c r="K92" s="44">
        <f t="shared" ref="K92:AE92" si="21">IF(ISNUMBER(K90),IF(ISNUMBER(K91),K91-K90,999999),0)</f>
        <v>0</v>
      </c>
      <c r="L92" s="44">
        <f t="shared" si="21"/>
        <v>0</v>
      </c>
      <c r="M92" s="44">
        <f t="shared" si="21"/>
        <v>0</v>
      </c>
      <c r="N92" s="44">
        <f t="shared" si="21"/>
        <v>0</v>
      </c>
      <c r="O92" s="44">
        <f t="shared" si="21"/>
        <v>0</v>
      </c>
      <c r="P92" s="44">
        <f t="shared" si="21"/>
        <v>0</v>
      </c>
      <c r="Q92" s="44">
        <f t="shared" si="21"/>
        <v>0</v>
      </c>
      <c r="R92" s="44">
        <f t="shared" si="21"/>
        <v>0</v>
      </c>
      <c r="S92" s="44">
        <f t="shared" si="21"/>
        <v>0</v>
      </c>
      <c r="T92" s="44">
        <f t="shared" si="21"/>
        <v>0</v>
      </c>
      <c r="U92" s="44">
        <f t="shared" si="21"/>
        <v>0</v>
      </c>
      <c r="V92" s="44">
        <f t="shared" si="21"/>
        <v>0</v>
      </c>
      <c r="W92" s="44">
        <f t="shared" si="21"/>
        <v>0</v>
      </c>
      <c r="X92" s="44">
        <f t="shared" si="21"/>
        <v>0</v>
      </c>
      <c r="Y92" s="44">
        <f t="shared" si="21"/>
        <v>0</v>
      </c>
      <c r="Z92" s="44">
        <f t="shared" si="21"/>
        <v>0</v>
      </c>
      <c r="AA92" s="44">
        <f t="shared" si="21"/>
        <v>0</v>
      </c>
      <c r="AB92" s="44">
        <f t="shared" si="21"/>
        <v>0</v>
      </c>
      <c r="AC92" s="44">
        <f t="shared" si="21"/>
        <v>0</v>
      </c>
      <c r="AD92" s="44">
        <f t="shared" si="21"/>
        <v>0</v>
      </c>
      <c r="AE92" s="44">
        <f t="shared" si="21"/>
        <v>0</v>
      </c>
    </row>
    <row r="94" spans="1:31" x14ac:dyDescent="0.25">
      <c r="A94" s="41" t="s">
        <v>1234</v>
      </c>
      <c r="B94" s="6" t="s">
        <v>64</v>
      </c>
      <c r="C94" s="6" t="s">
        <v>119</v>
      </c>
      <c r="D94" s="6">
        <v>1</v>
      </c>
      <c r="E94" s="6" t="s">
        <v>1210</v>
      </c>
      <c r="K94" s="29"/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0</v>
      </c>
      <c r="AC94" s="29">
        <v>0</v>
      </c>
      <c r="AD94" s="29">
        <v>0</v>
      </c>
      <c r="AE94" s="29">
        <v>0</v>
      </c>
    </row>
    <row r="95" spans="1:31" x14ac:dyDescent="0.25">
      <c r="A95" s="41" t="s">
        <v>1234</v>
      </c>
      <c r="B95" s="6" t="s">
        <v>64</v>
      </c>
      <c r="C95" s="6" t="s">
        <v>119</v>
      </c>
      <c r="D95" s="6">
        <v>1</v>
      </c>
      <c r="E95" s="6" t="s">
        <v>1211</v>
      </c>
      <c r="K95" s="29">
        <f>INDEX(Mitigation_Industry!K:K,MATCH($A95,Mitigation_Industry!$H:$H,0))</f>
        <v>0</v>
      </c>
      <c r="L95" s="29">
        <f>INDEX(Mitigation_Industry!L:L,MATCH($A95,Mitigation_Industry!$H:$H,0))</f>
        <v>0</v>
      </c>
      <c r="M95" s="29">
        <f>INDEX(Mitigation_Industry!M:M,MATCH($A95,Mitigation_Industry!$H:$H,0))</f>
        <v>0</v>
      </c>
      <c r="N95" s="29">
        <f>INDEX(Mitigation_Industry!N:N,MATCH($A95,Mitigation_Industry!$H:$H,0))</f>
        <v>0</v>
      </c>
      <c r="O95" s="29">
        <f>INDEX(Mitigation_Industry!O:O,MATCH($A95,Mitigation_Industry!$H:$H,0))</f>
        <v>0</v>
      </c>
      <c r="P95" s="29">
        <f>INDEX(Mitigation_Industry!P:P,MATCH($A95,Mitigation_Industry!$H:$H,0))</f>
        <v>0</v>
      </c>
      <c r="Q95" s="29">
        <f>INDEX(Mitigation_Industry!Q:Q,MATCH($A95,Mitigation_Industry!$H:$H,0))</f>
        <v>0</v>
      </c>
      <c r="R95" s="29">
        <f>INDEX(Mitigation_Industry!R:R,MATCH($A95,Mitigation_Industry!$H:$H,0))</f>
        <v>0</v>
      </c>
      <c r="S95" s="29">
        <f>INDEX(Mitigation_Industry!S:S,MATCH($A95,Mitigation_Industry!$H:$H,0))</f>
        <v>0</v>
      </c>
      <c r="T95" s="29">
        <f>INDEX(Mitigation_Industry!T:T,MATCH($A95,Mitigation_Industry!$H:$H,0))</f>
        <v>0</v>
      </c>
      <c r="U95" s="29">
        <f>INDEX(Mitigation_Industry!U:U,MATCH($A95,Mitigation_Industry!$H:$H,0))</f>
        <v>0</v>
      </c>
      <c r="V95" s="29">
        <f>INDEX(Mitigation_Industry!V:V,MATCH($A95,Mitigation_Industry!$H:$H,0))</f>
        <v>0</v>
      </c>
      <c r="W95" s="29">
        <f>INDEX(Mitigation_Industry!W:W,MATCH($A95,Mitigation_Industry!$H:$H,0))</f>
        <v>0</v>
      </c>
      <c r="X95" s="29">
        <f>INDEX(Mitigation_Industry!X:X,MATCH($A95,Mitigation_Industry!$H:$H,0))</f>
        <v>0</v>
      </c>
      <c r="Y95" s="29">
        <f>INDEX(Mitigation_Industry!Y:Y,MATCH($A95,Mitigation_Industry!$H:$H,0))</f>
        <v>0</v>
      </c>
      <c r="Z95" s="29">
        <f>INDEX(Mitigation_Industry!Z:Z,MATCH($A95,Mitigation_Industry!$H:$H,0))</f>
        <v>0</v>
      </c>
      <c r="AA95" s="29">
        <f>INDEX(Mitigation_Industry!AA:AA,MATCH($A95,Mitigation_Industry!$H:$H,0))</f>
        <v>0</v>
      </c>
      <c r="AB95" s="29">
        <f>INDEX(Mitigation_Industry!AB:AB,MATCH($A95,Mitigation_Industry!$H:$H,0))</f>
        <v>0</v>
      </c>
      <c r="AC95" s="29">
        <f>INDEX(Mitigation_Industry!AC:AC,MATCH($A95,Mitigation_Industry!$H:$H,0))</f>
        <v>0</v>
      </c>
      <c r="AD95" s="29">
        <f>INDEX(Mitigation_Industry!AD:AD,MATCH($A95,Mitigation_Industry!$H:$H,0))</f>
        <v>0</v>
      </c>
      <c r="AE95" s="29">
        <f>INDEX(Mitigation_Industry!AE:AE,MATCH($A95,Mitigation_Industry!$H:$H,0))</f>
        <v>0</v>
      </c>
    </row>
    <row r="96" spans="1:31" x14ac:dyDescent="0.25">
      <c r="A96" s="41" t="s">
        <v>1234</v>
      </c>
      <c r="B96" s="6" t="s">
        <v>64</v>
      </c>
      <c r="C96" s="6" t="s">
        <v>119</v>
      </c>
      <c r="D96" s="6">
        <v>1</v>
      </c>
      <c r="E96" s="2" t="s">
        <v>1212</v>
      </c>
      <c r="F96" s="43">
        <f>MAX(MAX(L96:AE96),-MIN(L96:AE96))</f>
        <v>0</v>
      </c>
      <c r="K96" s="44">
        <f t="shared" ref="K96:AE96" si="22">IF(ISNUMBER(K94),IF(ISNUMBER(K95),K95-K94,999999),0)</f>
        <v>0</v>
      </c>
      <c r="L96" s="44">
        <f t="shared" si="22"/>
        <v>0</v>
      </c>
      <c r="M96" s="44">
        <f t="shared" si="22"/>
        <v>0</v>
      </c>
      <c r="N96" s="44">
        <f t="shared" si="22"/>
        <v>0</v>
      </c>
      <c r="O96" s="44">
        <f t="shared" si="22"/>
        <v>0</v>
      </c>
      <c r="P96" s="44">
        <f t="shared" si="22"/>
        <v>0</v>
      </c>
      <c r="Q96" s="44">
        <f t="shared" si="22"/>
        <v>0</v>
      </c>
      <c r="R96" s="44">
        <f t="shared" si="22"/>
        <v>0</v>
      </c>
      <c r="S96" s="44">
        <f t="shared" si="22"/>
        <v>0</v>
      </c>
      <c r="T96" s="44">
        <f t="shared" si="22"/>
        <v>0</v>
      </c>
      <c r="U96" s="44">
        <f t="shared" si="22"/>
        <v>0</v>
      </c>
      <c r="V96" s="44">
        <f t="shared" si="22"/>
        <v>0</v>
      </c>
      <c r="W96" s="44">
        <f t="shared" si="22"/>
        <v>0</v>
      </c>
      <c r="X96" s="44">
        <f t="shared" si="22"/>
        <v>0</v>
      </c>
      <c r="Y96" s="44">
        <f t="shared" si="22"/>
        <v>0</v>
      </c>
      <c r="Z96" s="44">
        <f t="shared" si="22"/>
        <v>0</v>
      </c>
      <c r="AA96" s="44">
        <f t="shared" si="22"/>
        <v>0</v>
      </c>
      <c r="AB96" s="44">
        <f t="shared" si="22"/>
        <v>0</v>
      </c>
      <c r="AC96" s="44">
        <f t="shared" si="22"/>
        <v>0</v>
      </c>
      <c r="AD96" s="44">
        <f t="shared" si="22"/>
        <v>0</v>
      </c>
      <c r="AE96" s="44">
        <f t="shared" si="22"/>
        <v>0</v>
      </c>
    </row>
    <row r="98" spans="1:31" x14ac:dyDescent="0.25">
      <c r="A98" s="41" t="s">
        <v>1235</v>
      </c>
      <c r="B98" s="6" t="s">
        <v>66</v>
      </c>
      <c r="C98" s="6" t="s">
        <v>119</v>
      </c>
      <c r="D98" s="6">
        <v>1</v>
      </c>
      <c r="E98" s="6" t="s">
        <v>1210</v>
      </c>
      <c r="K98" s="29"/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0</v>
      </c>
      <c r="AC98" s="29">
        <v>0</v>
      </c>
      <c r="AD98" s="29">
        <v>0</v>
      </c>
      <c r="AE98" s="29">
        <v>0</v>
      </c>
    </row>
    <row r="99" spans="1:31" x14ac:dyDescent="0.25">
      <c r="A99" s="41" t="s">
        <v>1235</v>
      </c>
      <c r="B99" s="6" t="s">
        <v>66</v>
      </c>
      <c r="C99" s="6" t="s">
        <v>119</v>
      </c>
      <c r="D99" s="6">
        <v>1</v>
      </c>
      <c r="E99" s="6" t="s">
        <v>1211</v>
      </c>
      <c r="K99" s="29">
        <f>INDEX(Mitigation_Industry!K:K,MATCH($A99,Mitigation_Industry!$H:$H,0))</f>
        <v>0</v>
      </c>
      <c r="L99" s="29">
        <f>INDEX(Mitigation_Industry!L:L,MATCH($A99,Mitigation_Industry!$H:$H,0))</f>
        <v>0</v>
      </c>
      <c r="M99" s="29">
        <f>INDEX(Mitigation_Industry!M:M,MATCH($A99,Mitigation_Industry!$H:$H,0))</f>
        <v>0</v>
      </c>
      <c r="N99" s="29">
        <f>INDEX(Mitigation_Industry!N:N,MATCH($A99,Mitigation_Industry!$H:$H,0))</f>
        <v>0</v>
      </c>
      <c r="O99" s="29">
        <f>INDEX(Mitigation_Industry!O:O,MATCH($A99,Mitigation_Industry!$H:$H,0))</f>
        <v>0</v>
      </c>
      <c r="P99" s="29">
        <f>INDEX(Mitigation_Industry!P:P,MATCH($A99,Mitigation_Industry!$H:$H,0))</f>
        <v>0</v>
      </c>
      <c r="Q99" s="29">
        <f>INDEX(Mitigation_Industry!Q:Q,MATCH($A99,Mitigation_Industry!$H:$H,0))</f>
        <v>0</v>
      </c>
      <c r="R99" s="29">
        <f>INDEX(Mitigation_Industry!R:R,MATCH($A99,Mitigation_Industry!$H:$H,0))</f>
        <v>0</v>
      </c>
      <c r="S99" s="29">
        <f>INDEX(Mitigation_Industry!S:S,MATCH($A99,Mitigation_Industry!$H:$H,0))</f>
        <v>0</v>
      </c>
      <c r="T99" s="29">
        <f>INDEX(Mitigation_Industry!T:T,MATCH($A99,Mitigation_Industry!$H:$H,0))</f>
        <v>0</v>
      </c>
      <c r="U99" s="29">
        <f>INDEX(Mitigation_Industry!U:U,MATCH($A99,Mitigation_Industry!$H:$H,0))</f>
        <v>0</v>
      </c>
      <c r="V99" s="29">
        <f>INDEX(Mitigation_Industry!V:V,MATCH($A99,Mitigation_Industry!$H:$H,0))</f>
        <v>0</v>
      </c>
      <c r="W99" s="29">
        <f>INDEX(Mitigation_Industry!W:W,MATCH($A99,Mitigation_Industry!$H:$H,0))</f>
        <v>0</v>
      </c>
      <c r="X99" s="29">
        <f>INDEX(Mitigation_Industry!X:X,MATCH($A99,Mitigation_Industry!$H:$H,0))</f>
        <v>0</v>
      </c>
      <c r="Y99" s="29">
        <f>INDEX(Mitigation_Industry!Y:Y,MATCH($A99,Mitigation_Industry!$H:$H,0))</f>
        <v>0</v>
      </c>
      <c r="Z99" s="29">
        <f>INDEX(Mitigation_Industry!Z:Z,MATCH($A99,Mitigation_Industry!$H:$H,0))</f>
        <v>0</v>
      </c>
      <c r="AA99" s="29">
        <f>INDEX(Mitigation_Industry!AA:AA,MATCH($A99,Mitigation_Industry!$H:$H,0))</f>
        <v>0</v>
      </c>
      <c r="AB99" s="29">
        <f>INDEX(Mitigation_Industry!AB:AB,MATCH($A99,Mitigation_Industry!$H:$H,0))</f>
        <v>0</v>
      </c>
      <c r="AC99" s="29">
        <f>INDEX(Mitigation_Industry!AC:AC,MATCH($A99,Mitigation_Industry!$H:$H,0))</f>
        <v>0</v>
      </c>
      <c r="AD99" s="29">
        <f>INDEX(Mitigation_Industry!AD:AD,MATCH($A99,Mitigation_Industry!$H:$H,0))</f>
        <v>0</v>
      </c>
      <c r="AE99" s="29">
        <f>INDEX(Mitigation_Industry!AE:AE,MATCH($A99,Mitigation_Industry!$H:$H,0))</f>
        <v>0</v>
      </c>
    </row>
    <row r="100" spans="1:31" x14ac:dyDescent="0.25">
      <c r="A100" s="41" t="s">
        <v>1235</v>
      </c>
      <c r="B100" s="6" t="s">
        <v>66</v>
      </c>
      <c r="C100" s="6" t="s">
        <v>119</v>
      </c>
      <c r="D100" s="6">
        <v>1</v>
      </c>
      <c r="E100" s="2" t="s">
        <v>1212</v>
      </c>
      <c r="F100" s="43">
        <f>MAX(MAX(L100:AE100),-MIN(L100:AE100))</f>
        <v>0</v>
      </c>
      <c r="K100" s="44">
        <f t="shared" ref="K100:AE100" si="23">IF(ISNUMBER(K98),IF(ISNUMBER(K99),K99-K98,999999),0)</f>
        <v>0</v>
      </c>
      <c r="L100" s="44">
        <f t="shared" si="23"/>
        <v>0</v>
      </c>
      <c r="M100" s="44">
        <f t="shared" si="23"/>
        <v>0</v>
      </c>
      <c r="N100" s="44">
        <f t="shared" si="23"/>
        <v>0</v>
      </c>
      <c r="O100" s="44">
        <f t="shared" si="23"/>
        <v>0</v>
      </c>
      <c r="P100" s="44">
        <f t="shared" si="23"/>
        <v>0</v>
      </c>
      <c r="Q100" s="44">
        <f t="shared" si="23"/>
        <v>0</v>
      </c>
      <c r="R100" s="44">
        <f t="shared" si="23"/>
        <v>0</v>
      </c>
      <c r="S100" s="44">
        <f t="shared" si="23"/>
        <v>0</v>
      </c>
      <c r="T100" s="44">
        <f t="shared" si="23"/>
        <v>0</v>
      </c>
      <c r="U100" s="44">
        <f t="shared" si="23"/>
        <v>0</v>
      </c>
      <c r="V100" s="44">
        <f t="shared" si="23"/>
        <v>0</v>
      </c>
      <c r="W100" s="44">
        <f t="shared" si="23"/>
        <v>0</v>
      </c>
      <c r="X100" s="44">
        <f t="shared" si="23"/>
        <v>0</v>
      </c>
      <c r="Y100" s="44">
        <f t="shared" si="23"/>
        <v>0</v>
      </c>
      <c r="Z100" s="44">
        <f t="shared" si="23"/>
        <v>0</v>
      </c>
      <c r="AA100" s="44">
        <f t="shared" si="23"/>
        <v>0</v>
      </c>
      <c r="AB100" s="44">
        <f t="shared" si="23"/>
        <v>0</v>
      </c>
      <c r="AC100" s="44">
        <f t="shared" si="23"/>
        <v>0</v>
      </c>
      <c r="AD100" s="44">
        <f t="shared" si="23"/>
        <v>0</v>
      </c>
      <c r="AE100" s="44">
        <f t="shared" si="23"/>
        <v>0</v>
      </c>
    </row>
    <row r="102" spans="1:31" x14ac:dyDescent="0.25">
      <c r="A102" s="41" t="s">
        <v>1236</v>
      </c>
      <c r="B102" s="6" t="s">
        <v>68</v>
      </c>
      <c r="C102" s="6" t="s">
        <v>119</v>
      </c>
      <c r="D102" s="6">
        <v>1</v>
      </c>
      <c r="E102" s="6" t="s">
        <v>1210</v>
      </c>
      <c r="K102" s="29"/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0</v>
      </c>
      <c r="AC102" s="29">
        <v>0</v>
      </c>
      <c r="AD102" s="29">
        <v>0</v>
      </c>
      <c r="AE102" s="29">
        <v>0</v>
      </c>
    </row>
    <row r="103" spans="1:31" x14ac:dyDescent="0.25">
      <c r="A103" s="41" t="s">
        <v>1236</v>
      </c>
      <c r="B103" s="6" t="s">
        <v>68</v>
      </c>
      <c r="C103" s="6" t="s">
        <v>119</v>
      </c>
      <c r="D103" s="6">
        <v>1</v>
      </c>
      <c r="E103" s="6" t="s">
        <v>1211</v>
      </c>
      <c r="K103" s="29">
        <f>INDEX(Mitigation_Industry!K:K,MATCH($A103,Mitigation_Industry!$H:$H,0))</f>
        <v>0</v>
      </c>
      <c r="L103" s="29">
        <f>INDEX(Mitigation_Industry!L:L,MATCH($A103,Mitigation_Industry!$H:$H,0))</f>
        <v>0</v>
      </c>
      <c r="M103" s="29">
        <f>INDEX(Mitigation_Industry!M:M,MATCH($A103,Mitigation_Industry!$H:$H,0))</f>
        <v>0</v>
      </c>
      <c r="N103" s="29">
        <f>INDEX(Mitigation_Industry!N:N,MATCH($A103,Mitigation_Industry!$H:$H,0))</f>
        <v>0</v>
      </c>
      <c r="O103" s="29">
        <f>INDEX(Mitigation_Industry!O:O,MATCH($A103,Mitigation_Industry!$H:$H,0))</f>
        <v>0</v>
      </c>
      <c r="P103" s="29">
        <f>INDEX(Mitigation_Industry!P:P,MATCH($A103,Mitigation_Industry!$H:$H,0))</f>
        <v>0</v>
      </c>
      <c r="Q103" s="29">
        <f>INDEX(Mitigation_Industry!Q:Q,MATCH($A103,Mitigation_Industry!$H:$H,0))</f>
        <v>0</v>
      </c>
      <c r="R103" s="29">
        <f>INDEX(Mitigation_Industry!R:R,MATCH($A103,Mitigation_Industry!$H:$H,0))</f>
        <v>0</v>
      </c>
      <c r="S103" s="29">
        <f>INDEX(Mitigation_Industry!S:S,MATCH($A103,Mitigation_Industry!$H:$H,0))</f>
        <v>0</v>
      </c>
      <c r="T103" s="29">
        <f>INDEX(Mitigation_Industry!T:T,MATCH($A103,Mitigation_Industry!$H:$H,0))</f>
        <v>0</v>
      </c>
      <c r="U103" s="29">
        <f>INDEX(Mitigation_Industry!U:U,MATCH($A103,Mitigation_Industry!$H:$H,0))</f>
        <v>0</v>
      </c>
      <c r="V103" s="29">
        <f>INDEX(Mitigation_Industry!V:V,MATCH($A103,Mitigation_Industry!$H:$H,0))</f>
        <v>0</v>
      </c>
      <c r="W103" s="29">
        <f>INDEX(Mitigation_Industry!W:W,MATCH($A103,Mitigation_Industry!$H:$H,0))</f>
        <v>0</v>
      </c>
      <c r="X103" s="29">
        <f>INDEX(Mitigation_Industry!X:X,MATCH($A103,Mitigation_Industry!$H:$H,0))</f>
        <v>0</v>
      </c>
      <c r="Y103" s="29">
        <f>INDEX(Mitigation_Industry!Y:Y,MATCH($A103,Mitigation_Industry!$H:$H,0))</f>
        <v>0</v>
      </c>
      <c r="Z103" s="29">
        <f>INDEX(Mitigation_Industry!Z:Z,MATCH($A103,Mitigation_Industry!$H:$H,0))</f>
        <v>0</v>
      </c>
      <c r="AA103" s="29">
        <f>INDEX(Mitigation_Industry!AA:AA,MATCH($A103,Mitigation_Industry!$H:$H,0))</f>
        <v>0</v>
      </c>
      <c r="AB103" s="29">
        <f>INDEX(Mitigation_Industry!AB:AB,MATCH($A103,Mitigation_Industry!$H:$H,0))</f>
        <v>0</v>
      </c>
      <c r="AC103" s="29">
        <f>INDEX(Mitigation_Industry!AC:AC,MATCH($A103,Mitigation_Industry!$H:$H,0))</f>
        <v>0</v>
      </c>
      <c r="AD103" s="29">
        <f>INDEX(Mitigation_Industry!AD:AD,MATCH($A103,Mitigation_Industry!$H:$H,0))</f>
        <v>0</v>
      </c>
      <c r="AE103" s="29">
        <f>INDEX(Mitigation_Industry!AE:AE,MATCH($A103,Mitigation_Industry!$H:$H,0))</f>
        <v>0</v>
      </c>
    </row>
    <row r="104" spans="1:31" x14ac:dyDescent="0.25">
      <c r="A104" s="41" t="s">
        <v>1236</v>
      </c>
      <c r="B104" s="6" t="s">
        <v>68</v>
      </c>
      <c r="C104" s="6" t="s">
        <v>119</v>
      </c>
      <c r="D104" s="6">
        <v>1</v>
      </c>
      <c r="E104" s="2" t="s">
        <v>1212</v>
      </c>
      <c r="F104" s="43">
        <f>MAX(MAX(L104:AE104),-MIN(L104:AE104))</f>
        <v>0</v>
      </c>
      <c r="K104" s="44">
        <f t="shared" ref="K104:AE104" si="24">IF(ISNUMBER(K102),IF(ISNUMBER(K103),K103-K102,999999),0)</f>
        <v>0</v>
      </c>
      <c r="L104" s="44">
        <f t="shared" si="24"/>
        <v>0</v>
      </c>
      <c r="M104" s="44">
        <f t="shared" si="24"/>
        <v>0</v>
      </c>
      <c r="N104" s="44">
        <f t="shared" si="24"/>
        <v>0</v>
      </c>
      <c r="O104" s="44">
        <f t="shared" si="24"/>
        <v>0</v>
      </c>
      <c r="P104" s="44">
        <f t="shared" si="24"/>
        <v>0</v>
      </c>
      <c r="Q104" s="44">
        <f t="shared" si="24"/>
        <v>0</v>
      </c>
      <c r="R104" s="44">
        <f t="shared" si="24"/>
        <v>0</v>
      </c>
      <c r="S104" s="44">
        <f t="shared" si="24"/>
        <v>0</v>
      </c>
      <c r="T104" s="44">
        <f t="shared" si="24"/>
        <v>0</v>
      </c>
      <c r="U104" s="44">
        <f t="shared" si="24"/>
        <v>0</v>
      </c>
      <c r="V104" s="44">
        <f t="shared" si="24"/>
        <v>0</v>
      </c>
      <c r="W104" s="44">
        <f t="shared" si="24"/>
        <v>0</v>
      </c>
      <c r="X104" s="44">
        <f t="shared" si="24"/>
        <v>0</v>
      </c>
      <c r="Y104" s="44">
        <f t="shared" si="24"/>
        <v>0</v>
      </c>
      <c r="Z104" s="44">
        <f t="shared" si="24"/>
        <v>0</v>
      </c>
      <c r="AA104" s="44">
        <f t="shared" si="24"/>
        <v>0</v>
      </c>
      <c r="AB104" s="44">
        <f t="shared" si="24"/>
        <v>0</v>
      </c>
      <c r="AC104" s="44">
        <f t="shared" si="24"/>
        <v>0</v>
      </c>
      <c r="AD104" s="44">
        <f t="shared" si="24"/>
        <v>0</v>
      </c>
      <c r="AE104" s="44">
        <f t="shared" si="24"/>
        <v>0</v>
      </c>
    </row>
    <row r="106" spans="1:31" x14ac:dyDescent="0.25">
      <c r="A106" s="41" t="s">
        <v>1237</v>
      </c>
      <c r="B106" s="6" t="s">
        <v>71</v>
      </c>
      <c r="C106" s="6" t="s">
        <v>119</v>
      </c>
      <c r="D106" s="6">
        <v>1</v>
      </c>
      <c r="E106" s="6" t="s">
        <v>1210</v>
      </c>
      <c r="K106" s="29"/>
      <c r="L106" s="29">
        <v>0</v>
      </c>
      <c r="M106" s="29">
        <v>0</v>
      </c>
      <c r="N106" s="29">
        <v>0</v>
      </c>
      <c r="O106" s="29">
        <v>0</v>
      </c>
      <c r="P106" s="29">
        <v>0</v>
      </c>
      <c r="Q106" s="29">
        <v>0</v>
      </c>
      <c r="R106" s="29">
        <v>0</v>
      </c>
      <c r="S106" s="29">
        <v>0</v>
      </c>
      <c r="T106" s="29">
        <v>0</v>
      </c>
      <c r="U106" s="29">
        <v>0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>
        <v>0</v>
      </c>
      <c r="AC106" s="29">
        <v>0</v>
      </c>
      <c r="AD106" s="29">
        <v>0</v>
      </c>
      <c r="AE106" s="29">
        <v>0</v>
      </c>
    </row>
    <row r="107" spans="1:31" x14ac:dyDescent="0.25">
      <c r="A107" s="41" t="s">
        <v>1237</v>
      </c>
      <c r="B107" s="6" t="s">
        <v>71</v>
      </c>
      <c r="C107" s="6" t="s">
        <v>119</v>
      </c>
      <c r="D107" s="6">
        <v>1</v>
      </c>
      <c r="E107" s="6" t="s">
        <v>1211</v>
      </c>
      <c r="K107" s="29">
        <f>INDEX(Mitigation_Industry!K:K,MATCH($A107,Mitigation_Industry!$H:$H,0))</f>
        <v>0</v>
      </c>
      <c r="L107" s="29">
        <f>INDEX(Mitigation_Industry!L:L,MATCH($A107,Mitigation_Industry!$H:$H,0))</f>
        <v>0</v>
      </c>
      <c r="M107" s="29">
        <f>INDEX(Mitigation_Industry!M:M,MATCH($A107,Mitigation_Industry!$H:$H,0))</f>
        <v>0</v>
      </c>
      <c r="N107" s="29">
        <f>INDEX(Mitigation_Industry!N:N,MATCH($A107,Mitigation_Industry!$H:$H,0))</f>
        <v>0</v>
      </c>
      <c r="O107" s="29">
        <f>INDEX(Mitigation_Industry!O:O,MATCH($A107,Mitigation_Industry!$H:$H,0))</f>
        <v>0</v>
      </c>
      <c r="P107" s="29">
        <f>INDEX(Mitigation_Industry!P:P,MATCH($A107,Mitigation_Industry!$H:$H,0))</f>
        <v>0</v>
      </c>
      <c r="Q107" s="29">
        <f>INDEX(Mitigation_Industry!Q:Q,MATCH($A107,Mitigation_Industry!$H:$H,0))</f>
        <v>0</v>
      </c>
      <c r="R107" s="29">
        <f>INDEX(Mitigation_Industry!R:R,MATCH($A107,Mitigation_Industry!$H:$H,0))</f>
        <v>0</v>
      </c>
      <c r="S107" s="29">
        <f>INDEX(Mitigation_Industry!S:S,MATCH($A107,Mitigation_Industry!$H:$H,0))</f>
        <v>0</v>
      </c>
      <c r="T107" s="29">
        <f>INDEX(Mitigation_Industry!T:T,MATCH($A107,Mitigation_Industry!$H:$H,0))</f>
        <v>0</v>
      </c>
      <c r="U107" s="29">
        <f>INDEX(Mitigation_Industry!U:U,MATCH($A107,Mitigation_Industry!$H:$H,0))</f>
        <v>0</v>
      </c>
      <c r="V107" s="29">
        <f>INDEX(Mitigation_Industry!V:V,MATCH($A107,Mitigation_Industry!$H:$H,0))</f>
        <v>0</v>
      </c>
      <c r="W107" s="29">
        <f>INDEX(Mitigation_Industry!W:W,MATCH($A107,Mitigation_Industry!$H:$H,0))</f>
        <v>0</v>
      </c>
      <c r="X107" s="29">
        <f>INDEX(Mitigation_Industry!X:X,MATCH($A107,Mitigation_Industry!$H:$H,0))</f>
        <v>0</v>
      </c>
      <c r="Y107" s="29">
        <f>INDEX(Mitigation_Industry!Y:Y,MATCH($A107,Mitigation_Industry!$H:$H,0))</f>
        <v>0</v>
      </c>
      <c r="Z107" s="29">
        <f>INDEX(Mitigation_Industry!Z:Z,MATCH($A107,Mitigation_Industry!$H:$H,0))</f>
        <v>0</v>
      </c>
      <c r="AA107" s="29">
        <f>INDEX(Mitigation_Industry!AA:AA,MATCH($A107,Mitigation_Industry!$H:$H,0))</f>
        <v>0</v>
      </c>
      <c r="AB107" s="29">
        <f>INDEX(Mitigation_Industry!AB:AB,MATCH($A107,Mitigation_Industry!$H:$H,0))</f>
        <v>0</v>
      </c>
      <c r="AC107" s="29">
        <f>INDEX(Mitigation_Industry!AC:AC,MATCH($A107,Mitigation_Industry!$H:$H,0))</f>
        <v>0</v>
      </c>
      <c r="AD107" s="29">
        <f>INDEX(Mitigation_Industry!AD:AD,MATCH($A107,Mitigation_Industry!$H:$H,0))</f>
        <v>0</v>
      </c>
      <c r="AE107" s="29">
        <f>INDEX(Mitigation_Industry!AE:AE,MATCH($A107,Mitigation_Industry!$H:$H,0))</f>
        <v>0</v>
      </c>
    </row>
    <row r="108" spans="1:31" x14ac:dyDescent="0.25">
      <c r="A108" s="41" t="s">
        <v>1237</v>
      </c>
      <c r="B108" s="6" t="s">
        <v>71</v>
      </c>
      <c r="C108" s="6" t="s">
        <v>119</v>
      </c>
      <c r="D108" s="6">
        <v>1</v>
      </c>
      <c r="E108" s="2" t="s">
        <v>1212</v>
      </c>
      <c r="F108" s="43">
        <f>MAX(MAX(L108:AE108),-MIN(L108:AE108))</f>
        <v>0</v>
      </c>
      <c r="K108" s="44">
        <f t="shared" ref="K108:AE108" si="25">IF(ISNUMBER(K106),IF(ISNUMBER(K107),K107-K106,999999),0)</f>
        <v>0</v>
      </c>
      <c r="L108" s="44">
        <f t="shared" si="25"/>
        <v>0</v>
      </c>
      <c r="M108" s="44">
        <f t="shared" si="25"/>
        <v>0</v>
      </c>
      <c r="N108" s="44">
        <f t="shared" si="25"/>
        <v>0</v>
      </c>
      <c r="O108" s="44">
        <f t="shared" si="25"/>
        <v>0</v>
      </c>
      <c r="P108" s="44">
        <f t="shared" si="25"/>
        <v>0</v>
      </c>
      <c r="Q108" s="44">
        <f t="shared" si="25"/>
        <v>0</v>
      </c>
      <c r="R108" s="44">
        <f t="shared" si="25"/>
        <v>0</v>
      </c>
      <c r="S108" s="44">
        <f t="shared" si="25"/>
        <v>0</v>
      </c>
      <c r="T108" s="44">
        <f t="shared" si="25"/>
        <v>0</v>
      </c>
      <c r="U108" s="44">
        <f t="shared" si="25"/>
        <v>0</v>
      </c>
      <c r="V108" s="44">
        <f t="shared" si="25"/>
        <v>0</v>
      </c>
      <c r="W108" s="44">
        <f t="shared" si="25"/>
        <v>0</v>
      </c>
      <c r="X108" s="44">
        <f t="shared" si="25"/>
        <v>0</v>
      </c>
      <c r="Y108" s="44">
        <f t="shared" si="25"/>
        <v>0</v>
      </c>
      <c r="Z108" s="44">
        <f t="shared" si="25"/>
        <v>0</v>
      </c>
      <c r="AA108" s="44">
        <f t="shared" si="25"/>
        <v>0</v>
      </c>
      <c r="AB108" s="44">
        <f t="shared" si="25"/>
        <v>0</v>
      </c>
      <c r="AC108" s="44">
        <f t="shared" si="25"/>
        <v>0</v>
      </c>
      <c r="AD108" s="44">
        <f t="shared" si="25"/>
        <v>0</v>
      </c>
      <c r="AE108" s="44">
        <f t="shared" si="25"/>
        <v>0</v>
      </c>
    </row>
    <row r="110" spans="1:31" x14ac:dyDescent="0.25">
      <c r="A110" s="41" t="s">
        <v>1238</v>
      </c>
      <c r="B110" s="6" t="s">
        <v>73</v>
      </c>
      <c r="C110" s="6" t="s">
        <v>119</v>
      </c>
      <c r="D110" s="6">
        <v>1</v>
      </c>
      <c r="E110" s="6" t="s">
        <v>1210</v>
      </c>
      <c r="K110" s="29"/>
      <c r="L110" s="29">
        <v>0</v>
      </c>
      <c r="M110" s="29">
        <v>0</v>
      </c>
      <c r="N110" s="29">
        <v>0</v>
      </c>
      <c r="O110" s="29">
        <v>0</v>
      </c>
      <c r="P110" s="29">
        <v>0</v>
      </c>
      <c r="Q110" s="29">
        <v>0</v>
      </c>
      <c r="R110" s="29">
        <v>0</v>
      </c>
      <c r="S110" s="29">
        <v>0</v>
      </c>
      <c r="T110" s="29">
        <v>0</v>
      </c>
      <c r="U110" s="29">
        <v>0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>
        <v>0</v>
      </c>
      <c r="AC110" s="29">
        <v>0</v>
      </c>
      <c r="AD110" s="29">
        <v>0</v>
      </c>
      <c r="AE110" s="29">
        <v>0</v>
      </c>
    </row>
    <row r="111" spans="1:31" x14ac:dyDescent="0.25">
      <c r="A111" s="41" t="s">
        <v>1238</v>
      </c>
      <c r="B111" s="6" t="s">
        <v>73</v>
      </c>
      <c r="C111" s="6" t="s">
        <v>119</v>
      </c>
      <c r="D111" s="6">
        <v>1</v>
      </c>
      <c r="E111" s="6" t="s">
        <v>1211</v>
      </c>
      <c r="K111" s="29">
        <f>INDEX(Mitigation_Industry!K:K,MATCH($A111,Mitigation_Industry!$H:$H,0))</f>
        <v>0</v>
      </c>
      <c r="L111" s="29">
        <f>INDEX(Mitigation_Industry!L:L,MATCH($A111,Mitigation_Industry!$H:$H,0))</f>
        <v>0</v>
      </c>
      <c r="M111" s="29">
        <f>INDEX(Mitigation_Industry!M:M,MATCH($A111,Mitigation_Industry!$H:$H,0))</f>
        <v>0</v>
      </c>
      <c r="N111" s="29">
        <f>INDEX(Mitigation_Industry!N:N,MATCH($A111,Mitigation_Industry!$H:$H,0))</f>
        <v>0</v>
      </c>
      <c r="O111" s="29">
        <f>INDEX(Mitigation_Industry!O:O,MATCH($A111,Mitigation_Industry!$H:$H,0))</f>
        <v>0</v>
      </c>
      <c r="P111" s="29">
        <f>INDEX(Mitigation_Industry!P:P,MATCH($A111,Mitigation_Industry!$H:$H,0))</f>
        <v>0</v>
      </c>
      <c r="Q111" s="29">
        <f>INDEX(Mitigation_Industry!Q:Q,MATCH($A111,Mitigation_Industry!$H:$H,0))</f>
        <v>0</v>
      </c>
      <c r="R111" s="29">
        <f>INDEX(Mitigation_Industry!R:R,MATCH($A111,Mitigation_Industry!$H:$H,0))</f>
        <v>0</v>
      </c>
      <c r="S111" s="29">
        <f>INDEX(Mitigation_Industry!S:S,MATCH($A111,Mitigation_Industry!$H:$H,0))</f>
        <v>0</v>
      </c>
      <c r="T111" s="29">
        <f>INDEX(Mitigation_Industry!T:T,MATCH($A111,Mitigation_Industry!$H:$H,0))</f>
        <v>0</v>
      </c>
      <c r="U111" s="29">
        <f>INDEX(Mitigation_Industry!U:U,MATCH($A111,Mitigation_Industry!$H:$H,0))</f>
        <v>0</v>
      </c>
      <c r="V111" s="29">
        <f>INDEX(Mitigation_Industry!V:V,MATCH($A111,Mitigation_Industry!$H:$H,0))</f>
        <v>0</v>
      </c>
      <c r="W111" s="29">
        <f>INDEX(Mitigation_Industry!W:W,MATCH($A111,Mitigation_Industry!$H:$H,0))</f>
        <v>0</v>
      </c>
      <c r="X111" s="29">
        <f>INDEX(Mitigation_Industry!X:X,MATCH($A111,Mitigation_Industry!$H:$H,0))</f>
        <v>0</v>
      </c>
      <c r="Y111" s="29">
        <f>INDEX(Mitigation_Industry!Y:Y,MATCH($A111,Mitigation_Industry!$H:$H,0))</f>
        <v>0</v>
      </c>
      <c r="Z111" s="29">
        <f>INDEX(Mitigation_Industry!Z:Z,MATCH($A111,Mitigation_Industry!$H:$H,0))</f>
        <v>0</v>
      </c>
      <c r="AA111" s="29">
        <f>INDEX(Mitigation_Industry!AA:AA,MATCH($A111,Mitigation_Industry!$H:$H,0))</f>
        <v>0</v>
      </c>
      <c r="AB111" s="29">
        <f>INDEX(Mitigation_Industry!AB:AB,MATCH($A111,Mitigation_Industry!$H:$H,0))</f>
        <v>0</v>
      </c>
      <c r="AC111" s="29">
        <f>INDEX(Mitigation_Industry!AC:AC,MATCH($A111,Mitigation_Industry!$H:$H,0))</f>
        <v>0</v>
      </c>
      <c r="AD111" s="29">
        <f>INDEX(Mitigation_Industry!AD:AD,MATCH($A111,Mitigation_Industry!$H:$H,0))</f>
        <v>0</v>
      </c>
      <c r="AE111" s="29">
        <f>INDEX(Mitigation_Industry!AE:AE,MATCH($A111,Mitigation_Industry!$H:$H,0))</f>
        <v>0</v>
      </c>
    </row>
    <row r="112" spans="1:31" x14ac:dyDescent="0.25">
      <c r="A112" s="41" t="s">
        <v>1238</v>
      </c>
      <c r="B112" s="6" t="s">
        <v>73</v>
      </c>
      <c r="C112" s="6" t="s">
        <v>119</v>
      </c>
      <c r="D112" s="6">
        <v>1</v>
      </c>
      <c r="E112" s="2" t="s">
        <v>1212</v>
      </c>
      <c r="F112" s="43">
        <f>MAX(MAX(L112:AE112),-MIN(L112:AE112))</f>
        <v>0</v>
      </c>
      <c r="K112" s="44">
        <f t="shared" ref="K112:AE112" si="26">IF(ISNUMBER(K110),IF(ISNUMBER(K111),K111-K110,999999),0)</f>
        <v>0</v>
      </c>
      <c r="L112" s="44">
        <f t="shared" si="26"/>
        <v>0</v>
      </c>
      <c r="M112" s="44">
        <f t="shared" si="26"/>
        <v>0</v>
      </c>
      <c r="N112" s="44">
        <f t="shared" si="26"/>
        <v>0</v>
      </c>
      <c r="O112" s="44">
        <f t="shared" si="26"/>
        <v>0</v>
      </c>
      <c r="P112" s="44">
        <f t="shared" si="26"/>
        <v>0</v>
      </c>
      <c r="Q112" s="44">
        <f t="shared" si="26"/>
        <v>0</v>
      </c>
      <c r="R112" s="44">
        <f t="shared" si="26"/>
        <v>0</v>
      </c>
      <c r="S112" s="44">
        <f t="shared" si="26"/>
        <v>0</v>
      </c>
      <c r="T112" s="44">
        <f t="shared" si="26"/>
        <v>0</v>
      </c>
      <c r="U112" s="44">
        <f t="shared" si="26"/>
        <v>0</v>
      </c>
      <c r="V112" s="44">
        <f t="shared" si="26"/>
        <v>0</v>
      </c>
      <c r="W112" s="44">
        <f t="shared" si="26"/>
        <v>0</v>
      </c>
      <c r="X112" s="44">
        <f t="shared" si="26"/>
        <v>0</v>
      </c>
      <c r="Y112" s="44">
        <f t="shared" si="26"/>
        <v>0</v>
      </c>
      <c r="Z112" s="44">
        <f t="shared" si="26"/>
        <v>0</v>
      </c>
      <c r="AA112" s="44">
        <f t="shared" si="26"/>
        <v>0</v>
      </c>
      <c r="AB112" s="44">
        <f t="shared" si="26"/>
        <v>0</v>
      </c>
      <c r="AC112" s="44">
        <f t="shared" si="26"/>
        <v>0</v>
      </c>
      <c r="AD112" s="44">
        <f t="shared" si="26"/>
        <v>0</v>
      </c>
      <c r="AE112" s="44">
        <f t="shared" si="26"/>
        <v>0</v>
      </c>
    </row>
    <row r="114" spans="1:31" x14ac:dyDescent="0.25">
      <c r="A114" s="41" t="s">
        <v>1239</v>
      </c>
      <c r="B114" s="6" t="s">
        <v>53</v>
      </c>
      <c r="C114" s="6" t="s">
        <v>121</v>
      </c>
      <c r="D114" s="6">
        <v>1</v>
      </c>
      <c r="E114" s="6" t="s">
        <v>1210</v>
      </c>
      <c r="K114" s="29"/>
      <c r="L114" s="29">
        <v>0</v>
      </c>
      <c r="M114" s="29">
        <v>0</v>
      </c>
      <c r="N114" s="29">
        <v>0</v>
      </c>
      <c r="O114" s="29">
        <v>0</v>
      </c>
      <c r="P114" s="29">
        <v>0</v>
      </c>
      <c r="Q114" s="29">
        <v>0</v>
      </c>
      <c r="R114" s="29">
        <v>0</v>
      </c>
      <c r="S114" s="29">
        <v>0</v>
      </c>
      <c r="T114" s="29">
        <v>0</v>
      </c>
      <c r="U114" s="29">
        <v>0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>
        <v>0</v>
      </c>
      <c r="AC114" s="29">
        <v>0</v>
      </c>
      <c r="AD114" s="29">
        <v>0</v>
      </c>
      <c r="AE114" s="29">
        <v>0</v>
      </c>
    </row>
    <row r="115" spans="1:31" x14ac:dyDescent="0.25">
      <c r="A115" s="41" t="s">
        <v>1239</v>
      </c>
      <c r="B115" s="6" t="s">
        <v>53</v>
      </c>
      <c r="C115" s="6" t="s">
        <v>121</v>
      </c>
      <c r="D115" s="6">
        <v>1</v>
      </c>
      <c r="E115" s="6" t="s">
        <v>1211</v>
      </c>
      <c r="K115" s="29">
        <f>INDEX(Mitigation_Industry!K:K,MATCH($A115,Mitigation_Industry!$H:$H,0))</f>
        <v>0</v>
      </c>
      <c r="L115" s="29">
        <f>INDEX(Mitigation_Industry!L:L,MATCH($A115,Mitigation_Industry!$H:$H,0))</f>
        <v>0</v>
      </c>
      <c r="M115" s="29">
        <f>INDEX(Mitigation_Industry!M:M,MATCH($A115,Mitigation_Industry!$H:$H,0))</f>
        <v>0</v>
      </c>
      <c r="N115" s="29">
        <f>INDEX(Mitigation_Industry!N:N,MATCH($A115,Mitigation_Industry!$H:$H,0))</f>
        <v>0</v>
      </c>
      <c r="O115" s="29">
        <f>INDEX(Mitigation_Industry!O:O,MATCH($A115,Mitigation_Industry!$H:$H,0))</f>
        <v>0</v>
      </c>
      <c r="P115" s="29">
        <f>INDEX(Mitigation_Industry!P:P,MATCH($A115,Mitigation_Industry!$H:$H,0))</f>
        <v>0</v>
      </c>
      <c r="Q115" s="29">
        <f>INDEX(Mitigation_Industry!Q:Q,MATCH($A115,Mitigation_Industry!$H:$H,0))</f>
        <v>0</v>
      </c>
      <c r="R115" s="29">
        <f>INDEX(Mitigation_Industry!R:R,MATCH($A115,Mitigation_Industry!$H:$H,0))</f>
        <v>0</v>
      </c>
      <c r="S115" s="29">
        <f>INDEX(Mitigation_Industry!S:S,MATCH($A115,Mitigation_Industry!$H:$H,0))</f>
        <v>0</v>
      </c>
      <c r="T115" s="29">
        <f>INDEX(Mitigation_Industry!T:T,MATCH($A115,Mitigation_Industry!$H:$H,0))</f>
        <v>0</v>
      </c>
      <c r="U115" s="29">
        <f>INDEX(Mitigation_Industry!U:U,MATCH($A115,Mitigation_Industry!$H:$H,0))</f>
        <v>0</v>
      </c>
      <c r="V115" s="29">
        <f>INDEX(Mitigation_Industry!V:V,MATCH($A115,Mitigation_Industry!$H:$H,0))</f>
        <v>0</v>
      </c>
      <c r="W115" s="29">
        <f>INDEX(Mitigation_Industry!W:W,MATCH($A115,Mitigation_Industry!$H:$H,0))</f>
        <v>0</v>
      </c>
      <c r="X115" s="29">
        <f>INDEX(Mitigation_Industry!X:X,MATCH($A115,Mitigation_Industry!$H:$H,0))</f>
        <v>0</v>
      </c>
      <c r="Y115" s="29">
        <f>INDEX(Mitigation_Industry!Y:Y,MATCH($A115,Mitigation_Industry!$H:$H,0))</f>
        <v>0</v>
      </c>
      <c r="Z115" s="29">
        <f>INDEX(Mitigation_Industry!Z:Z,MATCH($A115,Mitigation_Industry!$H:$H,0))</f>
        <v>0</v>
      </c>
      <c r="AA115" s="29">
        <f>INDEX(Mitigation_Industry!AA:AA,MATCH($A115,Mitigation_Industry!$H:$H,0))</f>
        <v>0</v>
      </c>
      <c r="AB115" s="29">
        <f>INDEX(Mitigation_Industry!AB:AB,MATCH($A115,Mitigation_Industry!$H:$H,0))</f>
        <v>0</v>
      </c>
      <c r="AC115" s="29">
        <f>INDEX(Mitigation_Industry!AC:AC,MATCH($A115,Mitigation_Industry!$H:$H,0))</f>
        <v>0</v>
      </c>
      <c r="AD115" s="29">
        <f>INDEX(Mitigation_Industry!AD:AD,MATCH($A115,Mitigation_Industry!$H:$H,0))</f>
        <v>0</v>
      </c>
      <c r="AE115" s="29">
        <f>INDEX(Mitigation_Industry!AE:AE,MATCH($A115,Mitigation_Industry!$H:$H,0))</f>
        <v>0</v>
      </c>
    </row>
    <row r="116" spans="1:31" x14ac:dyDescent="0.25">
      <c r="A116" s="41" t="s">
        <v>1239</v>
      </c>
      <c r="B116" s="6" t="s">
        <v>53</v>
      </c>
      <c r="C116" s="6" t="s">
        <v>121</v>
      </c>
      <c r="D116" s="6">
        <v>1</v>
      </c>
      <c r="E116" s="2" t="s">
        <v>1212</v>
      </c>
      <c r="F116" s="43">
        <f>MAX(MAX(L116:AE116),-MIN(L116:AE116))</f>
        <v>0</v>
      </c>
      <c r="K116" s="44">
        <f t="shared" ref="K116:AE116" si="27">IF(ISNUMBER(K114),IF(ISNUMBER(K115),K115-K114,999999),0)</f>
        <v>0</v>
      </c>
      <c r="L116" s="44">
        <f t="shared" si="27"/>
        <v>0</v>
      </c>
      <c r="M116" s="44">
        <f t="shared" si="27"/>
        <v>0</v>
      </c>
      <c r="N116" s="44">
        <f t="shared" si="27"/>
        <v>0</v>
      </c>
      <c r="O116" s="44">
        <f t="shared" si="27"/>
        <v>0</v>
      </c>
      <c r="P116" s="44">
        <f t="shared" si="27"/>
        <v>0</v>
      </c>
      <c r="Q116" s="44">
        <f t="shared" si="27"/>
        <v>0</v>
      </c>
      <c r="R116" s="44">
        <f t="shared" si="27"/>
        <v>0</v>
      </c>
      <c r="S116" s="44">
        <f t="shared" si="27"/>
        <v>0</v>
      </c>
      <c r="T116" s="44">
        <f t="shared" si="27"/>
        <v>0</v>
      </c>
      <c r="U116" s="44">
        <f t="shared" si="27"/>
        <v>0</v>
      </c>
      <c r="V116" s="44">
        <f t="shared" si="27"/>
        <v>0</v>
      </c>
      <c r="W116" s="44">
        <f t="shared" si="27"/>
        <v>0</v>
      </c>
      <c r="X116" s="44">
        <f t="shared" si="27"/>
        <v>0</v>
      </c>
      <c r="Y116" s="44">
        <f t="shared" si="27"/>
        <v>0</v>
      </c>
      <c r="Z116" s="44">
        <f t="shared" si="27"/>
        <v>0</v>
      </c>
      <c r="AA116" s="44">
        <f t="shared" si="27"/>
        <v>0</v>
      </c>
      <c r="AB116" s="44">
        <f t="shared" si="27"/>
        <v>0</v>
      </c>
      <c r="AC116" s="44">
        <f t="shared" si="27"/>
        <v>0</v>
      </c>
      <c r="AD116" s="44">
        <f t="shared" si="27"/>
        <v>0</v>
      </c>
      <c r="AE116" s="44">
        <f t="shared" si="27"/>
        <v>0</v>
      </c>
    </row>
    <row r="118" spans="1:31" x14ac:dyDescent="0.25">
      <c r="A118" s="41" t="s">
        <v>1240</v>
      </c>
      <c r="B118" s="6" t="s">
        <v>57</v>
      </c>
      <c r="C118" s="6" t="s">
        <v>121</v>
      </c>
      <c r="D118" s="6">
        <v>1</v>
      </c>
      <c r="E118" s="6" t="s">
        <v>1210</v>
      </c>
      <c r="K118" s="29"/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>
        <v>0</v>
      </c>
      <c r="AC118" s="29">
        <v>0</v>
      </c>
      <c r="AD118" s="29">
        <v>0</v>
      </c>
      <c r="AE118" s="29">
        <v>0</v>
      </c>
    </row>
    <row r="119" spans="1:31" x14ac:dyDescent="0.25">
      <c r="A119" s="41" t="s">
        <v>1240</v>
      </c>
      <c r="B119" s="6" t="s">
        <v>57</v>
      </c>
      <c r="C119" s="6" t="s">
        <v>121</v>
      </c>
      <c r="D119" s="6">
        <v>1</v>
      </c>
      <c r="E119" s="6" t="s">
        <v>1211</v>
      </c>
      <c r="K119" s="29">
        <f>INDEX(Mitigation_Industry!K:K,MATCH($A119,Mitigation_Industry!$H:$H,0))</f>
        <v>0</v>
      </c>
      <c r="L119" s="29">
        <f>INDEX(Mitigation_Industry!L:L,MATCH($A119,Mitigation_Industry!$H:$H,0))</f>
        <v>0</v>
      </c>
      <c r="M119" s="29">
        <f>INDEX(Mitigation_Industry!M:M,MATCH($A119,Mitigation_Industry!$H:$H,0))</f>
        <v>0</v>
      </c>
      <c r="N119" s="29">
        <f>INDEX(Mitigation_Industry!N:N,MATCH($A119,Mitigation_Industry!$H:$H,0))</f>
        <v>0</v>
      </c>
      <c r="O119" s="29">
        <f>INDEX(Mitigation_Industry!O:O,MATCH($A119,Mitigation_Industry!$H:$H,0))</f>
        <v>0</v>
      </c>
      <c r="P119" s="29">
        <f>INDEX(Mitigation_Industry!P:P,MATCH($A119,Mitigation_Industry!$H:$H,0))</f>
        <v>0</v>
      </c>
      <c r="Q119" s="29">
        <f>INDEX(Mitigation_Industry!Q:Q,MATCH($A119,Mitigation_Industry!$H:$H,0))</f>
        <v>0</v>
      </c>
      <c r="R119" s="29">
        <f>INDEX(Mitigation_Industry!R:R,MATCH($A119,Mitigation_Industry!$H:$H,0))</f>
        <v>0</v>
      </c>
      <c r="S119" s="29">
        <f>INDEX(Mitigation_Industry!S:S,MATCH($A119,Mitigation_Industry!$H:$H,0))</f>
        <v>0</v>
      </c>
      <c r="T119" s="29">
        <f>INDEX(Mitigation_Industry!T:T,MATCH($A119,Mitigation_Industry!$H:$H,0))</f>
        <v>0</v>
      </c>
      <c r="U119" s="29">
        <f>INDEX(Mitigation_Industry!U:U,MATCH($A119,Mitigation_Industry!$H:$H,0))</f>
        <v>0</v>
      </c>
      <c r="V119" s="29">
        <f>INDEX(Mitigation_Industry!V:V,MATCH($A119,Mitigation_Industry!$H:$H,0))</f>
        <v>0</v>
      </c>
      <c r="W119" s="29">
        <f>INDEX(Mitigation_Industry!W:W,MATCH($A119,Mitigation_Industry!$H:$H,0))</f>
        <v>0</v>
      </c>
      <c r="X119" s="29">
        <f>INDEX(Mitigation_Industry!X:X,MATCH($A119,Mitigation_Industry!$H:$H,0))</f>
        <v>0</v>
      </c>
      <c r="Y119" s="29">
        <f>INDEX(Mitigation_Industry!Y:Y,MATCH($A119,Mitigation_Industry!$H:$H,0))</f>
        <v>0</v>
      </c>
      <c r="Z119" s="29">
        <f>INDEX(Mitigation_Industry!Z:Z,MATCH($A119,Mitigation_Industry!$H:$H,0))</f>
        <v>0</v>
      </c>
      <c r="AA119" s="29">
        <f>INDEX(Mitigation_Industry!AA:AA,MATCH($A119,Mitigation_Industry!$H:$H,0))</f>
        <v>0</v>
      </c>
      <c r="AB119" s="29">
        <f>INDEX(Mitigation_Industry!AB:AB,MATCH($A119,Mitigation_Industry!$H:$H,0))</f>
        <v>0</v>
      </c>
      <c r="AC119" s="29">
        <f>INDEX(Mitigation_Industry!AC:AC,MATCH($A119,Mitigation_Industry!$H:$H,0))</f>
        <v>0</v>
      </c>
      <c r="AD119" s="29">
        <f>INDEX(Mitigation_Industry!AD:AD,MATCH($A119,Mitigation_Industry!$H:$H,0))</f>
        <v>0</v>
      </c>
      <c r="AE119" s="29">
        <f>INDEX(Mitigation_Industry!AE:AE,MATCH($A119,Mitigation_Industry!$H:$H,0))</f>
        <v>0</v>
      </c>
    </row>
    <row r="120" spans="1:31" x14ac:dyDescent="0.25">
      <c r="A120" s="41" t="s">
        <v>1240</v>
      </c>
      <c r="B120" s="6" t="s">
        <v>57</v>
      </c>
      <c r="C120" s="6" t="s">
        <v>121</v>
      </c>
      <c r="D120" s="6">
        <v>1</v>
      </c>
      <c r="E120" s="2" t="s">
        <v>1212</v>
      </c>
      <c r="F120" s="43">
        <f>MAX(MAX(L120:AE120),-MIN(L120:AE120))</f>
        <v>0</v>
      </c>
      <c r="K120" s="44">
        <f t="shared" ref="K120:AE120" si="28">IF(ISNUMBER(K118),IF(ISNUMBER(K119),K119-K118,999999),0)</f>
        <v>0</v>
      </c>
      <c r="L120" s="44">
        <f t="shared" si="28"/>
        <v>0</v>
      </c>
      <c r="M120" s="44">
        <f t="shared" si="28"/>
        <v>0</v>
      </c>
      <c r="N120" s="44">
        <f t="shared" si="28"/>
        <v>0</v>
      </c>
      <c r="O120" s="44">
        <f t="shared" si="28"/>
        <v>0</v>
      </c>
      <c r="P120" s="44">
        <f t="shared" si="28"/>
        <v>0</v>
      </c>
      <c r="Q120" s="44">
        <f t="shared" si="28"/>
        <v>0</v>
      </c>
      <c r="R120" s="44">
        <f t="shared" si="28"/>
        <v>0</v>
      </c>
      <c r="S120" s="44">
        <f t="shared" si="28"/>
        <v>0</v>
      </c>
      <c r="T120" s="44">
        <f t="shared" si="28"/>
        <v>0</v>
      </c>
      <c r="U120" s="44">
        <f t="shared" si="28"/>
        <v>0</v>
      </c>
      <c r="V120" s="44">
        <f t="shared" si="28"/>
        <v>0</v>
      </c>
      <c r="W120" s="44">
        <f t="shared" si="28"/>
        <v>0</v>
      </c>
      <c r="X120" s="44">
        <f t="shared" si="28"/>
        <v>0</v>
      </c>
      <c r="Y120" s="44">
        <f t="shared" si="28"/>
        <v>0</v>
      </c>
      <c r="Z120" s="44">
        <f t="shared" si="28"/>
        <v>0</v>
      </c>
      <c r="AA120" s="44">
        <f t="shared" si="28"/>
        <v>0</v>
      </c>
      <c r="AB120" s="44">
        <f t="shared" si="28"/>
        <v>0</v>
      </c>
      <c r="AC120" s="44">
        <f t="shared" si="28"/>
        <v>0</v>
      </c>
      <c r="AD120" s="44">
        <f t="shared" si="28"/>
        <v>0</v>
      </c>
      <c r="AE120" s="44">
        <f t="shared" si="28"/>
        <v>0</v>
      </c>
    </row>
    <row r="122" spans="1:31" x14ac:dyDescent="0.25">
      <c r="A122" s="41" t="s">
        <v>1241</v>
      </c>
      <c r="B122" s="6" t="s">
        <v>59</v>
      </c>
      <c r="C122" s="6" t="s">
        <v>121</v>
      </c>
      <c r="D122" s="6">
        <v>1</v>
      </c>
      <c r="E122" s="6" t="s">
        <v>1210</v>
      </c>
      <c r="K122" s="29"/>
      <c r="L122" s="29">
        <v>0</v>
      </c>
      <c r="M122" s="29">
        <v>0</v>
      </c>
      <c r="N122" s="29">
        <v>0</v>
      </c>
      <c r="O122" s="29">
        <v>0</v>
      </c>
      <c r="P122" s="29">
        <v>0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>
        <v>0</v>
      </c>
      <c r="AC122" s="29">
        <v>0</v>
      </c>
      <c r="AD122" s="29">
        <v>0</v>
      </c>
      <c r="AE122" s="29">
        <v>0</v>
      </c>
    </row>
    <row r="123" spans="1:31" x14ac:dyDescent="0.25">
      <c r="A123" s="41" t="s">
        <v>1241</v>
      </c>
      <c r="B123" s="6" t="s">
        <v>59</v>
      </c>
      <c r="C123" s="6" t="s">
        <v>121</v>
      </c>
      <c r="D123" s="6">
        <v>1</v>
      </c>
      <c r="E123" s="6" t="s">
        <v>1211</v>
      </c>
      <c r="K123" s="29">
        <f>INDEX(Mitigation_Industry!K:K,MATCH($A123,Mitigation_Industry!$H:$H,0))</f>
        <v>0</v>
      </c>
      <c r="L123" s="29">
        <f>INDEX(Mitigation_Industry!L:L,MATCH($A123,Mitigation_Industry!$H:$H,0))</f>
        <v>0</v>
      </c>
      <c r="M123" s="29">
        <f>INDEX(Mitigation_Industry!M:M,MATCH($A123,Mitigation_Industry!$H:$H,0))</f>
        <v>0</v>
      </c>
      <c r="N123" s="29">
        <f>INDEX(Mitigation_Industry!N:N,MATCH($A123,Mitigation_Industry!$H:$H,0))</f>
        <v>0</v>
      </c>
      <c r="O123" s="29">
        <f>INDEX(Mitigation_Industry!O:O,MATCH($A123,Mitigation_Industry!$H:$H,0))</f>
        <v>0</v>
      </c>
      <c r="P123" s="29">
        <f>INDEX(Mitigation_Industry!P:P,MATCH($A123,Mitigation_Industry!$H:$H,0))</f>
        <v>0</v>
      </c>
      <c r="Q123" s="29">
        <f>INDEX(Mitigation_Industry!Q:Q,MATCH($A123,Mitigation_Industry!$H:$H,0))</f>
        <v>0</v>
      </c>
      <c r="R123" s="29">
        <f>INDEX(Mitigation_Industry!R:R,MATCH($A123,Mitigation_Industry!$H:$H,0))</f>
        <v>0</v>
      </c>
      <c r="S123" s="29">
        <f>INDEX(Mitigation_Industry!S:S,MATCH($A123,Mitigation_Industry!$H:$H,0))</f>
        <v>0</v>
      </c>
      <c r="T123" s="29">
        <f>INDEX(Mitigation_Industry!T:T,MATCH($A123,Mitigation_Industry!$H:$H,0))</f>
        <v>0</v>
      </c>
      <c r="U123" s="29">
        <f>INDEX(Mitigation_Industry!U:U,MATCH($A123,Mitigation_Industry!$H:$H,0))</f>
        <v>0</v>
      </c>
      <c r="V123" s="29">
        <f>INDEX(Mitigation_Industry!V:V,MATCH($A123,Mitigation_Industry!$H:$H,0))</f>
        <v>0</v>
      </c>
      <c r="W123" s="29">
        <f>INDEX(Mitigation_Industry!W:W,MATCH($A123,Mitigation_Industry!$H:$H,0))</f>
        <v>0</v>
      </c>
      <c r="X123" s="29">
        <f>INDEX(Mitigation_Industry!X:X,MATCH($A123,Mitigation_Industry!$H:$H,0))</f>
        <v>0</v>
      </c>
      <c r="Y123" s="29">
        <f>INDEX(Mitigation_Industry!Y:Y,MATCH($A123,Mitigation_Industry!$H:$H,0))</f>
        <v>0</v>
      </c>
      <c r="Z123" s="29">
        <f>INDEX(Mitigation_Industry!Z:Z,MATCH($A123,Mitigation_Industry!$H:$H,0))</f>
        <v>0</v>
      </c>
      <c r="AA123" s="29">
        <f>INDEX(Mitigation_Industry!AA:AA,MATCH($A123,Mitigation_Industry!$H:$H,0))</f>
        <v>0</v>
      </c>
      <c r="AB123" s="29">
        <f>INDEX(Mitigation_Industry!AB:AB,MATCH($A123,Mitigation_Industry!$H:$H,0))</f>
        <v>0</v>
      </c>
      <c r="AC123" s="29">
        <f>INDEX(Mitigation_Industry!AC:AC,MATCH($A123,Mitigation_Industry!$H:$H,0))</f>
        <v>0</v>
      </c>
      <c r="AD123" s="29">
        <f>INDEX(Mitigation_Industry!AD:AD,MATCH($A123,Mitigation_Industry!$H:$H,0))</f>
        <v>0</v>
      </c>
      <c r="AE123" s="29">
        <f>INDEX(Mitigation_Industry!AE:AE,MATCH($A123,Mitigation_Industry!$H:$H,0))</f>
        <v>0</v>
      </c>
    </row>
    <row r="124" spans="1:31" x14ac:dyDescent="0.25">
      <c r="A124" s="41" t="s">
        <v>1241</v>
      </c>
      <c r="B124" s="6" t="s">
        <v>59</v>
      </c>
      <c r="C124" s="6" t="s">
        <v>121</v>
      </c>
      <c r="D124" s="6">
        <v>1</v>
      </c>
      <c r="E124" s="2" t="s">
        <v>1212</v>
      </c>
      <c r="F124" s="43">
        <f>MAX(MAX(L124:AE124),-MIN(L124:AE124))</f>
        <v>0</v>
      </c>
      <c r="K124" s="44">
        <f t="shared" ref="K124:AE124" si="29">IF(ISNUMBER(K122),IF(ISNUMBER(K123),K123-K122,999999),0)</f>
        <v>0</v>
      </c>
      <c r="L124" s="44">
        <f t="shared" si="29"/>
        <v>0</v>
      </c>
      <c r="M124" s="44">
        <f t="shared" si="29"/>
        <v>0</v>
      </c>
      <c r="N124" s="44">
        <f t="shared" si="29"/>
        <v>0</v>
      </c>
      <c r="O124" s="44">
        <f t="shared" si="29"/>
        <v>0</v>
      </c>
      <c r="P124" s="44">
        <f t="shared" si="29"/>
        <v>0</v>
      </c>
      <c r="Q124" s="44">
        <f t="shared" si="29"/>
        <v>0</v>
      </c>
      <c r="R124" s="44">
        <f t="shared" si="29"/>
        <v>0</v>
      </c>
      <c r="S124" s="44">
        <f t="shared" si="29"/>
        <v>0</v>
      </c>
      <c r="T124" s="44">
        <f t="shared" si="29"/>
        <v>0</v>
      </c>
      <c r="U124" s="44">
        <f t="shared" si="29"/>
        <v>0</v>
      </c>
      <c r="V124" s="44">
        <f t="shared" si="29"/>
        <v>0</v>
      </c>
      <c r="W124" s="44">
        <f t="shared" si="29"/>
        <v>0</v>
      </c>
      <c r="X124" s="44">
        <f t="shared" si="29"/>
        <v>0</v>
      </c>
      <c r="Y124" s="44">
        <f t="shared" si="29"/>
        <v>0</v>
      </c>
      <c r="Z124" s="44">
        <f t="shared" si="29"/>
        <v>0</v>
      </c>
      <c r="AA124" s="44">
        <f t="shared" si="29"/>
        <v>0</v>
      </c>
      <c r="AB124" s="44">
        <f t="shared" si="29"/>
        <v>0</v>
      </c>
      <c r="AC124" s="44">
        <f t="shared" si="29"/>
        <v>0</v>
      </c>
      <c r="AD124" s="44">
        <f t="shared" si="29"/>
        <v>0</v>
      </c>
      <c r="AE124" s="44">
        <f t="shared" si="29"/>
        <v>0</v>
      </c>
    </row>
    <row r="126" spans="1:31" x14ac:dyDescent="0.25">
      <c r="A126" s="41" t="s">
        <v>1242</v>
      </c>
      <c r="B126" s="6" t="s">
        <v>62</v>
      </c>
      <c r="C126" s="6" t="s">
        <v>121</v>
      </c>
      <c r="D126" s="6">
        <v>1</v>
      </c>
      <c r="E126" s="6" t="s">
        <v>1210</v>
      </c>
      <c r="K126" s="29"/>
      <c r="L126" s="29">
        <v>0</v>
      </c>
      <c r="M126" s="29">
        <v>0</v>
      </c>
      <c r="N126" s="29">
        <v>0</v>
      </c>
      <c r="O126" s="29">
        <v>0</v>
      </c>
      <c r="P126" s="29">
        <v>0</v>
      </c>
      <c r="Q126" s="29">
        <v>0</v>
      </c>
      <c r="R126" s="29">
        <v>0</v>
      </c>
      <c r="S126" s="29">
        <v>0</v>
      </c>
      <c r="T126" s="29">
        <v>0</v>
      </c>
      <c r="U126" s="29">
        <v>0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>
        <v>0</v>
      </c>
      <c r="AC126" s="29">
        <v>0</v>
      </c>
      <c r="AD126" s="29">
        <v>0</v>
      </c>
      <c r="AE126" s="29">
        <v>0</v>
      </c>
    </row>
    <row r="127" spans="1:31" x14ac:dyDescent="0.25">
      <c r="A127" s="41" t="s">
        <v>1242</v>
      </c>
      <c r="B127" s="6" t="s">
        <v>62</v>
      </c>
      <c r="C127" s="6" t="s">
        <v>121</v>
      </c>
      <c r="D127" s="6">
        <v>1</v>
      </c>
      <c r="E127" s="6" t="s">
        <v>1211</v>
      </c>
      <c r="K127" s="29">
        <f>INDEX(Mitigation_Industry!K:K,MATCH($A127,Mitigation_Industry!$H:$H,0))</f>
        <v>0</v>
      </c>
      <c r="L127" s="29">
        <f>INDEX(Mitigation_Industry!L:L,MATCH($A127,Mitigation_Industry!$H:$H,0))</f>
        <v>0</v>
      </c>
      <c r="M127" s="29">
        <f>INDEX(Mitigation_Industry!M:M,MATCH($A127,Mitigation_Industry!$H:$H,0))</f>
        <v>0</v>
      </c>
      <c r="N127" s="29">
        <f>INDEX(Mitigation_Industry!N:N,MATCH($A127,Mitigation_Industry!$H:$H,0))</f>
        <v>0</v>
      </c>
      <c r="O127" s="29">
        <f>INDEX(Mitigation_Industry!O:O,MATCH($A127,Mitigation_Industry!$H:$H,0))</f>
        <v>0</v>
      </c>
      <c r="P127" s="29">
        <f>INDEX(Mitigation_Industry!P:P,MATCH($A127,Mitigation_Industry!$H:$H,0))</f>
        <v>0</v>
      </c>
      <c r="Q127" s="29">
        <f>INDEX(Mitigation_Industry!Q:Q,MATCH($A127,Mitigation_Industry!$H:$H,0))</f>
        <v>0</v>
      </c>
      <c r="R127" s="29">
        <f>INDEX(Mitigation_Industry!R:R,MATCH($A127,Mitigation_Industry!$H:$H,0))</f>
        <v>0</v>
      </c>
      <c r="S127" s="29">
        <f>INDEX(Mitigation_Industry!S:S,MATCH($A127,Mitigation_Industry!$H:$H,0))</f>
        <v>0</v>
      </c>
      <c r="T127" s="29">
        <f>INDEX(Mitigation_Industry!T:T,MATCH($A127,Mitigation_Industry!$H:$H,0))</f>
        <v>0</v>
      </c>
      <c r="U127" s="29">
        <f>INDEX(Mitigation_Industry!U:U,MATCH($A127,Mitigation_Industry!$H:$H,0))</f>
        <v>0</v>
      </c>
      <c r="V127" s="29">
        <f>INDEX(Mitigation_Industry!V:V,MATCH($A127,Mitigation_Industry!$H:$H,0))</f>
        <v>0</v>
      </c>
      <c r="W127" s="29">
        <f>INDEX(Mitigation_Industry!W:W,MATCH($A127,Mitigation_Industry!$H:$H,0))</f>
        <v>0</v>
      </c>
      <c r="X127" s="29">
        <f>INDEX(Mitigation_Industry!X:X,MATCH($A127,Mitigation_Industry!$H:$H,0))</f>
        <v>0</v>
      </c>
      <c r="Y127" s="29">
        <f>INDEX(Mitigation_Industry!Y:Y,MATCH($A127,Mitigation_Industry!$H:$H,0))</f>
        <v>0</v>
      </c>
      <c r="Z127" s="29">
        <f>INDEX(Mitigation_Industry!Z:Z,MATCH($A127,Mitigation_Industry!$H:$H,0))</f>
        <v>0</v>
      </c>
      <c r="AA127" s="29">
        <f>INDEX(Mitigation_Industry!AA:AA,MATCH($A127,Mitigation_Industry!$H:$H,0))</f>
        <v>0</v>
      </c>
      <c r="AB127" s="29">
        <f>INDEX(Mitigation_Industry!AB:AB,MATCH($A127,Mitigation_Industry!$H:$H,0))</f>
        <v>0</v>
      </c>
      <c r="AC127" s="29">
        <f>INDEX(Mitigation_Industry!AC:AC,MATCH($A127,Mitigation_Industry!$H:$H,0))</f>
        <v>0</v>
      </c>
      <c r="AD127" s="29">
        <f>INDEX(Mitigation_Industry!AD:AD,MATCH($A127,Mitigation_Industry!$H:$H,0))</f>
        <v>0</v>
      </c>
      <c r="AE127" s="29">
        <f>INDEX(Mitigation_Industry!AE:AE,MATCH($A127,Mitigation_Industry!$H:$H,0))</f>
        <v>0</v>
      </c>
    </row>
    <row r="128" spans="1:31" x14ac:dyDescent="0.25">
      <c r="A128" s="41" t="s">
        <v>1242</v>
      </c>
      <c r="B128" s="6" t="s">
        <v>62</v>
      </c>
      <c r="C128" s="6" t="s">
        <v>121</v>
      </c>
      <c r="D128" s="6">
        <v>1</v>
      </c>
      <c r="E128" s="2" t="s">
        <v>1212</v>
      </c>
      <c r="F128" s="43">
        <f>MAX(MAX(L128:AE128),-MIN(L128:AE128))</f>
        <v>0</v>
      </c>
      <c r="K128" s="44">
        <f t="shared" ref="K128:AE128" si="30">IF(ISNUMBER(K126),IF(ISNUMBER(K127),K127-K126,999999),0)</f>
        <v>0</v>
      </c>
      <c r="L128" s="44">
        <f t="shared" si="30"/>
        <v>0</v>
      </c>
      <c r="M128" s="44">
        <f t="shared" si="30"/>
        <v>0</v>
      </c>
      <c r="N128" s="44">
        <f t="shared" si="30"/>
        <v>0</v>
      </c>
      <c r="O128" s="44">
        <f t="shared" si="30"/>
        <v>0</v>
      </c>
      <c r="P128" s="44">
        <f t="shared" si="30"/>
        <v>0</v>
      </c>
      <c r="Q128" s="44">
        <f t="shared" si="30"/>
        <v>0</v>
      </c>
      <c r="R128" s="44">
        <f t="shared" si="30"/>
        <v>0</v>
      </c>
      <c r="S128" s="44">
        <f t="shared" si="30"/>
        <v>0</v>
      </c>
      <c r="T128" s="44">
        <f t="shared" si="30"/>
        <v>0</v>
      </c>
      <c r="U128" s="44">
        <f t="shared" si="30"/>
        <v>0</v>
      </c>
      <c r="V128" s="44">
        <f t="shared" si="30"/>
        <v>0</v>
      </c>
      <c r="W128" s="44">
        <f t="shared" si="30"/>
        <v>0</v>
      </c>
      <c r="X128" s="44">
        <f t="shared" si="30"/>
        <v>0</v>
      </c>
      <c r="Y128" s="44">
        <f t="shared" si="30"/>
        <v>0</v>
      </c>
      <c r="Z128" s="44">
        <f t="shared" si="30"/>
        <v>0</v>
      </c>
      <c r="AA128" s="44">
        <f t="shared" si="30"/>
        <v>0</v>
      </c>
      <c r="AB128" s="44">
        <f t="shared" si="30"/>
        <v>0</v>
      </c>
      <c r="AC128" s="44">
        <f t="shared" si="30"/>
        <v>0</v>
      </c>
      <c r="AD128" s="44">
        <f t="shared" si="30"/>
        <v>0</v>
      </c>
      <c r="AE128" s="44">
        <f t="shared" si="30"/>
        <v>0</v>
      </c>
    </row>
    <row r="130" spans="1:31" x14ac:dyDescent="0.25">
      <c r="A130" s="41" t="s">
        <v>1243</v>
      </c>
      <c r="B130" s="6" t="s">
        <v>64</v>
      </c>
      <c r="C130" s="6" t="s">
        <v>121</v>
      </c>
      <c r="D130" s="6">
        <v>1</v>
      </c>
      <c r="E130" s="6" t="s">
        <v>1210</v>
      </c>
      <c r="K130" s="29"/>
      <c r="L130" s="29">
        <v>0</v>
      </c>
      <c r="M130" s="29">
        <v>0</v>
      </c>
      <c r="N130" s="29">
        <v>0</v>
      </c>
      <c r="O130" s="29">
        <v>0</v>
      </c>
      <c r="P130" s="29">
        <v>0</v>
      </c>
      <c r="Q130" s="29">
        <v>0</v>
      </c>
      <c r="R130" s="29">
        <v>0</v>
      </c>
      <c r="S130" s="29">
        <v>0</v>
      </c>
      <c r="T130" s="29">
        <v>0</v>
      </c>
      <c r="U130" s="29">
        <v>0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>
        <v>0</v>
      </c>
      <c r="AC130" s="29">
        <v>0</v>
      </c>
      <c r="AD130" s="29">
        <v>0</v>
      </c>
      <c r="AE130" s="29">
        <v>0</v>
      </c>
    </row>
    <row r="131" spans="1:31" x14ac:dyDescent="0.25">
      <c r="A131" s="41" t="s">
        <v>1243</v>
      </c>
      <c r="B131" s="6" t="s">
        <v>64</v>
      </c>
      <c r="C131" s="6" t="s">
        <v>121</v>
      </c>
      <c r="D131" s="6">
        <v>1</v>
      </c>
      <c r="E131" s="6" t="s">
        <v>1211</v>
      </c>
      <c r="K131" s="29">
        <f>INDEX(Mitigation_Industry!K:K,MATCH($A131,Mitigation_Industry!$H:$H,0))</f>
        <v>0</v>
      </c>
      <c r="L131" s="29">
        <f>INDEX(Mitigation_Industry!L:L,MATCH($A131,Mitigation_Industry!$H:$H,0))</f>
        <v>0</v>
      </c>
      <c r="M131" s="29">
        <f>INDEX(Mitigation_Industry!M:M,MATCH($A131,Mitigation_Industry!$H:$H,0))</f>
        <v>0</v>
      </c>
      <c r="N131" s="29">
        <f>INDEX(Mitigation_Industry!N:N,MATCH($A131,Mitigation_Industry!$H:$H,0))</f>
        <v>0</v>
      </c>
      <c r="O131" s="29">
        <f>INDEX(Mitigation_Industry!O:O,MATCH($A131,Mitigation_Industry!$H:$H,0))</f>
        <v>0</v>
      </c>
      <c r="P131" s="29">
        <f>INDEX(Mitigation_Industry!P:P,MATCH($A131,Mitigation_Industry!$H:$H,0))</f>
        <v>0</v>
      </c>
      <c r="Q131" s="29">
        <f>INDEX(Mitigation_Industry!Q:Q,MATCH($A131,Mitigation_Industry!$H:$H,0))</f>
        <v>0</v>
      </c>
      <c r="R131" s="29">
        <f>INDEX(Mitigation_Industry!R:R,MATCH($A131,Mitigation_Industry!$H:$H,0))</f>
        <v>0</v>
      </c>
      <c r="S131" s="29">
        <f>INDEX(Mitigation_Industry!S:S,MATCH($A131,Mitigation_Industry!$H:$H,0))</f>
        <v>0</v>
      </c>
      <c r="T131" s="29">
        <f>INDEX(Mitigation_Industry!T:T,MATCH($A131,Mitigation_Industry!$H:$H,0))</f>
        <v>0</v>
      </c>
      <c r="U131" s="29">
        <f>INDEX(Mitigation_Industry!U:U,MATCH($A131,Mitigation_Industry!$H:$H,0))</f>
        <v>0</v>
      </c>
      <c r="V131" s="29">
        <f>INDEX(Mitigation_Industry!V:V,MATCH($A131,Mitigation_Industry!$H:$H,0))</f>
        <v>0</v>
      </c>
      <c r="W131" s="29">
        <f>INDEX(Mitigation_Industry!W:W,MATCH($A131,Mitigation_Industry!$H:$H,0))</f>
        <v>0</v>
      </c>
      <c r="X131" s="29">
        <f>INDEX(Mitigation_Industry!X:X,MATCH($A131,Mitigation_Industry!$H:$H,0))</f>
        <v>0</v>
      </c>
      <c r="Y131" s="29">
        <f>INDEX(Mitigation_Industry!Y:Y,MATCH($A131,Mitigation_Industry!$H:$H,0))</f>
        <v>0</v>
      </c>
      <c r="Z131" s="29">
        <f>INDEX(Mitigation_Industry!Z:Z,MATCH($A131,Mitigation_Industry!$H:$H,0))</f>
        <v>0</v>
      </c>
      <c r="AA131" s="29">
        <f>INDEX(Mitigation_Industry!AA:AA,MATCH($A131,Mitigation_Industry!$H:$H,0))</f>
        <v>0</v>
      </c>
      <c r="AB131" s="29">
        <f>INDEX(Mitigation_Industry!AB:AB,MATCH($A131,Mitigation_Industry!$H:$H,0))</f>
        <v>0</v>
      </c>
      <c r="AC131" s="29">
        <f>INDEX(Mitigation_Industry!AC:AC,MATCH($A131,Mitigation_Industry!$H:$H,0))</f>
        <v>0</v>
      </c>
      <c r="AD131" s="29">
        <f>INDEX(Mitigation_Industry!AD:AD,MATCH($A131,Mitigation_Industry!$H:$H,0))</f>
        <v>0</v>
      </c>
      <c r="AE131" s="29">
        <f>INDEX(Mitigation_Industry!AE:AE,MATCH($A131,Mitigation_Industry!$H:$H,0))</f>
        <v>0</v>
      </c>
    </row>
    <row r="132" spans="1:31" x14ac:dyDescent="0.25">
      <c r="A132" s="41" t="s">
        <v>1243</v>
      </c>
      <c r="B132" s="6" t="s">
        <v>64</v>
      </c>
      <c r="C132" s="6" t="s">
        <v>121</v>
      </c>
      <c r="D132" s="6">
        <v>1</v>
      </c>
      <c r="E132" s="2" t="s">
        <v>1212</v>
      </c>
      <c r="F132" s="43">
        <f>MAX(MAX(L132:AE132),-MIN(L132:AE132))</f>
        <v>0</v>
      </c>
      <c r="K132" s="44">
        <f t="shared" ref="K132:AE132" si="31">IF(ISNUMBER(K130),IF(ISNUMBER(K131),K131-K130,999999),0)</f>
        <v>0</v>
      </c>
      <c r="L132" s="44">
        <f t="shared" si="31"/>
        <v>0</v>
      </c>
      <c r="M132" s="44">
        <f t="shared" si="31"/>
        <v>0</v>
      </c>
      <c r="N132" s="44">
        <f t="shared" si="31"/>
        <v>0</v>
      </c>
      <c r="O132" s="44">
        <f t="shared" si="31"/>
        <v>0</v>
      </c>
      <c r="P132" s="44">
        <f t="shared" si="31"/>
        <v>0</v>
      </c>
      <c r="Q132" s="44">
        <f t="shared" si="31"/>
        <v>0</v>
      </c>
      <c r="R132" s="44">
        <f t="shared" si="31"/>
        <v>0</v>
      </c>
      <c r="S132" s="44">
        <f t="shared" si="31"/>
        <v>0</v>
      </c>
      <c r="T132" s="44">
        <f t="shared" si="31"/>
        <v>0</v>
      </c>
      <c r="U132" s="44">
        <f t="shared" si="31"/>
        <v>0</v>
      </c>
      <c r="V132" s="44">
        <f t="shared" si="31"/>
        <v>0</v>
      </c>
      <c r="W132" s="44">
        <f t="shared" si="31"/>
        <v>0</v>
      </c>
      <c r="X132" s="44">
        <f t="shared" si="31"/>
        <v>0</v>
      </c>
      <c r="Y132" s="44">
        <f t="shared" si="31"/>
        <v>0</v>
      </c>
      <c r="Z132" s="44">
        <f t="shared" si="31"/>
        <v>0</v>
      </c>
      <c r="AA132" s="44">
        <f t="shared" si="31"/>
        <v>0</v>
      </c>
      <c r="AB132" s="44">
        <f t="shared" si="31"/>
        <v>0</v>
      </c>
      <c r="AC132" s="44">
        <f t="shared" si="31"/>
        <v>0</v>
      </c>
      <c r="AD132" s="44">
        <f t="shared" si="31"/>
        <v>0</v>
      </c>
      <c r="AE132" s="44">
        <f t="shared" si="31"/>
        <v>0</v>
      </c>
    </row>
    <row r="134" spans="1:31" x14ac:dyDescent="0.25">
      <c r="A134" s="41" t="s">
        <v>1244</v>
      </c>
      <c r="B134" s="6" t="s">
        <v>66</v>
      </c>
      <c r="C134" s="6" t="s">
        <v>121</v>
      </c>
      <c r="D134" s="6">
        <v>1</v>
      </c>
      <c r="E134" s="6" t="s">
        <v>1210</v>
      </c>
      <c r="K134" s="29"/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0</v>
      </c>
      <c r="AC134" s="29">
        <v>0</v>
      </c>
      <c r="AD134" s="29">
        <v>0</v>
      </c>
      <c r="AE134" s="29">
        <v>0</v>
      </c>
    </row>
    <row r="135" spans="1:31" x14ac:dyDescent="0.25">
      <c r="A135" s="41" t="s">
        <v>1244</v>
      </c>
      <c r="B135" s="6" t="s">
        <v>66</v>
      </c>
      <c r="C135" s="6" t="s">
        <v>121</v>
      </c>
      <c r="D135" s="6">
        <v>1</v>
      </c>
      <c r="E135" s="6" t="s">
        <v>1211</v>
      </c>
      <c r="K135" s="29">
        <f>INDEX(Mitigation_Industry!K:K,MATCH($A135,Mitigation_Industry!$H:$H,0))</f>
        <v>0</v>
      </c>
      <c r="L135" s="29">
        <f>INDEX(Mitigation_Industry!L:L,MATCH($A135,Mitigation_Industry!$H:$H,0))</f>
        <v>0</v>
      </c>
      <c r="M135" s="29">
        <f>INDEX(Mitigation_Industry!M:M,MATCH($A135,Mitigation_Industry!$H:$H,0))</f>
        <v>0</v>
      </c>
      <c r="N135" s="29">
        <f>INDEX(Mitigation_Industry!N:N,MATCH($A135,Mitigation_Industry!$H:$H,0))</f>
        <v>0</v>
      </c>
      <c r="O135" s="29">
        <f>INDEX(Mitigation_Industry!O:O,MATCH($A135,Mitigation_Industry!$H:$H,0))</f>
        <v>0</v>
      </c>
      <c r="P135" s="29">
        <f>INDEX(Mitigation_Industry!P:P,MATCH($A135,Mitigation_Industry!$H:$H,0))</f>
        <v>0</v>
      </c>
      <c r="Q135" s="29">
        <f>INDEX(Mitigation_Industry!Q:Q,MATCH($A135,Mitigation_Industry!$H:$H,0))</f>
        <v>0</v>
      </c>
      <c r="R135" s="29">
        <f>INDEX(Mitigation_Industry!R:R,MATCH($A135,Mitigation_Industry!$H:$H,0))</f>
        <v>0</v>
      </c>
      <c r="S135" s="29">
        <f>INDEX(Mitigation_Industry!S:S,MATCH($A135,Mitigation_Industry!$H:$H,0))</f>
        <v>0</v>
      </c>
      <c r="T135" s="29">
        <f>INDEX(Mitigation_Industry!T:T,MATCH($A135,Mitigation_Industry!$H:$H,0))</f>
        <v>0</v>
      </c>
      <c r="U135" s="29">
        <f>INDEX(Mitigation_Industry!U:U,MATCH($A135,Mitigation_Industry!$H:$H,0))</f>
        <v>0</v>
      </c>
      <c r="V135" s="29">
        <f>INDEX(Mitigation_Industry!V:V,MATCH($A135,Mitigation_Industry!$H:$H,0))</f>
        <v>0</v>
      </c>
      <c r="W135" s="29">
        <f>INDEX(Mitigation_Industry!W:W,MATCH($A135,Mitigation_Industry!$H:$H,0))</f>
        <v>0</v>
      </c>
      <c r="X135" s="29">
        <f>INDEX(Mitigation_Industry!X:X,MATCH($A135,Mitigation_Industry!$H:$H,0))</f>
        <v>0</v>
      </c>
      <c r="Y135" s="29">
        <f>INDEX(Mitigation_Industry!Y:Y,MATCH($A135,Mitigation_Industry!$H:$H,0))</f>
        <v>0</v>
      </c>
      <c r="Z135" s="29">
        <f>INDEX(Mitigation_Industry!Z:Z,MATCH($A135,Mitigation_Industry!$H:$H,0))</f>
        <v>0</v>
      </c>
      <c r="AA135" s="29">
        <f>INDEX(Mitigation_Industry!AA:AA,MATCH($A135,Mitigation_Industry!$H:$H,0))</f>
        <v>0</v>
      </c>
      <c r="AB135" s="29">
        <f>INDEX(Mitigation_Industry!AB:AB,MATCH($A135,Mitigation_Industry!$H:$H,0))</f>
        <v>0</v>
      </c>
      <c r="AC135" s="29">
        <f>INDEX(Mitigation_Industry!AC:AC,MATCH($A135,Mitigation_Industry!$H:$H,0))</f>
        <v>0</v>
      </c>
      <c r="AD135" s="29">
        <f>INDEX(Mitigation_Industry!AD:AD,MATCH($A135,Mitigation_Industry!$H:$H,0))</f>
        <v>0</v>
      </c>
      <c r="AE135" s="29">
        <f>INDEX(Mitigation_Industry!AE:AE,MATCH($A135,Mitigation_Industry!$H:$H,0))</f>
        <v>0</v>
      </c>
    </row>
    <row r="136" spans="1:31" x14ac:dyDescent="0.25">
      <c r="A136" s="41" t="s">
        <v>1244</v>
      </c>
      <c r="B136" s="6" t="s">
        <v>66</v>
      </c>
      <c r="C136" s="6" t="s">
        <v>121</v>
      </c>
      <c r="D136" s="6">
        <v>1</v>
      </c>
      <c r="E136" s="2" t="s">
        <v>1212</v>
      </c>
      <c r="F136" s="43">
        <f>MAX(MAX(L136:AE136),-MIN(L136:AE136))</f>
        <v>0</v>
      </c>
      <c r="K136" s="44">
        <f t="shared" ref="K136:AE136" si="32">IF(ISNUMBER(K134),IF(ISNUMBER(K135),K135-K134,999999),0)</f>
        <v>0</v>
      </c>
      <c r="L136" s="44">
        <f t="shared" si="32"/>
        <v>0</v>
      </c>
      <c r="M136" s="44">
        <f t="shared" si="32"/>
        <v>0</v>
      </c>
      <c r="N136" s="44">
        <f t="shared" si="32"/>
        <v>0</v>
      </c>
      <c r="O136" s="44">
        <f t="shared" si="32"/>
        <v>0</v>
      </c>
      <c r="P136" s="44">
        <f t="shared" si="32"/>
        <v>0</v>
      </c>
      <c r="Q136" s="44">
        <f t="shared" si="32"/>
        <v>0</v>
      </c>
      <c r="R136" s="44">
        <f t="shared" si="32"/>
        <v>0</v>
      </c>
      <c r="S136" s="44">
        <f t="shared" si="32"/>
        <v>0</v>
      </c>
      <c r="T136" s="44">
        <f t="shared" si="32"/>
        <v>0</v>
      </c>
      <c r="U136" s="44">
        <f t="shared" si="32"/>
        <v>0</v>
      </c>
      <c r="V136" s="44">
        <f t="shared" si="32"/>
        <v>0</v>
      </c>
      <c r="W136" s="44">
        <f t="shared" si="32"/>
        <v>0</v>
      </c>
      <c r="X136" s="44">
        <f t="shared" si="32"/>
        <v>0</v>
      </c>
      <c r="Y136" s="44">
        <f t="shared" si="32"/>
        <v>0</v>
      </c>
      <c r="Z136" s="44">
        <f t="shared" si="32"/>
        <v>0</v>
      </c>
      <c r="AA136" s="44">
        <f t="shared" si="32"/>
        <v>0</v>
      </c>
      <c r="AB136" s="44">
        <f t="shared" si="32"/>
        <v>0</v>
      </c>
      <c r="AC136" s="44">
        <f t="shared" si="32"/>
        <v>0</v>
      </c>
      <c r="AD136" s="44">
        <f t="shared" si="32"/>
        <v>0</v>
      </c>
      <c r="AE136" s="44">
        <f t="shared" si="32"/>
        <v>0</v>
      </c>
    </row>
    <row r="138" spans="1:31" x14ac:dyDescent="0.25">
      <c r="A138" s="41" t="s">
        <v>1245</v>
      </c>
      <c r="B138" s="6" t="s">
        <v>68</v>
      </c>
      <c r="C138" s="6" t="s">
        <v>121</v>
      </c>
      <c r="D138" s="6">
        <v>1</v>
      </c>
      <c r="E138" s="6" t="s">
        <v>1210</v>
      </c>
      <c r="K138" s="29"/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  <c r="AC138" s="29">
        <v>0</v>
      </c>
      <c r="AD138" s="29">
        <v>0</v>
      </c>
      <c r="AE138" s="29">
        <v>0</v>
      </c>
    </row>
    <row r="139" spans="1:31" x14ac:dyDescent="0.25">
      <c r="A139" s="41" t="s">
        <v>1245</v>
      </c>
      <c r="B139" s="6" t="s">
        <v>68</v>
      </c>
      <c r="C139" s="6" t="s">
        <v>121</v>
      </c>
      <c r="D139" s="6">
        <v>1</v>
      </c>
      <c r="E139" s="6" t="s">
        <v>1211</v>
      </c>
      <c r="K139" s="29">
        <f>INDEX(Mitigation_Industry!K:K,MATCH($A139,Mitigation_Industry!$H:$H,0))</f>
        <v>0</v>
      </c>
      <c r="L139" s="29">
        <f>INDEX(Mitigation_Industry!L:L,MATCH($A139,Mitigation_Industry!$H:$H,0))</f>
        <v>0</v>
      </c>
      <c r="M139" s="29">
        <f>INDEX(Mitigation_Industry!M:M,MATCH($A139,Mitigation_Industry!$H:$H,0))</f>
        <v>0</v>
      </c>
      <c r="N139" s="29">
        <f>INDEX(Mitigation_Industry!N:N,MATCH($A139,Mitigation_Industry!$H:$H,0))</f>
        <v>0</v>
      </c>
      <c r="O139" s="29">
        <f>INDEX(Mitigation_Industry!O:O,MATCH($A139,Mitigation_Industry!$H:$H,0))</f>
        <v>0</v>
      </c>
      <c r="P139" s="29">
        <f>INDEX(Mitigation_Industry!P:P,MATCH($A139,Mitigation_Industry!$H:$H,0))</f>
        <v>0</v>
      </c>
      <c r="Q139" s="29">
        <f>INDEX(Mitigation_Industry!Q:Q,MATCH($A139,Mitigation_Industry!$H:$H,0))</f>
        <v>0</v>
      </c>
      <c r="R139" s="29">
        <f>INDEX(Mitigation_Industry!R:R,MATCH($A139,Mitigation_Industry!$H:$H,0))</f>
        <v>0</v>
      </c>
      <c r="S139" s="29">
        <f>INDEX(Mitigation_Industry!S:S,MATCH($A139,Mitigation_Industry!$H:$H,0))</f>
        <v>0</v>
      </c>
      <c r="T139" s="29">
        <f>INDEX(Mitigation_Industry!T:T,MATCH($A139,Mitigation_Industry!$H:$H,0))</f>
        <v>0</v>
      </c>
      <c r="U139" s="29">
        <f>INDEX(Mitigation_Industry!U:U,MATCH($A139,Mitigation_Industry!$H:$H,0))</f>
        <v>0</v>
      </c>
      <c r="V139" s="29">
        <f>INDEX(Mitigation_Industry!V:V,MATCH($A139,Mitigation_Industry!$H:$H,0))</f>
        <v>0</v>
      </c>
      <c r="W139" s="29">
        <f>INDEX(Mitigation_Industry!W:W,MATCH($A139,Mitigation_Industry!$H:$H,0))</f>
        <v>0</v>
      </c>
      <c r="X139" s="29">
        <f>INDEX(Mitigation_Industry!X:X,MATCH($A139,Mitigation_Industry!$H:$H,0))</f>
        <v>0</v>
      </c>
      <c r="Y139" s="29">
        <f>INDEX(Mitigation_Industry!Y:Y,MATCH($A139,Mitigation_Industry!$H:$H,0))</f>
        <v>0</v>
      </c>
      <c r="Z139" s="29">
        <f>INDEX(Mitigation_Industry!Z:Z,MATCH($A139,Mitigation_Industry!$H:$H,0))</f>
        <v>0</v>
      </c>
      <c r="AA139" s="29">
        <f>INDEX(Mitigation_Industry!AA:AA,MATCH($A139,Mitigation_Industry!$H:$H,0))</f>
        <v>0</v>
      </c>
      <c r="AB139" s="29">
        <f>INDEX(Mitigation_Industry!AB:AB,MATCH($A139,Mitigation_Industry!$H:$H,0))</f>
        <v>0</v>
      </c>
      <c r="AC139" s="29">
        <f>INDEX(Mitigation_Industry!AC:AC,MATCH($A139,Mitigation_Industry!$H:$H,0))</f>
        <v>0</v>
      </c>
      <c r="AD139" s="29">
        <f>INDEX(Mitigation_Industry!AD:AD,MATCH($A139,Mitigation_Industry!$H:$H,0))</f>
        <v>0</v>
      </c>
      <c r="AE139" s="29">
        <f>INDEX(Mitigation_Industry!AE:AE,MATCH($A139,Mitigation_Industry!$H:$H,0))</f>
        <v>0</v>
      </c>
    </row>
    <row r="140" spans="1:31" x14ac:dyDescent="0.25">
      <c r="A140" s="41" t="s">
        <v>1245</v>
      </c>
      <c r="B140" s="6" t="s">
        <v>68</v>
      </c>
      <c r="C140" s="6" t="s">
        <v>121</v>
      </c>
      <c r="D140" s="6">
        <v>1</v>
      </c>
      <c r="E140" s="2" t="s">
        <v>1212</v>
      </c>
      <c r="F140" s="43">
        <f>MAX(MAX(L140:AE140),-MIN(L140:AE140))</f>
        <v>0</v>
      </c>
      <c r="K140" s="44">
        <f t="shared" ref="K140:AE140" si="33">IF(ISNUMBER(K138),IF(ISNUMBER(K139),K139-K138,999999),0)</f>
        <v>0</v>
      </c>
      <c r="L140" s="44">
        <f t="shared" si="33"/>
        <v>0</v>
      </c>
      <c r="M140" s="44">
        <f t="shared" si="33"/>
        <v>0</v>
      </c>
      <c r="N140" s="44">
        <f t="shared" si="33"/>
        <v>0</v>
      </c>
      <c r="O140" s="44">
        <f t="shared" si="33"/>
        <v>0</v>
      </c>
      <c r="P140" s="44">
        <f t="shared" si="33"/>
        <v>0</v>
      </c>
      <c r="Q140" s="44">
        <f t="shared" si="33"/>
        <v>0</v>
      </c>
      <c r="R140" s="44">
        <f t="shared" si="33"/>
        <v>0</v>
      </c>
      <c r="S140" s="44">
        <f t="shared" si="33"/>
        <v>0</v>
      </c>
      <c r="T140" s="44">
        <f t="shared" si="33"/>
        <v>0</v>
      </c>
      <c r="U140" s="44">
        <f t="shared" si="33"/>
        <v>0</v>
      </c>
      <c r="V140" s="44">
        <f t="shared" si="33"/>
        <v>0</v>
      </c>
      <c r="W140" s="44">
        <f t="shared" si="33"/>
        <v>0</v>
      </c>
      <c r="X140" s="44">
        <f t="shared" si="33"/>
        <v>0</v>
      </c>
      <c r="Y140" s="44">
        <f t="shared" si="33"/>
        <v>0</v>
      </c>
      <c r="Z140" s="44">
        <f t="shared" si="33"/>
        <v>0</v>
      </c>
      <c r="AA140" s="44">
        <f t="shared" si="33"/>
        <v>0</v>
      </c>
      <c r="AB140" s="44">
        <f t="shared" si="33"/>
        <v>0</v>
      </c>
      <c r="AC140" s="44">
        <f t="shared" si="33"/>
        <v>0</v>
      </c>
      <c r="AD140" s="44">
        <f t="shared" si="33"/>
        <v>0</v>
      </c>
      <c r="AE140" s="44">
        <f t="shared" si="33"/>
        <v>0</v>
      </c>
    </row>
    <row r="142" spans="1:31" x14ac:dyDescent="0.25">
      <c r="A142" s="41" t="s">
        <v>1246</v>
      </c>
      <c r="B142" s="6" t="s">
        <v>71</v>
      </c>
      <c r="C142" s="6" t="s">
        <v>121</v>
      </c>
      <c r="D142" s="6">
        <v>1</v>
      </c>
      <c r="E142" s="6" t="s">
        <v>1210</v>
      </c>
      <c r="K142" s="29"/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  <c r="AC142" s="29">
        <v>0</v>
      </c>
      <c r="AD142" s="29">
        <v>0</v>
      </c>
      <c r="AE142" s="29">
        <v>0</v>
      </c>
    </row>
    <row r="143" spans="1:31" x14ac:dyDescent="0.25">
      <c r="A143" s="41" t="s">
        <v>1246</v>
      </c>
      <c r="B143" s="6" t="s">
        <v>71</v>
      </c>
      <c r="C143" s="6" t="s">
        <v>121</v>
      </c>
      <c r="D143" s="6">
        <v>1</v>
      </c>
      <c r="E143" s="6" t="s">
        <v>1211</v>
      </c>
      <c r="K143" s="29">
        <f>INDEX(Mitigation_Industry!K:K,MATCH($A143,Mitigation_Industry!$H:$H,0))</f>
        <v>0</v>
      </c>
      <c r="L143" s="29">
        <f>INDEX(Mitigation_Industry!L:L,MATCH($A143,Mitigation_Industry!$H:$H,0))</f>
        <v>0</v>
      </c>
      <c r="M143" s="29">
        <f>INDEX(Mitigation_Industry!M:M,MATCH($A143,Mitigation_Industry!$H:$H,0))</f>
        <v>0</v>
      </c>
      <c r="N143" s="29">
        <f>INDEX(Mitigation_Industry!N:N,MATCH($A143,Mitigation_Industry!$H:$H,0))</f>
        <v>0</v>
      </c>
      <c r="O143" s="29">
        <f>INDEX(Mitigation_Industry!O:O,MATCH($A143,Mitigation_Industry!$H:$H,0))</f>
        <v>0</v>
      </c>
      <c r="P143" s="29">
        <f>INDEX(Mitigation_Industry!P:P,MATCH($A143,Mitigation_Industry!$H:$H,0))</f>
        <v>0</v>
      </c>
      <c r="Q143" s="29">
        <f>INDEX(Mitigation_Industry!Q:Q,MATCH($A143,Mitigation_Industry!$H:$H,0))</f>
        <v>0</v>
      </c>
      <c r="R143" s="29">
        <f>INDEX(Mitigation_Industry!R:R,MATCH($A143,Mitigation_Industry!$H:$H,0))</f>
        <v>0</v>
      </c>
      <c r="S143" s="29">
        <f>INDEX(Mitigation_Industry!S:S,MATCH($A143,Mitigation_Industry!$H:$H,0))</f>
        <v>0</v>
      </c>
      <c r="T143" s="29">
        <f>INDEX(Mitigation_Industry!T:T,MATCH($A143,Mitigation_Industry!$H:$H,0))</f>
        <v>0</v>
      </c>
      <c r="U143" s="29">
        <f>INDEX(Mitigation_Industry!U:U,MATCH($A143,Mitigation_Industry!$H:$H,0))</f>
        <v>0</v>
      </c>
      <c r="V143" s="29">
        <f>INDEX(Mitigation_Industry!V:V,MATCH($A143,Mitigation_Industry!$H:$H,0))</f>
        <v>0</v>
      </c>
      <c r="W143" s="29">
        <f>INDEX(Mitigation_Industry!W:W,MATCH($A143,Mitigation_Industry!$H:$H,0))</f>
        <v>0</v>
      </c>
      <c r="X143" s="29">
        <f>INDEX(Mitigation_Industry!X:X,MATCH($A143,Mitigation_Industry!$H:$H,0))</f>
        <v>0</v>
      </c>
      <c r="Y143" s="29">
        <f>INDEX(Mitigation_Industry!Y:Y,MATCH($A143,Mitigation_Industry!$H:$H,0))</f>
        <v>0</v>
      </c>
      <c r="Z143" s="29">
        <f>INDEX(Mitigation_Industry!Z:Z,MATCH($A143,Mitigation_Industry!$H:$H,0))</f>
        <v>0</v>
      </c>
      <c r="AA143" s="29">
        <f>INDEX(Mitigation_Industry!AA:AA,MATCH($A143,Mitigation_Industry!$H:$H,0))</f>
        <v>0</v>
      </c>
      <c r="AB143" s="29">
        <f>INDEX(Mitigation_Industry!AB:AB,MATCH($A143,Mitigation_Industry!$H:$H,0))</f>
        <v>0</v>
      </c>
      <c r="AC143" s="29">
        <f>INDEX(Mitigation_Industry!AC:AC,MATCH($A143,Mitigation_Industry!$H:$H,0))</f>
        <v>0</v>
      </c>
      <c r="AD143" s="29">
        <f>INDEX(Mitigation_Industry!AD:AD,MATCH($A143,Mitigation_Industry!$H:$H,0))</f>
        <v>0</v>
      </c>
      <c r="AE143" s="29">
        <f>INDEX(Mitigation_Industry!AE:AE,MATCH($A143,Mitigation_Industry!$H:$H,0))</f>
        <v>0</v>
      </c>
    </row>
    <row r="144" spans="1:31" x14ac:dyDescent="0.25">
      <c r="A144" s="41" t="s">
        <v>1246</v>
      </c>
      <c r="B144" s="6" t="s">
        <v>71</v>
      </c>
      <c r="C144" s="6" t="s">
        <v>121</v>
      </c>
      <c r="D144" s="6">
        <v>1</v>
      </c>
      <c r="E144" s="2" t="s">
        <v>1212</v>
      </c>
      <c r="F144" s="43">
        <f>MAX(MAX(L144:AE144),-MIN(L144:AE144))</f>
        <v>0</v>
      </c>
      <c r="K144" s="44">
        <f t="shared" ref="K144:AE144" si="34">IF(ISNUMBER(K142),IF(ISNUMBER(K143),K143-K142,999999),0)</f>
        <v>0</v>
      </c>
      <c r="L144" s="44">
        <f t="shared" si="34"/>
        <v>0</v>
      </c>
      <c r="M144" s="44">
        <f t="shared" si="34"/>
        <v>0</v>
      </c>
      <c r="N144" s="44">
        <f t="shared" si="34"/>
        <v>0</v>
      </c>
      <c r="O144" s="44">
        <f t="shared" si="34"/>
        <v>0</v>
      </c>
      <c r="P144" s="44">
        <f t="shared" si="34"/>
        <v>0</v>
      </c>
      <c r="Q144" s="44">
        <f t="shared" si="34"/>
        <v>0</v>
      </c>
      <c r="R144" s="44">
        <f t="shared" si="34"/>
        <v>0</v>
      </c>
      <c r="S144" s="44">
        <f t="shared" si="34"/>
        <v>0</v>
      </c>
      <c r="T144" s="44">
        <f t="shared" si="34"/>
        <v>0</v>
      </c>
      <c r="U144" s="44">
        <f t="shared" si="34"/>
        <v>0</v>
      </c>
      <c r="V144" s="44">
        <f t="shared" si="34"/>
        <v>0</v>
      </c>
      <c r="W144" s="44">
        <f t="shared" si="34"/>
        <v>0</v>
      </c>
      <c r="X144" s="44">
        <f t="shared" si="34"/>
        <v>0</v>
      </c>
      <c r="Y144" s="44">
        <f t="shared" si="34"/>
        <v>0</v>
      </c>
      <c r="Z144" s="44">
        <f t="shared" si="34"/>
        <v>0</v>
      </c>
      <c r="AA144" s="44">
        <f t="shared" si="34"/>
        <v>0</v>
      </c>
      <c r="AB144" s="44">
        <f t="shared" si="34"/>
        <v>0</v>
      </c>
      <c r="AC144" s="44">
        <f t="shared" si="34"/>
        <v>0</v>
      </c>
      <c r="AD144" s="44">
        <f t="shared" si="34"/>
        <v>0</v>
      </c>
      <c r="AE144" s="44">
        <f t="shared" si="34"/>
        <v>0</v>
      </c>
    </row>
    <row r="146" spans="1:31" x14ac:dyDescent="0.25">
      <c r="A146" s="41" t="s">
        <v>1247</v>
      </c>
      <c r="B146" s="6" t="s">
        <v>73</v>
      </c>
      <c r="C146" s="6" t="s">
        <v>121</v>
      </c>
      <c r="D146" s="6">
        <v>1</v>
      </c>
      <c r="E146" s="6" t="s">
        <v>1210</v>
      </c>
      <c r="K146" s="29"/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  <c r="AC146" s="29">
        <v>0</v>
      </c>
      <c r="AD146" s="29">
        <v>0</v>
      </c>
      <c r="AE146" s="29">
        <v>0</v>
      </c>
    </row>
    <row r="147" spans="1:31" x14ac:dyDescent="0.25">
      <c r="A147" s="41" t="s">
        <v>1247</v>
      </c>
      <c r="B147" s="6" t="s">
        <v>73</v>
      </c>
      <c r="C147" s="6" t="s">
        <v>121</v>
      </c>
      <c r="D147" s="6">
        <v>1</v>
      </c>
      <c r="E147" s="6" t="s">
        <v>1211</v>
      </c>
      <c r="K147" s="29">
        <f>INDEX(Mitigation_Industry!K:K,MATCH($A147,Mitigation_Industry!$H:$H,0))</f>
        <v>0</v>
      </c>
      <c r="L147" s="29">
        <f>INDEX(Mitigation_Industry!L:L,MATCH($A147,Mitigation_Industry!$H:$H,0))</f>
        <v>0</v>
      </c>
      <c r="M147" s="29">
        <f>INDEX(Mitigation_Industry!M:M,MATCH($A147,Mitigation_Industry!$H:$H,0))</f>
        <v>0</v>
      </c>
      <c r="N147" s="29">
        <f>INDEX(Mitigation_Industry!N:N,MATCH($A147,Mitigation_Industry!$H:$H,0))</f>
        <v>0</v>
      </c>
      <c r="O147" s="29">
        <f>INDEX(Mitigation_Industry!O:O,MATCH($A147,Mitigation_Industry!$H:$H,0))</f>
        <v>0</v>
      </c>
      <c r="P147" s="29">
        <f>INDEX(Mitigation_Industry!P:P,MATCH($A147,Mitigation_Industry!$H:$H,0))</f>
        <v>0</v>
      </c>
      <c r="Q147" s="29">
        <f>INDEX(Mitigation_Industry!Q:Q,MATCH($A147,Mitigation_Industry!$H:$H,0))</f>
        <v>0</v>
      </c>
      <c r="R147" s="29">
        <f>INDEX(Mitigation_Industry!R:R,MATCH($A147,Mitigation_Industry!$H:$H,0))</f>
        <v>0</v>
      </c>
      <c r="S147" s="29">
        <f>INDEX(Mitigation_Industry!S:S,MATCH($A147,Mitigation_Industry!$H:$H,0))</f>
        <v>0</v>
      </c>
      <c r="T147" s="29">
        <f>INDEX(Mitigation_Industry!T:T,MATCH($A147,Mitigation_Industry!$H:$H,0))</f>
        <v>0</v>
      </c>
      <c r="U147" s="29">
        <f>INDEX(Mitigation_Industry!U:U,MATCH($A147,Mitigation_Industry!$H:$H,0))</f>
        <v>0</v>
      </c>
      <c r="V147" s="29">
        <f>INDEX(Mitigation_Industry!V:V,MATCH($A147,Mitigation_Industry!$H:$H,0))</f>
        <v>0</v>
      </c>
      <c r="W147" s="29">
        <f>INDEX(Mitigation_Industry!W:W,MATCH($A147,Mitigation_Industry!$H:$H,0))</f>
        <v>0</v>
      </c>
      <c r="X147" s="29">
        <f>INDEX(Mitigation_Industry!X:X,MATCH($A147,Mitigation_Industry!$H:$H,0))</f>
        <v>0</v>
      </c>
      <c r="Y147" s="29">
        <f>INDEX(Mitigation_Industry!Y:Y,MATCH($A147,Mitigation_Industry!$H:$H,0))</f>
        <v>0</v>
      </c>
      <c r="Z147" s="29">
        <f>INDEX(Mitigation_Industry!Z:Z,MATCH($A147,Mitigation_Industry!$H:$H,0))</f>
        <v>0</v>
      </c>
      <c r="AA147" s="29">
        <f>INDEX(Mitigation_Industry!AA:AA,MATCH($A147,Mitigation_Industry!$H:$H,0))</f>
        <v>0</v>
      </c>
      <c r="AB147" s="29">
        <f>INDEX(Mitigation_Industry!AB:AB,MATCH($A147,Mitigation_Industry!$H:$H,0))</f>
        <v>0</v>
      </c>
      <c r="AC147" s="29">
        <f>INDEX(Mitigation_Industry!AC:AC,MATCH($A147,Mitigation_Industry!$H:$H,0))</f>
        <v>0</v>
      </c>
      <c r="AD147" s="29">
        <f>INDEX(Mitigation_Industry!AD:AD,MATCH($A147,Mitigation_Industry!$H:$H,0))</f>
        <v>0</v>
      </c>
      <c r="AE147" s="29">
        <f>INDEX(Mitigation_Industry!AE:AE,MATCH($A147,Mitigation_Industry!$H:$H,0))</f>
        <v>0</v>
      </c>
    </row>
    <row r="148" spans="1:31" x14ac:dyDescent="0.25">
      <c r="A148" s="41" t="s">
        <v>1247</v>
      </c>
      <c r="B148" s="6" t="s">
        <v>73</v>
      </c>
      <c r="C148" s="6" t="s">
        <v>121</v>
      </c>
      <c r="D148" s="6">
        <v>1</v>
      </c>
      <c r="E148" s="2" t="s">
        <v>1212</v>
      </c>
      <c r="F148" s="43">
        <f>MAX(MAX(L148:AE148),-MIN(L148:AE148))</f>
        <v>0</v>
      </c>
      <c r="K148" s="44">
        <f t="shared" ref="K148:AE148" si="35">IF(ISNUMBER(K146),IF(ISNUMBER(K147),K147-K146,999999),0)</f>
        <v>0</v>
      </c>
      <c r="L148" s="44">
        <f t="shared" si="35"/>
        <v>0</v>
      </c>
      <c r="M148" s="44">
        <f t="shared" si="35"/>
        <v>0</v>
      </c>
      <c r="N148" s="44">
        <f t="shared" si="35"/>
        <v>0</v>
      </c>
      <c r="O148" s="44">
        <f t="shared" si="35"/>
        <v>0</v>
      </c>
      <c r="P148" s="44">
        <f t="shared" si="35"/>
        <v>0</v>
      </c>
      <c r="Q148" s="44">
        <f t="shared" si="35"/>
        <v>0</v>
      </c>
      <c r="R148" s="44">
        <f t="shared" si="35"/>
        <v>0</v>
      </c>
      <c r="S148" s="44">
        <f t="shared" si="35"/>
        <v>0</v>
      </c>
      <c r="T148" s="44">
        <f t="shared" si="35"/>
        <v>0</v>
      </c>
      <c r="U148" s="44">
        <f t="shared" si="35"/>
        <v>0</v>
      </c>
      <c r="V148" s="44">
        <f t="shared" si="35"/>
        <v>0</v>
      </c>
      <c r="W148" s="44">
        <f t="shared" si="35"/>
        <v>0</v>
      </c>
      <c r="X148" s="44">
        <f t="shared" si="35"/>
        <v>0</v>
      </c>
      <c r="Y148" s="44">
        <f t="shared" si="35"/>
        <v>0</v>
      </c>
      <c r="Z148" s="44">
        <f t="shared" si="35"/>
        <v>0</v>
      </c>
      <c r="AA148" s="44">
        <f t="shared" si="35"/>
        <v>0</v>
      </c>
      <c r="AB148" s="44">
        <f t="shared" si="35"/>
        <v>0</v>
      </c>
      <c r="AC148" s="44">
        <f t="shared" si="35"/>
        <v>0</v>
      </c>
      <c r="AD148" s="44">
        <f t="shared" si="35"/>
        <v>0</v>
      </c>
      <c r="AE148" s="44">
        <f t="shared" si="35"/>
        <v>0</v>
      </c>
    </row>
    <row r="150" spans="1:31" x14ac:dyDescent="0.25">
      <c r="A150" s="41" t="s">
        <v>1248</v>
      </c>
      <c r="B150" s="6" t="s">
        <v>53</v>
      </c>
      <c r="C150" s="6" t="s">
        <v>47</v>
      </c>
      <c r="D150" s="6">
        <v>2</v>
      </c>
      <c r="E150" s="6" t="s">
        <v>1210</v>
      </c>
      <c r="K150" s="29"/>
      <c r="L150" s="29">
        <v>232.65735477013141</v>
      </c>
      <c r="M150" s="29">
        <v>189.45265610688719</v>
      </c>
      <c r="N150" s="29">
        <v>217.72883870914129</v>
      </c>
      <c r="O150" s="29">
        <v>237.8979301504894</v>
      </c>
      <c r="P150" s="29">
        <v>232.65006903124481</v>
      </c>
      <c r="Q150" s="29">
        <v>218.61847136811511</v>
      </c>
      <c r="R150" s="29">
        <v>210.28498690349551</v>
      </c>
      <c r="S150" s="29">
        <v>203.14643963897569</v>
      </c>
      <c r="T150" s="29">
        <v>196.84230886321839</v>
      </c>
      <c r="U150" s="29">
        <v>191.3907574953804</v>
      </c>
      <c r="V150" s="29">
        <v>186.2178811492565</v>
      </c>
      <c r="W150" s="29">
        <v>181.78008799508271</v>
      </c>
      <c r="X150" s="29">
        <v>177.97349187208519</v>
      </c>
      <c r="Y150" s="29">
        <v>174.72635256308371</v>
      </c>
      <c r="Z150" s="29">
        <v>171.99928670368831</v>
      </c>
      <c r="AA150" s="29">
        <v>169.7439121911209</v>
      </c>
      <c r="AB150" s="29">
        <v>167.9146565250179</v>
      </c>
      <c r="AC150" s="29">
        <v>166.4560096478273</v>
      </c>
      <c r="AD150" s="29">
        <v>165.3212347116652</v>
      </c>
      <c r="AE150" s="29">
        <v>164.47316873515149</v>
      </c>
    </row>
    <row r="151" spans="1:31" x14ac:dyDescent="0.25">
      <c r="A151" s="41" t="s">
        <v>1248</v>
      </c>
      <c r="B151" s="6" t="s">
        <v>53</v>
      </c>
      <c r="C151" s="6" t="s">
        <v>47</v>
      </c>
      <c r="D151" s="6">
        <v>2</v>
      </c>
      <c r="E151" s="6" t="s">
        <v>1211</v>
      </c>
      <c r="K151" s="29">
        <f>INDEX(Mitigation_Industry!K:K,MATCH($A151,Mitigation_Industry!$H:$H,0))</f>
        <v>0</v>
      </c>
      <c r="L151" s="29">
        <f>INDEX(Mitigation_Industry!L:L,MATCH($A151,Mitigation_Industry!$H:$H,0))</f>
        <v>232.65735477013141</v>
      </c>
      <c r="M151" s="29">
        <f>INDEX(Mitigation_Industry!M:M,MATCH($A151,Mitigation_Industry!$H:$H,0))</f>
        <v>189.45265610688728</v>
      </c>
      <c r="N151" s="29">
        <f>INDEX(Mitigation_Industry!N:N,MATCH($A151,Mitigation_Industry!$H:$H,0))</f>
        <v>217.72883870914126</v>
      </c>
      <c r="O151" s="29">
        <f>INDEX(Mitigation_Industry!O:O,MATCH($A151,Mitigation_Industry!$H:$H,0))</f>
        <v>237.89793015048934</v>
      </c>
      <c r="P151" s="29">
        <f>INDEX(Mitigation_Industry!P:P,MATCH($A151,Mitigation_Industry!$H:$H,0))</f>
        <v>232.6500690312447</v>
      </c>
      <c r="Q151" s="29">
        <f>INDEX(Mitigation_Industry!Q:Q,MATCH($A151,Mitigation_Industry!$H:$H,0))</f>
        <v>218.61847136811502</v>
      </c>
      <c r="R151" s="29">
        <f>INDEX(Mitigation_Industry!R:R,MATCH($A151,Mitigation_Industry!$H:$H,0))</f>
        <v>210.28498690349537</v>
      </c>
      <c r="S151" s="29">
        <f>INDEX(Mitigation_Industry!S:S,MATCH($A151,Mitigation_Industry!$H:$H,0))</f>
        <v>203.14643963897566</v>
      </c>
      <c r="T151" s="29">
        <f>INDEX(Mitigation_Industry!T:T,MATCH($A151,Mitigation_Industry!$H:$H,0))</f>
        <v>196.84230886321831</v>
      </c>
      <c r="U151" s="29">
        <f>INDEX(Mitigation_Industry!U:U,MATCH($A151,Mitigation_Industry!$H:$H,0))</f>
        <v>191.39075749538034</v>
      </c>
      <c r="V151" s="29">
        <f>INDEX(Mitigation_Industry!V:V,MATCH($A151,Mitigation_Industry!$H:$H,0))</f>
        <v>186.21788114925641</v>
      </c>
      <c r="W151" s="29">
        <f>INDEX(Mitigation_Industry!W:W,MATCH($A151,Mitigation_Industry!$H:$H,0))</f>
        <v>181.78008799508262</v>
      </c>
      <c r="X151" s="29">
        <f>INDEX(Mitigation_Industry!X:X,MATCH($A151,Mitigation_Industry!$H:$H,0))</f>
        <v>177.97349187208511</v>
      </c>
      <c r="Y151" s="29">
        <f>INDEX(Mitigation_Industry!Y:Y,MATCH($A151,Mitigation_Industry!$H:$H,0))</f>
        <v>174.72635256308371</v>
      </c>
      <c r="Z151" s="29">
        <f>INDEX(Mitigation_Industry!Z:Z,MATCH($A151,Mitigation_Industry!$H:$H,0))</f>
        <v>171.99928670368823</v>
      </c>
      <c r="AA151" s="29">
        <f>INDEX(Mitigation_Industry!AA:AA,MATCH($A151,Mitigation_Industry!$H:$H,0))</f>
        <v>169.74391219112084</v>
      </c>
      <c r="AB151" s="29">
        <f>INDEX(Mitigation_Industry!AB:AB,MATCH($A151,Mitigation_Industry!$H:$H,0))</f>
        <v>167.9146565250179</v>
      </c>
      <c r="AC151" s="29">
        <f>INDEX(Mitigation_Industry!AC:AC,MATCH($A151,Mitigation_Industry!$H:$H,0))</f>
        <v>166.45600964782727</v>
      </c>
      <c r="AD151" s="29">
        <f>INDEX(Mitigation_Industry!AD:AD,MATCH($A151,Mitigation_Industry!$H:$H,0))</f>
        <v>165.3212347116652</v>
      </c>
      <c r="AE151" s="29">
        <f>INDEX(Mitigation_Industry!AE:AE,MATCH($A151,Mitigation_Industry!$H:$H,0))</f>
        <v>164.47316873515146</v>
      </c>
    </row>
    <row r="152" spans="1:31" x14ac:dyDescent="0.25">
      <c r="A152" s="41" t="s">
        <v>1248</v>
      </c>
      <c r="B152" s="6" t="s">
        <v>53</v>
      </c>
      <c r="C152" s="6" t="s">
        <v>47</v>
      </c>
      <c r="D152" s="6">
        <v>2</v>
      </c>
      <c r="E152" s="2" t="s">
        <v>1212</v>
      </c>
      <c r="F152" s="43">
        <f>MAX(MAX(L152:AE152),-MIN(L152:AE152))</f>
        <v>1.4210854715202004E-13</v>
      </c>
      <c r="K152" s="44">
        <f t="shared" ref="K152:AE152" si="36">IF(ISNUMBER(K150),IF(ISNUMBER(K151),K151-K150,999999),0)</f>
        <v>0</v>
      </c>
      <c r="L152" s="44">
        <f t="shared" si="36"/>
        <v>0</v>
      </c>
      <c r="M152" s="44">
        <f t="shared" si="36"/>
        <v>8.5265128291212022E-14</v>
      </c>
      <c r="N152" s="44">
        <f t="shared" si="36"/>
        <v>-2.8421709430404007E-14</v>
      </c>
      <c r="O152" s="44">
        <f t="shared" si="36"/>
        <v>-5.6843418860808015E-14</v>
      </c>
      <c r="P152" s="44">
        <f t="shared" si="36"/>
        <v>-1.1368683772161603E-13</v>
      </c>
      <c r="Q152" s="44">
        <f t="shared" si="36"/>
        <v>-8.5265128291212022E-14</v>
      </c>
      <c r="R152" s="44">
        <f t="shared" si="36"/>
        <v>-1.4210854715202004E-13</v>
      </c>
      <c r="S152" s="44">
        <f t="shared" si="36"/>
        <v>-2.8421709430404007E-14</v>
      </c>
      <c r="T152" s="44">
        <f t="shared" si="36"/>
        <v>-8.5265128291212022E-14</v>
      </c>
      <c r="U152" s="44">
        <f t="shared" si="36"/>
        <v>-5.6843418860808015E-14</v>
      </c>
      <c r="V152" s="44">
        <f t="shared" si="36"/>
        <v>-8.5265128291212022E-14</v>
      </c>
      <c r="W152" s="44">
        <f t="shared" si="36"/>
        <v>-8.5265128291212022E-14</v>
      </c>
      <c r="X152" s="44">
        <f t="shared" si="36"/>
        <v>-8.5265128291212022E-14</v>
      </c>
      <c r="Y152" s="44">
        <f t="shared" si="36"/>
        <v>0</v>
      </c>
      <c r="Z152" s="44">
        <f t="shared" si="36"/>
        <v>-8.5265128291212022E-14</v>
      </c>
      <c r="AA152" s="44">
        <f t="shared" si="36"/>
        <v>-5.6843418860808015E-14</v>
      </c>
      <c r="AB152" s="44">
        <f t="shared" si="36"/>
        <v>0</v>
      </c>
      <c r="AC152" s="44">
        <f t="shared" si="36"/>
        <v>-2.8421709430404007E-14</v>
      </c>
      <c r="AD152" s="44">
        <f t="shared" si="36"/>
        <v>0</v>
      </c>
      <c r="AE152" s="44">
        <f t="shared" si="36"/>
        <v>-2.8421709430404007E-14</v>
      </c>
    </row>
    <row r="154" spans="1:31" x14ac:dyDescent="0.25">
      <c r="A154" s="41" t="s">
        <v>1249</v>
      </c>
      <c r="B154" s="6" t="s">
        <v>57</v>
      </c>
      <c r="C154" s="6" t="s">
        <v>47</v>
      </c>
      <c r="D154" s="6">
        <v>2</v>
      </c>
      <c r="E154" s="6" t="s">
        <v>1210</v>
      </c>
      <c r="K154" s="29"/>
      <c r="L154" s="29">
        <v>1669.056719042127</v>
      </c>
      <c r="M154" s="29">
        <v>1431.7775208824839</v>
      </c>
      <c r="N154" s="29">
        <v>1603.118081521229</v>
      </c>
      <c r="O154" s="29">
        <v>1666.4691074748559</v>
      </c>
      <c r="P154" s="29">
        <v>1729.051952221994</v>
      </c>
      <c r="Q154" s="29">
        <v>1637.786325800389</v>
      </c>
      <c r="R154" s="29">
        <v>1578.664230292683</v>
      </c>
      <c r="S154" s="29">
        <v>1529.186426457853</v>
      </c>
      <c r="T154" s="29">
        <v>1485.5462441642089</v>
      </c>
      <c r="U154" s="29">
        <v>1450.0773513762731</v>
      </c>
      <c r="V154" s="29">
        <v>1421.688907595837</v>
      </c>
      <c r="W154" s="29">
        <v>1399.58115789727</v>
      </c>
      <c r="X154" s="29">
        <v>1383.0540457815309</v>
      </c>
      <c r="Y154" s="29">
        <v>1371.725436343296</v>
      </c>
      <c r="Z154" s="29">
        <v>1365.5951108489801</v>
      </c>
      <c r="AA154" s="29">
        <v>1364.434189523985</v>
      </c>
      <c r="AB154" s="29">
        <v>1367.986352704786</v>
      </c>
      <c r="AC154" s="29">
        <v>1375.7703000424269</v>
      </c>
      <c r="AD154" s="29">
        <v>1387.3865840128001</v>
      </c>
      <c r="AE154" s="29">
        <v>1402.543493642399</v>
      </c>
    </row>
    <row r="155" spans="1:31" x14ac:dyDescent="0.25">
      <c r="A155" s="41" t="s">
        <v>1249</v>
      </c>
      <c r="B155" s="6" t="s">
        <v>57</v>
      </c>
      <c r="C155" s="6" t="s">
        <v>47</v>
      </c>
      <c r="D155" s="6">
        <v>2</v>
      </c>
      <c r="E155" s="6" t="s">
        <v>1211</v>
      </c>
      <c r="K155" s="29">
        <f>INDEX(Mitigation_Industry!K:K,MATCH($A155,Mitigation_Industry!$H:$H,0))</f>
        <v>0</v>
      </c>
      <c r="L155" s="29">
        <f>INDEX(Mitigation_Industry!L:L,MATCH($A155,Mitigation_Industry!$H:$H,0))</f>
        <v>1669.056719042127</v>
      </c>
      <c r="M155" s="29">
        <f>INDEX(Mitigation_Industry!M:M,MATCH($A155,Mitigation_Industry!$H:$H,0))</f>
        <v>1431.7775208824842</v>
      </c>
      <c r="N155" s="29">
        <f>INDEX(Mitigation_Industry!N:N,MATCH($A155,Mitigation_Industry!$H:$H,0))</f>
        <v>1603.1180815212294</v>
      </c>
      <c r="O155" s="29">
        <f>INDEX(Mitigation_Industry!O:O,MATCH($A155,Mitigation_Industry!$H:$H,0))</f>
        <v>1666.4691074748559</v>
      </c>
      <c r="P155" s="29">
        <f>INDEX(Mitigation_Industry!P:P,MATCH($A155,Mitigation_Industry!$H:$H,0))</f>
        <v>1729.0519522219943</v>
      </c>
      <c r="Q155" s="29">
        <f>INDEX(Mitigation_Industry!Q:Q,MATCH($A155,Mitigation_Industry!$H:$H,0))</f>
        <v>1637.7863258003888</v>
      </c>
      <c r="R155" s="29">
        <f>INDEX(Mitigation_Industry!R:R,MATCH($A155,Mitigation_Industry!$H:$H,0))</f>
        <v>1578.664230292683</v>
      </c>
      <c r="S155" s="29">
        <f>INDEX(Mitigation_Industry!S:S,MATCH($A155,Mitigation_Industry!$H:$H,0))</f>
        <v>1529.1864264578528</v>
      </c>
      <c r="T155" s="29">
        <f>INDEX(Mitigation_Industry!T:T,MATCH($A155,Mitigation_Industry!$H:$H,0))</f>
        <v>1485.5462441642089</v>
      </c>
      <c r="U155" s="29">
        <f>INDEX(Mitigation_Industry!U:U,MATCH($A155,Mitigation_Industry!$H:$H,0))</f>
        <v>1450.0773513762731</v>
      </c>
      <c r="V155" s="29">
        <f>INDEX(Mitigation_Industry!V:V,MATCH($A155,Mitigation_Industry!$H:$H,0))</f>
        <v>1421.6889075958377</v>
      </c>
      <c r="W155" s="29">
        <f>INDEX(Mitigation_Industry!W:W,MATCH($A155,Mitigation_Industry!$H:$H,0))</f>
        <v>1399.5811578972709</v>
      </c>
      <c r="X155" s="29">
        <f>INDEX(Mitigation_Industry!X:X,MATCH($A155,Mitigation_Industry!$H:$H,0))</f>
        <v>1383.0540457815316</v>
      </c>
      <c r="Y155" s="29">
        <f>INDEX(Mitigation_Industry!Y:Y,MATCH($A155,Mitigation_Industry!$H:$H,0))</f>
        <v>1371.725436343296</v>
      </c>
      <c r="Z155" s="29">
        <f>INDEX(Mitigation_Industry!Z:Z,MATCH($A155,Mitigation_Industry!$H:$H,0))</f>
        <v>1365.5951108489805</v>
      </c>
      <c r="AA155" s="29">
        <f>INDEX(Mitigation_Industry!AA:AA,MATCH($A155,Mitigation_Industry!$H:$H,0))</f>
        <v>1364.4341895239857</v>
      </c>
      <c r="AB155" s="29">
        <f>INDEX(Mitigation_Industry!AB:AB,MATCH($A155,Mitigation_Industry!$H:$H,0))</f>
        <v>1367.986352704786</v>
      </c>
      <c r="AC155" s="29">
        <f>INDEX(Mitigation_Industry!AC:AC,MATCH($A155,Mitigation_Industry!$H:$H,0))</f>
        <v>1375.7703000424274</v>
      </c>
      <c r="AD155" s="29">
        <f>INDEX(Mitigation_Industry!AD:AD,MATCH($A155,Mitigation_Industry!$H:$H,0))</f>
        <v>1387.3865840128005</v>
      </c>
      <c r="AE155" s="29">
        <f>INDEX(Mitigation_Industry!AE:AE,MATCH($A155,Mitigation_Industry!$H:$H,0))</f>
        <v>1402.5434936423992</v>
      </c>
    </row>
    <row r="156" spans="1:31" x14ac:dyDescent="0.25">
      <c r="A156" s="41" t="s">
        <v>1249</v>
      </c>
      <c r="B156" s="6" t="s">
        <v>57</v>
      </c>
      <c r="C156" s="6" t="s">
        <v>47</v>
      </c>
      <c r="D156" s="6">
        <v>2</v>
      </c>
      <c r="E156" s="2" t="s">
        <v>1212</v>
      </c>
      <c r="F156" s="43">
        <f>MAX(MAX(L156:AE156),-MIN(L156:AE156))</f>
        <v>9.0949470177292824E-13</v>
      </c>
      <c r="K156" s="44">
        <f t="shared" ref="K156:AE156" si="37">IF(ISNUMBER(K154),IF(ISNUMBER(K155),K155-K154,999999),0)</f>
        <v>0</v>
      </c>
      <c r="L156" s="44">
        <f t="shared" si="37"/>
        <v>0</v>
      </c>
      <c r="M156" s="44">
        <f t="shared" si="37"/>
        <v>2.2737367544323206E-13</v>
      </c>
      <c r="N156" s="44">
        <f t="shared" si="37"/>
        <v>4.5474735088646412E-13</v>
      </c>
      <c r="O156" s="44">
        <f t="shared" si="37"/>
        <v>0</v>
      </c>
      <c r="P156" s="44">
        <f t="shared" si="37"/>
        <v>2.2737367544323206E-13</v>
      </c>
      <c r="Q156" s="44">
        <f t="shared" si="37"/>
        <v>-2.2737367544323206E-13</v>
      </c>
      <c r="R156" s="44">
        <f t="shared" si="37"/>
        <v>0</v>
      </c>
      <c r="S156" s="44">
        <f t="shared" si="37"/>
        <v>-2.2737367544323206E-13</v>
      </c>
      <c r="T156" s="44">
        <f t="shared" si="37"/>
        <v>0</v>
      </c>
      <c r="U156" s="44">
        <f t="shared" si="37"/>
        <v>0</v>
      </c>
      <c r="V156" s="44">
        <f t="shared" si="37"/>
        <v>6.8212102632969618E-13</v>
      </c>
      <c r="W156" s="44">
        <f t="shared" si="37"/>
        <v>9.0949470177292824E-13</v>
      </c>
      <c r="X156" s="44">
        <f t="shared" si="37"/>
        <v>6.8212102632969618E-13</v>
      </c>
      <c r="Y156" s="44">
        <f t="shared" si="37"/>
        <v>0</v>
      </c>
      <c r="Z156" s="44">
        <f t="shared" si="37"/>
        <v>4.5474735088646412E-13</v>
      </c>
      <c r="AA156" s="44">
        <f t="shared" si="37"/>
        <v>6.8212102632969618E-13</v>
      </c>
      <c r="AB156" s="44">
        <f t="shared" si="37"/>
        <v>0</v>
      </c>
      <c r="AC156" s="44">
        <f t="shared" si="37"/>
        <v>4.5474735088646412E-13</v>
      </c>
      <c r="AD156" s="44">
        <f t="shared" si="37"/>
        <v>4.5474735088646412E-13</v>
      </c>
      <c r="AE156" s="44">
        <f t="shared" si="37"/>
        <v>2.2737367544323206E-13</v>
      </c>
    </row>
    <row r="158" spans="1:31" x14ac:dyDescent="0.25">
      <c r="A158" s="41" t="s">
        <v>1250</v>
      </c>
      <c r="B158" s="6" t="s">
        <v>59</v>
      </c>
      <c r="C158" s="6" t="s">
        <v>47</v>
      </c>
      <c r="D158" s="6">
        <v>2</v>
      </c>
      <c r="E158" s="6" t="s">
        <v>1210</v>
      </c>
      <c r="K158" s="29"/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>
        <v>0</v>
      </c>
      <c r="AC158" s="29">
        <v>0</v>
      </c>
      <c r="AD158" s="29">
        <v>0</v>
      </c>
      <c r="AE158" s="29">
        <v>0</v>
      </c>
    </row>
    <row r="159" spans="1:31" x14ac:dyDescent="0.25">
      <c r="A159" s="41" t="s">
        <v>1250</v>
      </c>
      <c r="B159" s="6" t="s">
        <v>59</v>
      </c>
      <c r="C159" s="6" t="s">
        <v>47</v>
      </c>
      <c r="D159" s="6">
        <v>2</v>
      </c>
      <c r="E159" s="6" t="s">
        <v>1211</v>
      </c>
      <c r="K159" s="29">
        <f>INDEX(Mitigation_Industry!K:K,MATCH($A159,Mitigation_Industry!$H:$H,0))</f>
        <v>0</v>
      </c>
      <c r="L159" s="29">
        <f>INDEX(Mitigation_Industry!L:L,MATCH($A159,Mitigation_Industry!$H:$H,0))</f>
        <v>0</v>
      </c>
      <c r="M159" s="29">
        <f>INDEX(Mitigation_Industry!M:M,MATCH($A159,Mitigation_Industry!$H:$H,0))</f>
        <v>0</v>
      </c>
      <c r="N159" s="29">
        <f>INDEX(Mitigation_Industry!N:N,MATCH($A159,Mitigation_Industry!$H:$H,0))</f>
        <v>0</v>
      </c>
      <c r="O159" s="29">
        <f>INDEX(Mitigation_Industry!O:O,MATCH($A159,Mitigation_Industry!$H:$H,0))</f>
        <v>0</v>
      </c>
      <c r="P159" s="29">
        <f>INDEX(Mitigation_Industry!P:P,MATCH($A159,Mitigation_Industry!$H:$H,0))</f>
        <v>0</v>
      </c>
      <c r="Q159" s="29">
        <f>INDEX(Mitigation_Industry!Q:Q,MATCH($A159,Mitigation_Industry!$H:$H,0))</f>
        <v>0</v>
      </c>
      <c r="R159" s="29">
        <f>INDEX(Mitigation_Industry!R:R,MATCH($A159,Mitigation_Industry!$H:$H,0))</f>
        <v>0</v>
      </c>
      <c r="S159" s="29">
        <f>INDEX(Mitigation_Industry!S:S,MATCH($A159,Mitigation_Industry!$H:$H,0))</f>
        <v>0</v>
      </c>
      <c r="T159" s="29">
        <f>INDEX(Mitigation_Industry!T:T,MATCH($A159,Mitigation_Industry!$H:$H,0))</f>
        <v>0</v>
      </c>
      <c r="U159" s="29">
        <f>INDEX(Mitigation_Industry!U:U,MATCH($A159,Mitigation_Industry!$H:$H,0))</f>
        <v>0</v>
      </c>
      <c r="V159" s="29">
        <f>INDEX(Mitigation_Industry!V:V,MATCH($A159,Mitigation_Industry!$H:$H,0))</f>
        <v>0</v>
      </c>
      <c r="W159" s="29">
        <f>INDEX(Mitigation_Industry!W:W,MATCH($A159,Mitigation_Industry!$H:$H,0))</f>
        <v>0</v>
      </c>
      <c r="X159" s="29">
        <f>INDEX(Mitigation_Industry!X:X,MATCH($A159,Mitigation_Industry!$H:$H,0))</f>
        <v>0</v>
      </c>
      <c r="Y159" s="29">
        <f>INDEX(Mitigation_Industry!Y:Y,MATCH($A159,Mitigation_Industry!$H:$H,0))</f>
        <v>0</v>
      </c>
      <c r="Z159" s="29">
        <f>INDEX(Mitigation_Industry!Z:Z,MATCH($A159,Mitigation_Industry!$H:$H,0))</f>
        <v>0</v>
      </c>
      <c r="AA159" s="29">
        <f>INDEX(Mitigation_Industry!AA:AA,MATCH($A159,Mitigation_Industry!$H:$H,0))</f>
        <v>0</v>
      </c>
      <c r="AB159" s="29">
        <f>INDEX(Mitigation_Industry!AB:AB,MATCH($A159,Mitigation_Industry!$H:$H,0))</f>
        <v>0</v>
      </c>
      <c r="AC159" s="29">
        <f>INDEX(Mitigation_Industry!AC:AC,MATCH($A159,Mitigation_Industry!$H:$H,0))</f>
        <v>0</v>
      </c>
      <c r="AD159" s="29">
        <f>INDEX(Mitigation_Industry!AD:AD,MATCH($A159,Mitigation_Industry!$H:$H,0))</f>
        <v>0</v>
      </c>
      <c r="AE159" s="29">
        <f>INDEX(Mitigation_Industry!AE:AE,MATCH($A159,Mitigation_Industry!$H:$H,0))</f>
        <v>0</v>
      </c>
    </row>
    <row r="160" spans="1:31" x14ac:dyDescent="0.25">
      <c r="A160" s="41" t="s">
        <v>1250</v>
      </c>
      <c r="B160" s="6" t="s">
        <v>59</v>
      </c>
      <c r="C160" s="6" t="s">
        <v>47</v>
      </c>
      <c r="D160" s="6">
        <v>2</v>
      </c>
      <c r="E160" s="2" t="s">
        <v>1212</v>
      </c>
      <c r="F160" s="43">
        <f>MAX(MAX(L160:AE160),-MIN(L160:AE160))</f>
        <v>0</v>
      </c>
      <c r="K160" s="44">
        <f t="shared" ref="K160:AE160" si="38">IF(ISNUMBER(K158),IF(ISNUMBER(K159),K159-K158,999999),0)</f>
        <v>0</v>
      </c>
      <c r="L160" s="44">
        <f t="shared" si="38"/>
        <v>0</v>
      </c>
      <c r="M160" s="44">
        <f t="shared" si="38"/>
        <v>0</v>
      </c>
      <c r="N160" s="44">
        <f t="shared" si="38"/>
        <v>0</v>
      </c>
      <c r="O160" s="44">
        <f t="shared" si="38"/>
        <v>0</v>
      </c>
      <c r="P160" s="44">
        <f t="shared" si="38"/>
        <v>0</v>
      </c>
      <c r="Q160" s="44">
        <f t="shared" si="38"/>
        <v>0</v>
      </c>
      <c r="R160" s="44">
        <f t="shared" si="38"/>
        <v>0</v>
      </c>
      <c r="S160" s="44">
        <f t="shared" si="38"/>
        <v>0</v>
      </c>
      <c r="T160" s="44">
        <f t="shared" si="38"/>
        <v>0</v>
      </c>
      <c r="U160" s="44">
        <f t="shared" si="38"/>
        <v>0</v>
      </c>
      <c r="V160" s="44">
        <f t="shared" si="38"/>
        <v>0</v>
      </c>
      <c r="W160" s="44">
        <f t="shared" si="38"/>
        <v>0</v>
      </c>
      <c r="X160" s="44">
        <f t="shared" si="38"/>
        <v>0</v>
      </c>
      <c r="Y160" s="44">
        <f t="shared" si="38"/>
        <v>0</v>
      </c>
      <c r="Z160" s="44">
        <f t="shared" si="38"/>
        <v>0</v>
      </c>
      <c r="AA160" s="44">
        <f t="shared" si="38"/>
        <v>0</v>
      </c>
      <c r="AB160" s="44">
        <f t="shared" si="38"/>
        <v>0</v>
      </c>
      <c r="AC160" s="44">
        <f t="shared" si="38"/>
        <v>0</v>
      </c>
      <c r="AD160" s="44">
        <f t="shared" si="38"/>
        <v>0</v>
      </c>
      <c r="AE160" s="44">
        <f t="shared" si="38"/>
        <v>0</v>
      </c>
    </row>
    <row r="162" spans="1:31" x14ac:dyDescent="0.25">
      <c r="A162" s="41" t="s">
        <v>1251</v>
      </c>
      <c r="B162" s="6" t="s">
        <v>62</v>
      </c>
      <c r="C162" s="6" t="s">
        <v>47</v>
      </c>
      <c r="D162" s="6">
        <v>2</v>
      </c>
      <c r="E162" s="6" t="s">
        <v>1210</v>
      </c>
      <c r="K162" s="29"/>
      <c r="L162" s="2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0</v>
      </c>
      <c r="AC162" s="29">
        <v>0</v>
      </c>
      <c r="AD162" s="29">
        <v>0</v>
      </c>
      <c r="AE162" s="29">
        <v>0</v>
      </c>
    </row>
    <row r="163" spans="1:31" x14ac:dyDescent="0.25">
      <c r="A163" s="41" t="s">
        <v>1251</v>
      </c>
      <c r="B163" s="6" t="s">
        <v>62</v>
      </c>
      <c r="C163" s="6" t="s">
        <v>47</v>
      </c>
      <c r="D163" s="6">
        <v>2</v>
      </c>
      <c r="E163" s="6" t="s">
        <v>1211</v>
      </c>
      <c r="K163" s="29">
        <f>INDEX(Mitigation_Industry!K:K,MATCH($A163,Mitigation_Industry!$H:$H,0))</f>
        <v>0</v>
      </c>
      <c r="L163" s="29">
        <f>INDEX(Mitigation_Industry!L:L,MATCH($A163,Mitigation_Industry!$H:$H,0))</f>
        <v>0</v>
      </c>
      <c r="M163" s="29">
        <f>INDEX(Mitigation_Industry!M:M,MATCH($A163,Mitigation_Industry!$H:$H,0))</f>
        <v>0</v>
      </c>
      <c r="N163" s="29">
        <f>INDEX(Mitigation_Industry!N:N,MATCH($A163,Mitigation_Industry!$H:$H,0))</f>
        <v>0</v>
      </c>
      <c r="O163" s="29">
        <f>INDEX(Mitigation_Industry!O:O,MATCH($A163,Mitigation_Industry!$H:$H,0))</f>
        <v>0</v>
      </c>
      <c r="P163" s="29">
        <f>INDEX(Mitigation_Industry!P:P,MATCH($A163,Mitigation_Industry!$H:$H,0))</f>
        <v>0</v>
      </c>
      <c r="Q163" s="29">
        <f>INDEX(Mitigation_Industry!Q:Q,MATCH($A163,Mitigation_Industry!$H:$H,0))</f>
        <v>0</v>
      </c>
      <c r="R163" s="29">
        <f>INDEX(Mitigation_Industry!R:R,MATCH($A163,Mitigation_Industry!$H:$H,0))</f>
        <v>0</v>
      </c>
      <c r="S163" s="29">
        <f>INDEX(Mitigation_Industry!S:S,MATCH($A163,Mitigation_Industry!$H:$H,0))</f>
        <v>0</v>
      </c>
      <c r="T163" s="29">
        <f>INDEX(Mitigation_Industry!T:T,MATCH($A163,Mitigation_Industry!$H:$H,0))</f>
        <v>0</v>
      </c>
      <c r="U163" s="29">
        <f>INDEX(Mitigation_Industry!U:U,MATCH($A163,Mitigation_Industry!$H:$H,0))</f>
        <v>0</v>
      </c>
      <c r="V163" s="29">
        <f>INDEX(Mitigation_Industry!V:V,MATCH($A163,Mitigation_Industry!$H:$H,0))</f>
        <v>0</v>
      </c>
      <c r="W163" s="29">
        <f>INDEX(Mitigation_Industry!W:W,MATCH($A163,Mitigation_Industry!$H:$H,0))</f>
        <v>0</v>
      </c>
      <c r="X163" s="29">
        <f>INDEX(Mitigation_Industry!X:X,MATCH($A163,Mitigation_Industry!$H:$H,0))</f>
        <v>0</v>
      </c>
      <c r="Y163" s="29">
        <f>INDEX(Mitigation_Industry!Y:Y,MATCH($A163,Mitigation_Industry!$H:$H,0))</f>
        <v>0</v>
      </c>
      <c r="Z163" s="29">
        <f>INDEX(Mitigation_Industry!Z:Z,MATCH($A163,Mitigation_Industry!$H:$H,0))</f>
        <v>0</v>
      </c>
      <c r="AA163" s="29">
        <f>INDEX(Mitigation_Industry!AA:AA,MATCH($A163,Mitigation_Industry!$H:$H,0))</f>
        <v>0</v>
      </c>
      <c r="AB163" s="29">
        <f>INDEX(Mitigation_Industry!AB:AB,MATCH($A163,Mitigation_Industry!$H:$H,0))</f>
        <v>0</v>
      </c>
      <c r="AC163" s="29">
        <f>INDEX(Mitigation_Industry!AC:AC,MATCH($A163,Mitigation_Industry!$H:$H,0))</f>
        <v>0</v>
      </c>
      <c r="AD163" s="29">
        <f>INDEX(Mitigation_Industry!AD:AD,MATCH($A163,Mitigation_Industry!$H:$H,0))</f>
        <v>0</v>
      </c>
      <c r="AE163" s="29">
        <f>INDEX(Mitigation_Industry!AE:AE,MATCH($A163,Mitigation_Industry!$H:$H,0))</f>
        <v>0</v>
      </c>
    </row>
    <row r="164" spans="1:31" x14ac:dyDescent="0.25">
      <c r="A164" s="41" t="s">
        <v>1251</v>
      </c>
      <c r="B164" s="6" t="s">
        <v>62</v>
      </c>
      <c r="C164" s="6" t="s">
        <v>47</v>
      </c>
      <c r="D164" s="6">
        <v>2</v>
      </c>
      <c r="E164" s="2" t="s">
        <v>1212</v>
      </c>
      <c r="F164" s="43">
        <f>MAX(MAX(L164:AE164),-MIN(L164:AE164))</f>
        <v>0</v>
      </c>
      <c r="K164" s="44">
        <f t="shared" ref="K164:AE164" si="39">IF(ISNUMBER(K162),IF(ISNUMBER(K163),K163-K162,999999),0)</f>
        <v>0</v>
      </c>
      <c r="L164" s="44">
        <f t="shared" si="39"/>
        <v>0</v>
      </c>
      <c r="M164" s="44">
        <f t="shared" si="39"/>
        <v>0</v>
      </c>
      <c r="N164" s="44">
        <f t="shared" si="39"/>
        <v>0</v>
      </c>
      <c r="O164" s="44">
        <f t="shared" si="39"/>
        <v>0</v>
      </c>
      <c r="P164" s="44">
        <f t="shared" si="39"/>
        <v>0</v>
      </c>
      <c r="Q164" s="44">
        <f t="shared" si="39"/>
        <v>0</v>
      </c>
      <c r="R164" s="44">
        <f t="shared" si="39"/>
        <v>0</v>
      </c>
      <c r="S164" s="44">
        <f t="shared" si="39"/>
        <v>0</v>
      </c>
      <c r="T164" s="44">
        <f t="shared" si="39"/>
        <v>0</v>
      </c>
      <c r="U164" s="44">
        <f t="shared" si="39"/>
        <v>0</v>
      </c>
      <c r="V164" s="44">
        <f t="shared" si="39"/>
        <v>0</v>
      </c>
      <c r="W164" s="44">
        <f t="shared" si="39"/>
        <v>0</v>
      </c>
      <c r="X164" s="44">
        <f t="shared" si="39"/>
        <v>0</v>
      </c>
      <c r="Y164" s="44">
        <f t="shared" si="39"/>
        <v>0</v>
      </c>
      <c r="Z164" s="44">
        <f t="shared" si="39"/>
        <v>0</v>
      </c>
      <c r="AA164" s="44">
        <f t="shared" si="39"/>
        <v>0</v>
      </c>
      <c r="AB164" s="44">
        <f t="shared" si="39"/>
        <v>0</v>
      </c>
      <c r="AC164" s="44">
        <f t="shared" si="39"/>
        <v>0</v>
      </c>
      <c r="AD164" s="44">
        <f t="shared" si="39"/>
        <v>0</v>
      </c>
      <c r="AE164" s="44">
        <f t="shared" si="39"/>
        <v>0</v>
      </c>
    </row>
    <row r="166" spans="1:31" x14ac:dyDescent="0.25">
      <c r="A166" s="41" t="s">
        <v>1252</v>
      </c>
      <c r="B166" s="6" t="s">
        <v>64</v>
      </c>
      <c r="C166" s="6" t="s">
        <v>47</v>
      </c>
      <c r="D166" s="6">
        <v>2</v>
      </c>
      <c r="E166" s="6" t="s">
        <v>1210</v>
      </c>
      <c r="K166" s="29"/>
      <c r="L166" s="29">
        <v>0</v>
      </c>
      <c r="M166" s="29">
        <v>0</v>
      </c>
      <c r="N166" s="29">
        <v>0</v>
      </c>
      <c r="O166" s="29">
        <v>0</v>
      </c>
      <c r="P166" s="29">
        <v>0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>
        <v>0</v>
      </c>
      <c r="AC166" s="29">
        <v>0</v>
      </c>
      <c r="AD166" s="29">
        <v>0</v>
      </c>
      <c r="AE166" s="29">
        <v>0</v>
      </c>
    </row>
    <row r="167" spans="1:31" x14ac:dyDescent="0.25">
      <c r="A167" s="41" t="s">
        <v>1252</v>
      </c>
      <c r="B167" s="6" t="s">
        <v>64</v>
      </c>
      <c r="C167" s="6" t="s">
        <v>47</v>
      </c>
      <c r="D167" s="6">
        <v>2</v>
      </c>
      <c r="E167" s="6" t="s">
        <v>1211</v>
      </c>
      <c r="K167" s="29">
        <f>INDEX(Mitigation_Industry!K:K,MATCH($A167,Mitigation_Industry!$H:$H,0))</f>
        <v>0</v>
      </c>
      <c r="L167" s="29">
        <f>INDEX(Mitigation_Industry!L:L,MATCH($A167,Mitigation_Industry!$H:$H,0))</f>
        <v>0</v>
      </c>
      <c r="M167" s="29">
        <f>INDEX(Mitigation_Industry!M:M,MATCH($A167,Mitigation_Industry!$H:$H,0))</f>
        <v>0</v>
      </c>
      <c r="N167" s="29">
        <f>INDEX(Mitigation_Industry!N:N,MATCH($A167,Mitigation_Industry!$H:$H,0))</f>
        <v>0</v>
      </c>
      <c r="O167" s="29">
        <f>INDEX(Mitigation_Industry!O:O,MATCH($A167,Mitigation_Industry!$H:$H,0))</f>
        <v>0</v>
      </c>
      <c r="P167" s="29">
        <f>INDEX(Mitigation_Industry!P:P,MATCH($A167,Mitigation_Industry!$H:$H,0))</f>
        <v>0</v>
      </c>
      <c r="Q167" s="29">
        <f>INDEX(Mitigation_Industry!Q:Q,MATCH($A167,Mitigation_Industry!$H:$H,0))</f>
        <v>0</v>
      </c>
      <c r="R167" s="29">
        <f>INDEX(Mitigation_Industry!R:R,MATCH($A167,Mitigation_Industry!$H:$H,0))</f>
        <v>0</v>
      </c>
      <c r="S167" s="29">
        <f>INDEX(Mitigation_Industry!S:S,MATCH($A167,Mitigation_Industry!$H:$H,0))</f>
        <v>0</v>
      </c>
      <c r="T167" s="29">
        <f>INDEX(Mitigation_Industry!T:T,MATCH($A167,Mitigation_Industry!$H:$H,0))</f>
        <v>0</v>
      </c>
      <c r="U167" s="29">
        <f>INDEX(Mitigation_Industry!U:U,MATCH($A167,Mitigation_Industry!$H:$H,0))</f>
        <v>0</v>
      </c>
      <c r="V167" s="29">
        <f>INDEX(Mitigation_Industry!V:V,MATCH($A167,Mitigation_Industry!$H:$H,0))</f>
        <v>0</v>
      </c>
      <c r="W167" s="29">
        <f>INDEX(Mitigation_Industry!W:W,MATCH($A167,Mitigation_Industry!$H:$H,0))</f>
        <v>0</v>
      </c>
      <c r="X167" s="29">
        <f>INDEX(Mitigation_Industry!X:X,MATCH($A167,Mitigation_Industry!$H:$H,0))</f>
        <v>0</v>
      </c>
      <c r="Y167" s="29">
        <f>INDEX(Mitigation_Industry!Y:Y,MATCH($A167,Mitigation_Industry!$H:$H,0))</f>
        <v>0</v>
      </c>
      <c r="Z167" s="29">
        <f>INDEX(Mitigation_Industry!Z:Z,MATCH($A167,Mitigation_Industry!$H:$H,0))</f>
        <v>0</v>
      </c>
      <c r="AA167" s="29">
        <f>INDEX(Mitigation_Industry!AA:AA,MATCH($A167,Mitigation_Industry!$H:$H,0))</f>
        <v>0</v>
      </c>
      <c r="AB167" s="29">
        <f>INDEX(Mitigation_Industry!AB:AB,MATCH($A167,Mitigation_Industry!$H:$H,0))</f>
        <v>0</v>
      </c>
      <c r="AC167" s="29">
        <f>INDEX(Mitigation_Industry!AC:AC,MATCH($A167,Mitigation_Industry!$H:$H,0))</f>
        <v>0</v>
      </c>
      <c r="AD167" s="29">
        <f>INDEX(Mitigation_Industry!AD:AD,MATCH($A167,Mitigation_Industry!$H:$H,0))</f>
        <v>0</v>
      </c>
      <c r="AE167" s="29">
        <f>INDEX(Mitigation_Industry!AE:AE,MATCH($A167,Mitigation_Industry!$H:$H,0))</f>
        <v>0</v>
      </c>
    </row>
    <row r="168" spans="1:31" x14ac:dyDescent="0.25">
      <c r="A168" s="41" t="s">
        <v>1252</v>
      </c>
      <c r="B168" s="6" t="s">
        <v>64</v>
      </c>
      <c r="C168" s="6" t="s">
        <v>47</v>
      </c>
      <c r="D168" s="6">
        <v>2</v>
      </c>
      <c r="E168" s="2" t="s">
        <v>1212</v>
      </c>
      <c r="F168" s="43">
        <f>MAX(MAX(L168:AE168),-MIN(L168:AE168))</f>
        <v>0</v>
      </c>
      <c r="K168" s="44">
        <f t="shared" ref="K168:AE168" si="40">IF(ISNUMBER(K166),IF(ISNUMBER(K167),K167-K166,999999),0)</f>
        <v>0</v>
      </c>
      <c r="L168" s="44">
        <f t="shared" si="40"/>
        <v>0</v>
      </c>
      <c r="M168" s="44">
        <f t="shared" si="40"/>
        <v>0</v>
      </c>
      <c r="N168" s="44">
        <f t="shared" si="40"/>
        <v>0</v>
      </c>
      <c r="O168" s="44">
        <f t="shared" si="40"/>
        <v>0</v>
      </c>
      <c r="P168" s="44">
        <f t="shared" si="40"/>
        <v>0</v>
      </c>
      <c r="Q168" s="44">
        <f t="shared" si="40"/>
        <v>0</v>
      </c>
      <c r="R168" s="44">
        <f t="shared" si="40"/>
        <v>0</v>
      </c>
      <c r="S168" s="44">
        <f t="shared" si="40"/>
        <v>0</v>
      </c>
      <c r="T168" s="44">
        <f t="shared" si="40"/>
        <v>0</v>
      </c>
      <c r="U168" s="44">
        <f t="shared" si="40"/>
        <v>0</v>
      </c>
      <c r="V168" s="44">
        <f t="shared" si="40"/>
        <v>0</v>
      </c>
      <c r="W168" s="44">
        <f t="shared" si="40"/>
        <v>0</v>
      </c>
      <c r="X168" s="44">
        <f t="shared" si="40"/>
        <v>0</v>
      </c>
      <c r="Y168" s="44">
        <f t="shared" si="40"/>
        <v>0</v>
      </c>
      <c r="Z168" s="44">
        <f t="shared" si="40"/>
        <v>0</v>
      </c>
      <c r="AA168" s="44">
        <f t="shared" si="40"/>
        <v>0</v>
      </c>
      <c r="AB168" s="44">
        <f t="shared" si="40"/>
        <v>0</v>
      </c>
      <c r="AC168" s="44">
        <f t="shared" si="40"/>
        <v>0</v>
      </c>
      <c r="AD168" s="44">
        <f t="shared" si="40"/>
        <v>0</v>
      </c>
      <c r="AE168" s="44">
        <f t="shared" si="40"/>
        <v>0</v>
      </c>
    </row>
    <row r="170" spans="1:31" x14ac:dyDescent="0.25">
      <c r="A170" s="41" t="s">
        <v>1253</v>
      </c>
      <c r="B170" s="6" t="s">
        <v>66</v>
      </c>
      <c r="C170" s="6" t="s">
        <v>47</v>
      </c>
      <c r="D170" s="6">
        <v>2</v>
      </c>
      <c r="E170" s="6" t="s">
        <v>1210</v>
      </c>
      <c r="K170" s="29"/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>
        <v>0</v>
      </c>
      <c r="AC170" s="29">
        <v>0</v>
      </c>
      <c r="AD170" s="29">
        <v>0</v>
      </c>
      <c r="AE170" s="29">
        <v>0</v>
      </c>
    </row>
    <row r="171" spans="1:31" x14ac:dyDescent="0.25">
      <c r="A171" s="41" t="s">
        <v>1253</v>
      </c>
      <c r="B171" s="6" t="s">
        <v>66</v>
      </c>
      <c r="C171" s="6" t="s">
        <v>47</v>
      </c>
      <c r="D171" s="6">
        <v>2</v>
      </c>
      <c r="E171" s="6" t="s">
        <v>1211</v>
      </c>
      <c r="K171" s="29">
        <f>INDEX(Mitigation_Industry!K:K,MATCH($A171,Mitigation_Industry!$H:$H,0))</f>
        <v>0</v>
      </c>
      <c r="L171" s="29">
        <f>INDEX(Mitigation_Industry!L:L,MATCH($A171,Mitigation_Industry!$H:$H,0))</f>
        <v>0</v>
      </c>
      <c r="M171" s="29">
        <f>INDEX(Mitigation_Industry!M:M,MATCH($A171,Mitigation_Industry!$H:$H,0))</f>
        <v>0</v>
      </c>
      <c r="N171" s="29">
        <f>INDEX(Mitigation_Industry!N:N,MATCH($A171,Mitigation_Industry!$H:$H,0))</f>
        <v>0</v>
      </c>
      <c r="O171" s="29">
        <f>INDEX(Mitigation_Industry!O:O,MATCH($A171,Mitigation_Industry!$H:$H,0))</f>
        <v>0</v>
      </c>
      <c r="P171" s="29">
        <f>INDEX(Mitigation_Industry!P:P,MATCH($A171,Mitigation_Industry!$H:$H,0))</f>
        <v>0</v>
      </c>
      <c r="Q171" s="29">
        <f>INDEX(Mitigation_Industry!Q:Q,MATCH($A171,Mitigation_Industry!$H:$H,0))</f>
        <v>0</v>
      </c>
      <c r="R171" s="29">
        <f>INDEX(Mitigation_Industry!R:R,MATCH($A171,Mitigation_Industry!$H:$H,0))</f>
        <v>0</v>
      </c>
      <c r="S171" s="29">
        <f>INDEX(Mitigation_Industry!S:S,MATCH($A171,Mitigation_Industry!$H:$H,0))</f>
        <v>0</v>
      </c>
      <c r="T171" s="29">
        <f>INDEX(Mitigation_Industry!T:T,MATCH($A171,Mitigation_Industry!$H:$H,0))</f>
        <v>0</v>
      </c>
      <c r="U171" s="29">
        <f>INDEX(Mitigation_Industry!U:U,MATCH($A171,Mitigation_Industry!$H:$H,0))</f>
        <v>0</v>
      </c>
      <c r="V171" s="29">
        <f>INDEX(Mitigation_Industry!V:V,MATCH($A171,Mitigation_Industry!$H:$H,0))</f>
        <v>0</v>
      </c>
      <c r="W171" s="29">
        <f>INDEX(Mitigation_Industry!W:W,MATCH($A171,Mitigation_Industry!$H:$H,0))</f>
        <v>0</v>
      </c>
      <c r="X171" s="29">
        <f>INDEX(Mitigation_Industry!X:X,MATCH($A171,Mitigation_Industry!$H:$H,0))</f>
        <v>0</v>
      </c>
      <c r="Y171" s="29">
        <f>INDEX(Mitigation_Industry!Y:Y,MATCH($A171,Mitigation_Industry!$H:$H,0))</f>
        <v>0</v>
      </c>
      <c r="Z171" s="29">
        <f>INDEX(Mitigation_Industry!Z:Z,MATCH($A171,Mitigation_Industry!$H:$H,0))</f>
        <v>0</v>
      </c>
      <c r="AA171" s="29">
        <f>INDEX(Mitigation_Industry!AA:AA,MATCH($A171,Mitigation_Industry!$H:$H,0))</f>
        <v>0</v>
      </c>
      <c r="AB171" s="29">
        <f>INDEX(Mitigation_Industry!AB:AB,MATCH($A171,Mitigation_Industry!$H:$H,0))</f>
        <v>0</v>
      </c>
      <c r="AC171" s="29">
        <f>INDEX(Mitigation_Industry!AC:AC,MATCH($A171,Mitigation_Industry!$H:$H,0))</f>
        <v>0</v>
      </c>
      <c r="AD171" s="29">
        <f>INDEX(Mitigation_Industry!AD:AD,MATCH($A171,Mitigation_Industry!$H:$H,0))</f>
        <v>0</v>
      </c>
      <c r="AE171" s="29">
        <f>INDEX(Mitigation_Industry!AE:AE,MATCH($A171,Mitigation_Industry!$H:$H,0))</f>
        <v>0</v>
      </c>
    </row>
    <row r="172" spans="1:31" x14ac:dyDescent="0.25">
      <c r="A172" s="41" t="s">
        <v>1253</v>
      </c>
      <c r="B172" s="6" t="s">
        <v>66</v>
      </c>
      <c r="C172" s="6" t="s">
        <v>47</v>
      </c>
      <c r="D172" s="6">
        <v>2</v>
      </c>
      <c r="E172" s="2" t="s">
        <v>1212</v>
      </c>
      <c r="F172" s="43">
        <f>MAX(MAX(L172:AE172),-MIN(L172:AE172))</f>
        <v>0</v>
      </c>
      <c r="K172" s="44">
        <f t="shared" ref="K172:AE172" si="41">IF(ISNUMBER(K170),IF(ISNUMBER(K171),K171-K170,999999),0)</f>
        <v>0</v>
      </c>
      <c r="L172" s="44">
        <f t="shared" si="41"/>
        <v>0</v>
      </c>
      <c r="M172" s="44">
        <f t="shared" si="41"/>
        <v>0</v>
      </c>
      <c r="N172" s="44">
        <f t="shared" si="41"/>
        <v>0</v>
      </c>
      <c r="O172" s="44">
        <f t="shared" si="41"/>
        <v>0</v>
      </c>
      <c r="P172" s="44">
        <f t="shared" si="41"/>
        <v>0</v>
      </c>
      <c r="Q172" s="44">
        <f t="shared" si="41"/>
        <v>0</v>
      </c>
      <c r="R172" s="44">
        <f t="shared" si="41"/>
        <v>0</v>
      </c>
      <c r="S172" s="44">
        <f t="shared" si="41"/>
        <v>0</v>
      </c>
      <c r="T172" s="44">
        <f t="shared" si="41"/>
        <v>0</v>
      </c>
      <c r="U172" s="44">
        <f t="shared" si="41"/>
        <v>0</v>
      </c>
      <c r="V172" s="44">
        <f t="shared" si="41"/>
        <v>0</v>
      </c>
      <c r="W172" s="44">
        <f t="shared" si="41"/>
        <v>0</v>
      </c>
      <c r="X172" s="44">
        <f t="shared" si="41"/>
        <v>0</v>
      </c>
      <c r="Y172" s="44">
        <f t="shared" si="41"/>
        <v>0</v>
      </c>
      <c r="Z172" s="44">
        <f t="shared" si="41"/>
        <v>0</v>
      </c>
      <c r="AA172" s="44">
        <f t="shared" si="41"/>
        <v>0</v>
      </c>
      <c r="AB172" s="44">
        <f t="shared" si="41"/>
        <v>0</v>
      </c>
      <c r="AC172" s="44">
        <f t="shared" si="41"/>
        <v>0</v>
      </c>
      <c r="AD172" s="44">
        <f t="shared" si="41"/>
        <v>0</v>
      </c>
      <c r="AE172" s="44">
        <f t="shared" si="41"/>
        <v>0</v>
      </c>
    </row>
    <row r="174" spans="1:31" x14ac:dyDescent="0.25">
      <c r="A174" s="41" t="s">
        <v>1254</v>
      </c>
      <c r="B174" s="6" t="s">
        <v>68</v>
      </c>
      <c r="C174" s="6" t="s">
        <v>47</v>
      </c>
      <c r="D174" s="6">
        <v>2</v>
      </c>
      <c r="E174" s="6" t="s">
        <v>1210</v>
      </c>
      <c r="K174" s="29"/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>
        <v>0</v>
      </c>
      <c r="AC174" s="29">
        <v>0</v>
      </c>
      <c r="AD174" s="29">
        <v>0</v>
      </c>
      <c r="AE174" s="29">
        <v>0</v>
      </c>
    </row>
    <row r="175" spans="1:31" x14ac:dyDescent="0.25">
      <c r="A175" s="41" t="s">
        <v>1254</v>
      </c>
      <c r="B175" s="6" t="s">
        <v>68</v>
      </c>
      <c r="C175" s="6" t="s">
        <v>47</v>
      </c>
      <c r="D175" s="6">
        <v>2</v>
      </c>
      <c r="E175" s="6" t="s">
        <v>1211</v>
      </c>
      <c r="K175" s="29">
        <f>INDEX(Mitigation_Industry!K:K,MATCH($A175,Mitigation_Industry!$H:$H,0))</f>
        <v>0</v>
      </c>
      <c r="L175" s="29">
        <f>INDEX(Mitigation_Industry!L:L,MATCH($A175,Mitigation_Industry!$H:$H,0))</f>
        <v>0</v>
      </c>
      <c r="M175" s="29">
        <f>INDEX(Mitigation_Industry!M:M,MATCH($A175,Mitigation_Industry!$H:$H,0))</f>
        <v>0</v>
      </c>
      <c r="N175" s="29">
        <f>INDEX(Mitigation_Industry!N:N,MATCH($A175,Mitigation_Industry!$H:$H,0))</f>
        <v>0</v>
      </c>
      <c r="O175" s="29">
        <f>INDEX(Mitigation_Industry!O:O,MATCH($A175,Mitigation_Industry!$H:$H,0))</f>
        <v>0</v>
      </c>
      <c r="P175" s="29">
        <f>INDEX(Mitigation_Industry!P:P,MATCH($A175,Mitigation_Industry!$H:$H,0))</f>
        <v>0</v>
      </c>
      <c r="Q175" s="29">
        <f>INDEX(Mitigation_Industry!Q:Q,MATCH($A175,Mitigation_Industry!$H:$H,0))</f>
        <v>0</v>
      </c>
      <c r="R175" s="29">
        <f>INDEX(Mitigation_Industry!R:R,MATCH($A175,Mitigation_Industry!$H:$H,0))</f>
        <v>0</v>
      </c>
      <c r="S175" s="29">
        <f>INDEX(Mitigation_Industry!S:S,MATCH($A175,Mitigation_Industry!$H:$H,0))</f>
        <v>0</v>
      </c>
      <c r="T175" s="29">
        <f>INDEX(Mitigation_Industry!T:T,MATCH($A175,Mitigation_Industry!$H:$H,0))</f>
        <v>0</v>
      </c>
      <c r="U175" s="29">
        <f>INDEX(Mitigation_Industry!U:U,MATCH($A175,Mitigation_Industry!$H:$H,0))</f>
        <v>0</v>
      </c>
      <c r="V175" s="29">
        <f>INDEX(Mitigation_Industry!V:V,MATCH($A175,Mitigation_Industry!$H:$H,0))</f>
        <v>0</v>
      </c>
      <c r="W175" s="29">
        <f>INDEX(Mitigation_Industry!W:W,MATCH($A175,Mitigation_Industry!$H:$H,0))</f>
        <v>0</v>
      </c>
      <c r="X175" s="29">
        <f>INDEX(Mitigation_Industry!X:X,MATCH($A175,Mitigation_Industry!$H:$H,0))</f>
        <v>0</v>
      </c>
      <c r="Y175" s="29">
        <f>INDEX(Mitigation_Industry!Y:Y,MATCH($A175,Mitigation_Industry!$H:$H,0))</f>
        <v>0</v>
      </c>
      <c r="Z175" s="29">
        <f>INDEX(Mitigation_Industry!Z:Z,MATCH($A175,Mitigation_Industry!$H:$H,0))</f>
        <v>0</v>
      </c>
      <c r="AA175" s="29">
        <f>INDEX(Mitigation_Industry!AA:AA,MATCH($A175,Mitigation_Industry!$H:$H,0))</f>
        <v>0</v>
      </c>
      <c r="AB175" s="29">
        <f>INDEX(Mitigation_Industry!AB:AB,MATCH($A175,Mitigation_Industry!$H:$H,0))</f>
        <v>0</v>
      </c>
      <c r="AC175" s="29">
        <f>INDEX(Mitigation_Industry!AC:AC,MATCH($A175,Mitigation_Industry!$H:$H,0))</f>
        <v>0</v>
      </c>
      <c r="AD175" s="29">
        <f>INDEX(Mitigation_Industry!AD:AD,MATCH($A175,Mitigation_Industry!$H:$H,0))</f>
        <v>0</v>
      </c>
      <c r="AE175" s="29">
        <f>INDEX(Mitigation_Industry!AE:AE,MATCH($A175,Mitigation_Industry!$H:$H,0))</f>
        <v>0</v>
      </c>
    </row>
    <row r="176" spans="1:31" x14ac:dyDescent="0.25">
      <c r="A176" s="41" t="s">
        <v>1254</v>
      </c>
      <c r="B176" s="6" t="s">
        <v>68</v>
      </c>
      <c r="C176" s="6" t="s">
        <v>47</v>
      </c>
      <c r="D176" s="6">
        <v>2</v>
      </c>
      <c r="E176" s="2" t="s">
        <v>1212</v>
      </c>
      <c r="F176" s="43">
        <f>MAX(MAX(L176:AE176),-MIN(L176:AE176))</f>
        <v>0</v>
      </c>
      <c r="K176" s="44">
        <f t="shared" ref="K176:AE176" si="42">IF(ISNUMBER(K174),IF(ISNUMBER(K175),K175-K174,999999),0)</f>
        <v>0</v>
      </c>
      <c r="L176" s="44">
        <f t="shared" si="42"/>
        <v>0</v>
      </c>
      <c r="M176" s="44">
        <f t="shared" si="42"/>
        <v>0</v>
      </c>
      <c r="N176" s="44">
        <f t="shared" si="42"/>
        <v>0</v>
      </c>
      <c r="O176" s="44">
        <f t="shared" si="42"/>
        <v>0</v>
      </c>
      <c r="P176" s="44">
        <f t="shared" si="42"/>
        <v>0</v>
      </c>
      <c r="Q176" s="44">
        <f t="shared" si="42"/>
        <v>0</v>
      </c>
      <c r="R176" s="44">
        <f t="shared" si="42"/>
        <v>0</v>
      </c>
      <c r="S176" s="44">
        <f t="shared" si="42"/>
        <v>0</v>
      </c>
      <c r="T176" s="44">
        <f t="shared" si="42"/>
        <v>0</v>
      </c>
      <c r="U176" s="44">
        <f t="shared" si="42"/>
        <v>0</v>
      </c>
      <c r="V176" s="44">
        <f t="shared" si="42"/>
        <v>0</v>
      </c>
      <c r="W176" s="44">
        <f t="shared" si="42"/>
        <v>0</v>
      </c>
      <c r="X176" s="44">
        <f t="shared" si="42"/>
        <v>0</v>
      </c>
      <c r="Y176" s="44">
        <f t="shared" si="42"/>
        <v>0</v>
      </c>
      <c r="Z176" s="44">
        <f t="shared" si="42"/>
        <v>0</v>
      </c>
      <c r="AA176" s="44">
        <f t="shared" si="42"/>
        <v>0</v>
      </c>
      <c r="AB176" s="44">
        <f t="shared" si="42"/>
        <v>0</v>
      </c>
      <c r="AC176" s="44">
        <f t="shared" si="42"/>
        <v>0</v>
      </c>
      <c r="AD176" s="44">
        <f t="shared" si="42"/>
        <v>0</v>
      </c>
      <c r="AE176" s="44">
        <f t="shared" si="42"/>
        <v>0</v>
      </c>
    </row>
    <row r="178" spans="1:31" x14ac:dyDescent="0.25">
      <c r="A178" s="41" t="s">
        <v>1255</v>
      </c>
      <c r="B178" s="6" t="s">
        <v>71</v>
      </c>
      <c r="C178" s="6" t="s">
        <v>47</v>
      </c>
      <c r="D178" s="6">
        <v>2</v>
      </c>
      <c r="E178" s="6" t="s">
        <v>1210</v>
      </c>
      <c r="K178" s="29"/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>
        <v>0</v>
      </c>
      <c r="AC178" s="29">
        <v>0</v>
      </c>
      <c r="AD178" s="29">
        <v>0</v>
      </c>
      <c r="AE178" s="29">
        <v>0</v>
      </c>
    </row>
    <row r="179" spans="1:31" x14ac:dyDescent="0.25">
      <c r="A179" s="41" t="s">
        <v>1255</v>
      </c>
      <c r="B179" s="6" t="s">
        <v>71</v>
      </c>
      <c r="C179" s="6" t="s">
        <v>47</v>
      </c>
      <c r="D179" s="6">
        <v>2</v>
      </c>
      <c r="E179" s="6" t="s">
        <v>1211</v>
      </c>
      <c r="K179" s="29">
        <f>INDEX(Mitigation_Industry!K:K,MATCH($A179,Mitigation_Industry!$H:$H,0))</f>
        <v>0</v>
      </c>
      <c r="L179" s="29">
        <f>INDEX(Mitigation_Industry!L:L,MATCH($A179,Mitigation_Industry!$H:$H,0))</f>
        <v>0</v>
      </c>
      <c r="M179" s="29">
        <f>INDEX(Mitigation_Industry!M:M,MATCH($A179,Mitigation_Industry!$H:$H,0))</f>
        <v>0</v>
      </c>
      <c r="N179" s="29">
        <f>INDEX(Mitigation_Industry!N:N,MATCH($A179,Mitigation_Industry!$H:$H,0))</f>
        <v>0</v>
      </c>
      <c r="O179" s="29">
        <f>INDEX(Mitigation_Industry!O:O,MATCH($A179,Mitigation_Industry!$H:$H,0))</f>
        <v>0</v>
      </c>
      <c r="P179" s="29">
        <f>INDEX(Mitigation_Industry!P:P,MATCH($A179,Mitigation_Industry!$H:$H,0))</f>
        <v>0</v>
      </c>
      <c r="Q179" s="29">
        <f>INDEX(Mitigation_Industry!Q:Q,MATCH($A179,Mitigation_Industry!$H:$H,0))</f>
        <v>0</v>
      </c>
      <c r="R179" s="29">
        <f>INDEX(Mitigation_Industry!R:R,MATCH($A179,Mitigation_Industry!$H:$H,0))</f>
        <v>0</v>
      </c>
      <c r="S179" s="29">
        <f>INDEX(Mitigation_Industry!S:S,MATCH($A179,Mitigation_Industry!$H:$H,0))</f>
        <v>0</v>
      </c>
      <c r="T179" s="29">
        <f>INDEX(Mitigation_Industry!T:T,MATCH($A179,Mitigation_Industry!$H:$H,0))</f>
        <v>0</v>
      </c>
      <c r="U179" s="29">
        <f>INDEX(Mitigation_Industry!U:U,MATCH($A179,Mitigation_Industry!$H:$H,0))</f>
        <v>0</v>
      </c>
      <c r="V179" s="29">
        <f>INDEX(Mitigation_Industry!V:V,MATCH($A179,Mitigation_Industry!$H:$H,0))</f>
        <v>0</v>
      </c>
      <c r="W179" s="29">
        <f>INDEX(Mitigation_Industry!W:W,MATCH($A179,Mitigation_Industry!$H:$H,0))</f>
        <v>0</v>
      </c>
      <c r="X179" s="29">
        <f>INDEX(Mitigation_Industry!X:X,MATCH($A179,Mitigation_Industry!$H:$H,0))</f>
        <v>0</v>
      </c>
      <c r="Y179" s="29">
        <f>INDEX(Mitigation_Industry!Y:Y,MATCH($A179,Mitigation_Industry!$H:$H,0))</f>
        <v>0</v>
      </c>
      <c r="Z179" s="29">
        <f>INDEX(Mitigation_Industry!Z:Z,MATCH($A179,Mitigation_Industry!$H:$H,0))</f>
        <v>0</v>
      </c>
      <c r="AA179" s="29">
        <f>INDEX(Mitigation_Industry!AA:AA,MATCH($A179,Mitigation_Industry!$H:$H,0))</f>
        <v>0</v>
      </c>
      <c r="AB179" s="29">
        <f>INDEX(Mitigation_Industry!AB:AB,MATCH($A179,Mitigation_Industry!$H:$H,0))</f>
        <v>0</v>
      </c>
      <c r="AC179" s="29">
        <f>INDEX(Mitigation_Industry!AC:AC,MATCH($A179,Mitigation_Industry!$H:$H,0))</f>
        <v>0</v>
      </c>
      <c r="AD179" s="29">
        <f>INDEX(Mitigation_Industry!AD:AD,MATCH($A179,Mitigation_Industry!$H:$H,0))</f>
        <v>0</v>
      </c>
      <c r="AE179" s="29">
        <f>INDEX(Mitigation_Industry!AE:AE,MATCH($A179,Mitigation_Industry!$H:$H,0))</f>
        <v>0</v>
      </c>
    </row>
    <row r="180" spans="1:31" x14ac:dyDescent="0.25">
      <c r="A180" s="41" t="s">
        <v>1255</v>
      </c>
      <c r="B180" s="6" t="s">
        <v>71</v>
      </c>
      <c r="C180" s="6" t="s">
        <v>47</v>
      </c>
      <c r="D180" s="6">
        <v>2</v>
      </c>
      <c r="E180" s="2" t="s">
        <v>1212</v>
      </c>
      <c r="F180" s="43">
        <f>MAX(MAX(L180:AE180),-MIN(L180:AE180))</f>
        <v>0</v>
      </c>
      <c r="K180" s="44">
        <f t="shared" ref="K180:AE180" si="43">IF(ISNUMBER(K178),IF(ISNUMBER(K179),K179-K178,999999),0)</f>
        <v>0</v>
      </c>
      <c r="L180" s="44">
        <f t="shared" si="43"/>
        <v>0</v>
      </c>
      <c r="M180" s="44">
        <f t="shared" si="43"/>
        <v>0</v>
      </c>
      <c r="N180" s="44">
        <f t="shared" si="43"/>
        <v>0</v>
      </c>
      <c r="O180" s="44">
        <f t="shared" si="43"/>
        <v>0</v>
      </c>
      <c r="P180" s="44">
        <f t="shared" si="43"/>
        <v>0</v>
      </c>
      <c r="Q180" s="44">
        <f t="shared" si="43"/>
        <v>0</v>
      </c>
      <c r="R180" s="44">
        <f t="shared" si="43"/>
        <v>0</v>
      </c>
      <c r="S180" s="44">
        <f t="shared" si="43"/>
        <v>0</v>
      </c>
      <c r="T180" s="44">
        <f t="shared" si="43"/>
        <v>0</v>
      </c>
      <c r="U180" s="44">
        <f t="shared" si="43"/>
        <v>0</v>
      </c>
      <c r="V180" s="44">
        <f t="shared" si="43"/>
        <v>0</v>
      </c>
      <c r="W180" s="44">
        <f t="shared" si="43"/>
        <v>0</v>
      </c>
      <c r="X180" s="44">
        <f t="shared" si="43"/>
        <v>0</v>
      </c>
      <c r="Y180" s="44">
        <f t="shared" si="43"/>
        <v>0</v>
      </c>
      <c r="Z180" s="44">
        <f t="shared" si="43"/>
        <v>0</v>
      </c>
      <c r="AA180" s="44">
        <f t="shared" si="43"/>
        <v>0</v>
      </c>
      <c r="AB180" s="44">
        <f t="shared" si="43"/>
        <v>0</v>
      </c>
      <c r="AC180" s="44">
        <f t="shared" si="43"/>
        <v>0</v>
      </c>
      <c r="AD180" s="44">
        <f t="shared" si="43"/>
        <v>0</v>
      </c>
      <c r="AE180" s="44">
        <f t="shared" si="43"/>
        <v>0</v>
      </c>
    </row>
    <row r="182" spans="1:31" x14ac:dyDescent="0.25">
      <c r="A182" s="41" t="s">
        <v>1256</v>
      </c>
      <c r="B182" s="6" t="s">
        <v>73</v>
      </c>
      <c r="C182" s="6" t="s">
        <v>47</v>
      </c>
      <c r="D182" s="6">
        <v>2</v>
      </c>
      <c r="E182" s="6" t="s">
        <v>1210</v>
      </c>
      <c r="K182" s="29"/>
      <c r="L182" s="29">
        <v>0</v>
      </c>
      <c r="M182" s="29">
        <v>0</v>
      </c>
      <c r="N182" s="29">
        <v>0</v>
      </c>
      <c r="O182" s="29">
        <v>0</v>
      </c>
      <c r="P182" s="29">
        <v>0</v>
      </c>
      <c r="Q182" s="29">
        <v>0</v>
      </c>
      <c r="R182" s="29">
        <v>0</v>
      </c>
      <c r="S182" s="29">
        <v>0</v>
      </c>
      <c r="T182" s="29">
        <v>0</v>
      </c>
      <c r="U182" s="29">
        <v>0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>
        <v>0</v>
      </c>
      <c r="AC182" s="29">
        <v>0</v>
      </c>
      <c r="AD182" s="29">
        <v>0</v>
      </c>
      <c r="AE182" s="29">
        <v>0</v>
      </c>
    </row>
    <row r="183" spans="1:31" x14ac:dyDescent="0.25">
      <c r="A183" s="41" t="s">
        <v>1256</v>
      </c>
      <c r="B183" s="6" t="s">
        <v>73</v>
      </c>
      <c r="C183" s="6" t="s">
        <v>47</v>
      </c>
      <c r="D183" s="6">
        <v>2</v>
      </c>
      <c r="E183" s="6" t="s">
        <v>1211</v>
      </c>
      <c r="K183" s="29">
        <f>INDEX(Mitigation_Industry!K:K,MATCH($A183,Mitigation_Industry!$H:$H,0))</f>
        <v>0</v>
      </c>
      <c r="L183" s="29">
        <f>INDEX(Mitigation_Industry!L:L,MATCH($A183,Mitigation_Industry!$H:$H,0))</f>
        <v>0</v>
      </c>
      <c r="M183" s="29">
        <f>INDEX(Mitigation_Industry!M:M,MATCH($A183,Mitigation_Industry!$H:$H,0))</f>
        <v>0</v>
      </c>
      <c r="N183" s="29">
        <f>INDEX(Mitigation_Industry!N:N,MATCH($A183,Mitigation_Industry!$H:$H,0))</f>
        <v>0</v>
      </c>
      <c r="O183" s="29">
        <f>INDEX(Mitigation_Industry!O:O,MATCH($A183,Mitigation_Industry!$H:$H,0))</f>
        <v>0</v>
      </c>
      <c r="P183" s="29">
        <f>INDEX(Mitigation_Industry!P:P,MATCH($A183,Mitigation_Industry!$H:$H,0))</f>
        <v>0</v>
      </c>
      <c r="Q183" s="29">
        <f>INDEX(Mitigation_Industry!Q:Q,MATCH($A183,Mitigation_Industry!$H:$H,0))</f>
        <v>0</v>
      </c>
      <c r="R183" s="29">
        <f>INDEX(Mitigation_Industry!R:R,MATCH($A183,Mitigation_Industry!$H:$H,0))</f>
        <v>0</v>
      </c>
      <c r="S183" s="29">
        <f>INDEX(Mitigation_Industry!S:S,MATCH($A183,Mitigation_Industry!$H:$H,0))</f>
        <v>0</v>
      </c>
      <c r="T183" s="29">
        <f>INDEX(Mitigation_Industry!T:T,MATCH($A183,Mitigation_Industry!$H:$H,0))</f>
        <v>0</v>
      </c>
      <c r="U183" s="29">
        <f>INDEX(Mitigation_Industry!U:U,MATCH($A183,Mitigation_Industry!$H:$H,0))</f>
        <v>0</v>
      </c>
      <c r="V183" s="29">
        <f>INDEX(Mitigation_Industry!V:V,MATCH($A183,Mitigation_Industry!$H:$H,0))</f>
        <v>0</v>
      </c>
      <c r="W183" s="29">
        <f>INDEX(Mitigation_Industry!W:W,MATCH($A183,Mitigation_Industry!$H:$H,0))</f>
        <v>0</v>
      </c>
      <c r="X183" s="29">
        <f>INDEX(Mitigation_Industry!X:X,MATCH($A183,Mitigation_Industry!$H:$H,0))</f>
        <v>0</v>
      </c>
      <c r="Y183" s="29">
        <f>INDEX(Mitigation_Industry!Y:Y,MATCH($A183,Mitigation_Industry!$H:$H,0))</f>
        <v>0</v>
      </c>
      <c r="Z183" s="29">
        <f>INDEX(Mitigation_Industry!Z:Z,MATCH($A183,Mitigation_Industry!$H:$H,0))</f>
        <v>0</v>
      </c>
      <c r="AA183" s="29">
        <f>INDEX(Mitigation_Industry!AA:AA,MATCH($A183,Mitigation_Industry!$H:$H,0))</f>
        <v>0</v>
      </c>
      <c r="AB183" s="29">
        <f>INDEX(Mitigation_Industry!AB:AB,MATCH($A183,Mitigation_Industry!$H:$H,0))</f>
        <v>0</v>
      </c>
      <c r="AC183" s="29">
        <f>INDEX(Mitigation_Industry!AC:AC,MATCH($A183,Mitigation_Industry!$H:$H,0))</f>
        <v>0</v>
      </c>
      <c r="AD183" s="29">
        <f>INDEX(Mitigation_Industry!AD:AD,MATCH($A183,Mitigation_Industry!$H:$H,0))</f>
        <v>0</v>
      </c>
      <c r="AE183" s="29">
        <f>INDEX(Mitigation_Industry!AE:AE,MATCH($A183,Mitigation_Industry!$H:$H,0))</f>
        <v>0</v>
      </c>
    </row>
    <row r="184" spans="1:31" x14ac:dyDescent="0.25">
      <c r="A184" s="41" t="s">
        <v>1256</v>
      </c>
      <c r="B184" s="6" t="s">
        <v>73</v>
      </c>
      <c r="C184" s="6" t="s">
        <v>47</v>
      </c>
      <c r="D184" s="6">
        <v>2</v>
      </c>
      <c r="E184" s="2" t="s">
        <v>1212</v>
      </c>
      <c r="F184" s="43">
        <f>MAX(MAX(L184:AE184),-MIN(L184:AE184))</f>
        <v>0</v>
      </c>
      <c r="K184" s="44">
        <f t="shared" ref="K184:AE184" si="44">IF(ISNUMBER(K182),IF(ISNUMBER(K183),K183-K182,999999),0)</f>
        <v>0</v>
      </c>
      <c r="L184" s="44">
        <f t="shared" si="44"/>
        <v>0</v>
      </c>
      <c r="M184" s="44">
        <f t="shared" si="44"/>
        <v>0</v>
      </c>
      <c r="N184" s="44">
        <f t="shared" si="44"/>
        <v>0</v>
      </c>
      <c r="O184" s="44">
        <f t="shared" si="44"/>
        <v>0</v>
      </c>
      <c r="P184" s="44">
        <f t="shared" si="44"/>
        <v>0</v>
      </c>
      <c r="Q184" s="44">
        <f t="shared" si="44"/>
        <v>0</v>
      </c>
      <c r="R184" s="44">
        <f t="shared" si="44"/>
        <v>0</v>
      </c>
      <c r="S184" s="44">
        <f t="shared" si="44"/>
        <v>0</v>
      </c>
      <c r="T184" s="44">
        <f t="shared" si="44"/>
        <v>0</v>
      </c>
      <c r="U184" s="44">
        <f t="shared" si="44"/>
        <v>0</v>
      </c>
      <c r="V184" s="44">
        <f t="shared" si="44"/>
        <v>0</v>
      </c>
      <c r="W184" s="44">
        <f t="shared" si="44"/>
        <v>0</v>
      </c>
      <c r="X184" s="44">
        <f t="shared" si="44"/>
        <v>0</v>
      </c>
      <c r="Y184" s="44">
        <f t="shared" si="44"/>
        <v>0</v>
      </c>
      <c r="Z184" s="44">
        <f t="shared" si="44"/>
        <v>0</v>
      </c>
      <c r="AA184" s="44">
        <f t="shared" si="44"/>
        <v>0</v>
      </c>
      <c r="AB184" s="44">
        <f t="shared" si="44"/>
        <v>0</v>
      </c>
      <c r="AC184" s="44">
        <f t="shared" si="44"/>
        <v>0</v>
      </c>
      <c r="AD184" s="44">
        <f t="shared" si="44"/>
        <v>0</v>
      </c>
      <c r="AE184" s="44">
        <f t="shared" si="44"/>
        <v>0</v>
      </c>
    </row>
    <row r="186" spans="1:31" x14ac:dyDescent="0.25">
      <c r="A186" s="41" t="s">
        <v>1257</v>
      </c>
      <c r="B186" s="6" t="s">
        <v>53</v>
      </c>
      <c r="C186" s="6" t="s">
        <v>117</v>
      </c>
      <c r="D186" s="6">
        <v>2</v>
      </c>
      <c r="E186" s="6" t="s">
        <v>1210</v>
      </c>
      <c r="K186" s="29"/>
      <c r="L186" s="29">
        <v>1463.0552244627891</v>
      </c>
      <c r="M186" s="29">
        <v>1191.3644362517171</v>
      </c>
      <c r="N186" s="29">
        <v>1369.177928221337</v>
      </c>
      <c r="O186" s="29">
        <v>1496.010345082118</v>
      </c>
      <c r="P186" s="29">
        <v>1463.009408424208</v>
      </c>
      <c r="Q186" s="29">
        <v>1374.7723428524589</v>
      </c>
      <c r="R186" s="29">
        <v>1322.3676037201531</v>
      </c>
      <c r="S186" s="29">
        <v>1277.4771729802819</v>
      </c>
      <c r="T186" s="29">
        <v>1237.833932489212</v>
      </c>
      <c r="U186" s="29">
        <v>1203.552098940374</v>
      </c>
      <c r="V186" s="29">
        <v>1171.022700627675</v>
      </c>
      <c r="W186" s="29">
        <v>1143.115839631537</v>
      </c>
      <c r="X186" s="29">
        <v>1119.1782325411709</v>
      </c>
      <c r="Y186" s="29">
        <v>1098.758744254257</v>
      </c>
      <c r="Z186" s="29">
        <v>1081.6097142698641</v>
      </c>
      <c r="AA186" s="29">
        <v>1067.4268939287999</v>
      </c>
      <c r="AB186" s="29">
        <v>1055.9237026292419</v>
      </c>
      <c r="AC186" s="29">
        <v>1046.7510678916531</v>
      </c>
      <c r="AD186" s="29">
        <v>1039.6150871676321</v>
      </c>
      <c r="AE186" s="29">
        <v>1034.28206273411</v>
      </c>
    </row>
    <row r="187" spans="1:31" x14ac:dyDescent="0.25">
      <c r="A187" s="41" t="s">
        <v>1257</v>
      </c>
      <c r="B187" s="6" t="s">
        <v>53</v>
      </c>
      <c r="C187" s="6" t="s">
        <v>117</v>
      </c>
      <c r="D187" s="6">
        <v>2</v>
      </c>
      <c r="E187" s="6" t="s">
        <v>1211</v>
      </c>
      <c r="K187" s="29">
        <f>INDEX(Mitigation_Industry!K:K,MATCH($A187,Mitigation_Industry!$H:$H,0))</f>
        <v>0</v>
      </c>
      <c r="L187" s="29">
        <f>INDEX(Mitigation_Industry!L:L,MATCH($A187,Mitigation_Industry!$H:$H,0))</f>
        <v>1463.0552244627891</v>
      </c>
      <c r="M187" s="29">
        <f>INDEX(Mitigation_Industry!M:M,MATCH($A187,Mitigation_Industry!$H:$H,0))</f>
        <v>1191.3644362517177</v>
      </c>
      <c r="N187" s="29">
        <f>INDEX(Mitigation_Industry!N:N,MATCH($A187,Mitigation_Industry!$H:$H,0))</f>
        <v>1369.177928221337</v>
      </c>
      <c r="O187" s="29">
        <f>INDEX(Mitigation_Industry!O:O,MATCH($A187,Mitigation_Industry!$H:$H,0))</f>
        <v>1496.0103450821184</v>
      </c>
      <c r="P187" s="29">
        <f>INDEX(Mitigation_Industry!P:P,MATCH($A187,Mitigation_Industry!$H:$H,0))</f>
        <v>1463.0094084242082</v>
      </c>
      <c r="Q187" s="29">
        <f>INDEX(Mitigation_Industry!Q:Q,MATCH($A187,Mitigation_Industry!$H:$H,0))</f>
        <v>1374.7723428524596</v>
      </c>
      <c r="R187" s="29">
        <f>INDEX(Mitigation_Industry!R:R,MATCH($A187,Mitigation_Industry!$H:$H,0))</f>
        <v>1322.3676037201528</v>
      </c>
      <c r="S187" s="29">
        <f>INDEX(Mitigation_Industry!S:S,MATCH($A187,Mitigation_Industry!$H:$H,0))</f>
        <v>1277.4771729802821</v>
      </c>
      <c r="T187" s="29">
        <f>INDEX(Mitigation_Industry!T:T,MATCH($A187,Mitigation_Industry!$H:$H,0))</f>
        <v>1237.8339324892124</v>
      </c>
      <c r="U187" s="29">
        <f>INDEX(Mitigation_Industry!U:U,MATCH($A187,Mitigation_Industry!$H:$H,0))</f>
        <v>1203.5520989403744</v>
      </c>
      <c r="V187" s="29">
        <f>INDEX(Mitigation_Industry!V:V,MATCH($A187,Mitigation_Industry!$H:$H,0))</f>
        <v>1171.022700627675</v>
      </c>
      <c r="W187" s="29">
        <f>INDEX(Mitigation_Industry!W:W,MATCH($A187,Mitigation_Industry!$H:$H,0))</f>
        <v>1143.1158396315373</v>
      </c>
      <c r="X187" s="29">
        <f>INDEX(Mitigation_Industry!X:X,MATCH($A187,Mitigation_Industry!$H:$H,0))</f>
        <v>1119.1782325411712</v>
      </c>
      <c r="Y187" s="29">
        <f>INDEX(Mitigation_Industry!Y:Y,MATCH($A187,Mitigation_Industry!$H:$H,0))</f>
        <v>1098.7587442542576</v>
      </c>
      <c r="Z187" s="29">
        <f>INDEX(Mitigation_Industry!Z:Z,MATCH($A187,Mitigation_Industry!$H:$H,0))</f>
        <v>1081.6097142698641</v>
      </c>
      <c r="AA187" s="29">
        <f>INDEX(Mitigation_Industry!AA:AA,MATCH($A187,Mitigation_Industry!$H:$H,0))</f>
        <v>1067.4268939288004</v>
      </c>
      <c r="AB187" s="29">
        <f>INDEX(Mitigation_Industry!AB:AB,MATCH($A187,Mitigation_Industry!$H:$H,0))</f>
        <v>1055.9237026292419</v>
      </c>
      <c r="AC187" s="29">
        <f>INDEX(Mitigation_Industry!AC:AC,MATCH($A187,Mitigation_Industry!$H:$H,0))</f>
        <v>1046.7510678916528</v>
      </c>
      <c r="AD187" s="29">
        <f>INDEX(Mitigation_Industry!AD:AD,MATCH($A187,Mitigation_Industry!$H:$H,0))</f>
        <v>1039.6150871676318</v>
      </c>
      <c r="AE187" s="29">
        <f>INDEX(Mitigation_Industry!AE:AE,MATCH($A187,Mitigation_Industry!$H:$H,0))</f>
        <v>1034.2820627341105</v>
      </c>
    </row>
    <row r="188" spans="1:31" x14ac:dyDescent="0.25">
      <c r="A188" s="41" t="s">
        <v>1257</v>
      </c>
      <c r="B188" s="6" t="s">
        <v>53</v>
      </c>
      <c r="C188" s="6" t="s">
        <v>117</v>
      </c>
      <c r="D188" s="6">
        <v>2</v>
      </c>
      <c r="E188" s="2" t="s">
        <v>1212</v>
      </c>
      <c r="F188" s="43">
        <f>MAX(MAX(L188:AE188),-MIN(L188:AE188))</f>
        <v>6.8212102632969618E-13</v>
      </c>
      <c r="K188" s="44">
        <f t="shared" ref="K188:AE188" si="45">IF(ISNUMBER(K186),IF(ISNUMBER(K187),K187-K186,999999),0)</f>
        <v>0</v>
      </c>
      <c r="L188" s="44">
        <f t="shared" si="45"/>
        <v>0</v>
      </c>
      <c r="M188" s="44">
        <f t="shared" si="45"/>
        <v>6.8212102632969618E-13</v>
      </c>
      <c r="N188" s="44">
        <f t="shared" si="45"/>
        <v>0</v>
      </c>
      <c r="O188" s="44">
        <f t="shared" si="45"/>
        <v>4.5474735088646412E-13</v>
      </c>
      <c r="P188" s="44">
        <f t="shared" si="45"/>
        <v>2.2737367544323206E-13</v>
      </c>
      <c r="Q188" s="44">
        <f t="shared" si="45"/>
        <v>6.8212102632969618E-13</v>
      </c>
      <c r="R188" s="44">
        <f t="shared" si="45"/>
        <v>-2.2737367544323206E-13</v>
      </c>
      <c r="S188" s="44">
        <f t="shared" si="45"/>
        <v>2.2737367544323206E-13</v>
      </c>
      <c r="T188" s="44">
        <f t="shared" si="45"/>
        <v>4.5474735088646412E-13</v>
      </c>
      <c r="U188" s="44">
        <f t="shared" si="45"/>
        <v>4.5474735088646412E-13</v>
      </c>
      <c r="V188" s="44">
        <f t="shared" si="45"/>
        <v>0</v>
      </c>
      <c r="W188" s="44">
        <f t="shared" si="45"/>
        <v>2.2737367544323206E-13</v>
      </c>
      <c r="X188" s="44">
        <f t="shared" si="45"/>
        <v>2.2737367544323206E-13</v>
      </c>
      <c r="Y188" s="44">
        <f t="shared" si="45"/>
        <v>6.8212102632969618E-13</v>
      </c>
      <c r="Z188" s="44">
        <f t="shared" si="45"/>
        <v>0</v>
      </c>
      <c r="AA188" s="44">
        <f t="shared" si="45"/>
        <v>4.5474735088646412E-13</v>
      </c>
      <c r="AB188" s="44">
        <f t="shared" si="45"/>
        <v>0</v>
      </c>
      <c r="AC188" s="44">
        <f t="shared" si="45"/>
        <v>-2.2737367544323206E-13</v>
      </c>
      <c r="AD188" s="44">
        <f t="shared" si="45"/>
        <v>-2.2737367544323206E-13</v>
      </c>
      <c r="AE188" s="44">
        <f t="shared" si="45"/>
        <v>4.5474735088646412E-13</v>
      </c>
    </row>
    <row r="190" spans="1:31" x14ac:dyDescent="0.25">
      <c r="A190" s="41" t="s">
        <v>1258</v>
      </c>
      <c r="B190" s="6" t="s">
        <v>57</v>
      </c>
      <c r="C190" s="6" t="s">
        <v>117</v>
      </c>
      <c r="D190" s="6">
        <v>2</v>
      </c>
      <c r="E190" s="6" t="s">
        <v>1210</v>
      </c>
      <c r="K190" s="29"/>
      <c r="L190" s="29">
        <v>1747.3915347620809</v>
      </c>
      <c r="M190" s="29">
        <v>1498.9759731403981</v>
      </c>
      <c r="N190" s="29">
        <v>1678.358160579395</v>
      </c>
      <c r="O190" s="29">
        <v>1744.682477306864</v>
      </c>
      <c r="P190" s="29">
        <v>1810.202559329744</v>
      </c>
      <c r="Q190" s="29">
        <v>1714.653509855023</v>
      </c>
      <c r="R190" s="29">
        <v>1652.7566024408461</v>
      </c>
      <c r="S190" s="29">
        <v>1600.956627884427</v>
      </c>
      <c r="T190" s="29">
        <v>1555.268255377141</v>
      </c>
      <c r="U190" s="29">
        <v>1518.134680287737</v>
      </c>
      <c r="V190" s="29">
        <v>1488.4138650625539</v>
      </c>
      <c r="W190" s="29">
        <v>1465.26851941002</v>
      </c>
      <c r="X190" s="29">
        <v>1447.9657306697541</v>
      </c>
      <c r="Y190" s="29">
        <v>1436.1054289752981</v>
      </c>
      <c r="Z190" s="29">
        <v>1429.687385327117</v>
      </c>
      <c r="AA190" s="29">
        <v>1428.471977802209</v>
      </c>
      <c r="AB190" s="29">
        <v>1432.1908567362859</v>
      </c>
      <c r="AC190" s="29">
        <v>1440.340132629459</v>
      </c>
      <c r="AD190" s="29">
        <v>1452.5016104532151</v>
      </c>
      <c r="AE190" s="29">
        <v>1468.369888192221</v>
      </c>
    </row>
    <row r="191" spans="1:31" x14ac:dyDescent="0.25">
      <c r="A191" s="41" t="s">
        <v>1258</v>
      </c>
      <c r="B191" s="6" t="s">
        <v>57</v>
      </c>
      <c r="C191" s="6" t="s">
        <v>117</v>
      </c>
      <c r="D191" s="6">
        <v>2</v>
      </c>
      <c r="E191" s="6" t="s">
        <v>1211</v>
      </c>
      <c r="K191" s="29">
        <f>INDEX(Mitigation_Industry!K:K,MATCH($A191,Mitigation_Industry!$H:$H,0))</f>
        <v>0</v>
      </c>
      <c r="L191" s="29">
        <f>INDEX(Mitigation_Industry!L:L,MATCH($A191,Mitigation_Industry!$H:$H,0))</f>
        <v>1747.3915347620809</v>
      </c>
      <c r="M191" s="29">
        <f>INDEX(Mitigation_Industry!M:M,MATCH($A191,Mitigation_Industry!$H:$H,0))</f>
        <v>1498.9759731403972</v>
      </c>
      <c r="N191" s="29">
        <f>INDEX(Mitigation_Industry!N:N,MATCH($A191,Mitigation_Industry!$H:$H,0))</f>
        <v>1678.3581605793943</v>
      </c>
      <c r="O191" s="29">
        <f>INDEX(Mitigation_Industry!O:O,MATCH($A191,Mitigation_Industry!$H:$H,0))</f>
        <v>1744.6824773068631</v>
      </c>
      <c r="P191" s="29">
        <f>INDEX(Mitigation_Industry!P:P,MATCH($A191,Mitigation_Industry!$H:$H,0))</f>
        <v>1810.2025593297433</v>
      </c>
      <c r="Q191" s="29">
        <f>INDEX(Mitigation_Industry!Q:Q,MATCH($A191,Mitigation_Industry!$H:$H,0))</f>
        <v>1714.6535098550221</v>
      </c>
      <c r="R191" s="29">
        <f>INDEX(Mitigation_Industry!R:R,MATCH($A191,Mitigation_Industry!$H:$H,0))</f>
        <v>1652.7566024408452</v>
      </c>
      <c r="S191" s="29">
        <f>INDEX(Mitigation_Industry!S:S,MATCH($A191,Mitigation_Industry!$H:$H,0))</f>
        <v>1600.9566278844268</v>
      </c>
      <c r="T191" s="29">
        <f>INDEX(Mitigation_Industry!T:T,MATCH($A191,Mitigation_Industry!$H:$H,0))</f>
        <v>1555.2682553771394</v>
      </c>
      <c r="U191" s="29">
        <f>INDEX(Mitigation_Industry!U:U,MATCH($A191,Mitigation_Industry!$H:$H,0))</f>
        <v>1518.1346802877367</v>
      </c>
      <c r="V191" s="29">
        <f>INDEX(Mitigation_Industry!V:V,MATCH($A191,Mitigation_Industry!$H:$H,0))</f>
        <v>1488.413865062553</v>
      </c>
      <c r="W191" s="29">
        <f>INDEX(Mitigation_Industry!W:W,MATCH($A191,Mitigation_Industry!$H:$H,0))</f>
        <v>1465.2685194100191</v>
      </c>
      <c r="X191" s="29">
        <f>INDEX(Mitigation_Industry!X:X,MATCH($A191,Mitigation_Industry!$H:$H,0))</f>
        <v>1447.9657306697536</v>
      </c>
      <c r="Y191" s="29">
        <f>INDEX(Mitigation_Industry!Y:Y,MATCH($A191,Mitigation_Industry!$H:$H,0))</f>
        <v>1436.1054289752972</v>
      </c>
      <c r="Z191" s="29">
        <f>INDEX(Mitigation_Industry!Z:Z,MATCH($A191,Mitigation_Industry!$H:$H,0))</f>
        <v>1429.6873853271159</v>
      </c>
      <c r="AA191" s="29">
        <f>INDEX(Mitigation_Industry!AA:AA,MATCH($A191,Mitigation_Industry!$H:$H,0))</f>
        <v>1428.4719778022086</v>
      </c>
      <c r="AB191" s="29">
        <f>INDEX(Mitigation_Industry!AB:AB,MATCH($A191,Mitigation_Industry!$H:$H,0))</f>
        <v>1432.190856736285</v>
      </c>
      <c r="AC191" s="29">
        <f>INDEX(Mitigation_Industry!AC:AC,MATCH($A191,Mitigation_Industry!$H:$H,0))</f>
        <v>1440.3401326294579</v>
      </c>
      <c r="AD191" s="29">
        <f>INDEX(Mitigation_Industry!AD:AD,MATCH($A191,Mitigation_Industry!$H:$H,0))</f>
        <v>1452.5016104532144</v>
      </c>
      <c r="AE191" s="29">
        <f>INDEX(Mitigation_Industry!AE:AE,MATCH($A191,Mitigation_Industry!$H:$H,0))</f>
        <v>1468.3698881922205</v>
      </c>
    </row>
    <row r="192" spans="1:31" x14ac:dyDescent="0.25">
      <c r="A192" s="41" t="s">
        <v>1258</v>
      </c>
      <c r="B192" s="6" t="s">
        <v>57</v>
      </c>
      <c r="C192" s="6" t="s">
        <v>117</v>
      </c>
      <c r="D192" s="6">
        <v>2</v>
      </c>
      <c r="E192" s="2" t="s">
        <v>1212</v>
      </c>
      <c r="F192" s="43">
        <f>MAX(MAX(L192:AE192),-MIN(L192:AE192))</f>
        <v>1.5916157281026244E-12</v>
      </c>
      <c r="K192" s="44">
        <f t="shared" ref="K192:AE192" si="46">IF(ISNUMBER(K190),IF(ISNUMBER(K191),K191-K190,999999),0)</f>
        <v>0</v>
      </c>
      <c r="L192" s="44">
        <f t="shared" si="46"/>
        <v>0</v>
      </c>
      <c r="M192" s="44">
        <f t="shared" si="46"/>
        <v>-9.0949470177292824E-13</v>
      </c>
      <c r="N192" s="44">
        <f t="shared" si="46"/>
        <v>-6.8212102632969618E-13</v>
      </c>
      <c r="O192" s="44">
        <f t="shared" si="46"/>
        <v>-9.0949470177292824E-13</v>
      </c>
      <c r="P192" s="44">
        <f t="shared" si="46"/>
        <v>-6.8212102632969618E-13</v>
      </c>
      <c r="Q192" s="44">
        <f t="shared" si="46"/>
        <v>-9.0949470177292824E-13</v>
      </c>
      <c r="R192" s="44">
        <f t="shared" si="46"/>
        <v>-9.0949470177292824E-13</v>
      </c>
      <c r="S192" s="44">
        <f t="shared" si="46"/>
        <v>-2.2737367544323206E-13</v>
      </c>
      <c r="T192" s="44">
        <f t="shared" si="46"/>
        <v>-1.5916157281026244E-12</v>
      </c>
      <c r="U192" s="44">
        <f t="shared" si="46"/>
        <v>-2.2737367544323206E-13</v>
      </c>
      <c r="V192" s="44">
        <f t="shared" si="46"/>
        <v>-9.0949470177292824E-13</v>
      </c>
      <c r="W192" s="44">
        <f t="shared" si="46"/>
        <v>-9.0949470177292824E-13</v>
      </c>
      <c r="X192" s="44">
        <f t="shared" si="46"/>
        <v>-4.5474735088646412E-13</v>
      </c>
      <c r="Y192" s="44">
        <f t="shared" si="46"/>
        <v>-9.0949470177292824E-13</v>
      </c>
      <c r="Z192" s="44">
        <f t="shared" si="46"/>
        <v>-1.1368683772161603E-12</v>
      </c>
      <c r="AA192" s="44">
        <f t="shared" si="46"/>
        <v>-4.5474735088646412E-13</v>
      </c>
      <c r="AB192" s="44">
        <f t="shared" si="46"/>
        <v>-9.0949470177292824E-13</v>
      </c>
      <c r="AC192" s="44">
        <f t="shared" si="46"/>
        <v>-1.1368683772161603E-12</v>
      </c>
      <c r="AD192" s="44">
        <f t="shared" si="46"/>
        <v>-6.8212102632969618E-13</v>
      </c>
      <c r="AE192" s="44">
        <f t="shared" si="46"/>
        <v>-4.5474735088646412E-13</v>
      </c>
    </row>
    <row r="194" spans="1:31" x14ac:dyDescent="0.25">
      <c r="A194" s="41" t="s">
        <v>1259</v>
      </c>
      <c r="B194" s="6" t="s">
        <v>59</v>
      </c>
      <c r="C194" s="6" t="s">
        <v>117</v>
      </c>
      <c r="D194" s="6">
        <v>2</v>
      </c>
      <c r="E194" s="6" t="s">
        <v>1210</v>
      </c>
      <c r="K194" s="29"/>
      <c r="L194" s="29">
        <v>0</v>
      </c>
      <c r="M194" s="29">
        <v>0</v>
      </c>
      <c r="N194" s="29">
        <v>0</v>
      </c>
      <c r="O194" s="29">
        <v>0</v>
      </c>
      <c r="P194" s="29">
        <v>0</v>
      </c>
      <c r="Q194" s="29">
        <v>0</v>
      </c>
      <c r="R194" s="29">
        <v>0</v>
      </c>
      <c r="S194" s="29">
        <v>0</v>
      </c>
      <c r="T194" s="29">
        <v>0</v>
      </c>
      <c r="U194" s="29">
        <v>0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>
        <v>0</v>
      </c>
      <c r="AC194" s="29">
        <v>0</v>
      </c>
      <c r="AD194" s="29">
        <v>0</v>
      </c>
      <c r="AE194" s="29">
        <v>0</v>
      </c>
    </row>
    <row r="195" spans="1:31" x14ac:dyDescent="0.25">
      <c r="A195" s="41" t="s">
        <v>1259</v>
      </c>
      <c r="B195" s="6" t="s">
        <v>59</v>
      </c>
      <c r="C195" s="6" t="s">
        <v>117</v>
      </c>
      <c r="D195" s="6">
        <v>2</v>
      </c>
      <c r="E195" s="6" t="s">
        <v>1211</v>
      </c>
      <c r="K195" s="29">
        <f>INDEX(Mitigation_Industry!K:K,MATCH($A195,Mitigation_Industry!$H:$H,0))</f>
        <v>0</v>
      </c>
      <c r="L195" s="29">
        <f>INDEX(Mitigation_Industry!L:L,MATCH($A195,Mitigation_Industry!$H:$H,0))</f>
        <v>0</v>
      </c>
      <c r="M195" s="29">
        <f>INDEX(Mitigation_Industry!M:M,MATCH($A195,Mitigation_Industry!$H:$H,0))</f>
        <v>0</v>
      </c>
      <c r="N195" s="29">
        <f>INDEX(Mitigation_Industry!N:N,MATCH($A195,Mitigation_Industry!$H:$H,0))</f>
        <v>0</v>
      </c>
      <c r="O195" s="29">
        <f>INDEX(Mitigation_Industry!O:O,MATCH($A195,Mitigation_Industry!$H:$H,0))</f>
        <v>0</v>
      </c>
      <c r="P195" s="29">
        <f>INDEX(Mitigation_Industry!P:P,MATCH($A195,Mitigation_Industry!$H:$H,0))</f>
        <v>0</v>
      </c>
      <c r="Q195" s="29">
        <f>INDEX(Mitigation_Industry!Q:Q,MATCH($A195,Mitigation_Industry!$H:$H,0))</f>
        <v>0</v>
      </c>
      <c r="R195" s="29">
        <f>INDEX(Mitigation_Industry!R:R,MATCH($A195,Mitigation_Industry!$H:$H,0))</f>
        <v>0</v>
      </c>
      <c r="S195" s="29">
        <f>INDEX(Mitigation_Industry!S:S,MATCH($A195,Mitigation_Industry!$H:$H,0))</f>
        <v>0</v>
      </c>
      <c r="T195" s="29">
        <f>INDEX(Mitigation_Industry!T:T,MATCH($A195,Mitigation_Industry!$H:$H,0))</f>
        <v>0</v>
      </c>
      <c r="U195" s="29">
        <f>INDEX(Mitigation_Industry!U:U,MATCH($A195,Mitigation_Industry!$H:$H,0))</f>
        <v>0</v>
      </c>
      <c r="V195" s="29">
        <f>INDEX(Mitigation_Industry!V:V,MATCH($A195,Mitigation_Industry!$H:$H,0))</f>
        <v>0</v>
      </c>
      <c r="W195" s="29">
        <f>INDEX(Mitigation_Industry!W:W,MATCH($A195,Mitigation_Industry!$H:$H,0))</f>
        <v>0</v>
      </c>
      <c r="X195" s="29">
        <f>INDEX(Mitigation_Industry!X:X,MATCH($A195,Mitigation_Industry!$H:$H,0))</f>
        <v>0</v>
      </c>
      <c r="Y195" s="29">
        <f>INDEX(Mitigation_Industry!Y:Y,MATCH($A195,Mitigation_Industry!$H:$H,0))</f>
        <v>0</v>
      </c>
      <c r="Z195" s="29">
        <f>INDEX(Mitigation_Industry!Z:Z,MATCH($A195,Mitigation_Industry!$H:$H,0))</f>
        <v>0</v>
      </c>
      <c r="AA195" s="29">
        <f>INDEX(Mitigation_Industry!AA:AA,MATCH($A195,Mitigation_Industry!$H:$H,0))</f>
        <v>0</v>
      </c>
      <c r="AB195" s="29">
        <f>INDEX(Mitigation_Industry!AB:AB,MATCH($A195,Mitigation_Industry!$H:$H,0))</f>
        <v>0</v>
      </c>
      <c r="AC195" s="29">
        <f>INDEX(Mitigation_Industry!AC:AC,MATCH($A195,Mitigation_Industry!$H:$H,0))</f>
        <v>0</v>
      </c>
      <c r="AD195" s="29">
        <f>INDEX(Mitigation_Industry!AD:AD,MATCH($A195,Mitigation_Industry!$H:$H,0))</f>
        <v>0</v>
      </c>
      <c r="AE195" s="29">
        <f>INDEX(Mitigation_Industry!AE:AE,MATCH($A195,Mitigation_Industry!$H:$H,0))</f>
        <v>0</v>
      </c>
    </row>
    <row r="196" spans="1:31" x14ac:dyDescent="0.25">
      <c r="A196" s="41" t="s">
        <v>1259</v>
      </c>
      <c r="B196" s="6" t="s">
        <v>59</v>
      </c>
      <c r="C196" s="6" t="s">
        <v>117</v>
      </c>
      <c r="D196" s="6">
        <v>2</v>
      </c>
      <c r="E196" s="2" t="s">
        <v>1212</v>
      </c>
      <c r="F196" s="43">
        <f>MAX(MAX(L196:AE196),-MIN(L196:AE196))</f>
        <v>0</v>
      </c>
      <c r="K196" s="44">
        <f t="shared" ref="K196:AE196" si="47">IF(ISNUMBER(K194),IF(ISNUMBER(K195),K195-K194,999999),0)</f>
        <v>0</v>
      </c>
      <c r="L196" s="44">
        <f t="shared" si="47"/>
        <v>0</v>
      </c>
      <c r="M196" s="44">
        <f t="shared" si="47"/>
        <v>0</v>
      </c>
      <c r="N196" s="44">
        <f t="shared" si="47"/>
        <v>0</v>
      </c>
      <c r="O196" s="44">
        <f t="shared" si="47"/>
        <v>0</v>
      </c>
      <c r="P196" s="44">
        <f t="shared" si="47"/>
        <v>0</v>
      </c>
      <c r="Q196" s="44">
        <f t="shared" si="47"/>
        <v>0</v>
      </c>
      <c r="R196" s="44">
        <f t="shared" si="47"/>
        <v>0</v>
      </c>
      <c r="S196" s="44">
        <f t="shared" si="47"/>
        <v>0</v>
      </c>
      <c r="T196" s="44">
        <f t="shared" si="47"/>
        <v>0</v>
      </c>
      <c r="U196" s="44">
        <f t="shared" si="47"/>
        <v>0</v>
      </c>
      <c r="V196" s="44">
        <f t="shared" si="47"/>
        <v>0</v>
      </c>
      <c r="W196" s="44">
        <f t="shared" si="47"/>
        <v>0</v>
      </c>
      <c r="X196" s="44">
        <f t="shared" si="47"/>
        <v>0</v>
      </c>
      <c r="Y196" s="44">
        <f t="shared" si="47"/>
        <v>0</v>
      </c>
      <c r="Z196" s="44">
        <f t="shared" si="47"/>
        <v>0</v>
      </c>
      <c r="AA196" s="44">
        <f t="shared" si="47"/>
        <v>0</v>
      </c>
      <c r="AB196" s="44">
        <f t="shared" si="47"/>
        <v>0</v>
      </c>
      <c r="AC196" s="44">
        <f t="shared" si="47"/>
        <v>0</v>
      </c>
      <c r="AD196" s="44">
        <f t="shared" si="47"/>
        <v>0</v>
      </c>
      <c r="AE196" s="44">
        <f t="shared" si="47"/>
        <v>0</v>
      </c>
    </row>
    <row r="198" spans="1:31" x14ac:dyDescent="0.25">
      <c r="A198" s="41" t="s">
        <v>1260</v>
      </c>
      <c r="B198" s="6" t="s">
        <v>62</v>
      </c>
      <c r="C198" s="6" t="s">
        <v>117</v>
      </c>
      <c r="D198" s="6">
        <v>2</v>
      </c>
      <c r="E198" s="6" t="s">
        <v>1210</v>
      </c>
      <c r="K198" s="29"/>
      <c r="L198" s="29">
        <v>0</v>
      </c>
      <c r="M198" s="29">
        <v>0</v>
      </c>
      <c r="N198" s="29">
        <v>0</v>
      </c>
      <c r="O198" s="29">
        <v>0</v>
      </c>
      <c r="P198" s="29">
        <v>0</v>
      </c>
      <c r="Q198" s="29">
        <v>0</v>
      </c>
      <c r="R198" s="29">
        <v>0</v>
      </c>
      <c r="S198" s="29">
        <v>0</v>
      </c>
      <c r="T198" s="29">
        <v>0</v>
      </c>
      <c r="U198" s="29">
        <v>0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>
        <v>0</v>
      </c>
      <c r="AC198" s="29">
        <v>0</v>
      </c>
      <c r="AD198" s="29">
        <v>0</v>
      </c>
      <c r="AE198" s="29">
        <v>0</v>
      </c>
    </row>
    <row r="199" spans="1:31" x14ac:dyDescent="0.25">
      <c r="A199" s="41" t="s">
        <v>1260</v>
      </c>
      <c r="B199" s="6" t="s">
        <v>62</v>
      </c>
      <c r="C199" s="6" t="s">
        <v>117</v>
      </c>
      <c r="D199" s="6">
        <v>2</v>
      </c>
      <c r="E199" s="6" t="s">
        <v>1211</v>
      </c>
      <c r="K199" s="29">
        <f>INDEX(Mitigation_Industry!K:K,MATCH($A199,Mitigation_Industry!$H:$H,0))</f>
        <v>0</v>
      </c>
      <c r="L199" s="29">
        <f>INDEX(Mitigation_Industry!L:L,MATCH($A199,Mitigation_Industry!$H:$H,0))</f>
        <v>0</v>
      </c>
      <c r="M199" s="29">
        <f>INDEX(Mitigation_Industry!M:M,MATCH($A199,Mitigation_Industry!$H:$H,0))</f>
        <v>0</v>
      </c>
      <c r="N199" s="29">
        <f>INDEX(Mitigation_Industry!N:N,MATCH($A199,Mitigation_Industry!$H:$H,0))</f>
        <v>0</v>
      </c>
      <c r="O199" s="29">
        <f>INDEX(Mitigation_Industry!O:O,MATCH($A199,Mitigation_Industry!$H:$H,0))</f>
        <v>0</v>
      </c>
      <c r="P199" s="29">
        <f>INDEX(Mitigation_Industry!P:P,MATCH($A199,Mitigation_Industry!$H:$H,0))</f>
        <v>0</v>
      </c>
      <c r="Q199" s="29">
        <f>INDEX(Mitigation_Industry!Q:Q,MATCH($A199,Mitigation_Industry!$H:$H,0))</f>
        <v>0</v>
      </c>
      <c r="R199" s="29">
        <f>INDEX(Mitigation_Industry!R:R,MATCH($A199,Mitigation_Industry!$H:$H,0))</f>
        <v>0</v>
      </c>
      <c r="S199" s="29">
        <f>INDEX(Mitigation_Industry!S:S,MATCH($A199,Mitigation_Industry!$H:$H,0))</f>
        <v>0</v>
      </c>
      <c r="T199" s="29">
        <f>INDEX(Mitigation_Industry!T:T,MATCH($A199,Mitigation_Industry!$H:$H,0))</f>
        <v>0</v>
      </c>
      <c r="U199" s="29">
        <f>INDEX(Mitigation_Industry!U:U,MATCH($A199,Mitigation_Industry!$H:$H,0))</f>
        <v>0</v>
      </c>
      <c r="V199" s="29">
        <f>INDEX(Mitigation_Industry!V:V,MATCH($A199,Mitigation_Industry!$H:$H,0))</f>
        <v>0</v>
      </c>
      <c r="W199" s="29">
        <f>INDEX(Mitigation_Industry!W:W,MATCH($A199,Mitigation_Industry!$H:$H,0))</f>
        <v>0</v>
      </c>
      <c r="X199" s="29">
        <f>INDEX(Mitigation_Industry!X:X,MATCH($A199,Mitigation_Industry!$H:$H,0))</f>
        <v>0</v>
      </c>
      <c r="Y199" s="29">
        <f>INDEX(Mitigation_Industry!Y:Y,MATCH($A199,Mitigation_Industry!$H:$H,0))</f>
        <v>0</v>
      </c>
      <c r="Z199" s="29">
        <f>INDEX(Mitigation_Industry!Z:Z,MATCH($A199,Mitigation_Industry!$H:$H,0))</f>
        <v>0</v>
      </c>
      <c r="AA199" s="29">
        <f>INDEX(Mitigation_Industry!AA:AA,MATCH($A199,Mitigation_Industry!$H:$H,0))</f>
        <v>0</v>
      </c>
      <c r="AB199" s="29">
        <f>INDEX(Mitigation_Industry!AB:AB,MATCH($A199,Mitigation_Industry!$H:$H,0))</f>
        <v>0</v>
      </c>
      <c r="AC199" s="29">
        <f>INDEX(Mitigation_Industry!AC:AC,MATCH($A199,Mitigation_Industry!$H:$H,0))</f>
        <v>0</v>
      </c>
      <c r="AD199" s="29">
        <f>INDEX(Mitigation_Industry!AD:AD,MATCH($A199,Mitigation_Industry!$H:$H,0))</f>
        <v>0</v>
      </c>
      <c r="AE199" s="29">
        <f>INDEX(Mitigation_Industry!AE:AE,MATCH($A199,Mitigation_Industry!$H:$H,0))</f>
        <v>0</v>
      </c>
    </row>
    <row r="200" spans="1:31" x14ac:dyDescent="0.25">
      <c r="A200" s="41" t="s">
        <v>1260</v>
      </c>
      <c r="B200" s="6" t="s">
        <v>62</v>
      </c>
      <c r="C200" s="6" t="s">
        <v>117</v>
      </c>
      <c r="D200" s="6">
        <v>2</v>
      </c>
      <c r="E200" s="2" t="s">
        <v>1212</v>
      </c>
      <c r="F200" s="43">
        <f>MAX(MAX(L200:AE200),-MIN(L200:AE200))</f>
        <v>0</v>
      </c>
      <c r="K200" s="44">
        <f t="shared" ref="K200:AE200" si="48">IF(ISNUMBER(K198),IF(ISNUMBER(K199),K199-K198,999999),0)</f>
        <v>0</v>
      </c>
      <c r="L200" s="44">
        <f t="shared" si="48"/>
        <v>0</v>
      </c>
      <c r="M200" s="44">
        <f t="shared" si="48"/>
        <v>0</v>
      </c>
      <c r="N200" s="44">
        <f t="shared" si="48"/>
        <v>0</v>
      </c>
      <c r="O200" s="44">
        <f t="shared" si="48"/>
        <v>0</v>
      </c>
      <c r="P200" s="44">
        <f t="shared" si="48"/>
        <v>0</v>
      </c>
      <c r="Q200" s="44">
        <f t="shared" si="48"/>
        <v>0</v>
      </c>
      <c r="R200" s="44">
        <f t="shared" si="48"/>
        <v>0</v>
      </c>
      <c r="S200" s="44">
        <f t="shared" si="48"/>
        <v>0</v>
      </c>
      <c r="T200" s="44">
        <f t="shared" si="48"/>
        <v>0</v>
      </c>
      <c r="U200" s="44">
        <f t="shared" si="48"/>
        <v>0</v>
      </c>
      <c r="V200" s="44">
        <f t="shared" si="48"/>
        <v>0</v>
      </c>
      <c r="W200" s="44">
        <f t="shared" si="48"/>
        <v>0</v>
      </c>
      <c r="X200" s="44">
        <f t="shared" si="48"/>
        <v>0</v>
      </c>
      <c r="Y200" s="44">
        <f t="shared" si="48"/>
        <v>0</v>
      </c>
      <c r="Z200" s="44">
        <f t="shared" si="48"/>
        <v>0</v>
      </c>
      <c r="AA200" s="44">
        <f t="shared" si="48"/>
        <v>0</v>
      </c>
      <c r="AB200" s="44">
        <f t="shared" si="48"/>
        <v>0</v>
      </c>
      <c r="AC200" s="44">
        <f t="shared" si="48"/>
        <v>0</v>
      </c>
      <c r="AD200" s="44">
        <f t="shared" si="48"/>
        <v>0</v>
      </c>
      <c r="AE200" s="44">
        <f t="shared" si="48"/>
        <v>0</v>
      </c>
    </row>
    <row r="202" spans="1:31" x14ac:dyDescent="0.25">
      <c r="A202" s="41" t="s">
        <v>1261</v>
      </c>
      <c r="B202" s="6" t="s">
        <v>64</v>
      </c>
      <c r="C202" s="6" t="s">
        <v>117</v>
      </c>
      <c r="D202" s="6">
        <v>2</v>
      </c>
      <c r="E202" s="6" t="s">
        <v>1210</v>
      </c>
      <c r="K202" s="29"/>
      <c r="L202" s="29">
        <v>0</v>
      </c>
      <c r="M202" s="29">
        <v>0</v>
      </c>
      <c r="N202" s="29">
        <v>0</v>
      </c>
      <c r="O202" s="29">
        <v>0</v>
      </c>
      <c r="P202" s="29">
        <v>0</v>
      </c>
      <c r="Q202" s="29">
        <v>0</v>
      </c>
      <c r="R202" s="29">
        <v>0</v>
      </c>
      <c r="S202" s="29">
        <v>0</v>
      </c>
      <c r="T202" s="29">
        <v>0</v>
      </c>
      <c r="U202" s="29">
        <v>0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>
        <v>0</v>
      </c>
      <c r="AC202" s="29">
        <v>0</v>
      </c>
      <c r="AD202" s="29">
        <v>0</v>
      </c>
      <c r="AE202" s="29">
        <v>0</v>
      </c>
    </row>
    <row r="203" spans="1:31" x14ac:dyDescent="0.25">
      <c r="A203" s="41" t="s">
        <v>1261</v>
      </c>
      <c r="B203" s="6" t="s">
        <v>64</v>
      </c>
      <c r="C203" s="6" t="s">
        <v>117</v>
      </c>
      <c r="D203" s="6">
        <v>2</v>
      </c>
      <c r="E203" s="6" t="s">
        <v>1211</v>
      </c>
      <c r="K203" s="29">
        <f>INDEX(Mitigation_Industry!K:K,MATCH($A203,Mitigation_Industry!$H:$H,0))</f>
        <v>0</v>
      </c>
      <c r="L203" s="29">
        <f>INDEX(Mitigation_Industry!L:L,MATCH($A203,Mitigation_Industry!$H:$H,0))</f>
        <v>0</v>
      </c>
      <c r="M203" s="29">
        <f>INDEX(Mitigation_Industry!M:M,MATCH($A203,Mitigation_Industry!$H:$H,0))</f>
        <v>0</v>
      </c>
      <c r="N203" s="29">
        <f>INDEX(Mitigation_Industry!N:N,MATCH($A203,Mitigation_Industry!$H:$H,0))</f>
        <v>0</v>
      </c>
      <c r="O203" s="29">
        <f>INDEX(Mitigation_Industry!O:O,MATCH($A203,Mitigation_Industry!$H:$H,0))</f>
        <v>0</v>
      </c>
      <c r="P203" s="29">
        <f>INDEX(Mitigation_Industry!P:P,MATCH($A203,Mitigation_Industry!$H:$H,0))</f>
        <v>0</v>
      </c>
      <c r="Q203" s="29">
        <f>INDEX(Mitigation_Industry!Q:Q,MATCH($A203,Mitigation_Industry!$H:$H,0))</f>
        <v>0</v>
      </c>
      <c r="R203" s="29">
        <f>INDEX(Mitigation_Industry!R:R,MATCH($A203,Mitigation_Industry!$H:$H,0))</f>
        <v>0</v>
      </c>
      <c r="S203" s="29">
        <f>INDEX(Mitigation_Industry!S:S,MATCH($A203,Mitigation_Industry!$H:$H,0))</f>
        <v>0</v>
      </c>
      <c r="T203" s="29">
        <f>INDEX(Mitigation_Industry!T:T,MATCH($A203,Mitigation_Industry!$H:$H,0))</f>
        <v>0</v>
      </c>
      <c r="U203" s="29">
        <f>INDEX(Mitigation_Industry!U:U,MATCH($A203,Mitigation_Industry!$H:$H,0))</f>
        <v>0</v>
      </c>
      <c r="V203" s="29">
        <f>INDEX(Mitigation_Industry!V:V,MATCH($A203,Mitigation_Industry!$H:$H,0))</f>
        <v>0</v>
      </c>
      <c r="W203" s="29">
        <f>INDEX(Mitigation_Industry!W:W,MATCH($A203,Mitigation_Industry!$H:$H,0))</f>
        <v>0</v>
      </c>
      <c r="X203" s="29">
        <f>INDEX(Mitigation_Industry!X:X,MATCH($A203,Mitigation_Industry!$H:$H,0))</f>
        <v>0</v>
      </c>
      <c r="Y203" s="29">
        <f>INDEX(Mitigation_Industry!Y:Y,MATCH($A203,Mitigation_Industry!$H:$H,0))</f>
        <v>0</v>
      </c>
      <c r="Z203" s="29">
        <f>INDEX(Mitigation_Industry!Z:Z,MATCH($A203,Mitigation_Industry!$H:$H,0))</f>
        <v>0</v>
      </c>
      <c r="AA203" s="29">
        <f>INDEX(Mitigation_Industry!AA:AA,MATCH($A203,Mitigation_Industry!$H:$H,0))</f>
        <v>0</v>
      </c>
      <c r="AB203" s="29">
        <f>INDEX(Mitigation_Industry!AB:AB,MATCH($A203,Mitigation_Industry!$H:$H,0))</f>
        <v>0</v>
      </c>
      <c r="AC203" s="29">
        <f>INDEX(Mitigation_Industry!AC:AC,MATCH($A203,Mitigation_Industry!$H:$H,0))</f>
        <v>0</v>
      </c>
      <c r="AD203" s="29">
        <f>INDEX(Mitigation_Industry!AD:AD,MATCH($A203,Mitigation_Industry!$H:$H,0))</f>
        <v>0</v>
      </c>
      <c r="AE203" s="29">
        <f>INDEX(Mitigation_Industry!AE:AE,MATCH($A203,Mitigation_Industry!$H:$H,0))</f>
        <v>0</v>
      </c>
    </row>
    <row r="204" spans="1:31" x14ac:dyDescent="0.25">
      <c r="A204" s="41" t="s">
        <v>1261</v>
      </c>
      <c r="B204" s="6" t="s">
        <v>64</v>
      </c>
      <c r="C204" s="6" t="s">
        <v>117</v>
      </c>
      <c r="D204" s="6">
        <v>2</v>
      </c>
      <c r="E204" s="2" t="s">
        <v>1212</v>
      </c>
      <c r="F204" s="43">
        <f>MAX(MAX(L204:AE204),-MIN(L204:AE204))</f>
        <v>0</v>
      </c>
      <c r="K204" s="44">
        <f t="shared" ref="K204:AE204" si="49">IF(ISNUMBER(K202),IF(ISNUMBER(K203),K203-K202,999999),0)</f>
        <v>0</v>
      </c>
      <c r="L204" s="44">
        <f t="shared" si="49"/>
        <v>0</v>
      </c>
      <c r="M204" s="44">
        <f t="shared" si="49"/>
        <v>0</v>
      </c>
      <c r="N204" s="44">
        <f t="shared" si="49"/>
        <v>0</v>
      </c>
      <c r="O204" s="44">
        <f t="shared" si="49"/>
        <v>0</v>
      </c>
      <c r="P204" s="44">
        <f t="shared" si="49"/>
        <v>0</v>
      </c>
      <c r="Q204" s="44">
        <f t="shared" si="49"/>
        <v>0</v>
      </c>
      <c r="R204" s="44">
        <f t="shared" si="49"/>
        <v>0</v>
      </c>
      <c r="S204" s="44">
        <f t="shared" si="49"/>
        <v>0</v>
      </c>
      <c r="T204" s="44">
        <f t="shared" si="49"/>
        <v>0</v>
      </c>
      <c r="U204" s="44">
        <f t="shared" si="49"/>
        <v>0</v>
      </c>
      <c r="V204" s="44">
        <f t="shared" si="49"/>
        <v>0</v>
      </c>
      <c r="W204" s="44">
        <f t="shared" si="49"/>
        <v>0</v>
      </c>
      <c r="X204" s="44">
        <f t="shared" si="49"/>
        <v>0</v>
      </c>
      <c r="Y204" s="44">
        <f t="shared" si="49"/>
        <v>0</v>
      </c>
      <c r="Z204" s="44">
        <f t="shared" si="49"/>
        <v>0</v>
      </c>
      <c r="AA204" s="44">
        <f t="shared" si="49"/>
        <v>0</v>
      </c>
      <c r="AB204" s="44">
        <f t="shared" si="49"/>
        <v>0</v>
      </c>
      <c r="AC204" s="44">
        <f t="shared" si="49"/>
        <v>0</v>
      </c>
      <c r="AD204" s="44">
        <f t="shared" si="49"/>
        <v>0</v>
      </c>
      <c r="AE204" s="44">
        <f t="shared" si="49"/>
        <v>0</v>
      </c>
    </row>
    <row r="206" spans="1:31" x14ac:dyDescent="0.25">
      <c r="A206" s="41" t="s">
        <v>1262</v>
      </c>
      <c r="B206" s="6" t="s">
        <v>66</v>
      </c>
      <c r="C206" s="6" t="s">
        <v>117</v>
      </c>
      <c r="D206" s="6">
        <v>2</v>
      </c>
      <c r="E206" s="6" t="s">
        <v>1210</v>
      </c>
      <c r="K206" s="29"/>
      <c r="L206" s="29">
        <v>0</v>
      </c>
      <c r="M206" s="29">
        <v>0</v>
      </c>
      <c r="N206" s="29">
        <v>0</v>
      </c>
      <c r="O206" s="29">
        <v>0</v>
      </c>
      <c r="P206" s="29">
        <v>0</v>
      </c>
      <c r="Q206" s="29">
        <v>0</v>
      </c>
      <c r="R206" s="29">
        <v>0</v>
      </c>
      <c r="S206" s="29">
        <v>0</v>
      </c>
      <c r="T206" s="29">
        <v>0</v>
      </c>
      <c r="U206" s="29">
        <v>0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>
        <v>0</v>
      </c>
      <c r="AC206" s="29">
        <v>0</v>
      </c>
      <c r="AD206" s="29">
        <v>0</v>
      </c>
      <c r="AE206" s="29">
        <v>0</v>
      </c>
    </row>
    <row r="207" spans="1:31" x14ac:dyDescent="0.25">
      <c r="A207" s="41" t="s">
        <v>1262</v>
      </c>
      <c r="B207" s="6" t="s">
        <v>66</v>
      </c>
      <c r="C207" s="6" t="s">
        <v>117</v>
      </c>
      <c r="D207" s="6">
        <v>2</v>
      </c>
      <c r="E207" s="6" t="s">
        <v>1211</v>
      </c>
      <c r="K207" s="29">
        <f>INDEX(Mitigation_Industry!K:K,MATCH($A207,Mitigation_Industry!$H:$H,0))</f>
        <v>0</v>
      </c>
      <c r="L207" s="29">
        <f>INDEX(Mitigation_Industry!L:L,MATCH($A207,Mitigation_Industry!$H:$H,0))</f>
        <v>0</v>
      </c>
      <c r="M207" s="29">
        <f>INDEX(Mitigation_Industry!M:M,MATCH($A207,Mitigation_Industry!$H:$H,0))</f>
        <v>0</v>
      </c>
      <c r="N207" s="29">
        <f>INDEX(Mitigation_Industry!N:N,MATCH($A207,Mitigation_Industry!$H:$H,0))</f>
        <v>0</v>
      </c>
      <c r="O207" s="29">
        <f>INDEX(Mitigation_Industry!O:O,MATCH($A207,Mitigation_Industry!$H:$H,0))</f>
        <v>0</v>
      </c>
      <c r="P207" s="29">
        <f>INDEX(Mitigation_Industry!P:P,MATCH($A207,Mitigation_Industry!$H:$H,0))</f>
        <v>0</v>
      </c>
      <c r="Q207" s="29">
        <f>INDEX(Mitigation_Industry!Q:Q,MATCH($A207,Mitigation_Industry!$H:$H,0))</f>
        <v>0</v>
      </c>
      <c r="R207" s="29">
        <f>INDEX(Mitigation_Industry!R:R,MATCH($A207,Mitigation_Industry!$H:$H,0))</f>
        <v>0</v>
      </c>
      <c r="S207" s="29">
        <f>INDEX(Mitigation_Industry!S:S,MATCH($A207,Mitigation_Industry!$H:$H,0))</f>
        <v>0</v>
      </c>
      <c r="T207" s="29">
        <f>INDEX(Mitigation_Industry!T:T,MATCH($A207,Mitigation_Industry!$H:$H,0))</f>
        <v>0</v>
      </c>
      <c r="U207" s="29">
        <f>INDEX(Mitigation_Industry!U:U,MATCH($A207,Mitigation_Industry!$H:$H,0))</f>
        <v>0</v>
      </c>
      <c r="V207" s="29">
        <f>INDEX(Mitigation_Industry!V:V,MATCH($A207,Mitigation_Industry!$H:$H,0))</f>
        <v>0</v>
      </c>
      <c r="W207" s="29">
        <f>INDEX(Mitigation_Industry!W:W,MATCH($A207,Mitigation_Industry!$H:$H,0))</f>
        <v>0</v>
      </c>
      <c r="X207" s="29">
        <f>INDEX(Mitigation_Industry!X:X,MATCH($A207,Mitigation_Industry!$H:$H,0))</f>
        <v>0</v>
      </c>
      <c r="Y207" s="29">
        <f>INDEX(Mitigation_Industry!Y:Y,MATCH($A207,Mitigation_Industry!$H:$H,0))</f>
        <v>0</v>
      </c>
      <c r="Z207" s="29">
        <f>INDEX(Mitigation_Industry!Z:Z,MATCH($A207,Mitigation_Industry!$H:$H,0))</f>
        <v>0</v>
      </c>
      <c r="AA207" s="29">
        <f>INDEX(Mitigation_Industry!AA:AA,MATCH($A207,Mitigation_Industry!$H:$H,0))</f>
        <v>0</v>
      </c>
      <c r="AB207" s="29">
        <f>INDEX(Mitigation_Industry!AB:AB,MATCH($A207,Mitigation_Industry!$H:$H,0))</f>
        <v>0</v>
      </c>
      <c r="AC207" s="29">
        <f>INDEX(Mitigation_Industry!AC:AC,MATCH($A207,Mitigation_Industry!$H:$H,0))</f>
        <v>0</v>
      </c>
      <c r="AD207" s="29">
        <f>INDEX(Mitigation_Industry!AD:AD,MATCH($A207,Mitigation_Industry!$H:$H,0))</f>
        <v>0</v>
      </c>
      <c r="AE207" s="29">
        <f>INDEX(Mitigation_Industry!AE:AE,MATCH($A207,Mitigation_Industry!$H:$H,0))</f>
        <v>0</v>
      </c>
    </row>
    <row r="208" spans="1:31" x14ac:dyDescent="0.25">
      <c r="A208" s="41" t="s">
        <v>1262</v>
      </c>
      <c r="B208" s="6" t="s">
        <v>66</v>
      </c>
      <c r="C208" s="6" t="s">
        <v>117</v>
      </c>
      <c r="D208" s="6">
        <v>2</v>
      </c>
      <c r="E208" s="2" t="s">
        <v>1212</v>
      </c>
      <c r="F208" s="43">
        <f>MAX(MAX(L208:AE208),-MIN(L208:AE208))</f>
        <v>0</v>
      </c>
      <c r="K208" s="44">
        <f t="shared" ref="K208:AE208" si="50">IF(ISNUMBER(K206),IF(ISNUMBER(K207),K207-K206,999999),0)</f>
        <v>0</v>
      </c>
      <c r="L208" s="44">
        <f t="shared" si="50"/>
        <v>0</v>
      </c>
      <c r="M208" s="44">
        <f t="shared" si="50"/>
        <v>0</v>
      </c>
      <c r="N208" s="44">
        <f t="shared" si="50"/>
        <v>0</v>
      </c>
      <c r="O208" s="44">
        <f t="shared" si="50"/>
        <v>0</v>
      </c>
      <c r="P208" s="44">
        <f t="shared" si="50"/>
        <v>0</v>
      </c>
      <c r="Q208" s="44">
        <f t="shared" si="50"/>
        <v>0</v>
      </c>
      <c r="R208" s="44">
        <f t="shared" si="50"/>
        <v>0</v>
      </c>
      <c r="S208" s="44">
        <f t="shared" si="50"/>
        <v>0</v>
      </c>
      <c r="T208" s="44">
        <f t="shared" si="50"/>
        <v>0</v>
      </c>
      <c r="U208" s="44">
        <f t="shared" si="50"/>
        <v>0</v>
      </c>
      <c r="V208" s="44">
        <f t="shared" si="50"/>
        <v>0</v>
      </c>
      <c r="W208" s="44">
        <f t="shared" si="50"/>
        <v>0</v>
      </c>
      <c r="X208" s="44">
        <f t="shared" si="50"/>
        <v>0</v>
      </c>
      <c r="Y208" s="44">
        <f t="shared" si="50"/>
        <v>0</v>
      </c>
      <c r="Z208" s="44">
        <f t="shared" si="50"/>
        <v>0</v>
      </c>
      <c r="AA208" s="44">
        <f t="shared" si="50"/>
        <v>0</v>
      </c>
      <c r="AB208" s="44">
        <f t="shared" si="50"/>
        <v>0</v>
      </c>
      <c r="AC208" s="44">
        <f t="shared" si="50"/>
        <v>0</v>
      </c>
      <c r="AD208" s="44">
        <f t="shared" si="50"/>
        <v>0</v>
      </c>
      <c r="AE208" s="44">
        <f t="shared" si="50"/>
        <v>0</v>
      </c>
    </row>
    <row r="210" spans="1:31" x14ac:dyDescent="0.25">
      <c r="A210" s="41" t="s">
        <v>1263</v>
      </c>
      <c r="B210" s="6" t="s">
        <v>68</v>
      </c>
      <c r="C210" s="6" t="s">
        <v>117</v>
      </c>
      <c r="D210" s="6">
        <v>2</v>
      </c>
      <c r="E210" s="6" t="s">
        <v>1210</v>
      </c>
      <c r="K210" s="29"/>
      <c r="L210" s="29">
        <v>0</v>
      </c>
      <c r="M210" s="29">
        <v>0</v>
      </c>
      <c r="N210" s="29">
        <v>0</v>
      </c>
      <c r="O210" s="29">
        <v>0</v>
      </c>
      <c r="P210" s="29">
        <v>0</v>
      </c>
      <c r="Q210" s="29">
        <v>0</v>
      </c>
      <c r="R210" s="29">
        <v>0</v>
      </c>
      <c r="S210" s="29">
        <v>0</v>
      </c>
      <c r="T210" s="29">
        <v>0</v>
      </c>
      <c r="U210" s="29">
        <v>0</v>
      </c>
      <c r="V210" s="29">
        <v>0</v>
      </c>
      <c r="W210" s="29">
        <v>0</v>
      </c>
      <c r="X210" s="29">
        <v>0</v>
      </c>
      <c r="Y210" s="29">
        <v>0</v>
      </c>
      <c r="Z210" s="29">
        <v>0</v>
      </c>
      <c r="AA210" s="29">
        <v>0</v>
      </c>
      <c r="AB210" s="29">
        <v>0</v>
      </c>
      <c r="AC210" s="29">
        <v>0</v>
      </c>
      <c r="AD210" s="29">
        <v>0</v>
      </c>
      <c r="AE210" s="29">
        <v>0</v>
      </c>
    </row>
    <row r="211" spans="1:31" x14ac:dyDescent="0.25">
      <c r="A211" s="41" t="s">
        <v>1263</v>
      </c>
      <c r="B211" s="6" t="s">
        <v>68</v>
      </c>
      <c r="C211" s="6" t="s">
        <v>117</v>
      </c>
      <c r="D211" s="6">
        <v>2</v>
      </c>
      <c r="E211" s="6" t="s">
        <v>1211</v>
      </c>
      <c r="K211" s="29">
        <f>INDEX(Mitigation_Industry!K:K,MATCH($A211,Mitigation_Industry!$H:$H,0))</f>
        <v>0</v>
      </c>
      <c r="L211" s="29">
        <f>INDEX(Mitigation_Industry!L:L,MATCH($A211,Mitigation_Industry!$H:$H,0))</f>
        <v>0</v>
      </c>
      <c r="M211" s="29">
        <f>INDEX(Mitigation_Industry!M:M,MATCH($A211,Mitigation_Industry!$H:$H,0))</f>
        <v>0</v>
      </c>
      <c r="N211" s="29">
        <f>INDEX(Mitigation_Industry!N:N,MATCH($A211,Mitigation_Industry!$H:$H,0))</f>
        <v>0</v>
      </c>
      <c r="O211" s="29">
        <f>INDEX(Mitigation_Industry!O:O,MATCH($A211,Mitigation_Industry!$H:$H,0))</f>
        <v>0</v>
      </c>
      <c r="P211" s="29">
        <f>INDEX(Mitigation_Industry!P:P,MATCH($A211,Mitigation_Industry!$H:$H,0))</f>
        <v>0</v>
      </c>
      <c r="Q211" s="29">
        <f>INDEX(Mitigation_Industry!Q:Q,MATCH($A211,Mitigation_Industry!$H:$H,0))</f>
        <v>0</v>
      </c>
      <c r="R211" s="29">
        <f>INDEX(Mitigation_Industry!R:R,MATCH($A211,Mitigation_Industry!$H:$H,0))</f>
        <v>0</v>
      </c>
      <c r="S211" s="29">
        <f>INDEX(Mitigation_Industry!S:S,MATCH($A211,Mitigation_Industry!$H:$H,0))</f>
        <v>0</v>
      </c>
      <c r="T211" s="29">
        <f>INDEX(Mitigation_Industry!T:T,MATCH($A211,Mitigation_Industry!$H:$H,0))</f>
        <v>0</v>
      </c>
      <c r="U211" s="29">
        <f>INDEX(Mitigation_Industry!U:U,MATCH($A211,Mitigation_Industry!$H:$H,0))</f>
        <v>0</v>
      </c>
      <c r="V211" s="29">
        <f>INDEX(Mitigation_Industry!V:V,MATCH($A211,Mitigation_Industry!$H:$H,0))</f>
        <v>0</v>
      </c>
      <c r="W211" s="29">
        <f>INDEX(Mitigation_Industry!W:W,MATCH($A211,Mitigation_Industry!$H:$H,0))</f>
        <v>0</v>
      </c>
      <c r="X211" s="29">
        <f>INDEX(Mitigation_Industry!X:X,MATCH($A211,Mitigation_Industry!$H:$H,0))</f>
        <v>0</v>
      </c>
      <c r="Y211" s="29">
        <f>INDEX(Mitigation_Industry!Y:Y,MATCH($A211,Mitigation_Industry!$H:$H,0))</f>
        <v>0</v>
      </c>
      <c r="Z211" s="29">
        <f>INDEX(Mitigation_Industry!Z:Z,MATCH($A211,Mitigation_Industry!$H:$H,0))</f>
        <v>0</v>
      </c>
      <c r="AA211" s="29">
        <f>INDEX(Mitigation_Industry!AA:AA,MATCH($A211,Mitigation_Industry!$H:$H,0))</f>
        <v>0</v>
      </c>
      <c r="AB211" s="29">
        <f>INDEX(Mitigation_Industry!AB:AB,MATCH($A211,Mitigation_Industry!$H:$H,0))</f>
        <v>0</v>
      </c>
      <c r="AC211" s="29">
        <f>INDEX(Mitigation_Industry!AC:AC,MATCH($A211,Mitigation_Industry!$H:$H,0))</f>
        <v>0</v>
      </c>
      <c r="AD211" s="29">
        <f>INDEX(Mitigation_Industry!AD:AD,MATCH($A211,Mitigation_Industry!$H:$H,0))</f>
        <v>0</v>
      </c>
      <c r="AE211" s="29">
        <f>INDEX(Mitigation_Industry!AE:AE,MATCH($A211,Mitigation_Industry!$H:$H,0))</f>
        <v>0</v>
      </c>
    </row>
    <row r="212" spans="1:31" x14ac:dyDescent="0.25">
      <c r="A212" s="41" t="s">
        <v>1263</v>
      </c>
      <c r="B212" s="6" t="s">
        <v>68</v>
      </c>
      <c r="C212" s="6" t="s">
        <v>117</v>
      </c>
      <c r="D212" s="6">
        <v>2</v>
      </c>
      <c r="E212" s="2" t="s">
        <v>1212</v>
      </c>
      <c r="F212" s="43">
        <f>MAX(MAX(L212:AE212),-MIN(L212:AE212))</f>
        <v>0</v>
      </c>
      <c r="K212" s="44">
        <f t="shared" ref="K212:AE212" si="51">IF(ISNUMBER(K210),IF(ISNUMBER(K211),K211-K210,999999),0)</f>
        <v>0</v>
      </c>
      <c r="L212" s="44">
        <f t="shared" si="51"/>
        <v>0</v>
      </c>
      <c r="M212" s="44">
        <f t="shared" si="51"/>
        <v>0</v>
      </c>
      <c r="N212" s="44">
        <f t="shared" si="51"/>
        <v>0</v>
      </c>
      <c r="O212" s="44">
        <f t="shared" si="51"/>
        <v>0</v>
      </c>
      <c r="P212" s="44">
        <f t="shared" si="51"/>
        <v>0</v>
      </c>
      <c r="Q212" s="44">
        <f t="shared" si="51"/>
        <v>0</v>
      </c>
      <c r="R212" s="44">
        <f t="shared" si="51"/>
        <v>0</v>
      </c>
      <c r="S212" s="44">
        <f t="shared" si="51"/>
        <v>0</v>
      </c>
      <c r="T212" s="44">
        <f t="shared" si="51"/>
        <v>0</v>
      </c>
      <c r="U212" s="44">
        <f t="shared" si="51"/>
        <v>0</v>
      </c>
      <c r="V212" s="44">
        <f t="shared" si="51"/>
        <v>0</v>
      </c>
      <c r="W212" s="44">
        <f t="shared" si="51"/>
        <v>0</v>
      </c>
      <c r="X212" s="44">
        <f t="shared" si="51"/>
        <v>0</v>
      </c>
      <c r="Y212" s="44">
        <f t="shared" si="51"/>
        <v>0</v>
      </c>
      <c r="Z212" s="44">
        <f t="shared" si="51"/>
        <v>0</v>
      </c>
      <c r="AA212" s="44">
        <f t="shared" si="51"/>
        <v>0</v>
      </c>
      <c r="AB212" s="44">
        <f t="shared" si="51"/>
        <v>0</v>
      </c>
      <c r="AC212" s="44">
        <f t="shared" si="51"/>
        <v>0</v>
      </c>
      <c r="AD212" s="44">
        <f t="shared" si="51"/>
        <v>0</v>
      </c>
      <c r="AE212" s="44">
        <f t="shared" si="51"/>
        <v>0</v>
      </c>
    </row>
    <row r="214" spans="1:31" x14ac:dyDescent="0.25">
      <c r="A214" s="41" t="s">
        <v>1264</v>
      </c>
      <c r="B214" s="6" t="s">
        <v>71</v>
      </c>
      <c r="C214" s="6" t="s">
        <v>117</v>
      </c>
      <c r="D214" s="6">
        <v>2</v>
      </c>
      <c r="E214" s="6" t="s">
        <v>1210</v>
      </c>
      <c r="K214" s="29"/>
      <c r="L214" s="29">
        <v>0</v>
      </c>
      <c r="M214" s="29">
        <v>0</v>
      </c>
      <c r="N214" s="29">
        <v>0</v>
      </c>
      <c r="O214" s="29">
        <v>0</v>
      </c>
      <c r="P214" s="29">
        <v>0</v>
      </c>
      <c r="Q214" s="29">
        <v>0</v>
      </c>
      <c r="R214" s="29">
        <v>0</v>
      </c>
      <c r="S214" s="29">
        <v>0</v>
      </c>
      <c r="T214" s="29">
        <v>0</v>
      </c>
      <c r="U214" s="29">
        <v>0</v>
      </c>
      <c r="V214" s="29">
        <v>0</v>
      </c>
      <c r="W214" s="29">
        <v>0</v>
      </c>
      <c r="X214" s="29">
        <v>0</v>
      </c>
      <c r="Y214" s="29">
        <v>0</v>
      </c>
      <c r="Z214" s="29">
        <v>0</v>
      </c>
      <c r="AA214" s="29">
        <v>0</v>
      </c>
      <c r="AB214" s="29">
        <v>0</v>
      </c>
      <c r="AC214" s="29">
        <v>0</v>
      </c>
      <c r="AD214" s="29">
        <v>0</v>
      </c>
      <c r="AE214" s="29">
        <v>0</v>
      </c>
    </row>
    <row r="215" spans="1:31" x14ac:dyDescent="0.25">
      <c r="A215" s="41" t="s">
        <v>1264</v>
      </c>
      <c r="B215" s="6" t="s">
        <v>71</v>
      </c>
      <c r="C215" s="6" t="s">
        <v>117</v>
      </c>
      <c r="D215" s="6">
        <v>2</v>
      </c>
      <c r="E215" s="6" t="s">
        <v>1211</v>
      </c>
      <c r="K215" s="29">
        <f>INDEX(Mitigation_Industry!K:K,MATCH($A215,Mitigation_Industry!$H:$H,0))</f>
        <v>0</v>
      </c>
      <c r="L215" s="29">
        <f>INDEX(Mitigation_Industry!L:L,MATCH($A215,Mitigation_Industry!$H:$H,0))</f>
        <v>0</v>
      </c>
      <c r="M215" s="29">
        <f>INDEX(Mitigation_Industry!M:M,MATCH($A215,Mitigation_Industry!$H:$H,0))</f>
        <v>0</v>
      </c>
      <c r="N215" s="29">
        <f>INDEX(Mitigation_Industry!N:N,MATCH($A215,Mitigation_Industry!$H:$H,0))</f>
        <v>0</v>
      </c>
      <c r="O215" s="29">
        <f>INDEX(Mitigation_Industry!O:O,MATCH($A215,Mitigation_Industry!$H:$H,0))</f>
        <v>0</v>
      </c>
      <c r="P215" s="29">
        <f>INDEX(Mitigation_Industry!P:P,MATCH($A215,Mitigation_Industry!$H:$H,0))</f>
        <v>0</v>
      </c>
      <c r="Q215" s="29">
        <f>INDEX(Mitigation_Industry!Q:Q,MATCH($A215,Mitigation_Industry!$H:$H,0))</f>
        <v>0</v>
      </c>
      <c r="R215" s="29">
        <f>INDEX(Mitigation_Industry!R:R,MATCH($A215,Mitigation_Industry!$H:$H,0))</f>
        <v>0</v>
      </c>
      <c r="S215" s="29">
        <f>INDEX(Mitigation_Industry!S:S,MATCH($A215,Mitigation_Industry!$H:$H,0))</f>
        <v>0</v>
      </c>
      <c r="T215" s="29">
        <f>INDEX(Mitigation_Industry!T:T,MATCH($A215,Mitigation_Industry!$H:$H,0))</f>
        <v>0</v>
      </c>
      <c r="U215" s="29">
        <f>INDEX(Mitigation_Industry!U:U,MATCH($A215,Mitigation_Industry!$H:$H,0))</f>
        <v>0</v>
      </c>
      <c r="V215" s="29">
        <f>INDEX(Mitigation_Industry!V:V,MATCH($A215,Mitigation_Industry!$H:$H,0))</f>
        <v>0</v>
      </c>
      <c r="W215" s="29">
        <f>INDEX(Mitigation_Industry!W:W,MATCH($A215,Mitigation_Industry!$H:$H,0))</f>
        <v>0</v>
      </c>
      <c r="X215" s="29">
        <f>INDEX(Mitigation_Industry!X:X,MATCH($A215,Mitigation_Industry!$H:$H,0))</f>
        <v>0</v>
      </c>
      <c r="Y215" s="29">
        <f>INDEX(Mitigation_Industry!Y:Y,MATCH($A215,Mitigation_Industry!$H:$H,0))</f>
        <v>0</v>
      </c>
      <c r="Z215" s="29">
        <f>INDEX(Mitigation_Industry!Z:Z,MATCH($A215,Mitigation_Industry!$H:$H,0))</f>
        <v>0</v>
      </c>
      <c r="AA215" s="29">
        <f>INDEX(Mitigation_Industry!AA:AA,MATCH($A215,Mitigation_Industry!$H:$H,0))</f>
        <v>0</v>
      </c>
      <c r="AB215" s="29">
        <f>INDEX(Mitigation_Industry!AB:AB,MATCH($A215,Mitigation_Industry!$H:$H,0))</f>
        <v>0</v>
      </c>
      <c r="AC215" s="29">
        <f>INDEX(Mitigation_Industry!AC:AC,MATCH($A215,Mitigation_Industry!$H:$H,0))</f>
        <v>0</v>
      </c>
      <c r="AD215" s="29">
        <f>INDEX(Mitigation_Industry!AD:AD,MATCH($A215,Mitigation_Industry!$H:$H,0))</f>
        <v>0</v>
      </c>
      <c r="AE215" s="29">
        <f>INDEX(Mitigation_Industry!AE:AE,MATCH($A215,Mitigation_Industry!$H:$H,0))</f>
        <v>0</v>
      </c>
    </row>
    <row r="216" spans="1:31" x14ac:dyDescent="0.25">
      <c r="A216" s="41" t="s">
        <v>1264</v>
      </c>
      <c r="B216" s="6" t="s">
        <v>71</v>
      </c>
      <c r="C216" s="6" t="s">
        <v>117</v>
      </c>
      <c r="D216" s="6">
        <v>2</v>
      </c>
      <c r="E216" s="2" t="s">
        <v>1212</v>
      </c>
      <c r="F216" s="43">
        <f>MAX(MAX(L216:AE216),-MIN(L216:AE216))</f>
        <v>0</v>
      </c>
      <c r="K216" s="44">
        <f t="shared" ref="K216:AE216" si="52">IF(ISNUMBER(K214),IF(ISNUMBER(K215),K215-K214,999999),0)</f>
        <v>0</v>
      </c>
      <c r="L216" s="44">
        <f t="shared" si="52"/>
        <v>0</v>
      </c>
      <c r="M216" s="44">
        <f t="shared" si="52"/>
        <v>0</v>
      </c>
      <c r="N216" s="44">
        <f t="shared" si="52"/>
        <v>0</v>
      </c>
      <c r="O216" s="44">
        <f t="shared" si="52"/>
        <v>0</v>
      </c>
      <c r="P216" s="44">
        <f t="shared" si="52"/>
        <v>0</v>
      </c>
      <c r="Q216" s="44">
        <f t="shared" si="52"/>
        <v>0</v>
      </c>
      <c r="R216" s="44">
        <f t="shared" si="52"/>
        <v>0</v>
      </c>
      <c r="S216" s="44">
        <f t="shared" si="52"/>
        <v>0</v>
      </c>
      <c r="T216" s="44">
        <f t="shared" si="52"/>
        <v>0</v>
      </c>
      <c r="U216" s="44">
        <f t="shared" si="52"/>
        <v>0</v>
      </c>
      <c r="V216" s="44">
        <f t="shared" si="52"/>
        <v>0</v>
      </c>
      <c r="W216" s="44">
        <f t="shared" si="52"/>
        <v>0</v>
      </c>
      <c r="X216" s="44">
        <f t="shared" si="52"/>
        <v>0</v>
      </c>
      <c r="Y216" s="44">
        <f t="shared" si="52"/>
        <v>0</v>
      </c>
      <c r="Z216" s="44">
        <f t="shared" si="52"/>
        <v>0</v>
      </c>
      <c r="AA216" s="44">
        <f t="shared" si="52"/>
        <v>0</v>
      </c>
      <c r="AB216" s="44">
        <f t="shared" si="52"/>
        <v>0</v>
      </c>
      <c r="AC216" s="44">
        <f t="shared" si="52"/>
        <v>0</v>
      </c>
      <c r="AD216" s="44">
        <f t="shared" si="52"/>
        <v>0</v>
      </c>
      <c r="AE216" s="44">
        <f t="shared" si="52"/>
        <v>0</v>
      </c>
    </row>
    <row r="218" spans="1:31" x14ac:dyDescent="0.25">
      <c r="A218" s="41" t="s">
        <v>1265</v>
      </c>
      <c r="B218" s="6" t="s">
        <v>73</v>
      </c>
      <c r="C218" s="6" t="s">
        <v>117</v>
      </c>
      <c r="D218" s="6">
        <v>2</v>
      </c>
      <c r="E218" s="6" t="s">
        <v>1210</v>
      </c>
      <c r="K218" s="29"/>
      <c r="L218" s="29">
        <v>0</v>
      </c>
      <c r="M218" s="29">
        <v>0</v>
      </c>
      <c r="N218" s="29">
        <v>0</v>
      </c>
      <c r="O218" s="29">
        <v>0</v>
      </c>
      <c r="P218" s="29">
        <v>0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0</v>
      </c>
      <c r="Z218" s="29">
        <v>0</v>
      </c>
      <c r="AA218" s="29">
        <v>0</v>
      </c>
      <c r="AB218" s="29">
        <v>0</v>
      </c>
      <c r="AC218" s="29">
        <v>0</v>
      </c>
      <c r="AD218" s="29">
        <v>0</v>
      </c>
      <c r="AE218" s="29">
        <v>0</v>
      </c>
    </row>
    <row r="219" spans="1:31" x14ac:dyDescent="0.25">
      <c r="A219" s="41" t="s">
        <v>1265</v>
      </c>
      <c r="B219" s="6" t="s">
        <v>73</v>
      </c>
      <c r="C219" s="6" t="s">
        <v>117</v>
      </c>
      <c r="D219" s="6">
        <v>2</v>
      </c>
      <c r="E219" s="6" t="s">
        <v>1211</v>
      </c>
      <c r="K219" s="29">
        <f>INDEX(Mitigation_Industry!K:K,MATCH($A219,Mitigation_Industry!$H:$H,0))</f>
        <v>0</v>
      </c>
      <c r="L219" s="29">
        <f>INDEX(Mitigation_Industry!L:L,MATCH($A219,Mitigation_Industry!$H:$H,0))</f>
        <v>0</v>
      </c>
      <c r="M219" s="29">
        <f>INDEX(Mitigation_Industry!M:M,MATCH($A219,Mitigation_Industry!$H:$H,0))</f>
        <v>0</v>
      </c>
      <c r="N219" s="29">
        <f>INDEX(Mitigation_Industry!N:N,MATCH($A219,Mitigation_Industry!$H:$H,0))</f>
        <v>0</v>
      </c>
      <c r="O219" s="29">
        <f>INDEX(Mitigation_Industry!O:O,MATCH($A219,Mitigation_Industry!$H:$H,0))</f>
        <v>0</v>
      </c>
      <c r="P219" s="29">
        <f>INDEX(Mitigation_Industry!P:P,MATCH($A219,Mitigation_Industry!$H:$H,0))</f>
        <v>0</v>
      </c>
      <c r="Q219" s="29">
        <f>INDEX(Mitigation_Industry!Q:Q,MATCH($A219,Mitigation_Industry!$H:$H,0))</f>
        <v>0</v>
      </c>
      <c r="R219" s="29">
        <f>INDEX(Mitigation_Industry!R:R,MATCH($A219,Mitigation_Industry!$H:$H,0))</f>
        <v>0</v>
      </c>
      <c r="S219" s="29">
        <f>INDEX(Mitigation_Industry!S:S,MATCH($A219,Mitigation_Industry!$H:$H,0))</f>
        <v>0</v>
      </c>
      <c r="T219" s="29">
        <f>INDEX(Mitigation_Industry!T:T,MATCH($A219,Mitigation_Industry!$H:$H,0))</f>
        <v>0</v>
      </c>
      <c r="U219" s="29">
        <f>INDEX(Mitigation_Industry!U:U,MATCH($A219,Mitigation_Industry!$H:$H,0))</f>
        <v>0</v>
      </c>
      <c r="V219" s="29">
        <f>INDEX(Mitigation_Industry!V:V,MATCH($A219,Mitigation_Industry!$H:$H,0))</f>
        <v>0</v>
      </c>
      <c r="W219" s="29">
        <f>INDEX(Mitigation_Industry!W:W,MATCH($A219,Mitigation_Industry!$H:$H,0))</f>
        <v>0</v>
      </c>
      <c r="X219" s="29">
        <f>INDEX(Mitigation_Industry!X:X,MATCH($A219,Mitigation_Industry!$H:$H,0))</f>
        <v>0</v>
      </c>
      <c r="Y219" s="29">
        <f>INDEX(Mitigation_Industry!Y:Y,MATCH($A219,Mitigation_Industry!$H:$H,0))</f>
        <v>0</v>
      </c>
      <c r="Z219" s="29">
        <f>INDEX(Mitigation_Industry!Z:Z,MATCH($A219,Mitigation_Industry!$H:$H,0))</f>
        <v>0</v>
      </c>
      <c r="AA219" s="29">
        <f>INDEX(Mitigation_Industry!AA:AA,MATCH($A219,Mitigation_Industry!$H:$H,0))</f>
        <v>0</v>
      </c>
      <c r="AB219" s="29">
        <f>INDEX(Mitigation_Industry!AB:AB,MATCH($A219,Mitigation_Industry!$H:$H,0))</f>
        <v>0</v>
      </c>
      <c r="AC219" s="29">
        <f>INDEX(Mitigation_Industry!AC:AC,MATCH($A219,Mitigation_Industry!$H:$H,0))</f>
        <v>0</v>
      </c>
      <c r="AD219" s="29">
        <f>INDEX(Mitigation_Industry!AD:AD,MATCH($A219,Mitigation_Industry!$H:$H,0))</f>
        <v>0</v>
      </c>
      <c r="AE219" s="29">
        <f>INDEX(Mitigation_Industry!AE:AE,MATCH($A219,Mitigation_Industry!$H:$H,0))</f>
        <v>0</v>
      </c>
    </row>
    <row r="220" spans="1:31" x14ac:dyDescent="0.25">
      <c r="A220" s="41" t="s">
        <v>1265</v>
      </c>
      <c r="B220" s="6" t="s">
        <v>73</v>
      </c>
      <c r="C220" s="6" t="s">
        <v>117</v>
      </c>
      <c r="D220" s="6">
        <v>2</v>
      </c>
      <c r="E220" s="2" t="s">
        <v>1212</v>
      </c>
      <c r="F220" s="43">
        <f>MAX(MAX(L220:AE220),-MIN(L220:AE220))</f>
        <v>0</v>
      </c>
      <c r="K220" s="44">
        <f t="shared" ref="K220:AE220" si="53">IF(ISNUMBER(K218),IF(ISNUMBER(K219),K219-K218,999999),0)</f>
        <v>0</v>
      </c>
      <c r="L220" s="44">
        <f t="shared" si="53"/>
        <v>0</v>
      </c>
      <c r="M220" s="44">
        <f t="shared" si="53"/>
        <v>0</v>
      </c>
      <c r="N220" s="44">
        <f t="shared" si="53"/>
        <v>0</v>
      </c>
      <c r="O220" s="44">
        <f t="shared" si="53"/>
        <v>0</v>
      </c>
      <c r="P220" s="44">
        <f t="shared" si="53"/>
        <v>0</v>
      </c>
      <c r="Q220" s="44">
        <f t="shared" si="53"/>
        <v>0</v>
      </c>
      <c r="R220" s="44">
        <f t="shared" si="53"/>
        <v>0</v>
      </c>
      <c r="S220" s="44">
        <f t="shared" si="53"/>
        <v>0</v>
      </c>
      <c r="T220" s="44">
        <f t="shared" si="53"/>
        <v>0</v>
      </c>
      <c r="U220" s="44">
        <f t="shared" si="53"/>
        <v>0</v>
      </c>
      <c r="V220" s="44">
        <f t="shared" si="53"/>
        <v>0</v>
      </c>
      <c r="W220" s="44">
        <f t="shared" si="53"/>
        <v>0</v>
      </c>
      <c r="X220" s="44">
        <f t="shared" si="53"/>
        <v>0</v>
      </c>
      <c r="Y220" s="44">
        <f t="shared" si="53"/>
        <v>0</v>
      </c>
      <c r="Z220" s="44">
        <f t="shared" si="53"/>
        <v>0</v>
      </c>
      <c r="AA220" s="44">
        <f t="shared" si="53"/>
        <v>0</v>
      </c>
      <c r="AB220" s="44">
        <f t="shared" si="53"/>
        <v>0</v>
      </c>
      <c r="AC220" s="44">
        <f t="shared" si="53"/>
        <v>0</v>
      </c>
      <c r="AD220" s="44">
        <f t="shared" si="53"/>
        <v>0</v>
      </c>
      <c r="AE220" s="44">
        <f t="shared" si="53"/>
        <v>0</v>
      </c>
    </row>
    <row r="222" spans="1:31" x14ac:dyDescent="0.25">
      <c r="A222" s="41" t="s">
        <v>1266</v>
      </c>
      <c r="B222" s="6" t="s">
        <v>53</v>
      </c>
      <c r="C222" s="6" t="s">
        <v>119</v>
      </c>
      <c r="D222" s="6">
        <v>2</v>
      </c>
      <c r="E222" s="6" t="s">
        <v>1210</v>
      </c>
      <c r="K222" s="29"/>
      <c r="L222" s="29">
        <v>0</v>
      </c>
      <c r="M222" s="29">
        <v>0</v>
      </c>
      <c r="N222" s="29">
        <v>0</v>
      </c>
      <c r="O222" s="29">
        <v>0</v>
      </c>
      <c r="P222" s="29">
        <v>0</v>
      </c>
      <c r="Q222" s="29">
        <v>0</v>
      </c>
      <c r="R222" s="29">
        <v>0</v>
      </c>
      <c r="S222" s="29">
        <v>0</v>
      </c>
      <c r="T222" s="29">
        <v>0</v>
      </c>
      <c r="U222" s="29">
        <v>0</v>
      </c>
      <c r="V222" s="29">
        <v>0</v>
      </c>
      <c r="W222" s="29">
        <v>0</v>
      </c>
      <c r="X222" s="29">
        <v>0</v>
      </c>
      <c r="Y222" s="29">
        <v>0</v>
      </c>
      <c r="Z222" s="29">
        <v>0</v>
      </c>
      <c r="AA222" s="29">
        <v>0</v>
      </c>
      <c r="AB222" s="29">
        <v>0</v>
      </c>
      <c r="AC222" s="29">
        <v>0</v>
      </c>
      <c r="AD222" s="29">
        <v>0</v>
      </c>
      <c r="AE222" s="29">
        <v>0</v>
      </c>
    </row>
    <row r="223" spans="1:31" x14ac:dyDescent="0.25">
      <c r="A223" s="41" t="s">
        <v>1266</v>
      </c>
      <c r="B223" s="6" t="s">
        <v>53</v>
      </c>
      <c r="C223" s="6" t="s">
        <v>119</v>
      </c>
      <c r="D223" s="6">
        <v>2</v>
      </c>
      <c r="E223" s="6" t="s">
        <v>1211</v>
      </c>
      <c r="K223" s="29">
        <f>INDEX(Mitigation_Industry!K:K,MATCH($A223,Mitigation_Industry!$H:$H,0))</f>
        <v>0</v>
      </c>
      <c r="L223" s="29">
        <f>INDEX(Mitigation_Industry!L:L,MATCH($A223,Mitigation_Industry!$H:$H,0))</f>
        <v>0</v>
      </c>
      <c r="M223" s="29">
        <f>INDEX(Mitigation_Industry!M:M,MATCH($A223,Mitigation_Industry!$H:$H,0))</f>
        <v>0</v>
      </c>
      <c r="N223" s="29">
        <f>INDEX(Mitigation_Industry!N:N,MATCH($A223,Mitigation_Industry!$H:$H,0))</f>
        <v>0</v>
      </c>
      <c r="O223" s="29">
        <f>INDEX(Mitigation_Industry!O:O,MATCH($A223,Mitigation_Industry!$H:$H,0))</f>
        <v>0</v>
      </c>
      <c r="P223" s="29">
        <f>INDEX(Mitigation_Industry!P:P,MATCH($A223,Mitigation_Industry!$H:$H,0))</f>
        <v>0</v>
      </c>
      <c r="Q223" s="29">
        <f>INDEX(Mitigation_Industry!Q:Q,MATCH($A223,Mitigation_Industry!$H:$H,0))</f>
        <v>0</v>
      </c>
      <c r="R223" s="29">
        <f>INDEX(Mitigation_Industry!R:R,MATCH($A223,Mitigation_Industry!$H:$H,0))</f>
        <v>0</v>
      </c>
      <c r="S223" s="29">
        <f>INDEX(Mitigation_Industry!S:S,MATCH($A223,Mitigation_Industry!$H:$H,0))</f>
        <v>0</v>
      </c>
      <c r="T223" s="29">
        <f>INDEX(Mitigation_Industry!T:T,MATCH($A223,Mitigation_Industry!$H:$H,0))</f>
        <v>0</v>
      </c>
      <c r="U223" s="29">
        <f>INDEX(Mitigation_Industry!U:U,MATCH($A223,Mitigation_Industry!$H:$H,0))</f>
        <v>0</v>
      </c>
      <c r="V223" s="29">
        <f>INDEX(Mitigation_Industry!V:V,MATCH($A223,Mitigation_Industry!$H:$H,0))</f>
        <v>0</v>
      </c>
      <c r="W223" s="29">
        <f>INDEX(Mitigation_Industry!W:W,MATCH($A223,Mitigation_Industry!$H:$H,0))</f>
        <v>0</v>
      </c>
      <c r="X223" s="29">
        <f>INDEX(Mitigation_Industry!X:X,MATCH($A223,Mitigation_Industry!$H:$H,0))</f>
        <v>0</v>
      </c>
      <c r="Y223" s="29">
        <f>INDEX(Mitigation_Industry!Y:Y,MATCH($A223,Mitigation_Industry!$H:$H,0))</f>
        <v>0</v>
      </c>
      <c r="Z223" s="29">
        <f>INDEX(Mitigation_Industry!Z:Z,MATCH($A223,Mitigation_Industry!$H:$H,0))</f>
        <v>0</v>
      </c>
      <c r="AA223" s="29">
        <f>INDEX(Mitigation_Industry!AA:AA,MATCH($A223,Mitigation_Industry!$H:$H,0))</f>
        <v>0</v>
      </c>
      <c r="AB223" s="29">
        <f>INDEX(Mitigation_Industry!AB:AB,MATCH($A223,Mitigation_Industry!$H:$H,0))</f>
        <v>0</v>
      </c>
      <c r="AC223" s="29">
        <f>INDEX(Mitigation_Industry!AC:AC,MATCH($A223,Mitigation_Industry!$H:$H,0))</f>
        <v>0</v>
      </c>
      <c r="AD223" s="29">
        <f>INDEX(Mitigation_Industry!AD:AD,MATCH($A223,Mitigation_Industry!$H:$H,0))</f>
        <v>0</v>
      </c>
      <c r="AE223" s="29">
        <f>INDEX(Mitigation_Industry!AE:AE,MATCH($A223,Mitigation_Industry!$H:$H,0))</f>
        <v>0</v>
      </c>
    </row>
    <row r="224" spans="1:31" x14ac:dyDescent="0.25">
      <c r="A224" s="41" t="s">
        <v>1266</v>
      </c>
      <c r="B224" s="6" t="s">
        <v>53</v>
      </c>
      <c r="C224" s="6" t="s">
        <v>119</v>
      </c>
      <c r="D224" s="6">
        <v>2</v>
      </c>
      <c r="E224" s="2" t="s">
        <v>1212</v>
      </c>
      <c r="F224" s="43">
        <f>MAX(MAX(L224:AE224),-MIN(L224:AE224))</f>
        <v>0</v>
      </c>
      <c r="K224" s="44">
        <f t="shared" ref="K224:AE224" si="54">IF(ISNUMBER(K222),IF(ISNUMBER(K223),K223-K222,999999),0)</f>
        <v>0</v>
      </c>
      <c r="L224" s="44">
        <f t="shared" si="54"/>
        <v>0</v>
      </c>
      <c r="M224" s="44">
        <f t="shared" si="54"/>
        <v>0</v>
      </c>
      <c r="N224" s="44">
        <f t="shared" si="54"/>
        <v>0</v>
      </c>
      <c r="O224" s="44">
        <f t="shared" si="54"/>
        <v>0</v>
      </c>
      <c r="P224" s="44">
        <f t="shared" si="54"/>
        <v>0</v>
      </c>
      <c r="Q224" s="44">
        <f t="shared" si="54"/>
        <v>0</v>
      </c>
      <c r="R224" s="44">
        <f t="shared" si="54"/>
        <v>0</v>
      </c>
      <c r="S224" s="44">
        <f t="shared" si="54"/>
        <v>0</v>
      </c>
      <c r="T224" s="44">
        <f t="shared" si="54"/>
        <v>0</v>
      </c>
      <c r="U224" s="44">
        <f t="shared" si="54"/>
        <v>0</v>
      </c>
      <c r="V224" s="44">
        <f t="shared" si="54"/>
        <v>0</v>
      </c>
      <c r="W224" s="44">
        <f t="shared" si="54"/>
        <v>0</v>
      </c>
      <c r="X224" s="44">
        <f t="shared" si="54"/>
        <v>0</v>
      </c>
      <c r="Y224" s="44">
        <f t="shared" si="54"/>
        <v>0</v>
      </c>
      <c r="Z224" s="44">
        <f t="shared" si="54"/>
        <v>0</v>
      </c>
      <c r="AA224" s="44">
        <f t="shared" si="54"/>
        <v>0</v>
      </c>
      <c r="AB224" s="44">
        <f t="shared" si="54"/>
        <v>0</v>
      </c>
      <c r="AC224" s="44">
        <f t="shared" si="54"/>
        <v>0</v>
      </c>
      <c r="AD224" s="44">
        <f t="shared" si="54"/>
        <v>0</v>
      </c>
      <c r="AE224" s="44">
        <f t="shared" si="54"/>
        <v>0</v>
      </c>
    </row>
    <row r="226" spans="1:31" x14ac:dyDescent="0.25">
      <c r="A226" s="41" t="s">
        <v>1267</v>
      </c>
      <c r="B226" s="6" t="s">
        <v>57</v>
      </c>
      <c r="C226" s="6" t="s">
        <v>119</v>
      </c>
      <c r="D226" s="6">
        <v>2</v>
      </c>
      <c r="E226" s="6" t="s">
        <v>1210</v>
      </c>
      <c r="K226" s="29"/>
      <c r="L226" s="29">
        <v>0</v>
      </c>
      <c r="M226" s="29">
        <v>0</v>
      </c>
      <c r="N226" s="29">
        <v>0</v>
      </c>
      <c r="O226" s="29">
        <v>0</v>
      </c>
      <c r="P226" s="29">
        <v>0</v>
      </c>
      <c r="Q226" s="29">
        <v>0</v>
      </c>
      <c r="R226" s="29">
        <v>0</v>
      </c>
      <c r="S226" s="29">
        <v>0</v>
      </c>
      <c r="T226" s="29">
        <v>0</v>
      </c>
      <c r="U226" s="29">
        <v>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0</v>
      </c>
      <c r="AC226" s="29">
        <v>0</v>
      </c>
      <c r="AD226" s="29">
        <v>0</v>
      </c>
      <c r="AE226" s="29">
        <v>0</v>
      </c>
    </row>
    <row r="227" spans="1:31" x14ac:dyDescent="0.25">
      <c r="A227" s="41" t="s">
        <v>1267</v>
      </c>
      <c r="B227" s="6" t="s">
        <v>57</v>
      </c>
      <c r="C227" s="6" t="s">
        <v>119</v>
      </c>
      <c r="D227" s="6">
        <v>2</v>
      </c>
      <c r="E227" s="6" t="s">
        <v>1211</v>
      </c>
      <c r="K227" s="29">
        <f>INDEX(Mitigation_Industry!K:K,MATCH($A227,Mitigation_Industry!$H:$H,0))</f>
        <v>0</v>
      </c>
      <c r="L227" s="29">
        <f>INDEX(Mitigation_Industry!L:L,MATCH($A227,Mitigation_Industry!$H:$H,0))</f>
        <v>0</v>
      </c>
      <c r="M227" s="29">
        <f>INDEX(Mitigation_Industry!M:M,MATCH($A227,Mitigation_Industry!$H:$H,0))</f>
        <v>0</v>
      </c>
      <c r="N227" s="29">
        <f>INDEX(Mitigation_Industry!N:N,MATCH($A227,Mitigation_Industry!$H:$H,0))</f>
        <v>0</v>
      </c>
      <c r="O227" s="29">
        <f>INDEX(Mitigation_Industry!O:O,MATCH($A227,Mitigation_Industry!$H:$H,0))</f>
        <v>0</v>
      </c>
      <c r="P227" s="29">
        <f>INDEX(Mitigation_Industry!P:P,MATCH($A227,Mitigation_Industry!$H:$H,0))</f>
        <v>0</v>
      </c>
      <c r="Q227" s="29">
        <f>INDEX(Mitigation_Industry!Q:Q,MATCH($A227,Mitigation_Industry!$H:$H,0))</f>
        <v>0</v>
      </c>
      <c r="R227" s="29">
        <f>INDEX(Mitigation_Industry!R:R,MATCH($A227,Mitigation_Industry!$H:$H,0))</f>
        <v>0</v>
      </c>
      <c r="S227" s="29">
        <f>INDEX(Mitigation_Industry!S:S,MATCH($A227,Mitigation_Industry!$H:$H,0))</f>
        <v>0</v>
      </c>
      <c r="T227" s="29">
        <f>INDEX(Mitigation_Industry!T:T,MATCH($A227,Mitigation_Industry!$H:$H,0))</f>
        <v>0</v>
      </c>
      <c r="U227" s="29">
        <f>INDEX(Mitigation_Industry!U:U,MATCH($A227,Mitigation_Industry!$H:$H,0))</f>
        <v>0</v>
      </c>
      <c r="V227" s="29">
        <f>INDEX(Mitigation_Industry!V:V,MATCH($A227,Mitigation_Industry!$H:$H,0))</f>
        <v>0</v>
      </c>
      <c r="W227" s="29">
        <f>INDEX(Mitigation_Industry!W:W,MATCH($A227,Mitigation_Industry!$H:$H,0))</f>
        <v>0</v>
      </c>
      <c r="X227" s="29">
        <f>INDEX(Mitigation_Industry!X:X,MATCH($A227,Mitigation_Industry!$H:$H,0))</f>
        <v>0</v>
      </c>
      <c r="Y227" s="29">
        <f>INDEX(Mitigation_Industry!Y:Y,MATCH($A227,Mitigation_Industry!$H:$H,0))</f>
        <v>0</v>
      </c>
      <c r="Z227" s="29">
        <f>INDEX(Mitigation_Industry!Z:Z,MATCH($A227,Mitigation_Industry!$H:$H,0))</f>
        <v>0</v>
      </c>
      <c r="AA227" s="29">
        <f>INDEX(Mitigation_Industry!AA:AA,MATCH($A227,Mitigation_Industry!$H:$H,0))</f>
        <v>0</v>
      </c>
      <c r="AB227" s="29">
        <f>INDEX(Mitigation_Industry!AB:AB,MATCH($A227,Mitigation_Industry!$H:$H,0))</f>
        <v>0</v>
      </c>
      <c r="AC227" s="29">
        <f>INDEX(Mitigation_Industry!AC:AC,MATCH($A227,Mitigation_Industry!$H:$H,0))</f>
        <v>0</v>
      </c>
      <c r="AD227" s="29">
        <f>INDEX(Mitigation_Industry!AD:AD,MATCH($A227,Mitigation_Industry!$H:$H,0))</f>
        <v>0</v>
      </c>
      <c r="AE227" s="29">
        <f>INDEX(Mitigation_Industry!AE:AE,MATCH($A227,Mitigation_Industry!$H:$H,0))</f>
        <v>0</v>
      </c>
    </row>
    <row r="228" spans="1:31" x14ac:dyDescent="0.25">
      <c r="A228" s="41" t="s">
        <v>1267</v>
      </c>
      <c r="B228" s="6" t="s">
        <v>57</v>
      </c>
      <c r="C228" s="6" t="s">
        <v>119</v>
      </c>
      <c r="D228" s="6">
        <v>2</v>
      </c>
      <c r="E228" s="2" t="s">
        <v>1212</v>
      </c>
      <c r="F228" s="43">
        <f>MAX(MAX(L228:AE228),-MIN(L228:AE228))</f>
        <v>0</v>
      </c>
      <c r="K228" s="44">
        <f t="shared" ref="K228:AE228" si="55">IF(ISNUMBER(K226),IF(ISNUMBER(K227),K227-K226,999999),0)</f>
        <v>0</v>
      </c>
      <c r="L228" s="44">
        <f t="shared" si="55"/>
        <v>0</v>
      </c>
      <c r="M228" s="44">
        <f t="shared" si="55"/>
        <v>0</v>
      </c>
      <c r="N228" s="44">
        <f t="shared" si="55"/>
        <v>0</v>
      </c>
      <c r="O228" s="44">
        <f t="shared" si="55"/>
        <v>0</v>
      </c>
      <c r="P228" s="44">
        <f t="shared" si="55"/>
        <v>0</v>
      </c>
      <c r="Q228" s="44">
        <f t="shared" si="55"/>
        <v>0</v>
      </c>
      <c r="R228" s="44">
        <f t="shared" si="55"/>
        <v>0</v>
      </c>
      <c r="S228" s="44">
        <f t="shared" si="55"/>
        <v>0</v>
      </c>
      <c r="T228" s="44">
        <f t="shared" si="55"/>
        <v>0</v>
      </c>
      <c r="U228" s="44">
        <f t="shared" si="55"/>
        <v>0</v>
      </c>
      <c r="V228" s="44">
        <f t="shared" si="55"/>
        <v>0</v>
      </c>
      <c r="W228" s="44">
        <f t="shared" si="55"/>
        <v>0</v>
      </c>
      <c r="X228" s="44">
        <f t="shared" si="55"/>
        <v>0</v>
      </c>
      <c r="Y228" s="44">
        <f t="shared" si="55"/>
        <v>0</v>
      </c>
      <c r="Z228" s="44">
        <f t="shared" si="55"/>
        <v>0</v>
      </c>
      <c r="AA228" s="44">
        <f t="shared" si="55"/>
        <v>0</v>
      </c>
      <c r="AB228" s="44">
        <f t="shared" si="55"/>
        <v>0</v>
      </c>
      <c r="AC228" s="44">
        <f t="shared" si="55"/>
        <v>0</v>
      </c>
      <c r="AD228" s="44">
        <f t="shared" si="55"/>
        <v>0</v>
      </c>
      <c r="AE228" s="44">
        <f t="shared" si="55"/>
        <v>0</v>
      </c>
    </row>
    <row r="230" spans="1:31" x14ac:dyDescent="0.25">
      <c r="A230" s="41" t="s">
        <v>1268</v>
      </c>
      <c r="B230" s="6" t="s">
        <v>59</v>
      </c>
      <c r="C230" s="6" t="s">
        <v>119</v>
      </c>
      <c r="D230" s="6">
        <v>2</v>
      </c>
      <c r="E230" s="6" t="s">
        <v>1210</v>
      </c>
      <c r="K230" s="29"/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9">
        <v>0</v>
      </c>
      <c r="U230" s="29">
        <v>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>
        <v>0</v>
      </c>
      <c r="AC230" s="29">
        <v>0</v>
      </c>
      <c r="AD230" s="29">
        <v>0</v>
      </c>
      <c r="AE230" s="29">
        <v>0</v>
      </c>
    </row>
    <row r="231" spans="1:31" x14ac:dyDescent="0.25">
      <c r="A231" s="41" t="s">
        <v>1268</v>
      </c>
      <c r="B231" s="6" t="s">
        <v>59</v>
      </c>
      <c r="C231" s="6" t="s">
        <v>119</v>
      </c>
      <c r="D231" s="6">
        <v>2</v>
      </c>
      <c r="E231" s="6" t="s">
        <v>1211</v>
      </c>
      <c r="K231" s="29">
        <f>INDEX(Mitigation_Industry!K:K,MATCH($A231,Mitigation_Industry!$H:$H,0))</f>
        <v>0</v>
      </c>
      <c r="L231" s="29">
        <f>INDEX(Mitigation_Industry!L:L,MATCH($A231,Mitigation_Industry!$H:$H,0))</f>
        <v>0</v>
      </c>
      <c r="M231" s="29">
        <f>INDEX(Mitigation_Industry!M:M,MATCH($A231,Mitigation_Industry!$H:$H,0))</f>
        <v>0</v>
      </c>
      <c r="N231" s="29">
        <f>INDEX(Mitigation_Industry!N:N,MATCH($A231,Mitigation_Industry!$H:$H,0))</f>
        <v>0</v>
      </c>
      <c r="O231" s="29">
        <f>INDEX(Mitigation_Industry!O:O,MATCH($A231,Mitigation_Industry!$H:$H,0))</f>
        <v>0</v>
      </c>
      <c r="P231" s="29">
        <f>INDEX(Mitigation_Industry!P:P,MATCH($A231,Mitigation_Industry!$H:$H,0))</f>
        <v>0</v>
      </c>
      <c r="Q231" s="29">
        <f>INDEX(Mitigation_Industry!Q:Q,MATCH($A231,Mitigation_Industry!$H:$H,0))</f>
        <v>0</v>
      </c>
      <c r="R231" s="29">
        <f>INDEX(Mitigation_Industry!R:R,MATCH($A231,Mitigation_Industry!$H:$H,0))</f>
        <v>0</v>
      </c>
      <c r="S231" s="29">
        <f>INDEX(Mitigation_Industry!S:S,MATCH($A231,Mitigation_Industry!$H:$H,0))</f>
        <v>0</v>
      </c>
      <c r="T231" s="29">
        <f>INDEX(Mitigation_Industry!T:T,MATCH($A231,Mitigation_Industry!$H:$H,0))</f>
        <v>0</v>
      </c>
      <c r="U231" s="29">
        <f>INDEX(Mitigation_Industry!U:U,MATCH($A231,Mitigation_Industry!$H:$H,0))</f>
        <v>0</v>
      </c>
      <c r="V231" s="29">
        <f>INDEX(Mitigation_Industry!V:V,MATCH($A231,Mitigation_Industry!$H:$H,0))</f>
        <v>0</v>
      </c>
      <c r="W231" s="29">
        <f>INDEX(Mitigation_Industry!W:W,MATCH($A231,Mitigation_Industry!$H:$H,0))</f>
        <v>0</v>
      </c>
      <c r="X231" s="29">
        <f>INDEX(Mitigation_Industry!X:X,MATCH($A231,Mitigation_Industry!$H:$H,0))</f>
        <v>0</v>
      </c>
      <c r="Y231" s="29">
        <f>INDEX(Mitigation_Industry!Y:Y,MATCH($A231,Mitigation_Industry!$H:$H,0))</f>
        <v>0</v>
      </c>
      <c r="Z231" s="29">
        <f>INDEX(Mitigation_Industry!Z:Z,MATCH($A231,Mitigation_Industry!$H:$H,0))</f>
        <v>0</v>
      </c>
      <c r="AA231" s="29">
        <f>INDEX(Mitigation_Industry!AA:AA,MATCH($A231,Mitigation_Industry!$H:$H,0))</f>
        <v>0</v>
      </c>
      <c r="AB231" s="29">
        <f>INDEX(Mitigation_Industry!AB:AB,MATCH($A231,Mitigation_Industry!$H:$H,0))</f>
        <v>0</v>
      </c>
      <c r="AC231" s="29">
        <f>INDEX(Mitigation_Industry!AC:AC,MATCH($A231,Mitigation_Industry!$H:$H,0))</f>
        <v>0</v>
      </c>
      <c r="AD231" s="29">
        <f>INDEX(Mitigation_Industry!AD:AD,MATCH($A231,Mitigation_Industry!$H:$H,0))</f>
        <v>0</v>
      </c>
      <c r="AE231" s="29">
        <f>INDEX(Mitigation_Industry!AE:AE,MATCH($A231,Mitigation_Industry!$H:$H,0))</f>
        <v>0</v>
      </c>
    </row>
    <row r="232" spans="1:31" x14ac:dyDescent="0.25">
      <c r="A232" s="41" t="s">
        <v>1268</v>
      </c>
      <c r="B232" s="6" t="s">
        <v>59</v>
      </c>
      <c r="C232" s="6" t="s">
        <v>119</v>
      </c>
      <c r="D232" s="6">
        <v>2</v>
      </c>
      <c r="E232" s="2" t="s">
        <v>1212</v>
      </c>
      <c r="F232" s="43">
        <f>MAX(MAX(L232:AE232),-MIN(L232:AE232))</f>
        <v>0</v>
      </c>
      <c r="K232" s="44">
        <f t="shared" ref="K232:AE232" si="56">IF(ISNUMBER(K230),IF(ISNUMBER(K231),K231-K230,999999),0)</f>
        <v>0</v>
      </c>
      <c r="L232" s="44">
        <f t="shared" si="56"/>
        <v>0</v>
      </c>
      <c r="M232" s="44">
        <f t="shared" si="56"/>
        <v>0</v>
      </c>
      <c r="N232" s="44">
        <f t="shared" si="56"/>
        <v>0</v>
      </c>
      <c r="O232" s="44">
        <f t="shared" si="56"/>
        <v>0</v>
      </c>
      <c r="P232" s="44">
        <f t="shared" si="56"/>
        <v>0</v>
      </c>
      <c r="Q232" s="44">
        <f t="shared" si="56"/>
        <v>0</v>
      </c>
      <c r="R232" s="44">
        <f t="shared" si="56"/>
        <v>0</v>
      </c>
      <c r="S232" s="44">
        <f t="shared" si="56"/>
        <v>0</v>
      </c>
      <c r="T232" s="44">
        <f t="shared" si="56"/>
        <v>0</v>
      </c>
      <c r="U232" s="44">
        <f t="shared" si="56"/>
        <v>0</v>
      </c>
      <c r="V232" s="44">
        <f t="shared" si="56"/>
        <v>0</v>
      </c>
      <c r="W232" s="44">
        <f t="shared" si="56"/>
        <v>0</v>
      </c>
      <c r="X232" s="44">
        <f t="shared" si="56"/>
        <v>0</v>
      </c>
      <c r="Y232" s="44">
        <f t="shared" si="56"/>
        <v>0</v>
      </c>
      <c r="Z232" s="44">
        <f t="shared" si="56"/>
        <v>0</v>
      </c>
      <c r="AA232" s="44">
        <f t="shared" si="56"/>
        <v>0</v>
      </c>
      <c r="AB232" s="44">
        <f t="shared" si="56"/>
        <v>0</v>
      </c>
      <c r="AC232" s="44">
        <f t="shared" si="56"/>
        <v>0</v>
      </c>
      <c r="AD232" s="44">
        <f t="shared" si="56"/>
        <v>0</v>
      </c>
      <c r="AE232" s="44">
        <f t="shared" si="56"/>
        <v>0</v>
      </c>
    </row>
    <row r="234" spans="1:31" x14ac:dyDescent="0.25">
      <c r="A234" s="41" t="s">
        <v>1269</v>
      </c>
      <c r="B234" s="6" t="s">
        <v>62</v>
      </c>
      <c r="C234" s="6" t="s">
        <v>119</v>
      </c>
      <c r="D234" s="6">
        <v>2</v>
      </c>
      <c r="E234" s="6" t="s">
        <v>1210</v>
      </c>
      <c r="K234" s="29"/>
      <c r="L234" s="29">
        <v>0</v>
      </c>
      <c r="M234" s="29">
        <v>0</v>
      </c>
      <c r="N234" s="29">
        <v>0</v>
      </c>
      <c r="O234" s="29">
        <v>0</v>
      </c>
      <c r="P234" s="29">
        <v>0</v>
      </c>
      <c r="Q234" s="29">
        <v>0</v>
      </c>
      <c r="R234" s="29">
        <v>0</v>
      </c>
      <c r="S234" s="29">
        <v>0</v>
      </c>
      <c r="T234" s="29">
        <v>0</v>
      </c>
      <c r="U234" s="29">
        <v>0</v>
      </c>
      <c r="V234" s="29">
        <v>0</v>
      </c>
      <c r="W234" s="29">
        <v>0</v>
      </c>
      <c r="X234" s="29">
        <v>0</v>
      </c>
      <c r="Y234" s="29">
        <v>0</v>
      </c>
      <c r="Z234" s="29">
        <v>0</v>
      </c>
      <c r="AA234" s="29">
        <v>0</v>
      </c>
      <c r="AB234" s="29">
        <v>0</v>
      </c>
      <c r="AC234" s="29">
        <v>0</v>
      </c>
      <c r="AD234" s="29">
        <v>0</v>
      </c>
      <c r="AE234" s="29">
        <v>0</v>
      </c>
    </row>
    <row r="235" spans="1:31" x14ac:dyDescent="0.25">
      <c r="A235" s="41" t="s">
        <v>1269</v>
      </c>
      <c r="B235" s="6" t="s">
        <v>62</v>
      </c>
      <c r="C235" s="6" t="s">
        <v>119</v>
      </c>
      <c r="D235" s="6">
        <v>2</v>
      </c>
      <c r="E235" s="6" t="s">
        <v>1211</v>
      </c>
      <c r="K235" s="29">
        <f>INDEX(Mitigation_Industry!K:K,MATCH($A235,Mitigation_Industry!$H:$H,0))</f>
        <v>0</v>
      </c>
      <c r="L235" s="29">
        <f>INDEX(Mitigation_Industry!L:L,MATCH($A235,Mitigation_Industry!$H:$H,0))</f>
        <v>0</v>
      </c>
      <c r="M235" s="29">
        <f>INDEX(Mitigation_Industry!M:M,MATCH($A235,Mitigation_Industry!$H:$H,0))</f>
        <v>0</v>
      </c>
      <c r="N235" s="29">
        <f>INDEX(Mitigation_Industry!N:N,MATCH($A235,Mitigation_Industry!$H:$H,0))</f>
        <v>0</v>
      </c>
      <c r="O235" s="29">
        <f>INDEX(Mitigation_Industry!O:O,MATCH($A235,Mitigation_Industry!$H:$H,0))</f>
        <v>0</v>
      </c>
      <c r="P235" s="29">
        <f>INDEX(Mitigation_Industry!P:P,MATCH($A235,Mitigation_Industry!$H:$H,0))</f>
        <v>0</v>
      </c>
      <c r="Q235" s="29">
        <f>INDEX(Mitigation_Industry!Q:Q,MATCH($A235,Mitigation_Industry!$H:$H,0))</f>
        <v>0</v>
      </c>
      <c r="R235" s="29">
        <f>INDEX(Mitigation_Industry!R:R,MATCH($A235,Mitigation_Industry!$H:$H,0))</f>
        <v>0</v>
      </c>
      <c r="S235" s="29">
        <f>INDEX(Mitigation_Industry!S:S,MATCH($A235,Mitigation_Industry!$H:$H,0))</f>
        <v>0</v>
      </c>
      <c r="T235" s="29">
        <f>INDEX(Mitigation_Industry!T:T,MATCH($A235,Mitigation_Industry!$H:$H,0))</f>
        <v>0</v>
      </c>
      <c r="U235" s="29">
        <f>INDEX(Mitigation_Industry!U:U,MATCH($A235,Mitigation_Industry!$H:$H,0))</f>
        <v>0</v>
      </c>
      <c r="V235" s="29">
        <f>INDEX(Mitigation_Industry!V:V,MATCH($A235,Mitigation_Industry!$H:$H,0))</f>
        <v>0</v>
      </c>
      <c r="W235" s="29">
        <f>INDEX(Mitigation_Industry!W:W,MATCH($A235,Mitigation_Industry!$H:$H,0))</f>
        <v>0</v>
      </c>
      <c r="X235" s="29">
        <f>INDEX(Mitigation_Industry!X:X,MATCH($A235,Mitigation_Industry!$H:$H,0))</f>
        <v>0</v>
      </c>
      <c r="Y235" s="29">
        <f>INDEX(Mitigation_Industry!Y:Y,MATCH($A235,Mitigation_Industry!$H:$H,0))</f>
        <v>0</v>
      </c>
      <c r="Z235" s="29">
        <f>INDEX(Mitigation_Industry!Z:Z,MATCH($A235,Mitigation_Industry!$H:$H,0))</f>
        <v>0</v>
      </c>
      <c r="AA235" s="29">
        <f>INDEX(Mitigation_Industry!AA:AA,MATCH($A235,Mitigation_Industry!$H:$H,0))</f>
        <v>0</v>
      </c>
      <c r="AB235" s="29">
        <f>INDEX(Mitigation_Industry!AB:AB,MATCH($A235,Mitigation_Industry!$H:$H,0))</f>
        <v>0</v>
      </c>
      <c r="AC235" s="29">
        <f>INDEX(Mitigation_Industry!AC:AC,MATCH($A235,Mitigation_Industry!$H:$H,0))</f>
        <v>0</v>
      </c>
      <c r="AD235" s="29">
        <f>INDEX(Mitigation_Industry!AD:AD,MATCH($A235,Mitigation_Industry!$H:$H,0))</f>
        <v>0</v>
      </c>
      <c r="AE235" s="29">
        <f>INDEX(Mitigation_Industry!AE:AE,MATCH($A235,Mitigation_Industry!$H:$H,0))</f>
        <v>0</v>
      </c>
    </row>
    <row r="236" spans="1:31" x14ac:dyDescent="0.25">
      <c r="A236" s="41" t="s">
        <v>1269</v>
      </c>
      <c r="B236" s="6" t="s">
        <v>62</v>
      </c>
      <c r="C236" s="6" t="s">
        <v>119</v>
      </c>
      <c r="D236" s="6">
        <v>2</v>
      </c>
      <c r="E236" s="2" t="s">
        <v>1212</v>
      </c>
      <c r="F236" s="43">
        <f>MAX(MAX(L236:AE236),-MIN(L236:AE236))</f>
        <v>0</v>
      </c>
      <c r="K236" s="44">
        <f t="shared" ref="K236:AE236" si="57">IF(ISNUMBER(K234),IF(ISNUMBER(K235),K235-K234,999999),0)</f>
        <v>0</v>
      </c>
      <c r="L236" s="44">
        <f t="shared" si="57"/>
        <v>0</v>
      </c>
      <c r="M236" s="44">
        <f t="shared" si="57"/>
        <v>0</v>
      </c>
      <c r="N236" s="44">
        <f t="shared" si="57"/>
        <v>0</v>
      </c>
      <c r="O236" s="44">
        <f t="shared" si="57"/>
        <v>0</v>
      </c>
      <c r="P236" s="44">
        <f t="shared" si="57"/>
        <v>0</v>
      </c>
      <c r="Q236" s="44">
        <f t="shared" si="57"/>
        <v>0</v>
      </c>
      <c r="R236" s="44">
        <f t="shared" si="57"/>
        <v>0</v>
      </c>
      <c r="S236" s="44">
        <f t="shared" si="57"/>
        <v>0</v>
      </c>
      <c r="T236" s="44">
        <f t="shared" si="57"/>
        <v>0</v>
      </c>
      <c r="U236" s="44">
        <f t="shared" si="57"/>
        <v>0</v>
      </c>
      <c r="V236" s="44">
        <f t="shared" si="57"/>
        <v>0</v>
      </c>
      <c r="W236" s="44">
        <f t="shared" si="57"/>
        <v>0</v>
      </c>
      <c r="X236" s="44">
        <f t="shared" si="57"/>
        <v>0</v>
      </c>
      <c r="Y236" s="44">
        <f t="shared" si="57"/>
        <v>0</v>
      </c>
      <c r="Z236" s="44">
        <f t="shared" si="57"/>
        <v>0</v>
      </c>
      <c r="AA236" s="44">
        <f t="shared" si="57"/>
        <v>0</v>
      </c>
      <c r="AB236" s="44">
        <f t="shared" si="57"/>
        <v>0</v>
      </c>
      <c r="AC236" s="44">
        <f t="shared" si="57"/>
        <v>0</v>
      </c>
      <c r="AD236" s="44">
        <f t="shared" si="57"/>
        <v>0</v>
      </c>
      <c r="AE236" s="44">
        <f t="shared" si="57"/>
        <v>0</v>
      </c>
    </row>
    <row r="238" spans="1:31" x14ac:dyDescent="0.25">
      <c r="A238" s="41" t="s">
        <v>1270</v>
      </c>
      <c r="B238" s="6" t="s">
        <v>64</v>
      </c>
      <c r="C238" s="6" t="s">
        <v>119</v>
      </c>
      <c r="D238" s="6">
        <v>2</v>
      </c>
      <c r="E238" s="6" t="s">
        <v>1210</v>
      </c>
      <c r="K238" s="29"/>
      <c r="L238" s="29">
        <v>0</v>
      </c>
      <c r="M238" s="29">
        <v>0</v>
      </c>
      <c r="N238" s="29">
        <v>0</v>
      </c>
      <c r="O238" s="29">
        <v>0</v>
      </c>
      <c r="P238" s="29">
        <v>0</v>
      </c>
      <c r="Q238" s="29">
        <v>0</v>
      </c>
      <c r="R238" s="29">
        <v>0</v>
      </c>
      <c r="S238" s="29">
        <v>0</v>
      </c>
      <c r="T238" s="29">
        <v>0</v>
      </c>
      <c r="U238" s="29">
        <v>0</v>
      </c>
      <c r="V238" s="29">
        <v>0</v>
      </c>
      <c r="W238" s="29">
        <v>0</v>
      </c>
      <c r="X238" s="29">
        <v>0</v>
      </c>
      <c r="Y238" s="29">
        <v>0</v>
      </c>
      <c r="Z238" s="29">
        <v>0</v>
      </c>
      <c r="AA238" s="29">
        <v>0</v>
      </c>
      <c r="AB238" s="29">
        <v>0</v>
      </c>
      <c r="AC238" s="29">
        <v>0</v>
      </c>
      <c r="AD238" s="29">
        <v>0</v>
      </c>
      <c r="AE238" s="29">
        <v>0</v>
      </c>
    </row>
    <row r="239" spans="1:31" x14ac:dyDescent="0.25">
      <c r="A239" s="41" t="s">
        <v>1270</v>
      </c>
      <c r="B239" s="6" t="s">
        <v>64</v>
      </c>
      <c r="C239" s="6" t="s">
        <v>119</v>
      </c>
      <c r="D239" s="6">
        <v>2</v>
      </c>
      <c r="E239" s="6" t="s">
        <v>1211</v>
      </c>
      <c r="K239" s="29">
        <f>INDEX(Mitigation_Industry!K:K,MATCH($A239,Mitigation_Industry!$H:$H,0))</f>
        <v>0</v>
      </c>
      <c r="L239" s="29">
        <f>INDEX(Mitigation_Industry!L:L,MATCH($A239,Mitigation_Industry!$H:$H,0))</f>
        <v>0</v>
      </c>
      <c r="M239" s="29">
        <f>INDEX(Mitigation_Industry!M:M,MATCH($A239,Mitigation_Industry!$H:$H,0))</f>
        <v>0</v>
      </c>
      <c r="N239" s="29">
        <f>INDEX(Mitigation_Industry!N:N,MATCH($A239,Mitigation_Industry!$H:$H,0))</f>
        <v>0</v>
      </c>
      <c r="O239" s="29">
        <f>INDEX(Mitigation_Industry!O:O,MATCH($A239,Mitigation_Industry!$H:$H,0))</f>
        <v>0</v>
      </c>
      <c r="P239" s="29">
        <f>INDEX(Mitigation_Industry!P:P,MATCH($A239,Mitigation_Industry!$H:$H,0))</f>
        <v>0</v>
      </c>
      <c r="Q239" s="29">
        <f>INDEX(Mitigation_Industry!Q:Q,MATCH($A239,Mitigation_Industry!$H:$H,0))</f>
        <v>0</v>
      </c>
      <c r="R239" s="29">
        <f>INDEX(Mitigation_Industry!R:R,MATCH($A239,Mitigation_Industry!$H:$H,0))</f>
        <v>0</v>
      </c>
      <c r="S239" s="29">
        <f>INDEX(Mitigation_Industry!S:S,MATCH($A239,Mitigation_Industry!$H:$H,0))</f>
        <v>0</v>
      </c>
      <c r="T239" s="29">
        <f>INDEX(Mitigation_Industry!T:T,MATCH($A239,Mitigation_Industry!$H:$H,0))</f>
        <v>0</v>
      </c>
      <c r="U239" s="29">
        <f>INDEX(Mitigation_Industry!U:U,MATCH($A239,Mitigation_Industry!$H:$H,0))</f>
        <v>0</v>
      </c>
      <c r="V239" s="29">
        <f>INDEX(Mitigation_Industry!V:V,MATCH($A239,Mitigation_Industry!$H:$H,0))</f>
        <v>0</v>
      </c>
      <c r="W239" s="29">
        <f>INDEX(Mitigation_Industry!W:W,MATCH($A239,Mitigation_Industry!$H:$H,0))</f>
        <v>0</v>
      </c>
      <c r="X239" s="29">
        <f>INDEX(Mitigation_Industry!X:X,MATCH($A239,Mitigation_Industry!$H:$H,0))</f>
        <v>0</v>
      </c>
      <c r="Y239" s="29">
        <f>INDEX(Mitigation_Industry!Y:Y,MATCH($A239,Mitigation_Industry!$H:$H,0))</f>
        <v>0</v>
      </c>
      <c r="Z239" s="29">
        <f>INDEX(Mitigation_Industry!Z:Z,MATCH($A239,Mitigation_Industry!$H:$H,0))</f>
        <v>0</v>
      </c>
      <c r="AA239" s="29">
        <f>INDEX(Mitigation_Industry!AA:AA,MATCH($A239,Mitigation_Industry!$H:$H,0))</f>
        <v>0</v>
      </c>
      <c r="AB239" s="29">
        <f>INDEX(Mitigation_Industry!AB:AB,MATCH($A239,Mitigation_Industry!$H:$H,0))</f>
        <v>0</v>
      </c>
      <c r="AC239" s="29">
        <f>INDEX(Mitigation_Industry!AC:AC,MATCH($A239,Mitigation_Industry!$H:$H,0))</f>
        <v>0</v>
      </c>
      <c r="AD239" s="29">
        <f>INDEX(Mitigation_Industry!AD:AD,MATCH($A239,Mitigation_Industry!$H:$H,0))</f>
        <v>0</v>
      </c>
      <c r="AE239" s="29">
        <f>INDEX(Mitigation_Industry!AE:AE,MATCH($A239,Mitigation_Industry!$H:$H,0))</f>
        <v>0</v>
      </c>
    </row>
    <row r="240" spans="1:31" x14ac:dyDescent="0.25">
      <c r="A240" s="41" t="s">
        <v>1270</v>
      </c>
      <c r="B240" s="6" t="s">
        <v>64</v>
      </c>
      <c r="C240" s="6" t="s">
        <v>119</v>
      </c>
      <c r="D240" s="6">
        <v>2</v>
      </c>
      <c r="E240" s="2" t="s">
        <v>1212</v>
      </c>
      <c r="F240" s="43">
        <f>MAX(MAX(L240:AE240),-MIN(L240:AE240))</f>
        <v>0</v>
      </c>
      <c r="K240" s="44">
        <f t="shared" ref="K240:AE240" si="58">IF(ISNUMBER(K238),IF(ISNUMBER(K239),K239-K238,999999),0)</f>
        <v>0</v>
      </c>
      <c r="L240" s="44">
        <f t="shared" si="58"/>
        <v>0</v>
      </c>
      <c r="M240" s="44">
        <f t="shared" si="58"/>
        <v>0</v>
      </c>
      <c r="N240" s="44">
        <f t="shared" si="58"/>
        <v>0</v>
      </c>
      <c r="O240" s="44">
        <f t="shared" si="58"/>
        <v>0</v>
      </c>
      <c r="P240" s="44">
        <f t="shared" si="58"/>
        <v>0</v>
      </c>
      <c r="Q240" s="44">
        <f t="shared" si="58"/>
        <v>0</v>
      </c>
      <c r="R240" s="44">
        <f t="shared" si="58"/>
        <v>0</v>
      </c>
      <c r="S240" s="44">
        <f t="shared" si="58"/>
        <v>0</v>
      </c>
      <c r="T240" s="44">
        <f t="shared" si="58"/>
        <v>0</v>
      </c>
      <c r="U240" s="44">
        <f t="shared" si="58"/>
        <v>0</v>
      </c>
      <c r="V240" s="44">
        <f t="shared" si="58"/>
        <v>0</v>
      </c>
      <c r="W240" s="44">
        <f t="shared" si="58"/>
        <v>0</v>
      </c>
      <c r="X240" s="44">
        <f t="shared" si="58"/>
        <v>0</v>
      </c>
      <c r="Y240" s="44">
        <f t="shared" si="58"/>
        <v>0</v>
      </c>
      <c r="Z240" s="44">
        <f t="shared" si="58"/>
        <v>0</v>
      </c>
      <c r="AA240" s="44">
        <f t="shared" si="58"/>
        <v>0</v>
      </c>
      <c r="AB240" s="44">
        <f t="shared" si="58"/>
        <v>0</v>
      </c>
      <c r="AC240" s="44">
        <f t="shared" si="58"/>
        <v>0</v>
      </c>
      <c r="AD240" s="44">
        <f t="shared" si="58"/>
        <v>0</v>
      </c>
      <c r="AE240" s="44">
        <f t="shared" si="58"/>
        <v>0</v>
      </c>
    </row>
    <row r="242" spans="1:31" x14ac:dyDescent="0.25">
      <c r="A242" s="41" t="s">
        <v>1271</v>
      </c>
      <c r="B242" s="6" t="s">
        <v>66</v>
      </c>
      <c r="C242" s="6" t="s">
        <v>119</v>
      </c>
      <c r="D242" s="6">
        <v>2</v>
      </c>
      <c r="E242" s="6" t="s">
        <v>1210</v>
      </c>
      <c r="K242" s="29"/>
      <c r="L242" s="29">
        <v>0</v>
      </c>
      <c r="M242" s="29">
        <v>0</v>
      </c>
      <c r="N242" s="29">
        <v>0</v>
      </c>
      <c r="O242" s="29">
        <v>0</v>
      </c>
      <c r="P242" s="29">
        <v>0</v>
      </c>
      <c r="Q242" s="29">
        <v>0</v>
      </c>
      <c r="R242" s="29">
        <v>0</v>
      </c>
      <c r="S242" s="29">
        <v>0</v>
      </c>
      <c r="T242" s="29">
        <v>0</v>
      </c>
      <c r="U242" s="29">
        <v>0</v>
      </c>
      <c r="V242" s="29">
        <v>0</v>
      </c>
      <c r="W242" s="29">
        <v>0</v>
      </c>
      <c r="X242" s="29">
        <v>0</v>
      </c>
      <c r="Y242" s="29">
        <v>0</v>
      </c>
      <c r="Z242" s="29">
        <v>0</v>
      </c>
      <c r="AA242" s="29">
        <v>0</v>
      </c>
      <c r="AB242" s="29">
        <v>0</v>
      </c>
      <c r="AC242" s="29">
        <v>0</v>
      </c>
      <c r="AD242" s="29">
        <v>0</v>
      </c>
      <c r="AE242" s="29">
        <v>0</v>
      </c>
    </row>
    <row r="243" spans="1:31" x14ac:dyDescent="0.25">
      <c r="A243" s="41" t="s">
        <v>1271</v>
      </c>
      <c r="B243" s="6" t="s">
        <v>66</v>
      </c>
      <c r="C243" s="6" t="s">
        <v>119</v>
      </c>
      <c r="D243" s="6">
        <v>2</v>
      </c>
      <c r="E243" s="6" t="s">
        <v>1211</v>
      </c>
      <c r="K243" s="29">
        <f>INDEX(Mitigation_Industry!K:K,MATCH($A243,Mitigation_Industry!$H:$H,0))</f>
        <v>0</v>
      </c>
      <c r="L243" s="29">
        <f>INDEX(Mitigation_Industry!L:L,MATCH($A243,Mitigation_Industry!$H:$H,0))</f>
        <v>0</v>
      </c>
      <c r="M243" s="29">
        <f>INDEX(Mitigation_Industry!M:M,MATCH($A243,Mitigation_Industry!$H:$H,0))</f>
        <v>0</v>
      </c>
      <c r="N243" s="29">
        <f>INDEX(Mitigation_Industry!N:N,MATCH($A243,Mitigation_Industry!$H:$H,0))</f>
        <v>0</v>
      </c>
      <c r="O243" s="29">
        <f>INDEX(Mitigation_Industry!O:O,MATCH($A243,Mitigation_Industry!$H:$H,0))</f>
        <v>0</v>
      </c>
      <c r="P243" s="29">
        <f>INDEX(Mitigation_Industry!P:P,MATCH($A243,Mitigation_Industry!$H:$H,0))</f>
        <v>0</v>
      </c>
      <c r="Q243" s="29">
        <f>INDEX(Mitigation_Industry!Q:Q,MATCH($A243,Mitigation_Industry!$H:$H,0))</f>
        <v>0</v>
      </c>
      <c r="R243" s="29">
        <f>INDEX(Mitigation_Industry!R:R,MATCH($A243,Mitigation_Industry!$H:$H,0))</f>
        <v>0</v>
      </c>
      <c r="S243" s="29">
        <f>INDEX(Mitigation_Industry!S:S,MATCH($A243,Mitigation_Industry!$H:$H,0))</f>
        <v>0</v>
      </c>
      <c r="T243" s="29">
        <f>INDEX(Mitigation_Industry!T:T,MATCH($A243,Mitigation_Industry!$H:$H,0))</f>
        <v>0</v>
      </c>
      <c r="U243" s="29">
        <f>INDEX(Mitigation_Industry!U:U,MATCH($A243,Mitigation_Industry!$H:$H,0))</f>
        <v>0</v>
      </c>
      <c r="V243" s="29">
        <f>INDEX(Mitigation_Industry!V:V,MATCH($A243,Mitigation_Industry!$H:$H,0))</f>
        <v>0</v>
      </c>
      <c r="W243" s="29">
        <f>INDEX(Mitigation_Industry!W:W,MATCH($A243,Mitigation_Industry!$H:$H,0))</f>
        <v>0</v>
      </c>
      <c r="X243" s="29">
        <f>INDEX(Mitigation_Industry!X:X,MATCH($A243,Mitigation_Industry!$H:$H,0))</f>
        <v>0</v>
      </c>
      <c r="Y243" s="29">
        <f>INDEX(Mitigation_Industry!Y:Y,MATCH($A243,Mitigation_Industry!$H:$H,0))</f>
        <v>0</v>
      </c>
      <c r="Z243" s="29">
        <f>INDEX(Mitigation_Industry!Z:Z,MATCH($A243,Mitigation_Industry!$H:$H,0))</f>
        <v>0</v>
      </c>
      <c r="AA243" s="29">
        <f>INDEX(Mitigation_Industry!AA:AA,MATCH($A243,Mitigation_Industry!$H:$H,0))</f>
        <v>0</v>
      </c>
      <c r="AB243" s="29">
        <f>INDEX(Mitigation_Industry!AB:AB,MATCH($A243,Mitigation_Industry!$H:$H,0))</f>
        <v>0</v>
      </c>
      <c r="AC243" s="29">
        <f>INDEX(Mitigation_Industry!AC:AC,MATCH($A243,Mitigation_Industry!$H:$H,0))</f>
        <v>0</v>
      </c>
      <c r="AD243" s="29">
        <f>INDEX(Mitigation_Industry!AD:AD,MATCH($A243,Mitigation_Industry!$H:$H,0))</f>
        <v>0</v>
      </c>
      <c r="AE243" s="29">
        <f>INDEX(Mitigation_Industry!AE:AE,MATCH($A243,Mitigation_Industry!$H:$H,0))</f>
        <v>0</v>
      </c>
    </row>
    <row r="244" spans="1:31" x14ac:dyDescent="0.25">
      <c r="A244" s="41" t="s">
        <v>1271</v>
      </c>
      <c r="B244" s="6" t="s">
        <v>66</v>
      </c>
      <c r="C244" s="6" t="s">
        <v>119</v>
      </c>
      <c r="D244" s="6">
        <v>2</v>
      </c>
      <c r="E244" s="2" t="s">
        <v>1212</v>
      </c>
      <c r="F244" s="43">
        <f>MAX(MAX(L244:AE244),-MIN(L244:AE244))</f>
        <v>0</v>
      </c>
      <c r="K244" s="44">
        <f t="shared" ref="K244:AE244" si="59">IF(ISNUMBER(K242),IF(ISNUMBER(K243),K243-K242,999999),0)</f>
        <v>0</v>
      </c>
      <c r="L244" s="44">
        <f t="shared" si="59"/>
        <v>0</v>
      </c>
      <c r="M244" s="44">
        <f t="shared" si="59"/>
        <v>0</v>
      </c>
      <c r="N244" s="44">
        <f t="shared" si="59"/>
        <v>0</v>
      </c>
      <c r="O244" s="44">
        <f t="shared" si="59"/>
        <v>0</v>
      </c>
      <c r="P244" s="44">
        <f t="shared" si="59"/>
        <v>0</v>
      </c>
      <c r="Q244" s="44">
        <f t="shared" si="59"/>
        <v>0</v>
      </c>
      <c r="R244" s="44">
        <f t="shared" si="59"/>
        <v>0</v>
      </c>
      <c r="S244" s="44">
        <f t="shared" si="59"/>
        <v>0</v>
      </c>
      <c r="T244" s="44">
        <f t="shared" si="59"/>
        <v>0</v>
      </c>
      <c r="U244" s="44">
        <f t="shared" si="59"/>
        <v>0</v>
      </c>
      <c r="V244" s="44">
        <f t="shared" si="59"/>
        <v>0</v>
      </c>
      <c r="W244" s="44">
        <f t="shared" si="59"/>
        <v>0</v>
      </c>
      <c r="X244" s="44">
        <f t="shared" si="59"/>
        <v>0</v>
      </c>
      <c r="Y244" s="44">
        <f t="shared" si="59"/>
        <v>0</v>
      </c>
      <c r="Z244" s="44">
        <f t="shared" si="59"/>
        <v>0</v>
      </c>
      <c r="AA244" s="44">
        <f t="shared" si="59"/>
        <v>0</v>
      </c>
      <c r="AB244" s="44">
        <f t="shared" si="59"/>
        <v>0</v>
      </c>
      <c r="AC244" s="44">
        <f t="shared" si="59"/>
        <v>0</v>
      </c>
      <c r="AD244" s="44">
        <f t="shared" si="59"/>
        <v>0</v>
      </c>
      <c r="AE244" s="44">
        <f t="shared" si="59"/>
        <v>0</v>
      </c>
    </row>
    <row r="246" spans="1:31" x14ac:dyDescent="0.25">
      <c r="A246" s="41" t="s">
        <v>1272</v>
      </c>
      <c r="B246" s="6" t="s">
        <v>68</v>
      </c>
      <c r="C246" s="6" t="s">
        <v>119</v>
      </c>
      <c r="D246" s="6">
        <v>2</v>
      </c>
      <c r="E246" s="6" t="s">
        <v>1210</v>
      </c>
      <c r="K246" s="29"/>
      <c r="L246" s="29">
        <v>0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  <c r="Y246" s="29">
        <v>0</v>
      </c>
      <c r="Z246" s="29">
        <v>0</v>
      </c>
      <c r="AA246" s="29">
        <v>0</v>
      </c>
      <c r="AB246" s="29">
        <v>0</v>
      </c>
      <c r="AC246" s="29">
        <v>0</v>
      </c>
      <c r="AD246" s="29">
        <v>0</v>
      </c>
      <c r="AE246" s="29">
        <v>0</v>
      </c>
    </row>
    <row r="247" spans="1:31" x14ac:dyDescent="0.25">
      <c r="A247" s="41" t="s">
        <v>1272</v>
      </c>
      <c r="B247" s="6" t="s">
        <v>68</v>
      </c>
      <c r="C247" s="6" t="s">
        <v>119</v>
      </c>
      <c r="D247" s="6">
        <v>2</v>
      </c>
      <c r="E247" s="6" t="s">
        <v>1211</v>
      </c>
      <c r="K247" s="29">
        <f>INDEX(Mitigation_Industry!K:K,MATCH($A247,Mitigation_Industry!$H:$H,0))</f>
        <v>0</v>
      </c>
      <c r="L247" s="29">
        <f>INDEX(Mitigation_Industry!L:L,MATCH($A247,Mitigation_Industry!$H:$H,0))</f>
        <v>0</v>
      </c>
      <c r="M247" s="29">
        <f>INDEX(Mitigation_Industry!M:M,MATCH($A247,Mitigation_Industry!$H:$H,0))</f>
        <v>0</v>
      </c>
      <c r="N247" s="29">
        <f>INDEX(Mitigation_Industry!N:N,MATCH($A247,Mitigation_Industry!$H:$H,0))</f>
        <v>0</v>
      </c>
      <c r="O247" s="29">
        <f>INDEX(Mitigation_Industry!O:O,MATCH($A247,Mitigation_Industry!$H:$H,0))</f>
        <v>0</v>
      </c>
      <c r="P247" s="29">
        <f>INDEX(Mitigation_Industry!P:P,MATCH($A247,Mitigation_Industry!$H:$H,0))</f>
        <v>0</v>
      </c>
      <c r="Q247" s="29">
        <f>INDEX(Mitigation_Industry!Q:Q,MATCH($A247,Mitigation_Industry!$H:$H,0))</f>
        <v>0</v>
      </c>
      <c r="R247" s="29">
        <f>INDEX(Mitigation_Industry!R:R,MATCH($A247,Mitigation_Industry!$H:$H,0))</f>
        <v>0</v>
      </c>
      <c r="S247" s="29">
        <f>INDEX(Mitigation_Industry!S:S,MATCH($A247,Mitigation_Industry!$H:$H,0))</f>
        <v>0</v>
      </c>
      <c r="T247" s="29">
        <f>INDEX(Mitigation_Industry!T:T,MATCH($A247,Mitigation_Industry!$H:$H,0))</f>
        <v>0</v>
      </c>
      <c r="U247" s="29">
        <f>INDEX(Mitigation_Industry!U:U,MATCH($A247,Mitigation_Industry!$H:$H,0))</f>
        <v>0</v>
      </c>
      <c r="V247" s="29">
        <f>INDEX(Mitigation_Industry!V:V,MATCH($A247,Mitigation_Industry!$H:$H,0))</f>
        <v>0</v>
      </c>
      <c r="W247" s="29">
        <f>INDEX(Mitigation_Industry!W:W,MATCH($A247,Mitigation_Industry!$H:$H,0))</f>
        <v>0</v>
      </c>
      <c r="X247" s="29">
        <f>INDEX(Mitigation_Industry!X:X,MATCH($A247,Mitigation_Industry!$H:$H,0))</f>
        <v>0</v>
      </c>
      <c r="Y247" s="29">
        <f>INDEX(Mitigation_Industry!Y:Y,MATCH($A247,Mitigation_Industry!$H:$H,0))</f>
        <v>0</v>
      </c>
      <c r="Z247" s="29">
        <f>INDEX(Mitigation_Industry!Z:Z,MATCH($A247,Mitigation_Industry!$H:$H,0))</f>
        <v>0</v>
      </c>
      <c r="AA247" s="29">
        <f>INDEX(Mitigation_Industry!AA:AA,MATCH($A247,Mitigation_Industry!$H:$H,0))</f>
        <v>0</v>
      </c>
      <c r="AB247" s="29">
        <f>INDEX(Mitigation_Industry!AB:AB,MATCH($A247,Mitigation_Industry!$H:$H,0))</f>
        <v>0</v>
      </c>
      <c r="AC247" s="29">
        <f>INDEX(Mitigation_Industry!AC:AC,MATCH($A247,Mitigation_Industry!$H:$H,0))</f>
        <v>0</v>
      </c>
      <c r="AD247" s="29">
        <f>INDEX(Mitigation_Industry!AD:AD,MATCH($A247,Mitigation_Industry!$H:$H,0))</f>
        <v>0</v>
      </c>
      <c r="AE247" s="29">
        <f>INDEX(Mitigation_Industry!AE:AE,MATCH($A247,Mitigation_Industry!$H:$H,0))</f>
        <v>0</v>
      </c>
    </row>
    <row r="248" spans="1:31" x14ac:dyDescent="0.25">
      <c r="A248" s="41" t="s">
        <v>1272</v>
      </c>
      <c r="B248" s="6" t="s">
        <v>68</v>
      </c>
      <c r="C248" s="6" t="s">
        <v>119</v>
      </c>
      <c r="D248" s="6">
        <v>2</v>
      </c>
      <c r="E248" s="2" t="s">
        <v>1212</v>
      </c>
      <c r="F248" s="43">
        <f>MAX(MAX(L248:AE248),-MIN(L248:AE248))</f>
        <v>0</v>
      </c>
      <c r="K248" s="44">
        <f t="shared" ref="K248:AE248" si="60">IF(ISNUMBER(K246),IF(ISNUMBER(K247),K247-K246,999999),0)</f>
        <v>0</v>
      </c>
      <c r="L248" s="44">
        <f t="shared" si="60"/>
        <v>0</v>
      </c>
      <c r="M248" s="44">
        <f t="shared" si="60"/>
        <v>0</v>
      </c>
      <c r="N248" s="44">
        <f t="shared" si="60"/>
        <v>0</v>
      </c>
      <c r="O248" s="44">
        <f t="shared" si="60"/>
        <v>0</v>
      </c>
      <c r="P248" s="44">
        <f t="shared" si="60"/>
        <v>0</v>
      </c>
      <c r="Q248" s="44">
        <f t="shared" si="60"/>
        <v>0</v>
      </c>
      <c r="R248" s="44">
        <f t="shared" si="60"/>
        <v>0</v>
      </c>
      <c r="S248" s="44">
        <f t="shared" si="60"/>
        <v>0</v>
      </c>
      <c r="T248" s="44">
        <f t="shared" si="60"/>
        <v>0</v>
      </c>
      <c r="U248" s="44">
        <f t="shared" si="60"/>
        <v>0</v>
      </c>
      <c r="V248" s="44">
        <f t="shared" si="60"/>
        <v>0</v>
      </c>
      <c r="W248" s="44">
        <f t="shared" si="60"/>
        <v>0</v>
      </c>
      <c r="X248" s="44">
        <f t="shared" si="60"/>
        <v>0</v>
      </c>
      <c r="Y248" s="44">
        <f t="shared" si="60"/>
        <v>0</v>
      </c>
      <c r="Z248" s="44">
        <f t="shared" si="60"/>
        <v>0</v>
      </c>
      <c r="AA248" s="44">
        <f t="shared" si="60"/>
        <v>0</v>
      </c>
      <c r="AB248" s="44">
        <f t="shared" si="60"/>
        <v>0</v>
      </c>
      <c r="AC248" s="44">
        <f t="shared" si="60"/>
        <v>0</v>
      </c>
      <c r="AD248" s="44">
        <f t="shared" si="60"/>
        <v>0</v>
      </c>
      <c r="AE248" s="44">
        <f t="shared" si="60"/>
        <v>0</v>
      </c>
    </row>
    <row r="250" spans="1:31" x14ac:dyDescent="0.25">
      <c r="A250" s="41" t="s">
        <v>1273</v>
      </c>
      <c r="B250" s="6" t="s">
        <v>71</v>
      </c>
      <c r="C250" s="6" t="s">
        <v>119</v>
      </c>
      <c r="D250" s="6">
        <v>2</v>
      </c>
      <c r="E250" s="6" t="s">
        <v>1210</v>
      </c>
      <c r="K250" s="29"/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29">
        <v>0</v>
      </c>
      <c r="T250" s="29">
        <v>0</v>
      </c>
      <c r="U250" s="29">
        <v>0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>
        <v>0</v>
      </c>
      <c r="AC250" s="29">
        <v>0</v>
      </c>
      <c r="AD250" s="29">
        <v>0</v>
      </c>
      <c r="AE250" s="29">
        <v>0</v>
      </c>
    </row>
    <row r="251" spans="1:31" x14ac:dyDescent="0.25">
      <c r="A251" s="41" t="s">
        <v>1273</v>
      </c>
      <c r="B251" s="6" t="s">
        <v>71</v>
      </c>
      <c r="C251" s="6" t="s">
        <v>119</v>
      </c>
      <c r="D251" s="6">
        <v>2</v>
      </c>
      <c r="E251" s="6" t="s">
        <v>1211</v>
      </c>
      <c r="K251" s="29">
        <f>INDEX(Mitigation_Industry!K:K,MATCH($A251,Mitigation_Industry!$H:$H,0))</f>
        <v>0</v>
      </c>
      <c r="L251" s="29">
        <f>INDEX(Mitigation_Industry!L:L,MATCH($A251,Mitigation_Industry!$H:$H,0))</f>
        <v>0</v>
      </c>
      <c r="M251" s="29">
        <f>INDEX(Mitigation_Industry!M:M,MATCH($A251,Mitigation_Industry!$H:$H,0))</f>
        <v>0</v>
      </c>
      <c r="N251" s="29">
        <f>INDEX(Mitigation_Industry!N:N,MATCH($A251,Mitigation_Industry!$H:$H,0))</f>
        <v>0</v>
      </c>
      <c r="O251" s="29">
        <f>INDEX(Mitigation_Industry!O:O,MATCH($A251,Mitigation_Industry!$H:$H,0))</f>
        <v>0</v>
      </c>
      <c r="P251" s="29">
        <f>INDEX(Mitigation_Industry!P:P,MATCH($A251,Mitigation_Industry!$H:$H,0))</f>
        <v>0</v>
      </c>
      <c r="Q251" s="29">
        <f>INDEX(Mitigation_Industry!Q:Q,MATCH($A251,Mitigation_Industry!$H:$H,0))</f>
        <v>0</v>
      </c>
      <c r="R251" s="29">
        <f>INDEX(Mitigation_Industry!R:R,MATCH($A251,Mitigation_Industry!$H:$H,0))</f>
        <v>0</v>
      </c>
      <c r="S251" s="29">
        <f>INDEX(Mitigation_Industry!S:S,MATCH($A251,Mitigation_Industry!$H:$H,0))</f>
        <v>0</v>
      </c>
      <c r="T251" s="29">
        <f>INDEX(Mitigation_Industry!T:T,MATCH($A251,Mitigation_Industry!$H:$H,0))</f>
        <v>0</v>
      </c>
      <c r="U251" s="29">
        <f>INDEX(Mitigation_Industry!U:U,MATCH($A251,Mitigation_Industry!$H:$H,0))</f>
        <v>0</v>
      </c>
      <c r="V251" s="29">
        <f>INDEX(Mitigation_Industry!V:V,MATCH($A251,Mitigation_Industry!$H:$H,0))</f>
        <v>0</v>
      </c>
      <c r="W251" s="29">
        <f>INDEX(Mitigation_Industry!W:W,MATCH($A251,Mitigation_Industry!$H:$H,0))</f>
        <v>0</v>
      </c>
      <c r="X251" s="29">
        <f>INDEX(Mitigation_Industry!X:X,MATCH($A251,Mitigation_Industry!$H:$H,0))</f>
        <v>0</v>
      </c>
      <c r="Y251" s="29">
        <f>INDEX(Mitigation_Industry!Y:Y,MATCH($A251,Mitigation_Industry!$H:$H,0))</f>
        <v>0</v>
      </c>
      <c r="Z251" s="29">
        <f>INDEX(Mitigation_Industry!Z:Z,MATCH($A251,Mitigation_Industry!$H:$H,0))</f>
        <v>0</v>
      </c>
      <c r="AA251" s="29">
        <f>INDEX(Mitigation_Industry!AA:AA,MATCH($A251,Mitigation_Industry!$H:$H,0))</f>
        <v>0</v>
      </c>
      <c r="AB251" s="29">
        <f>INDEX(Mitigation_Industry!AB:AB,MATCH($A251,Mitigation_Industry!$H:$H,0))</f>
        <v>0</v>
      </c>
      <c r="AC251" s="29">
        <f>INDEX(Mitigation_Industry!AC:AC,MATCH($A251,Mitigation_Industry!$H:$H,0))</f>
        <v>0</v>
      </c>
      <c r="AD251" s="29">
        <f>INDEX(Mitigation_Industry!AD:AD,MATCH($A251,Mitigation_Industry!$H:$H,0))</f>
        <v>0</v>
      </c>
      <c r="AE251" s="29">
        <f>INDEX(Mitigation_Industry!AE:AE,MATCH($A251,Mitigation_Industry!$H:$H,0))</f>
        <v>0</v>
      </c>
    </row>
    <row r="252" spans="1:31" x14ac:dyDescent="0.25">
      <c r="A252" s="41" t="s">
        <v>1273</v>
      </c>
      <c r="B252" s="6" t="s">
        <v>71</v>
      </c>
      <c r="C252" s="6" t="s">
        <v>119</v>
      </c>
      <c r="D252" s="6">
        <v>2</v>
      </c>
      <c r="E252" s="2" t="s">
        <v>1212</v>
      </c>
      <c r="F252" s="43">
        <f>MAX(MAX(L252:AE252),-MIN(L252:AE252))</f>
        <v>0</v>
      </c>
      <c r="K252" s="44">
        <f t="shared" ref="K252:AE252" si="61">IF(ISNUMBER(K250),IF(ISNUMBER(K251),K251-K250,999999),0)</f>
        <v>0</v>
      </c>
      <c r="L252" s="44">
        <f t="shared" si="61"/>
        <v>0</v>
      </c>
      <c r="M252" s="44">
        <f t="shared" si="61"/>
        <v>0</v>
      </c>
      <c r="N252" s="44">
        <f t="shared" si="61"/>
        <v>0</v>
      </c>
      <c r="O252" s="44">
        <f t="shared" si="61"/>
        <v>0</v>
      </c>
      <c r="P252" s="44">
        <f t="shared" si="61"/>
        <v>0</v>
      </c>
      <c r="Q252" s="44">
        <f t="shared" si="61"/>
        <v>0</v>
      </c>
      <c r="R252" s="44">
        <f t="shared" si="61"/>
        <v>0</v>
      </c>
      <c r="S252" s="44">
        <f t="shared" si="61"/>
        <v>0</v>
      </c>
      <c r="T252" s="44">
        <f t="shared" si="61"/>
        <v>0</v>
      </c>
      <c r="U252" s="44">
        <f t="shared" si="61"/>
        <v>0</v>
      </c>
      <c r="V252" s="44">
        <f t="shared" si="61"/>
        <v>0</v>
      </c>
      <c r="W252" s="44">
        <f t="shared" si="61"/>
        <v>0</v>
      </c>
      <c r="X252" s="44">
        <f t="shared" si="61"/>
        <v>0</v>
      </c>
      <c r="Y252" s="44">
        <f t="shared" si="61"/>
        <v>0</v>
      </c>
      <c r="Z252" s="44">
        <f t="shared" si="61"/>
        <v>0</v>
      </c>
      <c r="AA252" s="44">
        <f t="shared" si="61"/>
        <v>0</v>
      </c>
      <c r="AB252" s="44">
        <f t="shared" si="61"/>
        <v>0</v>
      </c>
      <c r="AC252" s="44">
        <f t="shared" si="61"/>
        <v>0</v>
      </c>
      <c r="AD252" s="44">
        <f t="shared" si="61"/>
        <v>0</v>
      </c>
      <c r="AE252" s="44">
        <f t="shared" si="61"/>
        <v>0</v>
      </c>
    </row>
    <row r="254" spans="1:31" x14ac:dyDescent="0.25">
      <c r="A254" s="41" t="s">
        <v>1274</v>
      </c>
      <c r="B254" s="6" t="s">
        <v>73</v>
      </c>
      <c r="C254" s="6" t="s">
        <v>119</v>
      </c>
      <c r="D254" s="6">
        <v>2</v>
      </c>
      <c r="E254" s="6" t="s">
        <v>1210</v>
      </c>
      <c r="K254" s="29"/>
      <c r="L254" s="29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>
        <v>0</v>
      </c>
      <c r="AC254" s="29">
        <v>0</v>
      </c>
      <c r="AD254" s="29">
        <v>0</v>
      </c>
      <c r="AE254" s="29">
        <v>0</v>
      </c>
    </row>
    <row r="255" spans="1:31" x14ac:dyDescent="0.25">
      <c r="A255" s="41" t="s">
        <v>1274</v>
      </c>
      <c r="B255" s="6" t="s">
        <v>73</v>
      </c>
      <c r="C255" s="6" t="s">
        <v>119</v>
      </c>
      <c r="D255" s="6">
        <v>2</v>
      </c>
      <c r="E255" s="6" t="s">
        <v>1211</v>
      </c>
      <c r="K255" s="29">
        <f>INDEX(Mitigation_Industry!K:K,MATCH($A255,Mitigation_Industry!$H:$H,0))</f>
        <v>0</v>
      </c>
      <c r="L255" s="29">
        <f>INDEX(Mitigation_Industry!L:L,MATCH($A255,Mitigation_Industry!$H:$H,0))</f>
        <v>0</v>
      </c>
      <c r="M255" s="29">
        <f>INDEX(Mitigation_Industry!M:M,MATCH($A255,Mitigation_Industry!$H:$H,0))</f>
        <v>0</v>
      </c>
      <c r="N255" s="29">
        <f>INDEX(Mitigation_Industry!N:N,MATCH($A255,Mitigation_Industry!$H:$H,0))</f>
        <v>0</v>
      </c>
      <c r="O255" s="29">
        <f>INDEX(Mitigation_Industry!O:O,MATCH($A255,Mitigation_Industry!$H:$H,0))</f>
        <v>0</v>
      </c>
      <c r="P255" s="29">
        <f>INDEX(Mitigation_Industry!P:P,MATCH($A255,Mitigation_Industry!$H:$H,0))</f>
        <v>0</v>
      </c>
      <c r="Q255" s="29">
        <f>INDEX(Mitigation_Industry!Q:Q,MATCH($A255,Mitigation_Industry!$H:$H,0))</f>
        <v>0</v>
      </c>
      <c r="R255" s="29">
        <f>INDEX(Mitigation_Industry!R:R,MATCH($A255,Mitigation_Industry!$H:$H,0))</f>
        <v>0</v>
      </c>
      <c r="S255" s="29">
        <f>INDEX(Mitigation_Industry!S:S,MATCH($A255,Mitigation_Industry!$H:$H,0))</f>
        <v>0</v>
      </c>
      <c r="T255" s="29">
        <f>INDEX(Mitigation_Industry!T:T,MATCH($A255,Mitigation_Industry!$H:$H,0))</f>
        <v>0</v>
      </c>
      <c r="U255" s="29">
        <f>INDEX(Mitigation_Industry!U:U,MATCH($A255,Mitigation_Industry!$H:$H,0))</f>
        <v>0</v>
      </c>
      <c r="V255" s="29">
        <f>INDEX(Mitigation_Industry!V:V,MATCH($A255,Mitigation_Industry!$H:$H,0))</f>
        <v>0</v>
      </c>
      <c r="W255" s="29">
        <f>INDEX(Mitigation_Industry!W:W,MATCH($A255,Mitigation_Industry!$H:$H,0))</f>
        <v>0</v>
      </c>
      <c r="X255" s="29">
        <f>INDEX(Mitigation_Industry!X:X,MATCH($A255,Mitigation_Industry!$H:$H,0))</f>
        <v>0</v>
      </c>
      <c r="Y255" s="29">
        <f>INDEX(Mitigation_Industry!Y:Y,MATCH($A255,Mitigation_Industry!$H:$H,0))</f>
        <v>0</v>
      </c>
      <c r="Z255" s="29">
        <f>INDEX(Mitigation_Industry!Z:Z,MATCH($A255,Mitigation_Industry!$H:$H,0))</f>
        <v>0</v>
      </c>
      <c r="AA255" s="29">
        <f>INDEX(Mitigation_Industry!AA:AA,MATCH($A255,Mitigation_Industry!$H:$H,0))</f>
        <v>0</v>
      </c>
      <c r="AB255" s="29">
        <f>INDEX(Mitigation_Industry!AB:AB,MATCH($A255,Mitigation_Industry!$H:$H,0))</f>
        <v>0</v>
      </c>
      <c r="AC255" s="29">
        <f>INDEX(Mitigation_Industry!AC:AC,MATCH($A255,Mitigation_Industry!$H:$H,0))</f>
        <v>0</v>
      </c>
      <c r="AD255" s="29">
        <f>INDEX(Mitigation_Industry!AD:AD,MATCH($A255,Mitigation_Industry!$H:$H,0))</f>
        <v>0</v>
      </c>
      <c r="AE255" s="29">
        <f>INDEX(Mitigation_Industry!AE:AE,MATCH($A255,Mitigation_Industry!$H:$H,0))</f>
        <v>0</v>
      </c>
    </row>
    <row r="256" spans="1:31" x14ac:dyDescent="0.25">
      <c r="A256" s="41" t="s">
        <v>1274</v>
      </c>
      <c r="B256" s="6" t="s">
        <v>73</v>
      </c>
      <c r="C256" s="6" t="s">
        <v>119</v>
      </c>
      <c r="D256" s="6">
        <v>2</v>
      </c>
      <c r="E256" s="2" t="s">
        <v>1212</v>
      </c>
      <c r="F256" s="43">
        <f>MAX(MAX(L256:AE256),-MIN(L256:AE256))</f>
        <v>0</v>
      </c>
      <c r="K256" s="44">
        <f t="shared" ref="K256:AE256" si="62">IF(ISNUMBER(K254),IF(ISNUMBER(K255),K255-K254,999999),0)</f>
        <v>0</v>
      </c>
      <c r="L256" s="44">
        <f t="shared" si="62"/>
        <v>0</v>
      </c>
      <c r="M256" s="44">
        <f t="shared" si="62"/>
        <v>0</v>
      </c>
      <c r="N256" s="44">
        <f t="shared" si="62"/>
        <v>0</v>
      </c>
      <c r="O256" s="44">
        <f t="shared" si="62"/>
        <v>0</v>
      </c>
      <c r="P256" s="44">
        <f t="shared" si="62"/>
        <v>0</v>
      </c>
      <c r="Q256" s="44">
        <f t="shared" si="62"/>
        <v>0</v>
      </c>
      <c r="R256" s="44">
        <f t="shared" si="62"/>
        <v>0</v>
      </c>
      <c r="S256" s="44">
        <f t="shared" si="62"/>
        <v>0</v>
      </c>
      <c r="T256" s="44">
        <f t="shared" si="62"/>
        <v>0</v>
      </c>
      <c r="U256" s="44">
        <f t="shared" si="62"/>
        <v>0</v>
      </c>
      <c r="V256" s="44">
        <f t="shared" si="62"/>
        <v>0</v>
      </c>
      <c r="W256" s="44">
        <f t="shared" si="62"/>
        <v>0</v>
      </c>
      <c r="X256" s="44">
        <f t="shared" si="62"/>
        <v>0</v>
      </c>
      <c r="Y256" s="44">
        <f t="shared" si="62"/>
        <v>0</v>
      </c>
      <c r="Z256" s="44">
        <f t="shared" si="62"/>
        <v>0</v>
      </c>
      <c r="AA256" s="44">
        <f t="shared" si="62"/>
        <v>0</v>
      </c>
      <c r="AB256" s="44">
        <f t="shared" si="62"/>
        <v>0</v>
      </c>
      <c r="AC256" s="44">
        <f t="shared" si="62"/>
        <v>0</v>
      </c>
      <c r="AD256" s="44">
        <f t="shared" si="62"/>
        <v>0</v>
      </c>
      <c r="AE256" s="44">
        <f t="shared" si="62"/>
        <v>0</v>
      </c>
    </row>
    <row r="258" spans="1:31" x14ac:dyDescent="0.25">
      <c r="A258" s="41" t="s">
        <v>1275</v>
      </c>
      <c r="B258" s="6" t="s">
        <v>53</v>
      </c>
      <c r="C258" s="6" t="s">
        <v>121</v>
      </c>
      <c r="D258" s="6">
        <v>2</v>
      </c>
      <c r="E258" s="6" t="s">
        <v>1210</v>
      </c>
      <c r="K258" s="29"/>
      <c r="L258" s="29">
        <v>0</v>
      </c>
      <c r="M258" s="29">
        <v>0</v>
      </c>
      <c r="N258" s="29">
        <v>0</v>
      </c>
      <c r="O258" s="29">
        <v>0</v>
      </c>
      <c r="P258" s="29">
        <v>0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>
        <v>0</v>
      </c>
      <c r="AC258" s="29">
        <v>0</v>
      </c>
      <c r="AD258" s="29">
        <v>0</v>
      </c>
      <c r="AE258" s="29">
        <v>0</v>
      </c>
    </row>
    <row r="259" spans="1:31" x14ac:dyDescent="0.25">
      <c r="A259" s="41" t="s">
        <v>1275</v>
      </c>
      <c r="B259" s="6" t="s">
        <v>53</v>
      </c>
      <c r="C259" s="6" t="s">
        <v>121</v>
      </c>
      <c r="D259" s="6">
        <v>2</v>
      </c>
      <c r="E259" s="6" t="s">
        <v>1211</v>
      </c>
      <c r="K259" s="29">
        <f>INDEX(Mitigation_Industry!K:K,MATCH($A259,Mitigation_Industry!$H:$H,0))</f>
        <v>0</v>
      </c>
      <c r="L259" s="29">
        <f>INDEX(Mitigation_Industry!L:L,MATCH($A259,Mitigation_Industry!$H:$H,0))</f>
        <v>0</v>
      </c>
      <c r="M259" s="29">
        <f>INDEX(Mitigation_Industry!M:M,MATCH($A259,Mitigation_Industry!$H:$H,0))</f>
        <v>0</v>
      </c>
      <c r="N259" s="29">
        <f>INDEX(Mitigation_Industry!N:N,MATCH($A259,Mitigation_Industry!$H:$H,0))</f>
        <v>0</v>
      </c>
      <c r="O259" s="29">
        <f>INDEX(Mitigation_Industry!O:O,MATCH($A259,Mitigation_Industry!$H:$H,0))</f>
        <v>0</v>
      </c>
      <c r="P259" s="29">
        <f>INDEX(Mitigation_Industry!P:P,MATCH($A259,Mitigation_Industry!$H:$H,0))</f>
        <v>0</v>
      </c>
      <c r="Q259" s="29">
        <f>INDEX(Mitigation_Industry!Q:Q,MATCH($A259,Mitigation_Industry!$H:$H,0))</f>
        <v>0</v>
      </c>
      <c r="R259" s="29">
        <f>INDEX(Mitigation_Industry!R:R,MATCH($A259,Mitigation_Industry!$H:$H,0))</f>
        <v>0</v>
      </c>
      <c r="S259" s="29">
        <f>INDEX(Mitigation_Industry!S:S,MATCH($A259,Mitigation_Industry!$H:$H,0))</f>
        <v>0</v>
      </c>
      <c r="T259" s="29">
        <f>INDEX(Mitigation_Industry!T:T,MATCH($A259,Mitigation_Industry!$H:$H,0))</f>
        <v>0</v>
      </c>
      <c r="U259" s="29">
        <f>INDEX(Mitigation_Industry!U:U,MATCH($A259,Mitigation_Industry!$H:$H,0))</f>
        <v>0</v>
      </c>
      <c r="V259" s="29">
        <f>INDEX(Mitigation_Industry!V:V,MATCH($A259,Mitigation_Industry!$H:$H,0))</f>
        <v>0</v>
      </c>
      <c r="W259" s="29">
        <f>INDEX(Mitigation_Industry!W:W,MATCH($A259,Mitigation_Industry!$H:$H,0))</f>
        <v>0</v>
      </c>
      <c r="X259" s="29">
        <f>INDEX(Mitigation_Industry!X:X,MATCH($A259,Mitigation_Industry!$H:$H,0))</f>
        <v>0</v>
      </c>
      <c r="Y259" s="29">
        <f>INDEX(Mitigation_Industry!Y:Y,MATCH($A259,Mitigation_Industry!$H:$H,0))</f>
        <v>0</v>
      </c>
      <c r="Z259" s="29">
        <f>INDEX(Mitigation_Industry!Z:Z,MATCH($A259,Mitigation_Industry!$H:$H,0))</f>
        <v>0</v>
      </c>
      <c r="AA259" s="29">
        <f>INDEX(Mitigation_Industry!AA:AA,MATCH($A259,Mitigation_Industry!$H:$H,0))</f>
        <v>0</v>
      </c>
      <c r="AB259" s="29">
        <f>INDEX(Mitigation_Industry!AB:AB,MATCH($A259,Mitigation_Industry!$H:$H,0))</f>
        <v>0</v>
      </c>
      <c r="AC259" s="29">
        <f>INDEX(Mitigation_Industry!AC:AC,MATCH($A259,Mitigation_Industry!$H:$H,0))</f>
        <v>0</v>
      </c>
      <c r="AD259" s="29">
        <f>INDEX(Mitigation_Industry!AD:AD,MATCH($A259,Mitigation_Industry!$H:$H,0))</f>
        <v>0</v>
      </c>
      <c r="AE259" s="29">
        <f>INDEX(Mitigation_Industry!AE:AE,MATCH($A259,Mitigation_Industry!$H:$H,0))</f>
        <v>0</v>
      </c>
    </row>
    <row r="260" spans="1:31" x14ac:dyDescent="0.25">
      <c r="A260" s="41" t="s">
        <v>1275</v>
      </c>
      <c r="B260" s="6" t="s">
        <v>53</v>
      </c>
      <c r="C260" s="6" t="s">
        <v>121</v>
      </c>
      <c r="D260" s="6">
        <v>2</v>
      </c>
      <c r="E260" s="2" t="s">
        <v>1212</v>
      </c>
      <c r="F260" s="43">
        <f>MAX(MAX(L260:AE260),-MIN(L260:AE260))</f>
        <v>0</v>
      </c>
      <c r="K260" s="44">
        <f t="shared" ref="K260:AE260" si="63">IF(ISNUMBER(K258),IF(ISNUMBER(K259),K259-K258,999999),0)</f>
        <v>0</v>
      </c>
      <c r="L260" s="44">
        <f t="shared" si="63"/>
        <v>0</v>
      </c>
      <c r="M260" s="44">
        <f t="shared" si="63"/>
        <v>0</v>
      </c>
      <c r="N260" s="44">
        <f t="shared" si="63"/>
        <v>0</v>
      </c>
      <c r="O260" s="44">
        <f t="shared" si="63"/>
        <v>0</v>
      </c>
      <c r="P260" s="44">
        <f t="shared" si="63"/>
        <v>0</v>
      </c>
      <c r="Q260" s="44">
        <f t="shared" si="63"/>
        <v>0</v>
      </c>
      <c r="R260" s="44">
        <f t="shared" si="63"/>
        <v>0</v>
      </c>
      <c r="S260" s="44">
        <f t="shared" si="63"/>
        <v>0</v>
      </c>
      <c r="T260" s="44">
        <f t="shared" si="63"/>
        <v>0</v>
      </c>
      <c r="U260" s="44">
        <f t="shared" si="63"/>
        <v>0</v>
      </c>
      <c r="V260" s="44">
        <f t="shared" si="63"/>
        <v>0</v>
      </c>
      <c r="W260" s="44">
        <f t="shared" si="63"/>
        <v>0</v>
      </c>
      <c r="X260" s="44">
        <f t="shared" si="63"/>
        <v>0</v>
      </c>
      <c r="Y260" s="44">
        <f t="shared" si="63"/>
        <v>0</v>
      </c>
      <c r="Z260" s="44">
        <f t="shared" si="63"/>
        <v>0</v>
      </c>
      <c r="AA260" s="44">
        <f t="shared" si="63"/>
        <v>0</v>
      </c>
      <c r="AB260" s="44">
        <f t="shared" si="63"/>
        <v>0</v>
      </c>
      <c r="AC260" s="44">
        <f t="shared" si="63"/>
        <v>0</v>
      </c>
      <c r="AD260" s="44">
        <f t="shared" si="63"/>
        <v>0</v>
      </c>
      <c r="AE260" s="44">
        <f t="shared" si="63"/>
        <v>0</v>
      </c>
    </row>
    <row r="262" spans="1:31" x14ac:dyDescent="0.25">
      <c r="A262" s="41" t="s">
        <v>1276</v>
      </c>
      <c r="B262" s="6" t="s">
        <v>57</v>
      </c>
      <c r="C262" s="6" t="s">
        <v>121</v>
      </c>
      <c r="D262" s="6">
        <v>2</v>
      </c>
      <c r="E262" s="6" t="s">
        <v>1210</v>
      </c>
      <c r="K262" s="29"/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0</v>
      </c>
      <c r="Y262" s="29">
        <v>0</v>
      </c>
      <c r="Z262" s="29">
        <v>0</v>
      </c>
      <c r="AA262" s="29">
        <v>0</v>
      </c>
      <c r="AB262" s="29">
        <v>0</v>
      </c>
      <c r="AC262" s="29">
        <v>0</v>
      </c>
      <c r="AD262" s="29">
        <v>0</v>
      </c>
      <c r="AE262" s="29">
        <v>0</v>
      </c>
    </row>
    <row r="263" spans="1:31" x14ac:dyDescent="0.25">
      <c r="A263" s="41" t="s">
        <v>1276</v>
      </c>
      <c r="B263" s="6" t="s">
        <v>57</v>
      </c>
      <c r="C263" s="6" t="s">
        <v>121</v>
      </c>
      <c r="D263" s="6">
        <v>2</v>
      </c>
      <c r="E263" s="6" t="s">
        <v>1211</v>
      </c>
      <c r="K263" s="29">
        <f>INDEX(Mitigation_Industry!K:K,MATCH($A263,Mitigation_Industry!$H:$H,0))</f>
        <v>0</v>
      </c>
      <c r="L263" s="29">
        <f>INDEX(Mitigation_Industry!L:L,MATCH($A263,Mitigation_Industry!$H:$H,0))</f>
        <v>0</v>
      </c>
      <c r="M263" s="29">
        <f>INDEX(Mitigation_Industry!M:M,MATCH($A263,Mitigation_Industry!$H:$H,0))</f>
        <v>0</v>
      </c>
      <c r="N263" s="29">
        <f>INDEX(Mitigation_Industry!N:N,MATCH($A263,Mitigation_Industry!$H:$H,0))</f>
        <v>0</v>
      </c>
      <c r="O263" s="29">
        <f>INDEX(Mitigation_Industry!O:O,MATCH($A263,Mitigation_Industry!$H:$H,0))</f>
        <v>0</v>
      </c>
      <c r="P263" s="29">
        <f>INDEX(Mitigation_Industry!P:P,MATCH($A263,Mitigation_Industry!$H:$H,0))</f>
        <v>0</v>
      </c>
      <c r="Q263" s="29">
        <f>INDEX(Mitigation_Industry!Q:Q,MATCH($A263,Mitigation_Industry!$H:$H,0))</f>
        <v>0</v>
      </c>
      <c r="R263" s="29">
        <f>INDEX(Mitigation_Industry!R:R,MATCH($A263,Mitigation_Industry!$H:$H,0))</f>
        <v>0</v>
      </c>
      <c r="S263" s="29">
        <f>INDEX(Mitigation_Industry!S:S,MATCH($A263,Mitigation_Industry!$H:$H,0))</f>
        <v>0</v>
      </c>
      <c r="T263" s="29">
        <f>INDEX(Mitigation_Industry!T:T,MATCH($A263,Mitigation_Industry!$H:$H,0))</f>
        <v>0</v>
      </c>
      <c r="U263" s="29">
        <f>INDEX(Mitigation_Industry!U:U,MATCH($A263,Mitigation_Industry!$H:$H,0))</f>
        <v>0</v>
      </c>
      <c r="V263" s="29">
        <f>INDEX(Mitigation_Industry!V:V,MATCH($A263,Mitigation_Industry!$H:$H,0))</f>
        <v>0</v>
      </c>
      <c r="W263" s="29">
        <f>INDEX(Mitigation_Industry!W:W,MATCH($A263,Mitigation_Industry!$H:$H,0))</f>
        <v>0</v>
      </c>
      <c r="X263" s="29">
        <f>INDEX(Mitigation_Industry!X:X,MATCH($A263,Mitigation_Industry!$H:$H,0))</f>
        <v>0</v>
      </c>
      <c r="Y263" s="29">
        <f>INDEX(Mitigation_Industry!Y:Y,MATCH($A263,Mitigation_Industry!$H:$H,0))</f>
        <v>0</v>
      </c>
      <c r="Z263" s="29">
        <f>INDEX(Mitigation_Industry!Z:Z,MATCH($A263,Mitigation_Industry!$H:$H,0))</f>
        <v>0</v>
      </c>
      <c r="AA263" s="29">
        <f>INDEX(Mitigation_Industry!AA:AA,MATCH($A263,Mitigation_Industry!$H:$H,0))</f>
        <v>0</v>
      </c>
      <c r="AB263" s="29">
        <f>INDEX(Mitigation_Industry!AB:AB,MATCH($A263,Mitigation_Industry!$H:$H,0))</f>
        <v>0</v>
      </c>
      <c r="AC263" s="29">
        <f>INDEX(Mitigation_Industry!AC:AC,MATCH($A263,Mitigation_Industry!$H:$H,0))</f>
        <v>0</v>
      </c>
      <c r="AD263" s="29">
        <f>INDEX(Mitigation_Industry!AD:AD,MATCH($A263,Mitigation_Industry!$H:$H,0))</f>
        <v>0</v>
      </c>
      <c r="AE263" s="29">
        <f>INDEX(Mitigation_Industry!AE:AE,MATCH($A263,Mitigation_Industry!$H:$H,0))</f>
        <v>0</v>
      </c>
    </row>
    <row r="264" spans="1:31" x14ac:dyDescent="0.25">
      <c r="A264" s="41" t="s">
        <v>1276</v>
      </c>
      <c r="B264" s="6" t="s">
        <v>57</v>
      </c>
      <c r="C264" s="6" t="s">
        <v>121</v>
      </c>
      <c r="D264" s="6">
        <v>2</v>
      </c>
      <c r="E264" s="2" t="s">
        <v>1212</v>
      </c>
      <c r="F264" s="43">
        <f>MAX(MAX(L264:AE264),-MIN(L264:AE264))</f>
        <v>0</v>
      </c>
      <c r="K264" s="44">
        <f t="shared" ref="K264:AE264" si="64">IF(ISNUMBER(K262),IF(ISNUMBER(K263),K263-K262,999999),0)</f>
        <v>0</v>
      </c>
      <c r="L264" s="44">
        <f t="shared" si="64"/>
        <v>0</v>
      </c>
      <c r="M264" s="44">
        <f t="shared" si="64"/>
        <v>0</v>
      </c>
      <c r="N264" s="44">
        <f t="shared" si="64"/>
        <v>0</v>
      </c>
      <c r="O264" s="44">
        <f t="shared" si="64"/>
        <v>0</v>
      </c>
      <c r="P264" s="44">
        <f t="shared" si="64"/>
        <v>0</v>
      </c>
      <c r="Q264" s="44">
        <f t="shared" si="64"/>
        <v>0</v>
      </c>
      <c r="R264" s="44">
        <f t="shared" si="64"/>
        <v>0</v>
      </c>
      <c r="S264" s="44">
        <f t="shared" si="64"/>
        <v>0</v>
      </c>
      <c r="T264" s="44">
        <f t="shared" si="64"/>
        <v>0</v>
      </c>
      <c r="U264" s="44">
        <f t="shared" si="64"/>
        <v>0</v>
      </c>
      <c r="V264" s="44">
        <f t="shared" si="64"/>
        <v>0</v>
      </c>
      <c r="W264" s="44">
        <f t="shared" si="64"/>
        <v>0</v>
      </c>
      <c r="X264" s="44">
        <f t="shared" si="64"/>
        <v>0</v>
      </c>
      <c r="Y264" s="44">
        <f t="shared" si="64"/>
        <v>0</v>
      </c>
      <c r="Z264" s="44">
        <f t="shared" si="64"/>
        <v>0</v>
      </c>
      <c r="AA264" s="44">
        <f t="shared" si="64"/>
        <v>0</v>
      </c>
      <c r="AB264" s="44">
        <f t="shared" si="64"/>
        <v>0</v>
      </c>
      <c r="AC264" s="44">
        <f t="shared" si="64"/>
        <v>0</v>
      </c>
      <c r="AD264" s="44">
        <f t="shared" si="64"/>
        <v>0</v>
      </c>
      <c r="AE264" s="44">
        <f t="shared" si="64"/>
        <v>0</v>
      </c>
    </row>
    <row r="266" spans="1:31" x14ac:dyDescent="0.25">
      <c r="A266" s="41" t="s">
        <v>1277</v>
      </c>
      <c r="B266" s="6" t="s">
        <v>59</v>
      </c>
      <c r="C266" s="6" t="s">
        <v>121</v>
      </c>
      <c r="D266" s="6">
        <v>2</v>
      </c>
      <c r="E266" s="6" t="s">
        <v>1210</v>
      </c>
      <c r="K266" s="29"/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0</v>
      </c>
      <c r="Z266" s="29">
        <v>0</v>
      </c>
      <c r="AA266" s="29">
        <v>0</v>
      </c>
      <c r="AB266" s="29">
        <v>0</v>
      </c>
      <c r="AC266" s="29">
        <v>0</v>
      </c>
      <c r="AD266" s="29">
        <v>0</v>
      </c>
      <c r="AE266" s="29">
        <v>0</v>
      </c>
    </row>
    <row r="267" spans="1:31" x14ac:dyDescent="0.25">
      <c r="A267" s="41" t="s">
        <v>1277</v>
      </c>
      <c r="B267" s="6" t="s">
        <v>59</v>
      </c>
      <c r="C267" s="6" t="s">
        <v>121</v>
      </c>
      <c r="D267" s="6">
        <v>2</v>
      </c>
      <c r="E267" s="6" t="s">
        <v>1211</v>
      </c>
      <c r="K267" s="29">
        <f>INDEX(Mitigation_Industry!K:K,MATCH($A267,Mitigation_Industry!$H:$H,0))</f>
        <v>0</v>
      </c>
      <c r="L267" s="29">
        <f>INDEX(Mitigation_Industry!L:L,MATCH($A267,Mitigation_Industry!$H:$H,0))</f>
        <v>0</v>
      </c>
      <c r="M267" s="29">
        <f>INDEX(Mitigation_Industry!M:M,MATCH($A267,Mitigation_Industry!$H:$H,0))</f>
        <v>0</v>
      </c>
      <c r="N267" s="29">
        <f>INDEX(Mitigation_Industry!N:N,MATCH($A267,Mitigation_Industry!$H:$H,0))</f>
        <v>0</v>
      </c>
      <c r="O267" s="29">
        <f>INDEX(Mitigation_Industry!O:O,MATCH($A267,Mitigation_Industry!$H:$H,0))</f>
        <v>0</v>
      </c>
      <c r="P267" s="29">
        <f>INDEX(Mitigation_Industry!P:P,MATCH($A267,Mitigation_Industry!$H:$H,0))</f>
        <v>0</v>
      </c>
      <c r="Q267" s="29">
        <f>INDEX(Mitigation_Industry!Q:Q,MATCH($A267,Mitigation_Industry!$H:$H,0))</f>
        <v>0</v>
      </c>
      <c r="R267" s="29">
        <f>INDEX(Mitigation_Industry!R:R,MATCH($A267,Mitigation_Industry!$H:$H,0))</f>
        <v>0</v>
      </c>
      <c r="S267" s="29">
        <f>INDEX(Mitigation_Industry!S:S,MATCH($A267,Mitigation_Industry!$H:$H,0))</f>
        <v>0</v>
      </c>
      <c r="T267" s="29">
        <f>INDEX(Mitigation_Industry!T:T,MATCH($A267,Mitigation_Industry!$H:$H,0))</f>
        <v>0</v>
      </c>
      <c r="U267" s="29">
        <f>INDEX(Mitigation_Industry!U:U,MATCH($A267,Mitigation_Industry!$H:$H,0))</f>
        <v>0</v>
      </c>
      <c r="V267" s="29">
        <f>INDEX(Mitigation_Industry!V:V,MATCH($A267,Mitigation_Industry!$H:$H,0))</f>
        <v>0</v>
      </c>
      <c r="W267" s="29">
        <f>INDEX(Mitigation_Industry!W:W,MATCH($A267,Mitigation_Industry!$H:$H,0))</f>
        <v>0</v>
      </c>
      <c r="X267" s="29">
        <f>INDEX(Mitigation_Industry!X:X,MATCH($A267,Mitigation_Industry!$H:$H,0))</f>
        <v>0</v>
      </c>
      <c r="Y267" s="29">
        <f>INDEX(Mitigation_Industry!Y:Y,MATCH($A267,Mitigation_Industry!$H:$H,0))</f>
        <v>0</v>
      </c>
      <c r="Z267" s="29">
        <f>INDEX(Mitigation_Industry!Z:Z,MATCH($A267,Mitigation_Industry!$H:$H,0))</f>
        <v>0</v>
      </c>
      <c r="AA267" s="29">
        <f>INDEX(Mitigation_Industry!AA:AA,MATCH($A267,Mitigation_Industry!$H:$H,0))</f>
        <v>0</v>
      </c>
      <c r="AB267" s="29">
        <f>INDEX(Mitigation_Industry!AB:AB,MATCH($A267,Mitigation_Industry!$H:$H,0))</f>
        <v>0</v>
      </c>
      <c r="AC267" s="29">
        <f>INDEX(Mitigation_Industry!AC:AC,MATCH($A267,Mitigation_Industry!$H:$H,0))</f>
        <v>0</v>
      </c>
      <c r="AD267" s="29">
        <f>INDEX(Mitigation_Industry!AD:AD,MATCH($A267,Mitigation_Industry!$H:$H,0))</f>
        <v>0</v>
      </c>
      <c r="AE267" s="29">
        <f>INDEX(Mitigation_Industry!AE:AE,MATCH($A267,Mitigation_Industry!$H:$H,0))</f>
        <v>0</v>
      </c>
    </row>
    <row r="268" spans="1:31" x14ac:dyDescent="0.25">
      <c r="A268" s="41" t="s">
        <v>1277</v>
      </c>
      <c r="B268" s="6" t="s">
        <v>59</v>
      </c>
      <c r="C268" s="6" t="s">
        <v>121</v>
      </c>
      <c r="D268" s="6">
        <v>2</v>
      </c>
      <c r="E268" s="2" t="s">
        <v>1212</v>
      </c>
      <c r="F268" s="43">
        <f>MAX(MAX(L268:AE268),-MIN(L268:AE268))</f>
        <v>0</v>
      </c>
      <c r="K268" s="44">
        <f t="shared" ref="K268:AE268" si="65">IF(ISNUMBER(K266),IF(ISNUMBER(K267),K267-K266,999999),0)</f>
        <v>0</v>
      </c>
      <c r="L268" s="44">
        <f t="shared" si="65"/>
        <v>0</v>
      </c>
      <c r="M268" s="44">
        <f t="shared" si="65"/>
        <v>0</v>
      </c>
      <c r="N268" s="44">
        <f t="shared" si="65"/>
        <v>0</v>
      </c>
      <c r="O268" s="44">
        <f t="shared" si="65"/>
        <v>0</v>
      </c>
      <c r="P268" s="44">
        <f t="shared" si="65"/>
        <v>0</v>
      </c>
      <c r="Q268" s="44">
        <f t="shared" si="65"/>
        <v>0</v>
      </c>
      <c r="R268" s="44">
        <f t="shared" si="65"/>
        <v>0</v>
      </c>
      <c r="S268" s="44">
        <f t="shared" si="65"/>
        <v>0</v>
      </c>
      <c r="T268" s="44">
        <f t="shared" si="65"/>
        <v>0</v>
      </c>
      <c r="U268" s="44">
        <f t="shared" si="65"/>
        <v>0</v>
      </c>
      <c r="V268" s="44">
        <f t="shared" si="65"/>
        <v>0</v>
      </c>
      <c r="W268" s="44">
        <f t="shared" si="65"/>
        <v>0</v>
      </c>
      <c r="X268" s="44">
        <f t="shared" si="65"/>
        <v>0</v>
      </c>
      <c r="Y268" s="44">
        <f t="shared" si="65"/>
        <v>0</v>
      </c>
      <c r="Z268" s="44">
        <f t="shared" si="65"/>
        <v>0</v>
      </c>
      <c r="AA268" s="44">
        <f t="shared" si="65"/>
        <v>0</v>
      </c>
      <c r="AB268" s="44">
        <f t="shared" si="65"/>
        <v>0</v>
      </c>
      <c r="AC268" s="44">
        <f t="shared" si="65"/>
        <v>0</v>
      </c>
      <c r="AD268" s="44">
        <f t="shared" si="65"/>
        <v>0</v>
      </c>
      <c r="AE268" s="44">
        <f t="shared" si="65"/>
        <v>0</v>
      </c>
    </row>
    <row r="270" spans="1:31" x14ac:dyDescent="0.25">
      <c r="A270" s="41" t="s">
        <v>1278</v>
      </c>
      <c r="B270" s="6" t="s">
        <v>62</v>
      </c>
      <c r="C270" s="6" t="s">
        <v>121</v>
      </c>
      <c r="D270" s="6">
        <v>2</v>
      </c>
      <c r="E270" s="6" t="s">
        <v>1210</v>
      </c>
      <c r="K270" s="29"/>
      <c r="L270" s="29">
        <v>0</v>
      </c>
      <c r="M270" s="29">
        <v>0</v>
      </c>
      <c r="N270" s="29">
        <v>0</v>
      </c>
      <c r="O270" s="29">
        <v>0</v>
      </c>
      <c r="P270" s="29">
        <v>0</v>
      </c>
      <c r="Q270" s="29">
        <v>0</v>
      </c>
      <c r="R270" s="29">
        <v>0</v>
      </c>
      <c r="S270" s="29">
        <v>0</v>
      </c>
      <c r="T270" s="29">
        <v>0</v>
      </c>
      <c r="U270" s="29">
        <v>0</v>
      </c>
      <c r="V270" s="29">
        <v>0</v>
      </c>
      <c r="W270" s="29">
        <v>0</v>
      </c>
      <c r="X270" s="29">
        <v>0</v>
      </c>
      <c r="Y270" s="29">
        <v>0</v>
      </c>
      <c r="Z270" s="29">
        <v>0</v>
      </c>
      <c r="AA270" s="29">
        <v>0</v>
      </c>
      <c r="AB270" s="29">
        <v>0</v>
      </c>
      <c r="AC270" s="29">
        <v>0</v>
      </c>
      <c r="AD270" s="29">
        <v>0</v>
      </c>
      <c r="AE270" s="29">
        <v>0</v>
      </c>
    </row>
    <row r="271" spans="1:31" x14ac:dyDescent="0.25">
      <c r="A271" s="41" t="s">
        <v>1278</v>
      </c>
      <c r="B271" s="6" t="s">
        <v>62</v>
      </c>
      <c r="C271" s="6" t="s">
        <v>121</v>
      </c>
      <c r="D271" s="6">
        <v>2</v>
      </c>
      <c r="E271" s="6" t="s">
        <v>1211</v>
      </c>
      <c r="K271" s="29">
        <f>INDEX(Mitigation_Industry!K:K,MATCH($A271,Mitigation_Industry!$H:$H,0))</f>
        <v>0</v>
      </c>
      <c r="L271" s="29">
        <f>INDEX(Mitigation_Industry!L:L,MATCH($A271,Mitigation_Industry!$H:$H,0))</f>
        <v>0</v>
      </c>
      <c r="M271" s="29">
        <f>INDEX(Mitigation_Industry!M:M,MATCH($A271,Mitigation_Industry!$H:$H,0))</f>
        <v>0</v>
      </c>
      <c r="N271" s="29">
        <f>INDEX(Mitigation_Industry!N:N,MATCH($A271,Mitigation_Industry!$H:$H,0))</f>
        <v>0</v>
      </c>
      <c r="O271" s="29">
        <f>INDEX(Mitigation_Industry!O:O,MATCH($A271,Mitigation_Industry!$H:$H,0))</f>
        <v>0</v>
      </c>
      <c r="P271" s="29">
        <f>INDEX(Mitigation_Industry!P:P,MATCH($A271,Mitigation_Industry!$H:$H,0))</f>
        <v>0</v>
      </c>
      <c r="Q271" s="29">
        <f>INDEX(Mitigation_Industry!Q:Q,MATCH($A271,Mitigation_Industry!$H:$H,0))</f>
        <v>0</v>
      </c>
      <c r="R271" s="29">
        <f>INDEX(Mitigation_Industry!R:R,MATCH($A271,Mitigation_Industry!$H:$H,0))</f>
        <v>0</v>
      </c>
      <c r="S271" s="29">
        <f>INDEX(Mitigation_Industry!S:S,MATCH($A271,Mitigation_Industry!$H:$H,0))</f>
        <v>0</v>
      </c>
      <c r="T271" s="29">
        <f>INDEX(Mitigation_Industry!T:T,MATCH($A271,Mitigation_Industry!$H:$H,0))</f>
        <v>0</v>
      </c>
      <c r="U271" s="29">
        <f>INDEX(Mitigation_Industry!U:U,MATCH($A271,Mitigation_Industry!$H:$H,0))</f>
        <v>0</v>
      </c>
      <c r="V271" s="29">
        <f>INDEX(Mitigation_Industry!V:V,MATCH($A271,Mitigation_Industry!$H:$H,0))</f>
        <v>0</v>
      </c>
      <c r="W271" s="29">
        <f>INDEX(Mitigation_Industry!W:W,MATCH($A271,Mitigation_Industry!$H:$H,0))</f>
        <v>0</v>
      </c>
      <c r="X271" s="29">
        <f>INDEX(Mitigation_Industry!X:X,MATCH($A271,Mitigation_Industry!$H:$H,0))</f>
        <v>0</v>
      </c>
      <c r="Y271" s="29">
        <f>INDEX(Mitigation_Industry!Y:Y,MATCH($A271,Mitigation_Industry!$H:$H,0))</f>
        <v>0</v>
      </c>
      <c r="Z271" s="29">
        <f>INDEX(Mitigation_Industry!Z:Z,MATCH($A271,Mitigation_Industry!$H:$H,0))</f>
        <v>0</v>
      </c>
      <c r="AA271" s="29">
        <f>INDEX(Mitigation_Industry!AA:AA,MATCH($A271,Mitigation_Industry!$H:$H,0))</f>
        <v>0</v>
      </c>
      <c r="AB271" s="29">
        <f>INDEX(Mitigation_Industry!AB:AB,MATCH($A271,Mitigation_Industry!$H:$H,0))</f>
        <v>0</v>
      </c>
      <c r="AC271" s="29">
        <f>INDEX(Mitigation_Industry!AC:AC,MATCH($A271,Mitigation_Industry!$H:$H,0))</f>
        <v>0</v>
      </c>
      <c r="AD271" s="29">
        <f>INDEX(Mitigation_Industry!AD:AD,MATCH($A271,Mitigation_Industry!$H:$H,0))</f>
        <v>0</v>
      </c>
      <c r="AE271" s="29">
        <f>INDEX(Mitigation_Industry!AE:AE,MATCH($A271,Mitigation_Industry!$H:$H,0))</f>
        <v>0</v>
      </c>
    </row>
    <row r="272" spans="1:31" x14ac:dyDescent="0.25">
      <c r="A272" s="41" t="s">
        <v>1278</v>
      </c>
      <c r="B272" s="6" t="s">
        <v>62</v>
      </c>
      <c r="C272" s="6" t="s">
        <v>121</v>
      </c>
      <c r="D272" s="6">
        <v>2</v>
      </c>
      <c r="E272" s="2" t="s">
        <v>1212</v>
      </c>
      <c r="F272" s="43">
        <f>MAX(MAX(L272:AE272),-MIN(L272:AE272))</f>
        <v>0</v>
      </c>
      <c r="K272" s="44">
        <f t="shared" ref="K272:AE272" si="66">IF(ISNUMBER(K270),IF(ISNUMBER(K271),K271-K270,999999),0)</f>
        <v>0</v>
      </c>
      <c r="L272" s="44">
        <f t="shared" si="66"/>
        <v>0</v>
      </c>
      <c r="M272" s="44">
        <f t="shared" si="66"/>
        <v>0</v>
      </c>
      <c r="N272" s="44">
        <f t="shared" si="66"/>
        <v>0</v>
      </c>
      <c r="O272" s="44">
        <f t="shared" si="66"/>
        <v>0</v>
      </c>
      <c r="P272" s="44">
        <f t="shared" si="66"/>
        <v>0</v>
      </c>
      <c r="Q272" s="44">
        <f t="shared" si="66"/>
        <v>0</v>
      </c>
      <c r="R272" s="44">
        <f t="shared" si="66"/>
        <v>0</v>
      </c>
      <c r="S272" s="44">
        <f t="shared" si="66"/>
        <v>0</v>
      </c>
      <c r="T272" s="44">
        <f t="shared" si="66"/>
        <v>0</v>
      </c>
      <c r="U272" s="44">
        <f t="shared" si="66"/>
        <v>0</v>
      </c>
      <c r="V272" s="44">
        <f t="shared" si="66"/>
        <v>0</v>
      </c>
      <c r="W272" s="44">
        <f t="shared" si="66"/>
        <v>0</v>
      </c>
      <c r="X272" s="44">
        <f t="shared" si="66"/>
        <v>0</v>
      </c>
      <c r="Y272" s="44">
        <f t="shared" si="66"/>
        <v>0</v>
      </c>
      <c r="Z272" s="44">
        <f t="shared" si="66"/>
        <v>0</v>
      </c>
      <c r="AA272" s="44">
        <f t="shared" si="66"/>
        <v>0</v>
      </c>
      <c r="AB272" s="44">
        <f t="shared" si="66"/>
        <v>0</v>
      </c>
      <c r="AC272" s="44">
        <f t="shared" si="66"/>
        <v>0</v>
      </c>
      <c r="AD272" s="44">
        <f t="shared" si="66"/>
        <v>0</v>
      </c>
      <c r="AE272" s="44">
        <f t="shared" si="66"/>
        <v>0</v>
      </c>
    </row>
    <row r="274" spans="1:31" x14ac:dyDescent="0.25">
      <c r="A274" s="41" t="s">
        <v>1279</v>
      </c>
      <c r="B274" s="6" t="s">
        <v>64</v>
      </c>
      <c r="C274" s="6" t="s">
        <v>121</v>
      </c>
      <c r="D274" s="6">
        <v>2</v>
      </c>
      <c r="E274" s="6" t="s">
        <v>1210</v>
      </c>
      <c r="K274" s="29"/>
      <c r="L274" s="29">
        <v>0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>
        <v>0</v>
      </c>
      <c r="AC274" s="29">
        <v>0</v>
      </c>
      <c r="AD274" s="29">
        <v>0</v>
      </c>
      <c r="AE274" s="29">
        <v>0</v>
      </c>
    </row>
    <row r="275" spans="1:31" x14ac:dyDescent="0.25">
      <c r="A275" s="41" t="s">
        <v>1279</v>
      </c>
      <c r="B275" s="6" t="s">
        <v>64</v>
      </c>
      <c r="C275" s="6" t="s">
        <v>121</v>
      </c>
      <c r="D275" s="6">
        <v>2</v>
      </c>
      <c r="E275" s="6" t="s">
        <v>1211</v>
      </c>
      <c r="K275" s="29">
        <f>INDEX(Mitigation_Industry!K:K,MATCH($A275,Mitigation_Industry!$H:$H,0))</f>
        <v>0</v>
      </c>
      <c r="L275" s="29">
        <f>INDEX(Mitigation_Industry!L:L,MATCH($A275,Mitigation_Industry!$H:$H,0))</f>
        <v>0</v>
      </c>
      <c r="M275" s="29">
        <f>INDEX(Mitigation_Industry!M:M,MATCH($A275,Mitigation_Industry!$H:$H,0))</f>
        <v>0</v>
      </c>
      <c r="N275" s="29">
        <f>INDEX(Mitigation_Industry!N:N,MATCH($A275,Mitigation_Industry!$H:$H,0))</f>
        <v>0</v>
      </c>
      <c r="O275" s="29">
        <f>INDEX(Mitigation_Industry!O:O,MATCH($A275,Mitigation_Industry!$H:$H,0))</f>
        <v>0</v>
      </c>
      <c r="P275" s="29">
        <f>INDEX(Mitigation_Industry!P:P,MATCH($A275,Mitigation_Industry!$H:$H,0))</f>
        <v>0</v>
      </c>
      <c r="Q275" s="29">
        <f>INDEX(Mitigation_Industry!Q:Q,MATCH($A275,Mitigation_Industry!$H:$H,0))</f>
        <v>0</v>
      </c>
      <c r="R275" s="29">
        <f>INDEX(Mitigation_Industry!R:R,MATCH($A275,Mitigation_Industry!$H:$H,0))</f>
        <v>0</v>
      </c>
      <c r="S275" s="29">
        <f>INDEX(Mitigation_Industry!S:S,MATCH($A275,Mitigation_Industry!$H:$H,0))</f>
        <v>0</v>
      </c>
      <c r="T275" s="29">
        <f>INDEX(Mitigation_Industry!T:T,MATCH($A275,Mitigation_Industry!$H:$H,0))</f>
        <v>0</v>
      </c>
      <c r="U275" s="29">
        <f>INDEX(Mitigation_Industry!U:U,MATCH($A275,Mitigation_Industry!$H:$H,0))</f>
        <v>0</v>
      </c>
      <c r="V275" s="29">
        <f>INDEX(Mitigation_Industry!V:V,MATCH($A275,Mitigation_Industry!$H:$H,0))</f>
        <v>0</v>
      </c>
      <c r="W275" s="29">
        <f>INDEX(Mitigation_Industry!W:W,MATCH($A275,Mitigation_Industry!$H:$H,0))</f>
        <v>0</v>
      </c>
      <c r="X275" s="29">
        <f>INDEX(Mitigation_Industry!X:X,MATCH($A275,Mitigation_Industry!$H:$H,0))</f>
        <v>0</v>
      </c>
      <c r="Y275" s="29">
        <f>INDEX(Mitigation_Industry!Y:Y,MATCH($A275,Mitigation_Industry!$H:$H,0))</f>
        <v>0</v>
      </c>
      <c r="Z275" s="29">
        <f>INDEX(Mitigation_Industry!Z:Z,MATCH($A275,Mitigation_Industry!$H:$H,0))</f>
        <v>0</v>
      </c>
      <c r="AA275" s="29">
        <f>INDEX(Mitigation_Industry!AA:AA,MATCH($A275,Mitigation_Industry!$H:$H,0))</f>
        <v>0</v>
      </c>
      <c r="AB275" s="29">
        <f>INDEX(Mitigation_Industry!AB:AB,MATCH($A275,Mitigation_Industry!$H:$H,0))</f>
        <v>0</v>
      </c>
      <c r="AC275" s="29">
        <f>INDEX(Mitigation_Industry!AC:AC,MATCH($A275,Mitigation_Industry!$H:$H,0))</f>
        <v>0</v>
      </c>
      <c r="AD275" s="29">
        <f>INDEX(Mitigation_Industry!AD:AD,MATCH($A275,Mitigation_Industry!$H:$H,0))</f>
        <v>0</v>
      </c>
      <c r="AE275" s="29">
        <f>INDEX(Mitigation_Industry!AE:AE,MATCH($A275,Mitigation_Industry!$H:$H,0))</f>
        <v>0</v>
      </c>
    </row>
    <row r="276" spans="1:31" x14ac:dyDescent="0.25">
      <c r="A276" s="41" t="s">
        <v>1279</v>
      </c>
      <c r="B276" s="6" t="s">
        <v>64</v>
      </c>
      <c r="C276" s="6" t="s">
        <v>121</v>
      </c>
      <c r="D276" s="6">
        <v>2</v>
      </c>
      <c r="E276" s="2" t="s">
        <v>1212</v>
      </c>
      <c r="F276" s="43">
        <f>MAX(MAX(L276:AE276),-MIN(L276:AE276))</f>
        <v>0</v>
      </c>
      <c r="K276" s="44">
        <f t="shared" ref="K276:AE276" si="67">IF(ISNUMBER(K274),IF(ISNUMBER(K275),K275-K274,999999),0)</f>
        <v>0</v>
      </c>
      <c r="L276" s="44">
        <f t="shared" si="67"/>
        <v>0</v>
      </c>
      <c r="M276" s="44">
        <f t="shared" si="67"/>
        <v>0</v>
      </c>
      <c r="N276" s="44">
        <f t="shared" si="67"/>
        <v>0</v>
      </c>
      <c r="O276" s="44">
        <f t="shared" si="67"/>
        <v>0</v>
      </c>
      <c r="P276" s="44">
        <f t="shared" si="67"/>
        <v>0</v>
      </c>
      <c r="Q276" s="44">
        <f t="shared" si="67"/>
        <v>0</v>
      </c>
      <c r="R276" s="44">
        <f t="shared" si="67"/>
        <v>0</v>
      </c>
      <c r="S276" s="44">
        <f t="shared" si="67"/>
        <v>0</v>
      </c>
      <c r="T276" s="44">
        <f t="shared" si="67"/>
        <v>0</v>
      </c>
      <c r="U276" s="44">
        <f t="shared" si="67"/>
        <v>0</v>
      </c>
      <c r="V276" s="44">
        <f t="shared" si="67"/>
        <v>0</v>
      </c>
      <c r="W276" s="44">
        <f t="shared" si="67"/>
        <v>0</v>
      </c>
      <c r="X276" s="44">
        <f t="shared" si="67"/>
        <v>0</v>
      </c>
      <c r="Y276" s="44">
        <f t="shared" si="67"/>
        <v>0</v>
      </c>
      <c r="Z276" s="44">
        <f t="shared" si="67"/>
        <v>0</v>
      </c>
      <c r="AA276" s="44">
        <f t="shared" si="67"/>
        <v>0</v>
      </c>
      <c r="AB276" s="44">
        <f t="shared" si="67"/>
        <v>0</v>
      </c>
      <c r="AC276" s="44">
        <f t="shared" si="67"/>
        <v>0</v>
      </c>
      <c r="AD276" s="44">
        <f t="shared" si="67"/>
        <v>0</v>
      </c>
      <c r="AE276" s="44">
        <f t="shared" si="67"/>
        <v>0</v>
      </c>
    </row>
    <row r="278" spans="1:31" x14ac:dyDescent="0.25">
      <c r="A278" s="41" t="s">
        <v>1280</v>
      </c>
      <c r="B278" s="6" t="s">
        <v>66</v>
      </c>
      <c r="C278" s="6" t="s">
        <v>121</v>
      </c>
      <c r="D278" s="6">
        <v>2</v>
      </c>
      <c r="E278" s="6" t="s">
        <v>1210</v>
      </c>
      <c r="K278" s="29"/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0</v>
      </c>
      <c r="AC278" s="29">
        <v>0</v>
      </c>
      <c r="AD278" s="29">
        <v>0</v>
      </c>
      <c r="AE278" s="29">
        <v>0</v>
      </c>
    </row>
    <row r="279" spans="1:31" x14ac:dyDescent="0.25">
      <c r="A279" s="41" t="s">
        <v>1280</v>
      </c>
      <c r="B279" s="6" t="s">
        <v>66</v>
      </c>
      <c r="C279" s="6" t="s">
        <v>121</v>
      </c>
      <c r="D279" s="6">
        <v>2</v>
      </c>
      <c r="E279" s="6" t="s">
        <v>1211</v>
      </c>
      <c r="K279" s="29">
        <f>INDEX(Mitigation_Industry!K:K,MATCH($A279,Mitigation_Industry!$H:$H,0))</f>
        <v>0</v>
      </c>
      <c r="L279" s="29">
        <f>INDEX(Mitigation_Industry!L:L,MATCH($A279,Mitigation_Industry!$H:$H,0))</f>
        <v>0</v>
      </c>
      <c r="M279" s="29">
        <f>INDEX(Mitigation_Industry!M:M,MATCH($A279,Mitigation_Industry!$H:$H,0))</f>
        <v>0</v>
      </c>
      <c r="N279" s="29">
        <f>INDEX(Mitigation_Industry!N:N,MATCH($A279,Mitigation_Industry!$H:$H,0))</f>
        <v>0</v>
      </c>
      <c r="O279" s="29">
        <f>INDEX(Mitigation_Industry!O:O,MATCH($A279,Mitigation_Industry!$H:$H,0))</f>
        <v>0</v>
      </c>
      <c r="P279" s="29">
        <f>INDEX(Mitigation_Industry!P:P,MATCH($A279,Mitigation_Industry!$H:$H,0))</f>
        <v>0</v>
      </c>
      <c r="Q279" s="29">
        <f>INDEX(Mitigation_Industry!Q:Q,MATCH($A279,Mitigation_Industry!$H:$H,0))</f>
        <v>0</v>
      </c>
      <c r="R279" s="29">
        <f>INDEX(Mitigation_Industry!R:R,MATCH($A279,Mitigation_Industry!$H:$H,0))</f>
        <v>0</v>
      </c>
      <c r="S279" s="29">
        <f>INDEX(Mitigation_Industry!S:S,MATCH($A279,Mitigation_Industry!$H:$H,0))</f>
        <v>0</v>
      </c>
      <c r="T279" s="29">
        <f>INDEX(Mitigation_Industry!T:T,MATCH($A279,Mitigation_Industry!$H:$H,0))</f>
        <v>0</v>
      </c>
      <c r="U279" s="29">
        <f>INDEX(Mitigation_Industry!U:U,MATCH($A279,Mitigation_Industry!$H:$H,0))</f>
        <v>0</v>
      </c>
      <c r="V279" s="29">
        <f>INDEX(Mitigation_Industry!V:V,MATCH($A279,Mitigation_Industry!$H:$H,0))</f>
        <v>0</v>
      </c>
      <c r="W279" s="29">
        <f>INDEX(Mitigation_Industry!W:W,MATCH($A279,Mitigation_Industry!$H:$H,0))</f>
        <v>0</v>
      </c>
      <c r="X279" s="29">
        <f>INDEX(Mitigation_Industry!X:X,MATCH($A279,Mitigation_Industry!$H:$H,0))</f>
        <v>0</v>
      </c>
      <c r="Y279" s="29">
        <f>INDEX(Mitigation_Industry!Y:Y,MATCH($A279,Mitigation_Industry!$H:$H,0))</f>
        <v>0</v>
      </c>
      <c r="Z279" s="29">
        <f>INDEX(Mitigation_Industry!Z:Z,MATCH($A279,Mitigation_Industry!$H:$H,0))</f>
        <v>0</v>
      </c>
      <c r="AA279" s="29">
        <f>INDEX(Mitigation_Industry!AA:AA,MATCH($A279,Mitigation_Industry!$H:$H,0))</f>
        <v>0</v>
      </c>
      <c r="AB279" s="29">
        <f>INDEX(Mitigation_Industry!AB:AB,MATCH($A279,Mitigation_Industry!$H:$H,0))</f>
        <v>0</v>
      </c>
      <c r="AC279" s="29">
        <f>INDEX(Mitigation_Industry!AC:AC,MATCH($A279,Mitigation_Industry!$H:$H,0))</f>
        <v>0</v>
      </c>
      <c r="AD279" s="29">
        <f>INDEX(Mitigation_Industry!AD:AD,MATCH($A279,Mitigation_Industry!$H:$H,0))</f>
        <v>0</v>
      </c>
      <c r="AE279" s="29">
        <f>INDEX(Mitigation_Industry!AE:AE,MATCH($A279,Mitigation_Industry!$H:$H,0))</f>
        <v>0</v>
      </c>
    </row>
    <row r="280" spans="1:31" x14ac:dyDescent="0.25">
      <c r="A280" s="41" t="s">
        <v>1280</v>
      </c>
      <c r="B280" s="6" t="s">
        <v>66</v>
      </c>
      <c r="C280" s="6" t="s">
        <v>121</v>
      </c>
      <c r="D280" s="6">
        <v>2</v>
      </c>
      <c r="E280" s="2" t="s">
        <v>1212</v>
      </c>
      <c r="F280" s="43">
        <f>MAX(MAX(L280:AE280),-MIN(L280:AE280))</f>
        <v>0</v>
      </c>
      <c r="K280" s="44">
        <f t="shared" ref="K280:AE280" si="68">IF(ISNUMBER(K278),IF(ISNUMBER(K279),K279-K278,999999),0)</f>
        <v>0</v>
      </c>
      <c r="L280" s="44">
        <f t="shared" si="68"/>
        <v>0</v>
      </c>
      <c r="M280" s="44">
        <f t="shared" si="68"/>
        <v>0</v>
      </c>
      <c r="N280" s="44">
        <f t="shared" si="68"/>
        <v>0</v>
      </c>
      <c r="O280" s="44">
        <f t="shared" si="68"/>
        <v>0</v>
      </c>
      <c r="P280" s="44">
        <f t="shared" si="68"/>
        <v>0</v>
      </c>
      <c r="Q280" s="44">
        <f t="shared" si="68"/>
        <v>0</v>
      </c>
      <c r="R280" s="44">
        <f t="shared" si="68"/>
        <v>0</v>
      </c>
      <c r="S280" s="44">
        <f t="shared" si="68"/>
        <v>0</v>
      </c>
      <c r="T280" s="44">
        <f t="shared" si="68"/>
        <v>0</v>
      </c>
      <c r="U280" s="44">
        <f t="shared" si="68"/>
        <v>0</v>
      </c>
      <c r="V280" s="44">
        <f t="shared" si="68"/>
        <v>0</v>
      </c>
      <c r="W280" s="44">
        <f t="shared" si="68"/>
        <v>0</v>
      </c>
      <c r="X280" s="44">
        <f t="shared" si="68"/>
        <v>0</v>
      </c>
      <c r="Y280" s="44">
        <f t="shared" si="68"/>
        <v>0</v>
      </c>
      <c r="Z280" s="44">
        <f t="shared" si="68"/>
        <v>0</v>
      </c>
      <c r="AA280" s="44">
        <f t="shared" si="68"/>
        <v>0</v>
      </c>
      <c r="AB280" s="44">
        <f t="shared" si="68"/>
        <v>0</v>
      </c>
      <c r="AC280" s="44">
        <f t="shared" si="68"/>
        <v>0</v>
      </c>
      <c r="AD280" s="44">
        <f t="shared" si="68"/>
        <v>0</v>
      </c>
      <c r="AE280" s="44">
        <f t="shared" si="68"/>
        <v>0</v>
      </c>
    </row>
    <row r="282" spans="1:31" x14ac:dyDescent="0.25">
      <c r="A282" s="41" t="s">
        <v>1281</v>
      </c>
      <c r="B282" s="6" t="s">
        <v>68</v>
      </c>
      <c r="C282" s="6" t="s">
        <v>121</v>
      </c>
      <c r="D282" s="6">
        <v>2</v>
      </c>
      <c r="E282" s="6" t="s">
        <v>1210</v>
      </c>
      <c r="K282" s="29"/>
      <c r="L282" s="29">
        <v>0</v>
      </c>
      <c r="M282" s="29">
        <v>0</v>
      </c>
      <c r="N282" s="29">
        <v>0</v>
      </c>
      <c r="O282" s="29">
        <v>0</v>
      </c>
      <c r="P282" s="29">
        <v>0</v>
      </c>
      <c r="Q282" s="29">
        <v>0</v>
      </c>
      <c r="R282" s="29">
        <v>0</v>
      </c>
      <c r="S282" s="29">
        <v>0</v>
      </c>
      <c r="T282" s="29">
        <v>0</v>
      </c>
      <c r="U282" s="29">
        <v>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>
        <v>0</v>
      </c>
      <c r="AC282" s="29">
        <v>0</v>
      </c>
      <c r="AD282" s="29">
        <v>0</v>
      </c>
      <c r="AE282" s="29">
        <v>0</v>
      </c>
    </row>
    <row r="283" spans="1:31" x14ac:dyDescent="0.25">
      <c r="A283" s="41" t="s">
        <v>1281</v>
      </c>
      <c r="B283" s="6" t="s">
        <v>68</v>
      </c>
      <c r="C283" s="6" t="s">
        <v>121</v>
      </c>
      <c r="D283" s="6">
        <v>2</v>
      </c>
      <c r="E283" s="6" t="s">
        <v>1211</v>
      </c>
      <c r="K283" s="29">
        <f>INDEX(Mitigation_Industry!K:K,MATCH($A283,Mitigation_Industry!$H:$H,0))</f>
        <v>0</v>
      </c>
      <c r="L283" s="29">
        <f>INDEX(Mitigation_Industry!L:L,MATCH($A283,Mitigation_Industry!$H:$H,0))</f>
        <v>0</v>
      </c>
      <c r="M283" s="29">
        <f>INDEX(Mitigation_Industry!M:M,MATCH($A283,Mitigation_Industry!$H:$H,0))</f>
        <v>0</v>
      </c>
      <c r="N283" s="29">
        <f>INDEX(Mitigation_Industry!N:N,MATCH($A283,Mitigation_Industry!$H:$H,0))</f>
        <v>0</v>
      </c>
      <c r="O283" s="29">
        <f>INDEX(Mitigation_Industry!O:O,MATCH($A283,Mitigation_Industry!$H:$H,0))</f>
        <v>0</v>
      </c>
      <c r="P283" s="29">
        <f>INDEX(Mitigation_Industry!P:P,MATCH($A283,Mitigation_Industry!$H:$H,0))</f>
        <v>0</v>
      </c>
      <c r="Q283" s="29">
        <f>INDEX(Mitigation_Industry!Q:Q,MATCH($A283,Mitigation_Industry!$H:$H,0))</f>
        <v>0</v>
      </c>
      <c r="R283" s="29">
        <f>INDEX(Mitigation_Industry!R:R,MATCH($A283,Mitigation_Industry!$H:$H,0))</f>
        <v>0</v>
      </c>
      <c r="S283" s="29">
        <f>INDEX(Mitigation_Industry!S:S,MATCH($A283,Mitigation_Industry!$H:$H,0))</f>
        <v>0</v>
      </c>
      <c r="T283" s="29">
        <f>INDEX(Mitigation_Industry!T:T,MATCH($A283,Mitigation_Industry!$H:$H,0))</f>
        <v>0</v>
      </c>
      <c r="U283" s="29">
        <f>INDEX(Mitigation_Industry!U:U,MATCH($A283,Mitigation_Industry!$H:$H,0))</f>
        <v>0</v>
      </c>
      <c r="V283" s="29">
        <f>INDEX(Mitigation_Industry!V:V,MATCH($A283,Mitigation_Industry!$H:$H,0))</f>
        <v>0</v>
      </c>
      <c r="W283" s="29">
        <f>INDEX(Mitigation_Industry!W:W,MATCH($A283,Mitigation_Industry!$H:$H,0))</f>
        <v>0</v>
      </c>
      <c r="X283" s="29">
        <f>INDEX(Mitigation_Industry!X:X,MATCH($A283,Mitigation_Industry!$H:$H,0))</f>
        <v>0</v>
      </c>
      <c r="Y283" s="29">
        <f>INDEX(Mitigation_Industry!Y:Y,MATCH($A283,Mitigation_Industry!$H:$H,0))</f>
        <v>0</v>
      </c>
      <c r="Z283" s="29">
        <f>INDEX(Mitigation_Industry!Z:Z,MATCH($A283,Mitigation_Industry!$H:$H,0))</f>
        <v>0</v>
      </c>
      <c r="AA283" s="29">
        <f>INDEX(Mitigation_Industry!AA:AA,MATCH($A283,Mitigation_Industry!$H:$H,0))</f>
        <v>0</v>
      </c>
      <c r="AB283" s="29">
        <f>INDEX(Mitigation_Industry!AB:AB,MATCH($A283,Mitigation_Industry!$H:$H,0))</f>
        <v>0</v>
      </c>
      <c r="AC283" s="29">
        <f>INDEX(Mitigation_Industry!AC:AC,MATCH($A283,Mitigation_Industry!$H:$H,0))</f>
        <v>0</v>
      </c>
      <c r="AD283" s="29">
        <f>INDEX(Mitigation_Industry!AD:AD,MATCH($A283,Mitigation_Industry!$H:$H,0))</f>
        <v>0</v>
      </c>
      <c r="AE283" s="29">
        <f>INDEX(Mitigation_Industry!AE:AE,MATCH($A283,Mitigation_Industry!$H:$H,0))</f>
        <v>0</v>
      </c>
    </row>
    <row r="284" spans="1:31" x14ac:dyDescent="0.25">
      <c r="A284" s="41" t="s">
        <v>1281</v>
      </c>
      <c r="B284" s="6" t="s">
        <v>68</v>
      </c>
      <c r="C284" s="6" t="s">
        <v>121</v>
      </c>
      <c r="D284" s="6">
        <v>2</v>
      </c>
      <c r="E284" s="2" t="s">
        <v>1212</v>
      </c>
      <c r="F284" s="43">
        <f>MAX(MAX(L284:AE284),-MIN(L284:AE284))</f>
        <v>0</v>
      </c>
      <c r="K284" s="44">
        <f t="shared" ref="K284:AE284" si="69">IF(ISNUMBER(K282),IF(ISNUMBER(K283),K283-K282,999999),0)</f>
        <v>0</v>
      </c>
      <c r="L284" s="44">
        <f t="shared" si="69"/>
        <v>0</v>
      </c>
      <c r="M284" s="44">
        <f t="shared" si="69"/>
        <v>0</v>
      </c>
      <c r="N284" s="44">
        <f t="shared" si="69"/>
        <v>0</v>
      </c>
      <c r="O284" s="44">
        <f t="shared" si="69"/>
        <v>0</v>
      </c>
      <c r="P284" s="44">
        <f t="shared" si="69"/>
        <v>0</v>
      </c>
      <c r="Q284" s="44">
        <f t="shared" si="69"/>
        <v>0</v>
      </c>
      <c r="R284" s="44">
        <f t="shared" si="69"/>
        <v>0</v>
      </c>
      <c r="S284" s="44">
        <f t="shared" si="69"/>
        <v>0</v>
      </c>
      <c r="T284" s="44">
        <f t="shared" si="69"/>
        <v>0</v>
      </c>
      <c r="U284" s="44">
        <f t="shared" si="69"/>
        <v>0</v>
      </c>
      <c r="V284" s="44">
        <f t="shared" si="69"/>
        <v>0</v>
      </c>
      <c r="W284" s="44">
        <f t="shared" si="69"/>
        <v>0</v>
      </c>
      <c r="X284" s="44">
        <f t="shared" si="69"/>
        <v>0</v>
      </c>
      <c r="Y284" s="44">
        <f t="shared" si="69"/>
        <v>0</v>
      </c>
      <c r="Z284" s="44">
        <f t="shared" si="69"/>
        <v>0</v>
      </c>
      <c r="AA284" s="44">
        <f t="shared" si="69"/>
        <v>0</v>
      </c>
      <c r="AB284" s="44">
        <f t="shared" si="69"/>
        <v>0</v>
      </c>
      <c r="AC284" s="44">
        <f t="shared" si="69"/>
        <v>0</v>
      </c>
      <c r="AD284" s="44">
        <f t="shared" si="69"/>
        <v>0</v>
      </c>
      <c r="AE284" s="44">
        <f t="shared" si="69"/>
        <v>0</v>
      </c>
    </row>
    <row r="286" spans="1:31" x14ac:dyDescent="0.25">
      <c r="A286" s="41" t="s">
        <v>1282</v>
      </c>
      <c r="B286" s="6" t="s">
        <v>71</v>
      </c>
      <c r="C286" s="6" t="s">
        <v>121</v>
      </c>
      <c r="D286" s="6">
        <v>2</v>
      </c>
      <c r="E286" s="6" t="s">
        <v>1210</v>
      </c>
      <c r="K286" s="29"/>
      <c r="L286" s="29">
        <v>0</v>
      </c>
      <c r="M286" s="29">
        <v>0</v>
      </c>
      <c r="N286" s="29">
        <v>0</v>
      </c>
      <c r="O286" s="29">
        <v>0</v>
      </c>
      <c r="P286" s="29">
        <v>0</v>
      </c>
      <c r="Q286" s="29">
        <v>0</v>
      </c>
      <c r="R286" s="29">
        <v>0</v>
      </c>
      <c r="S286" s="29">
        <v>0</v>
      </c>
      <c r="T286" s="29">
        <v>0</v>
      </c>
      <c r="U286" s="29">
        <v>0</v>
      </c>
      <c r="V286" s="29">
        <v>0</v>
      </c>
      <c r="W286" s="29">
        <v>0</v>
      </c>
      <c r="X286" s="29">
        <v>0</v>
      </c>
      <c r="Y286" s="29">
        <v>0</v>
      </c>
      <c r="Z286" s="29">
        <v>0</v>
      </c>
      <c r="AA286" s="29">
        <v>0</v>
      </c>
      <c r="AB286" s="29">
        <v>0</v>
      </c>
      <c r="AC286" s="29">
        <v>0</v>
      </c>
      <c r="AD286" s="29">
        <v>0</v>
      </c>
      <c r="AE286" s="29">
        <v>0</v>
      </c>
    </row>
    <row r="287" spans="1:31" x14ac:dyDescent="0.25">
      <c r="A287" s="41" t="s">
        <v>1282</v>
      </c>
      <c r="B287" s="6" t="s">
        <v>71</v>
      </c>
      <c r="C287" s="6" t="s">
        <v>121</v>
      </c>
      <c r="D287" s="6">
        <v>2</v>
      </c>
      <c r="E287" s="6" t="s">
        <v>1211</v>
      </c>
      <c r="K287" s="29">
        <f>INDEX(Mitigation_Industry!K:K,MATCH($A287,Mitigation_Industry!$H:$H,0))</f>
        <v>0</v>
      </c>
      <c r="L287" s="29">
        <f>INDEX(Mitigation_Industry!L:L,MATCH($A287,Mitigation_Industry!$H:$H,0))</f>
        <v>0</v>
      </c>
      <c r="M287" s="29">
        <f>INDEX(Mitigation_Industry!M:M,MATCH($A287,Mitigation_Industry!$H:$H,0))</f>
        <v>0</v>
      </c>
      <c r="N287" s="29">
        <f>INDEX(Mitigation_Industry!N:N,MATCH($A287,Mitigation_Industry!$H:$H,0))</f>
        <v>0</v>
      </c>
      <c r="O287" s="29">
        <f>INDEX(Mitigation_Industry!O:O,MATCH($A287,Mitigation_Industry!$H:$H,0))</f>
        <v>0</v>
      </c>
      <c r="P287" s="29">
        <f>INDEX(Mitigation_Industry!P:P,MATCH($A287,Mitigation_Industry!$H:$H,0))</f>
        <v>0</v>
      </c>
      <c r="Q287" s="29">
        <f>INDEX(Mitigation_Industry!Q:Q,MATCH($A287,Mitigation_Industry!$H:$H,0))</f>
        <v>0</v>
      </c>
      <c r="R287" s="29">
        <f>INDEX(Mitigation_Industry!R:R,MATCH($A287,Mitigation_Industry!$H:$H,0))</f>
        <v>0</v>
      </c>
      <c r="S287" s="29">
        <f>INDEX(Mitigation_Industry!S:S,MATCH($A287,Mitigation_Industry!$H:$H,0))</f>
        <v>0</v>
      </c>
      <c r="T287" s="29">
        <f>INDEX(Mitigation_Industry!T:T,MATCH($A287,Mitigation_Industry!$H:$H,0))</f>
        <v>0</v>
      </c>
      <c r="U287" s="29">
        <f>INDEX(Mitigation_Industry!U:U,MATCH($A287,Mitigation_Industry!$H:$H,0))</f>
        <v>0</v>
      </c>
      <c r="V287" s="29">
        <f>INDEX(Mitigation_Industry!V:V,MATCH($A287,Mitigation_Industry!$H:$H,0))</f>
        <v>0</v>
      </c>
      <c r="W287" s="29">
        <f>INDEX(Mitigation_Industry!W:W,MATCH($A287,Mitigation_Industry!$H:$H,0))</f>
        <v>0</v>
      </c>
      <c r="X287" s="29">
        <f>INDEX(Mitigation_Industry!X:X,MATCH($A287,Mitigation_Industry!$H:$H,0))</f>
        <v>0</v>
      </c>
      <c r="Y287" s="29">
        <f>INDEX(Mitigation_Industry!Y:Y,MATCH($A287,Mitigation_Industry!$H:$H,0))</f>
        <v>0</v>
      </c>
      <c r="Z287" s="29">
        <f>INDEX(Mitigation_Industry!Z:Z,MATCH($A287,Mitigation_Industry!$H:$H,0))</f>
        <v>0</v>
      </c>
      <c r="AA287" s="29">
        <f>INDEX(Mitigation_Industry!AA:AA,MATCH($A287,Mitigation_Industry!$H:$H,0))</f>
        <v>0</v>
      </c>
      <c r="AB287" s="29">
        <f>INDEX(Mitigation_Industry!AB:AB,MATCH($A287,Mitigation_Industry!$H:$H,0))</f>
        <v>0</v>
      </c>
      <c r="AC287" s="29">
        <f>INDEX(Mitigation_Industry!AC:AC,MATCH($A287,Mitigation_Industry!$H:$H,0))</f>
        <v>0</v>
      </c>
      <c r="AD287" s="29">
        <f>INDEX(Mitigation_Industry!AD:AD,MATCH($A287,Mitigation_Industry!$H:$H,0))</f>
        <v>0</v>
      </c>
      <c r="AE287" s="29">
        <f>INDEX(Mitigation_Industry!AE:AE,MATCH($A287,Mitigation_Industry!$H:$H,0))</f>
        <v>0</v>
      </c>
    </row>
    <row r="288" spans="1:31" x14ac:dyDescent="0.25">
      <c r="A288" s="41" t="s">
        <v>1282</v>
      </c>
      <c r="B288" s="6" t="s">
        <v>71</v>
      </c>
      <c r="C288" s="6" t="s">
        <v>121</v>
      </c>
      <c r="D288" s="6">
        <v>2</v>
      </c>
      <c r="E288" s="2" t="s">
        <v>1212</v>
      </c>
      <c r="F288" s="43">
        <f>MAX(MAX(L288:AE288),-MIN(L288:AE288))</f>
        <v>0</v>
      </c>
      <c r="K288" s="44">
        <f t="shared" ref="K288:AE288" si="70">IF(ISNUMBER(K286),IF(ISNUMBER(K287),K287-K286,999999),0)</f>
        <v>0</v>
      </c>
      <c r="L288" s="44">
        <f t="shared" si="70"/>
        <v>0</v>
      </c>
      <c r="M288" s="44">
        <f t="shared" si="70"/>
        <v>0</v>
      </c>
      <c r="N288" s="44">
        <f t="shared" si="70"/>
        <v>0</v>
      </c>
      <c r="O288" s="44">
        <f t="shared" si="70"/>
        <v>0</v>
      </c>
      <c r="P288" s="44">
        <f t="shared" si="70"/>
        <v>0</v>
      </c>
      <c r="Q288" s="44">
        <f t="shared" si="70"/>
        <v>0</v>
      </c>
      <c r="R288" s="44">
        <f t="shared" si="70"/>
        <v>0</v>
      </c>
      <c r="S288" s="44">
        <f t="shared" si="70"/>
        <v>0</v>
      </c>
      <c r="T288" s="44">
        <f t="shared" si="70"/>
        <v>0</v>
      </c>
      <c r="U288" s="44">
        <f t="shared" si="70"/>
        <v>0</v>
      </c>
      <c r="V288" s="44">
        <f t="shared" si="70"/>
        <v>0</v>
      </c>
      <c r="W288" s="44">
        <f t="shared" si="70"/>
        <v>0</v>
      </c>
      <c r="X288" s="44">
        <f t="shared" si="70"/>
        <v>0</v>
      </c>
      <c r="Y288" s="44">
        <f t="shared" si="70"/>
        <v>0</v>
      </c>
      <c r="Z288" s="44">
        <f t="shared" si="70"/>
        <v>0</v>
      </c>
      <c r="AA288" s="44">
        <f t="shared" si="70"/>
        <v>0</v>
      </c>
      <c r="AB288" s="44">
        <f t="shared" si="70"/>
        <v>0</v>
      </c>
      <c r="AC288" s="44">
        <f t="shared" si="70"/>
        <v>0</v>
      </c>
      <c r="AD288" s="44">
        <f t="shared" si="70"/>
        <v>0</v>
      </c>
      <c r="AE288" s="44">
        <f t="shared" si="70"/>
        <v>0</v>
      </c>
    </row>
    <row r="290" spans="1:31" x14ac:dyDescent="0.25">
      <c r="A290" s="41" t="s">
        <v>1283</v>
      </c>
      <c r="B290" s="6" t="s">
        <v>73</v>
      </c>
      <c r="C290" s="6" t="s">
        <v>121</v>
      </c>
      <c r="D290" s="6">
        <v>2</v>
      </c>
      <c r="E290" s="6" t="s">
        <v>1210</v>
      </c>
      <c r="K290" s="29"/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  <c r="AC290" s="29">
        <v>0</v>
      </c>
      <c r="AD290" s="29">
        <v>0</v>
      </c>
      <c r="AE290" s="29">
        <v>0</v>
      </c>
    </row>
    <row r="291" spans="1:31" x14ac:dyDescent="0.25">
      <c r="A291" s="41" t="s">
        <v>1283</v>
      </c>
      <c r="B291" s="6" t="s">
        <v>73</v>
      </c>
      <c r="C291" s="6" t="s">
        <v>121</v>
      </c>
      <c r="D291" s="6">
        <v>2</v>
      </c>
      <c r="E291" s="6" t="s">
        <v>1211</v>
      </c>
      <c r="K291" s="29">
        <f>INDEX(Mitigation_Industry!K:K,MATCH($A291,Mitigation_Industry!$H:$H,0))</f>
        <v>0</v>
      </c>
      <c r="L291" s="29">
        <f>INDEX(Mitigation_Industry!L:L,MATCH($A291,Mitigation_Industry!$H:$H,0))</f>
        <v>0</v>
      </c>
      <c r="M291" s="29">
        <f>INDEX(Mitigation_Industry!M:M,MATCH($A291,Mitigation_Industry!$H:$H,0))</f>
        <v>0</v>
      </c>
      <c r="N291" s="29">
        <f>INDEX(Mitigation_Industry!N:N,MATCH($A291,Mitigation_Industry!$H:$H,0))</f>
        <v>0</v>
      </c>
      <c r="O291" s="29">
        <f>INDEX(Mitigation_Industry!O:O,MATCH($A291,Mitigation_Industry!$H:$H,0))</f>
        <v>0</v>
      </c>
      <c r="P291" s="29">
        <f>INDEX(Mitigation_Industry!P:P,MATCH($A291,Mitigation_Industry!$H:$H,0))</f>
        <v>0</v>
      </c>
      <c r="Q291" s="29">
        <f>INDEX(Mitigation_Industry!Q:Q,MATCH($A291,Mitigation_Industry!$H:$H,0))</f>
        <v>0</v>
      </c>
      <c r="R291" s="29">
        <f>INDEX(Mitigation_Industry!R:R,MATCH($A291,Mitigation_Industry!$H:$H,0))</f>
        <v>0</v>
      </c>
      <c r="S291" s="29">
        <f>INDEX(Mitigation_Industry!S:S,MATCH($A291,Mitigation_Industry!$H:$H,0))</f>
        <v>0</v>
      </c>
      <c r="T291" s="29">
        <f>INDEX(Mitigation_Industry!T:T,MATCH($A291,Mitigation_Industry!$H:$H,0))</f>
        <v>0</v>
      </c>
      <c r="U291" s="29">
        <f>INDEX(Mitigation_Industry!U:U,MATCH($A291,Mitigation_Industry!$H:$H,0))</f>
        <v>0</v>
      </c>
      <c r="V291" s="29">
        <f>INDEX(Mitigation_Industry!V:V,MATCH($A291,Mitigation_Industry!$H:$H,0))</f>
        <v>0</v>
      </c>
      <c r="W291" s="29">
        <f>INDEX(Mitigation_Industry!W:W,MATCH($A291,Mitigation_Industry!$H:$H,0))</f>
        <v>0</v>
      </c>
      <c r="X291" s="29">
        <f>INDEX(Mitigation_Industry!X:X,MATCH($A291,Mitigation_Industry!$H:$H,0))</f>
        <v>0</v>
      </c>
      <c r="Y291" s="29">
        <f>INDEX(Mitigation_Industry!Y:Y,MATCH($A291,Mitigation_Industry!$H:$H,0))</f>
        <v>0</v>
      </c>
      <c r="Z291" s="29">
        <f>INDEX(Mitigation_Industry!Z:Z,MATCH($A291,Mitigation_Industry!$H:$H,0))</f>
        <v>0</v>
      </c>
      <c r="AA291" s="29">
        <f>INDEX(Mitigation_Industry!AA:AA,MATCH($A291,Mitigation_Industry!$H:$H,0))</f>
        <v>0</v>
      </c>
      <c r="AB291" s="29">
        <f>INDEX(Mitigation_Industry!AB:AB,MATCH($A291,Mitigation_Industry!$H:$H,0))</f>
        <v>0</v>
      </c>
      <c r="AC291" s="29">
        <f>INDEX(Mitigation_Industry!AC:AC,MATCH($A291,Mitigation_Industry!$H:$H,0))</f>
        <v>0</v>
      </c>
      <c r="AD291" s="29">
        <f>INDEX(Mitigation_Industry!AD:AD,MATCH($A291,Mitigation_Industry!$H:$H,0))</f>
        <v>0</v>
      </c>
      <c r="AE291" s="29">
        <f>INDEX(Mitigation_Industry!AE:AE,MATCH($A291,Mitigation_Industry!$H:$H,0))</f>
        <v>0</v>
      </c>
    </row>
    <row r="292" spans="1:31" x14ac:dyDescent="0.25">
      <c r="A292" s="41" t="s">
        <v>1283</v>
      </c>
      <c r="B292" s="6" t="s">
        <v>73</v>
      </c>
      <c r="C292" s="6" t="s">
        <v>121</v>
      </c>
      <c r="D292" s="6">
        <v>2</v>
      </c>
      <c r="E292" s="2" t="s">
        <v>1212</v>
      </c>
      <c r="F292" s="43">
        <f>MAX(MAX(L292:AE292),-MIN(L292:AE292))</f>
        <v>0</v>
      </c>
      <c r="K292" s="44">
        <f t="shared" ref="K292:AE292" si="71">IF(ISNUMBER(K290),IF(ISNUMBER(K291),K291-K290,999999),0)</f>
        <v>0</v>
      </c>
      <c r="L292" s="44">
        <f t="shared" si="71"/>
        <v>0</v>
      </c>
      <c r="M292" s="44">
        <f t="shared" si="71"/>
        <v>0</v>
      </c>
      <c r="N292" s="44">
        <f t="shared" si="71"/>
        <v>0</v>
      </c>
      <c r="O292" s="44">
        <f t="shared" si="71"/>
        <v>0</v>
      </c>
      <c r="P292" s="44">
        <f t="shared" si="71"/>
        <v>0</v>
      </c>
      <c r="Q292" s="44">
        <f t="shared" si="71"/>
        <v>0</v>
      </c>
      <c r="R292" s="44">
        <f t="shared" si="71"/>
        <v>0</v>
      </c>
      <c r="S292" s="44">
        <f t="shared" si="71"/>
        <v>0</v>
      </c>
      <c r="T292" s="44">
        <f t="shared" si="71"/>
        <v>0</v>
      </c>
      <c r="U292" s="44">
        <f t="shared" si="71"/>
        <v>0</v>
      </c>
      <c r="V292" s="44">
        <f t="shared" si="71"/>
        <v>0</v>
      </c>
      <c r="W292" s="44">
        <f t="shared" si="71"/>
        <v>0</v>
      </c>
      <c r="X292" s="44">
        <f t="shared" si="71"/>
        <v>0</v>
      </c>
      <c r="Y292" s="44">
        <f t="shared" si="71"/>
        <v>0</v>
      </c>
      <c r="Z292" s="44">
        <f t="shared" si="71"/>
        <v>0</v>
      </c>
      <c r="AA292" s="44">
        <f t="shared" si="71"/>
        <v>0</v>
      </c>
      <c r="AB292" s="44">
        <f t="shared" si="71"/>
        <v>0</v>
      </c>
      <c r="AC292" s="44">
        <f t="shared" si="71"/>
        <v>0</v>
      </c>
      <c r="AD292" s="44">
        <f t="shared" si="71"/>
        <v>0</v>
      </c>
      <c r="AE292" s="44">
        <f t="shared" si="71"/>
        <v>0</v>
      </c>
    </row>
    <row r="294" spans="1:31" x14ac:dyDescent="0.25">
      <c r="A294" s="41" t="s">
        <v>1284</v>
      </c>
      <c r="B294" s="6" t="s">
        <v>53</v>
      </c>
      <c r="C294" s="6" t="s">
        <v>47</v>
      </c>
      <c r="D294" s="6">
        <v>1</v>
      </c>
      <c r="E294" s="6" t="s">
        <v>1210</v>
      </c>
      <c r="K294" s="22"/>
      <c r="L294" s="22">
        <v>10.52336134543121</v>
      </c>
      <c r="M294" s="22">
        <v>10.299560827444211</v>
      </c>
      <c r="N294" s="22">
        <v>9.5775283595382632</v>
      </c>
      <c r="O294" s="22">
        <v>8.4854782869580454</v>
      </c>
      <c r="P294" s="22">
        <v>9.0871922352498604</v>
      </c>
      <c r="Q294" s="22">
        <v>9.2229237289326811</v>
      </c>
      <c r="R294" s="22">
        <v>9.1585649555096875</v>
      </c>
      <c r="S294" s="22">
        <v>9.0895478773973775</v>
      </c>
      <c r="T294" s="22">
        <v>9.0156816660228305</v>
      </c>
      <c r="U294" s="22">
        <v>8.9443977655571061</v>
      </c>
      <c r="V294" s="22">
        <v>8.9443977655571061</v>
      </c>
      <c r="W294" s="22">
        <v>8.9443977655571061</v>
      </c>
      <c r="X294" s="22">
        <v>8.9443977655571061</v>
      </c>
      <c r="Y294" s="22">
        <v>8.9443977655571061</v>
      </c>
      <c r="Z294" s="22">
        <v>8.9443977655571061</v>
      </c>
      <c r="AA294" s="22">
        <v>8.9443977655571061</v>
      </c>
      <c r="AB294" s="22">
        <v>8.9443977655571061</v>
      </c>
      <c r="AC294" s="22">
        <v>8.9443977655571061</v>
      </c>
      <c r="AD294" s="22">
        <v>8.9443977655571061</v>
      </c>
      <c r="AE294" s="22">
        <v>8.9443977655571061</v>
      </c>
    </row>
    <row r="295" spans="1:31" x14ac:dyDescent="0.25">
      <c r="A295" s="41" t="s">
        <v>1284</v>
      </c>
      <c r="B295" s="6" t="s">
        <v>53</v>
      </c>
      <c r="C295" s="6" t="s">
        <v>47</v>
      </c>
      <c r="D295" s="6">
        <v>1</v>
      </c>
      <c r="E295" s="6" t="s">
        <v>1211</v>
      </c>
      <c r="K295" s="22">
        <f>INDEX(Mitigation_Industry!K:K,MATCH($A295,Mitigation_Industry!$H:$H,0))</f>
        <v>11.18290158924394</v>
      </c>
      <c r="L295" s="22">
        <f>INDEX(Mitigation_Industry!L:L,MATCH($A295,Mitigation_Industry!$H:$H,0))</f>
        <v>10.52336134543121</v>
      </c>
      <c r="M295" s="22">
        <f>INDEX(Mitigation_Industry!M:M,MATCH($A295,Mitigation_Industry!$H:$H,0))</f>
        <v>10.299560827444211</v>
      </c>
      <c r="N295" s="22">
        <f>INDEX(Mitigation_Industry!N:N,MATCH($A295,Mitigation_Industry!$H:$H,0))</f>
        <v>9.5775283595382632</v>
      </c>
      <c r="O295" s="22">
        <f>INDEX(Mitigation_Industry!O:O,MATCH($A295,Mitigation_Industry!$H:$H,0))</f>
        <v>8.4854782869580454</v>
      </c>
      <c r="P295" s="22">
        <f>INDEX(Mitigation_Industry!P:P,MATCH($A295,Mitigation_Industry!$H:$H,0))</f>
        <v>9.0871922352498604</v>
      </c>
      <c r="Q295" s="22">
        <f>INDEX(Mitigation_Industry!Q:Q,MATCH($A295,Mitigation_Industry!$H:$H,0))</f>
        <v>9.2229237289326811</v>
      </c>
      <c r="R295" s="22">
        <f>INDEX(Mitigation_Industry!R:R,MATCH($A295,Mitigation_Industry!$H:$H,0))</f>
        <v>9.1585649555096875</v>
      </c>
      <c r="S295" s="22">
        <f>INDEX(Mitigation_Industry!S:S,MATCH($A295,Mitigation_Industry!$H:$H,0))</f>
        <v>9.0895478773973775</v>
      </c>
      <c r="T295" s="22">
        <f>INDEX(Mitigation_Industry!T:T,MATCH($A295,Mitigation_Industry!$H:$H,0))</f>
        <v>9.0156816660228305</v>
      </c>
      <c r="U295" s="22">
        <f>INDEX(Mitigation_Industry!U:U,MATCH($A295,Mitigation_Industry!$H:$H,0))</f>
        <v>8.9443977655571061</v>
      </c>
      <c r="V295" s="22">
        <f>INDEX(Mitigation_Industry!V:V,MATCH($A295,Mitigation_Industry!$H:$H,0))</f>
        <v>8.9443977655571061</v>
      </c>
      <c r="W295" s="22">
        <f>INDEX(Mitigation_Industry!W:W,MATCH($A295,Mitigation_Industry!$H:$H,0))</f>
        <v>8.9443977655571061</v>
      </c>
      <c r="X295" s="22">
        <f>INDEX(Mitigation_Industry!X:X,MATCH($A295,Mitigation_Industry!$H:$H,0))</f>
        <v>8.9443977655571061</v>
      </c>
      <c r="Y295" s="22">
        <f>INDEX(Mitigation_Industry!Y:Y,MATCH($A295,Mitigation_Industry!$H:$H,0))</f>
        <v>8.9443977655571061</v>
      </c>
      <c r="Z295" s="22">
        <f>INDEX(Mitigation_Industry!Z:Z,MATCH($A295,Mitigation_Industry!$H:$H,0))</f>
        <v>8.9443977655571061</v>
      </c>
      <c r="AA295" s="22">
        <f>INDEX(Mitigation_Industry!AA:AA,MATCH($A295,Mitigation_Industry!$H:$H,0))</f>
        <v>8.9443977655571061</v>
      </c>
      <c r="AB295" s="22">
        <f>INDEX(Mitigation_Industry!AB:AB,MATCH($A295,Mitigation_Industry!$H:$H,0))</f>
        <v>8.9443977655571061</v>
      </c>
      <c r="AC295" s="22">
        <f>INDEX(Mitigation_Industry!AC:AC,MATCH($A295,Mitigation_Industry!$H:$H,0))</f>
        <v>8.9443977655571061</v>
      </c>
      <c r="AD295" s="22">
        <f>INDEX(Mitigation_Industry!AD:AD,MATCH($A295,Mitigation_Industry!$H:$H,0))</f>
        <v>8.9443977655571061</v>
      </c>
      <c r="AE295" s="22">
        <f>INDEX(Mitigation_Industry!AE:AE,MATCH($A295,Mitigation_Industry!$H:$H,0))</f>
        <v>8.9443977655571061</v>
      </c>
    </row>
    <row r="296" spans="1:31" x14ac:dyDescent="0.25">
      <c r="A296" s="41" t="s">
        <v>1284</v>
      </c>
      <c r="B296" s="6" t="s">
        <v>53</v>
      </c>
      <c r="C296" s="6" t="s">
        <v>47</v>
      </c>
      <c r="D296" s="6">
        <v>1</v>
      </c>
      <c r="E296" s="2" t="s">
        <v>1212</v>
      </c>
      <c r="F296" s="43">
        <f>MAX(MAX(L296:AE296),-MIN(L296:AE296))</f>
        <v>0</v>
      </c>
      <c r="K296" s="44">
        <f t="shared" ref="K296:AE296" si="72">IF(ISNUMBER(K294),IF(ISNUMBER(K295),K295-K294,999999),0)</f>
        <v>0</v>
      </c>
      <c r="L296" s="44">
        <f t="shared" si="72"/>
        <v>0</v>
      </c>
      <c r="M296" s="44">
        <f t="shared" si="72"/>
        <v>0</v>
      </c>
      <c r="N296" s="44">
        <f t="shared" si="72"/>
        <v>0</v>
      </c>
      <c r="O296" s="44">
        <f t="shared" si="72"/>
        <v>0</v>
      </c>
      <c r="P296" s="44">
        <f t="shared" si="72"/>
        <v>0</v>
      </c>
      <c r="Q296" s="44">
        <f t="shared" si="72"/>
        <v>0</v>
      </c>
      <c r="R296" s="44">
        <f t="shared" si="72"/>
        <v>0</v>
      </c>
      <c r="S296" s="44">
        <f t="shared" si="72"/>
        <v>0</v>
      </c>
      <c r="T296" s="44">
        <f t="shared" si="72"/>
        <v>0</v>
      </c>
      <c r="U296" s="44">
        <f t="shared" si="72"/>
        <v>0</v>
      </c>
      <c r="V296" s="44">
        <f t="shared" si="72"/>
        <v>0</v>
      </c>
      <c r="W296" s="44">
        <f t="shared" si="72"/>
        <v>0</v>
      </c>
      <c r="X296" s="44">
        <f t="shared" si="72"/>
        <v>0</v>
      </c>
      <c r="Y296" s="44">
        <f t="shared" si="72"/>
        <v>0</v>
      </c>
      <c r="Z296" s="44">
        <f t="shared" si="72"/>
        <v>0</v>
      </c>
      <c r="AA296" s="44">
        <f t="shared" si="72"/>
        <v>0</v>
      </c>
      <c r="AB296" s="44">
        <f t="shared" si="72"/>
        <v>0</v>
      </c>
      <c r="AC296" s="44">
        <f t="shared" si="72"/>
        <v>0</v>
      </c>
      <c r="AD296" s="44">
        <f t="shared" si="72"/>
        <v>0</v>
      </c>
      <c r="AE296" s="44">
        <f t="shared" si="72"/>
        <v>0</v>
      </c>
    </row>
    <row r="298" spans="1:31" x14ac:dyDescent="0.25">
      <c r="A298" s="41" t="s">
        <v>1285</v>
      </c>
      <c r="B298" s="6" t="s">
        <v>57</v>
      </c>
      <c r="C298" s="6" t="s">
        <v>47</v>
      </c>
      <c r="D298" s="6">
        <v>1</v>
      </c>
      <c r="E298" s="6" t="s">
        <v>1210</v>
      </c>
      <c r="K298" s="22"/>
      <c r="L298" s="22">
        <v>5.4510150816191896</v>
      </c>
      <c r="M298" s="22">
        <v>5.1193563062624818</v>
      </c>
      <c r="N298" s="22">
        <v>5.0821845864040727</v>
      </c>
      <c r="O298" s="22">
        <v>5.0821845864040727</v>
      </c>
      <c r="P298" s="22">
        <v>5.0821845864040727</v>
      </c>
      <c r="Q298" s="22">
        <v>5.0821845864040727</v>
      </c>
      <c r="R298" s="22">
        <v>5.0821845864040727</v>
      </c>
      <c r="S298" s="22">
        <v>5.0821845864040727</v>
      </c>
      <c r="T298" s="22">
        <v>5.0821845864040727</v>
      </c>
      <c r="U298" s="22">
        <v>5.0821845864040727</v>
      </c>
      <c r="V298" s="22">
        <v>5.0821845864040727</v>
      </c>
      <c r="W298" s="22">
        <v>5.0821845864040727</v>
      </c>
      <c r="X298" s="22">
        <v>5.0821845864040727</v>
      </c>
      <c r="Y298" s="22">
        <v>5.0821845864040727</v>
      </c>
      <c r="Z298" s="22">
        <v>5.0821845864040727</v>
      </c>
      <c r="AA298" s="22">
        <v>5.0821845864040727</v>
      </c>
      <c r="AB298" s="22">
        <v>5.0821845864040727</v>
      </c>
      <c r="AC298" s="22">
        <v>5.0821845864040727</v>
      </c>
      <c r="AD298" s="22">
        <v>5.0821845864040727</v>
      </c>
      <c r="AE298" s="22">
        <v>5.0821845864040727</v>
      </c>
    </row>
    <row r="299" spans="1:31" x14ac:dyDescent="0.25">
      <c r="A299" s="41" t="s">
        <v>1285</v>
      </c>
      <c r="B299" s="6" t="s">
        <v>57</v>
      </c>
      <c r="C299" s="6" t="s">
        <v>47</v>
      </c>
      <c r="D299" s="6">
        <v>1</v>
      </c>
      <c r="E299" s="6" t="s">
        <v>1211</v>
      </c>
      <c r="K299" s="22">
        <f>INDEX(Mitigation_Industry!K:K,MATCH($A299,Mitigation_Industry!$H:$H,0))</f>
        <v>6.0634636156729131</v>
      </c>
      <c r="L299" s="22">
        <f>INDEX(Mitigation_Industry!L:L,MATCH($A299,Mitigation_Industry!$H:$H,0))</f>
        <v>5.4510150816191896</v>
      </c>
      <c r="M299" s="22">
        <f>INDEX(Mitigation_Industry!M:M,MATCH($A299,Mitigation_Industry!$H:$H,0))</f>
        <v>5.1193563062624818</v>
      </c>
      <c r="N299" s="22">
        <f>INDEX(Mitigation_Industry!N:N,MATCH($A299,Mitigation_Industry!$H:$H,0))</f>
        <v>5.0821845864040727</v>
      </c>
      <c r="O299" s="22">
        <f>INDEX(Mitigation_Industry!O:O,MATCH($A299,Mitigation_Industry!$H:$H,0))</f>
        <v>5.0821845864040727</v>
      </c>
      <c r="P299" s="22">
        <f>INDEX(Mitigation_Industry!P:P,MATCH($A299,Mitigation_Industry!$H:$H,0))</f>
        <v>5.0821845864040727</v>
      </c>
      <c r="Q299" s="22">
        <f>INDEX(Mitigation_Industry!Q:Q,MATCH($A299,Mitigation_Industry!$H:$H,0))</f>
        <v>5.0821845864040727</v>
      </c>
      <c r="R299" s="22">
        <f>INDEX(Mitigation_Industry!R:R,MATCH($A299,Mitigation_Industry!$H:$H,0))</f>
        <v>5.0821845864040727</v>
      </c>
      <c r="S299" s="22">
        <f>INDEX(Mitigation_Industry!S:S,MATCH($A299,Mitigation_Industry!$H:$H,0))</f>
        <v>5.0821845864040727</v>
      </c>
      <c r="T299" s="22">
        <f>INDEX(Mitigation_Industry!T:T,MATCH($A299,Mitigation_Industry!$H:$H,0))</f>
        <v>5.0821845864040727</v>
      </c>
      <c r="U299" s="22">
        <f>INDEX(Mitigation_Industry!U:U,MATCH($A299,Mitigation_Industry!$H:$H,0))</f>
        <v>5.0821845864040727</v>
      </c>
      <c r="V299" s="22">
        <f>INDEX(Mitigation_Industry!V:V,MATCH($A299,Mitigation_Industry!$H:$H,0))</f>
        <v>5.0821845864040727</v>
      </c>
      <c r="W299" s="22">
        <f>INDEX(Mitigation_Industry!W:W,MATCH($A299,Mitigation_Industry!$H:$H,0))</f>
        <v>5.0821845864040727</v>
      </c>
      <c r="X299" s="22">
        <f>INDEX(Mitigation_Industry!X:X,MATCH($A299,Mitigation_Industry!$H:$H,0))</f>
        <v>5.0821845864040727</v>
      </c>
      <c r="Y299" s="22">
        <f>INDEX(Mitigation_Industry!Y:Y,MATCH($A299,Mitigation_Industry!$H:$H,0))</f>
        <v>5.0821845864040727</v>
      </c>
      <c r="Z299" s="22">
        <f>INDEX(Mitigation_Industry!Z:Z,MATCH($A299,Mitigation_Industry!$H:$H,0))</f>
        <v>5.0821845864040727</v>
      </c>
      <c r="AA299" s="22">
        <f>INDEX(Mitigation_Industry!AA:AA,MATCH($A299,Mitigation_Industry!$H:$H,0))</f>
        <v>5.0821845864040727</v>
      </c>
      <c r="AB299" s="22">
        <f>INDEX(Mitigation_Industry!AB:AB,MATCH($A299,Mitigation_Industry!$H:$H,0))</f>
        <v>5.0821845864040727</v>
      </c>
      <c r="AC299" s="22">
        <f>INDEX(Mitigation_Industry!AC:AC,MATCH($A299,Mitigation_Industry!$H:$H,0))</f>
        <v>5.0821845864040727</v>
      </c>
      <c r="AD299" s="22">
        <f>INDEX(Mitigation_Industry!AD:AD,MATCH($A299,Mitigation_Industry!$H:$H,0))</f>
        <v>5.0821845864040727</v>
      </c>
      <c r="AE299" s="22">
        <f>INDEX(Mitigation_Industry!AE:AE,MATCH($A299,Mitigation_Industry!$H:$H,0))</f>
        <v>5.0821845864040727</v>
      </c>
    </row>
    <row r="300" spans="1:31" x14ac:dyDescent="0.25">
      <c r="A300" s="41" t="s">
        <v>1285</v>
      </c>
      <c r="B300" s="6" t="s">
        <v>57</v>
      </c>
      <c r="C300" s="6" t="s">
        <v>47</v>
      </c>
      <c r="D300" s="6">
        <v>1</v>
      </c>
      <c r="E300" s="2" t="s">
        <v>1212</v>
      </c>
      <c r="F300" s="43">
        <f>MAX(MAX(L300:AE300),-MIN(L300:AE300))</f>
        <v>0</v>
      </c>
      <c r="K300" s="44">
        <f t="shared" ref="K300:AE300" si="73">IF(ISNUMBER(K298),IF(ISNUMBER(K299),K299-K298,999999),0)</f>
        <v>0</v>
      </c>
      <c r="L300" s="44">
        <f t="shared" si="73"/>
        <v>0</v>
      </c>
      <c r="M300" s="44">
        <f t="shared" si="73"/>
        <v>0</v>
      </c>
      <c r="N300" s="44">
        <f t="shared" si="73"/>
        <v>0</v>
      </c>
      <c r="O300" s="44">
        <f t="shared" si="73"/>
        <v>0</v>
      </c>
      <c r="P300" s="44">
        <f t="shared" si="73"/>
        <v>0</v>
      </c>
      <c r="Q300" s="44">
        <f t="shared" si="73"/>
        <v>0</v>
      </c>
      <c r="R300" s="44">
        <f t="shared" si="73"/>
        <v>0</v>
      </c>
      <c r="S300" s="44">
        <f t="shared" si="73"/>
        <v>0</v>
      </c>
      <c r="T300" s="44">
        <f t="shared" si="73"/>
        <v>0</v>
      </c>
      <c r="U300" s="44">
        <f t="shared" si="73"/>
        <v>0</v>
      </c>
      <c r="V300" s="44">
        <f t="shared" si="73"/>
        <v>0</v>
      </c>
      <c r="W300" s="44">
        <f t="shared" si="73"/>
        <v>0</v>
      </c>
      <c r="X300" s="44">
        <f t="shared" si="73"/>
        <v>0</v>
      </c>
      <c r="Y300" s="44">
        <f t="shared" si="73"/>
        <v>0</v>
      </c>
      <c r="Z300" s="44">
        <f t="shared" si="73"/>
        <v>0</v>
      </c>
      <c r="AA300" s="44">
        <f t="shared" si="73"/>
        <v>0</v>
      </c>
      <c r="AB300" s="44">
        <f t="shared" si="73"/>
        <v>0</v>
      </c>
      <c r="AC300" s="44">
        <f t="shared" si="73"/>
        <v>0</v>
      </c>
      <c r="AD300" s="44">
        <f t="shared" si="73"/>
        <v>0</v>
      </c>
      <c r="AE300" s="44">
        <f t="shared" si="73"/>
        <v>0</v>
      </c>
    </row>
    <row r="302" spans="1:31" x14ac:dyDescent="0.25">
      <c r="A302" s="41" t="s">
        <v>1286</v>
      </c>
      <c r="B302" s="6" t="s">
        <v>59</v>
      </c>
      <c r="C302" s="6" t="s">
        <v>47</v>
      </c>
      <c r="D302" s="6">
        <v>1</v>
      </c>
      <c r="E302" s="6" t="s">
        <v>1210</v>
      </c>
      <c r="K302" s="22"/>
      <c r="L302" s="22">
        <v>0.61197797679140631</v>
      </c>
      <c r="M302" s="22">
        <v>0.61180974964187596</v>
      </c>
      <c r="N302" s="22">
        <v>0.60358310017790551</v>
      </c>
      <c r="O302" s="22">
        <v>0.60358310017790551</v>
      </c>
      <c r="P302" s="22">
        <v>0.60358310017790551</v>
      </c>
      <c r="Q302" s="22">
        <v>0.60358310017790551</v>
      </c>
      <c r="R302" s="22">
        <v>0.60358310017790551</v>
      </c>
      <c r="S302" s="22">
        <v>0.60358310017790551</v>
      </c>
      <c r="T302" s="22">
        <v>0.60358310017790551</v>
      </c>
      <c r="U302" s="22">
        <v>0.60358310017790551</v>
      </c>
      <c r="V302" s="22">
        <v>0.60358310017790551</v>
      </c>
      <c r="W302" s="22">
        <v>0.60358310017790551</v>
      </c>
      <c r="X302" s="22">
        <v>0.60358310017790551</v>
      </c>
      <c r="Y302" s="22">
        <v>0.60358310017790551</v>
      </c>
      <c r="Z302" s="22">
        <v>0.60358310017790551</v>
      </c>
      <c r="AA302" s="22">
        <v>0.60358310017790551</v>
      </c>
      <c r="AB302" s="22">
        <v>0.60358310017790551</v>
      </c>
      <c r="AC302" s="22">
        <v>0.60358310017790551</v>
      </c>
      <c r="AD302" s="22">
        <v>0.60358310017790551</v>
      </c>
      <c r="AE302" s="22">
        <v>0.60358310017790551</v>
      </c>
    </row>
    <row r="303" spans="1:31" x14ac:dyDescent="0.25">
      <c r="A303" s="41" t="s">
        <v>1286</v>
      </c>
      <c r="B303" s="6" t="s">
        <v>59</v>
      </c>
      <c r="C303" s="6" t="s">
        <v>47</v>
      </c>
      <c r="D303" s="6">
        <v>1</v>
      </c>
      <c r="E303" s="6" t="s">
        <v>1211</v>
      </c>
      <c r="K303" s="22">
        <f>INDEX(Mitigation_Industry!K:K,MATCH($A303,Mitigation_Industry!$H:$H,0))</f>
        <v>0.67114653332181606</v>
      </c>
      <c r="L303" s="22">
        <f>INDEX(Mitigation_Industry!L:L,MATCH($A303,Mitigation_Industry!$H:$H,0))</f>
        <v>0.61197797679140631</v>
      </c>
      <c r="M303" s="22">
        <f>INDEX(Mitigation_Industry!M:M,MATCH($A303,Mitigation_Industry!$H:$H,0))</f>
        <v>0.61180974964187596</v>
      </c>
      <c r="N303" s="22">
        <f>INDEX(Mitigation_Industry!N:N,MATCH($A303,Mitigation_Industry!$H:$H,0))</f>
        <v>0.60358310017790551</v>
      </c>
      <c r="O303" s="22">
        <f>INDEX(Mitigation_Industry!O:O,MATCH($A303,Mitigation_Industry!$H:$H,0))</f>
        <v>0.60358310017790551</v>
      </c>
      <c r="P303" s="22">
        <f>INDEX(Mitigation_Industry!P:P,MATCH($A303,Mitigation_Industry!$H:$H,0))</f>
        <v>0.60358310017790551</v>
      </c>
      <c r="Q303" s="22">
        <f>INDEX(Mitigation_Industry!Q:Q,MATCH($A303,Mitigation_Industry!$H:$H,0))</f>
        <v>0.60358310017790551</v>
      </c>
      <c r="R303" s="22">
        <f>INDEX(Mitigation_Industry!R:R,MATCH($A303,Mitigation_Industry!$H:$H,0))</f>
        <v>0.60358310017790551</v>
      </c>
      <c r="S303" s="22">
        <f>INDEX(Mitigation_Industry!S:S,MATCH($A303,Mitigation_Industry!$H:$H,0))</f>
        <v>0.60358310017790551</v>
      </c>
      <c r="T303" s="22">
        <f>INDEX(Mitigation_Industry!T:T,MATCH($A303,Mitigation_Industry!$H:$H,0))</f>
        <v>0.60358310017790551</v>
      </c>
      <c r="U303" s="22">
        <f>INDEX(Mitigation_Industry!U:U,MATCH($A303,Mitigation_Industry!$H:$H,0))</f>
        <v>0.60358310017790551</v>
      </c>
      <c r="V303" s="22">
        <f>INDEX(Mitigation_Industry!V:V,MATCH($A303,Mitigation_Industry!$H:$H,0))</f>
        <v>0.60358310017790551</v>
      </c>
      <c r="W303" s="22">
        <f>INDEX(Mitigation_Industry!W:W,MATCH($A303,Mitigation_Industry!$H:$H,0))</f>
        <v>0.60358310017790551</v>
      </c>
      <c r="X303" s="22">
        <f>INDEX(Mitigation_Industry!X:X,MATCH($A303,Mitigation_Industry!$H:$H,0))</f>
        <v>0.60358310017790551</v>
      </c>
      <c r="Y303" s="22">
        <f>INDEX(Mitigation_Industry!Y:Y,MATCH($A303,Mitigation_Industry!$H:$H,0))</f>
        <v>0.60358310017790551</v>
      </c>
      <c r="Z303" s="22">
        <f>INDEX(Mitigation_Industry!Z:Z,MATCH($A303,Mitigation_Industry!$H:$H,0))</f>
        <v>0.60358310017790551</v>
      </c>
      <c r="AA303" s="22">
        <f>INDEX(Mitigation_Industry!AA:AA,MATCH($A303,Mitigation_Industry!$H:$H,0))</f>
        <v>0.60358310017790551</v>
      </c>
      <c r="AB303" s="22">
        <f>INDEX(Mitigation_Industry!AB:AB,MATCH($A303,Mitigation_Industry!$H:$H,0))</f>
        <v>0.60358310017790551</v>
      </c>
      <c r="AC303" s="22">
        <f>INDEX(Mitigation_Industry!AC:AC,MATCH($A303,Mitigation_Industry!$H:$H,0))</f>
        <v>0.60358310017790551</v>
      </c>
      <c r="AD303" s="22">
        <f>INDEX(Mitigation_Industry!AD:AD,MATCH($A303,Mitigation_Industry!$H:$H,0))</f>
        <v>0.60358310017790551</v>
      </c>
      <c r="AE303" s="22">
        <f>INDEX(Mitigation_Industry!AE:AE,MATCH($A303,Mitigation_Industry!$H:$H,0))</f>
        <v>0.60358310017790551</v>
      </c>
    </row>
    <row r="304" spans="1:31" x14ac:dyDescent="0.25">
      <c r="A304" s="41" t="s">
        <v>1286</v>
      </c>
      <c r="B304" s="6" t="s">
        <v>59</v>
      </c>
      <c r="C304" s="6" t="s">
        <v>47</v>
      </c>
      <c r="D304" s="6">
        <v>1</v>
      </c>
      <c r="E304" s="2" t="s">
        <v>1212</v>
      </c>
      <c r="F304" s="43">
        <f>MAX(MAX(L304:AE304),-MIN(L304:AE304))</f>
        <v>0</v>
      </c>
      <c r="K304" s="44">
        <f t="shared" ref="K304:AE304" si="74">IF(ISNUMBER(K302),IF(ISNUMBER(K303),K303-K302,999999),0)</f>
        <v>0</v>
      </c>
      <c r="L304" s="44">
        <f t="shared" si="74"/>
        <v>0</v>
      </c>
      <c r="M304" s="44">
        <f t="shared" si="74"/>
        <v>0</v>
      </c>
      <c r="N304" s="44">
        <f t="shared" si="74"/>
        <v>0</v>
      </c>
      <c r="O304" s="44">
        <f t="shared" si="74"/>
        <v>0</v>
      </c>
      <c r="P304" s="44">
        <f t="shared" si="74"/>
        <v>0</v>
      </c>
      <c r="Q304" s="44">
        <f t="shared" si="74"/>
        <v>0</v>
      </c>
      <c r="R304" s="44">
        <f t="shared" si="74"/>
        <v>0</v>
      </c>
      <c r="S304" s="44">
        <f t="shared" si="74"/>
        <v>0</v>
      </c>
      <c r="T304" s="44">
        <f t="shared" si="74"/>
        <v>0</v>
      </c>
      <c r="U304" s="44">
        <f t="shared" si="74"/>
        <v>0</v>
      </c>
      <c r="V304" s="44">
        <f t="shared" si="74"/>
        <v>0</v>
      </c>
      <c r="W304" s="44">
        <f t="shared" si="74"/>
        <v>0</v>
      </c>
      <c r="X304" s="44">
        <f t="shared" si="74"/>
        <v>0</v>
      </c>
      <c r="Y304" s="44">
        <f t="shared" si="74"/>
        <v>0</v>
      </c>
      <c r="Z304" s="44">
        <f t="shared" si="74"/>
        <v>0</v>
      </c>
      <c r="AA304" s="44">
        <f t="shared" si="74"/>
        <v>0</v>
      </c>
      <c r="AB304" s="44">
        <f t="shared" si="74"/>
        <v>0</v>
      </c>
      <c r="AC304" s="44">
        <f t="shared" si="74"/>
        <v>0</v>
      </c>
      <c r="AD304" s="44">
        <f t="shared" si="74"/>
        <v>0</v>
      </c>
      <c r="AE304" s="44">
        <f t="shared" si="74"/>
        <v>0</v>
      </c>
    </row>
    <row r="306" spans="1:31" x14ac:dyDescent="0.25">
      <c r="A306" s="41" t="s">
        <v>1287</v>
      </c>
      <c r="B306" s="6" t="s">
        <v>62</v>
      </c>
      <c r="C306" s="6" t="s">
        <v>47</v>
      </c>
      <c r="D306" s="6">
        <v>1</v>
      </c>
      <c r="E306" s="6" t="s">
        <v>1210</v>
      </c>
      <c r="K306" s="22"/>
      <c r="L306" s="22">
        <v>0.49458873084106802</v>
      </c>
      <c r="M306" s="22">
        <v>0.50778654720250049</v>
      </c>
      <c r="N306" s="22">
        <v>0.47043642679561742</v>
      </c>
      <c r="O306" s="22">
        <v>0.47043642679561742</v>
      </c>
      <c r="P306" s="22">
        <v>0.47043642679561742</v>
      </c>
      <c r="Q306" s="22">
        <v>0.47043642679561742</v>
      </c>
      <c r="R306" s="22">
        <v>0.47043642679561742</v>
      </c>
      <c r="S306" s="22">
        <v>0.47043642679561742</v>
      </c>
      <c r="T306" s="22">
        <v>0.47043642679561742</v>
      </c>
      <c r="U306" s="22">
        <v>0.47043642679561742</v>
      </c>
      <c r="V306" s="22">
        <v>0.47043642679561742</v>
      </c>
      <c r="W306" s="22">
        <v>0.47043642679561742</v>
      </c>
      <c r="X306" s="22">
        <v>0.47043642679561742</v>
      </c>
      <c r="Y306" s="22">
        <v>0.47043642679561742</v>
      </c>
      <c r="Z306" s="22">
        <v>0.47043642679561742</v>
      </c>
      <c r="AA306" s="22">
        <v>0.47043642679561742</v>
      </c>
      <c r="AB306" s="22">
        <v>0.47043642679561742</v>
      </c>
      <c r="AC306" s="22">
        <v>0.47043642679561742</v>
      </c>
      <c r="AD306" s="22">
        <v>0.47043642679561742</v>
      </c>
      <c r="AE306" s="22">
        <v>0.47043642679561742</v>
      </c>
    </row>
    <row r="307" spans="1:31" x14ac:dyDescent="0.25">
      <c r="A307" s="41" t="s">
        <v>1287</v>
      </c>
      <c r="B307" s="6" t="s">
        <v>62</v>
      </c>
      <c r="C307" s="6" t="s">
        <v>47</v>
      </c>
      <c r="D307" s="6">
        <v>1</v>
      </c>
      <c r="E307" s="6" t="s">
        <v>1211</v>
      </c>
      <c r="K307" s="22">
        <f>INDEX(Mitigation_Industry!K:K,MATCH($A307,Mitigation_Industry!$H:$H,0))</f>
        <v>0.55971121315568761</v>
      </c>
      <c r="L307" s="22">
        <f>INDEX(Mitigation_Industry!L:L,MATCH($A307,Mitigation_Industry!$H:$H,0))</f>
        <v>0.49458873084106802</v>
      </c>
      <c r="M307" s="22">
        <f>INDEX(Mitigation_Industry!M:M,MATCH($A307,Mitigation_Industry!$H:$H,0))</f>
        <v>0.50778654720250049</v>
      </c>
      <c r="N307" s="22">
        <f>INDEX(Mitigation_Industry!N:N,MATCH($A307,Mitigation_Industry!$H:$H,0))</f>
        <v>0.47043642679561742</v>
      </c>
      <c r="O307" s="22">
        <f>INDEX(Mitigation_Industry!O:O,MATCH($A307,Mitigation_Industry!$H:$H,0))</f>
        <v>0.47043642679561742</v>
      </c>
      <c r="P307" s="22">
        <f>INDEX(Mitigation_Industry!P:P,MATCH($A307,Mitigation_Industry!$H:$H,0))</f>
        <v>0.47043642679561742</v>
      </c>
      <c r="Q307" s="22">
        <f>INDEX(Mitigation_Industry!Q:Q,MATCH($A307,Mitigation_Industry!$H:$H,0))</f>
        <v>0.47043642679561742</v>
      </c>
      <c r="R307" s="22">
        <f>INDEX(Mitigation_Industry!R:R,MATCH($A307,Mitigation_Industry!$H:$H,0))</f>
        <v>0.47043642679561742</v>
      </c>
      <c r="S307" s="22">
        <f>INDEX(Mitigation_Industry!S:S,MATCH($A307,Mitigation_Industry!$H:$H,0))</f>
        <v>0.47043642679561742</v>
      </c>
      <c r="T307" s="22">
        <f>INDEX(Mitigation_Industry!T:T,MATCH($A307,Mitigation_Industry!$H:$H,0))</f>
        <v>0.47043642679561742</v>
      </c>
      <c r="U307" s="22">
        <f>INDEX(Mitigation_Industry!U:U,MATCH($A307,Mitigation_Industry!$H:$H,0))</f>
        <v>0.47043642679561742</v>
      </c>
      <c r="V307" s="22">
        <f>INDEX(Mitigation_Industry!V:V,MATCH($A307,Mitigation_Industry!$H:$H,0))</f>
        <v>0.47043642679561742</v>
      </c>
      <c r="W307" s="22">
        <f>INDEX(Mitigation_Industry!W:W,MATCH($A307,Mitigation_Industry!$H:$H,0))</f>
        <v>0.47043642679561742</v>
      </c>
      <c r="X307" s="22">
        <f>INDEX(Mitigation_Industry!X:X,MATCH($A307,Mitigation_Industry!$H:$H,0))</f>
        <v>0.47043642679561742</v>
      </c>
      <c r="Y307" s="22">
        <f>INDEX(Mitigation_Industry!Y:Y,MATCH($A307,Mitigation_Industry!$H:$H,0))</f>
        <v>0.47043642679561742</v>
      </c>
      <c r="Z307" s="22">
        <f>INDEX(Mitigation_Industry!Z:Z,MATCH($A307,Mitigation_Industry!$H:$H,0))</f>
        <v>0.47043642679561742</v>
      </c>
      <c r="AA307" s="22">
        <f>INDEX(Mitigation_Industry!AA:AA,MATCH($A307,Mitigation_Industry!$H:$H,0))</f>
        <v>0.47043642679561742</v>
      </c>
      <c r="AB307" s="22">
        <f>INDEX(Mitigation_Industry!AB:AB,MATCH($A307,Mitigation_Industry!$H:$H,0))</f>
        <v>0.47043642679561742</v>
      </c>
      <c r="AC307" s="22">
        <f>INDEX(Mitigation_Industry!AC:AC,MATCH($A307,Mitigation_Industry!$H:$H,0))</f>
        <v>0.47043642679561742</v>
      </c>
      <c r="AD307" s="22">
        <f>INDEX(Mitigation_Industry!AD:AD,MATCH($A307,Mitigation_Industry!$H:$H,0))</f>
        <v>0.47043642679561742</v>
      </c>
      <c r="AE307" s="22">
        <f>INDEX(Mitigation_Industry!AE:AE,MATCH($A307,Mitigation_Industry!$H:$H,0))</f>
        <v>0.47043642679561742</v>
      </c>
    </row>
    <row r="308" spans="1:31" x14ac:dyDescent="0.25">
      <c r="A308" s="41" t="s">
        <v>1287</v>
      </c>
      <c r="B308" s="6" t="s">
        <v>62</v>
      </c>
      <c r="C308" s="6" t="s">
        <v>47</v>
      </c>
      <c r="D308" s="6">
        <v>1</v>
      </c>
      <c r="E308" s="2" t="s">
        <v>1212</v>
      </c>
      <c r="F308" s="43">
        <f>MAX(MAX(L308:AE308),-MIN(L308:AE308))</f>
        <v>0</v>
      </c>
      <c r="K308" s="44">
        <f t="shared" ref="K308:AE308" si="75">IF(ISNUMBER(K306),IF(ISNUMBER(K307),K307-K306,999999),0)</f>
        <v>0</v>
      </c>
      <c r="L308" s="44">
        <f t="shared" si="75"/>
        <v>0</v>
      </c>
      <c r="M308" s="44">
        <f t="shared" si="75"/>
        <v>0</v>
      </c>
      <c r="N308" s="44">
        <f t="shared" si="75"/>
        <v>0</v>
      </c>
      <c r="O308" s="44">
        <f t="shared" si="75"/>
        <v>0</v>
      </c>
      <c r="P308" s="44">
        <f t="shared" si="75"/>
        <v>0</v>
      </c>
      <c r="Q308" s="44">
        <f t="shared" si="75"/>
        <v>0</v>
      </c>
      <c r="R308" s="44">
        <f t="shared" si="75"/>
        <v>0</v>
      </c>
      <c r="S308" s="44">
        <f t="shared" si="75"/>
        <v>0</v>
      </c>
      <c r="T308" s="44">
        <f t="shared" si="75"/>
        <v>0</v>
      </c>
      <c r="U308" s="44">
        <f t="shared" si="75"/>
        <v>0</v>
      </c>
      <c r="V308" s="44">
        <f t="shared" si="75"/>
        <v>0</v>
      </c>
      <c r="W308" s="44">
        <f t="shared" si="75"/>
        <v>0</v>
      </c>
      <c r="X308" s="44">
        <f t="shared" si="75"/>
        <v>0</v>
      </c>
      <c r="Y308" s="44">
        <f t="shared" si="75"/>
        <v>0</v>
      </c>
      <c r="Z308" s="44">
        <f t="shared" si="75"/>
        <v>0</v>
      </c>
      <c r="AA308" s="44">
        <f t="shared" si="75"/>
        <v>0</v>
      </c>
      <c r="AB308" s="44">
        <f t="shared" si="75"/>
        <v>0</v>
      </c>
      <c r="AC308" s="44">
        <f t="shared" si="75"/>
        <v>0</v>
      </c>
      <c r="AD308" s="44">
        <f t="shared" si="75"/>
        <v>0</v>
      </c>
      <c r="AE308" s="44">
        <f t="shared" si="75"/>
        <v>0</v>
      </c>
    </row>
    <row r="310" spans="1:31" x14ac:dyDescent="0.25">
      <c r="A310" s="41" t="s">
        <v>1288</v>
      </c>
      <c r="B310" s="6" t="s">
        <v>64</v>
      </c>
      <c r="C310" s="6" t="s">
        <v>47</v>
      </c>
      <c r="D310" s="6">
        <v>1</v>
      </c>
      <c r="E310" s="6" t="s">
        <v>1210</v>
      </c>
      <c r="K310" s="22"/>
      <c r="L310" s="22">
        <v>0.1573447362522738</v>
      </c>
      <c r="M310" s="22">
        <v>0.1644840377592767</v>
      </c>
      <c r="N310" s="22">
        <v>0.1507090778070489</v>
      </c>
      <c r="O310" s="22">
        <v>0.1507090778070489</v>
      </c>
      <c r="P310" s="22">
        <v>0.1507090778070489</v>
      </c>
      <c r="Q310" s="22">
        <v>0.1507090778070489</v>
      </c>
      <c r="R310" s="22">
        <v>0.1507090778070489</v>
      </c>
      <c r="S310" s="22">
        <v>0.1507090778070489</v>
      </c>
      <c r="T310" s="22">
        <v>0.1507090778070489</v>
      </c>
      <c r="U310" s="22">
        <v>0.1507090778070489</v>
      </c>
      <c r="V310" s="22">
        <v>0.1507090778070489</v>
      </c>
      <c r="W310" s="22">
        <v>0.1507090778070489</v>
      </c>
      <c r="X310" s="22">
        <v>0.1507090778070489</v>
      </c>
      <c r="Y310" s="22">
        <v>0.1507090778070489</v>
      </c>
      <c r="Z310" s="22">
        <v>0.1507090778070489</v>
      </c>
      <c r="AA310" s="22">
        <v>0.1507090778070489</v>
      </c>
      <c r="AB310" s="22">
        <v>0.1507090778070489</v>
      </c>
      <c r="AC310" s="22">
        <v>0.1507090778070489</v>
      </c>
      <c r="AD310" s="22">
        <v>0.1507090778070489</v>
      </c>
      <c r="AE310" s="22">
        <v>0.1507090778070489</v>
      </c>
    </row>
    <row r="311" spans="1:31" x14ac:dyDescent="0.25">
      <c r="A311" s="41" t="s">
        <v>1288</v>
      </c>
      <c r="B311" s="6" t="s">
        <v>64</v>
      </c>
      <c r="C311" s="6" t="s">
        <v>47</v>
      </c>
      <c r="D311" s="6">
        <v>1</v>
      </c>
      <c r="E311" s="6" t="s">
        <v>1211</v>
      </c>
      <c r="K311" s="22">
        <f>INDEX(Mitigation_Industry!K:K,MATCH($A311,Mitigation_Industry!$H:$H,0))</f>
        <v>0.20036669112673841</v>
      </c>
      <c r="L311" s="22">
        <f>INDEX(Mitigation_Industry!L:L,MATCH($A311,Mitigation_Industry!$H:$H,0))</f>
        <v>0.1573447362522738</v>
      </c>
      <c r="M311" s="22">
        <f>INDEX(Mitigation_Industry!M:M,MATCH($A311,Mitigation_Industry!$H:$H,0))</f>
        <v>0.1644840377592767</v>
      </c>
      <c r="N311" s="22">
        <f>INDEX(Mitigation_Industry!N:N,MATCH($A311,Mitigation_Industry!$H:$H,0))</f>
        <v>0.1507090778070489</v>
      </c>
      <c r="O311" s="22">
        <f>INDEX(Mitigation_Industry!O:O,MATCH($A311,Mitigation_Industry!$H:$H,0))</f>
        <v>0.1507090778070489</v>
      </c>
      <c r="P311" s="22">
        <f>INDEX(Mitigation_Industry!P:P,MATCH($A311,Mitigation_Industry!$H:$H,0))</f>
        <v>0.1507090778070489</v>
      </c>
      <c r="Q311" s="22">
        <f>INDEX(Mitigation_Industry!Q:Q,MATCH($A311,Mitigation_Industry!$H:$H,0))</f>
        <v>0.1507090778070489</v>
      </c>
      <c r="R311" s="22">
        <f>INDEX(Mitigation_Industry!R:R,MATCH($A311,Mitigation_Industry!$H:$H,0))</f>
        <v>0.1507090778070489</v>
      </c>
      <c r="S311" s="22">
        <f>INDEX(Mitigation_Industry!S:S,MATCH($A311,Mitigation_Industry!$H:$H,0))</f>
        <v>0.1507090778070489</v>
      </c>
      <c r="T311" s="22">
        <f>INDEX(Mitigation_Industry!T:T,MATCH($A311,Mitigation_Industry!$H:$H,0))</f>
        <v>0.1507090778070489</v>
      </c>
      <c r="U311" s="22">
        <f>INDEX(Mitigation_Industry!U:U,MATCH($A311,Mitigation_Industry!$H:$H,0))</f>
        <v>0.1507090778070489</v>
      </c>
      <c r="V311" s="22">
        <f>INDEX(Mitigation_Industry!V:V,MATCH($A311,Mitigation_Industry!$H:$H,0))</f>
        <v>0.1507090778070489</v>
      </c>
      <c r="W311" s="22">
        <f>INDEX(Mitigation_Industry!W:W,MATCH($A311,Mitigation_Industry!$H:$H,0))</f>
        <v>0.1507090778070489</v>
      </c>
      <c r="X311" s="22">
        <f>INDEX(Mitigation_Industry!X:X,MATCH($A311,Mitigation_Industry!$H:$H,0))</f>
        <v>0.1507090778070489</v>
      </c>
      <c r="Y311" s="22">
        <f>INDEX(Mitigation_Industry!Y:Y,MATCH($A311,Mitigation_Industry!$H:$H,0))</f>
        <v>0.1507090778070489</v>
      </c>
      <c r="Z311" s="22">
        <f>INDEX(Mitigation_Industry!Z:Z,MATCH($A311,Mitigation_Industry!$H:$H,0))</f>
        <v>0.1507090778070489</v>
      </c>
      <c r="AA311" s="22">
        <f>INDEX(Mitigation_Industry!AA:AA,MATCH($A311,Mitigation_Industry!$H:$H,0))</f>
        <v>0.1507090778070489</v>
      </c>
      <c r="AB311" s="22">
        <f>INDEX(Mitigation_Industry!AB:AB,MATCH($A311,Mitigation_Industry!$H:$H,0))</f>
        <v>0.1507090778070489</v>
      </c>
      <c r="AC311" s="22">
        <f>INDEX(Mitigation_Industry!AC:AC,MATCH($A311,Mitigation_Industry!$H:$H,0))</f>
        <v>0.1507090778070489</v>
      </c>
      <c r="AD311" s="22">
        <f>INDEX(Mitigation_Industry!AD:AD,MATCH($A311,Mitigation_Industry!$H:$H,0))</f>
        <v>0.1507090778070489</v>
      </c>
      <c r="AE311" s="22">
        <f>INDEX(Mitigation_Industry!AE:AE,MATCH($A311,Mitigation_Industry!$H:$H,0))</f>
        <v>0.1507090778070489</v>
      </c>
    </row>
    <row r="312" spans="1:31" x14ac:dyDescent="0.25">
      <c r="A312" s="41" t="s">
        <v>1288</v>
      </c>
      <c r="B312" s="6" t="s">
        <v>64</v>
      </c>
      <c r="C312" s="6" t="s">
        <v>47</v>
      </c>
      <c r="D312" s="6">
        <v>1</v>
      </c>
      <c r="E312" s="2" t="s">
        <v>1212</v>
      </c>
      <c r="F312" s="43">
        <f>MAX(MAX(L312:AE312),-MIN(L312:AE312))</f>
        <v>0</v>
      </c>
      <c r="K312" s="44">
        <f t="shared" ref="K312:AE312" si="76">IF(ISNUMBER(K310),IF(ISNUMBER(K311),K311-K310,999999),0)</f>
        <v>0</v>
      </c>
      <c r="L312" s="44">
        <f t="shared" si="76"/>
        <v>0</v>
      </c>
      <c r="M312" s="44">
        <f t="shared" si="76"/>
        <v>0</v>
      </c>
      <c r="N312" s="44">
        <f t="shared" si="76"/>
        <v>0</v>
      </c>
      <c r="O312" s="44">
        <f t="shared" si="76"/>
        <v>0</v>
      </c>
      <c r="P312" s="44">
        <f t="shared" si="76"/>
        <v>0</v>
      </c>
      <c r="Q312" s="44">
        <f t="shared" si="76"/>
        <v>0</v>
      </c>
      <c r="R312" s="44">
        <f t="shared" si="76"/>
        <v>0</v>
      </c>
      <c r="S312" s="44">
        <f t="shared" si="76"/>
        <v>0</v>
      </c>
      <c r="T312" s="44">
        <f t="shared" si="76"/>
        <v>0</v>
      </c>
      <c r="U312" s="44">
        <f t="shared" si="76"/>
        <v>0</v>
      </c>
      <c r="V312" s="44">
        <f t="shared" si="76"/>
        <v>0</v>
      </c>
      <c r="W312" s="44">
        <f t="shared" si="76"/>
        <v>0</v>
      </c>
      <c r="X312" s="44">
        <f t="shared" si="76"/>
        <v>0</v>
      </c>
      <c r="Y312" s="44">
        <f t="shared" si="76"/>
        <v>0</v>
      </c>
      <c r="Z312" s="44">
        <f t="shared" si="76"/>
        <v>0</v>
      </c>
      <c r="AA312" s="44">
        <f t="shared" si="76"/>
        <v>0</v>
      </c>
      <c r="AB312" s="44">
        <f t="shared" si="76"/>
        <v>0</v>
      </c>
      <c r="AC312" s="44">
        <f t="shared" si="76"/>
        <v>0</v>
      </c>
      <c r="AD312" s="44">
        <f t="shared" si="76"/>
        <v>0</v>
      </c>
      <c r="AE312" s="44">
        <f t="shared" si="76"/>
        <v>0</v>
      </c>
    </row>
    <row r="314" spans="1:31" x14ac:dyDescent="0.25">
      <c r="A314" s="41" t="s">
        <v>1289</v>
      </c>
      <c r="B314" s="6" t="s">
        <v>66</v>
      </c>
      <c r="C314" s="6" t="s">
        <v>47</v>
      </c>
      <c r="D314" s="6">
        <v>1</v>
      </c>
      <c r="E314" s="6" t="s">
        <v>1210</v>
      </c>
      <c r="K314" s="22"/>
      <c r="L314" s="22">
        <v>0.45642817050012813</v>
      </c>
      <c r="M314" s="22">
        <v>0.43168920195599519</v>
      </c>
      <c r="N314" s="22">
        <v>0.42507558395596989</v>
      </c>
      <c r="O314" s="22">
        <v>0.42507558395596989</v>
      </c>
      <c r="P314" s="22">
        <v>0.42507558395596989</v>
      </c>
      <c r="Q314" s="22">
        <v>0.42507558395596989</v>
      </c>
      <c r="R314" s="22">
        <v>0.42507558395596989</v>
      </c>
      <c r="S314" s="22">
        <v>0.42507558395596989</v>
      </c>
      <c r="T314" s="22">
        <v>0.42507558395596989</v>
      </c>
      <c r="U314" s="22">
        <v>0.42507558395596989</v>
      </c>
      <c r="V314" s="22">
        <v>0.42507558395596989</v>
      </c>
      <c r="W314" s="22">
        <v>0.42507558395596989</v>
      </c>
      <c r="X314" s="22">
        <v>0.42507558395596989</v>
      </c>
      <c r="Y314" s="22">
        <v>0.42507558395596989</v>
      </c>
      <c r="Z314" s="22">
        <v>0.42507558395596989</v>
      </c>
      <c r="AA314" s="22">
        <v>0.42507558395596989</v>
      </c>
      <c r="AB314" s="22">
        <v>0.42507558395596989</v>
      </c>
      <c r="AC314" s="22">
        <v>0.42507558395596989</v>
      </c>
      <c r="AD314" s="22">
        <v>0.42507558395596989</v>
      </c>
      <c r="AE314" s="22">
        <v>0.42507558395596989</v>
      </c>
    </row>
    <row r="315" spans="1:31" x14ac:dyDescent="0.25">
      <c r="A315" s="41" t="s">
        <v>1289</v>
      </c>
      <c r="B315" s="6" t="s">
        <v>66</v>
      </c>
      <c r="C315" s="6" t="s">
        <v>47</v>
      </c>
      <c r="D315" s="6">
        <v>1</v>
      </c>
      <c r="E315" s="6" t="s">
        <v>1211</v>
      </c>
      <c r="K315" s="22">
        <f>INDEX(Mitigation_Industry!K:K,MATCH($A315,Mitigation_Industry!$H:$H,0))</f>
        <v>0.48429424097343482</v>
      </c>
      <c r="L315" s="22">
        <f>INDEX(Mitigation_Industry!L:L,MATCH($A315,Mitigation_Industry!$H:$H,0))</f>
        <v>0.45642817050012813</v>
      </c>
      <c r="M315" s="22">
        <f>INDEX(Mitigation_Industry!M:M,MATCH($A315,Mitigation_Industry!$H:$H,0))</f>
        <v>0.43168920195599519</v>
      </c>
      <c r="N315" s="22">
        <f>INDEX(Mitigation_Industry!N:N,MATCH($A315,Mitigation_Industry!$H:$H,0))</f>
        <v>0.42507558395596989</v>
      </c>
      <c r="O315" s="22">
        <f>INDEX(Mitigation_Industry!O:O,MATCH($A315,Mitigation_Industry!$H:$H,0))</f>
        <v>0.42507558395596989</v>
      </c>
      <c r="P315" s="22">
        <f>INDEX(Mitigation_Industry!P:P,MATCH($A315,Mitigation_Industry!$H:$H,0))</f>
        <v>0.42507558395596989</v>
      </c>
      <c r="Q315" s="22">
        <f>INDEX(Mitigation_Industry!Q:Q,MATCH($A315,Mitigation_Industry!$H:$H,0))</f>
        <v>0.42507558395596989</v>
      </c>
      <c r="R315" s="22">
        <f>INDEX(Mitigation_Industry!R:R,MATCH($A315,Mitigation_Industry!$H:$H,0))</f>
        <v>0.42507558395596989</v>
      </c>
      <c r="S315" s="22">
        <f>INDEX(Mitigation_Industry!S:S,MATCH($A315,Mitigation_Industry!$H:$H,0))</f>
        <v>0.42507558395596989</v>
      </c>
      <c r="T315" s="22">
        <f>INDEX(Mitigation_Industry!T:T,MATCH($A315,Mitigation_Industry!$H:$H,0))</f>
        <v>0.42507558395596989</v>
      </c>
      <c r="U315" s="22">
        <f>INDEX(Mitigation_Industry!U:U,MATCH($A315,Mitigation_Industry!$H:$H,0))</f>
        <v>0.42507558395596989</v>
      </c>
      <c r="V315" s="22">
        <f>INDEX(Mitigation_Industry!V:V,MATCH($A315,Mitigation_Industry!$H:$H,0))</f>
        <v>0.42507558395596989</v>
      </c>
      <c r="W315" s="22">
        <f>INDEX(Mitigation_Industry!W:W,MATCH($A315,Mitigation_Industry!$H:$H,0))</f>
        <v>0.42507558395596989</v>
      </c>
      <c r="X315" s="22">
        <f>INDEX(Mitigation_Industry!X:X,MATCH($A315,Mitigation_Industry!$H:$H,0))</f>
        <v>0.42507558395596989</v>
      </c>
      <c r="Y315" s="22">
        <f>INDEX(Mitigation_Industry!Y:Y,MATCH($A315,Mitigation_Industry!$H:$H,0))</f>
        <v>0.42507558395596989</v>
      </c>
      <c r="Z315" s="22">
        <f>INDEX(Mitigation_Industry!Z:Z,MATCH($A315,Mitigation_Industry!$H:$H,0))</f>
        <v>0.42507558395596989</v>
      </c>
      <c r="AA315" s="22">
        <f>INDEX(Mitigation_Industry!AA:AA,MATCH($A315,Mitigation_Industry!$H:$H,0))</f>
        <v>0.42507558395596989</v>
      </c>
      <c r="AB315" s="22">
        <f>INDEX(Mitigation_Industry!AB:AB,MATCH($A315,Mitigation_Industry!$H:$H,0))</f>
        <v>0.42507558395596989</v>
      </c>
      <c r="AC315" s="22">
        <f>INDEX(Mitigation_Industry!AC:AC,MATCH($A315,Mitigation_Industry!$H:$H,0))</f>
        <v>0.42507558395596989</v>
      </c>
      <c r="AD315" s="22">
        <f>INDEX(Mitigation_Industry!AD:AD,MATCH($A315,Mitigation_Industry!$H:$H,0))</f>
        <v>0.42507558395596989</v>
      </c>
      <c r="AE315" s="22">
        <f>INDEX(Mitigation_Industry!AE:AE,MATCH($A315,Mitigation_Industry!$H:$H,0))</f>
        <v>0.42507558395596989</v>
      </c>
    </row>
    <row r="316" spans="1:31" x14ac:dyDescent="0.25">
      <c r="A316" s="41" t="s">
        <v>1289</v>
      </c>
      <c r="B316" s="6" t="s">
        <v>66</v>
      </c>
      <c r="C316" s="6" t="s">
        <v>47</v>
      </c>
      <c r="D316" s="6">
        <v>1</v>
      </c>
      <c r="E316" s="2" t="s">
        <v>1212</v>
      </c>
      <c r="F316" s="43">
        <f>MAX(MAX(L316:AE316),-MIN(L316:AE316))</f>
        <v>0</v>
      </c>
      <c r="K316" s="44">
        <f t="shared" ref="K316:AE316" si="77">IF(ISNUMBER(K314),IF(ISNUMBER(K315),K315-K314,999999),0)</f>
        <v>0</v>
      </c>
      <c r="L316" s="44">
        <f t="shared" si="77"/>
        <v>0</v>
      </c>
      <c r="M316" s="44">
        <f t="shared" si="77"/>
        <v>0</v>
      </c>
      <c r="N316" s="44">
        <f t="shared" si="77"/>
        <v>0</v>
      </c>
      <c r="O316" s="44">
        <f t="shared" si="77"/>
        <v>0</v>
      </c>
      <c r="P316" s="44">
        <f t="shared" si="77"/>
        <v>0</v>
      </c>
      <c r="Q316" s="44">
        <f t="shared" si="77"/>
        <v>0</v>
      </c>
      <c r="R316" s="44">
        <f t="shared" si="77"/>
        <v>0</v>
      </c>
      <c r="S316" s="44">
        <f t="shared" si="77"/>
        <v>0</v>
      </c>
      <c r="T316" s="44">
        <f t="shared" si="77"/>
        <v>0</v>
      </c>
      <c r="U316" s="44">
        <f t="shared" si="77"/>
        <v>0</v>
      </c>
      <c r="V316" s="44">
        <f t="shared" si="77"/>
        <v>0</v>
      </c>
      <c r="W316" s="44">
        <f t="shared" si="77"/>
        <v>0</v>
      </c>
      <c r="X316" s="44">
        <f t="shared" si="77"/>
        <v>0</v>
      </c>
      <c r="Y316" s="44">
        <f t="shared" si="77"/>
        <v>0</v>
      </c>
      <c r="Z316" s="44">
        <f t="shared" si="77"/>
        <v>0</v>
      </c>
      <c r="AA316" s="44">
        <f t="shared" si="77"/>
        <v>0</v>
      </c>
      <c r="AB316" s="44">
        <f t="shared" si="77"/>
        <v>0</v>
      </c>
      <c r="AC316" s="44">
        <f t="shared" si="77"/>
        <v>0</v>
      </c>
      <c r="AD316" s="44">
        <f t="shared" si="77"/>
        <v>0</v>
      </c>
      <c r="AE316" s="44">
        <f t="shared" si="77"/>
        <v>0</v>
      </c>
    </row>
    <row r="318" spans="1:31" x14ac:dyDescent="0.25">
      <c r="A318" s="41" t="s">
        <v>1290</v>
      </c>
      <c r="B318" s="6" t="s">
        <v>68</v>
      </c>
      <c r="C318" s="6" t="s">
        <v>47</v>
      </c>
      <c r="D318" s="6">
        <v>1</v>
      </c>
      <c r="E318" s="6" t="s">
        <v>1210</v>
      </c>
      <c r="K318" s="22"/>
      <c r="L318" s="22">
        <v>34.415370304313228</v>
      </c>
      <c r="M318" s="22">
        <v>37.368960690432033</v>
      </c>
      <c r="N318" s="22">
        <v>28.982761101477251</v>
      </c>
      <c r="O318" s="22">
        <v>15</v>
      </c>
      <c r="P318" s="22">
        <v>24.2586300842555</v>
      </c>
      <c r="Q318" s="22">
        <v>15</v>
      </c>
      <c r="R318" s="22">
        <v>15</v>
      </c>
      <c r="S318" s="22">
        <v>15</v>
      </c>
      <c r="T318" s="22">
        <v>15</v>
      </c>
      <c r="U318" s="22">
        <v>15</v>
      </c>
      <c r="V318" s="22">
        <v>15</v>
      </c>
      <c r="W318" s="22">
        <v>15</v>
      </c>
      <c r="X318" s="22">
        <v>15</v>
      </c>
      <c r="Y318" s="22">
        <v>15</v>
      </c>
      <c r="Z318" s="22">
        <v>15</v>
      </c>
      <c r="AA318" s="22">
        <v>15</v>
      </c>
      <c r="AB318" s="22">
        <v>15</v>
      </c>
      <c r="AC318" s="22">
        <v>15</v>
      </c>
      <c r="AD318" s="22">
        <v>15</v>
      </c>
      <c r="AE318" s="22">
        <v>15</v>
      </c>
    </row>
    <row r="319" spans="1:31" x14ac:dyDescent="0.25">
      <c r="A319" s="41" t="s">
        <v>1290</v>
      </c>
      <c r="B319" s="6" t="s">
        <v>68</v>
      </c>
      <c r="C319" s="6" t="s">
        <v>47</v>
      </c>
      <c r="D319" s="6">
        <v>1</v>
      </c>
      <c r="E319" s="6" t="s">
        <v>1211</v>
      </c>
      <c r="K319" s="22">
        <f>INDEX(Mitigation_Industry!K:K,MATCH($A319,Mitigation_Industry!$H:$H,0))</f>
        <v>41.50033849886843</v>
      </c>
      <c r="L319" s="22">
        <f>INDEX(Mitigation_Industry!L:L,MATCH($A319,Mitigation_Industry!$H:$H,0))</f>
        <v>34.415370304313228</v>
      </c>
      <c r="M319" s="22">
        <f>INDEX(Mitigation_Industry!M:M,MATCH($A319,Mitigation_Industry!$H:$H,0))</f>
        <v>37.368960690432033</v>
      </c>
      <c r="N319" s="22">
        <f>INDEX(Mitigation_Industry!N:N,MATCH($A319,Mitigation_Industry!$H:$H,0))</f>
        <v>28.982761101477251</v>
      </c>
      <c r="O319" s="22">
        <f>INDEX(Mitigation_Industry!O:O,MATCH($A319,Mitigation_Industry!$H:$H,0))</f>
        <v>15</v>
      </c>
      <c r="P319" s="22">
        <f>INDEX(Mitigation_Industry!P:P,MATCH($A319,Mitigation_Industry!$H:$H,0))</f>
        <v>24.2586300842555</v>
      </c>
      <c r="Q319" s="22">
        <f>INDEX(Mitigation_Industry!Q:Q,MATCH($A319,Mitigation_Industry!$H:$H,0))</f>
        <v>15</v>
      </c>
      <c r="R319" s="22">
        <f>INDEX(Mitigation_Industry!R:R,MATCH($A319,Mitigation_Industry!$H:$H,0))</f>
        <v>15</v>
      </c>
      <c r="S319" s="22">
        <f>INDEX(Mitigation_Industry!S:S,MATCH($A319,Mitigation_Industry!$H:$H,0))</f>
        <v>15</v>
      </c>
      <c r="T319" s="22">
        <f>INDEX(Mitigation_Industry!T:T,MATCH($A319,Mitigation_Industry!$H:$H,0))</f>
        <v>15</v>
      </c>
      <c r="U319" s="22">
        <f>INDEX(Mitigation_Industry!U:U,MATCH($A319,Mitigation_Industry!$H:$H,0))</f>
        <v>15</v>
      </c>
      <c r="V319" s="22">
        <f>INDEX(Mitigation_Industry!V:V,MATCH($A319,Mitigation_Industry!$H:$H,0))</f>
        <v>15</v>
      </c>
      <c r="W319" s="22">
        <f>INDEX(Mitigation_Industry!W:W,MATCH($A319,Mitigation_Industry!$H:$H,0))</f>
        <v>15</v>
      </c>
      <c r="X319" s="22">
        <f>INDEX(Mitigation_Industry!X:X,MATCH($A319,Mitigation_Industry!$H:$H,0))</f>
        <v>15</v>
      </c>
      <c r="Y319" s="22">
        <f>INDEX(Mitigation_Industry!Y:Y,MATCH($A319,Mitigation_Industry!$H:$H,0))</f>
        <v>15</v>
      </c>
      <c r="Z319" s="22">
        <f>INDEX(Mitigation_Industry!Z:Z,MATCH($A319,Mitigation_Industry!$H:$H,0))</f>
        <v>15</v>
      </c>
      <c r="AA319" s="22">
        <f>INDEX(Mitigation_Industry!AA:AA,MATCH($A319,Mitigation_Industry!$H:$H,0))</f>
        <v>15</v>
      </c>
      <c r="AB319" s="22">
        <f>INDEX(Mitigation_Industry!AB:AB,MATCH($A319,Mitigation_Industry!$H:$H,0))</f>
        <v>15</v>
      </c>
      <c r="AC319" s="22">
        <f>INDEX(Mitigation_Industry!AC:AC,MATCH($A319,Mitigation_Industry!$H:$H,0))</f>
        <v>15</v>
      </c>
      <c r="AD319" s="22">
        <f>INDEX(Mitigation_Industry!AD:AD,MATCH($A319,Mitigation_Industry!$H:$H,0))</f>
        <v>15</v>
      </c>
      <c r="AE319" s="22">
        <f>INDEX(Mitigation_Industry!AE:AE,MATCH($A319,Mitigation_Industry!$H:$H,0))</f>
        <v>15</v>
      </c>
    </row>
    <row r="320" spans="1:31" x14ac:dyDescent="0.25">
      <c r="A320" s="41" t="s">
        <v>1290</v>
      </c>
      <c r="B320" s="6" t="s">
        <v>68</v>
      </c>
      <c r="C320" s="6" t="s">
        <v>47</v>
      </c>
      <c r="D320" s="6">
        <v>1</v>
      </c>
      <c r="E320" s="2" t="s">
        <v>1212</v>
      </c>
      <c r="F320" s="43">
        <f>MAX(MAX(L320:AE320),-MIN(L320:AE320))</f>
        <v>0</v>
      </c>
      <c r="K320" s="44">
        <f t="shared" ref="K320:AE320" si="78">IF(ISNUMBER(K318),IF(ISNUMBER(K319),K319-K318,999999),0)</f>
        <v>0</v>
      </c>
      <c r="L320" s="44">
        <f t="shared" si="78"/>
        <v>0</v>
      </c>
      <c r="M320" s="44">
        <f t="shared" si="78"/>
        <v>0</v>
      </c>
      <c r="N320" s="44">
        <f t="shared" si="78"/>
        <v>0</v>
      </c>
      <c r="O320" s="44">
        <f t="shared" si="78"/>
        <v>0</v>
      </c>
      <c r="P320" s="44">
        <f t="shared" si="78"/>
        <v>0</v>
      </c>
      <c r="Q320" s="44">
        <f t="shared" si="78"/>
        <v>0</v>
      </c>
      <c r="R320" s="44">
        <f t="shared" si="78"/>
        <v>0</v>
      </c>
      <c r="S320" s="44">
        <f t="shared" si="78"/>
        <v>0</v>
      </c>
      <c r="T320" s="44">
        <f t="shared" si="78"/>
        <v>0</v>
      </c>
      <c r="U320" s="44">
        <f t="shared" si="78"/>
        <v>0</v>
      </c>
      <c r="V320" s="44">
        <f t="shared" si="78"/>
        <v>0</v>
      </c>
      <c r="W320" s="44">
        <f t="shared" si="78"/>
        <v>0</v>
      </c>
      <c r="X320" s="44">
        <f t="shared" si="78"/>
        <v>0</v>
      </c>
      <c r="Y320" s="44">
        <f t="shared" si="78"/>
        <v>0</v>
      </c>
      <c r="Z320" s="44">
        <f t="shared" si="78"/>
        <v>0</v>
      </c>
      <c r="AA320" s="44">
        <f t="shared" si="78"/>
        <v>0</v>
      </c>
      <c r="AB320" s="44">
        <f t="shared" si="78"/>
        <v>0</v>
      </c>
      <c r="AC320" s="44">
        <f t="shared" si="78"/>
        <v>0</v>
      </c>
      <c r="AD320" s="44">
        <f t="shared" si="78"/>
        <v>0</v>
      </c>
      <c r="AE320" s="44">
        <f t="shared" si="78"/>
        <v>0</v>
      </c>
    </row>
    <row r="322" spans="1:31" x14ac:dyDescent="0.25">
      <c r="A322" s="41" t="s">
        <v>1291</v>
      </c>
      <c r="B322" s="6" t="s">
        <v>71</v>
      </c>
      <c r="C322" s="6" t="s">
        <v>47</v>
      </c>
      <c r="D322" s="6">
        <v>1</v>
      </c>
      <c r="E322" s="6" t="s">
        <v>1210</v>
      </c>
      <c r="K322" s="22"/>
      <c r="L322" s="22">
        <v>14.199528390634921</v>
      </c>
      <c r="M322" s="22">
        <v>13.840441613315161</v>
      </c>
      <c r="N322" s="22">
        <v>13.5677269404465</v>
      </c>
      <c r="O322" s="22">
        <v>13.5677269404465</v>
      </c>
      <c r="P322" s="22">
        <v>13.5677269404465</v>
      </c>
      <c r="Q322" s="22">
        <v>13.5677269404465</v>
      </c>
      <c r="R322" s="22">
        <v>13.5677269404465</v>
      </c>
      <c r="S322" s="22">
        <v>13.5677269404465</v>
      </c>
      <c r="T322" s="22">
        <v>13.5677269404465</v>
      </c>
      <c r="U322" s="22">
        <v>13.5677269404465</v>
      </c>
      <c r="V322" s="22">
        <v>13.5677269404465</v>
      </c>
      <c r="W322" s="22">
        <v>13.5677269404465</v>
      </c>
      <c r="X322" s="22">
        <v>13.5677269404465</v>
      </c>
      <c r="Y322" s="22">
        <v>13.5677269404465</v>
      </c>
      <c r="Z322" s="22">
        <v>13.5677269404465</v>
      </c>
      <c r="AA322" s="22">
        <v>13.5677269404465</v>
      </c>
      <c r="AB322" s="22">
        <v>13.5677269404465</v>
      </c>
      <c r="AC322" s="22">
        <v>13.5677269404465</v>
      </c>
      <c r="AD322" s="22">
        <v>13.5677269404465</v>
      </c>
      <c r="AE322" s="22">
        <v>13.5677269404465</v>
      </c>
    </row>
    <row r="323" spans="1:31" x14ac:dyDescent="0.25">
      <c r="A323" s="41" t="s">
        <v>1291</v>
      </c>
      <c r="B323" s="6" t="s">
        <v>71</v>
      </c>
      <c r="C323" s="6" t="s">
        <v>47</v>
      </c>
      <c r="D323" s="6">
        <v>1</v>
      </c>
      <c r="E323" s="6" t="s">
        <v>1211</v>
      </c>
      <c r="K323" s="22">
        <f>INDEX(Mitigation_Industry!K:K,MATCH($A323,Mitigation_Industry!$H:$H,0))</f>
        <v>15.33455052931693</v>
      </c>
      <c r="L323" s="22">
        <f>INDEX(Mitigation_Industry!L:L,MATCH($A323,Mitigation_Industry!$H:$H,0))</f>
        <v>14.199528390634921</v>
      </c>
      <c r="M323" s="22">
        <f>INDEX(Mitigation_Industry!M:M,MATCH($A323,Mitigation_Industry!$H:$H,0))</f>
        <v>13.840441613315161</v>
      </c>
      <c r="N323" s="22">
        <f>INDEX(Mitigation_Industry!N:N,MATCH($A323,Mitigation_Industry!$H:$H,0))</f>
        <v>13.5677269404465</v>
      </c>
      <c r="O323" s="22">
        <f>INDEX(Mitigation_Industry!O:O,MATCH($A323,Mitigation_Industry!$H:$H,0))</f>
        <v>13.5677269404465</v>
      </c>
      <c r="P323" s="22">
        <f>INDEX(Mitigation_Industry!P:P,MATCH($A323,Mitigation_Industry!$H:$H,0))</f>
        <v>13.5677269404465</v>
      </c>
      <c r="Q323" s="22">
        <f>INDEX(Mitigation_Industry!Q:Q,MATCH($A323,Mitigation_Industry!$H:$H,0))</f>
        <v>13.5677269404465</v>
      </c>
      <c r="R323" s="22">
        <f>INDEX(Mitigation_Industry!R:R,MATCH($A323,Mitigation_Industry!$H:$H,0))</f>
        <v>13.5677269404465</v>
      </c>
      <c r="S323" s="22">
        <f>INDEX(Mitigation_Industry!S:S,MATCH($A323,Mitigation_Industry!$H:$H,0))</f>
        <v>13.5677269404465</v>
      </c>
      <c r="T323" s="22">
        <f>INDEX(Mitigation_Industry!T:T,MATCH($A323,Mitigation_Industry!$H:$H,0))</f>
        <v>13.5677269404465</v>
      </c>
      <c r="U323" s="22">
        <f>INDEX(Mitigation_Industry!U:U,MATCH($A323,Mitigation_Industry!$H:$H,0))</f>
        <v>13.5677269404465</v>
      </c>
      <c r="V323" s="22">
        <f>INDEX(Mitigation_Industry!V:V,MATCH($A323,Mitigation_Industry!$H:$H,0))</f>
        <v>13.5677269404465</v>
      </c>
      <c r="W323" s="22">
        <f>INDEX(Mitigation_Industry!W:W,MATCH($A323,Mitigation_Industry!$H:$H,0))</f>
        <v>13.5677269404465</v>
      </c>
      <c r="X323" s="22">
        <f>INDEX(Mitigation_Industry!X:X,MATCH($A323,Mitigation_Industry!$H:$H,0))</f>
        <v>13.5677269404465</v>
      </c>
      <c r="Y323" s="22">
        <f>INDEX(Mitigation_Industry!Y:Y,MATCH($A323,Mitigation_Industry!$H:$H,0))</f>
        <v>13.5677269404465</v>
      </c>
      <c r="Z323" s="22">
        <f>INDEX(Mitigation_Industry!Z:Z,MATCH($A323,Mitigation_Industry!$H:$H,0))</f>
        <v>13.5677269404465</v>
      </c>
      <c r="AA323" s="22">
        <f>INDEX(Mitigation_Industry!AA:AA,MATCH($A323,Mitigation_Industry!$H:$H,0))</f>
        <v>13.5677269404465</v>
      </c>
      <c r="AB323" s="22">
        <f>INDEX(Mitigation_Industry!AB:AB,MATCH($A323,Mitigation_Industry!$H:$H,0))</f>
        <v>13.5677269404465</v>
      </c>
      <c r="AC323" s="22">
        <f>INDEX(Mitigation_Industry!AC:AC,MATCH($A323,Mitigation_Industry!$H:$H,0))</f>
        <v>13.5677269404465</v>
      </c>
      <c r="AD323" s="22">
        <f>INDEX(Mitigation_Industry!AD:AD,MATCH($A323,Mitigation_Industry!$H:$H,0))</f>
        <v>13.5677269404465</v>
      </c>
      <c r="AE323" s="22">
        <f>INDEX(Mitigation_Industry!AE:AE,MATCH($A323,Mitigation_Industry!$H:$H,0))</f>
        <v>13.5677269404465</v>
      </c>
    </row>
    <row r="324" spans="1:31" x14ac:dyDescent="0.25">
      <c r="A324" s="41" t="s">
        <v>1291</v>
      </c>
      <c r="B324" s="6" t="s">
        <v>71</v>
      </c>
      <c r="C324" s="6" t="s">
        <v>47</v>
      </c>
      <c r="D324" s="6">
        <v>1</v>
      </c>
      <c r="E324" s="2" t="s">
        <v>1212</v>
      </c>
      <c r="F324" s="43">
        <f>MAX(MAX(L324:AE324),-MIN(L324:AE324))</f>
        <v>0</v>
      </c>
      <c r="K324" s="44">
        <f t="shared" ref="K324:AE324" si="79">IF(ISNUMBER(K322),IF(ISNUMBER(K323),K323-K322,999999),0)</f>
        <v>0</v>
      </c>
      <c r="L324" s="44">
        <f t="shared" si="79"/>
        <v>0</v>
      </c>
      <c r="M324" s="44">
        <f t="shared" si="79"/>
        <v>0</v>
      </c>
      <c r="N324" s="44">
        <f t="shared" si="79"/>
        <v>0</v>
      </c>
      <c r="O324" s="44">
        <f t="shared" si="79"/>
        <v>0</v>
      </c>
      <c r="P324" s="44">
        <f t="shared" si="79"/>
        <v>0</v>
      </c>
      <c r="Q324" s="44">
        <f t="shared" si="79"/>
        <v>0</v>
      </c>
      <c r="R324" s="44">
        <f t="shared" si="79"/>
        <v>0</v>
      </c>
      <c r="S324" s="44">
        <f t="shared" si="79"/>
        <v>0</v>
      </c>
      <c r="T324" s="44">
        <f t="shared" si="79"/>
        <v>0</v>
      </c>
      <c r="U324" s="44">
        <f t="shared" si="79"/>
        <v>0</v>
      </c>
      <c r="V324" s="44">
        <f t="shared" si="79"/>
        <v>0</v>
      </c>
      <c r="W324" s="44">
        <f t="shared" si="79"/>
        <v>0</v>
      </c>
      <c r="X324" s="44">
        <f t="shared" si="79"/>
        <v>0</v>
      </c>
      <c r="Y324" s="44">
        <f t="shared" si="79"/>
        <v>0</v>
      </c>
      <c r="Z324" s="44">
        <f t="shared" si="79"/>
        <v>0</v>
      </c>
      <c r="AA324" s="44">
        <f t="shared" si="79"/>
        <v>0</v>
      </c>
      <c r="AB324" s="44">
        <f t="shared" si="79"/>
        <v>0</v>
      </c>
      <c r="AC324" s="44">
        <f t="shared" si="79"/>
        <v>0</v>
      </c>
      <c r="AD324" s="44">
        <f t="shared" si="79"/>
        <v>0</v>
      </c>
      <c r="AE324" s="44">
        <f t="shared" si="79"/>
        <v>0</v>
      </c>
    </row>
    <row r="326" spans="1:31" x14ac:dyDescent="0.25">
      <c r="A326" s="41" t="s">
        <v>1292</v>
      </c>
      <c r="B326" s="6" t="s">
        <v>73</v>
      </c>
      <c r="C326" s="6" t="s">
        <v>47</v>
      </c>
      <c r="D326" s="6">
        <v>1</v>
      </c>
      <c r="E326" s="6" t="s">
        <v>1210</v>
      </c>
      <c r="K326" s="22"/>
      <c r="L326" s="22">
        <v>0.14404498679319799</v>
      </c>
      <c r="M326" s="22">
        <v>0.14102040965700391</v>
      </c>
      <c r="N326" s="22">
        <v>0.13511635959447599</v>
      </c>
      <c r="O326" s="22">
        <v>0.13098825698585639</v>
      </c>
      <c r="P326" s="22">
        <v>0.12790841608631831</v>
      </c>
      <c r="Q326" s="22">
        <v>0.124814310557813</v>
      </c>
      <c r="R326" s="22">
        <v>0.1214602571228779</v>
      </c>
      <c r="S326" s="22">
        <v>0.1179507441357863</v>
      </c>
      <c r="T326" s="22">
        <v>0.1141991610445974</v>
      </c>
      <c r="U326" s="22">
        <v>0.1136651000596645</v>
      </c>
      <c r="V326" s="22">
        <v>0.1130169296259568</v>
      </c>
      <c r="W326" s="22">
        <v>0.112314070507636</v>
      </c>
      <c r="X326" s="22">
        <v>0.1114220427328433</v>
      </c>
      <c r="Y326" s="22">
        <v>0.1104341236758091</v>
      </c>
      <c r="Z326" s="22">
        <v>0.10948397330447129</v>
      </c>
      <c r="AA326" s="22">
        <v>0.1083919210529401</v>
      </c>
      <c r="AB326" s="22">
        <v>0.1073544336267039</v>
      </c>
      <c r="AC326" s="22">
        <v>0.10516867544166079</v>
      </c>
      <c r="AD326" s="22">
        <v>0.1030579832560081</v>
      </c>
      <c r="AE326" s="22">
        <v>0.1009318389901144</v>
      </c>
    </row>
    <row r="327" spans="1:31" x14ac:dyDescent="0.25">
      <c r="A327" s="41" t="s">
        <v>1292</v>
      </c>
      <c r="B327" s="6" t="s">
        <v>73</v>
      </c>
      <c r="C327" s="6" t="s">
        <v>47</v>
      </c>
      <c r="D327" s="6">
        <v>1</v>
      </c>
      <c r="E327" s="6" t="s">
        <v>1211</v>
      </c>
      <c r="K327" s="22">
        <f>INDEX(Mitigation_Industry!K:K,MATCH($A327,Mitigation_Industry!$H:$H,0))</f>
        <v>0</v>
      </c>
      <c r="L327" s="22">
        <f>INDEX(Mitigation_Industry!L:L,MATCH($A327,Mitigation_Industry!$H:$H,0))</f>
        <v>0.14404498679319799</v>
      </c>
      <c r="M327" s="22">
        <f>INDEX(Mitigation_Industry!M:M,MATCH($A327,Mitigation_Industry!$H:$H,0))</f>
        <v>0.14102040965700391</v>
      </c>
      <c r="N327" s="22">
        <f>INDEX(Mitigation_Industry!N:N,MATCH($A327,Mitigation_Industry!$H:$H,0))</f>
        <v>0.13511635959447599</v>
      </c>
      <c r="O327" s="22">
        <f>INDEX(Mitigation_Industry!O:O,MATCH($A327,Mitigation_Industry!$H:$H,0))</f>
        <v>0.13098825698585639</v>
      </c>
      <c r="P327" s="22">
        <f>INDEX(Mitigation_Industry!P:P,MATCH($A327,Mitigation_Industry!$H:$H,0))</f>
        <v>0.12790841608631831</v>
      </c>
      <c r="Q327" s="22">
        <f>INDEX(Mitigation_Industry!Q:Q,MATCH($A327,Mitigation_Industry!$H:$H,0))</f>
        <v>0.124814310557813</v>
      </c>
      <c r="R327" s="22">
        <f>INDEX(Mitigation_Industry!R:R,MATCH($A327,Mitigation_Industry!$H:$H,0))</f>
        <v>0.1214602571228779</v>
      </c>
      <c r="S327" s="22">
        <f>INDEX(Mitigation_Industry!S:S,MATCH($A327,Mitigation_Industry!$H:$H,0))</f>
        <v>0.1179507441357863</v>
      </c>
      <c r="T327" s="22">
        <f>INDEX(Mitigation_Industry!T:T,MATCH($A327,Mitigation_Industry!$H:$H,0))</f>
        <v>0.1141991610445974</v>
      </c>
      <c r="U327" s="22">
        <f>INDEX(Mitigation_Industry!U:U,MATCH($A327,Mitigation_Industry!$H:$H,0))</f>
        <v>0.1136651000596645</v>
      </c>
      <c r="V327" s="22">
        <f>INDEX(Mitigation_Industry!V:V,MATCH($A327,Mitigation_Industry!$H:$H,0))</f>
        <v>0.1130169296259568</v>
      </c>
      <c r="W327" s="22">
        <f>INDEX(Mitigation_Industry!W:W,MATCH($A327,Mitigation_Industry!$H:$H,0))</f>
        <v>0.112314070507636</v>
      </c>
      <c r="X327" s="22">
        <f>INDEX(Mitigation_Industry!X:X,MATCH($A327,Mitigation_Industry!$H:$H,0))</f>
        <v>0.1114220427328433</v>
      </c>
      <c r="Y327" s="22">
        <f>INDEX(Mitigation_Industry!Y:Y,MATCH($A327,Mitigation_Industry!$H:$H,0))</f>
        <v>0.1104341236758091</v>
      </c>
      <c r="Z327" s="22">
        <f>INDEX(Mitigation_Industry!Z:Z,MATCH($A327,Mitigation_Industry!$H:$H,0))</f>
        <v>0.10948397330447129</v>
      </c>
      <c r="AA327" s="22">
        <f>INDEX(Mitigation_Industry!AA:AA,MATCH($A327,Mitigation_Industry!$H:$H,0))</f>
        <v>0.1083919210529401</v>
      </c>
      <c r="AB327" s="22">
        <f>INDEX(Mitigation_Industry!AB:AB,MATCH($A327,Mitigation_Industry!$H:$H,0))</f>
        <v>0.1073544336267039</v>
      </c>
      <c r="AC327" s="22">
        <f>INDEX(Mitigation_Industry!AC:AC,MATCH($A327,Mitigation_Industry!$H:$H,0))</f>
        <v>0.10516867544166079</v>
      </c>
      <c r="AD327" s="22">
        <f>INDEX(Mitigation_Industry!AD:AD,MATCH($A327,Mitigation_Industry!$H:$H,0))</f>
        <v>0.1030579832560081</v>
      </c>
      <c r="AE327" s="22">
        <f>INDEX(Mitigation_Industry!AE:AE,MATCH($A327,Mitigation_Industry!$H:$H,0))</f>
        <v>0.1009318389901144</v>
      </c>
    </row>
    <row r="328" spans="1:31" x14ac:dyDescent="0.25">
      <c r="A328" s="41" t="s">
        <v>1292</v>
      </c>
      <c r="B328" s="6" t="s">
        <v>73</v>
      </c>
      <c r="C328" s="6" t="s">
        <v>47</v>
      </c>
      <c r="D328" s="6">
        <v>1</v>
      </c>
      <c r="E328" s="2" t="s">
        <v>1212</v>
      </c>
      <c r="F328" s="43">
        <f>MAX(MAX(L328:AE328),-MIN(L328:AE328))</f>
        <v>0</v>
      </c>
      <c r="K328" s="44">
        <f t="shared" ref="K328:AE328" si="80">IF(ISNUMBER(K326),IF(ISNUMBER(K327),K327-K326,999999),0)</f>
        <v>0</v>
      </c>
      <c r="L328" s="44">
        <f t="shared" si="80"/>
        <v>0</v>
      </c>
      <c r="M328" s="44">
        <f t="shared" si="80"/>
        <v>0</v>
      </c>
      <c r="N328" s="44">
        <f t="shared" si="80"/>
        <v>0</v>
      </c>
      <c r="O328" s="44">
        <f t="shared" si="80"/>
        <v>0</v>
      </c>
      <c r="P328" s="44">
        <f t="shared" si="80"/>
        <v>0</v>
      </c>
      <c r="Q328" s="44">
        <f t="shared" si="80"/>
        <v>0</v>
      </c>
      <c r="R328" s="44">
        <f t="shared" si="80"/>
        <v>0</v>
      </c>
      <c r="S328" s="44">
        <f t="shared" si="80"/>
        <v>0</v>
      </c>
      <c r="T328" s="44">
        <f t="shared" si="80"/>
        <v>0</v>
      </c>
      <c r="U328" s="44">
        <f t="shared" si="80"/>
        <v>0</v>
      </c>
      <c r="V328" s="44">
        <f t="shared" si="80"/>
        <v>0</v>
      </c>
      <c r="W328" s="44">
        <f t="shared" si="80"/>
        <v>0</v>
      </c>
      <c r="X328" s="44">
        <f t="shared" si="80"/>
        <v>0</v>
      </c>
      <c r="Y328" s="44">
        <f t="shared" si="80"/>
        <v>0</v>
      </c>
      <c r="Z328" s="44">
        <f t="shared" si="80"/>
        <v>0</v>
      </c>
      <c r="AA328" s="44">
        <f t="shared" si="80"/>
        <v>0</v>
      </c>
      <c r="AB328" s="44">
        <f t="shared" si="80"/>
        <v>0</v>
      </c>
      <c r="AC328" s="44">
        <f t="shared" si="80"/>
        <v>0</v>
      </c>
      <c r="AD328" s="44">
        <f t="shared" si="80"/>
        <v>0</v>
      </c>
      <c r="AE328" s="44">
        <f t="shared" si="80"/>
        <v>0</v>
      </c>
    </row>
    <row r="330" spans="1:31" x14ac:dyDescent="0.25">
      <c r="A330" s="41" t="s">
        <v>1293</v>
      </c>
      <c r="B330" s="6" t="s">
        <v>53</v>
      </c>
      <c r="C330" s="6" t="s">
        <v>117</v>
      </c>
      <c r="D330" s="6">
        <v>1</v>
      </c>
      <c r="E330" s="6" t="s">
        <v>1210</v>
      </c>
      <c r="K330" s="22"/>
      <c r="L330" s="22">
        <v>10.52336134543121</v>
      </c>
      <c r="M330" s="22">
        <v>10.299560827444211</v>
      </c>
      <c r="N330" s="22">
        <v>9.5775283595382632</v>
      </c>
      <c r="O330" s="22">
        <v>8.4854782869580454</v>
      </c>
      <c r="P330" s="22">
        <v>9.0871922352498604</v>
      </c>
      <c r="Q330" s="22">
        <v>9.2229237289326811</v>
      </c>
      <c r="R330" s="22">
        <v>9.1585649555096875</v>
      </c>
      <c r="S330" s="22">
        <v>9.0895478773973775</v>
      </c>
      <c r="T330" s="22">
        <v>9.0156816660228305</v>
      </c>
      <c r="U330" s="22">
        <v>8.9443977655571061</v>
      </c>
      <c r="V330" s="22">
        <v>8.9443977655571061</v>
      </c>
      <c r="W330" s="22">
        <v>8.9443977655571061</v>
      </c>
      <c r="X330" s="22">
        <v>8.9443977655571061</v>
      </c>
      <c r="Y330" s="22">
        <v>8.9443977655571061</v>
      </c>
      <c r="Z330" s="22">
        <v>8.9443977655571061</v>
      </c>
      <c r="AA330" s="22">
        <v>8.9443977655571061</v>
      </c>
      <c r="AB330" s="22">
        <v>8.9443977655571061</v>
      </c>
      <c r="AC330" s="22">
        <v>8.9443977655571061</v>
      </c>
      <c r="AD330" s="22">
        <v>8.9443977655571061</v>
      </c>
      <c r="AE330" s="22">
        <v>8.9443977655571061</v>
      </c>
    </row>
    <row r="331" spans="1:31" x14ac:dyDescent="0.25">
      <c r="A331" s="41" t="s">
        <v>1293</v>
      </c>
      <c r="B331" s="6" t="s">
        <v>53</v>
      </c>
      <c r="C331" s="6" t="s">
        <v>117</v>
      </c>
      <c r="D331" s="6">
        <v>1</v>
      </c>
      <c r="E331" s="6" t="s">
        <v>1211</v>
      </c>
      <c r="K331" s="22">
        <f>INDEX(Mitigation_Industry!K:K,MATCH($A331,Mitigation_Industry!$H:$H,0))</f>
        <v>11.18290158924394</v>
      </c>
      <c r="L331" s="22">
        <f>INDEX(Mitigation_Industry!L:L,MATCH($A331,Mitigation_Industry!$H:$H,0))</f>
        <v>10.52336134543121</v>
      </c>
      <c r="M331" s="22">
        <f>INDEX(Mitigation_Industry!M:M,MATCH($A331,Mitigation_Industry!$H:$H,0))</f>
        <v>10.299560827444211</v>
      </c>
      <c r="N331" s="22">
        <f>INDEX(Mitigation_Industry!N:N,MATCH($A331,Mitigation_Industry!$H:$H,0))</f>
        <v>9.5775283595382632</v>
      </c>
      <c r="O331" s="22">
        <f>INDEX(Mitigation_Industry!O:O,MATCH($A331,Mitigation_Industry!$H:$H,0))</f>
        <v>8.4854782869580454</v>
      </c>
      <c r="P331" s="22">
        <f>INDEX(Mitigation_Industry!P:P,MATCH($A331,Mitigation_Industry!$H:$H,0))</f>
        <v>9.0871922352498604</v>
      </c>
      <c r="Q331" s="22">
        <f>INDEX(Mitigation_Industry!Q:Q,MATCH($A331,Mitigation_Industry!$H:$H,0))</f>
        <v>9.2229237289326811</v>
      </c>
      <c r="R331" s="22">
        <f>INDEX(Mitigation_Industry!R:R,MATCH($A331,Mitigation_Industry!$H:$H,0))</f>
        <v>9.1585649555096875</v>
      </c>
      <c r="S331" s="22">
        <f>INDEX(Mitigation_Industry!S:S,MATCH($A331,Mitigation_Industry!$H:$H,0))</f>
        <v>9.0895478773973775</v>
      </c>
      <c r="T331" s="22">
        <f>INDEX(Mitigation_Industry!T:T,MATCH($A331,Mitigation_Industry!$H:$H,0))</f>
        <v>9.0156816660228305</v>
      </c>
      <c r="U331" s="22">
        <f>INDEX(Mitigation_Industry!U:U,MATCH($A331,Mitigation_Industry!$H:$H,0))</f>
        <v>8.9443977655571061</v>
      </c>
      <c r="V331" s="22">
        <f>INDEX(Mitigation_Industry!V:V,MATCH($A331,Mitigation_Industry!$H:$H,0))</f>
        <v>8.9443977655571061</v>
      </c>
      <c r="W331" s="22">
        <f>INDEX(Mitigation_Industry!W:W,MATCH($A331,Mitigation_Industry!$H:$H,0))</f>
        <v>8.9443977655571061</v>
      </c>
      <c r="X331" s="22">
        <f>INDEX(Mitigation_Industry!X:X,MATCH($A331,Mitigation_Industry!$H:$H,0))</f>
        <v>8.9443977655571061</v>
      </c>
      <c r="Y331" s="22">
        <f>INDEX(Mitigation_Industry!Y:Y,MATCH($A331,Mitigation_Industry!$H:$H,0))</f>
        <v>8.9443977655571061</v>
      </c>
      <c r="Z331" s="22">
        <f>INDEX(Mitigation_Industry!Z:Z,MATCH($A331,Mitigation_Industry!$H:$H,0))</f>
        <v>8.9443977655571061</v>
      </c>
      <c r="AA331" s="22">
        <f>INDEX(Mitigation_Industry!AA:AA,MATCH($A331,Mitigation_Industry!$H:$H,0))</f>
        <v>8.9443977655571061</v>
      </c>
      <c r="AB331" s="22">
        <f>INDEX(Mitigation_Industry!AB:AB,MATCH($A331,Mitigation_Industry!$H:$H,0))</f>
        <v>8.9443977655571061</v>
      </c>
      <c r="AC331" s="22">
        <f>INDEX(Mitigation_Industry!AC:AC,MATCH($A331,Mitigation_Industry!$H:$H,0))</f>
        <v>8.9443977655571061</v>
      </c>
      <c r="AD331" s="22">
        <f>INDEX(Mitigation_Industry!AD:AD,MATCH($A331,Mitigation_Industry!$H:$H,0))</f>
        <v>8.9443977655571061</v>
      </c>
      <c r="AE331" s="22">
        <f>INDEX(Mitigation_Industry!AE:AE,MATCH($A331,Mitigation_Industry!$H:$H,0))</f>
        <v>8.9443977655571061</v>
      </c>
    </row>
    <row r="332" spans="1:31" x14ac:dyDescent="0.25">
      <c r="A332" s="41" t="s">
        <v>1293</v>
      </c>
      <c r="B332" s="6" t="s">
        <v>53</v>
      </c>
      <c r="C332" s="6" t="s">
        <v>117</v>
      </c>
      <c r="D332" s="6">
        <v>1</v>
      </c>
      <c r="E332" s="2" t="s">
        <v>1212</v>
      </c>
      <c r="F332" s="43">
        <f>MAX(MAX(L332:AE332),-MIN(L332:AE332))</f>
        <v>0</v>
      </c>
      <c r="K332" s="44">
        <f t="shared" ref="K332:AE332" si="81">IF(ISNUMBER(K330),IF(ISNUMBER(K331),K331-K330,999999),0)</f>
        <v>0</v>
      </c>
      <c r="L332" s="44">
        <f t="shared" si="81"/>
        <v>0</v>
      </c>
      <c r="M332" s="44">
        <f t="shared" si="81"/>
        <v>0</v>
      </c>
      <c r="N332" s="44">
        <f t="shared" si="81"/>
        <v>0</v>
      </c>
      <c r="O332" s="44">
        <f t="shared" si="81"/>
        <v>0</v>
      </c>
      <c r="P332" s="44">
        <f t="shared" si="81"/>
        <v>0</v>
      </c>
      <c r="Q332" s="44">
        <f t="shared" si="81"/>
        <v>0</v>
      </c>
      <c r="R332" s="44">
        <f t="shared" si="81"/>
        <v>0</v>
      </c>
      <c r="S332" s="44">
        <f t="shared" si="81"/>
        <v>0</v>
      </c>
      <c r="T332" s="44">
        <f t="shared" si="81"/>
        <v>0</v>
      </c>
      <c r="U332" s="44">
        <f t="shared" si="81"/>
        <v>0</v>
      </c>
      <c r="V332" s="44">
        <f t="shared" si="81"/>
        <v>0</v>
      </c>
      <c r="W332" s="44">
        <f t="shared" si="81"/>
        <v>0</v>
      </c>
      <c r="X332" s="44">
        <f t="shared" si="81"/>
        <v>0</v>
      </c>
      <c r="Y332" s="44">
        <f t="shared" si="81"/>
        <v>0</v>
      </c>
      <c r="Z332" s="44">
        <f t="shared" si="81"/>
        <v>0</v>
      </c>
      <c r="AA332" s="44">
        <f t="shared" si="81"/>
        <v>0</v>
      </c>
      <c r="AB332" s="44">
        <f t="shared" si="81"/>
        <v>0</v>
      </c>
      <c r="AC332" s="44">
        <f t="shared" si="81"/>
        <v>0</v>
      </c>
      <c r="AD332" s="44">
        <f t="shared" si="81"/>
        <v>0</v>
      </c>
      <c r="AE332" s="44">
        <f t="shared" si="81"/>
        <v>0</v>
      </c>
    </row>
    <row r="334" spans="1:31" x14ac:dyDescent="0.25">
      <c r="A334" s="41" t="s">
        <v>1294</v>
      </c>
      <c r="B334" s="6" t="s">
        <v>57</v>
      </c>
      <c r="C334" s="6" t="s">
        <v>117</v>
      </c>
      <c r="D334" s="6">
        <v>1</v>
      </c>
      <c r="E334" s="6" t="s">
        <v>1210</v>
      </c>
      <c r="K334" s="22"/>
      <c r="L334" s="22">
        <v>5.4510150816191896</v>
      </c>
      <c r="M334" s="22">
        <v>5.1193563062624818</v>
      </c>
      <c r="N334" s="22">
        <v>5.0821845864040727</v>
      </c>
      <c r="O334" s="22">
        <v>5.0821845864040727</v>
      </c>
      <c r="P334" s="22">
        <v>5.0821845864040727</v>
      </c>
      <c r="Q334" s="22">
        <v>5.0821845864040727</v>
      </c>
      <c r="R334" s="22">
        <v>5.0821845864040727</v>
      </c>
      <c r="S334" s="22">
        <v>5.0821845864040727</v>
      </c>
      <c r="T334" s="22">
        <v>5.0821845864040727</v>
      </c>
      <c r="U334" s="22">
        <v>5.0821845864040727</v>
      </c>
      <c r="V334" s="22">
        <v>5.0821845864040727</v>
      </c>
      <c r="W334" s="22">
        <v>5.0821845864040727</v>
      </c>
      <c r="X334" s="22">
        <v>5.0821845864040727</v>
      </c>
      <c r="Y334" s="22">
        <v>5.0821845864040727</v>
      </c>
      <c r="Z334" s="22">
        <v>5.0821845864040727</v>
      </c>
      <c r="AA334" s="22">
        <v>5.0821845864040727</v>
      </c>
      <c r="AB334" s="22">
        <v>5.0821845864040727</v>
      </c>
      <c r="AC334" s="22">
        <v>5.0821845864040727</v>
      </c>
      <c r="AD334" s="22">
        <v>5.0821845864040727</v>
      </c>
      <c r="AE334" s="22">
        <v>5.0821845864040727</v>
      </c>
    </row>
    <row r="335" spans="1:31" x14ac:dyDescent="0.25">
      <c r="A335" s="41" t="s">
        <v>1294</v>
      </c>
      <c r="B335" s="6" t="s">
        <v>57</v>
      </c>
      <c r="C335" s="6" t="s">
        <v>117</v>
      </c>
      <c r="D335" s="6">
        <v>1</v>
      </c>
      <c r="E335" s="6" t="s">
        <v>1211</v>
      </c>
      <c r="K335" s="22">
        <f>INDEX(Mitigation_Industry!K:K,MATCH($A335,Mitigation_Industry!$H:$H,0))</f>
        <v>6.0634636156729131</v>
      </c>
      <c r="L335" s="22">
        <f>INDEX(Mitigation_Industry!L:L,MATCH($A335,Mitigation_Industry!$H:$H,0))</f>
        <v>5.4510150816191896</v>
      </c>
      <c r="M335" s="22">
        <f>INDEX(Mitigation_Industry!M:M,MATCH($A335,Mitigation_Industry!$H:$H,0))</f>
        <v>5.1193563062624818</v>
      </c>
      <c r="N335" s="22">
        <f>INDEX(Mitigation_Industry!N:N,MATCH($A335,Mitigation_Industry!$H:$H,0))</f>
        <v>5.0821845864040727</v>
      </c>
      <c r="O335" s="22">
        <f>INDEX(Mitigation_Industry!O:O,MATCH($A335,Mitigation_Industry!$H:$H,0))</f>
        <v>5.0821845864040727</v>
      </c>
      <c r="P335" s="22">
        <f>INDEX(Mitigation_Industry!P:P,MATCH($A335,Mitigation_Industry!$H:$H,0))</f>
        <v>5.0821845864040727</v>
      </c>
      <c r="Q335" s="22">
        <f>INDEX(Mitigation_Industry!Q:Q,MATCH($A335,Mitigation_Industry!$H:$H,0))</f>
        <v>5.0821845864040727</v>
      </c>
      <c r="R335" s="22">
        <f>INDEX(Mitigation_Industry!R:R,MATCH($A335,Mitigation_Industry!$H:$H,0))</f>
        <v>5.0821845864040727</v>
      </c>
      <c r="S335" s="22">
        <f>INDEX(Mitigation_Industry!S:S,MATCH($A335,Mitigation_Industry!$H:$H,0))</f>
        <v>5.0821845864040727</v>
      </c>
      <c r="T335" s="22">
        <f>INDEX(Mitigation_Industry!T:T,MATCH($A335,Mitigation_Industry!$H:$H,0))</f>
        <v>5.0821845864040727</v>
      </c>
      <c r="U335" s="22">
        <f>INDEX(Mitigation_Industry!U:U,MATCH($A335,Mitigation_Industry!$H:$H,0))</f>
        <v>5.0821845864040727</v>
      </c>
      <c r="V335" s="22">
        <f>INDEX(Mitigation_Industry!V:V,MATCH($A335,Mitigation_Industry!$H:$H,0))</f>
        <v>5.0821845864040727</v>
      </c>
      <c r="W335" s="22">
        <f>INDEX(Mitigation_Industry!W:W,MATCH($A335,Mitigation_Industry!$H:$H,0))</f>
        <v>5.0821845864040727</v>
      </c>
      <c r="X335" s="22">
        <f>INDEX(Mitigation_Industry!X:X,MATCH($A335,Mitigation_Industry!$H:$H,0))</f>
        <v>5.0821845864040727</v>
      </c>
      <c r="Y335" s="22">
        <f>INDEX(Mitigation_Industry!Y:Y,MATCH($A335,Mitigation_Industry!$H:$H,0))</f>
        <v>5.0821845864040727</v>
      </c>
      <c r="Z335" s="22">
        <f>INDEX(Mitigation_Industry!Z:Z,MATCH($A335,Mitigation_Industry!$H:$H,0))</f>
        <v>5.0821845864040727</v>
      </c>
      <c r="AA335" s="22">
        <f>INDEX(Mitigation_Industry!AA:AA,MATCH($A335,Mitigation_Industry!$H:$H,0))</f>
        <v>5.0821845864040727</v>
      </c>
      <c r="AB335" s="22">
        <f>INDEX(Mitigation_Industry!AB:AB,MATCH($A335,Mitigation_Industry!$H:$H,0))</f>
        <v>5.0821845864040727</v>
      </c>
      <c r="AC335" s="22">
        <f>INDEX(Mitigation_Industry!AC:AC,MATCH($A335,Mitigation_Industry!$H:$H,0))</f>
        <v>5.0821845864040727</v>
      </c>
      <c r="AD335" s="22">
        <f>INDEX(Mitigation_Industry!AD:AD,MATCH($A335,Mitigation_Industry!$H:$H,0))</f>
        <v>5.0821845864040727</v>
      </c>
      <c r="AE335" s="22">
        <f>INDEX(Mitigation_Industry!AE:AE,MATCH($A335,Mitigation_Industry!$H:$H,0))</f>
        <v>5.0821845864040727</v>
      </c>
    </row>
    <row r="336" spans="1:31" x14ac:dyDescent="0.25">
      <c r="A336" s="41" t="s">
        <v>1294</v>
      </c>
      <c r="B336" s="6" t="s">
        <v>57</v>
      </c>
      <c r="C336" s="6" t="s">
        <v>117</v>
      </c>
      <c r="D336" s="6">
        <v>1</v>
      </c>
      <c r="E336" s="2" t="s">
        <v>1212</v>
      </c>
      <c r="F336" s="43">
        <f>MAX(MAX(L336:AE336),-MIN(L336:AE336))</f>
        <v>0</v>
      </c>
      <c r="K336" s="44">
        <f t="shared" ref="K336:AE336" si="82">IF(ISNUMBER(K334),IF(ISNUMBER(K335),K335-K334,999999),0)</f>
        <v>0</v>
      </c>
      <c r="L336" s="44">
        <f t="shared" si="82"/>
        <v>0</v>
      </c>
      <c r="M336" s="44">
        <f t="shared" si="82"/>
        <v>0</v>
      </c>
      <c r="N336" s="44">
        <f t="shared" si="82"/>
        <v>0</v>
      </c>
      <c r="O336" s="44">
        <f t="shared" si="82"/>
        <v>0</v>
      </c>
      <c r="P336" s="44">
        <f t="shared" si="82"/>
        <v>0</v>
      </c>
      <c r="Q336" s="44">
        <f t="shared" si="82"/>
        <v>0</v>
      </c>
      <c r="R336" s="44">
        <f t="shared" si="82"/>
        <v>0</v>
      </c>
      <c r="S336" s="44">
        <f t="shared" si="82"/>
        <v>0</v>
      </c>
      <c r="T336" s="44">
        <f t="shared" si="82"/>
        <v>0</v>
      </c>
      <c r="U336" s="44">
        <f t="shared" si="82"/>
        <v>0</v>
      </c>
      <c r="V336" s="44">
        <f t="shared" si="82"/>
        <v>0</v>
      </c>
      <c r="W336" s="44">
        <f t="shared" si="82"/>
        <v>0</v>
      </c>
      <c r="X336" s="44">
        <f t="shared" si="82"/>
        <v>0</v>
      </c>
      <c r="Y336" s="44">
        <f t="shared" si="82"/>
        <v>0</v>
      </c>
      <c r="Z336" s="44">
        <f t="shared" si="82"/>
        <v>0</v>
      </c>
      <c r="AA336" s="44">
        <f t="shared" si="82"/>
        <v>0</v>
      </c>
      <c r="AB336" s="44">
        <f t="shared" si="82"/>
        <v>0</v>
      </c>
      <c r="AC336" s="44">
        <f t="shared" si="82"/>
        <v>0</v>
      </c>
      <c r="AD336" s="44">
        <f t="shared" si="82"/>
        <v>0</v>
      </c>
      <c r="AE336" s="44">
        <f t="shared" si="82"/>
        <v>0</v>
      </c>
    </row>
    <row r="338" spans="1:31" x14ac:dyDescent="0.25">
      <c r="A338" s="41" t="s">
        <v>1295</v>
      </c>
      <c r="B338" s="6" t="s">
        <v>59</v>
      </c>
      <c r="C338" s="6" t="s">
        <v>117</v>
      </c>
      <c r="D338" s="6">
        <v>1</v>
      </c>
      <c r="E338" s="6" t="s">
        <v>1210</v>
      </c>
      <c r="K338" s="22"/>
      <c r="L338" s="22">
        <v>0.61197797679140631</v>
      </c>
      <c r="M338" s="22">
        <v>0.61180974964187596</v>
      </c>
      <c r="N338" s="22">
        <v>0.60358310017790551</v>
      </c>
      <c r="O338" s="22">
        <v>0.60358310017790551</v>
      </c>
      <c r="P338" s="22">
        <v>0.60358310017790551</v>
      </c>
      <c r="Q338" s="22">
        <v>0.60358310017790551</v>
      </c>
      <c r="R338" s="22">
        <v>0.60358310017790551</v>
      </c>
      <c r="S338" s="22">
        <v>0.60358310017790551</v>
      </c>
      <c r="T338" s="22">
        <v>0.60358310017790551</v>
      </c>
      <c r="U338" s="22">
        <v>0.60358310017790551</v>
      </c>
      <c r="V338" s="22">
        <v>0.60358310017790551</v>
      </c>
      <c r="W338" s="22">
        <v>0.60358310017790551</v>
      </c>
      <c r="X338" s="22">
        <v>0.60358310017790551</v>
      </c>
      <c r="Y338" s="22">
        <v>0.60358310017790551</v>
      </c>
      <c r="Z338" s="22">
        <v>0.60358310017790551</v>
      </c>
      <c r="AA338" s="22">
        <v>0.60358310017790551</v>
      </c>
      <c r="AB338" s="22">
        <v>0.60358310017790551</v>
      </c>
      <c r="AC338" s="22">
        <v>0.60358310017790551</v>
      </c>
      <c r="AD338" s="22">
        <v>0.60358310017790551</v>
      </c>
      <c r="AE338" s="22">
        <v>0.60358310017790551</v>
      </c>
    </row>
    <row r="339" spans="1:31" x14ac:dyDescent="0.25">
      <c r="A339" s="41" t="s">
        <v>1295</v>
      </c>
      <c r="B339" s="6" t="s">
        <v>59</v>
      </c>
      <c r="C339" s="6" t="s">
        <v>117</v>
      </c>
      <c r="D339" s="6">
        <v>1</v>
      </c>
      <c r="E339" s="6" t="s">
        <v>1211</v>
      </c>
      <c r="K339" s="22">
        <f>INDEX(Mitigation_Industry!K:K,MATCH($A339,Mitigation_Industry!$H:$H,0))</f>
        <v>0.67114653332181606</v>
      </c>
      <c r="L339" s="22">
        <f>INDEX(Mitigation_Industry!L:L,MATCH($A339,Mitigation_Industry!$H:$H,0))</f>
        <v>0.61197797679140631</v>
      </c>
      <c r="M339" s="22">
        <f>INDEX(Mitigation_Industry!M:M,MATCH($A339,Mitigation_Industry!$H:$H,0))</f>
        <v>0.61180974964187596</v>
      </c>
      <c r="N339" s="22">
        <f>INDEX(Mitigation_Industry!N:N,MATCH($A339,Mitigation_Industry!$H:$H,0))</f>
        <v>0.60358310017790551</v>
      </c>
      <c r="O339" s="22">
        <f>INDEX(Mitigation_Industry!O:O,MATCH($A339,Mitigation_Industry!$H:$H,0))</f>
        <v>0.60358310017790551</v>
      </c>
      <c r="P339" s="22">
        <f>INDEX(Mitigation_Industry!P:P,MATCH($A339,Mitigation_Industry!$H:$H,0))</f>
        <v>0.60358310017790551</v>
      </c>
      <c r="Q339" s="22">
        <f>INDEX(Mitigation_Industry!Q:Q,MATCH($A339,Mitigation_Industry!$H:$H,0))</f>
        <v>0.60358310017790551</v>
      </c>
      <c r="R339" s="22">
        <f>INDEX(Mitigation_Industry!R:R,MATCH($A339,Mitigation_Industry!$H:$H,0))</f>
        <v>0.60358310017790551</v>
      </c>
      <c r="S339" s="22">
        <f>INDEX(Mitigation_Industry!S:S,MATCH($A339,Mitigation_Industry!$H:$H,0))</f>
        <v>0.60358310017790551</v>
      </c>
      <c r="T339" s="22">
        <f>INDEX(Mitigation_Industry!T:T,MATCH($A339,Mitigation_Industry!$H:$H,0))</f>
        <v>0.60358310017790551</v>
      </c>
      <c r="U339" s="22">
        <f>INDEX(Mitigation_Industry!U:U,MATCH($A339,Mitigation_Industry!$H:$H,0))</f>
        <v>0.60358310017790551</v>
      </c>
      <c r="V339" s="22">
        <f>INDEX(Mitigation_Industry!V:V,MATCH($A339,Mitigation_Industry!$H:$H,0))</f>
        <v>0.60358310017790551</v>
      </c>
      <c r="W339" s="22">
        <f>INDEX(Mitigation_Industry!W:W,MATCH($A339,Mitigation_Industry!$H:$H,0))</f>
        <v>0.60358310017790551</v>
      </c>
      <c r="X339" s="22">
        <f>INDEX(Mitigation_Industry!X:X,MATCH($A339,Mitigation_Industry!$H:$H,0))</f>
        <v>0.60358310017790551</v>
      </c>
      <c r="Y339" s="22">
        <f>INDEX(Mitigation_Industry!Y:Y,MATCH($A339,Mitigation_Industry!$H:$H,0))</f>
        <v>0.60358310017790551</v>
      </c>
      <c r="Z339" s="22">
        <f>INDEX(Mitigation_Industry!Z:Z,MATCH($A339,Mitigation_Industry!$H:$H,0))</f>
        <v>0.60358310017790551</v>
      </c>
      <c r="AA339" s="22">
        <f>INDEX(Mitigation_Industry!AA:AA,MATCH($A339,Mitigation_Industry!$H:$H,0))</f>
        <v>0.60358310017790551</v>
      </c>
      <c r="AB339" s="22">
        <f>INDEX(Mitigation_Industry!AB:AB,MATCH($A339,Mitigation_Industry!$H:$H,0))</f>
        <v>0.60358310017790551</v>
      </c>
      <c r="AC339" s="22">
        <f>INDEX(Mitigation_Industry!AC:AC,MATCH($A339,Mitigation_Industry!$H:$H,0))</f>
        <v>0.60358310017790551</v>
      </c>
      <c r="AD339" s="22">
        <f>INDEX(Mitigation_Industry!AD:AD,MATCH($A339,Mitigation_Industry!$H:$H,0))</f>
        <v>0.60358310017790551</v>
      </c>
      <c r="AE339" s="22">
        <f>INDEX(Mitigation_Industry!AE:AE,MATCH($A339,Mitigation_Industry!$H:$H,0))</f>
        <v>0.60358310017790551</v>
      </c>
    </row>
    <row r="340" spans="1:31" x14ac:dyDescent="0.25">
      <c r="A340" s="41" t="s">
        <v>1295</v>
      </c>
      <c r="B340" s="6" t="s">
        <v>59</v>
      </c>
      <c r="C340" s="6" t="s">
        <v>117</v>
      </c>
      <c r="D340" s="6">
        <v>1</v>
      </c>
      <c r="E340" s="2" t="s">
        <v>1212</v>
      </c>
      <c r="F340" s="43">
        <f>MAX(MAX(L340:AE340),-MIN(L340:AE340))</f>
        <v>0</v>
      </c>
      <c r="K340" s="44">
        <f t="shared" ref="K340:AE340" si="83">IF(ISNUMBER(K338),IF(ISNUMBER(K339),K339-K338,999999),0)</f>
        <v>0</v>
      </c>
      <c r="L340" s="44">
        <f t="shared" si="83"/>
        <v>0</v>
      </c>
      <c r="M340" s="44">
        <f t="shared" si="83"/>
        <v>0</v>
      </c>
      <c r="N340" s="44">
        <f t="shared" si="83"/>
        <v>0</v>
      </c>
      <c r="O340" s="44">
        <f t="shared" si="83"/>
        <v>0</v>
      </c>
      <c r="P340" s="44">
        <f t="shared" si="83"/>
        <v>0</v>
      </c>
      <c r="Q340" s="44">
        <f t="shared" si="83"/>
        <v>0</v>
      </c>
      <c r="R340" s="44">
        <f t="shared" si="83"/>
        <v>0</v>
      </c>
      <c r="S340" s="44">
        <f t="shared" si="83"/>
        <v>0</v>
      </c>
      <c r="T340" s="44">
        <f t="shared" si="83"/>
        <v>0</v>
      </c>
      <c r="U340" s="44">
        <f t="shared" si="83"/>
        <v>0</v>
      </c>
      <c r="V340" s="44">
        <f t="shared" si="83"/>
        <v>0</v>
      </c>
      <c r="W340" s="44">
        <f t="shared" si="83"/>
        <v>0</v>
      </c>
      <c r="X340" s="44">
        <f t="shared" si="83"/>
        <v>0</v>
      </c>
      <c r="Y340" s="44">
        <f t="shared" si="83"/>
        <v>0</v>
      </c>
      <c r="Z340" s="44">
        <f t="shared" si="83"/>
        <v>0</v>
      </c>
      <c r="AA340" s="44">
        <f t="shared" si="83"/>
        <v>0</v>
      </c>
      <c r="AB340" s="44">
        <f t="shared" si="83"/>
        <v>0</v>
      </c>
      <c r="AC340" s="44">
        <f t="shared" si="83"/>
        <v>0</v>
      </c>
      <c r="AD340" s="44">
        <f t="shared" si="83"/>
        <v>0</v>
      </c>
      <c r="AE340" s="44">
        <f t="shared" si="83"/>
        <v>0</v>
      </c>
    </row>
    <row r="342" spans="1:31" x14ac:dyDescent="0.25">
      <c r="A342" s="41" t="s">
        <v>1296</v>
      </c>
      <c r="B342" s="6" t="s">
        <v>62</v>
      </c>
      <c r="C342" s="6" t="s">
        <v>117</v>
      </c>
      <c r="D342" s="6">
        <v>1</v>
      </c>
      <c r="E342" s="6" t="s">
        <v>1210</v>
      </c>
      <c r="K342" s="22"/>
      <c r="L342" s="22">
        <v>0.49458873084106802</v>
      </c>
      <c r="M342" s="22">
        <v>0.50778654720250049</v>
      </c>
      <c r="N342" s="22">
        <v>0.47043642679561742</v>
      </c>
      <c r="O342" s="22">
        <v>0.47043642679561742</v>
      </c>
      <c r="P342" s="22">
        <v>0.47043642679561742</v>
      </c>
      <c r="Q342" s="22">
        <v>0.47043642679561742</v>
      </c>
      <c r="R342" s="22">
        <v>0.47043642679561742</v>
      </c>
      <c r="S342" s="22">
        <v>0.47043642679561742</v>
      </c>
      <c r="T342" s="22">
        <v>0.47043642679561742</v>
      </c>
      <c r="U342" s="22">
        <v>0.47043642679561742</v>
      </c>
      <c r="V342" s="22">
        <v>0.47043642679561742</v>
      </c>
      <c r="W342" s="22">
        <v>0.47043642679561742</v>
      </c>
      <c r="X342" s="22">
        <v>0.47043642679561742</v>
      </c>
      <c r="Y342" s="22">
        <v>0.47043642679561742</v>
      </c>
      <c r="Z342" s="22">
        <v>0.47043642679561742</v>
      </c>
      <c r="AA342" s="22">
        <v>0.47043642679561742</v>
      </c>
      <c r="AB342" s="22">
        <v>0.47043642679561742</v>
      </c>
      <c r="AC342" s="22">
        <v>0.47043642679561742</v>
      </c>
      <c r="AD342" s="22">
        <v>0.47043642679561742</v>
      </c>
      <c r="AE342" s="22">
        <v>0.47043642679561742</v>
      </c>
    </row>
    <row r="343" spans="1:31" x14ac:dyDescent="0.25">
      <c r="A343" s="41" t="s">
        <v>1296</v>
      </c>
      <c r="B343" s="6" t="s">
        <v>62</v>
      </c>
      <c r="C343" s="6" t="s">
        <v>117</v>
      </c>
      <c r="D343" s="6">
        <v>1</v>
      </c>
      <c r="E343" s="6" t="s">
        <v>1211</v>
      </c>
      <c r="K343" s="22">
        <f>INDEX(Mitigation_Industry!K:K,MATCH($A343,Mitigation_Industry!$H:$H,0))</f>
        <v>0.55971121315568761</v>
      </c>
      <c r="L343" s="22">
        <f>INDEX(Mitigation_Industry!L:L,MATCH($A343,Mitigation_Industry!$H:$H,0))</f>
        <v>0.49458873084106802</v>
      </c>
      <c r="M343" s="22">
        <f>INDEX(Mitigation_Industry!M:M,MATCH($A343,Mitigation_Industry!$H:$H,0))</f>
        <v>0.50778654720250049</v>
      </c>
      <c r="N343" s="22">
        <f>INDEX(Mitigation_Industry!N:N,MATCH($A343,Mitigation_Industry!$H:$H,0))</f>
        <v>0.47043642679561742</v>
      </c>
      <c r="O343" s="22">
        <f>INDEX(Mitigation_Industry!O:O,MATCH($A343,Mitigation_Industry!$H:$H,0))</f>
        <v>0.47043642679561742</v>
      </c>
      <c r="P343" s="22">
        <f>INDEX(Mitigation_Industry!P:P,MATCH($A343,Mitigation_Industry!$H:$H,0))</f>
        <v>0.47043642679561742</v>
      </c>
      <c r="Q343" s="22">
        <f>INDEX(Mitigation_Industry!Q:Q,MATCH($A343,Mitigation_Industry!$H:$H,0))</f>
        <v>0.47043642679561742</v>
      </c>
      <c r="R343" s="22">
        <f>INDEX(Mitigation_Industry!R:R,MATCH($A343,Mitigation_Industry!$H:$H,0))</f>
        <v>0.47043642679561742</v>
      </c>
      <c r="S343" s="22">
        <f>INDEX(Mitigation_Industry!S:S,MATCH($A343,Mitigation_Industry!$H:$H,0))</f>
        <v>0.47043642679561742</v>
      </c>
      <c r="T343" s="22">
        <f>INDEX(Mitigation_Industry!T:T,MATCH($A343,Mitigation_Industry!$H:$H,0))</f>
        <v>0.47043642679561742</v>
      </c>
      <c r="U343" s="22">
        <f>INDEX(Mitigation_Industry!U:U,MATCH($A343,Mitigation_Industry!$H:$H,0))</f>
        <v>0.47043642679561742</v>
      </c>
      <c r="V343" s="22">
        <f>INDEX(Mitigation_Industry!V:V,MATCH($A343,Mitigation_Industry!$H:$H,0))</f>
        <v>0.47043642679561742</v>
      </c>
      <c r="W343" s="22">
        <f>INDEX(Mitigation_Industry!W:W,MATCH($A343,Mitigation_Industry!$H:$H,0))</f>
        <v>0.47043642679561742</v>
      </c>
      <c r="X343" s="22">
        <f>INDEX(Mitigation_Industry!X:X,MATCH($A343,Mitigation_Industry!$H:$H,0))</f>
        <v>0.47043642679561742</v>
      </c>
      <c r="Y343" s="22">
        <f>INDEX(Mitigation_Industry!Y:Y,MATCH($A343,Mitigation_Industry!$H:$H,0))</f>
        <v>0.47043642679561742</v>
      </c>
      <c r="Z343" s="22">
        <f>INDEX(Mitigation_Industry!Z:Z,MATCH($A343,Mitigation_Industry!$H:$H,0))</f>
        <v>0.47043642679561742</v>
      </c>
      <c r="AA343" s="22">
        <f>INDEX(Mitigation_Industry!AA:AA,MATCH($A343,Mitigation_Industry!$H:$H,0))</f>
        <v>0.47043642679561742</v>
      </c>
      <c r="AB343" s="22">
        <f>INDEX(Mitigation_Industry!AB:AB,MATCH($A343,Mitigation_Industry!$H:$H,0))</f>
        <v>0.47043642679561742</v>
      </c>
      <c r="AC343" s="22">
        <f>INDEX(Mitigation_Industry!AC:AC,MATCH($A343,Mitigation_Industry!$H:$H,0))</f>
        <v>0.47043642679561742</v>
      </c>
      <c r="AD343" s="22">
        <f>INDEX(Mitigation_Industry!AD:AD,MATCH($A343,Mitigation_Industry!$H:$H,0))</f>
        <v>0.47043642679561742</v>
      </c>
      <c r="AE343" s="22">
        <f>INDEX(Mitigation_Industry!AE:AE,MATCH($A343,Mitigation_Industry!$H:$H,0))</f>
        <v>0.47043642679561742</v>
      </c>
    </row>
    <row r="344" spans="1:31" x14ac:dyDescent="0.25">
      <c r="A344" s="41" t="s">
        <v>1296</v>
      </c>
      <c r="B344" s="6" t="s">
        <v>62</v>
      </c>
      <c r="C344" s="6" t="s">
        <v>117</v>
      </c>
      <c r="D344" s="6">
        <v>1</v>
      </c>
      <c r="E344" s="2" t="s">
        <v>1212</v>
      </c>
      <c r="F344" s="43">
        <f>MAX(MAX(L344:AE344),-MIN(L344:AE344))</f>
        <v>0</v>
      </c>
      <c r="K344" s="44">
        <f t="shared" ref="K344:AE344" si="84">IF(ISNUMBER(K342),IF(ISNUMBER(K343),K343-K342,999999),0)</f>
        <v>0</v>
      </c>
      <c r="L344" s="44">
        <f t="shared" si="84"/>
        <v>0</v>
      </c>
      <c r="M344" s="44">
        <f t="shared" si="84"/>
        <v>0</v>
      </c>
      <c r="N344" s="44">
        <f t="shared" si="84"/>
        <v>0</v>
      </c>
      <c r="O344" s="44">
        <f t="shared" si="84"/>
        <v>0</v>
      </c>
      <c r="P344" s="44">
        <f t="shared" si="84"/>
        <v>0</v>
      </c>
      <c r="Q344" s="44">
        <f t="shared" si="84"/>
        <v>0</v>
      </c>
      <c r="R344" s="44">
        <f t="shared" si="84"/>
        <v>0</v>
      </c>
      <c r="S344" s="44">
        <f t="shared" si="84"/>
        <v>0</v>
      </c>
      <c r="T344" s="44">
        <f t="shared" si="84"/>
        <v>0</v>
      </c>
      <c r="U344" s="44">
        <f t="shared" si="84"/>
        <v>0</v>
      </c>
      <c r="V344" s="44">
        <f t="shared" si="84"/>
        <v>0</v>
      </c>
      <c r="W344" s="44">
        <f t="shared" si="84"/>
        <v>0</v>
      </c>
      <c r="X344" s="44">
        <f t="shared" si="84"/>
        <v>0</v>
      </c>
      <c r="Y344" s="44">
        <f t="shared" si="84"/>
        <v>0</v>
      </c>
      <c r="Z344" s="44">
        <f t="shared" si="84"/>
        <v>0</v>
      </c>
      <c r="AA344" s="44">
        <f t="shared" si="84"/>
        <v>0</v>
      </c>
      <c r="AB344" s="44">
        <f t="shared" si="84"/>
        <v>0</v>
      </c>
      <c r="AC344" s="44">
        <f t="shared" si="84"/>
        <v>0</v>
      </c>
      <c r="AD344" s="44">
        <f t="shared" si="84"/>
        <v>0</v>
      </c>
      <c r="AE344" s="44">
        <f t="shared" si="84"/>
        <v>0</v>
      </c>
    </row>
    <row r="346" spans="1:31" x14ac:dyDescent="0.25">
      <c r="A346" s="41" t="s">
        <v>1297</v>
      </c>
      <c r="B346" s="6" t="s">
        <v>64</v>
      </c>
      <c r="C346" s="6" t="s">
        <v>117</v>
      </c>
      <c r="D346" s="6">
        <v>1</v>
      </c>
      <c r="E346" s="6" t="s">
        <v>1210</v>
      </c>
      <c r="K346" s="22"/>
      <c r="L346" s="22">
        <v>0.1573447362522738</v>
      </c>
      <c r="M346" s="22">
        <v>0.1644840377592767</v>
      </c>
      <c r="N346" s="22">
        <v>0.1507090778070489</v>
      </c>
      <c r="O346" s="22">
        <v>0.1507090778070489</v>
      </c>
      <c r="P346" s="22">
        <v>0.1507090778070489</v>
      </c>
      <c r="Q346" s="22">
        <v>0.1507090778070489</v>
      </c>
      <c r="R346" s="22">
        <v>0.1507090778070489</v>
      </c>
      <c r="S346" s="22">
        <v>0.1507090778070489</v>
      </c>
      <c r="T346" s="22">
        <v>0.1507090778070489</v>
      </c>
      <c r="U346" s="22">
        <v>0.1507090778070489</v>
      </c>
      <c r="V346" s="22">
        <v>0.1507090778070489</v>
      </c>
      <c r="W346" s="22">
        <v>0.1507090778070489</v>
      </c>
      <c r="X346" s="22">
        <v>0.1507090778070489</v>
      </c>
      <c r="Y346" s="22">
        <v>0.1507090778070489</v>
      </c>
      <c r="Z346" s="22">
        <v>0.1507090778070489</v>
      </c>
      <c r="AA346" s="22">
        <v>0.1507090778070489</v>
      </c>
      <c r="AB346" s="22">
        <v>0.1507090778070489</v>
      </c>
      <c r="AC346" s="22">
        <v>0.1507090778070489</v>
      </c>
      <c r="AD346" s="22">
        <v>0.1507090778070489</v>
      </c>
      <c r="AE346" s="22">
        <v>0.1507090778070489</v>
      </c>
    </row>
    <row r="347" spans="1:31" x14ac:dyDescent="0.25">
      <c r="A347" s="41" t="s">
        <v>1297</v>
      </c>
      <c r="B347" s="6" t="s">
        <v>64</v>
      </c>
      <c r="C347" s="6" t="s">
        <v>117</v>
      </c>
      <c r="D347" s="6">
        <v>1</v>
      </c>
      <c r="E347" s="6" t="s">
        <v>1211</v>
      </c>
      <c r="K347" s="22">
        <f>INDEX(Mitigation_Industry!K:K,MATCH($A347,Mitigation_Industry!$H:$H,0))</f>
        <v>0.20036669112673841</v>
      </c>
      <c r="L347" s="22">
        <f>INDEX(Mitigation_Industry!L:L,MATCH($A347,Mitigation_Industry!$H:$H,0))</f>
        <v>0.1573447362522738</v>
      </c>
      <c r="M347" s="22">
        <f>INDEX(Mitigation_Industry!M:M,MATCH($A347,Mitigation_Industry!$H:$H,0))</f>
        <v>0.1644840377592767</v>
      </c>
      <c r="N347" s="22">
        <f>INDEX(Mitigation_Industry!N:N,MATCH($A347,Mitigation_Industry!$H:$H,0))</f>
        <v>0.1507090778070489</v>
      </c>
      <c r="O347" s="22">
        <f>INDEX(Mitigation_Industry!O:O,MATCH($A347,Mitigation_Industry!$H:$H,0))</f>
        <v>0.1507090778070489</v>
      </c>
      <c r="P347" s="22">
        <f>INDEX(Mitigation_Industry!P:P,MATCH($A347,Mitigation_Industry!$H:$H,0))</f>
        <v>0.1507090778070489</v>
      </c>
      <c r="Q347" s="22">
        <f>INDEX(Mitigation_Industry!Q:Q,MATCH($A347,Mitigation_Industry!$H:$H,0))</f>
        <v>0.1507090778070489</v>
      </c>
      <c r="R347" s="22">
        <f>INDEX(Mitigation_Industry!R:R,MATCH($A347,Mitigation_Industry!$H:$H,0))</f>
        <v>0.1507090778070489</v>
      </c>
      <c r="S347" s="22">
        <f>INDEX(Mitigation_Industry!S:S,MATCH($A347,Mitigation_Industry!$H:$H,0))</f>
        <v>0.1507090778070489</v>
      </c>
      <c r="T347" s="22">
        <f>INDEX(Mitigation_Industry!T:T,MATCH($A347,Mitigation_Industry!$H:$H,0))</f>
        <v>0.1507090778070489</v>
      </c>
      <c r="U347" s="22">
        <f>INDEX(Mitigation_Industry!U:U,MATCH($A347,Mitigation_Industry!$H:$H,0))</f>
        <v>0.1507090778070489</v>
      </c>
      <c r="V347" s="22">
        <f>INDEX(Mitigation_Industry!V:V,MATCH($A347,Mitigation_Industry!$H:$H,0))</f>
        <v>0.1507090778070489</v>
      </c>
      <c r="W347" s="22">
        <f>INDEX(Mitigation_Industry!W:W,MATCH($A347,Mitigation_Industry!$H:$H,0))</f>
        <v>0.1507090778070489</v>
      </c>
      <c r="X347" s="22">
        <f>INDEX(Mitigation_Industry!X:X,MATCH($A347,Mitigation_Industry!$H:$H,0))</f>
        <v>0.1507090778070489</v>
      </c>
      <c r="Y347" s="22">
        <f>INDEX(Mitigation_Industry!Y:Y,MATCH($A347,Mitigation_Industry!$H:$H,0))</f>
        <v>0.1507090778070489</v>
      </c>
      <c r="Z347" s="22">
        <f>INDEX(Mitigation_Industry!Z:Z,MATCH($A347,Mitigation_Industry!$H:$H,0))</f>
        <v>0.1507090778070489</v>
      </c>
      <c r="AA347" s="22">
        <f>INDEX(Mitigation_Industry!AA:AA,MATCH($A347,Mitigation_Industry!$H:$H,0))</f>
        <v>0.1507090778070489</v>
      </c>
      <c r="AB347" s="22">
        <f>INDEX(Mitigation_Industry!AB:AB,MATCH($A347,Mitigation_Industry!$H:$H,0))</f>
        <v>0.1507090778070489</v>
      </c>
      <c r="AC347" s="22">
        <f>INDEX(Mitigation_Industry!AC:AC,MATCH($A347,Mitigation_Industry!$H:$H,0))</f>
        <v>0.1507090778070489</v>
      </c>
      <c r="AD347" s="22">
        <f>INDEX(Mitigation_Industry!AD:AD,MATCH($A347,Mitigation_Industry!$H:$H,0))</f>
        <v>0.1507090778070489</v>
      </c>
      <c r="AE347" s="22">
        <f>INDEX(Mitigation_Industry!AE:AE,MATCH($A347,Mitigation_Industry!$H:$H,0))</f>
        <v>0.1507090778070489</v>
      </c>
    </row>
    <row r="348" spans="1:31" x14ac:dyDescent="0.25">
      <c r="A348" s="41" t="s">
        <v>1297</v>
      </c>
      <c r="B348" s="6" t="s">
        <v>64</v>
      </c>
      <c r="C348" s="6" t="s">
        <v>117</v>
      </c>
      <c r="D348" s="6">
        <v>1</v>
      </c>
      <c r="E348" s="2" t="s">
        <v>1212</v>
      </c>
      <c r="F348" s="43">
        <f>MAX(MAX(L348:AE348),-MIN(L348:AE348))</f>
        <v>0</v>
      </c>
      <c r="K348" s="44">
        <f t="shared" ref="K348:AE348" si="85">IF(ISNUMBER(K346),IF(ISNUMBER(K347),K347-K346,999999),0)</f>
        <v>0</v>
      </c>
      <c r="L348" s="44">
        <f t="shared" si="85"/>
        <v>0</v>
      </c>
      <c r="M348" s="44">
        <f t="shared" si="85"/>
        <v>0</v>
      </c>
      <c r="N348" s="44">
        <f t="shared" si="85"/>
        <v>0</v>
      </c>
      <c r="O348" s="44">
        <f t="shared" si="85"/>
        <v>0</v>
      </c>
      <c r="P348" s="44">
        <f t="shared" si="85"/>
        <v>0</v>
      </c>
      <c r="Q348" s="44">
        <f t="shared" si="85"/>
        <v>0</v>
      </c>
      <c r="R348" s="44">
        <f t="shared" si="85"/>
        <v>0</v>
      </c>
      <c r="S348" s="44">
        <f t="shared" si="85"/>
        <v>0</v>
      </c>
      <c r="T348" s="44">
        <f t="shared" si="85"/>
        <v>0</v>
      </c>
      <c r="U348" s="44">
        <f t="shared" si="85"/>
        <v>0</v>
      </c>
      <c r="V348" s="44">
        <f t="shared" si="85"/>
        <v>0</v>
      </c>
      <c r="W348" s="44">
        <f t="shared" si="85"/>
        <v>0</v>
      </c>
      <c r="X348" s="44">
        <f t="shared" si="85"/>
        <v>0</v>
      </c>
      <c r="Y348" s="44">
        <f t="shared" si="85"/>
        <v>0</v>
      </c>
      <c r="Z348" s="44">
        <f t="shared" si="85"/>
        <v>0</v>
      </c>
      <c r="AA348" s="44">
        <f t="shared" si="85"/>
        <v>0</v>
      </c>
      <c r="AB348" s="44">
        <f t="shared" si="85"/>
        <v>0</v>
      </c>
      <c r="AC348" s="44">
        <f t="shared" si="85"/>
        <v>0</v>
      </c>
      <c r="AD348" s="44">
        <f t="shared" si="85"/>
        <v>0</v>
      </c>
      <c r="AE348" s="44">
        <f t="shared" si="85"/>
        <v>0</v>
      </c>
    </row>
    <row r="350" spans="1:31" x14ac:dyDescent="0.25">
      <c r="A350" s="41" t="s">
        <v>1298</v>
      </c>
      <c r="B350" s="6" t="s">
        <v>66</v>
      </c>
      <c r="C350" s="6" t="s">
        <v>117</v>
      </c>
      <c r="D350" s="6">
        <v>1</v>
      </c>
      <c r="E350" s="6" t="s">
        <v>1210</v>
      </c>
      <c r="K350" s="22"/>
      <c r="L350" s="22">
        <v>0.45642817050012813</v>
      </c>
      <c r="M350" s="22">
        <v>0.43168920195599519</v>
      </c>
      <c r="N350" s="22">
        <v>0.42507558395596989</v>
      </c>
      <c r="O350" s="22">
        <v>0.42507558395596989</v>
      </c>
      <c r="P350" s="22">
        <v>0.42507558395596989</v>
      </c>
      <c r="Q350" s="22">
        <v>0.42507558395596989</v>
      </c>
      <c r="R350" s="22">
        <v>0.42507558395596989</v>
      </c>
      <c r="S350" s="22">
        <v>0.42507558395596989</v>
      </c>
      <c r="T350" s="22">
        <v>0.42507558395596989</v>
      </c>
      <c r="U350" s="22">
        <v>0.42507558395596989</v>
      </c>
      <c r="V350" s="22">
        <v>0.42507558395596989</v>
      </c>
      <c r="W350" s="22">
        <v>0.42507558395596989</v>
      </c>
      <c r="X350" s="22">
        <v>0.42507558395596989</v>
      </c>
      <c r="Y350" s="22">
        <v>0.42507558395596989</v>
      </c>
      <c r="Z350" s="22">
        <v>0.42507558395596989</v>
      </c>
      <c r="AA350" s="22">
        <v>0.42507558395596989</v>
      </c>
      <c r="AB350" s="22">
        <v>0.42507558395596989</v>
      </c>
      <c r="AC350" s="22">
        <v>0.42507558395596989</v>
      </c>
      <c r="AD350" s="22">
        <v>0.42507558395596989</v>
      </c>
      <c r="AE350" s="22">
        <v>0.42507558395596989</v>
      </c>
    </row>
    <row r="351" spans="1:31" x14ac:dyDescent="0.25">
      <c r="A351" s="41" t="s">
        <v>1298</v>
      </c>
      <c r="B351" s="6" t="s">
        <v>66</v>
      </c>
      <c r="C351" s="6" t="s">
        <v>117</v>
      </c>
      <c r="D351" s="6">
        <v>1</v>
      </c>
      <c r="E351" s="6" t="s">
        <v>1211</v>
      </c>
      <c r="K351" s="22">
        <f>INDEX(Mitigation_Industry!K:K,MATCH($A351,Mitigation_Industry!$H:$H,0))</f>
        <v>0.48429424097343482</v>
      </c>
      <c r="L351" s="22">
        <f>INDEX(Mitigation_Industry!L:L,MATCH($A351,Mitigation_Industry!$H:$H,0))</f>
        <v>0.45642817050012813</v>
      </c>
      <c r="M351" s="22">
        <f>INDEX(Mitigation_Industry!M:M,MATCH($A351,Mitigation_Industry!$H:$H,0))</f>
        <v>0.43168920195599519</v>
      </c>
      <c r="N351" s="22">
        <f>INDEX(Mitigation_Industry!N:N,MATCH($A351,Mitigation_Industry!$H:$H,0))</f>
        <v>0.42507558395596989</v>
      </c>
      <c r="O351" s="22">
        <f>INDEX(Mitigation_Industry!O:O,MATCH($A351,Mitigation_Industry!$H:$H,0))</f>
        <v>0.42507558395596989</v>
      </c>
      <c r="P351" s="22">
        <f>INDEX(Mitigation_Industry!P:P,MATCH($A351,Mitigation_Industry!$H:$H,0))</f>
        <v>0.42507558395596989</v>
      </c>
      <c r="Q351" s="22">
        <f>INDEX(Mitigation_Industry!Q:Q,MATCH($A351,Mitigation_Industry!$H:$H,0))</f>
        <v>0.42507558395596989</v>
      </c>
      <c r="R351" s="22">
        <f>INDEX(Mitigation_Industry!R:R,MATCH($A351,Mitigation_Industry!$H:$H,0))</f>
        <v>0.42507558395596989</v>
      </c>
      <c r="S351" s="22">
        <f>INDEX(Mitigation_Industry!S:S,MATCH($A351,Mitigation_Industry!$H:$H,0))</f>
        <v>0.42507558395596989</v>
      </c>
      <c r="T351" s="22">
        <f>INDEX(Mitigation_Industry!T:T,MATCH($A351,Mitigation_Industry!$H:$H,0))</f>
        <v>0.42507558395596989</v>
      </c>
      <c r="U351" s="22">
        <f>INDEX(Mitigation_Industry!U:U,MATCH($A351,Mitigation_Industry!$H:$H,0))</f>
        <v>0.42507558395596989</v>
      </c>
      <c r="V351" s="22">
        <f>INDEX(Mitigation_Industry!V:V,MATCH($A351,Mitigation_Industry!$H:$H,0))</f>
        <v>0.42507558395596989</v>
      </c>
      <c r="W351" s="22">
        <f>INDEX(Mitigation_Industry!W:W,MATCH($A351,Mitigation_Industry!$H:$H,0))</f>
        <v>0.42507558395596989</v>
      </c>
      <c r="X351" s="22">
        <f>INDEX(Mitigation_Industry!X:X,MATCH($A351,Mitigation_Industry!$H:$H,0))</f>
        <v>0.42507558395596989</v>
      </c>
      <c r="Y351" s="22">
        <f>INDEX(Mitigation_Industry!Y:Y,MATCH($A351,Mitigation_Industry!$H:$H,0))</f>
        <v>0.42507558395596989</v>
      </c>
      <c r="Z351" s="22">
        <f>INDEX(Mitigation_Industry!Z:Z,MATCH($A351,Mitigation_Industry!$H:$H,0))</f>
        <v>0.42507558395596989</v>
      </c>
      <c r="AA351" s="22">
        <f>INDEX(Mitigation_Industry!AA:AA,MATCH($A351,Mitigation_Industry!$H:$H,0))</f>
        <v>0.42507558395596989</v>
      </c>
      <c r="AB351" s="22">
        <f>INDEX(Mitigation_Industry!AB:AB,MATCH($A351,Mitigation_Industry!$H:$H,0))</f>
        <v>0.42507558395596989</v>
      </c>
      <c r="AC351" s="22">
        <f>INDEX(Mitigation_Industry!AC:AC,MATCH($A351,Mitigation_Industry!$H:$H,0))</f>
        <v>0.42507558395596989</v>
      </c>
      <c r="AD351" s="22">
        <f>INDEX(Mitigation_Industry!AD:AD,MATCH($A351,Mitigation_Industry!$H:$H,0))</f>
        <v>0.42507558395596989</v>
      </c>
      <c r="AE351" s="22">
        <f>INDEX(Mitigation_Industry!AE:AE,MATCH($A351,Mitigation_Industry!$H:$H,0))</f>
        <v>0.42507558395596989</v>
      </c>
    </row>
    <row r="352" spans="1:31" x14ac:dyDescent="0.25">
      <c r="A352" s="41" t="s">
        <v>1298</v>
      </c>
      <c r="B352" s="6" t="s">
        <v>66</v>
      </c>
      <c r="C352" s="6" t="s">
        <v>117</v>
      </c>
      <c r="D352" s="6">
        <v>1</v>
      </c>
      <c r="E352" s="2" t="s">
        <v>1212</v>
      </c>
      <c r="F352" s="43">
        <f>MAX(MAX(L352:AE352),-MIN(L352:AE352))</f>
        <v>0</v>
      </c>
      <c r="K352" s="44">
        <f t="shared" ref="K352:AE352" si="86">IF(ISNUMBER(K350),IF(ISNUMBER(K351),K351-K350,999999),0)</f>
        <v>0</v>
      </c>
      <c r="L352" s="44">
        <f t="shared" si="86"/>
        <v>0</v>
      </c>
      <c r="M352" s="44">
        <f t="shared" si="86"/>
        <v>0</v>
      </c>
      <c r="N352" s="44">
        <f t="shared" si="86"/>
        <v>0</v>
      </c>
      <c r="O352" s="44">
        <f t="shared" si="86"/>
        <v>0</v>
      </c>
      <c r="P352" s="44">
        <f t="shared" si="86"/>
        <v>0</v>
      </c>
      <c r="Q352" s="44">
        <f t="shared" si="86"/>
        <v>0</v>
      </c>
      <c r="R352" s="44">
        <f t="shared" si="86"/>
        <v>0</v>
      </c>
      <c r="S352" s="44">
        <f t="shared" si="86"/>
        <v>0</v>
      </c>
      <c r="T352" s="44">
        <f t="shared" si="86"/>
        <v>0</v>
      </c>
      <c r="U352" s="44">
        <f t="shared" si="86"/>
        <v>0</v>
      </c>
      <c r="V352" s="44">
        <f t="shared" si="86"/>
        <v>0</v>
      </c>
      <c r="W352" s="44">
        <f t="shared" si="86"/>
        <v>0</v>
      </c>
      <c r="X352" s="44">
        <f t="shared" si="86"/>
        <v>0</v>
      </c>
      <c r="Y352" s="44">
        <f t="shared" si="86"/>
        <v>0</v>
      </c>
      <c r="Z352" s="44">
        <f t="shared" si="86"/>
        <v>0</v>
      </c>
      <c r="AA352" s="44">
        <f t="shared" si="86"/>
        <v>0</v>
      </c>
      <c r="AB352" s="44">
        <f t="shared" si="86"/>
        <v>0</v>
      </c>
      <c r="AC352" s="44">
        <f t="shared" si="86"/>
        <v>0</v>
      </c>
      <c r="AD352" s="44">
        <f t="shared" si="86"/>
        <v>0</v>
      </c>
      <c r="AE352" s="44">
        <f t="shared" si="86"/>
        <v>0</v>
      </c>
    </row>
    <row r="354" spans="1:31" x14ac:dyDescent="0.25">
      <c r="A354" s="41" t="s">
        <v>1299</v>
      </c>
      <c r="B354" s="6" t="s">
        <v>68</v>
      </c>
      <c r="C354" s="6" t="s">
        <v>117</v>
      </c>
      <c r="D354" s="6">
        <v>1</v>
      </c>
      <c r="E354" s="6" t="s">
        <v>1210</v>
      </c>
      <c r="K354" s="22"/>
      <c r="L354" s="22">
        <v>34.415370304313228</v>
      </c>
      <c r="M354" s="22">
        <v>37.368960690432033</v>
      </c>
      <c r="N354" s="22">
        <v>28.982761101477251</v>
      </c>
      <c r="O354" s="22">
        <v>15</v>
      </c>
      <c r="P354" s="22">
        <v>24.2586300842555</v>
      </c>
      <c r="Q354" s="22">
        <v>15</v>
      </c>
      <c r="R354" s="22">
        <v>15</v>
      </c>
      <c r="S354" s="22">
        <v>15</v>
      </c>
      <c r="T354" s="22">
        <v>15</v>
      </c>
      <c r="U354" s="22">
        <v>15</v>
      </c>
      <c r="V354" s="22">
        <v>15</v>
      </c>
      <c r="W354" s="22">
        <v>15</v>
      </c>
      <c r="X354" s="22">
        <v>15</v>
      </c>
      <c r="Y354" s="22">
        <v>15</v>
      </c>
      <c r="Z354" s="22">
        <v>15</v>
      </c>
      <c r="AA354" s="22">
        <v>15</v>
      </c>
      <c r="AB354" s="22">
        <v>15</v>
      </c>
      <c r="AC354" s="22">
        <v>15</v>
      </c>
      <c r="AD354" s="22">
        <v>15</v>
      </c>
      <c r="AE354" s="22">
        <v>15</v>
      </c>
    </row>
    <row r="355" spans="1:31" x14ac:dyDescent="0.25">
      <c r="A355" s="41" t="s">
        <v>1299</v>
      </c>
      <c r="B355" s="6" t="s">
        <v>68</v>
      </c>
      <c r="C355" s="6" t="s">
        <v>117</v>
      </c>
      <c r="D355" s="6">
        <v>1</v>
      </c>
      <c r="E355" s="6" t="s">
        <v>1211</v>
      </c>
      <c r="K355" s="22">
        <f>INDEX(Mitigation_Industry!K:K,MATCH($A355,Mitigation_Industry!$H:$H,0))</f>
        <v>41.50033849886843</v>
      </c>
      <c r="L355" s="22">
        <f>INDEX(Mitigation_Industry!L:L,MATCH($A355,Mitigation_Industry!$H:$H,0))</f>
        <v>34.415370304313228</v>
      </c>
      <c r="M355" s="22">
        <f>INDEX(Mitigation_Industry!M:M,MATCH($A355,Mitigation_Industry!$H:$H,0))</f>
        <v>37.368960690432033</v>
      </c>
      <c r="N355" s="22">
        <f>INDEX(Mitigation_Industry!N:N,MATCH($A355,Mitigation_Industry!$H:$H,0))</f>
        <v>28.982761101477251</v>
      </c>
      <c r="O355" s="22">
        <f>INDEX(Mitigation_Industry!O:O,MATCH($A355,Mitigation_Industry!$H:$H,0))</f>
        <v>15</v>
      </c>
      <c r="P355" s="22">
        <f>INDEX(Mitigation_Industry!P:P,MATCH($A355,Mitigation_Industry!$H:$H,0))</f>
        <v>24.2586300842555</v>
      </c>
      <c r="Q355" s="22">
        <f>INDEX(Mitigation_Industry!Q:Q,MATCH($A355,Mitigation_Industry!$H:$H,0))</f>
        <v>15</v>
      </c>
      <c r="R355" s="22">
        <f>INDEX(Mitigation_Industry!R:R,MATCH($A355,Mitigation_Industry!$H:$H,0))</f>
        <v>15</v>
      </c>
      <c r="S355" s="22">
        <f>INDEX(Mitigation_Industry!S:S,MATCH($A355,Mitigation_Industry!$H:$H,0))</f>
        <v>15</v>
      </c>
      <c r="T355" s="22">
        <f>INDEX(Mitigation_Industry!T:T,MATCH($A355,Mitigation_Industry!$H:$H,0))</f>
        <v>15</v>
      </c>
      <c r="U355" s="22">
        <f>INDEX(Mitigation_Industry!U:U,MATCH($A355,Mitigation_Industry!$H:$H,0))</f>
        <v>15</v>
      </c>
      <c r="V355" s="22">
        <f>INDEX(Mitigation_Industry!V:V,MATCH($A355,Mitigation_Industry!$H:$H,0))</f>
        <v>15</v>
      </c>
      <c r="W355" s="22">
        <f>INDEX(Mitigation_Industry!W:W,MATCH($A355,Mitigation_Industry!$H:$H,0))</f>
        <v>15</v>
      </c>
      <c r="X355" s="22">
        <f>INDEX(Mitigation_Industry!X:X,MATCH($A355,Mitigation_Industry!$H:$H,0))</f>
        <v>15</v>
      </c>
      <c r="Y355" s="22">
        <f>INDEX(Mitigation_Industry!Y:Y,MATCH($A355,Mitigation_Industry!$H:$H,0))</f>
        <v>15</v>
      </c>
      <c r="Z355" s="22">
        <f>INDEX(Mitigation_Industry!Z:Z,MATCH($A355,Mitigation_Industry!$H:$H,0))</f>
        <v>15</v>
      </c>
      <c r="AA355" s="22">
        <f>INDEX(Mitigation_Industry!AA:AA,MATCH($A355,Mitigation_Industry!$H:$H,0))</f>
        <v>15</v>
      </c>
      <c r="AB355" s="22">
        <f>INDEX(Mitigation_Industry!AB:AB,MATCH($A355,Mitigation_Industry!$H:$H,0))</f>
        <v>15</v>
      </c>
      <c r="AC355" s="22">
        <f>INDEX(Mitigation_Industry!AC:AC,MATCH($A355,Mitigation_Industry!$H:$H,0))</f>
        <v>15</v>
      </c>
      <c r="AD355" s="22">
        <f>INDEX(Mitigation_Industry!AD:AD,MATCH($A355,Mitigation_Industry!$H:$H,0))</f>
        <v>15</v>
      </c>
      <c r="AE355" s="22">
        <f>INDEX(Mitigation_Industry!AE:AE,MATCH($A355,Mitigation_Industry!$H:$H,0))</f>
        <v>15</v>
      </c>
    </row>
    <row r="356" spans="1:31" x14ac:dyDescent="0.25">
      <c r="A356" s="41" t="s">
        <v>1299</v>
      </c>
      <c r="B356" s="6" t="s">
        <v>68</v>
      </c>
      <c r="C356" s="6" t="s">
        <v>117</v>
      </c>
      <c r="D356" s="6">
        <v>1</v>
      </c>
      <c r="E356" s="2" t="s">
        <v>1212</v>
      </c>
      <c r="F356" s="43">
        <f>MAX(MAX(L356:AE356),-MIN(L356:AE356))</f>
        <v>0</v>
      </c>
      <c r="K356" s="44">
        <f t="shared" ref="K356:AE356" si="87">IF(ISNUMBER(K354),IF(ISNUMBER(K355),K355-K354,999999),0)</f>
        <v>0</v>
      </c>
      <c r="L356" s="44">
        <f t="shared" si="87"/>
        <v>0</v>
      </c>
      <c r="M356" s="44">
        <f t="shared" si="87"/>
        <v>0</v>
      </c>
      <c r="N356" s="44">
        <f t="shared" si="87"/>
        <v>0</v>
      </c>
      <c r="O356" s="44">
        <f t="shared" si="87"/>
        <v>0</v>
      </c>
      <c r="P356" s="44">
        <f t="shared" si="87"/>
        <v>0</v>
      </c>
      <c r="Q356" s="44">
        <f t="shared" si="87"/>
        <v>0</v>
      </c>
      <c r="R356" s="44">
        <f t="shared" si="87"/>
        <v>0</v>
      </c>
      <c r="S356" s="44">
        <f t="shared" si="87"/>
        <v>0</v>
      </c>
      <c r="T356" s="44">
        <f t="shared" si="87"/>
        <v>0</v>
      </c>
      <c r="U356" s="44">
        <f t="shared" si="87"/>
        <v>0</v>
      </c>
      <c r="V356" s="44">
        <f t="shared" si="87"/>
        <v>0</v>
      </c>
      <c r="W356" s="44">
        <f t="shared" si="87"/>
        <v>0</v>
      </c>
      <c r="X356" s="44">
        <f t="shared" si="87"/>
        <v>0</v>
      </c>
      <c r="Y356" s="44">
        <f t="shared" si="87"/>
        <v>0</v>
      </c>
      <c r="Z356" s="44">
        <f t="shared" si="87"/>
        <v>0</v>
      </c>
      <c r="AA356" s="44">
        <f t="shared" si="87"/>
        <v>0</v>
      </c>
      <c r="AB356" s="44">
        <f t="shared" si="87"/>
        <v>0</v>
      </c>
      <c r="AC356" s="44">
        <f t="shared" si="87"/>
        <v>0</v>
      </c>
      <c r="AD356" s="44">
        <f t="shared" si="87"/>
        <v>0</v>
      </c>
      <c r="AE356" s="44">
        <f t="shared" si="87"/>
        <v>0</v>
      </c>
    </row>
    <row r="358" spans="1:31" x14ac:dyDescent="0.25">
      <c r="A358" s="41" t="s">
        <v>1300</v>
      </c>
      <c r="B358" s="6" t="s">
        <v>71</v>
      </c>
      <c r="C358" s="6" t="s">
        <v>117</v>
      </c>
      <c r="D358" s="6">
        <v>1</v>
      </c>
      <c r="E358" s="6" t="s">
        <v>1210</v>
      </c>
      <c r="K358" s="22"/>
      <c r="L358" s="22">
        <v>14.199528390634921</v>
      </c>
      <c r="M358" s="22">
        <v>13.840441613315161</v>
      </c>
      <c r="N358" s="22">
        <v>13.5677269404465</v>
      </c>
      <c r="O358" s="22">
        <v>13.5677269404465</v>
      </c>
      <c r="P358" s="22">
        <v>13.5677269404465</v>
      </c>
      <c r="Q358" s="22">
        <v>13.5677269404465</v>
      </c>
      <c r="R358" s="22">
        <v>13.5677269404465</v>
      </c>
      <c r="S358" s="22">
        <v>13.5677269404465</v>
      </c>
      <c r="T358" s="22">
        <v>13.5677269404465</v>
      </c>
      <c r="U358" s="22">
        <v>13.5677269404465</v>
      </c>
      <c r="V358" s="22">
        <v>13.5677269404465</v>
      </c>
      <c r="W358" s="22">
        <v>13.5677269404465</v>
      </c>
      <c r="X358" s="22">
        <v>13.5677269404465</v>
      </c>
      <c r="Y358" s="22">
        <v>13.5677269404465</v>
      </c>
      <c r="Z358" s="22">
        <v>13.5677269404465</v>
      </c>
      <c r="AA358" s="22">
        <v>13.5677269404465</v>
      </c>
      <c r="AB358" s="22">
        <v>13.5677269404465</v>
      </c>
      <c r="AC358" s="22">
        <v>13.5677269404465</v>
      </c>
      <c r="AD358" s="22">
        <v>13.5677269404465</v>
      </c>
      <c r="AE358" s="22">
        <v>13.5677269404465</v>
      </c>
    </row>
    <row r="359" spans="1:31" x14ac:dyDescent="0.25">
      <c r="A359" s="41" t="s">
        <v>1300</v>
      </c>
      <c r="B359" s="6" t="s">
        <v>71</v>
      </c>
      <c r="C359" s="6" t="s">
        <v>117</v>
      </c>
      <c r="D359" s="6">
        <v>1</v>
      </c>
      <c r="E359" s="6" t="s">
        <v>1211</v>
      </c>
      <c r="K359" s="22">
        <f>INDEX(Mitigation_Industry!K:K,MATCH($A359,Mitigation_Industry!$H:$H,0))</f>
        <v>15.33455052931693</v>
      </c>
      <c r="L359" s="22">
        <f>INDEX(Mitigation_Industry!L:L,MATCH($A359,Mitigation_Industry!$H:$H,0))</f>
        <v>14.199528390634921</v>
      </c>
      <c r="M359" s="22">
        <f>INDEX(Mitigation_Industry!M:M,MATCH($A359,Mitigation_Industry!$H:$H,0))</f>
        <v>13.840441613315161</v>
      </c>
      <c r="N359" s="22">
        <f>INDEX(Mitigation_Industry!N:N,MATCH($A359,Mitigation_Industry!$H:$H,0))</f>
        <v>13.5677269404465</v>
      </c>
      <c r="O359" s="22">
        <f>INDEX(Mitigation_Industry!O:O,MATCH($A359,Mitigation_Industry!$H:$H,0))</f>
        <v>13.5677269404465</v>
      </c>
      <c r="P359" s="22">
        <f>INDEX(Mitigation_Industry!P:P,MATCH($A359,Mitigation_Industry!$H:$H,0))</f>
        <v>13.5677269404465</v>
      </c>
      <c r="Q359" s="22">
        <f>INDEX(Mitigation_Industry!Q:Q,MATCH($A359,Mitigation_Industry!$H:$H,0))</f>
        <v>13.5677269404465</v>
      </c>
      <c r="R359" s="22">
        <f>INDEX(Mitigation_Industry!R:R,MATCH($A359,Mitigation_Industry!$H:$H,0))</f>
        <v>13.5677269404465</v>
      </c>
      <c r="S359" s="22">
        <f>INDEX(Mitigation_Industry!S:S,MATCH($A359,Mitigation_Industry!$H:$H,0))</f>
        <v>13.5677269404465</v>
      </c>
      <c r="T359" s="22">
        <f>INDEX(Mitigation_Industry!T:T,MATCH($A359,Mitigation_Industry!$H:$H,0))</f>
        <v>13.5677269404465</v>
      </c>
      <c r="U359" s="22">
        <f>INDEX(Mitigation_Industry!U:U,MATCH($A359,Mitigation_Industry!$H:$H,0))</f>
        <v>13.5677269404465</v>
      </c>
      <c r="V359" s="22">
        <f>INDEX(Mitigation_Industry!V:V,MATCH($A359,Mitigation_Industry!$H:$H,0))</f>
        <v>13.5677269404465</v>
      </c>
      <c r="W359" s="22">
        <f>INDEX(Mitigation_Industry!W:W,MATCH($A359,Mitigation_Industry!$H:$H,0))</f>
        <v>13.5677269404465</v>
      </c>
      <c r="X359" s="22">
        <f>INDEX(Mitigation_Industry!X:X,MATCH($A359,Mitigation_Industry!$H:$H,0))</f>
        <v>13.5677269404465</v>
      </c>
      <c r="Y359" s="22">
        <f>INDEX(Mitigation_Industry!Y:Y,MATCH($A359,Mitigation_Industry!$H:$H,0))</f>
        <v>13.5677269404465</v>
      </c>
      <c r="Z359" s="22">
        <f>INDEX(Mitigation_Industry!Z:Z,MATCH($A359,Mitigation_Industry!$H:$H,0))</f>
        <v>13.5677269404465</v>
      </c>
      <c r="AA359" s="22">
        <f>INDEX(Mitigation_Industry!AA:AA,MATCH($A359,Mitigation_Industry!$H:$H,0))</f>
        <v>13.5677269404465</v>
      </c>
      <c r="AB359" s="22">
        <f>INDEX(Mitigation_Industry!AB:AB,MATCH($A359,Mitigation_Industry!$H:$H,0))</f>
        <v>13.5677269404465</v>
      </c>
      <c r="AC359" s="22">
        <f>INDEX(Mitigation_Industry!AC:AC,MATCH($A359,Mitigation_Industry!$H:$H,0))</f>
        <v>13.5677269404465</v>
      </c>
      <c r="AD359" s="22">
        <f>INDEX(Mitigation_Industry!AD:AD,MATCH($A359,Mitigation_Industry!$H:$H,0))</f>
        <v>13.5677269404465</v>
      </c>
      <c r="AE359" s="22">
        <f>INDEX(Mitigation_Industry!AE:AE,MATCH($A359,Mitigation_Industry!$H:$H,0))</f>
        <v>13.5677269404465</v>
      </c>
    </row>
    <row r="360" spans="1:31" x14ac:dyDescent="0.25">
      <c r="A360" s="41" t="s">
        <v>1300</v>
      </c>
      <c r="B360" s="6" t="s">
        <v>71</v>
      </c>
      <c r="C360" s="6" t="s">
        <v>117</v>
      </c>
      <c r="D360" s="6">
        <v>1</v>
      </c>
      <c r="E360" s="2" t="s">
        <v>1212</v>
      </c>
      <c r="F360" s="43">
        <f>MAX(MAX(L360:AE360),-MIN(L360:AE360))</f>
        <v>0</v>
      </c>
      <c r="K360" s="44">
        <f t="shared" ref="K360:AE360" si="88">IF(ISNUMBER(K358),IF(ISNUMBER(K359),K359-K358,999999),0)</f>
        <v>0</v>
      </c>
      <c r="L360" s="44">
        <f t="shared" si="88"/>
        <v>0</v>
      </c>
      <c r="M360" s="44">
        <f t="shared" si="88"/>
        <v>0</v>
      </c>
      <c r="N360" s="44">
        <f t="shared" si="88"/>
        <v>0</v>
      </c>
      <c r="O360" s="44">
        <f t="shared" si="88"/>
        <v>0</v>
      </c>
      <c r="P360" s="44">
        <f t="shared" si="88"/>
        <v>0</v>
      </c>
      <c r="Q360" s="44">
        <f t="shared" si="88"/>
        <v>0</v>
      </c>
      <c r="R360" s="44">
        <f t="shared" si="88"/>
        <v>0</v>
      </c>
      <c r="S360" s="44">
        <f t="shared" si="88"/>
        <v>0</v>
      </c>
      <c r="T360" s="44">
        <f t="shared" si="88"/>
        <v>0</v>
      </c>
      <c r="U360" s="44">
        <f t="shared" si="88"/>
        <v>0</v>
      </c>
      <c r="V360" s="44">
        <f t="shared" si="88"/>
        <v>0</v>
      </c>
      <c r="W360" s="44">
        <f t="shared" si="88"/>
        <v>0</v>
      </c>
      <c r="X360" s="44">
        <f t="shared" si="88"/>
        <v>0</v>
      </c>
      <c r="Y360" s="44">
        <f t="shared" si="88"/>
        <v>0</v>
      </c>
      <c r="Z360" s="44">
        <f t="shared" si="88"/>
        <v>0</v>
      </c>
      <c r="AA360" s="44">
        <f t="shared" si="88"/>
        <v>0</v>
      </c>
      <c r="AB360" s="44">
        <f t="shared" si="88"/>
        <v>0</v>
      </c>
      <c r="AC360" s="44">
        <f t="shared" si="88"/>
        <v>0</v>
      </c>
      <c r="AD360" s="44">
        <f t="shared" si="88"/>
        <v>0</v>
      </c>
      <c r="AE360" s="44">
        <f t="shared" si="88"/>
        <v>0</v>
      </c>
    </row>
    <row r="362" spans="1:31" x14ac:dyDescent="0.25">
      <c r="A362" s="41" t="s">
        <v>1301</v>
      </c>
      <c r="B362" s="6" t="s">
        <v>73</v>
      </c>
      <c r="C362" s="6" t="s">
        <v>117</v>
      </c>
      <c r="D362" s="6">
        <v>1</v>
      </c>
      <c r="E362" s="6" t="s">
        <v>1210</v>
      </c>
      <c r="K362" s="22"/>
      <c r="L362" s="22">
        <v>0.14404498679319799</v>
      </c>
      <c r="M362" s="22">
        <v>0.14102040965700391</v>
      </c>
      <c r="N362" s="22">
        <v>0.13511635959447599</v>
      </c>
      <c r="O362" s="22">
        <v>0.13098825698585639</v>
      </c>
      <c r="P362" s="22">
        <v>0.12790841608631831</v>
      </c>
      <c r="Q362" s="22">
        <v>0.124814310557813</v>
      </c>
      <c r="R362" s="22">
        <v>0.1214602571228779</v>
      </c>
      <c r="S362" s="22">
        <v>0.1179507441357863</v>
      </c>
      <c r="T362" s="22">
        <v>0.1141991610445974</v>
      </c>
      <c r="U362" s="22">
        <v>0.1136651000596645</v>
      </c>
      <c r="V362" s="22">
        <v>0.1130169296259568</v>
      </c>
      <c r="W362" s="22">
        <v>0.112314070507636</v>
      </c>
      <c r="X362" s="22">
        <v>0.1114220427328433</v>
      </c>
      <c r="Y362" s="22">
        <v>0.1104341236758091</v>
      </c>
      <c r="Z362" s="22">
        <v>0.10948397330447129</v>
      </c>
      <c r="AA362" s="22">
        <v>0.1083919210529401</v>
      </c>
      <c r="AB362" s="22">
        <v>0.1073544336267039</v>
      </c>
      <c r="AC362" s="22">
        <v>0.10516867544166079</v>
      </c>
      <c r="AD362" s="22">
        <v>0.1030579832560081</v>
      </c>
      <c r="AE362" s="22">
        <v>0.1009318389901144</v>
      </c>
    </row>
    <row r="363" spans="1:31" x14ac:dyDescent="0.25">
      <c r="A363" s="41" t="s">
        <v>1301</v>
      </c>
      <c r="B363" s="6" t="s">
        <v>73</v>
      </c>
      <c r="C363" s="6" t="s">
        <v>117</v>
      </c>
      <c r="D363" s="6">
        <v>1</v>
      </c>
      <c r="E363" s="6" t="s">
        <v>1211</v>
      </c>
      <c r="K363" s="22">
        <f>INDEX(Mitigation_Industry!K:K,MATCH($A363,Mitigation_Industry!$H:$H,0))</f>
        <v>0</v>
      </c>
      <c r="L363" s="22">
        <f>INDEX(Mitigation_Industry!L:L,MATCH($A363,Mitigation_Industry!$H:$H,0))</f>
        <v>0.14404498679319799</v>
      </c>
      <c r="M363" s="22">
        <f>INDEX(Mitigation_Industry!M:M,MATCH($A363,Mitigation_Industry!$H:$H,0))</f>
        <v>0.14102040965700391</v>
      </c>
      <c r="N363" s="22">
        <f>INDEX(Mitigation_Industry!N:N,MATCH($A363,Mitigation_Industry!$H:$H,0))</f>
        <v>0.13511635959447599</v>
      </c>
      <c r="O363" s="22">
        <f>INDEX(Mitigation_Industry!O:O,MATCH($A363,Mitigation_Industry!$H:$H,0))</f>
        <v>0.13098825698585639</v>
      </c>
      <c r="P363" s="22">
        <f>INDEX(Mitigation_Industry!P:P,MATCH($A363,Mitigation_Industry!$H:$H,0))</f>
        <v>0.12790841608631831</v>
      </c>
      <c r="Q363" s="22">
        <f>INDEX(Mitigation_Industry!Q:Q,MATCH($A363,Mitigation_Industry!$H:$H,0))</f>
        <v>0.124814310557813</v>
      </c>
      <c r="R363" s="22">
        <f>INDEX(Mitigation_Industry!R:R,MATCH($A363,Mitigation_Industry!$H:$H,0))</f>
        <v>0.1214602571228779</v>
      </c>
      <c r="S363" s="22">
        <f>INDEX(Mitigation_Industry!S:S,MATCH($A363,Mitigation_Industry!$H:$H,0))</f>
        <v>0.1179507441357863</v>
      </c>
      <c r="T363" s="22">
        <f>INDEX(Mitigation_Industry!T:T,MATCH($A363,Mitigation_Industry!$H:$H,0))</f>
        <v>0.1141991610445974</v>
      </c>
      <c r="U363" s="22">
        <f>INDEX(Mitigation_Industry!U:U,MATCH($A363,Mitigation_Industry!$H:$H,0))</f>
        <v>0.1136651000596645</v>
      </c>
      <c r="V363" s="22">
        <f>INDEX(Mitigation_Industry!V:V,MATCH($A363,Mitigation_Industry!$H:$H,0))</f>
        <v>0.1130169296259568</v>
      </c>
      <c r="W363" s="22">
        <f>INDEX(Mitigation_Industry!W:W,MATCH($A363,Mitigation_Industry!$H:$H,0))</f>
        <v>0.112314070507636</v>
      </c>
      <c r="X363" s="22">
        <f>INDEX(Mitigation_Industry!X:X,MATCH($A363,Mitigation_Industry!$H:$H,0))</f>
        <v>0.1114220427328433</v>
      </c>
      <c r="Y363" s="22">
        <f>INDEX(Mitigation_Industry!Y:Y,MATCH($A363,Mitigation_Industry!$H:$H,0))</f>
        <v>0.1104341236758091</v>
      </c>
      <c r="Z363" s="22">
        <f>INDEX(Mitigation_Industry!Z:Z,MATCH($A363,Mitigation_Industry!$H:$H,0))</f>
        <v>0.10948397330447129</v>
      </c>
      <c r="AA363" s="22">
        <f>INDEX(Mitigation_Industry!AA:AA,MATCH($A363,Mitigation_Industry!$H:$H,0))</f>
        <v>0.1083919210529401</v>
      </c>
      <c r="AB363" s="22">
        <f>INDEX(Mitigation_Industry!AB:AB,MATCH($A363,Mitigation_Industry!$H:$H,0))</f>
        <v>0.1073544336267039</v>
      </c>
      <c r="AC363" s="22">
        <f>INDEX(Mitigation_Industry!AC:AC,MATCH($A363,Mitigation_Industry!$H:$H,0))</f>
        <v>0.10516867544166079</v>
      </c>
      <c r="AD363" s="22">
        <f>INDEX(Mitigation_Industry!AD:AD,MATCH($A363,Mitigation_Industry!$H:$H,0))</f>
        <v>0.1030579832560081</v>
      </c>
      <c r="AE363" s="22">
        <f>INDEX(Mitigation_Industry!AE:AE,MATCH($A363,Mitigation_Industry!$H:$H,0))</f>
        <v>0.1009318389901144</v>
      </c>
    </row>
    <row r="364" spans="1:31" x14ac:dyDescent="0.25">
      <c r="A364" s="41" t="s">
        <v>1301</v>
      </c>
      <c r="B364" s="6" t="s">
        <v>73</v>
      </c>
      <c r="C364" s="6" t="s">
        <v>117</v>
      </c>
      <c r="D364" s="6">
        <v>1</v>
      </c>
      <c r="E364" s="2" t="s">
        <v>1212</v>
      </c>
      <c r="F364" s="43">
        <f>MAX(MAX(L364:AE364),-MIN(L364:AE364))</f>
        <v>0</v>
      </c>
      <c r="K364" s="44">
        <f t="shared" ref="K364:AE364" si="89">IF(ISNUMBER(K362),IF(ISNUMBER(K363),K363-K362,999999),0)</f>
        <v>0</v>
      </c>
      <c r="L364" s="44">
        <f t="shared" si="89"/>
        <v>0</v>
      </c>
      <c r="M364" s="44">
        <f t="shared" si="89"/>
        <v>0</v>
      </c>
      <c r="N364" s="44">
        <f t="shared" si="89"/>
        <v>0</v>
      </c>
      <c r="O364" s="44">
        <f t="shared" si="89"/>
        <v>0</v>
      </c>
      <c r="P364" s="44">
        <f t="shared" si="89"/>
        <v>0</v>
      </c>
      <c r="Q364" s="44">
        <f t="shared" si="89"/>
        <v>0</v>
      </c>
      <c r="R364" s="44">
        <f t="shared" si="89"/>
        <v>0</v>
      </c>
      <c r="S364" s="44">
        <f t="shared" si="89"/>
        <v>0</v>
      </c>
      <c r="T364" s="44">
        <f t="shared" si="89"/>
        <v>0</v>
      </c>
      <c r="U364" s="44">
        <f t="shared" si="89"/>
        <v>0</v>
      </c>
      <c r="V364" s="44">
        <f t="shared" si="89"/>
        <v>0</v>
      </c>
      <c r="W364" s="44">
        <f t="shared" si="89"/>
        <v>0</v>
      </c>
      <c r="X364" s="44">
        <f t="shared" si="89"/>
        <v>0</v>
      </c>
      <c r="Y364" s="44">
        <f t="shared" si="89"/>
        <v>0</v>
      </c>
      <c r="Z364" s="44">
        <f t="shared" si="89"/>
        <v>0</v>
      </c>
      <c r="AA364" s="44">
        <f t="shared" si="89"/>
        <v>0</v>
      </c>
      <c r="AB364" s="44">
        <f t="shared" si="89"/>
        <v>0</v>
      </c>
      <c r="AC364" s="44">
        <f t="shared" si="89"/>
        <v>0</v>
      </c>
      <c r="AD364" s="44">
        <f t="shared" si="89"/>
        <v>0</v>
      </c>
      <c r="AE364" s="44">
        <f t="shared" si="89"/>
        <v>0</v>
      </c>
    </row>
    <row r="366" spans="1:31" x14ac:dyDescent="0.25">
      <c r="A366" s="41" t="s">
        <v>1302</v>
      </c>
      <c r="B366" s="6" t="s">
        <v>53</v>
      </c>
      <c r="C366" s="6" t="s">
        <v>119</v>
      </c>
      <c r="D366" s="6">
        <v>1</v>
      </c>
      <c r="E366" s="6" t="s">
        <v>1210</v>
      </c>
      <c r="K366" s="22"/>
      <c r="L366" s="22">
        <v>10.52336134543121</v>
      </c>
      <c r="M366" s="22">
        <v>10.299560827444211</v>
      </c>
      <c r="N366" s="22">
        <v>9.5775283595382632</v>
      </c>
      <c r="O366" s="22">
        <v>8.4854782869580454</v>
      </c>
      <c r="P366" s="22">
        <v>9.0871922352498604</v>
      </c>
      <c r="Q366" s="22">
        <v>9.2229237289326811</v>
      </c>
      <c r="R366" s="22">
        <v>9.1585649555096875</v>
      </c>
      <c r="S366" s="22">
        <v>9.0895478773973775</v>
      </c>
      <c r="T366" s="22">
        <v>9.0156816660228305</v>
      </c>
      <c r="U366" s="22">
        <v>8.9443977655571061</v>
      </c>
      <c r="V366" s="22">
        <v>8.9443977655571061</v>
      </c>
      <c r="W366" s="22">
        <v>8.9443977655571061</v>
      </c>
      <c r="X366" s="22">
        <v>8.9443977655571061</v>
      </c>
      <c r="Y366" s="22">
        <v>8.9443977655571061</v>
      </c>
      <c r="Z366" s="22">
        <v>8.9443977655571061</v>
      </c>
      <c r="AA366" s="22">
        <v>8.9443977655571061</v>
      </c>
      <c r="AB366" s="22">
        <v>8.9443977655571061</v>
      </c>
      <c r="AC366" s="22">
        <v>8.9443977655571061</v>
      </c>
      <c r="AD366" s="22">
        <v>8.9443977655571061</v>
      </c>
      <c r="AE366" s="22">
        <v>8.9443977655571061</v>
      </c>
    </row>
    <row r="367" spans="1:31" x14ac:dyDescent="0.25">
      <c r="A367" s="41" t="s">
        <v>1302</v>
      </c>
      <c r="B367" s="6" t="s">
        <v>53</v>
      </c>
      <c r="C367" s="6" t="s">
        <v>119</v>
      </c>
      <c r="D367" s="6">
        <v>1</v>
      </c>
      <c r="E367" s="6" t="s">
        <v>1211</v>
      </c>
      <c r="K367" s="22">
        <f>INDEX(Mitigation_Industry!K:K,MATCH($A367,Mitigation_Industry!$H:$H,0))</f>
        <v>11.18290158924394</v>
      </c>
      <c r="L367" s="22">
        <f>INDEX(Mitigation_Industry!L:L,MATCH($A367,Mitigation_Industry!$H:$H,0))</f>
        <v>10.52336134543121</v>
      </c>
      <c r="M367" s="22">
        <f>INDEX(Mitigation_Industry!M:M,MATCH($A367,Mitigation_Industry!$H:$H,0))</f>
        <v>10.299560827444211</v>
      </c>
      <c r="N367" s="22">
        <f>INDEX(Mitigation_Industry!N:N,MATCH($A367,Mitigation_Industry!$H:$H,0))</f>
        <v>9.5775283595382632</v>
      </c>
      <c r="O367" s="22">
        <f>INDEX(Mitigation_Industry!O:O,MATCH($A367,Mitigation_Industry!$H:$H,0))</f>
        <v>8.4854782869580454</v>
      </c>
      <c r="P367" s="22">
        <f>INDEX(Mitigation_Industry!P:P,MATCH($A367,Mitigation_Industry!$H:$H,0))</f>
        <v>9.0871922352498604</v>
      </c>
      <c r="Q367" s="22">
        <f>INDEX(Mitigation_Industry!Q:Q,MATCH($A367,Mitigation_Industry!$H:$H,0))</f>
        <v>9.2229237289326811</v>
      </c>
      <c r="R367" s="22">
        <f>INDEX(Mitigation_Industry!R:R,MATCH($A367,Mitigation_Industry!$H:$H,0))</f>
        <v>9.1585649555096875</v>
      </c>
      <c r="S367" s="22">
        <f>INDEX(Mitigation_Industry!S:S,MATCH($A367,Mitigation_Industry!$H:$H,0))</f>
        <v>9.0895478773973775</v>
      </c>
      <c r="T367" s="22">
        <f>INDEX(Mitigation_Industry!T:T,MATCH($A367,Mitigation_Industry!$H:$H,0))</f>
        <v>9.0156816660228305</v>
      </c>
      <c r="U367" s="22">
        <f>INDEX(Mitigation_Industry!U:U,MATCH($A367,Mitigation_Industry!$H:$H,0))</f>
        <v>8.9443977655571061</v>
      </c>
      <c r="V367" s="22">
        <f>INDEX(Mitigation_Industry!V:V,MATCH($A367,Mitigation_Industry!$H:$H,0))</f>
        <v>8.9443977655571061</v>
      </c>
      <c r="W367" s="22">
        <f>INDEX(Mitigation_Industry!W:W,MATCH($A367,Mitigation_Industry!$H:$H,0))</f>
        <v>8.9443977655571061</v>
      </c>
      <c r="X367" s="22">
        <f>INDEX(Mitigation_Industry!X:X,MATCH($A367,Mitigation_Industry!$H:$H,0))</f>
        <v>8.9443977655571061</v>
      </c>
      <c r="Y367" s="22">
        <f>INDEX(Mitigation_Industry!Y:Y,MATCH($A367,Mitigation_Industry!$H:$H,0))</f>
        <v>8.9443977655571061</v>
      </c>
      <c r="Z367" s="22">
        <f>INDEX(Mitigation_Industry!Z:Z,MATCH($A367,Mitigation_Industry!$H:$H,0))</f>
        <v>8.9443977655571061</v>
      </c>
      <c r="AA367" s="22">
        <f>INDEX(Mitigation_Industry!AA:AA,MATCH($A367,Mitigation_Industry!$H:$H,0))</f>
        <v>8.9443977655571061</v>
      </c>
      <c r="AB367" s="22">
        <f>INDEX(Mitigation_Industry!AB:AB,MATCH($A367,Mitigation_Industry!$H:$H,0))</f>
        <v>8.9443977655571061</v>
      </c>
      <c r="AC367" s="22">
        <f>INDEX(Mitigation_Industry!AC:AC,MATCH($A367,Mitigation_Industry!$H:$H,0))</f>
        <v>8.9443977655571061</v>
      </c>
      <c r="AD367" s="22">
        <f>INDEX(Mitigation_Industry!AD:AD,MATCH($A367,Mitigation_Industry!$H:$H,0))</f>
        <v>8.9443977655571061</v>
      </c>
      <c r="AE367" s="22">
        <f>INDEX(Mitigation_Industry!AE:AE,MATCH($A367,Mitigation_Industry!$H:$H,0))</f>
        <v>8.9443977655571061</v>
      </c>
    </row>
    <row r="368" spans="1:31" x14ac:dyDescent="0.25">
      <c r="A368" s="41" t="s">
        <v>1302</v>
      </c>
      <c r="B368" s="6" t="s">
        <v>53</v>
      </c>
      <c r="C368" s="6" t="s">
        <v>119</v>
      </c>
      <c r="D368" s="6">
        <v>1</v>
      </c>
      <c r="E368" s="2" t="s">
        <v>1212</v>
      </c>
      <c r="F368" s="43">
        <f>MAX(MAX(L368:AE368),-MIN(L368:AE368))</f>
        <v>0</v>
      </c>
      <c r="K368" s="44">
        <f t="shared" ref="K368:AE368" si="90">IF(ISNUMBER(K366),IF(ISNUMBER(K367),K367-K366,999999),0)</f>
        <v>0</v>
      </c>
      <c r="L368" s="44">
        <f t="shared" si="90"/>
        <v>0</v>
      </c>
      <c r="M368" s="44">
        <f t="shared" si="90"/>
        <v>0</v>
      </c>
      <c r="N368" s="44">
        <f t="shared" si="90"/>
        <v>0</v>
      </c>
      <c r="O368" s="44">
        <f t="shared" si="90"/>
        <v>0</v>
      </c>
      <c r="P368" s="44">
        <f t="shared" si="90"/>
        <v>0</v>
      </c>
      <c r="Q368" s="44">
        <f t="shared" si="90"/>
        <v>0</v>
      </c>
      <c r="R368" s="44">
        <f t="shared" si="90"/>
        <v>0</v>
      </c>
      <c r="S368" s="44">
        <f t="shared" si="90"/>
        <v>0</v>
      </c>
      <c r="T368" s="44">
        <f t="shared" si="90"/>
        <v>0</v>
      </c>
      <c r="U368" s="44">
        <f t="shared" si="90"/>
        <v>0</v>
      </c>
      <c r="V368" s="44">
        <f t="shared" si="90"/>
        <v>0</v>
      </c>
      <c r="W368" s="44">
        <f t="shared" si="90"/>
        <v>0</v>
      </c>
      <c r="X368" s="44">
        <f t="shared" si="90"/>
        <v>0</v>
      </c>
      <c r="Y368" s="44">
        <f t="shared" si="90"/>
        <v>0</v>
      </c>
      <c r="Z368" s="44">
        <f t="shared" si="90"/>
        <v>0</v>
      </c>
      <c r="AA368" s="44">
        <f t="shared" si="90"/>
        <v>0</v>
      </c>
      <c r="AB368" s="44">
        <f t="shared" si="90"/>
        <v>0</v>
      </c>
      <c r="AC368" s="44">
        <f t="shared" si="90"/>
        <v>0</v>
      </c>
      <c r="AD368" s="44">
        <f t="shared" si="90"/>
        <v>0</v>
      </c>
      <c r="AE368" s="44">
        <f t="shared" si="90"/>
        <v>0</v>
      </c>
    </row>
    <row r="370" spans="1:31" x14ac:dyDescent="0.25">
      <c r="A370" s="41" t="s">
        <v>1303</v>
      </c>
      <c r="B370" s="6" t="s">
        <v>57</v>
      </c>
      <c r="C370" s="6" t="s">
        <v>119</v>
      </c>
      <c r="D370" s="6">
        <v>1</v>
      </c>
      <c r="E370" s="6" t="s">
        <v>1210</v>
      </c>
      <c r="K370" s="22"/>
      <c r="L370" s="22">
        <v>5.4510150816191896</v>
      </c>
      <c r="M370" s="22">
        <v>5.1193563062624818</v>
      </c>
      <c r="N370" s="22">
        <v>5.0821845864040727</v>
      </c>
      <c r="O370" s="22">
        <v>5.0821845864040727</v>
      </c>
      <c r="P370" s="22">
        <v>5.0821845864040727</v>
      </c>
      <c r="Q370" s="22">
        <v>5.0821845864040727</v>
      </c>
      <c r="R370" s="22">
        <v>5.0821845864040727</v>
      </c>
      <c r="S370" s="22">
        <v>5.0821845864040727</v>
      </c>
      <c r="T370" s="22">
        <v>5.0821845864040727</v>
      </c>
      <c r="U370" s="22">
        <v>5.0821845864040727</v>
      </c>
      <c r="V370" s="22">
        <v>5.0821845864040727</v>
      </c>
      <c r="W370" s="22">
        <v>5.0821845864040727</v>
      </c>
      <c r="X370" s="22">
        <v>5.0821845864040727</v>
      </c>
      <c r="Y370" s="22">
        <v>5.0821845864040727</v>
      </c>
      <c r="Z370" s="22">
        <v>5.0821845864040727</v>
      </c>
      <c r="AA370" s="22">
        <v>5.0821845864040727</v>
      </c>
      <c r="AB370" s="22">
        <v>5.0821845864040727</v>
      </c>
      <c r="AC370" s="22">
        <v>5.0821845864040727</v>
      </c>
      <c r="AD370" s="22">
        <v>5.0821845864040727</v>
      </c>
      <c r="AE370" s="22">
        <v>5.0821845864040727</v>
      </c>
    </row>
    <row r="371" spans="1:31" x14ac:dyDescent="0.25">
      <c r="A371" s="41" t="s">
        <v>1303</v>
      </c>
      <c r="B371" s="6" t="s">
        <v>57</v>
      </c>
      <c r="C371" s="6" t="s">
        <v>119</v>
      </c>
      <c r="D371" s="6">
        <v>1</v>
      </c>
      <c r="E371" s="6" t="s">
        <v>1211</v>
      </c>
      <c r="K371" s="22">
        <f>INDEX(Mitigation_Industry!K:K,MATCH($A371,Mitigation_Industry!$H:$H,0))</f>
        <v>6.0634636156729131</v>
      </c>
      <c r="L371" s="22">
        <f>INDEX(Mitigation_Industry!L:L,MATCH($A371,Mitigation_Industry!$H:$H,0))</f>
        <v>5.4510150816191896</v>
      </c>
      <c r="M371" s="22">
        <f>INDEX(Mitigation_Industry!M:M,MATCH($A371,Mitigation_Industry!$H:$H,0))</f>
        <v>5.1193563062624818</v>
      </c>
      <c r="N371" s="22">
        <f>INDEX(Mitigation_Industry!N:N,MATCH($A371,Mitigation_Industry!$H:$H,0))</f>
        <v>5.0821845864040727</v>
      </c>
      <c r="O371" s="22">
        <f>INDEX(Mitigation_Industry!O:O,MATCH($A371,Mitigation_Industry!$H:$H,0))</f>
        <v>5.0821845864040727</v>
      </c>
      <c r="P371" s="22">
        <f>INDEX(Mitigation_Industry!P:P,MATCH($A371,Mitigation_Industry!$H:$H,0))</f>
        <v>5.0821845864040727</v>
      </c>
      <c r="Q371" s="22">
        <f>INDEX(Mitigation_Industry!Q:Q,MATCH($A371,Mitigation_Industry!$H:$H,0))</f>
        <v>5.0821845864040727</v>
      </c>
      <c r="R371" s="22">
        <f>INDEX(Mitigation_Industry!R:R,MATCH($A371,Mitigation_Industry!$H:$H,0))</f>
        <v>5.0821845864040727</v>
      </c>
      <c r="S371" s="22">
        <f>INDEX(Mitigation_Industry!S:S,MATCH($A371,Mitigation_Industry!$H:$H,0))</f>
        <v>5.0821845864040727</v>
      </c>
      <c r="T371" s="22">
        <f>INDEX(Mitigation_Industry!T:T,MATCH($A371,Mitigation_Industry!$H:$H,0))</f>
        <v>5.0821845864040727</v>
      </c>
      <c r="U371" s="22">
        <f>INDEX(Mitigation_Industry!U:U,MATCH($A371,Mitigation_Industry!$H:$H,0))</f>
        <v>5.0821845864040727</v>
      </c>
      <c r="V371" s="22">
        <f>INDEX(Mitigation_Industry!V:V,MATCH($A371,Mitigation_Industry!$H:$H,0))</f>
        <v>5.0821845864040727</v>
      </c>
      <c r="W371" s="22">
        <f>INDEX(Mitigation_Industry!W:W,MATCH($A371,Mitigation_Industry!$H:$H,0))</f>
        <v>5.0821845864040727</v>
      </c>
      <c r="X371" s="22">
        <f>INDEX(Mitigation_Industry!X:X,MATCH($A371,Mitigation_Industry!$H:$H,0))</f>
        <v>5.0821845864040727</v>
      </c>
      <c r="Y371" s="22">
        <f>INDEX(Mitigation_Industry!Y:Y,MATCH($A371,Mitigation_Industry!$H:$H,0))</f>
        <v>5.0821845864040727</v>
      </c>
      <c r="Z371" s="22">
        <f>INDEX(Mitigation_Industry!Z:Z,MATCH($A371,Mitigation_Industry!$H:$H,0))</f>
        <v>5.0821845864040727</v>
      </c>
      <c r="AA371" s="22">
        <f>INDEX(Mitigation_Industry!AA:AA,MATCH($A371,Mitigation_Industry!$H:$H,0))</f>
        <v>5.0821845864040727</v>
      </c>
      <c r="AB371" s="22">
        <f>INDEX(Mitigation_Industry!AB:AB,MATCH($A371,Mitigation_Industry!$H:$H,0))</f>
        <v>5.0821845864040727</v>
      </c>
      <c r="AC371" s="22">
        <f>INDEX(Mitigation_Industry!AC:AC,MATCH($A371,Mitigation_Industry!$H:$H,0))</f>
        <v>5.0821845864040727</v>
      </c>
      <c r="AD371" s="22">
        <f>INDEX(Mitigation_Industry!AD:AD,MATCH($A371,Mitigation_Industry!$H:$H,0))</f>
        <v>5.0821845864040727</v>
      </c>
      <c r="AE371" s="22">
        <f>INDEX(Mitigation_Industry!AE:AE,MATCH($A371,Mitigation_Industry!$H:$H,0))</f>
        <v>5.0821845864040727</v>
      </c>
    </row>
    <row r="372" spans="1:31" x14ac:dyDescent="0.25">
      <c r="A372" s="41" t="s">
        <v>1303</v>
      </c>
      <c r="B372" s="6" t="s">
        <v>57</v>
      </c>
      <c r="C372" s="6" t="s">
        <v>119</v>
      </c>
      <c r="D372" s="6">
        <v>1</v>
      </c>
      <c r="E372" s="2" t="s">
        <v>1212</v>
      </c>
      <c r="F372" s="43">
        <f>MAX(MAX(L372:AE372),-MIN(L372:AE372))</f>
        <v>0</v>
      </c>
      <c r="K372" s="44">
        <f t="shared" ref="K372:AE372" si="91">IF(ISNUMBER(K370),IF(ISNUMBER(K371),K371-K370,999999),0)</f>
        <v>0</v>
      </c>
      <c r="L372" s="44">
        <f t="shared" si="91"/>
        <v>0</v>
      </c>
      <c r="M372" s="44">
        <f t="shared" si="91"/>
        <v>0</v>
      </c>
      <c r="N372" s="44">
        <f t="shared" si="91"/>
        <v>0</v>
      </c>
      <c r="O372" s="44">
        <f t="shared" si="91"/>
        <v>0</v>
      </c>
      <c r="P372" s="44">
        <f t="shared" si="91"/>
        <v>0</v>
      </c>
      <c r="Q372" s="44">
        <f t="shared" si="91"/>
        <v>0</v>
      </c>
      <c r="R372" s="44">
        <f t="shared" si="91"/>
        <v>0</v>
      </c>
      <c r="S372" s="44">
        <f t="shared" si="91"/>
        <v>0</v>
      </c>
      <c r="T372" s="44">
        <f t="shared" si="91"/>
        <v>0</v>
      </c>
      <c r="U372" s="44">
        <f t="shared" si="91"/>
        <v>0</v>
      </c>
      <c r="V372" s="44">
        <f t="shared" si="91"/>
        <v>0</v>
      </c>
      <c r="W372" s="44">
        <f t="shared" si="91"/>
        <v>0</v>
      </c>
      <c r="X372" s="44">
        <f t="shared" si="91"/>
        <v>0</v>
      </c>
      <c r="Y372" s="44">
        <f t="shared" si="91"/>
        <v>0</v>
      </c>
      <c r="Z372" s="44">
        <f t="shared" si="91"/>
        <v>0</v>
      </c>
      <c r="AA372" s="44">
        <f t="shared" si="91"/>
        <v>0</v>
      </c>
      <c r="AB372" s="44">
        <f t="shared" si="91"/>
        <v>0</v>
      </c>
      <c r="AC372" s="44">
        <f t="shared" si="91"/>
        <v>0</v>
      </c>
      <c r="AD372" s="44">
        <f t="shared" si="91"/>
        <v>0</v>
      </c>
      <c r="AE372" s="44">
        <f t="shared" si="91"/>
        <v>0</v>
      </c>
    </row>
    <row r="374" spans="1:31" x14ac:dyDescent="0.25">
      <c r="A374" s="41" t="s">
        <v>1304</v>
      </c>
      <c r="B374" s="6" t="s">
        <v>59</v>
      </c>
      <c r="C374" s="6" t="s">
        <v>119</v>
      </c>
      <c r="D374" s="6">
        <v>1</v>
      </c>
      <c r="E374" s="6" t="s">
        <v>1210</v>
      </c>
      <c r="K374" s="22"/>
      <c r="L374" s="22">
        <v>0.61197797679140631</v>
      </c>
      <c r="M374" s="22">
        <v>0.61180974964187596</v>
      </c>
      <c r="N374" s="22">
        <v>0.60358310017790551</v>
      </c>
      <c r="O374" s="22">
        <v>0.60358310017790551</v>
      </c>
      <c r="P374" s="22">
        <v>0.60358310017790551</v>
      </c>
      <c r="Q374" s="22">
        <v>0.60358310017790551</v>
      </c>
      <c r="R374" s="22">
        <v>0.60358310017790551</v>
      </c>
      <c r="S374" s="22">
        <v>0.60358310017790551</v>
      </c>
      <c r="T374" s="22">
        <v>0.60358310017790551</v>
      </c>
      <c r="U374" s="22">
        <v>0.60358310017790551</v>
      </c>
      <c r="V374" s="22">
        <v>0.60358310017790551</v>
      </c>
      <c r="W374" s="22">
        <v>0.60358310017790551</v>
      </c>
      <c r="X374" s="22">
        <v>0.60358310017790551</v>
      </c>
      <c r="Y374" s="22">
        <v>0.60358310017790551</v>
      </c>
      <c r="Z374" s="22">
        <v>0.60358310017790551</v>
      </c>
      <c r="AA374" s="22">
        <v>0.60358310017790551</v>
      </c>
      <c r="AB374" s="22">
        <v>0.60358310017790551</v>
      </c>
      <c r="AC374" s="22">
        <v>0.60358310017790551</v>
      </c>
      <c r="AD374" s="22">
        <v>0.60358310017790551</v>
      </c>
      <c r="AE374" s="22">
        <v>0.60358310017790551</v>
      </c>
    </row>
    <row r="375" spans="1:31" x14ac:dyDescent="0.25">
      <c r="A375" s="41" t="s">
        <v>1304</v>
      </c>
      <c r="B375" s="6" t="s">
        <v>59</v>
      </c>
      <c r="C375" s="6" t="s">
        <v>119</v>
      </c>
      <c r="D375" s="6">
        <v>1</v>
      </c>
      <c r="E375" s="6" t="s">
        <v>1211</v>
      </c>
      <c r="K375" s="22">
        <f>INDEX(Mitigation_Industry!K:K,MATCH($A375,Mitigation_Industry!$H:$H,0))</f>
        <v>0.67114653332181606</v>
      </c>
      <c r="L375" s="22">
        <f>INDEX(Mitigation_Industry!L:L,MATCH($A375,Mitigation_Industry!$H:$H,0))</f>
        <v>0.61197797679140631</v>
      </c>
      <c r="M375" s="22">
        <f>INDEX(Mitigation_Industry!M:M,MATCH($A375,Mitigation_Industry!$H:$H,0))</f>
        <v>0.61180974964187596</v>
      </c>
      <c r="N375" s="22">
        <f>INDEX(Mitigation_Industry!N:N,MATCH($A375,Mitigation_Industry!$H:$H,0))</f>
        <v>0.60358310017790551</v>
      </c>
      <c r="O375" s="22">
        <f>INDEX(Mitigation_Industry!O:O,MATCH($A375,Mitigation_Industry!$H:$H,0))</f>
        <v>0.60358310017790551</v>
      </c>
      <c r="P375" s="22">
        <f>INDEX(Mitigation_Industry!P:P,MATCH($A375,Mitigation_Industry!$H:$H,0))</f>
        <v>0.60358310017790551</v>
      </c>
      <c r="Q375" s="22">
        <f>INDEX(Mitigation_Industry!Q:Q,MATCH($A375,Mitigation_Industry!$H:$H,0))</f>
        <v>0.60358310017790551</v>
      </c>
      <c r="R375" s="22">
        <f>INDEX(Mitigation_Industry!R:R,MATCH($A375,Mitigation_Industry!$H:$H,0))</f>
        <v>0.60358310017790551</v>
      </c>
      <c r="S375" s="22">
        <f>INDEX(Mitigation_Industry!S:S,MATCH($A375,Mitigation_Industry!$H:$H,0))</f>
        <v>0.60358310017790551</v>
      </c>
      <c r="T375" s="22">
        <f>INDEX(Mitigation_Industry!T:T,MATCH($A375,Mitigation_Industry!$H:$H,0))</f>
        <v>0.60358310017790551</v>
      </c>
      <c r="U375" s="22">
        <f>INDEX(Mitigation_Industry!U:U,MATCH($A375,Mitigation_Industry!$H:$H,0))</f>
        <v>0.60358310017790551</v>
      </c>
      <c r="V375" s="22">
        <f>INDEX(Mitigation_Industry!V:V,MATCH($A375,Mitigation_Industry!$H:$H,0))</f>
        <v>0.60358310017790551</v>
      </c>
      <c r="W375" s="22">
        <f>INDEX(Mitigation_Industry!W:W,MATCH($A375,Mitigation_Industry!$H:$H,0))</f>
        <v>0.60358310017790551</v>
      </c>
      <c r="X375" s="22">
        <f>INDEX(Mitigation_Industry!X:X,MATCH($A375,Mitigation_Industry!$H:$H,0))</f>
        <v>0.60358310017790551</v>
      </c>
      <c r="Y375" s="22">
        <f>INDEX(Mitigation_Industry!Y:Y,MATCH($A375,Mitigation_Industry!$H:$H,0))</f>
        <v>0.60358310017790551</v>
      </c>
      <c r="Z375" s="22">
        <f>INDEX(Mitigation_Industry!Z:Z,MATCH($A375,Mitigation_Industry!$H:$H,0))</f>
        <v>0.60358310017790551</v>
      </c>
      <c r="AA375" s="22">
        <f>INDEX(Mitigation_Industry!AA:AA,MATCH($A375,Mitigation_Industry!$H:$H,0))</f>
        <v>0.60358310017790551</v>
      </c>
      <c r="AB375" s="22">
        <f>INDEX(Mitigation_Industry!AB:AB,MATCH($A375,Mitigation_Industry!$H:$H,0))</f>
        <v>0.60358310017790551</v>
      </c>
      <c r="AC375" s="22">
        <f>INDEX(Mitigation_Industry!AC:AC,MATCH($A375,Mitigation_Industry!$H:$H,0))</f>
        <v>0.60358310017790551</v>
      </c>
      <c r="AD375" s="22">
        <f>INDEX(Mitigation_Industry!AD:AD,MATCH($A375,Mitigation_Industry!$H:$H,0))</f>
        <v>0.60358310017790551</v>
      </c>
      <c r="AE375" s="22">
        <f>INDEX(Mitigation_Industry!AE:AE,MATCH($A375,Mitigation_Industry!$H:$H,0))</f>
        <v>0.60358310017790551</v>
      </c>
    </row>
    <row r="376" spans="1:31" x14ac:dyDescent="0.25">
      <c r="A376" s="41" t="s">
        <v>1304</v>
      </c>
      <c r="B376" s="6" t="s">
        <v>59</v>
      </c>
      <c r="C376" s="6" t="s">
        <v>119</v>
      </c>
      <c r="D376" s="6">
        <v>1</v>
      </c>
      <c r="E376" s="2" t="s">
        <v>1212</v>
      </c>
      <c r="F376" s="43">
        <f>MAX(MAX(L376:AE376),-MIN(L376:AE376))</f>
        <v>0</v>
      </c>
      <c r="K376" s="44">
        <f t="shared" ref="K376:AE376" si="92">IF(ISNUMBER(K374),IF(ISNUMBER(K375),K375-K374,999999),0)</f>
        <v>0</v>
      </c>
      <c r="L376" s="44">
        <f t="shared" si="92"/>
        <v>0</v>
      </c>
      <c r="M376" s="44">
        <f t="shared" si="92"/>
        <v>0</v>
      </c>
      <c r="N376" s="44">
        <f t="shared" si="92"/>
        <v>0</v>
      </c>
      <c r="O376" s="44">
        <f t="shared" si="92"/>
        <v>0</v>
      </c>
      <c r="P376" s="44">
        <f t="shared" si="92"/>
        <v>0</v>
      </c>
      <c r="Q376" s="44">
        <f t="shared" si="92"/>
        <v>0</v>
      </c>
      <c r="R376" s="44">
        <f t="shared" si="92"/>
        <v>0</v>
      </c>
      <c r="S376" s="44">
        <f t="shared" si="92"/>
        <v>0</v>
      </c>
      <c r="T376" s="44">
        <f t="shared" si="92"/>
        <v>0</v>
      </c>
      <c r="U376" s="44">
        <f t="shared" si="92"/>
        <v>0</v>
      </c>
      <c r="V376" s="44">
        <f t="shared" si="92"/>
        <v>0</v>
      </c>
      <c r="W376" s="44">
        <f t="shared" si="92"/>
        <v>0</v>
      </c>
      <c r="X376" s="44">
        <f t="shared" si="92"/>
        <v>0</v>
      </c>
      <c r="Y376" s="44">
        <f t="shared" si="92"/>
        <v>0</v>
      </c>
      <c r="Z376" s="44">
        <f t="shared" si="92"/>
        <v>0</v>
      </c>
      <c r="AA376" s="44">
        <f t="shared" si="92"/>
        <v>0</v>
      </c>
      <c r="AB376" s="44">
        <f t="shared" si="92"/>
        <v>0</v>
      </c>
      <c r="AC376" s="44">
        <f t="shared" si="92"/>
        <v>0</v>
      </c>
      <c r="AD376" s="44">
        <f t="shared" si="92"/>
        <v>0</v>
      </c>
      <c r="AE376" s="44">
        <f t="shared" si="92"/>
        <v>0</v>
      </c>
    </row>
    <row r="378" spans="1:31" x14ac:dyDescent="0.25">
      <c r="A378" s="41" t="s">
        <v>1305</v>
      </c>
      <c r="B378" s="6" t="s">
        <v>62</v>
      </c>
      <c r="C378" s="6" t="s">
        <v>119</v>
      </c>
      <c r="D378" s="6">
        <v>1</v>
      </c>
      <c r="E378" s="6" t="s">
        <v>1210</v>
      </c>
      <c r="K378" s="22"/>
      <c r="L378" s="22">
        <v>0.49458873084106802</v>
      </c>
      <c r="M378" s="22">
        <v>0.50778654720250049</v>
      </c>
      <c r="N378" s="22">
        <v>0.47043642679561742</v>
      </c>
      <c r="O378" s="22">
        <v>0.47043642679561742</v>
      </c>
      <c r="P378" s="22">
        <v>0.47043642679561742</v>
      </c>
      <c r="Q378" s="22">
        <v>0.47043642679561742</v>
      </c>
      <c r="R378" s="22">
        <v>0.47043642679561742</v>
      </c>
      <c r="S378" s="22">
        <v>0.47043642679561742</v>
      </c>
      <c r="T378" s="22">
        <v>0.47043642679561742</v>
      </c>
      <c r="U378" s="22">
        <v>0.47043642679561742</v>
      </c>
      <c r="V378" s="22">
        <v>0.47043642679561742</v>
      </c>
      <c r="W378" s="22">
        <v>0.47043642679561742</v>
      </c>
      <c r="X378" s="22">
        <v>0.47043642679561742</v>
      </c>
      <c r="Y378" s="22">
        <v>0.47043642679561742</v>
      </c>
      <c r="Z378" s="22">
        <v>0.47043642679561742</v>
      </c>
      <c r="AA378" s="22">
        <v>0.47043642679561742</v>
      </c>
      <c r="AB378" s="22">
        <v>0.47043642679561742</v>
      </c>
      <c r="AC378" s="22">
        <v>0.47043642679561742</v>
      </c>
      <c r="AD378" s="22">
        <v>0.47043642679561742</v>
      </c>
      <c r="AE378" s="22">
        <v>0.47043642679561742</v>
      </c>
    </row>
    <row r="379" spans="1:31" x14ac:dyDescent="0.25">
      <c r="A379" s="41" t="s">
        <v>1305</v>
      </c>
      <c r="B379" s="6" t="s">
        <v>62</v>
      </c>
      <c r="C379" s="6" t="s">
        <v>119</v>
      </c>
      <c r="D379" s="6">
        <v>1</v>
      </c>
      <c r="E379" s="6" t="s">
        <v>1211</v>
      </c>
      <c r="K379" s="22">
        <f>INDEX(Mitigation_Industry!K:K,MATCH($A379,Mitigation_Industry!$H:$H,0))</f>
        <v>0.55971121315568761</v>
      </c>
      <c r="L379" s="22">
        <f>INDEX(Mitigation_Industry!L:L,MATCH($A379,Mitigation_Industry!$H:$H,0))</f>
        <v>0.49458873084106802</v>
      </c>
      <c r="M379" s="22">
        <f>INDEX(Mitigation_Industry!M:M,MATCH($A379,Mitigation_Industry!$H:$H,0))</f>
        <v>0.50778654720250049</v>
      </c>
      <c r="N379" s="22">
        <f>INDEX(Mitigation_Industry!N:N,MATCH($A379,Mitigation_Industry!$H:$H,0))</f>
        <v>0.47043642679561742</v>
      </c>
      <c r="O379" s="22">
        <f>INDEX(Mitigation_Industry!O:O,MATCH($A379,Mitigation_Industry!$H:$H,0))</f>
        <v>0.47043642679561742</v>
      </c>
      <c r="P379" s="22">
        <f>INDEX(Mitigation_Industry!P:P,MATCH($A379,Mitigation_Industry!$H:$H,0))</f>
        <v>0.47043642679561742</v>
      </c>
      <c r="Q379" s="22">
        <f>INDEX(Mitigation_Industry!Q:Q,MATCH($A379,Mitigation_Industry!$H:$H,0))</f>
        <v>0.47043642679561742</v>
      </c>
      <c r="R379" s="22">
        <f>INDEX(Mitigation_Industry!R:R,MATCH($A379,Mitigation_Industry!$H:$H,0))</f>
        <v>0.47043642679561742</v>
      </c>
      <c r="S379" s="22">
        <f>INDEX(Mitigation_Industry!S:S,MATCH($A379,Mitigation_Industry!$H:$H,0))</f>
        <v>0.47043642679561742</v>
      </c>
      <c r="T379" s="22">
        <f>INDEX(Mitigation_Industry!T:T,MATCH($A379,Mitigation_Industry!$H:$H,0))</f>
        <v>0.47043642679561742</v>
      </c>
      <c r="U379" s="22">
        <f>INDEX(Mitigation_Industry!U:U,MATCH($A379,Mitigation_Industry!$H:$H,0))</f>
        <v>0.47043642679561742</v>
      </c>
      <c r="V379" s="22">
        <f>INDEX(Mitigation_Industry!V:V,MATCH($A379,Mitigation_Industry!$H:$H,0))</f>
        <v>0.47043642679561742</v>
      </c>
      <c r="W379" s="22">
        <f>INDEX(Mitigation_Industry!W:W,MATCH($A379,Mitigation_Industry!$H:$H,0))</f>
        <v>0.47043642679561742</v>
      </c>
      <c r="X379" s="22">
        <f>INDEX(Mitigation_Industry!X:X,MATCH($A379,Mitigation_Industry!$H:$H,0))</f>
        <v>0.47043642679561742</v>
      </c>
      <c r="Y379" s="22">
        <f>INDEX(Mitigation_Industry!Y:Y,MATCH($A379,Mitigation_Industry!$H:$H,0))</f>
        <v>0.47043642679561742</v>
      </c>
      <c r="Z379" s="22">
        <f>INDEX(Mitigation_Industry!Z:Z,MATCH($A379,Mitigation_Industry!$H:$H,0))</f>
        <v>0.47043642679561742</v>
      </c>
      <c r="AA379" s="22">
        <f>INDEX(Mitigation_Industry!AA:AA,MATCH($A379,Mitigation_Industry!$H:$H,0))</f>
        <v>0.47043642679561742</v>
      </c>
      <c r="AB379" s="22">
        <f>INDEX(Mitigation_Industry!AB:AB,MATCH($A379,Mitigation_Industry!$H:$H,0))</f>
        <v>0.47043642679561742</v>
      </c>
      <c r="AC379" s="22">
        <f>INDEX(Mitigation_Industry!AC:AC,MATCH($A379,Mitigation_Industry!$H:$H,0))</f>
        <v>0.47043642679561742</v>
      </c>
      <c r="AD379" s="22">
        <f>INDEX(Mitigation_Industry!AD:AD,MATCH($A379,Mitigation_Industry!$H:$H,0))</f>
        <v>0.47043642679561742</v>
      </c>
      <c r="AE379" s="22">
        <f>INDEX(Mitigation_Industry!AE:AE,MATCH($A379,Mitigation_Industry!$H:$H,0))</f>
        <v>0.47043642679561742</v>
      </c>
    </row>
    <row r="380" spans="1:31" x14ac:dyDescent="0.25">
      <c r="A380" s="41" t="s">
        <v>1305</v>
      </c>
      <c r="B380" s="6" t="s">
        <v>62</v>
      </c>
      <c r="C380" s="6" t="s">
        <v>119</v>
      </c>
      <c r="D380" s="6">
        <v>1</v>
      </c>
      <c r="E380" s="2" t="s">
        <v>1212</v>
      </c>
      <c r="F380" s="43">
        <f>MAX(MAX(L380:AE380),-MIN(L380:AE380))</f>
        <v>0</v>
      </c>
      <c r="K380" s="44">
        <f t="shared" ref="K380:AE380" si="93">IF(ISNUMBER(K378),IF(ISNUMBER(K379),K379-K378,999999),0)</f>
        <v>0</v>
      </c>
      <c r="L380" s="44">
        <f t="shared" si="93"/>
        <v>0</v>
      </c>
      <c r="M380" s="44">
        <f t="shared" si="93"/>
        <v>0</v>
      </c>
      <c r="N380" s="44">
        <f t="shared" si="93"/>
        <v>0</v>
      </c>
      <c r="O380" s="44">
        <f t="shared" si="93"/>
        <v>0</v>
      </c>
      <c r="P380" s="44">
        <f t="shared" si="93"/>
        <v>0</v>
      </c>
      <c r="Q380" s="44">
        <f t="shared" si="93"/>
        <v>0</v>
      </c>
      <c r="R380" s="44">
        <f t="shared" si="93"/>
        <v>0</v>
      </c>
      <c r="S380" s="44">
        <f t="shared" si="93"/>
        <v>0</v>
      </c>
      <c r="T380" s="44">
        <f t="shared" si="93"/>
        <v>0</v>
      </c>
      <c r="U380" s="44">
        <f t="shared" si="93"/>
        <v>0</v>
      </c>
      <c r="V380" s="44">
        <f t="shared" si="93"/>
        <v>0</v>
      </c>
      <c r="W380" s="44">
        <f t="shared" si="93"/>
        <v>0</v>
      </c>
      <c r="X380" s="44">
        <f t="shared" si="93"/>
        <v>0</v>
      </c>
      <c r="Y380" s="44">
        <f t="shared" si="93"/>
        <v>0</v>
      </c>
      <c r="Z380" s="44">
        <f t="shared" si="93"/>
        <v>0</v>
      </c>
      <c r="AA380" s="44">
        <f t="shared" si="93"/>
        <v>0</v>
      </c>
      <c r="AB380" s="44">
        <f t="shared" si="93"/>
        <v>0</v>
      </c>
      <c r="AC380" s="44">
        <f t="shared" si="93"/>
        <v>0</v>
      </c>
      <c r="AD380" s="44">
        <f t="shared" si="93"/>
        <v>0</v>
      </c>
      <c r="AE380" s="44">
        <f t="shared" si="93"/>
        <v>0</v>
      </c>
    </row>
    <row r="382" spans="1:31" x14ac:dyDescent="0.25">
      <c r="A382" s="41" t="s">
        <v>1306</v>
      </c>
      <c r="B382" s="6" t="s">
        <v>64</v>
      </c>
      <c r="C382" s="6" t="s">
        <v>119</v>
      </c>
      <c r="D382" s="6">
        <v>1</v>
      </c>
      <c r="E382" s="6" t="s">
        <v>1210</v>
      </c>
      <c r="K382" s="22"/>
      <c r="L382" s="22">
        <v>0.1573447362522738</v>
      </c>
      <c r="M382" s="22">
        <v>0.1644840377592767</v>
      </c>
      <c r="N382" s="22">
        <v>0.1507090778070489</v>
      </c>
      <c r="O382" s="22">
        <v>0.1507090778070489</v>
      </c>
      <c r="P382" s="22">
        <v>0.1507090778070489</v>
      </c>
      <c r="Q382" s="22">
        <v>0.1507090778070489</v>
      </c>
      <c r="R382" s="22">
        <v>0.1507090778070489</v>
      </c>
      <c r="S382" s="22">
        <v>0.1507090778070489</v>
      </c>
      <c r="T382" s="22">
        <v>0.1507090778070489</v>
      </c>
      <c r="U382" s="22">
        <v>0.1507090778070489</v>
      </c>
      <c r="V382" s="22">
        <v>0.1507090778070489</v>
      </c>
      <c r="W382" s="22">
        <v>0.1507090778070489</v>
      </c>
      <c r="X382" s="22">
        <v>0.1507090778070489</v>
      </c>
      <c r="Y382" s="22">
        <v>0.1507090778070489</v>
      </c>
      <c r="Z382" s="22">
        <v>0.1507090778070489</v>
      </c>
      <c r="AA382" s="22">
        <v>0.1507090778070489</v>
      </c>
      <c r="AB382" s="22">
        <v>0.1507090778070489</v>
      </c>
      <c r="AC382" s="22">
        <v>0.1507090778070489</v>
      </c>
      <c r="AD382" s="22">
        <v>0.1507090778070489</v>
      </c>
      <c r="AE382" s="22">
        <v>0.1507090778070489</v>
      </c>
    </row>
    <row r="383" spans="1:31" x14ac:dyDescent="0.25">
      <c r="A383" s="41" t="s">
        <v>1306</v>
      </c>
      <c r="B383" s="6" t="s">
        <v>64</v>
      </c>
      <c r="C383" s="6" t="s">
        <v>119</v>
      </c>
      <c r="D383" s="6">
        <v>1</v>
      </c>
      <c r="E383" s="6" t="s">
        <v>1211</v>
      </c>
      <c r="K383" s="22">
        <f>INDEX(Mitigation_Industry!K:K,MATCH($A383,Mitigation_Industry!$H:$H,0))</f>
        <v>0.20036669112673841</v>
      </c>
      <c r="L383" s="22">
        <f>INDEX(Mitigation_Industry!L:L,MATCH($A383,Mitigation_Industry!$H:$H,0))</f>
        <v>0.1573447362522738</v>
      </c>
      <c r="M383" s="22">
        <f>INDEX(Mitigation_Industry!M:M,MATCH($A383,Mitigation_Industry!$H:$H,0))</f>
        <v>0.1644840377592767</v>
      </c>
      <c r="N383" s="22">
        <f>INDEX(Mitigation_Industry!N:N,MATCH($A383,Mitigation_Industry!$H:$H,0))</f>
        <v>0.1507090778070489</v>
      </c>
      <c r="O383" s="22">
        <f>INDEX(Mitigation_Industry!O:O,MATCH($A383,Mitigation_Industry!$H:$H,0))</f>
        <v>0.1507090778070489</v>
      </c>
      <c r="P383" s="22">
        <f>INDEX(Mitigation_Industry!P:P,MATCH($A383,Mitigation_Industry!$H:$H,0))</f>
        <v>0.1507090778070489</v>
      </c>
      <c r="Q383" s="22">
        <f>INDEX(Mitigation_Industry!Q:Q,MATCH($A383,Mitigation_Industry!$H:$H,0))</f>
        <v>0.1507090778070489</v>
      </c>
      <c r="R383" s="22">
        <f>INDEX(Mitigation_Industry!R:R,MATCH($A383,Mitigation_Industry!$H:$H,0))</f>
        <v>0.1507090778070489</v>
      </c>
      <c r="S383" s="22">
        <f>INDEX(Mitigation_Industry!S:S,MATCH($A383,Mitigation_Industry!$H:$H,0))</f>
        <v>0.1507090778070489</v>
      </c>
      <c r="T383" s="22">
        <f>INDEX(Mitigation_Industry!T:T,MATCH($A383,Mitigation_Industry!$H:$H,0))</f>
        <v>0.1507090778070489</v>
      </c>
      <c r="U383" s="22">
        <f>INDEX(Mitigation_Industry!U:U,MATCH($A383,Mitigation_Industry!$H:$H,0))</f>
        <v>0.1507090778070489</v>
      </c>
      <c r="V383" s="22">
        <f>INDEX(Mitigation_Industry!V:V,MATCH($A383,Mitigation_Industry!$H:$H,0))</f>
        <v>0.1507090778070489</v>
      </c>
      <c r="W383" s="22">
        <f>INDEX(Mitigation_Industry!W:W,MATCH($A383,Mitigation_Industry!$H:$H,0))</f>
        <v>0.1507090778070489</v>
      </c>
      <c r="X383" s="22">
        <f>INDEX(Mitigation_Industry!X:X,MATCH($A383,Mitigation_Industry!$H:$H,0))</f>
        <v>0.1507090778070489</v>
      </c>
      <c r="Y383" s="22">
        <f>INDEX(Mitigation_Industry!Y:Y,MATCH($A383,Mitigation_Industry!$H:$H,0))</f>
        <v>0.1507090778070489</v>
      </c>
      <c r="Z383" s="22">
        <f>INDEX(Mitigation_Industry!Z:Z,MATCH($A383,Mitigation_Industry!$H:$H,0))</f>
        <v>0.1507090778070489</v>
      </c>
      <c r="AA383" s="22">
        <f>INDEX(Mitigation_Industry!AA:AA,MATCH($A383,Mitigation_Industry!$H:$H,0))</f>
        <v>0.1507090778070489</v>
      </c>
      <c r="AB383" s="22">
        <f>INDEX(Mitigation_Industry!AB:AB,MATCH($A383,Mitigation_Industry!$H:$H,0))</f>
        <v>0.1507090778070489</v>
      </c>
      <c r="AC383" s="22">
        <f>INDEX(Mitigation_Industry!AC:AC,MATCH($A383,Mitigation_Industry!$H:$H,0))</f>
        <v>0.1507090778070489</v>
      </c>
      <c r="AD383" s="22">
        <f>INDEX(Mitigation_Industry!AD:AD,MATCH($A383,Mitigation_Industry!$H:$H,0))</f>
        <v>0.1507090778070489</v>
      </c>
      <c r="AE383" s="22">
        <f>INDEX(Mitigation_Industry!AE:AE,MATCH($A383,Mitigation_Industry!$H:$H,0))</f>
        <v>0.1507090778070489</v>
      </c>
    </row>
    <row r="384" spans="1:31" x14ac:dyDescent="0.25">
      <c r="A384" s="41" t="s">
        <v>1306</v>
      </c>
      <c r="B384" s="6" t="s">
        <v>64</v>
      </c>
      <c r="C384" s="6" t="s">
        <v>119</v>
      </c>
      <c r="D384" s="6">
        <v>1</v>
      </c>
      <c r="E384" s="2" t="s">
        <v>1212</v>
      </c>
      <c r="F384" s="43">
        <f>MAX(MAX(L384:AE384),-MIN(L384:AE384))</f>
        <v>0</v>
      </c>
      <c r="K384" s="44">
        <f t="shared" ref="K384:AE384" si="94">IF(ISNUMBER(K382),IF(ISNUMBER(K383),K383-K382,999999),0)</f>
        <v>0</v>
      </c>
      <c r="L384" s="44">
        <f t="shared" si="94"/>
        <v>0</v>
      </c>
      <c r="M384" s="44">
        <f t="shared" si="94"/>
        <v>0</v>
      </c>
      <c r="N384" s="44">
        <f t="shared" si="94"/>
        <v>0</v>
      </c>
      <c r="O384" s="44">
        <f t="shared" si="94"/>
        <v>0</v>
      </c>
      <c r="P384" s="44">
        <f t="shared" si="94"/>
        <v>0</v>
      </c>
      <c r="Q384" s="44">
        <f t="shared" si="94"/>
        <v>0</v>
      </c>
      <c r="R384" s="44">
        <f t="shared" si="94"/>
        <v>0</v>
      </c>
      <c r="S384" s="44">
        <f t="shared" si="94"/>
        <v>0</v>
      </c>
      <c r="T384" s="44">
        <f t="shared" si="94"/>
        <v>0</v>
      </c>
      <c r="U384" s="44">
        <f t="shared" si="94"/>
        <v>0</v>
      </c>
      <c r="V384" s="44">
        <f t="shared" si="94"/>
        <v>0</v>
      </c>
      <c r="W384" s="44">
        <f t="shared" si="94"/>
        <v>0</v>
      </c>
      <c r="X384" s="44">
        <f t="shared" si="94"/>
        <v>0</v>
      </c>
      <c r="Y384" s="44">
        <f t="shared" si="94"/>
        <v>0</v>
      </c>
      <c r="Z384" s="44">
        <f t="shared" si="94"/>
        <v>0</v>
      </c>
      <c r="AA384" s="44">
        <f t="shared" si="94"/>
        <v>0</v>
      </c>
      <c r="AB384" s="44">
        <f t="shared" si="94"/>
        <v>0</v>
      </c>
      <c r="AC384" s="44">
        <f t="shared" si="94"/>
        <v>0</v>
      </c>
      <c r="AD384" s="44">
        <f t="shared" si="94"/>
        <v>0</v>
      </c>
      <c r="AE384" s="44">
        <f t="shared" si="94"/>
        <v>0</v>
      </c>
    </row>
    <row r="386" spans="1:31" x14ac:dyDescent="0.25">
      <c r="A386" s="41" t="s">
        <v>1307</v>
      </c>
      <c r="B386" s="6" t="s">
        <v>66</v>
      </c>
      <c r="C386" s="6" t="s">
        <v>119</v>
      </c>
      <c r="D386" s="6">
        <v>1</v>
      </c>
      <c r="E386" s="6" t="s">
        <v>1210</v>
      </c>
      <c r="K386" s="22"/>
      <c r="L386" s="22">
        <v>0.45642817050012813</v>
      </c>
      <c r="M386" s="22">
        <v>0.43168920195599519</v>
      </c>
      <c r="N386" s="22">
        <v>0.42507558395596989</v>
      </c>
      <c r="O386" s="22">
        <v>0.42507558395596989</v>
      </c>
      <c r="P386" s="22">
        <v>0.42507558395596989</v>
      </c>
      <c r="Q386" s="22">
        <v>0.42507558395596989</v>
      </c>
      <c r="R386" s="22">
        <v>0.42507558395596989</v>
      </c>
      <c r="S386" s="22">
        <v>0.42507558395596989</v>
      </c>
      <c r="T386" s="22">
        <v>0.42507558395596989</v>
      </c>
      <c r="U386" s="22">
        <v>0.42507558395596989</v>
      </c>
      <c r="V386" s="22">
        <v>0.42507558395596989</v>
      </c>
      <c r="W386" s="22">
        <v>0.42507558395596989</v>
      </c>
      <c r="X386" s="22">
        <v>0.42507558395596989</v>
      </c>
      <c r="Y386" s="22">
        <v>0.42507558395596989</v>
      </c>
      <c r="Z386" s="22">
        <v>0.42507558395596989</v>
      </c>
      <c r="AA386" s="22">
        <v>0.42507558395596989</v>
      </c>
      <c r="AB386" s="22">
        <v>0.42507558395596989</v>
      </c>
      <c r="AC386" s="22">
        <v>0.42507558395596989</v>
      </c>
      <c r="AD386" s="22">
        <v>0.42507558395596989</v>
      </c>
      <c r="AE386" s="22">
        <v>0.42507558395596989</v>
      </c>
    </row>
    <row r="387" spans="1:31" x14ac:dyDescent="0.25">
      <c r="A387" s="41" t="s">
        <v>1307</v>
      </c>
      <c r="B387" s="6" t="s">
        <v>66</v>
      </c>
      <c r="C387" s="6" t="s">
        <v>119</v>
      </c>
      <c r="D387" s="6">
        <v>1</v>
      </c>
      <c r="E387" s="6" t="s">
        <v>1211</v>
      </c>
      <c r="K387" s="22">
        <f>INDEX(Mitigation_Industry!K:K,MATCH($A387,Mitigation_Industry!$H:$H,0))</f>
        <v>0.48429424097343482</v>
      </c>
      <c r="L387" s="22">
        <f>INDEX(Mitigation_Industry!L:L,MATCH($A387,Mitigation_Industry!$H:$H,0))</f>
        <v>0.45642817050012813</v>
      </c>
      <c r="M387" s="22">
        <f>INDEX(Mitigation_Industry!M:M,MATCH($A387,Mitigation_Industry!$H:$H,0))</f>
        <v>0.43168920195599519</v>
      </c>
      <c r="N387" s="22">
        <f>INDEX(Mitigation_Industry!N:N,MATCH($A387,Mitigation_Industry!$H:$H,0))</f>
        <v>0.42507558395596989</v>
      </c>
      <c r="O387" s="22">
        <f>INDEX(Mitigation_Industry!O:O,MATCH($A387,Mitigation_Industry!$H:$H,0))</f>
        <v>0.42507558395596989</v>
      </c>
      <c r="P387" s="22">
        <f>INDEX(Mitigation_Industry!P:P,MATCH($A387,Mitigation_Industry!$H:$H,0))</f>
        <v>0.42507558395596989</v>
      </c>
      <c r="Q387" s="22">
        <f>INDEX(Mitigation_Industry!Q:Q,MATCH($A387,Mitigation_Industry!$H:$H,0))</f>
        <v>0.42507558395596989</v>
      </c>
      <c r="R387" s="22">
        <f>INDEX(Mitigation_Industry!R:R,MATCH($A387,Mitigation_Industry!$H:$H,0))</f>
        <v>0.42507558395596989</v>
      </c>
      <c r="S387" s="22">
        <f>INDEX(Mitigation_Industry!S:S,MATCH($A387,Mitigation_Industry!$H:$H,0))</f>
        <v>0.42507558395596989</v>
      </c>
      <c r="T387" s="22">
        <f>INDEX(Mitigation_Industry!T:T,MATCH($A387,Mitigation_Industry!$H:$H,0))</f>
        <v>0.42507558395596989</v>
      </c>
      <c r="U387" s="22">
        <f>INDEX(Mitigation_Industry!U:U,MATCH($A387,Mitigation_Industry!$H:$H,0))</f>
        <v>0.42507558395596989</v>
      </c>
      <c r="V387" s="22">
        <f>INDEX(Mitigation_Industry!V:V,MATCH($A387,Mitigation_Industry!$H:$H,0))</f>
        <v>0.42507558395596989</v>
      </c>
      <c r="W387" s="22">
        <f>INDEX(Mitigation_Industry!W:W,MATCH($A387,Mitigation_Industry!$H:$H,0))</f>
        <v>0.42507558395596989</v>
      </c>
      <c r="X387" s="22">
        <f>INDEX(Mitigation_Industry!X:X,MATCH($A387,Mitigation_Industry!$H:$H,0))</f>
        <v>0.42507558395596989</v>
      </c>
      <c r="Y387" s="22">
        <f>INDEX(Mitigation_Industry!Y:Y,MATCH($A387,Mitigation_Industry!$H:$H,0))</f>
        <v>0.42507558395596989</v>
      </c>
      <c r="Z387" s="22">
        <f>INDEX(Mitigation_Industry!Z:Z,MATCH($A387,Mitigation_Industry!$H:$H,0))</f>
        <v>0.42507558395596989</v>
      </c>
      <c r="AA387" s="22">
        <f>INDEX(Mitigation_Industry!AA:AA,MATCH($A387,Mitigation_Industry!$H:$H,0))</f>
        <v>0.42507558395596989</v>
      </c>
      <c r="AB387" s="22">
        <f>INDEX(Mitigation_Industry!AB:AB,MATCH($A387,Mitigation_Industry!$H:$H,0))</f>
        <v>0.42507558395596989</v>
      </c>
      <c r="AC387" s="22">
        <f>INDEX(Mitigation_Industry!AC:AC,MATCH($A387,Mitigation_Industry!$H:$H,0))</f>
        <v>0.42507558395596989</v>
      </c>
      <c r="AD387" s="22">
        <f>INDEX(Mitigation_Industry!AD:AD,MATCH($A387,Mitigation_Industry!$H:$H,0))</f>
        <v>0.42507558395596989</v>
      </c>
      <c r="AE387" s="22">
        <f>INDEX(Mitigation_Industry!AE:AE,MATCH($A387,Mitigation_Industry!$H:$H,0))</f>
        <v>0.42507558395596989</v>
      </c>
    </row>
    <row r="388" spans="1:31" x14ac:dyDescent="0.25">
      <c r="A388" s="41" t="s">
        <v>1307</v>
      </c>
      <c r="B388" s="6" t="s">
        <v>66</v>
      </c>
      <c r="C388" s="6" t="s">
        <v>119</v>
      </c>
      <c r="D388" s="6">
        <v>1</v>
      </c>
      <c r="E388" s="2" t="s">
        <v>1212</v>
      </c>
      <c r="F388" s="43">
        <f>MAX(MAX(L388:AE388),-MIN(L388:AE388))</f>
        <v>0</v>
      </c>
      <c r="K388" s="44">
        <f t="shared" ref="K388:AE388" si="95">IF(ISNUMBER(K386),IF(ISNUMBER(K387),K387-K386,999999),0)</f>
        <v>0</v>
      </c>
      <c r="L388" s="44">
        <f t="shared" si="95"/>
        <v>0</v>
      </c>
      <c r="M388" s="44">
        <f t="shared" si="95"/>
        <v>0</v>
      </c>
      <c r="N388" s="44">
        <f t="shared" si="95"/>
        <v>0</v>
      </c>
      <c r="O388" s="44">
        <f t="shared" si="95"/>
        <v>0</v>
      </c>
      <c r="P388" s="44">
        <f t="shared" si="95"/>
        <v>0</v>
      </c>
      <c r="Q388" s="44">
        <f t="shared" si="95"/>
        <v>0</v>
      </c>
      <c r="R388" s="44">
        <f t="shared" si="95"/>
        <v>0</v>
      </c>
      <c r="S388" s="44">
        <f t="shared" si="95"/>
        <v>0</v>
      </c>
      <c r="T388" s="44">
        <f t="shared" si="95"/>
        <v>0</v>
      </c>
      <c r="U388" s="44">
        <f t="shared" si="95"/>
        <v>0</v>
      </c>
      <c r="V388" s="44">
        <f t="shared" si="95"/>
        <v>0</v>
      </c>
      <c r="W388" s="44">
        <f t="shared" si="95"/>
        <v>0</v>
      </c>
      <c r="X388" s="44">
        <f t="shared" si="95"/>
        <v>0</v>
      </c>
      <c r="Y388" s="44">
        <f t="shared" si="95"/>
        <v>0</v>
      </c>
      <c r="Z388" s="44">
        <f t="shared" si="95"/>
        <v>0</v>
      </c>
      <c r="AA388" s="44">
        <f t="shared" si="95"/>
        <v>0</v>
      </c>
      <c r="AB388" s="44">
        <f t="shared" si="95"/>
        <v>0</v>
      </c>
      <c r="AC388" s="44">
        <f t="shared" si="95"/>
        <v>0</v>
      </c>
      <c r="AD388" s="44">
        <f t="shared" si="95"/>
        <v>0</v>
      </c>
      <c r="AE388" s="44">
        <f t="shared" si="95"/>
        <v>0</v>
      </c>
    </row>
    <row r="390" spans="1:31" x14ac:dyDescent="0.25">
      <c r="A390" s="41" t="s">
        <v>1308</v>
      </c>
      <c r="B390" s="6" t="s">
        <v>68</v>
      </c>
      <c r="C390" s="6" t="s">
        <v>119</v>
      </c>
      <c r="D390" s="6">
        <v>1</v>
      </c>
      <c r="E390" s="6" t="s">
        <v>1210</v>
      </c>
      <c r="K390" s="22"/>
      <c r="L390" s="22">
        <v>34.415370304313228</v>
      </c>
      <c r="M390" s="22">
        <v>37.368960690432033</v>
      </c>
      <c r="N390" s="22">
        <v>28.982761101477251</v>
      </c>
      <c r="O390" s="22">
        <v>15</v>
      </c>
      <c r="P390" s="22">
        <v>24.2586300842555</v>
      </c>
      <c r="Q390" s="22">
        <v>15</v>
      </c>
      <c r="R390" s="22">
        <v>15</v>
      </c>
      <c r="S390" s="22">
        <v>15</v>
      </c>
      <c r="T390" s="22">
        <v>15</v>
      </c>
      <c r="U390" s="22">
        <v>15</v>
      </c>
      <c r="V390" s="22">
        <v>15</v>
      </c>
      <c r="W390" s="22">
        <v>15</v>
      </c>
      <c r="X390" s="22">
        <v>15</v>
      </c>
      <c r="Y390" s="22">
        <v>15</v>
      </c>
      <c r="Z390" s="22">
        <v>15</v>
      </c>
      <c r="AA390" s="22">
        <v>15</v>
      </c>
      <c r="AB390" s="22">
        <v>15</v>
      </c>
      <c r="AC390" s="22">
        <v>15</v>
      </c>
      <c r="AD390" s="22">
        <v>15</v>
      </c>
      <c r="AE390" s="22">
        <v>15</v>
      </c>
    </row>
    <row r="391" spans="1:31" x14ac:dyDescent="0.25">
      <c r="A391" s="41" t="s">
        <v>1308</v>
      </c>
      <c r="B391" s="6" t="s">
        <v>68</v>
      </c>
      <c r="C391" s="6" t="s">
        <v>119</v>
      </c>
      <c r="D391" s="6">
        <v>1</v>
      </c>
      <c r="E391" s="6" t="s">
        <v>1211</v>
      </c>
      <c r="K391" s="22">
        <f>INDEX(Mitigation_Industry!K:K,MATCH($A391,Mitigation_Industry!$H:$H,0))</f>
        <v>41.50033849886843</v>
      </c>
      <c r="L391" s="22">
        <f>INDEX(Mitigation_Industry!L:L,MATCH($A391,Mitigation_Industry!$H:$H,0))</f>
        <v>34.415370304313228</v>
      </c>
      <c r="M391" s="22">
        <f>INDEX(Mitigation_Industry!M:M,MATCH($A391,Mitigation_Industry!$H:$H,0))</f>
        <v>37.368960690432033</v>
      </c>
      <c r="N391" s="22">
        <f>INDEX(Mitigation_Industry!N:N,MATCH($A391,Mitigation_Industry!$H:$H,0))</f>
        <v>28.982761101477251</v>
      </c>
      <c r="O391" s="22">
        <f>INDEX(Mitigation_Industry!O:O,MATCH($A391,Mitigation_Industry!$H:$H,0))</f>
        <v>15</v>
      </c>
      <c r="P391" s="22">
        <f>INDEX(Mitigation_Industry!P:P,MATCH($A391,Mitigation_Industry!$H:$H,0))</f>
        <v>24.2586300842555</v>
      </c>
      <c r="Q391" s="22">
        <f>INDEX(Mitigation_Industry!Q:Q,MATCH($A391,Mitigation_Industry!$H:$H,0))</f>
        <v>15</v>
      </c>
      <c r="R391" s="22">
        <f>INDEX(Mitigation_Industry!R:R,MATCH($A391,Mitigation_Industry!$H:$H,0))</f>
        <v>15</v>
      </c>
      <c r="S391" s="22">
        <f>INDEX(Mitigation_Industry!S:S,MATCH($A391,Mitigation_Industry!$H:$H,0))</f>
        <v>15</v>
      </c>
      <c r="T391" s="22">
        <f>INDEX(Mitigation_Industry!T:T,MATCH($A391,Mitigation_Industry!$H:$H,0))</f>
        <v>15</v>
      </c>
      <c r="U391" s="22">
        <f>INDEX(Mitigation_Industry!U:U,MATCH($A391,Mitigation_Industry!$H:$H,0))</f>
        <v>15</v>
      </c>
      <c r="V391" s="22">
        <f>INDEX(Mitigation_Industry!V:V,MATCH($A391,Mitigation_Industry!$H:$H,0))</f>
        <v>15</v>
      </c>
      <c r="W391" s="22">
        <f>INDEX(Mitigation_Industry!W:W,MATCH($A391,Mitigation_Industry!$H:$H,0))</f>
        <v>15</v>
      </c>
      <c r="X391" s="22">
        <f>INDEX(Mitigation_Industry!X:X,MATCH($A391,Mitigation_Industry!$H:$H,0))</f>
        <v>15</v>
      </c>
      <c r="Y391" s="22">
        <f>INDEX(Mitigation_Industry!Y:Y,MATCH($A391,Mitigation_Industry!$H:$H,0))</f>
        <v>15</v>
      </c>
      <c r="Z391" s="22">
        <f>INDEX(Mitigation_Industry!Z:Z,MATCH($A391,Mitigation_Industry!$H:$H,0))</f>
        <v>15</v>
      </c>
      <c r="AA391" s="22">
        <f>INDEX(Mitigation_Industry!AA:AA,MATCH($A391,Mitigation_Industry!$H:$H,0))</f>
        <v>15</v>
      </c>
      <c r="AB391" s="22">
        <f>INDEX(Mitigation_Industry!AB:AB,MATCH($A391,Mitigation_Industry!$H:$H,0))</f>
        <v>15</v>
      </c>
      <c r="AC391" s="22">
        <f>INDEX(Mitigation_Industry!AC:AC,MATCH($A391,Mitigation_Industry!$H:$H,0))</f>
        <v>15</v>
      </c>
      <c r="AD391" s="22">
        <f>INDEX(Mitigation_Industry!AD:AD,MATCH($A391,Mitigation_Industry!$H:$H,0))</f>
        <v>15</v>
      </c>
      <c r="AE391" s="22">
        <f>INDEX(Mitigation_Industry!AE:AE,MATCH($A391,Mitigation_Industry!$H:$H,0))</f>
        <v>15</v>
      </c>
    </row>
    <row r="392" spans="1:31" x14ac:dyDescent="0.25">
      <c r="A392" s="41" t="s">
        <v>1308</v>
      </c>
      <c r="B392" s="6" t="s">
        <v>68</v>
      </c>
      <c r="C392" s="6" t="s">
        <v>119</v>
      </c>
      <c r="D392" s="6">
        <v>1</v>
      </c>
      <c r="E392" s="2" t="s">
        <v>1212</v>
      </c>
      <c r="F392" s="43">
        <f>MAX(MAX(L392:AE392),-MIN(L392:AE392))</f>
        <v>0</v>
      </c>
      <c r="K392" s="44">
        <f t="shared" ref="K392:AE392" si="96">IF(ISNUMBER(K390),IF(ISNUMBER(K391),K391-K390,999999),0)</f>
        <v>0</v>
      </c>
      <c r="L392" s="44">
        <f t="shared" si="96"/>
        <v>0</v>
      </c>
      <c r="M392" s="44">
        <f t="shared" si="96"/>
        <v>0</v>
      </c>
      <c r="N392" s="44">
        <f t="shared" si="96"/>
        <v>0</v>
      </c>
      <c r="O392" s="44">
        <f t="shared" si="96"/>
        <v>0</v>
      </c>
      <c r="P392" s="44">
        <f t="shared" si="96"/>
        <v>0</v>
      </c>
      <c r="Q392" s="44">
        <f t="shared" si="96"/>
        <v>0</v>
      </c>
      <c r="R392" s="44">
        <f t="shared" si="96"/>
        <v>0</v>
      </c>
      <c r="S392" s="44">
        <f t="shared" si="96"/>
        <v>0</v>
      </c>
      <c r="T392" s="44">
        <f t="shared" si="96"/>
        <v>0</v>
      </c>
      <c r="U392" s="44">
        <f t="shared" si="96"/>
        <v>0</v>
      </c>
      <c r="V392" s="44">
        <f t="shared" si="96"/>
        <v>0</v>
      </c>
      <c r="W392" s="44">
        <f t="shared" si="96"/>
        <v>0</v>
      </c>
      <c r="X392" s="44">
        <f t="shared" si="96"/>
        <v>0</v>
      </c>
      <c r="Y392" s="44">
        <f t="shared" si="96"/>
        <v>0</v>
      </c>
      <c r="Z392" s="44">
        <f t="shared" si="96"/>
        <v>0</v>
      </c>
      <c r="AA392" s="44">
        <f t="shared" si="96"/>
        <v>0</v>
      </c>
      <c r="AB392" s="44">
        <f t="shared" si="96"/>
        <v>0</v>
      </c>
      <c r="AC392" s="44">
        <f t="shared" si="96"/>
        <v>0</v>
      </c>
      <c r="AD392" s="44">
        <f t="shared" si="96"/>
        <v>0</v>
      </c>
      <c r="AE392" s="44">
        <f t="shared" si="96"/>
        <v>0</v>
      </c>
    </row>
    <row r="394" spans="1:31" x14ac:dyDescent="0.25">
      <c r="A394" s="41" t="s">
        <v>1309</v>
      </c>
      <c r="B394" s="6" t="s">
        <v>71</v>
      </c>
      <c r="C394" s="6" t="s">
        <v>119</v>
      </c>
      <c r="D394" s="6">
        <v>1</v>
      </c>
      <c r="E394" s="6" t="s">
        <v>1210</v>
      </c>
      <c r="K394" s="22"/>
      <c r="L394" s="22">
        <v>14.199528390634921</v>
      </c>
      <c r="M394" s="22">
        <v>13.840441613315161</v>
      </c>
      <c r="N394" s="22">
        <v>13.5677269404465</v>
      </c>
      <c r="O394" s="22">
        <v>13.5677269404465</v>
      </c>
      <c r="P394" s="22">
        <v>13.5677269404465</v>
      </c>
      <c r="Q394" s="22">
        <v>13.5677269404465</v>
      </c>
      <c r="R394" s="22">
        <v>13.5677269404465</v>
      </c>
      <c r="S394" s="22">
        <v>13.5677269404465</v>
      </c>
      <c r="T394" s="22">
        <v>13.5677269404465</v>
      </c>
      <c r="U394" s="22">
        <v>13.5677269404465</v>
      </c>
      <c r="V394" s="22">
        <v>13.5677269404465</v>
      </c>
      <c r="W394" s="22">
        <v>13.5677269404465</v>
      </c>
      <c r="X394" s="22">
        <v>13.5677269404465</v>
      </c>
      <c r="Y394" s="22">
        <v>13.5677269404465</v>
      </c>
      <c r="Z394" s="22">
        <v>13.5677269404465</v>
      </c>
      <c r="AA394" s="22">
        <v>13.5677269404465</v>
      </c>
      <c r="AB394" s="22">
        <v>13.5677269404465</v>
      </c>
      <c r="AC394" s="22">
        <v>13.5677269404465</v>
      </c>
      <c r="AD394" s="22">
        <v>13.5677269404465</v>
      </c>
      <c r="AE394" s="22">
        <v>13.5677269404465</v>
      </c>
    </row>
    <row r="395" spans="1:31" x14ac:dyDescent="0.25">
      <c r="A395" s="41" t="s">
        <v>1309</v>
      </c>
      <c r="B395" s="6" t="s">
        <v>71</v>
      </c>
      <c r="C395" s="6" t="s">
        <v>119</v>
      </c>
      <c r="D395" s="6">
        <v>1</v>
      </c>
      <c r="E395" s="6" t="s">
        <v>1211</v>
      </c>
      <c r="K395" s="22">
        <f>INDEX(Mitigation_Industry!K:K,MATCH($A395,Mitigation_Industry!$H:$H,0))</f>
        <v>15.33455052931693</v>
      </c>
      <c r="L395" s="22">
        <f>INDEX(Mitigation_Industry!L:L,MATCH($A395,Mitigation_Industry!$H:$H,0))</f>
        <v>14.199528390634921</v>
      </c>
      <c r="M395" s="22">
        <f>INDEX(Mitigation_Industry!M:M,MATCH($A395,Mitigation_Industry!$H:$H,0))</f>
        <v>13.840441613315161</v>
      </c>
      <c r="N395" s="22">
        <f>INDEX(Mitigation_Industry!N:N,MATCH($A395,Mitigation_Industry!$H:$H,0))</f>
        <v>13.5677269404465</v>
      </c>
      <c r="O395" s="22">
        <f>INDEX(Mitigation_Industry!O:O,MATCH($A395,Mitigation_Industry!$H:$H,0))</f>
        <v>13.5677269404465</v>
      </c>
      <c r="P395" s="22">
        <f>INDEX(Mitigation_Industry!P:P,MATCH($A395,Mitigation_Industry!$H:$H,0))</f>
        <v>13.5677269404465</v>
      </c>
      <c r="Q395" s="22">
        <f>INDEX(Mitigation_Industry!Q:Q,MATCH($A395,Mitigation_Industry!$H:$H,0))</f>
        <v>13.5677269404465</v>
      </c>
      <c r="R395" s="22">
        <f>INDEX(Mitigation_Industry!R:R,MATCH($A395,Mitigation_Industry!$H:$H,0))</f>
        <v>13.5677269404465</v>
      </c>
      <c r="S395" s="22">
        <f>INDEX(Mitigation_Industry!S:S,MATCH($A395,Mitigation_Industry!$H:$H,0))</f>
        <v>13.5677269404465</v>
      </c>
      <c r="T395" s="22">
        <f>INDEX(Mitigation_Industry!T:T,MATCH($A395,Mitigation_Industry!$H:$H,0))</f>
        <v>13.5677269404465</v>
      </c>
      <c r="U395" s="22">
        <f>INDEX(Mitigation_Industry!U:U,MATCH($A395,Mitigation_Industry!$H:$H,0))</f>
        <v>13.5677269404465</v>
      </c>
      <c r="V395" s="22">
        <f>INDEX(Mitigation_Industry!V:V,MATCH($A395,Mitigation_Industry!$H:$H,0))</f>
        <v>13.5677269404465</v>
      </c>
      <c r="W395" s="22">
        <f>INDEX(Mitigation_Industry!W:W,MATCH($A395,Mitigation_Industry!$H:$H,0))</f>
        <v>13.5677269404465</v>
      </c>
      <c r="X395" s="22">
        <f>INDEX(Mitigation_Industry!X:X,MATCH($A395,Mitigation_Industry!$H:$H,0))</f>
        <v>13.5677269404465</v>
      </c>
      <c r="Y395" s="22">
        <f>INDEX(Mitigation_Industry!Y:Y,MATCH($A395,Mitigation_Industry!$H:$H,0))</f>
        <v>13.5677269404465</v>
      </c>
      <c r="Z395" s="22">
        <f>INDEX(Mitigation_Industry!Z:Z,MATCH($A395,Mitigation_Industry!$H:$H,0))</f>
        <v>13.5677269404465</v>
      </c>
      <c r="AA395" s="22">
        <f>INDEX(Mitigation_Industry!AA:AA,MATCH($A395,Mitigation_Industry!$H:$H,0))</f>
        <v>13.5677269404465</v>
      </c>
      <c r="AB395" s="22">
        <f>INDEX(Mitigation_Industry!AB:AB,MATCH($A395,Mitigation_Industry!$H:$H,0))</f>
        <v>13.5677269404465</v>
      </c>
      <c r="AC395" s="22">
        <f>INDEX(Mitigation_Industry!AC:AC,MATCH($A395,Mitigation_Industry!$H:$H,0))</f>
        <v>13.5677269404465</v>
      </c>
      <c r="AD395" s="22">
        <f>INDEX(Mitigation_Industry!AD:AD,MATCH($A395,Mitigation_Industry!$H:$H,0))</f>
        <v>13.5677269404465</v>
      </c>
      <c r="AE395" s="22">
        <f>INDEX(Mitigation_Industry!AE:AE,MATCH($A395,Mitigation_Industry!$H:$H,0))</f>
        <v>13.5677269404465</v>
      </c>
    </row>
    <row r="396" spans="1:31" x14ac:dyDescent="0.25">
      <c r="A396" s="41" t="s">
        <v>1309</v>
      </c>
      <c r="B396" s="6" t="s">
        <v>71</v>
      </c>
      <c r="C396" s="6" t="s">
        <v>119</v>
      </c>
      <c r="D396" s="6">
        <v>1</v>
      </c>
      <c r="E396" s="2" t="s">
        <v>1212</v>
      </c>
      <c r="F396" s="43">
        <f>MAX(MAX(L396:AE396),-MIN(L396:AE396))</f>
        <v>0</v>
      </c>
      <c r="K396" s="44">
        <f t="shared" ref="K396:AE396" si="97">IF(ISNUMBER(K394),IF(ISNUMBER(K395),K395-K394,999999),0)</f>
        <v>0</v>
      </c>
      <c r="L396" s="44">
        <f t="shared" si="97"/>
        <v>0</v>
      </c>
      <c r="M396" s="44">
        <f t="shared" si="97"/>
        <v>0</v>
      </c>
      <c r="N396" s="44">
        <f t="shared" si="97"/>
        <v>0</v>
      </c>
      <c r="O396" s="44">
        <f t="shared" si="97"/>
        <v>0</v>
      </c>
      <c r="P396" s="44">
        <f t="shared" si="97"/>
        <v>0</v>
      </c>
      <c r="Q396" s="44">
        <f t="shared" si="97"/>
        <v>0</v>
      </c>
      <c r="R396" s="44">
        <f t="shared" si="97"/>
        <v>0</v>
      </c>
      <c r="S396" s="44">
        <f t="shared" si="97"/>
        <v>0</v>
      </c>
      <c r="T396" s="44">
        <f t="shared" si="97"/>
        <v>0</v>
      </c>
      <c r="U396" s="44">
        <f t="shared" si="97"/>
        <v>0</v>
      </c>
      <c r="V396" s="44">
        <f t="shared" si="97"/>
        <v>0</v>
      </c>
      <c r="W396" s="44">
        <f t="shared" si="97"/>
        <v>0</v>
      </c>
      <c r="X396" s="44">
        <f t="shared" si="97"/>
        <v>0</v>
      </c>
      <c r="Y396" s="44">
        <f t="shared" si="97"/>
        <v>0</v>
      </c>
      <c r="Z396" s="44">
        <f t="shared" si="97"/>
        <v>0</v>
      </c>
      <c r="AA396" s="44">
        <f t="shared" si="97"/>
        <v>0</v>
      </c>
      <c r="AB396" s="44">
        <f t="shared" si="97"/>
        <v>0</v>
      </c>
      <c r="AC396" s="44">
        <f t="shared" si="97"/>
        <v>0</v>
      </c>
      <c r="AD396" s="44">
        <f t="shared" si="97"/>
        <v>0</v>
      </c>
      <c r="AE396" s="44">
        <f t="shared" si="97"/>
        <v>0</v>
      </c>
    </row>
    <row r="398" spans="1:31" x14ac:dyDescent="0.25">
      <c r="A398" s="41" t="s">
        <v>1310</v>
      </c>
      <c r="B398" s="6" t="s">
        <v>73</v>
      </c>
      <c r="C398" s="6" t="s">
        <v>119</v>
      </c>
      <c r="D398" s="6">
        <v>1</v>
      </c>
      <c r="E398" s="6" t="s">
        <v>1210</v>
      </c>
      <c r="K398" s="22"/>
      <c r="L398" s="22">
        <v>0.14404498679319799</v>
      </c>
      <c r="M398" s="22">
        <v>0.14102040965700391</v>
      </c>
      <c r="N398" s="22">
        <v>0.13511635959447599</v>
      </c>
      <c r="O398" s="22">
        <v>0.13098825698585639</v>
      </c>
      <c r="P398" s="22">
        <v>0.12790841608631831</v>
      </c>
      <c r="Q398" s="22">
        <v>0.124814310557813</v>
      </c>
      <c r="R398" s="22">
        <v>0.1214602571228779</v>
      </c>
      <c r="S398" s="22">
        <v>0.1179507441357863</v>
      </c>
      <c r="T398" s="22">
        <v>0.1141991610445974</v>
      </c>
      <c r="U398" s="22">
        <v>0.1136651000596645</v>
      </c>
      <c r="V398" s="22">
        <v>0.1130169296259568</v>
      </c>
      <c r="W398" s="22">
        <v>0.112314070507636</v>
      </c>
      <c r="X398" s="22">
        <v>0.1114220427328433</v>
      </c>
      <c r="Y398" s="22">
        <v>0.1104341236758091</v>
      </c>
      <c r="Z398" s="22">
        <v>0.10948397330447129</v>
      </c>
      <c r="AA398" s="22">
        <v>0.1083919210529401</v>
      </c>
      <c r="AB398" s="22">
        <v>0.1073544336267039</v>
      </c>
      <c r="AC398" s="22">
        <v>0.10516867544166079</v>
      </c>
      <c r="AD398" s="22">
        <v>0.1030579832560081</v>
      </c>
      <c r="AE398" s="22">
        <v>0.1009318389901144</v>
      </c>
    </row>
    <row r="399" spans="1:31" x14ac:dyDescent="0.25">
      <c r="A399" s="41" t="s">
        <v>1310</v>
      </c>
      <c r="B399" s="6" t="s">
        <v>73</v>
      </c>
      <c r="C399" s="6" t="s">
        <v>119</v>
      </c>
      <c r="D399" s="6">
        <v>1</v>
      </c>
      <c r="E399" s="6" t="s">
        <v>1211</v>
      </c>
      <c r="K399" s="22">
        <f>INDEX(Mitigation_Industry!K:K,MATCH($A399,Mitigation_Industry!$H:$H,0))</f>
        <v>0</v>
      </c>
      <c r="L399" s="22">
        <f>INDEX(Mitigation_Industry!L:L,MATCH($A399,Mitigation_Industry!$H:$H,0))</f>
        <v>0.14404498679319799</v>
      </c>
      <c r="M399" s="22">
        <f>INDEX(Mitigation_Industry!M:M,MATCH($A399,Mitigation_Industry!$H:$H,0))</f>
        <v>0.14102040965700391</v>
      </c>
      <c r="N399" s="22">
        <f>INDEX(Mitigation_Industry!N:N,MATCH($A399,Mitigation_Industry!$H:$H,0))</f>
        <v>0.13511635959447599</v>
      </c>
      <c r="O399" s="22">
        <f>INDEX(Mitigation_Industry!O:O,MATCH($A399,Mitigation_Industry!$H:$H,0))</f>
        <v>0.13098825698585639</v>
      </c>
      <c r="P399" s="22">
        <f>INDEX(Mitigation_Industry!P:P,MATCH($A399,Mitigation_Industry!$H:$H,0))</f>
        <v>0.12790841608631831</v>
      </c>
      <c r="Q399" s="22">
        <f>INDEX(Mitigation_Industry!Q:Q,MATCH($A399,Mitigation_Industry!$H:$H,0))</f>
        <v>0.124814310557813</v>
      </c>
      <c r="R399" s="22">
        <f>INDEX(Mitigation_Industry!R:R,MATCH($A399,Mitigation_Industry!$H:$H,0))</f>
        <v>0.1214602571228779</v>
      </c>
      <c r="S399" s="22">
        <f>INDEX(Mitigation_Industry!S:S,MATCH($A399,Mitigation_Industry!$H:$H,0))</f>
        <v>0.1179507441357863</v>
      </c>
      <c r="T399" s="22">
        <f>INDEX(Mitigation_Industry!T:T,MATCH($A399,Mitigation_Industry!$H:$H,0))</f>
        <v>0.1141991610445974</v>
      </c>
      <c r="U399" s="22">
        <f>INDEX(Mitigation_Industry!U:U,MATCH($A399,Mitigation_Industry!$H:$H,0))</f>
        <v>0.1136651000596645</v>
      </c>
      <c r="V399" s="22">
        <f>INDEX(Mitigation_Industry!V:V,MATCH($A399,Mitigation_Industry!$H:$H,0))</f>
        <v>0.1130169296259568</v>
      </c>
      <c r="W399" s="22">
        <f>INDEX(Mitigation_Industry!W:W,MATCH($A399,Mitigation_Industry!$H:$H,0))</f>
        <v>0.112314070507636</v>
      </c>
      <c r="X399" s="22">
        <f>INDEX(Mitigation_Industry!X:X,MATCH($A399,Mitigation_Industry!$H:$H,0))</f>
        <v>0.1114220427328433</v>
      </c>
      <c r="Y399" s="22">
        <f>INDEX(Mitigation_Industry!Y:Y,MATCH($A399,Mitigation_Industry!$H:$H,0))</f>
        <v>0.1104341236758091</v>
      </c>
      <c r="Z399" s="22">
        <f>INDEX(Mitigation_Industry!Z:Z,MATCH($A399,Mitigation_Industry!$H:$H,0))</f>
        <v>0.10948397330447129</v>
      </c>
      <c r="AA399" s="22">
        <f>INDEX(Mitigation_Industry!AA:AA,MATCH($A399,Mitigation_Industry!$H:$H,0))</f>
        <v>0.1083919210529401</v>
      </c>
      <c r="AB399" s="22">
        <f>INDEX(Mitigation_Industry!AB:AB,MATCH($A399,Mitigation_Industry!$H:$H,0))</f>
        <v>0.1073544336267039</v>
      </c>
      <c r="AC399" s="22">
        <f>INDEX(Mitigation_Industry!AC:AC,MATCH($A399,Mitigation_Industry!$H:$H,0))</f>
        <v>0.10516867544166079</v>
      </c>
      <c r="AD399" s="22">
        <f>INDEX(Mitigation_Industry!AD:AD,MATCH($A399,Mitigation_Industry!$H:$H,0))</f>
        <v>0.1030579832560081</v>
      </c>
      <c r="AE399" s="22">
        <f>INDEX(Mitigation_Industry!AE:AE,MATCH($A399,Mitigation_Industry!$H:$H,0))</f>
        <v>0.1009318389901144</v>
      </c>
    </row>
    <row r="400" spans="1:31" x14ac:dyDescent="0.25">
      <c r="A400" s="41" t="s">
        <v>1310</v>
      </c>
      <c r="B400" s="6" t="s">
        <v>73</v>
      </c>
      <c r="C400" s="6" t="s">
        <v>119</v>
      </c>
      <c r="D400" s="6">
        <v>1</v>
      </c>
      <c r="E400" s="2" t="s">
        <v>1212</v>
      </c>
      <c r="F400" s="43">
        <f>MAX(MAX(L400:AE400),-MIN(L400:AE400))</f>
        <v>0</v>
      </c>
      <c r="K400" s="44">
        <f t="shared" ref="K400:AE400" si="98">IF(ISNUMBER(K398),IF(ISNUMBER(K399),K399-K398,999999),0)</f>
        <v>0</v>
      </c>
      <c r="L400" s="44">
        <f t="shared" si="98"/>
        <v>0</v>
      </c>
      <c r="M400" s="44">
        <f t="shared" si="98"/>
        <v>0</v>
      </c>
      <c r="N400" s="44">
        <f t="shared" si="98"/>
        <v>0</v>
      </c>
      <c r="O400" s="44">
        <f t="shared" si="98"/>
        <v>0</v>
      </c>
      <c r="P400" s="44">
        <f t="shared" si="98"/>
        <v>0</v>
      </c>
      <c r="Q400" s="44">
        <f t="shared" si="98"/>
        <v>0</v>
      </c>
      <c r="R400" s="44">
        <f t="shared" si="98"/>
        <v>0</v>
      </c>
      <c r="S400" s="44">
        <f t="shared" si="98"/>
        <v>0</v>
      </c>
      <c r="T400" s="44">
        <f t="shared" si="98"/>
        <v>0</v>
      </c>
      <c r="U400" s="44">
        <f t="shared" si="98"/>
        <v>0</v>
      </c>
      <c r="V400" s="44">
        <f t="shared" si="98"/>
        <v>0</v>
      </c>
      <c r="W400" s="44">
        <f t="shared" si="98"/>
        <v>0</v>
      </c>
      <c r="X400" s="44">
        <f t="shared" si="98"/>
        <v>0</v>
      </c>
      <c r="Y400" s="44">
        <f t="shared" si="98"/>
        <v>0</v>
      </c>
      <c r="Z400" s="44">
        <f t="shared" si="98"/>
        <v>0</v>
      </c>
      <c r="AA400" s="44">
        <f t="shared" si="98"/>
        <v>0</v>
      </c>
      <c r="AB400" s="44">
        <f t="shared" si="98"/>
        <v>0</v>
      </c>
      <c r="AC400" s="44">
        <f t="shared" si="98"/>
        <v>0</v>
      </c>
      <c r="AD400" s="44">
        <f t="shared" si="98"/>
        <v>0</v>
      </c>
      <c r="AE400" s="44">
        <f t="shared" si="98"/>
        <v>0</v>
      </c>
    </row>
    <row r="402" spans="1:31" x14ac:dyDescent="0.25">
      <c r="A402" s="41" t="s">
        <v>1311</v>
      </c>
      <c r="B402" s="6" t="s">
        <v>53</v>
      </c>
      <c r="C402" s="6" t="s">
        <v>121</v>
      </c>
      <c r="D402" s="6">
        <v>1</v>
      </c>
      <c r="E402" s="6" t="s">
        <v>1210</v>
      </c>
      <c r="K402" s="22"/>
      <c r="L402" s="22">
        <v>10.52336134543121</v>
      </c>
      <c r="M402" s="22">
        <v>10.299560827444211</v>
      </c>
      <c r="N402" s="22">
        <v>9.5775283595382632</v>
      </c>
      <c r="O402" s="22">
        <v>8.4854782869580454</v>
      </c>
      <c r="P402" s="22">
        <v>9.0871922352498604</v>
      </c>
      <c r="Q402" s="22">
        <v>9.2229237289326811</v>
      </c>
      <c r="R402" s="22">
        <v>9.1585649555096875</v>
      </c>
      <c r="S402" s="22">
        <v>9.0895478773973775</v>
      </c>
      <c r="T402" s="22">
        <v>9.0156816660228305</v>
      </c>
      <c r="U402" s="22">
        <v>8.9443977655571061</v>
      </c>
      <c r="V402" s="22">
        <v>8.9443977655571061</v>
      </c>
      <c r="W402" s="22">
        <v>8.9443977655571061</v>
      </c>
      <c r="X402" s="22">
        <v>8.9443977655571061</v>
      </c>
      <c r="Y402" s="22">
        <v>8.9443977655571061</v>
      </c>
      <c r="Z402" s="22">
        <v>8.9443977655571061</v>
      </c>
      <c r="AA402" s="22">
        <v>8.9443977655571061</v>
      </c>
      <c r="AB402" s="22">
        <v>8.9443977655571061</v>
      </c>
      <c r="AC402" s="22">
        <v>8.9443977655571061</v>
      </c>
      <c r="AD402" s="22">
        <v>8.9443977655571061</v>
      </c>
      <c r="AE402" s="22">
        <v>8.9443977655571061</v>
      </c>
    </row>
    <row r="403" spans="1:31" x14ac:dyDescent="0.25">
      <c r="A403" s="41" t="s">
        <v>1311</v>
      </c>
      <c r="B403" s="6" t="s">
        <v>53</v>
      </c>
      <c r="C403" s="6" t="s">
        <v>121</v>
      </c>
      <c r="D403" s="6">
        <v>1</v>
      </c>
      <c r="E403" s="6" t="s">
        <v>1211</v>
      </c>
      <c r="K403" s="22">
        <f>INDEX(Mitigation_Industry!K:K,MATCH($A403,Mitigation_Industry!$H:$H,0))</f>
        <v>11.18290158924394</v>
      </c>
      <c r="L403" s="22">
        <f>INDEX(Mitigation_Industry!L:L,MATCH($A403,Mitigation_Industry!$H:$H,0))</f>
        <v>10.52336134543121</v>
      </c>
      <c r="M403" s="22">
        <f>INDEX(Mitigation_Industry!M:M,MATCH($A403,Mitigation_Industry!$H:$H,0))</f>
        <v>10.299560827444211</v>
      </c>
      <c r="N403" s="22">
        <f>INDEX(Mitigation_Industry!N:N,MATCH($A403,Mitigation_Industry!$H:$H,0))</f>
        <v>9.5775283595382632</v>
      </c>
      <c r="O403" s="22">
        <f>INDEX(Mitigation_Industry!O:O,MATCH($A403,Mitigation_Industry!$H:$H,0))</f>
        <v>8.4854782869580454</v>
      </c>
      <c r="P403" s="22">
        <f>INDEX(Mitigation_Industry!P:P,MATCH($A403,Mitigation_Industry!$H:$H,0))</f>
        <v>9.0871922352498604</v>
      </c>
      <c r="Q403" s="22">
        <f>INDEX(Mitigation_Industry!Q:Q,MATCH($A403,Mitigation_Industry!$H:$H,0))</f>
        <v>9.2229237289326811</v>
      </c>
      <c r="R403" s="22">
        <f>INDEX(Mitigation_Industry!R:R,MATCH($A403,Mitigation_Industry!$H:$H,0))</f>
        <v>9.1585649555096875</v>
      </c>
      <c r="S403" s="22">
        <f>INDEX(Mitigation_Industry!S:S,MATCH($A403,Mitigation_Industry!$H:$H,0))</f>
        <v>9.0895478773973775</v>
      </c>
      <c r="T403" s="22">
        <f>INDEX(Mitigation_Industry!T:T,MATCH($A403,Mitigation_Industry!$H:$H,0))</f>
        <v>9.0156816660228305</v>
      </c>
      <c r="U403" s="22">
        <f>INDEX(Mitigation_Industry!U:U,MATCH($A403,Mitigation_Industry!$H:$H,0))</f>
        <v>8.9443977655571061</v>
      </c>
      <c r="V403" s="22">
        <f>INDEX(Mitigation_Industry!V:V,MATCH($A403,Mitigation_Industry!$H:$H,0))</f>
        <v>8.9443977655571061</v>
      </c>
      <c r="W403" s="22">
        <f>INDEX(Mitigation_Industry!W:W,MATCH($A403,Mitigation_Industry!$H:$H,0))</f>
        <v>8.9443977655571061</v>
      </c>
      <c r="X403" s="22">
        <f>INDEX(Mitigation_Industry!X:X,MATCH($A403,Mitigation_Industry!$H:$H,0))</f>
        <v>8.9443977655571061</v>
      </c>
      <c r="Y403" s="22">
        <f>INDEX(Mitigation_Industry!Y:Y,MATCH($A403,Mitigation_Industry!$H:$H,0))</f>
        <v>8.9443977655571061</v>
      </c>
      <c r="Z403" s="22">
        <f>INDEX(Mitigation_Industry!Z:Z,MATCH($A403,Mitigation_Industry!$H:$H,0))</f>
        <v>8.9443977655571061</v>
      </c>
      <c r="AA403" s="22">
        <f>INDEX(Mitigation_Industry!AA:AA,MATCH($A403,Mitigation_Industry!$H:$H,0))</f>
        <v>8.9443977655571061</v>
      </c>
      <c r="AB403" s="22">
        <f>INDEX(Mitigation_Industry!AB:AB,MATCH($A403,Mitigation_Industry!$H:$H,0))</f>
        <v>8.9443977655571061</v>
      </c>
      <c r="AC403" s="22">
        <f>INDEX(Mitigation_Industry!AC:AC,MATCH($A403,Mitigation_Industry!$H:$H,0))</f>
        <v>8.9443977655571061</v>
      </c>
      <c r="AD403" s="22">
        <f>INDEX(Mitigation_Industry!AD:AD,MATCH($A403,Mitigation_Industry!$H:$H,0))</f>
        <v>8.9443977655571061</v>
      </c>
      <c r="AE403" s="22">
        <f>INDEX(Mitigation_Industry!AE:AE,MATCH($A403,Mitigation_Industry!$H:$H,0))</f>
        <v>8.9443977655571061</v>
      </c>
    </row>
    <row r="404" spans="1:31" x14ac:dyDescent="0.25">
      <c r="A404" s="41" t="s">
        <v>1311</v>
      </c>
      <c r="B404" s="6" t="s">
        <v>53</v>
      </c>
      <c r="C404" s="6" t="s">
        <v>121</v>
      </c>
      <c r="D404" s="6">
        <v>1</v>
      </c>
      <c r="E404" s="2" t="s">
        <v>1212</v>
      </c>
      <c r="F404" s="43">
        <f>MAX(MAX(L404:AE404),-MIN(L404:AE404))</f>
        <v>0</v>
      </c>
      <c r="K404" s="44">
        <f t="shared" ref="K404:AE404" si="99">IF(ISNUMBER(K402),IF(ISNUMBER(K403),K403-K402,999999),0)</f>
        <v>0</v>
      </c>
      <c r="L404" s="44">
        <f t="shared" si="99"/>
        <v>0</v>
      </c>
      <c r="M404" s="44">
        <f t="shared" si="99"/>
        <v>0</v>
      </c>
      <c r="N404" s="44">
        <f t="shared" si="99"/>
        <v>0</v>
      </c>
      <c r="O404" s="44">
        <f t="shared" si="99"/>
        <v>0</v>
      </c>
      <c r="P404" s="44">
        <f t="shared" si="99"/>
        <v>0</v>
      </c>
      <c r="Q404" s="44">
        <f t="shared" si="99"/>
        <v>0</v>
      </c>
      <c r="R404" s="44">
        <f t="shared" si="99"/>
        <v>0</v>
      </c>
      <c r="S404" s="44">
        <f t="shared" si="99"/>
        <v>0</v>
      </c>
      <c r="T404" s="44">
        <f t="shared" si="99"/>
        <v>0</v>
      </c>
      <c r="U404" s="44">
        <f t="shared" si="99"/>
        <v>0</v>
      </c>
      <c r="V404" s="44">
        <f t="shared" si="99"/>
        <v>0</v>
      </c>
      <c r="W404" s="44">
        <f t="shared" si="99"/>
        <v>0</v>
      </c>
      <c r="X404" s="44">
        <f t="shared" si="99"/>
        <v>0</v>
      </c>
      <c r="Y404" s="44">
        <f t="shared" si="99"/>
        <v>0</v>
      </c>
      <c r="Z404" s="44">
        <f t="shared" si="99"/>
        <v>0</v>
      </c>
      <c r="AA404" s="44">
        <f t="shared" si="99"/>
        <v>0</v>
      </c>
      <c r="AB404" s="44">
        <f t="shared" si="99"/>
        <v>0</v>
      </c>
      <c r="AC404" s="44">
        <f t="shared" si="99"/>
        <v>0</v>
      </c>
      <c r="AD404" s="44">
        <f t="shared" si="99"/>
        <v>0</v>
      </c>
      <c r="AE404" s="44">
        <f t="shared" si="99"/>
        <v>0</v>
      </c>
    </row>
    <row r="406" spans="1:31" x14ac:dyDescent="0.25">
      <c r="A406" s="41" t="s">
        <v>1312</v>
      </c>
      <c r="B406" s="6" t="s">
        <v>57</v>
      </c>
      <c r="C406" s="6" t="s">
        <v>121</v>
      </c>
      <c r="D406" s="6">
        <v>1</v>
      </c>
      <c r="E406" s="6" t="s">
        <v>1210</v>
      </c>
      <c r="K406" s="22"/>
      <c r="L406" s="22">
        <v>5.4510150816191896</v>
      </c>
      <c r="M406" s="22">
        <v>5.1193563062624818</v>
      </c>
      <c r="N406" s="22">
        <v>5.0821845864040727</v>
      </c>
      <c r="O406" s="22">
        <v>5.0821845864040727</v>
      </c>
      <c r="P406" s="22">
        <v>5.0821845864040727</v>
      </c>
      <c r="Q406" s="22">
        <v>5.0821845864040727</v>
      </c>
      <c r="R406" s="22">
        <v>5.0821845864040727</v>
      </c>
      <c r="S406" s="22">
        <v>5.0821845864040727</v>
      </c>
      <c r="T406" s="22">
        <v>5.0821845864040727</v>
      </c>
      <c r="U406" s="22">
        <v>5.0821845864040727</v>
      </c>
      <c r="V406" s="22">
        <v>5.0821845864040727</v>
      </c>
      <c r="W406" s="22">
        <v>5.0821845864040727</v>
      </c>
      <c r="X406" s="22">
        <v>5.0821845864040727</v>
      </c>
      <c r="Y406" s="22">
        <v>5.0821845864040727</v>
      </c>
      <c r="Z406" s="22">
        <v>5.0821845864040727</v>
      </c>
      <c r="AA406" s="22">
        <v>5.0821845864040727</v>
      </c>
      <c r="AB406" s="22">
        <v>5.0821845864040727</v>
      </c>
      <c r="AC406" s="22">
        <v>5.0821845864040727</v>
      </c>
      <c r="AD406" s="22">
        <v>5.0821845864040727</v>
      </c>
      <c r="AE406" s="22">
        <v>5.0821845864040727</v>
      </c>
    </row>
    <row r="407" spans="1:31" x14ac:dyDescent="0.25">
      <c r="A407" s="41" t="s">
        <v>1312</v>
      </c>
      <c r="B407" s="6" t="s">
        <v>57</v>
      </c>
      <c r="C407" s="6" t="s">
        <v>121</v>
      </c>
      <c r="D407" s="6">
        <v>1</v>
      </c>
      <c r="E407" s="6" t="s">
        <v>1211</v>
      </c>
      <c r="K407" s="22">
        <f>INDEX(Mitigation_Industry!K:K,MATCH($A407,Mitigation_Industry!$H:$H,0))</f>
        <v>6.0634636156729131</v>
      </c>
      <c r="L407" s="22">
        <f>INDEX(Mitigation_Industry!L:L,MATCH($A407,Mitigation_Industry!$H:$H,0))</f>
        <v>5.4510150816191896</v>
      </c>
      <c r="M407" s="22">
        <f>INDEX(Mitigation_Industry!M:M,MATCH($A407,Mitigation_Industry!$H:$H,0))</f>
        <v>5.1193563062624818</v>
      </c>
      <c r="N407" s="22">
        <f>INDEX(Mitigation_Industry!N:N,MATCH($A407,Mitigation_Industry!$H:$H,0))</f>
        <v>5.0821845864040727</v>
      </c>
      <c r="O407" s="22">
        <f>INDEX(Mitigation_Industry!O:O,MATCH($A407,Mitigation_Industry!$H:$H,0))</f>
        <v>5.0821845864040727</v>
      </c>
      <c r="P407" s="22">
        <f>INDEX(Mitigation_Industry!P:P,MATCH($A407,Mitigation_Industry!$H:$H,0))</f>
        <v>5.0821845864040727</v>
      </c>
      <c r="Q407" s="22">
        <f>INDEX(Mitigation_Industry!Q:Q,MATCH($A407,Mitigation_Industry!$H:$H,0))</f>
        <v>5.0821845864040727</v>
      </c>
      <c r="R407" s="22">
        <f>INDEX(Mitigation_Industry!R:R,MATCH($A407,Mitigation_Industry!$H:$H,0))</f>
        <v>5.0821845864040727</v>
      </c>
      <c r="S407" s="22">
        <f>INDEX(Mitigation_Industry!S:S,MATCH($A407,Mitigation_Industry!$H:$H,0))</f>
        <v>5.0821845864040727</v>
      </c>
      <c r="T407" s="22">
        <f>INDEX(Mitigation_Industry!T:T,MATCH($A407,Mitigation_Industry!$H:$H,0))</f>
        <v>5.0821845864040727</v>
      </c>
      <c r="U407" s="22">
        <f>INDEX(Mitigation_Industry!U:U,MATCH($A407,Mitigation_Industry!$H:$H,0))</f>
        <v>5.0821845864040727</v>
      </c>
      <c r="V407" s="22">
        <f>INDEX(Mitigation_Industry!V:V,MATCH($A407,Mitigation_Industry!$H:$H,0))</f>
        <v>5.0821845864040727</v>
      </c>
      <c r="W407" s="22">
        <f>INDEX(Mitigation_Industry!W:W,MATCH($A407,Mitigation_Industry!$H:$H,0))</f>
        <v>5.0821845864040727</v>
      </c>
      <c r="X407" s="22">
        <f>INDEX(Mitigation_Industry!X:X,MATCH($A407,Mitigation_Industry!$H:$H,0))</f>
        <v>5.0821845864040727</v>
      </c>
      <c r="Y407" s="22">
        <f>INDEX(Mitigation_Industry!Y:Y,MATCH($A407,Mitigation_Industry!$H:$H,0))</f>
        <v>5.0821845864040727</v>
      </c>
      <c r="Z407" s="22">
        <f>INDEX(Mitigation_Industry!Z:Z,MATCH($A407,Mitigation_Industry!$H:$H,0))</f>
        <v>5.0821845864040727</v>
      </c>
      <c r="AA407" s="22">
        <f>INDEX(Mitigation_Industry!AA:AA,MATCH($A407,Mitigation_Industry!$H:$H,0))</f>
        <v>5.0821845864040727</v>
      </c>
      <c r="AB407" s="22">
        <f>INDEX(Mitigation_Industry!AB:AB,MATCH($A407,Mitigation_Industry!$H:$H,0))</f>
        <v>5.0821845864040727</v>
      </c>
      <c r="AC407" s="22">
        <f>INDEX(Mitigation_Industry!AC:AC,MATCH($A407,Mitigation_Industry!$H:$H,0))</f>
        <v>5.0821845864040727</v>
      </c>
      <c r="AD407" s="22">
        <f>INDEX(Mitigation_Industry!AD:AD,MATCH($A407,Mitigation_Industry!$H:$H,0))</f>
        <v>5.0821845864040727</v>
      </c>
      <c r="AE407" s="22">
        <f>INDEX(Mitigation_Industry!AE:AE,MATCH($A407,Mitigation_Industry!$H:$H,0))</f>
        <v>5.0821845864040727</v>
      </c>
    </row>
    <row r="408" spans="1:31" x14ac:dyDescent="0.25">
      <c r="A408" s="41" t="s">
        <v>1312</v>
      </c>
      <c r="B408" s="6" t="s">
        <v>57</v>
      </c>
      <c r="C408" s="6" t="s">
        <v>121</v>
      </c>
      <c r="D408" s="6">
        <v>1</v>
      </c>
      <c r="E408" s="2" t="s">
        <v>1212</v>
      </c>
      <c r="F408" s="43">
        <f>MAX(MAX(L408:AE408),-MIN(L408:AE408))</f>
        <v>0</v>
      </c>
      <c r="K408" s="44">
        <f t="shared" ref="K408:AE408" si="100">IF(ISNUMBER(K406),IF(ISNUMBER(K407),K407-K406,999999),0)</f>
        <v>0</v>
      </c>
      <c r="L408" s="44">
        <f t="shared" si="100"/>
        <v>0</v>
      </c>
      <c r="M408" s="44">
        <f t="shared" si="100"/>
        <v>0</v>
      </c>
      <c r="N408" s="44">
        <f t="shared" si="100"/>
        <v>0</v>
      </c>
      <c r="O408" s="44">
        <f t="shared" si="100"/>
        <v>0</v>
      </c>
      <c r="P408" s="44">
        <f t="shared" si="100"/>
        <v>0</v>
      </c>
      <c r="Q408" s="44">
        <f t="shared" si="100"/>
        <v>0</v>
      </c>
      <c r="R408" s="44">
        <f t="shared" si="100"/>
        <v>0</v>
      </c>
      <c r="S408" s="44">
        <f t="shared" si="100"/>
        <v>0</v>
      </c>
      <c r="T408" s="44">
        <f t="shared" si="100"/>
        <v>0</v>
      </c>
      <c r="U408" s="44">
        <f t="shared" si="100"/>
        <v>0</v>
      </c>
      <c r="V408" s="44">
        <f t="shared" si="100"/>
        <v>0</v>
      </c>
      <c r="W408" s="44">
        <f t="shared" si="100"/>
        <v>0</v>
      </c>
      <c r="X408" s="44">
        <f t="shared" si="100"/>
        <v>0</v>
      </c>
      <c r="Y408" s="44">
        <f t="shared" si="100"/>
        <v>0</v>
      </c>
      <c r="Z408" s="44">
        <f t="shared" si="100"/>
        <v>0</v>
      </c>
      <c r="AA408" s="44">
        <f t="shared" si="100"/>
        <v>0</v>
      </c>
      <c r="AB408" s="44">
        <f t="shared" si="100"/>
        <v>0</v>
      </c>
      <c r="AC408" s="44">
        <f t="shared" si="100"/>
        <v>0</v>
      </c>
      <c r="AD408" s="44">
        <f t="shared" si="100"/>
        <v>0</v>
      </c>
      <c r="AE408" s="44">
        <f t="shared" si="100"/>
        <v>0</v>
      </c>
    </row>
    <row r="410" spans="1:31" x14ac:dyDescent="0.25">
      <c r="A410" s="41" t="s">
        <v>1313</v>
      </c>
      <c r="B410" s="6" t="s">
        <v>59</v>
      </c>
      <c r="C410" s="6" t="s">
        <v>121</v>
      </c>
      <c r="D410" s="6">
        <v>1</v>
      </c>
      <c r="E410" s="6" t="s">
        <v>1210</v>
      </c>
      <c r="K410" s="22"/>
      <c r="L410" s="22">
        <v>0.61197797679140631</v>
      </c>
      <c r="M410" s="22">
        <v>0.61180974964187596</v>
      </c>
      <c r="N410" s="22">
        <v>0.60358310017790551</v>
      </c>
      <c r="O410" s="22">
        <v>0.60358310017790551</v>
      </c>
      <c r="P410" s="22">
        <v>0.60358310017790551</v>
      </c>
      <c r="Q410" s="22">
        <v>0.60358310017790551</v>
      </c>
      <c r="R410" s="22">
        <v>0.60358310017790551</v>
      </c>
      <c r="S410" s="22">
        <v>0.60358310017790551</v>
      </c>
      <c r="T410" s="22">
        <v>0.60358310017790551</v>
      </c>
      <c r="U410" s="22">
        <v>0.60358310017790551</v>
      </c>
      <c r="V410" s="22">
        <v>0.60358310017790551</v>
      </c>
      <c r="W410" s="22">
        <v>0.60358310017790551</v>
      </c>
      <c r="X410" s="22">
        <v>0.60358310017790551</v>
      </c>
      <c r="Y410" s="22">
        <v>0.60358310017790551</v>
      </c>
      <c r="Z410" s="22">
        <v>0.60358310017790551</v>
      </c>
      <c r="AA410" s="22">
        <v>0.60358310017790551</v>
      </c>
      <c r="AB410" s="22">
        <v>0.60358310017790551</v>
      </c>
      <c r="AC410" s="22">
        <v>0.60358310017790551</v>
      </c>
      <c r="AD410" s="22">
        <v>0.60358310017790551</v>
      </c>
      <c r="AE410" s="22">
        <v>0.60358310017790551</v>
      </c>
    </row>
    <row r="411" spans="1:31" x14ac:dyDescent="0.25">
      <c r="A411" s="41" t="s">
        <v>1313</v>
      </c>
      <c r="B411" s="6" t="s">
        <v>59</v>
      </c>
      <c r="C411" s="6" t="s">
        <v>121</v>
      </c>
      <c r="D411" s="6">
        <v>1</v>
      </c>
      <c r="E411" s="6" t="s">
        <v>1211</v>
      </c>
      <c r="K411" s="22">
        <f>INDEX(Mitigation_Industry!K:K,MATCH($A411,Mitigation_Industry!$H:$H,0))</f>
        <v>0.67114653332181606</v>
      </c>
      <c r="L411" s="22">
        <f>INDEX(Mitigation_Industry!L:L,MATCH($A411,Mitigation_Industry!$H:$H,0))</f>
        <v>0.61197797679140631</v>
      </c>
      <c r="M411" s="22">
        <f>INDEX(Mitigation_Industry!M:M,MATCH($A411,Mitigation_Industry!$H:$H,0))</f>
        <v>0.61180974964187596</v>
      </c>
      <c r="N411" s="22">
        <f>INDEX(Mitigation_Industry!N:N,MATCH($A411,Mitigation_Industry!$H:$H,0))</f>
        <v>0.60358310017790551</v>
      </c>
      <c r="O411" s="22">
        <f>INDEX(Mitigation_Industry!O:O,MATCH($A411,Mitigation_Industry!$H:$H,0))</f>
        <v>0.60358310017790551</v>
      </c>
      <c r="P411" s="22">
        <f>INDEX(Mitigation_Industry!P:P,MATCH($A411,Mitigation_Industry!$H:$H,0))</f>
        <v>0.60358310017790551</v>
      </c>
      <c r="Q411" s="22">
        <f>INDEX(Mitigation_Industry!Q:Q,MATCH($A411,Mitigation_Industry!$H:$H,0))</f>
        <v>0.60358310017790551</v>
      </c>
      <c r="R411" s="22">
        <f>INDEX(Mitigation_Industry!R:R,MATCH($A411,Mitigation_Industry!$H:$H,0))</f>
        <v>0.60358310017790551</v>
      </c>
      <c r="S411" s="22">
        <f>INDEX(Mitigation_Industry!S:S,MATCH($A411,Mitigation_Industry!$H:$H,0))</f>
        <v>0.60358310017790551</v>
      </c>
      <c r="T411" s="22">
        <f>INDEX(Mitigation_Industry!T:T,MATCH($A411,Mitigation_Industry!$H:$H,0))</f>
        <v>0.60358310017790551</v>
      </c>
      <c r="U411" s="22">
        <f>INDEX(Mitigation_Industry!U:U,MATCH($A411,Mitigation_Industry!$H:$H,0))</f>
        <v>0.60358310017790551</v>
      </c>
      <c r="V411" s="22">
        <f>INDEX(Mitigation_Industry!V:V,MATCH($A411,Mitigation_Industry!$H:$H,0))</f>
        <v>0.60358310017790551</v>
      </c>
      <c r="W411" s="22">
        <f>INDEX(Mitigation_Industry!W:W,MATCH($A411,Mitigation_Industry!$H:$H,0))</f>
        <v>0.60358310017790551</v>
      </c>
      <c r="X411" s="22">
        <f>INDEX(Mitigation_Industry!X:X,MATCH($A411,Mitigation_Industry!$H:$H,0))</f>
        <v>0.60358310017790551</v>
      </c>
      <c r="Y411" s="22">
        <f>INDEX(Mitigation_Industry!Y:Y,MATCH($A411,Mitigation_Industry!$H:$H,0))</f>
        <v>0.60358310017790551</v>
      </c>
      <c r="Z411" s="22">
        <f>INDEX(Mitigation_Industry!Z:Z,MATCH($A411,Mitigation_Industry!$H:$H,0))</f>
        <v>0.60358310017790551</v>
      </c>
      <c r="AA411" s="22">
        <f>INDEX(Mitigation_Industry!AA:AA,MATCH($A411,Mitigation_Industry!$H:$H,0))</f>
        <v>0.60358310017790551</v>
      </c>
      <c r="AB411" s="22">
        <f>INDEX(Mitigation_Industry!AB:AB,MATCH($A411,Mitigation_Industry!$H:$H,0))</f>
        <v>0.60358310017790551</v>
      </c>
      <c r="AC411" s="22">
        <f>INDEX(Mitigation_Industry!AC:AC,MATCH($A411,Mitigation_Industry!$H:$H,0))</f>
        <v>0.60358310017790551</v>
      </c>
      <c r="AD411" s="22">
        <f>INDEX(Mitigation_Industry!AD:AD,MATCH($A411,Mitigation_Industry!$H:$H,0))</f>
        <v>0.60358310017790551</v>
      </c>
      <c r="AE411" s="22">
        <f>INDEX(Mitigation_Industry!AE:AE,MATCH($A411,Mitigation_Industry!$H:$H,0))</f>
        <v>0.60358310017790551</v>
      </c>
    </row>
    <row r="412" spans="1:31" x14ac:dyDescent="0.25">
      <c r="A412" s="41" t="s">
        <v>1313</v>
      </c>
      <c r="B412" s="6" t="s">
        <v>59</v>
      </c>
      <c r="C412" s="6" t="s">
        <v>121</v>
      </c>
      <c r="D412" s="6">
        <v>1</v>
      </c>
      <c r="E412" s="2" t="s">
        <v>1212</v>
      </c>
      <c r="F412" s="43">
        <f>MAX(MAX(L412:AE412),-MIN(L412:AE412))</f>
        <v>0</v>
      </c>
      <c r="K412" s="44">
        <f t="shared" ref="K412:AE412" si="101">IF(ISNUMBER(K410),IF(ISNUMBER(K411),K411-K410,999999),0)</f>
        <v>0</v>
      </c>
      <c r="L412" s="44">
        <f t="shared" si="101"/>
        <v>0</v>
      </c>
      <c r="M412" s="44">
        <f t="shared" si="101"/>
        <v>0</v>
      </c>
      <c r="N412" s="44">
        <f t="shared" si="101"/>
        <v>0</v>
      </c>
      <c r="O412" s="44">
        <f t="shared" si="101"/>
        <v>0</v>
      </c>
      <c r="P412" s="44">
        <f t="shared" si="101"/>
        <v>0</v>
      </c>
      <c r="Q412" s="44">
        <f t="shared" si="101"/>
        <v>0</v>
      </c>
      <c r="R412" s="44">
        <f t="shared" si="101"/>
        <v>0</v>
      </c>
      <c r="S412" s="44">
        <f t="shared" si="101"/>
        <v>0</v>
      </c>
      <c r="T412" s="44">
        <f t="shared" si="101"/>
        <v>0</v>
      </c>
      <c r="U412" s="44">
        <f t="shared" si="101"/>
        <v>0</v>
      </c>
      <c r="V412" s="44">
        <f t="shared" si="101"/>
        <v>0</v>
      </c>
      <c r="W412" s="44">
        <f t="shared" si="101"/>
        <v>0</v>
      </c>
      <c r="X412" s="44">
        <f t="shared" si="101"/>
        <v>0</v>
      </c>
      <c r="Y412" s="44">
        <f t="shared" si="101"/>
        <v>0</v>
      </c>
      <c r="Z412" s="44">
        <f t="shared" si="101"/>
        <v>0</v>
      </c>
      <c r="AA412" s="44">
        <f t="shared" si="101"/>
        <v>0</v>
      </c>
      <c r="AB412" s="44">
        <f t="shared" si="101"/>
        <v>0</v>
      </c>
      <c r="AC412" s="44">
        <f t="shared" si="101"/>
        <v>0</v>
      </c>
      <c r="AD412" s="44">
        <f t="shared" si="101"/>
        <v>0</v>
      </c>
      <c r="AE412" s="44">
        <f t="shared" si="101"/>
        <v>0</v>
      </c>
    </row>
    <row r="414" spans="1:31" x14ac:dyDescent="0.25">
      <c r="A414" s="41" t="s">
        <v>1314</v>
      </c>
      <c r="B414" s="6" t="s">
        <v>62</v>
      </c>
      <c r="C414" s="6" t="s">
        <v>121</v>
      </c>
      <c r="D414" s="6">
        <v>1</v>
      </c>
      <c r="E414" s="6" t="s">
        <v>1210</v>
      </c>
      <c r="K414" s="22"/>
      <c r="L414" s="22">
        <v>0.49458873084106802</v>
      </c>
      <c r="M414" s="22">
        <v>0.50778654720250049</v>
      </c>
      <c r="N414" s="22">
        <v>0.47043642679561742</v>
      </c>
      <c r="O414" s="22">
        <v>0.47043642679561742</v>
      </c>
      <c r="P414" s="22">
        <v>0.47043642679561742</v>
      </c>
      <c r="Q414" s="22">
        <v>0.47043642679561742</v>
      </c>
      <c r="R414" s="22">
        <v>0.47043642679561742</v>
      </c>
      <c r="S414" s="22">
        <v>0.47043642679561742</v>
      </c>
      <c r="T414" s="22">
        <v>0.47043642679561742</v>
      </c>
      <c r="U414" s="22">
        <v>0.47043642679561742</v>
      </c>
      <c r="V414" s="22">
        <v>0.47043642679561742</v>
      </c>
      <c r="W414" s="22">
        <v>0.47043642679561742</v>
      </c>
      <c r="X414" s="22">
        <v>0.47043642679561742</v>
      </c>
      <c r="Y414" s="22">
        <v>0.47043642679561742</v>
      </c>
      <c r="Z414" s="22">
        <v>0.47043642679561742</v>
      </c>
      <c r="AA414" s="22">
        <v>0.47043642679561742</v>
      </c>
      <c r="AB414" s="22">
        <v>0.47043642679561742</v>
      </c>
      <c r="AC414" s="22">
        <v>0.47043642679561742</v>
      </c>
      <c r="AD414" s="22">
        <v>0.47043642679561742</v>
      </c>
      <c r="AE414" s="22">
        <v>0.47043642679561742</v>
      </c>
    </row>
    <row r="415" spans="1:31" x14ac:dyDescent="0.25">
      <c r="A415" s="41" t="s">
        <v>1314</v>
      </c>
      <c r="B415" s="6" t="s">
        <v>62</v>
      </c>
      <c r="C415" s="6" t="s">
        <v>121</v>
      </c>
      <c r="D415" s="6">
        <v>1</v>
      </c>
      <c r="E415" s="6" t="s">
        <v>1211</v>
      </c>
      <c r="K415" s="22">
        <f>INDEX(Mitigation_Industry!K:K,MATCH($A415,Mitigation_Industry!$H:$H,0))</f>
        <v>0.55971121315568761</v>
      </c>
      <c r="L415" s="22">
        <f>INDEX(Mitigation_Industry!L:L,MATCH($A415,Mitigation_Industry!$H:$H,0))</f>
        <v>0.49458873084106802</v>
      </c>
      <c r="M415" s="22">
        <f>INDEX(Mitigation_Industry!M:M,MATCH($A415,Mitigation_Industry!$H:$H,0))</f>
        <v>0.50778654720250049</v>
      </c>
      <c r="N415" s="22">
        <f>INDEX(Mitigation_Industry!N:N,MATCH($A415,Mitigation_Industry!$H:$H,0))</f>
        <v>0.47043642679561742</v>
      </c>
      <c r="O415" s="22">
        <f>INDEX(Mitigation_Industry!O:O,MATCH($A415,Mitigation_Industry!$H:$H,0))</f>
        <v>0.47043642679561742</v>
      </c>
      <c r="P415" s="22">
        <f>INDEX(Mitigation_Industry!P:P,MATCH($A415,Mitigation_Industry!$H:$H,0))</f>
        <v>0.47043642679561742</v>
      </c>
      <c r="Q415" s="22">
        <f>INDEX(Mitigation_Industry!Q:Q,MATCH($A415,Mitigation_Industry!$H:$H,0))</f>
        <v>0.47043642679561742</v>
      </c>
      <c r="R415" s="22">
        <f>INDEX(Mitigation_Industry!R:R,MATCH($A415,Mitigation_Industry!$H:$H,0))</f>
        <v>0.47043642679561742</v>
      </c>
      <c r="S415" s="22">
        <f>INDEX(Mitigation_Industry!S:S,MATCH($A415,Mitigation_Industry!$H:$H,0))</f>
        <v>0.47043642679561742</v>
      </c>
      <c r="T415" s="22">
        <f>INDEX(Mitigation_Industry!T:T,MATCH($A415,Mitigation_Industry!$H:$H,0))</f>
        <v>0.47043642679561742</v>
      </c>
      <c r="U415" s="22">
        <f>INDEX(Mitigation_Industry!U:U,MATCH($A415,Mitigation_Industry!$H:$H,0))</f>
        <v>0.47043642679561742</v>
      </c>
      <c r="V415" s="22">
        <f>INDEX(Mitigation_Industry!V:V,MATCH($A415,Mitigation_Industry!$H:$H,0))</f>
        <v>0.47043642679561742</v>
      </c>
      <c r="W415" s="22">
        <f>INDEX(Mitigation_Industry!W:W,MATCH($A415,Mitigation_Industry!$H:$H,0))</f>
        <v>0.47043642679561742</v>
      </c>
      <c r="X415" s="22">
        <f>INDEX(Mitigation_Industry!X:X,MATCH($A415,Mitigation_Industry!$H:$H,0))</f>
        <v>0.47043642679561742</v>
      </c>
      <c r="Y415" s="22">
        <f>INDEX(Mitigation_Industry!Y:Y,MATCH($A415,Mitigation_Industry!$H:$H,0))</f>
        <v>0.47043642679561742</v>
      </c>
      <c r="Z415" s="22">
        <f>INDEX(Mitigation_Industry!Z:Z,MATCH($A415,Mitigation_Industry!$H:$H,0))</f>
        <v>0.47043642679561742</v>
      </c>
      <c r="AA415" s="22">
        <f>INDEX(Mitigation_Industry!AA:AA,MATCH($A415,Mitigation_Industry!$H:$H,0))</f>
        <v>0.47043642679561742</v>
      </c>
      <c r="AB415" s="22">
        <f>INDEX(Mitigation_Industry!AB:AB,MATCH($A415,Mitigation_Industry!$H:$H,0))</f>
        <v>0.47043642679561742</v>
      </c>
      <c r="AC415" s="22">
        <f>INDEX(Mitigation_Industry!AC:AC,MATCH($A415,Mitigation_Industry!$H:$H,0))</f>
        <v>0.47043642679561742</v>
      </c>
      <c r="AD415" s="22">
        <f>INDEX(Mitigation_Industry!AD:AD,MATCH($A415,Mitigation_Industry!$H:$H,0))</f>
        <v>0.47043642679561742</v>
      </c>
      <c r="AE415" s="22">
        <f>INDEX(Mitigation_Industry!AE:AE,MATCH($A415,Mitigation_Industry!$H:$H,0))</f>
        <v>0.47043642679561742</v>
      </c>
    </row>
    <row r="416" spans="1:31" x14ac:dyDescent="0.25">
      <c r="A416" s="41" t="s">
        <v>1314</v>
      </c>
      <c r="B416" s="6" t="s">
        <v>62</v>
      </c>
      <c r="C416" s="6" t="s">
        <v>121</v>
      </c>
      <c r="D416" s="6">
        <v>1</v>
      </c>
      <c r="E416" s="2" t="s">
        <v>1212</v>
      </c>
      <c r="F416" s="43">
        <f>MAX(MAX(L416:AE416),-MIN(L416:AE416))</f>
        <v>0</v>
      </c>
      <c r="K416" s="44">
        <f t="shared" ref="K416:AE416" si="102">IF(ISNUMBER(K414),IF(ISNUMBER(K415),K415-K414,999999),0)</f>
        <v>0</v>
      </c>
      <c r="L416" s="44">
        <f t="shared" si="102"/>
        <v>0</v>
      </c>
      <c r="M416" s="44">
        <f t="shared" si="102"/>
        <v>0</v>
      </c>
      <c r="N416" s="44">
        <f t="shared" si="102"/>
        <v>0</v>
      </c>
      <c r="O416" s="44">
        <f t="shared" si="102"/>
        <v>0</v>
      </c>
      <c r="P416" s="44">
        <f t="shared" si="102"/>
        <v>0</v>
      </c>
      <c r="Q416" s="44">
        <f t="shared" si="102"/>
        <v>0</v>
      </c>
      <c r="R416" s="44">
        <f t="shared" si="102"/>
        <v>0</v>
      </c>
      <c r="S416" s="44">
        <f t="shared" si="102"/>
        <v>0</v>
      </c>
      <c r="T416" s="44">
        <f t="shared" si="102"/>
        <v>0</v>
      </c>
      <c r="U416" s="44">
        <f t="shared" si="102"/>
        <v>0</v>
      </c>
      <c r="V416" s="44">
        <f t="shared" si="102"/>
        <v>0</v>
      </c>
      <c r="W416" s="44">
        <f t="shared" si="102"/>
        <v>0</v>
      </c>
      <c r="X416" s="44">
        <f t="shared" si="102"/>
        <v>0</v>
      </c>
      <c r="Y416" s="44">
        <f t="shared" si="102"/>
        <v>0</v>
      </c>
      <c r="Z416" s="44">
        <f t="shared" si="102"/>
        <v>0</v>
      </c>
      <c r="AA416" s="44">
        <f t="shared" si="102"/>
        <v>0</v>
      </c>
      <c r="AB416" s="44">
        <f t="shared" si="102"/>
        <v>0</v>
      </c>
      <c r="AC416" s="44">
        <f t="shared" si="102"/>
        <v>0</v>
      </c>
      <c r="AD416" s="44">
        <f t="shared" si="102"/>
        <v>0</v>
      </c>
      <c r="AE416" s="44">
        <f t="shared" si="102"/>
        <v>0</v>
      </c>
    </row>
    <row r="418" spans="1:31" x14ac:dyDescent="0.25">
      <c r="A418" s="41" t="s">
        <v>1315</v>
      </c>
      <c r="B418" s="6" t="s">
        <v>64</v>
      </c>
      <c r="C418" s="6" t="s">
        <v>121</v>
      </c>
      <c r="D418" s="6">
        <v>1</v>
      </c>
      <c r="E418" s="6" t="s">
        <v>1210</v>
      </c>
      <c r="K418" s="22"/>
      <c r="L418" s="22">
        <v>0.1573447362522738</v>
      </c>
      <c r="M418" s="22">
        <v>0.1644840377592767</v>
      </c>
      <c r="N418" s="22">
        <v>0.1507090778070489</v>
      </c>
      <c r="O418" s="22">
        <v>0.1507090778070489</v>
      </c>
      <c r="P418" s="22">
        <v>0.1507090778070489</v>
      </c>
      <c r="Q418" s="22">
        <v>0.1507090778070489</v>
      </c>
      <c r="R418" s="22">
        <v>0.1507090778070489</v>
      </c>
      <c r="S418" s="22">
        <v>0.1507090778070489</v>
      </c>
      <c r="T418" s="22">
        <v>0.1507090778070489</v>
      </c>
      <c r="U418" s="22">
        <v>0.1507090778070489</v>
      </c>
      <c r="V418" s="22">
        <v>0.1507090778070489</v>
      </c>
      <c r="W418" s="22">
        <v>0.1507090778070489</v>
      </c>
      <c r="X418" s="22">
        <v>0.1507090778070489</v>
      </c>
      <c r="Y418" s="22">
        <v>0.1507090778070489</v>
      </c>
      <c r="Z418" s="22">
        <v>0.1507090778070489</v>
      </c>
      <c r="AA418" s="22">
        <v>0.1507090778070489</v>
      </c>
      <c r="AB418" s="22">
        <v>0.1507090778070489</v>
      </c>
      <c r="AC418" s="22">
        <v>0.1507090778070489</v>
      </c>
      <c r="AD418" s="22">
        <v>0.1507090778070489</v>
      </c>
      <c r="AE418" s="22">
        <v>0.1507090778070489</v>
      </c>
    </row>
    <row r="419" spans="1:31" x14ac:dyDescent="0.25">
      <c r="A419" s="41" t="s">
        <v>1315</v>
      </c>
      <c r="B419" s="6" t="s">
        <v>64</v>
      </c>
      <c r="C419" s="6" t="s">
        <v>121</v>
      </c>
      <c r="D419" s="6">
        <v>1</v>
      </c>
      <c r="E419" s="6" t="s">
        <v>1211</v>
      </c>
      <c r="K419" s="22">
        <f>INDEX(Mitigation_Industry!K:K,MATCH($A419,Mitigation_Industry!$H:$H,0))</f>
        <v>0.20036669112673841</v>
      </c>
      <c r="L419" s="22">
        <f>INDEX(Mitigation_Industry!L:L,MATCH($A419,Mitigation_Industry!$H:$H,0))</f>
        <v>0.1573447362522738</v>
      </c>
      <c r="M419" s="22">
        <f>INDEX(Mitigation_Industry!M:M,MATCH($A419,Mitigation_Industry!$H:$H,0))</f>
        <v>0.1644840377592767</v>
      </c>
      <c r="N419" s="22">
        <f>INDEX(Mitigation_Industry!N:N,MATCH($A419,Mitigation_Industry!$H:$H,0))</f>
        <v>0.1507090778070489</v>
      </c>
      <c r="O419" s="22">
        <f>INDEX(Mitigation_Industry!O:O,MATCH($A419,Mitigation_Industry!$H:$H,0))</f>
        <v>0.1507090778070489</v>
      </c>
      <c r="P419" s="22">
        <f>INDEX(Mitigation_Industry!P:P,MATCH($A419,Mitigation_Industry!$H:$H,0))</f>
        <v>0.1507090778070489</v>
      </c>
      <c r="Q419" s="22">
        <f>INDEX(Mitigation_Industry!Q:Q,MATCH($A419,Mitigation_Industry!$H:$H,0))</f>
        <v>0.1507090778070489</v>
      </c>
      <c r="R419" s="22">
        <f>INDEX(Mitigation_Industry!R:R,MATCH($A419,Mitigation_Industry!$H:$H,0))</f>
        <v>0.1507090778070489</v>
      </c>
      <c r="S419" s="22">
        <f>INDEX(Mitigation_Industry!S:S,MATCH($A419,Mitigation_Industry!$H:$H,0))</f>
        <v>0.1507090778070489</v>
      </c>
      <c r="T419" s="22">
        <f>INDEX(Mitigation_Industry!T:T,MATCH($A419,Mitigation_Industry!$H:$H,0))</f>
        <v>0.1507090778070489</v>
      </c>
      <c r="U419" s="22">
        <f>INDEX(Mitigation_Industry!U:U,MATCH($A419,Mitigation_Industry!$H:$H,0))</f>
        <v>0.1507090778070489</v>
      </c>
      <c r="V419" s="22">
        <f>INDEX(Mitigation_Industry!V:V,MATCH($A419,Mitigation_Industry!$H:$H,0))</f>
        <v>0.1507090778070489</v>
      </c>
      <c r="W419" s="22">
        <f>INDEX(Mitigation_Industry!W:W,MATCH($A419,Mitigation_Industry!$H:$H,0))</f>
        <v>0.1507090778070489</v>
      </c>
      <c r="X419" s="22">
        <f>INDEX(Mitigation_Industry!X:X,MATCH($A419,Mitigation_Industry!$H:$H,0))</f>
        <v>0.1507090778070489</v>
      </c>
      <c r="Y419" s="22">
        <f>INDEX(Mitigation_Industry!Y:Y,MATCH($A419,Mitigation_Industry!$H:$H,0))</f>
        <v>0.1507090778070489</v>
      </c>
      <c r="Z419" s="22">
        <f>INDEX(Mitigation_Industry!Z:Z,MATCH($A419,Mitigation_Industry!$H:$H,0))</f>
        <v>0.1507090778070489</v>
      </c>
      <c r="AA419" s="22">
        <f>INDEX(Mitigation_Industry!AA:AA,MATCH($A419,Mitigation_Industry!$H:$H,0))</f>
        <v>0.1507090778070489</v>
      </c>
      <c r="AB419" s="22">
        <f>INDEX(Mitigation_Industry!AB:AB,MATCH($A419,Mitigation_Industry!$H:$H,0))</f>
        <v>0.1507090778070489</v>
      </c>
      <c r="AC419" s="22">
        <f>INDEX(Mitigation_Industry!AC:AC,MATCH($A419,Mitigation_Industry!$H:$H,0))</f>
        <v>0.1507090778070489</v>
      </c>
      <c r="AD419" s="22">
        <f>INDEX(Mitigation_Industry!AD:AD,MATCH($A419,Mitigation_Industry!$H:$H,0))</f>
        <v>0.1507090778070489</v>
      </c>
      <c r="AE419" s="22">
        <f>INDEX(Mitigation_Industry!AE:AE,MATCH($A419,Mitigation_Industry!$H:$H,0))</f>
        <v>0.1507090778070489</v>
      </c>
    </row>
    <row r="420" spans="1:31" x14ac:dyDescent="0.25">
      <c r="A420" s="41" t="s">
        <v>1315</v>
      </c>
      <c r="B420" s="6" t="s">
        <v>64</v>
      </c>
      <c r="C420" s="6" t="s">
        <v>121</v>
      </c>
      <c r="D420" s="6">
        <v>1</v>
      </c>
      <c r="E420" s="2" t="s">
        <v>1212</v>
      </c>
      <c r="F420" s="43">
        <f>MAX(MAX(L420:AE420),-MIN(L420:AE420))</f>
        <v>0</v>
      </c>
      <c r="K420" s="44">
        <f t="shared" ref="K420:AE420" si="103">IF(ISNUMBER(K418),IF(ISNUMBER(K419),K419-K418,999999),0)</f>
        <v>0</v>
      </c>
      <c r="L420" s="44">
        <f t="shared" si="103"/>
        <v>0</v>
      </c>
      <c r="M420" s="44">
        <f t="shared" si="103"/>
        <v>0</v>
      </c>
      <c r="N420" s="44">
        <f t="shared" si="103"/>
        <v>0</v>
      </c>
      <c r="O420" s="44">
        <f t="shared" si="103"/>
        <v>0</v>
      </c>
      <c r="P420" s="44">
        <f t="shared" si="103"/>
        <v>0</v>
      </c>
      <c r="Q420" s="44">
        <f t="shared" si="103"/>
        <v>0</v>
      </c>
      <c r="R420" s="44">
        <f t="shared" si="103"/>
        <v>0</v>
      </c>
      <c r="S420" s="44">
        <f t="shared" si="103"/>
        <v>0</v>
      </c>
      <c r="T420" s="44">
        <f t="shared" si="103"/>
        <v>0</v>
      </c>
      <c r="U420" s="44">
        <f t="shared" si="103"/>
        <v>0</v>
      </c>
      <c r="V420" s="44">
        <f t="shared" si="103"/>
        <v>0</v>
      </c>
      <c r="W420" s="44">
        <f t="shared" si="103"/>
        <v>0</v>
      </c>
      <c r="X420" s="44">
        <f t="shared" si="103"/>
        <v>0</v>
      </c>
      <c r="Y420" s="44">
        <f t="shared" si="103"/>
        <v>0</v>
      </c>
      <c r="Z420" s="44">
        <f t="shared" si="103"/>
        <v>0</v>
      </c>
      <c r="AA420" s="44">
        <f t="shared" si="103"/>
        <v>0</v>
      </c>
      <c r="AB420" s="44">
        <f t="shared" si="103"/>
        <v>0</v>
      </c>
      <c r="AC420" s="44">
        <f t="shared" si="103"/>
        <v>0</v>
      </c>
      <c r="AD420" s="44">
        <f t="shared" si="103"/>
        <v>0</v>
      </c>
      <c r="AE420" s="44">
        <f t="shared" si="103"/>
        <v>0</v>
      </c>
    </row>
    <row r="422" spans="1:31" x14ac:dyDescent="0.25">
      <c r="A422" s="41" t="s">
        <v>1316</v>
      </c>
      <c r="B422" s="6" t="s">
        <v>66</v>
      </c>
      <c r="C422" s="6" t="s">
        <v>121</v>
      </c>
      <c r="D422" s="6">
        <v>1</v>
      </c>
      <c r="E422" s="6" t="s">
        <v>1210</v>
      </c>
      <c r="K422" s="22"/>
      <c r="L422" s="22">
        <v>0.45642817050012813</v>
      </c>
      <c r="M422" s="22">
        <v>0.43168920195599519</v>
      </c>
      <c r="N422" s="22">
        <v>0.42507558395596989</v>
      </c>
      <c r="O422" s="22">
        <v>0.42507558395596989</v>
      </c>
      <c r="P422" s="22">
        <v>0.42507558395596989</v>
      </c>
      <c r="Q422" s="22">
        <v>0.42507558395596989</v>
      </c>
      <c r="R422" s="22">
        <v>0.42507558395596989</v>
      </c>
      <c r="S422" s="22">
        <v>0.42507558395596989</v>
      </c>
      <c r="T422" s="22">
        <v>0.42507558395596989</v>
      </c>
      <c r="U422" s="22">
        <v>0.42507558395596989</v>
      </c>
      <c r="V422" s="22">
        <v>0.42507558395596989</v>
      </c>
      <c r="W422" s="22">
        <v>0.42507558395596989</v>
      </c>
      <c r="X422" s="22">
        <v>0.42507558395596989</v>
      </c>
      <c r="Y422" s="22">
        <v>0.42507558395596989</v>
      </c>
      <c r="Z422" s="22">
        <v>0.42507558395596989</v>
      </c>
      <c r="AA422" s="22">
        <v>0.42507558395596989</v>
      </c>
      <c r="AB422" s="22">
        <v>0.42507558395596989</v>
      </c>
      <c r="AC422" s="22">
        <v>0.42507558395596989</v>
      </c>
      <c r="AD422" s="22">
        <v>0.42507558395596989</v>
      </c>
      <c r="AE422" s="22">
        <v>0.42507558395596989</v>
      </c>
    </row>
    <row r="423" spans="1:31" x14ac:dyDescent="0.25">
      <c r="A423" s="41" t="s">
        <v>1316</v>
      </c>
      <c r="B423" s="6" t="s">
        <v>66</v>
      </c>
      <c r="C423" s="6" t="s">
        <v>121</v>
      </c>
      <c r="D423" s="6">
        <v>1</v>
      </c>
      <c r="E423" s="6" t="s">
        <v>1211</v>
      </c>
      <c r="K423" s="22">
        <f>INDEX(Mitigation_Industry!K:K,MATCH($A423,Mitigation_Industry!$H:$H,0))</f>
        <v>0.48429424097343482</v>
      </c>
      <c r="L423" s="22">
        <f>INDEX(Mitigation_Industry!L:L,MATCH($A423,Mitigation_Industry!$H:$H,0))</f>
        <v>0.45642817050012813</v>
      </c>
      <c r="M423" s="22">
        <f>INDEX(Mitigation_Industry!M:M,MATCH($A423,Mitigation_Industry!$H:$H,0))</f>
        <v>0.43168920195599519</v>
      </c>
      <c r="N423" s="22">
        <f>INDEX(Mitigation_Industry!N:N,MATCH($A423,Mitigation_Industry!$H:$H,0))</f>
        <v>0.42507558395596989</v>
      </c>
      <c r="O423" s="22">
        <f>INDEX(Mitigation_Industry!O:O,MATCH($A423,Mitigation_Industry!$H:$H,0))</f>
        <v>0.42507558395596989</v>
      </c>
      <c r="P423" s="22">
        <f>INDEX(Mitigation_Industry!P:P,MATCH($A423,Mitigation_Industry!$H:$H,0))</f>
        <v>0.42507558395596989</v>
      </c>
      <c r="Q423" s="22">
        <f>INDEX(Mitigation_Industry!Q:Q,MATCH($A423,Mitigation_Industry!$H:$H,0))</f>
        <v>0.42507558395596989</v>
      </c>
      <c r="R423" s="22">
        <f>INDEX(Mitigation_Industry!R:R,MATCH($A423,Mitigation_Industry!$H:$H,0))</f>
        <v>0.42507558395596989</v>
      </c>
      <c r="S423" s="22">
        <f>INDEX(Mitigation_Industry!S:S,MATCH($A423,Mitigation_Industry!$H:$H,0))</f>
        <v>0.42507558395596989</v>
      </c>
      <c r="T423" s="22">
        <f>INDEX(Mitigation_Industry!T:T,MATCH($A423,Mitigation_Industry!$H:$H,0))</f>
        <v>0.42507558395596989</v>
      </c>
      <c r="U423" s="22">
        <f>INDEX(Mitigation_Industry!U:U,MATCH($A423,Mitigation_Industry!$H:$H,0))</f>
        <v>0.42507558395596989</v>
      </c>
      <c r="V423" s="22">
        <f>INDEX(Mitigation_Industry!V:V,MATCH($A423,Mitigation_Industry!$H:$H,0))</f>
        <v>0.42507558395596989</v>
      </c>
      <c r="W423" s="22">
        <f>INDEX(Mitigation_Industry!W:W,MATCH($A423,Mitigation_Industry!$H:$H,0))</f>
        <v>0.42507558395596989</v>
      </c>
      <c r="X423" s="22">
        <f>INDEX(Mitigation_Industry!X:X,MATCH($A423,Mitigation_Industry!$H:$H,0))</f>
        <v>0.42507558395596989</v>
      </c>
      <c r="Y423" s="22">
        <f>INDEX(Mitigation_Industry!Y:Y,MATCH($A423,Mitigation_Industry!$H:$H,0))</f>
        <v>0.42507558395596989</v>
      </c>
      <c r="Z423" s="22">
        <f>INDEX(Mitigation_Industry!Z:Z,MATCH($A423,Mitigation_Industry!$H:$H,0))</f>
        <v>0.42507558395596989</v>
      </c>
      <c r="AA423" s="22">
        <f>INDEX(Mitigation_Industry!AA:AA,MATCH($A423,Mitigation_Industry!$H:$H,0))</f>
        <v>0.42507558395596989</v>
      </c>
      <c r="AB423" s="22">
        <f>INDEX(Mitigation_Industry!AB:AB,MATCH($A423,Mitigation_Industry!$H:$H,0))</f>
        <v>0.42507558395596989</v>
      </c>
      <c r="AC423" s="22">
        <f>INDEX(Mitigation_Industry!AC:AC,MATCH($A423,Mitigation_Industry!$H:$H,0))</f>
        <v>0.42507558395596989</v>
      </c>
      <c r="AD423" s="22">
        <f>INDEX(Mitigation_Industry!AD:AD,MATCH($A423,Mitigation_Industry!$H:$H,0))</f>
        <v>0.42507558395596989</v>
      </c>
      <c r="AE423" s="22">
        <f>INDEX(Mitigation_Industry!AE:AE,MATCH($A423,Mitigation_Industry!$H:$H,0))</f>
        <v>0.42507558395596989</v>
      </c>
    </row>
    <row r="424" spans="1:31" x14ac:dyDescent="0.25">
      <c r="A424" s="41" t="s">
        <v>1316</v>
      </c>
      <c r="B424" s="6" t="s">
        <v>66</v>
      </c>
      <c r="C424" s="6" t="s">
        <v>121</v>
      </c>
      <c r="D424" s="6">
        <v>1</v>
      </c>
      <c r="E424" s="2" t="s">
        <v>1212</v>
      </c>
      <c r="F424" s="43">
        <f>MAX(MAX(L424:AE424),-MIN(L424:AE424))</f>
        <v>0</v>
      </c>
      <c r="K424" s="44">
        <f t="shared" ref="K424:AE424" si="104">IF(ISNUMBER(K422),IF(ISNUMBER(K423),K423-K422,999999),0)</f>
        <v>0</v>
      </c>
      <c r="L424" s="44">
        <f t="shared" si="104"/>
        <v>0</v>
      </c>
      <c r="M424" s="44">
        <f t="shared" si="104"/>
        <v>0</v>
      </c>
      <c r="N424" s="44">
        <f t="shared" si="104"/>
        <v>0</v>
      </c>
      <c r="O424" s="44">
        <f t="shared" si="104"/>
        <v>0</v>
      </c>
      <c r="P424" s="44">
        <f t="shared" si="104"/>
        <v>0</v>
      </c>
      <c r="Q424" s="44">
        <f t="shared" si="104"/>
        <v>0</v>
      </c>
      <c r="R424" s="44">
        <f t="shared" si="104"/>
        <v>0</v>
      </c>
      <c r="S424" s="44">
        <f t="shared" si="104"/>
        <v>0</v>
      </c>
      <c r="T424" s="44">
        <f t="shared" si="104"/>
        <v>0</v>
      </c>
      <c r="U424" s="44">
        <f t="shared" si="104"/>
        <v>0</v>
      </c>
      <c r="V424" s="44">
        <f t="shared" si="104"/>
        <v>0</v>
      </c>
      <c r="W424" s="44">
        <f t="shared" si="104"/>
        <v>0</v>
      </c>
      <c r="X424" s="44">
        <f t="shared" si="104"/>
        <v>0</v>
      </c>
      <c r="Y424" s="44">
        <f t="shared" si="104"/>
        <v>0</v>
      </c>
      <c r="Z424" s="44">
        <f t="shared" si="104"/>
        <v>0</v>
      </c>
      <c r="AA424" s="44">
        <f t="shared" si="104"/>
        <v>0</v>
      </c>
      <c r="AB424" s="44">
        <f t="shared" si="104"/>
        <v>0</v>
      </c>
      <c r="AC424" s="44">
        <f t="shared" si="104"/>
        <v>0</v>
      </c>
      <c r="AD424" s="44">
        <f t="shared" si="104"/>
        <v>0</v>
      </c>
      <c r="AE424" s="44">
        <f t="shared" si="104"/>
        <v>0</v>
      </c>
    </row>
    <row r="426" spans="1:31" x14ac:dyDescent="0.25">
      <c r="A426" s="41" t="s">
        <v>1317</v>
      </c>
      <c r="B426" s="6" t="s">
        <v>68</v>
      </c>
      <c r="C426" s="6" t="s">
        <v>121</v>
      </c>
      <c r="D426" s="6">
        <v>1</v>
      </c>
      <c r="E426" s="6" t="s">
        <v>1210</v>
      </c>
      <c r="K426" s="22"/>
      <c r="L426" s="22">
        <v>34.415370304313228</v>
      </c>
      <c r="M426" s="22">
        <v>37.368960690432033</v>
      </c>
      <c r="N426" s="22">
        <v>28.982761101477251</v>
      </c>
      <c r="O426" s="22">
        <v>15</v>
      </c>
      <c r="P426" s="22">
        <v>24.2586300842555</v>
      </c>
      <c r="Q426" s="22">
        <v>15</v>
      </c>
      <c r="R426" s="22">
        <v>15</v>
      </c>
      <c r="S426" s="22">
        <v>15</v>
      </c>
      <c r="T426" s="22">
        <v>15</v>
      </c>
      <c r="U426" s="22">
        <v>15</v>
      </c>
      <c r="V426" s="22">
        <v>15</v>
      </c>
      <c r="W426" s="22">
        <v>15</v>
      </c>
      <c r="X426" s="22">
        <v>15</v>
      </c>
      <c r="Y426" s="22">
        <v>15</v>
      </c>
      <c r="Z426" s="22">
        <v>15</v>
      </c>
      <c r="AA426" s="22">
        <v>15</v>
      </c>
      <c r="AB426" s="22">
        <v>15</v>
      </c>
      <c r="AC426" s="22">
        <v>15</v>
      </c>
      <c r="AD426" s="22">
        <v>15</v>
      </c>
      <c r="AE426" s="22">
        <v>15</v>
      </c>
    </row>
    <row r="427" spans="1:31" x14ac:dyDescent="0.25">
      <c r="A427" s="41" t="s">
        <v>1317</v>
      </c>
      <c r="B427" s="6" t="s">
        <v>68</v>
      </c>
      <c r="C427" s="6" t="s">
        <v>121</v>
      </c>
      <c r="D427" s="6">
        <v>1</v>
      </c>
      <c r="E427" s="6" t="s">
        <v>1211</v>
      </c>
      <c r="K427" s="22">
        <f>INDEX(Mitigation_Industry!K:K,MATCH($A427,Mitigation_Industry!$H:$H,0))</f>
        <v>41.50033849886843</v>
      </c>
      <c r="L427" s="22">
        <f>INDEX(Mitigation_Industry!L:L,MATCH($A427,Mitigation_Industry!$H:$H,0))</f>
        <v>34.415370304313228</v>
      </c>
      <c r="M427" s="22">
        <f>INDEX(Mitigation_Industry!M:M,MATCH($A427,Mitigation_Industry!$H:$H,0))</f>
        <v>37.368960690432033</v>
      </c>
      <c r="N427" s="22">
        <f>INDEX(Mitigation_Industry!N:N,MATCH($A427,Mitigation_Industry!$H:$H,0))</f>
        <v>28.982761101477251</v>
      </c>
      <c r="O427" s="22">
        <f>INDEX(Mitigation_Industry!O:O,MATCH($A427,Mitigation_Industry!$H:$H,0))</f>
        <v>15</v>
      </c>
      <c r="P427" s="22">
        <f>INDEX(Mitigation_Industry!P:P,MATCH($A427,Mitigation_Industry!$H:$H,0))</f>
        <v>24.2586300842555</v>
      </c>
      <c r="Q427" s="22">
        <f>INDEX(Mitigation_Industry!Q:Q,MATCH($A427,Mitigation_Industry!$H:$H,0))</f>
        <v>15</v>
      </c>
      <c r="R427" s="22">
        <f>INDEX(Mitigation_Industry!R:R,MATCH($A427,Mitigation_Industry!$H:$H,0))</f>
        <v>15</v>
      </c>
      <c r="S427" s="22">
        <f>INDEX(Mitigation_Industry!S:S,MATCH($A427,Mitigation_Industry!$H:$H,0))</f>
        <v>15</v>
      </c>
      <c r="T427" s="22">
        <f>INDEX(Mitigation_Industry!T:T,MATCH($A427,Mitigation_Industry!$H:$H,0))</f>
        <v>15</v>
      </c>
      <c r="U427" s="22">
        <f>INDEX(Mitigation_Industry!U:U,MATCH($A427,Mitigation_Industry!$H:$H,0))</f>
        <v>15</v>
      </c>
      <c r="V427" s="22">
        <f>INDEX(Mitigation_Industry!V:V,MATCH($A427,Mitigation_Industry!$H:$H,0))</f>
        <v>15</v>
      </c>
      <c r="W427" s="22">
        <f>INDEX(Mitigation_Industry!W:W,MATCH($A427,Mitigation_Industry!$H:$H,0))</f>
        <v>15</v>
      </c>
      <c r="X427" s="22">
        <f>INDEX(Mitigation_Industry!X:X,MATCH($A427,Mitigation_Industry!$H:$H,0))</f>
        <v>15</v>
      </c>
      <c r="Y427" s="22">
        <f>INDEX(Mitigation_Industry!Y:Y,MATCH($A427,Mitigation_Industry!$H:$H,0))</f>
        <v>15</v>
      </c>
      <c r="Z427" s="22">
        <f>INDEX(Mitigation_Industry!Z:Z,MATCH($A427,Mitigation_Industry!$H:$H,0))</f>
        <v>15</v>
      </c>
      <c r="AA427" s="22">
        <f>INDEX(Mitigation_Industry!AA:AA,MATCH($A427,Mitigation_Industry!$H:$H,0))</f>
        <v>15</v>
      </c>
      <c r="AB427" s="22">
        <f>INDEX(Mitigation_Industry!AB:AB,MATCH($A427,Mitigation_Industry!$H:$H,0))</f>
        <v>15</v>
      </c>
      <c r="AC427" s="22">
        <f>INDEX(Mitigation_Industry!AC:AC,MATCH($A427,Mitigation_Industry!$H:$H,0))</f>
        <v>15</v>
      </c>
      <c r="AD427" s="22">
        <f>INDEX(Mitigation_Industry!AD:AD,MATCH($A427,Mitigation_Industry!$H:$H,0))</f>
        <v>15</v>
      </c>
      <c r="AE427" s="22">
        <f>INDEX(Mitigation_Industry!AE:AE,MATCH($A427,Mitigation_Industry!$H:$H,0))</f>
        <v>15</v>
      </c>
    </row>
    <row r="428" spans="1:31" x14ac:dyDescent="0.25">
      <c r="A428" s="41" t="s">
        <v>1317</v>
      </c>
      <c r="B428" s="6" t="s">
        <v>68</v>
      </c>
      <c r="C428" s="6" t="s">
        <v>121</v>
      </c>
      <c r="D428" s="6">
        <v>1</v>
      </c>
      <c r="E428" s="2" t="s">
        <v>1212</v>
      </c>
      <c r="F428" s="43">
        <f>MAX(MAX(L428:AE428),-MIN(L428:AE428))</f>
        <v>0</v>
      </c>
      <c r="K428" s="44">
        <f t="shared" ref="K428:AE428" si="105">IF(ISNUMBER(K426),IF(ISNUMBER(K427),K427-K426,999999),0)</f>
        <v>0</v>
      </c>
      <c r="L428" s="44">
        <f t="shared" si="105"/>
        <v>0</v>
      </c>
      <c r="M428" s="44">
        <f t="shared" si="105"/>
        <v>0</v>
      </c>
      <c r="N428" s="44">
        <f t="shared" si="105"/>
        <v>0</v>
      </c>
      <c r="O428" s="44">
        <f t="shared" si="105"/>
        <v>0</v>
      </c>
      <c r="P428" s="44">
        <f t="shared" si="105"/>
        <v>0</v>
      </c>
      <c r="Q428" s="44">
        <f t="shared" si="105"/>
        <v>0</v>
      </c>
      <c r="R428" s="44">
        <f t="shared" si="105"/>
        <v>0</v>
      </c>
      <c r="S428" s="44">
        <f t="shared" si="105"/>
        <v>0</v>
      </c>
      <c r="T428" s="44">
        <f t="shared" si="105"/>
        <v>0</v>
      </c>
      <c r="U428" s="44">
        <f t="shared" si="105"/>
        <v>0</v>
      </c>
      <c r="V428" s="44">
        <f t="shared" si="105"/>
        <v>0</v>
      </c>
      <c r="W428" s="44">
        <f t="shared" si="105"/>
        <v>0</v>
      </c>
      <c r="X428" s="44">
        <f t="shared" si="105"/>
        <v>0</v>
      </c>
      <c r="Y428" s="44">
        <f t="shared" si="105"/>
        <v>0</v>
      </c>
      <c r="Z428" s="44">
        <f t="shared" si="105"/>
        <v>0</v>
      </c>
      <c r="AA428" s="44">
        <f t="shared" si="105"/>
        <v>0</v>
      </c>
      <c r="AB428" s="44">
        <f t="shared" si="105"/>
        <v>0</v>
      </c>
      <c r="AC428" s="44">
        <f t="shared" si="105"/>
        <v>0</v>
      </c>
      <c r="AD428" s="44">
        <f t="shared" si="105"/>
        <v>0</v>
      </c>
      <c r="AE428" s="44">
        <f t="shared" si="105"/>
        <v>0</v>
      </c>
    </row>
    <row r="430" spans="1:31" x14ac:dyDescent="0.25">
      <c r="A430" s="41" t="s">
        <v>1318</v>
      </c>
      <c r="B430" s="6" t="s">
        <v>71</v>
      </c>
      <c r="C430" s="6" t="s">
        <v>121</v>
      </c>
      <c r="D430" s="6">
        <v>1</v>
      </c>
      <c r="E430" s="6" t="s">
        <v>1210</v>
      </c>
      <c r="K430" s="22"/>
      <c r="L430" s="22">
        <v>14.199528390634921</v>
      </c>
      <c r="M430" s="22">
        <v>13.840441613315161</v>
      </c>
      <c r="N430" s="22">
        <v>13.5677269404465</v>
      </c>
      <c r="O430" s="22">
        <v>13.5677269404465</v>
      </c>
      <c r="P430" s="22">
        <v>13.5677269404465</v>
      </c>
      <c r="Q430" s="22">
        <v>13.5677269404465</v>
      </c>
      <c r="R430" s="22">
        <v>13.5677269404465</v>
      </c>
      <c r="S430" s="22">
        <v>13.5677269404465</v>
      </c>
      <c r="T430" s="22">
        <v>13.5677269404465</v>
      </c>
      <c r="U430" s="22">
        <v>13.5677269404465</v>
      </c>
      <c r="V430" s="22">
        <v>13.5677269404465</v>
      </c>
      <c r="W430" s="22">
        <v>13.5677269404465</v>
      </c>
      <c r="X430" s="22">
        <v>13.5677269404465</v>
      </c>
      <c r="Y430" s="22">
        <v>13.5677269404465</v>
      </c>
      <c r="Z430" s="22">
        <v>13.5677269404465</v>
      </c>
      <c r="AA430" s="22">
        <v>13.5677269404465</v>
      </c>
      <c r="AB430" s="22">
        <v>13.5677269404465</v>
      </c>
      <c r="AC430" s="22">
        <v>13.5677269404465</v>
      </c>
      <c r="AD430" s="22">
        <v>13.5677269404465</v>
      </c>
      <c r="AE430" s="22">
        <v>13.5677269404465</v>
      </c>
    </row>
    <row r="431" spans="1:31" x14ac:dyDescent="0.25">
      <c r="A431" s="41" t="s">
        <v>1318</v>
      </c>
      <c r="B431" s="6" t="s">
        <v>71</v>
      </c>
      <c r="C431" s="6" t="s">
        <v>121</v>
      </c>
      <c r="D431" s="6">
        <v>1</v>
      </c>
      <c r="E431" s="6" t="s">
        <v>1211</v>
      </c>
      <c r="K431" s="22">
        <f>INDEX(Mitigation_Industry!K:K,MATCH($A431,Mitigation_Industry!$H:$H,0))</f>
        <v>15.33455052931693</v>
      </c>
      <c r="L431" s="22">
        <f>INDEX(Mitigation_Industry!L:L,MATCH($A431,Mitigation_Industry!$H:$H,0))</f>
        <v>14.199528390634921</v>
      </c>
      <c r="M431" s="22">
        <f>INDEX(Mitigation_Industry!M:M,MATCH($A431,Mitigation_Industry!$H:$H,0))</f>
        <v>13.840441613315161</v>
      </c>
      <c r="N431" s="22">
        <f>INDEX(Mitigation_Industry!N:N,MATCH($A431,Mitigation_Industry!$H:$H,0))</f>
        <v>13.5677269404465</v>
      </c>
      <c r="O431" s="22">
        <f>INDEX(Mitigation_Industry!O:O,MATCH($A431,Mitigation_Industry!$H:$H,0))</f>
        <v>13.5677269404465</v>
      </c>
      <c r="P431" s="22">
        <f>INDEX(Mitigation_Industry!P:P,MATCH($A431,Mitigation_Industry!$H:$H,0))</f>
        <v>13.5677269404465</v>
      </c>
      <c r="Q431" s="22">
        <f>INDEX(Mitigation_Industry!Q:Q,MATCH($A431,Mitigation_Industry!$H:$H,0))</f>
        <v>13.5677269404465</v>
      </c>
      <c r="R431" s="22">
        <f>INDEX(Mitigation_Industry!R:R,MATCH($A431,Mitigation_Industry!$H:$H,0))</f>
        <v>13.5677269404465</v>
      </c>
      <c r="S431" s="22">
        <f>INDEX(Mitigation_Industry!S:S,MATCH($A431,Mitigation_Industry!$H:$H,0))</f>
        <v>13.5677269404465</v>
      </c>
      <c r="T431" s="22">
        <f>INDEX(Mitigation_Industry!T:T,MATCH($A431,Mitigation_Industry!$H:$H,0))</f>
        <v>13.5677269404465</v>
      </c>
      <c r="U431" s="22">
        <f>INDEX(Mitigation_Industry!U:U,MATCH($A431,Mitigation_Industry!$H:$H,0))</f>
        <v>13.5677269404465</v>
      </c>
      <c r="V431" s="22">
        <f>INDEX(Mitigation_Industry!V:V,MATCH($A431,Mitigation_Industry!$H:$H,0))</f>
        <v>13.5677269404465</v>
      </c>
      <c r="W431" s="22">
        <f>INDEX(Mitigation_Industry!W:W,MATCH($A431,Mitigation_Industry!$H:$H,0))</f>
        <v>13.5677269404465</v>
      </c>
      <c r="X431" s="22">
        <f>INDEX(Mitigation_Industry!X:X,MATCH($A431,Mitigation_Industry!$H:$H,0))</f>
        <v>13.5677269404465</v>
      </c>
      <c r="Y431" s="22">
        <f>INDEX(Mitigation_Industry!Y:Y,MATCH($A431,Mitigation_Industry!$H:$H,0))</f>
        <v>13.5677269404465</v>
      </c>
      <c r="Z431" s="22">
        <f>INDEX(Mitigation_Industry!Z:Z,MATCH($A431,Mitigation_Industry!$H:$H,0))</f>
        <v>13.5677269404465</v>
      </c>
      <c r="AA431" s="22">
        <f>INDEX(Mitigation_Industry!AA:AA,MATCH($A431,Mitigation_Industry!$H:$H,0))</f>
        <v>13.5677269404465</v>
      </c>
      <c r="AB431" s="22">
        <f>INDEX(Mitigation_Industry!AB:AB,MATCH($A431,Mitigation_Industry!$H:$H,0))</f>
        <v>13.5677269404465</v>
      </c>
      <c r="AC431" s="22">
        <f>INDEX(Mitigation_Industry!AC:AC,MATCH($A431,Mitigation_Industry!$H:$H,0))</f>
        <v>13.5677269404465</v>
      </c>
      <c r="AD431" s="22">
        <f>INDEX(Mitigation_Industry!AD:AD,MATCH($A431,Mitigation_Industry!$H:$H,0))</f>
        <v>13.5677269404465</v>
      </c>
      <c r="AE431" s="22">
        <f>INDEX(Mitigation_Industry!AE:AE,MATCH($A431,Mitigation_Industry!$H:$H,0))</f>
        <v>13.5677269404465</v>
      </c>
    </row>
    <row r="432" spans="1:31" x14ac:dyDescent="0.25">
      <c r="A432" s="41" t="s">
        <v>1318</v>
      </c>
      <c r="B432" s="6" t="s">
        <v>71</v>
      </c>
      <c r="C432" s="6" t="s">
        <v>121</v>
      </c>
      <c r="D432" s="6">
        <v>1</v>
      </c>
      <c r="E432" s="2" t="s">
        <v>1212</v>
      </c>
      <c r="F432" s="43">
        <f>MAX(MAX(L432:AE432),-MIN(L432:AE432))</f>
        <v>0</v>
      </c>
      <c r="K432" s="44">
        <f t="shared" ref="K432:AE432" si="106">IF(ISNUMBER(K430),IF(ISNUMBER(K431),K431-K430,999999),0)</f>
        <v>0</v>
      </c>
      <c r="L432" s="44">
        <f t="shared" si="106"/>
        <v>0</v>
      </c>
      <c r="M432" s="44">
        <f t="shared" si="106"/>
        <v>0</v>
      </c>
      <c r="N432" s="44">
        <f t="shared" si="106"/>
        <v>0</v>
      </c>
      <c r="O432" s="44">
        <f t="shared" si="106"/>
        <v>0</v>
      </c>
      <c r="P432" s="44">
        <f t="shared" si="106"/>
        <v>0</v>
      </c>
      <c r="Q432" s="44">
        <f t="shared" si="106"/>
        <v>0</v>
      </c>
      <c r="R432" s="44">
        <f t="shared" si="106"/>
        <v>0</v>
      </c>
      <c r="S432" s="44">
        <f t="shared" si="106"/>
        <v>0</v>
      </c>
      <c r="T432" s="44">
        <f t="shared" si="106"/>
        <v>0</v>
      </c>
      <c r="U432" s="44">
        <f t="shared" si="106"/>
        <v>0</v>
      </c>
      <c r="V432" s="44">
        <f t="shared" si="106"/>
        <v>0</v>
      </c>
      <c r="W432" s="44">
        <f t="shared" si="106"/>
        <v>0</v>
      </c>
      <c r="X432" s="44">
        <f t="shared" si="106"/>
        <v>0</v>
      </c>
      <c r="Y432" s="44">
        <f t="shared" si="106"/>
        <v>0</v>
      </c>
      <c r="Z432" s="44">
        <f t="shared" si="106"/>
        <v>0</v>
      </c>
      <c r="AA432" s="44">
        <f t="shared" si="106"/>
        <v>0</v>
      </c>
      <c r="AB432" s="44">
        <f t="shared" si="106"/>
        <v>0</v>
      </c>
      <c r="AC432" s="44">
        <f t="shared" si="106"/>
        <v>0</v>
      </c>
      <c r="AD432" s="44">
        <f t="shared" si="106"/>
        <v>0</v>
      </c>
      <c r="AE432" s="44">
        <f t="shared" si="106"/>
        <v>0</v>
      </c>
    </row>
    <row r="434" spans="1:31" x14ac:dyDescent="0.25">
      <c r="A434" s="41" t="s">
        <v>1319</v>
      </c>
      <c r="B434" s="6" t="s">
        <v>73</v>
      </c>
      <c r="C434" s="6" t="s">
        <v>121</v>
      </c>
      <c r="D434" s="6">
        <v>1</v>
      </c>
      <c r="E434" s="6" t="s">
        <v>1210</v>
      </c>
      <c r="K434" s="22"/>
      <c r="L434" s="22">
        <v>0.14404498679319799</v>
      </c>
      <c r="M434" s="22">
        <v>0.14102040965700391</v>
      </c>
      <c r="N434" s="22">
        <v>0.13511635959447599</v>
      </c>
      <c r="O434" s="22">
        <v>0.13098825698585639</v>
      </c>
      <c r="P434" s="22">
        <v>0.12790841608631831</v>
      </c>
      <c r="Q434" s="22">
        <v>0.124814310557813</v>
      </c>
      <c r="R434" s="22">
        <v>0.1214602571228779</v>
      </c>
      <c r="S434" s="22">
        <v>0.1179507441357863</v>
      </c>
      <c r="T434" s="22">
        <v>0.1141991610445974</v>
      </c>
      <c r="U434" s="22">
        <v>0.1136651000596645</v>
      </c>
      <c r="V434" s="22">
        <v>0.1130169296259568</v>
      </c>
      <c r="W434" s="22">
        <v>0.112314070507636</v>
      </c>
      <c r="X434" s="22">
        <v>0.1114220427328433</v>
      </c>
      <c r="Y434" s="22">
        <v>0.1104341236758091</v>
      </c>
      <c r="Z434" s="22">
        <v>0.10948397330447129</v>
      </c>
      <c r="AA434" s="22">
        <v>0.1083919210529401</v>
      </c>
      <c r="AB434" s="22">
        <v>0.1073544336267039</v>
      </c>
      <c r="AC434" s="22">
        <v>0.10516867544166079</v>
      </c>
      <c r="AD434" s="22">
        <v>0.1030579832560081</v>
      </c>
      <c r="AE434" s="22">
        <v>0.1009318389901144</v>
      </c>
    </row>
    <row r="435" spans="1:31" x14ac:dyDescent="0.25">
      <c r="A435" s="41" t="s">
        <v>1319</v>
      </c>
      <c r="B435" s="6" t="s">
        <v>73</v>
      </c>
      <c r="C435" s="6" t="s">
        <v>121</v>
      </c>
      <c r="D435" s="6">
        <v>1</v>
      </c>
      <c r="E435" s="6" t="s">
        <v>1211</v>
      </c>
      <c r="K435" s="22">
        <f>INDEX(Mitigation_Industry!K:K,MATCH($A435,Mitigation_Industry!$H:$H,0))</f>
        <v>0</v>
      </c>
      <c r="L435" s="22">
        <f>INDEX(Mitigation_Industry!L:L,MATCH($A435,Mitigation_Industry!$H:$H,0))</f>
        <v>0.14404498679319799</v>
      </c>
      <c r="M435" s="22">
        <f>INDEX(Mitigation_Industry!M:M,MATCH($A435,Mitigation_Industry!$H:$H,0))</f>
        <v>0.14102040965700391</v>
      </c>
      <c r="N435" s="22">
        <f>INDEX(Mitigation_Industry!N:N,MATCH($A435,Mitigation_Industry!$H:$H,0))</f>
        <v>0.13511635959447599</v>
      </c>
      <c r="O435" s="22">
        <f>INDEX(Mitigation_Industry!O:O,MATCH($A435,Mitigation_Industry!$H:$H,0))</f>
        <v>0.13098825698585639</v>
      </c>
      <c r="P435" s="22">
        <f>INDEX(Mitigation_Industry!P:P,MATCH($A435,Mitigation_Industry!$H:$H,0))</f>
        <v>0.12790841608631831</v>
      </c>
      <c r="Q435" s="22">
        <f>INDEX(Mitigation_Industry!Q:Q,MATCH($A435,Mitigation_Industry!$H:$H,0))</f>
        <v>0.124814310557813</v>
      </c>
      <c r="R435" s="22">
        <f>INDEX(Mitigation_Industry!R:R,MATCH($A435,Mitigation_Industry!$H:$H,0))</f>
        <v>0.1214602571228779</v>
      </c>
      <c r="S435" s="22">
        <f>INDEX(Mitigation_Industry!S:S,MATCH($A435,Mitigation_Industry!$H:$H,0))</f>
        <v>0.1179507441357863</v>
      </c>
      <c r="T435" s="22">
        <f>INDEX(Mitigation_Industry!T:T,MATCH($A435,Mitigation_Industry!$H:$H,0))</f>
        <v>0.1141991610445974</v>
      </c>
      <c r="U435" s="22">
        <f>INDEX(Mitigation_Industry!U:U,MATCH($A435,Mitigation_Industry!$H:$H,0))</f>
        <v>0.1136651000596645</v>
      </c>
      <c r="V435" s="22">
        <f>INDEX(Mitigation_Industry!V:V,MATCH($A435,Mitigation_Industry!$H:$H,0))</f>
        <v>0.1130169296259568</v>
      </c>
      <c r="W435" s="22">
        <f>INDEX(Mitigation_Industry!W:W,MATCH($A435,Mitigation_Industry!$H:$H,0))</f>
        <v>0.112314070507636</v>
      </c>
      <c r="X435" s="22">
        <f>INDEX(Mitigation_Industry!X:X,MATCH($A435,Mitigation_Industry!$H:$H,0))</f>
        <v>0.1114220427328433</v>
      </c>
      <c r="Y435" s="22">
        <f>INDEX(Mitigation_Industry!Y:Y,MATCH($A435,Mitigation_Industry!$H:$H,0))</f>
        <v>0.1104341236758091</v>
      </c>
      <c r="Z435" s="22">
        <f>INDEX(Mitigation_Industry!Z:Z,MATCH($A435,Mitigation_Industry!$H:$H,0))</f>
        <v>0.10948397330447129</v>
      </c>
      <c r="AA435" s="22">
        <f>INDEX(Mitigation_Industry!AA:AA,MATCH($A435,Mitigation_Industry!$H:$H,0))</f>
        <v>0.1083919210529401</v>
      </c>
      <c r="AB435" s="22">
        <f>INDEX(Mitigation_Industry!AB:AB,MATCH($A435,Mitigation_Industry!$H:$H,0))</f>
        <v>0.1073544336267039</v>
      </c>
      <c r="AC435" s="22">
        <f>INDEX(Mitigation_Industry!AC:AC,MATCH($A435,Mitigation_Industry!$H:$H,0))</f>
        <v>0.10516867544166079</v>
      </c>
      <c r="AD435" s="22">
        <f>INDEX(Mitigation_Industry!AD:AD,MATCH($A435,Mitigation_Industry!$H:$H,0))</f>
        <v>0.1030579832560081</v>
      </c>
      <c r="AE435" s="22">
        <f>INDEX(Mitigation_Industry!AE:AE,MATCH($A435,Mitigation_Industry!$H:$H,0))</f>
        <v>0.1009318389901144</v>
      </c>
    </row>
    <row r="436" spans="1:31" x14ac:dyDescent="0.25">
      <c r="A436" s="41" t="s">
        <v>1319</v>
      </c>
      <c r="B436" s="6" t="s">
        <v>73</v>
      </c>
      <c r="C436" s="6" t="s">
        <v>121</v>
      </c>
      <c r="D436" s="6">
        <v>1</v>
      </c>
      <c r="E436" s="2" t="s">
        <v>1212</v>
      </c>
      <c r="F436" s="43">
        <f>MAX(MAX(L436:AE436),-MIN(L436:AE436))</f>
        <v>0</v>
      </c>
      <c r="K436" s="44">
        <f t="shared" ref="K436:AE436" si="107">IF(ISNUMBER(K434),IF(ISNUMBER(K435),K435-K434,999999),0)</f>
        <v>0</v>
      </c>
      <c r="L436" s="44">
        <f t="shared" si="107"/>
        <v>0</v>
      </c>
      <c r="M436" s="44">
        <f t="shared" si="107"/>
        <v>0</v>
      </c>
      <c r="N436" s="44">
        <f t="shared" si="107"/>
        <v>0</v>
      </c>
      <c r="O436" s="44">
        <f t="shared" si="107"/>
        <v>0</v>
      </c>
      <c r="P436" s="44">
        <f t="shared" si="107"/>
        <v>0</v>
      </c>
      <c r="Q436" s="44">
        <f t="shared" si="107"/>
        <v>0</v>
      </c>
      <c r="R436" s="44">
        <f t="shared" si="107"/>
        <v>0</v>
      </c>
      <c r="S436" s="44">
        <f t="shared" si="107"/>
        <v>0</v>
      </c>
      <c r="T436" s="44">
        <f t="shared" si="107"/>
        <v>0</v>
      </c>
      <c r="U436" s="44">
        <f t="shared" si="107"/>
        <v>0</v>
      </c>
      <c r="V436" s="44">
        <f t="shared" si="107"/>
        <v>0</v>
      </c>
      <c r="W436" s="44">
        <f t="shared" si="107"/>
        <v>0</v>
      </c>
      <c r="X436" s="44">
        <f t="shared" si="107"/>
        <v>0</v>
      </c>
      <c r="Y436" s="44">
        <f t="shared" si="107"/>
        <v>0</v>
      </c>
      <c r="Z436" s="44">
        <f t="shared" si="107"/>
        <v>0</v>
      </c>
      <c r="AA436" s="44">
        <f t="shared" si="107"/>
        <v>0</v>
      </c>
      <c r="AB436" s="44">
        <f t="shared" si="107"/>
        <v>0</v>
      </c>
      <c r="AC436" s="44">
        <f t="shared" si="107"/>
        <v>0</v>
      </c>
      <c r="AD436" s="44">
        <f t="shared" si="107"/>
        <v>0</v>
      </c>
      <c r="AE436" s="44">
        <f t="shared" si="107"/>
        <v>0</v>
      </c>
    </row>
    <row r="438" spans="1:31" x14ac:dyDescent="0.25">
      <c r="A438" s="41" t="s">
        <v>1320</v>
      </c>
      <c r="B438" s="6" t="s">
        <v>53</v>
      </c>
      <c r="C438" s="6" t="s">
        <v>47</v>
      </c>
      <c r="D438" s="6">
        <v>2</v>
      </c>
      <c r="E438" s="6" t="s">
        <v>1210</v>
      </c>
      <c r="K438" s="22"/>
      <c r="L438" s="22">
        <v>10.52336134543121</v>
      </c>
      <c r="M438" s="22">
        <v>10.299560827444211</v>
      </c>
      <c r="N438" s="22">
        <v>9.5775283595382632</v>
      </c>
      <c r="O438" s="22">
        <v>8.4854782869580454</v>
      </c>
      <c r="P438" s="22">
        <v>9.0871922352498604</v>
      </c>
      <c r="Q438" s="22">
        <v>10.472923728932679</v>
      </c>
      <c r="R438" s="22">
        <v>11.658564955509689</v>
      </c>
      <c r="S438" s="22">
        <v>12.839547877397379</v>
      </c>
      <c r="T438" s="22">
        <v>14.01568166602283</v>
      </c>
      <c r="U438" s="22">
        <v>15.19439776555711</v>
      </c>
      <c r="V438" s="22">
        <v>16.44439776555711</v>
      </c>
      <c r="W438" s="22">
        <v>17.69439776555711</v>
      </c>
      <c r="X438" s="22">
        <v>18.94439776555711</v>
      </c>
      <c r="Y438" s="22">
        <v>20.19439776555711</v>
      </c>
      <c r="Z438" s="22">
        <v>21.44439776555711</v>
      </c>
      <c r="AA438" s="22">
        <v>22.69439776555711</v>
      </c>
      <c r="AB438" s="22">
        <v>23.94439776555711</v>
      </c>
      <c r="AC438" s="22">
        <v>25.19439776555711</v>
      </c>
      <c r="AD438" s="22">
        <v>26.44439776555711</v>
      </c>
      <c r="AE438" s="22">
        <v>27.69439776555711</v>
      </c>
    </row>
    <row r="439" spans="1:31" x14ac:dyDescent="0.25">
      <c r="A439" s="41" t="s">
        <v>1320</v>
      </c>
      <c r="B439" s="6" t="s">
        <v>53</v>
      </c>
      <c r="C439" s="6" t="s">
        <v>47</v>
      </c>
      <c r="D439" s="6">
        <v>2</v>
      </c>
      <c r="E439" s="6" t="s">
        <v>1211</v>
      </c>
      <c r="K439" s="22">
        <f>INDEX(Mitigation_Industry!K:K,MATCH($A439,Mitigation_Industry!$H:$H,0))</f>
        <v>11.18290158924394</v>
      </c>
      <c r="L439" s="22">
        <f>INDEX(Mitigation_Industry!L:L,MATCH($A439,Mitigation_Industry!$H:$H,0))</f>
        <v>10.52336134543121</v>
      </c>
      <c r="M439" s="22">
        <f>INDEX(Mitigation_Industry!M:M,MATCH($A439,Mitigation_Industry!$H:$H,0))</f>
        <v>10.299560827444211</v>
      </c>
      <c r="N439" s="22">
        <f>INDEX(Mitigation_Industry!N:N,MATCH($A439,Mitigation_Industry!$H:$H,0))</f>
        <v>9.5775283595382632</v>
      </c>
      <c r="O439" s="22">
        <f>INDEX(Mitigation_Industry!O:O,MATCH($A439,Mitigation_Industry!$H:$H,0))</f>
        <v>8.4854782869580454</v>
      </c>
      <c r="P439" s="22">
        <f>INDEX(Mitigation_Industry!P:P,MATCH($A439,Mitigation_Industry!$H:$H,0))</f>
        <v>9.0871922352498604</v>
      </c>
      <c r="Q439" s="22">
        <f>INDEX(Mitigation_Industry!Q:Q,MATCH($A439,Mitigation_Industry!$H:$H,0))</f>
        <v>10.472923728932681</v>
      </c>
      <c r="R439" s="22">
        <f>INDEX(Mitigation_Industry!R:R,MATCH($A439,Mitigation_Industry!$H:$H,0))</f>
        <v>11.658564955509688</v>
      </c>
      <c r="S439" s="22">
        <f>INDEX(Mitigation_Industry!S:S,MATCH($A439,Mitigation_Industry!$H:$H,0))</f>
        <v>12.839547877397377</v>
      </c>
      <c r="T439" s="22">
        <f>INDEX(Mitigation_Industry!T:T,MATCH($A439,Mitigation_Industry!$H:$H,0))</f>
        <v>14.01568166602283</v>
      </c>
      <c r="U439" s="22">
        <f>INDEX(Mitigation_Industry!U:U,MATCH($A439,Mitigation_Industry!$H:$H,0))</f>
        <v>15.194397765557106</v>
      </c>
      <c r="V439" s="22">
        <f>INDEX(Mitigation_Industry!V:V,MATCH($A439,Mitigation_Industry!$H:$H,0))</f>
        <v>16.444397765557106</v>
      </c>
      <c r="W439" s="22">
        <f>INDEX(Mitigation_Industry!W:W,MATCH($A439,Mitigation_Industry!$H:$H,0))</f>
        <v>17.694397765557106</v>
      </c>
      <c r="X439" s="22">
        <f>INDEX(Mitigation_Industry!X:X,MATCH($A439,Mitigation_Industry!$H:$H,0))</f>
        <v>18.944397765557106</v>
      </c>
      <c r="Y439" s="22">
        <f>INDEX(Mitigation_Industry!Y:Y,MATCH($A439,Mitigation_Industry!$H:$H,0))</f>
        <v>20.194397765557106</v>
      </c>
      <c r="Z439" s="22">
        <f>INDEX(Mitigation_Industry!Z:Z,MATCH($A439,Mitigation_Industry!$H:$H,0))</f>
        <v>21.444397765557106</v>
      </c>
      <c r="AA439" s="22">
        <f>INDEX(Mitigation_Industry!AA:AA,MATCH($A439,Mitigation_Industry!$H:$H,0))</f>
        <v>22.694397765557106</v>
      </c>
      <c r="AB439" s="22">
        <f>INDEX(Mitigation_Industry!AB:AB,MATCH($A439,Mitigation_Industry!$H:$H,0))</f>
        <v>23.944397765557106</v>
      </c>
      <c r="AC439" s="22">
        <f>INDEX(Mitigation_Industry!AC:AC,MATCH($A439,Mitigation_Industry!$H:$H,0))</f>
        <v>25.194397765557106</v>
      </c>
      <c r="AD439" s="22">
        <f>INDEX(Mitigation_Industry!AD:AD,MATCH($A439,Mitigation_Industry!$H:$H,0))</f>
        <v>26.444397765557106</v>
      </c>
      <c r="AE439" s="22">
        <f>INDEX(Mitigation_Industry!AE:AE,MATCH($A439,Mitigation_Industry!$H:$H,0))</f>
        <v>27.694397765557106</v>
      </c>
    </row>
    <row r="440" spans="1:31" x14ac:dyDescent="0.25">
      <c r="A440" s="41" t="s">
        <v>1320</v>
      </c>
      <c r="B440" s="6" t="s">
        <v>53</v>
      </c>
      <c r="C440" s="6" t="s">
        <v>47</v>
      </c>
      <c r="D440" s="6">
        <v>2</v>
      </c>
      <c r="E440" s="2" t="s">
        <v>1212</v>
      </c>
      <c r="F440" s="43">
        <f>MAX(MAX(L440:AE440),-MIN(L440:AE440))</f>
        <v>3.5527136788005009E-15</v>
      </c>
      <c r="K440" s="44">
        <f t="shared" ref="K440:AE440" si="108">IF(ISNUMBER(K438),IF(ISNUMBER(K439),K439-K438,999999),0)</f>
        <v>0</v>
      </c>
      <c r="L440" s="44">
        <f t="shared" si="108"/>
        <v>0</v>
      </c>
      <c r="M440" s="44">
        <f t="shared" si="108"/>
        <v>0</v>
      </c>
      <c r="N440" s="44">
        <f t="shared" si="108"/>
        <v>0</v>
      </c>
      <c r="O440" s="44">
        <f t="shared" si="108"/>
        <v>0</v>
      </c>
      <c r="P440" s="44">
        <f t="shared" si="108"/>
        <v>0</v>
      </c>
      <c r="Q440" s="44">
        <f t="shared" si="108"/>
        <v>1.7763568394002505E-15</v>
      </c>
      <c r="R440" s="44">
        <f t="shared" si="108"/>
        <v>-1.7763568394002505E-15</v>
      </c>
      <c r="S440" s="44">
        <f t="shared" si="108"/>
        <v>-1.7763568394002505E-15</v>
      </c>
      <c r="T440" s="44">
        <f t="shared" si="108"/>
        <v>0</v>
      </c>
      <c r="U440" s="44">
        <f t="shared" si="108"/>
        <v>-3.5527136788005009E-15</v>
      </c>
      <c r="V440" s="44">
        <f t="shared" si="108"/>
        <v>-3.5527136788005009E-15</v>
      </c>
      <c r="W440" s="44">
        <f t="shared" si="108"/>
        <v>-3.5527136788005009E-15</v>
      </c>
      <c r="X440" s="44">
        <f t="shared" si="108"/>
        <v>-3.5527136788005009E-15</v>
      </c>
      <c r="Y440" s="44">
        <f t="shared" si="108"/>
        <v>-3.5527136788005009E-15</v>
      </c>
      <c r="Z440" s="44">
        <f t="shared" si="108"/>
        <v>-3.5527136788005009E-15</v>
      </c>
      <c r="AA440" s="44">
        <f t="shared" si="108"/>
        <v>-3.5527136788005009E-15</v>
      </c>
      <c r="AB440" s="44">
        <f t="shared" si="108"/>
        <v>-3.5527136788005009E-15</v>
      </c>
      <c r="AC440" s="44">
        <f t="shared" si="108"/>
        <v>-3.5527136788005009E-15</v>
      </c>
      <c r="AD440" s="44">
        <f t="shared" si="108"/>
        <v>-3.5527136788005009E-15</v>
      </c>
      <c r="AE440" s="44">
        <f t="shared" si="108"/>
        <v>-3.5527136788005009E-15</v>
      </c>
    </row>
    <row r="442" spans="1:31" x14ac:dyDescent="0.25">
      <c r="A442" s="41" t="s">
        <v>1321</v>
      </c>
      <c r="B442" s="6" t="s">
        <v>57</v>
      </c>
      <c r="C442" s="6" t="s">
        <v>47</v>
      </c>
      <c r="D442" s="6">
        <v>2</v>
      </c>
      <c r="E442" s="6" t="s">
        <v>1210</v>
      </c>
      <c r="K442" s="22"/>
      <c r="L442" s="22">
        <v>5.4510150816191896</v>
      </c>
      <c r="M442" s="22">
        <v>5.1193563062624818</v>
      </c>
      <c r="N442" s="22">
        <v>5.0821845864040727</v>
      </c>
      <c r="O442" s="22">
        <v>5.0821845864040727</v>
      </c>
      <c r="P442" s="22">
        <v>5.0821845864040727</v>
      </c>
      <c r="Q442" s="22">
        <v>5.7796845864040716</v>
      </c>
      <c r="R442" s="22">
        <v>6.4771845864040722</v>
      </c>
      <c r="S442" s="22">
        <v>7.1746845864040729</v>
      </c>
      <c r="T442" s="22">
        <v>7.8721845864040727</v>
      </c>
      <c r="U442" s="22">
        <v>8.5696845864040725</v>
      </c>
      <c r="V442" s="22">
        <v>9.2671845864040723</v>
      </c>
      <c r="W442" s="22">
        <v>9.9646845864040721</v>
      </c>
      <c r="X442" s="22">
        <v>10.66218458640407</v>
      </c>
      <c r="Y442" s="22">
        <v>11.35968458640407</v>
      </c>
      <c r="Z442" s="22">
        <v>12.05718458640407</v>
      </c>
      <c r="AA442" s="22">
        <v>12.754684586404069</v>
      </c>
      <c r="AB442" s="22">
        <v>13.452184586404069</v>
      </c>
      <c r="AC442" s="22">
        <v>14.149684586404071</v>
      </c>
      <c r="AD442" s="22">
        <v>14.847184586404071</v>
      </c>
      <c r="AE442" s="22">
        <v>15.54468458640407</v>
      </c>
    </row>
    <row r="443" spans="1:31" x14ac:dyDescent="0.25">
      <c r="A443" s="41" t="s">
        <v>1321</v>
      </c>
      <c r="B443" s="6" t="s">
        <v>57</v>
      </c>
      <c r="C443" s="6" t="s">
        <v>47</v>
      </c>
      <c r="D443" s="6">
        <v>2</v>
      </c>
      <c r="E443" s="6" t="s">
        <v>1211</v>
      </c>
      <c r="K443" s="22">
        <f>INDEX(Mitigation_Industry!K:K,MATCH($A443,Mitigation_Industry!$H:$H,0))</f>
        <v>6.0634636156729131</v>
      </c>
      <c r="L443" s="22">
        <f>INDEX(Mitigation_Industry!L:L,MATCH($A443,Mitigation_Industry!$H:$H,0))</f>
        <v>5.4510150816191896</v>
      </c>
      <c r="M443" s="22">
        <f>INDEX(Mitigation_Industry!M:M,MATCH($A443,Mitigation_Industry!$H:$H,0))</f>
        <v>5.1193563062624818</v>
      </c>
      <c r="N443" s="22">
        <f>INDEX(Mitigation_Industry!N:N,MATCH($A443,Mitigation_Industry!$H:$H,0))</f>
        <v>5.0821845864040727</v>
      </c>
      <c r="O443" s="22">
        <f>INDEX(Mitigation_Industry!O:O,MATCH($A443,Mitigation_Industry!$H:$H,0))</f>
        <v>5.0821845864040727</v>
      </c>
      <c r="P443" s="22">
        <f>INDEX(Mitigation_Industry!P:P,MATCH($A443,Mitigation_Industry!$H:$H,0))</f>
        <v>5.0821845864040727</v>
      </c>
      <c r="Q443" s="22">
        <f>INDEX(Mitigation_Industry!Q:Q,MATCH($A443,Mitigation_Industry!$H:$H,0))</f>
        <v>5.7796845864040725</v>
      </c>
      <c r="R443" s="22">
        <f>INDEX(Mitigation_Industry!R:R,MATCH($A443,Mitigation_Industry!$H:$H,0))</f>
        <v>6.4771845864040731</v>
      </c>
      <c r="S443" s="22">
        <f>INDEX(Mitigation_Industry!S:S,MATCH($A443,Mitigation_Industry!$H:$H,0))</f>
        <v>7.1746845864040729</v>
      </c>
      <c r="T443" s="22">
        <f>INDEX(Mitigation_Industry!T:T,MATCH($A443,Mitigation_Industry!$H:$H,0))</f>
        <v>7.8721845864040736</v>
      </c>
      <c r="U443" s="22">
        <f>INDEX(Mitigation_Industry!U:U,MATCH($A443,Mitigation_Industry!$H:$H,0))</f>
        <v>8.5696845864040725</v>
      </c>
      <c r="V443" s="22">
        <f>INDEX(Mitigation_Industry!V:V,MATCH($A443,Mitigation_Industry!$H:$H,0))</f>
        <v>9.2671845864040723</v>
      </c>
      <c r="W443" s="22">
        <f>INDEX(Mitigation_Industry!W:W,MATCH($A443,Mitigation_Industry!$H:$H,0))</f>
        <v>9.9646845864040721</v>
      </c>
      <c r="X443" s="22">
        <f>INDEX(Mitigation_Industry!X:X,MATCH($A443,Mitigation_Industry!$H:$H,0))</f>
        <v>10.662184586404072</v>
      </c>
      <c r="Y443" s="22">
        <f>INDEX(Mitigation_Industry!Y:Y,MATCH($A443,Mitigation_Industry!$H:$H,0))</f>
        <v>11.359684586404072</v>
      </c>
      <c r="Z443" s="22">
        <f>INDEX(Mitigation_Industry!Z:Z,MATCH($A443,Mitigation_Industry!$H:$H,0))</f>
        <v>12.057184586404073</v>
      </c>
      <c r="AA443" s="22">
        <f>INDEX(Mitigation_Industry!AA:AA,MATCH($A443,Mitigation_Industry!$H:$H,0))</f>
        <v>12.754684586404071</v>
      </c>
      <c r="AB443" s="22">
        <f>INDEX(Mitigation_Industry!AB:AB,MATCH($A443,Mitigation_Industry!$H:$H,0))</f>
        <v>13.452184586404073</v>
      </c>
      <c r="AC443" s="22">
        <f>INDEX(Mitigation_Industry!AC:AC,MATCH($A443,Mitigation_Industry!$H:$H,0))</f>
        <v>14.149684586404071</v>
      </c>
      <c r="AD443" s="22">
        <f>INDEX(Mitigation_Industry!AD:AD,MATCH($A443,Mitigation_Industry!$H:$H,0))</f>
        <v>14.847184586404072</v>
      </c>
      <c r="AE443" s="22">
        <f>INDEX(Mitigation_Industry!AE:AE,MATCH($A443,Mitigation_Industry!$H:$H,0))</f>
        <v>15.544684586404072</v>
      </c>
    </row>
    <row r="444" spans="1:31" x14ac:dyDescent="0.25">
      <c r="A444" s="41" t="s">
        <v>1321</v>
      </c>
      <c r="B444" s="6" t="s">
        <v>57</v>
      </c>
      <c r="C444" s="6" t="s">
        <v>47</v>
      </c>
      <c r="D444" s="6">
        <v>2</v>
      </c>
      <c r="E444" s="2" t="s">
        <v>1212</v>
      </c>
      <c r="F444" s="43">
        <f>MAX(MAX(L444:AE444),-MIN(L444:AE444))</f>
        <v>3.5527136788005009E-15</v>
      </c>
      <c r="K444" s="44">
        <f t="shared" ref="K444:AE444" si="109">IF(ISNUMBER(K442),IF(ISNUMBER(K443),K443-K442,999999),0)</f>
        <v>0</v>
      </c>
      <c r="L444" s="44">
        <f t="shared" si="109"/>
        <v>0</v>
      </c>
      <c r="M444" s="44">
        <f t="shared" si="109"/>
        <v>0</v>
      </c>
      <c r="N444" s="44">
        <f t="shared" si="109"/>
        <v>0</v>
      </c>
      <c r="O444" s="44">
        <f t="shared" si="109"/>
        <v>0</v>
      </c>
      <c r="P444" s="44">
        <f t="shared" si="109"/>
        <v>0</v>
      </c>
      <c r="Q444" s="44">
        <f t="shared" si="109"/>
        <v>8.8817841970012523E-16</v>
      </c>
      <c r="R444" s="44">
        <f t="shared" si="109"/>
        <v>8.8817841970012523E-16</v>
      </c>
      <c r="S444" s="44">
        <f t="shared" si="109"/>
        <v>0</v>
      </c>
      <c r="T444" s="44">
        <f t="shared" si="109"/>
        <v>8.8817841970012523E-16</v>
      </c>
      <c r="U444" s="44">
        <f t="shared" si="109"/>
        <v>0</v>
      </c>
      <c r="V444" s="44">
        <f t="shared" si="109"/>
        <v>0</v>
      </c>
      <c r="W444" s="44">
        <f t="shared" si="109"/>
        <v>0</v>
      </c>
      <c r="X444" s="44">
        <f t="shared" si="109"/>
        <v>1.7763568394002505E-15</v>
      </c>
      <c r="Y444" s="44">
        <f t="shared" si="109"/>
        <v>1.7763568394002505E-15</v>
      </c>
      <c r="Z444" s="44">
        <f t="shared" si="109"/>
        <v>3.5527136788005009E-15</v>
      </c>
      <c r="AA444" s="44">
        <f t="shared" si="109"/>
        <v>1.7763568394002505E-15</v>
      </c>
      <c r="AB444" s="44">
        <f t="shared" si="109"/>
        <v>3.5527136788005009E-15</v>
      </c>
      <c r="AC444" s="44">
        <f t="shared" si="109"/>
        <v>0</v>
      </c>
      <c r="AD444" s="44">
        <f t="shared" si="109"/>
        <v>1.7763568394002505E-15</v>
      </c>
      <c r="AE444" s="44">
        <f t="shared" si="109"/>
        <v>1.7763568394002505E-15</v>
      </c>
    </row>
    <row r="446" spans="1:31" x14ac:dyDescent="0.25">
      <c r="A446" s="41" t="s">
        <v>1322</v>
      </c>
      <c r="B446" s="6" t="s">
        <v>59</v>
      </c>
      <c r="C446" s="6" t="s">
        <v>47</v>
      </c>
      <c r="D446" s="6">
        <v>2</v>
      </c>
      <c r="E446" s="6" t="s">
        <v>1210</v>
      </c>
      <c r="K446" s="22"/>
      <c r="L446" s="22">
        <v>0.61197797679140631</v>
      </c>
      <c r="M446" s="22">
        <v>0.61180974964187596</v>
      </c>
      <c r="N446" s="22">
        <v>0.60358310017790551</v>
      </c>
      <c r="O446" s="22">
        <v>0.60358310017790551</v>
      </c>
      <c r="P446" s="22">
        <v>0.60358310017790551</v>
      </c>
      <c r="Q446" s="22">
        <v>0.6325109433494055</v>
      </c>
      <c r="R446" s="22">
        <v>0.66143878652090549</v>
      </c>
      <c r="S446" s="22">
        <v>0.69036662969240548</v>
      </c>
      <c r="T446" s="22">
        <v>0.71929447286390547</v>
      </c>
      <c r="U446" s="22">
        <v>0.74822231603540557</v>
      </c>
      <c r="V446" s="22">
        <v>0.77715015920690556</v>
      </c>
      <c r="W446" s="22">
        <v>0.80607800237840554</v>
      </c>
      <c r="X446" s="22">
        <v>0.83500584554990553</v>
      </c>
      <c r="Y446" s="22">
        <v>0.86393368872140552</v>
      </c>
      <c r="Z446" s="22">
        <v>0.89286153189290551</v>
      </c>
      <c r="AA446" s="22">
        <v>0.9217893750644055</v>
      </c>
      <c r="AB446" s="22">
        <v>0.9507172182359056</v>
      </c>
      <c r="AC446" s="22">
        <v>0.97964506140740548</v>
      </c>
      <c r="AD446" s="22">
        <v>1.008572904578906</v>
      </c>
      <c r="AE446" s="22">
        <v>1.0375007477504059</v>
      </c>
    </row>
    <row r="447" spans="1:31" x14ac:dyDescent="0.25">
      <c r="A447" s="41" t="s">
        <v>1322</v>
      </c>
      <c r="B447" s="6" t="s">
        <v>59</v>
      </c>
      <c r="C447" s="6" t="s">
        <v>47</v>
      </c>
      <c r="D447" s="6">
        <v>2</v>
      </c>
      <c r="E447" s="6" t="s">
        <v>1211</v>
      </c>
      <c r="K447" s="22">
        <f>INDEX(Mitigation_Industry!K:K,MATCH($A447,Mitigation_Industry!$H:$H,0))</f>
        <v>0.67114653332181606</v>
      </c>
      <c r="L447" s="22">
        <f>INDEX(Mitigation_Industry!L:L,MATCH($A447,Mitigation_Industry!$H:$H,0))</f>
        <v>0.61197797679140631</v>
      </c>
      <c r="M447" s="22">
        <f>INDEX(Mitigation_Industry!M:M,MATCH($A447,Mitigation_Industry!$H:$H,0))</f>
        <v>0.61180974964187596</v>
      </c>
      <c r="N447" s="22">
        <f>INDEX(Mitigation_Industry!N:N,MATCH($A447,Mitigation_Industry!$H:$H,0))</f>
        <v>0.60358310017790551</v>
      </c>
      <c r="O447" s="22">
        <f>INDEX(Mitigation_Industry!O:O,MATCH($A447,Mitigation_Industry!$H:$H,0))</f>
        <v>0.60358310017790551</v>
      </c>
      <c r="P447" s="22">
        <f>INDEX(Mitigation_Industry!P:P,MATCH($A447,Mitigation_Industry!$H:$H,0))</f>
        <v>0.60358310017790551</v>
      </c>
      <c r="Q447" s="22">
        <f>INDEX(Mitigation_Industry!Q:Q,MATCH($A447,Mitigation_Industry!$H:$H,0))</f>
        <v>0.6325109433494055</v>
      </c>
      <c r="R447" s="22">
        <f>INDEX(Mitigation_Industry!R:R,MATCH($A447,Mitigation_Industry!$H:$H,0))</f>
        <v>0.66143878652090549</v>
      </c>
      <c r="S447" s="22">
        <f>INDEX(Mitigation_Industry!S:S,MATCH($A447,Mitigation_Industry!$H:$H,0))</f>
        <v>0.69036662969240548</v>
      </c>
      <c r="T447" s="22">
        <f>INDEX(Mitigation_Industry!T:T,MATCH($A447,Mitigation_Industry!$H:$H,0))</f>
        <v>0.71929447286390547</v>
      </c>
      <c r="U447" s="22">
        <f>INDEX(Mitigation_Industry!U:U,MATCH($A447,Mitigation_Industry!$H:$H,0))</f>
        <v>0.74822231603540557</v>
      </c>
      <c r="V447" s="22">
        <f>INDEX(Mitigation_Industry!V:V,MATCH($A447,Mitigation_Industry!$H:$H,0))</f>
        <v>0.77715015920690544</v>
      </c>
      <c r="W447" s="22">
        <f>INDEX(Mitigation_Industry!W:W,MATCH($A447,Mitigation_Industry!$H:$H,0))</f>
        <v>0.80607800237840554</v>
      </c>
      <c r="X447" s="22">
        <f>INDEX(Mitigation_Industry!X:X,MATCH($A447,Mitigation_Industry!$H:$H,0))</f>
        <v>0.83500584554990553</v>
      </c>
      <c r="Y447" s="22">
        <f>INDEX(Mitigation_Industry!Y:Y,MATCH($A447,Mitigation_Industry!$H:$H,0))</f>
        <v>0.86393368872140552</v>
      </c>
      <c r="Z447" s="22">
        <f>INDEX(Mitigation_Industry!Z:Z,MATCH($A447,Mitigation_Industry!$H:$H,0))</f>
        <v>0.89286153189290551</v>
      </c>
      <c r="AA447" s="22">
        <f>INDEX(Mitigation_Industry!AA:AA,MATCH($A447,Mitigation_Industry!$H:$H,0))</f>
        <v>0.92178937506440561</v>
      </c>
      <c r="AB447" s="22">
        <f>INDEX(Mitigation_Industry!AB:AB,MATCH($A447,Mitigation_Industry!$H:$H,0))</f>
        <v>0.95071721823590549</v>
      </c>
      <c r="AC447" s="22">
        <f>INDEX(Mitigation_Industry!AC:AC,MATCH($A447,Mitigation_Industry!$H:$H,0))</f>
        <v>0.97964506140740548</v>
      </c>
      <c r="AD447" s="22">
        <f>INDEX(Mitigation_Industry!AD:AD,MATCH($A447,Mitigation_Industry!$H:$H,0))</f>
        <v>1.0085729045789056</v>
      </c>
      <c r="AE447" s="22">
        <f>INDEX(Mitigation_Industry!AE:AE,MATCH($A447,Mitigation_Industry!$H:$H,0))</f>
        <v>1.0375007477504057</v>
      </c>
    </row>
    <row r="448" spans="1:31" x14ac:dyDescent="0.25">
      <c r="A448" s="41" t="s">
        <v>1322</v>
      </c>
      <c r="B448" s="6" t="s">
        <v>59</v>
      </c>
      <c r="C448" s="6" t="s">
        <v>47</v>
      </c>
      <c r="D448" s="6">
        <v>2</v>
      </c>
      <c r="E448" s="2" t="s">
        <v>1212</v>
      </c>
      <c r="F448" s="43">
        <f>MAX(MAX(L448:AE448),-MIN(L448:AE448))</f>
        <v>4.4408920985006262E-16</v>
      </c>
      <c r="K448" s="44">
        <f t="shared" ref="K448:AE448" si="110">IF(ISNUMBER(K446),IF(ISNUMBER(K447),K447-K446,999999),0)</f>
        <v>0</v>
      </c>
      <c r="L448" s="44">
        <f t="shared" si="110"/>
        <v>0</v>
      </c>
      <c r="M448" s="44">
        <f t="shared" si="110"/>
        <v>0</v>
      </c>
      <c r="N448" s="44">
        <f t="shared" si="110"/>
        <v>0</v>
      </c>
      <c r="O448" s="44">
        <f t="shared" si="110"/>
        <v>0</v>
      </c>
      <c r="P448" s="44">
        <f t="shared" si="110"/>
        <v>0</v>
      </c>
      <c r="Q448" s="44">
        <f t="shared" si="110"/>
        <v>0</v>
      </c>
      <c r="R448" s="44">
        <f t="shared" si="110"/>
        <v>0</v>
      </c>
      <c r="S448" s="44">
        <f t="shared" si="110"/>
        <v>0</v>
      </c>
      <c r="T448" s="44">
        <f t="shared" si="110"/>
        <v>0</v>
      </c>
      <c r="U448" s="44">
        <f t="shared" si="110"/>
        <v>0</v>
      </c>
      <c r="V448" s="44">
        <f t="shared" si="110"/>
        <v>-1.1102230246251565E-16</v>
      </c>
      <c r="W448" s="44">
        <f t="shared" si="110"/>
        <v>0</v>
      </c>
      <c r="X448" s="44">
        <f t="shared" si="110"/>
        <v>0</v>
      </c>
      <c r="Y448" s="44">
        <f t="shared" si="110"/>
        <v>0</v>
      </c>
      <c r="Z448" s="44">
        <f t="shared" si="110"/>
        <v>0</v>
      </c>
      <c r="AA448" s="44">
        <f t="shared" si="110"/>
        <v>1.1102230246251565E-16</v>
      </c>
      <c r="AB448" s="44">
        <f t="shared" si="110"/>
        <v>-1.1102230246251565E-16</v>
      </c>
      <c r="AC448" s="44">
        <f t="shared" si="110"/>
        <v>0</v>
      </c>
      <c r="AD448" s="44">
        <f t="shared" si="110"/>
        <v>-4.4408920985006262E-16</v>
      </c>
      <c r="AE448" s="44">
        <f t="shared" si="110"/>
        <v>-2.2204460492503131E-16</v>
      </c>
    </row>
    <row r="450" spans="1:31" x14ac:dyDescent="0.25">
      <c r="A450" s="41" t="s">
        <v>1323</v>
      </c>
      <c r="B450" s="6" t="s">
        <v>62</v>
      </c>
      <c r="C450" s="6" t="s">
        <v>47</v>
      </c>
      <c r="D450" s="6">
        <v>2</v>
      </c>
      <c r="E450" s="6" t="s">
        <v>1210</v>
      </c>
      <c r="K450" s="22"/>
      <c r="L450" s="22">
        <v>0.49458873084106802</v>
      </c>
      <c r="M450" s="22">
        <v>0.50778654720250049</v>
      </c>
      <c r="N450" s="22">
        <v>0.47043642679561742</v>
      </c>
      <c r="O450" s="22">
        <v>0.47043642679561742</v>
      </c>
      <c r="P450" s="22">
        <v>0.47043642679561742</v>
      </c>
      <c r="Q450" s="22">
        <v>0.50344686565449237</v>
      </c>
      <c r="R450" s="22">
        <v>0.53645730451336737</v>
      </c>
      <c r="S450" s="22">
        <v>0.56946774337224237</v>
      </c>
      <c r="T450" s="22">
        <v>0.60247818223111738</v>
      </c>
      <c r="U450" s="22">
        <v>0.63548862108999238</v>
      </c>
      <c r="V450" s="22">
        <v>0.66849905994886738</v>
      </c>
      <c r="W450" s="22">
        <v>0.70150949880774238</v>
      </c>
      <c r="X450" s="22">
        <v>0.73451993766661738</v>
      </c>
      <c r="Y450" s="22">
        <v>0.76753037652549239</v>
      </c>
      <c r="Z450" s="22">
        <v>0.80054081538436739</v>
      </c>
      <c r="AA450" s="22">
        <v>0.83355125424324239</v>
      </c>
      <c r="AB450" s="22">
        <v>0.86656169310211739</v>
      </c>
      <c r="AC450" s="22">
        <v>0.89957213196099239</v>
      </c>
      <c r="AD450" s="22">
        <v>0.9325825708198674</v>
      </c>
      <c r="AE450" s="22">
        <v>0.9655930096787424</v>
      </c>
    </row>
    <row r="451" spans="1:31" x14ac:dyDescent="0.25">
      <c r="A451" s="41" t="s">
        <v>1323</v>
      </c>
      <c r="B451" s="6" t="s">
        <v>62</v>
      </c>
      <c r="C451" s="6" t="s">
        <v>47</v>
      </c>
      <c r="D451" s="6">
        <v>2</v>
      </c>
      <c r="E451" s="6" t="s">
        <v>1211</v>
      </c>
      <c r="K451" s="22">
        <f>INDEX(Mitigation_Industry!K:K,MATCH($A451,Mitigation_Industry!$H:$H,0))</f>
        <v>0.55971121315568761</v>
      </c>
      <c r="L451" s="22">
        <f>INDEX(Mitigation_Industry!L:L,MATCH($A451,Mitigation_Industry!$H:$H,0))</f>
        <v>0.49458873084106802</v>
      </c>
      <c r="M451" s="22">
        <f>INDEX(Mitigation_Industry!M:M,MATCH($A451,Mitigation_Industry!$H:$H,0))</f>
        <v>0.50778654720250049</v>
      </c>
      <c r="N451" s="22">
        <f>INDEX(Mitigation_Industry!N:N,MATCH($A451,Mitigation_Industry!$H:$H,0))</f>
        <v>0.47043642679561742</v>
      </c>
      <c r="O451" s="22">
        <f>INDEX(Mitigation_Industry!O:O,MATCH($A451,Mitigation_Industry!$H:$H,0))</f>
        <v>0.47043642679561742</v>
      </c>
      <c r="P451" s="22">
        <f>INDEX(Mitigation_Industry!P:P,MATCH($A451,Mitigation_Industry!$H:$H,0))</f>
        <v>0.47043642679561742</v>
      </c>
      <c r="Q451" s="22">
        <f>INDEX(Mitigation_Industry!Q:Q,MATCH($A451,Mitigation_Industry!$H:$H,0))</f>
        <v>0.50344686565449237</v>
      </c>
      <c r="R451" s="22">
        <f>INDEX(Mitigation_Industry!R:R,MATCH($A451,Mitigation_Industry!$H:$H,0))</f>
        <v>0.53645730451336737</v>
      </c>
      <c r="S451" s="22">
        <f>INDEX(Mitigation_Industry!S:S,MATCH($A451,Mitigation_Industry!$H:$H,0))</f>
        <v>0.56946774337224249</v>
      </c>
      <c r="T451" s="22">
        <f>INDEX(Mitigation_Industry!T:T,MATCH($A451,Mitigation_Industry!$H:$H,0))</f>
        <v>0.60247818223111738</v>
      </c>
      <c r="U451" s="22">
        <f>INDEX(Mitigation_Industry!U:U,MATCH($A451,Mitigation_Industry!$H:$H,0))</f>
        <v>0.63548862108999238</v>
      </c>
      <c r="V451" s="22">
        <f>INDEX(Mitigation_Industry!V:V,MATCH($A451,Mitigation_Industry!$H:$H,0))</f>
        <v>0.66849905994886738</v>
      </c>
      <c r="W451" s="22">
        <f>INDEX(Mitigation_Industry!W:W,MATCH($A451,Mitigation_Industry!$H:$H,0))</f>
        <v>0.70150949880774238</v>
      </c>
      <c r="X451" s="22">
        <f>INDEX(Mitigation_Industry!X:X,MATCH($A451,Mitigation_Industry!$H:$H,0))</f>
        <v>0.73451993766661738</v>
      </c>
      <c r="Y451" s="22">
        <f>INDEX(Mitigation_Industry!Y:Y,MATCH($A451,Mitigation_Industry!$H:$H,0))</f>
        <v>0.76753037652549239</v>
      </c>
      <c r="Z451" s="22">
        <f>INDEX(Mitigation_Industry!Z:Z,MATCH($A451,Mitigation_Industry!$H:$H,0))</f>
        <v>0.80054081538436739</v>
      </c>
      <c r="AA451" s="22">
        <f>INDEX(Mitigation_Industry!AA:AA,MATCH($A451,Mitigation_Industry!$H:$H,0))</f>
        <v>0.83355125424324239</v>
      </c>
      <c r="AB451" s="22">
        <f>INDEX(Mitigation_Industry!AB:AB,MATCH($A451,Mitigation_Industry!$H:$H,0))</f>
        <v>0.86656169310211739</v>
      </c>
      <c r="AC451" s="22">
        <f>INDEX(Mitigation_Industry!AC:AC,MATCH($A451,Mitigation_Industry!$H:$H,0))</f>
        <v>0.89957213196099239</v>
      </c>
      <c r="AD451" s="22">
        <f>INDEX(Mitigation_Industry!AD:AD,MATCH($A451,Mitigation_Industry!$H:$H,0))</f>
        <v>0.9325825708198674</v>
      </c>
      <c r="AE451" s="22">
        <f>INDEX(Mitigation_Industry!AE:AE,MATCH($A451,Mitigation_Industry!$H:$H,0))</f>
        <v>0.9655930096787424</v>
      </c>
    </row>
    <row r="452" spans="1:31" x14ac:dyDescent="0.25">
      <c r="A452" s="41" t="s">
        <v>1323</v>
      </c>
      <c r="B452" s="6" t="s">
        <v>62</v>
      </c>
      <c r="C452" s="6" t="s">
        <v>47</v>
      </c>
      <c r="D452" s="6">
        <v>2</v>
      </c>
      <c r="E452" s="2" t="s">
        <v>1212</v>
      </c>
      <c r="F452" s="43">
        <f>MAX(MAX(L452:AE452),-MIN(L452:AE452))</f>
        <v>1.1102230246251565E-16</v>
      </c>
      <c r="K452" s="44">
        <f t="shared" ref="K452:AE452" si="111">IF(ISNUMBER(K450),IF(ISNUMBER(K451),K451-K450,999999),0)</f>
        <v>0</v>
      </c>
      <c r="L452" s="44">
        <f t="shared" si="111"/>
        <v>0</v>
      </c>
      <c r="M452" s="44">
        <f t="shared" si="111"/>
        <v>0</v>
      </c>
      <c r="N452" s="44">
        <f t="shared" si="111"/>
        <v>0</v>
      </c>
      <c r="O452" s="44">
        <f t="shared" si="111"/>
        <v>0</v>
      </c>
      <c r="P452" s="44">
        <f t="shared" si="111"/>
        <v>0</v>
      </c>
      <c r="Q452" s="44">
        <f t="shared" si="111"/>
        <v>0</v>
      </c>
      <c r="R452" s="44">
        <f t="shared" si="111"/>
        <v>0</v>
      </c>
      <c r="S452" s="44">
        <f t="shared" si="111"/>
        <v>1.1102230246251565E-16</v>
      </c>
      <c r="T452" s="44">
        <f t="shared" si="111"/>
        <v>0</v>
      </c>
      <c r="U452" s="44">
        <f t="shared" si="111"/>
        <v>0</v>
      </c>
      <c r="V452" s="44">
        <f t="shared" si="111"/>
        <v>0</v>
      </c>
      <c r="W452" s="44">
        <f t="shared" si="111"/>
        <v>0</v>
      </c>
      <c r="X452" s="44">
        <f t="shared" si="111"/>
        <v>0</v>
      </c>
      <c r="Y452" s="44">
        <f t="shared" si="111"/>
        <v>0</v>
      </c>
      <c r="Z452" s="44">
        <f t="shared" si="111"/>
        <v>0</v>
      </c>
      <c r="AA452" s="44">
        <f t="shared" si="111"/>
        <v>0</v>
      </c>
      <c r="AB452" s="44">
        <f t="shared" si="111"/>
        <v>0</v>
      </c>
      <c r="AC452" s="44">
        <f t="shared" si="111"/>
        <v>0</v>
      </c>
      <c r="AD452" s="44">
        <f t="shared" si="111"/>
        <v>0</v>
      </c>
      <c r="AE452" s="44">
        <f t="shared" si="111"/>
        <v>0</v>
      </c>
    </row>
    <row r="454" spans="1:31" x14ac:dyDescent="0.25">
      <c r="A454" s="41" t="s">
        <v>1324</v>
      </c>
      <c r="B454" s="6" t="s">
        <v>64</v>
      </c>
      <c r="C454" s="6" t="s">
        <v>47</v>
      </c>
      <c r="D454" s="6">
        <v>2</v>
      </c>
      <c r="E454" s="6" t="s">
        <v>1210</v>
      </c>
      <c r="K454" s="22"/>
      <c r="L454" s="22">
        <v>0.1573447362522738</v>
      </c>
      <c r="M454" s="22">
        <v>0.1644840377592767</v>
      </c>
      <c r="N454" s="22">
        <v>0.1507090778070489</v>
      </c>
      <c r="O454" s="22">
        <v>0.1507090778070489</v>
      </c>
      <c r="P454" s="22">
        <v>0.1507090778070489</v>
      </c>
      <c r="Q454" s="22">
        <v>0.17281516073434461</v>
      </c>
      <c r="R454" s="22">
        <v>0.19492124366164029</v>
      </c>
      <c r="S454" s="22">
        <v>0.217027326588936</v>
      </c>
      <c r="T454" s="22">
        <v>0.23913340951623169</v>
      </c>
      <c r="U454" s="22">
        <v>0.2612394924435274</v>
      </c>
      <c r="V454" s="22">
        <v>0.28334557537082311</v>
      </c>
      <c r="W454" s="22">
        <v>0.30545165829811882</v>
      </c>
      <c r="X454" s="22">
        <v>0.32755774122541448</v>
      </c>
      <c r="Y454" s="22">
        <v>0.34966382415271008</v>
      </c>
      <c r="Z454" s="22">
        <v>0.37176990708000579</v>
      </c>
      <c r="AA454" s="22">
        <v>0.39387599000730161</v>
      </c>
      <c r="AB454" s="22">
        <v>0.41598207293459721</v>
      </c>
      <c r="AC454" s="22">
        <v>0.43808815586189293</v>
      </c>
      <c r="AD454" s="22">
        <v>0.46019423878918858</v>
      </c>
      <c r="AE454" s="22">
        <v>0.48230032171648429</v>
      </c>
    </row>
    <row r="455" spans="1:31" x14ac:dyDescent="0.25">
      <c r="A455" s="41" t="s">
        <v>1324</v>
      </c>
      <c r="B455" s="6" t="s">
        <v>64</v>
      </c>
      <c r="C455" s="6" t="s">
        <v>47</v>
      </c>
      <c r="D455" s="6">
        <v>2</v>
      </c>
      <c r="E455" s="6" t="s">
        <v>1211</v>
      </c>
      <c r="K455" s="22">
        <f>INDEX(Mitigation_Industry!K:K,MATCH($A455,Mitigation_Industry!$H:$H,0))</f>
        <v>0.20036669112673841</v>
      </c>
      <c r="L455" s="22">
        <f>INDEX(Mitigation_Industry!L:L,MATCH($A455,Mitigation_Industry!$H:$H,0))</f>
        <v>0.1573447362522738</v>
      </c>
      <c r="M455" s="22">
        <f>INDEX(Mitigation_Industry!M:M,MATCH($A455,Mitigation_Industry!$H:$H,0))</f>
        <v>0.1644840377592767</v>
      </c>
      <c r="N455" s="22">
        <f>INDEX(Mitigation_Industry!N:N,MATCH($A455,Mitigation_Industry!$H:$H,0))</f>
        <v>0.1507090778070489</v>
      </c>
      <c r="O455" s="22">
        <f>INDEX(Mitigation_Industry!O:O,MATCH($A455,Mitigation_Industry!$H:$H,0))</f>
        <v>0.1507090778070489</v>
      </c>
      <c r="P455" s="22">
        <f>INDEX(Mitigation_Industry!P:P,MATCH($A455,Mitigation_Industry!$H:$H,0))</f>
        <v>0.1507090778070489</v>
      </c>
      <c r="Q455" s="22">
        <f>INDEX(Mitigation_Industry!Q:Q,MATCH($A455,Mitigation_Industry!$H:$H,0))</f>
        <v>0.17281516073434458</v>
      </c>
      <c r="R455" s="22">
        <f>INDEX(Mitigation_Industry!R:R,MATCH($A455,Mitigation_Industry!$H:$H,0))</f>
        <v>0.19492124366164029</v>
      </c>
      <c r="S455" s="22">
        <f>INDEX(Mitigation_Industry!S:S,MATCH($A455,Mitigation_Industry!$H:$H,0))</f>
        <v>0.21702732658893598</v>
      </c>
      <c r="T455" s="22">
        <f>INDEX(Mitigation_Industry!T:T,MATCH($A455,Mitigation_Industry!$H:$H,0))</f>
        <v>0.23913340951623169</v>
      </c>
      <c r="U455" s="22">
        <f>INDEX(Mitigation_Industry!U:U,MATCH($A455,Mitigation_Industry!$H:$H,0))</f>
        <v>0.2612394924435274</v>
      </c>
      <c r="V455" s="22">
        <f>INDEX(Mitigation_Industry!V:V,MATCH($A455,Mitigation_Industry!$H:$H,0))</f>
        <v>0.28334557537082311</v>
      </c>
      <c r="W455" s="22">
        <f>INDEX(Mitigation_Industry!W:W,MATCH($A455,Mitigation_Industry!$H:$H,0))</f>
        <v>0.30545165829811882</v>
      </c>
      <c r="X455" s="22">
        <f>INDEX(Mitigation_Industry!X:X,MATCH($A455,Mitigation_Industry!$H:$H,0))</f>
        <v>0.32755774122541448</v>
      </c>
      <c r="Y455" s="22">
        <f>INDEX(Mitigation_Industry!Y:Y,MATCH($A455,Mitigation_Industry!$H:$H,0))</f>
        <v>0.34966382415271013</v>
      </c>
      <c r="Z455" s="22">
        <f>INDEX(Mitigation_Industry!Z:Z,MATCH($A455,Mitigation_Industry!$H:$H,0))</f>
        <v>0.37176990708000579</v>
      </c>
      <c r="AA455" s="22">
        <f>INDEX(Mitigation_Industry!AA:AA,MATCH($A455,Mitigation_Industry!$H:$H,0))</f>
        <v>0.3938759900073015</v>
      </c>
      <c r="AB455" s="22">
        <f>INDEX(Mitigation_Industry!AB:AB,MATCH($A455,Mitigation_Industry!$H:$H,0))</f>
        <v>0.41598207293459721</v>
      </c>
      <c r="AC455" s="22">
        <f>INDEX(Mitigation_Industry!AC:AC,MATCH($A455,Mitigation_Industry!$H:$H,0))</f>
        <v>0.43808815586189287</v>
      </c>
      <c r="AD455" s="22">
        <f>INDEX(Mitigation_Industry!AD:AD,MATCH($A455,Mitigation_Industry!$H:$H,0))</f>
        <v>0.46019423878918858</v>
      </c>
      <c r="AE455" s="22">
        <f>INDEX(Mitigation_Industry!AE:AE,MATCH($A455,Mitigation_Industry!$H:$H,0))</f>
        <v>0.48230032171648429</v>
      </c>
    </row>
    <row r="456" spans="1:31" x14ac:dyDescent="0.25">
      <c r="A456" s="41" t="s">
        <v>1324</v>
      </c>
      <c r="B456" s="6" t="s">
        <v>64</v>
      </c>
      <c r="C456" s="6" t="s">
        <v>47</v>
      </c>
      <c r="D456" s="6">
        <v>2</v>
      </c>
      <c r="E456" s="2" t="s">
        <v>1212</v>
      </c>
      <c r="F456" s="43">
        <f>MAX(MAX(L456:AE456),-MIN(L456:AE456))</f>
        <v>1.1102230246251565E-16</v>
      </c>
      <c r="K456" s="44">
        <f t="shared" ref="K456:AE456" si="112">IF(ISNUMBER(K454),IF(ISNUMBER(K455),K455-K454,999999),0)</f>
        <v>0</v>
      </c>
      <c r="L456" s="44">
        <f t="shared" si="112"/>
        <v>0</v>
      </c>
      <c r="M456" s="44">
        <f t="shared" si="112"/>
        <v>0</v>
      </c>
      <c r="N456" s="44">
        <f t="shared" si="112"/>
        <v>0</v>
      </c>
      <c r="O456" s="44">
        <f t="shared" si="112"/>
        <v>0</v>
      </c>
      <c r="P456" s="44">
        <f t="shared" si="112"/>
        <v>0</v>
      </c>
      <c r="Q456" s="44">
        <f t="shared" si="112"/>
        <v>-2.7755575615628914E-17</v>
      </c>
      <c r="R456" s="44">
        <f t="shared" si="112"/>
        <v>0</v>
      </c>
      <c r="S456" s="44">
        <f t="shared" si="112"/>
        <v>-2.7755575615628914E-17</v>
      </c>
      <c r="T456" s="44">
        <f t="shared" si="112"/>
        <v>0</v>
      </c>
      <c r="U456" s="44">
        <f t="shared" si="112"/>
        <v>0</v>
      </c>
      <c r="V456" s="44">
        <f t="shared" si="112"/>
        <v>0</v>
      </c>
      <c r="W456" s="44">
        <f t="shared" si="112"/>
        <v>0</v>
      </c>
      <c r="X456" s="44">
        <f t="shared" si="112"/>
        <v>0</v>
      </c>
      <c r="Y456" s="44">
        <f t="shared" si="112"/>
        <v>5.5511151231257827E-17</v>
      </c>
      <c r="Z456" s="44">
        <f t="shared" si="112"/>
        <v>0</v>
      </c>
      <c r="AA456" s="44">
        <f t="shared" si="112"/>
        <v>-1.1102230246251565E-16</v>
      </c>
      <c r="AB456" s="44">
        <f t="shared" si="112"/>
        <v>0</v>
      </c>
      <c r="AC456" s="44">
        <f t="shared" si="112"/>
        <v>-5.5511151231257827E-17</v>
      </c>
      <c r="AD456" s="44">
        <f t="shared" si="112"/>
        <v>0</v>
      </c>
      <c r="AE456" s="44">
        <f t="shared" si="112"/>
        <v>0</v>
      </c>
    </row>
    <row r="458" spans="1:31" x14ac:dyDescent="0.25">
      <c r="A458" s="41" t="s">
        <v>1325</v>
      </c>
      <c r="B458" s="6" t="s">
        <v>66</v>
      </c>
      <c r="C458" s="6" t="s">
        <v>47</v>
      </c>
      <c r="D458" s="6">
        <v>2</v>
      </c>
      <c r="E458" s="6" t="s">
        <v>1210</v>
      </c>
      <c r="K458" s="22"/>
      <c r="L458" s="22">
        <v>0.45642817050012813</v>
      </c>
      <c r="M458" s="22">
        <v>0.43168920195599519</v>
      </c>
      <c r="N458" s="22">
        <v>0.42507558395596989</v>
      </c>
      <c r="O458" s="22">
        <v>0.42507558395596989</v>
      </c>
      <c r="P458" s="22">
        <v>0.42507558395596989</v>
      </c>
      <c r="Q458" s="22">
        <v>0.45706441406607851</v>
      </c>
      <c r="R458" s="22">
        <v>0.48905324417618701</v>
      </c>
      <c r="S458" s="22">
        <v>0.52104207428629545</v>
      </c>
      <c r="T458" s="22">
        <v>0.5530309043964039</v>
      </c>
      <c r="U458" s="22">
        <v>0.58501973450651246</v>
      </c>
      <c r="V458" s="22">
        <v>0.6170085646166209</v>
      </c>
      <c r="W458" s="22">
        <v>0.64899739472672935</v>
      </c>
      <c r="X458" s="22">
        <v>0.68098622483683791</v>
      </c>
      <c r="Y458" s="22">
        <v>0.71297505494694646</v>
      </c>
      <c r="Z458" s="22">
        <v>0.7449638850570548</v>
      </c>
      <c r="AA458" s="22">
        <v>0.77695271516716335</v>
      </c>
      <c r="AB458" s="22">
        <v>0.80894154527727191</v>
      </c>
      <c r="AC458" s="22">
        <v>0.84093037538738036</v>
      </c>
      <c r="AD458" s="22">
        <v>0.8729192054974888</v>
      </c>
      <c r="AE458" s="22">
        <v>0.90490803560759736</v>
      </c>
    </row>
    <row r="459" spans="1:31" x14ac:dyDescent="0.25">
      <c r="A459" s="41" t="s">
        <v>1325</v>
      </c>
      <c r="B459" s="6" t="s">
        <v>66</v>
      </c>
      <c r="C459" s="6" t="s">
        <v>47</v>
      </c>
      <c r="D459" s="6">
        <v>2</v>
      </c>
      <c r="E459" s="6" t="s">
        <v>1211</v>
      </c>
      <c r="K459" s="22">
        <f>INDEX(Mitigation_Industry!K:K,MATCH($A459,Mitigation_Industry!$H:$H,0))</f>
        <v>0.48429424097343482</v>
      </c>
      <c r="L459" s="22">
        <f>INDEX(Mitigation_Industry!L:L,MATCH($A459,Mitigation_Industry!$H:$H,0))</f>
        <v>0.45642817050012813</v>
      </c>
      <c r="M459" s="22">
        <f>INDEX(Mitigation_Industry!M:M,MATCH($A459,Mitigation_Industry!$H:$H,0))</f>
        <v>0.43168920195599519</v>
      </c>
      <c r="N459" s="22">
        <f>INDEX(Mitigation_Industry!N:N,MATCH($A459,Mitigation_Industry!$H:$H,0))</f>
        <v>0.42507558395596989</v>
      </c>
      <c r="O459" s="22">
        <f>INDEX(Mitigation_Industry!O:O,MATCH($A459,Mitigation_Industry!$H:$H,0))</f>
        <v>0.42507558395596989</v>
      </c>
      <c r="P459" s="22">
        <f>INDEX(Mitigation_Industry!P:P,MATCH($A459,Mitigation_Industry!$H:$H,0))</f>
        <v>0.42507558395596989</v>
      </c>
      <c r="Q459" s="22">
        <f>INDEX(Mitigation_Industry!Q:Q,MATCH($A459,Mitigation_Industry!$H:$H,0))</f>
        <v>0.45706441406607839</v>
      </c>
      <c r="R459" s="22">
        <f>INDEX(Mitigation_Industry!R:R,MATCH($A459,Mitigation_Industry!$H:$H,0))</f>
        <v>0.4890532441761869</v>
      </c>
      <c r="S459" s="22">
        <f>INDEX(Mitigation_Industry!S:S,MATCH($A459,Mitigation_Industry!$H:$H,0))</f>
        <v>0.52104207428629545</v>
      </c>
      <c r="T459" s="22">
        <f>INDEX(Mitigation_Industry!T:T,MATCH($A459,Mitigation_Industry!$H:$H,0))</f>
        <v>0.5530309043964039</v>
      </c>
      <c r="U459" s="22">
        <f>INDEX(Mitigation_Industry!U:U,MATCH($A459,Mitigation_Industry!$H:$H,0))</f>
        <v>0.58501973450651246</v>
      </c>
      <c r="V459" s="22">
        <f>INDEX(Mitigation_Industry!V:V,MATCH($A459,Mitigation_Industry!$H:$H,0))</f>
        <v>0.6170085646166209</v>
      </c>
      <c r="W459" s="22">
        <f>INDEX(Mitigation_Industry!W:W,MATCH($A459,Mitigation_Industry!$H:$H,0))</f>
        <v>0.64899739472672935</v>
      </c>
      <c r="X459" s="22">
        <f>INDEX(Mitigation_Industry!X:X,MATCH($A459,Mitigation_Industry!$H:$H,0))</f>
        <v>0.68098622483683791</v>
      </c>
      <c r="Y459" s="22">
        <f>INDEX(Mitigation_Industry!Y:Y,MATCH($A459,Mitigation_Industry!$H:$H,0))</f>
        <v>0.71297505494694646</v>
      </c>
      <c r="Z459" s="22">
        <f>INDEX(Mitigation_Industry!Z:Z,MATCH($A459,Mitigation_Industry!$H:$H,0))</f>
        <v>0.7449638850570548</v>
      </c>
      <c r="AA459" s="22">
        <f>INDEX(Mitigation_Industry!AA:AA,MATCH($A459,Mitigation_Industry!$H:$H,0))</f>
        <v>0.77695271516716335</v>
      </c>
      <c r="AB459" s="22">
        <f>INDEX(Mitigation_Industry!AB:AB,MATCH($A459,Mitigation_Industry!$H:$H,0))</f>
        <v>0.80894154527727191</v>
      </c>
      <c r="AC459" s="22">
        <f>INDEX(Mitigation_Industry!AC:AC,MATCH($A459,Mitigation_Industry!$H:$H,0))</f>
        <v>0.84093037538738025</v>
      </c>
      <c r="AD459" s="22">
        <f>INDEX(Mitigation_Industry!AD:AD,MATCH($A459,Mitigation_Industry!$H:$H,0))</f>
        <v>0.8729192054974888</v>
      </c>
      <c r="AE459" s="22">
        <f>INDEX(Mitigation_Industry!AE:AE,MATCH($A459,Mitigation_Industry!$H:$H,0))</f>
        <v>0.90490803560759736</v>
      </c>
    </row>
    <row r="460" spans="1:31" x14ac:dyDescent="0.25">
      <c r="A460" s="41" t="s">
        <v>1325</v>
      </c>
      <c r="B460" s="6" t="s">
        <v>66</v>
      </c>
      <c r="C460" s="6" t="s">
        <v>47</v>
      </c>
      <c r="D460" s="6">
        <v>2</v>
      </c>
      <c r="E460" s="2" t="s">
        <v>1212</v>
      </c>
      <c r="F460" s="43">
        <f>MAX(MAX(L460:AE460),-MIN(L460:AE460))</f>
        <v>1.1102230246251565E-16</v>
      </c>
      <c r="K460" s="44">
        <f t="shared" ref="K460:AE460" si="113">IF(ISNUMBER(K458),IF(ISNUMBER(K459),K459-K458,999999),0)</f>
        <v>0</v>
      </c>
      <c r="L460" s="44">
        <f t="shared" si="113"/>
        <v>0</v>
      </c>
      <c r="M460" s="44">
        <f t="shared" si="113"/>
        <v>0</v>
      </c>
      <c r="N460" s="44">
        <f t="shared" si="113"/>
        <v>0</v>
      </c>
      <c r="O460" s="44">
        <f t="shared" si="113"/>
        <v>0</v>
      </c>
      <c r="P460" s="44">
        <f t="shared" si="113"/>
        <v>0</v>
      </c>
      <c r="Q460" s="44">
        <f t="shared" si="113"/>
        <v>-1.1102230246251565E-16</v>
      </c>
      <c r="R460" s="44">
        <f t="shared" si="113"/>
        <v>-1.1102230246251565E-16</v>
      </c>
      <c r="S460" s="44">
        <f t="shared" si="113"/>
        <v>0</v>
      </c>
      <c r="T460" s="44">
        <f t="shared" si="113"/>
        <v>0</v>
      </c>
      <c r="U460" s="44">
        <f t="shared" si="113"/>
        <v>0</v>
      </c>
      <c r="V460" s="44">
        <f t="shared" si="113"/>
        <v>0</v>
      </c>
      <c r="W460" s="44">
        <f t="shared" si="113"/>
        <v>0</v>
      </c>
      <c r="X460" s="44">
        <f t="shared" si="113"/>
        <v>0</v>
      </c>
      <c r="Y460" s="44">
        <f t="shared" si="113"/>
        <v>0</v>
      </c>
      <c r="Z460" s="44">
        <f t="shared" si="113"/>
        <v>0</v>
      </c>
      <c r="AA460" s="44">
        <f t="shared" si="113"/>
        <v>0</v>
      </c>
      <c r="AB460" s="44">
        <f t="shared" si="113"/>
        <v>0</v>
      </c>
      <c r="AC460" s="44">
        <f t="shared" si="113"/>
        <v>-1.1102230246251565E-16</v>
      </c>
      <c r="AD460" s="44">
        <f t="shared" si="113"/>
        <v>0</v>
      </c>
      <c r="AE460" s="44">
        <f t="shared" si="113"/>
        <v>0</v>
      </c>
    </row>
    <row r="462" spans="1:31" x14ac:dyDescent="0.25">
      <c r="A462" s="41" t="s">
        <v>1326</v>
      </c>
      <c r="B462" s="6" t="s">
        <v>68</v>
      </c>
      <c r="C462" s="6" t="s">
        <v>47</v>
      </c>
      <c r="D462" s="6">
        <v>2</v>
      </c>
      <c r="E462" s="6" t="s">
        <v>1210</v>
      </c>
      <c r="K462" s="22"/>
      <c r="L462" s="22">
        <v>34.415370304313228</v>
      </c>
      <c r="M462" s="22">
        <v>37.368960690432033</v>
      </c>
      <c r="N462" s="22">
        <v>28.982761101477251</v>
      </c>
      <c r="O462" s="22">
        <v>15</v>
      </c>
      <c r="P462" s="22">
        <v>24.2586300842555</v>
      </c>
      <c r="Q462" s="22">
        <v>18.963758196132449</v>
      </c>
      <c r="R462" s="22">
        <v>21.76034511401058</v>
      </c>
      <c r="S462" s="22">
        <v>26.079880691373621</v>
      </c>
      <c r="T462" s="22">
        <v>30.593682445209229</v>
      </c>
      <c r="U462" s="22">
        <v>34.990509739410058</v>
      </c>
      <c r="V462" s="22">
        <v>40.858059739410059</v>
      </c>
      <c r="W462" s="22">
        <v>46.725609739410061</v>
      </c>
      <c r="X462" s="22">
        <v>52.593159739410062</v>
      </c>
      <c r="Y462" s="22">
        <v>58.460709739410063</v>
      </c>
      <c r="Z462" s="22">
        <v>64.328259739410072</v>
      </c>
      <c r="AA462" s="22">
        <v>70.195809739410066</v>
      </c>
      <c r="AB462" s="22">
        <v>76.06335973941006</v>
      </c>
      <c r="AC462" s="22">
        <v>81.930909739410055</v>
      </c>
      <c r="AD462" s="22">
        <v>87.798459739410063</v>
      </c>
      <c r="AE462" s="22">
        <v>93.666009739410057</v>
      </c>
    </row>
    <row r="463" spans="1:31" x14ac:dyDescent="0.25">
      <c r="A463" s="41" t="s">
        <v>1326</v>
      </c>
      <c r="B463" s="6" t="s">
        <v>68</v>
      </c>
      <c r="C463" s="6" t="s">
        <v>47</v>
      </c>
      <c r="D463" s="6">
        <v>2</v>
      </c>
      <c r="E463" s="6" t="s">
        <v>1211</v>
      </c>
      <c r="K463" s="22">
        <f>INDEX(Mitigation_Industry!K:K,MATCH($A463,Mitigation_Industry!$H:$H,0))</f>
        <v>41.50033849886843</v>
      </c>
      <c r="L463" s="22">
        <f>INDEX(Mitigation_Industry!L:L,MATCH($A463,Mitigation_Industry!$H:$H,0))</f>
        <v>34.415370304313228</v>
      </c>
      <c r="M463" s="22">
        <f>INDEX(Mitigation_Industry!M:M,MATCH($A463,Mitigation_Industry!$H:$H,0))</f>
        <v>37.368960690432033</v>
      </c>
      <c r="N463" s="22">
        <f>INDEX(Mitigation_Industry!N:N,MATCH($A463,Mitigation_Industry!$H:$H,0))</f>
        <v>28.982761101477251</v>
      </c>
      <c r="O463" s="22">
        <f>INDEX(Mitigation_Industry!O:O,MATCH($A463,Mitigation_Industry!$H:$H,0))</f>
        <v>15</v>
      </c>
      <c r="P463" s="22">
        <f>INDEX(Mitigation_Industry!P:P,MATCH($A463,Mitigation_Industry!$H:$H,0))</f>
        <v>24.2586300842555</v>
      </c>
      <c r="Q463" s="22">
        <f>INDEX(Mitigation_Industry!Q:Q,MATCH($A463,Mitigation_Industry!$H:$H,0))</f>
        <v>18.963758196132449</v>
      </c>
      <c r="R463" s="22">
        <f>INDEX(Mitigation_Industry!R:R,MATCH($A463,Mitigation_Industry!$H:$H,0))</f>
        <v>21.76034511401058</v>
      </c>
      <c r="S463" s="22">
        <f>INDEX(Mitigation_Industry!S:S,MATCH($A463,Mitigation_Industry!$H:$H,0))</f>
        <v>26.079880691373617</v>
      </c>
      <c r="T463" s="22">
        <f>INDEX(Mitigation_Industry!T:T,MATCH($A463,Mitigation_Industry!$H:$H,0))</f>
        <v>30.593682445209222</v>
      </c>
      <c r="U463" s="22">
        <f>INDEX(Mitigation_Industry!U:U,MATCH($A463,Mitigation_Industry!$H:$H,0))</f>
        <v>34.990509739410058</v>
      </c>
      <c r="V463" s="22">
        <f>INDEX(Mitigation_Industry!V:V,MATCH($A463,Mitigation_Industry!$H:$H,0))</f>
        <v>40.858059739410059</v>
      </c>
      <c r="W463" s="22">
        <f>INDEX(Mitigation_Industry!W:W,MATCH($A463,Mitigation_Industry!$H:$H,0))</f>
        <v>46.725609739410061</v>
      </c>
      <c r="X463" s="22">
        <f>INDEX(Mitigation_Industry!X:X,MATCH($A463,Mitigation_Industry!$H:$H,0))</f>
        <v>52.593159739410055</v>
      </c>
      <c r="Y463" s="22">
        <f>INDEX(Mitigation_Industry!Y:Y,MATCH($A463,Mitigation_Industry!$H:$H,0))</f>
        <v>58.460709739410071</v>
      </c>
      <c r="Z463" s="22">
        <f>INDEX(Mitigation_Industry!Z:Z,MATCH($A463,Mitigation_Industry!$H:$H,0))</f>
        <v>64.328259739410072</v>
      </c>
      <c r="AA463" s="22">
        <f>INDEX(Mitigation_Industry!AA:AA,MATCH($A463,Mitigation_Industry!$H:$H,0))</f>
        <v>70.195809739410066</v>
      </c>
      <c r="AB463" s="22">
        <f>INDEX(Mitigation_Industry!AB:AB,MATCH($A463,Mitigation_Industry!$H:$H,0))</f>
        <v>76.06335973941006</v>
      </c>
      <c r="AC463" s="22">
        <f>INDEX(Mitigation_Industry!AC:AC,MATCH($A463,Mitigation_Industry!$H:$H,0))</f>
        <v>81.930909739410055</v>
      </c>
      <c r="AD463" s="22">
        <f>INDEX(Mitigation_Industry!AD:AD,MATCH($A463,Mitigation_Industry!$H:$H,0))</f>
        <v>87.798459739410063</v>
      </c>
      <c r="AE463" s="22">
        <f>INDEX(Mitigation_Industry!AE:AE,MATCH($A463,Mitigation_Industry!$H:$H,0))</f>
        <v>93.666009739410057</v>
      </c>
    </row>
    <row r="464" spans="1:31" x14ac:dyDescent="0.25">
      <c r="A464" s="41" t="s">
        <v>1326</v>
      </c>
      <c r="B464" s="6" t="s">
        <v>68</v>
      </c>
      <c r="C464" s="6" t="s">
        <v>47</v>
      </c>
      <c r="D464" s="6">
        <v>2</v>
      </c>
      <c r="E464" s="2" t="s">
        <v>1212</v>
      </c>
      <c r="F464" s="43">
        <f>MAX(MAX(L464:AE464),-MIN(L464:AE464))</f>
        <v>7.1054273576010019E-15</v>
      </c>
      <c r="K464" s="44">
        <f t="shared" ref="K464:AE464" si="114">IF(ISNUMBER(K462),IF(ISNUMBER(K463),K463-K462,999999),0)</f>
        <v>0</v>
      </c>
      <c r="L464" s="44">
        <f t="shared" si="114"/>
        <v>0</v>
      </c>
      <c r="M464" s="44">
        <f t="shared" si="114"/>
        <v>0</v>
      </c>
      <c r="N464" s="44">
        <f t="shared" si="114"/>
        <v>0</v>
      </c>
      <c r="O464" s="44">
        <f t="shared" si="114"/>
        <v>0</v>
      </c>
      <c r="P464" s="44">
        <f t="shared" si="114"/>
        <v>0</v>
      </c>
      <c r="Q464" s="44">
        <f t="shared" si="114"/>
        <v>0</v>
      </c>
      <c r="R464" s="44">
        <f t="shared" si="114"/>
        <v>0</v>
      </c>
      <c r="S464" s="44">
        <f t="shared" si="114"/>
        <v>-3.5527136788005009E-15</v>
      </c>
      <c r="T464" s="44">
        <f t="shared" si="114"/>
        <v>-7.1054273576010019E-15</v>
      </c>
      <c r="U464" s="44">
        <f t="shared" si="114"/>
        <v>0</v>
      </c>
      <c r="V464" s="44">
        <f t="shared" si="114"/>
        <v>0</v>
      </c>
      <c r="W464" s="44">
        <f t="shared" si="114"/>
        <v>0</v>
      </c>
      <c r="X464" s="44">
        <f t="shared" si="114"/>
        <v>-7.1054273576010019E-15</v>
      </c>
      <c r="Y464" s="44">
        <f t="shared" si="114"/>
        <v>7.1054273576010019E-15</v>
      </c>
      <c r="Z464" s="44">
        <f t="shared" si="114"/>
        <v>0</v>
      </c>
      <c r="AA464" s="44">
        <f t="shared" si="114"/>
        <v>0</v>
      </c>
      <c r="AB464" s="44">
        <f t="shared" si="114"/>
        <v>0</v>
      </c>
      <c r="AC464" s="44">
        <f t="shared" si="114"/>
        <v>0</v>
      </c>
      <c r="AD464" s="44">
        <f t="shared" si="114"/>
        <v>0</v>
      </c>
      <c r="AE464" s="44">
        <f t="shared" si="114"/>
        <v>0</v>
      </c>
    </row>
    <row r="466" spans="1:31" x14ac:dyDescent="0.25">
      <c r="A466" s="41" t="s">
        <v>1327</v>
      </c>
      <c r="B466" s="6" t="s">
        <v>71</v>
      </c>
      <c r="C466" s="6" t="s">
        <v>47</v>
      </c>
      <c r="D466" s="6">
        <v>2</v>
      </c>
      <c r="E466" s="6" t="s">
        <v>1210</v>
      </c>
      <c r="K466" s="22"/>
      <c r="L466" s="22">
        <v>14.199528390634921</v>
      </c>
      <c r="M466" s="22">
        <v>13.840441613315161</v>
      </c>
      <c r="N466" s="22">
        <v>13.5677269404465</v>
      </c>
      <c r="O466" s="22">
        <v>13.5677269404465</v>
      </c>
      <c r="P466" s="22">
        <v>13.5677269404465</v>
      </c>
      <c r="Q466" s="22">
        <v>13.5677269404465</v>
      </c>
      <c r="R466" s="22">
        <v>13.5677269404465</v>
      </c>
      <c r="S466" s="22">
        <v>13.5677269404465</v>
      </c>
      <c r="T466" s="22">
        <v>13.5677269404465</v>
      </c>
      <c r="U466" s="22">
        <v>13.5677269404465</v>
      </c>
      <c r="V466" s="22">
        <v>13.5677269404465</v>
      </c>
      <c r="W466" s="22">
        <v>13.5677269404465</v>
      </c>
      <c r="X466" s="22">
        <v>13.5677269404465</v>
      </c>
      <c r="Y466" s="22">
        <v>13.5677269404465</v>
      </c>
      <c r="Z466" s="22">
        <v>13.5677269404465</v>
      </c>
      <c r="AA466" s="22">
        <v>13.5677269404465</v>
      </c>
      <c r="AB466" s="22">
        <v>13.5677269404465</v>
      </c>
      <c r="AC466" s="22">
        <v>13.5677269404465</v>
      </c>
      <c r="AD466" s="22">
        <v>13.5677269404465</v>
      </c>
      <c r="AE466" s="22">
        <v>13.5677269404465</v>
      </c>
    </row>
    <row r="467" spans="1:31" x14ac:dyDescent="0.25">
      <c r="A467" s="41" t="s">
        <v>1327</v>
      </c>
      <c r="B467" s="6" t="s">
        <v>71</v>
      </c>
      <c r="C467" s="6" t="s">
        <v>47</v>
      </c>
      <c r="D467" s="6">
        <v>2</v>
      </c>
      <c r="E467" s="6" t="s">
        <v>1211</v>
      </c>
      <c r="K467" s="22">
        <f>INDEX(Mitigation_Industry!K:K,MATCH($A467,Mitigation_Industry!$H:$H,0))</f>
        <v>15.33455052931693</v>
      </c>
      <c r="L467" s="22">
        <f>INDEX(Mitigation_Industry!L:L,MATCH($A467,Mitigation_Industry!$H:$H,0))</f>
        <v>14.199528390634921</v>
      </c>
      <c r="M467" s="22">
        <f>INDEX(Mitigation_Industry!M:M,MATCH($A467,Mitigation_Industry!$H:$H,0))</f>
        <v>13.840441613315161</v>
      </c>
      <c r="N467" s="22">
        <f>INDEX(Mitigation_Industry!N:N,MATCH($A467,Mitigation_Industry!$H:$H,0))</f>
        <v>13.5677269404465</v>
      </c>
      <c r="O467" s="22">
        <f>INDEX(Mitigation_Industry!O:O,MATCH($A467,Mitigation_Industry!$H:$H,0))</f>
        <v>13.5677269404465</v>
      </c>
      <c r="P467" s="22">
        <f>INDEX(Mitigation_Industry!P:P,MATCH($A467,Mitigation_Industry!$H:$H,0))</f>
        <v>13.5677269404465</v>
      </c>
      <c r="Q467" s="22">
        <f>INDEX(Mitigation_Industry!Q:Q,MATCH($A467,Mitigation_Industry!$H:$H,0))</f>
        <v>13.5677269404465</v>
      </c>
      <c r="R467" s="22">
        <f>INDEX(Mitigation_Industry!R:R,MATCH($A467,Mitigation_Industry!$H:$H,0))</f>
        <v>13.5677269404465</v>
      </c>
      <c r="S467" s="22">
        <f>INDEX(Mitigation_Industry!S:S,MATCH($A467,Mitigation_Industry!$H:$H,0))</f>
        <v>13.5677269404465</v>
      </c>
      <c r="T467" s="22">
        <f>INDEX(Mitigation_Industry!T:T,MATCH($A467,Mitigation_Industry!$H:$H,0))</f>
        <v>13.5677269404465</v>
      </c>
      <c r="U467" s="22">
        <f>INDEX(Mitigation_Industry!U:U,MATCH($A467,Mitigation_Industry!$H:$H,0))</f>
        <v>13.5677269404465</v>
      </c>
      <c r="V467" s="22">
        <f>INDEX(Mitigation_Industry!V:V,MATCH($A467,Mitigation_Industry!$H:$H,0))</f>
        <v>13.5677269404465</v>
      </c>
      <c r="W467" s="22">
        <f>INDEX(Mitigation_Industry!W:W,MATCH($A467,Mitigation_Industry!$H:$H,0))</f>
        <v>13.5677269404465</v>
      </c>
      <c r="X467" s="22">
        <f>INDEX(Mitigation_Industry!X:X,MATCH($A467,Mitigation_Industry!$H:$H,0))</f>
        <v>13.5677269404465</v>
      </c>
      <c r="Y467" s="22">
        <f>INDEX(Mitigation_Industry!Y:Y,MATCH($A467,Mitigation_Industry!$H:$H,0))</f>
        <v>13.5677269404465</v>
      </c>
      <c r="Z467" s="22">
        <f>INDEX(Mitigation_Industry!Z:Z,MATCH($A467,Mitigation_Industry!$H:$H,0))</f>
        <v>13.5677269404465</v>
      </c>
      <c r="AA467" s="22">
        <f>INDEX(Mitigation_Industry!AA:AA,MATCH($A467,Mitigation_Industry!$H:$H,0))</f>
        <v>13.5677269404465</v>
      </c>
      <c r="AB467" s="22">
        <f>INDEX(Mitigation_Industry!AB:AB,MATCH($A467,Mitigation_Industry!$H:$H,0))</f>
        <v>13.5677269404465</v>
      </c>
      <c r="AC467" s="22">
        <f>INDEX(Mitigation_Industry!AC:AC,MATCH($A467,Mitigation_Industry!$H:$H,0))</f>
        <v>13.5677269404465</v>
      </c>
      <c r="AD467" s="22">
        <f>INDEX(Mitigation_Industry!AD:AD,MATCH($A467,Mitigation_Industry!$H:$H,0))</f>
        <v>13.5677269404465</v>
      </c>
      <c r="AE467" s="22">
        <f>INDEX(Mitigation_Industry!AE:AE,MATCH($A467,Mitigation_Industry!$H:$H,0))</f>
        <v>13.5677269404465</v>
      </c>
    </row>
    <row r="468" spans="1:31" x14ac:dyDescent="0.25">
      <c r="A468" s="41" t="s">
        <v>1327</v>
      </c>
      <c r="B468" s="6" t="s">
        <v>71</v>
      </c>
      <c r="C468" s="6" t="s">
        <v>47</v>
      </c>
      <c r="D468" s="6">
        <v>2</v>
      </c>
      <c r="E468" s="2" t="s">
        <v>1212</v>
      </c>
      <c r="F468" s="43">
        <f>MAX(MAX(L468:AE468),-MIN(L468:AE468))</f>
        <v>0</v>
      </c>
      <c r="K468" s="44">
        <f t="shared" ref="K468:AE468" si="115">IF(ISNUMBER(K466),IF(ISNUMBER(K467),K467-K466,999999),0)</f>
        <v>0</v>
      </c>
      <c r="L468" s="44">
        <f t="shared" si="115"/>
        <v>0</v>
      </c>
      <c r="M468" s="44">
        <f t="shared" si="115"/>
        <v>0</v>
      </c>
      <c r="N468" s="44">
        <f t="shared" si="115"/>
        <v>0</v>
      </c>
      <c r="O468" s="44">
        <f t="shared" si="115"/>
        <v>0</v>
      </c>
      <c r="P468" s="44">
        <f t="shared" si="115"/>
        <v>0</v>
      </c>
      <c r="Q468" s="44">
        <f t="shared" si="115"/>
        <v>0</v>
      </c>
      <c r="R468" s="44">
        <f t="shared" si="115"/>
        <v>0</v>
      </c>
      <c r="S468" s="44">
        <f t="shared" si="115"/>
        <v>0</v>
      </c>
      <c r="T468" s="44">
        <f t="shared" si="115"/>
        <v>0</v>
      </c>
      <c r="U468" s="44">
        <f t="shared" si="115"/>
        <v>0</v>
      </c>
      <c r="V468" s="44">
        <f t="shared" si="115"/>
        <v>0</v>
      </c>
      <c r="W468" s="44">
        <f t="shared" si="115"/>
        <v>0</v>
      </c>
      <c r="X468" s="44">
        <f t="shared" si="115"/>
        <v>0</v>
      </c>
      <c r="Y468" s="44">
        <f t="shared" si="115"/>
        <v>0</v>
      </c>
      <c r="Z468" s="44">
        <f t="shared" si="115"/>
        <v>0</v>
      </c>
      <c r="AA468" s="44">
        <f t="shared" si="115"/>
        <v>0</v>
      </c>
      <c r="AB468" s="44">
        <f t="shared" si="115"/>
        <v>0</v>
      </c>
      <c r="AC468" s="44">
        <f t="shared" si="115"/>
        <v>0</v>
      </c>
      <c r="AD468" s="44">
        <f t="shared" si="115"/>
        <v>0</v>
      </c>
      <c r="AE468" s="44">
        <f t="shared" si="115"/>
        <v>0</v>
      </c>
    </row>
    <row r="470" spans="1:31" x14ac:dyDescent="0.25">
      <c r="A470" s="41" t="s">
        <v>1328</v>
      </c>
      <c r="B470" s="6" t="s">
        <v>73</v>
      </c>
      <c r="C470" s="6" t="s">
        <v>47</v>
      </c>
      <c r="D470" s="6">
        <v>2</v>
      </c>
      <c r="E470" s="6" t="s">
        <v>1210</v>
      </c>
      <c r="K470" s="22"/>
      <c r="L470" s="22">
        <v>0.14404498679319799</v>
      </c>
      <c r="M470" s="22">
        <v>0.14138624175135939</v>
      </c>
      <c r="N470" s="22">
        <v>0.1353975654437313</v>
      </c>
      <c r="O470" s="22">
        <v>0.13152288542065141</v>
      </c>
      <c r="P470" s="22">
        <v>0.12882610848523129</v>
      </c>
      <c r="Q470" s="22">
        <v>0.1259420097647401</v>
      </c>
      <c r="R470" s="22">
        <v>0.1231132657018609</v>
      </c>
      <c r="S470" s="22">
        <v>0.1193917380890684</v>
      </c>
      <c r="T470" s="22">
        <v>0.1155441904679203</v>
      </c>
      <c r="U470" s="22">
        <v>0.11492423065415899</v>
      </c>
      <c r="V470" s="22">
        <v>0.11434691211673639</v>
      </c>
      <c r="W470" s="22">
        <v>0.1137387111726635</v>
      </c>
      <c r="X470" s="22">
        <v>0.1129999004875214</v>
      </c>
      <c r="Y470" s="22">
        <v>0.11217768583553429</v>
      </c>
      <c r="Z470" s="22">
        <v>0.1114179032504042</v>
      </c>
      <c r="AA470" s="22">
        <v>0.1105258199854538</v>
      </c>
      <c r="AB470" s="22">
        <v>0.1096995652348958</v>
      </c>
      <c r="AC470" s="22">
        <v>0.1077267889639492</v>
      </c>
      <c r="AD470" s="22">
        <v>0.1058209244509353</v>
      </c>
      <c r="AE470" s="22">
        <v>0.1038555957057212</v>
      </c>
    </row>
    <row r="471" spans="1:31" x14ac:dyDescent="0.25">
      <c r="A471" s="41" t="s">
        <v>1328</v>
      </c>
      <c r="B471" s="6" t="s">
        <v>73</v>
      </c>
      <c r="C471" s="6" t="s">
        <v>47</v>
      </c>
      <c r="D471" s="6">
        <v>2</v>
      </c>
      <c r="E471" s="6" t="s">
        <v>1211</v>
      </c>
      <c r="K471" s="22">
        <f>INDEX(Mitigation_Industry!K:K,MATCH($A471,Mitigation_Industry!$H:$H,0))</f>
        <v>0</v>
      </c>
      <c r="L471" s="22">
        <f>INDEX(Mitigation_Industry!L:L,MATCH($A471,Mitigation_Industry!$H:$H,0))</f>
        <v>0.14404498679319799</v>
      </c>
      <c r="M471" s="22">
        <f>INDEX(Mitigation_Industry!M:M,MATCH($A471,Mitigation_Industry!$H:$H,0))</f>
        <v>0.14138624175135939</v>
      </c>
      <c r="N471" s="22">
        <f>INDEX(Mitigation_Industry!N:N,MATCH($A471,Mitigation_Industry!$H:$H,0))</f>
        <v>0.1353975654437313</v>
      </c>
      <c r="O471" s="22">
        <f>INDEX(Mitigation_Industry!O:O,MATCH($A471,Mitigation_Industry!$H:$H,0))</f>
        <v>0.13152288542065141</v>
      </c>
      <c r="P471" s="22">
        <f>INDEX(Mitigation_Industry!P:P,MATCH($A471,Mitigation_Industry!$H:$H,0))</f>
        <v>0.12882610848523129</v>
      </c>
      <c r="Q471" s="22">
        <f>INDEX(Mitigation_Industry!Q:Q,MATCH($A471,Mitigation_Industry!$H:$H,0))</f>
        <v>0.1259420097647401</v>
      </c>
      <c r="R471" s="22">
        <f>INDEX(Mitigation_Industry!R:R,MATCH($A471,Mitigation_Industry!$H:$H,0))</f>
        <v>0.1231132657018609</v>
      </c>
      <c r="S471" s="22">
        <f>INDEX(Mitigation_Industry!S:S,MATCH($A471,Mitigation_Industry!$H:$H,0))</f>
        <v>0.1193917380890684</v>
      </c>
      <c r="T471" s="22">
        <f>INDEX(Mitigation_Industry!T:T,MATCH($A471,Mitigation_Industry!$H:$H,0))</f>
        <v>0.1155441904679203</v>
      </c>
      <c r="U471" s="22">
        <f>INDEX(Mitigation_Industry!U:U,MATCH($A471,Mitigation_Industry!$H:$H,0))</f>
        <v>0.11492423065415899</v>
      </c>
      <c r="V471" s="22">
        <f>INDEX(Mitigation_Industry!V:V,MATCH($A471,Mitigation_Industry!$H:$H,0))</f>
        <v>0.11434691211673639</v>
      </c>
      <c r="W471" s="22">
        <f>INDEX(Mitigation_Industry!W:W,MATCH($A471,Mitigation_Industry!$H:$H,0))</f>
        <v>0.1137387111726635</v>
      </c>
      <c r="X471" s="22">
        <f>INDEX(Mitigation_Industry!X:X,MATCH($A471,Mitigation_Industry!$H:$H,0))</f>
        <v>0.1129999004875214</v>
      </c>
      <c r="Y471" s="22">
        <f>INDEX(Mitigation_Industry!Y:Y,MATCH($A471,Mitigation_Industry!$H:$H,0))</f>
        <v>0.11217768583553429</v>
      </c>
      <c r="Z471" s="22">
        <f>INDEX(Mitigation_Industry!Z:Z,MATCH($A471,Mitigation_Industry!$H:$H,0))</f>
        <v>0.1114179032504042</v>
      </c>
      <c r="AA471" s="22">
        <f>INDEX(Mitigation_Industry!AA:AA,MATCH($A471,Mitigation_Industry!$H:$H,0))</f>
        <v>0.1105258199854538</v>
      </c>
      <c r="AB471" s="22">
        <f>INDEX(Mitigation_Industry!AB:AB,MATCH($A471,Mitigation_Industry!$H:$H,0))</f>
        <v>0.1096995652348958</v>
      </c>
      <c r="AC471" s="22">
        <f>INDEX(Mitigation_Industry!AC:AC,MATCH($A471,Mitigation_Industry!$H:$H,0))</f>
        <v>0.1077267889639492</v>
      </c>
      <c r="AD471" s="22">
        <f>INDEX(Mitigation_Industry!AD:AD,MATCH($A471,Mitigation_Industry!$H:$H,0))</f>
        <v>0.1058209244509353</v>
      </c>
      <c r="AE471" s="22">
        <f>INDEX(Mitigation_Industry!AE:AE,MATCH($A471,Mitigation_Industry!$H:$H,0))</f>
        <v>0.1038555957057212</v>
      </c>
    </row>
    <row r="472" spans="1:31" x14ac:dyDescent="0.25">
      <c r="A472" s="41" t="s">
        <v>1328</v>
      </c>
      <c r="B472" s="6" t="s">
        <v>73</v>
      </c>
      <c r="C472" s="6" t="s">
        <v>47</v>
      </c>
      <c r="D472" s="6">
        <v>2</v>
      </c>
      <c r="E472" s="2" t="s">
        <v>1212</v>
      </c>
      <c r="F472" s="43">
        <f>MAX(MAX(L472:AE472),-MIN(L472:AE472))</f>
        <v>0</v>
      </c>
      <c r="K472" s="44">
        <f t="shared" ref="K472:AE472" si="116">IF(ISNUMBER(K470),IF(ISNUMBER(K471),K471-K470,999999),0)</f>
        <v>0</v>
      </c>
      <c r="L472" s="44">
        <f t="shared" si="116"/>
        <v>0</v>
      </c>
      <c r="M472" s="44">
        <f t="shared" si="116"/>
        <v>0</v>
      </c>
      <c r="N472" s="44">
        <f t="shared" si="116"/>
        <v>0</v>
      </c>
      <c r="O472" s="44">
        <f t="shared" si="116"/>
        <v>0</v>
      </c>
      <c r="P472" s="44">
        <f t="shared" si="116"/>
        <v>0</v>
      </c>
      <c r="Q472" s="44">
        <f t="shared" si="116"/>
        <v>0</v>
      </c>
      <c r="R472" s="44">
        <f t="shared" si="116"/>
        <v>0</v>
      </c>
      <c r="S472" s="44">
        <f t="shared" si="116"/>
        <v>0</v>
      </c>
      <c r="T472" s="44">
        <f t="shared" si="116"/>
        <v>0</v>
      </c>
      <c r="U472" s="44">
        <f t="shared" si="116"/>
        <v>0</v>
      </c>
      <c r="V472" s="44">
        <f t="shared" si="116"/>
        <v>0</v>
      </c>
      <c r="W472" s="44">
        <f t="shared" si="116"/>
        <v>0</v>
      </c>
      <c r="X472" s="44">
        <f t="shared" si="116"/>
        <v>0</v>
      </c>
      <c r="Y472" s="44">
        <f t="shared" si="116"/>
        <v>0</v>
      </c>
      <c r="Z472" s="44">
        <f t="shared" si="116"/>
        <v>0</v>
      </c>
      <c r="AA472" s="44">
        <f t="shared" si="116"/>
        <v>0</v>
      </c>
      <c r="AB472" s="44">
        <f t="shared" si="116"/>
        <v>0</v>
      </c>
      <c r="AC472" s="44">
        <f t="shared" si="116"/>
        <v>0</v>
      </c>
      <c r="AD472" s="44">
        <f t="shared" si="116"/>
        <v>0</v>
      </c>
      <c r="AE472" s="44">
        <f t="shared" si="116"/>
        <v>0</v>
      </c>
    </row>
    <row r="474" spans="1:31" x14ac:dyDescent="0.25">
      <c r="A474" s="41" t="s">
        <v>1329</v>
      </c>
      <c r="B474" s="6" t="s">
        <v>53</v>
      </c>
      <c r="C474" s="6" t="s">
        <v>117</v>
      </c>
      <c r="D474" s="6">
        <v>2</v>
      </c>
      <c r="E474" s="6" t="s">
        <v>1210</v>
      </c>
      <c r="K474" s="22"/>
      <c r="L474" s="22">
        <v>10.52336134543121</v>
      </c>
      <c r="M474" s="22">
        <v>10.299560827444211</v>
      </c>
      <c r="N474" s="22">
        <v>9.5775283595382632</v>
      </c>
      <c r="O474" s="22">
        <v>8.4854782869580454</v>
      </c>
      <c r="P474" s="22">
        <v>9.0871922352498604</v>
      </c>
      <c r="Q474" s="22">
        <v>10.472923728932679</v>
      </c>
      <c r="R474" s="22">
        <v>11.658564955509689</v>
      </c>
      <c r="S474" s="22">
        <v>12.839547877397379</v>
      </c>
      <c r="T474" s="22">
        <v>14.01568166602283</v>
      </c>
      <c r="U474" s="22">
        <v>15.19439776555711</v>
      </c>
      <c r="V474" s="22">
        <v>16.44439776555711</v>
      </c>
      <c r="W474" s="22">
        <v>17.69439776555711</v>
      </c>
      <c r="X474" s="22">
        <v>18.94439776555711</v>
      </c>
      <c r="Y474" s="22">
        <v>20.19439776555711</v>
      </c>
      <c r="Z474" s="22">
        <v>21.44439776555711</v>
      </c>
      <c r="AA474" s="22">
        <v>22.69439776555711</v>
      </c>
      <c r="AB474" s="22">
        <v>23.94439776555711</v>
      </c>
      <c r="AC474" s="22">
        <v>25.19439776555711</v>
      </c>
      <c r="AD474" s="22">
        <v>26.44439776555711</v>
      </c>
      <c r="AE474" s="22">
        <v>27.69439776555711</v>
      </c>
    </row>
    <row r="475" spans="1:31" x14ac:dyDescent="0.25">
      <c r="A475" s="41" t="s">
        <v>1329</v>
      </c>
      <c r="B475" s="6" t="s">
        <v>53</v>
      </c>
      <c r="C475" s="6" t="s">
        <v>117</v>
      </c>
      <c r="D475" s="6">
        <v>2</v>
      </c>
      <c r="E475" s="6" t="s">
        <v>1211</v>
      </c>
      <c r="K475" s="22">
        <f>INDEX(Mitigation_Industry!K:K,MATCH($A475,Mitigation_Industry!$H:$H,0))</f>
        <v>11.18290158924394</v>
      </c>
      <c r="L475" s="22">
        <f>INDEX(Mitigation_Industry!L:L,MATCH($A475,Mitigation_Industry!$H:$H,0))</f>
        <v>10.52336134543121</v>
      </c>
      <c r="M475" s="22">
        <f>INDEX(Mitigation_Industry!M:M,MATCH($A475,Mitigation_Industry!$H:$H,0))</f>
        <v>10.299560827444211</v>
      </c>
      <c r="N475" s="22">
        <f>INDEX(Mitigation_Industry!N:N,MATCH($A475,Mitigation_Industry!$H:$H,0))</f>
        <v>9.5775283595382632</v>
      </c>
      <c r="O475" s="22">
        <f>INDEX(Mitigation_Industry!O:O,MATCH($A475,Mitigation_Industry!$H:$H,0))</f>
        <v>8.4854782869580454</v>
      </c>
      <c r="P475" s="22">
        <f>INDEX(Mitigation_Industry!P:P,MATCH($A475,Mitigation_Industry!$H:$H,0))</f>
        <v>9.0871922352498604</v>
      </c>
      <c r="Q475" s="22">
        <f>INDEX(Mitigation_Industry!Q:Q,MATCH($A475,Mitigation_Industry!$H:$H,0))</f>
        <v>10.472923728932681</v>
      </c>
      <c r="R475" s="22">
        <f>INDEX(Mitigation_Industry!R:R,MATCH($A475,Mitigation_Industry!$H:$H,0))</f>
        <v>11.658564955509688</v>
      </c>
      <c r="S475" s="22">
        <f>INDEX(Mitigation_Industry!S:S,MATCH($A475,Mitigation_Industry!$H:$H,0))</f>
        <v>12.839547877397377</v>
      </c>
      <c r="T475" s="22">
        <f>INDEX(Mitigation_Industry!T:T,MATCH($A475,Mitigation_Industry!$H:$H,0))</f>
        <v>14.01568166602283</v>
      </c>
      <c r="U475" s="22">
        <f>INDEX(Mitigation_Industry!U:U,MATCH($A475,Mitigation_Industry!$H:$H,0))</f>
        <v>15.194397765557106</v>
      </c>
      <c r="V475" s="22">
        <f>INDEX(Mitigation_Industry!V:V,MATCH($A475,Mitigation_Industry!$H:$H,0))</f>
        <v>16.444397765557106</v>
      </c>
      <c r="W475" s="22">
        <f>INDEX(Mitigation_Industry!W:W,MATCH($A475,Mitigation_Industry!$H:$H,0))</f>
        <v>17.694397765557106</v>
      </c>
      <c r="X475" s="22">
        <f>INDEX(Mitigation_Industry!X:X,MATCH($A475,Mitigation_Industry!$H:$H,0))</f>
        <v>18.944397765557106</v>
      </c>
      <c r="Y475" s="22">
        <f>INDEX(Mitigation_Industry!Y:Y,MATCH($A475,Mitigation_Industry!$H:$H,0))</f>
        <v>20.194397765557106</v>
      </c>
      <c r="Z475" s="22">
        <f>INDEX(Mitigation_Industry!Z:Z,MATCH($A475,Mitigation_Industry!$H:$H,0))</f>
        <v>21.444397765557106</v>
      </c>
      <c r="AA475" s="22">
        <f>INDEX(Mitigation_Industry!AA:AA,MATCH($A475,Mitigation_Industry!$H:$H,0))</f>
        <v>22.694397765557106</v>
      </c>
      <c r="AB475" s="22">
        <f>INDEX(Mitigation_Industry!AB:AB,MATCH($A475,Mitigation_Industry!$H:$H,0))</f>
        <v>23.944397765557106</v>
      </c>
      <c r="AC475" s="22">
        <f>INDEX(Mitigation_Industry!AC:AC,MATCH($A475,Mitigation_Industry!$H:$H,0))</f>
        <v>25.194397765557106</v>
      </c>
      <c r="AD475" s="22">
        <f>INDEX(Mitigation_Industry!AD:AD,MATCH($A475,Mitigation_Industry!$H:$H,0))</f>
        <v>26.444397765557106</v>
      </c>
      <c r="AE475" s="22">
        <f>INDEX(Mitigation_Industry!AE:AE,MATCH($A475,Mitigation_Industry!$H:$H,0))</f>
        <v>27.694397765557106</v>
      </c>
    </row>
    <row r="476" spans="1:31" x14ac:dyDescent="0.25">
      <c r="A476" s="41" t="s">
        <v>1329</v>
      </c>
      <c r="B476" s="6" t="s">
        <v>53</v>
      </c>
      <c r="C476" s="6" t="s">
        <v>117</v>
      </c>
      <c r="D476" s="6">
        <v>2</v>
      </c>
      <c r="E476" s="2" t="s">
        <v>1212</v>
      </c>
      <c r="F476" s="43">
        <f>MAX(MAX(L476:AE476),-MIN(L476:AE476))</f>
        <v>3.5527136788005009E-15</v>
      </c>
      <c r="K476" s="44">
        <f t="shared" ref="K476:AE476" si="117">IF(ISNUMBER(K474),IF(ISNUMBER(K475),K475-K474,999999),0)</f>
        <v>0</v>
      </c>
      <c r="L476" s="44">
        <f t="shared" si="117"/>
        <v>0</v>
      </c>
      <c r="M476" s="44">
        <f t="shared" si="117"/>
        <v>0</v>
      </c>
      <c r="N476" s="44">
        <f t="shared" si="117"/>
        <v>0</v>
      </c>
      <c r="O476" s="44">
        <f t="shared" si="117"/>
        <v>0</v>
      </c>
      <c r="P476" s="44">
        <f t="shared" si="117"/>
        <v>0</v>
      </c>
      <c r="Q476" s="44">
        <f t="shared" si="117"/>
        <v>1.7763568394002505E-15</v>
      </c>
      <c r="R476" s="44">
        <f t="shared" si="117"/>
        <v>-1.7763568394002505E-15</v>
      </c>
      <c r="S476" s="44">
        <f t="shared" si="117"/>
        <v>-1.7763568394002505E-15</v>
      </c>
      <c r="T476" s="44">
        <f t="shared" si="117"/>
        <v>0</v>
      </c>
      <c r="U476" s="44">
        <f t="shared" si="117"/>
        <v>-3.5527136788005009E-15</v>
      </c>
      <c r="V476" s="44">
        <f t="shared" si="117"/>
        <v>-3.5527136788005009E-15</v>
      </c>
      <c r="W476" s="44">
        <f t="shared" si="117"/>
        <v>-3.5527136788005009E-15</v>
      </c>
      <c r="X476" s="44">
        <f t="shared" si="117"/>
        <v>-3.5527136788005009E-15</v>
      </c>
      <c r="Y476" s="44">
        <f t="shared" si="117"/>
        <v>-3.5527136788005009E-15</v>
      </c>
      <c r="Z476" s="44">
        <f t="shared" si="117"/>
        <v>-3.5527136788005009E-15</v>
      </c>
      <c r="AA476" s="44">
        <f t="shared" si="117"/>
        <v>-3.5527136788005009E-15</v>
      </c>
      <c r="AB476" s="44">
        <f t="shared" si="117"/>
        <v>-3.5527136788005009E-15</v>
      </c>
      <c r="AC476" s="44">
        <f t="shared" si="117"/>
        <v>-3.5527136788005009E-15</v>
      </c>
      <c r="AD476" s="44">
        <f t="shared" si="117"/>
        <v>-3.5527136788005009E-15</v>
      </c>
      <c r="AE476" s="44">
        <f t="shared" si="117"/>
        <v>-3.5527136788005009E-15</v>
      </c>
    </row>
    <row r="478" spans="1:31" x14ac:dyDescent="0.25">
      <c r="A478" s="41" t="s">
        <v>1330</v>
      </c>
      <c r="B478" s="6" t="s">
        <v>57</v>
      </c>
      <c r="C478" s="6" t="s">
        <v>117</v>
      </c>
      <c r="D478" s="6">
        <v>2</v>
      </c>
      <c r="E478" s="6" t="s">
        <v>1210</v>
      </c>
      <c r="K478" s="22"/>
      <c r="L478" s="22">
        <v>5.4510150816191896</v>
      </c>
      <c r="M478" s="22">
        <v>5.1193563062624818</v>
      </c>
      <c r="N478" s="22">
        <v>5.0821845864040727</v>
      </c>
      <c r="O478" s="22">
        <v>5.0821845864040727</v>
      </c>
      <c r="P478" s="22">
        <v>5.0821845864040727</v>
      </c>
      <c r="Q478" s="22">
        <v>5.7796845864040716</v>
      </c>
      <c r="R478" s="22">
        <v>6.4771845864040722</v>
      </c>
      <c r="S478" s="22">
        <v>7.1746845864040729</v>
      </c>
      <c r="T478" s="22">
        <v>7.8721845864040727</v>
      </c>
      <c r="U478" s="22">
        <v>8.5696845864040725</v>
      </c>
      <c r="V478" s="22">
        <v>9.2671845864040723</v>
      </c>
      <c r="W478" s="22">
        <v>9.9646845864040721</v>
      </c>
      <c r="X478" s="22">
        <v>10.66218458640407</v>
      </c>
      <c r="Y478" s="22">
        <v>11.35968458640407</v>
      </c>
      <c r="Z478" s="22">
        <v>12.05718458640407</v>
      </c>
      <c r="AA478" s="22">
        <v>12.754684586404069</v>
      </c>
      <c r="AB478" s="22">
        <v>13.452184586404069</v>
      </c>
      <c r="AC478" s="22">
        <v>14.149684586404071</v>
      </c>
      <c r="AD478" s="22">
        <v>14.847184586404071</v>
      </c>
      <c r="AE478" s="22">
        <v>15.54468458640407</v>
      </c>
    </row>
    <row r="479" spans="1:31" x14ac:dyDescent="0.25">
      <c r="A479" s="41" t="s">
        <v>1330</v>
      </c>
      <c r="B479" s="6" t="s">
        <v>57</v>
      </c>
      <c r="C479" s="6" t="s">
        <v>117</v>
      </c>
      <c r="D479" s="6">
        <v>2</v>
      </c>
      <c r="E479" s="6" t="s">
        <v>1211</v>
      </c>
      <c r="K479" s="22">
        <f>INDEX(Mitigation_Industry!K:K,MATCH($A479,Mitigation_Industry!$H:$H,0))</f>
        <v>6.0634636156729131</v>
      </c>
      <c r="L479" s="22">
        <f>INDEX(Mitigation_Industry!L:L,MATCH($A479,Mitigation_Industry!$H:$H,0))</f>
        <v>5.4510150816191896</v>
      </c>
      <c r="M479" s="22">
        <f>INDEX(Mitigation_Industry!M:M,MATCH($A479,Mitigation_Industry!$H:$H,0))</f>
        <v>5.1193563062624818</v>
      </c>
      <c r="N479" s="22">
        <f>INDEX(Mitigation_Industry!N:N,MATCH($A479,Mitigation_Industry!$H:$H,0))</f>
        <v>5.0821845864040727</v>
      </c>
      <c r="O479" s="22">
        <f>INDEX(Mitigation_Industry!O:O,MATCH($A479,Mitigation_Industry!$H:$H,0))</f>
        <v>5.0821845864040727</v>
      </c>
      <c r="P479" s="22">
        <f>INDEX(Mitigation_Industry!P:P,MATCH($A479,Mitigation_Industry!$H:$H,0))</f>
        <v>5.0821845864040727</v>
      </c>
      <c r="Q479" s="22">
        <f>INDEX(Mitigation_Industry!Q:Q,MATCH($A479,Mitigation_Industry!$H:$H,0))</f>
        <v>5.7796845864040725</v>
      </c>
      <c r="R479" s="22">
        <f>INDEX(Mitigation_Industry!R:R,MATCH($A479,Mitigation_Industry!$H:$H,0))</f>
        <v>6.4771845864040731</v>
      </c>
      <c r="S479" s="22">
        <f>INDEX(Mitigation_Industry!S:S,MATCH($A479,Mitigation_Industry!$H:$H,0))</f>
        <v>7.1746845864040729</v>
      </c>
      <c r="T479" s="22">
        <f>INDEX(Mitigation_Industry!T:T,MATCH($A479,Mitigation_Industry!$H:$H,0))</f>
        <v>7.8721845864040736</v>
      </c>
      <c r="U479" s="22">
        <f>INDEX(Mitigation_Industry!U:U,MATCH($A479,Mitigation_Industry!$H:$H,0))</f>
        <v>8.5696845864040725</v>
      </c>
      <c r="V479" s="22">
        <f>INDEX(Mitigation_Industry!V:V,MATCH($A479,Mitigation_Industry!$H:$H,0))</f>
        <v>9.2671845864040723</v>
      </c>
      <c r="W479" s="22">
        <f>INDEX(Mitigation_Industry!W:W,MATCH($A479,Mitigation_Industry!$H:$H,0))</f>
        <v>9.9646845864040721</v>
      </c>
      <c r="X479" s="22">
        <f>INDEX(Mitigation_Industry!X:X,MATCH($A479,Mitigation_Industry!$H:$H,0))</f>
        <v>10.662184586404072</v>
      </c>
      <c r="Y479" s="22">
        <f>INDEX(Mitigation_Industry!Y:Y,MATCH($A479,Mitigation_Industry!$H:$H,0))</f>
        <v>11.359684586404072</v>
      </c>
      <c r="Z479" s="22">
        <f>INDEX(Mitigation_Industry!Z:Z,MATCH($A479,Mitigation_Industry!$H:$H,0))</f>
        <v>12.057184586404073</v>
      </c>
      <c r="AA479" s="22">
        <f>INDEX(Mitigation_Industry!AA:AA,MATCH($A479,Mitigation_Industry!$H:$H,0))</f>
        <v>12.754684586404071</v>
      </c>
      <c r="AB479" s="22">
        <f>INDEX(Mitigation_Industry!AB:AB,MATCH($A479,Mitigation_Industry!$H:$H,0))</f>
        <v>13.452184586404073</v>
      </c>
      <c r="AC479" s="22">
        <f>INDEX(Mitigation_Industry!AC:AC,MATCH($A479,Mitigation_Industry!$H:$H,0))</f>
        <v>14.149684586404071</v>
      </c>
      <c r="AD479" s="22">
        <f>INDEX(Mitigation_Industry!AD:AD,MATCH($A479,Mitigation_Industry!$H:$H,0))</f>
        <v>14.847184586404072</v>
      </c>
      <c r="AE479" s="22">
        <f>INDEX(Mitigation_Industry!AE:AE,MATCH($A479,Mitigation_Industry!$H:$H,0))</f>
        <v>15.544684586404072</v>
      </c>
    </row>
    <row r="480" spans="1:31" x14ac:dyDescent="0.25">
      <c r="A480" s="41" t="s">
        <v>1330</v>
      </c>
      <c r="B480" s="6" t="s">
        <v>57</v>
      </c>
      <c r="C480" s="6" t="s">
        <v>117</v>
      </c>
      <c r="D480" s="6">
        <v>2</v>
      </c>
      <c r="E480" s="2" t="s">
        <v>1212</v>
      </c>
      <c r="F480" s="43">
        <f>MAX(MAX(L480:AE480),-MIN(L480:AE480))</f>
        <v>3.5527136788005009E-15</v>
      </c>
      <c r="K480" s="44">
        <f t="shared" ref="K480:AE480" si="118">IF(ISNUMBER(K478),IF(ISNUMBER(K479),K479-K478,999999),0)</f>
        <v>0</v>
      </c>
      <c r="L480" s="44">
        <f t="shared" si="118"/>
        <v>0</v>
      </c>
      <c r="M480" s="44">
        <f t="shared" si="118"/>
        <v>0</v>
      </c>
      <c r="N480" s="44">
        <f t="shared" si="118"/>
        <v>0</v>
      </c>
      <c r="O480" s="44">
        <f t="shared" si="118"/>
        <v>0</v>
      </c>
      <c r="P480" s="44">
        <f t="shared" si="118"/>
        <v>0</v>
      </c>
      <c r="Q480" s="44">
        <f t="shared" si="118"/>
        <v>8.8817841970012523E-16</v>
      </c>
      <c r="R480" s="44">
        <f t="shared" si="118"/>
        <v>8.8817841970012523E-16</v>
      </c>
      <c r="S480" s="44">
        <f t="shared" si="118"/>
        <v>0</v>
      </c>
      <c r="T480" s="44">
        <f t="shared" si="118"/>
        <v>8.8817841970012523E-16</v>
      </c>
      <c r="U480" s="44">
        <f t="shared" si="118"/>
        <v>0</v>
      </c>
      <c r="V480" s="44">
        <f t="shared" si="118"/>
        <v>0</v>
      </c>
      <c r="W480" s="44">
        <f t="shared" si="118"/>
        <v>0</v>
      </c>
      <c r="X480" s="44">
        <f t="shared" si="118"/>
        <v>1.7763568394002505E-15</v>
      </c>
      <c r="Y480" s="44">
        <f t="shared" si="118"/>
        <v>1.7763568394002505E-15</v>
      </c>
      <c r="Z480" s="44">
        <f t="shared" si="118"/>
        <v>3.5527136788005009E-15</v>
      </c>
      <c r="AA480" s="44">
        <f t="shared" si="118"/>
        <v>1.7763568394002505E-15</v>
      </c>
      <c r="AB480" s="44">
        <f t="shared" si="118"/>
        <v>3.5527136788005009E-15</v>
      </c>
      <c r="AC480" s="44">
        <f t="shared" si="118"/>
        <v>0</v>
      </c>
      <c r="AD480" s="44">
        <f t="shared" si="118"/>
        <v>1.7763568394002505E-15</v>
      </c>
      <c r="AE480" s="44">
        <f t="shared" si="118"/>
        <v>1.7763568394002505E-15</v>
      </c>
    </row>
    <row r="482" spans="1:31" x14ac:dyDescent="0.25">
      <c r="A482" s="41" t="s">
        <v>1331</v>
      </c>
      <c r="B482" s="6" t="s">
        <v>59</v>
      </c>
      <c r="C482" s="6" t="s">
        <v>117</v>
      </c>
      <c r="D482" s="6">
        <v>2</v>
      </c>
      <c r="E482" s="6" t="s">
        <v>1210</v>
      </c>
      <c r="K482" s="22"/>
      <c r="L482" s="22">
        <v>0.61197797679140631</v>
      </c>
      <c r="M482" s="22">
        <v>0.61180974964187596</v>
      </c>
      <c r="N482" s="22">
        <v>0.60358310017790551</v>
      </c>
      <c r="O482" s="22">
        <v>0.60358310017790551</v>
      </c>
      <c r="P482" s="22">
        <v>0.60358310017790551</v>
      </c>
      <c r="Q482" s="22">
        <v>0.6325109433494055</v>
      </c>
      <c r="R482" s="22">
        <v>0.66143878652090549</v>
      </c>
      <c r="S482" s="22">
        <v>0.69036662969240548</v>
      </c>
      <c r="T482" s="22">
        <v>0.71929447286390547</v>
      </c>
      <c r="U482" s="22">
        <v>0.74822231603540557</v>
      </c>
      <c r="V482" s="22">
        <v>0.77715015920690556</v>
      </c>
      <c r="W482" s="22">
        <v>0.80607800237840554</v>
      </c>
      <c r="X482" s="22">
        <v>0.83500584554990553</v>
      </c>
      <c r="Y482" s="22">
        <v>0.86393368872140552</v>
      </c>
      <c r="Z482" s="22">
        <v>0.89286153189290551</v>
      </c>
      <c r="AA482" s="22">
        <v>0.9217893750644055</v>
      </c>
      <c r="AB482" s="22">
        <v>0.9507172182359056</v>
      </c>
      <c r="AC482" s="22">
        <v>0.97964506140740548</v>
      </c>
      <c r="AD482" s="22">
        <v>1.008572904578906</v>
      </c>
      <c r="AE482" s="22">
        <v>1.0375007477504059</v>
      </c>
    </row>
    <row r="483" spans="1:31" x14ac:dyDescent="0.25">
      <c r="A483" s="41" t="s">
        <v>1331</v>
      </c>
      <c r="B483" s="6" t="s">
        <v>59</v>
      </c>
      <c r="C483" s="6" t="s">
        <v>117</v>
      </c>
      <c r="D483" s="6">
        <v>2</v>
      </c>
      <c r="E483" s="6" t="s">
        <v>1211</v>
      </c>
      <c r="K483" s="22">
        <f>INDEX(Mitigation_Industry!K:K,MATCH($A483,Mitigation_Industry!$H:$H,0))</f>
        <v>0.67114653332181606</v>
      </c>
      <c r="L483" s="22">
        <f>INDEX(Mitigation_Industry!L:L,MATCH($A483,Mitigation_Industry!$H:$H,0))</f>
        <v>0.61197797679140631</v>
      </c>
      <c r="M483" s="22">
        <f>INDEX(Mitigation_Industry!M:M,MATCH($A483,Mitigation_Industry!$H:$H,0))</f>
        <v>0.61180974964187596</v>
      </c>
      <c r="N483" s="22">
        <f>INDEX(Mitigation_Industry!N:N,MATCH($A483,Mitigation_Industry!$H:$H,0))</f>
        <v>0.60358310017790551</v>
      </c>
      <c r="O483" s="22">
        <f>INDEX(Mitigation_Industry!O:O,MATCH($A483,Mitigation_Industry!$H:$H,0))</f>
        <v>0.60358310017790551</v>
      </c>
      <c r="P483" s="22">
        <f>INDEX(Mitigation_Industry!P:P,MATCH($A483,Mitigation_Industry!$H:$H,0))</f>
        <v>0.60358310017790551</v>
      </c>
      <c r="Q483" s="22">
        <f>INDEX(Mitigation_Industry!Q:Q,MATCH($A483,Mitigation_Industry!$H:$H,0))</f>
        <v>0.6325109433494055</v>
      </c>
      <c r="R483" s="22">
        <f>INDEX(Mitigation_Industry!R:R,MATCH($A483,Mitigation_Industry!$H:$H,0))</f>
        <v>0.66143878652090549</v>
      </c>
      <c r="S483" s="22">
        <f>INDEX(Mitigation_Industry!S:S,MATCH($A483,Mitigation_Industry!$H:$H,0))</f>
        <v>0.69036662969240548</v>
      </c>
      <c r="T483" s="22">
        <f>INDEX(Mitigation_Industry!T:T,MATCH($A483,Mitigation_Industry!$H:$H,0))</f>
        <v>0.71929447286390547</v>
      </c>
      <c r="U483" s="22">
        <f>INDEX(Mitigation_Industry!U:U,MATCH($A483,Mitigation_Industry!$H:$H,0))</f>
        <v>0.74822231603540557</v>
      </c>
      <c r="V483" s="22">
        <f>INDEX(Mitigation_Industry!V:V,MATCH($A483,Mitigation_Industry!$H:$H,0))</f>
        <v>0.77715015920690544</v>
      </c>
      <c r="W483" s="22">
        <f>INDEX(Mitigation_Industry!W:W,MATCH($A483,Mitigation_Industry!$H:$H,0))</f>
        <v>0.80607800237840554</v>
      </c>
      <c r="X483" s="22">
        <f>INDEX(Mitigation_Industry!X:X,MATCH($A483,Mitigation_Industry!$H:$H,0))</f>
        <v>0.83500584554990553</v>
      </c>
      <c r="Y483" s="22">
        <f>INDEX(Mitigation_Industry!Y:Y,MATCH($A483,Mitigation_Industry!$H:$H,0))</f>
        <v>0.86393368872140552</v>
      </c>
      <c r="Z483" s="22">
        <f>INDEX(Mitigation_Industry!Z:Z,MATCH($A483,Mitigation_Industry!$H:$H,0))</f>
        <v>0.89286153189290551</v>
      </c>
      <c r="AA483" s="22">
        <f>INDEX(Mitigation_Industry!AA:AA,MATCH($A483,Mitigation_Industry!$H:$H,0))</f>
        <v>0.92178937506440561</v>
      </c>
      <c r="AB483" s="22">
        <f>INDEX(Mitigation_Industry!AB:AB,MATCH($A483,Mitigation_Industry!$H:$H,0))</f>
        <v>0.95071721823590549</v>
      </c>
      <c r="AC483" s="22">
        <f>INDEX(Mitigation_Industry!AC:AC,MATCH($A483,Mitigation_Industry!$H:$H,0))</f>
        <v>0.97964506140740548</v>
      </c>
      <c r="AD483" s="22">
        <f>INDEX(Mitigation_Industry!AD:AD,MATCH($A483,Mitigation_Industry!$H:$H,0))</f>
        <v>1.0085729045789056</v>
      </c>
      <c r="AE483" s="22">
        <f>INDEX(Mitigation_Industry!AE:AE,MATCH($A483,Mitigation_Industry!$H:$H,0))</f>
        <v>1.0375007477504057</v>
      </c>
    </row>
    <row r="484" spans="1:31" x14ac:dyDescent="0.25">
      <c r="A484" s="41" t="s">
        <v>1331</v>
      </c>
      <c r="B484" s="6" t="s">
        <v>59</v>
      </c>
      <c r="C484" s="6" t="s">
        <v>117</v>
      </c>
      <c r="D484" s="6">
        <v>2</v>
      </c>
      <c r="E484" s="2" t="s">
        <v>1212</v>
      </c>
      <c r="F484" s="43">
        <f>MAX(MAX(L484:AE484),-MIN(L484:AE484))</f>
        <v>4.4408920985006262E-16</v>
      </c>
      <c r="K484" s="44">
        <f t="shared" ref="K484:AE484" si="119">IF(ISNUMBER(K482),IF(ISNUMBER(K483),K483-K482,999999),0)</f>
        <v>0</v>
      </c>
      <c r="L484" s="44">
        <f t="shared" si="119"/>
        <v>0</v>
      </c>
      <c r="M484" s="44">
        <f t="shared" si="119"/>
        <v>0</v>
      </c>
      <c r="N484" s="44">
        <f t="shared" si="119"/>
        <v>0</v>
      </c>
      <c r="O484" s="44">
        <f t="shared" si="119"/>
        <v>0</v>
      </c>
      <c r="P484" s="44">
        <f t="shared" si="119"/>
        <v>0</v>
      </c>
      <c r="Q484" s="44">
        <f t="shared" si="119"/>
        <v>0</v>
      </c>
      <c r="R484" s="44">
        <f t="shared" si="119"/>
        <v>0</v>
      </c>
      <c r="S484" s="44">
        <f t="shared" si="119"/>
        <v>0</v>
      </c>
      <c r="T484" s="44">
        <f t="shared" si="119"/>
        <v>0</v>
      </c>
      <c r="U484" s="44">
        <f t="shared" si="119"/>
        <v>0</v>
      </c>
      <c r="V484" s="44">
        <f t="shared" si="119"/>
        <v>-1.1102230246251565E-16</v>
      </c>
      <c r="W484" s="44">
        <f t="shared" si="119"/>
        <v>0</v>
      </c>
      <c r="X484" s="44">
        <f t="shared" si="119"/>
        <v>0</v>
      </c>
      <c r="Y484" s="44">
        <f t="shared" si="119"/>
        <v>0</v>
      </c>
      <c r="Z484" s="44">
        <f t="shared" si="119"/>
        <v>0</v>
      </c>
      <c r="AA484" s="44">
        <f t="shared" si="119"/>
        <v>1.1102230246251565E-16</v>
      </c>
      <c r="AB484" s="44">
        <f t="shared" si="119"/>
        <v>-1.1102230246251565E-16</v>
      </c>
      <c r="AC484" s="44">
        <f t="shared" si="119"/>
        <v>0</v>
      </c>
      <c r="AD484" s="44">
        <f t="shared" si="119"/>
        <v>-4.4408920985006262E-16</v>
      </c>
      <c r="AE484" s="44">
        <f t="shared" si="119"/>
        <v>-2.2204460492503131E-16</v>
      </c>
    </row>
    <row r="486" spans="1:31" x14ac:dyDescent="0.25">
      <c r="A486" s="41" t="s">
        <v>1332</v>
      </c>
      <c r="B486" s="6" t="s">
        <v>62</v>
      </c>
      <c r="C486" s="6" t="s">
        <v>117</v>
      </c>
      <c r="D486" s="6">
        <v>2</v>
      </c>
      <c r="E486" s="6" t="s">
        <v>1210</v>
      </c>
      <c r="K486" s="22"/>
      <c r="L486" s="22">
        <v>0.49458873084106802</v>
      </c>
      <c r="M486" s="22">
        <v>0.50778654720250049</v>
      </c>
      <c r="N486" s="22">
        <v>0.47043642679561742</v>
      </c>
      <c r="O486" s="22">
        <v>0.47043642679561742</v>
      </c>
      <c r="P486" s="22">
        <v>0.47043642679561742</v>
      </c>
      <c r="Q486" s="22">
        <v>0.50344686565449237</v>
      </c>
      <c r="R486" s="22">
        <v>0.53645730451336737</v>
      </c>
      <c r="S486" s="22">
        <v>0.56946774337224237</v>
      </c>
      <c r="T486" s="22">
        <v>0.60247818223111738</v>
      </c>
      <c r="U486" s="22">
        <v>0.63548862108999238</v>
      </c>
      <c r="V486" s="22">
        <v>0.66849905994886738</v>
      </c>
      <c r="W486" s="22">
        <v>0.70150949880774238</v>
      </c>
      <c r="X486" s="22">
        <v>0.73451993766661738</v>
      </c>
      <c r="Y486" s="22">
        <v>0.76753037652549239</v>
      </c>
      <c r="Z486" s="22">
        <v>0.80054081538436739</v>
      </c>
      <c r="AA486" s="22">
        <v>0.83355125424324239</v>
      </c>
      <c r="AB486" s="22">
        <v>0.86656169310211739</v>
      </c>
      <c r="AC486" s="22">
        <v>0.89957213196099239</v>
      </c>
      <c r="AD486" s="22">
        <v>0.9325825708198674</v>
      </c>
      <c r="AE486" s="22">
        <v>0.9655930096787424</v>
      </c>
    </row>
    <row r="487" spans="1:31" x14ac:dyDescent="0.25">
      <c r="A487" s="41" t="s">
        <v>1332</v>
      </c>
      <c r="B487" s="6" t="s">
        <v>62</v>
      </c>
      <c r="C487" s="6" t="s">
        <v>117</v>
      </c>
      <c r="D487" s="6">
        <v>2</v>
      </c>
      <c r="E487" s="6" t="s">
        <v>1211</v>
      </c>
      <c r="K487" s="22">
        <f>INDEX(Mitigation_Industry!K:K,MATCH($A487,Mitigation_Industry!$H:$H,0))</f>
        <v>0.55971121315568761</v>
      </c>
      <c r="L487" s="22">
        <f>INDEX(Mitigation_Industry!L:L,MATCH($A487,Mitigation_Industry!$H:$H,0))</f>
        <v>0.49458873084106802</v>
      </c>
      <c r="M487" s="22">
        <f>INDEX(Mitigation_Industry!M:M,MATCH($A487,Mitigation_Industry!$H:$H,0))</f>
        <v>0.50778654720250049</v>
      </c>
      <c r="N487" s="22">
        <f>INDEX(Mitigation_Industry!N:N,MATCH($A487,Mitigation_Industry!$H:$H,0))</f>
        <v>0.47043642679561742</v>
      </c>
      <c r="O487" s="22">
        <f>INDEX(Mitigation_Industry!O:O,MATCH($A487,Mitigation_Industry!$H:$H,0))</f>
        <v>0.47043642679561742</v>
      </c>
      <c r="P487" s="22">
        <f>INDEX(Mitigation_Industry!P:P,MATCH($A487,Mitigation_Industry!$H:$H,0))</f>
        <v>0.47043642679561742</v>
      </c>
      <c r="Q487" s="22">
        <f>INDEX(Mitigation_Industry!Q:Q,MATCH($A487,Mitigation_Industry!$H:$H,0))</f>
        <v>0.50344686565449237</v>
      </c>
      <c r="R487" s="22">
        <f>INDEX(Mitigation_Industry!R:R,MATCH($A487,Mitigation_Industry!$H:$H,0))</f>
        <v>0.53645730451336737</v>
      </c>
      <c r="S487" s="22">
        <f>INDEX(Mitigation_Industry!S:S,MATCH($A487,Mitigation_Industry!$H:$H,0))</f>
        <v>0.56946774337224249</v>
      </c>
      <c r="T487" s="22">
        <f>INDEX(Mitigation_Industry!T:T,MATCH($A487,Mitigation_Industry!$H:$H,0))</f>
        <v>0.60247818223111738</v>
      </c>
      <c r="U487" s="22">
        <f>INDEX(Mitigation_Industry!U:U,MATCH($A487,Mitigation_Industry!$H:$H,0))</f>
        <v>0.63548862108999238</v>
      </c>
      <c r="V487" s="22">
        <f>INDEX(Mitigation_Industry!V:V,MATCH($A487,Mitigation_Industry!$H:$H,0))</f>
        <v>0.66849905994886738</v>
      </c>
      <c r="W487" s="22">
        <f>INDEX(Mitigation_Industry!W:W,MATCH($A487,Mitigation_Industry!$H:$H,0))</f>
        <v>0.70150949880774238</v>
      </c>
      <c r="X487" s="22">
        <f>INDEX(Mitigation_Industry!X:X,MATCH($A487,Mitigation_Industry!$H:$H,0))</f>
        <v>0.73451993766661738</v>
      </c>
      <c r="Y487" s="22">
        <f>INDEX(Mitigation_Industry!Y:Y,MATCH($A487,Mitigation_Industry!$H:$H,0))</f>
        <v>0.76753037652549239</v>
      </c>
      <c r="Z487" s="22">
        <f>INDEX(Mitigation_Industry!Z:Z,MATCH($A487,Mitigation_Industry!$H:$H,0))</f>
        <v>0.80054081538436739</v>
      </c>
      <c r="AA487" s="22">
        <f>INDEX(Mitigation_Industry!AA:AA,MATCH($A487,Mitigation_Industry!$H:$H,0))</f>
        <v>0.83355125424324239</v>
      </c>
      <c r="AB487" s="22">
        <f>INDEX(Mitigation_Industry!AB:AB,MATCH($A487,Mitigation_Industry!$H:$H,0))</f>
        <v>0.86656169310211739</v>
      </c>
      <c r="AC487" s="22">
        <f>INDEX(Mitigation_Industry!AC:AC,MATCH($A487,Mitigation_Industry!$H:$H,0))</f>
        <v>0.89957213196099239</v>
      </c>
      <c r="AD487" s="22">
        <f>INDEX(Mitigation_Industry!AD:AD,MATCH($A487,Mitigation_Industry!$H:$H,0))</f>
        <v>0.9325825708198674</v>
      </c>
      <c r="AE487" s="22">
        <f>INDEX(Mitigation_Industry!AE:AE,MATCH($A487,Mitigation_Industry!$H:$H,0))</f>
        <v>0.9655930096787424</v>
      </c>
    </row>
    <row r="488" spans="1:31" x14ac:dyDescent="0.25">
      <c r="A488" s="41" t="s">
        <v>1332</v>
      </c>
      <c r="B488" s="6" t="s">
        <v>62</v>
      </c>
      <c r="C488" s="6" t="s">
        <v>117</v>
      </c>
      <c r="D488" s="6">
        <v>2</v>
      </c>
      <c r="E488" s="2" t="s">
        <v>1212</v>
      </c>
      <c r="F488" s="43">
        <f>MAX(MAX(L488:AE488),-MIN(L488:AE488))</f>
        <v>1.1102230246251565E-16</v>
      </c>
      <c r="K488" s="44">
        <f t="shared" ref="K488:AE488" si="120">IF(ISNUMBER(K486),IF(ISNUMBER(K487),K487-K486,999999),0)</f>
        <v>0</v>
      </c>
      <c r="L488" s="44">
        <f t="shared" si="120"/>
        <v>0</v>
      </c>
      <c r="M488" s="44">
        <f t="shared" si="120"/>
        <v>0</v>
      </c>
      <c r="N488" s="44">
        <f t="shared" si="120"/>
        <v>0</v>
      </c>
      <c r="O488" s="44">
        <f t="shared" si="120"/>
        <v>0</v>
      </c>
      <c r="P488" s="44">
        <f t="shared" si="120"/>
        <v>0</v>
      </c>
      <c r="Q488" s="44">
        <f t="shared" si="120"/>
        <v>0</v>
      </c>
      <c r="R488" s="44">
        <f t="shared" si="120"/>
        <v>0</v>
      </c>
      <c r="S488" s="44">
        <f t="shared" si="120"/>
        <v>1.1102230246251565E-16</v>
      </c>
      <c r="T488" s="44">
        <f t="shared" si="120"/>
        <v>0</v>
      </c>
      <c r="U488" s="44">
        <f t="shared" si="120"/>
        <v>0</v>
      </c>
      <c r="V488" s="44">
        <f t="shared" si="120"/>
        <v>0</v>
      </c>
      <c r="W488" s="44">
        <f t="shared" si="120"/>
        <v>0</v>
      </c>
      <c r="X488" s="44">
        <f t="shared" si="120"/>
        <v>0</v>
      </c>
      <c r="Y488" s="44">
        <f t="shared" si="120"/>
        <v>0</v>
      </c>
      <c r="Z488" s="44">
        <f t="shared" si="120"/>
        <v>0</v>
      </c>
      <c r="AA488" s="44">
        <f t="shared" si="120"/>
        <v>0</v>
      </c>
      <c r="AB488" s="44">
        <f t="shared" si="120"/>
        <v>0</v>
      </c>
      <c r="AC488" s="44">
        <f t="shared" si="120"/>
        <v>0</v>
      </c>
      <c r="AD488" s="44">
        <f t="shared" si="120"/>
        <v>0</v>
      </c>
      <c r="AE488" s="44">
        <f t="shared" si="120"/>
        <v>0</v>
      </c>
    </row>
    <row r="490" spans="1:31" x14ac:dyDescent="0.25">
      <c r="A490" s="41" t="s">
        <v>1333</v>
      </c>
      <c r="B490" s="6" t="s">
        <v>64</v>
      </c>
      <c r="C490" s="6" t="s">
        <v>117</v>
      </c>
      <c r="D490" s="6">
        <v>2</v>
      </c>
      <c r="E490" s="6" t="s">
        <v>1210</v>
      </c>
      <c r="K490" s="22"/>
      <c r="L490" s="22">
        <v>0.1573447362522738</v>
      </c>
      <c r="M490" s="22">
        <v>0.1644840377592767</v>
      </c>
      <c r="N490" s="22">
        <v>0.1507090778070489</v>
      </c>
      <c r="O490" s="22">
        <v>0.1507090778070489</v>
      </c>
      <c r="P490" s="22">
        <v>0.1507090778070489</v>
      </c>
      <c r="Q490" s="22">
        <v>0.17281516073434461</v>
      </c>
      <c r="R490" s="22">
        <v>0.19492124366164029</v>
      </c>
      <c r="S490" s="22">
        <v>0.217027326588936</v>
      </c>
      <c r="T490" s="22">
        <v>0.23913340951623169</v>
      </c>
      <c r="U490" s="22">
        <v>0.2612394924435274</v>
      </c>
      <c r="V490" s="22">
        <v>0.28334557537082311</v>
      </c>
      <c r="W490" s="22">
        <v>0.30545165829811882</v>
      </c>
      <c r="X490" s="22">
        <v>0.32755774122541448</v>
      </c>
      <c r="Y490" s="22">
        <v>0.34966382415271008</v>
      </c>
      <c r="Z490" s="22">
        <v>0.37176990708000579</v>
      </c>
      <c r="AA490" s="22">
        <v>0.39387599000730161</v>
      </c>
      <c r="AB490" s="22">
        <v>0.41598207293459721</v>
      </c>
      <c r="AC490" s="22">
        <v>0.43808815586189293</v>
      </c>
      <c r="AD490" s="22">
        <v>0.46019423878918858</v>
      </c>
      <c r="AE490" s="22">
        <v>0.48230032171648429</v>
      </c>
    </row>
    <row r="491" spans="1:31" x14ac:dyDescent="0.25">
      <c r="A491" s="41" t="s">
        <v>1333</v>
      </c>
      <c r="B491" s="6" t="s">
        <v>64</v>
      </c>
      <c r="C491" s="6" t="s">
        <v>117</v>
      </c>
      <c r="D491" s="6">
        <v>2</v>
      </c>
      <c r="E491" s="6" t="s">
        <v>1211</v>
      </c>
      <c r="K491" s="22">
        <f>INDEX(Mitigation_Industry!K:K,MATCH($A491,Mitigation_Industry!$H:$H,0))</f>
        <v>0.20036669112673841</v>
      </c>
      <c r="L491" s="22">
        <f>INDEX(Mitigation_Industry!L:L,MATCH($A491,Mitigation_Industry!$H:$H,0))</f>
        <v>0.1573447362522738</v>
      </c>
      <c r="M491" s="22">
        <f>INDEX(Mitigation_Industry!M:M,MATCH($A491,Mitigation_Industry!$H:$H,0))</f>
        <v>0.1644840377592767</v>
      </c>
      <c r="N491" s="22">
        <f>INDEX(Mitigation_Industry!N:N,MATCH($A491,Mitigation_Industry!$H:$H,0))</f>
        <v>0.1507090778070489</v>
      </c>
      <c r="O491" s="22">
        <f>INDEX(Mitigation_Industry!O:O,MATCH($A491,Mitigation_Industry!$H:$H,0))</f>
        <v>0.1507090778070489</v>
      </c>
      <c r="P491" s="22">
        <f>INDEX(Mitigation_Industry!P:P,MATCH($A491,Mitigation_Industry!$H:$H,0))</f>
        <v>0.1507090778070489</v>
      </c>
      <c r="Q491" s="22">
        <f>INDEX(Mitigation_Industry!Q:Q,MATCH($A491,Mitigation_Industry!$H:$H,0))</f>
        <v>0.17281516073434458</v>
      </c>
      <c r="R491" s="22">
        <f>INDEX(Mitigation_Industry!R:R,MATCH($A491,Mitigation_Industry!$H:$H,0))</f>
        <v>0.19492124366164029</v>
      </c>
      <c r="S491" s="22">
        <f>INDEX(Mitigation_Industry!S:S,MATCH($A491,Mitigation_Industry!$H:$H,0))</f>
        <v>0.21702732658893598</v>
      </c>
      <c r="T491" s="22">
        <f>INDEX(Mitigation_Industry!T:T,MATCH($A491,Mitigation_Industry!$H:$H,0))</f>
        <v>0.23913340951623169</v>
      </c>
      <c r="U491" s="22">
        <f>INDEX(Mitigation_Industry!U:U,MATCH($A491,Mitigation_Industry!$H:$H,0))</f>
        <v>0.2612394924435274</v>
      </c>
      <c r="V491" s="22">
        <f>INDEX(Mitigation_Industry!V:V,MATCH($A491,Mitigation_Industry!$H:$H,0))</f>
        <v>0.28334557537082311</v>
      </c>
      <c r="W491" s="22">
        <f>INDEX(Mitigation_Industry!W:W,MATCH($A491,Mitigation_Industry!$H:$H,0))</f>
        <v>0.30545165829811882</v>
      </c>
      <c r="X491" s="22">
        <f>INDEX(Mitigation_Industry!X:X,MATCH($A491,Mitigation_Industry!$H:$H,0))</f>
        <v>0.32755774122541448</v>
      </c>
      <c r="Y491" s="22">
        <f>INDEX(Mitigation_Industry!Y:Y,MATCH($A491,Mitigation_Industry!$H:$H,0))</f>
        <v>0.34966382415271013</v>
      </c>
      <c r="Z491" s="22">
        <f>INDEX(Mitigation_Industry!Z:Z,MATCH($A491,Mitigation_Industry!$H:$H,0))</f>
        <v>0.37176990708000579</v>
      </c>
      <c r="AA491" s="22">
        <f>INDEX(Mitigation_Industry!AA:AA,MATCH($A491,Mitigation_Industry!$H:$H,0))</f>
        <v>0.3938759900073015</v>
      </c>
      <c r="AB491" s="22">
        <f>INDEX(Mitigation_Industry!AB:AB,MATCH($A491,Mitigation_Industry!$H:$H,0))</f>
        <v>0.41598207293459721</v>
      </c>
      <c r="AC491" s="22">
        <f>INDEX(Mitigation_Industry!AC:AC,MATCH($A491,Mitigation_Industry!$H:$H,0))</f>
        <v>0.43808815586189287</v>
      </c>
      <c r="AD491" s="22">
        <f>INDEX(Mitigation_Industry!AD:AD,MATCH($A491,Mitigation_Industry!$H:$H,0))</f>
        <v>0.46019423878918858</v>
      </c>
      <c r="AE491" s="22">
        <f>INDEX(Mitigation_Industry!AE:AE,MATCH($A491,Mitigation_Industry!$H:$H,0))</f>
        <v>0.48230032171648429</v>
      </c>
    </row>
    <row r="492" spans="1:31" x14ac:dyDescent="0.25">
      <c r="A492" s="41" t="s">
        <v>1333</v>
      </c>
      <c r="B492" s="6" t="s">
        <v>64</v>
      </c>
      <c r="C492" s="6" t="s">
        <v>117</v>
      </c>
      <c r="D492" s="6">
        <v>2</v>
      </c>
      <c r="E492" s="2" t="s">
        <v>1212</v>
      </c>
      <c r="F492" s="43">
        <f>MAX(MAX(L492:AE492),-MIN(L492:AE492))</f>
        <v>1.1102230246251565E-16</v>
      </c>
      <c r="K492" s="44">
        <f t="shared" ref="K492:AE492" si="121">IF(ISNUMBER(K490),IF(ISNUMBER(K491),K491-K490,999999),0)</f>
        <v>0</v>
      </c>
      <c r="L492" s="44">
        <f t="shared" si="121"/>
        <v>0</v>
      </c>
      <c r="M492" s="44">
        <f t="shared" si="121"/>
        <v>0</v>
      </c>
      <c r="N492" s="44">
        <f t="shared" si="121"/>
        <v>0</v>
      </c>
      <c r="O492" s="44">
        <f t="shared" si="121"/>
        <v>0</v>
      </c>
      <c r="P492" s="44">
        <f t="shared" si="121"/>
        <v>0</v>
      </c>
      <c r="Q492" s="44">
        <f t="shared" si="121"/>
        <v>-2.7755575615628914E-17</v>
      </c>
      <c r="R492" s="44">
        <f t="shared" si="121"/>
        <v>0</v>
      </c>
      <c r="S492" s="44">
        <f t="shared" si="121"/>
        <v>-2.7755575615628914E-17</v>
      </c>
      <c r="T492" s="44">
        <f t="shared" si="121"/>
        <v>0</v>
      </c>
      <c r="U492" s="44">
        <f t="shared" si="121"/>
        <v>0</v>
      </c>
      <c r="V492" s="44">
        <f t="shared" si="121"/>
        <v>0</v>
      </c>
      <c r="W492" s="44">
        <f t="shared" si="121"/>
        <v>0</v>
      </c>
      <c r="X492" s="44">
        <f t="shared" si="121"/>
        <v>0</v>
      </c>
      <c r="Y492" s="44">
        <f t="shared" si="121"/>
        <v>5.5511151231257827E-17</v>
      </c>
      <c r="Z492" s="44">
        <f t="shared" si="121"/>
        <v>0</v>
      </c>
      <c r="AA492" s="44">
        <f t="shared" si="121"/>
        <v>-1.1102230246251565E-16</v>
      </c>
      <c r="AB492" s="44">
        <f t="shared" si="121"/>
        <v>0</v>
      </c>
      <c r="AC492" s="44">
        <f t="shared" si="121"/>
        <v>-5.5511151231257827E-17</v>
      </c>
      <c r="AD492" s="44">
        <f t="shared" si="121"/>
        <v>0</v>
      </c>
      <c r="AE492" s="44">
        <f t="shared" si="121"/>
        <v>0</v>
      </c>
    </row>
    <row r="494" spans="1:31" x14ac:dyDescent="0.25">
      <c r="A494" s="41" t="s">
        <v>1334</v>
      </c>
      <c r="B494" s="6" t="s">
        <v>66</v>
      </c>
      <c r="C494" s="6" t="s">
        <v>117</v>
      </c>
      <c r="D494" s="6">
        <v>2</v>
      </c>
      <c r="E494" s="6" t="s">
        <v>1210</v>
      </c>
      <c r="K494" s="22"/>
      <c r="L494" s="22">
        <v>0.45642817050012813</v>
      </c>
      <c r="M494" s="22">
        <v>0.43168920195599519</v>
      </c>
      <c r="N494" s="22">
        <v>0.42507558395596989</v>
      </c>
      <c r="O494" s="22">
        <v>0.42507558395596989</v>
      </c>
      <c r="P494" s="22">
        <v>0.42507558395596989</v>
      </c>
      <c r="Q494" s="22">
        <v>0.45706441406607851</v>
      </c>
      <c r="R494" s="22">
        <v>0.48905324417618701</v>
      </c>
      <c r="S494" s="22">
        <v>0.52104207428629545</v>
      </c>
      <c r="T494" s="22">
        <v>0.5530309043964039</v>
      </c>
      <c r="U494" s="22">
        <v>0.58501973450651246</v>
      </c>
      <c r="V494" s="22">
        <v>0.6170085646166209</v>
      </c>
      <c r="W494" s="22">
        <v>0.64899739472672935</v>
      </c>
      <c r="X494" s="22">
        <v>0.68098622483683791</v>
      </c>
      <c r="Y494" s="22">
        <v>0.71297505494694646</v>
      </c>
      <c r="Z494" s="22">
        <v>0.7449638850570548</v>
      </c>
      <c r="AA494" s="22">
        <v>0.77695271516716335</v>
      </c>
      <c r="AB494" s="22">
        <v>0.80894154527727191</v>
      </c>
      <c r="AC494" s="22">
        <v>0.84093037538738036</v>
      </c>
      <c r="AD494" s="22">
        <v>0.8729192054974888</v>
      </c>
      <c r="AE494" s="22">
        <v>0.90490803560759736</v>
      </c>
    </row>
    <row r="495" spans="1:31" x14ac:dyDescent="0.25">
      <c r="A495" s="41" t="s">
        <v>1334</v>
      </c>
      <c r="B495" s="6" t="s">
        <v>66</v>
      </c>
      <c r="C495" s="6" t="s">
        <v>117</v>
      </c>
      <c r="D495" s="6">
        <v>2</v>
      </c>
      <c r="E495" s="6" t="s">
        <v>1211</v>
      </c>
      <c r="K495" s="22">
        <f>INDEX(Mitigation_Industry!K:K,MATCH($A495,Mitigation_Industry!$H:$H,0))</f>
        <v>0.48429424097343482</v>
      </c>
      <c r="L495" s="22">
        <f>INDEX(Mitigation_Industry!L:L,MATCH($A495,Mitigation_Industry!$H:$H,0))</f>
        <v>0.45642817050012813</v>
      </c>
      <c r="M495" s="22">
        <f>INDEX(Mitigation_Industry!M:M,MATCH($A495,Mitigation_Industry!$H:$H,0))</f>
        <v>0.43168920195599519</v>
      </c>
      <c r="N495" s="22">
        <f>INDEX(Mitigation_Industry!N:N,MATCH($A495,Mitigation_Industry!$H:$H,0))</f>
        <v>0.42507558395596989</v>
      </c>
      <c r="O495" s="22">
        <f>INDEX(Mitigation_Industry!O:O,MATCH($A495,Mitigation_Industry!$H:$H,0))</f>
        <v>0.42507558395596989</v>
      </c>
      <c r="P495" s="22">
        <f>INDEX(Mitigation_Industry!P:P,MATCH($A495,Mitigation_Industry!$H:$H,0))</f>
        <v>0.42507558395596989</v>
      </c>
      <c r="Q495" s="22">
        <f>INDEX(Mitigation_Industry!Q:Q,MATCH($A495,Mitigation_Industry!$H:$H,0))</f>
        <v>0.45706441406607839</v>
      </c>
      <c r="R495" s="22">
        <f>INDEX(Mitigation_Industry!R:R,MATCH($A495,Mitigation_Industry!$H:$H,0))</f>
        <v>0.4890532441761869</v>
      </c>
      <c r="S495" s="22">
        <f>INDEX(Mitigation_Industry!S:S,MATCH($A495,Mitigation_Industry!$H:$H,0))</f>
        <v>0.52104207428629545</v>
      </c>
      <c r="T495" s="22">
        <f>INDEX(Mitigation_Industry!T:T,MATCH($A495,Mitigation_Industry!$H:$H,0))</f>
        <v>0.5530309043964039</v>
      </c>
      <c r="U495" s="22">
        <f>INDEX(Mitigation_Industry!U:U,MATCH($A495,Mitigation_Industry!$H:$H,0))</f>
        <v>0.58501973450651246</v>
      </c>
      <c r="V495" s="22">
        <f>INDEX(Mitigation_Industry!V:V,MATCH($A495,Mitigation_Industry!$H:$H,0))</f>
        <v>0.6170085646166209</v>
      </c>
      <c r="W495" s="22">
        <f>INDEX(Mitigation_Industry!W:W,MATCH($A495,Mitigation_Industry!$H:$H,0))</f>
        <v>0.64899739472672935</v>
      </c>
      <c r="X495" s="22">
        <f>INDEX(Mitigation_Industry!X:X,MATCH($A495,Mitigation_Industry!$H:$H,0))</f>
        <v>0.68098622483683791</v>
      </c>
      <c r="Y495" s="22">
        <f>INDEX(Mitigation_Industry!Y:Y,MATCH($A495,Mitigation_Industry!$H:$H,0))</f>
        <v>0.71297505494694646</v>
      </c>
      <c r="Z495" s="22">
        <f>INDEX(Mitigation_Industry!Z:Z,MATCH($A495,Mitigation_Industry!$H:$H,0))</f>
        <v>0.7449638850570548</v>
      </c>
      <c r="AA495" s="22">
        <f>INDEX(Mitigation_Industry!AA:AA,MATCH($A495,Mitigation_Industry!$H:$H,0))</f>
        <v>0.77695271516716335</v>
      </c>
      <c r="AB495" s="22">
        <f>INDEX(Mitigation_Industry!AB:AB,MATCH($A495,Mitigation_Industry!$H:$H,0))</f>
        <v>0.80894154527727191</v>
      </c>
      <c r="AC495" s="22">
        <f>INDEX(Mitigation_Industry!AC:AC,MATCH($A495,Mitigation_Industry!$H:$H,0))</f>
        <v>0.84093037538738025</v>
      </c>
      <c r="AD495" s="22">
        <f>INDEX(Mitigation_Industry!AD:AD,MATCH($A495,Mitigation_Industry!$H:$H,0))</f>
        <v>0.8729192054974888</v>
      </c>
      <c r="AE495" s="22">
        <f>INDEX(Mitigation_Industry!AE:AE,MATCH($A495,Mitigation_Industry!$H:$H,0))</f>
        <v>0.90490803560759736</v>
      </c>
    </row>
    <row r="496" spans="1:31" x14ac:dyDescent="0.25">
      <c r="A496" s="41" t="s">
        <v>1334</v>
      </c>
      <c r="B496" s="6" t="s">
        <v>66</v>
      </c>
      <c r="C496" s="6" t="s">
        <v>117</v>
      </c>
      <c r="D496" s="6">
        <v>2</v>
      </c>
      <c r="E496" s="2" t="s">
        <v>1212</v>
      </c>
      <c r="F496" s="43">
        <f>MAX(MAX(L496:AE496),-MIN(L496:AE496))</f>
        <v>1.1102230246251565E-16</v>
      </c>
      <c r="K496" s="44">
        <f t="shared" ref="K496:AE496" si="122">IF(ISNUMBER(K494),IF(ISNUMBER(K495),K495-K494,999999),0)</f>
        <v>0</v>
      </c>
      <c r="L496" s="44">
        <f t="shared" si="122"/>
        <v>0</v>
      </c>
      <c r="M496" s="44">
        <f t="shared" si="122"/>
        <v>0</v>
      </c>
      <c r="N496" s="44">
        <f t="shared" si="122"/>
        <v>0</v>
      </c>
      <c r="O496" s="44">
        <f t="shared" si="122"/>
        <v>0</v>
      </c>
      <c r="P496" s="44">
        <f t="shared" si="122"/>
        <v>0</v>
      </c>
      <c r="Q496" s="44">
        <f t="shared" si="122"/>
        <v>-1.1102230246251565E-16</v>
      </c>
      <c r="R496" s="44">
        <f t="shared" si="122"/>
        <v>-1.1102230246251565E-16</v>
      </c>
      <c r="S496" s="44">
        <f t="shared" si="122"/>
        <v>0</v>
      </c>
      <c r="T496" s="44">
        <f t="shared" si="122"/>
        <v>0</v>
      </c>
      <c r="U496" s="44">
        <f t="shared" si="122"/>
        <v>0</v>
      </c>
      <c r="V496" s="44">
        <f t="shared" si="122"/>
        <v>0</v>
      </c>
      <c r="W496" s="44">
        <f t="shared" si="122"/>
        <v>0</v>
      </c>
      <c r="X496" s="44">
        <f t="shared" si="122"/>
        <v>0</v>
      </c>
      <c r="Y496" s="44">
        <f t="shared" si="122"/>
        <v>0</v>
      </c>
      <c r="Z496" s="44">
        <f t="shared" si="122"/>
        <v>0</v>
      </c>
      <c r="AA496" s="44">
        <f t="shared" si="122"/>
        <v>0</v>
      </c>
      <c r="AB496" s="44">
        <f t="shared" si="122"/>
        <v>0</v>
      </c>
      <c r="AC496" s="44">
        <f t="shared" si="122"/>
        <v>-1.1102230246251565E-16</v>
      </c>
      <c r="AD496" s="44">
        <f t="shared" si="122"/>
        <v>0</v>
      </c>
      <c r="AE496" s="44">
        <f t="shared" si="122"/>
        <v>0</v>
      </c>
    </row>
    <row r="498" spans="1:31" x14ac:dyDescent="0.25">
      <c r="A498" s="41" t="s">
        <v>1335</v>
      </c>
      <c r="B498" s="6" t="s">
        <v>68</v>
      </c>
      <c r="C498" s="6" t="s">
        <v>117</v>
      </c>
      <c r="D498" s="6">
        <v>2</v>
      </c>
      <c r="E498" s="6" t="s">
        <v>1210</v>
      </c>
      <c r="K498" s="22"/>
      <c r="L498" s="22">
        <v>34.415370304313228</v>
      </c>
      <c r="M498" s="22">
        <v>37.368960690432033</v>
      </c>
      <c r="N498" s="22">
        <v>28.982761101477251</v>
      </c>
      <c r="O498" s="22">
        <v>15</v>
      </c>
      <c r="P498" s="22">
        <v>24.2586300842555</v>
      </c>
      <c r="Q498" s="22">
        <v>18.963758196132449</v>
      </c>
      <c r="R498" s="22">
        <v>21.76034511401058</v>
      </c>
      <c r="S498" s="22">
        <v>26.079880691373621</v>
      </c>
      <c r="T498" s="22">
        <v>30.593682445209229</v>
      </c>
      <c r="U498" s="22">
        <v>34.990509739410058</v>
      </c>
      <c r="V498" s="22">
        <v>40.858059739410059</v>
      </c>
      <c r="W498" s="22">
        <v>46.725609739410061</v>
      </c>
      <c r="X498" s="22">
        <v>52.593159739410062</v>
      </c>
      <c r="Y498" s="22">
        <v>58.460709739410063</v>
      </c>
      <c r="Z498" s="22">
        <v>64.328259739410072</v>
      </c>
      <c r="AA498" s="22">
        <v>70.195809739410066</v>
      </c>
      <c r="AB498" s="22">
        <v>76.06335973941006</v>
      </c>
      <c r="AC498" s="22">
        <v>81.930909739410055</v>
      </c>
      <c r="AD498" s="22">
        <v>87.798459739410063</v>
      </c>
      <c r="AE498" s="22">
        <v>93.666009739410057</v>
      </c>
    </row>
    <row r="499" spans="1:31" x14ac:dyDescent="0.25">
      <c r="A499" s="41" t="s">
        <v>1335</v>
      </c>
      <c r="B499" s="6" t="s">
        <v>68</v>
      </c>
      <c r="C499" s="6" t="s">
        <v>117</v>
      </c>
      <c r="D499" s="6">
        <v>2</v>
      </c>
      <c r="E499" s="6" t="s">
        <v>1211</v>
      </c>
      <c r="K499" s="22">
        <f>INDEX(Mitigation_Industry!K:K,MATCH($A499,Mitigation_Industry!$H:$H,0))</f>
        <v>41.50033849886843</v>
      </c>
      <c r="L499" s="22">
        <f>INDEX(Mitigation_Industry!L:L,MATCH($A499,Mitigation_Industry!$H:$H,0))</f>
        <v>34.415370304313228</v>
      </c>
      <c r="M499" s="22">
        <f>INDEX(Mitigation_Industry!M:M,MATCH($A499,Mitigation_Industry!$H:$H,0))</f>
        <v>37.368960690432033</v>
      </c>
      <c r="N499" s="22">
        <f>INDEX(Mitigation_Industry!N:N,MATCH($A499,Mitigation_Industry!$H:$H,0))</f>
        <v>28.982761101477251</v>
      </c>
      <c r="O499" s="22">
        <f>INDEX(Mitigation_Industry!O:O,MATCH($A499,Mitigation_Industry!$H:$H,0))</f>
        <v>15</v>
      </c>
      <c r="P499" s="22">
        <f>INDEX(Mitigation_Industry!P:P,MATCH($A499,Mitigation_Industry!$H:$H,0))</f>
        <v>24.2586300842555</v>
      </c>
      <c r="Q499" s="22">
        <f>INDEX(Mitigation_Industry!Q:Q,MATCH($A499,Mitigation_Industry!$H:$H,0))</f>
        <v>18.963758196132449</v>
      </c>
      <c r="R499" s="22">
        <f>INDEX(Mitigation_Industry!R:R,MATCH($A499,Mitigation_Industry!$H:$H,0))</f>
        <v>21.76034511401058</v>
      </c>
      <c r="S499" s="22">
        <f>INDEX(Mitigation_Industry!S:S,MATCH($A499,Mitigation_Industry!$H:$H,0))</f>
        <v>26.079880691373617</v>
      </c>
      <c r="T499" s="22">
        <f>INDEX(Mitigation_Industry!T:T,MATCH($A499,Mitigation_Industry!$H:$H,0))</f>
        <v>30.593682445209222</v>
      </c>
      <c r="U499" s="22">
        <f>INDEX(Mitigation_Industry!U:U,MATCH($A499,Mitigation_Industry!$H:$H,0))</f>
        <v>34.990509739410058</v>
      </c>
      <c r="V499" s="22">
        <f>INDEX(Mitigation_Industry!V:V,MATCH($A499,Mitigation_Industry!$H:$H,0))</f>
        <v>40.858059739410059</v>
      </c>
      <c r="W499" s="22">
        <f>INDEX(Mitigation_Industry!W:W,MATCH($A499,Mitigation_Industry!$H:$H,0))</f>
        <v>46.725609739410061</v>
      </c>
      <c r="X499" s="22">
        <f>INDEX(Mitigation_Industry!X:X,MATCH($A499,Mitigation_Industry!$H:$H,0))</f>
        <v>52.593159739410055</v>
      </c>
      <c r="Y499" s="22">
        <f>INDEX(Mitigation_Industry!Y:Y,MATCH($A499,Mitigation_Industry!$H:$H,0))</f>
        <v>58.460709739410071</v>
      </c>
      <c r="Z499" s="22">
        <f>INDEX(Mitigation_Industry!Z:Z,MATCH($A499,Mitigation_Industry!$H:$H,0))</f>
        <v>64.328259739410072</v>
      </c>
      <c r="AA499" s="22">
        <f>INDEX(Mitigation_Industry!AA:AA,MATCH($A499,Mitigation_Industry!$H:$H,0))</f>
        <v>70.195809739410066</v>
      </c>
      <c r="AB499" s="22">
        <f>INDEX(Mitigation_Industry!AB:AB,MATCH($A499,Mitigation_Industry!$H:$H,0))</f>
        <v>76.06335973941006</v>
      </c>
      <c r="AC499" s="22">
        <f>INDEX(Mitigation_Industry!AC:AC,MATCH($A499,Mitigation_Industry!$H:$H,0))</f>
        <v>81.930909739410055</v>
      </c>
      <c r="AD499" s="22">
        <f>INDEX(Mitigation_Industry!AD:AD,MATCH($A499,Mitigation_Industry!$H:$H,0))</f>
        <v>87.798459739410063</v>
      </c>
      <c r="AE499" s="22">
        <f>INDEX(Mitigation_Industry!AE:AE,MATCH($A499,Mitigation_Industry!$H:$H,0))</f>
        <v>93.666009739410057</v>
      </c>
    </row>
    <row r="500" spans="1:31" x14ac:dyDescent="0.25">
      <c r="A500" s="41" t="s">
        <v>1335</v>
      </c>
      <c r="B500" s="6" t="s">
        <v>68</v>
      </c>
      <c r="C500" s="6" t="s">
        <v>117</v>
      </c>
      <c r="D500" s="6">
        <v>2</v>
      </c>
      <c r="E500" s="2" t="s">
        <v>1212</v>
      </c>
      <c r="F500" s="43">
        <f>MAX(MAX(L500:AE500),-MIN(L500:AE500))</f>
        <v>7.1054273576010019E-15</v>
      </c>
      <c r="K500" s="44">
        <f t="shared" ref="K500:AE500" si="123">IF(ISNUMBER(K498),IF(ISNUMBER(K499),K499-K498,999999),0)</f>
        <v>0</v>
      </c>
      <c r="L500" s="44">
        <f t="shared" si="123"/>
        <v>0</v>
      </c>
      <c r="M500" s="44">
        <f t="shared" si="123"/>
        <v>0</v>
      </c>
      <c r="N500" s="44">
        <f t="shared" si="123"/>
        <v>0</v>
      </c>
      <c r="O500" s="44">
        <f t="shared" si="123"/>
        <v>0</v>
      </c>
      <c r="P500" s="44">
        <f t="shared" si="123"/>
        <v>0</v>
      </c>
      <c r="Q500" s="44">
        <f t="shared" si="123"/>
        <v>0</v>
      </c>
      <c r="R500" s="44">
        <f t="shared" si="123"/>
        <v>0</v>
      </c>
      <c r="S500" s="44">
        <f t="shared" si="123"/>
        <v>-3.5527136788005009E-15</v>
      </c>
      <c r="T500" s="44">
        <f t="shared" si="123"/>
        <v>-7.1054273576010019E-15</v>
      </c>
      <c r="U500" s="44">
        <f t="shared" si="123"/>
        <v>0</v>
      </c>
      <c r="V500" s="44">
        <f t="shared" si="123"/>
        <v>0</v>
      </c>
      <c r="W500" s="44">
        <f t="shared" si="123"/>
        <v>0</v>
      </c>
      <c r="X500" s="44">
        <f t="shared" si="123"/>
        <v>-7.1054273576010019E-15</v>
      </c>
      <c r="Y500" s="44">
        <f t="shared" si="123"/>
        <v>7.1054273576010019E-15</v>
      </c>
      <c r="Z500" s="44">
        <f t="shared" si="123"/>
        <v>0</v>
      </c>
      <c r="AA500" s="44">
        <f t="shared" si="123"/>
        <v>0</v>
      </c>
      <c r="AB500" s="44">
        <f t="shared" si="123"/>
        <v>0</v>
      </c>
      <c r="AC500" s="44">
        <f t="shared" si="123"/>
        <v>0</v>
      </c>
      <c r="AD500" s="44">
        <f t="shared" si="123"/>
        <v>0</v>
      </c>
      <c r="AE500" s="44">
        <f t="shared" si="123"/>
        <v>0</v>
      </c>
    </row>
    <row r="502" spans="1:31" x14ac:dyDescent="0.25">
      <c r="A502" s="41" t="s">
        <v>1336</v>
      </c>
      <c r="B502" s="6" t="s">
        <v>71</v>
      </c>
      <c r="C502" s="6" t="s">
        <v>117</v>
      </c>
      <c r="D502" s="6">
        <v>2</v>
      </c>
      <c r="E502" s="6" t="s">
        <v>1210</v>
      </c>
      <c r="K502" s="22"/>
      <c r="L502" s="22">
        <v>14.199528390634921</v>
      </c>
      <c r="M502" s="22">
        <v>13.840441613315161</v>
      </c>
      <c r="N502" s="22">
        <v>13.5677269404465</v>
      </c>
      <c r="O502" s="22">
        <v>13.5677269404465</v>
      </c>
      <c r="P502" s="22">
        <v>13.5677269404465</v>
      </c>
      <c r="Q502" s="22">
        <v>13.5677269404465</v>
      </c>
      <c r="R502" s="22">
        <v>13.5677269404465</v>
      </c>
      <c r="S502" s="22">
        <v>13.5677269404465</v>
      </c>
      <c r="T502" s="22">
        <v>13.5677269404465</v>
      </c>
      <c r="U502" s="22">
        <v>13.5677269404465</v>
      </c>
      <c r="V502" s="22">
        <v>13.5677269404465</v>
      </c>
      <c r="W502" s="22">
        <v>13.5677269404465</v>
      </c>
      <c r="X502" s="22">
        <v>13.5677269404465</v>
      </c>
      <c r="Y502" s="22">
        <v>13.5677269404465</v>
      </c>
      <c r="Z502" s="22">
        <v>13.5677269404465</v>
      </c>
      <c r="AA502" s="22">
        <v>13.5677269404465</v>
      </c>
      <c r="AB502" s="22">
        <v>13.5677269404465</v>
      </c>
      <c r="AC502" s="22">
        <v>13.5677269404465</v>
      </c>
      <c r="AD502" s="22">
        <v>13.5677269404465</v>
      </c>
      <c r="AE502" s="22">
        <v>13.5677269404465</v>
      </c>
    </row>
    <row r="503" spans="1:31" x14ac:dyDescent="0.25">
      <c r="A503" s="41" t="s">
        <v>1336</v>
      </c>
      <c r="B503" s="6" t="s">
        <v>71</v>
      </c>
      <c r="C503" s="6" t="s">
        <v>117</v>
      </c>
      <c r="D503" s="6">
        <v>2</v>
      </c>
      <c r="E503" s="6" t="s">
        <v>1211</v>
      </c>
      <c r="K503" s="22">
        <f>INDEX(Mitigation_Industry!K:K,MATCH($A503,Mitigation_Industry!$H:$H,0))</f>
        <v>15.33455052931693</v>
      </c>
      <c r="L503" s="22">
        <f>INDEX(Mitigation_Industry!L:L,MATCH($A503,Mitigation_Industry!$H:$H,0))</f>
        <v>14.199528390634921</v>
      </c>
      <c r="M503" s="22">
        <f>INDEX(Mitigation_Industry!M:M,MATCH($A503,Mitigation_Industry!$H:$H,0))</f>
        <v>13.840441613315161</v>
      </c>
      <c r="N503" s="22">
        <f>INDEX(Mitigation_Industry!N:N,MATCH($A503,Mitigation_Industry!$H:$H,0))</f>
        <v>13.5677269404465</v>
      </c>
      <c r="O503" s="22">
        <f>INDEX(Mitigation_Industry!O:O,MATCH($A503,Mitigation_Industry!$H:$H,0))</f>
        <v>13.5677269404465</v>
      </c>
      <c r="P503" s="22">
        <f>INDEX(Mitigation_Industry!P:P,MATCH($A503,Mitigation_Industry!$H:$H,0))</f>
        <v>13.5677269404465</v>
      </c>
      <c r="Q503" s="22">
        <f>INDEX(Mitigation_Industry!Q:Q,MATCH($A503,Mitigation_Industry!$H:$H,0))</f>
        <v>13.5677269404465</v>
      </c>
      <c r="R503" s="22">
        <f>INDEX(Mitigation_Industry!R:R,MATCH($A503,Mitigation_Industry!$H:$H,0))</f>
        <v>13.5677269404465</v>
      </c>
      <c r="S503" s="22">
        <f>INDEX(Mitigation_Industry!S:S,MATCH($A503,Mitigation_Industry!$H:$H,0))</f>
        <v>13.5677269404465</v>
      </c>
      <c r="T503" s="22">
        <f>INDEX(Mitigation_Industry!T:T,MATCH($A503,Mitigation_Industry!$H:$H,0))</f>
        <v>13.5677269404465</v>
      </c>
      <c r="U503" s="22">
        <f>INDEX(Mitigation_Industry!U:U,MATCH($A503,Mitigation_Industry!$H:$H,0))</f>
        <v>13.5677269404465</v>
      </c>
      <c r="V503" s="22">
        <f>INDEX(Mitigation_Industry!V:V,MATCH($A503,Mitigation_Industry!$H:$H,0))</f>
        <v>13.5677269404465</v>
      </c>
      <c r="W503" s="22">
        <f>INDEX(Mitigation_Industry!W:W,MATCH($A503,Mitigation_Industry!$H:$H,0))</f>
        <v>13.5677269404465</v>
      </c>
      <c r="X503" s="22">
        <f>INDEX(Mitigation_Industry!X:X,MATCH($A503,Mitigation_Industry!$H:$H,0))</f>
        <v>13.5677269404465</v>
      </c>
      <c r="Y503" s="22">
        <f>INDEX(Mitigation_Industry!Y:Y,MATCH($A503,Mitigation_Industry!$H:$H,0))</f>
        <v>13.5677269404465</v>
      </c>
      <c r="Z503" s="22">
        <f>INDEX(Mitigation_Industry!Z:Z,MATCH($A503,Mitigation_Industry!$H:$H,0))</f>
        <v>13.5677269404465</v>
      </c>
      <c r="AA503" s="22">
        <f>INDEX(Mitigation_Industry!AA:AA,MATCH($A503,Mitigation_Industry!$H:$H,0))</f>
        <v>13.5677269404465</v>
      </c>
      <c r="AB503" s="22">
        <f>INDEX(Mitigation_Industry!AB:AB,MATCH($A503,Mitigation_Industry!$H:$H,0))</f>
        <v>13.5677269404465</v>
      </c>
      <c r="AC503" s="22">
        <f>INDEX(Mitigation_Industry!AC:AC,MATCH($A503,Mitigation_Industry!$H:$H,0))</f>
        <v>13.5677269404465</v>
      </c>
      <c r="AD503" s="22">
        <f>INDEX(Mitigation_Industry!AD:AD,MATCH($A503,Mitigation_Industry!$H:$H,0))</f>
        <v>13.5677269404465</v>
      </c>
      <c r="AE503" s="22">
        <f>INDEX(Mitigation_Industry!AE:AE,MATCH($A503,Mitigation_Industry!$H:$H,0))</f>
        <v>13.5677269404465</v>
      </c>
    </row>
    <row r="504" spans="1:31" x14ac:dyDescent="0.25">
      <c r="A504" s="41" t="s">
        <v>1336</v>
      </c>
      <c r="B504" s="6" t="s">
        <v>71</v>
      </c>
      <c r="C504" s="6" t="s">
        <v>117</v>
      </c>
      <c r="D504" s="6">
        <v>2</v>
      </c>
      <c r="E504" s="2" t="s">
        <v>1212</v>
      </c>
      <c r="F504" s="43">
        <f>MAX(MAX(L504:AE504),-MIN(L504:AE504))</f>
        <v>0</v>
      </c>
      <c r="K504" s="44">
        <f t="shared" ref="K504:AE504" si="124">IF(ISNUMBER(K502),IF(ISNUMBER(K503),K503-K502,999999),0)</f>
        <v>0</v>
      </c>
      <c r="L504" s="44">
        <f t="shared" si="124"/>
        <v>0</v>
      </c>
      <c r="M504" s="44">
        <f t="shared" si="124"/>
        <v>0</v>
      </c>
      <c r="N504" s="44">
        <f t="shared" si="124"/>
        <v>0</v>
      </c>
      <c r="O504" s="44">
        <f t="shared" si="124"/>
        <v>0</v>
      </c>
      <c r="P504" s="44">
        <f t="shared" si="124"/>
        <v>0</v>
      </c>
      <c r="Q504" s="44">
        <f t="shared" si="124"/>
        <v>0</v>
      </c>
      <c r="R504" s="44">
        <f t="shared" si="124"/>
        <v>0</v>
      </c>
      <c r="S504" s="44">
        <f t="shared" si="124"/>
        <v>0</v>
      </c>
      <c r="T504" s="44">
        <f t="shared" si="124"/>
        <v>0</v>
      </c>
      <c r="U504" s="44">
        <f t="shared" si="124"/>
        <v>0</v>
      </c>
      <c r="V504" s="44">
        <f t="shared" si="124"/>
        <v>0</v>
      </c>
      <c r="W504" s="44">
        <f t="shared" si="124"/>
        <v>0</v>
      </c>
      <c r="X504" s="44">
        <f t="shared" si="124"/>
        <v>0</v>
      </c>
      <c r="Y504" s="44">
        <f t="shared" si="124"/>
        <v>0</v>
      </c>
      <c r="Z504" s="44">
        <f t="shared" si="124"/>
        <v>0</v>
      </c>
      <c r="AA504" s="44">
        <f t="shared" si="124"/>
        <v>0</v>
      </c>
      <c r="AB504" s="44">
        <f t="shared" si="124"/>
        <v>0</v>
      </c>
      <c r="AC504" s="44">
        <f t="shared" si="124"/>
        <v>0</v>
      </c>
      <c r="AD504" s="44">
        <f t="shared" si="124"/>
        <v>0</v>
      </c>
      <c r="AE504" s="44">
        <f t="shared" si="124"/>
        <v>0</v>
      </c>
    </row>
    <row r="506" spans="1:31" x14ac:dyDescent="0.25">
      <c r="A506" s="41" t="s">
        <v>1337</v>
      </c>
      <c r="B506" s="6" t="s">
        <v>73</v>
      </c>
      <c r="C506" s="6" t="s">
        <v>117</v>
      </c>
      <c r="D506" s="6">
        <v>2</v>
      </c>
      <c r="E506" s="6" t="s">
        <v>1210</v>
      </c>
      <c r="K506" s="22"/>
      <c r="L506" s="22">
        <v>0.14404498679319799</v>
      </c>
      <c r="M506" s="22">
        <v>0.14138624175135939</v>
      </c>
      <c r="N506" s="22">
        <v>0.1353975654437313</v>
      </c>
      <c r="O506" s="22">
        <v>0.13152288542065141</v>
      </c>
      <c r="P506" s="22">
        <v>0.12882610848523129</v>
      </c>
      <c r="Q506" s="22">
        <v>0.1259420097647401</v>
      </c>
      <c r="R506" s="22">
        <v>0.1231132657018609</v>
      </c>
      <c r="S506" s="22">
        <v>0.1193917380890684</v>
      </c>
      <c r="T506" s="22">
        <v>0.1155441904679203</v>
      </c>
      <c r="U506" s="22">
        <v>0.11492423065415899</v>
      </c>
      <c r="V506" s="22">
        <v>0.11434691211673639</v>
      </c>
      <c r="W506" s="22">
        <v>0.1137387111726635</v>
      </c>
      <c r="X506" s="22">
        <v>0.1129999004875214</v>
      </c>
      <c r="Y506" s="22">
        <v>0.11217768583553429</v>
      </c>
      <c r="Z506" s="22">
        <v>0.1114179032504042</v>
      </c>
      <c r="AA506" s="22">
        <v>0.1105258199854538</v>
      </c>
      <c r="AB506" s="22">
        <v>0.1096995652348958</v>
      </c>
      <c r="AC506" s="22">
        <v>0.1077267889639492</v>
      </c>
      <c r="AD506" s="22">
        <v>0.1058209244509353</v>
      </c>
      <c r="AE506" s="22">
        <v>0.1038555957057212</v>
      </c>
    </row>
    <row r="507" spans="1:31" x14ac:dyDescent="0.25">
      <c r="A507" s="41" t="s">
        <v>1337</v>
      </c>
      <c r="B507" s="6" t="s">
        <v>73</v>
      </c>
      <c r="C507" s="6" t="s">
        <v>117</v>
      </c>
      <c r="D507" s="6">
        <v>2</v>
      </c>
      <c r="E507" s="6" t="s">
        <v>1211</v>
      </c>
      <c r="K507" s="22">
        <f>INDEX(Mitigation_Industry!K:K,MATCH($A507,Mitigation_Industry!$H:$H,0))</f>
        <v>0</v>
      </c>
      <c r="L507" s="22">
        <f>INDEX(Mitigation_Industry!L:L,MATCH($A507,Mitigation_Industry!$H:$H,0))</f>
        <v>0.14404498679319799</v>
      </c>
      <c r="M507" s="22">
        <f>INDEX(Mitigation_Industry!M:M,MATCH($A507,Mitigation_Industry!$H:$H,0))</f>
        <v>0.14138624175135939</v>
      </c>
      <c r="N507" s="22">
        <f>INDEX(Mitigation_Industry!N:N,MATCH($A507,Mitigation_Industry!$H:$H,0))</f>
        <v>0.1353975654437313</v>
      </c>
      <c r="O507" s="22">
        <f>INDEX(Mitigation_Industry!O:O,MATCH($A507,Mitigation_Industry!$H:$H,0))</f>
        <v>0.13152288542065141</v>
      </c>
      <c r="P507" s="22">
        <f>INDEX(Mitigation_Industry!P:P,MATCH($A507,Mitigation_Industry!$H:$H,0))</f>
        <v>0.12882610848523129</v>
      </c>
      <c r="Q507" s="22">
        <f>INDEX(Mitigation_Industry!Q:Q,MATCH($A507,Mitigation_Industry!$H:$H,0))</f>
        <v>0.1259420097647401</v>
      </c>
      <c r="R507" s="22">
        <f>INDEX(Mitigation_Industry!R:R,MATCH($A507,Mitigation_Industry!$H:$H,0))</f>
        <v>0.1231132657018609</v>
      </c>
      <c r="S507" s="22">
        <f>INDEX(Mitigation_Industry!S:S,MATCH($A507,Mitigation_Industry!$H:$H,0))</f>
        <v>0.1193917380890684</v>
      </c>
      <c r="T507" s="22">
        <f>INDEX(Mitigation_Industry!T:T,MATCH($A507,Mitigation_Industry!$H:$H,0))</f>
        <v>0.1155441904679203</v>
      </c>
      <c r="U507" s="22">
        <f>INDEX(Mitigation_Industry!U:U,MATCH($A507,Mitigation_Industry!$H:$H,0))</f>
        <v>0.11492423065415899</v>
      </c>
      <c r="V507" s="22">
        <f>INDEX(Mitigation_Industry!V:V,MATCH($A507,Mitigation_Industry!$H:$H,0))</f>
        <v>0.11434691211673639</v>
      </c>
      <c r="W507" s="22">
        <f>INDEX(Mitigation_Industry!W:W,MATCH($A507,Mitigation_Industry!$H:$H,0))</f>
        <v>0.1137387111726635</v>
      </c>
      <c r="X507" s="22">
        <f>INDEX(Mitigation_Industry!X:X,MATCH($A507,Mitigation_Industry!$H:$H,0))</f>
        <v>0.1129999004875214</v>
      </c>
      <c r="Y507" s="22">
        <f>INDEX(Mitigation_Industry!Y:Y,MATCH($A507,Mitigation_Industry!$H:$H,0))</f>
        <v>0.11217768583553429</v>
      </c>
      <c r="Z507" s="22">
        <f>INDEX(Mitigation_Industry!Z:Z,MATCH($A507,Mitigation_Industry!$H:$H,0))</f>
        <v>0.1114179032504042</v>
      </c>
      <c r="AA507" s="22">
        <f>INDEX(Mitigation_Industry!AA:AA,MATCH($A507,Mitigation_Industry!$H:$H,0))</f>
        <v>0.1105258199854538</v>
      </c>
      <c r="AB507" s="22">
        <f>INDEX(Mitigation_Industry!AB:AB,MATCH($A507,Mitigation_Industry!$H:$H,0))</f>
        <v>0.1096995652348958</v>
      </c>
      <c r="AC507" s="22">
        <f>INDEX(Mitigation_Industry!AC:AC,MATCH($A507,Mitigation_Industry!$H:$H,0))</f>
        <v>0.1077267889639492</v>
      </c>
      <c r="AD507" s="22">
        <f>INDEX(Mitigation_Industry!AD:AD,MATCH($A507,Mitigation_Industry!$H:$H,0))</f>
        <v>0.1058209244509353</v>
      </c>
      <c r="AE507" s="22">
        <f>INDEX(Mitigation_Industry!AE:AE,MATCH($A507,Mitigation_Industry!$H:$H,0))</f>
        <v>0.1038555957057212</v>
      </c>
    </row>
    <row r="508" spans="1:31" x14ac:dyDescent="0.25">
      <c r="A508" s="41" t="s">
        <v>1337</v>
      </c>
      <c r="B508" s="6" t="s">
        <v>73</v>
      </c>
      <c r="C508" s="6" t="s">
        <v>117</v>
      </c>
      <c r="D508" s="6">
        <v>2</v>
      </c>
      <c r="E508" s="2" t="s">
        <v>1212</v>
      </c>
      <c r="F508" s="43">
        <f>MAX(MAX(L508:AE508),-MIN(L508:AE508))</f>
        <v>0</v>
      </c>
      <c r="K508" s="44">
        <f t="shared" ref="K508:AE508" si="125">IF(ISNUMBER(K506),IF(ISNUMBER(K507),K507-K506,999999),0)</f>
        <v>0</v>
      </c>
      <c r="L508" s="44">
        <f t="shared" si="125"/>
        <v>0</v>
      </c>
      <c r="M508" s="44">
        <f t="shared" si="125"/>
        <v>0</v>
      </c>
      <c r="N508" s="44">
        <f t="shared" si="125"/>
        <v>0</v>
      </c>
      <c r="O508" s="44">
        <f t="shared" si="125"/>
        <v>0</v>
      </c>
      <c r="P508" s="44">
        <f t="shared" si="125"/>
        <v>0</v>
      </c>
      <c r="Q508" s="44">
        <f t="shared" si="125"/>
        <v>0</v>
      </c>
      <c r="R508" s="44">
        <f t="shared" si="125"/>
        <v>0</v>
      </c>
      <c r="S508" s="44">
        <f t="shared" si="125"/>
        <v>0</v>
      </c>
      <c r="T508" s="44">
        <f t="shared" si="125"/>
        <v>0</v>
      </c>
      <c r="U508" s="44">
        <f t="shared" si="125"/>
        <v>0</v>
      </c>
      <c r="V508" s="44">
        <f t="shared" si="125"/>
        <v>0</v>
      </c>
      <c r="W508" s="44">
        <f t="shared" si="125"/>
        <v>0</v>
      </c>
      <c r="X508" s="44">
        <f t="shared" si="125"/>
        <v>0</v>
      </c>
      <c r="Y508" s="44">
        <f t="shared" si="125"/>
        <v>0</v>
      </c>
      <c r="Z508" s="44">
        <f t="shared" si="125"/>
        <v>0</v>
      </c>
      <c r="AA508" s="44">
        <f t="shared" si="125"/>
        <v>0</v>
      </c>
      <c r="AB508" s="44">
        <f t="shared" si="125"/>
        <v>0</v>
      </c>
      <c r="AC508" s="44">
        <f t="shared" si="125"/>
        <v>0</v>
      </c>
      <c r="AD508" s="44">
        <f t="shared" si="125"/>
        <v>0</v>
      </c>
      <c r="AE508" s="44">
        <f t="shared" si="125"/>
        <v>0</v>
      </c>
    </row>
    <row r="510" spans="1:31" x14ac:dyDescent="0.25">
      <c r="A510" s="41" t="s">
        <v>1338</v>
      </c>
      <c r="B510" s="6" t="s">
        <v>53</v>
      </c>
      <c r="C510" s="6" t="s">
        <v>119</v>
      </c>
      <c r="D510" s="6">
        <v>2</v>
      </c>
      <c r="E510" s="6" t="s">
        <v>1210</v>
      </c>
      <c r="K510" s="22"/>
      <c r="L510" s="22">
        <v>10.52336134543121</v>
      </c>
      <c r="M510" s="22">
        <v>10.299560827444211</v>
      </c>
      <c r="N510" s="22">
        <v>9.5775283595382632</v>
      </c>
      <c r="O510" s="22">
        <v>8.4854782869580454</v>
      </c>
      <c r="P510" s="22">
        <v>9.0871922352498604</v>
      </c>
      <c r="Q510" s="22">
        <v>10.472923728932679</v>
      </c>
      <c r="R510" s="22">
        <v>11.658564955509689</v>
      </c>
      <c r="S510" s="22">
        <v>12.839547877397379</v>
      </c>
      <c r="T510" s="22">
        <v>14.01568166602283</v>
      </c>
      <c r="U510" s="22">
        <v>15.19439776555711</v>
      </c>
      <c r="V510" s="22">
        <v>16.44439776555711</v>
      </c>
      <c r="W510" s="22">
        <v>17.69439776555711</v>
      </c>
      <c r="X510" s="22">
        <v>18.94439776555711</v>
      </c>
      <c r="Y510" s="22">
        <v>20.19439776555711</v>
      </c>
      <c r="Z510" s="22">
        <v>21.44439776555711</v>
      </c>
      <c r="AA510" s="22">
        <v>22.69439776555711</v>
      </c>
      <c r="AB510" s="22">
        <v>23.94439776555711</v>
      </c>
      <c r="AC510" s="22">
        <v>25.19439776555711</v>
      </c>
      <c r="AD510" s="22">
        <v>26.44439776555711</v>
      </c>
      <c r="AE510" s="22">
        <v>27.69439776555711</v>
      </c>
    </row>
    <row r="511" spans="1:31" x14ac:dyDescent="0.25">
      <c r="A511" s="41" t="s">
        <v>1338</v>
      </c>
      <c r="B511" s="6" t="s">
        <v>53</v>
      </c>
      <c r="C511" s="6" t="s">
        <v>119</v>
      </c>
      <c r="D511" s="6">
        <v>2</v>
      </c>
      <c r="E511" s="6" t="s">
        <v>1211</v>
      </c>
      <c r="K511" s="22">
        <f>INDEX(Mitigation_Industry!K:K,MATCH($A511,Mitigation_Industry!$H:$H,0))</f>
        <v>11.18290158924394</v>
      </c>
      <c r="L511" s="22">
        <f>INDEX(Mitigation_Industry!L:L,MATCH($A511,Mitigation_Industry!$H:$H,0))</f>
        <v>10.52336134543121</v>
      </c>
      <c r="M511" s="22">
        <f>INDEX(Mitigation_Industry!M:M,MATCH($A511,Mitigation_Industry!$H:$H,0))</f>
        <v>10.299560827444211</v>
      </c>
      <c r="N511" s="22">
        <f>INDEX(Mitigation_Industry!N:N,MATCH($A511,Mitigation_Industry!$H:$H,0))</f>
        <v>9.5775283595382632</v>
      </c>
      <c r="O511" s="22">
        <f>INDEX(Mitigation_Industry!O:O,MATCH($A511,Mitigation_Industry!$H:$H,0))</f>
        <v>8.4854782869580454</v>
      </c>
      <c r="P511" s="22">
        <f>INDEX(Mitigation_Industry!P:P,MATCH($A511,Mitigation_Industry!$H:$H,0))</f>
        <v>9.0871922352498604</v>
      </c>
      <c r="Q511" s="22">
        <f>INDEX(Mitigation_Industry!Q:Q,MATCH($A511,Mitigation_Industry!$H:$H,0))</f>
        <v>10.472923728932681</v>
      </c>
      <c r="R511" s="22">
        <f>INDEX(Mitigation_Industry!R:R,MATCH($A511,Mitigation_Industry!$H:$H,0))</f>
        <v>11.658564955509688</v>
      </c>
      <c r="S511" s="22">
        <f>INDEX(Mitigation_Industry!S:S,MATCH($A511,Mitigation_Industry!$H:$H,0))</f>
        <v>12.839547877397377</v>
      </c>
      <c r="T511" s="22">
        <f>INDEX(Mitigation_Industry!T:T,MATCH($A511,Mitigation_Industry!$H:$H,0))</f>
        <v>14.01568166602283</v>
      </c>
      <c r="U511" s="22">
        <f>INDEX(Mitigation_Industry!U:U,MATCH($A511,Mitigation_Industry!$H:$H,0))</f>
        <v>15.194397765557106</v>
      </c>
      <c r="V511" s="22">
        <f>INDEX(Mitigation_Industry!V:V,MATCH($A511,Mitigation_Industry!$H:$H,0))</f>
        <v>16.444397765557106</v>
      </c>
      <c r="W511" s="22">
        <f>INDEX(Mitigation_Industry!W:W,MATCH($A511,Mitigation_Industry!$H:$H,0))</f>
        <v>17.694397765557106</v>
      </c>
      <c r="X511" s="22">
        <f>INDEX(Mitigation_Industry!X:X,MATCH($A511,Mitigation_Industry!$H:$H,0))</f>
        <v>18.944397765557106</v>
      </c>
      <c r="Y511" s="22">
        <f>INDEX(Mitigation_Industry!Y:Y,MATCH($A511,Mitigation_Industry!$H:$H,0))</f>
        <v>20.194397765557106</v>
      </c>
      <c r="Z511" s="22">
        <f>INDEX(Mitigation_Industry!Z:Z,MATCH($A511,Mitigation_Industry!$H:$H,0))</f>
        <v>21.444397765557106</v>
      </c>
      <c r="AA511" s="22">
        <f>INDEX(Mitigation_Industry!AA:AA,MATCH($A511,Mitigation_Industry!$H:$H,0))</f>
        <v>22.694397765557106</v>
      </c>
      <c r="AB511" s="22">
        <f>INDEX(Mitigation_Industry!AB:AB,MATCH($A511,Mitigation_Industry!$H:$H,0))</f>
        <v>23.944397765557106</v>
      </c>
      <c r="AC511" s="22">
        <f>INDEX(Mitigation_Industry!AC:AC,MATCH($A511,Mitigation_Industry!$H:$H,0))</f>
        <v>25.194397765557106</v>
      </c>
      <c r="AD511" s="22">
        <f>INDEX(Mitigation_Industry!AD:AD,MATCH($A511,Mitigation_Industry!$H:$H,0))</f>
        <v>26.444397765557106</v>
      </c>
      <c r="AE511" s="22">
        <f>INDEX(Mitigation_Industry!AE:AE,MATCH($A511,Mitigation_Industry!$H:$H,0))</f>
        <v>27.694397765557106</v>
      </c>
    </row>
    <row r="512" spans="1:31" x14ac:dyDescent="0.25">
      <c r="A512" s="41" t="s">
        <v>1338</v>
      </c>
      <c r="B512" s="6" t="s">
        <v>53</v>
      </c>
      <c r="C512" s="6" t="s">
        <v>119</v>
      </c>
      <c r="D512" s="6">
        <v>2</v>
      </c>
      <c r="E512" s="2" t="s">
        <v>1212</v>
      </c>
      <c r="F512" s="43">
        <f>MAX(MAX(L512:AE512),-MIN(L512:AE512))</f>
        <v>3.5527136788005009E-15</v>
      </c>
      <c r="K512" s="44">
        <f t="shared" ref="K512:AE512" si="126">IF(ISNUMBER(K510),IF(ISNUMBER(K511),K511-K510,999999),0)</f>
        <v>0</v>
      </c>
      <c r="L512" s="44">
        <f t="shared" si="126"/>
        <v>0</v>
      </c>
      <c r="M512" s="44">
        <f t="shared" si="126"/>
        <v>0</v>
      </c>
      <c r="N512" s="44">
        <f t="shared" si="126"/>
        <v>0</v>
      </c>
      <c r="O512" s="44">
        <f t="shared" si="126"/>
        <v>0</v>
      </c>
      <c r="P512" s="44">
        <f t="shared" si="126"/>
        <v>0</v>
      </c>
      <c r="Q512" s="44">
        <f t="shared" si="126"/>
        <v>1.7763568394002505E-15</v>
      </c>
      <c r="R512" s="44">
        <f t="shared" si="126"/>
        <v>-1.7763568394002505E-15</v>
      </c>
      <c r="S512" s="44">
        <f t="shared" si="126"/>
        <v>-1.7763568394002505E-15</v>
      </c>
      <c r="T512" s="44">
        <f t="shared" si="126"/>
        <v>0</v>
      </c>
      <c r="U512" s="44">
        <f t="shared" si="126"/>
        <v>-3.5527136788005009E-15</v>
      </c>
      <c r="V512" s="44">
        <f t="shared" si="126"/>
        <v>-3.5527136788005009E-15</v>
      </c>
      <c r="W512" s="44">
        <f t="shared" si="126"/>
        <v>-3.5527136788005009E-15</v>
      </c>
      <c r="X512" s="44">
        <f t="shared" si="126"/>
        <v>-3.5527136788005009E-15</v>
      </c>
      <c r="Y512" s="44">
        <f t="shared" si="126"/>
        <v>-3.5527136788005009E-15</v>
      </c>
      <c r="Z512" s="44">
        <f t="shared" si="126"/>
        <v>-3.5527136788005009E-15</v>
      </c>
      <c r="AA512" s="44">
        <f t="shared" si="126"/>
        <v>-3.5527136788005009E-15</v>
      </c>
      <c r="AB512" s="44">
        <f t="shared" si="126"/>
        <v>-3.5527136788005009E-15</v>
      </c>
      <c r="AC512" s="44">
        <f t="shared" si="126"/>
        <v>-3.5527136788005009E-15</v>
      </c>
      <c r="AD512" s="44">
        <f t="shared" si="126"/>
        <v>-3.5527136788005009E-15</v>
      </c>
      <c r="AE512" s="44">
        <f t="shared" si="126"/>
        <v>-3.5527136788005009E-15</v>
      </c>
    </row>
    <row r="514" spans="1:31" x14ac:dyDescent="0.25">
      <c r="A514" s="41" t="s">
        <v>1339</v>
      </c>
      <c r="B514" s="6" t="s">
        <v>57</v>
      </c>
      <c r="C514" s="6" t="s">
        <v>119</v>
      </c>
      <c r="D514" s="6">
        <v>2</v>
      </c>
      <c r="E514" s="6" t="s">
        <v>1210</v>
      </c>
      <c r="K514" s="22"/>
      <c r="L514" s="22">
        <v>5.4510150816191896</v>
      </c>
      <c r="M514" s="22">
        <v>5.1193563062624818</v>
      </c>
      <c r="N514" s="22">
        <v>5.0821845864040727</v>
      </c>
      <c r="O514" s="22">
        <v>5.0821845864040727</v>
      </c>
      <c r="P514" s="22">
        <v>5.0821845864040727</v>
      </c>
      <c r="Q514" s="22">
        <v>5.7796845864040716</v>
      </c>
      <c r="R514" s="22">
        <v>6.4771845864040722</v>
      </c>
      <c r="S514" s="22">
        <v>7.1746845864040729</v>
      </c>
      <c r="T514" s="22">
        <v>7.8721845864040727</v>
      </c>
      <c r="U514" s="22">
        <v>8.5696845864040725</v>
      </c>
      <c r="V514" s="22">
        <v>9.2671845864040723</v>
      </c>
      <c r="W514" s="22">
        <v>9.9646845864040721</v>
      </c>
      <c r="X514" s="22">
        <v>10.66218458640407</v>
      </c>
      <c r="Y514" s="22">
        <v>11.35968458640407</v>
      </c>
      <c r="Z514" s="22">
        <v>12.05718458640407</v>
      </c>
      <c r="AA514" s="22">
        <v>12.754684586404069</v>
      </c>
      <c r="AB514" s="22">
        <v>13.452184586404069</v>
      </c>
      <c r="AC514" s="22">
        <v>14.149684586404071</v>
      </c>
      <c r="AD514" s="22">
        <v>14.847184586404071</v>
      </c>
      <c r="AE514" s="22">
        <v>15.54468458640407</v>
      </c>
    </row>
    <row r="515" spans="1:31" x14ac:dyDescent="0.25">
      <c r="A515" s="41" t="s">
        <v>1339</v>
      </c>
      <c r="B515" s="6" t="s">
        <v>57</v>
      </c>
      <c r="C515" s="6" t="s">
        <v>119</v>
      </c>
      <c r="D515" s="6">
        <v>2</v>
      </c>
      <c r="E515" s="6" t="s">
        <v>1211</v>
      </c>
      <c r="K515" s="22">
        <f>INDEX(Mitigation_Industry!K:K,MATCH($A515,Mitigation_Industry!$H:$H,0))</f>
        <v>6.0634636156729131</v>
      </c>
      <c r="L515" s="22">
        <f>INDEX(Mitigation_Industry!L:L,MATCH($A515,Mitigation_Industry!$H:$H,0))</f>
        <v>5.4510150816191896</v>
      </c>
      <c r="M515" s="22">
        <f>INDEX(Mitigation_Industry!M:M,MATCH($A515,Mitigation_Industry!$H:$H,0))</f>
        <v>5.1193563062624818</v>
      </c>
      <c r="N515" s="22">
        <f>INDEX(Mitigation_Industry!N:N,MATCH($A515,Mitigation_Industry!$H:$H,0))</f>
        <v>5.0821845864040727</v>
      </c>
      <c r="O515" s="22">
        <f>INDEX(Mitigation_Industry!O:O,MATCH($A515,Mitigation_Industry!$H:$H,0))</f>
        <v>5.0821845864040727</v>
      </c>
      <c r="P515" s="22">
        <f>INDEX(Mitigation_Industry!P:P,MATCH($A515,Mitigation_Industry!$H:$H,0))</f>
        <v>5.0821845864040727</v>
      </c>
      <c r="Q515" s="22">
        <f>INDEX(Mitigation_Industry!Q:Q,MATCH($A515,Mitigation_Industry!$H:$H,0))</f>
        <v>5.7796845864040725</v>
      </c>
      <c r="R515" s="22">
        <f>INDEX(Mitigation_Industry!R:R,MATCH($A515,Mitigation_Industry!$H:$H,0))</f>
        <v>6.4771845864040731</v>
      </c>
      <c r="S515" s="22">
        <f>INDEX(Mitigation_Industry!S:S,MATCH($A515,Mitigation_Industry!$H:$H,0))</f>
        <v>7.1746845864040729</v>
      </c>
      <c r="T515" s="22">
        <f>INDEX(Mitigation_Industry!T:T,MATCH($A515,Mitigation_Industry!$H:$H,0))</f>
        <v>7.8721845864040736</v>
      </c>
      <c r="U515" s="22">
        <f>INDEX(Mitigation_Industry!U:U,MATCH($A515,Mitigation_Industry!$H:$H,0))</f>
        <v>8.5696845864040725</v>
      </c>
      <c r="V515" s="22">
        <f>INDEX(Mitigation_Industry!V:V,MATCH($A515,Mitigation_Industry!$H:$H,0))</f>
        <v>9.2671845864040723</v>
      </c>
      <c r="W515" s="22">
        <f>INDEX(Mitigation_Industry!W:W,MATCH($A515,Mitigation_Industry!$H:$H,0))</f>
        <v>9.9646845864040721</v>
      </c>
      <c r="X515" s="22">
        <f>INDEX(Mitigation_Industry!X:X,MATCH($A515,Mitigation_Industry!$H:$H,0))</f>
        <v>10.662184586404072</v>
      </c>
      <c r="Y515" s="22">
        <f>INDEX(Mitigation_Industry!Y:Y,MATCH($A515,Mitigation_Industry!$H:$H,0))</f>
        <v>11.359684586404072</v>
      </c>
      <c r="Z515" s="22">
        <f>INDEX(Mitigation_Industry!Z:Z,MATCH($A515,Mitigation_Industry!$H:$H,0))</f>
        <v>12.057184586404073</v>
      </c>
      <c r="AA515" s="22">
        <f>INDEX(Mitigation_Industry!AA:AA,MATCH($A515,Mitigation_Industry!$H:$H,0))</f>
        <v>12.754684586404071</v>
      </c>
      <c r="AB515" s="22">
        <f>INDEX(Mitigation_Industry!AB:AB,MATCH($A515,Mitigation_Industry!$H:$H,0))</f>
        <v>13.452184586404073</v>
      </c>
      <c r="AC515" s="22">
        <f>INDEX(Mitigation_Industry!AC:AC,MATCH($A515,Mitigation_Industry!$H:$H,0))</f>
        <v>14.149684586404071</v>
      </c>
      <c r="AD515" s="22">
        <f>INDEX(Mitigation_Industry!AD:AD,MATCH($A515,Mitigation_Industry!$H:$H,0))</f>
        <v>14.847184586404072</v>
      </c>
      <c r="AE515" s="22">
        <f>INDEX(Mitigation_Industry!AE:AE,MATCH($A515,Mitigation_Industry!$H:$H,0))</f>
        <v>15.544684586404072</v>
      </c>
    </row>
    <row r="516" spans="1:31" x14ac:dyDescent="0.25">
      <c r="A516" s="41" t="s">
        <v>1339</v>
      </c>
      <c r="B516" s="6" t="s">
        <v>57</v>
      </c>
      <c r="C516" s="6" t="s">
        <v>119</v>
      </c>
      <c r="D516" s="6">
        <v>2</v>
      </c>
      <c r="E516" s="2" t="s">
        <v>1212</v>
      </c>
      <c r="F516" s="43">
        <f>MAX(MAX(L516:AE516),-MIN(L516:AE516))</f>
        <v>3.5527136788005009E-15</v>
      </c>
      <c r="K516" s="44">
        <f t="shared" ref="K516:AE516" si="127">IF(ISNUMBER(K514),IF(ISNUMBER(K515),K515-K514,999999),0)</f>
        <v>0</v>
      </c>
      <c r="L516" s="44">
        <f t="shared" si="127"/>
        <v>0</v>
      </c>
      <c r="M516" s="44">
        <f t="shared" si="127"/>
        <v>0</v>
      </c>
      <c r="N516" s="44">
        <f t="shared" si="127"/>
        <v>0</v>
      </c>
      <c r="O516" s="44">
        <f t="shared" si="127"/>
        <v>0</v>
      </c>
      <c r="P516" s="44">
        <f t="shared" si="127"/>
        <v>0</v>
      </c>
      <c r="Q516" s="44">
        <f t="shared" si="127"/>
        <v>8.8817841970012523E-16</v>
      </c>
      <c r="R516" s="44">
        <f t="shared" si="127"/>
        <v>8.8817841970012523E-16</v>
      </c>
      <c r="S516" s="44">
        <f t="shared" si="127"/>
        <v>0</v>
      </c>
      <c r="T516" s="44">
        <f t="shared" si="127"/>
        <v>8.8817841970012523E-16</v>
      </c>
      <c r="U516" s="44">
        <f t="shared" si="127"/>
        <v>0</v>
      </c>
      <c r="V516" s="44">
        <f t="shared" si="127"/>
        <v>0</v>
      </c>
      <c r="W516" s="44">
        <f t="shared" si="127"/>
        <v>0</v>
      </c>
      <c r="X516" s="44">
        <f t="shared" si="127"/>
        <v>1.7763568394002505E-15</v>
      </c>
      <c r="Y516" s="44">
        <f t="shared" si="127"/>
        <v>1.7763568394002505E-15</v>
      </c>
      <c r="Z516" s="44">
        <f t="shared" si="127"/>
        <v>3.5527136788005009E-15</v>
      </c>
      <c r="AA516" s="44">
        <f t="shared" si="127"/>
        <v>1.7763568394002505E-15</v>
      </c>
      <c r="AB516" s="44">
        <f t="shared" si="127"/>
        <v>3.5527136788005009E-15</v>
      </c>
      <c r="AC516" s="44">
        <f t="shared" si="127"/>
        <v>0</v>
      </c>
      <c r="AD516" s="44">
        <f t="shared" si="127"/>
        <v>1.7763568394002505E-15</v>
      </c>
      <c r="AE516" s="44">
        <f t="shared" si="127"/>
        <v>1.7763568394002505E-15</v>
      </c>
    </row>
    <row r="518" spans="1:31" x14ac:dyDescent="0.25">
      <c r="A518" s="41" t="s">
        <v>1340</v>
      </c>
      <c r="B518" s="6" t="s">
        <v>59</v>
      </c>
      <c r="C518" s="6" t="s">
        <v>119</v>
      </c>
      <c r="D518" s="6">
        <v>2</v>
      </c>
      <c r="E518" s="6" t="s">
        <v>1210</v>
      </c>
      <c r="K518" s="22"/>
      <c r="L518" s="22">
        <v>0.61197797679140631</v>
      </c>
      <c r="M518" s="22">
        <v>0.61180974964187596</v>
      </c>
      <c r="N518" s="22">
        <v>0.60358310017790551</v>
      </c>
      <c r="O518" s="22">
        <v>0.60358310017790551</v>
      </c>
      <c r="P518" s="22">
        <v>0.60358310017790551</v>
      </c>
      <c r="Q518" s="22">
        <v>0.6325109433494055</v>
      </c>
      <c r="R518" s="22">
        <v>0.66143878652090549</v>
      </c>
      <c r="S518" s="22">
        <v>0.69036662969240548</v>
      </c>
      <c r="T518" s="22">
        <v>0.71929447286390547</v>
      </c>
      <c r="U518" s="22">
        <v>0.74822231603540557</v>
      </c>
      <c r="V518" s="22">
        <v>0.77715015920690556</v>
      </c>
      <c r="W518" s="22">
        <v>0.80607800237840554</v>
      </c>
      <c r="X518" s="22">
        <v>0.83500584554990553</v>
      </c>
      <c r="Y518" s="22">
        <v>0.86393368872140552</v>
      </c>
      <c r="Z518" s="22">
        <v>0.89286153189290551</v>
      </c>
      <c r="AA518" s="22">
        <v>0.9217893750644055</v>
      </c>
      <c r="AB518" s="22">
        <v>0.9507172182359056</v>
      </c>
      <c r="AC518" s="22">
        <v>0.97964506140740548</v>
      </c>
      <c r="AD518" s="22">
        <v>1.008572904578906</v>
      </c>
      <c r="AE518" s="22">
        <v>1.0375007477504059</v>
      </c>
    </row>
    <row r="519" spans="1:31" x14ac:dyDescent="0.25">
      <c r="A519" s="41" t="s">
        <v>1340</v>
      </c>
      <c r="B519" s="6" t="s">
        <v>59</v>
      </c>
      <c r="C519" s="6" t="s">
        <v>119</v>
      </c>
      <c r="D519" s="6">
        <v>2</v>
      </c>
      <c r="E519" s="6" t="s">
        <v>1211</v>
      </c>
      <c r="K519" s="22">
        <f>INDEX(Mitigation_Industry!K:K,MATCH($A519,Mitigation_Industry!$H:$H,0))</f>
        <v>0.67114653332181606</v>
      </c>
      <c r="L519" s="22">
        <f>INDEX(Mitigation_Industry!L:L,MATCH($A519,Mitigation_Industry!$H:$H,0))</f>
        <v>0.61197797679140631</v>
      </c>
      <c r="M519" s="22">
        <f>INDEX(Mitigation_Industry!M:M,MATCH($A519,Mitigation_Industry!$H:$H,0))</f>
        <v>0.61180974964187596</v>
      </c>
      <c r="N519" s="22">
        <f>INDEX(Mitigation_Industry!N:N,MATCH($A519,Mitigation_Industry!$H:$H,0))</f>
        <v>0.60358310017790551</v>
      </c>
      <c r="O519" s="22">
        <f>INDEX(Mitigation_Industry!O:O,MATCH($A519,Mitigation_Industry!$H:$H,0))</f>
        <v>0.60358310017790551</v>
      </c>
      <c r="P519" s="22">
        <f>INDEX(Mitigation_Industry!P:P,MATCH($A519,Mitigation_Industry!$H:$H,0))</f>
        <v>0.60358310017790551</v>
      </c>
      <c r="Q519" s="22">
        <f>INDEX(Mitigation_Industry!Q:Q,MATCH($A519,Mitigation_Industry!$H:$H,0))</f>
        <v>0.6325109433494055</v>
      </c>
      <c r="R519" s="22">
        <f>INDEX(Mitigation_Industry!R:R,MATCH($A519,Mitigation_Industry!$H:$H,0))</f>
        <v>0.66143878652090549</v>
      </c>
      <c r="S519" s="22">
        <f>INDEX(Mitigation_Industry!S:S,MATCH($A519,Mitigation_Industry!$H:$H,0))</f>
        <v>0.69036662969240548</v>
      </c>
      <c r="T519" s="22">
        <f>INDEX(Mitigation_Industry!T:T,MATCH($A519,Mitigation_Industry!$H:$H,0))</f>
        <v>0.71929447286390547</v>
      </c>
      <c r="U519" s="22">
        <f>INDEX(Mitigation_Industry!U:U,MATCH($A519,Mitigation_Industry!$H:$H,0))</f>
        <v>0.74822231603540557</v>
      </c>
      <c r="V519" s="22">
        <f>INDEX(Mitigation_Industry!V:V,MATCH($A519,Mitigation_Industry!$H:$H,0))</f>
        <v>0.77715015920690544</v>
      </c>
      <c r="W519" s="22">
        <f>INDEX(Mitigation_Industry!W:W,MATCH($A519,Mitigation_Industry!$H:$H,0))</f>
        <v>0.80607800237840554</v>
      </c>
      <c r="X519" s="22">
        <f>INDEX(Mitigation_Industry!X:X,MATCH($A519,Mitigation_Industry!$H:$H,0))</f>
        <v>0.83500584554990553</v>
      </c>
      <c r="Y519" s="22">
        <f>INDEX(Mitigation_Industry!Y:Y,MATCH($A519,Mitigation_Industry!$H:$H,0))</f>
        <v>0.86393368872140552</v>
      </c>
      <c r="Z519" s="22">
        <f>INDEX(Mitigation_Industry!Z:Z,MATCH($A519,Mitigation_Industry!$H:$H,0))</f>
        <v>0.89286153189290551</v>
      </c>
      <c r="AA519" s="22">
        <f>INDEX(Mitigation_Industry!AA:AA,MATCH($A519,Mitigation_Industry!$H:$H,0))</f>
        <v>0.92178937506440561</v>
      </c>
      <c r="AB519" s="22">
        <f>INDEX(Mitigation_Industry!AB:AB,MATCH($A519,Mitigation_Industry!$H:$H,0))</f>
        <v>0.95071721823590549</v>
      </c>
      <c r="AC519" s="22">
        <f>INDEX(Mitigation_Industry!AC:AC,MATCH($A519,Mitigation_Industry!$H:$H,0))</f>
        <v>0.97964506140740548</v>
      </c>
      <c r="AD519" s="22">
        <f>INDEX(Mitigation_Industry!AD:AD,MATCH($A519,Mitigation_Industry!$H:$H,0))</f>
        <v>1.0085729045789056</v>
      </c>
      <c r="AE519" s="22">
        <f>INDEX(Mitigation_Industry!AE:AE,MATCH($A519,Mitigation_Industry!$H:$H,0))</f>
        <v>1.0375007477504057</v>
      </c>
    </row>
    <row r="520" spans="1:31" x14ac:dyDescent="0.25">
      <c r="A520" s="41" t="s">
        <v>1340</v>
      </c>
      <c r="B520" s="6" t="s">
        <v>59</v>
      </c>
      <c r="C520" s="6" t="s">
        <v>119</v>
      </c>
      <c r="D520" s="6">
        <v>2</v>
      </c>
      <c r="E520" s="2" t="s">
        <v>1212</v>
      </c>
      <c r="F520" s="43">
        <f>MAX(MAX(L520:AE520),-MIN(L520:AE520))</f>
        <v>4.4408920985006262E-16</v>
      </c>
      <c r="K520" s="44">
        <f t="shared" ref="K520:AE520" si="128">IF(ISNUMBER(K518),IF(ISNUMBER(K519),K519-K518,999999),0)</f>
        <v>0</v>
      </c>
      <c r="L520" s="44">
        <f t="shared" si="128"/>
        <v>0</v>
      </c>
      <c r="M520" s="44">
        <f t="shared" si="128"/>
        <v>0</v>
      </c>
      <c r="N520" s="44">
        <f t="shared" si="128"/>
        <v>0</v>
      </c>
      <c r="O520" s="44">
        <f t="shared" si="128"/>
        <v>0</v>
      </c>
      <c r="P520" s="44">
        <f t="shared" si="128"/>
        <v>0</v>
      </c>
      <c r="Q520" s="44">
        <f t="shared" si="128"/>
        <v>0</v>
      </c>
      <c r="R520" s="44">
        <f t="shared" si="128"/>
        <v>0</v>
      </c>
      <c r="S520" s="44">
        <f t="shared" si="128"/>
        <v>0</v>
      </c>
      <c r="T520" s="44">
        <f t="shared" si="128"/>
        <v>0</v>
      </c>
      <c r="U520" s="44">
        <f t="shared" si="128"/>
        <v>0</v>
      </c>
      <c r="V520" s="44">
        <f t="shared" si="128"/>
        <v>-1.1102230246251565E-16</v>
      </c>
      <c r="W520" s="44">
        <f t="shared" si="128"/>
        <v>0</v>
      </c>
      <c r="X520" s="44">
        <f t="shared" si="128"/>
        <v>0</v>
      </c>
      <c r="Y520" s="44">
        <f t="shared" si="128"/>
        <v>0</v>
      </c>
      <c r="Z520" s="44">
        <f t="shared" si="128"/>
        <v>0</v>
      </c>
      <c r="AA520" s="44">
        <f t="shared" si="128"/>
        <v>1.1102230246251565E-16</v>
      </c>
      <c r="AB520" s="44">
        <f t="shared" si="128"/>
        <v>-1.1102230246251565E-16</v>
      </c>
      <c r="AC520" s="44">
        <f t="shared" si="128"/>
        <v>0</v>
      </c>
      <c r="AD520" s="44">
        <f t="shared" si="128"/>
        <v>-4.4408920985006262E-16</v>
      </c>
      <c r="AE520" s="44">
        <f t="shared" si="128"/>
        <v>-2.2204460492503131E-16</v>
      </c>
    </row>
    <row r="522" spans="1:31" x14ac:dyDescent="0.25">
      <c r="A522" s="41" t="s">
        <v>1341</v>
      </c>
      <c r="B522" s="6" t="s">
        <v>62</v>
      </c>
      <c r="C522" s="6" t="s">
        <v>119</v>
      </c>
      <c r="D522" s="6">
        <v>2</v>
      </c>
      <c r="E522" s="6" t="s">
        <v>1210</v>
      </c>
      <c r="K522" s="22"/>
      <c r="L522" s="22">
        <v>0.49458873084106802</v>
      </c>
      <c r="M522" s="22">
        <v>0.50778654720250049</v>
      </c>
      <c r="N522" s="22">
        <v>0.47043642679561742</v>
      </c>
      <c r="O522" s="22">
        <v>0.47043642679561742</v>
      </c>
      <c r="P522" s="22">
        <v>0.47043642679561742</v>
      </c>
      <c r="Q522" s="22">
        <v>0.50344686565449237</v>
      </c>
      <c r="R522" s="22">
        <v>0.53645730451336737</v>
      </c>
      <c r="S522" s="22">
        <v>0.56946774337224237</v>
      </c>
      <c r="T522" s="22">
        <v>0.60247818223111738</v>
      </c>
      <c r="U522" s="22">
        <v>0.63548862108999238</v>
      </c>
      <c r="V522" s="22">
        <v>0.66849905994886738</v>
      </c>
      <c r="W522" s="22">
        <v>0.70150949880774238</v>
      </c>
      <c r="X522" s="22">
        <v>0.73451993766661738</v>
      </c>
      <c r="Y522" s="22">
        <v>0.76753037652549239</v>
      </c>
      <c r="Z522" s="22">
        <v>0.80054081538436739</v>
      </c>
      <c r="AA522" s="22">
        <v>0.83355125424324239</v>
      </c>
      <c r="AB522" s="22">
        <v>0.86656169310211739</v>
      </c>
      <c r="AC522" s="22">
        <v>0.89957213196099239</v>
      </c>
      <c r="AD522" s="22">
        <v>0.9325825708198674</v>
      </c>
      <c r="AE522" s="22">
        <v>0.9655930096787424</v>
      </c>
    </row>
    <row r="523" spans="1:31" x14ac:dyDescent="0.25">
      <c r="A523" s="41" t="s">
        <v>1341</v>
      </c>
      <c r="B523" s="6" t="s">
        <v>62</v>
      </c>
      <c r="C523" s="6" t="s">
        <v>119</v>
      </c>
      <c r="D523" s="6">
        <v>2</v>
      </c>
      <c r="E523" s="6" t="s">
        <v>1211</v>
      </c>
      <c r="K523" s="22">
        <f>INDEX(Mitigation_Industry!K:K,MATCH($A523,Mitigation_Industry!$H:$H,0))</f>
        <v>0.55971121315568761</v>
      </c>
      <c r="L523" s="22">
        <f>INDEX(Mitigation_Industry!L:L,MATCH($A523,Mitigation_Industry!$H:$H,0))</f>
        <v>0.49458873084106802</v>
      </c>
      <c r="M523" s="22">
        <f>INDEX(Mitigation_Industry!M:M,MATCH($A523,Mitigation_Industry!$H:$H,0))</f>
        <v>0.50778654720250049</v>
      </c>
      <c r="N523" s="22">
        <f>INDEX(Mitigation_Industry!N:N,MATCH($A523,Mitigation_Industry!$H:$H,0))</f>
        <v>0.47043642679561742</v>
      </c>
      <c r="O523" s="22">
        <f>INDEX(Mitigation_Industry!O:O,MATCH($A523,Mitigation_Industry!$H:$H,0))</f>
        <v>0.47043642679561742</v>
      </c>
      <c r="P523" s="22">
        <f>INDEX(Mitigation_Industry!P:P,MATCH($A523,Mitigation_Industry!$H:$H,0))</f>
        <v>0.47043642679561742</v>
      </c>
      <c r="Q523" s="22">
        <f>INDEX(Mitigation_Industry!Q:Q,MATCH($A523,Mitigation_Industry!$H:$H,0))</f>
        <v>0.50344686565449237</v>
      </c>
      <c r="R523" s="22">
        <f>INDEX(Mitigation_Industry!R:R,MATCH($A523,Mitigation_Industry!$H:$H,0))</f>
        <v>0.53645730451336737</v>
      </c>
      <c r="S523" s="22">
        <f>INDEX(Mitigation_Industry!S:S,MATCH($A523,Mitigation_Industry!$H:$H,0))</f>
        <v>0.56946774337224249</v>
      </c>
      <c r="T523" s="22">
        <f>INDEX(Mitigation_Industry!T:T,MATCH($A523,Mitigation_Industry!$H:$H,0))</f>
        <v>0.60247818223111738</v>
      </c>
      <c r="U523" s="22">
        <f>INDEX(Mitigation_Industry!U:U,MATCH($A523,Mitigation_Industry!$H:$H,0))</f>
        <v>0.63548862108999238</v>
      </c>
      <c r="V523" s="22">
        <f>INDEX(Mitigation_Industry!V:V,MATCH($A523,Mitigation_Industry!$H:$H,0))</f>
        <v>0.66849905994886738</v>
      </c>
      <c r="W523" s="22">
        <f>INDEX(Mitigation_Industry!W:W,MATCH($A523,Mitigation_Industry!$H:$H,0))</f>
        <v>0.70150949880774238</v>
      </c>
      <c r="X523" s="22">
        <f>INDEX(Mitigation_Industry!X:X,MATCH($A523,Mitigation_Industry!$H:$H,0))</f>
        <v>0.73451993766661738</v>
      </c>
      <c r="Y523" s="22">
        <f>INDEX(Mitigation_Industry!Y:Y,MATCH($A523,Mitigation_Industry!$H:$H,0))</f>
        <v>0.76753037652549239</v>
      </c>
      <c r="Z523" s="22">
        <f>INDEX(Mitigation_Industry!Z:Z,MATCH($A523,Mitigation_Industry!$H:$H,0))</f>
        <v>0.80054081538436739</v>
      </c>
      <c r="AA523" s="22">
        <f>INDEX(Mitigation_Industry!AA:AA,MATCH($A523,Mitigation_Industry!$H:$H,0))</f>
        <v>0.83355125424324239</v>
      </c>
      <c r="AB523" s="22">
        <f>INDEX(Mitigation_Industry!AB:AB,MATCH($A523,Mitigation_Industry!$H:$H,0))</f>
        <v>0.86656169310211739</v>
      </c>
      <c r="AC523" s="22">
        <f>INDEX(Mitigation_Industry!AC:AC,MATCH($A523,Mitigation_Industry!$H:$H,0))</f>
        <v>0.89957213196099239</v>
      </c>
      <c r="AD523" s="22">
        <f>INDEX(Mitigation_Industry!AD:AD,MATCH($A523,Mitigation_Industry!$H:$H,0))</f>
        <v>0.9325825708198674</v>
      </c>
      <c r="AE523" s="22">
        <f>INDEX(Mitigation_Industry!AE:AE,MATCH($A523,Mitigation_Industry!$H:$H,0))</f>
        <v>0.9655930096787424</v>
      </c>
    </row>
    <row r="524" spans="1:31" x14ac:dyDescent="0.25">
      <c r="A524" s="41" t="s">
        <v>1341</v>
      </c>
      <c r="B524" s="6" t="s">
        <v>62</v>
      </c>
      <c r="C524" s="6" t="s">
        <v>119</v>
      </c>
      <c r="D524" s="6">
        <v>2</v>
      </c>
      <c r="E524" s="2" t="s">
        <v>1212</v>
      </c>
      <c r="F524" s="43">
        <f>MAX(MAX(L524:AE524),-MIN(L524:AE524))</f>
        <v>1.1102230246251565E-16</v>
      </c>
      <c r="K524" s="44">
        <f t="shared" ref="K524:AE524" si="129">IF(ISNUMBER(K522),IF(ISNUMBER(K523),K523-K522,999999),0)</f>
        <v>0</v>
      </c>
      <c r="L524" s="44">
        <f t="shared" si="129"/>
        <v>0</v>
      </c>
      <c r="M524" s="44">
        <f t="shared" si="129"/>
        <v>0</v>
      </c>
      <c r="N524" s="44">
        <f t="shared" si="129"/>
        <v>0</v>
      </c>
      <c r="O524" s="44">
        <f t="shared" si="129"/>
        <v>0</v>
      </c>
      <c r="P524" s="44">
        <f t="shared" si="129"/>
        <v>0</v>
      </c>
      <c r="Q524" s="44">
        <f t="shared" si="129"/>
        <v>0</v>
      </c>
      <c r="R524" s="44">
        <f t="shared" si="129"/>
        <v>0</v>
      </c>
      <c r="S524" s="44">
        <f t="shared" si="129"/>
        <v>1.1102230246251565E-16</v>
      </c>
      <c r="T524" s="44">
        <f t="shared" si="129"/>
        <v>0</v>
      </c>
      <c r="U524" s="44">
        <f t="shared" si="129"/>
        <v>0</v>
      </c>
      <c r="V524" s="44">
        <f t="shared" si="129"/>
        <v>0</v>
      </c>
      <c r="W524" s="44">
        <f t="shared" si="129"/>
        <v>0</v>
      </c>
      <c r="X524" s="44">
        <f t="shared" si="129"/>
        <v>0</v>
      </c>
      <c r="Y524" s="44">
        <f t="shared" si="129"/>
        <v>0</v>
      </c>
      <c r="Z524" s="44">
        <f t="shared" si="129"/>
        <v>0</v>
      </c>
      <c r="AA524" s="44">
        <f t="shared" si="129"/>
        <v>0</v>
      </c>
      <c r="AB524" s="44">
        <f t="shared" si="129"/>
        <v>0</v>
      </c>
      <c r="AC524" s="44">
        <f t="shared" si="129"/>
        <v>0</v>
      </c>
      <c r="AD524" s="44">
        <f t="shared" si="129"/>
        <v>0</v>
      </c>
      <c r="AE524" s="44">
        <f t="shared" si="129"/>
        <v>0</v>
      </c>
    </row>
    <row r="526" spans="1:31" x14ac:dyDescent="0.25">
      <c r="A526" s="41" t="s">
        <v>1342</v>
      </c>
      <c r="B526" s="6" t="s">
        <v>64</v>
      </c>
      <c r="C526" s="6" t="s">
        <v>119</v>
      </c>
      <c r="D526" s="6">
        <v>2</v>
      </c>
      <c r="E526" s="6" t="s">
        <v>1210</v>
      </c>
      <c r="K526" s="22"/>
      <c r="L526" s="22">
        <v>0.1573447362522738</v>
      </c>
      <c r="M526" s="22">
        <v>0.1644840377592767</v>
      </c>
      <c r="N526" s="22">
        <v>0.1507090778070489</v>
      </c>
      <c r="O526" s="22">
        <v>0.1507090778070489</v>
      </c>
      <c r="P526" s="22">
        <v>0.1507090778070489</v>
      </c>
      <c r="Q526" s="22">
        <v>0.17281516073434461</v>
      </c>
      <c r="R526" s="22">
        <v>0.19492124366164029</v>
      </c>
      <c r="S526" s="22">
        <v>0.217027326588936</v>
      </c>
      <c r="T526" s="22">
        <v>0.23913340951623169</v>
      </c>
      <c r="U526" s="22">
        <v>0.2612394924435274</v>
      </c>
      <c r="V526" s="22">
        <v>0.28334557537082311</v>
      </c>
      <c r="W526" s="22">
        <v>0.30545165829811882</v>
      </c>
      <c r="X526" s="22">
        <v>0.32755774122541448</v>
      </c>
      <c r="Y526" s="22">
        <v>0.34966382415271008</v>
      </c>
      <c r="Z526" s="22">
        <v>0.37176990708000579</v>
      </c>
      <c r="AA526" s="22">
        <v>0.39387599000730161</v>
      </c>
      <c r="AB526" s="22">
        <v>0.41598207293459721</v>
      </c>
      <c r="AC526" s="22">
        <v>0.43808815586189293</v>
      </c>
      <c r="AD526" s="22">
        <v>0.46019423878918858</v>
      </c>
      <c r="AE526" s="22">
        <v>0.48230032171648429</v>
      </c>
    </row>
    <row r="527" spans="1:31" x14ac:dyDescent="0.25">
      <c r="A527" s="41" t="s">
        <v>1342</v>
      </c>
      <c r="B527" s="6" t="s">
        <v>64</v>
      </c>
      <c r="C527" s="6" t="s">
        <v>119</v>
      </c>
      <c r="D527" s="6">
        <v>2</v>
      </c>
      <c r="E527" s="6" t="s">
        <v>1211</v>
      </c>
      <c r="K527" s="22">
        <f>INDEX(Mitigation_Industry!K:K,MATCH($A527,Mitigation_Industry!$H:$H,0))</f>
        <v>0.20036669112673841</v>
      </c>
      <c r="L527" s="22">
        <f>INDEX(Mitigation_Industry!L:L,MATCH($A527,Mitigation_Industry!$H:$H,0))</f>
        <v>0.1573447362522738</v>
      </c>
      <c r="M527" s="22">
        <f>INDEX(Mitigation_Industry!M:M,MATCH($A527,Mitigation_Industry!$H:$H,0))</f>
        <v>0.1644840377592767</v>
      </c>
      <c r="N527" s="22">
        <f>INDEX(Mitigation_Industry!N:N,MATCH($A527,Mitigation_Industry!$H:$H,0))</f>
        <v>0.1507090778070489</v>
      </c>
      <c r="O527" s="22">
        <f>INDEX(Mitigation_Industry!O:O,MATCH($A527,Mitigation_Industry!$H:$H,0))</f>
        <v>0.1507090778070489</v>
      </c>
      <c r="P527" s="22">
        <f>INDEX(Mitigation_Industry!P:P,MATCH($A527,Mitigation_Industry!$H:$H,0))</f>
        <v>0.1507090778070489</v>
      </c>
      <c r="Q527" s="22">
        <f>INDEX(Mitigation_Industry!Q:Q,MATCH($A527,Mitigation_Industry!$H:$H,0))</f>
        <v>0.17281516073434458</v>
      </c>
      <c r="R527" s="22">
        <f>INDEX(Mitigation_Industry!R:R,MATCH($A527,Mitigation_Industry!$H:$H,0))</f>
        <v>0.19492124366164029</v>
      </c>
      <c r="S527" s="22">
        <f>INDEX(Mitigation_Industry!S:S,MATCH($A527,Mitigation_Industry!$H:$H,0))</f>
        <v>0.21702732658893598</v>
      </c>
      <c r="T527" s="22">
        <f>INDEX(Mitigation_Industry!T:T,MATCH($A527,Mitigation_Industry!$H:$H,0))</f>
        <v>0.23913340951623169</v>
      </c>
      <c r="U527" s="22">
        <f>INDEX(Mitigation_Industry!U:U,MATCH($A527,Mitigation_Industry!$H:$H,0))</f>
        <v>0.2612394924435274</v>
      </c>
      <c r="V527" s="22">
        <f>INDEX(Mitigation_Industry!V:V,MATCH($A527,Mitigation_Industry!$H:$H,0))</f>
        <v>0.28334557537082311</v>
      </c>
      <c r="W527" s="22">
        <f>INDEX(Mitigation_Industry!W:W,MATCH($A527,Mitigation_Industry!$H:$H,0))</f>
        <v>0.30545165829811882</v>
      </c>
      <c r="X527" s="22">
        <f>INDEX(Mitigation_Industry!X:X,MATCH($A527,Mitigation_Industry!$H:$H,0))</f>
        <v>0.32755774122541448</v>
      </c>
      <c r="Y527" s="22">
        <f>INDEX(Mitigation_Industry!Y:Y,MATCH($A527,Mitigation_Industry!$H:$H,0))</f>
        <v>0.34966382415271013</v>
      </c>
      <c r="Z527" s="22">
        <f>INDEX(Mitigation_Industry!Z:Z,MATCH($A527,Mitigation_Industry!$H:$H,0))</f>
        <v>0.37176990708000579</v>
      </c>
      <c r="AA527" s="22">
        <f>INDEX(Mitigation_Industry!AA:AA,MATCH($A527,Mitigation_Industry!$H:$H,0))</f>
        <v>0.3938759900073015</v>
      </c>
      <c r="AB527" s="22">
        <f>INDEX(Mitigation_Industry!AB:AB,MATCH($A527,Mitigation_Industry!$H:$H,0))</f>
        <v>0.41598207293459721</v>
      </c>
      <c r="AC527" s="22">
        <f>INDEX(Mitigation_Industry!AC:AC,MATCH($A527,Mitigation_Industry!$H:$H,0))</f>
        <v>0.43808815586189287</v>
      </c>
      <c r="AD527" s="22">
        <f>INDEX(Mitigation_Industry!AD:AD,MATCH($A527,Mitigation_Industry!$H:$H,0))</f>
        <v>0.46019423878918858</v>
      </c>
      <c r="AE527" s="22">
        <f>INDEX(Mitigation_Industry!AE:AE,MATCH($A527,Mitigation_Industry!$H:$H,0))</f>
        <v>0.48230032171648429</v>
      </c>
    </row>
    <row r="528" spans="1:31" x14ac:dyDescent="0.25">
      <c r="A528" s="41" t="s">
        <v>1342</v>
      </c>
      <c r="B528" s="6" t="s">
        <v>64</v>
      </c>
      <c r="C528" s="6" t="s">
        <v>119</v>
      </c>
      <c r="D528" s="6">
        <v>2</v>
      </c>
      <c r="E528" s="2" t="s">
        <v>1212</v>
      </c>
      <c r="F528" s="43">
        <f>MAX(MAX(L528:AE528),-MIN(L528:AE528))</f>
        <v>1.1102230246251565E-16</v>
      </c>
      <c r="K528" s="44">
        <f t="shared" ref="K528:AE528" si="130">IF(ISNUMBER(K526),IF(ISNUMBER(K527),K527-K526,999999),0)</f>
        <v>0</v>
      </c>
      <c r="L528" s="44">
        <f t="shared" si="130"/>
        <v>0</v>
      </c>
      <c r="M528" s="44">
        <f t="shared" si="130"/>
        <v>0</v>
      </c>
      <c r="N528" s="44">
        <f t="shared" si="130"/>
        <v>0</v>
      </c>
      <c r="O528" s="44">
        <f t="shared" si="130"/>
        <v>0</v>
      </c>
      <c r="P528" s="44">
        <f t="shared" si="130"/>
        <v>0</v>
      </c>
      <c r="Q528" s="44">
        <f t="shared" si="130"/>
        <v>-2.7755575615628914E-17</v>
      </c>
      <c r="R528" s="44">
        <f t="shared" si="130"/>
        <v>0</v>
      </c>
      <c r="S528" s="44">
        <f t="shared" si="130"/>
        <v>-2.7755575615628914E-17</v>
      </c>
      <c r="T528" s="44">
        <f t="shared" si="130"/>
        <v>0</v>
      </c>
      <c r="U528" s="44">
        <f t="shared" si="130"/>
        <v>0</v>
      </c>
      <c r="V528" s="44">
        <f t="shared" si="130"/>
        <v>0</v>
      </c>
      <c r="W528" s="44">
        <f t="shared" si="130"/>
        <v>0</v>
      </c>
      <c r="X528" s="44">
        <f t="shared" si="130"/>
        <v>0</v>
      </c>
      <c r="Y528" s="44">
        <f t="shared" si="130"/>
        <v>5.5511151231257827E-17</v>
      </c>
      <c r="Z528" s="44">
        <f t="shared" si="130"/>
        <v>0</v>
      </c>
      <c r="AA528" s="44">
        <f t="shared" si="130"/>
        <v>-1.1102230246251565E-16</v>
      </c>
      <c r="AB528" s="44">
        <f t="shared" si="130"/>
        <v>0</v>
      </c>
      <c r="AC528" s="44">
        <f t="shared" si="130"/>
        <v>-5.5511151231257827E-17</v>
      </c>
      <c r="AD528" s="44">
        <f t="shared" si="130"/>
        <v>0</v>
      </c>
      <c r="AE528" s="44">
        <f t="shared" si="130"/>
        <v>0</v>
      </c>
    </row>
    <row r="530" spans="1:31" x14ac:dyDescent="0.25">
      <c r="A530" s="41" t="s">
        <v>1343</v>
      </c>
      <c r="B530" s="6" t="s">
        <v>66</v>
      </c>
      <c r="C530" s="6" t="s">
        <v>119</v>
      </c>
      <c r="D530" s="6">
        <v>2</v>
      </c>
      <c r="E530" s="6" t="s">
        <v>1210</v>
      </c>
      <c r="K530" s="22"/>
      <c r="L530" s="22">
        <v>0.45642817050012813</v>
      </c>
      <c r="M530" s="22">
        <v>0.43168920195599519</v>
      </c>
      <c r="N530" s="22">
        <v>0.42507558395596989</v>
      </c>
      <c r="O530" s="22">
        <v>0.42507558395596989</v>
      </c>
      <c r="P530" s="22">
        <v>0.42507558395596989</v>
      </c>
      <c r="Q530" s="22">
        <v>0.45706441406607851</v>
      </c>
      <c r="R530" s="22">
        <v>0.48905324417618701</v>
      </c>
      <c r="S530" s="22">
        <v>0.52104207428629545</v>
      </c>
      <c r="T530" s="22">
        <v>0.5530309043964039</v>
      </c>
      <c r="U530" s="22">
        <v>0.58501973450651246</v>
      </c>
      <c r="V530" s="22">
        <v>0.6170085646166209</v>
      </c>
      <c r="W530" s="22">
        <v>0.64899739472672935</v>
      </c>
      <c r="X530" s="22">
        <v>0.68098622483683791</v>
      </c>
      <c r="Y530" s="22">
        <v>0.71297505494694646</v>
      </c>
      <c r="Z530" s="22">
        <v>0.7449638850570548</v>
      </c>
      <c r="AA530" s="22">
        <v>0.77695271516716335</v>
      </c>
      <c r="AB530" s="22">
        <v>0.80894154527727191</v>
      </c>
      <c r="AC530" s="22">
        <v>0.84093037538738036</v>
      </c>
      <c r="AD530" s="22">
        <v>0.8729192054974888</v>
      </c>
      <c r="AE530" s="22">
        <v>0.90490803560759736</v>
      </c>
    </row>
    <row r="531" spans="1:31" x14ac:dyDescent="0.25">
      <c r="A531" s="41" t="s">
        <v>1343</v>
      </c>
      <c r="B531" s="6" t="s">
        <v>66</v>
      </c>
      <c r="C531" s="6" t="s">
        <v>119</v>
      </c>
      <c r="D531" s="6">
        <v>2</v>
      </c>
      <c r="E531" s="6" t="s">
        <v>1211</v>
      </c>
      <c r="K531" s="22">
        <f>INDEX(Mitigation_Industry!K:K,MATCH($A531,Mitigation_Industry!$H:$H,0))</f>
        <v>0.48429424097343482</v>
      </c>
      <c r="L531" s="22">
        <f>INDEX(Mitigation_Industry!L:L,MATCH($A531,Mitigation_Industry!$H:$H,0))</f>
        <v>0.45642817050012813</v>
      </c>
      <c r="M531" s="22">
        <f>INDEX(Mitigation_Industry!M:M,MATCH($A531,Mitigation_Industry!$H:$H,0))</f>
        <v>0.43168920195599519</v>
      </c>
      <c r="N531" s="22">
        <f>INDEX(Mitigation_Industry!N:N,MATCH($A531,Mitigation_Industry!$H:$H,0))</f>
        <v>0.42507558395596989</v>
      </c>
      <c r="O531" s="22">
        <f>INDEX(Mitigation_Industry!O:O,MATCH($A531,Mitigation_Industry!$H:$H,0))</f>
        <v>0.42507558395596989</v>
      </c>
      <c r="P531" s="22">
        <f>INDEX(Mitigation_Industry!P:P,MATCH($A531,Mitigation_Industry!$H:$H,0))</f>
        <v>0.42507558395596989</v>
      </c>
      <c r="Q531" s="22">
        <f>INDEX(Mitigation_Industry!Q:Q,MATCH($A531,Mitigation_Industry!$H:$H,0))</f>
        <v>0.45706441406607839</v>
      </c>
      <c r="R531" s="22">
        <f>INDEX(Mitigation_Industry!R:R,MATCH($A531,Mitigation_Industry!$H:$H,0))</f>
        <v>0.4890532441761869</v>
      </c>
      <c r="S531" s="22">
        <f>INDEX(Mitigation_Industry!S:S,MATCH($A531,Mitigation_Industry!$H:$H,0))</f>
        <v>0.52104207428629545</v>
      </c>
      <c r="T531" s="22">
        <f>INDEX(Mitigation_Industry!T:T,MATCH($A531,Mitigation_Industry!$H:$H,0))</f>
        <v>0.5530309043964039</v>
      </c>
      <c r="U531" s="22">
        <f>INDEX(Mitigation_Industry!U:U,MATCH($A531,Mitigation_Industry!$H:$H,0))</f>
        <v>0.58501973450651246</v>
      </c>
      <c r="V531" s="22">
        <f>INDEX(Mitigation_Industry!V:V,MATCH($A531,Mitigation_Industry!$H:$H,0))</f>
        <v>0.6170085646166209</v>
      </c>
      <c r="W531" s="22">
        <f>INDEX(Mitigation_Industry!W:W,MATCH($A531,Mitigation_Industry!$H:$H,0))</f>
        <v>0.64899739472672935</v>
      </c>
      <c r="X531" s="22">
        <f>INDEX(Mitigation_Industry!X:X,MATCH($A531,Mitigation_Industry!$H:$H,0))</f>
        <v>0.68098622483683791</v>
      </c>
      <c r="Y531" s="22">
        <f>INDEX(Mitigation_Industry!Y:Y,MATCH($A531,Mitigation_Industry!$H:$H,0))</f>
        <v>0.71297505494694646</v>
      </c>
      <c r="Z531" s="22">
        <f>INDEX(Mitigation_Industry!Z:Z,MATCH($A531,Mitigation_Industry!$H:$H,0))</f>
        <v>0.7449638850570548</v>
      </c>
      <c r="AA531" s="22">
        <f>INDEX(Mitigation_Industry!AA:AA,MATCH($A531,Mitigation_Industry!$H:$H,0))</f>
        <v>0.77695271516716335</v>
      </c>
      <c r="AB531" s="22">
        <f>INDEX(Mitigation_Industry!AB:AB,MATCH($A531,Mitigation_Industry!$H:$H,0))</f>
        <v>0.80894154527727191</v>
      </c>
      <c r="AC531" s="22">
        <f>INDEX(Mitigation_Industry!AC:AC,MATCH($A531,Mitigation_Industry!$H:$H,0))</f>
        <v>0.84093037538738025</v>
      </c>
      <c r="AD531" s="22">
        <f>INDEX(Mitigation_Industry!AD:AD,MATCH($A531,Mitigation_Industry!$H:$H,0))</f>
        <v>0.8729192054974888</v>
      </c>
      <c r="AE531" s="22">
        <f>INDEX(Mitigation_Industry!AE:AE,MATCH($A531,Mitigation_Industry!$H:$H,0))</f>
        <v>0.90490803560759736</v>
      </c>
    </row>
    <row r="532" spans="1:31" x14ac:dyDescent="0.25">
      <c r="A532" s="41" t="s">
        <v>1343</v>
      </c>
      <c r="B532" s="6" t="s">
        <v>66</v>
      </c>
      <c r="C532" s="6" t="s">
        <v>119</v>
      </c>
      <c r="D532" s="6">
        <v>2</v>
      </c>
      <c r="E532" s="2" t="s">
        <v>1212</v>
      </c>
      <c r="F532" s="43">
        <f>MAX(MAX(L532:AE532),-MIN(L532:AE532))</f>
        <v>1.1102230246251565E-16</v>
      </c>
      <c r="K532" s="44">
        <f t="shared" ref="K532:AE532" si="131">IF(ISNUMBER(K530),IF(ISNUMBER(K531),K531-K530,999999),0)</f>
        <v>0</v>
      </c>
      <c r="L532" s="44">
        <f t="shared" si="131"/>
        <v>0</v>
      </c>
      <c r="M532" s="44">
        <f t="shared" si="131"/>
        <v>0</v>
      </c>
      <c r="N532" s="44">
        <f t="shared" si="131"/>
        <v>0</v>
      </c>
      <c r="O532" s="44">
        <f t="shared" si="131"/>
        <v>0</v>
      </c>
      <c r="P532" s="44">
        <f t="shared" si="131"/>
        <v>0</v>
      </c>
      <c r="Q532" s="44">
        <f t="shared" si="131"/>
        <v>-1.1102230246251565E-16</v>
      </c>
      <c r="R532" s="44">
        <f t="shared" si="131"/>
        <v>-1.1102230246251565E-16</v>
      </c>
      <c r="S532" s="44">
        <f t="shared" si="131"/>
        <v>0</v>
      </c>
      <c r="T532" s="44">
        <f t="shared" si="131"/>
        <v>0</v>
      </c>
      <c r="U532" s="44">
        <f t="shared" si="131"/>
        <v>0</v>
      </c>
      <c r="V532" s="44">
        <f t="shared" si="131"/>
        <v>0</v>
      </c>
      <c r="W532" s="44">
        <f t="shared" si="131"/>
        <v>0</v>
      </c>
      <c r="X532" s="44">
        <f t="shared" si="131"/>
        <v>0</v>
      </c>
      <c r="Y532" s="44">
        <f t="shared" si="131"/>
        <v>0</v>
      </c>
      <c r="Z532" s="44">
        <f t="shared" si="131"/>
        <v>0</v>
      </c>
      <c r="AA532" s="44">
        <f t="shared" si="131"/>
        <v>0</v>
      </c>
      <c r="AB532" s="44">
        <f t="shared" si="131"/>
        <v>0</v>
      </c>
      <c r="AC532" s="44">
        <f t="shared" si="131"/>
        <v>-1.1102230246251565E-16</v>
      </c>
      <c r="AD532" s="44">
        <f t="shared" si="131"/>
        <v>0</v>
      </c>
      <c r="AE532" s="44">
        <f t="shared" si="131"/>
        <v>0</v>
      </c>
    </row>
    <row r="534" spans="1:31" x14ac:dyDescent="0.25">
      <c r="A534" s="41" t="s">
        <v>1344</v>
      </c>
      <c r="B534" s="6" t="s">
        <v>68</v>
      </c>
      <c r="C534" s="6" t="s">
        <v>119</v>
      </c>
      <c r="D534" s="6">
        <v>2</v>
      </c>
      <c r="E534" s="6" t="s">
        <v>1210</v>
      </c>
      <c r="K534" s="22"/>
      <c r="L534" s="22">
        <v>34.415370304313228</v>
      </c>
      <c r="M534" s="22">
        <v>37.368960690432033</v>
      </c>
      <c r="N534" s="22">
        <v>28.982761101477251</v>
      </c>
      <c r="O534" s="22">
        <v>15</v>
      </c>
      <c r="P534" s="22">
        <v>24.2586300842555</v>
      </c>
      <c r="Q534" s="22">
        <v>18.963758196132449</v>
      </c>
      <c r="R534" s="22">
        <v>21.76034511401058</v>
      </c>
      <c r="S534" s="22">
        <v>26.079880691373621</v>
      </c>
      <c r="T534" s="22">
        <v>30.593682445209229</v>
      </c>
      <c r="U534" s="22">
        <v>34.990509739410058</v>
      </c>
      <c r="V534" s="22">
        <v>40.858059739410059</v>
      </c>
      <c r="W534" s="22">
        <v>46.725609739410061</v>
      </c>
      <c r="X534" s="22">
        <v>52.593159739410062</v>
      </c>
      <c r="Y534" s="22">
        <v>58.460709739410063</v>
      </c>
      <c r="Z534" s="22">
        <v>64.328259739410072</v>
      </c>
      <c r="AA534" s="22">
        <v>70.195809739410066</v>
      </c>
      <c r="AB534" s="22">
        <v>76.06335973941006</v>
      </c>
      <c r="AC534" s="22">
        <v>81.930909739410055</v>
      </c>
      <c r="AD534" s="22">
        <v>87.798459739410063</v>
      </c>
      <c r="AE534" s="22">
        <v>93.666009739410057</v>
      </c>
    </row>
    <row r="535" spans="1:31" x14ac:dyDescent="0.25">
      <c r="A535" s="41" t="s">
        <v>1344</v>
      </c>
      <c r="B535" s="6" t="s">
        <v>68</v>
      </c>
      <c r="C535" s="6" t="s">
        <v>119</v>
      </c>
      <c r="D535" s="6">
        <v>2</v>
      </c>
      <c r="E535" s="6" t="s">
        <v>1211</v>
      </c>
      <c r="K535" s="22">
        <f>INDEX(Mitigation_Industry!K:K,MATCH($A535,Mitigation_Industry!$H:$H,0))</f>
        <v>41.50033849886843</v>
      </c>
      <c r="L535" s="22">
        <f>INDEX(Mitigation_Industry!L:L,MATCH($A535,Mitigation_Industry!$H:$H,0))</f>
        <v>34.415370304313228</v>
      </c>
      <c r="M535" s="22">
        <f>INDEX(Mitigation_Industry!M:M,MATCH($A535,Mitigation_Industry!$H:$H,0))</f>
        <v>37.368960690432033</v>
      </c>
      <c r="N535" s="22">
        <f>INDEX(Mitigation_Industry!N:N,MATCH($A535,Mitigation_Industry!$H:$H,0))</f>
        <v>28.982761101477251</v>
      </c>
      <c r="O535" s="22">
        <f>INDEX(Mitigation_Industry!O:O,MATCH($A535,Mitigation_Industry!$H:$H,0))</f>
        <v>15</v>
      </c>
      <c r="P535" s="22">
        <f>INDEX(Mitigation_Industry!P:P,MATCH($A535,Mitigation_Industry!$H:$H,0))</f>
        <v>24.2586300842555</v>
      </c>
      <c r="Q535" s="22">
        <f>INDEX(Mitigation_Industry!Q:Q,MATCH($A535,Mitigation_Industry!$H:$H,0))</f>
        <v>18.963758196132449</v>
      </c>
      <c r="R535" s="22">
        <f>INDEX(Mitigation_Industry!R:R,MATCH($A535,Mitigation_Industry!$H:$H,0))</f>
        <v>21.76034511401058</v>
      </c>
      <c r="S535" s="22">
        <f>INDEX(Mitigation_Industry!S:S,MATCH($A535,Mitigation_Industry!$H:$H,0))</f>
        <v>26.079880691373617</v>
      </c>
      <c r="T535" s="22">
        <f>INDEX(Mitigation_Industry!T:T,MATCH($A535,Mitigation_Industry!$H:$H,0))</f>
        <v>30.593682445209222</v>
      </c>
      <c r="U535" s="22">
        <f>INDEX(Mitigation_Industry!U:U,MATCH($A535,Mitigation_Industry!$H:$H,0))</f>
        <v>34.990509739410058</v>
      </c>
      <c r="V535" s="22">
        <f>INDEX(Mitigation_Industry!V:V,MATCH($A535,Mitigation_Industry!$H:$H,0))</f>
        <v>40.858059739410059</v>
      </c>
      <c r="W535" s="22">
        <f>INDEX(Mitigation_Industry!W:W,MATCH($A535,Mitigation_Industry!$H:$H,0))</f>
        <v>46.725609739410061</v>
      </c>
      <c r="X535" s="22">
        <f>INDEX(Mitigation_Industry!X:X,MATCH($A535,Mitigation_Industry!$H:$H,0))</f>
        <v>52.593159739410055</v>
      </c>
      <c r="Y535" s="22">
        <f>INDEX(Mitigation_Industry!Y:Y,MATCH($A535,Mitigation_Industry!$H:$H,0))</f>
        <v>58.460709739410071</v>
      </c>
      <c r="Z535" s="22">
        <f>INDEX(Mitigation_Industry!Z:Z,MATCH($A535,Mitigation_Industry!$H:$H,0))</f>
        <v>64.328259739410072</v>
      </c>
      <c r="AA535" s="22">
        <f>INDEX(Mitigation_Industry!AA:AA,MATCH($A535,Mitigation_Industry!$H:$H,0))</f>
        <v>70.195809739410066</v>
      </c>
      <c r="AB535" s="22">
        <f>INDEX(Mitigation_Industry!AB:AB,MATCH($A535,Mitigation_Industry!$H:$H,0))</f>
        <v>76.06335973941006</v>
      </c>
      <c r="AC535" s="22">
        <f>INDEX(Mitigation_Industry!AC:AC,MATCH($A535,Mitigation_Industry!$H:$H,0))</f>
        <v>81.930909739410055</v>
      </c>
      <c r="AD535" s="22">
        <f>INDEX(Mitigation_Industry!AD:AD,MATCH($A535,Mitigation_Industry!$H:$H,0))</f>
        <v>87.798459739410063</v>
      </c>
      <c r="AE535" s="22">
        <f>INDEX(Mitigation_Industry!AE:AE,MATCH($A535,Mitigation_Industry!$H:$H,0))</f>
        <v>93.666009739410057</v>
      </c>
    </row>
    <row r="536" spans="1:31" x14ac:dyDescent="0.25">
      <c r="A536" s="41" t="s">
        <v>1344</v>
      </c>
      <c r="B536" s="6" t="s">
        <v>68</v>
      </c>
      <c r="C536" s="6" t="s">
        <v>119</v>
      </c>
      <c r="D536" s="6">
        <v>2</v>
      </c>
      <c r="E536" s="2" t="s">
        <v>1212</v>
      </c>
      <c r="F536" s="43">
        <f>MAX(MAX(L536:AE536),-MIN(L536:AE536))</f>
        <v>7.1054273576010019E-15</v>
      </c>
      <c r="K536" s="44">
        <f t="shared" ref="K536:AE536" si="132">IF(ISNUMBER(K534),IF(ISNUMBER(K535),K535-K534,999999),0)</f>
        <v>0</v>
      </c>
      <c r="L536" s="44">
        <f t="shared" si="132"/>
        <v>0</v>
      </c>
      <c r="M536" s="44">
        <f t="shared" si="132"/>
        <v>0</v>
      </c>
      <c r="N536" s="44">
        <f t="shared" si="132"/>
        <v>0</v>
      </c>
      <c r="O536" s="44">
        <f t="shared" si="132"/>
        <v>0</v>
      </c>
      <c r="P536" s="44">
        <f t="shared" si="132"/>
        <v>0</v>
      </c>
      <c r="Q536" s="44">
        <f t="shared" si="132"/>
        <v>0</v>
      </c>
      <c r="R536" s="44">
        <f t="shared" si="132"/>
        <v>0</v>
      </c>
      <c r="S536" s="44">
        <f t="shared" si="132"/>
        <v>-3.5527136788005009E-15</v>
      </c>
      <c r="T536" s="44">
        <f t="shared" si="132"/>
        <v>-7.1054273576010019E-15</v>
      </c>
      <c r="U536" s="44">
        <f t="shared" si="132"/>
        <v>0</v>
      </c>
      <c r="V536" s="44">
        <f t="shared" si="132"/>
        <v>0</v>
      </c>
      <c r="W536" s="44">
        <f t="shared" si="132"/>
        <v>0</v>
      </c>
      <c r="X536" s="44">
        <f t="shared" si="132"/>
        <v>-7.1054273576010019E-15</v>
      </c>
      <c r="Y536" s="44">
        <f t="shared" si="132"/>
        <v>7.1054273576010019E-15</v>
      </c>
      <c r="Z536" s="44">
        <f t="shared" si="132"/>
        <v>0</v>
      </c>
      <c r="AA536" s="44">
        <f t="shared" si="132"/>
        <v>0</v>
      </c>
      <c r="AB536" s="44">
        <f t="shared" si="132"/>
        <v>0</v>
      </c>
      <c r="AC536" s="44">
        <f t="shared" si="132"/>
        <v>0</v>
      </c>
      <c r="AD536" s="44">
        <f t="shared" si="132"/>
        <v>0</v>
      </c>
      <c r="AE536" s="44">
        <f t="shared" si="132"/>
        <v>0</v>
      </c>
    </row>
    <row r="538" spans="1:31" x14ac:dyDescent="0.25">
      <c r="A538" s="41" t="s">
        <v>1345</v>
      </c>
      <c r="B538" s="6" t="s">
        <v>71</v>
      </c>
      <c r="C538" s="6" t="s">
        <v>119</v>
      </c>
      <c r="D538" s="6">
        <v>2</v>
      </c>
      <c r="E538" s="6" t="s">
        <v>1210</v>
      </c>
      <c r="K538" s="22"/>
      <c r="L538" s="22">
        <v>14.199528390634921</v>
      </c>
      <c r="M538" s="22">
        <v>13.840441613315161</v>
      </c>
      <c r="N538" s="22">
        <v>13.5677269404465</v>
      </c>
      <c r="O538" s="22">
        <v>13.5677269404465</v>
      </c>
      <c r="P538" s="22">
        <v>13.5677269404465</v>
      </c>
      <c r="Q538" s="22">
        <v>13.5677269404465</v>
      </c>
      <c r="R538" s="22">
        <v>13.5677269404465</v>
      </c>
      <c r="S538" s="22">
        <v>13.5677269404465</v>
      </c>
      <c r="T538" s="22">
        <v>13.5677269404465</v>
      </c>
      <c r="U538" s="22">
        <v>13.5677269404465</v>
      </c>
      <c r="V538" s="22">
        <v>13.5677269404465</v>
      </c>
      <c r="W538" s="22">
        <v>13.5677269404465</v>
      </c>
      <c r="X538" s="22">
        <v>13.5677269404465</v>
      </c>
      <c r="Y538" s="22">
        <v>13.5677269404465</v>
      </c>
      <c r="Z538" s="22">
        <v>13.5677269404465</v>
      </c>
      <c r="AA538" s="22">
        <v>13.5677269404465</v>
      </c>
      <c r="AB538" s="22">
        <v>13.5677269404465</v>
      </c>
      <c r="AC538" s="22">
        <v>13.5677269404465</v>
      </c>
      <c r="AD538" s="22">
        <v>13.5677269404465</v>
      </c>
      <c r="AE538" s="22">
        <v>13.5677269404465</v>
      </c>
    </row>
    <row r="539" spans="1:31" x14ac:dyDescent="0.25">
      <c r="A539" s="41" t="s">
        <v>1345</v>
      </c>
      <c r="B539" s="6" t="s">
        <v>71</v>
      </c>
      <c r="C539" s="6" t="s">
        <v>119</v>
      </c>
      <c r="D539" s="6">
        <v>2</v>
      </c>
      <c r="E539" s="6" t="s">
        <v>1211</v>
      </c>
      <c r="K539" s="22">
        <f>INDEX(Mitigation_Industry!K:K,MATCH($A539,Mitigation_Industry!$H:$H,0))</f>
        <v>15.33455052931693</v>
      </c>
      <c r="L539" s="22">
        <f>INDEX(Mitigation_Industry!L:L,MATCH($A539,Mitigation_Industry!$H:$H,0))</f>
        <v>14.199528390634921</v>
      </c>
      <c r="M539" s="22">
        <f>INDEX(Mitigation_Industry!M:M,MATCH($A539,Mitigation_Industry!$H:$H,0))</f>
        <v>13.840441613315161</v>
      </c>
      <c r="N539" s="22">
        <f>INDEX(Mitigation_Industry!N:N,MATCH($A539,Mitigation_Industry!$H:$H,0))</f>
        <v>13.5677269404465</v>
      </c>
      <c r="O539" s="22">
        <f>INDEX(Mitigation_Industry!O:O,MATCH($A539,Mitigation_Industry!$H:$H,0))</f>
        <v>13.5677269404465</v>
      </c>
      <c r="P539" s="22">
        <f>INDEX(Mitigation_Industry!P:P,MATCH($A539,Mitigation_Industry!$H:$H,0))</f>
        <v>13.5677269404465</v>
      </c>
      <c r="Q539" s="22">
        <f>INDEX(Mitigation_Industry!Q:Q,MATCH($A539,Mitigation_Industry!$H:$H,0))</f>
        <v>13.5677269404465</v>
      </c>
      <c r="R539" s="22">
        <f>INDEX(Mitigation_Industry!R:R,MATCH($A539,Mitigation_Industry!$H:$H,0))</f>
        <v>13.5677269404465</v>
      </c>
      <c r="S539" s="22">
        <f>INDEX(Mitigation_Industry!S:S,MATCH($A539,Mitigation_Industry!$H:$H,0))</f>
        <v>13.5677269404465</v>
      </c>
      <c r="T539" s="22">
        <f>INDEX(Mitigation_Industry!T:T,MATCH($A539,Mitigation_Industry!$H:$H,0))</f>
        <v>13.5677269404465</v>
      </c>
      <c r="U539" s="22">
        <f>INDEX(Mitigation_Industry!U:U,MATCH($A539,Mitigation_Industry!$H:$H,0))</f>
        <v>13.5677269404465</v>
      </c>
      <c r="V539" s="22">
        <f>INDEX(Mitigation_Industry!V:V,MATCH($A539,Mitigation_Industry!$H:$H,0))</f>
        <v>13.5677269404465</v>
      </c>
      <c r="W539" s="22">
        <f>INDEX(Mitigation_Industry!W:W,MATCH($A539,Mitigation_Industry!$H:$H,0))</f>
        <v>13.5677269404465</v>
      </c>
      <c r="X539" s="22">
        <f>INDEX(Mitigation_Industry!X:X,MATCH($A539,Mitigation_Industry!$H:$H,0))</f>
        <v>13.5677269404465</v>
      </c>
      <c r="Y539" s="22">
        <f>INDEX(Mitigation_Industry!Y:Y,MATCH($A539,Mitigation_Industry!$H:$H,0))</f>
        <v>13.5677269404465</v>
      </c>
      <c r="Z539" s="22">
        <f>INDEX(Mitigation_Industry!Z:Z,MATCH($A539,Mitigation_Industry!$H:$H,0))</f>
        <v>13.5677269404465</v>
      </c>
      <c r="AA539" s="22">
        <f>INDEX(Mitigation_Industry!AA:AA,MATCH($A539,Mitigation_Industry!$H:$H,0))</f>
        <v>13.5677269404465</v>
      </c>
      <c r="AB539" s="22">
        <f>INDEX(Mitigation_Industry!AB:AB,MATCH($A539,Mitigation_Industry!$H:$H,0))</f>
        <v>13.5677269404465</v>
      </c>
      <c r="AC539" s="22">
        <f>INDEX(Mitigation_Industry!AC:AC,MATCH($A539,Mitigation_Industry!$H:$H,0))</f>
        <v>13.5677269404465</v>
      </c>
      <c r="AD539" s="22">
        <f>INDEX(Mitigation_Industry!AD:AD,MATCH($A539,Mitigation_Industry!$H:$H,0))</f>
        <v>13.5677269404465</v>
      </c>
      <c r="AE539" s="22">
        <f>INDEX(Mitigation_Industry!AE:AE,MATCH($A539,Mitigation_Industry!$H:$H,0))</f>
        <v>13.5677269404465</v>
      </c>
    </row>
    <row r="540" spans="1:31" x14ac:dyDescent="0.25">
      <c r="A540" s="41" t="s">
        <v>1345</v>
      </c>
      <c r="B540" s="6" t="s">
        <v>71</v>
      </c>
      <c r="C540" s="6" t="s">
        <v>119</v>
      </c>
      <c r="D540" s="6">
        <v>2</v>
      </c>
      <c r="E540" s="2" t="s">
        <v>1212</v>
      </c>
      <c r="F540" s="43">
        <f>MAX(MAX(L540:AE540),-MIN(L540:AE540))</f>
        <v>0</v>
      </c>
      <c r="K540" s="44">
        <f t="shared" ref="K540:AE540" si="133">IF(ISNUMBER(K538),IF(ISNUMBER(K539),K539-K538,999999),0)</f>
        <v>0</v>
      </c>
      <c r="L540" s="44">
        <f t="shared" si="133"/>
        <v>0</v>
      </c>
      <c r="M540" s="44">
        <f t="shared" si="133"/>
        <v>0</v>
      </c>
      <c r="N540" s="44">
        <f t="shared" si="133"/>
        <v>0</v>
      </c>
      <c r="O540" s="44">
        <f t="shared" si="133"/>
        <v>0</v>
      </c>
      <c r="P540" s="44">
        <f t="shared" si="133"/>
        <v>0</v>
      </c>
      <c r="Q540" s="44">
        <f t="shared" si="133"/>
        <v>0</v>
      </c>
      <c r="R540" s="44">
        <f t="shared" si="133"/>
        <v>0</v>
      </c>
      <c r="S540" s="44">
        <f t="shared" si="133"/>
        <v>0</v>
      </c>
      <c r="T540" s="44">
        <f t="shared" si="133"/>
        <v>0</v>
      </c>
      <c r="U540" s="44">
        <f t="shared" si="133"/>
        <v>0</v>
      </c>
      <c r="V540" s="44">
        <f t="shared" si="133"/>
        <v>0</v>
      </c>
      <c r="W540" s="44">
        <f t="shared" si="133"/>
        <v>0</v>
      </c>
      <c r="X540" s="44">
        <f t="shared" si="133"/>
        <v>0</v>
      </c>
      <c r="Y540" s="44">
        <f t="shared" si="133"/>
        <v>0</v>
      </c>
      <c r="Z540" s="44">
        <f t="shared" si="133"/>
        <v>0</v>
      </c>
      <c r="AA540" s="44">
        <f t="shared" si="133"/>
        <v>0</v>
      </c>
      <c r="AB540" s="44">
        <f t="shared" si="133"/>
        <v>0</v>
      </c>
      <c r="AC540" s="44">
        <f t="shared" si="133"/>
        <v>0</v>
      </c>
      <c r="AD540" s="44">
        <f t="shared" si="133"/>
        <v>0</v>
      </c>
      <c r="AE540" s="44">
        <f t="shared" si="133"/>
        <v>0</v>
      </c>
    </row>
    <row r="542" spans="1:31" x14ac:dyDescent="0.25">
      <c r="A542" s="41" t="s">
        <v>1346</v>
      </c>
      <c r="B542" s="6" t="s">
        <v>73</v>
      </c>
      <c r="C542" s="6" t="s">
        <v>119</v>
      </c>
      <c r="D542" s="6">
        <v>2</v>
      </c>
      <c r="E542" s="6" t="s">
        <v>1210</v>
      </c>
      <c r="K542" s="22"/>
      <c r="L542" s="22">
        <v>0.14404498679319799</v>
      </c>
      <c r="M542" s="22">
        <v>0.14138624175135939</v>
      </c>
      <c r="N542" s="22">
        <v>0.1353975654437313</v>
      </c>
      <c r="O542" s="22">
        <v>0.13152288542065141</v>
      </c>
      <c r="P542" s="22">
        <v>0.12882610848523129</v>
      </c>
      <c r="Q542" s="22">
        <v>0.1259420097647401</v>
      </c>
      <c r="R542" s="22">
        <v>0.1231132657018609</v>
      </c>
      <c r="S542" s="22">
        <v>0.1193917380890684</v>
      </c>
      <c r="T542" s="22">
        <v>0.1155441904679203</v>
      </c>
      <c r="U542" s="22">
        <v>0.11492423065415899</v>
      </c>
      <c r="V542" s="22">
        <v>0.11434691211673639</v>
      </c>
      <c r="W542" s="22">
        <v>0.1137387111726635</v>
      </c>
      <c r="X542" s="22">
        <v>0.1129999004875214</v>
      </c>
      <c r="Y542" s="22">
        <v>0.11217768583553429</v>
      </c>
      <c r="Z542" s="22">
        <v>0.1114179032504042</v>
      </c>
      <c r="AA542" s="22">
        <v>0.1105258199854538</v>
      </c>
      <c r="AB542" s="22">
        <v>0.1096995652348958</v>
      </c>
      <c r="AC542" s="22">
        <v>0.1077267889639492</v>
      </c>
      <c r="AD542" s="22">
        <v>0.1058209244509353</v>
      </c>
      <c r="AE542" s="22">
        <v>0.1038555957057212</v>
      </c>
    </row>
    <row r="543" spans="1:31" x14ac:dyDescent="0.25">
      <c r="A543" s="41" t="s">
        <v>1346</v>
      </c>
      <c r="B543" s="6" t="s">
        <v>73</v>
      </c>
      <c r="C543" s="6" t="s">
        <v>119</v>
      </c>
      <c r="D543" s="6">
        <v>2</v>
      </c>
      <c r="E543" s="6" t="s">
        <v>1211</v>
      </c>
      <c r="K543" s="22">
        <f>INDEX(Mitigation_Industry!K:K,MATCH($A543,Mitigation_Industry!$H:$H,0))</f>
        <v>0</v>
      </c>
      <c r="L543" s="22">
        <f>INDEX(Mitigation_Industry!L:L,MATCH($A543,Mitigation_Industry!$H:$H,0))</f>
        <v>0.14404498679319799</v>
      </c>
      <c r="M543" s="22">
        <f>INDEX(Mitigation_Industry!M:M,MATCH($A543,Mitigation_Industry!$H:$H,0))</f>
        <v>0.14138624175135939</v>
      </c>
      <c r="N543" s="22">
        <f>INDEX(Mitigation_Industry!N:N,MATCH($A543,Mitigation_Industry!$H:$H,0))</f>
        <v>0.1353975654437313</v>
      </c>
      <c r="O543" s="22">
        <f>INDEX(Mitigation_Industry!O:O,MATCH($A543,Mitigation_Industry!$H:$H,0))</f>
        <v>0.13152288542065141</v>
      </c>
      <c r="P543" s="22">
        <f>INDEX(Mitigation_Industry!P:P,MATCH($A543,Mitigation_Industry!$H:$H,0))</f>
        <v>0.12882610848523129</v>
      </c>
      <c r="Q543" s="22">
        <f>INDEX(Mitigation_Industry!Q:Q,MATCH($A543,Mitigation_Industry!$H:$H,0))</f>
        <v>0.1259420097647401</v>
      </c>
      <c r="R543" s="22">
        <f>INDEX(Mitigation_Industry!R:R,MATCH($A543,Mitigation_Industry!$H:$H,0))</f>
        <v>0.1231132657018609</v>
      </c>
      <c r="S543" s="22">
        <f>INDEX(Mitigation_Industry!S:S,MATCH($A543,Mitigation_Industry!$H:$H,0))</f>
        <v>0.1193917380890684</v>
      </c>
      <c r="T543" s="22">
        <f>INDEX(Mitigation_Industry!T:T,MATCH($A543,Mitigation_Industry!$H:$H,0))</f>
        <v>0.1155441904679203</v>
      </c>
      <c r="U543" s="22">
        <f>INDEX(Mitigation_Industry!U:U,MATCH($A543,Mitigation_Industry!$H:$H,0))</f>
        <v>0.11492423065415899</v>
      </c>
      <c r="V543" s="22">
        <f>INDEX(Mitigation_Industry!V:V,MATCH($A543,Mitigation_Industry!$H:$H,0))</f>
        <v>0.11434691211673639</v>
      </c>
      <c r="W543" s="22">
        <f>INDEX(Mitigation_Industry!W:W,MATCH($A543,Mitigation_Industry!$H:$H,0))</f>
        <v>0.1137387111726635</v>
      </c>
      <c r="X543" s="22">
        <f>INDEX(Mitigation_Industry!X:X,MATCH($A543,Mitigation_Industry!$H:$H,0))</f>
        <v>0.1129999004875214</v>
      </c>
      <c r="Y543" s="22">
        <f>INDEX(Mitigation_Industry!Y:Y,MATCH($A543,Mitigation_Industry!$H:$H,0))</f>
        <v>0.11217768583553429</v>
      </c>
      <c r="Z543" s="22">
        <f>INDEX(Mitigation_Industry!Z:Z,MATCH($A543,Mitigation_Industry!$H:$H,0))</f>
        <v>0.1114179032504042</v>
      </c>
      <c r="AA543" s="22">
        <f>INDEX(Mitigation_Industry!AA:AA,MATCH($A543,Mitigation_Industry!$H:$H,0))</f>
        <v>0.1105258199854538</v>
      </c>
      <c r="AB543" s="22">
        <f>INDEX(Mitigation_Industry!AB:AB,MATCH($A543,Mitigation_Industry!$H:$H,0))</f>
        <v>0.1096995652348958</v>
      </c>
      <c r="AC543" s="22">
        <f>INDEX(Mitigation_Industry!AC:AC,MATCH($A543,Mitigation_Industry!$H:$H,0))</f>
        <v>0.1077267889639492</v>
      </c>
      <c r="AD543" s="22">
        <f>INDEX(Mitigation_Industry!AD:AD,MATCH($A543,Mitigation_Industry!$H:$H,0))</f>
        <v>0.1058209244509353</v>
      </c>
      <c r="AE543" s="22">
        <f>INDEX(Mitigation_Industry!AE:AE,MATCH($A543,Mitigation_Industry!$H:$H,0))</f>
        <v>0.1038555957057212</v>
      </c>
    </row>
    <row r="544" spans="1:31" x14ac:dyDescent="0.25">
      <c r="A544" s="41" t="s">
        <v>1346</v>
      </c>
      <c r="B544" s="6" t="s">
        <v>73</v>
      </c>
      <c r="C544" s="6" t="s">
        <v>119</v>
      </c>
      <c r="D544" s="6">
        <v>2</v>
      </c>
      <c r="E544" s="2" t="s">
        <v>1212</v>
      </c>
      <c r="F544" s="43">
        <f>MAX(MAX(L544:AE544),-MIN(L544:AE544))</f>
        <v>0</v>
      </c>
      <c r="K544" s="44">
        <f t="shared" ref="K544:AE544" si="134">IF(ISNUMBER(K542),IF(ISNUMBER(K543),K543-K542,999999),0)</f>
        <v>0</v>
      </c>
      <c r="L544" s="44">
        <f t="shared" si="134"/>
        <v>0</v>
      </c>
      <c r="M544" s="44">
        <f t="shared" si="134"/>
        <v>0</v>
      </c>
      <c r="N544" s="44">
        <f t="shared" si="134"/>
        <v>0</v>
      </c>
      <c r="O544" s="44">
        <f t="shared" si="134"/>
        <v>0</v>
      </c>
      <c r="P544" s="44">
        <f t="shared" si="134"/>
        <v>0</v>
      </c>
      <c r="Q544" s="44">
        <f t="shared" si="134"/>
        <v>0</v>
      </c>
      <c r="R544" s="44">
        <f t="shared" si="134"/>
        <v>0</v>
      </c>
      <c r="S544" s="44">
        <f t="shared" si="134"/>
        <v>0</v>
      </c>
      <c r="T544" s="44">
        <f t="shared" si="134"/>
        <v>0</v>
      </c>
      <c r="U544" s="44">
        <f t="shared" si="134"/>
        <v>0</v>
      </c>
      <c r="V544" s="44">
        <f t="shared" si="134"/>
        <v>0</v>
      </c>
      <c r="W544" s="44">
        <f t="shared" si="134"/>
        <v>0</v>
      </c>
      <c r="X544" s="44">
        <f t="shared" si="134"/>
        <v>0</v>
      </c>
      <c r="Y544" s="44">
        <f t="shared" si="134"/>
        <v>0</v>
      </c>
      <c r="Z544" s="44">
        <f t="shared" si="134"/>
        <v>0</v>
      </c>
      <c r="AA544" s="44">
        <f t="shared" si="134"/>
        <v>0</v>
      </c>
      <c r="AB544" s="44">
        <f t="shared" si="134"/>
        <v>0</v>
      </c>
      <c r="AC544" s="44">
        <f t="shared" si="134"/>
        <v>0</v>
      </c>
      <c r="AD544" s="44">
        <f t="shared" si="134"/>
        <v>0</v>
      </c>
      <c r="AE544" s="44">
        <f t="shared" si="134"/>
        <v>0</v>
      </c>
    </row>
    <row r="546" spans="1:31" x14ac:dyDescent="0.25">
      <c r="A546" s="41" t="s">
        <v>1347</v>
      </c>
      <c r="B546" s="6" t="s">
        <v>53</v>
      </c>
      <c r="C546" s="6" t="s">
        <v>121</v>
      </c>
      <c r="D546" s="6">
        <v>2</v>
      </c>
      <c r="E546" s="6" t="s">
        <v>1210</v>
      </c>
      <c r="K546" s="22"/>
      <c r="L546" s="22">
        <v>10.52336134543121</v>
      </c>
      <c r="M546" s="22">
        <v>10.299560827444211</v>
      </c>
      <c r="N546" s="22">
        <v>9.5775283595382632</v>
      </c>
      <c r="O546" s="22">
        <v>8.4854782869580454</v>
      </c>
      <c r="P546" s="22">
        <v>9.0871922352498604</v>
      </c>
      <c r="Q546" s="22">
        <v>10.472923728932679</v>
      </c>
      <c r="R546" s="22">
        <v>11.658564955509689</v>
      </c>
      <c r="S546" s="22">
        <v>12.839547877397379</v>
      </c>
      <c r="T546" s="22">
        <v>14.01568166602283</v>
      </c>
      <c r="U546" s="22">
        <v>15.19439776555711</v>
      </c>
      <c r="V546" s="22">
        <v>16.44439776555711</v>
      </c>
      <c r="W546" s="22">
        <v>17.69439776555711</v>
      </c>
      <c r="X546" s="22">
        <v>18.94439776555711</v>
      </c>
      <c r="Y546" s="22">
        <v>20.19439776555711</v>
      </c>
      <c r="Z546" s="22">
        <v>21.44439776555711</v>
      </c>
      <c r="AA546" s="22">
        <v>22.69439776555711</v>
      </c>
      <c r="AB546" s="22">
        <v>23.94439776555711</v>
      </c>
      <c r="AC546" s="22">
        <v>25.19439776555711</v>
      </c>
      <c r="AD546" s="22">
        <v>26.44439776555711</v>
      </c>
      <c r="AE546" s="22">
        <v>27.69439776555711</v>
      </c>
    </row>
    <row r="547" spans="1:31" x14ac:dyDescent="0.25">
      <c r="A547" s="41" t="s">
        <v>1347</v>
      </c>
      <c r="B547" s="6" t="s">
        <v>53</v>
      </c>
      <c r="C547" s="6" t="s">
        <v>121</v>
      </c>
      <c r="D547" s="6">
        <v>2</v>
      </c>
      <c r="E547" s="6" t="s">
        <v>1211</v>
      </c>
      <c r="K547" s="22">
        <f>INDEX(Mitigation_Industry!K:K,MATCH($A547,Mitigation_Industry!$H:$H,0))</f>
        <v>11.18290158924394</v>
      </c>
      <c r="L547" s="22">
        <f>INDEX(Mitigation_Industry!L:L,MATCH($A547,Mitigation_Industry!$H:$H,0))</f>
        <v>10.52336134543121</v>
      </c>
      <c r="M547" s="22">
        <f>INDEX(Mitigation_Industry!M:M,MATCH($A547,Mitigation_Industry!$H:$H,0))</f>
        <v>10.299560827444211</v>
      </c>
      <c r="N547" s="22">
        <f>INDEX(Mitigation_Industry!N:N,MATCH($A547,Mitigation_Industry!$H:$H,0))</f>
        <v>9.5775283595382632</v>
      </c>
      <c r="O547" s="22">
        <f>INDEX(Mitigation_Industry!O:O,MATCH($A547,Mitigation_Industry!$H:$H,0))</f>
        <v>8.4854782869580454</v>
      </c>
      <c r="P547" s="22">
        <f>INDEX(Mitigation_Industry!P:P,MATCH($A547,Mitigation_Industry!$H:$H,0))</f>
        <v>9.0871922352498604</v>
      </c>
      <c r="Q547" s="22">
        <f>INDEX(Mitigation_Industry!Q:Q,MATCH($A547,Mitigation_Industry!$H:$H,0))</f>
        <v>10.472923728932681</v>
      </c>
      <c r="R547" s="22">
        <f>INDEX(Mitigation_Industry!R:R,MATCH($A547,Mitigation_Industry!$H:$H,0))</f>
        <v>11.658564955509688</v>
      </c>
      <c r="S547" s="22">
        <f>INDEX(Mitigation_Industry!S:S,MATCH($A547,Mitigation_Industry!$H:$H,0))</f>
        <v>12.839547877397377</v>
      </c>
      <c r="T547" s="22">
        <f>INDEX(Mitigation_Industry!T:T,MATCH($A547,Mitigation_Industry!$H:$H,0))</f>
        <v>14.01568166602283</v>
      </c>
      <c r="U547" s="22">
        <f>INDEX(Mitigation_Industry!U:U,MATCH($A547,Mitigation_Industry!$H:$H,0))</f>
        <v>15.194397765557106</v>
      </c>
      <c r="V547" s="22">
        <f>INDEX(Mitigation_Industry!V:V,MATCH($A547,Mitigation_Industry!$H:$H,0))</f>
        <v>16.444397765557106</v>
      </c>
      <c r="W547" s="22">
        <f>INDEX(Mitigation_Industry!W:W,MATCH($A547,Mitigation_Industry!$H:$H,0))</f>
        <v>17.694397765557106</v>
      </c>
      <c r="X547" s="22">
        <f>INDEX(Mitigation_Industry!X:X,MATCH($A547,Mitigation_Industry!$H:$H,0))</f>
        <v>18.944397765557106</v>
      </c>
      <c r="Y547" s="22">
        <f>INDEX(Mitigation_Industry!Y:Y,MATCH($A547,Mitigation_Industry!$H:$H,0))</f>
        <v>20.194397765557106</v>
      </c>
      <c r="Z547" s="22">
        <f>INDEX(Mitigation_Industry!Z:Z,MATCH($A547,Mitigation_Industry!$H:$H,0))</f>
        <v>21.444397765557106</v>
      </c>
      <c r="AA547" s="22">
        <f>INDEX(Mitigation_Industry!AA:AA,MATCH($A547,Mitigation_Industry!$H:$H,0))</f>
        <v>22.694397765557106</v>
      </c>
      <c r="AB547" s="22">
        <f>INDEX(Mitigation_Industry!AB:AB,MATCH($A547,Mitigation_Industry!$H:$H,0))</f>
        <v>23.944397765557106</v>
      </c>
      <c r="AC547" s="22">
        <f>INDEX(Mitigation_Industry!AC:AC,MATCH($A547,Mitigation_Industry!$H:$H,0))</f>
        <v>25.194397765557106</v>
      </c>
      <c r="AD547" s="22">
        <f>INDEX(Mitigation_Industry!AD:AD,MATCH($A547,Mitigation_Industry!$H:$H,0))</f>
        <v>26.444397765557106</v>
      </c>
      <c r="AE547" s="22">
        <f>INDEX(Mitigation_Industry!AE:AE,MATCH($A547,Mitigation_Industry!$H:$H,0))</f>
        <v>27.694397765557106</v>
      </c>
    </row>
    <row r="548" spans="1:31" x14ac:dyDescent="0.25">
      <c r="A548" s="41" t="s">
        <v>1347</v>
      </c>
      <c r="B548" s="6" t="s">
        <v>53</v>
      </c>
      <c r="C548" s="6" t="s">
        <v>121</v>
      </c>
      <c r="D548" s="6">
        <v>2</v>
      </c>
      <c r="E548" s="2" t="s">
        <v>1212</v>
      </c>
      <c r="F548" s="43">
        <f>MAX(MAX(L548:AE548),-MIN(L548:AE548))</f>
        <v>3.5527136788005009E-15</v>
      </c>
      <c r="K548" s="44">
        <f t="shared" ref="K548:AE548" si="135">IF(ISNUMBER(K546),IF(ISNUMBER(K547),K547-K546,999999),0)</f>
        <v>0</v>
      </c>
      <c r="L548" s="44">
        <f t="shared" si="135"/>
        <v>0</v>
      </c>
      <c r="M548" s="44">
        <f t="shared" si="135"/>
        <v>0</v>
      </c>
      <c r="N548" s="44">
        <f t="shared" si="135"/>
        <v>0</v>
      </c>
      <c r="O548" s="44">
        <f t="shared" si="135"/>
        <v>0</v>
      </c>
      <c r="P548" s="44">
        <f t="shared" si="135"/>
        <v>0</v>
      </c>
      <c r="Q548" s="44">
        <f t="shared" si="135"/>
        <v>1.7763568394002505E-15</v>
      </c>
      <c r="R548" s="44">
        <f t="shared" si="135"/>
        <v>-1.7763568394002505E-15</v>
      </c>
      <c r="S548" s="44">
        <f t="shared" si="135"/>
        <v>-1.7763568394002505E-15</v>
      </c>
      <c r="T548" s="44">
        <f t="shared" si="135"/>
        <v>0</v>
      </c>
      <c r="U548" s="44">
        <f t="shared" si="135"/>
        <v>-3.5527136788005009E-15</v>
      </c>
      <c r="V548" s="44">
        <f t="shared" si="135"/>
        <v>-3.5527136788005009E-15</v>
      </c>
      <c r="W548" s="44">
        <f t="shared" si="135"/>
        <v>-3.5527136788005009E-15</v>
      </c>
      <c r="X548" s="44">
        <f t="shared" si="135"/>
        <v>-3.5527136788005009E-15</v>
      </c>
      <c r="Y548" s="44">
        <f t="shared" si="135"/>
        <v>-3.5527136788005009E-15</v>
      </c>
      <c r="Z548" s="44">
        <f t="shared" si="135"/>
        <v>-3.5527136788005009E-15</v>
      </c>
      <c r="AA548" s="44">
        <f t="shared" si="135"/>
        <v>-3.5527136788005009E-15</v>
      </c>
      <c r="AB548" s="44">
        <f t="shared" si="135"/>
        <v>-3.5527136788005009E-15</v>
      </c>
      <c r="AC548" s="44">
        <f t="shared" si="135"/>
        <v>-3.5527136788005009E-15</v>
      </c>
      <c r="AD548" s="44">
        <f t="shared" si="135"/>
        <v>-3.5527136788005009E-15</v>
      </c>
      <c r="AE548" s="44">
        <f t="shared" si="135"/>
        <v>-3.5527136788005009E-15</v>
      </c>
    </row>
    <row r="550" spans="1:31" x14ac:dyDescent="0.25">
      <c r="A550" s="41" t="s">
        <v>1348</v>
      </c>
      <c r="B550" s="6" t="s">
        <v>57</v>
      </c>
      <c r="C550" s="6" t="s">
        <v>121</v>
      </c>
      <c r="D550" s="6">
        <v>2</v>
      </c>
      <c r="E550" s="6" t="s">
        <v>1210</v>
      </c>
      <c r="K550" s="22"/>
      <c r="L550" s="22">
        <v>5.4510150816191896</v>
      </c>
      <c r="M550" s="22">
        <v>5.1193563062624818</v>
      </c>
      <c r="N550" s="22">
        <v>5.0821845864040727</v>
      </c>
      <c r="O550" s="22">
        <v>5.0821845864040727</v>
      </c>
      <c r="P550" s="22">
        <v>5.0821845864040727</v>
      </c>
      <c r="Q550" s="22">
        <v>5.7796845864040716</v>
      </c>
      <c r="R550" s="22">
        <v>6.4771845864040722</v>
      </c>
      <c r="S550" s="22">
        <v>7.1746845864040729</v>
      </c>
      <c r="T550" s="22">
        <v>7.8721845864040727</v>
      </c>
      <c r="U550" s="22">
        <v>8.5696845864040725</v>
      </c>
      <c r="V550" s="22">
        <v>9.2671845864040723</v>
      </c>
      <c r="W550" s="22">
        <v>9.9646845864040721</v>
      </c>
      <c r="X550" s="22">
        <v>10.66218458640407</v>
      </c>
      <c r="Y550" s="22">
        <v>11.35968458640407</v>
      </c>
      <c r="Z550" s="22">
        <v>12.05718458640407</v>
      </c>
      <c r="AA550" s="22">
        <v>12.754684586404069</v>
      </c>
      <c r="AB550" s="22">
        <v>13.452184586404069</v>
      </c>
      <c r="AC550" s="22">
        <v>14.149684586404071</v>
      </c>
      <c r="AD550" s="22">
        <v>14.847184586404071</v>
      </c>
      <c r="AE550" s="22">
        <v>15.54468458640407</v>
      </c>
    </row>
    <row r="551" spans="1:31" x14ac:dyDescent="0.25">
      <c r="A551" s="41" t="s">
        <v>1348</v>
      </c>
      <c r="B551" s="6" t="s">
        <v>57</v>
      </c>
      <c r="C551" s="6" t="s">
        <v>121</v>
      </c>
      <c r="D551" s="6">
        <v>2</v>
      </c>
      <c r="E551" s="6" t="s">
        <v>1211</v>
      </c>
      <c r="K551" s="22">
        <f>INDEX(Mitigation_Industry!K:K,MATCH($A551,Mitigation_Industry!$H:$H,0))</f>
        <v>6.0634636156729131</v>
      </c>
      <c r="L551" s="22">
        <f>INDEX(Mitigation_Industry!L:L,MATCH($A551,Mitigation_Industry!$H:$H,0))</f>
        <v>5.4510150816191896</v>
      </c>
      <c r="M551" s="22">
        <f>INDEX(Mitigation_Industry!M:M,MATCH($A551,Mitigation_Industry!$H:$H,0))</f>
        <v>5.1193563062624818</v>
      </c>
      <c r="N551" s="22">
        <f>INDEX(Mitigation_Industry!N:N,MATCH($A551,Mitigation_Industry!$H:$H,0))</f>
        <v>5.0821845864040727</v>
      </c>
      <c r="O551" s="22">
        <f>INDEX(Mitigation_Industry!O:O,MATCH($A551,Mitigation_Industry!$H:$H,0))</f>
        <v>5.0821845864040727</v>
      </c>
      <c r="P551" s="22">
        <f>INDEX(Mitigation_Industry!P:P,MATCH($A551,Mitigation_Industry!$H:$H,0))</f>
        <v>5.0821845864040727</v>
      </c>
      <c r="Q551" s="22">
        <f>INDEX(Mitigation_Industry!Q:Q,MATCH($A551,Mitigation_Industry!$H:$H,0))</f>
        <v>5.7796845864040725</v>
      </c>
      <c r="R551" s="22">
        <f>INDEX(Mitigation_Industry!R:R,MATCH($A551,Mitigation_Industry!$H:$H,0))</f>
        <v>6.4771845864040731</v>
      </c>
      <c r="S551" s="22">
        <f>INDEX(Mitigation_Industry!S:S,MATCH($A551,Mitigation_Industry!$H:$H,0))</f>
        <v>7.1746845864040729</v>
      </c>
      <c r="T551" s="22">
        <f>INDEX(Mitigation_Industry!T:T,MATCH($A551,Mitigation_Industry!$H:$H,0))</f>
        <v>7.8721845864040736</v>
      </c>
      <c r="U551" s="22">
        <f>INDEX(Mitigation_Industry!U:U,MATCH($A551,Mitigation_Industry!$H:$H,0))</f>
        <v>8.5696845864040725</v>
      </c>
      <c r="V551" s="22">
        <f>INDEX(Mitigation_Industry!V:V,MATCH($A551,Mitigation_Industry!$H:$H,0))</f>
        <v>9.2671845864040723</v>
      </c>
      <c r="W551" s="22">
        <f>INDEX(Mitigation_Industry!W:W,MATCH($A551,Mitigation_Industry!$H:$H,0))</f>
        <v>9.9646845864040721</v>
      </c>
      <c r="X551" s="22">
        <f>INDEX(Mitigation_Industry!X:X,MATCH($A551,Mitigation_Industry!$H:$H,0))</f>
        <v>10.662184586404072</v>
      </c>
      <c r="Y551" s="22">
        <f>INDEX(Mitigation_Industry!Y:Y,MATCH($A551,Mitigation_Industry!$H:$H,0))</f>
        <v>11.359684586404072</v>
      </c>
      <c r="Z551" s="22">
        <f>INDEX(Mitigation_Industry!Z:Z,MATCH($A551,Mitigation_Industry!$H:$H,0))</f>
        <v>12.057184586404073</v>
      </c>
      <c r="AA551" s="22">
        <f>INDEX(Mitigation_Industry!AA:AA,MATCH($A551,Mitigation_Industry!$H:$H,0))</f>
        <v>12.754684586404071</v>
      </c>
      <c r="AB551" s="22">
        <f>INDEX(Mitigation_Industry!AB:AB,MATCH($A551,Mitigation_Industry!$H:$H,0))</f>
        <v>13.452184586404073</v>
      </c>
      <c r="AC551" s="22">
        <f>INDEX(Mitigation_Industry!AC:AC,MATCH($A551,Mitigation_Industry!$H:$H,0))</f>
        <v>14.149684586404071</v>
      </c>
      <c r="AD551" s="22">
        <f>INDEX(Mitigation_Industry!AD:AD,MATCH($A551,Mitigation_Industry!$H:$H,0))</f>
        <v>14.847184586404072</v>
      </c>
      <c r="AE551" s="22">
        <f>INDEX(Mitigation_Industry!AE:AE,MATCH($A551,Mitigation_Industry!$H:$H,0))</f>
        <v>15.544684586404072</v>
      </c>
    </row>
    <row r="552" spans="1:31" x14ac:dyDescent="0.25">
      <c r="A552" s="41" t="s">
        <v>1348</v>
      </c>
      <c r="B552" s="6" t="s">
        <v>57</v>
      </c>
      <c r="C552" s="6" t="s">
        <v>121</v>
      </c>
      <c r="D552" s="6">
        <v>2</v>
      </c>
      <c r="E552" s="2" t="s">
        <v>1212</v>
      </c>
      <c r="F552" s="43">
        <f>MAX(MAX(L552:AE552),-MIN(L552:AE552))</f>
        <v>3.5527136788005009E-15</v>
      </c>
      <c r="K552" s="44">
        <f t="shared" ref="K552:AE552" si="136">IF(ISNUMBER(K550),IF(ISNUMBER(K551),K551-K550,999999),0)</f>
        <v>0</v>
      </c>
      <c r="L552" s="44">
        <f t="shared" si="136"/>
        <v>0</v>
      </c>
      <c r="M552" s="44">
        <f t="shared" si="136"/>
        <v>0</v>
      </c>
      <c r="N552" s="44">
        <f t="shared" si="136"/>
        <v>0</v>
      </c>
      <c r="O552" s="44">
        <f t="shared" si="136"/>
        <v>0</v>
      </c>
      <c r="P552" s="44">
        <f t="shared" si="136"/>
        <v>0</v>
      </c>
      <c r="Q552" s="44">
        <f t="shared" si="136"/>
        <v>8.8817841970012523E-16</v>
      </c>
      <c r="R552" s="44">
        <f t="shared" si="136"/>
        <v>8.8817841970012523E-16</v>
      </c>
      <c r="S552" s="44">
        <f t="shared" si="136"/>
        <v>0</v>
      </c>
      <c r="T552" s="44">
        <f t="shared" si="136"/>
        <v>8.8817841970012523E-16</v>
      </c>
      <c r="U552" s="44">
        <f t="shared" si="136"/>
        <v>0</v>
      </c>
      <c r="V552" s="44">
        <f t="shared" si="136"/>
        <v>0</v>
      </c>
      <c r="W552" s="44">
        <f t="shared" si="136"/>
        <v>0</v>
      </c>
      <c r="X552" s="44">
        <f t="shared" si="136"/>
        <v>1.7763568394002505E-15</v>
      </c>
      <c r="Y552" s="44">
        <f t="shared" si="136"/>
        <v>1.7763568394002505E-15</v>
      </c>
      <c r="Z552" s="44">
        <f t="shared" si="136"/>
        <v>3.5527136788005009E-15</v>
      </c>
      <c r="AA552" s="44">
        <f t="shared" si="136"/>
        <v>1.7763568394002505E-15</v>
      </c>
      <c r="AB552" s="44">
        <f t="shared" si="136"/>
        <v>3.5527136788005009E-15</v>
      </c>
      <c r="AC552" s="44">
        <f t="shared" si="136"/>
        <v>0</v>
      </c>
      <c r="AD552" s="44">
        <f t="shared" si="136"/>
        <v>1.7763568394002505E-15</v>
      </c>
      <c r="AE552" s="44">
        <f t="shared" si="136"/>
        <v>1.7763568394002505E-15</v>
      </c>
    </row>
    <row r="554" spans="1:31" x14ac:dyDescent="0.25">
      <c r="A554" s="41" t="s">
        <v>1349</v>
      </c>
      <c r="B554" s="6" t="s">
        <v>59</v>
      </c>
      <c r="C554" s="6" t="s">
        <v>121</v>
      </c>
      <c r="D554" s="6">
        <v>2</v>
      </c>
      <c r="E554" s="6" t="s">
        <v>1210</v>
      </c>
      <c r="K554" s="22"/>
      <c r="L554" s="22">
        <v>0.61197797679140631</v>
      </c>
      <c r="M554" s="22">
        <v>0.61180974964187596</v>
      </c>
      <c r="N554" s="22">
        <v>0.60358310017790551</v>
      </c>
      <c r="O554" s="22">
        <v>0.60358310017790551</v>
      </c>
      <c r="P554" s="22">
        <v>0.60358310017790551</v>
      </c>
      <c r="Q554" s="22">
        <v>0.6325109433494055</v>
      </c>
      <c r="R554" s="22">
        <v>0.66143878652090549</v>
      </c>
      <c r="S554" s="22">
        <v>0.69036662969240548</v>
      </c>
      <c r="T554" s="22">
        <v>0.71929447286390547</v>
      </c>
      <c r="U554" s="22">
        <v>0.74822231603540557</v>
      </c>
      <c r="V554" s="22">
        <v>0.77715015920690556</v>
      </c>
      <c r="W554" s="22">
        <v>0.80607800237840554</v>
      </c>
      <c r="X554" s="22">
        <v>0.83500584554990553</v>
      </c>
      <c r="Y554" s="22">
        <v>0.86393368872140552</v>
      </c>
      <c r="Z554" s="22">
        <v>0.89286153189290551</v>
      </c>
      <c r="AA554" s="22">
        <v>0.9217893750644055</v>
      </c>
      <c r="AB554" s="22">
        <v>0.9507172182359056</v>
      </c>
      <c r="AC554" s="22">
        <v>0.97964506140740548</v>
      </c>
      <c r="AD554" s="22">
        <v>1.008572904578906</v>
      </c>
      <c r="AE554" s="22">
        <v>1.0375007477504059</v>
      </c>
    </row>
    <row r="555" spans="1:31" x14ac:dyDescent="0.25">
      <c r="A555" s="41" t="s">
        <v>1349</v>
      </c>
      <c r="B555" s="6" t="s">
        <v>59</v>
      </c>
      <c r="C555" s="6" t="s">
        <v>121</v>
      </c>
      <c r="D555" s="6">
        <v>2</v>
      </c>
      <c r="E555" s="6" t="s">
        <v>1211</v>
      </c>
      <c r="K555" s="22">
        <f>INDEX(Mitigation_Industry!K:K,MATCH($A555,Mitigation_Industry!$H:$H,0))</f>
        <v>0.67114653332181606</v>
      </c>
      <c r="L555" s="22">
        <f>INDEX(Mitigation_Industry!L:L,MATCH($A555,Mitigation_Industry!$H:$H,0))</f>
        <v>0.61197797679140631</v>
      </c>
      <c r="M555" s="22">
        <f>INDEX(Mitigation_Industry!M:M,MATCH($A555,Mitigation_Industry!$H:$H,0))</f>
        <v>0.61180974964187596</v>
      </c>
      <c r="N555" s="22">
        <f>INDEX(Mitigation_Industry!N:N,MATCH($A555,Mitigation_Industry!$H:$H,0))</f>
        <v>0.60358310017790551</v>
      </c>
      <c r="O555" s="22">
        <f>INDEX(Mitigation_Industry!O:O,MATCH($A555,Mitigation_Industry!$H:$H,0))</f>
        <v>0.60358310017790551</v>
      </c>
      <c r="P555" s="22">
        <f>INDEX(Mitigation_Industry!P:P,MATCH($A555,Mitigation_Industry!$H:$H,0))</f>
        <v>0.60358310017790551</v>
      </c>
      <c r="Q555" s="22">
        <f>INDEX(Mitigation_Industry!Q:Q,MATCH($A555,Mitigation_Industry!$H:$H,0))</f>
        <v>0.6325109433494055</v>
      </c>
      <c r="R555" s="22">
        <f>INDEX(Mitigation_Industry!R:R,MATCH($A555,Mitigation_Industry!$H:$H,0))</f>
        <v>0.66143878652090549</v>
      </c>
      <c r="S555" s="22">
        <f>INDEX(Mitigation_Industry!S:S,MATCH($A555,Mitigation_Industry!$H:$H,0))</f>
        <v>0.69036662969240548</v>
      </c>
      <c r="T555" s="22">
        <f>INDEX(Mitigation_Industry!T:T,MATCH($A555,Mitigation_Industry!$H:$H,0))</f>
        <v>0.71929447286390547</v>
      </c>
      <c r="U555" s="22">
        <f>INDEX(Mitigation_Industry!U:U,MATCH($A555,Mitigation_Industry!$H:$H,0))</f>
        <v>0.74822231603540557</v>
      </c>
      <c r="V555" s="22">
        <f>INDEX(Mitigation_Industry!V:V,MATCH($A555,Mitigation_Industry!$H:$H,0))</f>
        <v>0.77715015920690544</v>
      </c>
      <c r="W555" s="22">
        <f>INDEX(Mitigation_Industry!W:W,MATCH($A555,Mitigation_Industry!$H:$H,0))</f>
        <v>0.80607800237840554</v>
      </c>
      <c r="X555" s="22">
        <f>INDEX(Mitigation_Industry!X:X,MATCH($A555,Mitigation_Industry!$H:$H,0))</f>
        <v>0.83500584554990553</v>
      </c>
      <c r="Y555" s="22">
        <f>INDEX(Mitigation_Industry!Y:Y,MATCH($A555,Mitigation_Industry!$H:$H,0))</f>
        <v>0.86393368872140552</v>
      </c>
      <c r="Z555" s="22">
        <f>INDEX(Mitigation_Industry!Z:Z,MATCH($A555,Mitigation_Industry!$H:$H,0))</f>
        <v>0.89286153189290551</v>
      </c>
      <c r="AA555" s="22">
        <f>INDEX(Mitigation_Industry!AA:AA,MATCH($A555,Mitigation_Industry!$H:$H,0))</f>
        <v>0.92178937506440561</v>
      </c>
      <c r="AB555" s="22">
        <f>INDEX(Mitigation_Industry!AB:AB,MATCH($A555,Mitigation_Industry!$H:$H,0))</f>
        <v>0.95071721823590549</v>
      </c>
      <c r="AC555" s="22">
        <f>INDEX(Mitigation_Industry!AC:AC,MATCH($A555,Mitigation_Industry!$H:$H,0))</f>
        <v>0.97964506140740548</v>
      </c>
      <c r="AD555" s="22">
        <f>INDEX(Mitigation_Industry!AD:AD,MATCH($A555,Mitigation_Industry!$H:$H,0))</f>
        <v>1.0085729045789056</v>
      </c>
      <c r="AE555" s="22">
        <f>INDEX(Mitigation_Industry!AE:AE,MATCH($A555,Mitigation_Industry!$H:$H,0))</f>
        <v>1.0375007477504057</v>
      </c>
    </row>
    <row r="556" spans="1:31" x14ac:dyDescent="0.25">
      <c r="A556" s="41" t="s">
        <v>1349</v>
      </c>
      <c r="B556" s="6" t="s">
        <v>59</v>
      </c>
      <c r="C556" s="6" t="s">
        <v>121</v>
      </c>
      <c r="D556" s="6">
        <v>2</v>
      </c>
      <c r="E556" s="2" t="s">
        <v>1212</v>
      </c>
      <c r="F556" s="43">
        <f>MAX(MAX(L556:AE556),-MIN(L556:AE556))</f>
        <v>4.4408920985006262E-16</v>
      </c>
      <c r="K556" s="44">
        <f t="shared" ref="K556:AE556" si="137">IF(ISNUMBER(K554),IF(ISNUMBER(K555),K555-K554,999999),0)</f>
        <v>0</v>
      </c>
      <c r="L556" s="44">
        <f t="shared" si="137"/>
        <v>0</v>
      </c>
      <c r="M556" s="44">
        <f t="shared" si="137"/>
        <v>0</v>
      </c>
      <c r="N556" s="44">
        <f t="shared" si="137"/>
        <v>0</v>
      </c>
      <c r="O556" s="44">
        <f t="shared" si="137"/>
        <v>0</v>
      </c>
      <c r="P556" s="44">
        <f t="shared" si="137"/>
        <v>0</v>
      </c>
      <c r="Q556" s="44">
        <f t="shared" si="137"/>
        <v>0</v>
      </c>
      <c r="R556" s="44">
        <f t="shared" si="137"/>
        <v>0</v>
      </c>
      <c r="S556" s="44">
        <f t="shared" si="137"/>
        <v>0</v>
      </c>
      <c r="T556" s="44">
        <f t="shared" si="137"/>
        <v>0</v>
      </c>
      <c r="U556" s="44">
        <f t="shared" si="137"/>
        <v>0</v>
      </c>
      <c r="V556" s="44">
        <f t="shared" si="137"/>
        <v>-1.1102230246251565E-16</v>
      </c>
      <c r="W556" s="44">
        <f t="shared" si="137"/>
        <v>0</v>
      </c>
      <c r="X556" s="44">
        <f t="shared" si="137"/>
        <v>0</v>
      </c>
      <c r="Y556" s="44">
        <f t="shared" si="137"/>
        <v>0</v>
      </c>
      <c r="Z556" s="44">
        <f t="shared" si="137"/>
        <v>0</v>
      </c>
      <c r="AA556" s="44">
        <f t="shared" si="137"/>
        <v>1.1102230246251565E-16</v>
      </c>
      <c r="AB556" s="44">
        <f t="shared" si="137"/>
        <v>-1.1102230246251565E-16</v>
      </c>
      <c r="AC556" s="44">
        <f t="shared" si="137"/>
        <v>0</v>
      </c>
      <c r="AD556" s="44">
        <f t="shared" si="137"/>
        <v>-4.4408920985006262E-16</v>
      </c>
      <c r="AE556" s="44">
        <f t="shared" si="137"/>
        <v>-2.2204460492503131E-16</v>
      </c>
    </row>
    <row r="558" spans="1:31" x14ac:dyDescent="0.25">
      <c r="A558" s="41" t="s">
        <v>1350</v>
      </c>
      <c r="B558" s="6" t="s">
        <v>62</v>
      </c>
      <c r="C558" s="6" t="s">
        <v>121</v>
      </c>
      <c r="D558" s="6">
        <v>2</v>
      </c>
      <c r="E558" s="6" t="s">
        <v>1210</v>
      </c>
      <c r="K558" s="22"/>
      <c r="L558" s="22">
        <v>0.49458873084106802</v>
      </c>
      <c r="M558" s="22">
        <v>0.50778654720250049</v>
      </c>
      <c r="N558" s="22">
        <v>0.47043642679561742</v>
      </c>
      <c r="O558" s="22">
        <v>0.47043642679561742</v>
      </c>
      <c r="P558" s="22">
        <v>0.47043642679561742</v>
      </c>
      <c r="Q558" s="22">
        <v>0.50344686565449237</v>
      </c>
      <c r="R558" s="22">
        <v>0.53645730451336737</v>
      </c>
      <c r="S558" s="22">
        <v>0.56946774337224237</v>
      </c>
      <c r="T558" s="22">
        <v>0.60247818223111738</v>
      </c>
      <c r="U558" s="22">
        <v>0.63548862108999238</v>
      </c>
      <c r="V558" s="22">
        <v>0.66849905994886738</v>
      </c>
      <c r="W558" s="22">
        <v>0.70150949880774238</v>
      </c>
      <c r="X558" s="22">
        <v>0.73451993766661738</v>
      </c>
      <c r="Y558" s="22">
        <v>0.76753037652549239</v>
      </c>
      <c r="Z558" s="22">
        <v>0.80054081538436739</v>
      </c>
      <c r="AA558" s="22">
        <v>0.83355125424324239</v>
      </c>
      <c r="AB558" s="22">
        <v>0.86656169310211739</v>
      </c>
      <c r="AC558" s="22">
        <v>0.89957213196099239</v>
      </c>
      <c r="AD558" s="22">
        <v>0.9325825708198674</v>
      </c>
      <c r="AE558" s="22">
        <v>0.9655930096787424</v>
      </c>
    </row>
    <row r="559" spans="1:31" x14ac:dyDescent="0.25">
      <c r="A559" s="41" t="s">
        <v>1350</v>
      </c>
      <c r="B559" s="6" t="s">
        <v>62</v>
      </c>
      <c r="C559" s="6" t="s">
        <v>121</v>
      </c>
      <c r="D559" s="6">
        <v>2</v>
      </c>
      <c r="E559" s="6" t="s">
        <v>1211</v>
      </c>
      <c r="K559" s="22">
        <f>INDEX(Mitigation_Industry!K:K,MATCH($A559,Mitigation_Industry!$H:$H,0))</f>
        <v>0.55971121315568761</v>
      </c>
      <c r="L559" s="22">
        <f>INDEX(Mitigation_Industry!L:L,MATCH($A559,Mitigation_Industry!$H:$H,0))</f>
        <v>0.49458873084106802</v>
      </c>
      <c r="M559" s="22">
        <f>INDEX(Mitigation_Industry!M:M,MATCH($A559,Mitigation_Industry!$H:$H,0))</f>
        <v>0.50778654720250049</v>
      </c>
      <c r="N559" s="22">
        <f>INDEX(Mitigation_Industry!N:N,MATCH($A559,Mitigation_Industry!$H:$H,0))</f>
        <v>0.47043642679561742</v>
      </c>
      <c r="O559" s="22">
        <f>INDEX(Mitigation_Industry!O:O,MATCH($A559,Mitigation_Industry!$H:$H,0))</f>
        <v>0.47043642679561742</v>
      </c>
      <c r="P559" s="22">
        <f>INDEX(Mitigation_Industry!P:P,MATCH($A559,Mitigation_Industry!$H:$H,0))</f>
        <v>0.47043642679561742</v>
      </c>
      <c r="Q559" s="22">
        <f>INDEX(Mitigation_Industry!Q:Q,MATCH($A559,Mitigation_Industry!$H:$H,0))</f>
        <v>0.50344686565449237</v>
      </c>
      <c r="R559" s="22">
        <f>INDEX(Mitigation_Industry!R:R,MATCH($A559,Mitigation_Industry!$H:$H,0))</f>
        <v>0.53645730451336737</v>
      </c>
      <c r="S559" s="22">
        <f>INDEX(Mitigation_Industry!S:S,MATCH($A559,Mitigation_Industry!$H:$H,0))</f>
        <v>0.56946774337224249</v>
      </c>
      <c r="T559" s="22">
        <f>INDEX(Mitigation_Industry!T:T,MATCH($A559,Mitigation_Industry!$H:$H,0))</f>
        <v>0.60247818223111738</v>
      </c>
      <c r="U559" s="22">
        <f>INDEX(Mitigation_Industry!U:U,MATCH($A559,Mitigation_Industry!$H:$H,0))</f>
        <v>0.63548862108999238</v>
      </c>
      <c r="V559" s="22">
        <f>INDEX(Mitigation_Industry!V:V,MATCH($A559,Mitigation_Industry!$H:$H,0))</f>
        <v>0.66849905994886738</v>
      </c>
      <c r="W559" s="22">
        <f>INDEX(Mitigation_Industry!W:W,MATCH($A559,Mitigation_Industry!$H:$H,0))</f>
        <v>0.70150949880774238</v>
      </c>
      <c r="X559" s="22">
        <f>INDEX(Mitigation_Industry!X:X,MATCH($A559,Mitigation_Industry!$H:$H,0))</f>
        <v>0.73451993766661738</v>
      </c>
      <c r="Y559" s="22">
        <f>INDEX(Mitigation_Industry!Y:Y,MATCH($A559,Mitigation_Industry!$H:$H,0))</f>
        <v>0.76753037652549239</v>
      </c>
      <c r="Z559" s="22">
        <f>INDEX(Mitigation_Industry!Z:Z,MATCH($A559,Mitigation_Industry!$H:$H,0))</f>
        <v>0.80054081538436739</v>
      </c>
      <c r="AA559" s="22">
        <f>INDEX(Mitigation_Industry!AA:AA,MATCH($A559,Mitigation_Industry!$H:$H,0))</f>
        <v>0.83355125424324239</v>
      </c>
      <c r="AB559" s="22">
        <f>INDEX(Mitigation_Industry!AB:AB,MATCH($A559,Mitigation_Industry!$H:$H,0))</f>
        <v>0.86656169310211739</v>
      </c>
      <c r="AC559" s="22">
        <f>INDEX(Mitigation_Industry!AC:AC,MATCH($A559,Mitigation_Industry!$H:$H,0))</f>
        <v>0.89957213196099239</v>
      </c>
      <c r="AD559" s="22">
        <f>INDEX(Mitigation_Industry!AD:AD,MATCH($A559,Mitigation_Industry!$H:$H,0))</f>
        <v>0.9325825708198674</v>
      </c>
      <c r="AE559" s="22">
        <f>INDEX(Mitigation_Industry!AE:AE,MATCH($A559,Mitigation_Industry!$H:$H,0))</f>
        <v>0.9655930096787424</v>
      </c>
    </row>
    <row r="560" spans="1:31" x14ac:dyDescent="0.25">
      <c r="A560" s="41" t="s">
        <v>1350</v>
      </c>
      <c r="B560" s="6" t="s">
        <v>62</v>
      </c>
      <c r="C560" s="6" t="s">
        <v>121</v>
      </c>
      <c r="D560" s="6">
        <v>2</v>
      </c>
      <c r="E560" s="2" t="s">
        <v>1212</v>
      </c>
      <c r="F560" s="43">
        <f>MAX(MAX(L560:AE560),-MIN(L560:AE560))</f>
        <v>1.1102230246251565E-16</v>
      </c>
      <c r="K560" s="44">
        <f t="shared" ref="K560:AE560" si="138">IF(ISNUMBER(K558),IF(ISNUMBER(K559),K559-K558,999999),0)</f>
        <v>0</v>
      </c>
      <c r="L560" s="44">
        <f t="shared" si="138"/>
        <v>0</v>
      </c>
      <c r="M560" s="44">
        <f t="shared" si="138"/>
        <v>0</v>
      </c>
      <c r="N560" s="44">
        <f t="shared" si="138"/>
        <v>0</v>
      </c>
      <c r="O560" s="44">
        <f t="shared" si="138"/>
        <v>0</v>
      </c>
      <c r="P560" s="44">
        <f t="shared" si="138"/>
        <v>0</v>
      </c>
      <c r="Q560" s="44">
        <f t="shared" si="138"/>
        <v>0</v>
      </c>
      <c r="R560" s="44">
        <f t="shared" si="138"/>
        <v>0</v>
      </c>
      <c r="S560" s="44">
        <f t="shared" si="138"/>
        <v>1.1102230246251565E-16</v>
      </c>
      <c r="T560" s="44">
        <f t="shared" si="138"/>
        <v>0</v>
      </c>
      <c r="U560" s="44">
        <f t="shared" si="138"/>
        <v>0</v>
      </c>
      <c r="V560" s="44">
        <f t="shared" si="138"/>
        <v>0</v>
      </c>
      <c r="W560" s="44">
        <f t="shared" si="138"/>
        <v>0</v>
      </c>
      <c r="X560" s="44">
        <f t="shared" si="138"/>
        <v>0</v>
      </c>
      <c r="Y560" s="44">
        <f t="shared" si="138"/>
        <v>0</v>
      </c>
      <c r="Z560" s="44">
        <f t="shared" si="138"/>
        <v>0</v>
      </c>
      <c r="AA560" s="44">
        <f t="shared" si="138"/>
        <v>0</v>
      </c>
      <c r="AB560" s="44">
        <f t="shared" si="138"/>
        <v>0</v>
      </c>
      <c r="AC560" s="44">
        <f t="shared" si="138"/>
        <v>0</v>
      </c>
      <c r="AD560" s="44">
        <f t="shared" si="138"/>
        <v>0</v>
      </c>
      <c r="AE560" s="44">
        <f t="shared" si="138"/>
        <v>0</v>
      </c>
    </row>
    <row r="562" spans="1:31" x14ac:dyDescent="0.25">
      <c r="A562" s="41" t="s">
        <v>1351</v>
      </c>
      <c r="B562" s="6" t="s">
        <v>64</v>
      </c>
      <c r="C562" s="6" t="s">
        <v>121</v>
      </c>
      <c r="D562" s="6">
        <v>2</v>
      </c>
      <c r="E562" s="6" t="s">
        <v>1210</v>
      </c>
      <c r="K562" s="22"/>
      <c r="L562" s="22">
        <v>0.1573447362522738</v>
      </c>
      <c r="M562" s="22">
        <v>0.1644840377592767</v>
      </c>
      <c r="N562" s="22">
        <v>0.1507090778070489</v>
      </c>
      <c r="O562" s="22">
        <v>0.1507090778070489</v>
      </c>
      <c r="P562" s="22">
        <v>0.1507090778070489</v>
      </c>
      <c r="Q562" s="22">
        <v>0.17281516073434461</v>
      </c>
      <c r="R562" s="22">
        <v>0.19492124366164029</v>
      </c>
      <c r="S562" s="22">
        <v>0.217027326588936</v>
      </c>
      <c r="T562" s="22">
        <v>0.23913340951623169</v>
      </c>
      <c r="U562" s="22">
        <v>0.2612394924435274</v>
      </c>
      <c r="V562" s="22">
        <v>0.28334557537082311</v>
      </c>
      <c r="W562" s="22">
        <v>0.30545165829811882</v>
      </c>
      <c r="X562" s="22">
        <v>0.32755774122541448</v>
      </c>
      <c r="Y562" s="22">
        <v>0.34966382415271008</v>
      </c>
      <c r="Z562" s="22">
        <v>0.37176990708000579</v>
      </c>
      <c r="AA562" s="22">
        <v>0.39387599000730161</v>
      </c>
      <c r="AB562" s="22">
        <v>0.41598207293459721</v>
      </c>
      <c r="AC562" s="22">
        <v>0.43808815586189293</v>
      </c>
      <c r="AD562" s="22">
        <v>0.46019423878918858</v>
      </c>
      <c r="AE562" s="22">
        <v>0.48230032171648429</v>
      </c>
    </row>
    <row r="563" spans="1:31" x14ac:dyDescent="0.25">
      <c r="A563" s="41" t="s">
        <v>1351</v>
      </c>
      <c r="B563" s="6" t="s">
        <v>64</v>
      </c>
      <c r="C563" s="6" t="s">
        <v>121</v>
      </c>
      <c r="D563" s="6">
        <v>2</v>
      </c>
      <c r="E563" s="6" t="s">
        <v>1211</v>
      </c>
      <c r="K563" s="22">
        <f>INDEX(Mitigation_Industry!K:K,MATCH($A563,Mitigation_Industry!$H:$H,0))</f>
        <v>0.20036669112673841</v>
      </c>
      <c r="L563" s="22">
        <f>INDEX(Mitigation_Industry!L:L,MATCH($A563,Mitigation_Industry!$H:$H,0))</f>
        <v>0.1573447362522738</v>
      </c>
      <c r="M563" s="22">
        <f>INDEX(Mitigation_Industry!M:M,MATCH($A563,Mitigation_Industry!$H:$H,0))</f>
        <v>0.1644840377592767</v>
      </c>
      <c r="N563" s="22">
        <f>INDEX(Mitigation_Industry!N:N,MATCH($A563,Mitigation_Industry!$H:$H,0))</f>
        <v>0.1507090778070489</v>
      </c>
      <c r="O563" s="22">
        <f>INDEX(Mitigation_Industry!O:O,MATCH($A563,Mitigation_Industry!$H:$H,0))</f>
        <v>0.1507090778070489</v>
      </c>
      <c r="P563" s="22">
        <f>INDEX(Mitigation_Industry!P:P,MATCH($A563,Mitigation_Industry!$H:$H,0))</f>
        <v>0.1507090778070489</v>
      </c>
      <c r="Q563" s="22">
        <f>INDEX(Mitigation_Industry!Q:Q,MATCH($A563,Mitigation_Industry!$H:$H,0))</f>
        <v>0.17281516073434458</v>
      </c>
      <c r="R563" s="22">
        <f>INDEX(Mitigation_Industry!R:R,MATCH($A563,Mitigation_Industry!$H:$H,0))</f>
        <v>0.19492124366164029</v>
      </c>
      <c r="S563" s="22">
        <f>INDEX(Mitigation_Industry!S:S,MATCH($A563,Mitigation_Industry!$H:$H,0))</f>
        <v>0.21702732658893598</v>
      </c>
      <c r="T563" s="22">
        <f>INDEX(Mitigation_Industry!T:T,MATCH($A563,Mitigation_Industry!$H:$H,0))</f>
        <v>0.23913340951623169</v>
      </c>
      <c r="U563" s="22">
        <f>INDEX(Mitigation_Industry!U:U,MATCH($A563,Mitigation_Industry!$H:$H,0))</f>
        <v>0.2612394924435274</v>
      </c>
      <c r="V563" s="22">
        <f>INDEX(Mitigation_Industry!V:V,MATCH($A563,Mitigation_Industry!$H:$H,0))</f>
        <v>0.28334557537082311</v>
      </c>
      <c r="W563" s="22">
        <f>INDEX(Mitigation_Industry!W:W,MATCH($A563,Mitigation_Industry!$H:$H,0))</f>
        <v>0.30545165829811882</v>
      </c>
      <c r="X563" s="22">
        <f>INDEX(Mitigation_Industry!X:X,MATCH($A563,Mitigation_Industry!$H:$H,0))</f>
        <v>0.32755774122541448</v>
      </c>
      <c r="Y563" s="22">
        <f>INDEX(Mitigation_Industry!Y:Y,MATCH($A563,Mitigation_Industry!$H:$H,0))</f>
        <v>0.34966382415271013</v>
      </c>
      <c r="Z563" s="22">
        <f>INDEX(Mitigation_Industry!Z:Z,MATCH($A563,Mitigation_Industry!$H:$H,0))</f>
        <v>0.37176990708000579</v>
      </c>
      <c r="AA563" s="22">
        <f>INDEX(Mitigation_Industry!AA:AA,MATCH($A563,Mitigation_Industry!$H:$H,0))</f>
        <v>0.3938759900073015</v>
      </c>
      <c r="AB563" s="22">
        <f>INDEX(Mitigation_Industry!AB:AB,MATCH($A563,Mitigation_Industry!$H:$H,0))</f>
        <v>0.41598207293459721</v>
      </c>
      <c r="AC563" s="22">
        <f>INDEX(Mitigation_Industry!AC:AC,MATCH($A563,Mitigation_Industry!$H:$H,0))</f>
        <v>0.43808815586189287</v>
      </c>
      <c r="AD563" s="22">
        <f>INDEX(Mitigation_Industry!AD:AD,MATCH($A563,Mitigation_Industry!$H:$H,0))</f>
        <v>0.46019423878918858</v>
      </c>
      <c r="AE563" s="22">
        <f>INDEX(Mitigation_Industry!AE:AE,MATCH($A563,Mitigation_Industry!$H:$H,0))</f>
        <v>0.48230032171648429</v>
      </c>
    </row>
    <row r="564" spans="1:31" x14ac:dyDescent="0.25">
      <c r="A564" s="41" t="s">
        <v>1351</v>
      </c>
      <c r="B564" s="6" t="s">
        <v>64</v>
      </c>
      <c r="C564" s="6" t="s">
        <v>121</v>
      </c>
      <c r="D564" s="6">
        <v>2</v>
      </c>
      <c r="E564" s="2" t="s">
        <v>1212</v>
      </c>
      <c r="F564" s="43">
        <f>MAX(MAX(L564:AE564),-MIN(L564:AE564))</f>
        <v>1.1102230246251565E-16</v>
      </c>
      <c r="K564" s="44">
        <f t="shared" ref="K564:AE564" si="139">IF(ISNUMBER(K562),IF(ISNUMBER(K563),K563-K562,999999),0)</f>
        <v>0</v>
      </c>
      <c r="L564" s="44">
        <f t="shared" si="139"/>
        <v>0</v>
      </c>
      <c r="M564" s="44">
        <f t="shared" si="139"/>
        <v>0</v>
      </c>
      <c r="N564" s="44">
        <f t="shared" si="139"/>
        <v>0</v>
      </c>
      <c r="O564" s="44">
        <f t="shared" si="139"/>
        <v>0</v>
      </c>
      <c r="P564" s="44">
        <f t="shared" si="139"/>
        <v>0</v>
      </c>
      <c r="Q564" s="44">
        <f t="shared" si="139"/>
        <v>-2.7755575615628914E-17</v>
      </c>
      <c r="R564" s="44">
        <f t="shared" si="139"/>
        <v>0</v>
      </c>
      <c r="S564" s="44">
        <f t="shared" si="139"/>
        <v>-2.7755575615628914E-17</v>
      </c>
      <c r="T564" s="44">
        <f t="shared" si="139"/>
        <v>0</v>
      </c>
      <c r="U564" s="44">
        <f t="shared" si="139"/>
        <v>0</v>
      </c>
      <c r="V564" s="44">
        <f t="shared" si="139"/>
        <v>0</v>
      </c>
      <c r="W564" s="44">
        <f t="shared" si="139"/>
        <v>0</v>
      </c>
      <c r="X564" s="44">
        <f t="shared" si="139"/>
        <v>0</v>
      </c>
      <c r="Y564" s="44">
        <f t="shared" si="139"/>
        <v>5.5511151231257827E-17</v>
      </c>
      <c r="Z564" s="44">
        <f t="shared" si="139"/>
        <v>0</v>
      </c>
      <c r="AA564" s="44">
        <f t="shared" si="139"/>
        <v>-1.1102230246251565E-16</v>
      </c>
      <c r="AB564" s="44">
        <f t="shared" si="139"/>
        <v>0</v>
      </c>
      <c r="AC564" s="44">
        <f t="shared" si="139"/>
        <v>-5.5511151231257827E-17</v>
      </c>
      <c r="AD564" s="44">
        <f t="shared" si="139"/>
        <v>0</v>
      </c>
      <c r="AE564" s="44">
        <f t="shared" si="139"/>
        <v>0</v>
      </c>
    </row>
    <row r="566" spans="1:31" x14ac:dyDescent="0.25">
      <c r="A566" s="41" t="s">
        <v>1352</v>
      </c>
      <c r="B566" s="6" t="s">
        <v>66</v>
      </c>
      <c r="C566" s="6" t="s">
        <v>121</v>
      </c>
      <c r="D566" s="6">
        <v>2</v>
      </c>
      <c r="E566" s="6" t="s">
        <v>1210</v>
      </c>
      <c r="K566" s="22"/>
      <c r="L566" s="22">
        <v>0.45642817050012813</v>
      </c>
      <c r="M566" s="22">
        <v>0.43168920195599519</v>
      </c>
      <c r="N566" s="22">
        <v>0.42507558395596989</v>
      </c>
      <c r="O566" s="22">
        <v>0.42507558395596989</v>
      </c>
      <c r="P566" s="22">
        <v>0.42507558395596989</v>
      </c>
      <c r="Q566" s="22">
        <v>0.45706441406607851</v>
      </c>
      <c r="R566" s="22">
        <v>0.48905324417618701</v>
      </c>
      <c r="S566" s="22">
        <v>0.52104207428629545</v>
      </c>
      <c r="T566" s="22">
        <v>0.5530309043964039</v>
      </c>
      <c r="U566" s="22">
        <v>0.58501973450651246</v>
      </c>
      <c r="V566" s="22">
        <v>0.6170085646166209</v>
      </c>
      <c r="W566" s="22">
        <v>0.64899739472672935</v>
      </c>
      <c r="X566" s="22">
        <v>0.68098622483683791</v>
      </c>
      <c r="Y566" s="22">
        <v>0.71297505494694646</v>
      </c>
      <c r="Z566" s="22">
        <v>0.7449638850570548</v>
      </c>
      <c r="AA566" s="22">
        <v>0.77695271516716335</v>
      </c>
      <c r="AB566" s="22">
        <v>0.80894154527727191</v>
      </c>
      <c r="AC566" s="22">
        <v>0.84093037538738036</v>
      </c>
      <c r="AD566" s="22">
        <v>0.8729192054974888</v>
      </c>
      <c r="AE566" s="22">
        <v>0.90490803560759736</v>
      </c>
    </row>
    <row r="567" spans="1:31" x14ac:dyDescent="0.25">
      <c r="A567" s="41" t="s">
        <v>1352</v>
      </c>
      <c r="B567" s="6" t="s">
        <v>66</v>
      </c>
      <c r="C567" s="6" t="s">
        <v>121</v>
      </c>
      <c r="D567" s="6">
        <v>2</v>
      </c>
      <c r="E567" s="6" t="s">
        <v>1211</v>
      </c>
      <c r="K567" s="22">
        <f>INDEX(Mitigation_Industry!K:K,MATCH($A567,Mitigation_Industry!$H:$H,0))</f>
        <v>0.48429424097343482</v>
      </c>
      <c r="L567" s="22">
        <f>INDEX(Mitigation_Industry!L:L,MATCH($A567,Mitigation_Industry!$H:$H,0))</f>
        <v>0.45642817050012813</v>
      </c>
      <c r="M567" s="22">
        <f>INDEX(Mitigation_Industry!M:M,MATCH($A567,Mitigation_Industry!$H:$H,0))</f>
        <v>0.43168920195599519</v>
      </c>
      <c r="N567" s="22">
        <f>INDEX(Mitigation_Industry!N:N,MATCH($A567,Mitigation_Industry!$H:$H,0))</f>
        <v>0.42507558395596989</v>
      </c>
      <c r="O567" s="22">
        <f>INDEX(Mitigation_Industry!O:O,MATCH($A567,Mitigation_Industry!$H:$H,0))</f>
        <v>0.42507558395596989</v>
      </c>
      <c r="P567" s="22">
        <f>INDEX(Mitigation_Industry!P:P,MATCH($A567,Mitigation_Industry!$H:$H,0))</f>
        <v>0.42507558395596989</v>
      </c>
      <c r="Q567" s="22">
        <f>INDEX(Mitigation_Industry!Q:Q,MATCH($A567,Mitigation_Industry!$H:$H,0))</f>
        <v>0.45706441406607839</v>
      </c>
      <c r="R567" s="22">
        <f>INDEX(Mitigation_Industry!R:R,MATCH($A567,Mitigation_Industry!$H:$H,0))</f>
        <v>0.4890532441761869</v>
      </c>
      <c r="S567" s="22">
        <f>INDEX(Mitigation_Industry!S:S,MATCH($A567,Mitigation_Industry!$H:$H,0))</f>
        <v>0.52104207428629545</v>
      </c>
      <c r="T567" s="22">
        <f>INDEX(Mitigation_Industry!T:T,MATCH($A567,Mitigation_Industry!$H:$H,0))</f>
        <v>0.5530309043964039</v>
      </c>
      <c r="U567" s="22">
        <f>INDEX(Mitigation_Industry!U:U,MATCH($A567,Mitigation_Industry!$H:$H,0))</f>
        <v>0.58501973450651246</v>
      </c>
      <c r="V567" s="22">
        <f>INDEX(Mitigation_Industry!V:V,MATCH($A567,Mitigation_Industry!$H:$H,0))</f>
        <v>0.6170085646166209</v>
      </c>
      <c r="W567" s="22">
        <f>INDEX(Mitigation_Industry!W:W,MATCH($A567,Mitigation_Industry!$H:$H,0))</f>
        <v>0.64899739472672935</v>
      </c>
      <c r="X567" s="22">
        <f>INDEX(Mitigation_Industry!X:X,MATCH($A567,Mitigation_Industry!$H:$H,0))</f>
        <v>0.68098622483683791</v>
      </c>
      <c r="Y567" s="22">
        <f>INDEX(Mitigation_Industry!Y:Y,MATCH($A567,Mitigation_Industry!$H:$H,0))</f>
        <v>0.71297505494694646</v>
      </c>
      <c r="Z567" s="22">
        <f>INDEX(Mitigation_Industry!Z:Z,MATCH($A567,Mitigation_Industry!$H:$H,0))</f>
        <v>0.7449638850570548</v>
      </c>
      <c r="AA567" s="22">
        <f>INDEX(Mitigation_Industry!AA:AA,MATCH($A567,Mitigation_Industry!$H:$H,0))</f>
        <v>0.77695271516716335</v>
      </c>
      <c r="AB567" s="22">
        <f>INDEX(Mitigation_Industry!AB:AB,MATCH($A567,Mitigation_Industry!$H:$H,0))</f>
        <v>0.80894154527727191</v>
      </c>
      <c r="AC567" s="22">
        <f>INDEX(Mitigation_Industry!AC:AC,MATCH($A567,Mitigation_Industry!$H:$H,0))</f>
        <v>0.84093037538738025</v>
      </c>
      <c r="AD567" s="22">
        <f>INDEX(Mitigation_Industry!AD:AD,MATCH($A567,Mitigation_Industry!$H:$H,0))</f>
        <v>0.8729192054974888</v>
      </c>
      <c r="AE567" s="22">
        <f>INDEX(Mitigation_Industry!AE:AE,MATCH($A567,Mitigation_Industry!$H:$H,0))</f>
        <v>0.90490803560759736</v>
      </c>
    </row>
    <row r="568" spans="1:31" x14ac:dyDescent="0.25">
      <c r="A568" s="41" t="s">
        <v>1352</v>
      </c>
      <c r="B568" s="6" t="s">
        <v>66</v>
      </c>
      <c r="C568" s="6" t="s">
        <v>121</v>
      </c>
      <c r="D568" s="6">
        <v>2</v>
      </c>
      <c r="E568" s="2" t="s">
        <v>1212</v>
      </c>
      <c r="F568" s="43">
        <f>MAX(MAX(L568:AE568),-MIN(L568:AE568))</f>
        <v>1.1102230246251565E-16</v>
      </c>
      <c r="K568" s="44">
        <f t="shared" ref="K568:AE568" si="140">IF(ISNUMBER(K566),IF(ISNUMBER(K567),K567-K566,999999),0)</f>
        <v>0</v>
      </c>
      <c r="L568" s="44">
        <f t="shared" si="140"/>
        <v>0</v>
      </c>
      <c r="M568" s="44">
        <f t="shared" si="140"/>
        <v>0</v>
      </c>
      <c r="N568" s="44">
        <f t="shared" si="140"/>
        <v>0</v>
      </c>
      <c r="O568" s="44">
        <f t="shared" si="140"/>
        <v>0</v>
      </c>
      <c r="P568" s="44">
        <f t="shared" si="140"/>
        <v>0</v>
      </c>
      <c r="Q568" s="44">
        <f t="shared" si="140"/>
        <v>-1.1102230246251565E-16</v>
      </c>
      <c r="R568" s="44">
        <f t="shared" si="140"/>
        <v>-1.1102230246251565E-16</v>
      </c>
      <c r="S568" s="44">
        <f t="shared" si="140"/>
        <v>0</v>
      </c>
      <c r="T568" s="44">
        <f t="shared" si="140"/>
        <v>0</v>
      </c>
      <c r="U568" s="44">
        <f t="shared" si="140"/>
        <v>0</v>
      </c>
      <c r="V568" s="44">
        <f t="shared" si="140"/>
        <v>0</v>
      </c>
      <c r="W568" s="44">
        <f t="shared" si="140"/>
        <v>0</v>
      </c>
      <c r="X568" s="44">
        <f t="shared" si="140"/>
        <v>0</v>
      </c>
      <c r="Y568" s="44">
        <f t="shared" si="140"/>
        <v>0</v>
      </c>
      <c r="Z568" s="44">
        <f t="shared" si="140"/>
        <v>0</v>
      </c>
      <c r="AA568" s="44">
        <f t="shared" si="140"/>
        <v>0</v>
      </c>
      <c r="AB568" s="44">
        <f t="shared" si="140"/>
        <v>0</v>
      </c>
      <c r="AC568" s="44">
        <f t="shared" si="140"/>
        <v>-1.1102230246251565E-16</v>
      </c>
      <c r="AD568" s="44">
        <f t="shared" si="140"/>
        <v>0</v>
      </c>
      <c r="AE568" s="44">
        <f t="shared" si="140"/>
        <v>0</v>
      </c>
    </row>
    <row r="570" spans="1:31" x14ac:dyDescent="0.25">
      <c r="A570" s="41" t="s">
        <v>1353</v>
      </c>
      <c r="B570" s="6" t="s">
        <v>68</v>
      </c>
      <c r="C570" s="6" t="s">
        <v>121</v>
      </c>
      <c r="D570" s="6">
        <v>2</v>
      </c>
      <c r="E570" s="6" t="s">
        <v>1210</v>
      </c>
      <c r="K570" s="22"/>
      <c r="L570" s="22">
        <v>34.415370304313228</v>
      </c>
      <c r="M570" s="22">
        <v>37.368960690432033</v>
      </c>
      <c r="N570" s="22">
        <v>28.982761101477251</v>
      </c>
      <c r="O570" s="22">
        <v>15</v>
      </c>
      <c r="P570" s="22">
        <v>24.2586300842555</v>
      </c>
      <c r="Q570" s="22">
        <v>18.963758196132449</v>
      </c>
      <c r="R570" s="22">
        <v>21.76034511401058</v>
      </c>
      <c r="S570" s="22">
        <v>26.079880691373621</v>
      </c>
      <c r="T570" s="22">
        <v>30.593682445209229</v>
      </c>
      <c r="U570" s="22">
        <v>34.990509739410058</v>
      </c>
      <c r="V570" s="22">
        <v>40.858059739410059</v>
      </c>
      <c r="W570" s="22">
        <v>46.725609739410061</v>
      </c>
      <c r="X570" s="22">
        <v>52.593159739410062</v>
      </c>
      <c r="Y570" s="22">
        <v>58.460709739410063</v>
      </c>
      <c r="Z570" s="22">
        <v>64.328259739410072</v>
      </c>
      <c r="AA570" s="22">
        <v>70.195809739410066</v>
      </c>
      <c r="AB570" s="22">
        <v>76.06335973941006</v>
      </c>
      <c r="AC570" s="22">
        <v>81.930909739410055</v>
      </c>
      <c r="AD570" s="22">
        <v>87.798459739410063</v>
      </c>
      <c r="AE570" s="22">
        <v>93.666009739410057</v>
      </c>
    </row>
    <row r="571" spans="1:31" x14ac:dyDescent="0.25">
      <c r="A571" s="41" t="s">
        <v>1353</v>
      </c>
      <c r="B571" s="6" t="s">
        <v>68</v>
      </c>
      <c r="C571" s="6" t="s">
        <v>121</v>
      </c>
      <c r="D571" s="6">
        <v>2</v>
      </c>
      <c r="E571" s="6" t="s">
        <v>1211</v>
      </c>
      <c r="K571" s="22">
        <f>INDEX(Mitigation_Industry!K:K,MATCH($A571,Mitigation_Industry!$H:$H,0))</f>
        <v>41.50033849886843</v>
      </c>
      <c r="L571" s="22">
        <f>INDEX(Mitigation_Industry!L:L,MATCH($A571,Mitigation_Industry!$H:$H,0))</f>
        <v>34.415370304313228</v>
      </c>
      <c r="M571" s="22">
        <f>INDEX(Mitigation_Industry!M:M,MATCH($A571,Mitigation_Industry!$H:$H,0))</f>
        <v>37.368960690432033</v>
      </c>
      <c r="N571" s="22">
        <f>INDEX(Mitigation_Industry!N:N,MATCH($A571,Mitigation_Industry!$H:$H,0))</f>
        <v>28.982761101477251</v>
      </c>
      <c r="O571" s="22">
        <f>INDEX(Mitigation_Industry!O:O,MATCH($A571,Mitigation_Industry!$H:$H,0))</f>
        <v>15</v>
      </c>
      <c r="P571" s="22">
        <f>INDEX(Mitigation_Industry!P:P,MATCH($A571,Mitigation_Industry!$H:$H,0))</f>
        <v>24.2586300842555</v>
      </c>
      <c r="Q571" s="22">
        <f>INDEX(Mitigation_Industry!Q:Q,MATCH($A571,Mitigation_Industry!$H:$H,0))</f>
        <v>18.963758196132449</v>
      </c>
      <c r="R571" s="22">
        <f>INDEX(Mitigation_Industry!R:R,MATCH($A571,Mitigation_Industry!$H:$H,0))</f>
        <v>21.76034511401058</v>
      </c>
      <c r="S571" s="22">
        <f>INDEX(Mitigation_Industry!S:S,MATCH($A571,Mitigation_Industry!$H:$H,0))</f>
        <v>26.079880691373617</v>
      </c>
      <c r="T571" s="22">
        <f>INDEX(Mitigation_Industry!T:T,MATCH($A571,Mitigation_Industry!$H:$H,0))</f>
        <v>30.593682445209222</v>
      </c>
      <c r="U571" s="22">
        <f>INDEX(Mitigation_Industry!U:U,MATCH($A571,Mitigation_Industry!$H:$H,0))</f>
        <v>34.990509739410058</v>
      </c>
      <c r="V571" s="22">
        <f>INDEX(Mitigation_Industry!V:V,MATCH($A571,Mitigation_Industry!$H:$H,0))</f>
        <v>40.858059739410059</v>
      </c>
      <c r="W571" s="22">
        <f>INDEX(Mitigation_Industry!W:W,MATCH($A571,Mitigation_Industry!$H:$H,0))</f>
        <v>46.725609739410061</v>
      </c>
      <c r="X571" s="22">
        <f>INDEX(Mitigation_Industry!X:X,MATCH($A571,Mitigation_Industry!$H:$H,0))</f>
        <v>52.593159739410055</v>
      </c>
      <c r="Y571" s="22">
        <f>INDEX(Mitigation_Industry!Y:Y,MATCH($A571,Mitigation_Industry!$H:$H,0))</f>
        <v>58.460709739410071</v>
      </c>
      <c r="Z571" s="22">
        <f>INDEX(Mitigation_Industry!Z:Z,MATCH($A571,Mitigation_Industry!$H:$H,0))</f>
        <v>64.328259739410072</v>
      </c>
      <c r="AA571" s="22">
        <f>INDEX(Mitigation_Industry!AA:AA,MATCH($A571,Mitigation_Industry!$H:$H,0))</f>
        <v>70.195809739410066</v>
      </c>
      <c r="AB571" s="22">
        <f>INDEX(Mitigation_Industry!AB:AB,MATCH($A571,Mitigation_Industry!$H:$H,0))</f>
        <v>76.06335973941006</v>
      </c>
      <c r="AC571" s="22">
        <f>INDEX(Mitigation_Industry!AC:AC,MATCH($A571,Mitigation_Industry!$H:$H,0))</f>
        <v>81.930909739410055</v>
      </c>
      <c r="AD571" s="22">
        <f>INDEX(Mitigation_Industry!AD:AD,MATCH($A571,Mitigation_Industry!$H:$H,0))</f>
        <v>87.798459739410063</v>
      </c>
      <c r="AE571" s="22">
        <f>INDEX(Mitigation_Industry!AE:AE,MATCH($A571,Mitigation_Industry!$H:$H,0))</f>
        <v>93.666009739410057</v>
      </c>
    </row>
    <row r="572" spans="1:31" x14ac:dyDescent="0.25">
      <c r="A572" s="41" t="s">
        <v>1353</v>
      </c>
      <c r="B572" s="6" t="s">
        <v>68</v>
      </c>
      <c r="C572" s="6" t="s">
        <v>121</v>
      </c>
      <c r="D572" s="6">
        <v>2</v>
      </c>
      <c r="E572" s="2" t="s">
        <v>1212</v>
      </c>
      <c r="F572" s="43">
        <f>MAX(MAX(L572:AE572),-MIN(L572:AE572))</f>
        <v>7.1054273576010019E-15</v>
      </c>
      <c r="K572" s="44">
        <f t="shared" ref="K572:AE572" si="141">IF(ISNUMBER(K570),IF(ISNUMBER(K571),K571-K570,999999),0)</f>
        <v>0</v>
      </c>
      <c r="L572" s="44">
        <f t="shared" si="141"/>
        <v>0</v>
      </c>
      <c r="M572" s="44">
        <f t="shared" si="141"/>
        <v>0</v>
      </c>
      <c r="N572" s="44">
        <f t="shared" si="141"/>
        <v>0</v>
      </c>
      <c r="O572" s="44">
        <f t="shared" si="141"/>
        <v>0</v>
      </c>
      <c r="P572" s="44">
        <f t="shared" si="141"/>
        <v>0</v>
      </c>
      <c r="Q572" s="44">
        <f t="shared" si="141"/>
        <v>0</v>
      </c>
      <c r="R572" s="44">
        <f t="shared" si="141"/>
        <v>0</v>
      </c>
      <c r="S572" s="44">
        <f t="shared" si="141"/>
        <v>-3.5527136788005009E-15</v>
      </c>
      <c r="T572" s="44">
        <f t="shared" si="141"/>
        <v>-7.1054273576010019E-15</v>
      </c>
      <c r="U572" s="44">
        <f t="shared" si="141"/>
        <v>0</v>
      </c>
      <c r="V572" s="44">
        <f t="shared" si="141"/>
        <v>0</v>
      </c>
      <c r="W572" s="44">
        <f t="shared" si="141"/>
        <v>0</v>
      </c>
      <c r="X572" s="44">
        <f t="shared" si="141"/>
        <v>-7.1054273576010019E-15</v>
      </c>
      <c r="Y572" s="44">
        <f t="shared" si="141"/>
        <v>7.1054273576010019E-15</v>
      </c>
      <c r="Z572" s="44">
        <f t="shared" si="141"/>
        <v>0</v>
      </c>
      <c r="AA572" s="44">
        <f t="shared" si="141"/>
        <v>0</v>
      </c>
      <c r="AB572" s="44">
        <f t="shared" si="141"/>
        <v>0</v>
      </c>
      <c r="AC572" s="44">
        <f t="shared" si="141"/>
        <v>0</v>
      </c>
      <c r="AD572" s="44">
        <f t="shared" si="141"/>
        <v>0</v>
      </c>
      <c r="AE572" s="44">
        <f t="shared" si="141"/>
        <v>0</v>
      </c>
    </row>
    <row r="574" spans="1:31" x14ac:dyDescent="0.25">
      <c r="A574" s="41" t="s">
        <v>1354</v>
      </c>
      <c r="B574" s="6" t="s">
        <v>71</v>
      </c>
      <c r="C574" s="6" t="s">
        <v>121</v>
      </c>
      <c r="D574" s="6">
        <v>2</v>
      </c>
      <c r="E574" s="6" t="s">
        <v>1210</v>
      </c>
      <c r="K574" s="22"/>
      <c r="L574" s="22">
        <v>14.199528390634921</v>
      </c>
      <c r="M574" s="22">
        <v>13.840441613315161</v>
      </c>
      <c r="N574" s="22">
        <v>13.5677269404465</v>
      </c>
      <c r="O574" s="22">
        <v>13.5677269404465</v>
      </c>
      <c r="P574" s="22">
        <v>13.5677269404465</v>
      </c>
      <c r="Q574" s="22">
        <v>13.5677269404465</v>
      </c>
      <c r="R574" s="22">
        <v>13.5677269404465</v>
      </c>
      <c r="S574" s="22">
        <v>13.5677269404465</v>
      </c>
      <c r="T574" s="22">
        <v>13.5677269404465</v>
      </c>
      <c r="U574" s="22">
        <v>13.5677269404465</v>
      </c>
      <c r="V574" s="22">
        <v>13.5677269404465</v>
      </c>
      <c r="W574" s="22">
        <v>13.5677269404465</v>
      </c>
      <c r="X574" s="22">
        <v>13.5677269404465</v>
      </c>
      <c r="Y574" s="22">
        <v>13.5677269404465</v>
      </c>
      <c r="Z574" s="22">
        <v>13.5677269404465</v>
      </c>
      <c r="AA574" s="22">
        <v>13.5677269404465</v>
      </c>
      <c r="AB574" s="22">
        <v>13.5677269404465</v>
      </c>
      <c r="AC574" s="22">
        <v>13.5677269404465</v>
      </c>
      <c r="AD574" s="22">
        <v>13.5677269404465</v>
      </c>
      <c r="AE574" s="22">
        <v>13.5677269404465</v>
      </c>
    </row>
    <row r="575" spans="1:31" x14ac:dyDescent="0.25">
      <c r="A575" s="41" t="s">
        <v>1354</v>
      </c>
      <c r="B575" s="6" t="s">
        <v>71</v>
      </c>
      <c r="C575" s="6" t="s">
        <v>121</v>
      </c>
      <c r="D575" s="6">
        <v>2</v>
      </c>
      <c r="E575" s="6" t="s">
        <v>1211</v>
      </c>
      <c r="K575" s="22">
        <f>INDEX(Mitigation_Industry!K:K,MATCH($A575,Mitigation_Industry!$H:$H,0))</f>
        <v>15.33455052931693</v>
      </c>
      <c r="L575" s="22">
        <f>INDEX(Mitigation_Industry!L:L,MATCH($A575,Mitigation_Industry!$H:$H,0))</f>
        <v>14.199528390634921</v>
      </c>
      <c r="M575" s="22">
        <f>INDEX(Mitigation_Industry!M:M,MATCH($A575,Mitigation_Industry!$H:$H,0))</f>
        <v>13.840441613315161</v>
      </c>
      <c r="N575" s="22">
        <f>INDEX(Mitigation_Industry!N:N,MATCH($A575,Mitigation_Industry!$H:$H,0))</f>
        <v>13.5677269404465</v>
      </c>
      <c r="O575" s="22">
        <f>INDEX(Mitigation_Industry!O:O,MATCH($A575,Mitigation_Industry!$H:$H,0))</f>
        <v>13.5677269404465</v>
      </c>
      <c r="P575" s="22">
        <f>INDEX(Mitigation_Industry!P:P,MATCH($A575,Mitigation_Industry!$H:$H,0))</f>
        <v>13.5677269404465</v>
      </c>
      <c r="Q575" s="22">
        <f>INDEX(Mitigation_Industry!Q:Q,MATCH($A575,Mitigation_Industry!$H:$H,0))</f>
        <v>13.5677269404465</v>
      </c>
      <c r="R575" s="22">
        <f>INDEX(Mitigation_Industry!R:R,MATCH($A575,Mitigation_Industry!$H:$H,0))</f>
        <v>13.5677269404465</v>
      </c>
      <c r="S575" s="22">
        <f>INDEX(Mitigation_Industry!S:S,MATCH($A575,Mitigation_Industry!$H:$H,0))</f>
        <v>13.5677269404465</v>
      </c>
      <c r="T575" s="22">
        <f>INDEX(Mitigation_Industry!T:T,MATCH($A575,Mitigation_Industry!$H:$H,0))</f>
        <v>13.5677269404465</v>
      </c>
      <c r="U575" s="22">
        <f>INDEX(Mitigation_Industry!U:U,MATCH($A575,Mitigation_Industry!$H:$H,0))</f>
        <v>13.5677269404465</v>
      </c>
      <c r="V575" s="22">
        <f>INDEX(Mitigation_Industry!V:V,MATCH($A575,Mitigation_Industry!$H:$H,0))</f>
        <v>13.5677269404465</v>
      </c>
      <c r="W575" s="22">
        <f>INDEX(Mitigation_Industry!W:W,MATCH($A575,Mitigation_Industry!$H:$H,0))</f>
        <v>13.5677269404465</v>
      </c>
      <c r="X575" s="22">
        <f>INDEX(Mitigation_Industry!X:X,MATCH($A575,Mitigation_Industry!$H:$H,0))</f>
        <v>13.5677269404465</v>
      </c>
      <c r="Y575" s="22">
        <f>INDEX(Mitigation_Industry!Y:Y,MATCH($A575,Mitigation_Industry!$H:$H,0))</f>
        <v>13.5677269404465</v>
      </c>
      <c r="Z575" s="22">
        <f>INDEX(Mitigation_Industry!Z:Z,MATCH($A575,Mitigation_Industry!$H:$H,0))</f>
        <v>13.5677269404465</v>
      </c>
      <c r="AA575" s="22">
        <f>INDEX(Mitigation_Industry!AA:AA,MATCH($A575,Mitigation_Industry!$H:$H,0))</f>
        <v>13.5677269404465</v>
      </c>
      <c r="AB575" s="22">
        <f>INDEX(Mitigation_Industry!AB:AB,MATCH($A575,Mitigation_Industry!$H:$H,0))</f>
        <v>13.5677269404465</v>
      </c>
      <c r="AC575" s="22">
        <f>INDEX(Mitigation_Industry!AC:AC,MATCH($A575,Mitigation_Industry!$H:$H,0))</f>
        <v>13.5677269404465</v>
      </c>
      <c r="AD575" s="22">
        <f>INDEX(Mitigation_Industry!AD:AD,MATCH($A575,Mitigation_Industry!$H:$H,0))</f>
        <v>13.5677269404465</v>
      </c>
      <c r="AE575" s="22">
        <f>INDEX(Mitigation_Industry!AE:AE,MATCH($A575,Mitigation_Industry!$H:$H,0))</f>
        <v>13.5677269404465</v>
      </c>
    </row>
    <row r="576" spans="1:31" x14ac:dyDescent="0.25">
      <c r="A576" s="41" t="s">
        <v>1354</v>
      </c>
      <c r="B576" s="6" t="s">
        <v>71</v>
      </c>
      <c r="C576" s="6" t="s">
        <v>121</v>
      </c>
      <c r="D576" s="6">
        <v>2</v>
      </c>
      <c r="E576" s="2" t="s">
        <v>1212</v>
      </c>
      <c r="F576" s="43">
        <f>MAX(MAX(L576:AE576),-MIN(L576:AE576))</f>
        <v>0</v>
      </c>
      <c r="K576" s="44">
        <f t="shared" ref="K576:AE576" si="142">IF(ISNUMBER(K574),IF(ISNUMBER(K575),K575-K574,999999),0)</f>
        <v>0</v>
      </c>
      <c r="L576" s="44">
        <f t="shared" si="142"/>
        <v>0</v>
      </c>
      <c r="M576" s="44">
        <f t="shared" si="142"/>
        <v>0</v>
      </c>
      <c r="N576" s="44">
        <f t="shared" si="142"/>
        <v>0</v>
      </c>
      <c r="O576" s="44">
        <f t="shared" si="142"/>
        <v>0</v>
      </c>
      <c r="P576" s="44">
        <f t="shared" si="142"/>
        <v>0</v>
      </c>
      <c r="Q576" s="44">
        <f t="shared" si="142"/>
        <v>0</v>
      </c>
      <c r="R576" s="44">
        <f t="shared" si="142"/>
        <v>0</v>
      </c>
      <c r="S576" s="44">
        <f t="shared" si="142"/>
        <v>0</v>
      </c>
      <c r="T576" s="44">
        <f t="shared" si="142"/>
        <v>0</v>
      </c>
      <c r="U576" s="44">
        <f t="shared" si="142"/>
        <v>0</v>
      </c>
      <c r="V576" s="44">
        <f t="shared" si="142"/>
        <v>0</v>
      </c>
      <c r="W576" s="44">
        <f t="shared" si="142"/>
        <v>0</v>
      </c>
      <c r="X576" s="44">
        <f t="shared" si="142"/>
        <v>0</v>
      </c>
      <c r="Y576" s="44">
        <f t="shared" si="142"/>
        <v>0</v>
      </c>
      <c r="Z576" s="44">
        <f t="shared" si="142"/>
        <v>0</v>
      </c>
      <c r="AA576" s="44">
        <f t="shared" si="142"/>
        <v>0</v>
      </c>
      <c r="AB576" s="44">
        <f t="shared" si="142"/>
        <v>0</v>
      </c>
      <c r="AC576" s="44">
        <f t="shared" si="142"/>
        <v>0</v>
      </c>
      <c r="AD576" s="44">
        <f t="shared" si="142"/>
        <v>0</v>
      </c>
      <c r="AE576" s="44">
        <f t="shared" si="142"/>
        <v>0</v>
      </c>
    </row>
    <row r="578" spans="1:31" x14ac:dyDescent="0.25">
      <c r="A578" s="41" t="s">
        <v>1355</v>
      </c>
      <c r="B578" s="6" t="s">
        <v>73</v>
      </c>
      <c r="C578" s="6" t="s">
        <v>121</v>
      </c>
      <c r="D578" s="6">
        <v>2</v>
      </c>
      <c r="E578" s="6" t="s">
        <v>1210</v>
      </c>
      <c r="K578" s="22"/>
      <c r="L578" s="22">
        <v>0.14404498679319799</v>
      </c>
      <c r="M578" s="22">
        <v>0.14138624175135939</v>
      </c>
      <c r="N578" s="22">
        <v>0.1353975654437313</v>
      </c>
      <c r="O578" s="22">
        <v>0.13152288542065141</v>
      </c>
      <c r="P578" s="22">
        <v>0.12882610848523129</v>
      </c>
      <c r="Q578" s="22">
        <v>0.1259420097647401</v>
      </c>
      <c r="R578" s="22">
        <v>0.1231132657018609</v>
      </c>
      <c r="S578" s="22">
        <v>0.1193917380890684</v>
      </c>
      <c r="T578" s="22">
        <v>0.1155441904679203</v>
      </c>
      <c r="U578" s="22">
        <v>0.11492423065415899</v>
      </c>
      <c r="V578" s="22">
        <v>0.11434691211673639</v>
      </c>
      <c r="W578" s="22">
        <v>0.1137387111726635</v>
      </c>
      <c r="X578" s="22">
        <v>0.1129999004875214</v>
      </c>
      <c r="Y578" s="22">
        <v>0.11217768583553429</v>
      </c>
      <c r="Z578" s="22">
        <v>0.1114179032504042</v>
      </c>
      <c r="AA578" s="22">
        <v>0.1105258199854538</v>
      </c>
      <c r="AB578" s="22">
        <v>0.1096995652348958</v>
      </c>
      <c r="AC578" s="22">
        <v>0.1077267889639492</v>
      </c>
      <c r="AD578" s="22">
        <v>0.1058209244509353</v>
      </c>
      <c r="AE578" s="22">
        <v>0.1038555957057212</v>
      </c>
    </row>
    <row r="579" spans="1:31" x14ac:dyDescent="0.25">
      <c r="A579" s="41" t="s">
        <v>1355</v>
      </c>
      <c r="B579" s="6" t="s">
        <v>73</v>
      </c>
      <c r="C579" s="6" t="s">
        <v>121</v>
      </c>
      <c r="D579" s="6">
        <v>2</v>
      </c>
      <c r="E579" s="6" t="s">
        <v>1211</v>
      </c>
      <c r="K579" s="22">
        <f>INDEX(Mitigation_Industry!K:K,MATCH($A579,Mitigation_Industry!$H:$H,0))</f>
        <v>0</v>
      </c>
      <c r="L579" s="22">
        <f>INDEX(Mitigation_Industry!L:L,MATCH($A579,Mitigation_Industry!$H:$H,0))</f>
        <v>0.14404498679319799</v>
      </c>
      <c r="M579" s="22">
        <f>INDEX(Mitigation_Industry!M:M,MATCH($A579,Mitigation_Industry!$H:$H,0))</f>
        <v>0.14138624175135939</v>
      </c>
      <c r="N579" s="22">
        <f>INDEX(Mitigation_Industry!N:N,MATCH($A579,Mitigation_Industry!$H:$H,0))</f>
        <v>0.1353975654437313</v>
      </c>
      <c r="O579" s="22">
        <f>INDEX(Mitigation_Industry!O:O,MATCH($A579,Mitigation_Industry!$H:$H,0))</f>
        <v>0.13152288542065141</v>
      </c>
      <c r="P579" s="22">
        <f>INDEX(Mitigation_Industry!P:P,MATCH($A579,Mitigation_Industry!$H:$H,0))</f>
        <v>0.12882610848523129</v>
      </c>
      <c r="Q579" s="22">
        <f>INDEX(Mitigation_Industry!Q:Q,MATCH($A579,Mitigation_Industry!$H:$H,0))</f>
        <v>0.1259420097647401</v>
      </c>
      <c r="R579" s="22">
        <f>INDEX(Mitigation_Industry!R:R,MATCH($A579,Mitigation_Industry!$H:$H,0))</f>
        <v>0.1231132657018609</v>
      </c>
      <c r="S579" s="22">
        <f>INDEX(Mitigation_Industry!S:S,MATCH($A579,Mitigation_Industry!$H:$H,0))</f>
        <v>0.1193917380890684</v>
      </c>
      <c r="T579" s="22">
        <f>INDEX(Mitigation_Industry!T:T,MATCH($A579,Mitigation_Industry!$H:$H,0))</f>
        <v>0.1155441904679203</v>
      </c>
      <c r="U579" s="22">
        <f>INDEX(Mitigation_Industry!U:U,MATCH($A579,Mitigation_Industry!$H:$H,0))</f>
        <v>0.11492423065415899</v>
      </c>
      <c r="V579" s="22">
        <f>INDEX(Mitigation_Industry!V:V,MATCH($A579,Mitigation_Industry!$H:$H,0))</f>
        <v>0.11434691211673639</v>
      </c>
      <c r="W579" s="22">
        <f>INDEX(Mitigation_Industry!W:W,MATCH($A579,Mitigation_Industry!$H:$H,0))</f>
        <v>0.1137387111726635</v>
      </c>
      <c r="X579" s="22">
        <f>INDEX(Mitigation_Industry!X:X,MATCH($A579,Mitigation_Industry!$H:$H,0))</f>
        <v>0.1129999004875214</v>
      </c>
      <c r="Y579" s="22">
        <f>INDEX(Mitigation_Industry!Y:Y,MATCH($A579,Mitigation_Industry!$H:$H,0))</f>
        <v>0.11217768583553429</v>
      </c>
      <c r="Z579" s="22">
        <f>INDEX(Mitigation_Industry!Z:Z,MATCH($A579,Mitigation_Industry!$H:$H,0))</f>
        <v>0.1114179032504042</v>
      </c>
      <c r="AA579" s="22">
        <f>INDEX(Mitigation_Industry!AA:AA,MATCH($A579,Mitigation_Industry!$H:$H,0))</f>
        <v>0.1105258199854538</v>
      </c>
      <c r="AB579" s="22">
        <f>INDEX(Mitigation_Industry!AB:AB,MATCH($A579,Mitigation_Industry!$H:$H,0))</f>
        <v>0.1096995652348958</v>
      </c>
      <c r="AC579" s="22">
        <f>INDEX(Mitigation_Industry!AC:AC,MATCH($A579,Mitigation_Industry!$H:$H,0))</f>
        <v>0.1077267889639492</v>
      </c>
      <c r="AD579" s="22">
        <f>INDEX(Mitigation_Industry!AD:AD,MATCH($A579,Mitigation_Industry!$H:$H,0))</f>
        <v>0.1058209244509353</v>
      </c>
      <c r="AE579" s="22">
        <f>INDEX(Mitigation_Industry!AE:AE,MATCH($A579,Mitigation_Industry!$H:$H,0))</f>
        <v>0.1038555957057212</v>
      </c>
    </row>
    <row r="580" spans="1:31" x14ac:dyDescent="0.25">
      <c r="A580" s="41" t="s">
        <v>1355</v>
      </c>
      <c r="B580" s="6" t="s">
        <v>73</v>
      </c>
      <c r="C580" s="6" t="s">
        <v>121</v>
      </c>
      <c r="D580" s="6">
        <v>2</v>
      </c>
      <c r="E580" s="2" t="s">
        <v>1212</v>
      </c>
      <c r="F580" s="43">
        <f>MAX(MAX(L580:AE580),-MIN(L580:AE580))</f>
        <v>0</v>
      </c>
      <c r="K580" s="44">
        <f t="shared" ref="K580:AE580" si="143">IF(ISNUMBER(K578),IF(ISNUMBER(K579),K579-K578,999999),0)</f>
        <v>0</v>
      </c>
      <c r="L580" s="44">
        <f t="shared" si="143"/>
        <v>0</v>
      </c>
      <c r="M580" s="44">
        <f t="shared" si="143"/>
        <v>0</v>
      </c>
      <c r="N580" s="44">
        <f t="shared" si="143"/>
        <v>0</v>
      </c>
      <c r="O580" s="44">
        <f t="shared" si="143"/>
        <v>0</v>
      </c>
      <c r="P580" s="44">
        <f t="shared" si="143"/>
        <v>0</v>
      </c>
      <c r="Q580" s="44">
        <f t="shared" si="143"/>
        <v>0</v>
      </c>
      <c r="R580" s="44">
        <f t="shared" si="143"/>
        <v>0</v>
      </c>
      <c r="S580" s="44">
        <f t="shared" si="143"/>
        <v>0</v>
      </c>
      <c r="T580" s="44">
        <f t="shared" si="143"/>
        <v>0</v>
      </c>
      <c r="U580" s="44">
        <f t="shared" si="143"/>
        <v>0</v>
      </c>
      <c r="V580" s="44">
        <f t="shared" si="143"/>
        <v>0</v>
      </c>
      <c r="W580" s="44">
        <f t="shared" si="143"/>
        <v>0</v>
      </c>
      <c r="X580" s="44">
        <f t="shared" si="143"/>
        <v>0</v>
      </c>
      <c r="Y580" s="44">
        <f t="shared" si="143"/>
        <v>0</v>
      </c>
      <c r="Z580" s="44">
        <f t="shared" si="143"/>
        <v>0</v>
      </c>
      <c r="AA580" s="44">
        <f t="shared" si="143"/>
        <v>0</v>
      </c>
      <c r="AB580" s="44">
        <f t="shared" si="143"/>
        <v>0</v>
      </c>
      <c r="AC580" s="44">
        <f t="shared" si="143"/>
        <v>0</v>
      </c>
      <c r="AD580" s="44">
        <f t="shared" si="143"/>
        <v>0</v>
      </c>
      <c r="AE580" s="44">
        <f t="shared" si="143"/>
        <v>0</v>
      </c>
    </row>
  </sheetData>
  <pageMargins left="0.75" right="0.75" top="1" bottom="1" header="0.5" footer="0.5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Settings</vt:lpstr>
      <vt:lpstr>Mitigation_Industry</vt:lpstr>
      <vt:lpstr>_Lambdas</vt:lpstr>
      <vt:lpstr>MTInputs</vt:lpstr>
      <vt:lpstr>Data_Energy</vt:lpstr>
      <vt:lpstr>Data_Prices</vt:lpstr>
      <vt:lpstr>Data_Macro</vt:lpstr>
      <vt:lpstr>Data_Elast</vt:lpstr>
      <vt:lpstr>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Stephen John Stretton</cp:lastModifiedBy>
  <dcterms:created xsi:type="dcterms:W3CDTF">2026-10-01T19:43:07Z</dcterms:created>
  <dcterms:modified xsi:type="dcterms:W3CDTF">2026-10-01T20:10:09Z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2026-10-01T20:09:48Z</vt:lpwstr>
  </property>
  <property fmtid="{D5CDD505-2E9C-101B-9397-08002B2CF9AE}" pid="4" name="MSIP_Label_f1bf45b6-5649-4236-82a3-f45024cd282e_Method">
    <vt:lpwstr>Privileged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c544c3b6-45d0-468b-a34a-8bebb670e463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10, 2, 1, 1</vt:lpwstr>
  </property>
</Properties>
</file>